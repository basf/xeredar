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5.xml" ContentType="application/vnd.openxmlformats-officedocument.drawingml.chartshapes+xml"/>
  <Override PartName="/xl/drawings/drawing10.xml" ContentType="application/vnd.openxmlformats-officedocument.drawingml.chartshapes+xml"/>
  <Override PartName="/xl/drawings/drawing4.xml" ContentType="application/vnd.openxmlformats-officedocument.drawingml.chartshapes+xml"/>
  <Override PartName="/xl/drawings/drawing13.xml" ContentType="application/vnd.openxmlformats-officedocument.drawingml.chartshapes+xml"/>
  <Override PartName="/xl/drawings/drawing18.xml" ContentType="application/vnd.openxmlformats-officedocument.drawingml.chartshapes+xml"/>
  <Override PartName="/xl/drawings/drawing17.xml" ContentType="application/vnd.openxmlformats-officedocument.drawingml.chartshapes+xml"/>
  <Override PartName="/xl/drawings/drawing16.xml" ContentType="application/vnd.openxmlformats-officedocument.drawingml.chartshapes+xml"/>
  <Override PartName="/xl/drawings/drawing12.xml" ContentType="application/vnd.openxmlformats-officedocument.drawingml.chartshapes+xml"/>
  <Override PartName="/xl/drawings/drawing11.xml" ContentType="application/vnd.openxmlformats-officedocument.drawingml.chartshapes+xml"/>
  <Override PartName="/xl/drawings/drawing2.xml" ContentType="application/vnd.openxmlformats-officedocument.drawingml.chartshapes+xml"/>
  <Override PartName="/xl/drawings/drawing6.xml" ContentType="application/vnd.openxmlformats-officedocument.drawingml.chartshap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heets/sheet1.xml" ContentType="application/vnd.openxmlformats-officedocument.spreadsheetml.chartsheet+xml"/>
  <Override PartName="/xl/worksheets/sheet5.xml" ContentType="application/vnd.openxmlformats-officedocument.spreadsheetml.worksheet+xml"/>
  <Override PartName="/xl/worksheets/sheet6.xml" ContentType="application/vnd.openxmlformats-officedocument.spreadsheetml.worksheet+xml"/>
  <Override PartName="/xl/chartsheets/sheet2.xml" ContentType="application/vnd.openxmlformats-officedocument.spreadsheetml.chart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3.xml" ContentType="application/vnd.openxmlformats-officedocument.spreadsheetml.chartsheet+xml"/>
  <Override PartName="/xl/worksheets/sheet9.xml" ContentType="application/vnd.openxmlformats-officedocument.spreadsheetml.worksheet+xml"/>
  <Override PartName="/xl/chartsheets/sheet4.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drawings/drawing7.xml" ContentType="application/vnd.openxmlformats-officedocument.drawing+xml"/>
  <Override PartName="/xl/charts/chart4.xml" ContentType="application/vnd.openxmlformats-officedocument.drawingml.chart+xml"/>
  <Override PartName="/xl/drawings/drawing8.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9.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14.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xl/tables/table4.xml" ContentType="application/vnd.openxmlformats-officedocument.spreadsheetml.table+xml"/>
  <Override PartName="/docProps/app.xml" ContentType="application/vnd.openxmlformats-officedocument.extended-properties+xml"/>
  <Override PartName="/xl/comments1.xml" ContentType="application/vnd.openxmlformats-officedocument.spreadsheetml.comments+xml"/>
  <Override PartName="/xl/tables/table6.xml" ContentType="application/vnd.openxmlformats-officedocument.spreadsheetml.table+xml"/>
  <Override PartName="/xl/tables/table5.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426"/>
  <workbookPr filterPrivacy="1" hidePivotFieldList="1" defaultThemeVersion="124226"/>
  <xr:revisionPtr revIDLastSave="0" documentId="13_ncr:1_{E9DCF3DE-026A-4369-9B4F-C075D034FCDC}" xr6:coauthVersionLast="45" xr6:coauthVersionMax="45" xr10:uidLastSave="{00000000-0000-0000-0000-000000000000}"/>
  <bookViews>
    <workbookView xWindow="-120" yWindow="-120" windowWidth="29040" windowHeight="15840" tabRatio="855" firstSheet="1" activeTab="11" xr2:uid="{00000000-000D-0000-FFFF-FFFF00000000}"/>
  </bookViews>
  <sheets>
    <sheet name="Page de garde" sheetId="10" r:id="rId1"/>
    <sheet name="Feuil1" sheetId="39" r:id="rId2"/>
    <sheet name="Raw data R1" sheetId="35" r:id="rId3"/>
    <sheet name="R1" sheetId="1" r:id="rId4"/>
    <sheet name="Graph R1" sheetId="8" r:id="rId5"/>
    <sheet name="Raw data R2" sheetId="36" r:id="rId6"/>
    <sheet name="R2" sheetId="23" r:id="rId7"/>
    <sheet name="Graph R2" sheetId="19" r:id="rId8"/>
    <sheet name="Raw data R3" sheetId="37" r:id="rId9"/>
    <sheet name="R3" sheetId="33" r:id="rId10"/>
    <sheet name="Graph R3" sheetId="34" r:id="rId11"/>
    <sheet name="pooled normalised values" sheetId="4" r:id="rId12"/>
    <sheet name="pooled normalised graphe" sheetId="5" r:id="rId13"/>
    <sheet name="summary results" sheetId="22" r:id="rId14"/>
    <sheet name="Notice" sheetId="38" r:id="rId15"/>
    <sheet name="Graph format rapport CHG" sheetId="12" r:id="rId16"/>
    <sheet name="Graph format rapport CHG 1éch" sheetId="27" r:id="rId17"/>
    <sheet name="Récap" sheetId="28" r:id="rId18"/>
  </sheets>
  <externalReferences>
    <externalReference r:id="rId19"/>
    <externalReference r:id="rId20"/>
  </externalReferences>
  <definedNames>
    <definedName name="_xlnm.Print_Area" localSheetId="0">'Page de garde'!$A$1:$I$51</definedName>
  </definedNames>
  <calcPr calcId="191029"/>
  <pivotCaches>
    <pivotCache cacheId="1" r:id="rId21"/>
    <pivotCache cacheId="2" r:id="rId22"/>
    <pivotCache cacheId="3" r:id="rId23"/>
    <pivotCache cacheId="8" r:id="rId24"/>
  </pivotCaches>
</workbook>
</file>

<file path=xl/calcChain.xml><?xml version="1.0" encoding="utf-8"?>
<calcChain xmlns="http://schemas.openxmlformats.org/spreadsheetml/2006/main">
  <c r="A1011" i="37" l="1"/>
  <c r="B1011" i="37"/>
  <c r="A1012" i="37"/>
  <c r="B1012" i="37"/>
  <c r="A1013" i="37"/>
  <c r="B1013" i="37"/>
  <c r="A1014" i="37"/>
  <c r="B1014" i="37"/>
  <c r="A1015" i="37"/>
  <c r="B1015" i="37"/>
  <c r="A1016" i="37"/>
  <c r="B1016" i="37"/>
  <c r="A1017" i="37"/>
  <c r="B1017" i="37"/>
  <c r="A1018" i="37"/>
  <c r="B1018" i="37"/>
  <c r="A1019" i="37"/>
  <c r="B1019" i="37"/>
  <c r="A1020" i="37"/>
  <c r="B1020" i="37"/>
  <c r="A1021" i="37"/>
  <c r="B1021" i="37"/>
  <c r="A1022" i="37"/>
  <c r="B1022" i="37"/>
  <c r="A1023" i="37"/>
  <c r="B1023" i="37"/>
  <c r="A1024" i="37"/>
  <c r="B1024" i="37"/>
  <c r="A1025" i="37"/>
  <c r="B1025" i="37"/>
  <c r="A1026" i="37"/>
  <c r="B1026" i="37"/>
  <c r="A1027" i="37"/>
  <c r="B1027" i="37"/>
  <c r="A1028" i="37"/>
  <c r="B1028" i="37"/>
  <c r="A1029" i="37"/>
  <c r="B1029" i="37"/>
  <c r="A1030" i="37"/>
  <c r="B1030" i="37"/>
  <c r="A1031" i="37"/>
  <c r="B1031" i="37"/>
  <c r="A1032" i="37"/>
  <c r="B1032" i="37"/>
  <c r="A1033" i="37"/>
  <c r="B1033" i="37"/>
  <c r="A1034" i="37"/>
  <c r="B1034" i="37"/>
  <c r="A1035" i="37"/>
  <c r="B1035" i="37"/>
  <c r="A1036" i="37"/>
  <c r="B1036" i="37"/>
  <c r="A1037" i="37"/>
  <c r="B1037" i="37"/>
  <c r="A1038" i="37"/>
  <c r="B1038" i="37"/>
  <c r="A1039" i="37"/>
  <c r="B1039" i="37"/>
  <c r="A1040" i="37"/>
  <c r="B1040" i="37"/>
  <c r="A1041" i="37"/>
  <c r="B1041" i="37"/>
  <c r="A1042" i="37"/>
  <c r="B1042" i="37"/>
  <c r="A1043" i="37"/>
  <c r="B1043" i="37"/>
  <c r="A1044" i="37"/>
  <c r="B1044" i="37"/>
  <c r="A1045" i="37"/>
  <c r="B1045" i="37"/>
  <c r="A1046" i="37"/>
  <c r="B1046" i="37"/>
  <c r="A1047" i="37"/>
  <c r="B1047" i="37"/>
  <c r="A1048" i="37"/>
  <c r="B1048" i="37"/>
  <c r="A1049" i="37"/>
  <c r="B1049" i="37"/>
  <c r="A1050" i="37"/>
  <c r="B1050" i="37"/>
  <c r="A1051" i="37"/>
  <c r="B1051" i="37"/>
  <c r="A1052" i="37"/>
  <c r="B1052" i="37"/>
  <c r="A1053" i="37"/>
  <c r="B1053" i="37"/>
  <c r="A1054" i="37"/>
  <c r="B1054" i="37"/>
  <c r="A1055" i="37"/>
  <c r="B1055" i="37"/>
  <c r="A1056" i="37"/>
  <c r="B1056" i="37"/>
  <c r="A1057" i="37"/>
  <c r="B1057" i="37"/>
  <c r="A1058" i="37"/>
  <c r="B1058" i="37"/>
  <c r="A1059" i="37"/>
  <c r="B1059" i="37"/>
  <c r="A1060" i="37"/>
  <c r="B1060" i="37"/>
  <c r="A1061" i="37"/>
  <c r="B1061" i="37"/>
  <c r="A1062" i="37"/>
  <c r="B1062" i="37"/>
  <c r="A1063" i="37"/>
  <c r="B1063" i="37"/>
  <c r="A1064" i="37"/>
  <c r="B1064" i="37"/>
  <c r="A1065" i="37"/>
  <c r="B1065" i="37"/>
  <c r="A1066" i="37"/>
  <c r="B1066" i="37"/>
  <c r="A1067" i="37"/>
  <c r="B1067" i="37"/>
  <c r="A1068" i="37"/>
  <c r="B1068" i="37"/>
  <c r="A1069" i="37"/>
  <c r="B1069" i="37"/>
  <c r="A1070" i="37"/>
  <c r="B1070" i="37"/>
  <c r="A1071" i="37"/>
  <c r="B1071" i="37"/>
  <c r="A1072" i="37"/>
  <c r="B1072" i="37"/>
  <c r="A1073" i="37"/>
  <c r="B1073" i="37"/>
  <c r="A1074" i="37"/>
  <c r="B1074" i="37"/>
  <c r="A1075" i="37"/>
  <c r="B1075" i="37"/>
  <c r="A1076" i="37"/>
  <c r="B1076" i="37"/>
  <c r="A1077" i="37"/>
  <c r="B1077" i="37"/>
  <c r="A1078" i="37"/>
  <c r="B1078" i="37"/>
  <c r="A1079" i="37"/>
  <c r="B1079" i="37"/>
  <c r="A1080" i="37"/>
  <c r="B1080" i="37"/>
  <c r="A1081" i="37"/>
  <c r="B1081" i="37"/>
  <c r="A1082" i="37"/>
  <c r="B1082" i="37"/>
  <c r="A1083" i="37"/>
  <c r="B1083" i="37"/>
  <c r="A1084" i="37"/>
  <c r="B1084" i="37"/>
  <c r="A1085" i="37"/>
  <c r="B1085" i="37"/>
  <c r="A1086" i="37"/>
  <c r="B1086" i="37"/>
  <c r="A1087" i="37"/>
  <c r="B1087" i="37"/>
  <c r="A1088" i="37"/>
  <c r="B1088" i="37"/>
  <c r="A1089" i="37"/>
  <c r="B1089" i="37"/>
  <c r="A1090" i="37"/>
  <c r="B1090" i="37"/>
  <c r="A1091" i="37"/>
  <c r="B1091" i="37"/>
  <c r="A1092" i="37"/>
  <c r="B1092" i="37"/>
  <c r="A1093" i="37"/>
  <c r="B1093" i="37"/>
  <c r="A1094" i="37"/>
  <c r="B1094" i="37"/>
  <c r="A1095" i="37"/>
  <c r="B1095" i="37"/>
  <c r="A1096" i="37"/>
  <c r="B1096" i="37"/>
  <c r="A1097" i="37"/>
  <c r="B1097" i="37"/>
  <c r="A1098" i="37"/>
  <c r="B1098" i="37"/>
  <c r="A1099" i="37"/>
  <c r="B1099" i="37"/>
  <c r="A1100" i="37"/>
  <c r="B1100" i="37"/>
  <c r="A1101" i="37"/>
  <c r="B1101" i="37"/>
  <c r="A1102" i="37"/>
  <c r="B1102" i="37"/>
  <c r="A1103" i="37"/>
  <c r="B1103" i="37"/>
  <c r="A1104" i="37"/>
  <c r="B1104" i="37"/>
  <c r="A1105" i="37"/>
  <c r="B1105" i="37"/>
  <c r="A1106" i="37"/>
  <c r="B1106" i="37"/>
  <c r="A1107" i="37"/>
  <c r="B1107" i="37"/>
  <c r="A1108" i="37"/>
  <c r="B1108" i="37"/>
  <c r="A1109" i="37"/>
  <c r="B1109" i="37"/>
  <c r="A1110" i="37"/>
  <c r="B1110" i="37"/>
  <c r="A1111" i="37"/>
  <c r="B1111" i="37"/>
  <c r="A1112" i="37"/>
  <c r="B1112" i="37"/>
  <c r="A1113" i="37"/>
  <c r="B1113" i="37"/>
  <c r="A1114" i="37"/>
  <c r="B1114" i="37"/>
  <c r="A1115" i="37"/>
  <c r="B1115" i="37"/>
  <c r="A1116" i="37"/>
  <c r="B1116" i="37"/>
  <c r="A1117" i="37"/>
  <c r="B1117" i="37"/>
  <c r="A1118" i="37"/>
  <c r="B1118" i="37"/>
  <c r="A1119" i="37"/>
  <c r="B1119" i="37"/>
  <c r="A1120" i="37"/>
  <c r="B1120" i="37"/>
  <c r="A1121" i="37"/>
  <c r="B1121" i="37"/>
  <c r="A1122" i="37"/>
  <c r="B1122" i="37"/>
  <c r="A1123" i="37"/>
  <c r="B1123" i="37"/>
  <c r="A1124" i="37"/>
  <c r="B1124" i="37"/>
  <c r="A1125" i="37"/>
  <c r="B1125" i="37"/>
  <c r="A1126" i="37"/>
  <c r="B1126" i="37"/>
  <c r="A1127" i="37"/>
  <c r="B1127" i="37"/>
  <c r="A1128" i="37"/>
  <c r="B1128" i="37"/>
  <c r="A1129" i="37"/>
  <c r="B1129" i="37"/>
  <c r="A1130" i="37"/>
  <c r="B1130" i="37"/>
  <c r="A1131" i="37"/>
  <c r="B1131" i="37"/>
  <c r="A1132" i="37"/>
  <c r="B1132" i="37"/>
  <c r="A1133" i="37"/>
  <c r="B1133" i="37"/>
  <c r="A1134" i="37"/>
  <c r="B1134" i="37"/>
  <c r="A1135" i="37"/>
  <c r="B1135" i="37"/>
  <c r="A1136" i="37"/>
  <c r="B1136" i="37"/>
  <c r="A1137" i="37"/>
  <c r="B1137" i="37"/>
  <c r="A1138" i="37"/>
  <c r="B1138" i="37"/>
  <c r="A1139" i="37"/>
  <c r="B1139" i="37"/>
  <c r="A1140" i="37"/>
  <c r="B1140" i="37"/>
  <c r="A1141" i="37"/>
  <c r="B1141" i="37"/>
  <c r="A1142" i="37"/>
  <c r="B1142" i="37"/>
  <c r="A1143" i="37"/>
  <c r="B1143" i="37"/>
  <c r="A1144" i="37"/>
  <c r="B1144" i="37"/>
  <c r="A1145" i="37"/>
  <c r="B1145" i="37"/>
  <c r="A1146" i="37"/>
  <c r="B1146" i="37"/>
  <c r="A1147" i="37"/>
  <c r="B1147" i="37"/>
  <c r="A1148" i="37"/>
  <c r="B1148" i="37"/>
  <c r="A1149" i="37"/>
  <c r="B1149" i="37"/>
  <c r="A1150" i="37"/>
  <c r="B1150" i="37"/>
  <c r="A1151" i="37"/>
  <c r="B1151" i="37"/>
  <c r="A1152" i="37"/>
  <c r="B1152" i="37"/>
  <c r="A1153" i="37"/>
  <c r="B1153" i="37"/>
  <c r="A1154" i="37"/>
  <c r="B1154" i="37"/>
  <c r="A1155" i="37"/>
  <c r="B1155" i="37"/>
  <c r="A1156" i="37"/>
  <c r="B1156" i="37"/>
  <c r="A1157" i="37"/>
  <c r="B1157" i="37"/>
  <c r="A1158" i="37"/>
  <c r="B1158" i="37"/>
  <c r="A1159" i="37"/>
  <c r="B1159" i="37"/>
  <c r="A1160" i="37"/>
  <c r="B1160" i="37"/>
  <c r="A1161" i="37"/>
  <c r="B1161" i="37"/>
  <c r="A1162" i="37"/>
  <c r="B1162" i="37"/>
  <c r="A1163" i="37"/>
  <c r="B1163" i="37"/>
  <c r="A1164" i="37"/>
  <c r="B1164" i="37"/>
  <c r="A1165" i="37"/>
  <c r="B1165" i="37"/>
  <c r="A1166" i="37"/>
  <c r="B1166" i="37"/>
  <c r="A1167" i="37"/>
  <c r="B1167" i="37"/>
  <c r="A1168" i="37"/>
  <c r="B1168" i="37"/>
  <c r="A1169" i="37"/>
  <c r="B1169" i="37"/>
  <c r="A1170" i="37"/>
  <c r="B1170" i="37"/>
  <c r="A1171" i="37"/>
  <c r="B1171" i="37"/>
  <c r="A1172" i="37"/>
  <c r="B1172" i="37"/>
  <c r="A1173" i="37"/>
  <c r="B1173" i="37"/>
  <c r="A1174" i="37"/>
  <c r="B1174" i="37"/>
  <c r="A1175" i="37"/>
  <c r="B1175" i="37"/>
  <c r="A1176" i="37"/>
  <c r="B1176" i="37"/>
  <c r="A1177" i="37"/>
  <c r="B1177" i="37"/>
  <c r="A1178" i="37"/>
  <c r="B1178" i="37"/>
  <c r="A1179" i="37"/>
  <c r="B1179" i="37"/>
  <c r="A1180" i="37"/>
  <c r="B1180" i="37"/>
  <c r="A1181" i="37"/>
  <c r="B1181" i="37"/>
  <c r="A1182" i="37"/>
  <c r="B1182" i="37"/>
  <c r="A1183" i="37"/>
  <c r="B1183" i="37"/>
  <c r="A1184" i="37"/>
  <c r="B1184" i="37"/>
  <c r="A1185" i="37"/>
  <c r="B1185" i="37"/>
  <c r="A1186" i="37"/>
  <c r="B1186" i="37"/>
  <c r="A1187" i="37"/>
  <c r="B1187" i="37"/>
  <c r="A1188" i="37"/>
  <c r="B1188" i="37"/>
  <c r="A1189" i="37"/>
  <c r="B1189" i="37"/>
  <c r="A1190" i="37"/>
  <c r="B1190" i="37"/>
  <c r="A1191" i="37"/>
  <c r="B1191" i="37"/>
  <c r="A1192" i="37"/>
  <c r="B1192" i="37"/>
  <c r="A1193" i="37"/>
  <c r="B1193" i="37"/>
  <c r="A1194" i="37"/>
  <c r="B1194" i="37"/>
  <c r="A1195" i="37"/>
  <c r="B1195" i="37"/>
  <c r="A1196" i="37"/>
  <c r="B1196" i="37"/>
  <c r="A1197" i="37"/>
  <c r="B1197" i="37"/>
  <c r="A1198" i="37"/>
  <c r="B1198" i="37"/>
  <c r="A1199" i="37"/>
  <c r="B1199" i="37"/>
  <c r="A1200" i="37"/>
  <c r="B1200" i="37"/>
  <c r="A1201" i="37"/>
  <c r="B1201" i="37"/>
  <c r="A1202" i="37"/>
  <c r="B1202" i="37"/>
  <c r="A1203" i="37"/>
  <c r="B1203" i="37"/>
  <c r="A1204" i="37"/>
  <c r="B1204" i="37"/>
  <c r="A1205" i="37"/>
  <c r="B1205" i="37"/>
  <c r="A1206" i="37"/>
  <c r="B1206" i="37"/>
  <c r="A1207" i="37"/>
  <c r="B1207" i="37"/>
  <c r="A1208" i="37"/>
  <c r="B1208" i="37"/>
  <c r="A1209" i="37"/>
  <c r="B1209" i="37"/>
  <c r="A1210" i="37"/>
  <c r="B1210" i="37"/>
  <c r="A1211" i="37"/>
  <c r="B1211" i="37"/>
  <c r="A1212" i="37"/>
  <c r="B1212" i="37"/>
  <c r="A1213" i="37"/>
  <c r="B1213" i="37"/>
  <c r="A1214" i="37"/>
  <c r="B1214" i="37"/>
  <c r="A1215" i="37"/>
  <c r="B1215" i="37"/>
  <c r="A1216" i="37"/>
  <c r="B1216" i="37"/>
  <c r="A1217" i="37"/>
  <c r="B1217" i="37"/>
  <c r="A1218" i="37"/>
  <c r="B1218" i="37"/>
  <c r="A1219" i="37"/>
  <c r="B1219" i="37"/>
  <c r="A1220" i="37"/>
  <c r="B1220" i="37"/>
  <c r="A1221" i="37"/>
  <c r="B1221" i="37"/>
  <c r="A1222" i="37"/>
  <c r="B1222" i="37"/>
  <c r="A1223" i="37"/>
  <c r="B1223" i="37"/>
  <c r="A1224" i="37"/>
  <c r="B1224" i="37"/>
  <c r="A1225" i="37"/>
  <c r="B1225" i="37"/>
  <c r="A1226" i="37"/>
  <c r="B1226" i="37"/>
  <c r="A1227" i="37"/>
  <c r="B1227" i="37"/>
  <c r="A1228" i="37"/>
  <c r="B1228" i="37"/>
  <c r="A1229" i="37"/>
  <c r="B1229" i="37"/>
  <c r="A1230" i="37"/>
  <c r="B1230" i="37"/>
  <c r="A1231" i="37"/>
  <c r="B1231" i="37"/>
  <c r="A1232" i="37"/>
  <c r="B1232" i="37"/>
  <c r="A1233" i="37"/>
  <c r="B1233" i="37"/>
  <c r="A1234" i="37"/>
  <c r="B1234" i="37"/>
  <c r="A1235" i="37"/>
  <c r="B1235" i="37"/>
  <c r="A1236" i="37"/>
  <c r="B1236" i="37"/>
  <c r="A1237" i="37"/>
  <c r="B1237" i="37"/>
  <c r="A1238" i="37"/>
  <c r="B1238" i="37"/>
  <c r="A1239" i="37"/>
  <c r="B1239" i="37"/>
  <c r="A1240" i="37"/>
  <c r="B1240" i="37"/>
  <c r="A1241" i="37"/>
  <c r="B1241" i="37"/>
  <c r="A1242" i="37"/>
  <c r="B1242" i="37"/>
  <c r="A1243" i="37"/>
  <c r="B1243" i="37"/>
  <c r="A1244" i="37"/>
  <c r="B1244" i="37"/>
  <c r="A1245" i="37"/>
  <c r="B1245" i="37"/>
  <c r="A1246" i="37"/>
  <c r="B1246" i="37"/>
  <c r="A1247" i="37"/>
  <c r="B1247" i="37"/>
  <c r="A1248" i="37"/>
  <c r="B1248" i="37"/>
  <c r="A1249" i="37"/>
  <c r="B1249" i="37"/>
  <c r="A1250" i="37"/>
  <c r="B1250" i="37"/>
  <c r="A1251" i="37"/>
  <c r="B1251" i="37"/>
  <c r="A1252" i="37"/>
  <c r="B1252" i="37"/>
  <c r="A1253" i="37"/>
  <c r="B1253" i="37"/>
  <c r="A1254" i="37"/>
  <c r="B1254" i="37"/>
  <c r="A1255" i="37"/>
  <c r="B1255" i="37"/>
  <c r="A1256" i="37"/>
  <c r="B1256" i="37"/>
  <c r="A1257" i="37"/>
  <c r="B1257" i="37"/>
  <c r="A1258" i="37"/>
  <c r="B1258" i="37"/>
  <c r="A1259" i="37"/>
  <c r="B1259" i="37"/>
  <c r="A1260" i="37"/>
  <c r="B1260" i="37"/>
  <c r="A1261" i="37"/>
  <c r="B1261" i="37"/>
  <c r="A1262" i="37"/>
  <c r="B1262" i="37"/>
  <c r="A1263" i="37"/>
  <c r="B1263" i="37"/>
  <c r="A1264" i="37"/>
  <c r="B1264" i="37"/>
  <c r="A1265" i="37"/>
  <c r="B1265" i="37"/>
  <c r="A1266" i="37"/>
  <c r="B1266" i="37"/>
  <c r="A1267" i="37"/>
  <c r="B1267" i="37"/>
  <c r="A1268" i="37"/>
  <c r="B1268" i="37"/>
  <c r="A1269" i="37"/>
  <c r="B1269" i="37"/>
  <c r="A1270" i="37"/>
  <c r="B1270" i="37"/>
  <c r="A1271" i="37"/>
  <c r="B1271" i="37"/>
  <c r="A1272" i="37"/>
  <c r="B1272" i="37"/>
  <c r="A1273" i="37"/>
  <c r="B1273" i="37"/>
  <c r="A1274" i="37"/>
  <c r="B1274" i="37"/>
  <c r="A1275" i="37"/>
  <c r="B1275" i="37"/>
  <c r="A1276" i="37"/>
  <c r="B1276" i="37"/>
  <c r="A1277" i="37"/>
  <c r="B1277" i="37"/>
  <c r="A1278" i="37"/>
  <c r="B1278" i="37"/>
  <c r="A1279" i="37"/>
  <c r="B1279" i="37"/>
  <c r="A1280" i="37"/>
  <c r="B1280" i="37"/>
  <c r="A1281" i="37"/>
  <c r="B1281" i="37"/>
  <c r="A1282" i="37"/>
  <c r="B1282" i="37"/>
  <c r="A1283" i="37"/>
  <c r="B1283" i="37"/>
  <c r="A1284" i="37"/>
  <c r="B1284" i="37"/>
  <c r="A1285" i="37"/>
  <c r="B1285" i="37"/>
  <c r="A1286" i="37"/>
  <c r="B1286" i="37"/>
  <c r="A1287" i="37"/>
  <c r="B1287" i="37"/>
  <c r="A1288" i="37"/>
  <c r="B1288" i="37"/>
  <c r="A1289" i="37"/>
  <c r="B1289" i="37"/>
  <c r="A1290" i="37"/>
  <c r="B1290" i="37"/>
  <c r="A1291" i="37"/>
  <c r="B1291" i="37"/>
  <c r="A1292" i="37"/>
  <c r="B1292" i="37"/>
  <c r="A1293" i="37"/>
  <c r="B1293" i="37"/>
  <c r="A1294" i="37"/>
  <c r="B1294" i="37"/>
  <c r="A1295" i="37"/>
  <c r="B1295" i="37"/>
  <c r="A1296" i="37"/>
  <c r="B1296" i="37"/>
  <c r="A1297" i="37"/>
  <c r="B1297" i="37"/>
  <c r="A1298" i="37"/>
  <c r="B1298" i="37"/>
  <c r="A1299" i="37"/>
  <c r="B1299" i="37"/>
  <c r="A1300" i="37"/>
  <c r="B1300" i="37"/>
  <c r="A1301" i="37"/>
  <c r="B1301" i="37"/>
  <c r="A1302" i="37"/>
  <c r="B1302" i="37"/>
  <c r="A1303" i="37"/>
  <c r="B1303" i="37"/>
  <c r="A1304" i="37"/>
  <c r="B1304" i="37"/>
  <c r="A1305" i="37"/>
  <c r="B1305" i="37"/>
  <c r="A1306" i="37"/>
  <c r="B1306" i="37"/>
  <c r="A1307" i="37"/>
  <c r="B1307" i="37"/>
  <c r="A1308" i="37"/>
  <c r="B1308" i="37"/>
  <c r="A1309" i="37"/>
  <c r="B1309" i="37"/>
  <c r="A1310" i="37"/>
  <c r="B1310" i="37"/>
  <c r="A1311" i="37"/>
  <c r="B1311" i="37"/>
  <c r="A1312" i="37"/>
  <c r="B1312" i="37"/>
  <c r="A1313" i="37"/>
  <c r="B1313" i="37"/>
  <c r="A1314" i="37"/>
  <c r="B1314" i="37"/>
  <c r="A1315" i="37"/>
  <c r="B1315" i="37"/>
  <c r="A1316" i="37"/>
  <c r="B1316" i="37"/>
  <c r="A1317" i="37"/>
  <c r="B1317" i="37"/>
  <c r="A1318" i="37"/>
  <c r="B1318" i="37"/>
  <c r="A1319" i="37"/>
  <c r="B1319" i="37"/>
  <c r="A1320" i="37"/>
  <c r="B1320" i="37"/>
  <c r="A1321" i="37"/>
  <c r="B1321" i="37"/>
  <c r="A1322" i="37"/>
  <c r="B1322" i="37"/>
  <c r="A1323" i="37"/>
  <c r="B1323" i="37"/>
  <c r="A1324" i="37"/>
  <c r="B1324" i="37"/>
  <c r="A1325" i="37"/>
  <c r="B1325" i="37"/>
  <c r="A1326" i="37"/>
  <c r="B1326" i="37"/>
  <c r="A1327" i="37"/>
  <c r="B1327" i="37"/>
  <c r="A1328" i="37"/>
  <c r="B1328" i="37"/>
  <c r="A1329" i="37"/>
  <c r="B1329" i="37"/>
  <c r="A1330" i="37"/>
  <c r="B1330" i="37"/>
  <c r="A1331" i="37"/>
  <c r="B1331" i="37"/>
  <c r="A1332" i="37"/>
  <c r="B1332" i="37"/>
  <c r="A1333" i="37"/>
  <c r="B1333" i="37"/>
  <c r="A1334" i="37"/>
  <c r="B1334" i="37"/>
  <c r="A1335" i="37"/>
  <c r="B1335" i="37"/>
  <c r="A1336" i="37"/>
  <c r="B1336" i="37"/>
  <c r="A1337" i="37"/>
  <c r="B1337" i="37"/>
  <c r="A1338" i="37"/>
  <c r="B1338" i="37"/>
  <c r="A1339" i="37"/>
  <c r="B1339" i="37"/>
  <c r="A1340" i="37"/>
  <c r="B1340" i="37"/>
  <c r="A1341" i="37"/>
  <c r="B1341" i="37"/>
  <c r="A1342" i="37"/>
  <c r="B1342" i="37"/>
  <c r="A1343" i="37"/>
  <c r="B1343" i="37"/>
  <c r="A1344" i="37"/>
  <c r="B1344" i="37"/>
  <c r="A1345" i="37"/>
  <c r="B1345" i="37"/>
  <c r="A1346" i="37"/>
  <c r="B1346" i="37"/>
  <c r="A1347" i="37"/>
  <c r="B1347" i="37"/>
  <c r="A1348" i="37"/>
  <c r="B1348" i="37"/>
  <c r="A1349" i="37"/>
  <c r="B1349" i="37"/>
  <c r="A1350" i="37"/>
  <c r="B1350" i="37"/>
  <c r="A1351" i="37"/>
  <c r="B1351" i="37"/>
  <c r="A1352" i="37"/>
  <c r="B1352" i="37"/>
  <c r="A1353" i="37"/>
  <c r="B1353" i="37"/>
  <c r="A1354" i="37"/>
  <c r="B1354" i="37"/>
  <c r="A1355" i="37"/>
  <c r="B1355" i="37"/>
  <c r="A1356" i="37"/>
  <c r="B1356" i="37"/>
  <c r="A1357" i="37"/>
  <c r="B1357" i="37"/>
  <c r="A1358" i="37"/>
  <c r="B1358" i="37"/>
  <c r="A1359" i="37"/>
  <c r="B1359" i="37"/>
  <c r="A1360" i="37"/>
  <c r="B1360" i="37"/>
  <c r="A1361" i="37"/>
  <c r="B1361" i="37"/>
  <c r="A1362" i="37"/>
  <c r="B1362" i="37"/>
  <c r="A1363" i="37"/>
  <c r="B1363" i="37"/>
  <c r="A1364" i="37"/>
  <c r="B1364" i="37"/>
  <c r="A1365" i="37"/>
  <c r="B1365" i="37"/>
  <c r="A1366" i="37"/>
  <c r="B1366" i="37"/>
  <c r="A1367" i="37"/>
  <c r="B1367" i="37"/>
  <c r="A1368" i="37"/>
  <c r="B1368" i="37"/>
  <c r="A1369" i="37"/>
  <c r="B1369" i="37"/>
  <c r="A1370" i="37"/>
  <c r="B1370" i="37"/>
  <c r="A1371" i="37"/>
  <c r="B1371" i="37"/>
  <c r="A1372" i="37"/>
  <c r="B1372" i="37"/>
  <c r="A1373" i="37"/>
  <c r="B1373" i="37"/>
  <c r="A1374" i="37"/>
  <c r="B1374" i="37"/>
  <c r="A1375" i="37"/>
  <c r="B1375" i="37"/>
  <c r="A1376" i="37"/>
  <c r="B1376" i="37"/>
  <c r="A1377" i="37"/>
  <c r="B1377" i="37"/>
  <c r="A1378" i="37"/>
  <c r="B1378" i="37"/>
  <c r="A1379" i="37"/>
  <c r="B1379" i="37"/>
  <c r="A1380" i="37"/>
  <c r="B1380" i="37"/>
  <c r="A1381" i="37"/>
  <c r="B1381" i="37"/>
  <c r="A1382" i="37"/>
  <c r="B1382" i="37"/>
  <c r="A1383" i="37"/>
  <c r="B1383" i="37"/>
  <c r="A1384" i="37"/>
  <c r="B1384" i="37"/>
  <c r="A1385" i="37"/>
  <c r="B1385" i="37"/>
  <c r="A1386" i="37"/>
  <c r="B1386" i="37"/>
  <c r="A1387" i="37"/>
  <c r="B1387" i="37"/>
  <c r="A1388" i="37"/>
  <c r="B1388" i="37"/>
  <c r="A1389" i="37"/>
  <c r="B1389" i="37"/>
  <c r="A1390" i="37"/>
  <c r="B1390" i="37"/>
  <c r="A1391" i="37"/>
  <c r="B1391" i="37"/>
  <c r="A1392" i="37"/>
  <c r="B1392" i="37"/>
  <c r="A1393" i="37"/>
  <c r="B1393" i="37"/>
  <c r="A1394" i="37"/>
  <c r="B1394" i="37"/>
  <c r="A1395" i="37"/>
  <c r="B1395" i="37"/>
  <c r="A1396" i="37"/>
  <c r="B1396" i="37"/>
  <c r="A1397" i="37"/>
  <c r="B1397" i="37"/>
  <c r="A1398" i="37"/>
  <c r="B1398" i="37"/>
  <c r="A1399" i="37"/>
  <c r="B1399" i="37"/>
  <c r="A1400" i="37"/>
  <c r="B1400" i="37"/>
  <c r="A1401" i="37"/>
  <c r="B1401" i="37"/>
  <c r="A1402" i="37"/>
  <c r="B1402" i="37"/>
  <c r="A1403" i="37"/>
  <c r="B1403" i="37"/>
  <c r="A1404" i="37"/>
  <c r="B1404" i="37"/>
  <c r="A1405" i="37"/>
  <c r="B1405" i="37"/>
  <c r="A1406" i="37"/>
  <c r="B1406" i="37"/>
  <c r="A1407" i="37"/>
  <c r="B1407" i="37"/>
  <c r="A1408" i="37"/>
  <c r="B1408" i="37"/>
  <c r="A1409" i="37"/>
  <c r="B1409" i="37"/>
  <c r="A1410" i="37"/>
  <c r="B1410" i="37"/>
  <c r="A1411" i="37"/>
  <c r="B1411" i="37"/>
  <c r="A1412" i="37"/>
  <c r="B1412" i="37"/>
  <c r="A1413" i="37"/>
  <c r="B1413" i="37"/>
  <c r="A1414" i="37"/>
  <c r="B1414" i="37"/>
  <c r="A1415" i="37"/>
  <c r="B1415" i="37"/>
  <c r="A1416" i="37"/>
  <c r="B1416" i="37"/>
  <c r="A1417" i="37"/>
  <c r="B1417" i="37"/>
  <c r="A1418" i="37"/>
  <c r="B1418" i="37"/>
  <c r="A1419" i="37"/>
  <c r="B1419" i="37"/>
  <c r="A1420" i="37"/>
  <c r="B1420" i="37"/>
  <c r="A1421" i="37"/>
  <c r="B1421" i="37"/>
  <c r="A1422" i="37"/>
  <c r="B1422" i="37"/>
  <c r="A1423" i="37"/>
  <c r="B1423" i="37"/>
  <c r="A1424" i="37"/>
  <c r="B1424" i="37"/>
  <c r="A1425" i="37"/>
  <c r="B1425" i="37"/>
  <c r="A1426" i="37"/>
  <c r="B1426" i="37"/>
  <c r="A1427" i="37"/>
  <c r="B1427" i="37"/>
  <c r="A1428" i="37"/>
  <c r="B1428" i="37"/>
  <c r="A1429" i="37"/>
  <c r="B1429" i="37"/>
  <c r="A1430" i="37"/>
  <c r="B1430" i="37"/>
  <c r="A1431" i="37"/>
  <c r="B1431" i="37"/>
  <c r="A1432" i="37"/>
  <c r="B1432" i="37"/>
  <c r="A1433" i="37"/>
  <c r="B1433" i="37"/>
  <c r="A1434" i="37"/>
  <c r="B1434" i="37"/>
  <c r="A1435" i="37"/>
  <c r="B1435" i="37"/>
  <c r="A1436" i="37"/>
  <c r="B1436" i="37"/>
  <c r="A1437" i="37"/>
  <c r="B1437" i="37"/>
  <c r="A1438" i="37"/>
  <c r="B1438" i="37"/>
  <c r="A1439" i="37"/>
  <c r="B1439" i="37"/>
  <c r="A1440" i="37"/>
  <c r="B1440" i="37"/>
  <c r="A1441" i="37"/>
  <c r="B1441" i="37"/>
  <c r="A1442" i="37"/>
  <c r="B1442" i="37"/>
  <c r="A1443" i="37"/>
  <c r="B1443" i="37"/>
  <c r="A1444" i="37"/>
  <c r="B1444" i="37"/>
  <c r="A1445" i="37"/>
  <c r="B1445" i="37"/>
  <c r="A1446" i="37"/>
  <c r="B1446" i="37"/>
  <c r="A1447" i="37"/>
  <c r="B1447" i="37"/>
  <c r="A1448" i="37"/>
  <c r="B1448" i="37"/>
  <c r="A1449" i="37"/>
  <c r="B1449" i="37"/>
  <c r="A1450" i="37"/>
  <c r="B1450" i="37"/>
  <c r="A1451" i="37"/>
  <c r="B1451" i="37"/>
  <c r="A1452" i="37"/>
  <c r="B1452" i="37"/>
  <c r="A1453" i="37"/>
  <c r="B1453" i="37"/>
  <c r="A1454" i="37"/>
  <c r="B1454" i="37"/>
  <c r="A1455" i="37"/>
  <c r="B1455" i="37"/>
  <c r="A1456" i="37"/>
  <c r="B1456" i="37"/>
  <c r="A1457" i="37"/>
  <c r="B1457" i="37"/>
  <c r="A1458" i="37"/>
  <c r="B1458" i="37"/>
  <c r="A1459" i="37"/>
  <c r="B1459" i="37"/>
  <c r="A1460" i="37"/>
  <c r="B1460" i="37"/>
  <c r="A1461" i="37"/>
  <c r="B1461" i="37"/>
  <c r="A1462" i="37"/>
  <c r="B1462" i="37"/>
  <c r="A1463" i="37"/>
  <c r="B1463" i="37"/>
  <c r="A1464" i="37"/>
  <c r="B1464" i="37"/>
  <c r="A1465" i="37"/>
  <c r="B1465" i="37"/>
  <c r="A1466" i="37"/>
  <c r="B1466" i="37"/>
  <c r="A1467" i="37"/>
  <c r="B1467" i="37"/>
  <c r="A1468" i="37"/>
  <c r="B1468" i="37"/>
  <c r="A1469" i="37"/>
  <c r="B1469" i="37"/>
  <c r="A1470" i="37"/>
  <c r="B1470" i="37"/>
  <c r="A1471" i="37"/>
  <c r="B1471" i="37"/>
  <c r="A1472" i="37"/>
  <c r="B1472" i="37"/>
  <c r="A1473" i="37"/>
  <c r="B1473" i="37"/>
  <c r="A1474" i="37"/>
  <c r="B1474" i="37"/>
  <c r="A1475" i="37"/>
  <c r="B1475" i="37"/>
  <c r="A1476" i="37"/>
  <c r="B1476" i="37"/>
  <c r="A1477" i="37"/>
  <c r="B1477" i="37"/>
  <c r="A1478" i="37"/>
  <c r="B1478" i="37"/>
  <c r="A1479" i="37"/>
  <c r="B1479" i="37"/>
  <c r="A1480" i="37"/>
  <c r="B1480" i="37"/>
  <c r="A1481" i="37"/>
  <c r="B1481" i="37"/>
  <c r="A1482" i="37"/>
  <c r="B1482" i="37"/>
  <c r="A1483" i="37"/>
  <c r="B1483" i="37"/>
  <c r="A1484" i="37"/>
  <c r="B1484" i="37"/>
  <c r="A1485" i="37"/>
  <c r="B1485" i="37"/>
  <c r="A1486" i="37"/>
  <c r="B1486" i="37"/>
  <c r="A1487" i="37"/>
  <c r="B1487" i="37"/>
  <c r="A1488" i="37"/>
  <c r="B1488" i="37"/>
  <c r="A1489" i="37"/>
  <c r="B1489" i="37"/>
  <c r="A1490" i="37"/>
  <c r="B1490" i="37"/>
  <c r="A1491" i="37"/>
  <c r="B1491" i="37"/>
  <c r="A1492" i="37"/>
  <c r="B1492" i="37"/>
  <c r="A1493" i="37"/>
  <c r="B1493" i="37"/>
  <c r="A1494" i="37"/>
  <c r="B1494" i="37"/>
  <c r="A1495" i="37"/>
  <c r="B1495" i="37"/>
  <c r="A1496" i="37"/>
  <c r="B1496" i="37"/>
  <c r="A1497" i="37"/>
  <c r="B1497" i="37"/>
  <c r="A1498" i="37"/>
  <c r="B1498" i="37"/>
  <c r="A1499" i="37"/>
  <c r="B1499" i="37"/>
  <c r="A1500" i="37"/>
  <c r="B1500" i="37"/>
  <c r="A1501" i="37"/>
  <c r="B1501" i="37"/>
  <c r="A1502" i="37"/>
  <c r="B1502" i="37"/>
  <c r="A1503" i="37"/>
  <c r="B1503" i="37"/>
  <c r="A1504" i="37"/>
  <c r="B1504" i="37"/>
  <c r="A1505" i="37"/>
  <c r="B1505" i="37"/>
  <c r="A1506" i="37"/>
  <c r="B1506" i="37"/>
  <c r="A1507" i="37"/>
  <c r="B1507" i="37"/>
  <c r="A1508" i="37"/>
  <c r="B1508" i="37"/>
  <c r="A1509" i="37"/>
  <c r="B1509" i="37"/>
  <c r="A1510" i="37"/>
  <c r="B1510" i="37"/>
  <c r="A1511" i="37"/>
  <c r="B1511" i="37"/>
  <c r="A1512" i="37"/>
  <c r="B1512" i="37"/>
  <c r="A1513" i="37"/>
  <c r="B1513" i="37"/>
  <c r="A1514" i="37"/>
  <c r="B1514" i="37"/>
  <c r="A1515" i="37"/>
  <c r="B1515" i="37"/>
  <c r="A1516" i="37"/>
  <c r="B1516" i="37"/>
  <c r="A1517" i="37"/>
  <c r="B1517" i="37"/>
  <c r="A1518" i="37"/>
  <c r="B1518" i="37"/>
  <c r="A1519" i="37"/>
  <c r="B1519" i="37"/>
  <c r="A1520" i="37"/>
  <c r="B1520" i="37"/>
  <c r="A1521" i="37"/>
  <c r="B1521" i="37"/>
  <c r="A1522" i="37"/>
  <c r="B1522" i="37"/>
  <c r="A1523" i="37"/>
  <c r="B1523" i="37"/>
  <c r="A1524" i="37"/>
  <c r="B1524" i="37"/>
  <c r="A1525" i="37"/>
  <c r="B1525" i="37"/>
  <c r="A1526" i="37"/>
  <c r="B1526" i="37"/>
  <c r="A1527" i="37"/>
  <c r="B1527" i="37"/>
  <c r="A1528" i="37"/>
  <c r="B1528" i="37"/>
  <c r="A1529" i="37"/>
  <c r="B1529" i="37"/>
  <c r="A1530" i="37"/>
  <c r="B1530" i="37"/>
  <c r="A1531" i="37"/>
  <c r="B1531" i="37"/>
  <c r="A1532" i="37"/>
  <c r="B1532" i="37"/>
  <c r="A1533" i="37"/>
  <c r="B1533" i="37"/>
  <c r="A1534" i="37"/>
  <c r="B1534" i="37"/>
  <c r="A1535" i="37"/>
  <c r="B1535" i="37"/>
  <c r="A1536" i="37"/>
  <c r="B1536" i="37"/>
  <c r="A1537" i="37"/>
  <c r="B1537" i="37"/>
  <c r="A1538" i="37"/>
  <c r="B1538" i="37"/>
  <c r="A1539" i="37"/>
  <c r="B1539" i="37"/>
  <c r="A1540" i="37"/>
  <c r="B1540" i="37"/>
  <c r="A1541" i="37"/>
  <c r="B1541" i="37"/>
  <c r="A1542" i="37"/>
  <c r="B1542" i="37"/>
  <c r="A1543" i="37"/>
  <c r="B1543" i="37"/>
  <c r="A1544" i="37"/>
  <c r="B1544" i="37"/>
  <c r="A1545" i="37"/>
  <c r="B1545" i="37"/>
  <c r="A1546" i="37"/>
  <c r="B1546" i="37"/>
  <c r="A1547" i="37"/>
  <c r="B1547" i="37"/>
  <c r="A1548" i="37"/>
  <c r="B1548" i="37"/>
  <c r="A1549" i="37"/>
  <c r="B1549" i="37"/>
  <c r="A1550" i="37"/>
  <c r="B1550" i="37"/>
  <c r="A1551" i="37"/>
  <c r="B1551" i="37"/>
  <c r="A1552" i="37"/>
  <c r="B1552" i="37"/>
  <c r="A1553" i="37"/>
  <c r="B1553" i="37"/>
  <c r="A1554" i="37"/>
  <c r="B1554" i="37"/>
  <c r="A1555" i="37"/>
  <c r="B1555" i="37"/>
  <c r="A1556" i="37"/>
  <c r="B1556" i="37"/>
  <c r="A1557" i="37"/>
  <c r="B1557" i="37"/>
  <c r="A1558" i="37"/>
  <c r="B1558" i="37"/>
  <c r="A1559" i="37"/>
  <c r="B1559" i="37"/>
  <c r="A1560" i="37"/>
  <c r="B1560" i="37"/>
  <c r="A1561" i="37"/>
  <c r="B1561" i="37"/>
  <c r="A1562" i="37"/>
  <c r="B1562" i="37"/>
  <c r="A1563" i="37"/>
  <c r="B1563" i="37"/>
  <c r="A1564" i="37"/>
  <c r="B1564" i="37"/>
  <c r="A1565" i="37"/>
  <c r="B1565" i="37"/>
  <c r="A1566" i="37"/>
  <c r="B1566" i="37"/>
  <c r="A1567" i="37"/>
  <c r="B1567" i="37"/>
  <c r="A1568" i="37"/>
  <c r="B1568" i="37"/>
  <c r="A1569" i="37"/>
  <c r="B1569" i="37"/>
  <c r="A1570" i="37"/>
  <c r="B1570" i="37"/>
  <c r="A1571" i="37"/>
  <c r="B1571" i="37"/>
  <c r="A1572" i="37"/>
  <c r="B1572" i="37"/>
  <c r="A1573" i="37"/>
  <c r="B1573" i="37"/>
  <c r="A1574" i="37"/>
  <c r="B1574" i="37"/>
  <c r="A1575" i="37"/>
  <c r="B1575" i="37"/>
  <c r="A1576" i="37"/>
  <c r="B1576" i="37"/>
  <c r="A1577" i="37"/>
  <c r="B1577" i="37"/>
  <c r="A1578" i="37"/>
  <c r="B1578" i="37"/>
  <c r="A1579" i="37"/>
  <c r="B1579" i="37"/>
  <c r="A1580" i="37"/>
  <c r="B1580" i="37"/>
  <c r="A1581" i="37"/>
  <c r="B1581" i="37"/>
  <c r="A1582" i="37"/>
  <c r="B1582" i="37"/>
  <c r="A1583" i="37"/>
  <c r="B1583" i="37"/>
  <c r="A1584" i="37"/>
  <c r="B1584" i="37"/>
  <c r="A1585" i="37"/>
  <c r="B1585" i="37"/>
  <c r="A1586" i="37"/>
  <c r="B1586" i="37"/>
  <c r="A1587" i="37"/>
  <c r="B1587" i="37"/>
  <c r="A1588" i="37"/>
  <c r="B1588" i="37"/>
  <c r="A1589" i="37"/>
  <c r="B1589" i="37"/>
  <c r="A1590" i="37"/>
  <c r="B1590" i="37"/>
  <c r="A1591" i="37"/>
  <c r="B1591" i="37"/>
  <c r="A1592" i="37"/>
  <c r="B1592" i="37"/>
  <c r="A1593" i="37"/>
  <c r="B1593" i="37"/>
  <c r="A1594" i="37"/>
  <c r="B1594" i="37"/>
  <c r="A1595" i="37"/>
  <c r="B1595" i="37"/>
  <c r="A1596" i="37"/>
  <c r="B1596" i="37"/>
  <c r="A1597" i="37"/>
  <c r="B1597" i="37"/>
  <c r="A1598" i="37"/>
  <c r="B1598" i="37"/>
  <c r="A1599" i="37"/>
  <c r="B1599" i="37"/>
  <c r="A1600" i="37"/>
  <c r="B1600" i="37"/>
  <c r="A1601" i="37"/>
  <c r="B1601" i="37"/>
  <c r="A1602" i="37"/>
  <c r="B1602" i="37"/>
  <c r="A1603" i="37"/>
  <c r="B1603" i="37"/>
  <c r="A1604" i="37"/>
  <c r="B1604" i="37"/>
  <c r="A1605" i="37"/>
  <c r="B1605" i="37"/>
  <c r="A1606" i="37"/>
  <c r="B1606" i="37"/>
  <c r="A1607" i="37"/>
  <c r="B1607" i="37"/>
  <c r="A1608" i="37"/>
  <c r="B1608" i="37"/>
  <c r="A1609" i="37"/>
  <c r="B1609" i="37"/>
  <c r="A1610" i="37"/>
  <c r="B1610" i="37"/>
  <c r="A1611" i="37"/>
  <c r="B1611" i="37"/>
  <c r="A1612" i="37"/>
  <c r="B1612" i="37"/>
  <c r="A1613" i="37"/>
  <c r="B1613" i="37"/>
  <c r="A1614" i="37"/>
  <c r="B1614" i="37"/>
  <c r="A1615" i="37"/>
  <c r="B1615" i="37"/>
  <c r="A1616" i="37"/>
  <c r="B1616" i="37"/>
  <c r="A1617" i="37"/>
  <c r="B1617" i="37"/>
  <c r="A1618" i="37"/>
  <c r="B1618" i="37"/>
  <c r="A1619" i="37"/>
  <c r="B1619" i="37"/>
  <c r="A1620" i="37"/>
  <c r="B1620" i="37"/>
  <c r="A1621" i="37"/>
  <c r="B1621" i="37"/>
  <c r="A1622" i="37"/>
  <c r="B1622" i="37"/>
  <c r="A1623" i="37"/>
  <c r="B1623" i="37"/>
  <c r="A1624" i="37"/>
  <c r="B1624" i="37"/>
  <c r="A1625" i="37"/>
  <c r="B1625" i="37"/>
  <c r="A1626" i="37"/>
  <c r="B1626" i="37"/>
  <c r="A1627" i="37"/>
  <c r="B1627" i="37"/>
  <c r="A1628" i="37"/>
  <c r="B1628" i="37"/>
  <c r="A1629" i="37"/>
  <c r="B1629" i="37"/>
  <c r="A1630" i="37"/>
  <c r="B1630" i="37"/>
  <c r="A1631" i="37"/>
  <c r="B1631" i="37"/>
  <c r="A1632" i="37"/>
  <c r="B1632" i="37"/>
  <c r="A1633" i="37"/>
  <c r="B1633" i="37"/>
  <c r="A1634" i="37"/>
  <c r="B1634" i="37"/>
  <c r="A1635" i="37"/>
  <c r="B1635" i="37"/>
  <c r="A1636" i="37"/>
  <c r="B1636" i="37"/>
  <c r="A1637" i="37"/>
  <c r="B1637" i="37"/>
  <c r="A1638" i="37"/>
  <c r="B1638" i="37"/>
  <c r="A1639" i="37"/>
  <c r="B1639" i="37"/>
  <c r="A1640" i="37"/>
  <c r="B1640" i="37"/>
  <c r="A1641" i="37"/>
  <c r="B1641" i="37"/>
  <c r="A1642" i="37"/>
  <c r="B1642" i="37"/>
  <c r="A1643" i="37"/>
  <c r="B1643" i="37"/>
  <c r="A1644" i="37"/>
  <c r="B1644" i="37"/>
  <c r="A1645" i="37"/>
  <c r="B1645" i="37"/>
  <c r="A1646" i="37"/>
  <c r="B1646" i="37"/>
  <c r="A1647" i="37"/>
  <c r="B1647" i="37"/>
  <c r="A1648" i="37"/>
  <c r="B1648" i="37"/>
  <c r="A1649" i="37"/>
  <c r="B1649" i="37"/>
  <c r="A1650" i="37"/>
  <c r="B1650" i="37"/>
  <c r="A1651" i="37"/>
  <c r="B1651" i="37"/>
  <c r="A1652" i="37"/>
  <c r="B1652" i="37"/>
  <c r="A1653" i="37"/>
  <c r="B1653" i="37"/>
  <c r="A1654" i="37"/>
  <c r="B1654" i="37"/>
  <c r="A1655" i="37"/>
  <c r="B1655" i="37"/>
  <c r="A1656" i="37"/>
  <c r="B1656" i="37"/>
  <c r="A1657" i="37"/>
  <c r="B1657" i="37"/>
  <c r="A1658" i="37"/>
  <c r="B1658" i="37"/>
  <c r="A1659" i="37"/>
  <c r="B1659" i="37"/>
  <c r="A1660" i="37"/>
  <c r="B1660" i="37"/>
  <c r="A1661" i="37"/>
  <c r="B1661" i="37"/>
  <c r="A1662" i="37"/>
  <c r="B1662" i="37"/>
  <c r="A1663" i="37"/>
  <c r="B1663" i="37"/>
  <c r="A1664" i="37"/>
  <c r="B1664" i="37"/>
  <c r="A1665" i="37"/>
  <c r="B1665" i="37"/>
  <c r="A1666" i="37"/>
  <c r="B1666" i="37"/>
  <c r="A1667" i="37"/>
  <c r="B1667" i="37"/>
  <c r="A1668" i="37"/>
  <c r="B1668" i="37"/>
  <c r="A1669" i="37"/>
  <c r="B1669" i="37"/>
  <c r="A1670" i="37"/>
  <c r="B1670" i="37"/>
  <c r="A1671" i="37"/>
  <c r="B1671" i="37"/>
  <c r="A1672" i="37"/>
  <c r="B1672" i="37"/>
  <c r="A1673" i="37"/>
  <c r="B1673" i="37"/>
  <c r="A1674" i="37"/>
  <c r="B1674" i="37"/>
  <c r="A1675" i="37"/>
  <c r="B1675" i="37"/>
  <c r="A1676" i="37"/>
  <c r="B1676" i="37"/>
  <c r="A1677" i="37"/>
  <c r="B1677" i="37"/>
  <c r="A1678" i="37"/>
  <c r="B1678" i="37"/>
  <c r="A1679" i="37"/>
  <c r="B1679" i="37"/>
  <c r="A1680" i="37"/>
  <c r="B1680" i="37"/>
  <c r="A1681" i="37"/>
  <c r="B1681" i="37"/>
  <c r="A1682" i="37"/>
  <c r="B1682" i="37"/>
  <c r="A1683" i="37"/>
  <c r="B1683" i="37"/>
  <c r="A1684" i="37"/>
  <c r="B1684" i="37"/>
  <c r="A1685" i="37"/>
  <c r="B1685" i="37"/>
  <c r="A1686" i="37"/>
  <c r="B1686" i="37"/>
  <c r="A1687" i="37"/>
  <c r="B1687" i="37"/>
  <c r="A1688" i="37"/>
  <c r="B1688" i="37"/>
  <c r="A1689" i="37"/>
  <c r="B1689" i="37"/>
  <c r="A1690" i="37"/>
  <c r="B1690" i="37"/>
  <c r="A1691" i="37"/>
  <c r="B1691" i="37"/>
  <c r="A1692" i="37"/>
  <c r="B1692" i="37"/>
  <c r="A1693" i="37"/>
  <c r="B1693" i="37"/>
  <c r="A1694" i="37"/>
  <c r="B1694" i="37"/>
  <c r="A1695" i="37"/>
  <c r="B1695" i="37"/>
  <c r="A1696" i="37"/>
  <c r="B1696" i="37"/>
  <c r="A1697" i="37"/>
  <c r="B1697" i="37"/>
  <c r="A1698" i="37"/>
  <c r="B1698" i="37"/>
  <c r="A1699" i="37"/>
  <c r="B1699" i="37"/>
  <c r="A1700" i="37"/>
  <c r="B1700" i="37"/>
  <c r="A1701" i="37"/>
  <c r="B1701" i="37"/>
  <c r="A1702" i="37"/>
  <c r="B1702" i="37"/>
  <c r="A1703" i="37"/>
  <c r="B1703" i="37"/>
  <c r="A1704" i="37"/>
  <c r="B1704" i="37"/>
  <c r="A1705" i="37"/>
  <c r="B1705" i="37"/>
  <c r="A1706" i="37"/>
  <c r="B1706" i="37"/>
  <c r="A1707" i="37"/>
  <c r="B1707" i="37"/>
  <c r="A1708" i="37"/>
  <c r="B1708" i="37"/>
  <c r="A1709" i="37"/>
  <c r="B1709" i="37"/>
  <c r="A1710" i="37"/>
  <c r="B1710" i="37"/>
  <c r="A1711" i="37"/>
  <c r="B1711" i="37"/>
  <c r="B1011" i="36"/>
  <c r="B1012" i="36"/>
  <c r="B1013" i="36"/>
  <c r="B1014" i="36"/>
  <c r="B1015" i="36"/>
  <c r="B1016" i="36"/>
  <c r="B1017" i="36"/>
  <c r="B1018" i="36"/>
  <c r="B1019" i="36"/>
  <c r="B1020" i="36"/>
  <c r="B1021" i="36"/>
  <c r="B1022" i="36"/>
  <c r="B1023" i="36"/>
  <c r="B1024" i="36"/>
  <c r="B1025" i="36"/>
  <c r="B1026" i="36"/>
  <c r="B1027" i="36"/>
  <c r="B1028" i="36"/>
  <c r="B1029" i="36"/>
  <c r="B1030" i="36"/>
  <c r="B1031" i="36"/>
  <c r="B1032" i="36"/>
  <c r="B1033" i="36"/>
  <c r="B1034" i="36"/>
  <c r="B1035" i="36"/>
  <c r="B1036" i="36"/>
  <c r="B1037" i="36"/>
  <c r="B1038" i="36"/>
  <c r="B1039" i="36"/>
  <c r="B1040" i="36"/>
  <c r="B1041" i="36"/>
  <c r="B1042" i="36"/>
  <c r="B1043" i="36"/>
  <c r="B1044" i="36"/>
  <c r="B1045" i="36"/>
  <c r="B1046" i="36"/>
  <c r="B1047" i="36"/>
  <c r="B1048" i="36"/>
  <c r="B1049" i="36"/>
  <c r="B1050" i="36"/>
  <c r="B1051" i="36"/>
  <c r="B1052" i="36"/>
  <c r="B1053" i="36"/>
  <c r="B1054" i="36"/>
  <c r="B1055" i="36"/>
  <c r="B1056" i="36"/>
  <c r="B1057" i="36"/>
  <c r="B1058" i="36"/>
  <c r="B1059" i="36"/>
  <c r="B1060" i="36"/>
  <c r="B1061" i="36"/>
  <c r="B1062" i="36"/>
  <c r="B1063" i="36"/>
  <c r="B1064" i="36"/>
  <c r="B1065" i="36"/>
  <c r="B1066" i="36"/>
  <c r="B1067" i="36"/>
  <c r="B1068" i="36"/>
  <c r="B1069" i="36"/>
  <c r="B1070" i="36"/>
  <c r="B1071" i="36"/>
  <c r="B1072" i="36"/>
  <c r="B1073" i="36"/>
  <c r="B1074" i="36"/>
  <c r="B1075" i="36"/>
  <c r="B1076" i="36"/>
  <c r="B1077" i="36"/>
  <c r="B1078" i="36"/>
  <c r="B1079" i="36"/>
  <c r="B1080" i="36"/>
  <c r="B1081" i="36"/>
  <c r="B1082" i="36"/>
  <c r="B1083" i="36"/>
  <c r="B1084" i="36"/>
  <c r="B1085" i="36"/>
  <c r="B1086" i="36"/>
  <c r="B1087" i="36"/>
  <c r="B1088" i="36"/>
  <c r="B1089" i="36"/>
  <c r="B1090" i="36"/>
  <c r="B1091" i="36"/>
  <c r="B1092" i="36"/>
  <c r="B1093" i="36"/>
  <c r="B1094" i="36"/>
  <c r="B1095" i="36"/>
  <c r="B1096" i="36"/>
  <c r="B1097" i="36"/>
  <c r="B1098" i="36"/>
  <c r="B1099" i="36"/>
  <c r="B1100" i="36"/>
  <c r="B1101" i="36"/>
  <c r="B1102" i="36"/>
  <c r="B1103" i="36"/>
  <c r="B1104" i="36"/>
  <c r="B1105" i="36"/>
  <c r="B1106" i="36"/>
  <c r="B1107" i="36"/>
  <c r="B1108" i="36"/>
  <c r="B1109" i="36"/>
  <c r="B1110" i="36"/>
  <c r="B1111" i="36"/>
  <c r="B1112" i="36"/>
  <c r="B1113" i="36"/>
  <c r="B1114" i="36"/>
  <c r="B1115" i="36"/>
  <c r="B1116" i="36"/>
  <c r="B1117" i="36"/>
  <c r="B1118" i="36"/>
  <c r="B1119" i="36"/>
  <c r="B1120" i="36"/>
  <c r="B1121" i="36"/>
  <c r="B1122" i="36"/>
  <c r="B1123" i="36"/>
  <c r="B1124" i="36"/>
  <c r="B1125" i="36"/>
  <c r="B1126" i="36"/>
  <c r="B1127" i="36"/>
  <c r="B1128" i="36"/>
  <c r="B1129" i="36"/>
  <c r="B1130" i="36"/>
  <c r="B1131" i="36"/>
  <c r="B1132" i="36"/>
  <c r="B1133" i="36"/>
  <c r="B1134" i="36"/>
  <c r="B1135" i="36"/>
  <c r="B1136" i="36"/>
  <c r="B1137" i="36"/>
  <c r="B1138" i="36"/>
  <c r="B1139" i="36"/>
  <c r="B1140" i="36"/>
  <c r="B1141" i="36"/>
  <c r="B1142" i="36"/>
  <c r="B1143" i="36"/>
  <c r="B1144" i="36"/>
  <c r="B1145" i="36"/>
  <c r="B1146" i="36"/>
  <c r="B1147" i="36"/>
  <c r="B1148" i="36"/>
  <c r="B1149" i="36"/>
  <c r="B1150" i="36"/>
  <c r="B1151" i="36"/>
  <c r="B1152" i="36"/>
  <c r="B1153" i="36"/>
  <c r="B1154" i="36"/>
  <c r="B1155" i="36"/>
  <c r="B1156" i="36"/>
  <c r="B1157" i="36"/>
  <c r="B1158" i="36"/>
  <c r="B1159" i="36"/>
  <c r="B1160" i="36"/>
  <c r="B1161" i="36"/>
  <c r="B1162" i="36"/>
  <c r="B1163" i="36"/>
  <c r="B1164" i="36"/>
  <c r="B1165" i="36"/>
  <c r="B1166" i="36"/>
  <c r="B1167" i="36"/>
  <c r="B1168" i="36"/>
  <c r="B1169" i="36"/>
  <c r="B1170" i="36"/>
  <c r="B1171" i="36"/>
  <c r="B1172" i="36"/>
  <c r="B1173" i="36"/>
  <c r="B1174" i="36"/>
  <c r="B1175" i="36"/>
  <c r="B1176" i="36"/>
  <c r="B1177" i="36"/>
  <c r="B1178" i="36"/>
  <c r="B1179" i="36"/>
  <c r="B1180" i="36"/>
  <c r="B1181" i="36"/>
  <c r="B1182" i="36"/>
  <c r="B1183" i="36"/>
  <c r="B1184" i="36"/>
  <c r="B1185" i="36"/>
  <c r="B1186" i="36"/>
  <c r="B1187" i="36"/>
  <c r="B1188" i="36"/>
  <c r="B1189" i="36"/>
  <c r="B1190" i="36"/>
  <c r="B1191" i="36"/>
  <c r="B1192" i="36"/>
  <c r="B1193" i="36"/>
  <c r="B1194" i="36"/>
  <c r="B1195" i="36"/>
  <c r="B1196" i="36"/>
  <c r="B1197" i="36"/>
  <c r="B1198" i="36"/>
  <c r="B1199" i="36"/>
  <c r="B1200" i="36"/>
  <c r="B1201" i="36"/>
  <c r="B1202" i="36"/>
  <c r="B1203" i="36"/>
  <c r="B1204" i="36"/>
  <c r="B1205" i="36"/>
  <c r="B1206" i="36"/>
  <c r="B1207" i="36"/>
  <c r="B1208" i="36"/>
  <c r="B1209" i="36"/>
  <c r="B1210" i="36"/>
  <c r="B1211" i="36"/>
  <c r="B1212" i="36"/>
  <c r="B1213" i="36"/>
  <c r="B1214" i="36"/>
  <c r="B1215" i="36"/>
  <c r="B1216" i="36"/>
  <c r="B1217" i="36"/>
  <c r="B1218" i="36"/>
  <c r="B1219" i="36"/>
  <c r="B1220" i="36"/>
  <c r="B1221" i="36"/>
  <c r="B1222" i="36"/>
  <c r="B1223" i="36"/>
  <c r="B1224" i="36"/>
  <c r="B1225" i="36"/>
  <c r="B1226" i="36"/>
  <c r="B1227" i="36"/>
  <c r="B1228" i="36"/>
  <c r="B1229" i="36"/>
  <c r="B1230" i="36"/>
  <c r="B1231" i="36"/>
  <c r="B1232" i="36"/>
  <c r="B1233" i="36"/>
  <c r="B1234" i="36"/>
  <c r="B1235" i="36"/>
  <c r="B1236" i="36"/>
  <c r="B1237" i="36"/>
  <c r="B1238" i="36"/>
  <c r="B1239" i="36"/>
  <c r="B1240" i="36"/>
  <c r="B1241" i="36"/>
  <c r="B1242" i="36"/>
  <c r="B1243" i="36"/>
  <c r="B1244" i="36"/>
  <c r="B1245" i="36"/>
  <c r="B1246" i="36"/>
  <c r="B1247" i="36"/>
  <c r="B1248" i="36"/>
  <c r="B1249" i="36"/>
  <c r="B1250" i="36"/>
  <c r="B1251" i="36"/>
  <c r="B1252" i="36"/>
  <c r="B1253" i="36"/>
  <c r="B1254" i="36"/>
  <c r="B1255" i="36"/>
  <c r="B1256" i="36"/>
  <c r="B1257" i="36"/>
  <c r="B1258" i="36"/>
  <c r="B1259" i="36"/>
  <c r="B1260" i="36"/>
  <c r="B1261" i="36"/>
  <c r="B1262" i="36"/>
  <c r="B1263" i="36"/>
  <c r="B1264" i="36"/>
  <c r="B1265" i="36"/>
  <c r="B1266" i="36"/>
  <c r="B1267" i="36"/>
  <c r="B1268" i="36"/>
  <c r="B1269" i="36"/>
  <c r="B1270" i="36"/>
  <c r="B1271" i="36"/>
  <c r="B1272" i="36"/>
  <c r="B1273" i="36"/>
  <c r="B1274" i="36"/>
  <c r="B1275" i="36"/>
  <c r="B1276" i="36"/>
  <c r="B1277" i="36"/>
  <c r="B1278" i="36"/>
  <c r="B1279" i="36"/>
  <c r="B1280" i="36"/>
  <c r="B1281" i="36"/>
  <c r="B1282" i="36"/>
  <c r="B1283" i="36"/>
  <c r="B1284" i="36"/>
  <c r="B1285" i="36"/>
  <c r="B1286" i="36"/>
  <c r="B1287" i="36"/>
  <c r="B1288" i="36"/>
  <c r="B1289" i="36"/>
  <c r="B1290" i="36"/>
  <c r="B1291" i="36"/>
  <c r="B1292" i="36"/>
  <c r="B1293" i="36"/>
  <c r="B1294" i="36"/>
  <c r="B1295" i="36"/>
  <c r="B1296" i="36"/>
  <c r="B1297" i="36"/>
  <c r="B1298" i="36"/>
  <c r="B1299" i="36"/>
  <c r="B1300" i="36"/>
  <c r="B1301" i="36"/>
  <c r="B1302" i="36"/>
  <c r="B1303" i="36"/>
  <c r="B1304" i="36"/>
  <c r="B1305" i="36"/>
  <c r="B1306" i="36"/>
  <c r="B1307" i="36"/>
  <c r="B1308" i="36"/>
  <c r="B1309" i="36"/>
  <c r="B1310" i="36"/>
  <c r="B1311" i="36"/>
  <c r="B1312" i="36"/>
  <c r="B1313" i="36"/>
  <c r="B1314" i="36"/>
  <c r="B1315" i="36"/>
  <c r="B1316" i="36"/>
  <c r="B1317" i="36"/>
  <c r="B1318" i="36"/>
  <c r="B1319" i="36"/>
  <c r="B1320" i="36"/>
  <c r="B1321" i="36"/>
  <c r="B1322" i="36"/>
  <c r="B1323" i="36"/>
  <c r="B1324" i="36"/>
  <c r="B1325" i="36"/>
  <c r="B1326" i="36"/>
  <c r="B1327" i="36"/>
  <c r="B1328" i="36"/>
  <c r="B1329" i="36"/>
  <c r="B1330" i="36"/>
  <c r="B1331" i="36"/>
  <c r="B1332" i="36"/>
  <c r="B1333" i="36"/>
  <c r="B1334" i="36"/>
  <c r="B1335" i="36"/>
  <c r="B1336" i="36"/>
  <c r="B1337" i="36"/>
  <c r="B1338" i="36"/>
  <c r="B1339" i="36"/>
  <c r="B1340" i="36"/>
  <c r="B1341" i="36"/>
  <c r="B1342" i="36"/>
  <c r="B1343" i="36"/>
  <c r="B1344" i="36"/>
  <c r="B1345" i="36"/>
  <c r="B1346" i="36"/>
  <c r="B1347" i="36"/>
  <c r="B1348" i="36"/>
  <c r="B1349" i="36"/>
  <c r="B1350" i="36"/>
  <c r="B1351" i="36"/>
  <c r="B1352" i="36"/>
  <c r="B1353" i="36"/>
  <c r="B1354" i="36"/>
  <c r="B1355" i="36"/>
  <c r="B1356" i="36"/>
  <c r="B1357" i="36"/>
  <c r="B1358" i="36"/>
  <c r="B1359" i="36"/>
  <c r="B1360" i="36"/>
  <c r="B1361" i="36"/>
  <c r="B1362" i="36"/>
  <c r="B1363" i="36"/>
  <c r="B1364" i="36"/>
  <c r="B1365" i="36"/>
  <c r="B1366" i="36"/>
  <c r="B1367" i="36"/>
  <c r="B1368" i="36"/>
  <c r="B1369" i="36"/>
  <c r="B1370" i="36"/>
  <c r="B1371" i="36"/>
  <c r="B1372" i="36"/>
  <c r="B1373" i="36"/>
  <c r="B1374" i="36"/>
  <c r="B1375" i="36"/>
  <c r="B1376" i="36"/>
  <c r="B1377" i="36"/>
  <c r="B1378" i="36"/>
  <c r="B1379" i="36"/>
  <c r="B1380" i="36"/>
  <c r="B1381" i="36"/>
  <c r="B1382" i="36"/>
  <c r="B1383" i="36"/>
  <c r="B1384" i="36"/>
  <c r="B1385" i="36"/>
  <c r="B1386" i="36"/>
  <c r="B1387" i="36"/>
  <c r="B1388" i="36"/>
  <c r="B1389" i="36"/>
  <c r="B1390" i="36"/>
  <c r="B1391" i="36"/>
  <c r="B1392" i="36"/>
  <c r="B1393" i="36"/>
  <c r="B1394" i="36"/>
  <c r="B1395" i="36"/>
  <c r="B1396" i="36"/>
  <c r="B1397" i="36"/>
  <c r="B1398" i="36"/>
  <c r="B1399" i="36"/>
  <c r="B1400" i="36"/>
  <c r="B1401" i="36"/>
  <c r="B1402" i="36"/>
  <c r="B1403" i="36"/>
  <c r="B1404" i="36"/>
  <c r="B1405" i="36"/>
  <c r="B1406" i="36"/>
  <c r="B1407" i="36"/>
  <c r="B1408" i="36"/>
  <c r="B1409" i="36"/>
  <c r="B1410" i="36"/>
  <c r="B1411" i="36"/>
  <c r="B1412" i="36"/>
  <c r="B1413" i="36"/>
  <c r="B1414" i="36"/>
  <c r="B1415" i="36"/>
  <c r="B1416" i="36"/>
  <c r="B1417" i="36"/>
  <c r="B1418" i="36"/>
  <c r="B1419" i="36"/>
  <c r="B1420" i="36"/>
  <c r="B1421" i="36"/>
  <c r="B1422" i="36"/>
  <c r="B1423" i="36"/>
  <c r="B1424" i="36"/>
  <c r="B1425" i="36"/>
  <c r="B1426" i="36"/>
  <c r="B1427" i="36"/>
  <c r="B1428" i="36"/>
  <c r="B1429" i="36"/>
  <c r="B1430" i="36"/>
  <c r="B1431" i="36"/>
  <c r="B1432" i="36"/>
  <c r="B1433" i="36"/>
  <c r="B1434" i="36"/>
  <c r="B1435" i="36"/>
  <c r="B1436" i="36"/>
  <c r="B1437" i="36"/>
  <c r="B1438" i="36"/>
  <c r="B1439" i="36"/>
  <c r="B1440" i="36"/>
  <c r="B1441" i="36"/>
  <c r="B1442" i="36"/>
  <c r="B1443" i="36"/>
  <c r="B1444" i="36"/>
  <c r="B1445" i="36"/>
  <c r="B1446" i="36"/>
  <c r="B1447" i="36"/>
  <c r="B1448" i="36"/>
  <c r="B1449" i="36"/>
  <c r="B1450" i="36"/>
  <c r="B1451" i="36"/>
  <c r="B1452" i="36"/>
  <c r="B1453" i="36"/>
  <c r="B1454" i="36"/>
  <c r="B1455" i="36"/>
  <c r="B1456" i="36"/>
  <c r="B1457" i="36"/>
  <c r="B1458" i="36"/>
  <c r="B1459" i="36"/>
  <c r="B1460" i="36"/>
  <c r="B1461" i="36"/>
  <c r="B1462" i="36"/>
  <c r="B1463" i="36"/>
  <c r="B1464" i="36"/>
  <c r="B1465" i="36"/>
  <c r="B1466" i="36"/>
  <c r="B1467" i="36"/>
  <c r="B1468" i="36"/>
  <c r="B1469" i="36"/>
  <c r="B1470" i="36"/>
  <c r="B1471" i="36"/>
  <c r="B1472" i="36"/>
  <c r="B1473" i="36"/>
  <c r="B1474" i="36"/>
  <c r="B1475" i="36"/>
  <c r="B1476" i="36"/>
  <c r="B1477" i="36"/>
  <c r="B1478" i="36"/>
  <c r="B1479" i="36"/>
  <c r="B1480" i="36"/>
  <c r="B1481" i="36"/>
  <c r="B1482" i="36"/>
  <c r="B1483" i="36"/>
  <c r="B1484" i="36"/>
  <c r="B1485" i="36"/>
  <c r="B1486" i="36"/>
  <c r="B1487" i="36"/>
  <c r="B1488" i="36"/>
  <c r="B1489" i="36"/>
  <c r="B1490" i="36"/>
  <c r="B1491" i="36"/>
  <c r="B1492" i="36"/>
  <c r="B1493" i="36"/>
  <c r="B1494" i="36"/>
  <c r="B1495" i="36"/>
  <c r="B1496" i="36"/>
  <c r="B1497" i="36"/>
  <c r="B1498" i="36"/>
  <c r="B1499" i="36"/>
  <c r="B1500" i="36"/>
  <c r="B1501" i="36"/>
  <c r="B1502" i="36"/>
  <c r="B1503" i="36"/>
  <c r="B1504" i="36"/>
  <c r="B1505" i="36"/>
  <c r="B1506" i="36"/>
  <c r="B1507" i="36"/>
  <c r="B1508" i="36"/>
  <c r="B1509" i="36"/>
  <c r="B1510" i="36"/>
  <c r="B1511" i="36"/>
  <c r="B1512" i="36"/>
  <c r="B1513" i="36"/>
  <c r="B1514" i="36"/>
  <c r="B1515" i="36"/>
  <c r="B1516" i="36"/>
  <c r="B1517" i="36"/>
  <c r="B1518" i="36"/>
  <c r="B1519" i="36"/>
  <c r="B1520" i="36"/>
  <c r="B1521" i="36"/>
  <c r="B1522" i="36"/>
  <c r="B1523" i="36"/>
  <c r="B1524" i="36"/>
  <c r="B1525" i="36"/>
  <c r="B1526" i="36"/>
  <c r="B1527" i="36"/>
  <c r="B1528" i="36"/>
  <c r="B1529" i="36"/>
  <c r="B1530" i="36"/>
  <c r="B1531"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B39" i="10" l="1"/>
  <c r="C39" i="10"/>
  <c r="D39" i="10"/>
  <c r="E39" i="10"/>
  <c r="B40" i="10"/>
  <c r="C40" i="10"/>
  <c r="D40" i="10"/>
  <c r="E40" i="10"/>
  <c r="B41" i="10"/>
  <c r="C41" i="10"/>
  <c r="D41" i="10"/>
  <c r="E41" i="10"/>
  <c r="B42" i="10"/>
  <c r="C42" i="10"/>
  <c r="D42" i="10"/>
  <c r="E42" i="10"/>
  <c r="B43" i="10"/>
  <c r="C43" i="10"/>
  <c r="D43" i="10"/>
  <c r="E43" i="10"/>
  <c r="B44" i="10"/>
  <c r="C44" i="10"/>
  <c r="D44" i="10"/>
  <c r="E44" i="10"/>
  <c r="B45" i="10"/>
  <c r="C45" i="10"/>
  <c r="D45" i="10"/>
  <c r="E45" i="10"/>
  <c r="B46" i="10"/>
  <c r="C46" i="10"/>
  <c r="D46" i="10"/>
  <c r="E46" i="10"/>
  <c r="B47" i="10"/>
  <c r="C47" i="10"/>
  <c r="D47" i="10"/>
  <c r="E47" i="10"/>
  <c r="B48" i="10"/>
  <c r="C48" i="10"/>
  <c r="D48" i="10"/>
  <c r="E48" i="10"/>
  <c r="B49" i="10"/>
  <c r="C49" i="10"/>
  <c r="D49" i="10"/>
  <c r="E49" i="10"/>
  <c r="B50" i="10"/>
  <c r="C50" i="10"/>
  <c r="D50" i="10"/>
  <c r="E50" i="10"/>
  <c r="B51" i="10"/>
  <c r="C51" i="10"/>
  <c r="D51" i="10"/>
  <c r="E51" i="10"/>
  <c r="B52" i="10"/>
  <c r="C52" i="10"/>
  <c r="D52" i="10"/>
  <c r="E52" i="10"/>
  <c r="B53" i="10"/>
  <c r="C53" i="10"/>
  <c r="D53" i="10"/>
  <c r="E53" i="10"/>
  <c r="B54" i="10"/>
  <c r="C54" i="10"/>
  <c r="D54" i="10"/>
  <c r="E54" i="10"/>
  <c r="B55" i="10"/>
  <c r="C55" i="10"/>
  <c r="D55" i="10"/>
  <c r="E55" i="10"/>
  <c r="B56" i="10"/>
  <c r="C56" i="10"/>
  <c r="D56" i="10"/>
  <c r="E56" i="10"/>
  <c r="B57" i="10"/>
  <c r="C57" i="10"/>
  <c r="D57" i="10"/>
  <c r="E57" i="10"/>
  <c r="C38" i="10"/>
  <c r="D38" i="10"/>
  <c r="E38" i="10"/>
  <c r="B38" i="10"/>
  <c r="C56" i="33"/>
  <c r="G56" i="33"/>
  <c r="K56" i="33"/>
  <c r="I56" i="33"/>
  <c r="F56" i="33"/>
  <c r="D56" i="33"/>
  <c r="H56" i="33"/>
  <c r="L56" i="33"/>
  <c r="E56" i="33"/>
  <c r="M56" i="33"/>
  <c r="J56" i="33"/>
  <c r="B56" i="33"/>
  <c r="A7" i="10" l="1"/>
  <c r="A8" i="10"/>
  <c r="A9" i="10"/>
  <c r="A10" i="10"/>
  <c r="A11" i="10"/>
  <c r="A12" i="10"/>
  <c r="A13" i="10"/>
  <c r="A14" i="10"/>
  <c r="A7" i="22" s="1"/>
  <c r="A15" i="10"/>
  <c r="A8" i="22" s="1"/>
  <c r="A16" i="10"/>
  <c r="A9" i="22" s="1"/>
  <c r="A17" i="10"/>
  <c r="A10" i="22" s="1"/>
  <c r="A18" i="10"/>
  <c r="A11" i="22" s="1"/>
  <c r="A19" i="10"/>
  <c r="A12" i="22" s="1"/>
  <c r="A20" i="10"/>
  <c r="A13" i="22" s="1"/>
  <c r="A21" i="10"/>
  <c r="A14" i="22" s="1"/>
  <c r="A22" i="10"/>
  <c r="A15" i="22" s="1"/>
  <c r="A23" i="10"/>
  <c r="A16" i="22" s="1"/>
  <c r="A24" i="10"/>
  <c r="A17" i="22" s="1"/>
  <c r="A25" i="10"/>
  <c r="A18" i="22" s="1"/>
  <c r="A26" i="10"/>
  <c r="A19" i="22" s="1"/>
  <c r="A27" i="10"/>
  <c r="A20" i="22" s="1"/>
  <c r="A28" i="10"/>
  <c r="A21" i="22" s="1"/>
  <c r="A29" i="10"/>
  <c r="A22" i="22" s="1"/>
  <c r="A30" i="10"/>
  <c r="A23" i="22" s="1"/>
  <c r="A31" i="10"/>
  <c r="A24" i="22" s="1"/>
  <c r="A32" i="10"/>
  <c r="A25" i="22" s="1"/>
  <c r="A33" i="10"/>
  <c r="A26" i="22" s="1"/>
  <c r="A34" i="10"/>
  <c r="A35" i="10"/>
  <c r="A36" i="10"/>
  <c r="A37" i="10"/>
  <c r="A38" i="10"/>
  <c r="A39" i="10"/>
  <c r="A40" i="10"/>
  <c r="A41" i="10"/>
  <c r="A42" i="10"/>
  <c r="A43" i="10"/>
  <c r="A44" i="10"/>
  <c r="A45" i="10"/>
  <c r="A46" i="10"/>
  <c r="A47" i="10"/>
  <c r="A48" i="10"/>
  <c r="A49" i="10"/>
  <c r="A50" i="10"/>
  <c r="A51" i="10"/>
  <c r="A52" i="10"/>
  <c r="A53" i="10"/>
  <c r="A54" i="10"/>
  <c r="A55" i="10"/>
  <c r="A56" i="10"/>
  <c r="A57" i="10"/>
  <c r="B2" i="37" l="1"/>
  <c r="B3" i="37"/>
  <c r="B4" i="37"/>
  <c r="B5" i="37"/>
  <c r="B6" i="37"/>
  <c r="B7" i="37"/>
  <c r="B8" i="37"/>
  <c r="B9" i="37"/>
  <c r="B10" i="37"/>
  <c r="B11" i="37"/>
  <c r="B12" i="37"/>
  <c r="B13" i="37"/>
  <c r="B14" i="37"/>
  <c r="B15" i="37"/>
  <c r="B16" i="37"/>
  <c r="B17" i="37"/>
  <c r="B18" i="37"/>
  <c r="B19" i="37"/>
  <c r="B20" i="37"/>
  <c r="B21" i="37"/>
  <c r="B22" i="37"/>
  <c r="B23" i="37"/>
  <c r="B24" i="37"/>
  <c r="B25" i="37"/>
  <c r="B26" i="37"/>
  <c r="B27" i="37"/>
  <c r="B28" i="37"/>
  <c r="B29" i="37"/>
  <c r="B30" i="37"/>
  <c r="B31" i="37"/>
  <c r="B32" i="37"/>
  <c r="B33" i="37"/>
  <c r="B34" i="37"/>
  <c r="B35" i="37"/>
  <c r="B36" i="37"/>
  <c r="B37" i="37"/>
  <c r="B38" i="37"/>
  <c r="B39" i="37"/>
  <c r="B40" i="37"/>
  <c r="B41" i="37"/>
  <c r="B42" i="37"/>
  <c r="B43" i="37"/>
  <c r="B44" i="37"/>
  <c r="B45" i="37"/>
  <c r="B46" i="37"/>
  <c r="B47" i="37"/>
  <c r="B48" i="37"/>
  <c r="B49" i="37"/>
  <c r="B50" i="37"/>
  <c r="B51" i="37"/>
  <c r="B52" i="37"/>
  <c r="B53" i="37"/>
  <c r="B54" i="37"/>
  <c r="B55" i="37"/>
  <c r="B56" i="37"/>
  <c r="B57" i="37"/>
  <c r="B58" i="37"/>
  <c r="B59" i="37"/>
  <c r="B60" i="37"/>
  <c r="B61" i="37"/>
  <c r="B62" i="37"/>
  <c r="B63" i="37"/>
  <c r="B64" i="37"/>
  <c r="B65" i="37"/>
  <c r="B66" i="37"/>
  <c r="B67" i="37"/>
  <c r="B68" i="37"/>
  <c r="B69" i="37"/>
  <c r="B70" i="37"/>
  <c r="B71" i="37"/>
  <c r="B72" i="37"/>
  <c r="B73" i="37"/>
  <c r="B74" i="37"/>
  <c r="B75" i="37"/>
  <c r="B76" i="37"/>
  <c r="B77" i="37"/>
  <c r="B78" i="37"/>
  <c r="B79" i="37"/>
  <c r="B80" i="37"/>
  <c r="B81" i="37"/>
  <c r="B82" i="37"/>
  <c r="B83" i="37"/>
  <c r="B84" i="37"/>
  <c r="B85" i="37"/>
  <c r="B86" i="37"/>
  <c r="B87" i="37"/>
  <c r="B88" i="37"/>
  <c r="B89" i="37"/>
  <c r="B90" i="37"/>
  <c r="B91" i="37"/>
  <c r="B92" i="37"/>
  <c r="B93" i="37"/>
  <c r="B94" i="37"/>
  <c r="B95" i="37"/>
  <c r="B96" i="37"/>
  <c r="B97" i="37"/>
  <c r="B98" i="37"/>
  <c r="B99" i="37"/>
  <c r="B100" i="37"/>
  <c r="B101" i="37"/>
  <c r="B102" i="37"/>
  <c r="B103" i="37"/>
  <c r="B104" i="37"/>
  <c r="B105" i="37"/>
  <c r="B106" i="37"/>
  <c r="B107" i="37"/>
  <c r="B108" i="37"/>
  <c r="B109" i="37"/>
  <c r="B110" i="37"/>
  <c r="B111" i="37"/>
  <c r="B112" i="37"/>
  <c r="B113" i="37"/>
  <c r="B114" i="37"/>
  <c r="B115" i="37"/>
  <c r="B116" i="37"/>
  <c r="B117" i="37"/>
  <c r="B118" i="37"/>
  <c r="B119" i="37"/>
  <c r="B120" i="37"/>
  <c r="B121" i="37"/>
  <c r="B122" i="37"/>
  <c r="B123" i="37"/>
  <c r="B124" i="37"/>
  <c r="B125" i="37"/>
  <c r="B126" i="37"/>
  <c r="B127" i="37"/>
  <c r="B128" i="37"/>
  <c r="B129" i="37"/>
  <c r="B130" i="37"/>
  <c r="B131" i="37"/>
  <c r="B132" i="37"/>
  <c r="B133" i="37"/>
  <c r="B134" i="37"/>
  <c r="B135" i="37"/>
  <c r="B136" i="37"/>
  <c r="B137" i="37"/>
  <c r="B138" i="37"/>
  <c r="B139" i="37"/>
  <c r="B140" i="37"/>
  <c r="B141" i="37"/>
  <c r="B142" i="37"/>
  <c r="B143" i="37"/>
  <c r="B144" i="37"/>
  <c r="B145" i="37"/>
  <c r="B146" i="37"/>
  <c r="B147" i="37"/>
  <c r="B148" i="37"/>
  <c r="B149" i="37"/>
  <c r="B150" i="37"/>
  <c r="B151" i="37"/>
  <c r="B152" i="37"/>
  <c r="B153" i="37"/>
  <c r="B154" i="37"/>
  <c r="B155" i="37"/>
  <c r="B156" i="37"/>
  <c r="B157" i="37"/>
  <c r="B158" i="37"/>
  <c r="B159" i="37"/>
  <c r="B160" i="37"/>
  <c r="B161" i="37"/>
  <c r="B162" i="37"/>
  <c r="B163" i="37"/>
  <c r="B164" i="37"/>
  <c r="B165" i="37"/>
  <c r="B166" i="37"/>
  <c r="B167" i="37"/>
  <c r="B168" i="37"/>
  <c r="B169" i="37"/>
  <c r="B170" i="37"/>
  <c r="B171" i="37"/>
  <c r="B172" i="37"/>
  <c r="B173" i="37"/>
  <c r="B174" i="37"/>
  <c r="B175" i="37"/>
  <c r="B176" i="37"/>
  <c r="B177" i="37"/>
  <c r="B178" i="37"/>
  <c r="B179" i="37"/>
  <c r="B180" i="37"/>
  <c r="B181" i="37"/>
  <c r="B182" i="37"/>
  <c r="B183" i="37"/>
  <c r="B184" i="37"/>
  <c r="B185" i="37"/>
  <c r="B186" i="37"/>
  <c r="B187" i="37"/>
  <c r="B188" i="37"/>
  <c r="B189" i="37"/>
  <c r="B190" i="37"/>
  <c r="B191" i="37"/>
  <c r="B192" i="37"/>
  <c r="B193" i="37"/>
  <c r="B194" i="37"/>
  <c r="B195" i="37"/>
  <c r="B196" i="37"/>
  <c r="B197" i="37"/>
  <c r="B198" i="37"/>
  <c r="B199" i="37"/>
  <c r="B200" i="37"/>
  <c r="B201" i="37"/>
  <c r="B202" i="37"/>
  <c r="B203" i="37"/>
  <c r="B204" i="37"/>
  <c r="B205" i="37"/>
  <c r="B206" i="37"/>
  <c r="B207" i="37"/>
  <c r="B208" i="37"/>
  <c r="B209" i="37"/>
  <c r="B210" i="37"/>
  <c r="B211" i="37"/>
  <c r="B212" i="37"/>
  <c r="B213" i="37"/>
  <c r="B214" i="37"/>
  <c r="B215" i="37"/>
  <c r="B216" i="37"/>
  <c r="B217" i="37"/>
  <c r="B218" i="37"/>
  <c r="B219" i="37"/>
  <c r="B220" i="37"/>
  <c r="B221" i="37"/>
  <c r="B222" i="37"/>
  <c r="B223" i="37"/>
  <c r="B224" i="37"/>
  <c r="B225" i="37"/>
  <c r="B226" i="37"/>
  <c r="B227" i="37"/>
  <c r="B228" i="37"/>
  <c r="B229" i="37"/>
  <c r="B230" i="37"/>
  <c r="B231" i="37"/>
  <c r="B232" i="37"/>
  <c r="B233" i="37"/>
  <c r="B234" i="37"/>
  <c r="B235" i="37"/>
  <c r="B236" i="37"/>
  <c r="B237" i="37"/>
  <c r="B238" i="37"/>
  <c r="B239" i="37"/>
  <c r="B240" i="37"/>
  <c r="B241" i="37"/>
  <c r="B242" i="37"/>
  <c r="B243" i="37"/>
  <c r="B244" i="37"/>
  <c r="B245" i="37"/>
  <c r="B246" i="37"/>
  <c r="B247" i="37"/>
  <c r="B248" i="37"/>
  <c r="B249" i="37"/>
  <c r="B250" i="37"/>
  <c r="B251" i="37"/>
  <c r="B252" i="37"/>
  <c r="B253" i="37"/>
  <c r="B254" i="37"/>
  <c r="B255" i="37"/>
  <c r="B256" i="37"/>
  <c r="B257" i="37"/>
  <c r="B258" i="37"/>
  <c r="B259" i="37"/>
  <c r="B260" i="37"/>
  <c r="B261" i="37"/>
  <c r="B262" i="37"/>
  <c r="B263" i="37"/>
  <c r="B264" i="37"/>
  <c r="B265" i="37"/>
  <c r="B266" i="37"/>
  <c r="B267" i="37"/>
  <c r="B268" i="37"/>
  <c r="B269" i="37"/>
  <c r="B270" i="37"/>
  <c r="B271" i="37"/>
  <c r="B272" i="37"/>
  <c r="B273" i="37"/>
  <c r="B274" i="37"/>
  <c r="B275" i="37"/>
  <c r="B276" i="37"/>
  <c r="B277" i="37"/>
  <c r="B278" i="37"/>
  <c r="B279" i="37"/>
  <c r="B280" i="37"/>
  <c r="B281" i="37"/>
  <c r="B282" i="37"/>
  <c r="B283" i="37"/>
  <c r="B284" i="37"/>
  <c r="B285" i="37"/>
  <c r="B286" i="37"/>
  <c r="B287" i="37"/>
  <c r="B288" i="37"/>
  <c r="B289" i="37"/>
  <c r="B290" i="37"/>
  <c r="B291" i="37"/>
  <c r="B292" i="37"/>
  <c r="B293" i="37"/>
  <c r="B294" i="37"/>
  <c r="B295" i="37"/>
  <c r="B296" i="37"/>
  <c r="B297" i="37"/>
  <c r="B298" i="37"/>
  <c r="B299" i="37"/>
  <c r="B300" i="37"/>
  <c r="B301" i="37"/>
  <c r="B302" i="37"/>
  <c r="B303" i="37"/>
  <c r="B304" i="37"/>
  <c r="B305" i="37"/>
  <c r="B306" i="37"/>
  <c r="B307" i="37"/>
  <c r="B308" i="37"/>
  <c r="B309" i="37"/>
  <c r="B310" i="37"/>
  <c r="B311" i="37"/>
  <c r="B312" i="37"/>
  <c r="B313" i="37"/>
  <c r="B314" i="37"/>
  <c r="B315" i="37"/>
  <c r="B316" i="37"/>
  <c r="B317" i="37"/>
  <c r="B318" i="37"/>
  <c r="B319" i="37"/>
  <c r="B320" i="37"/>
  <c r="B321" i="37"/>
  <c r="B322" i="37"/>
  <c r="B323" i="37"/>
  <c r="B324" i="37"/>
  <c r="B325" i="37"/>
  <c r="B326" i="37"/>
  <c r="B327" i="37"/>
  <c r="B328" i="37"/>
  <c r="B329" i="37"/>
  <c r="B330" i="37"/>
  <c r="B331" i="37"/>
  <c r="B332" i="37"/>
  <c r="B333" i="37"/>
  <c r="B334" i="37"/>
  <c r="B335" i="37"/>
  <c r="B336" i="37"/>
  <c r="B337" i="37"/>
  <c r="B338" i="37"/>
  <c r="B339" i="37"/>
  <c r="B340" i="37"/>
  <c r="B341" i="37"/>
  <c r="B342" i="37"/>
  <c r="B343" i="37"/>
  <c r="B344" i="37"/>
  <c r="B345" i="37"/>
  <c r="B346" i="37"/>
  <c r="B347" i="37"/>
  <c r="B348" i="37"/>
  <c r="B349" i="37"/>
  <c r="B350" i="37"/>
  <c r="B351" i="37"/>
  <c r="B352" i="37"/>
  <c r="B353" i="37"/>
  <c r="B354" i="37"/>
  <c r="B355" i="37"/>
  <c r="B356" i="37"/>
  <c r="B357" i="37"/>
  <c r="B358" i="37"/>
  <c r="B359" i="37"/>
  <c r="B360" i="37"/>
  <c r="B361" i="37"/>
  <c r="B362" i="37"/>
  <c r="B363" i="37"/>
  <c r="B364" i="37"/>
  <c r="B365" i="37"/>
  <c r="B366" i="37"/>
  <c r="B367" i="37"/>
  <c r="B368" i="37"/>
  <c r="B369" i="37"/>
  <c r="B370" i="37"/>
  <c r="B371" i="37"/>
  <c r="B372" i="37"/>
  <c r="B373" i="37"/>
  <c r="B374" i="37"/>
  <c r="B375" i="37"/>
  <c r="B376" i="37"/>
  <c r="B377" i="37"/>
  <c r="B378" i="37"/>
  <c r="B379" i="37"/>
  <c r="B380" i="37"/>
  <c r="B381" i="37"/>
  <c r="B382" i="37"/>
  <c r="B383" i="37"/>
  <c r="B384" i="37"/>
  <c r="B385" i="37"/>
  <c r="B386" i="37"/>
  <c r="B387" i="37"/>
  <c r="B388" i="37"/>
  <c r="B389" i="37"/>
  <c r="B390" i="37"/>
  <c r="B391" i="37"/>
  <c r="B392" i="37"/>
  <c r="B393" i="37"/>
  <c r="B394" i="37"/>
  <c r="B395" i="37"/>
  <c r="B396" i="37"/>
  <c r="B397" i="37"/>
  <c r="B398" i="37"/>
  <c r="B399" i="37"/>
  <c r="B400" i="37"/>
  <c r="B401" i="37"/>
  <c r="B402" i="37"/>
  <c r="B403" i="37"/>
  <c r="B404" i="37"/>
  <c r="B405" i="37"/>
  <c r="B406" i="37"/>
  <c r="B407" i="37"/>
  <c r="B408" i="37"/>
  <c r="B409" i="37"/>
  <c r="B410" i="37"/>
  <c r="B411" i="37"/>
  <c r="B412" i="37"/>
  <c r="B413" i="37"/>
  <c r="B414" i="37"/>
  <c r="B415" i="37"/>
  <c r="B416" i="37"/>
  <c r="B417" i="37"/>
  <c r="B418" i="37"/>
  <c r="B419" i="37"/>
  <c r="B420" i="37"/>
  <c r="B421" i="37"/>
  <c r="B422" i="37"/>
  <c r="B423" i="37"/>
  <c r="B424" i="37"/>
  <c r="B425" i="37"/>
  <c r="B426" i="37"/>
  <c r="B427" i="37"/>
  <c r="B428" i="37"/>
  <c r="B429" i="37"/>
  <c r="B430" i="37"/>
  <c r="B431" i="37"/>
  <c r="B432" i="37"/>
  <c r="B433" i="37"/>
  <c r="B434" i="37"/>
  <c r="B435" i="37"/>
  <c r="B436" i="37"/>
  <c r="B437" i="37"/>
  <c r="B438" i="37"/>
  <c r="B439" i="37"/>
  <c r="B440" i="37"/>
  <c r="B441" i="37"/>
  <c r="B442" i="37"/>
  <c r="B443" i="37"/>
  <c r="B444" i="37"/>
  <c r="B445" i="37"/>
  <c r="B446" i="37"/>
  <c r="B447" i="37"/>
  <c r="B448" i="37"/>
  <c r="B449" i="37"/>
  <c r="B450" i="37"/>
  <c r="B451" i="37"/>
  <c r="B452" i="37"/>
  <c r="B453" i="37"/>
  <c r="B454" i="37"/>
  <c r="B455" i="37"/>
  <c r="B456" i="37"/>
  <c r="B457" i="37"/>
  <c r="B458" i="37"/>
  <c r="B459" i="37"/>
  <c r="B460" i="37"/>
  <c r="B461" i="37"/>
  <c r="B462" i="37"/>
  <c r="B463" i="37"/>
  <c r="B464" i="37"/>
  <c r="B465" i="37"/>
  <c r="B466" i="37"/>
  <c r="B467" i="37"/>
  <c r="B468" i="37"/>
  <c r="B469" i="37"/>
  <c r="B470" i="37"/>
  <c r="B471" i="37"/>
  <c r="B472" i="37"/>
  <c r="B473" i="37"/>
  <c r="B474" i="37"/>
  <c r="B475" i="37"/>
  <c r="B476" i="37"/>
  <c r="B477" i="37"/>
  <c r="B478" i="37"/>
  <c r="B479" i="37"/>
  <c r="B480" i="37"/>
  <c r="B481" i="37"/>
  <c r="B482" i="37"/>
  <c r="B483" i="37"/>
  <c r="B484" i="37"/>
  <c r="B485" i="37"/>
  <c r="B486" i="37"/>
  <c r="B487" i="37"/>
  <c r="B488" i="37"/>
  <c r="B489" i="37"/>
  <c r="B490" i="37"/>
  <c r="B491" i="37"/>
  <c r="B492" i="37"/>
  <c r="B493" i="37"/>
  <c r="B494" i="37"/>
  <c r="B495" i="37"/>
  <c r="B496" i="37"/>
  <c r="B497" i="37"/>
  <c r="B498" i="37"/>
  <c r="B499" i="37"/>
  <c r="B500" i="37"/>
  <c r="B501" i="37"/>
  <c r="B502" i="37"/>
  <c r="B503" i="37"/>
  <c r="B504" i="37"/>
  <c r="B505" i="37"/>
  <c r="B506" i="37"/>
  <c r="B507" i="37"/>
  <c r="B508" i="37"/>
  <c r="B509" i="37"/>
  <c r="B510" i="37"/>
  <c r="B511" i="37"/>
  <c r="B512" i="37"/>
  <c r="B513" i="37"/>
  <c r="B514" i="37"/>
  <c r="B515" i="37"/>
  <c r="B516" i="37"/>
  <c r="B517" i="37"/>
  <c r="B518" i="37"/>
  <c r="B519" i="37"/>
  <c r="B520" i="37"/>
  <c r="B521" i="37"/>
  <c r="B522" i="37"/>
  <c r="B523" i="37"/>
  <c r="B524" i="37"/>
  <c r="B525" i="37"/>
  <c r="B526" i="37"/>
  <c r="B527" i="37"/>
  <c r="B528" i="37"/>
  <c r="B529" i="37"/>
  <c r="B530" i="37"/>
  <c r="B531" i="37"/>
  <c r="B532" i="37"/>
  <c r="B533" i="37"/>
  <c r="B534" i="37"/>
  <c r="B535" i="37"/>
  <c r="B536" i="37"/>
  <c r="B537" i="37"/>
  <c r="B538" i="37"/>
  <c r="B539" i="37"/>
  <c r="B540" i="37"/>
  <c r="B541" i="37"/>
  <c r="B542" i="37"/>
  <c r="B543" i="37"/>
  <c r="B544" i="37"/>
  <c r="B545" i="37"/>
  <c r="B546" i="37"/>
  <c r="B547" i="37"/>
  <c r="B548" i="37"/>
  <c r="B549" i="37"/>
  <c r="B550" i="37"/>
  <c r="B551" i="37"/>
  <c r="B552" i="37"/>
  <c r="B553" i="37"/>
  <c r="B554" i="37"/>
  <c r="B555" i="37"/>
  <c r="B556" i="37"/>
  <c r="B557" i="37"/>
  <c r="B558" i="37"/>
  <c r="B559" i="37"/>
  <c r="B560" i="37"/>
  <c r="B561" i="37"/>
  <c r="B562" i="37"/>
  <c r="B563" i="37"/>
  <c r="B564" i="37"/>
  <c r="B565" i="37"/>
  <c r="B566" i="37"/>
  <c r="B567" i="37"/>
  <c r="B568" i="37"/>
  <c r="B569" i="37"/>
  <c r="B570" i="37"/>
  <c r="B571" i="37"/>
  <c r="B572" i="37"/>
  <c r="B573" i="37"/>
  <c r="B574" i="37"/>
  <c r="B575" i="37"/>
  <c r="B576" i="37"/>
  <c r="B577" i="37"/>
  <c r="B578" i="37"/>
  <c r="B579" i="37"/>
  <c r="B580" i="37"/>
  <c r="B581" i="37"/>
  <c r="B582" i="37"/>
  <c r="B583" i="37"/>
  <c r="B584" i="37"/>
  <c r="B585" i="37"/>
  <c r="B586" i="37"/>
  <c r="B587" i="37"/>
  <c r="B588" i="37"/>
  <c r="B589" i="37"/>
  <c r="B590" i="37"/>
  <c r="B591" i="37"/>
  <c r="B592" i="37"/>
  <c r="B593" i="37"/>
  <c r="B594" i="37"/>
  <c r="B595" i="37"/>
  <c r="B596" i="37"/>
  <c r="B597" i="37"/>
  <c r="B598" i="37"/>
  <c r="B599" i="37"/>
  <c r="B600" i="37"/>
  <c r="B601" i="37"/>
  <c r="B602" i="37"/>
  <c r="B603" i="37"/>
  <c r="B604" i="37"/>
  <c r="B605" i="37"/>
  <c r="B606" i="37"/>
  <c r="B607" i="37"/>
  <c r="B608" i="37"/>
  <c r="B609" i="37"/>
  <c r="B610" i="37"/>
  <c r="B611" i="37"/>
  <c r="B612" i="37"/>
  <c r="B613" i="37"/>
  <c r="B614" i="37"/>
  <c r="B615" i="37"/>
  <c r="B616" i="37"/>
  <c r="B617" i="37"/>
  <c r="B618" i="37"/>
  <c r="B619" i="37"/>
  <c r="B620" i="37"/>
  <c r="B621" i="37"/>
  <c r="B622" i="37"/>
  <c r="B623" i="37"/>
  <c r="B624" i="37"/>
  <c r="B625" i="37"/>
  <c r="B626" i="37"/>
  <c r="B627" i="37"/>
  <c r="B628" i="37"/>
  <c r="B629" i="37"/>
  <c r="B630" i="37"/>
  <c r="B631" i="37"/>
  <c r="B632" i="37"/>
  <c r="B633" i="37"/>
  <c r="B634" i="37"/>
  <c r="B635" i="37"/>
  <c r="B636" i="37"/>
  <c r="B637" i="37"/>
  <c r="B638" i="37"/>
  <c r="B639" i="37"/>
  <c r="B640" i="37"/>
  <c r="B641" i="37"/>
  <c r="B642" i="37"/>
  <c r="B643" i="37"/>
  <c r="B644" i="37"/>
  <c r="B645" i="37"/>
  <c r="B646" i="37"/>
  <c r="B647" i="37"/>
  <c r="B648" i="37"/>
  <c r="B649" i="37"/>
  <c r="B650" i="37"/>
  <c r="B651" i="37"/>
  <c r="B652" i="37"/>
  <c r="B653" i="37"/>
  <c r="B654" i="37"/>
  <c r="B655" i="37"/>
  <c r="B656" i="37"/>
  <c r="B657" i="37"/>
  <c r="B658" i="37"/>
  <c r="B659" i="37"/>
  <c r="B660" i="37"/>
  <c r="B661" i="37"/>
  <c r="B662" i="37"/>
  <c r="B663" i="37"/>
  <c r="B664" i="37"/>
  <c r="B665" i="37"/>
  <c r="B666" i="37"/>
  <c r="B667" i="37"/>
  <c r="B668" i="37"/>
  <c r="B669" i="37"/>
  <c r="B670" i="37"/>
  <c r="B671" i="37"/>
  <c r="B672" i="37"/>
  <c r="B673" i="37"/>
  <c r="B674" i="37"/>
  <c r="B675" i="37"/>
  <c r="B676" i="37"/>
  <c r="B677" i="37"/>
  <c r="B678" i="37"/>
  <c r="B679" i="37"/>
  <c r="B680" i="37"/>
  <c r="B681" i="37"/>
  <c r="B682" i="37"/>
  <c r="B683" i="37"/>
  <c r="B684" i="37"/>
  <c r="B685" i="37"/>
  <c r="B686" i="37"/>
  <c r="B687" i="37"/>
  <c r="B688" i="37"/>
  <c r="B689" i="37"/>
  <c r="B690" i="37"/>
  <c r="B691" i="37"/>
  <c r="B692" i="37"/>
  <c r="B693" i="37"/>
  <c r="B694" i="37"/>
  <c r="B695" i="37"/>
  <c r="B696" i="37"/>
  <c r="B697" i="37"/>
  <c r="B698" i="37"/>
  <c r="B699" i="37"/>
  <c r="B700" i="37"/>
  <c r="B701" i="37"/>
  <c r="B702" i="37"/>
  <c r="B703" i="37"/>
  <c r="B704" i="37"/>
  <c r="B705" i="37"/>
  <c r="B706" i="37"/>
  <c r="B707" i="37"/>
  <c r="B708" i="37"/>
  <c r="B709" i="37"/>
  <c r="B710" i="37"/>
  <c r="B711" i="37"/>
  <c r="B712" i="37"/>
  <c r="B713" i="37"/>
  <c r="B714" i="37"/>
  <c r="B715" i="37"/>
  <c r="B716" i="37"/>
  <c r="B717" i="37"/>
  <c r="B718" i="37"/>
  <c r="B719" i="37"/>
  <c r="B720" i="37"/>
  <c r="B721" i="37"/>
  <c r="B722" i="37"/>
  <c r="B723" i="37"/>
  <c r="B724" i="37"/>
  <c r="B725" i="37"/>
  <c r="B726" i="37"/>
  <c r="B727" i="37"/>
  <c r="B728" i="37"/>
  <c r="B729" i="37"/>
  <c r="B730" i="37"/>
  <c r="B731" i="37"/>
  <c r="B732" i="37"/>
  <c r="B733" i="37"/>
  <c r="B734" i="37"/>
  <c r="B735" i="37"/>
  <c r="B736" i="37"/>
  <c r="B737" i="37"/>
  <c r="B738" i="37"/>
  <c r="B739" i="37"/>
  <c r="B740" i="37"/>
  <c r="B741" i="37"/>
  <c r="B742" i="37"/>
  <c r="B743" i="37"/>
  <c r="B744" i="37"/>
  <c r="B745" i="37"/>
  <c r="B746" i="37"/>
  <c r="B747" i="37"/>
  <c r="B748" i="37"/>
  <c r="B749" i="37"/>
  <c r="B750" i="37"/>
  <c r="B751" i="37"/>
  <c r="B752" i="37"/>
  <c r="B753" i="37"/>
  <c r="B754" i="37"/>
  <c r="B755" i="37"/>
  <c r="B756" i="37"/>
  <c r="B757" i="37"/>
  <c r="B758" i="37"/>
  <c r="B759" i="37"/>
  <c r="B760" i="37"/>
  <c r="B761" i="37"/>
  <c r="B762" i="37"/>
  <c r="B763" i="37"/>
  <c r="B764" i="37"/>
  <c r="B765" i="37"/>
  <c r="B766" i="37"/>
  <c r="B767" i="37"/>
  <c r="B768" i="37"/>
  <c r="B769" i="37"/>
  <c r="B770" i="37"/>
  <c r="B771" i="37"/>
  <c r="B772" i="37"/>
  <c r="B773" i="37"/>
  <c r="B774" i="37"/>
  <c r="B775" i="37"/>
  <c r="B776" i="37"/>
  <c r="B777" i="37"/>
  <c r="B778" i="37"/>
  <c r="B779" i="37"/>
  <c r="B780" i="37"/>
  <c r="B781" i="37"/>
  <c r="B782" i="37"/>
  <c r="B783" i="37"/>
  <c r="B784" i="37"/>
  <c r="B785" i="37"/>
  <c r="B786" i="37"/>
  <c r="B787" i="37"/>
  <c r="B788" i="37"/>
  <c r="B789" i="37"/>
  <c r="B790" i="37"/>
  <c r="B791" i="37"/>
  <c r="B792" i="37"/>
  <c r="B793" i="37"/>
  <c r="B794" i="37"/>
  <c r="B795" i="37"/>
  <c r="B796" i="37"/>
  <c r="B797" i="37"/>
  <c r="B798" i="37"/>
  <c r="B799" i="37"/>
  <c r="B800" i="37"/>
  <c r="B801" i="37"/>
  <c r="B802" i="37"/>
  <c r="B803" i="37"/>
  <c r="B804" i="37"/>
  <c r="B805" i="37"/>
  <c r="B806" i="37"/>
  <c r="B807" i="37"/>
  <c r="B808" i="37"/>
  <c r="B809" i="37"/>
  <c r="B810" i="37"/>
  <c r="B811" i="37"/>
  <c r="B812" i="37"/>
  <c r="B813" i="37"/>
  <c r="B814" i="37"/>
  <c r="B815" i="37"/>
  <c r="B816" i="37"/>
  <c r="B817" i="37"/>
  <c r="B818" i="37"/>
  <c r="B819" i="37"/>
  <c r="B820" i="37"/>
  <c r="B821" i="37"/>
  <c r="B822" i="37"/>
  <c r="B823" i="37"/>
  <c r="B824" i="37"/>
  <c r="B825" i="37"/>
  <c r="B826" i="37"/>
  <c r="B827" i="37"/>
  <c r="B828" i="37"/>
  <c r="B829" i="37"/>
  <c r="B830" i="37"/>
  <c r="B831" i="37"/>
  <c r="B832" i="37"/>
  <c r="B833" i="37"/>
  <c r="B834" i="37"/>
  <c r="B835" i="37"/>
  <c r="B836" i="37"/>
  <c r="B837" i="37"/>
  <c r="B838" i="37"/>
  <c r="B839" i="37"/>
  <c r="B840" i="37"/>
  <c r="B841" i="37"/>
  <c r="B842" i="37"/>
  <c r="B843" i="37"/>
  <c r="B844" i="37"/>
  <c r="B845" i="37"/>
  <c r="B846" i="37"/>
  <c r="B847" i="37"/>
  <c r="B848" i="37"/>
  <c r="B849" i="37"/>
  <c r="B850" i="37"/>
  <c r="B851" i="37"/>
  <c r="B852" i="37"/>
  <c r="B853" i="37"/>
  <c r="B854" i="37"/>
  <c r="B855" i="37"/>
  <c r="B856" i="37"/>
  <c r="B857" i="37"/>
  <c r="B858" i="37"/>
  <c r="B859" i="37"/>
  <c r="B860" i="37"/>
  <c r="B861" i="37"/>
  <c r="B862" i="37"/>
  <c r="B863" i="37"/>
  <c r="B864" i="37"/>
  <c r="B865" i="37"/>
  <c r="B866" i="37"/>
  <c r="B867" i="37"/>
  <c r="B868" i="37"/>
  <c r="B869" i="37"/>
  <c r="B870" i="37"/>
  <c r="B871" i="37"/>
  <c r="B872" i="37"/>
  <c r="B873" i="37"/>
  <c r="B874" i="37"/>
  <c r="B875" i="37"/>
  <c r="B876" i="37"/>
  <c r="B877" i="37"/>
  <c r="B878" i="37"/>
  <c r="B879" i="37"/>
  <c r="B880" i="37"/>
  <c r="B881" i="37"/>
  <c r="B882" i="37"/>
  <c r="B883" i="37"/>
  <c r="B884" i="37"/>
  <c r="B885" i="37"/>
  <c r="B886" i="37"/>
  <c r="B887" i="37"/>
  <c r="B888" i="37"/>
  <c r="B889" i="37"/>
  <c r="B890" i="37"/>
  <c r="B891" i="37"/>
  <c r="B892" i="37"/>
  <c r="B893" i="37"/>
  <c r="B894" i="37"/>
  <c r="B895" i="37"/>
  <c r="B896" i="37"/>
  <c r="B897" i="37"/>
  <c r="B898" i="37"/>
  <c r="B899" i="37"/>
  <c r="B900" i="37"/>
  <c r="B901" i="37"/>
  <c r="B902" i="37"/>
  <c r="B903" i="37"/>
  <c r="B904" i="37"/>
  <c r="B905" i="37"/>
  <c r="B906" i="37"/>
  <c r="B907" i="37"/>
  <c r="B908" i="37"/>
  <c r="B909" i="37"/>
  <c r="B910" i="37"/>
  <c r="B911" i="37"/>
  <c r="B912" i="37"/>
  <c r="B913" i="37"/>
  <c r="B914" i="37"/>
  <c r="B915" i="37"/>
  <c r="B916" i="37"/>
  <c r="B917" i="37"/>
  <c r="B918" i="37"/>
  <c r="B919" i="37"/>
  <c r="B920" i="37"/>
  <c r="B921" i="37"/>
  <c r="B922" i="37"/>
  <c r="B923" i="37"/>
  <c r="B924" i="37"/>
  <c r="B925" i="37"/>
  <c r="B926" i="37"/>
  <c r="B927" i="37"/>
  <c r="B928" i="37"/>
  <c r="B929" i="37"/>
  <c r="B930" i="37"/>
  <c r="B931" i="37"/>
  <c r="B932" i="37"/>
  <c r="B933" i="37"/>
  <c r="B934" i="37"/>
  <c r="B935" i="37"/>
  <c r="B936" i="37"/>
  <c r="B937" i="37"/>
  <c r="B938" i="37"/>
  <c r="B939" i="37"/>
  <c r="B940" i="37"/>
  <c r="B941" i="37"/>
  <c r="B942" i="37"/>
  <c r="B943" i="37"/>
  <c r="B944" i="37"/>
  <c r="B945" i="37"/>
  <c r="B946" i="37"/>
  <c r="B947" i="37"/>
  <c r="B948" i="37"/>
  <c r="B949" i="37"/>
  <c r="B950" i="37"/>
  <c r="B951" i="37"/>
  <c r="B952" i="37"/>
  <c r="B953" i="37"/>
  <c r="B954" i="37"/>
  <c r="B955" i="37"/>
  <c r="B956" i="37"/>
  <c r="B957" i="37"/>
  <c r="B958" i="37"/>
  <c r="B959" i="37"/>
  <c r="B960" i="37"/>
  <c r="B961" i="37"/>
  <c r="B962" i="37"/>
  <c r="B963" i="37"/>
  <c r="B964" i="37"/>
  <c r="B965" i="37"/>
  <c r="B966" i="37"/>
  <c r="B967" i="37"/>
  <c r="B968" i="37"/>
  <c r="B969" i="37"/>
  <c r="B970" i="37"/>
  <c r="B971" i="37"/>
  <c r="B972" i="37"/>
  <c r="B973" i="37"/>
  <c r="B974" i="37"/>
  <c r="B975" i="37"/>
  <c r="B976" i="37"/>
  <c r="B977" i="37"/>
  <c r="B978" i="37"/>
  <c r="B979" i="37"/>
  <c r="B980" i="37"/>
  <c r="B981" i="37"/>
  <c r="B982" i="37"/>
  <c r="B983" i="37"/>
  <c r="B984" i="37"/>
  <c r="B985" i="37"/>
  <c r="B986" i="37"/>
  <c r="B987" i="37"/>
  <c r="B988" i="37"/>
  <c r="B989" i="37"/>
  <c r="B990" i="37"/>
  <c r="B991" i="37"/>
  <c r="B992" i="37"/>
  <c r="B993" i="37"/>
  <c r="B994" i="37"/>
  <c r="B995" i="37"/>
  <c r="B996" i="37"/>
  <c r="B997" i="37"/>
  <c r="B998" i="37"/>
  <c r="B999" i="37"/>
  <c r="B1000" i="37"/>
  <c r="B1001" i="37"/>
  <c r="B1002" i="37"/>
  <c r="B1003" i="37"/>
  <c r="B1004" i="37"/>
  <c r="B1005" i="37"/>
  <c r="B1006" i="37"/>
  <c r="B1007" i="37"/>
  <c r="B1008" i="37"/>
  <c r="B1009" i="37"/>
  <c r="B1010" i="37"/>
  <c r="B2" i="36"/>
  <c r="B3" i="36"/>
  <c r="B4" i="36"/>
  <c r="B5" i="36"/>
  <c r="B6" i="36"/>
  <c r="B7" i="36"/>
  <c r="B8" i="36"/>
  <c r="B9" i="36"/>
  <c r="B10" i="36"/>
  <c r="B11" i="36"/>
  <c r="B12" i="36"/>
  <c r="B13" i="36"/>
  <c r="B14" i="36"/>
  <c r="B15" i="36"/>
  <c r="B16" i="36"/>
  <c r="B17" i="36"/>
  <c r="B18" i="36"/>
  <c r="B19" i="36"/>
  <c r="B20" i="36"/>
  <c r="B21" i="36"/>
  <c r="B22" i="36"/>
  <c r="B23" i="36"/>
  <c r="B24" i="36"/>
  <c r="B25" i="36"/>
  <c r="B26" i="36"/>
  <c r="B27" i="36"/>
  <c r="B28" i="36"/>
  <c r="B29" i="36"/>
  <c r="B30" i="36"/>
  <c r="B31" i="36"/>
  <c r="B32" i="36"/>
  <c r="B33" i="36"/>
  <c r="B34" i="36"/>
  <c r="B35" i="36"/>
  <c r="B36" i="36"/>
  <c r="B37" i="36"/>
  <c r="B38" i="36"/>
  <c r="B39" i="36"/>
  <c r="B40" i="36"/>
  <c r="B41" i="36"/>
  <c r="B42" i="36"/>
  <c r="B43" i="36"/>
  <c r="B44" i="36"/>
  <c r="B45" i="36"/>
  <c r="B46" i="36"/>
  <c r="B47" i="36"/>
  <c r="B48" i="36"/>
  <c r="B49" i="36"/>
  <c r="B50" i="36"/>
  <c r="B51" i="36"/>
  <c r="B52" i="36"/>
  <c r="B53" i="36"/>
  <c r="B54" i="36"/>
  <c r="B55" i="36"/>
  <c r="B56" i="36"/>
  <c r="B57" i="36"/>
  <c r="B58" i="36"/>
  <c r="B59" i="36"/>
  <c r="B60" i="36"/>
  <c r="B61" i="36"/>
  <c r="B62" i="36"/>
  <c r="B63" i="36"/>
  <c r="B64"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125" i="36"/>
  <c r="B126" i="36"/>
  <c r="B127" i="36"/>
  <c r="B128" i="36"/>
  <c r="B129" i="36"/>
  <c r="B130" i="36"/>
  <c r="B131" i="36"/>
  <c r="B132" i="36"/>
  <c r="B133" i="36"/>
  <c r="B134" i="36"/>
  <c r="B135" i="36"/>
  <c r="B136" i="36"/>
  <c r="B137" i="36"/>
  <c r="B138" i="36"/>
  <c r="B139" i="36"/>
  <c r="B140" i="36"/>
  <c r="B141" i="36"/>
  <c r="B142" i="36"/>
  <c r="B143" i="36"/>
  <c r="B144" i="36"/>
  <c r="B145" i="36"/>
  <c r="B146" i="36"/>
  <c r="B147" i="36"/>
  <c r="B148" i="36"/>
  <c r="B149" i="36"/>
  <c r="B150" i="36"/>
  <c r="B151" i="36"/>
  <c r="B152" i="36"/>
  <c r="B153" i="36"/>
  <c r="B154" i="36"/>
  <c r="B155" i="36"/>
  <c r="B156" i="36"/>
  <c r="B157" i="36"/>
  <c r="B158" i="36"/>
  <c r="B159" i="36"/>
  <c r="B160" i="36"/>
  <c r="B161" i="36"/>
  <c r="B162" i="36"/>
  <c r="B163" i="36"/>
  <c r="B164" i="36"/>
  <c r="B165" i="36"/>
  <c r="B166" i="36"/>
  <c r="B167" i="36"/>
  <c r="B168" i="36"/>
  <c r="B169" i="36"/>
  <c r="B170" i="36"/>
  <c r="B171" i="36"/>
  <c r="B172" i="36"/>
  <c r="B173" i="36"/>
  <c r="B174" i="36"/>
  <c r="B175" i="36"/>
  <c r="B176" i="36"/>
  <c r="B177" i="36"/>
  <c r="B178" i="36"/>
  <c r="B179" i="36"/>
  <c r="B180" i="36"/>
  <c r="B181" i="36"/>
  <c r="B182" i="36"/>
  <c r="B183" i="36"/>
  <c r="B184" i="36"/>
  <c r="B185" i="36"/>
  <c r="B186" i="36"/>
  <c r="B187" i="36"/>
  <c r="B188" i="36"/>
  <c r="B189" i="36"/>
  <c r="B190" i="36"/>
  <c r="B191" i="36"/>
  <c r="B192" i="36"/>
  <c r="B193" i="36"/>
  <c r="B194" i="36"/>
  <c r="B195" i="36"/>
  <c r="B196" i="36"/>
  <c r="B197" i="36"/>
  <c r="B198" i="36"/>
  <c r="B199" i="36"/>
  <c r="B200" i="36"/>
  <c r="B201" i="36"/>
  <c r="B202" i="36"/>
  <c r="B203" i="36"/>
  <c r="B204" i="36"/>
  <c r="B205" i="36"/>
  <c r="B206" i="36"/>
  <c r="B207" i="36"/>
  <c r="B208" i="36"/>
  <c r="B209" i="36"/>
  <c r="B210" i="36"/>
  <c r="B211" i="36"/>
  <c r="B212" i="36"/>
  <c r="B213" i="36"/>
  <c r="B214" i="36"/>
  <c r="B215" i="36"/>
  <c r="B216" i="36"/>
  <c r="B217" i="36"/>
  <c r="B218" i="36"/>
  <c r="B219" i="36"/>
  <c r="B220" i="36"/>
  <c r="B221" i="36"/>
  <c r="B222" i="36"/>
  <c r="B223" i="36"/>
  <c r="B224" i="36"/>
  <c r="B225" i="36"/>
  <c r="B226" i="36"/>
  <c r="B227" i="36"/>
  <c r="B228" i="36"/>
  <c r="B229" i="36"/>
  <c r="B230" i="36"/>
  <c r="B231" i="36"/>
  <c r="B232" i="36"/>
  <c r="B233" i="36"/>
  <c r="B234" i="36"/>
  <c r="B235" i="36"/>
  <c r="B236" i="36"/>
  <c r="B237" i="36"/>
  <c r="B238" i="36"/>
  <c r="B239" i="36"/>
  <c r="B240" i="36"/>
  <c r="B241" i="36"/>
  <c r="B242" i="36"/>
  <c r="B243" i="36"/>
  <c r="B244" i="36"/>
  <c r="B245" i="36"/>
  <c r="B246" i="36"/>
  <c r="B247" i="36"/>
  <c r="B248" i="36"/>
  <c r="B249" i="36"/>
  <c r="B250" i="36"/>
  <c r="B251" i="36"/>
  <c r="B252" i="36"/>
  <c r="B253" i="36"/>
  <c r="B254" i="36"/>
  <c r="B255" i="36"/>
  <c r="B256" i="36"/>
  <c r="B257" i="36"/>
  <c r="B258" i="36"/>
  <c r="B259" i="36"/>
  <c r="B260" i="36"/>
  <c r="B261" i="36"/>
  <c r="B262" i="36"/>
  <c r="B263" i="36"/>
  <c r="B264" i="36"/>
  <c r="B265" i="36"/>
  <c r="B266" i="36"/>
  <c r="B267" i="36"/>
  <c r="B268" i="36"/>
  <c r="B269" i="36"/>
  <c r="B270" i="36"/>
  <c r="B271" i="36"/>
  <c r="B272" i="36"/>
  <c r="B273" i="36"/>
  <c r="B274" i="36"/>
  <c r="B275" i="36"/>
  <c r="B276" i="36"/>
  <c r="B277" i="36"/>
  <c r="B278" i="36"/>
  <c r="B279" i="36"/>
  <c r="B280" i="36"/>
  <c r="B281" i="36"/>
  <c r="B282" i="36"/>
  <c r="B283" i="36"/>
  <c r="B284" i="36"/>
  <c r="B285" i="36"/>
  <c r="B286" i="36"/>
  <c r="B287" i="36"/>
  <c r="B288" i="36"/>
  <c r="B289" i="36"/>
  <c r="B290" i="36"/>
  <c r="B291" i="36"/>
  <c r="B292" i="36"/>
  <c r="B293" i="36"/>
  <c r="B294" i="36"/>
  <c r="B295" i="36"/>
  <c r="B296" i="36"/>
  <c r="B297" i="36"/>
  <c r="B298" i="36"/>
  <c r="B299" i="36"/>
  <c r="B300" i="36"/>
  <c r="B301" i="36"/>
  <c r="B302" i="36"/>
  <c r="B303" i="36"/>
  <c r="B304" i="36"/>
  <c r="B305" i="36"/>
  <c r="B306" i="36"/>
  <c r="B307" i="36"/>
  <c r="B308" i="36"/>
  <c r="B309" i="36"/>
  <c r="B310" i="36"/>
  <c r="B311" i="36"/>
  <c r="B312" i="36"/>
  <c r="B313" i="36"/>
  <c r="B314" i="36"/>
  <c r="B315" i="36"/>
  <c r="B316" i="36"/>
  <c r="B317" i="36"/>
  <c r="B318" i="36"/>
  <c r="B319" i="36"/>
  <c r="B320" i="36"/>
  <c r="B321" i="36"/>
  <c r="B322" i="36"/>
  <c r="B323" i="36"/>
  <c r="B324" i="36"/>
  <c r="B325" i="36"/>
  <c r="B326" i="36"/>
  <c r="B327" i="36"/>
  <c r="B328" i="36"/>
  <c r="B329" i="36"/>
  <c r="B330" i="36"/>
  <c r="B331" i="36"/>
  <c r="B332" i="36"/>
  <c r="B333" i="36"/>
  <c r="B334" i="36"/>
  <c r="B335" i="36"/>
  <c r="B336" i="36"/>
  <c r="B337" i="36"/>
  <c r="B338" i="36"/>
  <c r="B339" i="36"/>
  <c r="B340" i="36"/>
  <c r="B341" i="36"/>
  <c r="B342" i="36"/>
  <c r="B343" i="36"/>
  <c r="B344" i="36"/>
  <c r="B345" i="36"/>
  <c r="B346" i="36"/>
  <c r="B347" i="36"/>
  <c r="B348" i="36"/>
  <c r="B349" i="36"/>
  <c r="B350" i="36"/>
  <c r="B351" i="36"/>
  <c r="B352" i="36"/>
  <c r="B353" i="36"/>
  <c r="B354" i="36"/>
  <c r="B355" i="36"/>
  <c r="B356" i="36"/>
  <c r="B357" i="36"/>
  <c r="B358" i="36"/>
  <c r="B359" i="36"/>
  <c r="B360" i="36"/>
  <c r="B361" i="36"/>
  <c r="B362" i="36"/>
  <c r="B363" i="36"/>
  <c r="B364" i="36"/>
  <c r="B365" i="36"/>
  <c r="B366" i="36"/>
  <c r="B367" i="36"/>
  <c r="B368" i="36"/>
  <c r="B369" i="36"/>
  <c r="B370" i="36"/>
  <c r="B371" i="36"/>
  <c r="B372" i="36"/>
  <c r="B373" i="36"/>
  <c r="B374" i="36"/>
  <c r="B375" i="36"/>
  <c r="B376" i="36"/>
  <c r="B377" i="36"/>
  <c r="B378" i="36"/>
  <c r="B379" i="36"/>
  <c r="B380" i="36"/>
  <c r="B381" i="36"/>
  <c r="B382" i="36"/>
  <c r="B383" i="36"/>
  <c r="B384" i="36"/>
  <c r="B385" i="36"/>
  <c r="B386" i="36"/>
  <c r="B387" i="36"/>
  <c r="B388" i="36"/>
  <c r="B389" i="36"/>
  <c r="B390" i="36"/>
  <c r="B391" i="36"/>
  <c r="B392" i="36"/>
  <c r="B393" i="36"/>
  <c r="B394" i="36"/>
  <c r="B395" i="36"/>
  <c r="B396" i="36"/>
  <c r="B397" i="36"/>
  <c r="B398" i="36"/>
  <c r="B399" i="36"/>
  <c r="B400" i="36"/>
  <c r="B401" i="36"/>
  <c r="B402" i="36"/>
  <c r="B403" i="36"/>
  <c r="B404" i="36"/>
  <c r="B405" i="36"/>
  <c r="B406" i="36"/>
  <c r="B407" i="36"/>
  <c r="B408" i="36"/>
  <c r="B409" i="36"/>
  <c r="B410" i="36"/>
  <c r="B411" i="36"/>
  <c r="B412" i="36"/>
  <c r="B413" i="36"/>
  <c r="B414" i="36"/>
  <c r="B415" i="36"/>
  <c r="B416" i="36"/>
  <c r="B417" i="36"/>
  <c r="B418" i="36"/>
  <c r="B419" i="36"/>
  <c r="B420" i="36"/>
  <c r="B421" i="36"/>
  <c r="B422" i="36"/>
  <c r="B423" i="36"/>
  <c r="B424" i="36"/>
  <c r="B425" i="36"/>
  <c r="B426" i="36"/>
  <c r="B427" i="36"/>
  <c r="B428" i="36"/>
  <c r="B429" i="36"/>
  <c r="B430" i="36"/>
  <c r="B431" i="36"/>
  <c r="B432" i="36"/>
  <c r="B433" i="36"/>
  <c r="B434" i="36"/>
  <c r="B435" i="36"/>
  <c r="B436" i="36"/>
  <c r="B437" i="36"/>
  <c r="B438" i="36"/>
  <c r="B439" i="36"/>
  <c r="B440" i="36"/>
  <c r="B441" i="36"/>
  <c r="B442" i="36"/>
  <c r="B443" i="36"/>
  <c r="B444" i="36"/>
  <c r="B445" i="36"/>
  <c r="B446" i="36"/>
  <c r="B447" i="36"/>
  <c r="B448" i="36"/>
  <c r="B449" i="36"/>
  <c r="B450" i="36"/>
  <c r="B451" i="36"/>
  <c r="B452" i="36"/>
  <c r="B453" i="36"/>
  <c r="B454" i="36"/>
  <c r="B455" i="36"/>
  <c r="B456" i="36"/>
  <c r="B457" i="36"/>
  <c r="B458" i="36"/>
  <c r="B459" i="36"/>
  <c r="B460" i="36"/>
  <c r="B461" i="36"/>
  <c r="B462" i="36"/>
  <c r="B463" i="36"/>
  <c r="B464" i="36"/>
  <c r="B465" i="36"/>
  <c r="B466" i="36"/>
  <c r="B467" i="36"/>
  <c r="B468" i="36"/>
  <c r="B469" i="36"/>
  <c r="B470" i="36"/>
  <c r="B471" i="36"/>
  <c r="B472" i="36"/>
  <c r="B473" i="36"/>
  <c r="B474" i="36"/>
  <c r="B475" i="36"/>
  <c r="B476" i="36"/>
  <c r="B477" i="36"/>
  <c r="B478" i="36"/>
  <c r="B479" i="36"/>
  <c r="B480" i="36"/>
  <c r="B481" i="36"/>
  <c r="B482" i="36"/>
  <c r="B483" i="36"/>
  <c r="B484" i="36"/>
  <c r="B485" i="36"/>
  <c r="B486" i="36"/>
  <c r="B487" i="36"/>
  <c r="B488" i="36"/>
  <c r="B489" i="36"/>
  <c r="B490" i="36"/>
  <c r="B491" i="36"/>
  <c r="B492" i="36"/>
  <c r="B493" i="36"/>
  <c r="B494" i="36"/>
  <c r="B495" i="36"/>
  <c r="B496" i="36"/>
  <c r="B497" i="36"/>
  <c r="B498" i="36"/>
  <c r="B499" i="36"/>
  <c r="B500" i="36"/>
  <c r="B501" i="36"/>
  <c r="B502" i="36"/>
  <c r="B503" i="36"/>
  <c r="B504" i="36"/>
  <c r="B505" i="36"/>
  <c r="B506" i="36"/>
  <c r="B507" i="36"/>
  <c r="B508" i="36"/>
  <c r="B509" i="36"/>
  <c r="B510" i="36"/>
  <c r="B511" i="36"/>
  <c r="B512" i="36"/>
  <c r="B513" i="36"/>
  <c r="B514" i="36"/>
  <c r="B515" i="36"/>
  <c r="B516" i="36"/>
  <c r="B517" i="36"/>
  <c r="B518" i="36"/>
  <c r="B519" i="36"/>
  <c r="B520" i="36"/>
  <c r="B521" i="36"/>
  <c r="B522" i="36"/>
  <c r="B523" i="36"/>
  <c r="B524" i="36"/>
  <c r="B525" i="36"/>
  <c r="B526" i="36"/>
  <c r="B527" i="36"/>
  <c r="B528" i="36"/>
  <c r="B529" i="36"/>
  <c r="B530" i="36"/>
  <c r="B531" i="36"/>
  <c r="B532" i="36"/>
  <c r="B533" i="36"/>
  <c r="B534" i="36"/>
  <c r="B535" i="36"/>
  <c r="B536" i="36"/>
  <c r="B537" i="36"/>
  <c r="B538" i="36"/>
  <c r="B539" i="36"/>
  <c r="B540" i="36"/>
  <c r="B541" i="36"/>
  <c r="B542" i="36"/>
  <c r="B543" i="36"/>
  <c r="B544" i="36"/>
  <c r="B545" i="36"/>
  <c r="B546" i="36"/>
  <c r="B547" i="36"/>
  <c r="B548" i="36"/>
  <c r="B549" i="36"/>
  <c r="B550" i="36"/>
  <c r="B551" i="36"/>
  <c r="B552" i="36"/>
  <c r="B553" i="36"/>
  <c r="B554" i="36"/>
  <c r="B555" i="36"/>
  <c r="B556" i="36"/>
  <c r="B557" i="36"/>
  <c r="B558" i="36"/>
  <c r="B559" i="36"/>
  <c r="B560" i="36"/>
  <c r="B561" i="36"/>
  <c r="B562" i="36"/>
  <c r="B563" i="36"/>
  <c r="B564" i="36"/>
  <c r="B565" i="36"/>
  <c r="B566" i="36"/>
  <c r="B567" i="36"/>
  <c r="B568" i="36"/>
  <c r="B569" i="36"/>
  <c r="B570" i="36"/>
  <c r="B571" i="36"/>
  <c r="B572" i="36"/>
  <c r="B573" i="36"/>
  <c r="B574" i="36"/>
  <c r="B575" i="36"/>
  <c r="B576" i="36"/>
  <c r="B577" i="36"/>
  <c r="B578" i="36"/>
  <c r="B579" i="36"/>
  <c r="B580" i="36"/>
  <c r="B581" i="36"/>
  <c r="B582" i="36"/>
  <c r="B583" i="36"/>
  <c r="B584" i="36"/>
  <c r="B585" i="36"/>
  <c r="B586" i="36"/>
  <c r="B587" i="36"/>
  <c r="B588" i="36"/>
  <c r="B589" i="36"/>
  <c r="B590" i="36"/>
  <c r="B591" i="36"/>
  <c r="B592" i="36"/>
  <c r="B593" i="36"/>
  <c r="B594" i="36"/>
  <c r="B595" i="36"/>
  <c r="B596" i="36"/>
  <c r="B597" i="36"/>
  <c r="B598" i="36"/>
  <c r="B599" i="36"/>
  <c r="B600" i="36"/>
  <c r="B601" i="36"/>
  <c r="B602" i="36"/>
  <c r="B603" i="36"/>
  <c r="B604" i="36"/>
  <c r="B605" i="36"/>
  <c r="B606" i="36"/>
  <c r="B607" i="36"/>
  <c r="B608" i="36"/>
  <c r="B609" i="36"/>
  <c r="B610" i="36"/>
  <c r="B611" i="36"/>
  <c r="B612" i="36"/>
  <c r="B613" i="36"/>
  <c r="B614" i="36"/>
  <c r="B615" i="36"/>
  <c r="B616" i="36"/>
  <c r="B617" i="36"/>
  <c r="B618" i="36"/>
  <c r="B619" i="36"/>
  <c r="B620" i="36"/>
  <c r="B621" i="36"/>
  <c r="B622" i="36"/>
  <c r="B623" i="36"/>
  <c r="B624" i="36"/>
  <c r="B625" i="36"/>
  <c r="B626" i="36"/>
  <c r="B627" i="36"/>
  <c r="B628" i="36"/>
  <c r="B629" i="36"/>
  <c r="B630" i="36"/>
  <c r="B631" i="36"/>
  <c r="B632" i="36"/>
  <c r="B633" i="36"/>
  <c r="B634" i="36"/>
  <c r="B635" i="36"/>
  <c r="B636" i="36"/>
  <c r="B637" i="36"/>
  <c r="B638" i="36"/>
  <c r="B639" i="36"/>
  <c r="B640" i="36"/>
  <c r="B641" i="36"/>
  <c r="B642" i="36"/>
  <c r="B643" i="36"/>
  <c r="B644" i="36"/>
  <c r="B645" i="36"/>
  <c r="B646" i="36"/>
  <c r="B647" i="36"/>
  <c r="B648" i="36"/>
  <c r="B649" i="36"/>
  <c r="B650" i="36"/>
  <c r="B651" i="36"/>
  <c r="B652" i="36"/>
  <c r="B653" i="36"/>
  <c r="B654" i="36"/>
  <c r="B655" i="36"/>
  <c r="B656" i="36"/>
  <c r="B657" i="36"/>
  <c r="B658" i="36"/>
  <c r="B659" i="36"/>
  <c r="B660" i="36"/>
  <c r="B661" i="36"/>
  <c r="B662" i="36"/>
  <c r="B663" i="36"/>
  <c r="B664" i="36"/>
  <c r="B665" i="36"/>
  <c r="B666" i="36"/>
  <c r="B667" i="36"/>
  <c r="B668" i="36"/>
  <c r="B669" i="36"/>
  <c r="B670" i="36"/>
  <c r="B671" i="36"/>
  <c r="B672" i="36"/>
  <c r="B673" i="36"/>
  <c r="B674" i="36"/>
  <c r="B675" i="36"/>
  <c r="B676" i="36"/>
  <c r="B677" i="36"/>
  <c r="B678" i="36"/>
  <c r="B679" i="36"/>
  <c r="B680" i="36"/>
  <c r="B681" i="36"/>
  <c r="B682" i="36"/>
  <c r="B683" i="36"/>
  <c r="B684" i="36"/>
  <c r="B685" i="36"/>
  <c r="B686" i="36"/>
  <c r="B687" i="36"/>
  <c r="B688" i="36"/>
  <c r="B689" i="36"/>
  <c r="B690" i="36"/>
  <c r="B691" i="36"/>
  <c r="B692" i="36"/>
  <c r="B693" i="36"/>
  <c r="B694" i="36"/>
  <c r="B695" i="36"/>
  <c r="B696" i="36"/>
  <c r="B697" i="36"/>
  <c r="B698" i="36"/>
  <c r="B699" i="36"/>
  <c r="B700" i="36"/>
  <c r="B701" i="36"/>
  <c r="B702" i="36"/>
  <c r="B703" i="36"/>
  <c r="B704" i="36"/>
  <c r="B705" i="36"/>
  <c r="B706" i="36"/>
  <c r="B707" i="36"/>
  <c r="B708" i="36"/>
  <c r="B709" i="36"/>
  <c r="B710" i="36"/>
  <c r="B711" i="36"/>
  <c r="B712" i="36"/>
  <c r="B713" i="36"/>
  <c r="B714" i="36"/>
  <c r="B715" i="36"/>
  <c r="B716" i="36"/>
  <c r="B717" i="36"/>
  <c r="B718" i="36"/>
  <c r="B719" i="36"/>
  <c r="B720" i="36"/>
  <c r="B721" i="36"/>
  <c r="B722" i="36"/>
  <c r="B723" i="36"/>
  <c r="B724" i="36"/>
  <c r="B725" i="36"/>
  <c r="B726" i="36"/>
  <c r="B727" i="36"/>
  <c r="B728" i="36"/>
  <c r="B729" i="36"/>
  <c r="B730" i="36"/>
  <c r="B731" i="36"/>
  <c r="B732" i="36"/>
  <c r="B733" i="36"/>
  <c r="B734" i="36"/>
  <c r="B735" i="36"/>
  <c r="B736" i="36"/>
  <c r="B737" i="36"/>
  <c r="B738" i="36"/>
  <c r="B739" i="36"/>
  <c r="B740" i="36"/>
  <c r="B741" i="36"/>
  <c r="B742" i="36"/>
  <c r="B743" i="36"/>
  <c r="B744" i="36"/>
  <c r="B745" i="36"/>
  <c r="B746" i="36"/>
  <c r="B747" i="36"/>
  <c r="B748" i="36"/>
  <c r="B749" i="36"/>
  <c r="B750" i="36"/>
  <c r="B751" i="36"/>
  <c r="B752" i="36"/>
  <c r="B753" i="36"/>
  <c r="B754" i="36"/>
  <c r="B755" i="36"/>
  <c r="B756" i="36"/>
  <c r="B757" i="36"/>
  <c r="B758" i="36"/>
  <c r="B759" i="36"/>
  <c r="B760" i="36"/>
  <c r="B761" i="36"/>
  <c r="B762" i="36"/>
  <c r="B763" i="36"/>
  <c r="B764" i="36"/>
  <c r="B765" i="36"/>
  <c r="B766" i="36"/>
  <c r="B767" i="36"/>
  <c r="B768" i="36"/>
  <c r="B769" i="36"/>
  <c r="B770" i="36"/>
  <c r="B771" i="36"/>
  <c r="B772" i="36"/>
  <c r="B773" i="36"/>
  <c r="B774" i="36"/>
  <c r="B775" i="36"/>
  <c r="B776" i="36"/>
  <c r="B777" i="36"/>
  <c r="B778" i="36"/>
  <c r="B779" i="36"/>
  <c r="B780" i="36"/>
  <c r="B781" i="36"/>
  <c r="B782" i="36"/>
  <c r="B783" i="36"/>
  <c r="B784" i="36"/>
  <c r="B785" i="36"/>
  <c r="B786" i="36"/>
  <c r="B787" i="36"/>
  <c r="B788" i="36"/>
  <c r="B789" i="36"/>
  <c r="B790" i="36"/>
  <c r="B791" i="36"/>
  <c r="B792" i="36"/>
  <c r="B793" i="36"/>
  <c r="B794" i="36"/>
  <c r="B795" i="36"/>
  <c r="B796" i="36"/>
  <c r="B797" i="36"/>
  <c r="B798" i="36"/>
  <c r="B799" i="36"/>
  <c r="B800" i="36"/>
  <c r="B801" i="36"/>
  <c r="B802" i="36"/>
  <c r="B803" i="36"/>
  <c r="B804" i="36"/>
  <c r="B805" i="36"/>
  <c r="B806" i="36"/>
  <c r="B807" i="36"/>
  <c r="B808" i="36"/>
  <c r="B809" i="36"/>
  <c r="B810" i="36"/>
  <c r="B811" i="36"/>
  <c r="B812" i="36"/>
  <c r="B813" i="36"/>
  <c r="B814" i="36"/>
  <c r="B815" i="36"/>
  <c r="B816" i="36"/>
  <c r="B817" i="36"/>
  <c r="B818" i="36"/>
  <c r="B819" i="36"/>
  <c r="B820" i="36"/>
  <c r="B821" i="36"/>
  <c r="B822" i="36"/>
  <c r="B823" i="36"/>
  <c r="B824" i="36"/>
  <c r="B825" i="36"/>
  <c r="B826" i="36"/>
  <c r="B827" i="36"/>
  <c r="B828" i="36"/>
  <c r="B829" i="36"/>
  <c r="B830" i="36"/>
  <c r="B831" i="36"/>
  <c r="B832" i="36"/>
  <c r="B833" i="36"/>
  <c r="B834" i="36"/>
  <c r="B835" i="36"/>
  <c r="B836" i="36"/>
  <c r="B837" i="36"/>
  <c r="B838" i="36"/>
  <c r="B839" i="36"/>
  <c r="B840" i="36"/>
  <c r="B841" i="36"/>
  <c r="B842" i="36"/>
  <c r="B843" i="36"/>
  <c r="B844" i="36"/>
  <c r="B845" i="36"/>
  <c r="B846" i="36"/>
  <c r="B847" i="36"/>
  <c r="B848" i="36"/>
  <c r="B849" i="36"/>
  <c r="B850" i="36"/>
  <c r="B851" i="36"/>
  <c r="B852" i="36"/>
  <c r="B853" i="36"/>
  <c r="B854" i="36"/>
  <c r="B855" i="36"/>
  <c r="B856" i="36"/>
  <c r="B857" i="36"/>
  <c r="B858" i="36"/>
  <c r="B859" i="36"/>
  <c r="B860" i="36"/>
  <c r="B861" i="36"/>
  <c r="B862" i="36"/>
  <c r="B863" i="36"/>
  <c r="B864" i="36"/>
  <c r="B865" i="36"/>
  <c r="B866" i="36"/>
  <c r="B867" i="36"/>
  <c r="B868" i="36"/>
  <c r="B869" i="36"/>
  <c r="B870" i="36"/>
  <c r="B871" i="36"/>
  <c r="B872" i="36"/>
  <c r="B873" i="36"/>
  <c r="B874" i="36"/>
  <c r="B875" i="36"/>
  <c r="B876" i="36"/>
  <c r="B877" i="36"/>
  <c r="B878" i="36"/>
  <c r="B879" i="36"/>
  <c r="B880" i="36"/>
  <c r="B881" i="36"/>
  <c r="B882" i="36"/>
  <c r="B883" i="36"/>
  <c r="B884" i="36"/>
  <c r="B885" i="36"/>
  <c r="B886" i="36"/>
  <c r="B887" i="36"/>
  <c r="B888" i="36"/>
  <c r="B889" i="36"/>
  <c r="B890" i="36"/>
  <c r="B891" i="36"/>
  <c r="B892" i="36"/>
  <c r="B893" i="36"/>
  <c r="B894" i="36"/>
  <c r="B895" i="36"/>
  <c r="B896" i="36"/>
  <c r="B897" i="36"/>
  <c r="B898" i="36"/>
  <c r="B899" i="36"/>
  <c r="B900" i="36"/>
  <c r="B901" i="36"/>
  <c r="B902" i="36"/>
  <c r="B903" i="36"/>
  <c r="B904" i="36"/>
  <c r="B905" i="36"/>
  <c r="B906" i="36"/>
  <c r="B907" i="36"/>
  <c r="B908" i="36"/>
  <c r="B909" i="36"/>
  <c r="B910" i="36"/>
  <c r="B911" i="36"/>
  <c r="B912" i="36"/>
  <c r="B913" i="36"/>
  <c r="B914" i="36"/>
  <c r="B915" i="36"/>
  <c r="B916" i="36"/>
  <c r="B917" i="36"/>
  <c r="B918" i="36"/>
  <c r="B919" i="36"/>
  <c r="B920" i="36"/>
  <c r="B921" i="36"/>
  <c r="B922" i="36"/>
  <c r="B923" i="36"/>
  <c r="B924" i="36"/>
  <c r="B925" i="36"/>
  <c r="B926" i="36"/>
  <c r="B927" i="36"/>
  <c r="B928" i="36"/>
  <c r="B929" i="36"/>
  <c r="B930" i="36"/>
  <c r="B931" i="36"/>
  <c r="B932" i="36"/>
  <c r="B933" i="36"/>
  <c r="B934" i="36"/>
  <c r="B935" i="36"/>
  <c r="B936" i="36"/>
  <c r="B937" i="36"/>
  <c r="B938" i="36"/>
  <c r="B939" i="36"/>
  <c r="B940" i="36"/>
  <c r="B941" i="36"/>
  <c r="B942" i="36"/>
  <c r="B943" i="36"/>
  <c r="B944" i="36"/>
  <c r="B945" i="36"/>
  <c r="B946" i="36"/>
  <c r="B947" i="36"/>
  <c r="B948" i="36"/>
  <c r="B949" i="36"/>
  <c r="B950" i="36"/>
  <c r="B951" i="36"/>
  <c r="B952" i="36"/>
  <c r="B953" i="36"/>
  <c r="B954" i="36"/>
  <c r="B955" i="36"/>
  <c r="B956" i="36"/>
  <c r="B957" i="36"/>
  <c r="B958" i="36"/>
  <c r="B959" i="36"/>
  <c r="B960" i="36"/>
  <c r="B961" i="36"/>
  <c r="B962" i="36"/>
  <c r="B963" i="36"/>
  <c r="B964" i="36"/>
  <c r="B965" i="36"/>
  <c r="B966" i="36"/>
  <c r="B967" i="36"/>
  <c r="B968" i="36"/>
  <c r="B969" i="36"/>
  <c r="B970" i="36"/>
  <c r="B971" i="36"/>
  <c r="B972" i="36"/>
  <c r="B973" i="36"/>
  <c r="B974" i="36"/>
  <c r="B975" i="36"/>
  <c r="B976" i="36"/>
  <c r="B977" i="36"/>
  <c r="B978" i="36"/>
  <c r="B979" i="36"/>
  <c r="B980" i="36"/>
  <c r="B981" i="36"/>
  <c r="B982" i="36"/>
  <c r="B983" i="36"/>
  <c r="B984" i="36"/>
  <c r="B985" i="36"/>
  <c r="B986" i="36"/>
  <c r="B987" i="36"/>
  <c r="B988" i="36"/>
  <c r="B989" i="36"/>
  <c r="B990" i="36"/>
  <c r="B991" i="36"/>
  <c r="B992" i="36"/>
  <c r="B993" i="36"/>
  <c r="B994" i="36"/>
  <c r="B995" i="36"/>
  <c r="B996" i="36"/>
  <c r="B997" i="36"/>
  <c r="B998" i="36"/>
  <c r="B999" i="36"/>
  <c r="B1000" i="36"/>
  <c r="B1001" i="36"/>
  <c r="B1002" i="36"/>
  <c r="B1003" i="36"/>
  <c r="B1004" i="36"/>
  <c r="B1005" i="36"/>
  <c r="B1006" i="36"/>
  <c r="B1007" i="36"/>
  <c r="B1008" i="36"/>
  <c r="B1009" i="36"/>
  <c r="B1010" i="36"/>
  <c r="B2" i="35" l="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151" i="35"/>
  <c r="B152" i="35"/>
  <c r="B153" i="35"/>
  <c r="B154" i="35"/>
  <c r="B155" i="35"/>
  <c r="B156" i="35"/>
  <c r="B157" i="35"/>
  <c r="B158" i="35"/>
  <c r="B159" i="35"/>
  <c r="B160" i="35"/>
  <c r="B161" i="35"/>
  <c r="B162" i="35"/>
  <c r="B163" i="35"/>
  <c r="B164" i="35"/>
  <c r="B165" i="35"/>
  <c r="B166" i="35"/>
  <c r="B167" i="35"/>
  <c r="B168" i="35"/>
  <c r="B169" i="35"/>
  <c r="B170" i="35"/>
  <c r="B171" i="35"/>
  <c r="B172" i="35"/>
  <c r="B173" i="35"/>
  <c r="B174" i="35"/>
  <c r="B175" i="35"/>
  <c r="B176" i="35"/>
  <c r="B177" i="35"/>
  <c r="B178" i="35"/>
  <c r="B179" i="35"/>
  <c r="B180" i="35"/>
  <c r="B181" i="35"/>
  <c r="B182" i="35"/>
  <c r="B183" i="35"/>
  <c r="B184" i="35"/>
  <c r="B185" i="35"/>
  <c r="B186" i="35"/>
  <c r="B187" i="35"/>
  <c r="B188" i="35"/>
  <c r="B189" i="35"/>
  <c r="B190" i="35"/>
  <c r="B191" i="35"/>
  <c r="B192" i="35"/>
  <c r="B193" i="35"/>
  <c r="B194" i="35"/>
  <c r="B195" i="35"/>
  <c r="B196" i="35"/>
  <c r="B197" i="35"/>
  <c r="B198" i="35"/>
  <c r="B199" i="35"/>
  <c r="B200" i="35"/>
  <c r="B201" i="35"/>
  <c r="B202" i="35"/>
  <c r="B203" i="35"/>
  <c r="B204" i="35"/>
  <c r="B205" i="35"/>
  <c r="B206" i="35"/>
  <c r="B207" i="35"/>
  <c r="B208" i="35"/>
  <c r="B209" i="35"/>
  <c r="B210" i="35"/>
  <c r="B211" i="35"/>
  <c r="B212" i="35"/>
  <c r="B213" i="35"/>
  <c r="B214" i="35"/>
  <c r="B215" i="35"/>
  <c r="B216" i="35"/>
  <c r="B217" i="35"/>
  <c r="B218" i="35"/>
  <c r="B219" i="35"/>
  <c r="B220" i="35"/>
  <c r="B221" i="35"/>
  <c r="B222" i="35"/>
  <c r="B223" i="35"/>
  <c r="B224" i="35"/>
  <c r="B225" i="35"/>
  <c r="B226" i="35"/>
  <c r="B227" i="35"/>
  <c r="B228" i="35"/>
  <c r="B229" i="35"/>
  <c r="B230" i="35"/>
  <c r="B231" i="35"/>
  <c r="B232" i="35"/>
  <c r="B233" i="35"/>
  <c r="B234" i="35"/>
  <c r="B235" i="35"/>
  <c r="B236" i="35"/>
  <c r="B237" i="35"/>
  <c r="B238" i="35"/>
  <c r="B239" i="35"/>
  <c r="B240" i="35"/>
  <c r="B241" i="35"/>
  <c r="B242" i="35"/>
  <c r="B243" i="35"/>
  <c r="B244" i="35"/>
  <c r="B245" i="35"/>
  <c r="B246" i="35"/>
  <c r="B247" i="35"/>
  <c r="B248" i="35"/>
  <c r="B249" i="35"/>
  <c r="B250" i="35"/>
  <c r="B251" i="35"/>
  <c r="B252" i="35"/>
  <c r="B253" i="35"/>
  <c r="B254" i="35"/>
  <c r="B255" i="35"/>
  <c r="B256" i="35"/>
  <c r="B257" i="35"/>
  <c r="B258" i="35"/>
  <c r="B259" i="35"/>
  <c r="B260" i="35"/>
  <c r="B261" i="35"/>
  <c r="B262" i="35"/>
  <c r="B263" i="35"/>
  <c r="B264" i="35"/>
  <c r="B265" i="35"/>
  <c r="B266" i="35"/>
  <c r="B267" i="35"/>
  <c r="B268" i="35"/>
  <c r="B269" i="35"/>
  <c r="B270" i="35"/>
  <c r="B271" i="35"/>
  <c r="B272" i="35"/>
  <c r="B273" i="35"/>
  <c r="B274" i="35"/>
  <c r="B275" i="35"/>
  <c r="B276" i="35"/>
  <c r="B277" i="35"/>
  <c r="B278" i="35"/>
  <c r="B279" i="35"/>
  <c r="B280" i="35"/>
  <c r="B281" i="35"/>
  <c r="B282" i="35"/>
  <c r="B283" i="35"/>
  <c r="B284" i="35"/>
  <c r="B285" i="35"/>
  <c r="B286" i="35"/>
  <c r="B287" i="35"/>
  <c r="B288" i="35"/>
  <c r="B289" i="35"/>
  <c r="B290" i="35"/>
  <c r="B291" i="35"/>
  <c r="B292" i="35"/>
  <c r="B293" i="35"/>
  <c r="B294" i="35"/>
  <c r="B295" i="35"/>
  <c r="B296" i="35"/>
  <c r="B297" i="35"/>
  <c r="B298" i="35"/>
  <c r="B299" i="35"/>
  <c r="B300" i="35"/>
  <c r="B301" i="35"/>
  <c r="B302" i="35"/>
  <c r="B303" i="35"/>
  <c r="B304" i="35"/>
  <c r="B305" i="35"/>
  <c r="B306" i="35"/>
  <c r="B307" i="35"/>
  <c r="B308" i="35"/>
  <c r="B309" i="35"/>
  <c r="B310" i="35"/>
  <c r="B311" i="35"/>
  <c r="B312" i="35"/>
  <c r="B313" i="35"/>
  <c r="B314" i="35"/>
  <c r="B315" i="35"/>
  <c r="B316" i="35"/>
  <c r="B317" i="35"/>
  <c r="B318" i="35"/>
  <c r="B319" i="35"/>
  <c r="B320" i="35"/>
  <c r="B321" i="35"/>
  <c r="B322" i="35"/>
  <c r="B323" i="35"/>
  <c r="B324" i="35"/>
  <c r="B325" i="35"/>
  <c r="B326" i="35"/>
  <c r="B327" i="35"/>
  <c r="B328" i="35"/>
  <c r="B329" i="35"/>
  <c r="B330" i="35"/>
  <c r="B331" i="35"/>
  <c r="B332" i="35"/>
  <c r="B333" i="35"/>
  <c r="B334" i="35"/>
  <c r="B335" i="35"/>
  <c r="B336" i="35"/>
  <c r="B337" i="35"/>
  <c r="B338" i="35"/>
  <c r="B339" i="35"/>
  <c r="B340" i="35"/>
  <c r="B341" i="35"/>
  <c r="B342" i="35"/>
  <c r="B343" i="35"/>
  <c r="B344" i="35"/>
  <c r="B345" i="35"/>
  <c r="B346" i="35"/>
  <c r="B347" i="35"/>
  <c r="B348" i="35"/>
  <c r="B349" i="35"/>
  <c r="B350" i="35"/>
  <c r="B351" i="35"/>
  <c r="B352" i="35"/>
  <c r="B353" i="35"/>
  <c r="B354" i="35"/>
  <c r="B355" i="35"/>
  <c r="B356" i="35"/>
  <c r="B357" i="35"/>
  <c r="B358" i="35"/>
  <c r="B359" i="35"/>
  <c r="B360" i="35"/>
  <c r="B361" i="35"/>
  <c r="B362" i="35"/>
  <c r="B363" i="35"/>
  <c r="B364" i="35"/>
  <c r="B365" i="35"/>
  <c r="B366" i="35"/>
  <c r="B367" i="35"/>
  <c r="B368" i="35"/>
  <c r="B369" i="35"/>
  <c r="B370" i="35"/>
  <c r="B371" i="35"/>
  <c r="B372" i="35"/>
  <c r="B373" i="35"/>
  <c r="B374" i="35"/>
  <c r="B375" i="35"/>
  <c r="B376" i="35"/>
  <c r="B377" i="35"/>
  <c r="B378" i="35"/>
  <c r="B379" i="35"/>
  <c r="B380" i="35"/>
  <c r="B381" i="35"/>
  <c r="B382" i="35"/>
  <c r="B383" i="35"/>
  <c r="B384" i="35"/>
  <c r="B385" i="35"/>
  <c r="B386" i="35"/>
  <c r="B387" i="35"/>
  <c r="B388" i="35"/>
  <c r="B389" i="35"/>
  <c r="B390" i="35"/>
  <c r="B391" i="35"/>
  <c r="B392" i="35"/>
  <c r="B393" i="35"/>
  <c r="B394" i="35"/>
  <c r="B395" i="35"/>
  <c r="B396" i="35"/>
  <c r="B397" i="35"/>
  <c r="B398" i="35"/>
  <c r="B399" i="35"/>
  <c r="B400" i="35"/>
  <c r="B401" i="35"/>
  <c r="B402" i="35"/>
  <c r="B403" i="35"/>
  <c r="B404" i="35"/>
  <c r="B405" i="35"/>
  <c r="B406" i="35"/>
  <c r="B407" i="35"/>
  <c r="B408" i="35"/>
  <c r="B409" i="35"/>
  <c r="B410" i="35"/>
  <c r="B411" i="35"/>
  <c r="B412" i="35"/>
  <c r="B413" i="35"/>
  <c r="B414" i="35"/>
  <c r="B415" i="35"/>
  <c r="B416" i="35"/>
  <c r="B417" i="35"/>
  <c r="B418" i="35"/>
  <c r="B419" i="35"/>
  <c r="B420" i="35"/>
  <c r="B421" i="35"/>
  <c r="B422" i="35"/>
  <c r="B423" i="35"/>
  <c r="B424" i="35"/>
  <c r="B425" i="35"/>
  <c r="B426" i="35"/>
  <c r="B427" i="35"/>
  <c r="B428" i="35"/>
  <c r="B429" i="35"/>
  <c r="B430" i="35"/>
  <c r="B431" i="35"/>
  <c r="B432" i="35"/>
  <c r="B433" i="35"/>
  <c r="B434" i="35"/>
  <c r="B435" i="35"/>
  <c r="B436" i="35"/>
  <c r="B437" i="35"/>
  <c r="B438" i="35"/>
  <c r="B439" i="35"/>
  <c r="B440" i="35"/>
  <c r="B441" i="35"/>
  <c r="B442" i="35"/>
  <c r="B443" i="35"/>
  <c r="B444" i="35"/>
  <c r="B445" i="35"/>
  <c r="B446" i="35"/>
  <c r="B447" i="35"/>
  <c r="B448" i="35"/>
  <c r="B449" i="35"/>
  <c r="B450" i="35"/>
  <c r="B451" i="35"/>
  <c r="B452" i="35"/>
  <c r="B453" i="35"/>
  <c r="B454" i="35"/>
  <c r="B455" i="35"/>
  <c r="B456" i="35"/>
  <c r="B457" i="35"/>
  <c r="B458" i="35"/>
  <c r="B459" i="35"/>
  <c r="B460" i="35"/>
  <c r="B461" i="35"/>
  <c r="B462" i="35"/>
  <c r="B463" i="35"/>
  <c r="B464" i="35"/>
  <c r="B465" i="35"/>
  <c r="B466" i="35"/>
  <c r="B467" i="35"/>
  <c r="B468" i="35"/>
  <c r="B469" i="35"/>
  <c r="B470" i="35"/>
  <c r="B471" i="35"/>
  <c r="B472" i="35"/>
  <c r="B473" i="35"/>
  <c r="B474" i="35"/>
  <c r="B475" i="35"/>
  <c r="B476" i="35"/>
  <c r="B477" i="35"/>
  <c r="B478" i="35"/>
  <c r="B479" i="35"/>
  <c r="B480" i="35"/>
  <c r="B481" i="35"/>
  <c r="B482" i="35"/>
  <c r="B483" i="35"/>
  <c r="B484" i="35"/>
  <c r="B485" i="35"/>
  <c r="B486" i="35"/>
  <c r="B487" i="35"/>
  <c r="B488" i="35"/>
  <c r="B489" i="35"/>
  <c r="B490" i="35"/>
  <c r="B491" i="35"/>
  <c r="B492" i="35"/>
  <c r="B493" i="35"/>
  <c r="B494" i="35"/>
  <c r="B495" i="35"/>
  <c r="B496" i="35"/>
  <c r="B497" i="35"/>
  <c r="B498" i="35"/>
  <c r="B499" i="35"/>
  <c r="B500" i="35"/>
  <c r="B501" i="35"/>
  <c r="B502" i="35"/>
  <c r="B503" i="35"/>
  <c r="B504" i="35"/>
  <c r="B505" i="35"/>
  <c r="B506" i="35"/>
  <c r="B507" i="35"/>
  <c r="B508" i="35"/>
  <c r="B509" i="35"/>
  <c r="B510" i="35"/>
  <c r="B511" i="35"/>
  <c r="B512" i="35"/>
  <c r="B513" i="35"/>
  <c r="B514" i="35"/>
  <c r="B515" i="35"/>
  <c r="B516" i="35"/>
  <c r="B517" i="35"/>
  <c r="B518" i="35"/>
  <c r="B519" i="35"/>
  <c r="B520" i="35"/>
  <c r="B521" i="35"/>
  <c r="B522" i="35"/>
  <c r="B523" i="35"/>
  <c r="B524" i="35"/>
  <c r="B525" i="35"/>
  <c r="B526" i="35"/>
  <c r="B527" i="35"/>
  <c r="B528" i="35"/>
  <c r="B529" i="35"/>
  <c r="B530" i="35"/>
  <c r="B531" i="35"/>
  <c r="B532" i="35"/>
  <c r="B533" i="35"/>
  <c r="B534" i="35"/>
  <c r="B535" i="35"/>
  <c r="B536" i="35"/>
  <c r="B537" i="35"/>
  <c r="B538" i="35"/>
  <c r="B539" i="35"/>
  <c r="B540" i="35"/>
  <c r="B541" i="35"/>
  <c r="B542" i="35"/>
  <c r="B543" i="35"/>
  <c r="B544" i="35"/>
  <c r="B545" i="35"/>
  <c r="B546" i="35"/>
  <c r="B547" i="35"/>
  <c r="B548" i="35"/>
  <c r="B549" i="35"/>
  <c r="B550" i="35"/>
  <c r="B551" i="35"/>
  <c r="B552" i="35"/>
  <c r="B553" i="35"/>
  <c r="B554" i="35"/>
  <c r="B555" i="35"/>
  <c r="B556" i="35"/>
  <c r="B557" i="35"/>
  <c r="B558" i="35"/>
  <c r="B559" i="35"/>
  <c r="B560" i="35"/>
  <c r="B561" i="35"/>
  <c r="B562" i="35"/>
  <c r="B563" i="35"/>
  <c r="B564" i="35"/>
  <c r="B565" i="35"/>
  <c r="B566" i="35"/>
  <c r="B567" i="35"/>
  <c r="B568" i="35"/>
  <c r="B569" i="35"/>
  <c r="B570" i="35"/>
  <c r="B571" i="35"/>
  <c r="B572" i="35"/>
  <c r="B573" i="35"/>
  <c r="B574" i="35"/>
  <c r="B575" i="35"/>
  <c r="B576" i="35"/>
  <c r="B577" i="35"/>
  <c r="B578" i="35"/>
  <c r="B579" i="35"/>
  <c r="B580" i="35"/>
  <c r="B581" i="35"/>
  <c r="B582" i="35"/>
  <c r="B583" i="35"/>
  <c r="B584" i="35"/>
  <c r="B585" i="35"/>
  <c r="B586" i="35"/>
  <c r="B587" i="35"/>
  <c r="B588" i="35"/>
  <c r="B589" i="35"/>
  <c r="B590" i="35"/>
  <c r="B591" i="35"/>
  <c r="B592" i="35"/>
  <c r="B593" i="35"/>
  <c r="B594" i="35"/>
  <c r="B595" i="35"/>
  <c r="B596" i="35"/>
  <c r="B597" i="35"/>
  <c r="B598" i="35"/>
  <c r="B599" i="35"/>
  <c r="B600" i="35"/>
  <c r="B601" i="35"/>
  <c r="B602" i="35"/>
  <c r="B603" i="35"/>
  <c r="B604" i="35"/>
  <c r="B605" i="35"/>
  <c r="B606" i="35"/>
  <c r="B607" i="35"/>
  <c r="B608" i="35"/>
  <c r="B609" i="35"/>
  <c r="B610" i="35"/>
  <c r="B611" i="35"/>
  <c r="B612" i="35"/>
  <c r="B613" i="35"/>
  <c r="B614" i="35"/>
  <c r="B615" i="35"/>
  <c r="B616" i="35"/>
  <c r="B617" i="35"/>
  <c r="B618" i="35"/>
  <c r="B619" i="35"/>
  <c r="B620" i="35"/>
  <c r="B621" i="35"/>
  <c r="B622" i="35"/>
  <c r="B623" i="35"/>
  <c r="B624" i="35"/>
  <c r="B625" i="35"/>
  <c r="B626" i="35"/>
  <c r="B627" i="35"/>
  <c r="B628" i="35"/>
  <c r="B629" i="35"/>
  <c r="B630" i="35"/>
  <c r="B631" i="35"/>
  <c r="B632" i="35"/>
  <c r="B633" i="35"/>
  <c r="B634" i="35"/>
  <c r="B635" i="35"/>
  <c r="B636" i="35"/>
  <c r="B637" i="35"/>
  <c r="B638" i="35"/>
  <c r="B639" i="35"/>
  <c r="B640" i="35"/>
  <c r="B641" i="35"/>
  <c r="B642" i="35"/>
  <c r="B643" i="35"/>
  <c r="B644" i="35"/>
  <c r="B645" i="35"/>
  <c r="B646" i="35"/>
  <c r="B647" i="35"/>
  <c r="B648" i="35"/>
  <c r="B649" i="35"/>
  <c r="B650" i="35"/>
  <c r="B651" i="35"/>
  <c r="B652" i="35"/>
  <c r="B653" i="35"/>
  <c r="B654" i="35"/>
  <c r="B655" i="35"/>
  <c r="B656" i="35"/>
  <c r="B657" i="35"/>
  <c r="B658" i="35"/>
  <c r="B659" i="35"/>
  <c r="B660" i="35"/>
  <c r="B661" i="35"/>
  <c r="B662" i="35"/>
  <c r="B663" i="35"/>
  <c r="B664" i="35"/>
  <c r="B665" i="35"/>
  <c r="B666" i="35"/>
  <c r="B667" i="35"/>
  <c r="B668" i="35"/>
  <c r="B669" i="35"/>
  <c r="B670" i="35"/>
  <c r="B671" i="35"/>
  <c r="B672" i="35"/>
  <c r="B673" i="35"/>
  <c r="B674" i="35"/>
  <c r="B675" i="35"/>
  <c r="B676" i="35"/>
  <c r="B677" i="35"/>
  <c r="B678" i="35"/>
  <c r="B679" i="35"/>
  <c r="B680" i="35"/>
  <c r="B681" i="35"/>
  <c r="B682" i="35"/>
  <c r="B683" i="35"/>
  <c r="B684" i="35"/>
  <c r="B685" i="35"/>
  <c r="B686" i="35"/>
  <c r="B687" i="35"/>
  <c r="B688" i="35"/>
  <c r="B689" i="35"/>
  <c r="B690" i="35"/>
  <c r="B691" i="35"/>
  <c r="B692" i="35"/>
  <c r="B693" i="35"/>
  <c r="B694" i="35"/>
  <c r="B695" i="35"/>
  <c r="B696" i="35"/>
  <c r="B697" i="35"/>
  <c r="B698" i="35"/>
  <c r="B699" i="35"/>
  <c r="B700" i="35"/>
  <c r="B701" i="35"/>
  <c r="B702" i="35"/>
  <c r="B703" i="35"/>
  <c r="B704" i="35"/>
  <c r="B705" i="35"/>
  <c r="B706" i="35"/>
  <c r="B707" i="35"/>
  <c r="B708" i="35"/>
  <c r="B709" i="35"/>
  <c r="B710" i="35"/>
  <c r="B711" i="35"/>
  <c r="B712" i="35"/>
  <c r="B713" i="35"/>
  <c r="B714" i="35"/>
  <c r="B715" i="35"/>
  <c r="B716" i="35"/>
  <c r="B717" i="35"/>
  <c r="B718" i="35"/>
  <c r="B719" i="35"/>
  <c r="B720" i="35"/>
  <c r="B721" i="35"/>
  <c r="B722" i="35"/>
  <c r="B723" i="35"/>
  <c r="B724" i="35"/>
  <c r="B725" i="35"/>
  <c r="B726" i="35"/>
  <c r="B727" i="35"/>
  <c r="B728" i="35"/>
  <c r="B729" i="35"/>
  <c r="B730" i="35"/>
  <c r="B731" i="35"/>
  <c r="B732" i="35"/>
  <c r="B733" i="35"/>
  <c r="B734" i="35"/>
  <c r="B735" i="35"/>
  <c r="B736" i="35"/>
  <c r="B737" i="35"/>
  <c r="B738" i="35"/>
  <c r="B739" i="35"/>
  <c r="B740" i="35"/>
  <c r="B741" i="35"/>
  <c r="B742" i="35"/>
  <c r="B743" i="35"/>
  <c r="B744" i="35"/>
  <c r="B745" i="35"/>
  <c r="B746" i="35"/>
  <c r="B747" i="35"/>
  <c r="B748" i="35"/>
  <c r="B749" i="35"/>
  <c r="B750" i="35"/>
  <c r="B751" i="35"/>
  <c r="B752" i="35"/>
  <c r="B753" i="35"/>
  <c r="B754" i="35"/>
  <c r="B755" i="35"/>
  <c r="B756" i="35"/>
  <c r="B757" i="35"/>
  <c r="B758" i="35"/>
  <c r="B759" i="35"/>
  <c r="B760" i="35"/>
  <c r="B761" i="35"/>
  <c r="B762" i="35"/>
  <c r="B763" i="35"/>
  <c r="B764" i="35"/>
  <c r="B765" i="35"/>
  <c r="B766" i="35"/>
  <c r="B767" i="35"/>
  <c r="B768" i="35"/>
  <c r="B769" i="35"/>
  <c r="B770" i="35"/>
  <c r="B771" i="35"/>
  <c r="B772" i="35"/>
  <c r="B773" i="35"/>
  <c r="B774" i="35"/>
  <c r="B775" i="35"/>
  <c r="B776" i="35"/>
  <c r="B777" i="35"/>
  <c r="B778" i="35"/>
  <c r="B779" i="35"/>
  <c r="B780" i="35"/>
  <c r="B781" i="35"/>
  <c r="B782" i="35"/>
  <c r="B783" i="35"/>
  <c r="B784" i="35"/>
  <c r="B785" i="35"/>
  <c r="B786" i="35"/>
  <c r="B787" i="35"/>
  <c r="B788" i="35"/>
  <c r="B789" i="35"/>
  <c r="B790" i="35"/>
  <c r="B791" i="35"/>
  <c r="B792" i="35"/>
  <c r="B793" i="35"/>
  <c r="B794" i="35"/>
  <c r="B795" i="35"/>
  <c r="B796" i="35"/>
  <c r="B797" i="35"/>
  <c r="B798" i="35"/>
  <c r="B799" i="35"/>
  <c r="B800" i="35"/>
  <c r="B801" i="35"/>
  <c r="B802" i="35"/>
  <c r="B803" i="35"/>
  <c r="B804" i="35"/>
  <c r="B805" i="35"/>
  <c r="B806" i="35"/>
  <c r="B807" i="35"/>
  <c r="B808" i="35"/>
  <c r="B809" i="35"/>
  <c r="B810" i="35"/>
  <c r="B811" i="35"/>
  <c r="B812" i="35"/>
  <c r="B813" i="35"/>
  <c r="B814" i="35"/>
  <c r="B815" i="35"/>
  <c r="B816" i="35"/>
  <c r="B817" i="35"/>
  <c r="B818" i="35"/>
  <c r="B819" i="35"/>
  <c r="B820" i="35"/>
  <c r="B821" i="35"/>
  <c r="B822" i="35"/>
  <c r="B823" i="35"/>
  <c r="B824" i="35"/>
  <c r="B825" i="35"/>
  <c r="B826" i="35"/>
  <c r="B827" i="35"/>
  <c r="B828" i="35"/>
  <c r="B829" i="35"/>
  <c r="B830" i="35"/>
  <c r="B831" i="35"/>
  <c r="B832" i="35"/>
  <c r="B833" i="35"/>
  <c r="B834" i="35"/>
  <c r="B835" i="35"/>
  <c r="B836" i="35"/>
  <c r="B837" i="35"/>
  <c r="B838" i="35"/>
  <c r="B839" i="35"/>
  <c r="B840" i="35"/>
  <c r="B841" i="35"/>
  <c r="B842" i="35"/>
  <c r="B843" i="35"/>
  <c r="B844" i="35"/>
  <c r="B845" i="35"/>
  <c r="B846" i="35"/>
  <c r="B847" i="35"/>
  <c r="B848" i="35"/>
  <c r="B849" i="35"/>
  <c r="B850" i="35"/>
  <c r="B851" i="35"/>
  <c r="B852" i="35"/>
  <c r="B853" i="35"/>
  <c r="B854" i="35"/>
  <c r="B855" i="35"/>
  <c r="B856" i="35"/>
  <c r="B857" i="35"/>
  <c r="B858" i="35"/>
  <c r="B859" i="35"/>
  <c r="B860" i="35"/>
  <c r="B861" i="35"/>
  <c r="B862" i="35"/>
  <c r="B863" i="35"/>
  <c r="B864" i="35"/>
  <c r="B865" i="35"/>
  <c r="B866" i="35"/>
  <c r="B867" i="35"/>
  <c r="B868" i="35"/>
  <c r="B869" i="35"/>
  <c r="B870" i="35"/>
  <c r="B871" i="35"/>
  <c r="B872" i="35"/>
  <c r="B873" i="35"/>
  <c r="B874" i="35"/>
  <c r="B875" i="35"/>
  <c r="B876" i="35"/>
  <c r="B877" i="35"/>
  <c r="B878" i="35"/>
  <c r="B879" i="35"/>
  <c r="B880" i="35"/>
  <c r="B881" i="35"/>
  <c r="B882" i="35"/>
  <c r="B883" i="35"/>
  <c r="B884" i="35"/>
  <c r="B885" i="35"/>
  <c r="B886" i="35"/>
  <c r="B887" i="35"/>
  <c r="B888" i="35"/>
  <c r="B889" i="35"/>
  <c r="B890" i="35"/>
  <c r="B891" i="35"/>
  <c r="B892" i="35"/>
  <c r="B893" i="35"/>
  <c r="B894" i="35"/>
  <c r="B895" i="35"/>
  <c r="B896" i="35"/>
  <c r="B897" i="35"/>
  <c r="B898" i="35"/>
  <c r="B899" i="35"/>
  <c r="B900" i="35"/>
  <c r="B901" i="35"/>
  <c r="B902" i="35"/>
  <c r="B903" i="35"/>
  <c r="B904" i="35"/>
  <c r="B905" i="35"/>
  <c r="B906" i="35"/>
  <c r="B907" i="35"/>
  <c r="B908" i="35"/>
  <c r="B909" i="35"/>
  <c r="B910" i="35"/>
  <c r="B911" i="35"/>
  <c r="B912" i="35"/>
  <c r="B913" i="35"/>
  <c r="B914" i="35"/>
  <c r="B915" i="35"/>
  <c r="B916" i="35"/>
  <c r="B917" i="35"/>
  <c r="B918" i="35"/>
  <c r="B919" i="35"/>
  <c r="B920" i="35"/>
  <c r="B921" i="35"/>
  <c r="B922" i="35"/>
  <c r="B923" i="35"/>
  <c r="B924" i="35"/>
  <c r="B925" i="35"/>
  <c r="B926" i="35"/>
  <c r="B927" i="35"/>
  <c r="B928" i="35"/>
  <c r="B929" i="35"/>
  <c r="B930" i="35"/>
  <c r="B931" i="35"/>
  <c r="B932" i="35"/>
  <c r="B933" i="35"/>
  <c r="B934" i="35"/>
  <c r="B935" i="35"/>
  <c r="B936" i="35"/>
  <c r="B937" i="35"/>
  <c r="B938" i="35"/>
  <c r="B939" i="35"/>
  <c r="B940" i="35"/>
  <c r="B941" i="35"/>
  <c r="B942" i="35"/>
  <c r="B943" i="35"/>
  <c r="B944" i="35"/>
  <c r="B945" i="35"/>
  <c r="B946" i="35"/>
  <c r="B947" i="35"/>
  <c r="B948" i="35"/>
  <c r="B949" i="35"/>
  <c r="B950" i="35"/>
  <c r="B951" i="35"/>
  <c r="B952" i="35"/>
  <c r="B953" i="35"/>
  <c r="B954" i="35"/>
  <c r="B955" i="35"/>
  <c r="B956" i="35"/>
  <c r="B957" i="35"/>
  <c r="B958" i="35"/>
  <c r="B959" i="35"/>
  <c r="B960" i="35"/>
  <c r="B961" i="35"/>
  <c r="B962" i="35"/>
  <c r="B963" i="35"/>
  <c r="B964" i="35"/>
  <c r="B965" i="35"/>
  <c r="B966" i="35"/>
  <c r="B967" i="35"/>
  <c r="B968" i="35"/>
  <c r="B969" i="35"/>
  <c r="B970" i="35"/>
  <c r="B971" i="35"/>
  <c r="B972" i="35"/>
  <c r="B973" i="35"/>
  <c r="B974" i="35"/>
  <c r="B975" i="35"/>
  <c r="B976" i="35"/>
  <c r="B977" i="35"/>
  <c r="B978" i="35"/>
  <c r="B979" i="35"/>
  <c r="B980" i="35"/>
  <c r="B981" i="35"/>
  <c r="B982" i="35"/>
  <c r="B983" i="35"/>
  <c r="B984" i="35"/>
  <c r="B985" i="35"/>
  <c r="B986" i="35"/>
  <c r="B987" i="35"/>
  <c r="B988" i="35"/>
  <c r="B989" i="35"/>
  <c r="B990" i="35"/>
  <c r="B991" i="35"/>
  <c r="B992" i="35"/>
  <c r="B993" i="35"/>
  <c r="B994" i="35"/>
  <c r="B995" i="35"/>
  <c r="B996" i="35"/>
  <c r="B997" i="35"/>
  <c r="B998" i="35"/>
  <c r="B999" i="35"/>
  <c r="B1000" i="35"/>
  <c r="B1001" i="35"/>
  <c r="B1002" i="35"/>
  <c r="B1003" i="35"/>
  <c r="B1004" i="35"/>
  <c r="B1005" i="35"/>
  <c r="B1006" i="35"/>
  <c r="B1007" i="35"/>
  <c r="B1008" i="35"/>
  <c r="B1009" i="35"/>
  <c r="B1010" i="35"/>
  <c r="B1011" i="35"/>
  <c r="B1012" i="35"/>
  <c r="B1013" i="35"/>
  <c r="B1014" i="35"/>
  <c r="B1015" i="35"/>
  <c r="B1016" i="35"/>
  <c r="B1017" i="35"/>
  <c r="B1018" i="35"/>
  <c r="B1019" i="35"/>
  <c r="B1020" i="35"/>
  <c r="B1021" i="35"/>
  <c r="B1022" i="35"/>
  <c r="B1023" i="35"/>
  <c r="B1024" i="35"/>
  <c r="B1025" i="35"/>
  <c r="B1026" i="35"/>
  <c r="B1027" i="35"/>
  <c r="B1028" i="35"/>
  <c r="B1029" i="35"/>
  <c r="B1030" i="35"/>
  <c r="B1031" i="35"/>
  <c r="B1032" i="35"/>
  <c r="B1033" i="35"/>
  <c r="B1034" i="35"/>
  <c r="B1035" i="35"/>
  <c r="B1036" i="35"/>
  <c r="B1037" i="35"/>
  <c r="B1038" i="35"/>
  <c r="B1039" i="35"/>
  <c r="B1040" i="35"/>
  <c r="B1041" i="35"/>
  <c r="B1042" i="35"/>
  <c r="B1043" i="35"/>
  <c r="B1044" i="35"/>
  <c r="B1045" i="35"/>
  <c r="B1046" i="35"/>
  <c r="B1047" i="35"/>
  <c r="B1048" i="35"/>
  <c r="B1049" i="35"/>
  <c r="B1050" i="35"/>
  <c r="B1051" i="35"/>
  <c r="B1052" i="35"/>
  <c r="B1053" i="35"/>
  <c r="B1054" i="35"/>
  <c r="B1055" i="35"/>
  <c r="B1056" i="35"/>
  <c r="B1057" i="35"/>
  <c r="B1058" i="35"/>
  <c r="B1059" i="35"/>
  <c r="B1060" i="35"/>
  <c r="B1061" i="35"/>
  <c r="B1062" i="35"/>
  <c r="B1063" i="35"/>
  <c r="B1064" i="35"/>
  <c r="B1065" i="35"/>
  <c r="B1066" i="35"/>
  <c r="B1067" i="35"/>
  <c r="B1068" i="35"/>
  <c r="B1069" i="35"/>
  <c r="B1070" i="35"/>
  <c r="B1071" i="35"/>
  <c r="B1072" i="35"/>
  <c r="B1073" i="35"/>
  <c r="B1074" i="35"/>
  <c r="B1075" i="35"/>
  <c r="B1076" i="35"/>
  <c r="B1077" i="35"/>
  <c r="B1078" i="35"/>
  <c r="B1079" i="35"/>
  <c r="B1080" i="35"/>
  <c r="B1081" i="35"/>
  <c r="B1082" i="35"/>
  <c r="B1083" i="35"/>
  <c r="B1084" i="35"/>
  <c r="B1085" i="35"/>
  <c r="B1086" i="35"/>
  <c r="B1087" i="35"/>
  <c r="B1088" i="35"/>
  <c r="B1089" i="35"/>
  <c r="B1090" i="35"/>
  <c r="B1091" i="35"/>
  <c r="B1092" i="35"/>
  <c r="B1093" i="35"/>
  <c r="B1094" i="35"/>
  <c r="B1095" i="35"/>
  <c r="B1096" i="35"/>
  <c r="B1097" i="35"/>
  <c r="B1098" i="35"/>
  <c r="B1099" i="35"/>
  <c r="B1100" i="35"/>
  <c r="B1101" i="35"/>
  <c r="B1102" i="35"/>
  <c r="B1103" i="35"/>
  <c r="B1104" i="35"/>
  <c r="B1105" i="35"/>
  <c r="B1106" i="35"/>
  <c r="B1107" i="35"/>
  <c r="B1108" i="35"/>
  <c r="B1109" i="35"/>
  <c r="B1110" i="35"/>
  <c r="B1111" i="35"/>
  <c r="B1112" i="35"/>
  <c r="B1113" i="35"/>
  <c r="B1114" i="35"/>
  <c r="B1115" i="35"/>
  <c r="B1116" i="35"/>
  <c r="B1117" i="35"/>
  <c r="B1118" i="35"/>
  <c r="B1119" i="35"/>
  <c r="B1120" i="35"/>
  <c r="B1121" i="35"/>
  <c r="B1122" i="35"/>
  <c r="B1123" i="35"/>
  <c r="B1124" i="35"/>
  <c r="B1125" i="35"/>
  <c r="B1126" i="35"/>
  <c r="B1127" i="35"/>
  <c r="B1128" i="35"/>
  <c r="B1129" i="35"/>
  <c r="B1130" i="35"/>
  <c r="B1131" i="35"/>
  <c r="B1132" i="35"/>
  <c r="B1133" i="35"/>
  <c r="B1134" i="35"/>
  <c r="B1135" i="35"/>
  <c r="B1136" i="35"/>
  <c r="B1137" i="35"/>
  <c r="B1138" i="35"/>
  <c r="B1139" i="35"/>
  <c r="B1140" i="35"/>
  <c r="B1141" i="35"/>
  <c r="B1142" i="35"/>
  <c r="B1143" i="35"/>
  <c r="B1144" i="35"/>
  <c r="B1145" i="35"/>
  <c r="B1146" i="35"/>
  <c r="B1147" i="35"/>
  <c r="B1148" i="35"/>
  <c r="B1149" i="35"/>
  <c r="B1150" i="35"/>
  <c r="B1151" i="35"/>
  <c r="B1152" i="35"/>
  <c r="B1153" i="35"/>
  <c r="B1154" i="35"/>
  <c r="B1155" i="35"/>
  <c r="B1156" i="35"/>
  <c r="B1157" i="35"/>
  <c r="B1158" i="35"/>
  <c r="B1159" i="35"/>
  <c r="B1160" i="35"/>
  <c r="B1161" i="35"/>
  <c r="B1162" i="35"/>
  <c r="B1163" i="35"/>
  <c r="B1164" i="35"/>
  <c r="B1165" i="35"/>
  <c r="B1166" i="35"/>
  <c r="B1167" i="35"/>
  <c r="B1168" i="35"/>
  <c r="B1169" i="35"/>
  <c r="B1170" i="35"/>
  <c r="B1171" i="35"/>
  <c r="B1172" i="35"/>
  <c r="B1173" i="35"/>
  <c r="B1174" i="35"/>
  <c r="B1175" i="35"/>
  <c r="B1176" i="35"/>
  <c r="B1177" i="35"/>
  <c r="B1178" i="35"/>
  <c r="B1179" i="35"/>
  <c r="B1180" i="35"/>
  <c r="B1181" i="35"/>
  <c r="B1182" i="35"/>
  <c r="B1183" i="35"/>
  <c r="B1184" i="35"/>
  <c r="B1185" i="35"/>
  <c r="B1186" i="35"/>
  <c r="B1187" i="35"/>
  <c r="B1188" i="35"/>
  <c r="B1189" i="35"/>
  <c r="B1190" i="35"/>
  <c r="B1191" i="35"/>
  <c r="B1192" i="35"/>
  <c r="B1193" i="35"/>
  <c r="B1194" i="35"/>
  <c r="B1195" i="35"/>
  <c r="B1196" i="35"/>
  <c r="B1197" i="35"/>
  <c r="B1198" i="35"/>
  <c r="B1199" i="35"/>
  <c r="B1200" i="35"/>
  <c r="B1201" i="35"/>
  <c r="B1202" i="35"/>
  <c r="B1203" i="35"/>
  <c r="B1204" i="35"/>
  <c r="B1205" i="35"/>
  <c r="B1206" i="35"/>
  <c r="B1207" i="35"/>
  <c r="B1208" i="35"/>
  <c r="B1209" i="35"/>
  <c r="B1210" i="35"/>
  <c r="B1211" i="35"/>
  <c r="B1212" i="35"/>
  <c r="B1213" i="35"/>
  <c r="B1214" i="35"/>
  <c r="B1215" i="35"/>
  <c r="B1216" i="35"/>
  <c r="B1217" i="35"/>
  <c r="B1218" i="35"/>
  <c r="B1219" i="35"/>
  <c r="B1220" i="35"/>
  <c r="B1221" i="35"/>
  <c r="B1222" i="35"/>
  <c r="B1223" i="35"/>
  <c r="B1224" i="35"/>
  <c r="B1225" i="35"/>
  <c r="B1226" i="35"/>
  <c r="B1227" i="35"/>
  <c r="B1228" i="35"/>
  <c r="B1229" i="35"/>
  <c r="B1230" i="35"/>
  <c r="B1231" i="35"/>
  <c r="B1232" i="35"/>
  <c r="B1233" i="35"/>
  <c r="B1234" i="35"/>
  <c r="B1235" i="35"/>
  <c r="B1236" i="35"/>
  <c r="B1237" i="35"/>
  <c r="B1238" i="35"/>
  <c r="B1239" i="35"/>
  <c r="B1240" i="35"/>
  <c r="B1241" i="35"/>
  <c r="B1242" i="35"/>
  <c r="B1243" i="35"/>
  <c r="B1244" i="35"/>
  <c r="B1245" i="35"/>
  <c r="B1246" i="35"/>
  <c r="B1247" i="35"/>
  <c r="B1248" i="35"/>
  <c r="B1249" i="35"/>
  <c r="B1250" i="35"/>
  <c r="B1251" i="35"/>
  <c r="B1252" i="35"/>
  <c r="B1253" i="35"/>
  <c r="B1254" i="35"/>
  <c r="B1255" i="35"/>
  <c r="B1256" i="35"/>
  <c r="B1257" i="35"/>
  <c r="B1258" i="35"/>
  <c r="B1259" i="35"/>
  <c r="B1260" i="35"/>
  <c r="B1261" i="35"/>
  <c r="B1262" i="35"/>
  <c r="B1263" i="35"/>
  <c r="B1264" i="35"/>
  <c r="B1265" i="35"/>
  <c r="B1266" i="35"/>
  <c r="B1267" i="35"/>
  <c r="B1268" i="35"/>
  <c r="B1269" i="35"/>
  <c r="B1270" i="35"/>
  <c r="B1271" i="35"/>
  <c r="B1272" i="35"/>
  <c r="B1273" i="35"/>
  <c r="B1274" i="35"/>
  <c r="B1275" i="35"/>
  <c r="B1276" i="35"/>
  <c r="B1277" i="35"/>
  <c r="B1278" i="35"/>
  <c r="B1279" i="35"/>
  <c r="B1280" i="35"/>
  <c r="B1281" i="35"/>
  <c r="B1282" i="35"/>
  <c r="B1283" i="35"/>
  <c r="B1284" i="35"/>
  <c r="B1285" i="35"/>
  <c r="B1286" i="35"/>
  <c r="B1287" i="35"/>
  <c r="B1288" i="35"/>
  <c r="B1289" i="35"/>
  <c r="B1290" i="35"/>
  <c r="B1291" i="35"/>
  <c r="B1292" i="35"/>
  <c r="B1293" i="35"/>
  <c r="B1294" i="35"/>
  <c r="B1295" i="35"/>
  <c r="B1296" i="35"/>
  <c r="B1297" i="35"/>
  <c r="B1298" i="35"/>
  <c r="B1299" i="35"/>
  <c r="B1300" i="35"/>
  <c r="B1301" i="35"/>
  <c r="B1302" i="35"/>
  <c r="B1303" i="35"/>
  <c r="B1304" i="35"/>
  <c r="B1305" i="35"/>
  <c r="B1306" i="35"/>
  <c r="B1307" i="35"/>
  <c r="B1308" i="35"/>
  <c r="B1309" i="35"/>
  <c r="B1310" i="35"/>
  <c r="B1311" i="35"/>
  <c r="B1312" i="35"/>
  <c r="B1313" i="35"/>
  <c r="B1314" i="35"/>
  <c r="B1315" i="35"/>
  <c r="B1316" i="35"/>
  <c r="B1317" i="35"/>
  <c r="B1318" i="35"/>
  <c r="B1319" i="35"/>
  <c r="B1320" i="35"/>
  <c r="B1321" i="35"/>
  <c r="B1322" i="35"/>
  <c r="B1323" i="35"/>
  <c r="B1324" i="35"/>
  <c r="B1325" i="35"/>
  <c r="B1326" i="35"/>
  <c r="B1327" i="35"/>
  <c r="B1328" i="35"/>
  <c r="B1329" i="35"/>
  <c r="B1330" i="35"/>
  <c r="B1331" i="35"/>
  <c r="B1332" i="35"/>
  <c r="B1333" i="35"/>
  <c r="B1334" i="35"/>
  <c r="B1335" i="35"/>
  <c r="B1336" i="35"/>
  <c r="B1337" i="35"/>
  <c r="B1338" i="35"/>
  <c r="B1339" i="35"/>
  <c r="B1340" i="35"/>
  <c r="B1341" i="35"/>
  <c r="B1342" i="35"/>
  <c r="B1343" i="35"/>
  <c r="B1344" i="35"/>
  <c r="B1345" i="35"/>
  <c r="B1346" i="35"/>
  <c r="B1347" i="35"/>
  <c r="B1348" i="35"/>
  <c r="B1349" i="35"/>
  <c r="B1350" i="35"/>
  <c r="B1351" i="35"/>
  <c r="B1352" i="35"/>
  <c r="B1353" i="35"/>
  <c r="B1354" i="35"/>
  <c r="B1355" i="35"/>
  <c r="B1356" i="35"/>
  <c r="B1357" i="35"/>
  <c r="B1358" i="35"/>
  <c r="B1359" i="35"/>
  <c r="B1360" i="35"/>
  <c r="B1361" i="35"/>
  <c r="B1362" i="35"/>
  <c r="B1363" i="35"/>
  <c r="B1364" i="35"/>
  <c r="B1365" i="35"/>
  <c r="B1366" i="35"/>
  <c r="B1367" i="35"/>
  <c r="B1368" i="35"/>
  <c r="B1369" i="35"/>
  <c r="B1370" i="35"/>
  <c r="B1371" i="35"/>
  <c r="B1372" i="35"/>
  <c r="B1373" i="35"/>
  <c r="B1374" i="35"/>
  <c r="B1375" i="35"/>
  <c r="B1376" i="35"/>
  <c r="B1377" i="35"/>
  <c r="B1378" i="35"/>
  <c r="B1379" i="35"/>
  <c r="B1380" i="35"/>
  <c r="B1381" i="35"/>
  <c r="B1382" i="35"/>
  <c r="B1383" i="35"/>
  <c r="B1384" i="35"/>
  <c r="B1385" i="35"/>
  <c r="B1386" i="35"/>
  <c r="B1387" i="35"/>
  <c r="B1388" i="35"/>
  <c r="B1389" i="35"/>
  <c r="B1390" i="35"/>
  <c r="B1391" i="35"/>
  <c r="B1392" i="35"/>
  <c r="B1393" i="35"/>
  <c r="B1394" i="35"/>
  <c r="B1395" i="35"/>
  <c r="B1396" i="35"/>
  <c r="B1397" i="35"/>
  <c r="B1398" i="35"/>
  <c r="B1399" i="35"/>
  <c r="B1400" i="35"/>
  <c r="B1401" i="35"/>
  <c r="B1402" i="35"/>
  <c r="B1403" i="35"/>
  <c r="B1404" i="35"/>
  <c r="B1405" i="35"/>
  <c r="B1406" i="35"/>
  <c r="B1407" i="35"/>
  <c r="B1408" i="35"/>
  <c r="B1409" i="35"/>
  <c r="B1410" i="35"/>
  <c r="B1411" i="35"/>
  <c r="B1412" i="35"/>
  <c r="B1413" i="35"/>
  <c r="B1414" i="35"/>
  <c r="B1415" i="35"/>
  <c r="B1416" i="35"/>
  <c r="B1417" i="35"/>
  <c r="B1418" i="35"/>
  <c r="B1419" i="35"/>
  <c r="B1420" i="35"/>
  <c r="B1421" i="35"/>
  <c r="B1422" i="35"/>
  <c r="B1423" i="35"/>
  <c r="B1424" i="35"/>
  <c r="B1425" i="35"/>
  <c r="B1426" i="35"/>
  <c r="B1427" i="35"/>
  <c r="B1428" i="35"/>
  <c r="B1429" i="35"/>
  <c r="B1430" i="35"/>
  <c r="B1431" i="35"/>
  <c r="B1432" i="35"/>
  <c r="B1433" i="35"/>
  <c r="B1434" i="35"/>
  <c r="B1435" i="35"/>
  <c r="B1436" i="35"/>
  <c r="B1437" i="35"/>
  <c r="B1438" i="35"/>
  <c r="B1439" i="35"/>
  <c r="B1440" i="35"/>
  <c r="B1441" i="35"/>
  <c r="B1442" i="35"/>
  <c r="B1443" i="35"/>
  <c r="B1444" i="35"/>
  <c r="B1445" i="35"/>
  <c r="B1446" i="35"/>
  <c r="B1447" i="35"/>
  <c r="B1448" i="35"/>
  <c r="B1449" i="35"/>
  <c r="B1450" i="35"/>
  <c r="B1451" i="35"/>
  <c r="B1452" i="35"/>
  <c r="B1453" i="35"/>
  <c r="B1454" i="35"/>
  <c r="B1455" i="35"/>
  <c r="B1456" i="35"/>
  <c r="B1457" i="35"/>
  <c r="B1458" i="35"/>
  <c r="B1459" i="35"/>
  <c r="B1460" i="35"/>
  <c r="B1461" i="35"/>
  <c r="B1462" i="35"/>
  <c r="B1463" i="35"/>
  <c r="B1464" i="35"/>
  <c r="B1465" i="35"/>
  <c r="B1466" i="35"/>
  <c r="B1467" i="35"/>
  <c r="B1468" i="35"/>
  <c r="B1469" i="35"/>
  <c r="B1470" i="35"/>
  <c r="B1471" i="35"/>
  <c r="B1472" i="35"/>
  <c r="B1473" i="35"/>
  <c r="B1474" i="35"/>
  <c r="B1475" i="35"/>
  <c r="B1476" i="35"/>
  <c r="B1477" i="35"/>
  <c r="B1478" i="35"/>
  <c r="B1479" i="35"/>
  <c r="B1480" i="35"/>
  <c r="B1481" i="35"/>
  <c r="B1482" i="35"/>
  <c r="B1483" i="35"/>
  <c r="B1484" i="35"/>
  <c r="B1485" i="35"/>
  <c r="B1486" i="35"/>
  <c r="B1487" i="35"/>
  <c r="B1488" i="35"/>
  <c r="B1489" i="35"/>
  <c r="B1490" i="35"/>
  <c r="B1491" i="35"/>
  <c r="B1492" i="35"/>
  <c r="B1493" i="35"/>
  <c r="B1494" i="35"/>
  <c r="B1495" i="35"/>
  <c r="B1496" i="35"/>
  <c r="B1497" i="35"/>
  <c r="B1498" i="35"/>
  <c r="B1499" i="35"/>
  <c r="B1500" i="35"/>
  <c r="B1501" i="35"/>
  <c r="B1502" i="35"/>
  <c r="B1503" i="35"/>
  <c r="B1504" i="35"/>
  <c r="B1505" i="35"/>
  <c r="B1506" i="35"/>
  <c r="B1507" i="35"/>
  <c r="B1508" i="35"/>
  <c r="B1509" i="35"/>
  <c r="B1510" i="35"/>
  <c r="B1511" i="35"/>
  <c r="B1512" i="35"/>
  <c r="B1513" i="35"/>
  <c r="B1514" i="35"/>
  <c r="B1515" i="35"/>
  <c r="B1516" i="35"/>
  <c r="B1517" i="35"/>
  <c r="B1518" i="35"/>
  <c r="B1519" i="35"/>
  <c r="B1520" i="35"/>
  <c r="B1521" i="35"/>
  <c r="B1522" i="35"/>
  <c r="B1523" i="35"/>
  <c r="B1524" i="35"/>
  <c r="B1525" i="35"/>
  <c r="B1526" i="35"/>
  <c r="B1527" i="35"/>
  <c r="B1528" i="35"/>
  <c r="B1529" i="35"/>
  <c r="B1530" i="35"/>
  <c r="B1531" i="35"/>
  <c r="B1532" i="35"/>
  <c r="B1533" i="35"/>
  <c r="B1534" i="35"/>
  <c r="B1535" i="35"/>
  <c r="B1536" i="35"/>
  <c r="B1537" i="35"/>
  <c r="B1538" i="35"/>
  <c r="B1539" i="35"/>
  <c r="B1540" i="35"/>
  <c r="B1541" i="35"/>
  <c r="B1542" i="35"/>
  <c r="B1543" i="35"/>
  <c r="B1544" i="35"/>
  <c r="B1545" i="35"/>
  <c r="B1546" i="35"/>
  <c r="B1547" i="35"/>
  <c r="B1548" i="35"/>
  <c r="B1549" i="35"/>
  <c r="B1550" i="35"/>
  <c r="B1551" i="35"/>
  <c r="B1552" i="35"/>
  <c r="B1553" i="35"/>
  <c r="B1554" i="35"/>
  <c r="B1555" i="35"/>
  <c r="B1556" i="35"/>
  <c r="B1557" i="35"/>
  <c r="B4" i="33" l="1"/>
  <c r="B4" i="23" l="1"/>
  <c r="B4" i="1"/>
  <c r="H4" i="33" l="1"/>
  <c r="H4" i="23"/>
  <c r="H4" i="1"/>
  <c r="G4" i="33"/>
  <c r="G4" i="23"/>
  <c r="G4" i="1"/>
  <c r="C4" i="33"/>
  <c r="C4" i="23"/>
  <c r="C4" i="1"/>
  <c r="D4" i="33"/>
  <c r="D4" i="23"/>
  <c r="D4" i="1"/>
  <c r="F4" i="33" l="1"/>
  <c r="F4" i="23"/>
  <c r="F4" i="1"/>
  <c r="E4" i="33"/>
  <c r="E4" i="23"/>
  <c r="E4" i="1"/>
  <c r="I4" i="33"/>
  <c r="I4" i="23"/>
  <c r="I4" i="1"/>
  <c r="A1010" i="37"/>
  <c r="A1009" i="37"/>
  <c r="A1008" i="37"/>
  <c r="A1007" i="37"/>
  <c r="A1006" i="37"/>
  <c r="A1005" i="37"/>
  <c r="A1004" i="37"/>
  <c r="A1003" i="37"/>
  <c r="A1002" i="37"/>
  <c r="A1001" i="37"/>
  <c r="A1000" i="37"/>
  <c r="A999" i="37"/>
  <c r="A998" i="37"/>
  <c r="A997" i="37"/>
  <c r="A996" i="37"/>
  <c r="A995" i="37"/>
  <c r="A994" i="37"/>
  <c r="A993" i="37"/>
  <c r="A992" i="37"/>
  <c r="A991" i="37"/>
  <c r="A990" i="37"/>
  <c r="A989" i="37"/>
  <c r="A988" i="37"/>
  <c r="A987" i="37"/>
  <c r="A986" i="37"/>
  <c r="A985" i="37"/>
  <c r="A984" i="37"/>
  <c r="A983" i="37"/>
  <c r="A982" i="37"/>
  <c r="A981" i="37"/>
  <c r="A980" i="37"/>
  <c r="A979" i="37"/>
  <c r="A978" i="37"/>
  <c r="A977" i="37"/>
  <c r="A976" i="37"/>
  <c r="A975" i="37"/>
  <c r="A974" i="37"/>
  <c r="A973" i="37"/>
  <c r="A972" i="37"/>
  <c r="A971" i="37"/>
  <c r="A970" i="37"/>
  <c r="A969" i="37"/>
  <c r="A968" i="37"/>
  <c r="A967" i="37"/>
  <c r="A966" i="37"/>
  <c r="A965" i="37"/>
  <c r="A964" i="37"/>
  <c r="A963" i="37"/>
  <c r="A962" i="37"/>
  <c r="A961" i="37"/>
  <c r="A960" i="37"/>
  <c r="A959" i="37"/>
  <c r="A958" i="37"/>
  <c r="A957" i="37"/>
  <c r="A956" i="37"/>
  <c r="A955" i="37"/>
  <c r="A954" i="37"/>
  <c r="A953" i="37"/>
  <c r="A952" i="37"/>
  <c r="A951" i="37"/>
  <c r="A950" i="37"/>
  <c r="A949" i="37"/>
  <c r="A948" i="37"/>
  <c r="A947" i="37"/>
  <c r="A946" i="37"/>
  <c r="A945" i="37"/>
  <c r="A944" i="37"/>
  <c r="A943" i="37"/>
  <c r="A942" i="37"/>
  <c r="A941" i="37"/>
  <c r="A940" i="37"/>
  <c r="A939" i="37"/>
  <c r="A938" i="37"/>
  <c r="A937" i="37"/>
  <c r="A936" i="37"/>
  <c r="A935" i="37"/>
  <c r="A934" i="37"/>
  <c r="A933" i="37"/>
  <c r="A932" i="37"/>
  <c r="A931" i="37"/>
  <c r="A930" i="37"/>
  <c r="A929" i="37"/>
  <c r="A928" i="37"/>
  <c r="A927" i="37"/>
  <c r="A926" i="37"/>
  <c r="A925" i="37"/>
  <c r="A924" i="37"/>
  <c r="A923" i="37"/>
  <c r="A922" i="37"/>
  <c r="A921" i="37"/>
  <c r="A920" i="37"/>
  <c r="A919" i="37"/>
  <c r="A918" i="37"/>
  <c r="A917" i="37"/>
  <c r="A916" i="37"/>
  <c r="A915" i="37"/>
  <c r="A914" i="37"/>
  <c r="A913" i="37"/>
  <c r="A912" i="37"/>
  <c r="A911" i="37"/>
  <c r="A910" i="37"/>
  <c r="A909" i="37"/>
  <c r="A908" i="37"/>
  <c r="A907" i="37"/>
  <c r="A906" i="37"/>
  <c r="A905" i="37"/>
  <c r="A904" i="37"/>
  <c r="A903" i="37"/>
  <c r="A902" i="37"/>
  <c r="A901" i="37"/>
  <c r="A900" i="37"/>
  <c r="A899" i="37"/>
  <c r="A898" i="37"/>
  <c r="A897" i="37"/>
  <c r="A896" i="37"/>
  <c r="A895" i="37"/>
  <c r="A894" i="37"/>
  <c r="A893" i="37"/>
  <c r="A892" i="37"/>
  <c r="A891" i="37"/>
  <c r="A890" i="37"/>
  <c r="A889" i="37"/>
  <c r="A888" i="37"/>
  <c r="A887" i="37"/>
  <c r="A886" i="37"/>
  <c r="A885" i="37"/>
  <c r="A884" i="37"/>
  <c r="A883" i="37"/>
  <c r="A882" i="37"/>
  <c r="A881" i="37"/>
  <c r="A880" i="37"/>
  <c r="A879" i="37"/>
  <c r="A878" i="37"/>
  <c r="A877" i="37"/>
  <c r="A876" i="37"/>
  <c r="A875" i="37"/>
  <c r="A874" i="37"/>
  <c r="A873" i="37"/>
  <c r="A872" i="37"/>
  <c r="A871" i="37"/>
  <c r="A870" i="37"/>
  <c r="A869" i="37"/>
  <c r="A868" i="37"/>
  <c r="A867" i="37"/>
  <c r="A866" i="37"/>
  <c r="A865" i="37"/>
  <c r="A864" i="37"/>
  <c r="A863" i="37"/>
  <c r="A862" i="37"/>
  <c r="A861" i="37"/>
  <c r="A860" i="37"/>
  <c r="A859" i="37"/>
  <c r="A858" i="37"/>
  <c r="A857" i="37"/>
  <c r="A856" i="37"/>
  <c r="A855" i="37"/>
  <c r="A854" i="37"/>
  <c r="A853" i="37"/>
  <c r="A852" i="37"/>
  <c r="A851" i="37"/>
  <c r="A850" i="37"/>
  <c r="A849" i="37"/>
  <c r="A848" i="37"/>
  <c r="A847" i="37"/>
  <c r="A846" i="37"/>
  <c r="A845" i="37"/>
  <c r="A844" i="37"/>
  <c r="A843" i="37"/>
  <c r="A842" i="37"/>
  <c r="A841" i="37"/>
  <c r="A840" i="37"/>
  <c r="A839" i="37"/>
  <c r="A838" i="37"/>
  <c r="A837" i="37"/>
  <c r="A836" i="37"/>
  <c r="A835" i="37"/>
  <c r="A834" i="37"/>
  <c r="A833" i="37"/>
  <c r="A832" i="37"/>
  <c r="A831" i="37"/>
  <c r="A830" i="37"/>
  <c r="A829" i="37"/>
  <c r="A828" i="37"/>
  <c r="A827" i="37"/>
  <c r="A826" i="37"/>
  <c r="A825" i="37"/>
  <c r="A824" i="37"/>
  <c r="A823" i="37"/>
  <c r="A822" i="37"/>
  <c r="A821" i="37"/>
  <c r="A820" i="37"/>
  <c r="A819" i="37"/>
  <c r="A818" i="37"/>
  <c r="A817" i="37"/>
  <c r="A816" i="37"/>
  <c r="A815" i="37"/>
  <c r="A814" i="37"/>
  <c r="A813" i="37"/>
  <c r="A812" i="37"/>
  <c r="A811" i="37"/>
  <c r="A810" i="37"/>
  <c r="A809" i="37"/>
  <c r="A808" i="37"/>
  <c r="A807" i="37"/>
  <c r="A806" i="37"/>
  <c r="A805" i="37"/>
  <c r="A804" i="37"/>
  <c r="A803" i="37"/>
  <c r="A802" i="37"/>
  <c r="A801" i="37"/>
  <c r="A800" i="37"/>
  <c r="A799" i="37"/>
  <c r="A798" i="37"/>
  <c r="A797" i="37"/>
  <c r="A796" i="37"/>
  <c r="A795" i="37"/>
  <c r="A794" i="37"/>
  <c r="A793" i="37"/>
  <c r="A792" i="37"/>
  <c r="A791" i="37"/>
  <c r="A790" i="37"/>
  <c r="A789" i="37"/>
  <c r="A788" i="37"/>
  <c r="A787" i="37"/>
  <c r="A786" i="37"/>
  <c r="A785" i="37"/>
  <c r="A784" i="37"/>
  <c r="A783" i="37"/>
  <c r="A782" i="37"/>
  <c r="A781" i="37"/>
  <c r="A780" i="37"/>
  <c r="A779" i="37"/>
  <c r="A778" i="37"/>
  <c r="A777" i="37"/>
  <c r="A776" i="37"/>
  <c r="A775" i="37"/>
  <c r="A774" i="37"/>
  <c r="A773" i="37"/>
  <c r="A772" i="37"/>
  <c r="A771" i="37"/>
  <c r="A770" i="37"/>
  <c r="A769" i="37"/>
  <c r="A768" i="37"/>
  <c r="A767" i="37"/>
  <c r="A766" i="37"/>
  <c r="A765" i="37"/>
  <c r="A764" i="37"/>
  <c r="A763" i="37"/>
  <c r="A762" i="37"/>
  <c r="A761" i="37"/>
  <c r="A760" i="37"/>
  <c r="A759" i="37"/>
  <c r="A758" i="37"/>
  <c r="A757" i="37"/>
  <c r="A756" i="37"/>
  <c r="A755" i="37"/>
  <c r="A754" i="37"/>
  <c r="A753" i="37"/>
  <c r="A752" i="37"/>
  <c r="A751" i="37"/>
  <c r="A750" i="37"/>
  <c r="A749" i="37"/>
  <c r="A748" i="37"/>
  <c r="A747" i="37"/>
  <c r="A746" i="37"/>
  <c r="A745" i="37"/>
  <c r="A744" i="37"/>
  <c r="A743" i="37"/>
  <c r="A742" i="37"/>
  <c r="A741" i="37"/>
  <c r="A740" i="37"/>
  <c r="A739" i="37"/>
  <c r="A738" i="37"/>
  <c r="A737" i="37"/>
  <c r="A736" i="37"/>
  <c r="A735" i="37"/>
  <c r="A734" i="37"/>
  <c r="A733" i="37"/>
  <c r="A732" i="37"/>
  <c r="A731" i="37"/>
  <c r="A730" i="37"/>
  <c r="A729" i="37"/>
  <c r="A728" i="37"/>
  <c r="A727" i="37"/>
  <c r="A726" i="37"/>
  <c r="A725" i="37"/>
  <c r="A724" i="37"/>
  <c r="A723" i="37"/>
  <c r="A722" i="37"/>
  <c r="A721" i="37"/>
  <c r="A720" i="37"/>
  <c r="A719" i="37"/>
  <c r="A718" i="37"/>
  <c r="A717" i="37"/>
  <c r="A716" i="37"/>
  <c r="A715" i="37"/>
  <c r="A714" i="37"/>
  <c r="A713" i="37"/>
  <c r="A712" i="37"/>
  <c r="A711" i="37"/>
  <c r="A710" i="37"/>
  <c r="A709" i="37"/>
  <c r="A708" i="37"/>
  <c r="A707" i="37"/>
  <c r="A706" i="37"/>
  <c r="A705" i="37"/>
  <c r="A704" i="37"/>
  <c r="A703" i="37"/>
  <c r="A702" i="37"/>
  <c r="A701" i="37"/>
  <c r="A700" i="37"/>
  <c r="A699" i="37"/>
  <c r="A698" i="37"/>
  <c r="A697" i="37"/>
  <c r="A696" i="37"/>
  <c r="A695" i="37"/>
  <c r="A694" i="37"/>
  <c r="A693" i="37"/>
  <c r="A692" i="37"/>
  <c r="A691" i="37"/>
  <c r="A690" i="37"/>
  <c r="A689" i="37"/>
  <c r="A688" i="37"/>
  <c r="A687" i="37"/>
  <c r="A686" i="37"/>
  <c r="A685" i="37"/>
  <c r="A684" i="37"/>
  <c r="A683" i="37"/>
  <c r="A682" i="37"/>
  <c r="A681" i="37"/>
  <c r="A680" i="37"/>
  <c r="A679" i="37"/>
  <c r="A678" i="37"/>
  <c r="A677" i="37"/>
  <c r="A676" i="37"/>
  <c r="A675" i="37"/>
  <c r="A674" i="37"/>
  <c r="A673" i="37"/>
  <c r="A672" i="37"/>
  <c r="A671" i="37"/>
  <c r="A670" i="37"/>
  <c r="A669" i="37"/>
  <c r="A668" i="37"/>
  <c r="A667" i="37"/>
  <c r="A666" i="37"/>
  <c r="A665" i="37"/>
  <c r="A664" i="37"/>
  <c r="A663" i="37"/>
  <c r="A662" i="37"/>
  <c r="A661" i="37"/>
  <c r="A660" i="37"/>
  <c r="A659" i="37"/>
  <c r="A658" i="37"/>
  <c r="A657" i="37"/>
  <c r="A656" i="37"/>
  <c r="A655" i="37"/>
  <c r="A654" i="37"/>
  <c r="A653" i="37"/>
  <c r="A652" i="37"/>
  <c r="A651" i="37"/>
  <c r="A650" i="37"/>
  <c r="A649" i="37"/>
  <c r="A648" i="37"/>
  <c r="A647" i="37"/>
  <c r="A646" i="37"/>
  <c r="A645" i="37"/>
  <c r="A644" i="37"/>
  <c r="A643" i="37"/>
  <c r="A642" i="37"/>
  <c r="A641" i="37"/>
  <c r="A640" i="37"/>
  <c r="A639" i="37"/>
  <c r="A638" i="37"/>
  <c r="A637" i="37"/>
  <c r="A636" i="37"/>
  <c r="A635" i="37"/>
  <c r="A634" i="37"/>
  <c r="A633" i="37"/>
  <c r="A632" i="37"/>
  <c r="A631" i="37"/>
  <c r="A630" i="37"/>
  <c r="A629" i="37"/>
  <c r="A628" i="37"/>
  <c r="A627" i="37"/>
  <c r="A626" i="37"/>
  <c r="A625" i="37"/>
  <c r="A624" i="37"/>
  <c r="A623" i="37"/>
  <c r="A622" i="37"/>
  <c r="A621" i="37"/>
  <c r="A620" i="37"/>
  <c r="A619" i="37"/>
  <c r="A618" i="37"/>
  <c r="A617" i="37"/>
  <c r="A616" i="37"/>
  <c r="A615" i="37"/>
  <c r="A614" i="37"/>
  <c r="A613" i="37"/>
  <c r="A612" i="37"/>
  <c r="A611" i="37"/>
  <c r="A610" i="37"/>
  <c r="A609" i="37"/>
  <c r="A608" i="37"/>
  <c r="A607" i="37"/>
  <c r="A606" i="37"/>
  <c r="A605" i="37"/>
  <c r="A604" i="37"/>
  <c r="A603" i="37"/>
  <c r="A602" i="37"/>
  <c r="A601" i="37"/>
  <c r="A600" i="37"/>
  <c r="A599" i="37"/>
  <c r="A598" i="37"/>
  <c r="A597" i="37"/>
  <c r="A596" i="37"/>
  <c r="A595" i="37"/>
  <c r="A594" i="37"/>
  <c r="A593" i="37"/>
  <c r="A592" i="37"/>
  <c r="A591" i="37"/>
  <c r="A590" i="37"/>
  <c r="A589" i="37"/>
  <c r="A588" i="37"/>
  <c r="A587" i="37"/>
  <c r="A586" i="37"/>
  <c r="A585" i="37"/>
  <c r="A584" i="37"/>
  <c r="A583" i="37"/>
  <c r="A582" i="37"/>
  <c r="A581" i="37"/>
  <c r="A580" i="37"/>
  <c r="A579" i="37"/>
  <c r="A578" i="37"/>
  <c r="A577" i="37"/>
  <c r="A576" i="37"/>
  <c r="A575" i="37"/>
  <c r="A574" i="37"/>
  <c r="A573" i="37"/>
  <c r="A572" i="37"/>
  <c r="A571" i="37"/>
  <c r="A570" i="37"/>
  <c r="A569" i="37"/>
  <c r="A568" i="37"/>
  <c r="A567" i="37"/>
  <c r="A566" i="37"/>
  <c r="A565" i="37"/>
  <c r="A564" i="37"/>
  <c r="A563" i="37"/>
  <c r="A562" i="37"/>
  <c r="A561" i="37"/>
  <c r="A560" i="37"/>
  <c r="A559" i="37"/>
  <c r="A558" i="37"/>
  <c r="A557" i="37"/>
  <c r="A556" i="37"/>
  <c r="A555" i="37"/>
  <c r="A554" i="37"/>
  <c r="A553" i="37"/>
  <c r="A552" i="37"/>
  <c r="A551" i="37"/>
  <c r="A550" i="37"/>
  <c r="A549" i="37"/>
  <c r="A548" i="37"/>
  <c r="A547" i="37"/>
  <c r="A546" i="37"/>
  <c r="A545" i="37"/>
  <c r="A544" i="37"/>
  <c r="A543" i="37"/>
  <c r="A542" i="37"/>
  <c r="A541" i="37"/>
  <c r="A540" i="37"/>
  <c r="A539" i="37"/>
  <c r="A538" i="37"/>
  <c r="A537" i="37"/>
  <c r="A536" i="37"/>
  <c r="A535" i="37"/>
  <c r="A534" i="37"/>
  <c r="A533" i="37"/>
  <c r="A532" i="37"/>
  <c r="A531" i="37"/>
  <c r="A530" i="37"/>
  <c r="A529" i="37"/>
  <c r="A528" i="37"/>
  <c r="A527" i="37"/>
  <c r="A526" i="37"/>
  <c r="A525" i="37"/>
  <c r="A524" i="37"/>
  <c r="A523" i="37"/>
  <c r="A522" i="37"/>
  <c r="A521" i="37"/>
  <c r="A520" i="37"/>
  <c r="A519" i="37"/>
  <c r="A518" i="37"/>
  <c r="A517" i="37"/>
  <c r="A516" i="37"/>
  <c r="A515" i="37"/>
  <c r="A514" i="37"/>
  <c r="A513" i="37"/>
  <c r="A512" i="37"/>
  <c r="A511" i="37"/>
  <c r="A510" i="37"/>
  <c r="A509" i="37"/>
  <c r="A508" i="37"/>
  <c r="A507" i="37"/>
  <c r="A506" i="37"/>
  <c r="A505" i="37"/>
  <c r="A504" i="37"/>
  <c r="A503" i="37"/>
  <c r="A502" i="37"/>
  <c r="A501" i="37"/>
  <c r="A500" i="37"/>
  <c r="A499" i="37"/>
  <c r="A498" i="37"/>
  <c r="A497" i="37"/>
  <c r="A496" i="37"/>
  <c r="A495" i="37"/>
  <c r="A494" i="37"/>
  <c r="A493" i="37"/>
  <c r="A492" i="37"/>
  <c r="A491" i="37"/>
  <c r="A490" i="37"/>
  <c r="A489" i="37"/>
  <c r="A488" i="37"/>
  <c r="A487" i="37"/>
  <c r="A486" i="37"/>
  <c r="A485" i="37"/>
  <c r="A484" i="37"/>
  <c r="A483" i="37"/>
  <c r="A482" i="37"/>
  <c r="A481" i="37"/>
  <c r="A480" i="37"/>
  <c r="A479" i="37"/>
  <c r="A478" i="37"/>
  <c r="A477" i="37"/>
  <c r="A476" i="37"/>
  <c r="A475" i="37"/>
  <c r="A474" i="37"/>
  <c r="A473" i="37"/>
  <c r="A472" i="37"/>
  <c r="A471" i="37"/>
  <c r="A470" i="37"/>
  <c r="A469" i="37"/>
  <c r="A468" i="37"/>
  <c r="A467" i="37"/>
  <c r="A466" i="37"/>
  <c r="A465" i="37"/>
  <c r="A464" i="37"/>
  <c r="A463" i="37"/>
  <c r="A462" i="37"/>
  <c r="A461" i="37"/>
  <c r="A460" i="37"/>
  <c r="A459" i="37"/>
  <c r="A458" i="37"/>
  <c r="A457" i="37"/>
  <c r="A456" i="37"/>
  <c r="A455" i="37"/>
  <c r="A454" i="37"/>
  <c r="A453" i="37"/>
  <c r="A452" i="37"/>
  <c r="A451" i="37"/>
  <c r="A450" i="37"/>
  <c r="A449" i="37"/>
  <c r="A448" i="37"/>
  <c r="A447" i="37"/>
  <c r="A446" i="37"/>
  <c r="A445" i="37"/>
  <c r="A444" i="37"/>
  <c r="A443" i="37"/>
  <c r="A442" i="37"/>
  <c r="A441" i="37"/>
  <c r="A440" i="37"/>
  <c r="A439" i="37"/>
  <c r="A438" i="37"/>
  <c r="A437" i="37"/>
  <c r="A436" i="37"/>
  <c r="A435" i="37"/>
  <c r="A434" i="37"/>
  <c r="A433" i="37"/>
  <c r="A432" i="37"/>
  <c r="A431" i="37"/>
  <c r="A430" i="37"/>
  <c r="A429" i="37"/>
  <c r="A428" i="37"/>
  <c r="A427" i="37"/>
  <c r="A426" i="37"/>
  <c r="A425" i="37"/>
  <c r="A424" i="37"/>
  <c r="A423" i="37"/>
  <c r="A422" i="37"/>
  <c r="A421" i="37"/>
  <c r="A420" i="37"/>
  <c r="A419" i="37"/>
  <c r="A418" i="37"/>
  <c r="A417" i="37"/>
  <c r="A416" i="37"/>
  <c r="A415" i="37"/>
  <c r="A414" i="37"/>
  <c r="A413" i="37"/>
  <c r="A412" i="37"/>
  <c r="A411" i="37"/>
  <c r="A410" i="37"/>
  <c r="A409" i="37"/>
  <c r="A408" i="37"/>
  <c r="A407" i="37"/>
  <c r="A406" i="37"/>
  <c r="A405" i="37"/>
  <c r="A404" i="37"/>
  <c r="A403" i="37"/>
  <c r="A402" i="37"/>
  <c r="A401" i="37"/>
  <c r="A400" i="37"/>
  <c r="A399" i="37"/>
  <c r="A398" i="37"/>
  <c r="A397" i="37"/>
  <c r="A396" i="37"/>
  <c r="A395" i="37"/>
  <c r="A394" i="37"/>
  <c r="A393" i="37"/>
  <c r="A392" i="37"/>
  <c r="A391" i="37"/>
  <c r="A390" i="37"/>
  <c r="A389" i="37"/>
  <c r="A388" i="37"/>
  <c r="A387" i="37"/>
  <c r="A386" i="37"/>
  <c r="A385" i="37"/>
  <c r="A384" i="37"/>
  <c r="A383" i="37"/>
  <c r="A382" i="37"/>
  <c r="A381" i="37"/>
  <c r="A380" i="37"/>
  <c r="A379" i="37"/>
  <c r="A378" i="37"/>
  <c r="A377" i="37"/>
  <c r="A376" i="37"/>
  <c r="A375" i="37"/>
  <c r="A374" i="37"/>
  <c r="A373" i="37"/>
  <c r="A372" i="37"/>
  <c r="A371" i="37"/>
  <c r="A370" i="37"/>
  <c r="A369" i="37"/>
  <c r="A368" i="37"/>
  <c r="A367" i="37"/>
  <c r="A366" i="37"/>
  <c r="A365" i="37"/>
  <c r="A364" i="37"/>
  <c r="A363" i="37"/>
  <c r="A362" i="37"/>
  <c r="A361" i="37"/>
  <c r="A360" i="37"/>
  <c r="A359" i="37"/>
  <c r="A358" i="37"/>
  <c r="A357" i="37"/>
  <c r="A356" i="37"/>
  <c r="A355" i="37"/>
  <c r="A354" i="37"/>
  <c r="A353" i="37"/>
  <c r="A352" i="37"/>
  <c r="A351" i="37"/>
  <c r="A350" i="37"/>
  <c r="A349" i="37"/>
  <c r="A348" i="37"/>
  <c r="A347" i="37"/>
  <c r="A346" i="37"/>
  <c r="A345" i="37"/>
  <c r="A344" i="37"/>
  <c r="A343" i="37"/>
  <c r="A342" i="37"/>
  <c r="A341" i="37"/>
  <c r="A340" i="37"/>
  <c r="A339" i="37"/>
  <c r="A338" i="37"/>
  <c r="A337" i="37"/>
  <c r="A336" i="37"/>
  <c r="A335" i="37"/>
  <c r="A334" i="37"/>
  <c r="A333" i="37"/>
  <c r="A332" i="37"/>
  <c r="A331" i="37"/>
  <c r="A330" i="37"/>
  <c r="A329" i="37"/>
  <c r="A328" i="37"/>
  <c r="A327" i="37"/>
  <c r="A326" i="37"/>
  <c r="A325" i="37"/>
  <c r="A324" i="37"/>
  <c r="A323" i="37"/>
  <c r="A322" i="37"/>
  <c r="A321" i="37"/>
  <c r="A320" i="37"/>
  <c r="A319" i="37"/>
  <c r="A318" i="37"/>
  <c r="A317" i="37"/>
  <c r="A316" i="37"/>
  <c r="A315" i="37"/>
  <c r="A314" i="37"/>
  <c r="A313" i="37"/>
  <c r="A312" i="37"/>
  <c r="A311" i="37"/>
  <c r="A310" i="37"/>
  <c r="A309" i="37"/>
  <c r="A308" i="37"/>
  <c r="A307" i="37"/>
  <c r="A306" i="37"/>
  <c r="A305" i="37"/>
  <c r="A304" i="37"/>
  <c r="A303" i="37"/>
  <c r="A302" i="37"/>
  <c r="A301" i="37"/>
  <c r="A300" i="37"/>
  <c r="A299" i="37"/>
  <c r="A298" i="37"/>
  <c r="A297" i="37"/>
  <c r="A296" i="37"/>
  <c r="A295" i="37"/>
  <c r="A294" i="37"/>
  <c r="A293" i="37"/>
  <c r="A292" i="37"/>
  <c r="A291" i="37"/>
  <c r="A290" i="37"/>
  <c r="A289" i="37"/>
  <c r="A288" i="37"/>
  <c r="A287" i="37"/>
  <c r="A286" i="37"/>
  <c r="A285" i="37"/>
  <c r="A284" i="37"/>
  <c r="A283" i="37"/>
  <c r="A282" i="37"/>
  <c r="A281" i="37"/>
  <c r="A280" i="37"/>
  <c r="A279" i="37"/>
  <c r="A278" i="37"/>
  <c r="A277" i="37"/>
  <c r="A276" i="37"/>
  <c r="A275" i="37"/>
  <c r="A274" i="37"/>
  <c r="A273" i="37"/>
  <c r="A272" i="37"/>
  <c r="A271" i="37"/>
  <c r="A270" i="37"/>
  <c r="A269" i="37"/>
  <c r="A268" i="37"/>
  <c r="A267" i="37"/>
  <c r="A266" i="37"/>
  <c r="A265" i="37"/>
  <c r="A264" i="37"/>
  <c r="A263" i="37"/>
  <c r="A262" i="37"/>
  <c r="A261" i="37"/>
  <c r="A260" i="37"/>
  <c r="A259" i="37"/>
  <c r="A258" i="37"/>
  <c r="A257" i="37"/>
  <c r="A256" i="37"/>
  <c r="A255" i="37"/>
  <c r="A254" i="37"/>
  <c r="A253" i="37"/>
  <c r="A252" i="37"/>
  <c r="A251" i="37"/>
  <c r="A250" i="37"/>
  <c r="A249" i="37"/>
  <c r="A248" i="37"/>
  <c r="A247" i="37"/>
  <c r="A246" i="37"/>
  <c r="A245" i="37"/>
  <c r="A244" i="37"/>
  <c r="A243" i="37"/>
  <c r="A242" i="37"/>
  <c r="A241" i="37"/>
  <c r="A240" i="37"/>
  <c r="A239" i="37"/>
  <c r="A238" i="37"/>
  <c r="A237" i="37"/>
  <c r="A236" i="37"/>
  <c r="A235" i="37"/>
  <c r="A234" i="37"/>
  <c r="A233" i="37"/>
  <c r="A232" i="37"/>
  <c r="A231" i="37"/>
  <c r="A230" i="37"/>
  <c r="A229" i="37"/>
  <c r="A228" i="37"/>
  <c r="A227" i="37"/>
  <c r="A226" i="37"/>
  <c r="A225" i="37"/>
  <c r="A224" i="37"/>
  <c r="A223" i="37"/>
  <c r="A222" i="37"/>
  <c r="A221" i="37"/>
  <c r="A220" i="37"/>
  <c r="A219" i="37"/>
  <c r="A218" i="37"/>
  <c r="A217" i="37"/>
  <c r="A216" i="37"/>
  <c r="A215" i="37"/>
  <c r="A214" i="37"/>
  <c r="A213" i="37"/>
  <c r="A212" i="37"/>
  <c r="A211" i="37"/>
  <c r="A210" i="37"/>
  <c r="A209" i="37"/>
  <c r="A208" i="37"/>
  <c r="A207" i="37"/>
  <c r="A206" i="37"/>
  <c r="A205" i="37"/>
  <c r="A204" i="37"/>
  <c r="A203" i="37"/>
  <c r="A202" i="37"/>
  <c r="A201" i="37"/>
  <c r="A200" i="37"/>
  <c r="A199" i="37"/>
  <c r="A198" i="37"/>
  <c r="A197" i="37"/>
  <c r="A196" i="37"/>
  <c r="A195" i="37"/>
  <c r="A194" i="37"/>
  <c r="A193" i="37"/>
  <c r="A192" i="37"/>
  <c r="A191" i="37"/>
  <c r="A190" i="37"/>
  <c r="A189" i="37"/>
  <c r="A188" i="37"/>
  <c r="A187" i="37"/>
  <c r="A186" i="37"/>
  <c r="A185" i="37"/>
  <c r="A184" i="37"/>
  <c r="A183" i="37"/>
  <c r="A182" i="37"/>
  <c r="A181" i="37"/>
  <c r="A180" i="37"/>
  <c r="A179" i="37"/>
  <c r="A178" i="37"/>
  <c r="A177" i="37"/>
  <c r="A176" i="37"/>
  <c r="A175" i="37"/>
  <c r="A174" i="37"/>
  <c r="A173" i="37"/>
  <c r="A172" i="37"/>
  <c r="A171" i="37"/>
  <c r="A170" i="37"/>
  <c r="A169" i="37"/>
  <c r="A168" i="37"/>
  <c r="A167" i="37"/>
  <c r="A166" i="37"/>
  <c r="A165" i="37"/>
  <c r="A164" i="37"/>
  <c r="A163" i="37"/>
  <c r="A162" i="37"/>
  <c r="A161" i="37"/>
  <c r="A160" i="37"/>
  <c r="A159" i="37"/>
  <c r="A158" i="37"/>
  <c r="A157" i="37"/>
  <c r="A156" i="37"/>
  <c r="A155" i="37"/>
  <c r="A154" i="37"/>
  <c r="A153" i="37"/>
  <c r="A152" i="37"/>
  <c r="A151" i="37"/>
  <c r="A150" i="37"/>
  <c r="A149" i="37"/>
  <c r="A148" i="37"/>
  <c r="A147" i="37"/>
  <c r="A146" i="37"/>
  <c r="A145" i="37"/>
  <c r="A144" i="37"/>
  <c r="A143" i="37"/>
  <c r="A142" i="37"/>
  <c r="A141" i="37"/>
  <c r="A140" i="37"/>
  <c r="A139" i="37"/>
  <c r="A138" i="37"/>
  <c r="A137" i="37"/>
  <c r="A136" i="37"/>
  <c r="A135" i="37"/>
  <c r="A134" i="37"/>
  <c r="A133" i="37"/>
  <c r="A132" i="37"/>
  <c r="A131" i="37"/>
  <c r="A130" i="37"/>
  <c r="A129" i="37"/>
  <c r="A128" i="37"/>
  <c r="A127" i="37"/>
  <c r="A126" i="37"/>
  <c r="A125" i="37"/>
  <c r="A124" i="37"/>
  <c r="A123" i="37"/>
  <c r="A122" i="37"/>
  <c r="A121" i="37"/>
  <c r="A120" i="37"/>
  <c r="A119" i="37"/>
  <c r="A118" i="37"/>
  <c r="A117" i="37"/>
  <c r="A116" i="37"/>
  <c r="A115" i="37"/>
  <c r="A114" i="37"/>
  <c r="A113" i="37"/>
  <c r="A112" i="37"/>
  <c r="A111" i="37"/>
  <c r="A110" i="37"/>
  <c r="A109" i="37"/>
  <c r="A108" i="37"/>
  <c r="A107" i="37"/>
  <c r="A106" i="37"/>
  <c r="A105" i="37"/>
  <c r="A104" i="37"/>
  <c r="A103" i="37"/>
  <c r="A102" i="37"/>
  <c r="A101" i="37"/>
  <c r="A100" i="37"/>
  <c r="A99" i="37"/>
  <c r="A98" i="37"/>
  <c r="A97" i="37"/>
  <c r="A96" i="37"/>
  <c r="A95" i="37"/>
  <c r="A94" i="37"/>
  <c r="A93" i="37"/>
  <c r="A92" i="37"/>
  <c r="A91" i="37"/>
  <c r="A90" i="37"/>
  <c r="A89" i="37"/>
  <c r="A88" i="37"/>
  <c r="A87" i="37"/>
  <c r="A86" i="37"/>
  <c r="A85" i="37"/>
  <c r="A84" i="37"/>
  <c r="A83" i="37"/>
  <c r="A82" i="37"/>
  <c r="A81" i="37"/>
  <c r="A80" i="37"/>
  <c r="A79" i="37"/>
  <c r="A78" i="37"/>
  <c r="A77" i="37"/>
  <c r="A76" i="37"/>
  <c r="A75" i="37"/>
  <c r="A74" i="37"/>
  <c r="A73" i="37"/>
  <c r="A72" i="37"/>
  <c r="A71" i="37"/>
  <c r="A70" i="37"/>
  <c r="A69" i="37"/>
  <c r="A68" i="37"/>
  <c r="A67" i="37"/>
  <c r="A66" i="37"/>
  <c r="A65" i="37"/>
  <c r="A64" i="37"/>
  <c r="A63" i="37"/>
  <c r="A62" i="37"/>
  <c r="A61" i="37"/>
  <c r="A60" i="37"/>
  <c r="A59" i="37"/>
  <c r="A58" i="37"/>
  <c r="A57" i="37"/>
  <c r="A56" i="37"/>
  <c r="A55" i="37"/>
  <c r="A54" i="37"/>
  <c r="A53" i="37"/>
  <c r="A52" i="37"/>
  <c r="A51" i="37"/>
  <c r="A50" i="37"/>
  <c r="A49" i="37"/>
  <c r="A48" i="37"/>
  <c r="A47" i="37"/>
  <c r="A46" i="37"/>
  <c r="A45" i="37"/>
  <c r="A44" i="37"/>
  <c r="A43" i="37"/>
  <c r="A42" i="37"/>
  <c r="A41" i="37"/>
  <c r="A40" i="37"/>
  <c r="A39" i="37"/>
  <c r="A38" i="37"/>
  <c r="A37" i="37"/>
  <c r="A36" i="37"/>
  <c r="A35" i="37"/>
  <c r="A34" i="37"/>
  <c r="A33" i="37"/>
  <c r="A32" i="37"/>
  <c r="A31" i="37"/>
  <c r="A30" i="37"/>
  <c r="A29" i="37"/>
  <c r="A28" i="37"/>
  <c r="A27" i="37"/>
  <c r="A26" i="37"/>
  <c r="A25" i="37"/>
  <c r="A24" i="37"/>
  <c r="A23" i="37"/>
  <c r="A22" i="37"/>
  <c r="A21" i="37"/>
  <c r="A20" i="37"/>
  <c r="A19" i="37"/>
  <c r="A18" i="37"/>
  <c r="A17" i="37"/>
  <c r="A16" i="37"/>
  <c r="A15" i="37"/>
  <c r="A14" i="37"/>
  <c r="A13" i="37"/>
  <c r="A12" i="37"/>
  <c r="A11" i="37"/>
  <c r="A10" i="37"/>
  <c r="A9" i="37"/>
  <c r="A8" i="37"/>
  <c r="A7" i="37"/>
  <c r="A6" i="37"/>
  <c r="A5" i="37"/>
  <c r="A4" i="37"/>
  <c r="A3" i="37"/>
  <c r="A2" i="37"/>
  <c r="A2" i="36"/>
  <c r="A2" i="35"/>
  <c r="A52" i="33" l="1"/>
  <c r="A45" i="33"/>
  <c r="V43" i="33"/>
  <c r="V53" i="4" s="1"/>
  <c r="U43" i="33"/>
  <c r="U53" i="4" s="1"/>
  <c r="T43" i="33"/>
  <c r="T53" i="4" s="1"/>
  <c r="S43" i="33"/>
  <c r="S53" i="4" s="1"/>
  <c r="R43" i="33"/>
  <c r="R53" i="4" s="1"/>
  <c r="Q43" i="33"/>
  <c r="Q53" i="4" s="1"/>
  <c r="P43" i="33"/>
  <c r="P53" i="4" s="1"/>
  <c r="M43" i="33"/>
  <c r="M53" i="4" s="1"/>
  <c r="L43" i="33"/>
  <c r="L53" i="4" s="1"/>
  <c r="K43" i="33"/>
  <c r="K53" i="4" s="1"/>
  <c r="J43" i="33"/>
  <c r="J53" i="4" s="1"/>
  <c r="I43" i="33"/>
  <c r="I53" i="4" s="1"/>
  <c r="H43" i="33"/>
  <c r="H53" i="4" s="1"/>
  <c r="G43" i="33"/>
  <c r="G53" i="4" s="1"/>
  <c r="F43" i="33"/>
  <c r="F53" i="4" s="1"/>
  <c r="E43" i="33"/>
  <c r="E53" i="4" s="1"/>
  <c r="D43" i="33"/>
  <c r="D53" i="4" s="1"/>
  <c r="C43" i="33"/>
  <c r="C53" i="4" s="1"/>
  <c r="B43" i="33"/>
  <c r="B53" i="4" s="1"/>
  <c r="V42" i="33"/>
  <c r="V52" i="4" s="1"/>
  <c r="U42" i="33"/>
  <c r="U52" i="4" s="1"/>
  <c r="T42" i="33"/>
  <c r="T52" i="4" s="1"/>
  <c r="S42" i="33"/>
  <c r="S52" i="4" s="1"/>
  <c r="R42" i="33"/>
  <c r="R52" i="4" s="1"/>
  <c r="Q42" i="33"/>
  <c r="Q52" i="4" s="1"/>
  <c r="P42" i="33"/>
  <c r="P52" i="4" s="1"/>
  <c r="M42" i="33"/>
  <c r="M52" i="4" s="1"/>
  <c r="L42" i="33"/>
  <c r="L52" i="4" s="1"/>
  <c r="K42" i="33"/>
  <c r="K52" i="4" s="1"/>
  <c r="J42" i="33"/>
  <c r="J52" i="4" s="1"/>
  <c r="I42" i="33"/>
  <c r="I52" i="4" s="1"/>
  <c r="H42" i="33"/>
  <c r="H52" i="4" s="1"/>
  <c r="G42" i="33"/>
  <c r="G52" i="4" s="1"/>
  <c r="F42" i="33"/>
  <c r="F52" i="4" s="1"/>
  <c r="E42" i="33"/>
  <c r="E52" i="4" s="1"/>
  <c r="D42" i="33"/>
  <c r="D52" i="4" s="1"/>
  <c r="C42" i="33"/>
  <c r="C52" i="4" s="1"/>
  <c r="B42" i="33"/>
  <c r="B52" i="4" s="1"/>
  <c r="V41" i="33"/>
  <c r="V51" i="4" s="1"/>
  <c r="U41" i="33"/>
  <c r="U51" i="4" s="1"/>
  <c r="T41" i="33"/>
  <c r="T51" i="4" s="1"/>
  <c r="S41" i="33"/>
  <c r="S51" i="4" s="1"/>
  <c r="R41" i="33"/>
  <c r="R51" i="4" s="1"/>
  <c r="Q41" i="33"/>
  <c r="Q51" i="4" s="1"/>
  <c r="P41" i="33"/>
  <c r="P51" i="4" s="1"/>
  <c r="M41" i="33"/>
  <c r="M51" i="4" s="1"/>
  <c r="L41" i="33"/>
  <c r="L51" i="4" s="1"/>
  <c r="K41" i="33"/>
  <c r="K51" i="4" s="1"/>
  <c r="J41" i="33"/>
  <c r="J51" i="4" s="1"/>
  <c r="I41" i="33"/>
  <c r="I51" i="4" s="1"/>
  <c r="H41" i="33"/>
  <c r="H51" i="4" s="1"/>
  <c r="G41" i="33"/>
  <c r="G51" i="4" s="1"/>
  <c r="F41" i="33"/>
  <c r="F51" i="4" s="1"/>
  <c r="E41" i="33"/>
  <c r="E51" i="4" s="1"/>
  <c r="D41" i="33"/>
  <c r="D51" i="4" s="1"/>
  <c r="C41" i="33"/>
  <c r="C51" i="4" s="1"/>
  <c r="B41" i="33"/>
  <c r="B51" i="4" s="1"/>
  <c r="V40" i="33"/>
  <c r="V50" i="4" s="1"/>
  <c r="U40" i="33"/>
  <c r="U50" i="4" s="1"/>
  <c r="T40" i="33"/>
  <c r="T50" i="4" s="1"/>
  <c r="S40" i="33"/>
  <c r="S50" i="4" s="1"/>
  <c r="R40" i="33"/>
  <c r="R50" i="4" s="1"/>
  <c r="Q40" i="33"/>
  <c r="Q50" i="4" s="1"/>
  <c r="P40" i="33"/>
  <c r="P50" i="4" s="1"/>
  <c r="M40" i="33"/>
  <c r="M50" i="4" s="1"/>
  <c r="L40" i="33"/>
  <c r="L50" i="4" s="1"/>
  <c r="K40" i="33"/>
  <c r="K50" i="4" s="1"/>
  <c r="J40" i="33"/>
  <c r="J50" i="4" s="1"/>
  <c r="I40" i="33"/>
  <c r="I50" i="4" s="1"/>
  <c r="H40" i="33"/>
  <c r="H50" i="4" s="1"/>
  <c r="G40" i="33"/>
  <c r="G50" i="4" s="1"/>
  <c r="F40" i="33"/>
  <c r="F50" i="4" s="1"/>
  <c r="E40" i="33"/>
  <c r="E50" i="4" s="1"/>
  <c r="D40" i="33"/>
  <c r="D50" i="4" s="1"/>
  <c r="C40" i="33"/>
  <c r="C50" i="4" s="1"/>
  <c r="B40" i="33"/>
  <c r="B50" i="4" s="1"/>
  <c r="V39" i="33"/>
  <c r="V49" i="4" s="1"/>
  <c r="U39" i="33"/>
  <c r="U49" i="4" s="1"/>
  <c r="T39" i="33"/>
  <c r="T49" i="4" s="1"/>
  <c r="S39" i="33"/>
  <c r="S49" i="4" s="1"/>
  <c r="R39" i="33"/>
  <c r="R49" i="4" s="1"/>
  <c r="Q39" i="33"/>
  <c r="Q49" i="4" s="1"/>
  <c r="P39" i="33"/>
  <c r="P49" i="4" s="1"/>
  <c r="M39" i="33"/>
  <c r="M49" i="4" s="1"/>
  <c r="L39" i="33"/>
  <c r="L49" i="4" s="1"/>
  <c r="K39" i="33"/>
  <c r="K49" i="4" s="1"/>
  <c r="J39" i="33"/>
  <c r="J49" i="4" s="1"/>
  <c r="I39" i="33"/>
  <c r="I49" i="4" s="1"/>
  <c r="H39" i="33"/>
  <c r="H49" i="4" s="1"/>
  <c r="G39" i="33"/>
  <c r="G49" i="4" s="1"/>
  <c r="F39" i="33"/>
  <c r="F49" i="4" s="1"/>
  <c r="E39" i="33"/>
  <c r="E49" i="4" s="1"/>
  <c r="D39" i="33"/>
  <c r="D49" i="4" s="1"/>
  <c r="C39" i="33"/>
  <c r="C49" i="4" s="1"/>
  <c r="B39" i="33"/>
  <c r="B49" i="4" s="1"/>
  <c r="V38" i="33"/>
  <c r="V48" i="4" s="1"/>
  <c r="U38" i="33"/>
  <c r="U48" i="4" s="1"/>
  <c r="T38" i="33"/>
  <c r="T48" i="4" s="1"/>
  <c r="S38" i="33"/>
  <c r="S48" i="4" s="1"/>
  <c r="R38" i="33"/>
  <c r="R48" i="4" s="1"/>
  <c r="Q38" i="33"/>
  <c r="Q48" i="4" s="1"/>
  <c r="P38" i="33"/>
  <c r="P48" i="4" s="1"/>
  <c r="M38" i="33"/>
  <c r="M48" i="4" s="1"/>
  <c r="L38" i="33"/>
  <c r="L48" i="4" s="1"/>
  <c r="K38" i="33"/>
  <c r="K48" i="4" s="1"/>
  <c r="J38" i="33"/>
  <c r="J48" i="4" s="1"/>
  <c r="I38" i="33"/>
  <c r="I48" i="4" s="1"/>
  <c r="H38" i="33"/>
  <c r="H48" i="4" s="1"/>
  <c r="G38" i="33"/>
  <c r="G48" i="4" s="1"/>
  <c r="F38" i="33"/>
  <c r="F48" i="4" s="1"/>
  <c r="E38" i="33"/>
  <c r="E48" i="4" s="1"/>
  <c r="D38" i="33"/>
  <c r="D48" i="4" s="1"/>
  <c r="C38" i="33"/>
  <c r="C48" i="4" s="1"/>
  <c r="B38" i="33"/>
  <c r="B48" i="4" s="1"/>
  <c r="V37" i="33"/>
  <c r="V47" i="4" s="1"/>
  <c r="U37" i="33"/>
  <c r="U47" i="4" s="1"/>
  <c r="T37" i="33"/>
  <c r="T47" i="4" s="1"/>
  <c r="S37" i="33"/>
  <c r="S47" i="4" s="1"/>
  <c r="R37" i="33"/>
  <c r="R47" i="4" s="1"/>
  <c r="Q37" i="33"/>
  <c r="Q47" i="4" s="1"/>
  <c r="P37" i="33"/>
  <c r="P47" i="4" s="1"/>
  <c r="M37" i="33"/>
  <c r="M47" i="4" s="1"/>
  <c r="L37" i="33"/>
  <c r="L47" i="4" s="1"/>
  <c r="K37" i="33"/>
  <c r="K47" i="4" s="1"/>
  <c r="J37" i="33"/>
  <c r="J47" i="4" s="1"/>
  <c r="I37" i="33"/>
  <c r="I47" i="4" s="1"/>
  <c r="H37" i="33"/>
  <c r="H47" i="4" s="1"/>
  <c r="G37" i="33"/>
  <c r="G47" i="4" s="1"/>
  <c r="F37" i="33"/>
  <c r="F47" i="4" s="1"/>
  <c r="E37" i="33"/>
  <c r="E47" i="4" s="1"/>
  <c r="D37" i="33"/>
  <c r="D47" i="4" s="1"/>
  <c r="C37" i="33"/>
  <c r="C47" i="4" s="1"/>
  <c r="B37" i="33"/>
  <c r="B47" i="4" s="1"/>
  <c r="V36" i="33"/>
  <c r="V46" i="4" s="1"/>
  <c r="U36" i="33"/>
  <c r="U46" i="4" s="1"/>
  <c r="T36" i="33"/>
  <c r="T46" i="4" s="1"/>
  <c r="S36" i="33"/>
  <c r="S46" i="4" s="1"/>
  <c r="R36" i="33"/>
  <c r="R46" i="4" s="1"/>
  <c r="Q36" i="33"/>
  <c r="Q46" i="4" s="1"/>
  <c r="P36" i="33"/>
  <c r="P46" i="4" s="1"/>
  <c r="M36" i="33"/>
  <c r="M46" i="4" s="1"/>
  <c r="L36" i="33"/>
  <c r="L46" i="4" s="1"/>
  <c r="K36" i="33"/>
  <c r="K46" i="4" s="1"/>
  <c r="J36" i="33"/>
  <c r="J46" i="4" s="1"/>
  <c r="I36" i="33"/>
  <c r="I46" i="4" s="1"/>
  <c r="H36" i="33"/>
  <c r="H46" i="4" s="1"/>
  <c r="G36" i="33"/>
  <c r="G46" i="4" s="1"/>
  <c r="F36" i="33"/>
  <c r="F46" i="4" s="1"/>
  <c r="E36" i="33"/>
  <c r="E46" i="4" s="1"/>
  <c r="D36" i="33"/>
  <c r="D46" i="4" s="1"/>
  <c r="C36" i="33"/>
  <c r="C46" i="4" s="1"/>
  <c r="B36" i="33"/>
  <c r="B46" i="4" s="1"/>
  <c r="V35" i="33"/>
  <c r="V45" i="4" s="1"/>
  <c r="U35" i="33"/>
  <c r="U45" i="4" s="1"/>
  <c r="T35" i="33"/>
  <c r="T45" i="4" s="1"/>
  <c r="S35" i="33"/>
  <c r="S45" i="4" s="1"/>
  <c r="R35" i="33"/>
  <c r="R45" i="4" s="1"/>
  <c r="Q35" i="33"/>
  <c r="Q45" i="4" s="1"/>
  <c r="P35" i="33"/>
  <c r="P45" i="4" s="1"/>
  <c r="V34" i="33"/>
  <c r="V44" i="4" s="1"/>
  <c r="U34" i="33"/>
  <c r="U44" i="4" s="1"/>
  <c r="T34" i="33"/>
  <c r="T44" i="4" s="1"/>
  <c r="S34" i="33"/>
  <c r="S44" i="4" s="1"/>
  <c r="R34" i="33"/>
  <c r="R44" i="4" s="1"/>
  <c r="Q34" i="33"/>
  <c r="Q44" i="4" s="1"/>
  <c r="P34" i="33"/>
  <c r="P44" i="4" s="1"/>
  <c r="V33" i="33"/>
  <c r="V43" i="4" s="1"/>
  <c r="U33" i="33"/>
  <c r="U43" i="4" s="1"/>
  <c r="T33" i="33"/>
  <c r="T43" i="4" s="1"/>
  <c r="S33" i="33"/>
  <c r="S43" i="4" s="1"/>
  <c r="R33" i="33"/>
  <c r="R43" i="4" s="1"/>
  <c r="Q33" i="33"/>
  <c r="Q43" i="4" s="1"/>
  <c r="P33" i="33"/>
  <c r="P43" i="4" s="1"/>
  <c r="V32" i="33"/>
  <c r="V42" i="4" s="1"/>
  <c r="U32" i="33"/>
  <c r="U42" i="4" s="1"/>
  <c r="T32" i="33"/>
  <c r="T42" i="4" s="1"/>
  <c r="S32" i="33"/>
  <c r="S42" i="4" s="1"/>
  <c r="R32" i="33"/>
  <c r="R42" i="4" s="1"/>
  <c r="Q32" i="33"/>
  <c r="Q42" i="4" s="1"/>
  <c r="P32" i="33"/>
  <c r="P42" i="4" s="1"/>
  <c r="V31" i="33"/>
  <c r="V41" i="4" s="1"/>
  <c r="U31" i="33"/>
  <c r="U41" i="4" s="1"/>
  <c r="T31" i="33"/>
  <c r="T41" i="4" s="1"/>
  <c r="S31" i="33"/>
  <c r="S41" i="4" s="1"/>
  <c r="R31" i="33"/>
  <c r="R41" i="4" s="1"/>
  <c r="Q31" i="33"/>
  <c r="Q41" i="4" s="1"/>
  <c r="P31" i="33"/>
  <c r="P41" i="4" s="1"/>
  <c r="V30" i="33"/>
  <c r="V40" i="4" s="1"/>
  <c r="U30" i="33"/>
  <c r="U40" i="4" s="1"/>
  <c r="T30" i="33"/>
  <c r="T40" i="4" s="1"/>
  <c r="S30" i="33"/>
  <c r="S40" i="4" s="1"/>
  <c r="R30" i="33"/>
  <c r="R40" i="4" s="1"/>
  <c r="Q30" i="33"/>
  <c r="Q40" i="4" s="1"/>
  <c r="P30" i="33"/>
  <c r="P40" i="4" s="1"/>
  <c r="V29" i="33"/>
  <c r="V39" i="4" s="1"/>
  <c r="U29" i="33"/>
  <c r="U39" i="4" s="1"/>
  <c r="T29" i="33"/>
  <c r="T39" i="4" s="1"/>
  <c r="S29" i="33"/>
  <c r="S39" i="4" s="1"/>
  <c r="R29" i="33"/>
  <c r="R39" i="4" s="1"/>
  <c r="Q29" i="33"/>
  <c r="Q39" i="4" s="1"/>
  <c r="P29" i="33"/>
  <c r="P39" i="4" s="1"/>
  <c r="V28" i="33"/>
  <c r="U28" i="33"/>
  <c r="T28" i="33"/>
  <c r="S28" i="33"/>
  <c r="R28" i="33"/>
  <c r="Q28" i="33"/>
  <c r="P28" i="33"/>
  <c r="V24" i="33"/>
  <c r="U24" i="33"/>
  <c r="T24" i="33"/>
  <c r="S24" i="33"/>
  <c r="R24" i="33"/>
  <c r="Q24" i="33"/>
  <c r="P24" i="33"/>
  <c r="O24" i="33"/>
  <c r="L24" i="33"/>
  <c r="J24" i="33"/>
  <c r="I24" i="33"/>
  <c r="H24" i="33"/>
  <c r="G24" i="33"/>
  <c r="F24" i="33"/>
  <c r="E24" i="33"/>
  <c r="D24" i="33"/>
  <c r="C24" i="33"/>
  <c r="B24" i="33"/>
  <c r="V23" i="33"/>
  <c r="U23" i="33"/>
  <c r="T23" i="33"/>
  <c r="S23" i="33"/>
  <c r="R23" i="33"/>
  <c r="Q23" i="33"/>
  <c r="P23" i="33"/>
  <c r="O23" i="33"/>
  <c r="O35" i="33" s="1"/>
  <c r="O45" i="4" s="1"/>
  <c r="L23" i="33"/>
  <c r="J23" i="33"/>
  <c r="I23" i="33"/>
  <c r="H23" i="33"/>
  <c r="G23" i="33"/>
  <c r="F23" i="33"/>
  <c r="E23" i="33"/>
  <c r="D23" i="33"/>
  <c r="C23" i="33"/>
  <c r="B23" i="33"/>
  <c r="A22" i="33"/>
  <c r="H22" i="33"/>
  <c r="G45" i="33"/>
  <c r="F27" i="33"/>
  <c r="F52" i="33" s="1"/>
  <c r="E45" i="33"/>
  <c r="D22" i="33"/>
  <c r="C45" i="33"/>
  <c r="B45" i="33"/>
  <c r="S56" i="33"/>
  <c r="U56" i="33"/>
  <c r="T56" i="33"/>
  <c r="V56" i="33"/>
  <c r="Q56" i="33"/>
  <c r="P56" i="33"/>
  <c r="R56" i="33"/>
  <c r="O36" i="33" l="1"/>
  <c r="O46" i="4" s="1"/>
  <c r="O37" i="33"/>
  <c r="O47" i="4" s="1"/>
  <c r="O38" i="33"/>
  <c r="O48" i="4" s="1"/>
  <c r="O39" i="33"/>
  <c r="O49" i="4" s="1"/>
  <c r="O40" i="33"/>
  <c r="O50" i="4" s="1"/>
  <c r="O41" i="33"/>
  <c r="O51" i="4" s="1"/>
  <c r="O42" i="33"/>
  <c r="O52" i="4" s="1"/>
  <c r="O43" i="33"/>
  <c r="O53" i="4" s="1"/>
  <c r="K30" i="33"/>
  <c r="K40" i="4" s="1"/>
  <c r="O30" i="33"/>
  <c r="O40" i="4" s="1"/>
  <c r="J31" i="33"/>
  <c r="J41" i="4" s="1"/>
  <c r="E28" i="33"/>
  <c r="E38" i="4" s="1"/>
  <c r="F29" i="33"/>
  <c r="F39" i="4" s="1"/>
  <c r="G32" i="33"/>
  <c r="G42" i="4" s="1"/>
  <c r="O31" i="33"/>
  <c r="O41" i="4" s="1"/>
  <c r="M28" i="33"/>
  <c r="M38" i="4" s="1"/>
  <c r="O29" i="33"/>
  <c r="O39" i="4" s="1"/>
  <c r="C30" i="33"/>
  <c r="C40" i="4" s="1"/>
  <c r="G34" i="33"/>
  <c r="G44" i="4" s="1"/>
  <c r="G29" i="33"/>
  <c r="G39" i="4" s="1"/>
  <c r="F30" i="33"/>
  <c r="F40" i="4" s="1"/>
  <c r="C31" i="33"/>
  <c r="C41" i="4" s="1"/>
  <c r="C33" i="33"/>
  <c r="C43" i="4" s="1"/>
  <c r="C35" i="33"/>
  <c r="C45" i="4" s="1"/>
  <c r="F28" i="33"/>
  <c r="K31" i="33"/>
  <c r="K41" i="4" s="1"/>
  <c r="K34" i="33"/>
  <c r="K44" i="4" s="1"/>
  <c r="I28" i="33"/>
  <c r="I38" i="4" s="1"/>
  <c r="J29" i="33"/>
  <c r="J39" i="4" s="1"/>
  <c r="G30" i="33"/>
  <c r="G40" i="4" s="1"/>
  <c r="F31" i="33"/>
  <c r="F41" i="4" s="1"/>
  <c r="C32" i="33"/>
  <c r="C42" i="4" s="1"/>
  <c r="G33" i="33"/>
  <c r="G43" i="4" s="1"/>
  <c r="G35" i="33"/>
  <c r="G45" i="4" s="1"/>
  <c r="K32" i="33"/>
  <c r="K42" i="4" s="1"/>
  <c r="B28" i="33"/>
  <c r="B38" i="4" s="1"/>
  <c r="J28" i="33"/>
  <c r="J38" i="4" s="1"/>
  <c r="C29" i="33"/>
  <c r="C39" i="4" s="1"/>
  <c r="K29" i="33"/>
  <c r="K39" i="4" s="1"/>
  <c r="J30" i="33"/>
  <c r="J40" i="4" s="1"/>
  <c r="G31" i="33"/>
  <c r="G41" i="4" s="1"/>
  <c r="F32" i="33"/>
  <c r="F42" i="4" s="1"/>
  <c r="K33" i="33"/>
  <c r="K43" i="4" s="1"/>
  <c r="C34" i="33"/>
  <c r="C44" i="4" s="1"/>
  <c r="K35" i="33"/>
  <c r="K45" i="4" s="1"/>
  <c r="C28" i="33"/>
  <c r="G28" i="33"/>
  <c r="G38" i="4" s="1"/>
  <c r="K28" i="33"/>
  <c r="D29" i="33"/>
  <c r="D39" i="4" s="1"/>
  <c r="H29" i="33"/>
  <c r="H39" i="4" s="1"/>
  <c r="L29" i="33"/>
  <c r="L39" i="4" s="1"/>
  <c r="D30" i="33"/>
  <c r="D40" i="4" s="1"/>
  <c r="H30" i="33"/>
  <c r="H40" i="4" s="1"/>
  <c r="L30" i="33"/>
  <c r="L40" i="4" s="1"/>
  <c r="D31" i="33"/>
  <c r="D41" i="4" s="1"/>
  <c r="H31" i="33"/>
  <c r="H41" i="4" s="1"/>
  <c r="L31" i="33"/>
  <c r="L41" i="4" s="1"/>
  <c r="D32" i="33"/>
  <c r="D42" i="4" s="1"/>
  <c r="H32" i="33"/>
  <c r="H42" i="4" s="1"/>
  <c r="L32" i="33"/>
  <c r="L42" i="4" s="1"/>
  <c r="D33" i="33"/>
  <c r="D43" i="4" s="1"/>
  <c r="H33" i="33"/>
  <c r="H43" i="4" s="1"/>
  <c r="L33" i="33"/>
  <c r="L43" i="4" s="1"/>
  <c r="D34" i="33"/>
  <c r="D44" i="4" s="1"/>
  <c r="H34" i="33"/>
  <c r="H44" i="4" s="1"/>
  <c r="L34" i="33"/>
  <c r="L44" i="4" s="1"/>
  <c r="D35" i="33"/>
  <c r="D45" i="4" s="1"/>
  <c r="H35" i="33"/>
  <c r="H45" i="4" s="1"/>
  <c r="L35" i="33"/>
  <c r="L45" i="4" s="1"/>
  <c r="D28" i="33"/>
  <c r="D38" i="4" s="1"/>
  <c r="H28" i="33"/>
  <c r="H38" i="4" s="1"/>
  <c r="L28" i="33"/>
  <c r="L38" i="4" s="1"/>
  <c r="O28" i="33"/>
  <c r="B29" i="33"/>
  <c r="B39" i="4" s="1"/>
  <c r="E29" i="33"/>
  <c r="E39" i="4" s="1"/>
  <c r="I29" i="33"/>
  <c r="I39" i="4" s="1"/>
  <c r="M29" i="33"/>
  <c r="M39" i="4" s="1"/>
  <c r="B30" i="33"/>
  <c r="B40" i="4" s="1"/>
  <c r="E30" i="33"/>
  <c r="E40" i="4" s="1"/>
  <c r="I30" i="33"/>
  <c r="I40" i="4" s="1"/>
  <c r="M30" i="33"/>
  <c r="M40" i="4" s="1"/>
  <c r="B31" i="33"/>
  <c r="B41" i="4" s="1"/>
  <c r="E31" i="33"/>
  <c r="E41" i="4" s="1"/>
  <c r="I31" i="33"/>
  <c r="I41" i="4" s="1"/>
  <c r="M31" i="33"/>
  <c r="M41" i="4" s="1"/>
  <c r="B32" i="33"/>
  <c r="B42" i="4" s="1"/>
  <c r="E32" i="33"/>
  <c r="E42" i="4" s="1"/>
  <c r="I32" i="33"/>
  <c r="I42" i="4" s="1"/>
  <c r="M32" i="33"/>
  <c r="M42" i="4" s="1"/>
  <c r="B33" i="33"/>
  <c r="B43" i="4" s="1"/>
  <c r="E33" i="33"/>
  <c r="E43" i="4" s="1"/>
  <c r="I33" i="33"/>
  <c r="I43" i="4" s="1"/>
  <c r="M33" i="33"/>
  <c r="M43" i="4" s="1"/>
  <c r="B34" i="33"/>
  <c r="B44" i="4" s="1"/>
  <c r="E34" i="33"/>
  <c r="E44" i="4" s="1"/>
  <c r="I34" i="33"/>
  <c r="I44" i="4" s="1"/>
  <c r="M34" i="33"/>
  <c r="M44" i="4" s="1"/>
  <c r="B35" i="33"/>
  <c r="B45" i="4" s="1"/>
  <c r="E35" i="33"/>
  <c r="E45" i="4" s="1"/>
  <c r="I35" i="33"/>
  <c r="I45" i="4" s="1"/>
  <c r="M35" i="33"/>
  <c r="M45" i="4" s="1"/>
  <c r="J32" i="33"/>
  <c r="J42" i="4" s="1"/>
  <c r="O32" i="33"/>
  <c r="O42" i="4" s="1"/>
  <c r="F33" i="33"/>
  <c r="F43" i="4" s="1"/>
  <c r="J33" i="33"/>
  <c r="J43" i="4" s="1"/>
  <c r="O33" i="33"/>
  <c r="O43" i="4" s="1"/>
  <c r="F34" i="33"/>
  <c r="F44" i="4" s="1"/>
  <c r="J34" i="33"/>
  <c r="J44" i="4" s="1"/>
  <c r="O34" i="33"/>
  <c r="O44" i="4" s="1"/>
  <c r="F35" i="33"/>
  <c r="F45" i="4" s="1"/>
  <c r="J35" i="33"/>
  <c r="J45" i="4" s="1"/>
  <c r="U38" i="4"/>
  <c r="R38" i="4"/>
  <c r="V38" i="4"/>
  <c r="B22" i="33"/>
  <c r="E22" i="33"/>
  <c r="I45" i="33"/>
  <c r="I52" i="33"/>
  <c r="I27" i="33"/>
  <c r="P46" i="33"/>
  <c r="P53" i="33" s="1"/>
  <c r="P38" i="4"/>
  <c r="P47" i="33"/>
  <c r="P48" i="33" s="1"/>
  <c r="P54" i="33" s="1"/>
  <c r="T38" i="4"/>
  <c r="T46" i="33"/>
  <c r="T53" i="33" s="1"/>
  <c r="T47" i="33"/>
  <c r="T48" i="33" s="1"/>
  <c r="T54" i="33" s="1"/>
  <c r="B27" i="33"/>
  <c r="B52" i="33" s="1"/>
  <c r="Q47" i="33"/>
  <c r="Q48" i="33" s="1"/>
  <c r="Q54" i="33" s="1"/>
  <c r="Q38" i="4"/>
  <c r="D27" i="33"/>
  <c r="D52" i="33" s="1"/>
  <c r="I22" i="33"/>
  <c r="E27" i="33"/>
  <c r="E52" i="33" s="1"/>
  <c r="J47" i="33"/>
  <c r="J48" i="33" s="1"/>
  <c r="J54" i="33" s="1"/>
  <c r="S38" i="4"/>
  <c r="S46" i="33"/>
  <c r="S53" i="33" s="1"/>
  <c r="S47" i="33"/>
  <c r="S48" i="33" s="1"/>
  <c r="S54" i="33" s="1"/>
  <c r="D45" i="33"/>
  <c r="G57" i="33"/>
  <c r="T57" i="33"/>
  <c r="H57" i="33"/>
  <c r="U57" i="33"/>
  <c r="C57" i="33"/>
  <c r="J57" i="33"/>
  <c r="P57" i="33"/>
  <c r="D57" i="33"/>
  <c r="L57" i="33"/>
  <c r="S57" i="33"/>
  <c r="F57" i="33"/>
  <c r="K57" i="33"/>
  <c r="Q57" i="33"/>
  <c r="B57" i="33"/>
  <c r="E57" i="33"/>
  <c r="I57" i="33"/>
  <c r="M57" i="33"/>
  <c r="R57" i="33"/>
  <c r="V57" i="33"/>
  <c r="D46" i="33"/>
  <c r="D53" i="33" s="1"/>
  <c r="U46" i="33"/>
  <c r="U53" i="33" s="1"/>
  <c r="U47" i="33"/>
  <c r="U48" i="33" s="1"/>
  <c r="U54" i="33" s="1"/>
  <c r="Q46" i="33"/>
  <c r="Q53" i="33" s="1"/>
  <c r="F22" i="33"/>
  <c r="R47" i="33"/>
  <c r="R48" i="33" s="1"/>
  <c r="R54" i="33" s="1"/>
  <c r="R46" i="33"/>
  <c r="R53" i="33" s="1"/>
  <c r="V47" i="33"/>
  <c r="V48" i="33" s="1"/>
  <c r="V54" i="33" s="1"/>
  <c r="V46" i="33"/>
  <c r="V53" i="33" s="1"/>
  <c r="F45" i="33"/>
  <c r="G22" i="33"/>
  <c r="G27" i="33"/>
  <c r="G52" i="33" s="1"/>
  <c r="C22" i="33"/>
  <c r="C27" i="33"/>
  <c r="C52" i="33" s="1"/>
  <c r="H27" i="33"/>
  <c r="H52" i="33" s="1"/>
  <c r="H45" i="33"/>
  <c r="O56" i="33"/>
  <c r="E46" i="33" l="1"/>
  <c r="E53" i="33" s="1"/>
  <c r="C46" i="33"/>
  <c r="C53" i="33" s="1"/>
  <c r="E47" i="33"/>
  <c r="E48" i="33" s="1"/>
  <c r="E54" i="33" s="1"/>
  <c r="C47" i="33"/>
  <c r="C48" i="33" s="1"/>
  <c r="C54" i="33" s="1"/>
  <c r="K47" i="33"/>
  <c r="K48" i="33" s="1"/>
  <c r="K54" i="33" s="1"/>
  <c r="C38" i="4"/>
  <c r="F46" i="33"/>
  <c r="F53" i="33" s="1"/>
  <c r="B46" i="33"/>
  <c r="M46" i="33"/>
  <c r="M53" i="33" s="1"/>
  <c r="B47" i="33"/>
  <c r="B48" i="33" s="1"/>
  <c r="B54" i="33" s="1"/>
  <c r="F38" i="4"/>
  <c r="K46" i="33"/>
  <c r="K53" i="33" s="1"/>
  <c r="G46" i="33"/>
  <c r="G53" i="33" s="1"/>
  <c r="G47" i="33"/>
  <c r="G48" i="33" s="1"/>
  <c r="G54" i="33" s="1"/>
  <c r="O47" i="33"/>
  <c r="O48" i="33" s="1"/>
  <c r="O54" i="33" s="1"/>
  <c r="O57" i="33"/>
  <c r="V59" i="33" s="1"/>
  <c r="V60" i="33" s="1"/>
  <c r="V61" i="33" s="1"/>
  <c r="M47" i="33"/>
  <c r="M48" i="33" s="1"/>
  <c r="M54" i="33" s="1"/>
  <c r="L47" i="33"/>
  <c r="L48" i="33" s="1"/>
  <c r="L54" i="33" s="1"/>
  <c r="J46" i="33"/>
  <c r="J53" i="33" s="1"/>
  <c r="L46" i="33"/>
  <c r="L53" i="33" s="1"/>
  <c r="I46" i="33"/>
  <c r="I53" i="33" s="1"/>
  <c r="H46" i="33"/>
  <c r="H53" i="33" s="1"/>
  <c r="K38" i="4"/>
  <c r="H47" i="33"/>
  <c r="H48" i="33" s="1"/>
  <c r="H54" i="33" s="1"/>
  <c r="O46" i="33"/>
  <c r="O53" i="33" s="1"/>
  <c r="I47" i="33"/>
  <c r="I48" i="33" s="1"/>
  <c r="I54" i="33" s="1"/>
  <c r="D47" i="33"/>
  <c r="D48" i="33" s="1"/>
  <c r="D54" i="33" s="1"/>
  <c r="O38" i="4"/>
  <c r="F47" i="33"/>
  <c r="F48" i="33" s="1"/>
  <c r="F54" i="33" s="1"/>
  <c r="O59" i="33"/>
  <c r="O60" i="33" s="1"/>
  <c r="O61" i="33" s="1"/>
  <c r="J59" i="33"/>
  <c r="J60" i="33" s="1"/>
  <c r="J61" i="33" s="1"/>
  <c r="F59" i="33"/>
  <c r="F60" i="33" s="1"/>
  <c r="F61" i="33" s="1"/>
  <c r="I59" i="33"/>
  <c r="I60" i="33" s="1"/>
  <c r="I61" i="33" s="1"/>
  <c r="D59" i="33"/>
  <c r="D60" i="33" s="1"/>
  <c r="D61" i="33" s="1"/>
  <c r="H59" i="33"/>
  <c r="H60" i="33" s="1"/>
  <c r="H61" i="33" s="1"/>
  <c r="M59" i="33"/>
  <c r="M60" i="33" s="1"/>
  <c r="M61" i="33" s="1"/>
  <c r="G59" i="33"/>
  <c r="G60" i="33" s="1"/>
  <c r="G61" i="33" s="1"/>
  <c r="L59" i="33"/>
  <c r="L60" i="33" s="1"/>
  <c r="L61" i="33" s="1"/>
  <c r="E59" i="33"/>
  <c r="E60" i="33" s="1"/>
  <c r="E61" i="33" s="1"/>
  <c r="K59" i="33"/>
  <c r="K60" i="33" s="1"/>
  <c r="K61" i="33" s="1"/>
  <c r="C59" i="33"/>
  <c r="C60" i="33" s="1"/>
  <c r="C61" i="33" s="1"/>
  <c r="P59" i="33"/>
  <c r="P60" i="33" s="1"/>
  <c r="P61" i="33" s="1"/>
  <c r="B53" i="33"/>
  <c r="B65" i="33" l="1"/>
  <c r="B64" i="33"/>
  <c r="M55" i="33"/>
  <c r="Q59" i="33"/>
  <c r="Q60" i="33" s="1"/>
  <c r="Q61" i="33" s="1"/>
  <c r="R59" i="33"/>
  <c r="R60" i="33" s="1"/>
  <c r="R61" i="33" s="1"/>
  <c r="S59" i="33"/>
  <c r="S60" i="33" s="1"/>
  <c r="S61" i="33" s="1"/>
  <c r="U59" i="33"/>
  <c r="U60" i="33" s="1"/>
  <c r="U61" i="33" s="1"/>
  <c r="T59" i="33"/>
  <c r="T60" i="33" s="1"/>
  <c r="T61" i="33" s="1"/>
  <c r="D55" i="33"/>
  <c r="B55" i="33"/>
  <c r="K55" i="33"/>
  <c r="P55" i="33"/>
  <c r="L55" i="33"/>
  <c r="T55" i="33"/>
  <c r="G55" i="33"/>
  <c r="S55" i="33"/>
  <c r="F55" i="33"/>
  <c r="O55" i="33"/>
  <c r="C55" i="33"/>
  <c r="J55" i="33"/>
  <c r="R55" i="33"/>
  <c r="Q55" i="33"/>
  <c r="H55" i="33"/>
  <c r="I55" i="33"/>
  <c r="E55" i="33"/>
  <c r="V55" i="33"/>
  <c r="U55" i="33"/>
  <c r="M4" i="33" l="1"/>
  <c r="L4" i="33" l="1"/>
  <c r="L22" i="33" s="1"/>
  <c r="K4" i="33"/>
  <c r="K22" i="33" s="1"/>
  <c r="J4" i="33"/>
  <c r="J52" i="33" s="1"/>
  <c r="M45" i="33"/>
  <c r="M52" i="33"/>
  <c r="M27" i="33"/>
  <c r="M22" i="33"/>
  <c r="K45" i="33" l="1"/>
  <c r="K52" i="33"/>
  <c r="K27" i="33"/>
  <c r="O4" i="33"/>
  <c r="O4" i="23"/>
  <c r="O4" i="1"/>
  <c r="Q4" i="1"/>
  <c r="Q4" i="33"/>
  <c r="Q4" i="23"/>
  <c r="P4" i="33"/>
  <c r="P4" i="23"/>
  <c r="P4" i="1"/>
  <c r="J22" i="33"/>
  <c r="L52" i="33"/>
  <c r="J45" i="33"/>
  <c r="L27" i="33"/>
  <c r="J27" i="33"/>
  <c r="L45" i="33"/>
  <c r="A4" i="28"/>
  <c r="A5" i="28"/>
  <c r="A6" i="28"/>
  <c r="A7" i="28"/>
  <c r="A8" i="28"/>
  <c r="A9" i="28"/>
  <c r="A10" i="28"/>
  <c r="A11" i="28"/>
  <c r="A12" i="28"/>
  <c r="A13" i="28"/>
  <c r="A14" i="28"/>
  <c r="A15" i="28"/>
  <c r="B4" i="28"/>
  <c r="B5" i="28"/>
  <c r="B6" i="28"/>
  <c r="B7" i="28"/>
  <c r="B8" i="28"/>
  <c r="B9" i="28"/>
  <c r="B10" i="28"/>
  <c r="B11" i="28"/>
  <c r="B12" i="28"/>
  <c r="B13" i="28"/>
  <c r="B14" i="28"/>
  <c r="B15" i="28"/>
  <c r="A3" i="28"/>
  <c r="B2" i="28"/>
  <c r="B3" i="28"/>
  <c r="A2" i="28"/>
  <c r="D2" i="28" s="1"/>
  <c r="Q22" i="33" l="1"/>
  <c r="Q45" i="33"/>
  <c r="Q27" i="33"/>
  <c r="Q52" i="33" s="1"/>
  <c r="O27" i="33"/>
  <c r="O52" i="33" s="1"/>
  <c r="O22" i="33"/>
  <c r="O45" i="33"/>
  <c r="P22" i="33"/>
  <c r="P45" i="33"/>
  <c r="P27" i="33"/>
  <c r="P52" i="33" s="1"/>
  <c r="B3" i="27"/>
  <c r="G9" i="27" l="1"/>
  <c r="G10" i="27" s="1"/>
  <c r="E9" i="27"/>
  <c r="E10" i="27" s="1"/>
  <c r="F9" i="27"/>
  <c r="F10" i="27" s="1"/>
  <c r="G6" i="22" l="1"/>
  <c r="G31" i="22" l="1"/>
  <c r="G30" i="22"/>
  <c r="M4" i="28" l="1"/>
  <c r="M8" i="28"/>
  <c r="M12" i="28"/>
  <c r="M5" i="28"/>
  <c r="M9" i="28"/>
  <c r="M13" i="28"/>
  <c r="M6" i="28"/>
  <c r="M10" i="28"/>
  <c r="M14" i="28"/>
  <c r="M3" i="28"/>
  <c r="M7" i="28"/>
  <c r="M11" i="28"/>
  <c r="M15" i="28"/>
  <c r="M2" i="28"/>
  <c r="N4" i="28"/>
  <c r="N8" i="28"/>
  <c r="N12" i="28"/>
  <c r="N3" i="28"/>
  <c r="N5" i="28"/>
  <c r="N9" i="28"/>
  <c r="N13" i="28"/>
  <c r="N2" i="28"/>
  <c r="N6" i="28"/>
  <c r="N10" i="28"/>
  <c r="N14" i="28"/>
  <c r="N7" i="28"/>
  <c r="N11" i="28"/>
  <c r="N15" i="28"/>
  <c r="H14" i="22"/>
  <c r="H24" i="22"/>
  <c r="H26" i="22"/>
  <c r="B3" i="12"/>
  <c r="Q9" i="12" s="1"/>
  <c r="Q10" i="12" s="1"/>
  <c r="P22" i="1"/>
  <c r="Q45" i="1"/>
  <c r="P28" i="23"/>
  <c r="Q28" i="23"/>
  <c r="R28" i="23"/>
  <c r="S28" i="23"/>
  <c r="T28" i="23"/>
  <c r="T22" i="4" s="1"/>
  <c r="U28" i="23"/>
  <c r="U22" i="4" s="1"/>
  <c r="V28" i="23"/>
  <c r="P29" i="23"/>
  <c r="Q29" i="23"/>
  <c r="Q23" i="4" s="1"/>
  <c r="R29" i="23"/>
  <c r="R23" i="4" s="1"/>
  <c r="S29" i="23"/>
  <c r="S23" i="4" s="1"/>
  <c r="T29" i="23"/>
  <c r="T23" i="4" s="1"/>
  <c r="U29" i="23"/>
  <c r="U23" i="4" s="1"/>
  <c r="V29" i="23"/>
  <c r="V23" i="4" s="1"/>
  <c r="P30" i="23"/>
  <c r="Q30" i="23"/>
  <c r="Q24" i="4" s="1"/>
  <c r="R30" i="23"/>
  <c r="R24" i="4" s="1"/>
  <c r="S30" i="23"/>
  <c r="S24" i="4" s="1"/>
  <c r="T30" i="23"/>
  <c r="T24" i="4" s="1"/>
  <c r="U30" i="23"/>
  <c r="U24" i="4" s="1"/>
  <c r="V30" i="23"/>
  <c r="V24" i="4" s="1"/>
  <c r="P31" i="23"/>
  <c r="P25" i="4" s="1"/>
  <c r="Q31" i="23"/>
  <c r="Q25" i="4" s="1"/>
  <c r="R31" i="23"/>
  <c r="R25" i="4" s="1"/>
  <c r="S31" i="23"/>
  <c r="S25" i="4" s="1"/>
  <c r="T31" i="23"/>
  <c r="T25" i="4" s="1"/>
  <c r="U31" i="23"/>
  <c r="V31" i="23"/>
  <c r="P32" i="23"/>
  <c r="P26" i="4" s="1"/>
  <c r="Q32" i="23"/>
  <c r="Q26" i="4" s="1"/>
  <c r="R32" i="23"/>
  <c r="R26" i="4" s="1"/>
  <c r="S32" i="23"/>
  <c r="S26" i="4" s="1"/>
  <c r="T32" i="23"/>
  <c r="T26" i="4" s="1"/>
  <c r="U32" i="23"/>
  <c r="U26" i="4" s="1"/>
  <c r="V32" i="23"/>
  <c r="V26" i="4" s="1"/>
  <c r="P33" i="23"/>
  <c r="P27" i="4" s="1"/>
  <c r="Q33" i="23"/>
  <c r="Q27" i="4" s="1"/>
  <c r="R33" i="23"/>
  <c r="R27" i="4" s="1"/>
  <c r="S33" i="23"/>
  <c r="S27" i="4" s="1"/>
  <c r="T33" i="23"/>
  <c r="U33" i="23"/>
  <c r="U27" i="4" s="1"/>
  <c r="V33" i="23"/>
  <c r="V27" i="4" s="1"/>
  <c r="P34" i="23"/>
  <c r="P28" i="4" s="1"/>
  <c r="Q34" i="23"/>
  <c r="Q28" i="4" s="1"/>
  <c r="R34" i="23"/>
  <c r="R28" i="4" s="1"/>
  <c r="S34" i="23"/>
  <c r="S28" i="4" s="1"/>
  <c r="T34" i="23"/>
  <c r="T28" i="4" s="1"/>
  <c r="U34" i="23"/>
  <c r="U28" i="4" s="1"/>
  <c r="V34" i="23"/>
  <c r="V28" i="4" s="1"/>
  <c r="P35" i="23"/>
  <c r="P29" i="4" s="1"/>
  <c r="Q35" i="23"/>
  <c r="Q29" i="4" s="1"/>
  <c r="R35" i="23"/>
  <c r="R29" i="4" s="1"/>
  <c r="S35" i="23"/>
  <c r="S29" i="4" s="1"/>
  <c r="T35" i="23"/>
  <c r="T29" i="4" s="1"/>
  <c r="U35" i="23"/>
  <c r="V35" i="23"/>
  <c r="V29" i="4" s="1"/>
  <c r="P36" i="23"/>
  <c r="P30" i="4" s="1"/>
  <c r="Q36" i="23"/>
  <c r="Q30" i="4" s="1"/>
  <c r="R36" i="23"/>
  <c r="R30" i="4" s="1"/>
  <c r="S36" i="23"/>
  <c r="S30" i="4" s="1"/>
  <c r="T36" i="23"/>
  <c r="T30" i="4" s="1"/>
  <c r="U36" i="23"/>
  <c r="U30" i="4" s="1"/>
  <c r="V36" i="23"/>
  <c r="V30" i="4" s="1"/>
  <c r="P37" i="23"/>
  <c r="P31" i="4" s="1"/>
  <c r="Q37" i="23"/>
  <c r="Q31" i="4" s="1"/>
  <c r="R37" i="23"/>
  <c r="R31" i="4" s="1"/>
  <c r="S37" i="23"/>
  <c r="S31" i="4" s="1"/>
  <c r="T37" i="23"/>
  <c r="T31" i="4" s="1"/>
  <c r="U37" i="23"/>
  <c r="V37" i="23"/>
  <c r="V31" i="4" s="1"/>
  <c r="P38" i="23"/>
  <c r="P32" i="4" s="1"/>
  <c r="Q38" i="23"/>
  <c r="Q32" i="4" s="1"/>
  <c r="R38" i="23"/>
  <c r="R32" i="4" s="1"/>
  <c r="S38" i="23"/>
  <c r="S32" i="4" s="1"/>
  <c r="T38" i="23"/>
  <c r="T32" i="4" s="1"/>
  <c r="U38" i="23"/>
  <c r="U32" i="4" s="1"/>
  <c r="V38" i="23"/>
  <c r="V32" i="4" s="1"/>
  <c r="P39" i="23"/>
  <c r="P33" i="4" s="1"/>
  <c r="Q39" i="23"/>
  <c r="Q33" i="4" s="1"/>
  <c r="R39" i="23"/>
  <c r="R33" i="4" s="1"/>
  <c r="S39" i="23"/>
  <c r="S33" i="4" s="1"/>
  <c r="T39" i="23"/>
  <c r="T33" i="4" s="1"/>
  <c r="U39" i="23"/>
  <c r="U33" i="4" s="1"/>
  <c r="V39" i="23"/>
  <c r="P40" i="23"/>
  <c r="P34" i="4" s="1"/>
  <c r="Q40" i="23"/>
  <c r="Q34" i="4" s="1"/>
  <c r="R40" i="23"/>
  <c r="R34" i="4" s="1"/>
  <c r="S40" i="23"/>
  <c r="S34" i="4" s="1"/>
  <c r="T40" i="23"/>
  <c r="U40" i="23"/>
  <c r="U34" i="4" s="1"/>
  <c r="V40" i="23"/>
  <c r="V34" i="4" s="1"/>
  <c r="P41" i="23"/>
  <c r="P35" i="4" s="1"/>
  <c r="Q41" i="23"/>
  <c r="Q35" i="4" s="1"/>
  <c r="R41" i="23"/>
  <c r="R35" i="4" s="1"/>
  <c r="S41" i="23"/>
  <c r="S35" i="4" s="1"/>
  <c r="T41" i="23"/>
  <c r="T35" i="4" s="1"/>
  <c r="U41" i="23"/>
  <c r="U35" i="4" s="1"/>
  <c r="V41" i="23"/>
  <c r="P42" i="23"/>
  <c r="P36" i="4" s="1"/>
  <c r="Q42" i="23"/>
  <c r="Q36" i="4" s="1"/>
  <c r="R42" i="23"/>
  <c r="R36" i="4" s="1"/>
  <c r="S42" i="23"/>
  <c r="S36" i="4" s="1"/>
  <c r="T42" i="23"/>
  <c r="T36" i="4" s="1"/>
  <c r="U42" i="23"/>
  <c r="U36" i="4" s="1"/>
  <c r="V42" i="23"/>
  <c r="V36" i="4" s="1"/>
  <c r="P43" i="23"/>
  <c r="Q43" i="23"/>
  <c r="Q37" i="4" s="1"/>
  <c r="R43" i="23"/>
  <c r="S43" i="23"/>
  <c r="T43" i="23"/>
  <c r="U43" i="23"/>
  <c r="U37" i="4" s="1"/>
  <c r="V43" i="23"/>
  <c r="K36" i="23"/>
  <c r="K30" i="4" s="1"/>
  <c r="L36" i="23"/>
  <c r="L30" i="4" s="1"/>
  <c r="M36" i="23"/>
  <c r="M30" i="4" s="1"/>
  <c r="K37" i="23"/>
  <c r="K31" i="4" s="1"/>
  <c r="L37" i="23"/>
  <c r="L31" i="4" s="1"/>
  <c r="M37" i="23"/>
  <c r="M31" i="4" s="1"/>
  <c r="K38" i="23"/>
  <c r="K32" i="4" s="1"/>
  <c r="L38" i="23"/>
  <c r="L32" i="4" s="1"/>
  <c r="M38" i="23"/>
  <c r="M32" i="4" s="1"/>
  <c r="K39" i="23"/>
  <c r="K33" i="4" s="1"/>
  <c r="L39" i="23"/>
  <c r="L33" i="4" s="1"/>
  <c r="M39" i="23"/>
  <c r="M33" i="4" s="1"/>
  <c r="K40" i="23"/>
  <c r="K34" i="4" s="1"/>
  <c r="L40" i="23"/>
  <c r="L34" i="4" s="1"/>
  <c r="M40" i="23"/>
  <c r="M34" i="4" s="1"/>
  <c r="K41" i="23"/>
  <c r="K35" i="4" s="1"/>
  <c r="L41" i="23"/>
  <c r="L35" i="4" s="1"/>
  <c r="M41" i="23"/>
  <c r="M35" i="4" s="1"/>
  <c r="K42" i="23"/>
  <c r="K36" i="4" s="1"/>
  <c r="L42" i="23"/>
  <c r="L36" i="4" s="1"/>
  <c r="M42" i="23"/>
  <c r="M36" i="4" s="1"/>
  <c r="K43" i="23"/>
  <c r="L43" i="23"/>
  <c r="M43" i="23"/>
  <c r="S28" i="1"/>
  <c r="T28" i="1"/>
  <c r="U28" i="1"/>
  <c r="V28" i="1"/>
  <c r="S29" i="1"/>
  <c r="S7" i="4" s="1"/>
  <c r="T29" i="1"/>
  <c r="T7" i="4" s="1"/>
  <c r="U29" i="1"/>
  <c r="U7" i="4" s="1"/>
  <c r="V29" i="1"/>
  <c r="V7" i="4" s="1"/>
  <c r="S30" i="1"/>
  <c r="S8" i="4" s="1"/>
  <c r="T30" i="1"/>
  <c r="T8" i="4" s="1"/>
  <c r="U30" i="1"/>
  <c r="U8" i="4" s="1"/>
  <c r="V30" i="1"/>
  <c r="V8" i="4" s="1"/>
  <c r="S31" i="1"/>
  <c r="S9" i="4" s="1"/>
  <c r="T31" i="1"/>
  <c r="T9" i="4" s="1"/>
  <c r="U31" i="1"/>
  <c r="U9" i="4" s="1"/>
  <c r="V31" i="1"/>
  <c r="V9" i="4" s="1"/>
  <c r="S32" i="1"/>
  <c r="S10" i="4" s="1"/>
  <c r="T32" i="1"/>
  <c r="T10" i="4" s="1"/>
  <c r="U32" i="1"/>
  <c r="U10" i="4" s="1"/>
  <c r="V32" i="1"/>
  <c r="V10" i="4" s="1"/>
  <c r="S33" i="1"/>
  <c r="S11" i="4" s="1"/>
  <c r="T33" i="1"/>
  <c r="T11" i="4" s="1"/>
  <c r="U33" i="1"/>
  <c r="U11" i="4" s="1"/>
  <c r="V33" i="1"/>
  <c r="V11" i="4" s="1"/>
  <c r="S34" i="1"/>
  <c r="S12" i="4" s="1"/>
  <c r="T34" i="1"/>
  <c r="T12" i="4" s="1"/>
  <c r="U34" i="1"/>
  <c r="U12" i="4" s="1"/>
  <c r="V34" i="1"/>
  <c r="V12" i="4" s="1"/>
  <c r="S35" i="1"/>
  <c r="S13" i="4" s="1"/>
  <c r="T35" i="1"/>
  <c r="T13" i="4" s="1"/>
  <c r="U35" i="1"/>
  <c r="U13" i="4" s="1"/>
  <c r="V35" i="1"/>
  <c r="V13" i="4" s="1"/>
  <c r="S36" i="1"/>
  <c r="S14" i="4" s="1"/>
  <c r="T36" i="1"/>
  <c r="T14" i="4" s="1"/>
  <c r="U36" i="1"/>
  <c r="U14" i="4" s="1"/>
  <c r="V36" i="1"/>
  <c r="V14" i="4" s="1"/>
  <c r="S37" i="1"/>
  <c r="S15" i="4" s="1"/>
  <c r="T37" i="1"/>
  <c r="T15" i="4" s="1"/>
  <c r="U37" i="1"/>
  <c r="U15" i="4" s="1"/>
  <c r="V37" i="1"/>
  <c r="V15" i="4" s="1"/>
  <c r="S38" i="1"/>
  <c r="S16" i="4" s="1"/>
  <c r="T38" i="1"/>
  <c r="T16" i="4" s="1"/>
  <c r="U38" i="1"/>
  <c r="U16" i="4" s="1"/>
  <c r="V38" i="1"/>
  <c r="V16" i="4" s="1"/>
  <c r="S39" i="1"/>
  <c r="S17" i="4" s="1"/>
  <c r="T39" i="1"/>
  <c r="T17" i="4" s="1"/>
  <c r="U39" i="1"/>
  <c r="U17" i="4" s="1"/>
  <c r="V39" i="1"/>
  <c r="V17" i="4" s="1"/>
  <c r="S40" i="1"/>
  <c r="S18" i="4" s="1"/>
  <c r="T40" i="1"/>
  <c r="T18" i="4" s="1"/>
  <c r="U40" i="1"/>
  <c r="U18" i="4" s="1"/>
  <c r="V40" i="1"/>
  <c r="V18" i="4" s="1"/>
  <c r="S41" i="1"/>
  <c r="S19" i="4" s="1"/>
  <c r="T41" i="1"/>
  <c r="T19" i="4" s="1"/>
  <c r="U41" i="1"/>
  <c r="U19" i="4" s="1"/>
  <c r="V41" i="1"/>
  <c r="V19" i="4" s="1"/>
  <c r="S42" i="1"/>
  <c r="S20" i="4" s="1"/>
  <c r="T42" i="1"/>
  <c r="T20" i="4" s="1"/>
  <c r="U42" i="1"/>
  <c r="U20" i="4" s="1"/>
  <c r="V42" i="1"/>
  <c r="V20" i="4" s="1"/>
  <c r="S43" i="1"/>
  <c r="S21" i="4" s="1"/>
  <c r="T43" i="1"/>
  <c r="U43" i="1"/>
  <c r="V43" i="1"/>
  <c r="K36" i="1"/>
  <c r="K14" i="4" s="1"/>
  <c r="L36" i="1"/>
  <c r="L14" i="4" s="1"/>
  <c r="M36" i="1"/>
  <c r="M14" i="4" s="1"/>
  <c r="K37" i="1"/>
  <c r="K15" i="4" s="1"/>
  <c r="L37" i="1"/>
  <c r="L15" i="4" s="1"/>
  <c r="M37" i="1"/>
  <c r="M15" i="4" s="1"/>
  <c r="K38" i="1"/>
  <c r="K16" i="4" s="1"/>
  <c r="L38" i="1"/>
  <c r="L16" i="4" s="1"/>
  <c r="M38" i="1"/>
  <c r="M16" i="4" s="1"/>
  <c r="K39" i="1"/>
  <c r="K17" i="4" s="1"/>
  <c r="L39" i="1"/>
  <c r="L17" i="4" s="1"/>
  <c r="M39" i="1"/>
  <c r="M17" i="4" s="1"/>
  <c r="K40" i="1"/>
  <c r="K18" i="4" s="1"/>
  <c r="L40" i="1"/>
  <c r="L18" i="4" s="1"/>
  <c r="M40" i="1"/>
  <c r="M18" i="4" s="1"/>
  <c r="K41" i="1"/>
  <c r="K19" i="4" s="1"/>
  <c r="L41" i="1"/>
  <c r="L19" i="4" s="1"/>
  <c r="M41" i="1"/>
  <c r="M19" i="4" s="1"/>
  <c r="K42" i="1"/>
  <c r="K20" i="4" s="1"/>
  <c r="L42" i="1"/>
  <c r="L20" i="4" s="1"/>
  <c r="M42" i="1"/>
  <c r="M20" i="4" s="1"/>
  <c r="K43" i="1"/>
  <c r="L43" i="1"/>
  <c r="M43" i="1"/>
  <c r="N45" i="1"/>
  <c r="A45" i="1"/>
  <c r="A45" i="23"/>
  <c r="A22" i="23"/>
  <c r="A22" i="1"/>
  <c r="B1" i="4"/>
  <c r="A52" i="23"/>
  <c r="I43" i="23"/>
  <c r="H43" i="23"/>
  <c r="G43" i="23"/>
  <c r="F43" i="23"/>
  <c r="E43" i="23"/>
  <c r="D43" i="23"/>
  <c r="C43" i="23"/>
  <c r="B43" i="23"/>
  <c r="I42" i="23"/>
  <c r="I36" i="4" s="1"/>
  <c r="H42" i="23"/>
  <c r="H36" i="4" s="1"/>
  <c r="G42" i="23"/>
  <c r="G36" i="4" s="1"/>
  <c r="F42" i="23"/>
  <c r="F36" i="4" s="1"/>
  <c r="E42" i="23"/>
  <c r="E36" i="4" s="1"/>
  <c r="D42" i="23"/>
  <c r="D36" i="4" s="1"/>
  <c r="C42" i="23"/>
  <c r="C36" i="4" s="1"/>
  <c r="B42" i="23"/>
  <c r="B36" i="4" s="1"/>
  <c r="V35" i="4"/>
  <c r="I41" i="23"/>
  <c r="I35" i="4" s="1"/>
  <c r="H41" i="23"/>
  <c r="H35" i="4" s="1"/>
  <c r="G41" i="23"/>
  <c r="G35" i="4" s="1"/>
  <c r="F41" i="23"/>
  <c r="F35" i="4" s="1"/>
  <c r="E41" i="23"/>
  <c r="E35" i="4" s="1"/>
  <c r="D41" i="23"/>
  <c r="D35" i="4" s="1"/>
  <c r="C41" i="23"/>
  <c r="C35" i="4" s="1"/>
  <c r="B41" i="23"/>
  <c r="B35" i="4" s="1"/>
  <c r="T34" i="4"/>
  <c r="I40" i="23"/>
  <c r="I34" i="4" s="1"/>
  <c r="H40" i="23"/>
  <c r="H34" i="4" s="1"/>
  <c r="G40" i="23"/>
  <c r="G34" i="4" s="1"/>
  <c r="F40" i="23"/>
  <c r="F34" i="4" s="1"/>
  <c r="E40" i="23"/>
  <c r="E34" i="4" s="1"/>
  <c r="D40" i="23"/>
  <c r="D34" i="4" s="1"/>
  <c r="C40" i="23"/>
  <c r="C34" i="4" s="1"/>
  <c r="B40" i="23"/>
  <c r="B34" i="4" s="1"/>
  <c r="V33" i="4"/>
  <c r="I39" i="23"/>
  <c r="I33" i="4" s="1"/>
  <c r="H39" i="23"/>
  <c r="H33" i="4" s="1"/>
  <c r="G39" i="23"/>
  <c r="G33" i="4" s="1"/>
  <c r="F39" i="23"/>
  <c r="F33" i="4" s="1"/>
  <c r="E39" i="23"/>
  <c r="E33" i="4" s="1"/>
  <c r="D39" i="23"/>
  <c r="D33" i="4" s="1"/>
  <c r="C39" i="23"/>
  <c r="C33" i="4" s="1"/>
  <c r="B39" i="23"/>
  <c r="B33" i="4" s="1"/>
  <c r="I38" i="23"/>
  <c r="I32" i="4" s="1"/>
  <c r="H38" i="23"/>
  <c r="H32" i="4" s="1"/>
  <c r="G38" i="23"/>
  <c r="G32" i="4" s="1"/>
  <c r="F38" i="23"/>
  <c r="F32" i="4" s="1"/>
  <c r="E38" i="23"/>
  <c r="E32" i="4" s="1"/>
  <c r="D38" i="23"/>
  <c r="D32" i="4" s="1"/>
  <c r="C38" i="23"/>
  <c r="C32" i="4" s="1"/>
  <c r="U31" i="4"/>
  <c r="I37" i="23"/>
  <c r="I31" i="4" s="1"/>
  <c r="H37" i="23"/>
  <c r="H31" i="4" s="1"/>
  <c r="G37" i="23"/>
  <c r="G31" i="4" s="1"/>
  <c r="F37" i="23"/>
  <c r="F31" i="4" s="1"/>
  <c r="E37" i="23"/>
  <c r="E31" i="4" s="1"/>
  <c r="D37" i="23"/>
  <c r="D31" i="4" s="1"/>
  <c r="C37" i="23"/>
  <c r="C31" i="4" s="1"/>
  <c r="B37" i="23"/>
  <c r="B31" i="4" s="1"/>
  <c r="I36" i="23"/>
  <c r="I30" i="4" s="1"/>
  <c r="H36" i="23"/>
  <c r="H30" i="4" s="1"/>
  <c r="G36" i="23"/>
  <c r="G30" i="4" s="1"/>
  <c r="F36" i="23"/>
  <c r="F30" i="4" s="1"/>
  <c r="E36" i="23"/>
  <c r="E30" i="4" s="1"/>
  <c r="D36" i="23"/>
  <c r="D30" i="4" s="1"/>
  <c r="C36" i="23"/>
  <c r="C30" i="4" s="1"/>
  <c r="B36" i="23"/>
  <c r="B30" i="4" s="1"/>
  <c r="U25" i="4"/>
  <c r="P24" i="4"/>
  <c r="V24" i="23"/>
  <c r="U24" i="23"/>
  <c r="T24" i="23"/>
  <c r="S24" i="23"/>
  <c r="R24" i="23"/>
  <c r="Q24" i="23"/>
  <c r="P24" i="23"/>
  <c r="O24" i="23"/>
  <c r="L24" i="23"/>
  <c r="J24" i="23"/>
  <c r="I24" i="23"/>
  <c r="H24" i="23"/>
  <c r="G24" i="23"/>
  <c r="F24" i="23"/>
  <c r="E24" i="23"/>
  <c r="D24" i="23"/>
  <c r="C24" i="23"/>
  <c r="B24" i="23"/>
  <c r="V23" i="23"/>
  <c r="U23" i="23"/>
  <c r="T23" i="23"/>
  <c r="S23" i="23"/>
  <c r="R23" i="23"/>
  <c r="Q23" i="23"/>
  <c r="P23" i="23"/>
  <c r="O23" i="23"/>
  <c r="B32" i="23" s="1"/>
  <c r="B26" i="4" s="1"/>
  <c r="L23" i="23"/>
  <c r="J23" i="23"/>
  <c r="I23" i="23"/>
  <c r="H23" i="23"/>
  <c r="G23" i="23"/>
  <c r="F23" i="23"/>
  <c r="E23" i="23"/>
  <c r="D23" i="23"/>
  <c r="C23" i="23"/>
  <c r="B23" i="23"/>
  <c r="Q45" i="23"/>
  <c r="P45" i="23"/>
  <c r="O45" i="23"/>
  <c r="I22" i="23"/>
  <c r="H27" i="23"/>
  <c r="H52" i="23" s="1"/>
  <c r="G45" i="23"/>
  <c r="F27" i="23"/>
  <c r="F52" i="23" s="1"/>
  <c r="E45" i="23"/>
  <c r="C45" i="23"/>
  <c r="B45" i="23"/>
  <c r="D31" i="23"/>
  <c r="D25" i="4" s="1"/>
  <c r="J40" i="23"/>
  <c r="J34" i="4" s="1"/>
  <c r="J36" i="23"/>
  <c r="J30" i="4" s="1"/>
  <c r="F28" i="23"/>
  <c r="J42" i="23"/>
  <c r="J36" i="4" s="1"/>
  <c r="J38" i="23"/>
  <c r="J32" i="4" s="1"/>
  <c r="E31" i="23"/>
  <c r="E25" i="4" s="1"/>
  <c r="J41" i="23"/>
  <c r="J35" i="4" s="1"/>
  <c r="J37" i="23"/>
  <c r="J31" i="4" s="1"/>
  <c r="I34" i="23"/>
  <c r="I28" i="4" s="1"/>
  <c r="C32" i="23"/>
  <c r="C26" i="4" s="1"/>
  <c r="J43" i="23"/>
  <c r="J39" i="23"/>
  <c r="J33" i="4" s="1"/>
  <c r="F35" i="23"/>
  <c r="F29" i="4" s="1"/>
  <c r="H33" i="23"/>
  <c r="H27" i="4" s="1"/>
  <c r="I32" i="23"/>
  <c r="I26" i="4" s="1"/>
  <c r="F31" i="23"/>
  <c r="F25" i="4" s="1"/>
  <c r="H29" i="23"/>
  <c r="H23" i="4" s="1"/>
  <c r="I28" i="23"/>
  <c r="E35" i="23"/>
  <c r="E29" i="4" s="1"/>
  <c r="H28" i="23"/>
  <c r="F33" i="23"/>
  <c r="F27" i="4" s="1"/>
  <c r="V25" i="4"/>
  <c r="G28" i="23"/>
  <c r="P22" i="23"/>
  <c r="S23" i="1"/>
  <c r="T23" i="1"/>
  <c r="U23" i="1"/>
  <c r="V23" i="1"/>
  <c r="S24" i="1"/>
  <c r="T24" i="1"/>
  <c r="U24" i="1"/>
  <c r="V24" i="1"/>
  <c r="L23" i="1"/>
  <c r="M23" i="1"/>
  <c r="L24" i="1"/>
  <c r="M24" i="1"/>
  <c r="I23" i="1"/>
  <c r="I24" i="1"/>
  <c r="C36" i="1"/>
  <c r="C14" i="4" s="1"/>
  <c r="D36" i="1"/>
  <c r="D14" i="4" s="1"/>
  <c r="E36" i="1"/>
  <c r="E14" i="4" s="1"/>
  <c r="F36" i="1"/>
  <c r="F14" i="4" s="1"/>
  <c r="G36" i="1"/>
  <c r="G14" i="4" s="1"/>
  <c r="H36" i="1"/>
  <c r="H14" i="4" s="1"/>
  <c r="I36" i="1"/>
  <c r="I14" i="4" s="1"/>
  <c r="J36" i="1"/>
  <c r="J14" i="4" s="1"/>
  <c r="C37" i="1"/>
  <c r="C15" i="4" s="1"/>
  <c r="D37" i="1"/>
  <c r="D15" i="4" s="1"/>
  <c r="E37" i="1"/>
  <c r="E15" i="4" s="1"/>
  <c r="F37" i="1"/>
  <c r="F15" i="4" s="1"/>
  <c r="G37" i="1"/>
  <c r="G15" i="4" s="1"/>
  <c r="H37" i="1"/>
  <c r="H15" i="4" s="1"/>
  <c r="I37" i="1"/>
  <c r="I15" i="4" s="1"/>
  <c r="J37" i="1"/>
  <c r="J15" i="4" s="1"/>
  <c r="C38" i="1"/>
  <c r="C16" i="4" s="1"/>
  <c r="D38" i="1"/>
  <c r="D16" i="4" s="1"/>
  <c r="E38" i="1"/>
  <c r="E16" i="4" s="1"/>
  <c r="F38" i="1"/>
  <c r="F16" i="4" s="1"/>
  <c r="G38" i="1"/>
  <c r="G16" i="4" s="1"/>
  <c r="H38" i="1"/>
  <c r="H16" i="4" s="1"/>
  <c r="I38" i="1"/>
  <c r="I16" i="4" s="1"/>
  <c r="J38" i="1"/>
  <c r="J16" i="4" s="1"/>
  <c r="C39" i="1"/>
  <c r="C17" i="4" s="1"/>
  <c r="D39" i="1"/>
  <c r="E39" i="1"/>
  <c r="E17" i="4" s="1"/>
  <c r="F39" i="1"/>
  <c r="F17" i="4" s="1"/>
  <c r="G39" i="1"/>
  <c r="G17" i="4" s="1"/>
  <c r="H39" i="1"/>
  <c r="H17" i="4" s="1"/>
  <c r="I39" i="1"/>
  <c r="I17" i="4" s="1"/>
  <c r="J39" i="1"/>
  <c r="J17" i="4" s="1"/>
  <c r="C40" i="1"/>
  <c r="C18" i="4" s="1"/>
  <c r="D40" i="1"/>
  <c r="D18" i="4" s="1"/>
  <c r="E40" i="1"/>
  <c r="E18" i="4" s="1"/>
  <c r="F40" i="1"/>
  <c r="F18" i="4" s="1"/>
  <c r="G40" i="1"/>
  <c r="G18" i="4" s="1"/>
  <c r="H40" i="1"/>
  <c r="H18" i="4" s="1"/>
  <c r="I40" i="1"/>
  <c r="I18" i="4" s="1"/>
  <c r="J40" i="1"/>
  <c r="J18" i="4" s="1"/>
  <c r="C41" i="1"/>
  <c r="C19" i="4" s="1"/>
  <c r="D41" i="1"/>
  <c r="D19" i="4" s="1"/>
  <c r="E41" i="1"/>
  <c r="E19" i="4" s="1"/>
  <c r="F41" i="1"/>
  <c r="F19" i="4" s="1"/>
  <c r="G41" i="1"/>
  <c r="G19" i="4" s="1"/>
  <c r="H41" i="1"/>
  <c r="H19" i="4" s="1"/>
  <c r="I41" i="1"/>
  <c r="I19" i="4" s="1"/>
  <c r="J41" i="1"/>
  <c r="J19" i="4" s="1"/>
  <c r="C42" i="1"/>
  <c r="C20" i="4" s="1"/>
  <c r="D42" i="1"/>
  <c r="D20" i="4" s="1"/>
  <c r="E42" i="1"/>
  <c r="E20" i="4" s="1"/>
  <c r="F42" i="1"/>
  <c r="F20" i="4" s="1"/>
  <c r="G42" i="1"/>
  <c r="G20" i="4" s="1"/>
  <c r="H42" i="1"/>
  <c r="H20" i="4" s="1"/>
  <c r="I42" i="1"/>
  <c r="I20" i="4" s="1"/>
  <c r="J42" i="1"/>
  <c r="J20" i="4" s="1"/>
  <c r="C43" i="1"/>
  <c r="D43" i="1"/>
  <c r="E43" i="1"/>
  <c r="F43" i="1"/>
  <c r="G43" i="1"/>
  <c r="H43" i="1"/>
  <c r="I43" i="1"/>
  <c r="J43" i="1"/>
  <c r="I45" i="1"/>
  <c r="R33" i="1"/>
  <c r="R11" i="4" s="1"/>
  <c r="Q36" i="1"/>
  <c r="Q14" i="4" s="1"/>
  <c r="R36" i="1"/>
  <c r="R14" i="4" s="1"/>
  <c r="Q37" i="1"/>
  <c r="Q15" i="4" s="1"/>
  <c r="P38" i="1"/>
  <c r="P16" i="4" s="1"/>
  <c r="Q38" i="1"/>
  <c r="Q16" i="4" s="1"/>
  <c r="P39" i="1"/>
  <c r="P17" i="4" s="1"/>
  <c r="Q39" i="1"/>
  <c r="Q17" i="4" s="1"/>
  <c r="R39" i="1"/>
  <c r="R17" i="4" s="1"/>
  <c r="P40" i="1"/>
  <c r="P18" i="4" s="1"/>
  <c r="Q40" i="1"/>
  <c r="Q18" i="4" s="1"/>
  <c r="R40" i="1"/>
  <c r="R18" i="4" s="1"/>
  <c r="P41" i="1"/>
  <c r="P19" i="4" s="1"/>
  <c r="Q41" i="1"/>
  <c r="Q19" i="4" s="1"/>
  <c r="P42" i="1"/>
  <c r="P20" i="4" s="1"/>
  <c r="Q42" i="1"/>
  <c r="Q20" i="4" s="1"/>
  <c r="P43" i="1"/>
  <c r="Q43" i="1"/>
  <c r="R43" i="1"/>
  <c r="B36" i="1"/>
  <c r="B14" i="4" s="1"/>
  <c r="B37" i="1"/>
  <c r="B15" i="4" s="1"/>
  <c r="B38" i="1"/>
  <c r="B16" i="4" s="1"/>
  <c r="B39" i="1"/>
  <c r="B17" i="4" s="1"/>
  <c r="B40" i="1"/>
  <c r="B18" i="4" s="1"/>
  <c r="B41" i="1"/>
  <c r="B19" i="4" s="1"/>
  <c r="B42" i="1"/>
  <c r="B20" i="4" s="1"/>
  <c r="B43" i="1"/>
  <c r="B23" i="1"/>
  <c r="B4" i="4"/>
  <c r="B62" i="4" s="1"/>
  <c r="A52" i="1"/>
  <c r="O22" i="1"/>
  <c r="Q24" i="1"/>
  <c r="P24" i="1"/>
  <c r="O24" i="1"/>
  <c r="Q23" i="1"/>
  <c r="P23" i="1"/>
  <c r="O23" i="1"/>
  <c r="C29" i="1" s="1"/>
  <c r="C7" i="4" s="1"/>
  <c r="H27" i="1"/>
  <c r="H52" i="1" s="1"/>
  <c r="G27" i="1"/>
  <c r="G52" i="1" s="1"/>
  <c r="F27" i="1"/>
  <c r="F52" i="1" s="1"/>
  <c r="E4" i="4"/>
  <c r="D22" i="1"/>
  <c r="C45" i="1"/>
  <c r="F32" i="1"/>
  <c r="F10" i="4" s="1"/>
  <c r="H34" i="1"/>
  <c r="H12" i="4" s="1"/>
  <c r="D35" i="1"/>
  <c r="D13" i="4" s="1"/>
  <c r="D33" i="1"/>
  <c r="D11" i="4" s="1"/>
  <c r="F35" i="1"/>
  <c r="F13" i="4" s="1"/>
  <c r="I33" i="1"/>
  <c r="I11" i="4" s="1"/>
  <c r="F33" i="1"/>
  <c r="F11" i="4" s="1"/>
  <c r="G34" i="1"/>
  <c r="G12" i="4" s="1"/>
  <c r="Q31" i="1"/>
  <c r="Q9" i="4" s="1"/>
  <c r="Q34" i="1"/>
  <c r="Q12" i="4" s="1"/>
  <c r="O42" i="1"/>
  <c r="O20" i="4" s="1"/>
  <c r="P28" i="1"/>
  <c r="P30" i="1"/>
  <c r="P8" i="4" s="1"/>
  <c r="P33" i="1"/>
  <c r="P11" i="4" s="1"/>
  <c r="P34" i="1"/>
  <c r="P12" i="4" s="1"/>
  <c r="O41" i="1"/>
  <c r="O19" i="4" s="1"/>
  <c r="B33" i="1"/>
  <c r="B11" i="4" s="1"/>
  <c r="Q28" i="1"/>
  <c r="Q33" i="1"/>
  <c r="Q11" i="4" s="1"/>
  <c r="Q35" i="1"/>
  <c r="Q13" i="4" s="1"/>
  <c r="O38" i="1"/>
  <c r="O16" i="4" s="1"/>
  <c r="Q27" i="1"/>
  <c r="Q52" i="1" s="1"/>
  <c r="K24" i="1"/>
  <c r="J24" i="1"/>
  <c r="H24" i="1"/>
  <c r="G24" i="1"/>
  <c r="F24" i="1"/>
  <c r="E24" i="1"/>
  <c r="D24" i="1"/>
  <c r="C24" i="1"/>
  <c r="B24" i="1"/>
  <c r="K23" i="1"/>
  <c r="J23" i="1"/>
  <c r="H23" i="1"/>
  <c r="G23" i="1"/>
  <c r="F23" i="1"/>
  <c r="E23" i="1"/>
  <c r="D23" i="1"/>
  <c r="C23" i="1"/>
  <c r="R24" i="1"/>
  <c r="R23" i="1"/>
  <c r="K4" i="1"/>
  <c r="K4" i="4" s="1"/>
  <c r="K62" i="4" s="1"/>
  <c r="L4" i="1"/>
  <c r="L4" i="4" s="1"/>
  <c r="K4" i="23"/>
  <c r="K52" i="23" s="1"/>
  <c r="L4" i="23"/>
  <c r="L27" i="23" s="1"/>
  <c r="T56" i="23"/>
  <c r="Q56" i="23"/>
  <c r="S56" i="23"/>
  <c r="R56" i="23"/>
  <c r="P56" i="23"/>
  <c r="U56" i="1"/>
  <c r="U56" i="23"/>
  <c r="T56" i="1"/>
  <c r="V56" i="1"/>
  <c r="V56" i="23"/>
  <c r="S56" i="1"/>
  <c r="O9" i="12" l="1"/>
  <c r="O10" i="12" s="1"/>
  <c r="H31" i="23"/>
  <c r="H25" i="4" s="1"/>
  <c r="J33" i="23"/>
  <c r="J27" i="4" s="1"/>
  <c r="G33" i="23"/>
  <c r="G27" i="4" s="1"/>
  <c r="D29" i="23"/>
  <c r="D23" i="4" s="1"/>
  <c r="J31" i="23"/>
  <c r="J25" i="4" s="1"/>
  <c r="G34" i="23"/>
  <c r="G28" i="4" s="1"/>
  <c r="O43" i="23"/>
  <c r="O39" i="23"/>
  <c r="O33" i="4" s="1"/>
  <c r="I30" i="23"/>
  <c r="I24" i="4" s="1"/>
  <c r="G32" i="23"/>
  <c r="G26" i="4" s="1"/>
  <c r="G29" i="23"/>
  <c r="G23" i="4" s="1"/>
  <c r="I35" i="23"/>
  <c r="I29" i="4" s="1"/>
  <c r="G30" i="23"/>
  <c r="G24" i="4" s="1"/>
  <c r="D33" i="23"/>
  <c r="D27" i="4" s="1"/>
  <c r="J35" i="23"/>
  <c r="J29" i="4" s="1"/>
  <c r="D28" i="23"/>
  <c r="C33" i="23"/>
  <c r="C27" i="4" s="1"/>
  <c r="E33" i="23"/>
  <c r="E27" i="4" s="1"/>
  <c r="J30" i="23"/>
  <c r="J24" i="4" s="1"/>
  <c r="F34" i="23"/>
  <c r="F28" i="4" s="1"/>
  <c r="D30" i="23"/>
  <c r="D24" i="4" s="1"/>
  <c r="O42" i="23"/>
  <c r="O36" i="4" s="1"/>
  <c r="O36" i="23"/>
  <c r="O30" i="4" s="1"/>
  <c r="H35" i="23"/>
  <c r="H29" i="4" s="1"/>
  <c r="C29" i="23"/>
  <c r="C23" i="4" s="1"/>
  <c r="I31" i="23"/>
  <c r="I25" i="4" s="1"/>
  <c r="J32" i="23"/>
  <c r="J26" i="4" s="1"/>
  <c r="O41" i="23"/>
  <c r="O35" i="4" s="1"/>
  <c r="O40" i="23"/>
  <c r="O34" i="4" s="1"/>
  <c r="D35" i="23"/>
  <c r="D29" i="4" s="1"/>
  <c r="D32" i="23"/>
  <c r="D26" i="4" s="1"/>
  <c r="E28" i="23"/>
  <c r="C30" i="23"/>
  <c r="C24" i="4" s="1"/>
  <c r="E32" i="23"/>
  <c r="E26" i="4" s="1"/>
  <c r="C34" i="23"/>
  <c r="C28" i="4" s="1"/>
  <c r="E34" i="23"/>
  <c r="E28" i="4" s="1"/>
  <c r="F30" i="23"/>
  <c r="F24" i="4" s="1"/>
  <c r="H32" i="23"/>
  <c r="H26" i="4" s="1"/>
  <c r="J34" i="23"/>
  <c r="J28" i="4" s="1"/>
  <c r="J28" i="23"/>
  <c r="O33" i="23"/>
  <c r="O27" i="4" s="1"/>
  <c r="G31" i="23"/>
  <c r="G25" i="4" s="1"/>
  <c r="C35" i="23"/>
  <c r="C29" i="4" s="1"/>
  <c r="H30" i="23"/>
  <c r="H24" i="4" s="1"/>
  <c r="L34" i="23"/>
  <c r="L28" i="4" s="1"/>
  <c r="K31" i="23"/>
  <c r="K25" i="4" s="1"/>
  <c r="M30" i="23"/>
  <c r="M24" i="4" s="1"/>
  <c r="K33" i="23"/>
  <c r="K27" i="4" s="1"/>
  <c r="L29" i="23"/>
  <c r="L23" i="4" s="1"/>
  <c r="E29" i="23"/>
  <c r="E23" i="4" s="1"/>
  <c r="F32" i="23"/>
  <c r="F26" i="4" s="1"/>
  <c r="D34" i="23"/>
  <c r="J29" i="23"/>
  <c r="K28" i="23"/>
  <c r="K22" i="4" s="1"/>
  <c r="M35" i="23"/>
  <c r="M29" i="4" s="1"/>
  <c r="I33" i="23"/>
  <c r="I27" i="4" s="1"/>
  <c r="G35" i="23"/>
  <c r="G46" i="23" s="1"/>
  <c r="G53" i="23" s="1"/>
  <c r="C28" i="23"/>
  <c r="E30" i="23"/>
  <c r="L35" i="23"/>
  <c r="L29" i="4" s="1"/>
  <c r="K34" i="23"/>
  <c r="K28" i="4" s="1"/>
  <c r="M32" i="23"/>
  <c r="M26" i="4" s="1"/>
  <c r="L30" i="23"/>
  <c r="L24" i="4" s="1"/>
  <c r="K29" i="23"/>
  <c r="O29" i="23"/>
  <c r="O23" i="4" s="1"/>
  <c r="K35" i="23"/>
  <c r="K29" i="4" s="1"/>
  <c r="M33" i="23"/>
  <c r="M27" i="4" s="1"/>
  <c r="L32" i="23"/>
  <c r="L26" i="4" s="1"/>
  <c r="M31" i="23"/>
  <c r="M25" i="4" s="1"/>
  <c r="K30" i="23"/>
  <c r="K24" i="4" s="1"/>
  <c r="M28" i="23"/>
  <c r="I29" i="23"/>
  <c r="C31" i="23"/>
  <c r="C25" i="4" s="1"/>
  <c r="H34" i="23"/>
  <c r="F29" i="23"/>
  <c r="M34" i="23"/>
  <c r="M28" i="4" s="1"/>
  <c r="L33" i="23"/>
  <c r="L27" i="4" s="1"/>
  <c r="K32" i="23"/>
  <c r="K26" i="4" s="1"/>
  <c r="L31" i="23"/>
  <c r="L25" i="4" s="1"/>
  <c r="M29" i="23"/>
  <c r="M23" i="4" s="1"/>
  <c r="L28" i="23"/>
  <c r="L47" i="23" s="1"/>
  <c r="L48" i="23" s="1"/>
  <c r="L54" i="23" s="1"/>
  <c r="O35" i="23"/>
  <c r="O29" i="4" s="1"/>
  <c r="O40" i="1"/>
  <c r="O18" i="4" s="1"/>
  <c r="O43" i="1"/>
  <c r="E33" i="1"/>
  <c r="E11" i="4" s="1"/>
  <c r="H35" i="1"/>
  <c r="H13" i="4" s="1"/>
  <c r="F29" i="1"/>
  <c r="F7" i="4" s="1"/>
  <c r="I29" i="1"/>
  <c r="I34" i="1"/>
  <c r="I12" i="4" s="1"/>
  <c r="H30" i="1"/>
  <c r="H8" i="4" s="1"/>
  <c r="C35" i="1"/>
  <c r="C13" i="4" s="1"/>
  <c r="E29" i="1"/>
  <c r="H33" i="1"/>
  <c r="H11" i="4" s="1"/>
  <c r="H31" i="1"/>
  <c r="H9" i="4" s="1"/>
  <c r="O39" i="1"/>
  <c r="O17" i="4" s="1"/>
  <c r="G35" i="1"/>
  <c r="G13" i="4" s="1"/>
  <c r="H32" i="1"/>
  <c r="H10" i="4" s="1"/>
  <c r="E30" i="1"/>
  <c r="E8" i="4" s="1"/>
  <c r="E35" i="1"/>
  <c r="E13" i="4" s="1"/>
  <c r="K30" i="1"/>
  <c r="K8" i="4" s="1"/>
  <c r="G29" i="1"/>
  <c r="J35" i="1"/>
  <c r="J13" i="4" s="1"/>
  <c r="K35" i="1"/>
  <c r="K13" i="4" s="1"/>
  <c r="M28" i="1"/>
  <c r="M6" i="4" s="1"/>
  <c r="J31" i="1"/>
  <c r="J9" i="4" s="1"/>
  <c r="M33" i="1"/>
  <c r="M11" i="4" s="1"/>
  <c r="O32" i="1"/>
  <c r="O10" i="4" s="1"/>
  <c r="G30" i="1"/>
  <c r="G8" i="4" s="1"/>
  <c r="F34" i="1"/>
  <c r="F12" i="4" s="1"/>
  <c r="F30" i="1"/>
  <c r="I30" i="1"/>
  <c r="I8" i="4" s="1"/>
  <c r="E32" i="1"/>
  <c r="E10" i="4" s="1"/>
  <c r="C33" i="1"/>
  <c r="C11" i="4" s="1"/>
  <c r="J34" i="1"/>
  <c r="J12" i="4" s="1"/>
  <c r="J30" i="1"/>
  <c r="J8" i="4" s="1"/>
  <c r="J28" i="1"/>
  <c r="J6" i="4" s="1"/>
  <c r="M34" i="1"/>
  <c r="M12" i="4" s="1"/>
  <c r="L33" i="1"/>
  <c r="L11" i="4" s="1"/>
  <c r="M32" i="1"/>
  <c r="M10" i="4" s="1"/>
  <c r="M31" i="1"/>
  <c r="M9" i="4" s="1"/>
  <c r="M29" i="1"/>
  <c r="L28" i="1"/>
  <c r="J33" i="1"/>
  <c r="J11" i="4" s="1"/>
  <c r="J29" i="1"/>
  <c r="J7" i="4" s="1"/>
  <c r="M35" i="1"/>
  <c r="M13" i="4" s="1"/>
  <c r="L34" i="1"/>
  <c r="L12" i="4" s="1"/>
  <c r="K33" i="1"/>
  <c r="K11" i="4" s="1"/>
  <c r="L32" i="1"/>
  <c r="L10" i="4" s="1"/>
  <c r="L31" i="1"/>
  <c r="L9" i="4" s="1"/>
  <c r="M30" i="1"/>
  <c r="M8" i="4" s="1"/>
  <c r="L29" i="1"/>
  <c r="L7" i="4" s="1"/>
  <c r="K28" i="1"/>
  <c r="K6" i="4" s="1"/>
  <c r="J32" i="1"/>
  <c r="L35" i="1"/>
  <c r="L13" i="4" s="1"/>
  <c r="K34" i="1"/>
  <c r="K12" i="4" s="1"/>
  <c r="K32" i="1"/>
  <c r="K10" i="4" s="1"/>
  <c r="K31" i="1"/>
  <c r="L30" i="1"/>
  <c r="L8" i="4" s="1"/>
  <c r="K29" i="1"/>
  <c r="K7" i="4" s="1"/>
  <c r="T6" i="4"/>
  <c r="J22" i="4"/>
  <c r="L6" i="4"/>
  <c r="Q6" i="4"/>
  <c r="D22" i="4"/>
  <c r="C22" i="4"/>
  <c r="S6" i="4"/>
  <c r="G22" i="4"/>
  <c r="Q22" i="4"/>
  <c r="E22" i="4"/>
  <c r="F22" i="4"/>
  <c r="M22" i="4"/>
  <c r="H22" i="4"/>
  <c r="I22" i="4"/>
  <c r="P6" i="4"/>
  <c r="S22" i="4"/>
  <c r="U6" i="4"/>
  <c r="P22" i="4"/>
  <c r="T4" i="33"/>
  <c r="T22" i="33" s="1"/>
  <c r="Q22" i="1"/>
  <c r="S9" i="12"/>
  <c r="S10" i="12" s="1"/>
  <c r="N9" i="12"/>
  <c r="N10" i="12" s="1"/>
  <c r="M9" i="12"/>
  <c r="M10" i="12" s="1"/>
  <c r="I9" i="12"/>
  <c r="I10" i="12" s="1"/>
  <c r="P9" i="12"/>
  <c r="P10" i="12" s="1"/>
  <c r="R35" i="1"/>
  <c r="R13" i="4" s="1"/>
  <c r="G32" i="1"/>
  <c r="G10" i="4" s="1"/>
  <c r="H29" i="1"/>
  <c r="E28" i="1"/>
  <c r="D34" i="1"/>
  <c r="D12" i="4" s="1"/>
  <c r="I31" i="1"/>
  <c r="I9" i="4" s="1"/>
  <c r="F28" i="1"/>
  <c r="R41" i="1"/>
  <c r="R19" i="4" s="1"/>
  <c r="R37" i="1"/>
  <c r="R15" i="4" s="1"/>
  <c r="Q29" i="1"/>
  <c r="O37" i="1"/>
  <c r="O15" i="4" s="1"/>
  <c r="P29" i="1"/>
  <c r="B34" i="1"/>
  <c r="B12" i="4" s="1"/>
  <c r="B35" i="1"/>
  <c r="B13" i="4" s="1"/>
  <c r="C34" i="1"/>
  <c r="C12" i="4" s="1"/>
  <c r="I28" i="1"/>
  <c r="G31" i="1"/>
  <c r="G9" i="4" s="1"/>
  <c r="H28" i="1"/>
  <c r="E34" i="1"/>
  <c r="F31" i="1"/>
  <c r="G28" i="1"/>
  <c r="I32" i="1"/>
  <c r="I10" i="4" s="1"/>
  <c r="I35" i="1"/>
  <c r="G33" i="1"/>
  <c r="E31" i="1"/>
  <c r="E9" i="4" s="1"/>
  <c r="R42" i="1"/>
  <c r="R20" i="4" s="1"/>
  <c r="R38" i="1"/>
  <c r="R16" i="4" s="1"/>
  <c r="R34" i="1"/>
  <c r="R12" i="4" s="1"/>
  <c r="L74" i="4"/>
  <c r="H2" i="12" s="1"/>
  <c r="L62" i="4"/>
  <c r="E55" i="4"/>
  <c r="E62" i="4"/>
  <c r="K9" i="12"/>
  <c r="K10" i="12" s="1"/>
  <c r="P21" i="4"/>
  <c r="I52" i="23"/>
  <c r="R4" i="33"/>
  <c r="V37" i="4"/>
  <c r="R37" i="4"/>
  <c r="K37" i="4"/>
  <c r="I45" i="23"/>
  <c r="U4" i="33"/>
  <c r="O21" i="4"/>
  <c r="R21" i="4"/>
  <c r="Q21" i="4"/>
  <c r="S4" i="33"/>
  <c r="C27" i="23"/>
  <c r="C52" i="23" s="1"/>
  <c r="I27" i="23"/>
  <c r="V21" i="4"/>
  <c r="T21" i="4"/>
  <c r="B21" i="4"/>
  <c r="O37" i="23"/>
  <c r="O31" i="4" s="1"/>
  <c r="O34" i="23"/>
  <c r="O28" i="4" s="1"/>
  <c r="O38" i="23"/>
  <c r="T37" i="4"/>
  <c r="B38" i="23"/>
  <c r="F37" i="4"/>
  <c r="L37" i="4"/>
  <c r="P37" i="4"/>
  <c r="S37" i="4"/>
  <c r="J37" i="4"/>
  <c r="H37" i="4"/>
  <c r="M37" i="4"/>
  <c r="O37" i="4"/>
  <c r="Q4" i="4"/>
  <c r="Q62" i="4" s="1"/>
  <c r="H7" i="22"/>
  <c r="A44" i="22"/>
  <c r="H22" i="22"/>
  <c r="H19" i="22"/>
  <c r="H15" i="22"/>
  <c r="H25" i="22"/>
  <c r="H21" i="22"/>
  <c r="H18" i="22"/>
  <c r="P27" i="23"/>
  <c r="P52" i="23" s="1"/>
  <c r="H20" i="22"/>
  <c r="H17" i="22"/>
  <c r="H23" i="22"/>
  <c r="H16" i="22"/>
  <c r="A49" i="22"/>
  <c r="J4" i="1"/>
  <c r="J4" i="4" s="1"/>
  <c r="J4" i="23"/>
  <c r="J45" i="23" s="1"/>
  <c r="M4" i="23"/>
  <c r="M27" i="23" s="1"/>
  <c r="H10" i="22"/>
  <c r="M4" i="1"/>
  <c r="M4" i="4" s="1"/>
  <c r="H13" i="22"/>
  <c r="H12" i="22"/>
  <c r="H11" i="22"/>
  <c r="L45" i="1"/>
  <c r="L27" i="1"/>
  <c r="L52" i="1" s="1"/>
  <c r="H9" i="22"/>
  <c r="H8" i="22"/>
  <c r="O32" i="23"/>
  <c r="O31" i="23"/>
  <c r="O25" i="4" s="1"/>
  <c r="O30" i="23"/>
  <c r="O24" i="4" s="1"/>
  <c r="B33" i="23"/>
  <c r="B27" i="4" s="1"/>
  <c r="R46" i="23"/>
  <c r="R53" i="23" s="1"/>
  <c r="B28" i="23"/>
  <c r="B30" i="23"/>
  <c r="B24" i="4" s="1"/>
  <c r="B34" i="23"/>
  <c r="B28" i="4" s="1"/>
  <c r="B35" i="23"/>
  <c r="O28" i="23"/>
  <c r="B31" i="23"/>
  <c r="B25" i="4" s="1"/>
  <c r="B29" i="23"/>
  <c r="B23" i="4" s="1"/>
  <c r="P46" i="23"/>
  <c r="P53" i="23" s="1"/>
  <c r="Q32" i="1"/>
  <c r="P32" i="1"/>
  <c r="P10" i="4" s="1"/>
  <c r="D4" i="4"/>
  <c r="P23" i="4"/>
  <c r="O29" i="1"/>
  <c r="O7" i="4" s="1"/>
  <c r="B27" i="23"/>
  <c r="B52" i="23" s="1"/>
  <c r="K45" i="23"/>
  <c r="E27" i="23"/>
  <c r="E52" i="23" s="1"/>
  <c r="Q30" i="1"/>
  <c r="Q8" i="4" s="1"/>
  <c r="B29" i="1"/>
  <c r="B7" i="4" s="1"/>
  <c r="P35" i="1"/>
  <c r="P13" i="4" s="1"/>
  <c r="P31" i="1"/>
  <c r="P9" i="4" s="1"/>
  <c r="H22" i="23"/>
  <c r="V47" i="23"/>
  <c r="V48" i="23" s="1"/>
  <c r="V54" i="23" s="1"/>
  <c r="R47" i="23"/>
  <c r="R48" i="23" s="1"/>
  <c r="R54" i="23" s="1"/>
  <c r="M47" i="23"/>
  <c r="M48" i="23" s="1"/>
  <c r="M54" i="23" s="1"/>
  <c r="D47" i="23"/>
  <c r="D48" i="23" s="1"/>
  <c r="D54" i="23" s="1"/>
  <c r="P37" i="1"/>
  <c r="F22" i="23"/>
  <c r="O36" i="1"/>
  <c r="Q46" i="23"/>
  <c r="Q53" i="23" s="1"/>
  <c r="H45" i="23"/>
  <c r="H47" i="23"/>
  <c r="H48" i="23" s="1"/>
  <c r="H54" i="23" s="1"/>
  <c r="D46" i="23"/>
  <c r="D53" i="23" s="1"/>
  <c r="Q47" i="23"/>
  <c r="Q48" i="23" s="1"/>
  <c r="Q54" i="23" s="1"/>
  <c r="U46" i="23"/>
  <c r="U53" i="23" s="1"/>
  <c r="T46" i="23"/>
  <c r="T53" i="23" s="1"/>
  <c r="R31" i="1"/>
  <c r="R9" i="4" s="1"/>
  <c r="R22" i="4"/>
  <c r="V22" i="4"/>
  <c r="U29" i="4"/>
  <c r="T47" i="23"/>
  <c r="T48" i="23" s="1"/>
  <c r="T54" i="23" s="1"/>
  <c r="T27" i="4"/>
  <c r="H46" i="23"/>
  <c r="H53" i="23" s="1"/>
  <c r="V57" i="1"/>
  <c r="U57" i="23"/>
  <c r="Q57" i="23"/>
  <c r="U57" i="1"/>
  <c r="T57" i="23"/>
  <c r="P57" i="23"/>
  <c r="T57" i="1"/>
  <c r="S57" i="23"/>
  <c r="S57" i="1"/>
  <c r="V57" i="23"/>
  <c r="R57" i="23"/>
  <c r="J21" i="4"/>
  <c r="E37" i="4"/>
  <c r="M21" i="4"/>
  <c r="R28" i="1"/>
  <c r="R30" i="1"/>
  <c r="R8" i="4" s="1"/>
  <c r="L21" i="4"/>
  <c r="U21" i="4"/>
  <c r="R29" i="1"/>
  <c r="R7" i="4" s="1"/>
  <c r="D21" i="4"/>
  <c r="C37" i="4"/>
  <c r="I37" i="4"/>
  <c r="K21" i="4"/>
  <c r="P36" i="1"/>
  <c r="P14" i="4" s="1"/>
  <c r="R32" i="1"/>
  <c r="C21" i="4"/>
  <c r="B37" i="4"/>
  <c r="D37" i="4"/>
  <c r="G37" i="4"/>
  <c r="O34" i="1"/>
  <c r="O12" i="4" s="1"/>
  <c r="O35" i="1"/>
  <c r="O13" i="4" s="1"/>
  <c r="O33" i="1"/>
  <c r="O11" i="4" s="1"/>
  <c r="O30" i="1"/>
  <c r="O8" i="4" s="1"/>
  <c r="B31" i="1"/>
  <c r="B9" i="4" s="1"/>
  <c r="O31" i="1"/>
  <c r="O9" i="4" s="1"/>
  <c r="K9" i="4"/>
  <c r="B32" i="1"/>
  <c r="D28" i="1"/>
  <c r="C32" i="1"/>
  <c r="B28" i="1"/>
  <c r="D32" i="1"/>
  <c r="B30" i="1"/>
  <c r="B8" i="4" s="1"/>
  <c r="C28" i="1"/>
  <c r="D31" i="1"/>
  <c r="D9" i="4" s="1"/>
  <c r="U46" i="1"/>
  <c r="U53" i="1" s="1"/>
  <c r="O28" i="1"/>
  <c r="C30" i="1"/>
  <c r="C8" i="4" s="1"/>
  <c r="C31" i="1"/>
  <c r="C9" i="4" s="1"/>
  <c r="D29" i="1"/>
  <c r="D7" i="4" s="1"/>
  <c r="D30" i="1"/>
  <c r="S47" i="1"/>
  <c r="S48" i="1" s="1"/>
  <c r="S54" i="1" s="1"/>
  <c r="T46" i="1"/>
  <c r="T53" i="1" s="1"/>
  <c r="T47" i="1"/>
  <c r="T48" i="1" s="1"/>
  <c r="T54" i="1" s="1"/>
  <c r="S46" i="1"/>
  <c r="S53" i="1" s="1"/>
  <c r="V46" i="1"/>
  <c r="V53" i="1" s="1"/>
  <c r="V6" i="4"/>
  <c r="V47" i="1"/>
  <c r="V48" i="1" s="1"/>
  <c r="V54" i="1" s="1"/>
  <c r="U47" i="1"/>
  <c r="U48" i="1" s="1"/>
  <c r="U54" i="1" s="1"/>
  <c r="G21" i="4"/>
  <c r="I21" i="4"/>
  <c r="F21" i="4"/>
  <c r="H21" i="4"/>
  <c r="E21" i="4"/>
  <c r="L52" i="23"/>
  <c r="E7" i="4"/>
  <c r="D17" i="4"/>
  <c r="F8" i="4"/>
  <c r="J10" i="4"/>
  <c r="G7" i="4"/>
  <c r="C4" i="4"/>
  <c r="J47" i="23"/>
  <c r="J48" i="23" s="1"/>
  <c r="J54" i="23" s="1"/>
  <c r="P47" i="23"/>
  <c r="P48" i="23" s="1"/>
  <c r="P54" i="23" s="1"/>
  <c r="E47" i="23"/>
  <c r="E48" i="23" s="1"/>
  <c r="E54" i="23" s="1"/>
  <c r="I46" i="23"/>
  <c r="I53" i="23" s="1"/>
  <c r="F47" i="23"/>
  <c r="F48" i="23" s="1"/>
  <c r="F54" i="23" s="1"/>
  <c r="U47" i="23"/>
  <c r="U48" i="23" s="1"/>
  <c r="U54" i="23" s="1"/>
  <c r="A47" i="22"/>
  <c r="I47" i="23"/>
  <c r="I48" i="23" s="1"/>
  <c r="I54" i="23" s="1"/>
  <c r="G27" i="23"/>
  <c r="G52" i="23" s="1"/>
  <c r="A50" i="22"/>
  <c r="H50" i="22" s="1"/>
  <c r="K27" i="23"/>
  <c r="L22" i="1"/>
  <c r="I7" i="4"/>
  <c r="D27" i="1"/>
  <c r="D52" i="1" s="1"/>
  <c r="D45" i="1"/>
  <c r="D22" i="23"/>
  <c r="D45" i="23"/>
  <c r="D27" i="23"/>
  <c r="D52" i="23" s="1"/>
  <c r="S46" i="23"/>
  <c r="S53" i="23" s="1"/>
  <c r="S47" i="23"/>
  <c r="S48" i="23" s="1"/>
  <c r="S54" i="23" s="1"/>
  <c r="V46" i="23"/>
  <c r="V53" i="23" s="1"/>
  <c r="F45" i="23"/>
  <c r="E22" i="23"/>
  <c r="G22" i="23"/>
  <c r="K22" i="23"/>
  <c r="L45" i="23"/>
  <c r="O22" i="23"/>
  <c r="Q22" i="23"/>
  <c r="B22" i="23"/>
  <c r="C22" i="23"/>
  <c r="L22" i="23"/>
  <c r="Q27" i="23"/>
  <c r="Q52" i="23" s="1"/>
  <c r="O27" i="23"/>
  <c r="O52" i="23" s="1"/>
  <c r="E45" i="1"/>
  <c r="B27" i="1"/>
  <c r="B52" i="1" s="1"/>
  <c r="K27" i="1"/>
  <c r="K52" i="1" s="1"/>
  <c r="F4" i="4"/>
  <c r="G22" i="1"/>
  <c r="F45" i="1"/>
  <c r="C22" i="1"/>
  <c r="B22" i="1"/>
  <c r="G45" i="1"/>
  <c r="E27" i="1"/>
  <c r="E52" i="1" s="1"/>
  <c r="E22" i="1"/>
  <c r="I22" i="1"/>
  <c r="I27" i="1"/>
  <c r="P27" i="1"/>
  <c r="P52" i="1" s="1"/>
  <c r="H4" i="4"/>
  <c r="F22" i="1"/>
  <c r="I4" i="4"/>
  <c r="G4" i="4"/>
  <c r="C27" i="1"/>
  <c r="C52" i="1" s="1"/>
  <c r="B45" i="1"/>
  <c r="K74" i="4"/>
  <c r="G2" i="12" s="1"/>
  <c r="K22" i="1"/>
  <c r="H22" i="1"/>
  <c r="O4" i="4"/>
  <c r="H45" i="1"/>
  <c r="O45" i="1"/>
  <c r="P4" i="4"/>
  <c r="K45" i="1"/>
  <c r="P45" i="1"/>
  <c r="O27" i="1"/>
  <c r="O52" i="1" s="1"/>
  <c r="I52" i="1"/>
  <c r="K55" i="4"/>
  <c r="B55" i="4"/>
  <c r="H9" i="12"/>
  <c r="H10" i="12" s="1"/>
  <c r="G9" i="12"/>
  <c r="G10" i="12" s="1"/>
  <c r="E9" i="12"/>
  <c r="E10" i="12" s="1"/>
  <c r="L55" i="4"/>
  <c r="E74" i="4"/>
  <c r="B74" i="4"/>
  <c r="T9" i="12"/>
  <c r="T10" i="12" s="1"/>
  <c r="F9" i="12"/>
  <c r="F10" i="12" s="1"/>
  <c r="L9" i="12"/>
  <c r="L10" i="12" s="1"/>
  <c r="J9" i="12"/>
  <c r="J10" i="12" s="1"/>
  <c r="R9" i="12"/>
  <c r="R10" i="12" s="1"/>
  <c r="D56" i="23"/>
  <c r="L56" i="23"/>
  <c r="I56" i="1"/>
  <c r="S78" i="4"/>
  <c r="M56" i="23"/>
  <c r="K56" i="23"/>
  <c r="C56" i="23"/>
  <c r="F56" i="23"/>
  <c r="L56" i="1"/>
  <c r="B56" i="23"/>
  <c r="R56" i="1"/>
  <c r="V78" i="4"/>
  <c r="T78" i="4"/>
  <c r="B56" i="1"/>
  <c r="I56" i="23"/>
  <c r="H56" i="23"/>
  <c r="F56" i="1"/>
  <c r="E56" i="1"/>
  <c r="C56" i="1"/>
  <c r="D56" i="1"/>
  <c r="O56" i="1"/>
  <c r="G56" i="23"/>
  <c r="E56" i="23"/>
  <c r="H56" i="1"/>
  <c r="P56" i="1"/>
  <c r="Q56" i="1"/>
  <c r="J56" i="23"/>
  <c r="O56" i="23"/>
  <c r="U78" i="4"/>
  <c r="J56" i="1"/>
  <c r="K56" i="1"/>
  <c r="M56" i="1"/>
  <c r="G56" i="1"/>
  <c r="J46" i="23" l="1"/>
  <c r="J53" i="23" s="1"/>
  <c r="S63" i="4"/>
  <c r="S64" i="4" s="1"/>
  <c r="K47" i="23"/>
  <c r="K48" i="23" s="1"/>
  <c r="K54" i="23" s="1"/>
  <c r="C46" i="23"/>
  <c r="C53" i="23" s="1"/>
  <c r="G47" i="23"/>
  <c r="G48" i="23" s="1"/>
  <c r="G54" i="23" s="1"/>
  <c r="J57" i="23"/>
  <c r="D57" i="23"/>
  <c r="J23" i="4"/>
  <c r="J63" i="4" s="1"/>
  <c r="J64" i="4" s="1"/>
  <c r="D28" i="4"/>
  <c r="F57" i="23"/>
  <c r="M57" i="23"/>
  <c r="E57" i="23"/>
  <c r="H57" i="23"/>
  <c r="C57" i="23"/>
  <c r="L57" i="23"/>
  <c r="G57" i="23"/>
  <c r="I57" i="23"/>
  <c r="K57" i="23"/>
  <c r="F23" i="4"/>
  <c r="E24" i="4"/>
  <c r="F46" i="23"/>
  <c r="F53" i="23" s="1"/>
  <c r="C47" i="23"/>
  <c r="C48" i="23" s="1"/>
  <c r="C54" i="23" s="1"/>
  <c r="K46" i="23"/>
  <c r="K53" i="23" s="1"/>
  <c r="M46" i="23"/>
  <c r="M53" i="23" s="1"/>
  <c r="H28" i="4"/>
  <c r="G29" i="4"/>
  <c r="E46" i="23"/>
  <c r="E53" i="23" s="1"/>
  <c r="L46" i="23"/>
  <c r="L53" i="23" s="1"/>
  <c r="L22" i="4"/>
  <c r="L57" i="4" s="1"/>
  <c r="L58" i="4" s="1"/>
  <c r="L76" i="4" s="1"/>
  <c r="I23" i="4"/>
  <c r="K23" i="4"/>
  <c r="K47" i="1"/>
  <c r="K48" i="1" s="1"/>
  <c r="K54" i="1" s="1"/>
  <c r="F46" i="1"/>
  <c r="F53" i="1" s="1"/>
  <c r="J46" i="1"/>
  <c r="J53" i="1" s="1"/>
  <c r="J47" i="1"/>
  <c r="J48" i="1" s="1"/>
  <c r="J54" i="1" s="1"/>
  <c r="K46" i="1"/>
  <c r="K53" i="1" s="1"/>
  <c r="L57" i="1"/>
  <c r="M57" i="1"/>
  <c r="K57" i="1"/>
  <c r="J57" i="1"/>
  <c r="L46" i="1"/>
  <c r="L53" i="1" s="1"/>
  <c r="L47" i="1"/>
  <c r="L48" i="1" s="1"/>
  <c r="L54" i="1" s="1"/>
  <c r="M46" i="1"/>
  <c r="M53" i="1" s="1"/>
  <c r="M47" i="1"/>
  <c r="M48" i="1" s="1"/>
  <c r="M54" i="1" s="1"/>
  <c r="M7" i="4"/>
  <c r="M57" i="4" s="1"/>
  <c r="M58" i="4" s="1"/>
  <c r="M76" i="4" s="1"/>
  <c r="L63" i="4"/>
  <c r="L64" i="4" s="1"/>
  <c r="P47" i="1"/>
  <c r="P48" i="1" s="1"/>
  <c r="P54" i="1" s="1"/>
  <c r="O6" i="4"/>
  <c r="B6" i="4"/>
  <c r="G6" i="4"/>
  <c r="Q7" i="4"/>
  <c r="D6" i="4"/>
  <c r="R6" i="4"/>
  <c r="C6" i="4"/>
  <c r="B22" i="4"/>
  <c r="I6" i="4"/>
  <c r="P7" i="4"/>
  <c r="E6" i="4"/>
  <c r="H6" i="4"/>
  <c r="F6" i="4"/>
  <c r="K63" i="4"/>
  <c r="K64" i="4" s="1"/>
  <c r="U63" i="4"/>
  <c r="U64" i="4" s="1"/>
  <c r="V63" i="4"/>
  <c r="V64" i="4" s="1"/>
  <c r="T63" i="4"/>
  <c r="T64" i="4" s="1"/>
  <c r="H47" i="22"/>
  <c r="H49" i="22"/>
  <c r="H44" i="22"/>
  <c r="A46" i="22"/>
  <c r="H46" i="22" s="1"/>
  <c r="T27" i="33"/>
  <c r="T52" i="33" s="1"/>
  <c r="A34" i="22"/>
  <c r="H34" i="22" s="1"/>
  <c r="A35" i="22"/>
  <c r="H35" i="22" s="1"/>
  <c r="T45" i="33"/>
  <c r="A38" i="22"/>
  <c r="H38" i="22" s="1"/>
  <c r="A42" i="22"/>
  <c r="H42" i="22" s="1"/>
  <c r="A40" i="22"/>
  <c r="H40" i="22" s="1"/>
  <c r="I47" i="1"/>
  <c r="I48" i="1" s="1"/>
  <c r="I54" i="1" s="1"/>
  <c r="F47" i="1"/>
  <c r="F48" i="1" s="1"/>
  <c r="F54" i="1" s="1"/>
  <c r="G47" i="1"/>
  <c r="G48" i="1" s="1"/>
  <c r="G54" i="1" s="1"/>
  <c r="E47" i="1"/>
  <c r="E48" i="1" s="1"/>
  <c r="E54" i="1" s="1"/>
  <c r="Q46" i="1"/>
  <c r="Q53" i="1" s="1"/>
  <c r="E46" i="1"/>
  <c r="E53" i="1" s="1"/>
  <c r="Q47" i="1"/>
  <c r="Q48" i="1" s="1"/>
  <c r="Q54" i="1" s="1"/>
  <c r="I46" i="1"/>
  <c r="I53" i="1" s="1"/>
  <c r="Q74" i="4"/>
  <c r="A51" i="22"/>
  <c r="H51" i="22" s="1"/>
  <c r="A45" i="22"/>
  <c r="H45" i="22" s="1"/>
  <c r="T57" i="4"/>
  <c r="T58" i="4" s="1"/>
  <c r="T76" i="4" s="1"/>
  <c r="H57" i="1"/>
  <c r="G57" i="1"/>
  <c r="F57" i="1"/>
  <c r="I57" i="1"/>
  <c r="E57" i="1"/>
  <c r="H7" i="4"/>
  <c r="G46" i="1"/>
  <c r="G53" i="1" s="1"/>
  <c r="H46" i="1"/>
  <c r="H53" i="1" s="1"/>
  <c r="H47" i="1"/>
  <c r="H48" i="1" s="1"/>
  <c r="H54" i="1" s="1"/>
  <c r="G11" i="4"/>
  <c r="F9" i="4"/>
  <c r="I13" i="4"/>
  <c r="E12" i="4"/>
  <c r="I55" i="4"/>
  <c r="I62" i="4"/>
  <c r="V57" i="4"/>
  <c r="V58" i="4" s="1"/>
  <c r="V76" i="4" s="1"/>
  <c r="V56" i="4"/>
  <c r="V75" i="4" s="1"/>
  <c r="U57" i="4"/>
  <c r="U58" i="4" s="1"/>
  <c r="U76" i="4" s="1"/>
  <c r="S56" i="4"/>
  <c r="S75" i="4" s="1"/>
  <c r="K57" i="4"/>
  <c r="K58" i="4" s="1"/>
  <c r="K76" i="4" s="1"/>
  <c r="O55" i="4"/>
  <c r="O62" i="4"/>
  <c r="F55" i="4"/>
  <c r="F62" i="4"/>
  <c r="M55" i="4"/>
  <c r="M62" i="4"/>
  <c r="J55" i="4"/>
  <c r="J62" i="4"/>
  <c r="K56" i="4"/>
  <c r="K75" i="4" s="1"/>
  <c r="P55" i="4"/>
  <c r="P62" i="4"/>
  <c r="G55" i="4"/>
  <c r="G62" i="4"/>
  <c r="H74" i="4"/>
  <c r="H62" i="4"/>
  <c r="U22" i="33"/>
  <c r="U45" i="33"/>
  <c r="U27" i="33"/>
  <c r="U52" i="33" s="1"/>
  <c r="R45" i="33"/>
  <c r="R27" i="33"/>
  <c r="R52" i="33" s="1"/>
  <c r="R22" i="33"/>
  <c r="U56" i="4"/>
  <c r="U75" i="4" s="1"/>
  <c r="T56" i="4"/>
  <c r="T75" i="4" s="1"/>
  <c r="C74" i="4"/>
  <c r="C62" i="4"/>
  <c r="D55" i="4"/>
  <c r="D62" i="4"/>
  <c r="S27" i="33"/>
  <c r="S52" i="33" s="1"/>
  <c r="S22" i="33"/>
  <c r="S45" i="33"/>
  <c r="A36" i="22"/>
  <c r="H36" i="22" s="1"/>
  <c r="V4" i="33"/>
  <c r="S57" i="4"/>
  <c r="S58" i="4" s="1"/>
  <c r="S76" i="4" s="1"/>
  <c r="Q55" i="4"/>
  <c r="V4" i="1"/>
  <c r="V45" i="1" s="1"/>
  <c r="O32" i="4"/>
  <c r="Q10" i="4"/>
  <c r="B32" i="4"/>
  <c r="H55" i="4"/>
  <c r="R10" i="4"/>
  <c r="O14" i="4"/>
  <c r="P15" i="4"/>
  <c r="V4" i="23"/>
  <c r="V45" i="23" s="1"/>
  <c r="B10" i="4"/>
  <c r="A32" i="22"/>
  <c r="H32" i="22" s="1"/>
  <c r="D13" i="28"/>
  <c r="D9" i="28"/>
  <c r="D5" i="28"/>
  <c r="D14" i="28"/>
  <c r="D10" i="28"/>
  <c r="D6" i="28"/>
  <c r="D15" i="28"/>
  <c r="D11" i="28"/>
  <c r="D7" i="28"/>
  <c r="D3" i="28"/>
  <c r="D12" i="28"/>
  <c r="D8" i="28"/>
  <c r="D4" i="28"/>
  <c r="V79" i="4"/>
  <c r="U79" i="4"/>
  <c r="T79" i="4"/>
  <c r="S79" i="4"/>
  <c r="O26" i="4"/>
  <c r="P46" i="1"/>
  <c r="P53" i="1" s="1"/>
  <c r="A37" i="22"/>
  <c r="H37" i="22" s="1"/>
  <c r="U4" i="1"/>
  <c r="U22" i="1" s="1"/>
  <c r="M74" i="4"/>
  <c r="I2" i="12" s="1"/>
  <c r="M27" i="1"/>
  <c r="M52" i="1" s="1"/>
  <c r="M22" i="1"/>
  <c r="J52" i="1"/>
  <c r="J74" i="4"/>
  <c r="F2" i="12" s="1"/>
  <c r="J27" i="1"/>
  <c r="J45" i="1"/>
  <c r="A48" i="22"/>
  <c r="H48" i="22" s="1"/>
  <c r="S4" i="1"/>
  <c r="A33" i="22"/>
  <c r="H33" i="22" s="1"/>
  <c r="S4" i="23"/>
  <c r="A43" i="22"/>
  <c r="H43" i="22" s="1"/>
  <c r="A41" i="22"/>
  <c r="H41" i="22" s="1"/>
  <c r="A39" i="22"/>
  <c r="H39" i="22" s="1"/>
  <c r="C55" i="4"/>
  <c r="U4" i="23"/>
  <c r="U22" i="23" s="1"/>
  <c r="J22" i="23"/>
  <c r="J52" i="23"/>
  <c r="J22" i="1"/>
  <c r="J27" i="23"/>
  <c r="R4" i="1"/>
  <c r="R22" i="1" s="1"/>
  <c r="R4" i="23"/>
  <c r="R22" i="23" s="1"/>
  <c r="M52" i="23"/>
  <c r="M22" i="23"/>
  <c r="M45" i="23"/>
  <c r="L2" i="12"/>
  <c r="M45" i="1"/>
  <c r="B46" i="23"/>
  <c r="B53" i="23" s="1"/>
  <c r="B55" i="23" s="1"/>
  <c r="O46" i="23"/>
  <c r="O53" i="23" s="1"/>
  <c r="O47" i="23"/>
  <c r="O48" i="23" s="1"/>
  <c r="O54" i="23" s="1"/>
  <c r="B47" i="23"/>
  <c r="B48" i="23" s="1"/>
  <c r="B54" i="23" s="1"/>
  <c r="B57" i="23"/>
  <c r="O57" i="23"/>
  <c r="B29" i="4"/>
  <c r="O22" i="4"/>
  <c r="R47" i="1"/>
  <c r="R48" i="1" s="1"/>
  <c r="R54" i="1" s="1"/>
  <c r="Q57" i="1"/>
  <c r="D74" i="4"/>
  <c r="M2" i="12"/>
  <c r="R46" i="1"/>
  <c r="R53" i="1" s="1"/>
  <c r="J2" i="12"/>
  <c r="C47" i="1"/>
  <c r="C48" i="1" s="1"/>
  <c r="C54" i="1" s="1"/>
  <c r="G74" i="4"/>
  <c r="D57" i="1"/>
  <c r="R57" i="1"/>
  <c r="P57" i="1"/>
  <c r="O57" i="1"/>
  <c r="C57" i="1"/>
  <c r="D10" i="4"/>
  <c r="C10" i="4"/>
  <c r="B57" i="1"/>
  <c r="C46" i="1"/>
  <c r="C53" i="1" s="1"/>
  <c r="B46" i="1"/>
  <c r="B53" i="1" s="1"/>
  <c r="B47" i="1"/>
  <c r="B48" i="1" s="1"/>
  <c r="B54" i="1" s="1"/>
  <c r="D46" i="1"/>
  <c r="D53" i="1" s="1"/>
  <c r="O47" i="1"/>
  <c r="O48" i="1" s="1"/>
  <c r="O54" i="1" s="1"/>
  <c r="O46" i="1"/>
  <c r="O53" i="1" s="1"/>
  <c r="D47" i="1"/>
  <c r="D48" i="1" s="1"/>
  <c r="D54" i="1" s="1"/>
  <c r="D8" i="4"/>
  <c r="T4" i="1"/>
  <c r="T4" i="23"/>
  <c r="F74" i="4"/>
  <c r="I74" i="4"/>
  <c r="O74" i="4"/>
  <c r="P74" i="4"/>
  <c r="AD2" i="12"/>
  <c r="L78" i="4"/>
  <c r="F78" i="4"/>
  <c r="P78" i="4"/>
  <c r="H78" i="4"/>
  <c r="M78" i="4"/>
  <c r="E78" i="4"/>
  <c r="I78" i="4"/>
  <c r="Q78" i="4"/>
  <c r="J78" i="4"/>
  <c r="D78" i="4"/>
  <c r="O78" i="4"/>
  <c r="R78" i="4"/>
  <c r="B78" i="4"/>
  <c r="K78" i="4"/>
  <c r="G78" i="4"/>
  <c r="C78" i="4"/>
  <c r="F63" i="4" l="1"/>
  <c r="F64" i="4" s="1"/>
  <c r="J57" i="4"/>
  <c r="J58" i="4" s="1"/>
  <c r="J76" i="4" s="1"/>
  <c r="J56" i="4"/>
  <c r="J75" i="4" s="1"/>
  <c r="F3" i="12" s="1"/>
  <c r="J79" i="4"/>
  <c r="L79" i="4"/>
  <c r="K79" i="4"/>
  <c r="L56" i="4"/>
  <c r="L75" i="4" s="1"/>
  <c r="H3" i="12" s="1"/>
  <c r="F55" i="23"/>
  <c r="C55" i="23"/>
  <c r="M56" i="4"/>
  <c r="M75" i="4" s="1"/>
  <c r="C63" i="4"/>
  <c r="C64" i="4" s="1"/>
  <c r="I57" i="4"/>
  <c r="I58" i="4" s="1"/>
  <c r="I76" i="4" s="1"/>
  <c r="M79" i="4"/>
  <c r="I63" i="4"/>
  <c r="I64" i="4" s="1"/>
  <c r="M63" i="4"/>
  <c r="M64" i="4" s="1"/>
  <c r="H56" i="4"/>
  <c r="H75" i="4" s="1"/>
  <c r="G55" i="1"/>
  <c r="R63" i="4"/>
  <c r="R64" i="4" s="1"/>
  <c r="V4" i="4"/>
  <c r="V55" i="4" s="1"/>
  <c r="D63" i="4"/>
  <c r="D64" i="4" s="1"/>
  <c r="B63" i="4"/>
  <c r="B64" i="4" s="1"/>
  <c r="O63" i="4"/>
  <c r="O64" i="4" s="1"/>
  <c r="G56" i="4"/>
  <c r="G75" i="4" s="1"/>
  <c r="H57" i="4"/>
  <c r="H58" i="4" s="1"/>
  <c r="H76" i="4" s="1"/>
  <c r="H63" i="4"/>
  <c r="H64" i="4" s="1"/>
  <c r="P63" i="4"/>
  <c r="P64" i="4" s="1"/>
  <c r="G63" i="4"/>
  <c r="G64" i="4" s="1"/>
  <c r="E63" i="4"/>
  <c r="E64" i="4" s="1"/>
  <c r="Q63" i="4"/>
  <c r="Q64" i="4" s="1"/>
  <c r="Q55" i="23"/>
  <c r="V55" i="23"/>
  <c r="V27" i="23"/>
  <c r="V52" i="23" s="1"/>
  <c r="I56" i="4"/>
  <c r="I75" i="4" s="1"/>
  <c r="J4" i="12"/>
  <c r="M4" i="12"/>
  <c r="G4" i="12"/>
  <c r="H4" i="12"/>
  <c r="F4" i="12"/>
  <c r="I4" i="12"/>
  <c r="L4" i="12"/>
  <c r="U45" i="1"/>
  <c r="V22" i="1"/>
  <c r="V22" i="23"/>
  <c r="V27" i="1"/>
  <c r="V52" i="1" s="1"/>
  <c r="G57" i="4"/>
  <c r="G58" i="4" s="1"/>
  <c r="G76" i="4" s="1"/>
  <c r="F57" i="4"/>
  <c r="F58" i="4" s="1"/>
  <c r="F76" i="4" s="1"/>
  <c r="B56" i="4"/>
  <c r="E79" i="4"/>
  <c r="G79" i="4"/>
  <c r="I79" i="4"/>
  <c r="H79" i="4"/>
  <c r="F79" i="4"/>
  <c r="E57" i="4"/>
  <c r="E58" i="4" s="1"/>
  <c r="E76" i="4" s="1"/>
  <c r="E56" i="4"/>
  <c r="E75" i="4" s="1"/>
  <c r="F56" i="4"/>
  <c r="F75" i="4" s="1"/>
  <c r="P57" i="4"/>
  <c r="P58" i="4" s="1"/>
  <c r="P76" i="4" s="1"/>
  <c r="R56" i="4"/>
  <c r="R75" i="4" s="1"/>
  <c r="D56" i="4"/>
  <c r="D75" i="4" s="1"/>
  <c r="B57" i="4"/>
  <c r="B58" i="4" s="1"/>
  <c r="B76" i="4" s="1"/>
  <c r="AH2" i="12"/>
  <c r="V45" i="33"/>
  <c r="V27" i="33"/>
  <c r="V52" i="33" s="1"/>
  <c r="V22" i="33"/>
  <c r="D57" i="4"/>
  <c r="D58" i="4" s="1"/>
  <c r="D76" i="4" s="1"/>
  <c r="O57" i="4"/>
  <c r="O58" i="4" s="1"/>
  <c r="O76" i="4" s="1"/>
  <c r="C57" i="4"/>
  <c r="C58" i="4" s="1"/>
  <c r="C76" i="4" s="1"/>
  <c r="Q2" i="12"/>
  <c r="Q4" i="12" s="1"/>
  <c r="P2" i="12"/>
  <c r="P4" i="12" s="1"/>
  <c r="Q56" i="4"/>
  <c r="Q75" i="4" s="1"/>
  <c r="O56" i="4"/>
  <c r="O75" i="4" s="1"/>
  <c r="T77" i="4" s="1"/>
  <c r="C56" i="4"/>
  <c r="C75" i="4" s="1"/>
  <c r="R2" i="12"/>
  <c r="R4" i="12" s="1"/>
  <c r="P56" i="4"/>
  <c r="R57" i="4"/>
  <c r="R58" i="4" s="1"/>
  <c r="R76" i="4" s="1"/>
  <c r="Q57" i="4"/>
  <c r="Q58" i="4" s="1"/>
  <c r="Q76" i="4" s="1"/>
  <c r="Q79" i="4"/>
  <c r="P79" i="4"/>
  <c r="R79" i="4"/>
  <c r="R80" i="4" s="1"/>
  <c r="U4" i="4"/>
  <c r="F2" i="27"/>
  <c r="F4" i="27" s="1"/>
  <c r="O2" i="12"/>
  <c r="O4" i="12" s="1"/>
  <c r="U27" i="1"/>
  <c r="U52" i="1" s="1"/>
  <c r="C79" i="4"/>
  <c r="D79" i="4"/>
  <c r="K15" i="28"/>
  <c r="K13" i="28"/>
  <c r="K11" i="28"/>
  <c r="K9" i="28"/>
  <c r="K7" i="28"/>
  <c r="K5" i="28"/>
  <c r="L14" i="28"/>
  <c r="L12" i="28"/>
  <c r="L10" i="28"/>
  <c r="L8" i="28"/>
  <c r="L6" i="28"/>
  <c r="L4" i="28"/>
  <c r="L15" i="28"/>
  <c r="L13" i="28"/>
  <c r="L11" i="28"/>
  <c r="L9" i="28"/>
  <c r="L7" i="28"/>
  <c r="L5" i="28"/>
  <c r="K14" i="28"/>
  <c r="K12" i="28"/>
  <c r="K10" i="28"/>
  <c r="K8" i="28"/>
  <c r="K6" i="28"/>
  <c r="K4" i="28"/>
  <c r="L55" i="23"/>
  <c r="R55" i="23"/>
  <c r="T55" i="23"/>
  <c r="D55" i="23"/>
  <c r="H55" i="23"/>
  <c r="K55" i="23"/>
  <c r="J55" i="23"/>
  <c r="M55" i="23"/>
  <c r="G55" i="23"/>
  <c r="U55" i="23"/>
  <c r="E55" i="23"/>
  <c r="P55" i="23"/>
  <c r="I55" i="23"/>
  <c r="S55" i="23"/>
  <c r="R59" i="23"/>
  <c r="R60" i="23" s="1"/>
  <c r="O55" i="23"/>
  <c r="O79" i="4"/>
  <c r="B79" i="4"/>
  <c r="B64" i="23"/>
  <c r="L59" i="23"/>
  <c r="L60" i="23" s="1"/>
  <c r="F59" i="23"/>
  <c r="F60" i="23" s="1"/>
  <c r="Q59" i="23"/>
  <c r="V59" i="23"/>
  <c r="V60" i="23" s="1"/>
  <c r="P59" i="23"/>
  <c r="P60" i="23" s="1"/>
  <c r="T59" i="23"/>
  <c r="T60" i="23" s="1"/>
  <c r="U59" i="23"/>
  <c r="S59" i="23"/>
  <c r="S60" i="23" s="1"/>
  <c r="B65" i="23"/>
  <c r="N2" i="12"/>
  <c r="N4" i="12" s="1"/>
  <c r="R45" i="23"/>
  <c r="S4" i="4"/>
  <c r="S62" i="4" s="1"/>
  <c r="S45" i="1"/>
  <c r="S27" i="1"/>
  <c r="S52" i="1" s="1"/>
  <c r="S22" i="1"/>
  <c r="S2" i="12"/>
  <c r="S4" i="12" s="1"/>
  <c r="U27" i="23"/>
  <c r="U52" i="23" s="1"/>
  <c r="U45" i="23"/>
  <c r="S45" i="23"/>
  <c r="S27" i="23"/>
  <c r="S52" i="23" s="1"/>
  <c r="S22" i="23"/>
  <c r="R45" i="1"/>
  <c r="R4" i="4"/>
  <c r="R62" i="4" s="1"/>
  <c r="R27" i="1"/>
  <c r="R52" i="1" s="1"/>
  <c r="R27" i="23"/>
  <c r="R52" i="23" s="1"/>
  <c r="C59" i="23"/>
  <c r="C60" i="23" s="1"/>
  <c r="E59" i="23"/>
  <c r="J59" i="23"/>
  <c r="J60" i="23" s="1"/>
  <c r="K59" i="23"/>
  <c r="K60" i="23" s="1"/>
  <c r="D59" i="23"/>
  <c r="I59" i="23"/>
  <c r="I60" i="23" s="1"/>
  <c r="O59" i="23"/>
  <c r="O60" i="23" s="1"/>
  <c r="G59" i="23"/>
  <c r="G60" i="23" s="1"/>
  <c r="H59" i="23"/>
  <c r="H60" i="23" s="1"/>
  <c r="M59" i="23"/>
  <c r="M60" i="23" s="1"/>
  <c r="P55" i="1"/>
  <c r="C55" i="1"/>
  <c r="H55" i="1"/>
  <c r="U55" i="1"/>
  <c r="T55" i="1"/>
  <c r="F55" i="1"/>
  <c r="Q55" i="1"/>
  <c r="I55" i="1"/>
  <c r="L55" i="1"/>
  <c r="J55" i="1"/>
  <c r="D55" i="1"/>
  <c r="K55" i="1"/>
  <c r="E55" i="1"/>
  <c r="O55" i="1"/>
  <c r="O59" i="1"/>
  <c r="J59" i="1"/>
  <c r="F59" i="1"/>
  <c r="F60" i="1" s="1"/>
  <c r="M59" i="1"/>
  <c r="M60" i="1" s="1"/>
  <c r="I59" i="1"/>
  <c r="I60" i="1" s="1"/>
  <c r="E59" i="1"/>
  <c r="E60" i="1" s="1"/>
  <c r="L59" i="1"/>
  <c r="L60" i="1" s="1"/>
  <c r="H59" i="1"/>
  <c r="H60" i="1" s="1"/>
  <c r="D59" i="1"/>
  <c r="D60" i="1" s="1"/>
  <c r="K59" i="1"/>
  <c r="K60" i="1" s="1"/>
  <c r="C59" i="1"/>
  <c r="C60" i="1" s="1"/>
  <c r="G59" i="1"/>
  <c r="G60" i="1" s="1"/>
  <c r="S55" i="1"/>
  <c r="M55" i="1"/>
  <c r="R55" i="1"/>
  <c r="V55" i="1"/>
  <c r="T59" i="1"/>
  <c r="P59" i="1"/>
  <c r="S59" i="1"/>
  <c r="V59" i="1"/>
  <c r="R59" i="1"/>
  <c r="U59" i="1"/>
  <c r="Q59" i="1"/>
  <c r="B65" i="1"/>
  <c r="B64" i="1"/>
  <c r="B55" i="1"/>
  <c r="G3" i="12"/>
  <c r="T27" i="23"/>
  <c r="T52" i="23" s="1"/>
  <c r="T45" i="23"/>
  <c r="T22" i="23"/>
  <c r="J3" i="12"/>
  <c r="I3" i="12"/>
  <c r="T27" i="1"/>
  <c r="T52" i="1" s="1"/>
  <c r="T45" i="1"/>
  <c r="T4" i="4"/>
  <c r="T62" i="4" s="1"/>
  <c r="T22" i="1"/>
  <c r="E60" i="23"/>
  <c r="J60" i="1"/>
  <c r="P60" i="1"/>
  <c r="U60" i="1"/>
  <c r="O60" i="1"/>
  <c r="Q60" i="1"/>
  <c r="T60" i="1"/>
  <c r="V60" i="1"/>
  <c r="Q60" i="23"/>
  <c r="U60" i="23"/>
  <c r="D60" i="23"/>
  <c r="R60" i="1"/>
  <c r="S60" i="1"/>
  <c r="V62" i="4" l="1"/>
  <c r="V74" i="4"/>
  <c r="Z2" i="12" s="1"/>
  <c r="AA2" i="12"/>
  <c r="J80" i="4"/>
  <c r="B80" i="4"/>
  <c r="P75" i="4"/>
  <c r="B5" i="27" s="1"/>
  <c r="O81" i="4"/>
  <c r="AE2" i="12"/>
  <c r="U74" i="4"/>
  <c r="Y2" i="12" s="1"/>
  <c r="U62" i="4"/>
  <c r="B6" i="12"/>
  <c r="B6" i="27"/>
  <c r="R61" i="23"/>
  <c r="U55" i="4"/>
  <c r="F3" i="27"/>
  <c r="V77" i="4"/>
  <c r="U77" i="4"/>
  <c r="O77" i="4"/>
  <c r="S77" i="4"/>
  <c r="Q77" i="4"/>
  <c r="R77" i="4"/>
  <c r="T81" i="4"/>
  <c r="U81" i="4"/>
  <c r="P81" i="4"/>
  <c r="V81" i="4"/>
  <c r="S81" i="4"/>
  <c r="Q81" i="4"/>
  <c r="R81" i="4"/>
  <c r="B86" i="4"/>
  <c r="B87" i="4"/>
  <c r="B75" i="4"/>
  <c r="M81" i="4"/>
  <c r="J81" i="4"/>
  <c r="K81" i="4"/>
  <c r="L81" i="4"/>
  <c r="M61" i="23"/>
  <c r="I61" i="23"/>
  <c r="E61" i="23"/>
  <c r="D61" i="23"/>
  <c r="C61" i="23"/>
  <c r="Q61" i="23"/>
  <c r="U61" i="23"/>
  <c r="P61" i="23"/>
  <c r="F61" i="23"/>
  <c r="H61" i="23"/>
  <c r="K61" i="23"/>
  <c r="G61" i="23"/>
  <c r="J61" i="23"/>
  <c r="S61" i="23"/>
  <c r="T61" i="23"/>
  <c r="V61" i="23"/>
  <c r="L61" i="23"/>
  <c r="D61" i="1"/>
  <c r="U61" i="1"/>
  <c r="S61" i="1"/>
  <c r="G61" i="1"/>
  <c r="M61" i="1"/>
  <c r="L61" i="1"/>
  <c r="T61" i="1"/>
  <c r="E61" i="1"/>
  <c r="F61" i="1"/>
  <c r="K61" i="1"/>
  <c r="I61" i="1"/>
  <c r="J61" i="1"/>
  <c r="V61" i="1"/>
  <c r="H61" i="1"/>
  <c r="O3" i="12"/>
  <c r="R3" i="12"/>
  <c r="S3" i="12"/>
  <c r="N3" i="12"/>
  <c r="M3" i="12"/>
  <c r="L3" i="12"/>
  <c r="AC2" i="12"/>
  <c r="S55" i="4"/>
  <c r="S74" i="4"/>
  <c r="W2" i="12" s="1"/>
  <c r="AG2" i="12"/>
  <c r="R55" i="4"/>
  <c r="R74" i="4"/>
  <c r="AD4" i="12" s="1"/>
  <c r="P3" i="12"/>
  <c r="Q3" i="12"/>
  <c r="K2" i="12"/>
  <c r="K4" i="12" s="1"/>
  <c r="B4" i="27"/>
  <c r="B4" i="12"/>
  <c r="O61" i="1"/>
  <c r="Q61" i="1"/>
  <c r="P61" i="1"/>
  <c r="C61" i="1"/>
  <c r="R61" i="1"/>
  <c r="AB2" i="12"/>
  <c r="AB4" i="12" s="1"/>
  <c r="AF2" i="12"/>
  <c r="T55" i="4"/>
  <c r="T74" i="4"/>
  <c r="K82" i="4"/>
  <c r="L82" i="4"/>
  <c r="S82" i="4"/>
  <c r="T82" i="4"/>
  <c r="M82" i="4"/>
  <c r="J82" i="4"/>
  <c r="U82" i="4"/>
  <c r="Q82" i="4"/>
  <c r="R82" i="4"/>
  <c r="V82" i="4"/>
  <c r="O82" i="4"/>
  <c r="P82" i="4"/>
  <c r="P77" i="4" l="1"/>
  <c r="B5" i="12"/>
  <c r="AE4" i="12"/>
  <c r="Z4" i="12"/>
  <c r="W4" i="12"/>
  <c r="AG4" i="12"/>
  <c r="AC4" i="12"/>
  <c r="AH4" i="12"/>
  <c r="AF4" i="12"/>
  <c r="Y4" i="12"/>
  <c r="AA4" i="12"/>
  <c r="I81" i="4"/>
  <c r="F81" i="4"/>
  <c r="F82" i="4" s="1"/>
  <c r="F83" i="4" s="1"/>
  <c r="G81" i="4"/>
  <c r="H81" i="4"/>
  <c r="D81" i="4"/>
  <c r="D82" i="4" s="1"/>
  <c r="D83" i="4" s="1"/>
  <c r="E81" i="4"/>
  <c r="C81" i="4"/>
  <c r="K77" i="4"/>
  <c r="J77" i="4"/>
  <c r="G77" i="4"/>
  <c r="F77" i="4"/>
  <c r="L77" i="4"/>
  <c r="B77" i="4"/>
  <c r="B2" i="27"/>
  <c r="G6" i="27" s="1"/>
  <c r="M77" i="4"/>
  <c r="I77" i="4"/>
  <c r="B2" i="12"/>
  <c r="E6" i="12" s="1"/>
  <c r="H77" i="4"/>
  <c r="D77" i="4"/>
  <c r="C77" i="4"/>
  <c r="E77" i="4"/>
  <c r="AG8" i="12"/>
  <c r="U8" i="12"/>
  <c r="AJ8" i="12"/>
  <c r="AB8" i="12"/>
  <c r="Z8" i="12"/>
  <c r="AC8" i="12"/>
  <c r="V8" i="12"/>
  <c r="X8" i="12"/>
  <c r="AH8" i="12"/>
  <c r="AD8" i="12"/>
  <c r="AI8" i="12"/>
  <c r="W8" i="12"/>
  <c r="Y8" i="12"/>
  <c r="AE8" i="12"/>
  <c r="AA8" i="12"/>
  <c r="AF8" i="12"/>
  <c r="H8" i="27"/>
  <c r="H9" i="27" s="1"/>
  <c r="H10" i="27" s="1"/>
  <c r="J8" i="27"/>
  <c r="J9" i="27" s="1"/>
  <c r="J10" i="27" s="1"/>
  <c r="I8" i="27"/>
  <c r="I9" i="27" s="1"/>
  <c r="I10" i="27" s="1"/>
  <c r="L83" i="4"/>
  <c r="V83" i="4"/>
  <c r="T83" i="4"/>
  <c r="M83" i="4"/>
  <c r="P83" i="4"/>
  <c r="U83" i="4"/>
  <c r="S5" i="12"/>
  <c r="Q83" i="4"/>
  <c r="K83" i="4"/>
  <c r="P5" i="12" s="1"/>
  <c r="J83" i="4"/>
  <c r="R83" i="4"/>
  <c r="S83" i="4"/>
  <c r="O83" i="4"/>
  <c r="O61" i="23"/>
  <c r="AG3" i="12"/>
  <c r="AD3" i="12"/>
  <c r="AE3" i="12"/>
  <c r="AC3" i="12"/>
  <c r="W3" i="12"/>
  <c r="Y3" i="12"/>
  <c r="I2" i="27"/>
  <c r="I4" i="27" s="1"/>
  <c r="V2" i="12"/>
  <c r="V4" i="12" s="1"/>
  <c r="J2" i="28"/>
  <c r="K3" i="12"/>
  <c r="F2" i="28"/>
  <c r="J3" i="28"/>
  <c r="F3" i="28"/>
  <c r="Z3" i="12"/>
  <c r="AA3" i="12"/>
  <c r="AH3" i="12"/>
  <c r="I3" i="28"/>
  <c r="I2" i="28"/>
  <c r="E3" i="28"/>
  <c r="AH7" i="12"/>
  <c r="AD7" i="12"/>
  <c r="AC7" i="12"/>
  <c r="V7" i="12"/>
  <c r="AI7" i="12"/>
  <c r="AG7" i="12"/>
  <c r="W7" i="12"/>
  <c r="X7" i="12"/>
  <c r="Y7" i="12"/>
  <c r="U7" i="12"/>
  <c r="AA7" i="12"/>
  <c r="AE7" i="12"/>
  <c r="Z7" i="12"/>
  <c r="AF7" i="12"/>
  <c r="AB7" i="12"/>
  <c r="AJ7" i="12"/>
  <c r="I7" i="27"/>
  <c r="H7" i="27"/>
  <c r="J7" i="27"/>
  <c r="AF3" i="12"/>
  <c r="F15" i="28"/>
  <c r="E14" i="28"/>
  <c r="F8" i="28"/>
  <c r="AB3" i="12"/>
  <c r="F9" i="28"/>
  <c r="E10" i="28"/>
  <c r="F13" i="28"/>
  <c r="J13" i="28"/>
  <c r="E8" i="28"/>
  <c r="F5" i="28"/>
  <c r="I11" i="28"/>
  <c r="E4" i="28"/>
  <c r="F4" i="28"/>
  <c r="E5" i="28"/>
  <c r="J11" i="28"/>
  <c r="I6" i="28"/>
  <c r="J9" i="28"/>
  <c r="I8" i="28"/>
  <c r="F14" i="28"/>
  <c r="E7" i="28"/>
  <c r="F12" i="28"/>
  <c r="J6" i="28"/>
  <c r="J7" i="28"/>
  <c r="E12" i="28"/>
  <c r="I10" i="28"/>
  <c r="I13" i="28"/>
  <c r="E15" i="28"/>
  <c r="E11" i="28"/>
  <c r="F11" i="28"/>
  <c r="F6" i="28"/>
  <c r="E6" i="28"/>
  <c r="J14" i="28"/>
  <c r="I15" i="28"/>
  <c r="I9" i="28"/>
  <c r="J5" i="28"/>
  <c r="J8" i="28"/>
  <c r="F10" i="28"/>
  <c r="I5" i="28"/>
  <c r="I4" i="28"/>
  <c r="I7" i="28"/>
  <c r="E13" i="28"/>
  <c r="E9" i="28"/>
  <c r="J10" i="28"/>
  <c r="I14" i="28"/>
  <c r="J4" i="28"/>
  <c r="J12" i="28"/>
  <c r="I12" i="28"/>
  <c r="F7" i="28"/>
  <c r="J15" i="28"/>
  <c r="AI2" i="12"/>
  <c r="AI4" i="12" s="1"/>
  <c r="X2" i="12"/>
  <c r="X4" i="12" s="1"/>
  <c r="Y9" i="12" l="1"/>
  <c r="Y10" i="12" s="1"/>
  <c r="AH9" i="12"/>
  <c r="AH10" i="12" s="1"/>
  <c r="Z9" i="12"/>
  <c r="Z10" i="12" s="1"/>
  <c r="AG9" i="12"/>
  <c r="AG10" i="12" s="1"/>
  <c r="AE9" i="12"/>
  <c r="AE10" i="12" s="1"/>
  <c r="AD9" i="12"/>
  <c r="AD10" i="12" s="1"/>
  <c r="AC9" i="12"/>
  <c r="AC10" i="12" s="1"/>
  <c r="U9" i="12"/>
  <c r="U10" i="12" s="1"/>
  <c r="AF9" i="12"/>
  <c r="AF10" i="12" s="1"/>
  <c r="W9" i="12"/>
  <c r="W10" i="12" s="1"/>
  <c r="X9" i="12"/>
  <c r="X10" i="12" s="1"/>
  <c r="AA9" i="12"/>
  <c r="AA10" i="12" s="1"/>
  <c r="AI9" i="12"/>
  <c r="AI10" i="12" s="1"/>
  <c r="V9" i="12"/>
  <c r="V10" i="12" s="1"/>
  <c r="AJ9" i="12"/>
  <c r="AJ10" i="12" s="1"/>
  <c r="AB9" i="12"/>
  <c r="AB10" i="12" s="1"/>
  <c r="R5" i="12"/>
  <c r="Q5" i="12"/>
  <c r="G82" i="4"/>
  <c r="G83" i="4" s="1"/>
  <c r="I82" i="4"/>
  <c r="I83" i="4" s="1"/>
  <c r="E82" i="4"/>
  <c r="E83" i="4" s="1"/>
  <c r="C82" i="4"/>
  <c r="C83" i="4" s="1"/>
  <c r="H82" i="4"/>
  <c r="H83" i="4" s="1"/>
  <c r="E2" i="28"/>
  <c r="T6" i="12"/>
  <c r="R6" i="12"/>
  <c r="K6" i="12"/>
  <c r="I6" i="12"/>
  <c r="O6" i="12"/>
  <c r="Q6" i="12"/>
  <c r="F6" i="27"/>
  <c r="H6" i="12"/>
  <c r="F6" i="12"/>
  <c r="M6" i="12"/>
  <c r="G6" i="12"/>
  <c r="E6" i="27"/>
  <c r="S6" i="12"/>
  <c r="P6" i="12"/>
  <c r="L6" i="12"/>
  <c r="N6" i="12"/>
  <c r="J6" i="12"/>
  <c r="F49" i="22"/>
  <c r="F40" i="22"/>
  <c r="F44" i="22"/>
  <c r="F43" i="22"/>
  <c r="F47" i="22"/>
  <c r="AG5" i="12"/>
  <c r="AF5" i="12"/>
  <c r="Y5" i="12"/>
  <c r="F42" i="22"/>
  <c r="F37" i="22"/>
  <c r="F41" i="22"/>
  <c r="F48" i="22"/>
  <c r="AA5" i="12"/>
  <c r="Z5" i="12"/>
  <c r="AE5" i="12"/>
  <c r="F36" i="22"/>
  <c r="F35" i="22"/>
  <c r="F46" i="22"/>
  <c r="F34" i="22"/>
  <c r="F45" i="22"/>
  <c r="AH5" i="12"/>
  <c r="AB5" i="12"/>
  <c r="W5" i="12"/>
  <c r="F32" i="22"/>
  <c r="AC5" i="12"/>
  <c r="F33" i="22"/>
  <c r="F51" i="22"/>
  <c r="F39" i="22"/>
  <c r="F50" i="22"/>
  <c r="F38" i="22"/>
  <c r="AD5" i="12"/>
  <c r="O5" i="12"/>
  <c r="V3" i="12"/>
  <c r="V5" i="12"/>
  <c r="I3" i="27"/>
  <c r="I5" i="27"/>
  <c r="X3" i="12"/>
  <c r="X5" i="12"/>
  <c r="AI3" i="12"/>
  <c r="AI5" i="12"/>
  <c r="F26" i="22" l="1"/>
  <c r="G26" i="22" s="1"/>
  <c r="F7" i="22"/>
  <c r="K7" i="22" s="1"/>
  <c r="F19" i="22"/>
  <c r="G19" i="22" s="1"/>
  <c r="F23" i="22"/>
  <c r="G23" i="22" s="1"/>
  <c r="N5" i="12"/>
  <c r="M5" i="12"/>
  <c r="I5" i="12"/>
  <c r="F20" i="22"/>
  <c r="I20" i="22" s="1"/>
  <c r="F9" i="22"/>
  <c r="I9" i="22" s="1"/>
  <c r="F12" i="22"/>
  <c r="G12" i="22" s="1"/>
  <c r="F16" i="22"/>
  <c r="G16" i="22" s="1"/>
  <c r="F22" i="22"/>
  <c r="I22" i="22" s="1"/>
  <c r="J5" i="12"/>
  <c r="F15" i="22"/>
  <c r="K15" i="22" s="1"/>
  <c r="M15" i="22" s="1"/>
  <c r="L5" i="12"/>
  <c r="F21" i="22"/>
  <c r="G21" i="22" s="1"/>
  <c r="F5" i="12"/>
  <c r="F24" i="22"/>
  <c r="I24" i="22" s="1"/>
  <c r="F10" i="22"/>
  <c r="K10" i="22" s="1"/>
  <c r="F11" i="22"/>
  <c r="I11" i="22" s="1"/>
  <c r="F13" i="22"/>
  <c r="G13" i="22" s="1"/>
  <c r="F14" i="22"/>
  <c r="I14" i="22" s="1"/>
  <c r="F18" i="22"/>
  <c r="G18" i="22" s="1"/>
  <c r="F8" i="22"/>
  <c r="G8" i="22" s="1"/>
  <c r="F5" i="27"/>
  <c r="F25" i="22"/>
  <c r="G25" i="22" s="1"/>
  <c r="G5" i="12"/>
  <c r="H5" i="12"/>
  <c r="F17" i="22"/>
  <c r="K17" i="22" s="1"/>
  <c r="M17" i="22" s="1"/>
  <c r="K5" i="12"/>
  <c r="G51" i="22"/>
  <c r="J51" i="22" s="1"/>
  <c r="I51" i="22"/>
  <c r="M51" i="22" s="1"/>
  <c r="K51" i="22"/>
  <c r="N51" i="22" s="1"/>
  <c r="G44" i="22"/>
  <c r="J44" i="22" s="1"/>
  <c r="I44" i="22"/>
  <c r="M44" i="22" s="1"/>
  <c r="K44" i="22"/>
  <c r="N44" i="22" s="1"/>
  <c r="G9" i="22"/>
  <c r="G38" i="22"/>
  <c r="J38" i="22" s="1"/>
  <c r="I38" i="22"/>
  <c r="M38" i="22" s="1"/>
  <c r="K38" i="22"/>
  <c r="N38" i="22" s="1"/>
  <c r="G33" i="22"/>
  <c r="J33" i="22" s="1"/>
  <c r="G46" i="22"/>
  <c r="J46" i="22" s="1"/>
  <c r="I46" i="22"/>
  <c r="M46" i="22" s="1"/>
  <c r="K46" i="22"/>
  <c r="N46" i="22" s="1"/>
  <c r="G37" i="22"/>
  <c r="J37" i="22" s="1"/>
  <c r="I37" i="22"/>
  <c r="M37" i="22" s="1"/>
  <c r="K37" i="22"/>
  <c r="N37" i="22" s="1"/>
  <c r="G40" i="22"/>
  <c r="J40" i="22" s="1"/>
  <c r="I40" i="22"/>
  <c r="M40" i="22" s="1"/>
  <c r="K40" i="22"/>
  <c r="N40" i="22" s="1"/>
  <c r="G41" i="22"/>
  <c r="J41" i="22" s="1"/>
  <c r="I41" i="22"/>
  <c r="M41" i="22" s="1"/>
  <c r="K41" i="22"/>
  <c r="N41" i="22" s="1"/>
  <c r="G50" i="22"/>
  <c r="J50" i="22" s="1"/>
  <c r="I50" i="22"/>
  <c r="M50" i="22" s="1"/>
  <c r="K50" i="22"/>
  <c r="N50" i="22" s="1"/>
  <c r="G35" i="22"/>
  <c r="J35" i="22" s="1"/>
  <c r="I35" i="22"/>
  <c r="K35" i="22"/>
  <c r="N35" i="22" s="1"/>
  <c r="G42" i="22"/>
  <c r="J42" i="22" s="1"/>
  <c r="I42" i="22"/>
  <c r="M42" i="22" s="1"/>
  <c r="K42" i="22"/>
  <c r="N42" i="22" s="1"/>
  <c r="G47" i="22"/>
  <c r="J47" i="22" s="1"/>
  <c r="I47" i="22"/>
  <c r="M47" i="22" s="1"/>
  <c r="K47" i="22"/>
  <c r="N47" i="22" s="1"/>
  <c r="G49" i="22"/>
  <c r="J49" i="22" s="1"/>
  <c r="I49" i="22"/>
  <c r="M49" i="22" s="1"/>
  <c r="K49" i="22"/>
  <c r="N49" i="22" s="1"/>
  <c r="G34" i="22"/>
  <c r="J34" i="22" s="1"/>
  <c r="G39" i="22"/>
  <c r="J39" i="22" s="1"/>
  <c r="I39" i="22"/>
  <c r="M39" i="22" s="1"/>
  <c r="K39" i="22"/>
  <c r="N39" i="22" s="1"/>
  <c r="G32" i="22"/>
  <c r="J32" i="22" s="1"/>
  <c r="I32" i="22"/>
  <c r="K32" i="22"/>
  <c r="G45" i="22"/>
  <c r="J45" i="22" s="1"/>
  <c r="I45" i="22"/>
  <c r="M45" i="22" s="1"/>
  <c r="K45" i="22"/>
  <c r="N45" i="22" s="1"/>
  <c r="G36" i="22"/>
  <c r="J36" i="22" s="1"/>
  <c r="I36" i="22"/>
  <c r="K36" i="22"/>
  <c r="N36" i="22" s="1"/>
  <c r="G48" i="22"/>
  <c r="J48" i="22" s="1"/>
  <c r="I48" i="22"/>
  <c r="M48" i="22" s="1"/>
  <c r="K48" i="22"/>
  <c r="N48" i="22" s="1"/>
  <c r="G43" i="22"/>
  <c r="J43" i="22" s="1"/>
  <c r="I43" i="22"/>
  <c r="M43" i="22" s="1"/>
  <c r="K43" i="22"/>
  <c r="N43" i="22" s="1"/>
  <c r="L3" i="28"/>
  <c r="K12" i="22" l="1"/>
  <c r="M12" i="22" s="1"/>
  <c r="K26" i="22"/>
  <c r="M26" i="22" s="1"/>
  <c r="I12" i="22"/>
  <c r="G2" i="28" s="1"/>
  <c r="I33" i="22"/>
  <c r="K33" i="22" s="1"/>
  <c r="N33" i="22" s="1"/>
  <c r="M36" i="22"/>
  <c r="M32" i="22"/>
  <c r="I34" i="22"/>
  <c r="M35" i="22"/>
  <c r="G15" i="22"/>
  <c r="G10" i="22"/>
  <c r="G14" i="22"/>
  <c r="I25" i="22"/>
  <c r="G24" i="22"/>
  <c r="I15" i="22"/>
  <c r="K14" i="22"/>
  <c r="M14" i="22" s="1"/>
  <c r="I17" i="22"/>
  <c r="K25" i="22"/>
  <c r="M25" i="22" s="1"/>
  <c r="K24" i="22"/>
  <c r="M24" i="22" s="1"/>
  <c r="G11" i="22"/>
  <c r="I7" i="22"/>
  <c r="G3" i="28" s="1"/>
  <c r="G7" i="22"/>
  <c r="G22" i="22"/>
  <c r="K21" i="22"/>
  <c r="M21" i="22" s="1"/>
  <c r="K13" i="22"/>
  <c r="M13" i="22" s="1"/>
  <c r="G17" i="22"/>
  <c r="I13" i="22"/>
  <c r="I26" i="22"/>
  <c r="K9" i="22"/>
  <c r="M9" i="22" s="1"/>
  <c r="I19" i="22"/>
  <c r="K19" i="22"/>
  <c r="M19" i="22" s="1"/>
  <c r="I18" i="22"/>
  <c r="I10" i="22"/>
  <c r="K16" i="22"/>
  <c r="M16" i="22" s="1"/>
  <c r="K18" i="22"/>
  <c r="M18" i="22" s="1"/>
  <c r="M10" i="22"/>
  <c r="N10" i="22"/>
  <c r="I16" i="22"/>
  <c r="G20" i="22"/>
  <c r="K8" i="22"/>
  <c r="M8" i="22" s="1"/>
  <c r="K23" i="22"/>
  <c r="M23" i="22" s="1"/>
  <c r="I21" i="22"/>
  <c r="K22" i="22"/>
  <c r="M22" i="22" s="1"/>
  <c r="I8" i="22"/>
  <c r="I23" i="22"/>
  <c r="K20" i="22"/>
  <c r="M20" i="22" s="1"/>
  <c r="K11" i="22"/>
  <c r="M11" i="22" s="1"/>
  <c r="M7" i="22"/>
  <c r="H3" i="28"/>
  <c r="N15" i="22"/>
  <c r="N7" i="22"/>
  <c r="N17" i="22"/>
  <c r="L2" i="28"/>
  <c r="N32" i="22"/>
  <c r="K3" i="28"/>
  <c r="K2" i="28"/>
  <c r="G13" i="28"/>
  <c r="G14" i="28"/>
  <c r="G4" i="28"/>
  <c r="G8" i="28"/>
  <c r="G11" i="28"/>
  <c r="G12" i="28"/>
  <c r="G9" i="28"/>
  <c r="G6" i="28"/>
  <c r="G15" i="28"/>
  <c r="G7" i="28"/>
  <c r="G5" i="28"/>
  <c r="G10" i="28"/>
  <c r="H6" i="28"/>
  <c r="H15" i="28"/>
  <c r="H12" i="28"/>
  <c r="H9" i="28"/>
  <c r="H14" i="28"/>
  <c r="H10" i="28"/>
  <c r="H13" i="28"/>
  <c r="H11" i="28"/>
  <c r="H8" i="28"/>
  <c r="H5" i="28"/>
  <c r="H4" i="28"/>
  <c r="H7" i="28"/>
  <c r="H2" i="28"/>
  <c r="N12" i="22" l="1"/>
  <c r="N26" i="22"/>
  <c r="M33" i="22"/>
  <c r="K34" i="22"/>
  <c r="N34" i="22" s="1"/>
  <c r="N14" i="22"/>
  <c r="N25" i="22"/>
  <c r="N11" i="22"/>
  <c r="N24" i="22"/>
  <c r="N8" i="22"/>
  <c r="N21" i="22"/>
  <c r="N9" i="22"/>
  <c r="N18" i="22"/>
  <c r="N19" i="22"/>
  <c r="N16" i="22"/>
  <c r="N13" i="22"/>
  <c r="N23" i="22"/>
  <c r="N20" i="22"/>
  <c r="N22" i="22"/>
  <c r="M34"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Auteur</author>
  </authors>
  <commentList>
    <comment ref="A68" authorId="0" shapeId="0" xr:uid="{00000000-0006-0000-0B00-000001000000}">
      <text>
        <r>
          <rPr>
            <b/>
            <sz val="9"/>
            <color indexed="81"/>
            <rFont val="Tahoma"/>
            <family val="2"/>
          </rPr>
          <t>A modifier si erreur dans le doc word - peut etre c'est Testo le témoin de référence</t>
        </r>
      </text>
    </comment>
    <comment ref="A69" authorId="0" shapeId="0" xr:uid="{00000000-0006-0000-0B00-000002000000}">
      <text>
        <r>
          <rPr>
            <b/>
            <sz val="9"/>
            <color indexed="81"/>
            <rFont val="Tahoma"/>
            <family val="2"/>
          </rPr>
          <t>A modifier si erreur dans le doc word - peut etre c'est Testo le témoin de référence</t>
        </r>
      </text>
    </comment>
  </commentList>
</comments>
</file>

<file path=xl/sharedStrings.xml><?xml version="1.0" encoding="utf-8"?>
<sst xmlns="http://schemas.openxmlformats.org/spreadsheetml/2006/main" count="7807" uniqueCount="4396">
  <si>
    <t>mean</t>
  </si>
  <si>
    <t>SD</t>
  </si>
  <si>
    <t>SEM</t>
  </si>
  <si>
    <t>avec testo</t>
  </si>
  <si>
    <t>Rep1</t>
  </si>
  <si>
    <t>Rep2</t>
  </si>
  <si>
    <t>Non dopé</t>
  </si>
  <si>
    <t>Code WF</t>
  </si>
  <si>
    <t>N°BDC :</t>
  </si>
  <si>
    <t>Etiquettes</t>
  </si>
  <si>
    <t>Moyenne</t>
  </si>
  <si>
    <t>STAT</t>
  </si>
  <si>
    <t>Témoin Evian</t>
  </si>
  <si>
    <t>Témoin Testo</t>
  </si>
  <si>
    <t>Zone rouge anti</t>
  </si>
  <si>
    <t>Zone verte</t>
  </si>
  <si>
    <t>Zone rouge pro</t>
  </si>
  <si>
    <t>R1</t>
  </si>
  <si>
    <t>R2</t>
  </si>
  <si>
    <t>Concentration</t>
  </si>
  <si>
    <t xml:space="preserve">Testo </t>
  </si>
  <si>
    <t>Date de réalisation :</t>
  </si>
  <si>
    <t>R3</t>
  </si>
  <si>
    <t>LOD</t>
  </si>
  <si>
    <t>LOQ</t>
  </si>
  <si>
    <t>ng/L EE2</t>
  </si>
  <si>
    <t>upper limit</t>
  </si>
  <si>
    <t>lower limit</t>
  </si>
  <si>
    <t>EE2 64ng/L</t>
  </si>
  <si>
    <t>Testosterone</t>
  </si>
  <si>
    <t>Testo+ Fad</t>
  </si>
  <si>
    <t>Testo+ EE2</t>
  </si>
  <si>
    <t>Mean</t>
  </si>
  <si>
    <t>Données brutes</t>
  </si>
  <si>
    <t>Données normalisées sur la moyenne du groupe "Testo"</t>
  </si>
  <si>
    <t>Nom sur le graphique</t>
  </si>
  <si>
    <t>1. Expérimentateur 1 : copier et coller le n° de prestation et renseigner la date de réalisation de chaque réplica ainsi que le visa de l'expérimentateur.</t>
  </si>
  <si>
    <t>2. Expérimentateur 1 : copier et coller la dilution appliquée et le nom donné pour chaque des échantillons par le client. Conserver la mise en forme de l'exemple en italique. Ne pas remplir la colonne "nom sur graphique".</t>
  </si>
  <si>
    <t>4. Expérimentateur 1 : réaliser les tests statistiques avec les données normalisées et renseigner les résultats ainsi que le test statistique utilisé dans le tableau violet.</t>
  </si>
  <si>
    <t>Eléments pour la mise en forme conditionnelles des résutats - calcul équivalent hormonal (eqH)</t>
  </si>
  <si>
    <t>3. Expérimentateur 1 : copier et coller les valeurs des intensités totales de fluorescences obtenues dans le fichier raw data lors du traitement des images.</t>
  </si>
  <si>
    <t>Noms des groupes</t>
  </si>
  <si>
    <t>EqH - testo</t>
  </si>
  <si>
    <t>6. Expérimentateur 2 : copier et coller les valeurs des intensités totales de fluorescences obtenues dans le fichier raw data lors du traitement des images. Ne pas supprimer les colonnes correspondant aux concentrations non lues.</t>
  </si>
  <si>
    <t>7. Expérimentateur 2 : réaliser les tests statistiques avec les données normalisées et renseigner les résultats ainsi que le test statistique utilisé dans le tableau violet.</t>
  </si>
  <si>
    <t>8. Expérimentateur 2 : se reporter à l'onglet "pooled normalised values".</t>
  </si>
  <si>
    <t>9. Expérimentateur 2 : vérifier que le nombre de valeurs est &gt; ou égale à 14. Vérifier que le nombre de valeurs est &gt; ou égale à 27 pour le groupe "Testo".</t>
  </si>
  <si>
    <t>Nom des groupes</t>
  </si>
  <si>
    <t>Moy.</t>
  </si>
  <si>
    <t>Nbre de valeurs</t>
  </si>
  <si>
    <t xml:space="preserve"> + Testostérone</t>
  </si>
  <si>
    <t>Nom de l'échantillon donné par le client</t>
  </si>
  <si>
    <t>5. Expérimentateur 1 : remplissage du suivi qualité (SQ) et transmission à l'expérimenteur 2.</t>
  </si>
  <si>
    <r>
      <t xml:space="preserve">11. Expérimentateur 2 : </t>
    </r>
    <r>
      <rPr>
        <b/>
        <sz val="20"/>
        <color rgb="FFFF0000"/>
        <rFont val="Calibri"/>
        <family val="2"/>
        <scheme val="minor"/>
      </rPr>
      <t>vérifier les valeurs des écarts type. En cas de valeur abbéantes ou incohérent, consulter le référent test.</t>
    </r>
  </si>
  <si>
    <t>12. Expérimentateur 2 : réaliser les tests statistiques avec les données du pool et renseigner les résultats ainsi que le test statistique utilisé dans le tableau violet.</t>
  </si>
  <si>
    <t xml:space="preserve">13. Expérimentateur 2 : masquer les colonnes de la feuille R1 et R2 correspondant au groupe des échantilons n'ayant été lu que sur le réplica 1.  </t>
  </si>
  <si>
    <r>
      <t xml:space="preserve">14. Expérimentateur 2 : vérifier la cohérence des deux réplicas et des réplicas avec le pool à l'aide des graphiques "Graph". En cas de divergences consulter </t>
    </r>
    <r>
      <rPr>
        <b/>
        <sz val="20"/>
        <color rgb="FFFF0000"/>
        <rFont val="Calibri"/>
        <family val="2"/>
        <scheme val="minor"/>
      </rPr>
      <t>le référent test.</t>
    </r>
  </si>
  <si>
    <r>
      <t xml:space="preserve">15. Expérimentateur 2 : réaliser le calcul de l'équivalent hormonal (eqh) à l'aide </t>
    </r>
    <r>
      <rPr>
        <b/>
        <sz val="20"/>
        <color rgb="FFFF0000"/>
        <rFont val="Calibri"/>
        <family val="2"/>
        <scheme val="minor"/>
      </rPr>
      <t>du logiciel et PRISM</t>
    </r>
    <r>
      <rPr>
        <b/>
        <sz val="20"/>
        <color theme="1"/>
        <rFont val="Calibri"/>
        <family val="2"/>
        <scheme val="minor"/>
      </rPr>
      <t>. Seules les moyennes des témoins, des échantillons non dopées apparraissant en vert et les moyennes des échantillons dopées étant statiquement différentes des témoins (*, **, ***) pourrons être calculées en eqh. Se reporter à l'onglet "summary results".</t>
    </r>
  </si>
  <si>
    <t>10. Expérimentateur 2 : vérifier que le calcul des ratio s'affiche en vert.</t>
  </si>
  <si>
    <t>Evian/EE2 488 ng /L &gt;=</t>
  </si>
  <si>
    <t>18. Expérimentateur 2 : transmission des résultats avec le SQ rempli au responsable du laboratoire.</t>
  </si>
  <si>
    <t>Ratio à atteindre</t>
  </si>
  <si>
    <t>Evian/Testo + EE2 64 ng/L &gt;=</t>
  </si>
  <si>
    <t>Evian/ Testo + FAD &lt;=</t>
  </si>
  <si>
    <t>Valeur fluo extrapolée</t>
  </si>
  <si>
    <t>Dilution</t>
  </si>
  <si>
    <t>EqH Extrapolation à 100%</t>
  </si>
  <si>
    <t xml:space="preserve">% atteinte du seuil </t>
  </si>
  <si>
    <t>Valeur échelle</t>
  </si>
  <si>
    <t>Etiquette</t>
  </si>
  <si>
    <t>Evian</t>
  </si>
  <si>
    <t>EE2 64ng/l</t>
  </si>
  <si>
    <t>Testostérone</t>
  </si>
  <si>
    <t>Testostérone+EE2</t>
  </si>
  <si>
    <t>Testostérone+FAD</t>
  </si>
  <si>
    <t>Unité</t>
  </si>
  <si>
    <t>Numéro ligne</t>
  </si>
  <si>
    <t>Valeur du seuil de référence</t>
  </si>
  <si>
    <t>Dopage (+Testostérone / + EE2, ….)</t>
  </si>
  <si>
    <t>% induction</t>
  </si>
  <si>
    <t>Résultat stat si NS</t>
  </si>
  <si>
    <t>Test de normalité : valeur du p</t>
  </si>
  <si>
    <t>Test statistique utilisé</t>
  </si>
  <si>
    <t>Test statistique : valeur du p</t>
  </si>
  <si>
    <t>Annotation</t>
  </si>
  <si>
    <t>Test de normalité : résultat normal?</t>
  </si>
  <si>
    <t>CHG-protocole</t>
  </si>
  <si>
    <t>CHG-dilution</t>
  </si>
  <si>
    <t>CHG-induction ND</t>
  </si>
  <si>
    <t>CHG-test ND</t>
  </si>
  <si>
    <t>CHG-EQH ND</t>
  </si>
  <si>
    <t>CHG-% atteinte du seuil ND</t>
  </si>
  <si>
    <t>CHG-induction D</t>
  </si>
  <si>
    <t>CHG-test D</t>
  </si>
  <si>
    <t>CHG-EQH D</t>
  </si>
  <si>
    <t>CHG-% atteinte seuil D</t>
  </si>
  <si>
    <t>CHG-Testo+EE2</t>
  </si>
  <si>
    <t>CHG-Testo+Fad</t>
  </si>
  <si>
    <t>Liste groupes dopés</t>
  </si>
  <si>
    <t>Liste groupes non dopés</t>
  </si>
  <si>
    <t>Étiquettes de lignes</t>
  </si>
  <si>
    <t>0-00 + Testostérone</t>
  </si>
  <si>
    <t>Nom ND</t>
  </si>
  <si>
    <t>Nom D</t>
  </si>
  <si>
    <t xml:space="preserve">16. Expérimentateur 2 : copier et coller les résultats obtenus dans prisme selon l'ordre défini. </t>
  </si>
  <si>
    <t xml:space="preserve">17. Expérimentateur 2: </t>
  </si>
  <si>
    <t>(vide)</t>
  </si>
  <si>
    <t>Nom groupe</t>
  </si>
  <si>
    <t>N° de valeur</t>
  </si>
  <si>
    <t>file name</t>
  </si>
  <si>
    <t xml:space="preserve"> total area </t>
  </si>
  <si>
    <t xml:space="preserve"> mean intensity </t>
  </si>
  <si>
    <t xml:space="preserve"> </t>
  </si>
  <si>
    <t xml:space="preserve"> total fluorescence</t>
  </si>
  <si>
    <t>Étiquettes de colonnes</t>
  </si>
  <si>
    <t>Numéro d'expérience :</t>
  </si>
  <si>
    <t>Rep3</t>
  </si>
  <si>
    <t xml:space="preserve">         </t>
  </si>
  <si>
    <t>nbre de larves</t>
  </si>
  <si>
    <t>(Tous)</t>
  </si>
  <si>
    <t>Filtre lignes : Enlever (vide) et Néant</t>
  </si>
  <si>
    <t>Filtre colonnes : Enlever (vide) et "    "</t>
  </si>
  <si>
    <t>Tous les groupes du gamme sont normale?</t>
  </si>
  <si>
    <t>Témoin</t>
  </si>
  <si>
    <t>ng/L</t>
  </si>
  <si>
    <t>Témoin solvant</t>
  </si>
  <si>
    <t>EE2</t>
  </si>
  <si>
    <t>µg/L</t>
  </si>
  <si>
    <t xml:space="preserve">Testo 30µg/L + EE2 </t>
  </si>
  <si>
    <t>mg/L</t>
  </si>
  <si>
    <t>Testo 30µg/L + FAD</t>
  </si>
  <si>
    <t>(Plusieurs éléments)</t>
  </si>
  <si>
    <t>Description</t>
  </si>
  <si>
    <t>Problème</t>
  </si>
  <si>
    <t>Diminution de fluo en non dopé</t>
  </si>
  <si>
    <t>Impossible de calculer un EQH et pas de seuil déterminé donc impossible d'évaluer si l'échantillon dépasse un seuil</t>
  </si>
  <si>
    <t>Non calculable</t>
  </si>
  <si>
    <t>% de variation de fluo</t>
  </si>
  <si>
    <t>% atteinte du seuil RAPPORT</t>
  </si>
  <si>
    <t>EqH RAPPORT</t>
  </si>
  <si>
    <t>Valeur échelle sur graphique RAPPORT</t>
  </si>
  <si>
    <t>EqH BASE DE DONNEES</t>
  </si>
  <si>
    <t>% BASE DE DONNEES</t>
  </si>
  <si>
    <t>Mettre le % de variation de fluo avec un renvoi: "*: variation de fluorescence non-calibrée"</t>
  </si>
  <si>
    <t xml:space="preserve">C:\Users\Olympus\Desktop\20190122\plaque1/@01 EE2 0/A1_1.tif </t>
  </si>
  <si>
    <t xml:space="preserve">C:\Users\Olympus\Desktop\20190122\plaque1/@01 EE2 0/A1_2.tif </t>
  </si>
  <si>
    <t xml:space="preserve">C:\Users\Olympus\Desktop\20190122\plaque1/@01 EE2 0/A1_3.tif </t>
  </si>
  <si>
    <t xml:space="preserve"> 4931.616 </t>
  </si>
  <si>
    <t xml:space="preserve"> 73.0526 </t>
  </si>
  <si>
    <t xml:space="preserve"> 5234.4345 </t>
  </si>
  <si>
    <t xml:space="preserve"> 71.1281 </t>
  </si>
  <si>
    <t xml:space="preserve"> 3547.3027 </t>
  </si>
  <si>
    <t xml:space="preserve"> 66.9878 </t>
  </si>
  <si>
    <t>01 EE2 0</t>
  </si>
  <si>
    <t>Moyenne de  total fluorescence</t>
  </si>
  <si>
    <t xml:space="preserve">C:\Users\Olympus\Desktop\20190122\plaque3/@01 EE2 0/A1_1.tif </t>
  </si>
  <si>
    <t xml:space="preserve"> 15984.4921 </t>
  </si>
  <si>
    <t xml:space="preserve"> 69.7767 </t>
  </si>
  <si>
    <t xml:space="preserve">C:\Users\Olympus\Desktop\20190122\plaque3/@01 EE2 0/A1_2.tif </t>
  </si>
  <si>
    <t xml:space="preserve"> 21586.6348 </t>
  </si>
  <si>
    <t xml:space="preserve"> 66.4108 </t>
  </si>
  <si>
    <t xml:space="preserve">C:\Users\Olympus\Desktop\20190122\plaque3/@01 EE2 0/A1_3.tif </t>
  </si>
  <si>
    <t xml:space="preserve"> 21456.8555 </t>
  </si>
  <si>
    <t xml:space="preserve"> 67.0655 </t>
  </si>
  <si>
    <t>A</t>
  </si>
  <si>
    <t>n'utilisez pas cette ligne SVP</t>
  </si>
  <si>
    <t>190-20</t>
  </si>
  <si>
    <t>Cromolyn</t>
  </si>
  <si>
    <t>190-21</t>
  </si>
  <si>
    <t>190-22</t>
  </si>
  <si>
    <t>190-23</t>
  </si>
  <si>
    <t>190-24</t>
  </si>
  <si>
    <t xml:space="preserve">F:\Données chgh\2020-CHG-CZA-Cromolyn-1\plaque 1/@01 TS/A1_01.tif </t>
  </si>
  <si>
    <t xml:space="preserve"> 1384.3133 </t>
  </si>
  <si>
    <t xml:space="preserve"> 62.7188 </t>
  </si>
  <si>
    <t xml:space="preserve">F:\Données chgh\2020-CHG-CZA-Cromolyn-1\plaque 1/@01 TS/A1_02.tif </t>
  </si>
  <si>
    <t xml:space="preserve"> 1622.2421 </t>
  </si>
  <si>
    <t xml:space="preserve"> 64.1867 </t>
  </si>
  <si>
    <t xml:space="preserve">F:\Données chgh\2020-CHG-CZA-Cromolyn-1\plaque 1/@01 TS/A1_03.tif </t>
  </si>
  <si>
    <t xml:space="preserve"> 1492.4627 </t>
  </si>
  <si>
    <t xml:space="preserve"> 65.4348 </t>
  </si>
  <si>
    <t xml:space="preserve">F:\Données chgh\2020-CHG-CZA-Cromolyn-1\plaque 1/@01 TS/B1_01.tif </t>
  </si>
  <si>
    <t xml:space="preserve"> 9668.5629 </t>
  </si>
  <si>
    <t xml:space="preserve"> 76.3982 </t>
  </si>
  <si>
    <t xml:space="preserve">F:\Données chgh\2020-CHG-CZA-Cromolyn-1\plaque 1/@01 TS/B1_02.tif </t>
  </si>
  <si>
    <t xml:space="preserve"> 9517.1536 </t>
  </si>
  <si>
    <t xml:space="preserve"> 71.2068 </t>
  </si>
  <si>
    <t>F:\Données chgh\2020-CHG-CZA-Cromolyn-1\plaque 1/@01 TS/B1_03- exclu.tif</t>
  </si>
  <si>
    <t xml:space="preserve">F:\Données chgh\2020-CHG-CZA-Cromolyn-1\plaque 1/@01 TS/C1_01.tif </t>
  </si>
  <si>
    <t xml:space="preserve"> 9646.933 </t>
  </si>
  <si>
    <t xml:space="preserve"> 69.0964 </t>
  </si>
  <si>
    <t xml:space="preserve">F:\Données chgh\2020-CHG-CZA-Cromolyn-1\plaque 1/@01 TS/C1_02.tif </t>
  </si>
  <si>
    <t xml:space="preserve"> 7765.1322 </t>
  </si>
  <si>
    <t xml:space="preserve"> 70.337 </t>
  </si>
  <si>
    <t xml:space="preserve">F:\Données chgh\2020-CHG-CZA-Cromolyn-1\plaque 1/@01 TS/C1_03.tif </t>
  </si>
  <si>
    <t xml:space="preserve"> 6856.6766 </t>
  </si>
  <si>
    <t xml:space="preserve"> 68.8738 </t>
  </si>
  <si>
    <t xml:space="preserve">F:\Données chgh\2020-CHG-CZA-Cromolyn-1\plaque 1/@01 TS/D1_01.tif </t>
  </si>
  <si>
    <t xml:space="preserve"> 4304.349 </t>
  </si>
  <si>
    <t xml:space="preserve"> 67.0452 </t>
  </si>
  <si>
    <t xml:space="preserve">F:\Données chgh\2020-CHG-CZA-Cromolyn-1\plaque 1/@01 TS/D1_02.tif </t>
  </si>
  <si>
    <t xml:space="preserve"> 973.3453 </t>
  </si>
  <si>
    <t xml:space="preserve"> 63.0222 </t>
  </si>
  <si>
    <t xml:space="preserve">F:\Données chgh\2020-CHG-CZA-Cromolyn-1\plaque 1/@01 TS/D1_03.tif </t>
  </si>
  <si>
    <t xml:space="preserve"> 6315.9292 </t>
  </si>
  <si>
    <t xml:space="preserve"> 68.8699 </t>
  </si>
  <si>
    <t>F:\Données chgh\2020-CHG-CZA-Cromolyn-1\plaque 1/@01 TS/E1_01- exclu.tif</t>
  </si>
  <si>
    <t xml:space="preserve">F:\Données chgh\2020-CHG-CZA-Cromolyn-1\plaque 1/@01 TS/E1_02.tif </t>
  </si>
  <si>
    <t xml:space="preserve"> 6445.7086 </t>
  </si>
  <si>
    <t xml:space="preserve"> 70.2315 </t>
  </si>
  <si>
    <t xml:space="preserve">F:\Données chgh\2020-CHG-CZA-Cromolyn-1\plaque 1/@01 TS/E1_03.tif </t>
  </si>
  <si>
    <t xml:space="preserve"> 9495.5237 </t>
  </si>
  <si>
    <t xml:space="preserve"> 75.2005 </t>
  </si>
  <si>
    <t xml:space="preserve">F:\Données chgh\2020-CHG-CZA-Cromolyn-1\plaque 1/@01 TS/F1_01.tif </t>
  </si>
  <si>
    <t xml:space="preserve"> 7116.2353 </t>
  </si>
  <si>
    <t xml:space="preserve"> 67.8602 </t>
  </si>
  <si>
    <t xml:space="preserve">F:\Données chgh\2020-CHG-CZA-Cromolyn-1\plaque 1/@01 TS/F1_02.tif </t>
  </si>
  <si>
    <t xml:space="preserve"> 68.7729 </t>
  </si>
  <si>
    <t>F:\Données chgh\2020-CHG-CZA-Cromolyn-1\plaque 1/@01 TS/F1_03- exclu.tif</t>
  </si>
  <si>
    <t>F:\Données chgh\2020-CHG-CZA-Cromolyn-1\plaque 1/@01 TS/G1_01- exclu.tif</t>
  </si>
  <si>
    <t xml:space="preserve">F:\Données chgh\2020-CHG-CZA-Cromolyn-1\plaque 1/@01 TS/G1_02.tif </t>
  </si>
  <si>
    <t xml:space="preserve"> 2790.2564 </t>
  </si>
  <si>
    <t xml:space="preserve"> 65.5271 </t>
  </si>
  <si>
    <t xml:space="preserve">F:\Données chgh\2020-CHG-CZA-Cromolyn-1\plaque 1/@01 TS/G1_03.tif </t>
  </si>
  <si>
    <t xml:space="preserve"> 4023.1604 </t>
  </si>
  <si>
    <t xml:space="preserve"> 67.9032 </t>
  </si>
  <si>
    <t xml:space="preserve">F:\Données chgh\2020-CHG-CZA-Cromolyn-1\plaque 1/@01 TS/H1_01.tif </t>
  </si>
  <si>
    <t xml:space="preserve"> 9344.1145 </t>
  </si>
  <si>
    <t xml:space="preserve"> 70.5556 </t>
  </si>
  <si>
    <t xml:space="preserve">F:\Données chgh\2020-CHG-CZA-Cromolyn-1\plaque 1/@01 TS/H1_02.tif </t>
  </si>
  <si>
    <t xml:space="preserve"> 5385.8438 </t>
  </si>
  <si>
    <t xml:space="preserve"> 64.747 </t>
  </si>
  <si>
    <t xml:space="preserve">F:\Données chgh\2020-CHG-CZA-Cromolyn-1\plaque 1/@01 TS/H1_03.tif </t>
  </si>
  <si>
    <t xml:space="preserve"> 1903.4307 </t>
  </si>
  <si>
    <t xml:space="preserve"> 63.0909 </t>
  </si>
  <si>
    <t xml:space="preserve">group </t>
  </si>
  <si>
    <t xml:space="preserve"> mean of mean fluo </t>
  </si>
  <si>
    <t xml:space="preserve"> SD mean fluo </t>
  </si>
  <si>
    <t xml:space="preserve"> mean of total fluo </t>
  </si>
  <si>
    <t xml:space="preserve"> SD total fluo </t>
  </si>
  <si>
    <t xml:space="preserve"> n fluorescent </t>
  </si>
  <si>
    <t xml:space="preserve">F:\Données chgh\2020-CHG-CZA-Cromolyn-1\plaque 1/@01 TS/ </t>
  </si>
  <si>
    <t xml:space="preserve"> 67.5849 </t>
  </si>
  <si>
    <t xml:space="preserve"> 3.7665 </t>
  </si>
  <si>
    <t xml:space="preserve"> 362698.917 </t>
  </si>
  <si>
    <t xml:space="preserve"> 228807.621 </t>
  </si>
  <si>
    <t xml:space="preserve">file name </t>
  </si>
  <si>
    <t xml:space="preserve">F:\Données chgh\2020-CHG-CZA-Cromolyn-1\plaque 1/@02 EE2 34/A2_01.tif </t>
  </si>
  <si>
    <t xml:space="preserve"> 2660.477 </t>
  </si>
  <si>
    <t xml:space="preserve"> 65.626 </t>
  </si>
  <si>
    <t>F:\Données chgh\2020-CHG-CZA-Cromolyn-1\plaque 1/@02 EE2 34/A2_02- exclu.tif</t>
  </si>
  <si>
    <t xml:space="preserve">F:\Données chgh\2020-CHG-CZA-Cromolyn-1\plaque 1/@02 EE2 34/A2_03.tif </t>
  </si>
  <si>
    <t xml:space="preserve"> 4736.9469 </t>
  </si>
  <si>
    <t xml:space="preserve"> 65.0137 </t>
  </si>
  <si>
    <t xml:space="preserve">F:\Données chgh\2020-CHG-CZA-Cromolyn-1\plaque 1/@02 EE2 34/B2_01.tif </t>
  </si>
  <si>
    <t xml:space="preserve"> 5083.0252 </t>
  </si>
  <si>
    <t xml:space="preserve"> 67.5787 </t>
  </si>
  <si>
    <t xml:space="preserve">F:\Données chgh\2020-CHG-CZA-Cromolyn-1\plaque 1/@02 EE2 34/B2_02.tif </t>
  </si>
  <si>
    <t xml:space="preserve"> 5991.4808 </t>
  </si>
  <si>
    <t xml:space="preserve"> 67.9964 </t>
  </si>
  <si>
    <t xml:space="preserve">F:\Données chgh\2020-CHG-CZA-Cromolyn-1\plaque 1/@02 EE2 34/B2_03.tif </t>
  </si>
  <si>
    <t xml:space="preserve"> 18169.1115 </t>
  </si>
  <si>
    <t xml:space="preserve"> 67.8833 </t>
  </si>
  <si>
    <t xml:space="preserve">F:\Données chgh\2020-CHG-CZA-Cromolyn-1\plaque 1/@02 EE2 34/C2_01.tif </t>
  </si>
  <si>
    <t xml:space="preserve"> 22819.5388 </t>
  </si>
  <si>
    <t xml:space="preserve"> 66.3118 </t>
  </si>
  <si>
    <t xml:space="preserve">F:\Données chgh\2020-CHG-CZA-Cromolyn-1\plaque 1/@02 EE2 34/C2_02.tif </t>
  </si>
  <si>
    <t xml:space="preserve"> 23468.4357 </t>
  </si>
  <si>
    <t xml:space="preserve"> 66.2018 </t>
  </si>
  <si>
    <t xml:space="preserve">F:\Données chgh\2020-CHG-CZA-Cromolyn-1\plaque 1/@02 EE2 34/C2_03.tif </t>
  </si>
  <si>
    <t xml:space="preserve"> 20505.1401 </t>
  </si>
  <si>
    <t xml:space="preserve"> 65.7774 </t>
  </si>
  <si>
    <t xml:space="preserve">F:\Données chgh\2020-CHG-CZA-Cromolyn-1\plaque 1/@02 EE2 34/D2_01.tif </t>
  </si>
  <si>
    <t xml:space="preserve"> 9863.232 </t>
  </si>
  <si>
    <t xml:space="preserve"> 67.3026 </t>
  </si>
  <si>
    <t xml:space="preserve">F:\Données chgh\2020-CHG-CZA-Cromolyn-1\plaque 1/@02 EE2 34/D2_02.tif </t>
  </si>
  <si>
    <t xml:space="preserve"> 6099.6303 </t>
  </si>
  <si>
    <t xml:space="preserve"> 67.5142 </t>
  </si>
  <si>
    <t xml:space="preserve">F:\Données chgh\2020-CHG-CZA-Cromolyn-1\plaque 1/@02 EE2 34/D2_03.tif </t>
  </si>
  <si>
    <t xml:space="preserve"> 5212.8046 </t>
  </si>
  <si>
    <t xml:space="preserve"> 67.8216 </t>
  </si>
  <si>
    <t xml:space="preserve">F:\Données chgh\2020-CHG-CZA-Cromolyn-1\plaque 1/@02 EE2 34/E2_01.tif </t>
  </si>
  <si>
    <t xml:space="preserve"> 8760.1073 </t>
  </si>
  <si>
    <t xml:space="preserve"> 73.1111 </t>
  </si>
  <si>
    <t>F:\Données chgh\2020-CHG-CZA-Cromolyn-1\plaque 1/@02 EE2 34/E2_02- exclu.tif</t>
  </si>
  <si>
    <t xml:space="preserve">F:\Données chgh\2020-CHG-CZA-Cromolyn-1\plaque 1/@02 EE2 34/E2_03.tif </t>
  </si>
  <si>
    <t xml:space="preserve"> 8500.5486 </t>
  </si>
  <si>
    <t xml:space="preserve"> 67.2366 </t>
  </si>
  <si>
    <t xml:space="preserve">F:\Données chgh\2020-CHG-CZA-Cromolyn-1\plaque 1/@02 EE2 34/F2_01.tif </t>
  </si>
  <si>
    <t xml:space="preserve"> 65.0488 </t>
  </si>
  <si>
    <t xml:space="preserve">F:\Données chgh\2020-CHG-CZA-Cromolyn-1\plaque 1/@02 EE2 34/F2_02.tif </t>
  </si>
  <si>
    <t xml:space="preserve"> 5472.3633 </t>
  </si>
  <si>
    <t xml:space="preserve"> 67.1937 </t>
  </si>
  <si>
    <t xml:space="preserve">F:\Données chgh\2020-CHG-CZA-Cromolyn-1\plaque 1/@02 EE2 34/F2_03.tif </t>
  </si>
  <si>
    <t xml:space="preserve"> 8889.8867 </t>
  </si>
  <si>
    <t xml:space="preserve"> 68.3455 </t>
  </si>
  <si>
    <t xml:space="preserve">F:\Données chgh\2020-CHG-CZA-Cromolyn-1\plaque 1/@02 EE2 34/G2_01.tif </t>
  </si>
  <si>
    <t xml:space="preserve"> 1146.3844 </t>
  </si>
  <si>
    <t xml:space="preserve"> 64.4717 </t>
  </si>
  <si>
    <t xml:space="preserve">F:\Données chgh\2020-CHG-CZA-Cromolyn-1\plaque 1/@02 EE2 34/G2_02.tif </t>
  </si>
  <si>
    <t xml:space="preserve"> 1860.1709 </t>
  </si>
  <si>
    <t xml:space="preserve"> 64.3605 </t>
  </si>
  <si>
    <t xml:space="preserve">F:\Données chgh\2020-CHG-CZA-Cromolyn-1\plaque 1/@02 EE2 34/G2_03.tif </t>
  </si>
  <si>
    <t xml:space="preserve"> 1405.9432 </t>
  </si>
  <si>
    <t xml:space="preserve"> 63.4308 </t>
  </si>
  <si>
    <t xml:space="preserve">F:\Données chgh\2020-CHG-CZA-Cromolyn-1\plaque 1/@02 EE2 34/H2_01.tif </t>
  </si>
  <si>
    <t xml:space="preserve"> 1124.7545 </t>
  </si>
  <si>
    <t xml:space="preserve">F:\Données chgh\2020-CHG-CZA-Cromolyn-1\plaque 1/@02 EE2 34/H2_02.tif </t>
  </si>
  <si>
    <t xml:space="preserve"> 1168.0143 </t>
  </si>
  <si>
    <t xml:space="preserve"> 65.9259 </t>
  </si>
  <si>
    <t xml:space="preserve">F:\Données chgh\2020-CHG-CZA-Cromolyn-1\plaque 1/@02 EE2 34/H2_03.tif </t>
  </si>
  <si>
    <t xml:space="preserve"> 1752.0215 </t>
  </si>
  <si>
    <t xml:space="preserve"> 64.4938 </t>
  </si>
  <si>
    <t xml:space="preserve">F:\Données chgh\2020-CHG-CZA-Cromolyn-1\plaque 1/@02 EE2 34/ </t>
  </si>
  <si>
    <t xml:space="preserve"> 66.6927 </t>
  </si>
  <si>
    <t xml:space="preserve"> 2.4465 </t>
  </si>
  <si>
    <t xml:space="preserve"> 503185.208 </t>
  </si>
  <si>
    <t xml:space="preserve"> 463402.037 </t>
  </si>
  <si>
    <t xml:space="preserve">F:\Données chgh\2020-CHG-CZA-Cromolyn-1\plaque 1/@03 EE2 51/A3_01.tif </t>
  </si>
  <si>
    <t xml:space="preserve"> 346.0783 </t>
  </si>
  <si>
    <t xml:space="preserve"> 62.25 </t>
  </si>
  <si>
    <t xml:space="preserve">F:\Données chgh\2020-CHG-CZA-Cromolyn-1\plaque 1/@03 EE2 51/A3_02.tif </t>
  </si>
  <si>
    <t xml:space="preserve"> 3612.1924 </t>
  </si>
  <si>
    <t xml:space="preserve"> 65.4251 </t>
  </si>
  <si>
    <t xml:space="preserve">F:\Données chgh\2020-CHG-CZA-Cromolyn-1\plaque 1/@03 EE2 51/A3_03.tif </t>
  </si>
  <si>
    <t xml:space="preserve"> 281.1886 </t>
  </si>
  <si>
    <t xml:space="preserve"> 64.6923 </t>
  </si>
  <si>
    <t xml:space="preserve">F:\Données chgh\2020-CHG-CZA-Cromolyn-1\plaque 1/@03 EE2 51/B3_01.tif </t>
  </si>
  <si>
    <t xml:space="preserve"> 8370.7692 </t>
  </si>
  <si>
    <t xml:space="preserve"> 67.3488 </t>
  </si>
  <si>
    <t xml:space="preserve">F:\Données chgh\2020-CHG-CZA-Cromolyn-1\plaque 1/@03 EE2 51/B3_02.tif </t>
  </si>
  <si>
    <t xml:space="preserve"> 10230.9402 </t>
  </si>
  <si>
    <t xml:space="preserve"> 69.8816 </t>
  </si>
  <si>
    <t xml:space="preserve">F:\Données chgh\2020-CHG-CZA-Cromolyn-1\plaque 1/@03 EE2 51/B3_03.tif </t>
  </si>
  <si>
    <t xml:space="preserve"> 8154.4703 </t>
  </si>
  <si>
    <t xml:space="preserve"> 67.496 </t>
  </si>
  <si>
    <t xml:space="preserve">F:\Données chgh\2020-CHG-CZA-Cromolyn-1\plaque 1/@03 EE2 51/C3_01.tif </t>
  </si>
  <si>
    <t xml:space="preserve"> 3028.1852 </t>
  </si>
  <si>
    <t xml:space="preserve"> 64.2786 </t>
  </si>
  <si>
    <t xml:space="preserve">F:\Données chgh\2020-CHG-CZA-Cromolyn-1\plaque 1/@03 EE2 51/C3_02.tif </t>
  </si>
  <si>
    <t xml:space="preserve"> 2357.6585 </t>
  </si>
  <si>
    <t xml:space="preserve"> 64.2294 </t>
  </si>
  <si>
    <t xml:space="preserve">F:\Données chgh\2020-CHG-CZA-Cromolyn-1\plaque 1/@03 EE2 51/C3_03.tif </t>
  </si>
  <si>
    <t xml:space="preserve"> 3071.445 </t>
  </si>
  <si>
    <t xml:space="preserve"> 64.5423 </t>
  </si>
  <si>
    <t xml:space="preserve">F:\Données chgh\2020-CHG-CZA-Cromolyn-1\plaque 1/@03 EE2 51/D3_01.tif </t>
  </si>
  <si>
    <t xml:space="preserve"> 4109.68 </t>
  </si>
  <si>
    <t xml:space="preserve"> 67.5737 </t>
  </si>
  <si>
    <t xml:space="preserve">F:\Données chgh\2020-CHG-CZA-Cromolyn-1\plaque 1/@03 EE2 51/D3_02.tif </t>
  </si>
  <si>
    <t xml:space="preserve"> 6597.1179 </t>
  </si>
  <si>
    <t xml:space="preserve"> 70.2918 </t>
  </si>
  <si>
    <t xml:space="preserve">F:\Données chgh\2020-CHG-CZA-Cromolyn-1\plaque 1/@03 EE2 51/D3_03.tif </t>
  </si>
  <si>
    <t xml:space="preserve"> 71.1705 </t>
  </si>
  <si>
    <t xml:space="preserve">F:\Données chgh\2020-CHG-CZA-Cromolyn-1\plaque 1/@03 EE2 51/E3_01.tif </t>
  </si>
  <si>
    <t xml:space="preserve"> 70.9654 </t>
  </si>
  <si>
    <t xml:space="preserve">F:\Données chgh\2020-CHG-CZA-Cromolyn-1\plaque 1/@03 EE2 51/E3_02.tif </t>
  </si>
  <si>
    <t xml:space="preserve"> 9776.7124 </t>
  </si>
  <si>
    <t xml:space="preserve"> 71.2588 </t>
  </si>
  <si>
    <t xml:space="preserve">F:\Données chgh\2020-CHG-CZA-Cromolyn-1\plaque 1/@03 EE2 51/E3_03.tif </t>
  </si>
  <si>
    <t xml:space="preserve"> 9603.6732 </t>
  </si>
  <si>
    <t xml:space="preserve"> 68.9459 </t>
  </si>
  <si>
    <t xml:space="preserve">F:\Données chgh\2020-CHG-CZA-Cromolyn-1\plaque 1/@03 EE2 51/F3_01.tif </t>
  </si>
  <si>
    <t xml:space="preserve"> 1427.573 </t>
  </si>
  <si>
    <t xml:space="preserve"> 65.9394 </t>
  </si>
  <si>
    <t xml:space="preserve">F:\Données chgh\2020-CHG-CZA-Cromolyn-1\plaque 1/@03 EE2 51/F3_02.tif </t>
  </si>
  <si>
    <t xml:space="preserve"> 2984.9255 </t>
  </si>
  <si>
    <t xml:space="preserve"> 67.1159 </t>
  </si>
  <si>
    <t xml:space="preserve">F:\Données chgh\2020-CHG-CZA-Cromolyn-1\plaque 1/@03 EE2 51/F3_03.tif </t>
  </si>
  <si>
    <t xml:space="preserve"> 2206.2493 </t>
  </si>
  <si>
    <t xml:space="preserve"> 66.902 </t>
  </si>
  <si>
    <t xml:space="preserve">F:\Données chgh\2020-CHG-CZA-Cromolyn-1\plaque 1/@03 EE2 51/G3_01.tif </t>
  </si>
  <si>
    <t xml:space="preserve"> 5320.9541 </t>
  </si>
  <si>
    <t xml:space="preserve"> 69.4878 </t>
  </si>
  <si>
    <t xml:space="preserve">F:\Données chgh\2020-CHG-CZA-Cromolyn-1\plaque 1/@03 EE2 51/G3_02.tif </t>
  </si>
  <si>
    <t xml:space="preserve"> 1016.605 </t>
  </si>
  <si>
    <t xml:space="preserve"> 63.2553 </t>
  </si>
  <si>
    <t xml:space="preserve">F:\Données chgh\2020-CHG-CZA-Cromolyn-1\plaque 1/@03 EE2 51/G3_03.tif </t>
  </si>
  <si>
    <t xml:space="preserve"> 2855.1461 </t>
  </si>
  <si>
    <t xml:space="preserve"> 65.553 </t>
  </si>
  <si>
    <t>F:\Données chgh\2020-CHG-CZA-Cromolyn-1\plaque 1/@03 EE2 51/H3_01- exclu.tif</t>
  </si>
  <si>
    <t>F:\Données chgh\2020-CHG-CZA-Cromolyn-1\plaque 1/@03 EE2 51/H3_02- exclu.tif</t>
  </si>
  <si>
    <t>F:\Données chgh\2020-CHG-CZA-Cromolyn-1\plaque 1/@03 EE2 51/H3_03- exclu.tif</t>
  </si>
  <si>
    <t xml:space="preserve">F:\Données chgh\2020-CHG-CZA-Cromolyn-1\plaque 1/@03 EE2 51/ </t>
  </si>
  <si>
    <t xml:space="preserve"> 66.7404 </t>
  </si>
  <si>
    <t xml:space="preserve"> 2.748 </t>
  </si>
  <si>
    <t xml:space="preserve"> 277196.917 </t>
  </si>
  <si>
    <t xml:space="preserve"> 240759.94 </t>
  </si>
  <si>
    <t xml:space="preserve">F:\Données chgh\2020-CHG-CZA-Cromolyn-1\plaque 1/@04 EE2 76/A4_01.tif </t>
  </si>
  <si>
    <t xml:space="preserve"> 66.5836 </t>
  </si>
  <si>
    <t>F:\Données chgh\2020-CHG-CZA-Cromolyn-1\plaque 1/@04 EE2 76/A4_02- exclu.tif</t>
  </si>
  <si>
    <t xml:space="preserve">F:\Données chgh\2020-CHG-CZA-Cromolyn-1\plaque 1/@04 EE2 76/A4_03.tif </t>
  </si>
  <si>
    <t xml:space="preserve"> 4866.7263 </t>
  </si>
  <si>
    <t xml:space="preserve"> 70.2756 </t>
  </si>
  <si>
    <t xml:space="preserve">F:\Données chgh\2020-CHG-CZA-Cromolyn-1\plaque 1/@04 EE2 76/B4_01.tif </t>
  </si>
  <si>
    <t xml:space="preserve"> 10403.9793 </t>
  </si>
  <si>
    <t xml:space="preserve"> 72.1164 </t>
  </si>
  <si>
    <t xml:space="preserve">F:\Données chgh\2020-CHG-CZA-Cromolyn-1\plaque 1/@04 EE2 76/B4_02.tif </t>
  </si>
  <si>
    <t xml:space="preserve"> 12134.3709 </t>
  </si>
  <si>
    <t xml:space="preserve"> 76.8431 </t>
  </si>
  <si>
    <t xml:space="preserve">F:\Données chgh\2020-CHG-CZA-Cromolyn-1\plaque 1/@04 EE2 76/B4_03.tif </t>
  </si>
  <si>
    <t xml:space="preserve"> 12177.6307 </t>
  </si>
  <si>
    <t xml:space="preserve"> 74.4067 </t>
  </si>
  <si>
    <t xml:space="preserve">F:\Données chgh\2020-CHG-CZA-Cromolyn-1\plaque 1/@04 EE2 76/C4_01.tif </t>
  </si>
  <si>
    <t xml:space="preserve"> 1946.6905 </t>
  </si>
  <si>
    <t xml:space="preserve"> 65.5111 </t>
  </si>
  <si>
    <t xml:space="preserve">F:\Données chgh\2020-CHG-CZA-Cromolyn-1\plaque 1/@04 EE2 76/C4_02.tif </t>
  </si>
  <si>
    <t xml:space="preserve"> 2552.3276 </t>
  </si>
  <si>
    <t xml:space="preserve"> 67.2627 </t>
  </si>
  <si>
    <t xml:space="preserve">F:\Données chgh\2020-CHG-CZA-Cromolyn-1\plaque 1/@04 EE2 76/C4_03.tif </t>
  </si>
  <si>
    <t xml:space="preserve"> 1449.2029 </t>
  </si>
  <si>
    <t xml:space="preserve"> 65.6119 </t>
  </si>
  <si>
    <t xml:space="preserve">F:\Données chgh\2020-CHG-CZA-Cromolyn-1\plaque 1/@04 EE2 76/D4_01.tif </t>
  </si>
  <si>
    <t xml:space="preserve"> 6294.2993 </t>
  </si>
  <si>
    <t xml:space="preserve"> 68.1203 </t>
  </si>
  <si>
    <t xml:space="preserve">F:\Données chgh\2020-CHG-CZA-Cromolyn-1\plaque 1/@04 EE2 76/D4_02.tif </t>
  </si>
  <si>
    <t xml:space="preserve"> 7159.4951 </t>
  </si>
  <si>
    <t xml:space="preserve"> 69.4471 </t>
  </si>
  <si>
    <t xml:space="preserve">F:\Données chgh\2020-CHG-CZA-Cromolyn-1\plaque 1/@04 EE2 76/D4_03.tif </t>
  </si>
  <si>
    <t xml:space="preserve"> 8630.328 </t>
  </si>
  <si>
    <t xml:space="preserve"> 78.7018 </t>
  </si>
  <si>
    <t xml:space="preserve">F:\Données chgh\2020-CHG-CZA-Cromolyn-1\plaque 1/@04 EE2 76/E4_01.tif </t>
  </si>
  <si>
    <t xml:space="preserve"> 3590.5625 </t>
  </si>
  <si>
    <t xml:space="preserve"> 64.8614 </t>
  </si>
  <si>
    <t xml:space="preserve">F:\Données chgh\2020-CHG-CZA-Cromolyn-1\plaque 1/@04 EE2 76/E4_02.tif </t>
  </si>
  <si>
    <t xml:space="preserve"> 3352.6337 </t>
  </si>
  <si>
    <t xml:space="preserve"> 64.7806 </t>
  </si>
  <si>
    <t xml:space="preserve">F:\Données chgh\2020-CHG-CZA-Cromolyn-1\plaque 1/@04 EE2 76/E4_03.tif </t>
  </si>
  <si>
    <t xml:space="preserve"> 6921.5663 </t>
  </si>
  <si>
    <t xml:space="preserve"> 69.225 </t>
  </si>
  <si>
    <t xml:space="preserve">F:\Données chgh\2020-CHG-CZA-Cromolyn-1\plaque 1/@04 EE2 76/F4_01.tif </t>
  </si>
  <si>
    <t xml:space="preserve"> 2487.4379 </t>
  </si>
  <si>
    <t xml:space="preserve"> 63.313 </t>
  </si>
  <si>
    <t xml:space="preserve">F:\Données chgh\2020-CHG-CZA-Cromolyn-1\plaque 1/@04 EE2 76/F4_02.tif </t>
  </si>
  <si>
    <t xml:space="preserve"> 7224.3848 </t>
  </si>
  <si>
    <t xml:space="preserve"> 64.6826 </t>
  </si>
  <si>
    <t xml:space="preserve">F:\Données chgh\2020-CHG-CZA-Cromolyn-1\plaque 1/@04 EE2 76/F4_03.tif </t>
  </si>
  <si>
    <t xml:space="preserve"> 10014.6412 </t>
  </si>
  <si>
    <t xml:space="preserve"> 68.9287 </t>
  </si>
  <si>
    <t xml:space="preserve">F:\Données chgh\2020-CHG-CZA-Cromolyn-1\plaque 1/@04 EE2 76/G4_01.tif </t>
  </si>
  <si>
    <t xml:space="preserve"> 1189.6442 </t>
  </si>
  <si>
    <t xml:space="preserve"> 68.2182 </t>
  </si>
  <si>
    <t xml:space="preserve">F:\Données chgh\2020-CHG-CZA-Cromolyn-1\plaque 1/@04 EE2 76/G4_02.tif </t>
  </si>
  <si>
    <t xml:space="preserve"> 1232.904 </t>
  </si>
  <si>
    <t xml:space="preserve"> 67.3158 </t>
  </si>
  <si>
    <t xml:space="preserve">F:\Données chgh\2020-CHG-CZA-Cromolyn-1\plaque 1/@04 EE2 76/G4_03.tif </t>
  </si>
  <si>
    <t xml:space="preserve"> 1968.3204 </t>
  </si>
  <si>
    <t xml:space="preserve"> 69.9341 </t>
  </si>
  <si>
    <t xml:space="preserve">F:\Données chgh\2020-CHG-CZA-Cromolyn-1\plaque 1/@04 EE2 76/H4_01.tif </t>
  </si>
  <si>
    <t xml:space="preserve"> 65.4896 </t>
  </si>
  <si>
    <t xml:space="preserve">F:\Données chgh\2020-CHG-CZA-Cromolyn-1\plaque 1/@04 EE2 76/H4_02.tif </t>
  </si>
  <si>
    <t xml:space="preserve"> 1795.2813 </t>
  </si>
  <si>
    <t xml:space="preserve"> 64.8072 </t>
  </si>
  <si>
    <t xml:space="preserve">F:\Données chgh\2020-CHG-CZA-Cromolyn-1\plaque 1/@04 EE2 76/H4_03.tif </t>
  </si>
  <si>
    <t xml:space="preserve"> 3331.0038 </t>
  </si>
  <si>
    <t xml:space="preserve"> 64.4026 </t>
  </si>
  <si>
    <t xml:space="preserve">F:\Données chgh\2020-CHG-CZA-Cromolyn-1\plaque 1/@04 EE2 76/ </t>
  </si>
  <si>
    <t xml:space="preserve"> 68.0366 </t>
  </si>
  <si>
    <t xml:space="preserve"> 4.1557 </t>
  </si>
  <si>
    <t xml:space="preserve"> 359285.083 </t>
  </si>
  <si>
    <t xml:space="preserve"> 269689.929 </t>
  </si>
  <si>
    <t xml:space="preserve">F:\Données chgh\2020-CHG-CZA-Cromolyn-1\plaque 1/@05 EE2 114/A5_01.tif </t>
  </si>
  <si>
    <t xml:space="preserve"> 35927.255 </t>
  </si>
  <si>
    <t xml:space="preserve"> 69.5533 </t>
  </si>
  <si>
    <t xml:space="preserve">F:\Données chgh\2020-CHG-CZA-Cromolyn-1\plaque 1/@05 EE2 114/A5_02.tif </t>
  </si>
  <si>
    <t xml:space="preserve"> 28010.7135 </t>
  </si>
  <si>
    <t xml:space="preserve"> 65.3668 </t>
  </si>
  <si>
    <t>F:\Données chgh\2020-CHG-CZA-Cromolyn-1\plaque 1/@05 EE2 114/A5_03- exclu.tif</t>
  </si>
  <si>
    <t xml:space="preserve">F:\Données chgh\2020-CHG-CZA-Cromolyn-1\plaque 1/@05 EE2 114/B5_01.tif </t>
  </si>
  <si>
    <t xml:space="preserve"> 45855.3766 </t>
  </si>
  <si>
    <t xml:space="preserve"> 70.7995 </t>
  </si>
  <si>
    <t xml:space="preserve">F:\Données chgh\2020-CHG-CZA-Cromolyn-1\plaque 1/@05 EE2 114/B5_02.tif </t>
  </si>
  <si>
    <t xml:space="preserve"> 51998.2667 </t>
  </si>
  <si>
    <t xml:space="preserve"> 71.5986 </t>
  </si>
  <si>
    <t xml:space="preserve">F:\Données chgh\2020-CHG-CZA-Cromolyn-1\plaque 1/@05 EE2 114/B5_03.tif </t>
  </si>
  <si>
    <t xml:space="preserve"> 56518.9147 </t>
  </si>
  <si>
    <t xml:space="preserve"> 72.3345 </t>
  </si>
  <si>
    <t xml:space="preserve">F:\Données chgh\2020-CHG-CZA-Cromolyn-1\plaque 1/@05 EE2 114/C5_01.tif </t>
  </si>
  <si>
    <t xml:space="preserve"> 29005.6887 </t>
  </si>
  <si>
    <t xml:space="preserve"> 66.5377 </t>
  </si>
  <si>
    <t xml:space="preserve">F:\Données chgh\2020-CHG-CZA-Cromolyn-1\plaque 1/@05 EE2 114/C5_02.tif </t>
  </si>
  <si>
    <t xml:space="preserve"> 31384.9771 </t>
  </si>
  <si>
    <t xml:space="preserve"> 67.6589 </t>
  </si>
  <si>
    <t xml:space="preserve">F:\Données chgh\2020-CHG-CZA-Cromolyn-1\plaque 1/@05 EE2 114/C5_03.tif </t>
  </si>
  <si>
    <t xml:space="preserve"> 29849.2546 </t>
  </si>
  <si>
    <t xml:space="preserve"> 67.2333 </t>
  </si>
  <si>
    <t xml:space="preserve">F:\Données chgh\2020-CHG-CZA-Cromolyn-1\plaque 1/@05 EE2 114/D5_01.tif </t>
  </si>
  <si>
    <t xml:space="preserve"> 20461.8803 </t>
  </si>
  <si>
    <t xml:space="preserve"> 66.1374 </t>
  </si>
  <si>
    <t xml:space="preserve">F:\Données chgh\2020-CHG-CZA-Cromolyn-1\plaque 1/@05 EE2 114/D5_02.tif </t>
  </si>
  <si>
    <t xml:space="preserve"> 16027.7519 </t>
  </si>
  <si>
    <t xml:space="preserve"> 66.2335 </t>
  </si>
  <si>
    <t xml:space="preserve">F:\Données chgh\2020-CHG-CZA-Cromolyn-1\plaque 1/@05 EE2 114/D5_03.tif </t>
  </si>
  <si>
    <t xml:space="preserve"> 21629.8946 </t>
  </si>
  <si>
    <t xml:space="preserve"> 65.733 </t>
  </si>
  <si>
    <t xml:space="preserve">F:\Données chgh\2020-CHG-CZA-Cromolyn-1\plaque 1/@05 EE2 114/E5_01.tif </t>
  </si>
  <si>
    <t xml:space="preserve"> 31644.5358 </t>
  </si>
  <si>
    <t xml:space="preserve"> 67.9323 </t>
  </si>
  <si>
    <t xml:space="preserve">F:\Données chgh\2020-CHG-CZA-Cromolyn-1\plaque 1/@05 EE2 114/E5_02.tif </t>
  </si>
  <si>
    <t xml:space="preserve"> 30952.3792 </t>
  </si>
  <si>
    <t xml:space="preserve"> 67.7659 </t>
  </si>
  <si>
    <t xml:space="preserve">F:\Données chgh\2020-CHG-CZA-Cromolyn-1\plaque 1/@05 EE2 114/E5_03.tif </t>
  </si>
  <si>
    <t xml:space="preserve"> 34002.1944 </t>
  </si>
  <si>
    <t xml:space="preserve"> 68.0585 </t>
  </si>
  <si>
    <t xml:space="preserve">F:\Données chgh\2020-CHG-CZA-Cromolyn-1\plaque 1/@05 EE2 114/F5_01.tif </t>
  </si>
  <si>
    <t xml:space="preserve"> 43540.9779 </t>
  </si>
  <si>
    <t xml:space="preserve"> 67.3279 </t>
  </si>
  <si>
    <t xml:space="preserve">F:\Données chgh\2020-CHG-CZA-Cromolyn-1\plaque 1/@05 EE2 114/F5_02.tif </t>
  </si>
  <si>
    <t xml:space="preserve"> 42243.1842 </t>
  </si>
  <si>
    <t xml:space="preserve"> 67.3513 </t>
  </si>
  <si>
    <t xml:space="preserve">F:\Données chgh\2020-CHG-CZA-Cromolyn-1\plaque 1/@05 EE2 114/F5_03.tif </t>
  </si>
  <si>
    <t xml:space="preserve"> 41421.2482 </t>
  </si>
  <si>
    <t xml:space="preserve"> 67.1039 </t>
  </si>
  <si>
    <t xml:space="preserve">F:\Données chgh\2020-CHG-CZA-Cromolyn-1\plaque 1/@05 EE2 114/G5_01.tif </t>
  </si>
  <si>
    <t xml:space="preserve"> 21694.7843 </t>
  </si>
  <si>
    <t xml:space="preserve"> 65.659 </t>
  </si>
  <si>
    <t xml:space="preserve">F:\Données chgh\2020-CHG-CZA-Cromolyn-1\plaque 1/@05 EE2 114/G5_02.tif </t>
  </si>
  <si>
    <t xml:space="preserve"> 20353.7308 </t>
  </si>
  <si>
    <t xml:space="preserve"> 65.7726 </t>
  </si>
  <si>
    <t xml:space="preserve">F:\Données chgh\2020-CHG-CZA-Cromolyn-1\plaque 1/@05 EE2 114/G5_03.tif </t>
  </si>
  <si>
    <t xml:space="preserve"> 21716.4142 </t>
  </si>
  <si>
    <t xml:space="preserve"> 65.8655 </t>
  </si>
  <si>
    <t>F:\Données chgh\2020-CHG-CZA-Cromolyn-1\plaque 1/@05 EE2 114/H5_01- exclu.tif</t>
  </si>
  <si>
    <t xml:space="preserve">F:\Données chgh\2020-CHG-CZA-Cromolyn-1\plaque 1/@05 EE2 114/H5_02.tif </t>
  </si>
  <si>
    <t xml:space="preserve"> 28270.2723 </t>
  </si>
  <si>
    <t xml:space="preserve"> 66.0122 </t>
  </si>
  <si>
    <t xml:space="preserve">F:\Données chgh\2020-CHG-CZA-Cromolyn-1\plaque 1/@05 EE2 114/H5_03.tif </t>
  </si>
  <si>
    <t xml:space="preserve"> 24182.2222 </t>
  </si>
  <si>
    <t xml:space="preserve"> 66.2129 </t>
  </si>
  <si>
    <t xml:space="preserve">F:\Données chgh\2020-CHG-CZA-Cromolyn-1\plaque 1/@05 EE2 114/ </t>
  </si>
  <si>
    <t xml:space="preserve"> 67.5322 </t>
  </si>
  <si>
    <t xml:space="preserve"> 2.0221 </t>
  </si>
  <si>
    <t xml:space="preserve"> 2165627.38 </t>
  </si>
  <si>
    <t xml:space="preserve"> 786848.489 </t>
  </si>
  <si>
    <t xml:space="preserve">F:\Données chgh\2020-CHG-CZA-Cromolyn-1\plaque 1/@06 EE2 171/A6_01.tif </t>
  </si>
  <si>
    <t xml:space="preserve"> 54485.7046 </t>
  </si>
  <si>
    <t xml:space="preserve"> 72.3708 </t>
  </si>
  <si>
    <t xml:space="preserve">F:\Données chgh\2020-CHG-CZA-Cromolyn-1\plaque 1/@06 EE2 171/A6_02.tif </t>
  </si>
  <si>
    <t xml:space="preserve"> 48775.4124 </t>
  </si>
  <si>
    <t xml:space="preserve"> 73.2758 </t>
  </si>
  <si>
    <t xml:space="preserve">F:\Données chgh\2020-CHG-CZA-Cromolyn-1\plaque 1/@06 EE2 171/A6_03.tif </t>
  </si>
  <si>
    <t xml:space="preserve"> 53966.5871 </t>
  </si>
  <si>
    <t xml:space="preserve"> 73.4942 </t>
  </si>
  <si>
    <t xml:space="preserve">F:\Données chgh\2020-CHG-CZA-Cromolyn-1\plaque 1/@06 EE2 171/B6_01.tif </t>
  </si>
  <si>
    <t xml:space="preserve"> 45920.2663 </t>
  </si>
  <si>
    <t xml:space="preserve"> 78.2652 </t>
  </si>
  <si>
    <t>F:\Données chgh\2020-CHG-CZA-Cromolyn-1\plaque 1/@06 EE2 171/B6_02- exclu.tif</t>
  </si>
  <si>
    <t xml:space="preserve">F:\Données chgh\2020-CHG-CZA-Cromolyn-1\plaque 1/@06 EE2 171/B6_03.tif </t>
  </si>
  <si>
    <t xml:space="preserve"> 44471.0634 </t>
  </si>
  <si>
    <t xml:space="preserve"> 76.7524 </t>
  </si>
  <si>
    <t xml:space="preserve">F:\Données chgh\2020-CHG-CZA-Cromolyn-1\plaque 1/@06 EE2 171/C6_01.tif </t>
  </si>
  <si>
    <t xml:space="preserve"> 56562.1745 </t>
  </si>
  <si>
    <t xml:space="preserve"> 74.5732 </t>
  </si>
  <si>
    <t xml:space="preserve">F:\Données chgh\2020-CHG-CZA-Cromolyn-1\plaque 1/@06 EE2 171/C6_02.tif </t>
  </si>
  <si>
    <t xml:space="preserve"> 56648.694 </t>
  </si>
  <si>
    <t xml:space="preserve"> 74.84 </t>
  </si>
  <si>
    <t xml:space="preserve">F:\Données chgh\2020-CHG-CZA-Cromolyn-1\plaque 1/@06 EE2 171/C6_03.tif </t>
  </si>
  <si>
    <t xml:space="preserve"> 56756.8435 </t>
  </si>
  <si>
    <t xml:space="preserve"> 77.7755 </t>
  </si>
  <si>
    <t xml:space="preserve">F:\Données chgh\2020-CHG-CZA-Cromolyn-1\plaque 1/@06 EE2 171/D6_01.tif </t>
  </si>
  <si>
    <t xml:space="preserve"> 54226.1458 </t>
  </si>
  <si>
    <t xml:space="preserve"> 81.2581 </t>
  </si>
  <si>
    <t xml:space="preserve">F:\Données chgh\2020-CHG-CZA-Cromolyn-1\plaque 1/@06 EE2 171/D6_02.tif </t>
  </si>
  <si>
    <t xml:space="preserve"> 56410.7652 </t>
  </si>
  <si>
    <t xml:space="preserve"> 80.8144 </t>
  </si>
  <si>
    <t xml:space="preserve">F:\Données chgh\2020-CHG-CZA-Cromolyn-1\plaque 1/@06 EE2 171/D6_03.tif </t>
  </si>
  <si>
    <t xml:space="preserve"> 53923.3273 </t>
  </si>
  <si>
    <t xml:space="preserve"> 82.0814 </t>
  </si>
  <si>
    <t xml:space="preserve">F:\Données chgh\2020-CHG-CZA-Cromolyn-1\plaque 1/@06 EE2 171/E6_01.tif </t>
  </si>
  <si>
    <t xml:space="preserve"> 13691.7233 </t>
  </si>
  <si>
    <t xml:space="preserve"> 70.6382 </t>
  </si>
  <si>
    <t xml:space="preserve">F:\Données chgh\2020-CHG-CZA-Cromolyn-1\plaque 1/@06 EE2 171/E6_02.tif </t>
  </si>
  <si>
    <t xml:space="preserve"> 12437.1894 </t>
  </si>
  <si>
    <t xml:space="preserve"> 73.3704 </t>
  </si>
  <si>
    <t xml:space="preserve">F:\Données chgh\2020-CHG-CZA-Cromolyn-1\plaque 1/@06 EE2 171/E6_03.tif </t>
  </si>
  <si>
    <t xml:space="preserve"> 11139.3957 </t>
  </si>
  <si>
    <t xml:space="preserve"> 73.5515 </t>
  </si>
  <si>
    <t xml:space="preserve">F:\Données chgh\2020-CHG-CZA-Cromolyn-1\plaque 1/@06 EE2 171/F6_01.tif </t>
  </si>
  <si>
    <t xml:space="preserve"> 63224.182 </t>
  </si>
  <si>
    <t xml:space="preserve"> 81.8642 </t>
  </si>
  <si>
    <t xml:space="preserve">F:\Données chgh\2020-CHG-CZA-Cromolyn-1\plaque 1/@06 EE2 171/F6_02.tif </t>
  </si>
  <si>
    <t xml:space="preserve"> 70015.9689 </t>
  </si>
  <si>
    <t xml:space="preserve"> 81.0334 </t>
  </si>
  <si>
    <t xml:space="preserve">F:\Données chgh\2020-CHG-CZA-Cromolyn-1\plaque 1/@06 EE2 171/F6_03.tif </t>
  </si>
  <si>
    <t xml:space="preserve"> 61688.4595 </t>
  </si>
  <si>
    <t xml:space="preserve"> 79.743 </t>
  </si>
  <si>
    <t xml:space="preserve">F:\Données chgh\2020-CHG-CZA-Cromolyn-1\plaque 1/@06 EE2 171/G6_01.tif </t>
  </si>
  <si>
    <t xml:space="preserve"> 36770.8209 </t>
  </si>
  <si>
    <t xml:space="preserve"> 71.6382 </t>
  </si>
  <si>
    <t xml:space="preserve">F:\Données chgh\2020-CHG-CZA-Cromolyn-1\plaque 1/@06 EE2 171/G6_02.tif </t>
  </si>
  <si>
    <t xml:space="preserve"> 33483.0769 </t>
  </si>
  <si>
    <t xml:space="preserve"> 70.334 </t>
  </si>
  <si>
    <t xml:space="preserve">F:\Données chgh\2020-CHG-CZA-Cromolyn-1\plaque 1/@06 EE2 171/G6_03.tif </t>
  </si>
  <si>
    <t xml:space="preserve"> 34672.7211 </t>
  </si>
  <si>
    <t xml:space="preserve"> 70.0487 </t>
  </si>
  <si>
    <t xml:space="preserve">F:\Données chgh\2020-CHG-CZA-Cromolyn-1\plaque 1/@06 EE2 171/H6_01.tif </t>
  </si>
  <si>
    <t xml:space="preserve"> 44146.6149 </t>
  </si>
  <si>
    <t xml:space="preserve"> 70.539 </t>
  </si>
  <si>
    <t xml:space="preserve">F:\Données chgh\2020-CHG-CZA-Cromolyn-1\plaque 1/@06 EE2 171/H6_02.tif </t>
  </si>
  <si>
    <t xml:space="preserve"> 39669.2267 </t>
  </si>
  <si>
    <t xml:space="preserve"> 70.1249 </t>
  </si>
  <si>
    <t xml:space="preserve">F:\Données chgh\2020-CHG-CZA-Cromolyn-1\plaque 1/@06 EE2 171/H6_03.tif </t>
  </si>
  <si>
    <t xml:space="preserve"> 68.9613 </t>
  </si>
  <si>
    <t xml:space="preserve">F:\Données chgh\2020-CHG-CZA-Cromolyn-1\plaque 1/@06 EE2 171/ </t>
  </si>
  <si>
    <t xml:space="preserve"> 74.9386 </t>
  </si>
  <si>
    <t xml:space="preserve"> 4.3685 </t>
  </si>
  <si>
    <t xml:space="preserve"> 3434078.38 </t>
  </si>
  <si>
    <t xml:space="preserve"> 1309750.57 </t>
  </si>
  <si>
    <t xml:space="preserve">F:\Données chgh\2020-CHG-CZA-Cromolyn-1\plaque 1/@07 EE2 488/A7_01.tif </t>
  </si>
  <si>
    <t xml:space="preserve"> 73065.7841 </t>
  </si>
  <si>
    <t xml:space="preserve"> 92.4278 </t>
  </si>
  <si>
    <t xml:space="preserve">F:\Données chgh\2020-CHG-CZA-Cromolyn-1\plaque 1/@07 EE2 488/A7_02.tif </t>
  </si>
  <si>
    <t xml:space="preserve"> 76742.8661 </t>
  </si>
  <si>
    <t xml:space="preserve"> 94.5299 </t>
  </si>
  <si>
    <t xml:space="preserve">F:\Données chgh\2020-CHG-CZA-Cromolyn-1\plaque 1/@07 EE2 488/A7_03.tif </t>
  </si>
  <si>
    <t xml:space="preserve"> 78819.336 </t>
  </si>
  <si>
    <t xml:space="preserve"> 86.9569 </t>
  </si>
  <si>
    <t xml:space="preserve">F:\Données chgh\2020-CHG-CZA-Cromolyn-1\plaque 1/@07 EE2 488/B7_01.tif </t>
  </si>
  <si>
    <t xml:space="preserve"> 71854.51 </t>
  </si>
  <si>
    <t xml:space="preserve"> 96.2712 </t>
  </si>
  <si>
    <t xml:space="preserve">F:\Données chgh\2020-CHG-CZA-Cromolyn-1\plaque 1/@07 EE2 488/B7_02.tif </t>
  </si>
  <si>
    <t xml:space="preserve"> 68480.2464 </t>
  </si>
  <si>
    <t xml:space="preserve"> 98.5092 </t>
  </si>
  <si>
    <t xml:space="preserve">F:\Données chgh\2020-CHG-CZA-Cromolyn-1\plaque 1/@07 EE2 488/B7_03.tif </t>
  </si>
  <si>
    <t xml:space="preserve"> 68026.0186 </t>
  </si>
  <si>
    <t xml:space="preserve"> 94.9793 </t>
  </si>
  <si>
    <t xml:space="preserve">F:\Données chgh\2020-CHG-CZA-Cromolyn-1\plaque 1/@07 EE2 488/C7_01.tif </t>
  </si>
  <si>
    <t xml:space="preserve"> 39388.0381 </t>
  </si>
  <si>
    <t xml:space="preserve"> 99.0714 </t>
  </si>
  <si>
    <t xml:space="preserve">F:\Données chgh\2020-CHG-CZA-Cromolyn-1\plaque 1/@07 EE2 488/C7_02.tif </t>
  </si>
  <si>
    <t xml:space="preserve"> 37268.3084 </t>
  </si>
  <si>
    <t xml:space="preserve"> 96.8456 </t>
  </si>
  <si>
    <t xml:space="preserve">F:\Données chgh\2020-CHG-CZA-Cromolyn-1\plaque 1/@07 EE2 488/C7_03.tif </t>
  </si>
  <si>
    <t xml:space="preserve"> 38241.6537 </t>
  </si>
  <si>
    <t xml:space="preserve"> 97.582 </t>
  </si>
  <si>
    <t xml:space="preserve">F:\Données chgh\2020-CHG-CZA-Cromolyn-1\plaque 1/@07 EE2 488/D7_01.tif </t>
  </si>
  <si>
    <t xml:space="preserve"> 59157.7618 </t>
  </si>
  <si>
    <t xml:space="preserve"> 95.608 </t>
  </si>
  <si>
    <t xml:space="preserve">F:\Données chgh\2020-CHG-CZA-Cromolyn-1\plaque 1/@07 EE2 488/D7_02.tif </t>
  </si>
  <si>
    <t xml:space="preserve"> 55956.5374 </t>
  </si>
  <si>
    <t xml:space="preserve"> 96.5748 </t>
  </si>
  <si>
    <t xml:space="preserve">F:\Données chgh\2020-CHG-CZA-Cromolyn-1\plaque 1/@07 EE2 488/D7_03.tif </t>
  </si>
  <si>
    <t xml:space="preserve"> 54853.4128 </t>
  </si>
  <si>
    <t xml:space="preserve"> 96.392 </t>
  </si>
  <si>
    <t xml:space="preserve">F:\Données chgh\2020-CHG-CZA-Cromolyn-1\plaque 1/@07 EE2 488/E7_01.tif </t>
  </si>
  <si>
    <t xml:space="preserve"> 61126.0822 </t>
  </si>
  <si>
    <t xml:space="preserve"> 92.0488 </t>
  </si>
  <si>
    <t xml:space="preserve">F:\Données chgh\2020-CHG-CZA-Cromolyn-1\plaque 1/@07 EE2 488/E7_02.tif </t>
  </si>
  <si>
    <t xml:space="preserve"> 61407.2709 </t>
  </si>
  <si>
    <t xml:space="preserve"> 95.6643 </t>
  </si>
  <si>
    <t xml:space="preserve">F:\Données chgh\2020-CHG-CZA-Cromolyn-1\plaque 1/@07 EE2 488/E7_03.tif </t>
  </si>
  <si>
    <t xml:space="preserve"> 62034.5378 </t>
  </si>
  <si>
    <t xml:space="preserve"> 91.7333 </t>
  </si>
  <si>
    <t xml:space="preserve">F:\Données chgh\2020-CHG-CZA-Cromolyn-1\plaque 1/@07 EE2 488/F7_01.tif </t>
  </si>
  <si>
    <t xml:space="preserve"> 82561.3078 </t>
  </si>
  <si>
    <t xml:space="preserve"> 100.5096 </t>
  </si>
  <si>
    <t xml:space="preserve">F:\Données chgh\2020-CHG-CZA-Cromolyn-1\plaque 1/@07 EE2 488/F7_02.tif </t>
  </si>
  <si>
    <t xml:space="preserve"> 85351.5642 </t>
  </si>
  <si>
    <t xml:space="preserve"> 97.5041 </t>
  </si>
  <si>
    <t xml:space="preserve">F:\Données chgh\2020-CHG-CZA-Cromolyn-1\plaque 1/@07 EE2 488/F7_03.tif </t>
  </si>
  <si>
    <t xml:space="preserve"> 90218.2905 </t>
  </si>
  <si>
    <t xml:space="preserve"> 98.6967 </t>
  </si>
  <si>
    <t xml:space="preserve">F:\Données chgh\2020-CHG-CZA-Cromolyn-1\plaque 1/@07 EE2 488/G7_01.tif </t>
  </si>
  <si>
    <t xml:space="preserve"> 53793.5479 </t>
  </si>
  <si>
    <t xml:space="preserve"> 89.1134 </t>
  </si>
  <si>
    <t xml:space="preserve">F:\Données chgh\2020-CHG-CZA-Cromolyn-1\plaque 1/@07 EE2 488/G7_02.tif </t>
  </si>
  <si>
    <t xml:space="preserve"> 46028.4158 </t>
  </si>
  <si>
    <t xml:space="preserve"> 94.2166 </t>
  </si>
  <si>
    <t xml:space="preserve">F:\Données chgh\2020-CHG-CZA-Cromolyn-1\plaque 1/@07 EE2 488/G7_03.tif </t>
  </si>
  <si>
    <t xml:space="preserve"> 51349.3698 </t>
  </si>
  <si>
    <t xml:space="preserve"> 92.9541 </t>
  </si>
  <si>
    <t xml:space="preserve">F:\Données chgh\2020-CHG-CZA-Cromolyn-1\plaque 1/@07 EE2 488/H7_01.tif </t>
  </si>
  <si>
    <t xml:space="preserve"> 44298.0242 </t>
  </si>
  <si>
    <t xml:space="preserve"> 85.1035 </t>
  </si>
  <si>
    <t xml:space="preserve">F:\Données chgh\2020-CHG-CZA-Cromolyn-1\plaque 1/@07 EE2 488/H7_02.tif </t>
  </si>
  <si>
    <t xml:space="preserve"> 45682.3375 </t>
  </si>
  <si>
    <t xml:space="preserve"> 85.642 </t>
  </si>
  <si>
    <t xml:space="preserve">F:\Données chgh\2020-CHG-CZA-Cromolyn-1\plaque 1/@07 EE2 488/H7_03.tif </t>
  </si>
  <si>
    <t xml:space="preserve"> 86.3792 </t>
  </si>
  <si>
    <t xml:space="preserve">F:\Données chgh\2020-CHG-CZA-Cromolyn-1\plaque 1/@07 EE2 488/ </t>
  </si>
  <si>
    <t xml:space="preserve"> 93.9714 </t>
  </si>
  <si>
    <t xml:space="preserve"> 4.4765 </t>
  </si>
  <si>
    <t xml:space="preserve"> 5702279.25 </t>
  </si>
  <si>
    <t xml:space="preserve"> 1575793.67 </t>
  </si>
  <si>
    <t xml:space="preserve">F:\Données chgh\2020-CHG-CZA-Cromolyn-1\plaque 1/@08 Cromolyn 0.1/A8_01.tif </t>
  </si>
  <si>
    <t xml:space="preserve"> 8414.029 </t>
  </si>
  <si>
    <t xml:space="preserve"> 66.0206 </t>
  </si>
  <si>
    <t>F:\Données chgh\2020-CHG-CZA-Cromolyn-1\plaque 1/@08 Cromolyn 0.1/A8_02- exclu.tif</t>
  </si>
  <si>
    <t xml:space="preserve">F:\Données chgh\2020-CHG-CZA-Cromolyn-1\plaque 1/@08 Cromolyn 0.1/A8_03.tif </t>
  </si>
  <si>
    <t xml:space="preserve"> 69.3672 </t>
  </si>
  <si>
    <t xml:space="preserve">F:\Données chgh\2020-CHG-CZA-Cromolyn-1\plaque 1/@08 Cromolyn 0.1/B8_01.tif </t>
  </si>
  <si>
    <t xml:space="preserve"> 64.3846 </t>
  </si>
  <si>
    <t xml:space="preserve">F:\Données chgh\2020-CHG-CZA-Cromolyn-1\plaque 1/@08 Cromolyn 0.1/B8_02.tif </t>
  </si>
  <si>
    <t xml:space="preserve"> 1514.0926 </t>
  </si>
  <si>
    <t xml:space="preserve"> 65.9571 </t>
  </si>
  <si>
    <t xml:space="preserve">F:\Données chgh\2020-CHG-CZA-Cromolyn-1\plaque 1/@08 Cromolyn 0.1/B8_03.tif </t>
  </si>
  <si>
    <t xml:space="preserve"> 66.625 </t>
  </si>
  <si>
    <t xml:space="preserve">F:\Données chgh\2020-CHG-CZA-Cromolyn-1\plaque 1/@08 Cromolyn 0.1/C8_01.tif </t>
  </si>
  <si>
    <t xml:space="preserve"> 67.419 </t>
  </si>
  <si>
    <t xml:space="preserve">F:\Données chgh\2020-CHG-CZA-Cromolyn-1\plaque 1/@08 Cromolyn 0.1/C8_02.tif </t>
  </si>
  <si>
    <t xml:space="preserve"> 3698.712 </t>
  </si>
  <si>
    <t xml:space="preserve"> 70.2222 </t>
  </si>
  <si>
    <t xml:space="preserve">F:\Données chgh\2020-CHG-CZA-Cromolyn-1\plaque 1/@08 Cromolyn 0.1/C8_03.tif </t>
  </si>
  <si>
    <t xml:space="preserve"> 4131.3099 </t>
  </si>
  <si>
    <t xml:space="preserve"> 67.178 </t>
  </si>
  <si>
    <t xml:space="preserve">F:\Données chgh\2020-CHG-CZA-Cromolyn-1\plaque 1/@08 Cromolyn 0.1/D8_01.tif </t>
  </si>
  <si>
    <t xml:space="preserve"> 1881.8008 </t>
  </si>
  <si>
    <t xml:space="preserve"> 66.0575 </t>
  </si>
  <si>
    <t xml:space="preserve">F:\Données chgh\2020-CHG-CZA-Cromolyn-1\plaque 1/@08 Cromolyn 0.1/D8_02.tif </t>
  </si>
  <si>
    <t xml:space="preserve"> 63.9259 </t>
  </si>
  <si>
    <t xml:space="preserve">F:\Données chgh\2020-CHG-CZA-Cromolyn-1\plaque 1/@08 Cromolyn 0.1/D8_03.tif </t>
  </si>
  <si>
    <t xml:space="preserve"> 367.7082 </t>
  </si>
  <si>
    <t xml:space="preserve"> 63.3529 </t>
  </si>
  <si>
    <t xml:space="preserve">F:\Données chgh\2020-CHG-CZA-Cromolyn-1\plaque 1/@08 Cromolyn 0.1/E8_01.tif </t>
  </si>
  <si>
    <t xml:space="preserve"> 2227.8791 </t>
  </si>
  <si>
    <t xml:space="preserve"> 64.1845 </t>
  </si>
  <si>
    <t xml:space="preserve">F:\Données chgh\2020-CHG-CZA-Cromolyn-1\plaque 1/@08 Cromolyn 0.1/E8_02.tif </t>
  </si>
  <si>
    <t xml:space="preserve"> 2920.0358 </t>
  </si>
  <si>
    <t xml:space="preserve"> 67.2296 </t>
  </si>
  <si>
    <t xml:space="preserve">F:\Données chgh\2020-CHG-CZA-Cromolyn-1\plaque 1/@08 Cromolyn 0.1/E8_03.tif </t>
  </si>
  <si>
    <t xml:space="preserve"> 1816.9111 </t>
  </si>
  <si>
    <t xml:space="preserve"> 65.25 </t>
  </si>
  <si>
    <t xml:space="preserve">F:\Données chgh\2020-CHG-CZA-Cromolyn-1\plaque 1/@08 Cromolyn 0.1/F8_01.tif </t>
  </si>
  <si>
    <t xml:space="preserve"> 3201.2244 </t>
  </si>
  <si>
    <t xml:space="preserve"> 65.5473 </t>
  </si>
  <si>
    <t xml:space="preserve">F:\Données chgh\2020-CHG-CZA-Cromolyn-1\plaque 1/@08 Cromolyn 0.1/F8_02.tif </t>
  </si>
  <si>
    <t xml:space="preserve"> 3633.8223 </t>
  </si>
  <si>
    <t xml:space="preserve"> 65.2857 </t>
  </si>
  <si>
    <t xml:space="preserve">F:\Données chgh\2020-CHG-CZA-Cromolyn-1\plaque 1/@08 Cromolyn 0.1/F8_03.tif </t>
  </si>
  <si>
    <t xml:space="preserve"> 8197.7301 </t>
  </si>
  <si>
    <t xml:space="preserve"> 66.8813 </t>
  </si>
  <si>
    <t xml:space="preserve">F:\Données chgh\2020-CHG-CZA-Cromolyn-1\plaque 1/@08 Cromolyn 0.1/G8_01.tif </t>
  </si>
  <si>
    <t xml:space="preserve"> 7440.6838 </t>
  </si>
  <si>
    <t xml:space="preserve"> 70.1395 </t>
  </si>
  <si>
    <t xml:space="preserve">F:\Données chgh\2020-CHG-CZA-Cromolyn-1\plaque 1/@08 Cromolyn 0.1/G8_02.tif </t>
  </si>
  <si>
    <t xml:space="preserve"> 4196.1996 </t>
  </si>
  <si>
    <t xml:space="preserve"> 64.1392 </t>
  </si>
  <si>
    <t xml:space="preserve">F:\Données chgh\2020-CHG-CZA-Cromolyn-1\plaque 1/@08 Cromolyn 0.1/G8_03.tif </t>
  </si>
  <si>
    <t xml:space="preserve"> 3309.3739 </t>
  </si>
  <si>
    <t xml:space="preserve"> 67.2353 </t>
  </si>
  <si>
    <t xml:space="preserve">F:\Données chgh\2020-CHG-CZA-Cromolyn-1\plaque 1/@08 Cromolyn 0.1/H8_01.tif </t>
  </si>
  <si>
    <t xml:space="preserve"> 66.9444 </t>
  </si>
  <si>
    <t xml:space="preserve">F:\Données chgh\2020-CHG-CZA-Cromolyn-1\plaque 1/@08 Cromolyn 0.1/H8_02.tif </t>
  </si>
  <si>
    <t xml:space="preserve"> 3114.7048 </t>
  </si>
  <si>
    <t xml:space="preserve"> 67.1319 </t>
  </si>
  <si>
    <t xml:space="preserve">F:\Données chgh\2020-CHG-CZA-Cromolyn-1\plaque 1/@08 Cromolyn 0.1/H8_03.tif </t>
  </si>
  <si>
    <t xml:space="preserve"> 2963.2956 </t>
  </si>
  <si>
    <t xml:space="preserve"> 66.7226 </t>
  </si>
  <si>
    <t xml:space="preserve">F:\Données chgh\2020-CHG-CZA-Cromolyn-1\plaque 1/@08 Cromolyn 0.1/ </t>
  </si>
  <si>
    <t xml:space="preserve"> 66.3006 </t>
  </si>
  <si>
    <t xml:space="preserve"> 1.8691 </t>
  </si>
  <si>
    <t xml:space="preserve"> 259501.917 </t>
  </si>
  <si>
    <t xml:space="preserve"> 198466.446 </t>
  </si>
  <si>
    <t xml:space="preserve">F:\Données chgh\2020-CHG-CZA-Cromolyn-1\plaque 1/@09 Cromolyn 1/A9_01.tif </t>
  </si>
  <si>
    <t xml:space="preserve"> 15292.3355 </t>
  </si>
  <si>
    <t xml:space="preserve"> 75.2291 </t>
  </si>
  <si>
    <t xml:space="preserve">F:\Données chgh\2020-CHG-CZA-Cromolyn-1\plaque 1/@09 Cromolyn 1/A9_02.tif </t>
  </si>
  <si>
    <t xml:space="preserve"> 6359.189 </t>
  </si>
  <si>
    <t xml:space="preserve"> 66.119 </t>
  </si>
  <si>
    <t xml:space="preserve">F:\Données chgh\2020-CHG-CZA-Cromolyn-1\plaque 1/@09 Cromolyn 1/A9_03.tif </t>
  </si>
  <si>
    <t xml:space="preserve"> 10252.5701 </t>
  </si>
  <si>
    <t xml:space="preserve"> 73.7996 </t>
  </si>
  <si>
    <t xml:space="preserve">F:\Données chgh\2020-CHG-CZA-Cromolyn-1\plaque 1/@09 Cromolyn 1/B9_01.tif </t>
  </si>
  <si>
    <t xml:space="preserve"> 8651.9579 </t>
  </si>
  <si>
    <t xml:space="preserve"> 70.2325 </t>
  </si>
  <si>
    <t xml:space="preserve">F:\Données chgh\2020-CHG-CZA-Cromolyn-1\plaque 1/@09 Cromolyn 1/B9_02.tif </t>
  </si>
  <si>
    <t xml:space="preserve"> 62.7571 </t>
  </si>
  <si>
    <t xml:space="preserve">F:\Données chgh\2020-CHG-CZA-Cromolyn-1\plaque 1/@09 Cromolyn 1/B9_03.tif </t>
  </si>
  <si>
    <t xml:space="preserve"> 951.7154 </t>
  </si>
  <si>
    <t xml:space="preserve"> 63.0227 </t>
  </si>
  <si>
    <t xml:space="preserve">F:\Données chgh\2020-CHG-CZA-Cromolyn-1\plaque 1/@09 Cromolyn 1/C9_01.tif </t>
  </si>
  <si>
    <t xml:space="preserve"> 3287.744 </t>
  </si>
  <si>
    <t xml:space="preserve"> 65.6513 </t>
  </si>
  <si>
    <t xml:space="preserve">F:\Données chgh\2020-CHG-CZA-Cromolyn-1\plaque 1/@09 Cromolyn 1/C9_02.tif </t>
  </si>
  <si>
    <t xml:space="preserve"> 3417.5234 </t>
  </si>
  <si>
    <t xml:space="preserve"> 67.3608 </t>
  </si>
  <si>
    <t xml:space="preserve">F:\Données chgh\2020-CHG-CZA-Cromolyn-1\plaque 1/@09 Cromolyn 1/C9_03.tif </t>
  </si>
  <si>
    <t xml:space="preserve"> 4325.9789 </t>
  </si>
  <si>
    <t xml:space="preserve"> 66.695 </t>
  </si>
  <si>
    <t xml:space="preserve">F:\Données chgh\2020-CHG-CZA-Cromolyn-1\plaque 1/@09 Cromolyn 1/D9_01.tif </t>
  </si>
  <si>
    <t xml:space="preserve"> 4974.8758 </t>
  </si>
  <si>
    <t xml:space="preserve"> 68.8087 </t>
  </si>
  <si>
    <t xml:space="preserve">F:\Données chgh\2020-CHG-CZA-Cromolyn-1\plaque 1/@09 Cromolyn 1/D9_02.tif </t>
  </si>
  <si>
    <t xml:space="preserve"> 65.049 </t>
  </si>
  <si>
    <t xml:space="preserve">F:\Données chgh\2020-CHG-CZA-Cromolyn-1\plaque 1/@09 Cromolyn 1/D9_03.tif </t>
  </si>
  <si>
    <t xml:space="preserve"> 6770.157 </t>
  </si>
  <si>
    <t xml:space="preserve"> 68.7923 </t>
  </si>
  <si>
    <t xml:space="preserve">F:\Données chgh\2020-CHG-CZA-Cromolyn-1\plaque 1/@09 Cromolyn 1/E9_01.tif </t>
  </si>
  <si>
    <t xml:space="preserve"> 2098.0998 </t>
  </si>
  <si>
    <t xml:space="preserve"> 66.6598 </t>
  </si>
  <si>
    <t xml:space="preserve">F:\Données chgh\2020-CHG-CZA-Cromolyn-1\plaque 1/@09 Cromolyn 1/E9_02.tif </t>
  </si>
  <si>
    <t xml:space="preserve"> 1643.872 </t>
  </si>
  <si>
    <t xml:space="preserve"> 65.2632 </t>
  </si>
  <si>
    <t xml:space="preserve">F:\Données chgh\2020-CHG-CZA-Cromolyn-1\plaque 1/@09 Cromolyn 1/E9_03.tif </t>
  </si>
  <si>
    <t xml:space="preserve"> 3893.381 </t>
  </si>
  <si>
    <t xml:space="preserve"> 67.9611 </t>
  </si>
  <si>
    <t xml:space="preserve">F:\Données chgh\2020-CHG-CZA-Cromolyn-1\plaque 1/@09 Cromolyn 1/F9_01.tif </t>
  </si>
  <si>
    <t xml:space="preserve"> 65.4697 </t>
  </si>
  <si>
    <t xml:space="preserve">F:\Données chgh\2020-CHG-CZA-Cromolyn-1\plaque 1/@09 Cromolyn 1/F9_02.tif </t>
  </si>
  <si>
    <t xml:space="preserve">F:\Données chgh\2020-CHG-CZA-Cromolyn-1\plaque 1/@09 Cromolyn 1/F9_03.tif </t>
  </si>
  <si>
    <t xml:space="preserve"> 930.0855 </t>
  </si>
  <si>
    <t xml:space="preserve"> 63.186 </t>
  </si>
  <si>
    <t xml:space="preserve">F:\Données chgh\2020-CHG-CZA-Cromolyn-1\plaque 1/@09 Cromolyn 1/G9_01.tif </t>
  </si>
  <si>
    <t xml:space="preserve"> 389.3381 </t>
  </si>
  <si>
    <t xml:space="preserve"> 63.4444 </t>
  </si>
  <si>
    <t xml:space="preserve">F:\Données chgh\2020-CHG-CZA-Cromolyn-1\plaque 1/@09 Cromolyn 1/G9_02.tif </t>
  </si>
  <si>
    <t xml:space="preserve"> 66.7251 </t>
  </si>
  <si>
    <t xml:space="preserve">F:\Données chgh\2020-CHG-CZA-Cromolyn-1\plaque 1/@09 Cromolyn 1/G9_03.tif </t>
  </si>
  <si>
    <t xml:space="preserve"> 713.7865 </t>
  </si>
  <si>
    <t xml:space="preserve"> 62.4545 </t>
  </si>
  <si>
    <t xml:space="preserve">F:\Données chgh\2020-CHG-CZA-Cromolyn-1\plaque 1/@09 Cromolyn 1/H9_01.tif </t>
  </si>
  <si>
    <t xml:space="preserve"> 65.4848 </t>
  </si>
  <si>
    <t xml:space="preserve">F:\Données chgh\2020-CHG-CZA-Cromolyn-1\plaque 1/@09 Cromolyn 1/H9_02.tif </t>
  </si>
  <si>
    <t xml:space="preserve"> 994.9752 </t>
  </si>
  <si>
    <t xml:space="preserve"> 63.1087 </t>
  </si>
  <si>
    <t xml:space="preserve">F:\Données chgh\2020-CHG-CZA-Cromolyn-1\plaque 1/@09 Cromolyn 1/H9_03.tif </t>
  </si>
  <si>
    <t xml:space="preserve"> 2768.6265 </t>
  </si>
  <si>
    <t xml:space="preserve"> 67.1016 </t>
  </si>
  <si>
    <t xml:space="preserve">F:\Données chgh\2020-CHG-CZA-Cromolyn-1\plaque 1/@09 Cromolyn 1/ </t>
  </si>
  <si>
    <t xml:space="preserve"> 66.5206 </t>
  </si>
  <si>
    <t xml:space="preserve"> 3.2193 </t>
  </si>
  <si>
    <t xml:space="preserve"> 259106.292 </t>
  </si>
  <si>
    <t xml:space="preserve"> 265337.428 </t>
  </si>
  <si>
    <t xml:space="preserve">F:\Données chgh\2020-CHG-CZA-Cromolyn-1\plaque 1/@10 Cromolyn 10/A10_01.tif </t>
  </si>
  <si>
    <t xml:space="preserve"> 2703.7368 </t>
  </si>
  <si>
    <t xml:space="preserve"> 67.096 </t>
  </si>
  <si>
    <t xml:space="preserve">F:\Données chgh\2020-CHG-CZA-Cromolyn-1\plaque 1/@10 Cromolyn 10/A10_02.tif </t>
  </si>
  <si>
    <t xml:space="preserve"> 2292.7688 </t>
  </si>
  <si>
    <t xml:space="preserve"> 67.8868 </t>
  </si>
  <si>
    <t xml:space="preserve">F:\Données chgh\2020-CHG-CZA-Cromolyn-1\plaque 1/@10 Cromolyn 10/A10_03.tif </t>
  </si>
  <si>
    <t xml:space="preserve"> 64.908 </t>
  </si>
  <si>
    <t xml:space="preserve">F:\Données chgh\2020-CHG-CZA-Cromolyn-1\plaque 1/@10 Cromolyn 10/B10_01.tif </t>
  </si>
  <si>
    <t xml:space="preserve"> 64.6623 </t>
  </si>
  <si>
    <t xml:space="preserve">F:\Données chgh\2020-CHG-CZA-Cromolyn-1\plaque 1/@10 Cromolyn 10/B10_02.tif </t>
  </si>
  <si>
    <t xml:space="preserve"> 5796.8118 </t>
  </si>
  <si>
    <t xml:space="preserve"> 70.7313 </t>
  </si>
  <si>
    <t xml:space="preserve">F:\Données chgh\2020-CHG-CZA-Cromolyn-1\plaque 1/@10 Cromolyn 10/B10_03.tif </t>
  </si>
  <si>
    <t xml:space="preserve"> 2141.3596 </t>
  </si>
  <si>
    <t xml:space="preserve"> 63.6061 </t>
  </si>
  <si>
    <t xml:space="preserve">F:\Données chgh\2020-CHG-CZA-Cromolyn-1\plaque 1/@10 Cromolyn 10/C10_01.tif </t>
  </si>
  <si>
    <t xml:space="preserve"> 4650.4273 </t>
  </si>
  <si>
    <t xml:space="preserve"> 65.6279 </t>
  </si>
  <si>
    <t xml:space="preserve">F:\Données chgh\2020-CHG-CZA-Cromolyn-1\plaque 1/@10 Cromolyn 10/C10_02.tif </t>
  </si>
  <si>
    <t xml:space="preserve"> 3958.2707 </t>
  </si>
  <si>
    <t xml:space="preserve"> 65.3224 </t>
  </si>
  <si>
    <t xml:space="preserve">F:\Données chgh\2020-CHG-CZA-Cromolyn-1\plaque 1/@10 Cromolyn 10/C10_03.tif </t>
  </si>
  <si>
    <t xml:space="preserve"> 69.8547 </t>
  </si>
  <si>
    <t xml:space="preserve">F:\Données chgh\2020-CHG-CZA-Cromolyn-1\plaque 1/@10 Cromolyn 10/D10_01.tif </t>
  </si>
  <si>
    <t xml:space="preserve"> 6705.2673 </t>
  </si>
  <si>
    <t xml:space="preserve"> 74.1935 </t>
  </si>
  <si>
    <t xml:space="preserve">F:\Données chgh\2020-CHG-CZA-Cromolyn-1\plaque 1/@10 Cromolyn 10/D10_02.tif </t>
  </si>
  <si>
    <t xml:space="preserve"> 67.4817 </t>
  </si>
  <si>
    <t xml:space="preserve">F:\Données chgh\2020-CHG-CZA-Cromolyn-1\plaque 1/@10 Cromolyn 10/D10_03.tif </t>
  </si>
  <si>
    <t xml:space="preserve"> 2400.9183 </t>
  </si>
  <si>
    <t xml:space="preserve"> 66.5045 </t>
  </si>
  <si>
    <t xml:space="preserve">F:\Données chgh\2020-CHG-CZA-Cromolyn-1\plaque 1/@10 Cromolyn 10/E10_01.tif </t>
  </si>
  <si>
    <t xml:space="preserve"> 68.912 </t>
  </si>
  <si>
    <t xml:space="preserve">F:\Données chgh\2020-CHG-CZA-Cromolyn-1\plaque 1/@10 Cromolyn 10/E10_02.tif </t>
  </si>
  <si>
    <t xml:space="preserve"> 5493.9932 </t>
  </si>
  <si>
    <t xml:space="preserve"> 65.8937 </t>
  </si>
  <si>
    <t xml:space="preserve">F:\Données chgh\2020-CHG-CZA-Cromolyn-1\plaque 1/@10 Cromolyn 10/E10_03.tif </t>
  </si>
  <si>
    <t xml:space="preserve"> 5342.584 </t>
  </si>
  <si>
    <t xml:space="preserve"> 65.4737 </t>
  </si>
  <si>
    <t xml:space="preserve">F:\Données chgh\2020-CHG-CZA-Cromolyn-1\plaque 1/@10 Cromolyn 10/F10_01.tif </t>
  </si>
  <si>
    <t xml:space="preserve"> 1038.2349 </t>
  </si>
  <si>
    <t xml:space="preserve"> 64.0833 </t>
  </si>
  <si>
    <t>F:\Données chgh\2020-CHG-CZA-Cromolyn-1\plaque 1/@10 Cromolyn 10/F10_02- exclu.tif</t>
  </si>
  <si>
    <t xml:space="preserve">F:\Données chgh\2020-CHG-CZA-Cromolyn-1\plaque 1/@10 Cromolyn 10/F10_03.tif </t>
  </si>
  <si>
    <t xml:space="preserve"> 65.5333 </t>
  </si>
  <si>
    <t xml:space="preserve">F:\Données chgh\2020-CHG-CZA-Cromolyn-1\plaque 1/@10 Cromolyn 10/G10_01.tif </t>
  </si>
  <si>
    <t xml:space="preserve"> 108.1495 </t>
  </si>
  <si>
    <t xml:space="preserve">F:\Données chgh\2020-CHG-CZA-Cromolyn-1\plaque 1/@10 Cromolyn 10/G10_02.tif </t>
  </si>
  <si>
    <t xml:space="preserve"> 324.4484 </t>
  </si>
  <si>
    <t xml:space="preserve"> 62.2 </t>
  </si>
  <si>
    <t>F:\Données chgh\2020-CHG-CZA-Cromolyn-1\plaque 1/@10 Cromolyn 10/G10_03- exclu.tif</t>
  </si>
  <si>
    <t xml:space="preserve">F:\Données chgh\2020-CHG-CZA-Cromolyn-1\plaque 1/@10 Cromolyn 10/H10_01.tif </t>
  </si>
  <si>
    <t xml:space="preserve"> 8478.9187 </t>
  </si>
  <si>
    <t xml:space="preserve"> 77.8776 </t>
  </si>
  <si>
    <t xml:space="preserve">F:\Données chgh\2020-CHG-CZA-Cromolyn-1\plaque 1/@10 Cromolyn 10/H10_02.tif </t>
  </si>
  <si>
    <t xml:space="preserve"> 3460.7831 </t>
  </si>
  <si>
    <t xml:space="preserve"> 67.35 </t>
  </si>
  <si>
    <t xml:space="preserve">F:\Données chgh\2020-CHG-CZA-Cromolyn-1\plaque 1/@10 Cromolyn 10/H10_03.tif </t>
  </si>
  <si>
    <t xml:space="preserve"> 71.2638 </t>
  </si>
  <si>
    <t xml:space="preserve">F:\Données chgh\2020-CHG-CZA-Cromolyn-1\plaque 1/@10 Cromolyn 10/ </t>
  </si>
  <si>
    <t xml:space="preserve"> 67.0337 </t>
  </si>
  <si>
    <t xml:space="preserve"> 3.6654 </t>
  </si>
  <si>
    <t xml:space="preserve"> 255868.208 </t>
  </si>
  <si>
    <t xml:space="preserve"> 194660.409 </t>
  </si>
  <si>
    <t xml:space="preserve">F:\Données chgh\2020-CHG-CZA-Cromolyn-1\plaque 1/@11 Cromolyn 100/A11_01.tif </t>
  </si>
  <si>
    <t xml:space="preserve"> 2595.5874 </t>
  </si>
  <si>
    <t xml:space="preserve"> 66.05 </t>
  </si>
  <si>
    <t xml:space="preserve">F:\Données chgh\2020-CHG-CZA-Cromolyn-1\plaque 1/@11 Cromolyn 100/A11_02.tif </t>
  </si>
  <si>
    <t xml:space="preserve"> 64.4074 </t>
  </si>
  <si>
    <t xml:space="preserve">F:\Données chgh\2020-CHG-CZA-Cromolyn-1\plaque 1/@11 Cromolyn 100/A11_03.tif </t>
  </si>
  <si>
    <t xml:space="preserve"> 64.2308 </t>
  </si>
  <si>
    <t xml:space="preserve">F:\Données chgh\2020-CHG-CZA-Cromolyn-1\plaque 1/@11 Cromolyn 100/B11_01.tif </t>
  </si>
  <si>
    <t xml:space="preserve"> 11420.5844 </t>
  </si>
  <si>
    <t xml:space="preserve"> 80.4299 </t>
  </si>
  <si>
    <t>F:\Données chgh\2020-CHG-CZA-Cromolyn-1\plaque 1/@11 Cromolyn 100/B11_02- exclu.tif</t>
  </si>
  <si>
    <t xml:space="preserve">F:\Données chgh\2020-CHG-CZA-Cromolyn-1\plaque 1/@11 Cromolyn 100/B11_03.tif </t>
  </si>
  <si>
    <t xml:space="preserve"> 11723.4029 </t>
  </si>
  <si>
    <t xml:space="preserve"> 74.7583 </t>
  </si>
  <si>
    <t xml:space="preserve">F:\Données chgh\2020-CHG-CZA-Cromolyn-1\plaque 1/@11 Cromolyn 100/C11_01.tif </t>
  </si>
  <si>
    <t xml:space="preserve"> 65.8788 </t>
  </si>
  <si>
    <t xml:space="preserve">F:\Données chgh\2020-CHG-CZA-Cromolyn-1\plaque 1/@11 Cromolyn 100/C11_02.tif </t>
  </si>
  <si>
    <t xml:space="preserve"> 648.8968 </t>
  </si>
  <si>
    <t xml:space="preserve"> 69.9333 </t>
  </si>
  <si>
    <t xml:space="preserve">F:\Données chgh\2020-CHG-CZA-Cromolyn-1\plaque 1/@11 Cromolyn 100/C11_03.tif </t>
  </si>
  <si>
    <t xml:space="preserve"> 67.4186 </t>
  </si>
  <si>
    <t xml:space="preserve">F:\Données chgh\2020-CHG-CZA-Cromolyn-1\plaque 1/@11 Cromolyn 100/D11_01.tif </t>
  </si>
  <si>
    <t xml:space="preserve"> 7938.1713 </t>
  </si>
  <si>
    <t xml:space="preserve"> 70.5095 </t>
  </si>
  <si>
    <t xml:space="preserve">F:\Données chgh\2020-CHG-CZA-Cromolyn-1\plaque 1/@11 Cromolyn 100/D11_02.tif </t>
  </si>
  <si>
    <t xml:space="preserve"> 7375.7941 </t>
  </si>
  <si>
    <t xml:space="preserve"> 73.173 </t>
  </si>
  <si>
    <t xml:space="preserve">F:\Données chgh\2020-CHG-CZA-Cromolyn-1\plaque 1/@11 Cromolyn 100/D11_03.tif </t>
  </si>
  <si>
    <t xml:space="preserve"> 6510.5983 </t>
  </si>
  <si>
    <t xml:space="preserve"> 69.1993 </t>
  </si>
  <si>
    <t xml:space="preserve">F:\Données chgh\2020-CHG-CZA-Cromolyn-1\plaque 1/@11 Cromolyn 100/E11_01.tif </t>
  </si>
  <si>
    <t xml:space="preserve"> 3763.6017 </t>
  </si>
  <si>
    <t xml:space="preserve"> 64.546 </t>
  </si>
  <si>
    <t xml:space="preserve">F:\Données chgh\2020-CHG-CZA-Cromolyn-1\plaque 1/@11 Cromolyn 100/E11_02.tif </t>
  </si>
  <si>
    <t xml:space="preserve"> 7678.6126 </t>
  </si>
  <si>
    <t xml:space="preserve"> 66.3127 </t>
  </si>
  <si>
    <t xml:space="preserve">F:\Données chgh\2020-CHG-CZA-Cromolyn-1\plaque 1/@11 Cromolyn 100/E11_03.tif </t>
  </si>
  <si>
    <t xml:space="preserve"> 65.0333 </t>
  </si>
  <si>
    <t xml:space="preserve">F:\Données chgh\2020-CHG-CZA-Cromolyn-1\plaque 1/@11 Cromolyn 100/F11_01.tif </t>
  </si>
  <si>
    <t xml:space="preserve"> 14794.8479 </t>
  </si>
  <si>
    <t xml:space="preserve"> 92.5292 </t>
  </si>
  <si>
    <t xml:space="preserve">F:\Données chgh\2020-CHG-CZA-Cromolyn-1\plaque 1/@11 Cromolyn 100/F11_02.tif </t>
  </si>
  <si>
    <t xml:space="preserve"> 10555.3886 </t>
  </si>
  <si>
    <t xml:space="preserve"> 75.3566 </t>
  </si>
  <si>
    <t xml:space="preserve">F:\Données chgh\2020-CHG-CZA-Cromolyn-1\plaque 1/@11 Cromolyn 100/F11_03.tif </t>
  </si>
  <si>
    <t xml:space="preserve"> 4261.0892 </t>
  </si>
  <si>
    <t xml:space="preserve"> 66.1371 </t>
  </si>
  <si>
    <t xml:space="preserve">F:\Données chgh\2020-CHG-CZA-Cromolyn-1\plaque 1/@11 Cromolyn 100/G11_01.tif </t>
  </si>
  <si>
    <t xml:space="preserve"> 7072.9755 </t>
  </si>
  <si>
    <t xml:space="preserve"> 67.7125 </t>
  </si>
  <si>
    <t xml:space="preserve">F:\Données chgh\2020-CHG-CZA-Cromolyn-1\plaque 1/@11 Cromolyn 100/G11_02.tif </t>
  </si>
  <si>
    <t xml:space="preserve"> 5969.8509 </t>
  </si>
  <si>
    <t xml:space="preserve"> 66.5761 </t>
  </si>
  <si>
    <t xml:space="preserve">F:\Données chgh\2020-CHG-CZA-Cromolyn-1\plaque 1/@11 Cromolyn 100/G11_03.tif </t>
  </si>
  <si>
    <t xml:space="preserve"> 7008.0859 </t>
  </si>
  <si>
    <t xml:space="preserve"> 69.5895 </t>
  </si>
  <si>
    <t xml:space="preserve">F:\Données chgh\2020-CHG-CZA-Cromolyn-1\plaque 1/@11 Cromolyn 100/H11_01.tif </t>
  </si>
  <si>
    <t xml:space="preserve"> 66.1531 </t>
  </si>
  <si>
    <t xml:space="preserve">F:\Données chgh\2020-CHG-CZA-Cromolyn-1\plaque 1/@11 Cromolyn 100/H11_02.tif </t>
  </si>
  <si>
    <t xml:space="preserve"> 6640.3777 </t>
  </si>
  <si>
    <t xml:space="preserve"> 65.2801 </t>
  </si>
  <si>
    <t xml:space="preserve">F:\Données chgh\2020-CHG-CZA-Cromolyn-1\plaque 1/@11 Cromolyn 100/H11_03.tif </t>
  </si>
  <si>
    <t xml:space="preserve"> 6835.0467 </t>
  </si>
  <si>
    <t xml:space="preserve"> 64.9462 </t>
  </si>
  <si>
    <t xml:space="preserve">F:\Données chgh\2020-CHG-CZA-Cromolyn-1\plaque 1/@11 Cromolyn 100/ </t>
  </si>
  <si>
    <t xml:space="preserve"> 69.2311 </t>
  </si>
  <si>
    <t xml:space="preserve"> 6.4344 </t>
  </si>
  <si>
    <t xml:space="preserve"> 427095.792 </t>
  </si>
  <si>
    <t xml:space="preserve"> 324888.291 </t>
  </si>
  <si>
    <t xml:space="preserve">F:\Données chgh\2020-CHG-CZA-Cromolyn-1\plaque 1/@12 Cromolyn 1000/A12_01.tif </t>
  </si>
  <si>
    <t xml:space="preserve"> 3504.0429 </t>
  </si>
  <si>
    <t xml:space="preserve"> 65.1358 </t>
  </si>
  <si>
    <t xml:space="preserve">F:\Données chgh\2020-CHG-CZA-Cromolyn-1\plaque 1/@12 Cromolyn 1000/A12_02.tif </t>
  </si>
  <si>
    <t xml:space="preserve"> 63.4531 </t>
  </si>
  <si>
    <t xml:space="preserve">F:\Données chgh\2020-CHG-CZA-Cromolyn-1\plaque 1/@12 Cromolyn 1000/A12_03.tif </t>
  </si>
  <si>
    <t xml:space="preserve"> 1103.1246 </t>
  </si>
  <si>
    <t xml:space="preserve"> 63.5686 </t>
  </si>
  <si>
    <t xml:space="preserve">F:\Données chgh\2020-CHG-CZA-Cromolyn-1\plaque 1/@12 Cromolyn 1000/B12_01.tif </t>
  </si>
  <si>
    <t xml:space="preserve"> 3006.5554 </t>
  </si>
  <si>
    <t xml:space="preserve"> 66.2446 </t>
  </si>
  <si>
    <t xml:space="preserve">F:\Données chgh\2020-CHG-CZA-Cromolyn-1\plaque 1/@12 Cromolyn 1000/B12_02.tif </t>
  </si>
  <si>
    <t xml:space="preserve"> 1708.7617 </t>
  </si>
  <si>
    <t xml:space="preserve"> 68.3924 </t>
  </si>
  <si>
    <t xml:space="preserve">F:\Données chgh\2020-CHG-CZA-Cromolyn-1\plaque 1/@12 Cromolyn 1000/B12_03.tif </t>
  </si>
  <si>
    <t xml:space="preserve"> 562.3773 </t>
  </si>
  <si>
    <t xml:space="preserve"> 61.7308 </t>
  </si>
  <si>
    <t xml:space="preserve">F:\Données chgh\2020-CHG-CZA-Cromolyn-1\plaque 1/@12 Cromolyn 1000/C12_01.tif </t>
  </si>
  <si>
    <t xml:space="preserve"> 9625.3031 </t>
  </si>
  <si>
    <t xml:space="preserve"> 70.4202 </t>
  </si>
  <si>
    <t xml:space="preserve">F:\Données chgh\2020-CHG-CZA-Cromolyn-1\plaque 1/@12 Cromolyn 1000/C12_02.tif </t>
  </si>
  <si>
    <t xml:space="preserve"> 7786.7621 </t>
  </si>
  <si>
    <t xml:space="preserve"> 69.6278 </t>
  </si>
  <si>
    <t xml:space="preserve">F:\Données chgh\2020-CHG-CZA-Cromolyn-1\plaque 1/@12 Cromolyn 1000/C12_03.tif </t>
  </si>
  <si>
    <t xml:space="preserve"> 71.148 </t>
  </si>
  <si>
    <t xml:space="preserve">F:\Données chgh\2020-CHG-CZA-Cromolyn-1\plaque 1/@12 Cromolyn 1000/D12_01.tif </t>
  </si>
  <si>
    <t xml:space="preserve"> 79.875 </t>
  </si>
  <si>
    <t xml:space="preserve">F:\Données chgh\2020-CHG-CZA-Cromolyn-1\plaque 1/@12 Cromolyn 1000/D12_02.tif </t>
  </si>
  <si>
    <t xml:space="preserve"> 1557.3524 </t>
  </si>
  <si>
    <t xml:space="preserve"> 67.1389 </t>
  </si>
  <si>
    <t xml:space="preserve">F:\Données chgh\2020-CHG-CZA-Cromolyn-1\plaque 1/@12 Cromolyn 1000/D12_03.tif </t>
  </si>
  <si>
    <t xml:space="preserve"> 9906.4917 </t>
  </si>
  <si>
    <t xml:space="preserve"> 75.2118 </t>
  </si>
  <si>
    <t xml:space="preserve">F:\Données chgh\2020-CHG-CZA-Cromolyn-1\plaque 1/@12 Cromolyn 1000/E12_01.tif </t>
  </si>
  <si>
    <t xml:space="preserve"> 3915.0109 </t>
  </si>
  <si>
    <t xml:space="preserve"> 67.4917 </t>
  </si>
  <si>
    <t xml:space="preserve">F:\Données chgh\2020-CHG-CZA-Cromolyn-1\plaque 1/@12 Cromolyn 1000/E12_02.tif </t>
  </si>
  <si>
    <t xml:space="preserve"> 67.6959 </t>
  </si>
  <si>
    <t xml:space="preserve">F:\Données chgh\2020-CHG-CZA-Cromolyn-1\plaque 1/@12 Cromolyn 1000/E12_03.tif </t>
  </si>
  <si>
    <t xml:space="preserve"> 4434.1284 </t>
  </si>
  <si>
    <t xml:space="preserve"> 68.0439 </t>
  </si>
  <si>
    <t xml:space="preserve">F:\Données chgh\2020-CHG-CZA-Cromolyn-1\plaque 1/@12 Cromolyn 1000/F12_01.tif </t>
  </si>
  <si>
    <t xml:space="preserve"> 1989.9503 </t>
  </si>
  <si>
    <t xml:space="preserve"> 64.8043 </t>
  </si>
  <si>
    <t xml:space="preserve">F:\Données chgh\2020-CHG-CZA-Cromolyn-1\plaque 1/@12 Cromolyn 1000/F12_02.tif </t>
  </si>
  <si>
    <t xml:space="preserve"> 64.7536 </t>
  </si>
  <si>
    <t>F:\Données chgh\2020-CHG-CZA-Cromolyn-1\plaque 1/@12 Cromolyn 1000/F12_03- exclu.tif</t>
  </si>
  <si>
    <t xml:space="preserve">F:\Données chgh\2020-CHG-CZA-Cromolyn-1\plaque 1/@12 Cromolyn 1000/G12_01.tif </t>
  </si>
  <si>
    <t xml:space="preserve"> 3439.1532 </t>
  </si>
  <si>
    <t xml:space="preserve"> 65.5409 </t>
  </si>
  <si>
    <t xml:space="preserve">F:\Données chgh\2020-CHG-CZA-Cromolyn-1\plaque 1/@12 Cromolyn 1000/G12_02.tif </t>
  </si>
  <si>
    <t xml:space="preserve"> 12156.0008 </t>
  </si>
  <si>
    <t xml:space="preserve"> 72.4947 </t>
  </si>
  <si>
    <t xml:space="preserve">F:\Données chgh\2020-CHG-CZA-Cromolyn-1\plaque 1/@12 Cromolyn 1000/G12_03.tif </t>
  </si>
  <si>
    <t xml:space="preserve"> 9365.7444 </t>
  </si>
  <si>
    <t xml:space="preserve"> 73.4619 </t>
  </si>
  <si>
    <t xml:space="preserve">F:\Données chgh\2020-CHG-CZA-Cromolyn-1\plaque 1/@12 Cromolyn 1000/H12_01.tif </t>
  </si>
  <si>
    <t xml:space="preserve"> 8998.0362 </t>
  </si>
  <si>
    <t xml:space="preserve"> 79.4543 </t>
  </si>
  <si>
    <t xml:space="preserve">F:\Données chgh\2020-CHG-CZA-Cromolyn-1\plaque 1/@12 Cromolyn 1000/H12_02.tif </t>
  </si>
  <si>
    <t xml:space="preserve"> 7743.5023 </t>
  </si>
  <si>
    <t xml:space="preserve"> 72.6285 </t>
  </si>
  <si>
    <t xml:space="preserve">F:\Données chgh\2020-CHG-CZA-Cromolyn-1\plaque 1/@12 Cromolyn 1000/H12_03.tif </t>
  </si>
  <si>
    <t xml:space="preserve"> 69.4517 </t>
  </si>
  <si>
    <t xml:space="preserve">F:\Données chgh\2020-CHG-CZA-Cromolyn-1\plaque 1/@12 Cromolyn 1000/ </t>
  </si>
  <si>
    <t xml:space="preserve"> 69.5176 </t>
  </si>
  <si>
    <t xml:space="preserve"> 5.275 </t>
  </si>
  <si>
    <t xml:space="preserve"> 418361.833 </t>
  </si>
  <si>
    <t xml:space="preserve"> 308909.335 </t>
  </si>
  <si>
    <t xml:space="preserve">F:\Données chgh\2020-CHG-CZA-Cromolyn-1\plaque 2/@13 Testo 30/A1_01.tif </t>
  </si>
  <si>
    <t xml:space="preserve"> 44406.1737 </t>
  </si>
  <si>
    <t xml:space="preserve"> 70.2177 </t>
  </si>
  <si>
    <t xml:space="preserve">F:\Données chgh\2020-CHG-CZA-Cromolyn-1\plaque 2/@13 Testo 30/A1_02.tif </t>
  </si>
  <si>
    <t xml:space="preserve"> 46417.7539 </t>
  </si>
  <si>
    <t xml:space="preserve"> 70.7749 </t>
  </si>
  <si>
    <t xml:space="preserve">F:\Données chgh\2020-CHG-CZA-Cromolyn-1\plaque 2/@13 Testo 30/A1_03.tif </t>
  </si>
  <si>
    <t xml:space="preserve"> 43432.8284 </t>
  </si>
  <si>
    <t xml:space="preserve"> 69.8456 </t>
  </si>
  <si>
    <t>F:\Données chgh\2020-CHG-CZA-Cromolyn-1\plaque 2/@13 Testo 30/B1_01- exclu.tif</t>
  </si>
  <si>
    <t xml:space="preserve">F:\Données chgh\2020-CHG-CZA-Cromolyn-1\plaque 2/@13 Testo 30/B1_02.tif </t>
  </si>
  <si>
    <t xml:space="preserve"> 56540.5446 </t>
  </si>
  <si>
    <t xml:space="preserve"> 76.1155 </t>
  </si>
  <si>
    <t xml:space="preserve">F:\Données chgh\2020-CHG-CZA-Cromolyn-1\plaque 2/@13 Testo 30/B1_03.tif </t>
  </si>
  <si>
    <t xml:space="preserve"> 57427.3702 </t>
  </si>
  <si>
    <t xml:space="preserve"> 74.4309 </t>
  </si>
  <si>
    <t xml:space="preserve">F:\Données chgh\2020-CHG-CZA-Cromolyn-1\plaque 2/@13 Testo 30/C1_01.tif </t>
  </si>
  <si>
    <t xml:space="preserve"> 56735.2136 </t>
  </si>
  <si>
    <t xml:space="preserve"> 79.5654 </t>
  </si>
  <si>
    <t xml:space="preserve">F:\Données chgh\2020-CHG-CZA-Cromolyn-1\plaque 2/@13 Testo 30/C1_02.tif </t>
  </si>
  <si>
    <t xml:space="preserve"> 53598.8789 </t>
  </si>
  <si>
    <t xml:space="preserve"> 79.2191 </t>
  </si>
  <si>
    <t xml:space="preserve">F:\Données chgh\2020-CHG-CZA-Cromolyn-1\plaque 2/@13 Testo 30/C1_03.tif </t>
  </si>
  <si>
    <t xml:space="preserve"> 52171.3058 </t>
  </si>
  <si>
    <t xml:space="preserve"> 81.3337 </t>
  </si>
  <si>
    <t>F:\Données chgh\2020-CHG-CZA-Cromolyn-1\plaque 2/@13 Testo 30/D1_01- exclu.tif</t>
  </si>
  <si>
    <t xml:space="preserve">F:\Données chgh\2020-CHG-CZA-Cromolyn-1\plaque 2/@13 Testo 30/D1_02.tif </t>
  </si>
  <si>
    <t xml:space="preserve"> 42199.9244 </t>
  </si>
  <si>
    <t xml:space="preserve"> 71.6827 </t>
  </si>
  <si>
    <t xml:space="preserve">F:\Données chgh\2020-CHG-CZA-Cromolyn-1\plaque 2/@13 Testo 30/D1_03.tif </t>
  </si>
  <si>
    <t xml:space="preserve"> 39625.967 </t>
  </si>
  <si>
    <t xml:space="preserve"> 71.9574 </t>
  </si>
  <si>
    <t xml:space="preserve">F:\Données chgh\2020-CHG-CZA-Cromolyn-1\plaque 2/@13 Testo 30/E1_01.tif </t>
  </si>
  <si>
    <t xml:space="preserve"> 64.0714 </t>
  </si>
  <si>
    <t xml:space="preserve">F:\Données chgh\2020-CHG-CZA-Cromolyn-1\plaque 2/@13 Testo 30/E1_02.tif </t>
  </si>
  <si>
    <t xml:space="preserve"> 7959.8012 </t>
  </si>
  <si>
    <t xml:space="preserve"> 65.337 </t>
  </si>
  <si>
    <t xml:space="preserve">F:\Données chgh\2020-CHG-CZA-Cromolyn-1\plaque 2/@13 Testo 30/E1_03.tif </t>
  </si>
  <si>
    <t xml:space="preserve"> 3395.8935 </t>
  </si>
  <si>
    <t xml:space="preserve"> 64.414 </t>
  </si>
  <si>
    <t xml:space="preserve">F:\Données chgh\2020-CHG-CZA-Cromolyn-1\plaque 2/@13 Testo 30/F1_01.tif </t>
  </si>
  <si>
    <t xml:space="preserve"> 38176.764 </t>
  </si>
  <si>
    <t xml:space="preserve"> 78.2839 </t>
  </si>
  <si>
    <t xml:space="preserve">F:\Données chgh\2020-CHG-CZA-Cromolyn-1\plaque 2/@13 Testo 30/F1_02.tif </t>
  </si>
  <si>
    <t xml:space="preserve"> 32206.9131 </t>
  </si>
  <si>
    <t xml:space="preserve"> 70.5588 </t>
  </si>
  <si>
    <t xml:space="preserve">F:\Données chgh\2020-CHG-CZA-Cromolyn-1\plaque 2/@13 Testo 30/F1_03.tif </t>
  </si>
  <si>
    <t xml:space="preserve"> 34715.9809 </t>
  </si>
  <si>
    <t xml:space="preserve"> 72.8374 </t>
  </si>
  <si>
    <t xml:space="preserve">F:\Données chgh\2020-CHG-CZA-Cromolyn-1\plaque 2/@13 Testo 30/G1_01.tif </t>
  </si>
  <si>
    <t xml:space="preserve"> 50873.5122 </t>
  </si>
  <si>
    <t xml:space="preserve"> 75.2283 </t>
  </si>
  <si>
    <t xml:space="preserve">F:\Données chgh\2020-CHG-CZA-Cromolyn-1\plaque 2/@13 Testo 30/G1_02.tif </t>
  </si>
  <si>
    <t xml:space="preserve"> 56043.057 </t>
  </si>
  <si>
    <t xml:space="preserve"> 75.5824 </t>
  </si>
  <si>
    <t xml:space="preserve">F:\Données chgh\2020-CHG-CZA-Cromolyn-1\plaque 2/@13 Testo 30/G1_03.tif </t>
  </si>
  <si>
    <t xml:space="preserve"> 53685.3985 </t>
  </si>
  <si>
    <t xml:space="preserve"> 75.2446 </t>
  </si>
  <si>
    <t xml:space="preserve">F:\Données chgh\2020-CHG-CZA-Cromolyn-1\plaque 2/@13 Testo 30/H1_01.tif </t>
  </si>
  <si>
    <t xml:space="preserve"> 54658.7437 </t>
  </si>
  <si>
    <t xml:space="preserve"> 74.6624 </t>
  </si>
  <si>
    <t xml:space="preserve">F:\Données chgh\2020-CHG-CZA-Cromolyn-1\plaque 2/@13 Testo 30/H1_02.tif </t>
  </si>
  <si>
    <t xml:space="preserve"> 51868.4873 </t>
  </si>
  <si>
    <t xml:space="preserve"> 72.8816 </t>
  </si>
  <si>
    <t xml:space="preserve">F:\Données chgh\2020-CHG-CZA-Cromolyn-1\plaque 2/@13 Testo 30/H1_03.tif </t>
  </si>
  <si>
    <t xml:space="preserve"> 51479.1492 </t>
  </si>
  <si>
    <t xml:space="preserve"> 75.4315 </t>
  </si>
  <si>
    <t xml:space="preserve">F:\Données chgh\2020-CHG-CZA-Cromolyn-1\plaque 2/@13 Testo 30/ </t>
  </si>
  <si>
    <t xml:space="preserve"> 72.7884 </t>
  </si>
  <si>
    <t xml:space="preserve"> 4.8244 </t>
  </si>
  <si>
    <t xml:space="preserve"> 3089197.75 </t>
  </si>
  <si>
    <t xml:space="preserve"> 1368033.34 </t>
  </si>
  <si>
    <t xml:space="preserve">F:\Données chgh\2020-CHG-CZA-Cromolyn-1\plaque 2/@14 Testo 30/A2_01.tif </t>
  </si>
  <si>
    <t xml:space="preserve"> 56389.1353 </t>
  </si>
  <si>
    <t xml:space="preserve"> 81.85 </t>
  </si>
  <si>
    <t xml:space="preserve">F:\Données chgh\2020-CHG-CZA-Cromolyn-1\plaque 2/@14 Testo 30/A2_02.tif </t>
  </si>
  <si>
    <t xml:space="preserve"> 61255.8616 </t>
  </si>
  <si>
    <t xml:space="preserve"> 78.8686 </t>
  </si>
  <si>
    <t>F:\Données chgh\2020-CHG-CZA-Cromolyn-1\plaque 2/@14 Testo 30/A2_03- exclu.tif</t>
  </si>
  <si>
    <t xml:space="preserve">F:\Données chgh\2020-CHG-CZA-Cromolyn-1\plaque 2/@14 Testo 30/B2_01.tif </t>
  </si>
  <si>
    <t xml:space="preserve"> 45163.22 </t>
  </si>
  <si>
    <t xml:space="preserve"> 79.3745 </t>
  </si>
  <si>
    <t xml:space="preserve">F:\Données chgh\2020-CHG-CZA-Cromolyn-1\plaque 2/@14 Testo 30/B2_02.tif </t>
  </si>
  <si>
    <t xml:space="preserve"> 42459.4832 </t>
  </si>
  <si>
    <t xml:space="preserve"> 84.5935 </t>
  </si>
  <si>
    <t xml:space="preserve">F:\Données chgh\2020-CHG-CZA-Cromolyn-1\plaque 2/@14 Testo 30/B2_03.tif </t>
  </si>
  <si>
    <t xml:space="preserve"> 37765.796 </t>
  </si>
  <si>
    <t xml:space="preserve"> 82.732 </t>
  </si>
  <si>
    <t>F:\Données chgh\2020-CHG-CZA-Cromolyn-1\plaque 2/@14 Testo 30/C2_01- exclu.tif</t>
  </si>
  <si>
    <t>F:\Données chgh\2020-CHG-CZA-Cromolyn-1\plaque 2/@14 Testo 30/C2_02- exclu.tif</t>
  </si>
  <si>
    <t>F:\Données chgh\2020-CHG-CZA-Cromolyn-1\plaque 2/@14 Testo 30/C2_03- exclu.tif</t>
  </si>
  <si>
    <t xml:space="preserve">F:\Données chgh\2020-CHG-CZA-Cromolyn-1\plaque 2/@14 Testo 30/D2_01.tif </t>
  </si>
  <si>
    <t xml:space="preserve"> 58292.566 </t>
  </si>
  <si>
    <t xml:space="preserve"> 77.4085 </t>
  </si>
  <si>
    <t xml:space="preserve">F:\Données chgh\2020-CHG-CZA-Cromolyn-1\plaque 2/@14 Testo 30/D2_02.tif </t>
  </si>
  <si>
    <t xml:space="preserve"> 54745.2633 </t>
  </si>
  <si>
    <t xml:space="preserve"> 77.4911 </t>
  </si>
  <si>
    <t xml:space="preserve">F:\Données chgh\2020-CHG-CZA-Cromolyn-1\plaque 2/@14 Testo 30/D2_03.tif </t>
  </si>
  <si>
    <t xml:space="preserve"> 56713.5837 </t>
  </si>
  <si>
    <t xml:space="preserve"> 77.4691 </t>
  </si>
  <si>
    <t xml:space="preserve">F:\Données chgh\2020-CHG-CZA-Cromolyn-1\plaque 2/@14 Testo 30/E2_01.tif </t>
  </si>
  <si>
    <t xml:space="preserve"> 41464.508 </t>
  </si>
  <si>
    <t xml:space="preserve"> 73.9922 </t>
  </si>
  <si>
    <t xml:space="preserve">F:\Données chgh\2020-CHG-CZA-Cromolyn-1\plaque 2/@14 Testo 30/E2_02.tif </t>
  </si>
  <si>
    <t xml:space="preserve"> 30087.1834 </t>
  </si>
  <si>
    <t xml:space="preserve"> 70.6405 </t>
  </si>
  <si>
    <t xml:space="preserve">F:\Données chgh\2020-CHG-CZA-Cromolyn-1\plaque 2/@14 Testo 30/E2_03.tif </t>
  </si>
  <si>
    <t xml:space="preserve"> 35689.3261 </t>
  </si>
  <si>
    <t xml:space="preserve"> 70.8436 </t>
  </si>
  <si>
    <t xml:space="preserve">F:\Données chgh\2020-CHG-CZA-Cromolyn-1\plaque 2/@14 Testo 30/F2_01.tif </t>
  </si>
  <si>
    <t xml:space="preserve"> 53144.6511 </t>
  </si>
  <si>
    <t xml:space="preserve"> 74.1392 </t>
  </si>
  <si>
    <t xml:space="preserve">F:\Données chgh\2020-CHG-CZA-Cromolyn-1\plaque 2/@14 Testo 30/F2_02.tif </t>
  </si>
  <si>
    <t xml:space="preserve"> 73.5107 </t>
  </si>
  <si>
    <t xml:space="preserve">F:\Données chgh\2020-CHG-CZA-Cromolyn-1\plaque 2/@14 Testo 30/F2_03.tif </t>
  </si>
  <si>
    <t xml:space="preserve"> 48559.1134 </t>
  </si>
  <si>
    <t xml:space="preserve"> 73.1225 </t>
  </si>
  <si>
    <t xml:space="preserve">F:\Données chgh\2020-CHG-CZA-Cromolyn-1\plaque 2/@14 Testo 30/G2_01.tif </t>
  </si>
  <si>
    <t xml:space="preserve"> 56432.3951 </t>
  </si>
  <si>
    <t xml:space="preserve"> 76.8475 </t>
  </si>
  <si>
    <t xml:space="preserve">F:\Données chgh\2020-CHG-CZA-Cromolyn-1\plaque 2/@14 Testo 30/G2_02.tif </t>
  </si>
  <si>
    <t xml:space="preserve"> 75.9182 </t>
  </si>
  <si>
    <t xml:space="preserve">F:\Données chgh\2020-CHG-CZA-Cromolyn-1\plaque 2/@14 Testo 30/G2_03.tif </t>
  </si>
  <si>
    <t xml:space="preserve"> 55112.9715 </t>
  </si>
  <si>
    <t xml:space="preserve"> 76.2724 </t>
  </si>
  <si>
    <t xml:space="preserve">F:\Données chgh\2020-CHG-CZA-Cromolyn-1\plaque 2/@14 Testo 30/H2_01.tif </t>
  </si>
  <si>
    <t xml:space="preserve"> 61710.0894 </t>
  </si>
  <si>
    <t xml:space="preserve"> 80.3148 </t>
  </si>
  <si>
    <t xml:space="preserve">F:\Données chgh\2020-CHG-CZA-Cromolyn-1\plaque 2/@14 Testo 30/H2_02.tif </t>
  </si>
  <si>
    <t xml:space="preserve"> 65214.1323 </t>
  </si>
  <si>
    <t xml:space="preserve"> 78.1516 </t>
  </si>
  <si>
    <t xml:space="preserve">F:\Données chgh\2020-CHG-CZA-Cromolyn-1\plaque 2/@14 Testo 30/H2_03.tif </t>
  </si>
  <si>
    <t xml:space="preserve"> 80.2556 </t>
  </si>
  <si>
    <t xml:space="preserve">F:\Données chgh\2020-CHG-CZA-Cromolyn-1\plaque 2/@14 Testo 30/ </t>
  </si>
  <si>
    <t xml:space="preserve"> 77.3281 </t>
  </si>
  <si>
    <t xml:space="preserve"> 6.5057 </t>
  </si>
  <si>
    <t xml:space="preserve"> 3574436.58 </t>
  </si>
  <si>
    <t xml:space="preserve"> 1407946.24 </t>
  </si>
  <si>
    <t xml:space="preserve">F:\Données chgh\2020-CHG-CZA-Cromolyn-1\plaque 2/@15 Testo + EE2/A3_01.tif </t>
  </si>
  <si>
    <t xml:space="preserve"> 52301.0852 </t>
  </si>
  <si>
    <t xml:space="preserve"> 91.6497 </t>
  </si>
  <si>
    <t xml:space="preserve">F:\Données chgh\2020-CHG-CZA-Cromolyn-1\plaque 2/@15 Testo + EE2/A3_02.tif </t>
  </si>
  <si>
    <t xml:space="preserve"> 49727.1278 </t>
  </si>
  <si>
    <t xml:space="preserve"> 96.4793 </t>
  </si>
  <si>
    <t xml:space="preserve">F:\Données chgh\2020-CHG-CZA-Cromolyn-1\plaque 2/@15 Testo + EE2/A3_03.tif </t>
  </si>
  <si>
    <t xml:space="preserve"> 53944.9572 </t>
  </si>
  <si>
    <t xml:space="preserve"> 91.9547 </t>
  </si>
  <si>
    <t xml:space="preserve">F:\Données chgh\2020-CHG-CZA-Cromolyn-1\plaque 2/@15 Testo + EE2/B3_01.tif </t>
  </si>
  <si>
    <t xml:space="preserve"> 70621.606 </t>
  </si>
  <si>
    <t xml:space="preserve"> 83.0778 </t>
  </si>
  <si>
    <t xml:space="preserve">F:\Données chgh\2020-CHG-CZA-Cromolyn-1\plaque 2/@15 Testo + EE2/B3_02.tif </t>
  </si>
  <si>
    <t xml:space="preserve"> 60888.1534 </t>
  </si>
  <si>
    <t xml:space="preserve"> 80.7012 </t>
  </si>
  <si>
    <t>F:\Données chgh\2020-CHG-CZA-Cromolyn-1\plaque 2/@15 Testo + EE2/B3_03- exclu.tif</t>
  </si>
  <si>
    <t xml:space="preserve">F:\Données chgh\2020-CHG-CZA-Cromolyn-1\plaque 2/@15 Testo + EE2/C3_01.tif </t>
  </si>
  <si>
    <t xml:space="preserve"> 55480.6797 </t>
  </si>
  <si>
    <t xml:space="preserve"> 83.5505 </t>
  </si>
  <si>
    <t xml:space="preserve">F:\Données chgh\2020-CHG-CZA-Cromolyn-1\plaque 2/@15 Testo + EE2/C3_02.tif </t>
  </si>
  <si>
    <t xml:space="preserve"> 60260.8864 </t>
  </si>
  <si>
    <t xml:space="preserve"> 82.1698 </t>
  </si>
  <si>
    <t xml:space="preserve">F:\Données chgh\2020-CHG-CZA-Cromolyn-1\plaque 2/@15 Testo + EE2/C3_03.tif </t>
  </si>
  <si>
    <t xml:space="preserve"> 65516.9508 </t>
  </si>
  <si>
    <t xml:space="preserve"> 83.2126 </t>
  </si>
  <si>
    <t xml:space="preserve">F:\Données chgh\2020-CHG-CZA-Cromolyn-1\plaque 2/@15 Testo + EE2/D3_01.tif </t>
  </si>
  <si>
    <t xml:space="preserve"> 66403.7765 </t>
  </si>
  <si>
    <t xml:space="preserve"> 83.5717 </t>
  </si>
  <si>
    <t xml:space="preserve">F:\Données chgh\2020-CHG-CZA-Cromolyn-1\plaque 2/@15 Testo + EE2/D3_02.tif </t>
  </si>
  <si>
    <t xml:space="preserve"> 65538.5807 </t>
  </si>
  <si>
    <t xml:space="preserve"> 82.1762 </t>
  </si>
  <si>
    <t xml:space="preserve">F:\Données chgh\2020-CHG-CZA-Cromolyn-1\plaque 2/@15 Testo + EE2/D3_03.tif </t>
  </si>
  <si>
    <t xml:space="preserve"> 67290.6022 </t>
  </si>
  <si>
    <t xml:space="preserve"> 86.5757 </t>
  </si>
  <si>
    <t xml:space="preserve">F:\Données chgh\2020-CHG-CZA-Cromolyn-1\plaque 2/@15 Testo + EE2/E3_01.tif </t>
  </si>
  <si>
    <t xml:space="preserve"> 43951.9459 </t>
  </si>
  <si>
    <t xml:space="preserve"> 79.7082 </t>
  </si>
  <si>
    <t xml:space="preserve">F:\Données chgh\2020-CHG-CZA-Cromolyn-1\plaque 2/@15 Testo + EE2/E3_02.tif </t>
  </si>
  <si>
    <t xml:space="preserve"> 42026.8853 </t>
  </si>
  <si>
    <t xml:space="preserve"> 81.175 </t>
  </si>
  <si>
    <t xml:space="preserve">F:\Données chgh\2020-CHG-CZA-Cromolyn-1\plaque 2/@15 Testo + EE2/E3_03.tif </t>
  </si>
  <si>
    <t xml:space="preserve"> 41594.2874 </t>
  </si>
  <si>
    <t xml:space="preserve"> 79.5746 </t>
  </si>
  <si>
    <t xml:space="preserve">F:\Données chgh\2020-CHG-CZA-Cromolyn-1\plaque 2/@15 Testo + EE2/F3_01.tif </t>
  </si>
  <si>
    <t xml:space="preserve"> 73109.0438 </t>
  </si>
  <si>
    <t xml:space="preserve"> 81.2299 </t>
  </si>
  <si>
    <t xml:space="preserve">F:\Données chgh\2020-CHG-CZA-Cromolyn-1\plaque 2/@15 Testo + EE2/F3_02.tif </t>
  </si>
  <si>
    <t xml:space="preserve"> 68328.8371 </t>
  </si>
  <si>
    <t xml:space="preserve"> 80.2985 </t>
  </si>
  <si>
    <t xml:space="preserve">F:\Données chgh\2020-CHG-CZA-Cromolyn-1\plaque 2/@15 Testo + EE2/F3_03.tif </t>
  </si>
  <si>
    <t xml:space="preserve"> 68610.0258 </t>
  </si>
  <si>
    <t xml:space="preserve"> 79.6293 </t>
  </si>
  <si>
    <t xml:space="preserve">F:\Données chgh\2020-CHG-CZA-Cromolyn-1\plaque 2/@15 Testo + EE2/G3_01.tif </t>
  </si>
  <si>
    <t xml:space="preserve"> 60412.2957 </t>
  </si>
  <si>
    <t xml:space="preserve"> 85.9216 </t>
  </si>
  <si>
    <t xml:space="preserve">F:\Données chgh\2020-CHG-CZA-Cromolyn-1\plaque 2/@15 Testo + EE2/G3_02.tif </t>
  </si>
  <si>
    <t xml:space="preserve"> 65343.9117 </t>
  </si>
  <si>
    <t xml:space="preserve"> 85.4889 </t>
  </si>
  <si>
    <t xml:space="preserve">F:\Données chgh\2020-CHG-CZA-Cromolyn-1\plaque 2/@15 Testo + EE2/G3_03.tif </t>
  </si>
  <si>
    <t xml:space="preserve"> 62380.6161 </t>
  </si>
  <si>
    <t xml:space="preserve"> 87.1449 </t>
  </si>
  <si>
    <t xml:space="preserve">F:\Données chgh\2020-CHG-CZA-Cromolyn-1\plaque 2/@15 Testo + EE2/H3_01.tif </t>
  </si>
  <si>
    <t xml:space="preserve"> 44341.284 </t>
  </si>
  <si>
    <t xml:space="preserve"> 77.9766 </t>
  </si>
  <si>
    <t xml:space="preserve">F:\Données chgh\2020-CHG-CZA-Cromolyn-1\plaque 2/@15 Testo + EE2/H3_02.tif </t>
  </si>
  <si>
    <t xml:space="preserve"> 46763.8322 </t>
  </si>
  <si>
    <t xml:space="preserve"> 76.8113 </t>
  </si>
  <si>
    <t xml:space="preserve">F:\Données chgh\2020-CHG-CZA-Cromolyn-1\plaque 2/@15 Testo + EE2/H3_03.tif </t>
  </si>
  <si>
    <t xml:space="preserve"> 47845.3269 </t>
  </si>
  <si>
    <t xml:space="preserve"> 78.0967 </t>
  </si>
  <si>
    <t xml:space="preserve">F:\Données chgh\2020-CHG-CZA-Cromolyn-1\plaque 2/@15 Testo + EE2/ </t>
  </si>
  <si>
    <t xml:space="preserve"> 83.0833 </t>
  </si>
  <si>
    <t xml:space="preserve"> 5.0014 </t>
  </si>
  <si>
    <t xml:space="preserve"> 4854762.25 </t>
  </si>
  <si>
    <t xml:space="preserve"> 868865.265 </t>
  </si>
  <si>
    <t xml:space="preserve">F:\Données chgh\2020-CHG-CZA-Cromolyn-1\plaque 2/@16 Testo + FAD/A4_01.tif </t>
  </si>
  <si>
    <t xml:space="preserve"> 2898.4059 </t>
  </si>
  <si>
    <t xml:space="preserve"> 65.9776 </t>
  </si>
  <si>
    <t xml:space="preserve">F:\Données chgh\2020-CHG-CZA-Cromolyn-1\plaque 2/@16 Testo + FAD/A4_02.tif </t>
  </si>
  <si>
    <t xml:space="preserve"> 64.3409 </t>
  </si>
  <si>
    <t xml:space="preserve">F:\Données chgh\2020-CHG-CZA-Cromolyn-1\plaque 2/@16 Testo + FAD/A4_03.tif </t>
  </si>
  <si>
    <t xml:space="preserve"> 3482.413 </t>
  </si>
  <si>
    <t xml:space="preserve"> 65.1863 </t>
  </si>
  <si>
    <t xml:space="preserve">F:\Données chgh\2020-CHG-CZA-Cromolyn-1\plaque 2/@16 Testo + FAD/B4_01.tif </t>
  </si>
  <si>
    <t xml:space="preserve"> 5191.1747 </t>
  </si>
  <si>
    <t xml:space="preserve"> 66.2125 </t>
  </si>
  <si>
    <t xml:space="preserve">F:\Données chgh\2020-CHG-CZA-Cromolyn-1\plaque 2/@16 Testo + FAD/B4_02.tif </t>
  </si>
  <si>
    <t xml:space="preserve"> 3720.3419 </t>
  </si>
  <si>
    <t xml:space="preserve"> 65.2267 </t>
  </si>
  <si>
    <t xml:space="preserve">F:\Données chgh\2020-CHG-CZA-Cromolyn-1\plaque 2/@16 Testo + FAD/B4_03.tif </t>
  </si>
  <si>
    <t xml:space="preserve"> 67.3177 </t>
  </si>
  <si>
    <t xml:space="preserve">F:\Données chgh\2020-CHG-CZA-Cromolyn-1\plaque 2/@16 Testo + FAD/C4_01.tif </t>
  </si>
  <si>
    <t xml:space="preserve"> 10663.5381 </t>
  </si>
  <si>
    <t xml:space="preserve"> 83.9959 </t>
  </si>
  <si>
    <t xml:space="preserve">F:\Données chgh\2020-CHG-CZA-Cromolyn-1\plaque 2/@16 Testo + FAD/C4_02.tif </t>
  </si>
  <si>
    <t xml:space="preserve"> 72.7803 </t>
  </si>
  <si>
    <t xml:space="preserve">F:\Données chgh\2020-CHG-CZA-Cromolyn-1\plaque 2/@16 Testo + FAD/C4_03.tif </t>
  </si>
  <si>
    <t xml:space="preserve"> 66.2453 </t>
  </si>
  <si>
    <t xml:space="preserve">F:\Données chgh\2020-CHG-CZA-Cromolyn-1\plaque 2/@16 Testo + FAD/D4_01.tif </t>
  </si>
  <si>
    <t xml:space="preserve"> 64.5447 </t>
  </si>
  <si>
    <t xml:space="preserve">F:\Données chgh\2020-CHG-CZA-Cromolyn-1\plaque 2/@16 Testo + FAD/D4_02.tif </t>
  </si>
  <si>
    <t xml:space="preserve"> 66.3644 </t>
  </si>
  <si>
    <t xml:space="preserve">F:\Données chgh\2020-CHG-CZA-Cromolyn-1\plaque 2/@16 Testo + FAD/D4_03.tif </t>
  </si>
  <si>
    <t xml:space="preserve"> 63.1493 </t>
  </si>
  <si>
    <t xml:space="preserve">F:\Données chgh\2020-CHG-CZA-Cromolyn-1\plaque 2/@16 Testo + FAD/E4_01.tif </t>
  </si>
  <si>
    <t xml:space="preserve"> 8457.2888 </t>
  </si>
  <si>
    <t xml:space="preserve"> 70.7494 </t>
  </si>
  <si>
    <t xml:space="preserve">F:\Données chgh\2020-CHG-CZA-Cromolyn-1\plaque 2/@16 Testo + FAD/E4_02.tif </t>
  </si>
  <si>
    <t xml:space="preserve"> 11918.0719 </t>
  </si>
  <si>
    <t xml:space="preserve"> 72.2123 </t>
  </si>
  <si>
    <t xml:space="preserve">F:\Données chgh\2020-CHG-CZA-Cromolyn-1\plaque 2/@16 Testo + FAD/E4_03.tif </t>
  </si>
  <si>
    <t xml:space="preserve"> 69.8011 </t>
  </si>
  <si>
    <t xml:space="preserve">F:\Données chgh\2020-CHG-CZA-Cromolyn-1\plaque 2/@16 Testo + FAD/F4_01.tif </t>
  </si>
  <si>
    <t xml:space="preserve"> 7419.0539 </t>
  </si>
  <si>
    <t xml:space="preserve"> 76.9796 </t>
  </si>
  <si>
    <t xml:space="preserve">F:\Données chgh\2020-CHG-CZA-Cromolyn-1\plaque 2/@16 Testo + FAD/F4_02.tif </t>
  </si>
  <si>
    <t xml:space="preserve"> 7808.392 </t>
  </si>
  <si>
    <t xml:space="preserve"> 75.9945 </t>
  </si>
  <si>
    <t xml:space="preserve">F:\Données chgh\2020-CHG-CZA-Cromolyn-1\plaque 2/@16 Testo + FAD/F4_03.tif </t>
  </si>
  <si>
    <t xml:space="preserve"> 5667.0324 </t>
  </si>
  <si>
    <t xml:space="preserve"> 77.0611 </t>
  </si>
  <si>
    <t xml:space="preserve">F:\Données chgh\2020-CHG-CZA-Cromolyn-1\plaque 2/@16 Testo + FAD/G4_01.tif </t>
  </si>
  <si>
    <t xml:space="preserve"> 497.4876 </t>
  </si>
  <si>
    <t xml:space="preserve"> 63.1304 </t>
  </si>
  <si>
    <t xml:space="preserve">F:\Données chgh\2020-CHG-CZA-Cromolyn-1\plaque 2/@16 Testo + FAD/G4_02.tif </t>
  </si>
  <si>
    <t xml:space="preserve"> 64.954 </t>
  </si>
  <si>
    <t xml:space="preserve">F:\Données chgh\2020-CHG-CZA-Cromolyn-1\plaque 2/@16 Testo + FAD/G4_03.tif </t>
  </si>
  <si>
    <t xml:space="preserve"> 670.5267 </t>
  </si>
  <si>
    <t xml:space="preserve"> 65.1613 </t>
  </si>
  <si>
    <t xml:space="preserve">F:\Données chgh\2020-CHG-CZA-Cromolyn-1\plaque 2/@16 Testo + FAD/H4_01.tif </t>
  </si>
  <si>
    <t xml:space="preserve"> 3741.9718 </t>
  </si>
  <si>
    <t xml:space="preserve"> 67.815 </t>
  </si>
  <si>
    <t xml:space="preserve">F:\Données chgh\2020-CHG-CZA-Cromolyn-1\plaque 2/@16 Testo + FAD/H4_02.tif </t>
  </si>
  <si>
    <t xml:space="preserve"> 67.6709 </t>
  </si>
  <si>
    <t xml:space="preserve">F:\Données chgh\2020-CHG-CZA-Cromolyn-1\plaque 2/@16 Testo + FAD/H4_03.tif </t>
  </si>
  <si>
    <t xml:space="preserve"> 7094.6054 </t>
  </si>
  <si>
    <t xml:space="preserve"> 68.3476 </t>
  </si>
  <si>
    <t xml:space="preserve">F:\Données chgh\2020-CHG-CZA-Cromolyn-1\plaque 2/@16 Testo + FAD/ </t>
  </si>
  <si>
    <t xml:space="preserve"> 68.8008 </t>
  </si>
  <si>
    <t xml:space="preserve"> 5.266 </t>
  </si>
  <si>
    <t xml:space="preserve"> 345850.458 </t>
  </si>
  <si>
    <t xml:space="preserve"> 240157.538 </t>
  </si>
  <si>
    <t xml:space="preserve">F:\Données chgh\2020-CHG-CZA-Cromolyn-1\plaque 2/@17 Testo + Cromolyn 0.1/A5_01.tif </t>
  </si>
  <si>
    <t xml:space="preserve"> 49921.7968 </t>
  </si>
  <si>
    <t xml:space="preserve"> 74.4389 </t>
  </si>
  <si>
    <t xml:space="preserve">F:\Données chgh\2020-CHG-CZA-Cromolyn-1\plaque 2/@17 Testo + Cromolyn 0.1/A5_02.tif </t>
  </si>
  <si>
    <t xml:space="preserve"> 23425.1759 </t>
  </si>
  <si>
    <t xml:space="preserve"> 65.9926 </t>
  </si>
  <si>
    <t xml:space="preserve">F:\Données chgh\2020-CHG-CZA-Cromolyn-1\plaque 2/@17 Testo + Cromolyn 0.1/A5_03.tif </t>
  </si>
  <si>
    <t xml:space="preserve"> 41356.3585 </t>
  </si>
  <si>
    <t xml:space="preserve"> 73.9712 </t>
  </si>
  <si>
    <t>F:\Données chgh\2020-CHG-CZA-Cromolyn-1\plaque 2/@17 Testo + Cromolyn 0.1/B5_01- exclu.tif</t>
  </si>
  <si>
    <t xml:space="preserve">F:\Données chgh\2020-CHG-CZA-Cromolyn-1\plaque 2/@17 Testo + Cromolyn 0.1/B5_02.tif </t>
  </si>
  <si>
    <t xml:space="preserve"> 77.8945 </t>
  </si>
  <si>
    <t xml:space="preserve">F:\Données chgh\2020-CHG-CZA-Cromolyn-1\plaque 2/@17 Testo + Cromolyn 0.1/B5_03.tif </t>
  </si>
  <si>
    <t xml:space="preserve"> 62142.6873 </t>
  </si>
  <si>
    <t xml:space="preserve"> 77.1089 </t>
  </si>
  <si>
    <t xml:space="preserve">F:\Données chgh\2020-CHG-CZA-Cromolyn-1\plaque 2/@17 Testo + Cromolyn 0.1/C5_01.tif </t>
  </si>
  <si>
    <t xml:space="preserve"> 40036.935 </t>
  </si>
  <si>
    <t xml:space="preserve"> 71.8271 </t>
  </si>
  <si>
    <t xml:space="preserve">F:\Données chgh\2020-CHG-CZA-Cromolyn-1\plaque 2/@17 Testo + Cromolyn 0.1/C5_02.tif </t>
  </si>
  <si>
    <t xml:space="preserve"> 38674.2516 </t>
  </si>
  <si>
    <t xml:space="preserve"> 70.0738 </t>
  </si>
  <si>
    <t xml:space="preserve">F:\Données chgh\2020-CHG-CZA-Cromolyn-1\plaque 2/@17 Testo + Cromolyn 0.1/C5_03.tif </t>
  </si>
  <si>
    <t xml:space="preserve"> 37592.7569 </t>
  </si>
  <si>
    <t xml:space="preserve"> 69.4114 </t>
  </si>
  <si>
    <t xml:space="preserve">F:\Données chgh\2020-CHG-CZA-Cromolyn-1\plaque 2/@17 Testo + Cromolyn 0.1/D5_01.tif </t>
  </si>
  <si>
    <t xml:space="preserve"> 64262.4169 </t>
  </si>
  <si>
    <t xml:space="preserve"> 76.6186 </t>
  </si>
  <si>
    <t xml:space="preserve">F:\Données chgh\2020-CHG-CZA-Cromolyn-1\plaque 2/@17 Testo + Cromolyn 0.1/D5_02.tif </t>
  </si>
  <si>
    <t xml:space="preserve"> 59265.9113 </t>
  </si>
  <si>
    <t xml:space="preserve"> 75.7365 </t>
  </si>
  <si>
    <t xml:space="preserve">F:\Données chgh\2020-CHG-CZA-Cromolyn-1\plaque 2/@17 Testo + Cromolyn 0.1/D5_03.tif </t>
  </si>
  <si>
    <t xml:space="preserve"> 58811.6835 </t>
  </si>
  <si>
    <t xml:space="preserve"> 75.569 </t>
  </si>
  <si>
    <t xml:space="preserve">F:\Données chgh\2020-CHG-CZA-Cromolyn-1\plaque 2/@17 Testo + Cromolyn 0.1/E5_01.tif </t>
  </si>
  <si>
    <t xml:space="preserve"> 61883.1285 </t>
  </si>
  <si>
    <t xml:space="preserve"> 81.2146 </t>
  </si>
  <si>
    <t xml:space="preserve">F:\Données chgh\2020-CHG-CZA-Cromolyn-1\plaque 2/@17 Testo + Cromolyn 0.1/E5_02.tif </t>
  </si>
  <si>
    <t xml:space="preserve"> 54702.0035 </t>
  </si>
  <si>
    <t xml:space="preserve"> 78.4021 </t>
  </si>
  <si>
    <t xml:space="preserve">F:\Données chgh\2020-CHG-CZA-Cromolyn-1\plaque 2/@17 Testo + Cromolyn 0.1/E5_03.tif </t>
  </si>
  <si>
    <t xml:space="preserve"> 62012.9079 </t>
  </si>
  <si>
    <t xml:space="preserve"> 81.1985 </t>
  </si>
  <si>
    <t xml:space="preserve">F:\Données chgh\2020-CHG-CZA-Cromolyn-1\plaque 2/@17 Testo + Cromolyn 0.1/F5_01.tif </t>
  </si>
  <si>
    <t xml:space="preserve"> 29308.5072 </t>
  </si>
  <si>
    <t xml:space="preserve"> 71.859 </t>
  </si>
  <si>
    <t xml:space="preserve">F:\Données chgh\2020-CHG-CZA-Cromolyn-1\plaque 2/@17 Testo + Cromolyn 0.1/F5_02.tif </t>
  </si>
  <si>
    <t xml:space="preserve"> 23187.247 </t>
  </si>
  <si>
    <t xml:space="preserve"> 68.4459 </t>
  </si>
  <si>
    <t xml:space="preserve">F:\Données chgh\2020-CHG-CZA-Cromolyn-1\plaque 2/@17 Testo + Cromolyn 0.1/F5_03.tif </t>
  </si>
  <si>
    <t xml:space="preserve"> 28659.6104 </t>
  </si>
  <si>
    <t xml:space="preserve"> 71.3094 </t>
  </si>
  <si>
    <t xml:space="preserve">F:\Données chgh\2020-CHG-CZA-Cromolyn-1\plaque 2/@17 Testo + Cromolyn 0.1/G5_01.tif </t>
  </si>
  <si>
    <t xml:space="preserve"> 44665.7324 </t>
  </si>
  <si>
    <t xml:space="preserve"> 70.754 </t>
  </si>
  <si>
    <t xml:space="preserve">F:\Données chgh\2020-CHG-CZA-Cromolyn-1\plaque 2/@17 Testo + Cromolyn 0.1/G5_02.tif </t>
  </si>
  <si>
    <t xml:space="preserve"> 44016.8356 </t>
  </si>
  <si>
    <t xml:space="preserve"> 70.5784 </t>
  </si>
  <si>
    <t xml:space="preserve">F:\Données chgh\2020-CHG-CZA-Cromolyn-1\plaque 2/@17 Testo + Cromolyn 0.1/G5_03.tif </t>
  </si>
  <si>
    <t xml:space="preserve"> 68.7997 </t>
  </si>
  <si>
    <t xml:space="preserve">F:\Données chgh\2020-CHG-CZA-Cromolyn-1\plaque 2/@17 Testo + Cromolyn 0.1/H5_01.tif </t>
  </si>
  <si>
    <t xml:space="preserve"> 76548.1971 </t>
  </si>
  <si>
    <t xml:space="preserve"> 85.1181 </t>
  </si>
  <si>
    <t xml:space="preserve">F:\Données chgh\2020-CHG-CZA-Cromolyn-1\plaque 2/@17 Testo + Cromolyn 0.1/H5_02.tif </t>
  </si>
  <si>
    <t xml:space="preserve"> 71962.6594 </t>
  </si>
  <si>
    <t xml:space="preserve"> 83.6534 </t>
  </si>
  <si>
    <t xml:space="preserve">F:\Données chgh\2020-CHG-CZA-Cromolyn-1\plaque 2/@17 Testo + Cromolyn 0.1/H5_03.tif </t>
  </si>
  <si>
    <t xml:space="preserve"> 78105.5495 </t>
  </si>
  <si>
    <t xml:space="preserve"> 83.9014 </t>
  </si>
  <si>
    <t xml:space="preserve">F:\Données chgh\2020-CHG-CZA-Cromolyn-1\plaque 2/@17 Testo + Cromolyn 0.1/ </t>
  </si>
  <si>
    <t xml:space="preserve"> 74.8344 </t>
  </si>
  <si>
    <t xml:space="preserve"> 5.3545 </t>
  </si>
  <si>
    <t xml:space="preserve"> 3828205.67 </t>
  </si>
  <si>
    <t xml:space="preserve"> 1449764.65 </t>
  </si>
  <si>
    <t xml:space="preserve">F:\Données chgh\2020-CHG-CZA-Cromolyn-1\plaque 2/@18 Testo + Cromolyn 1/A6_01.tif </t>
  </si>
  <si>
    <t xml:space="preserve"> 6034.7406 </t>
  </si>
  <si>
    <t xml:space="preserve"> 67.491 </t>
  </si>
  <si>
    <t xml:space="preserve">F:\Données chgh\2020-CHG-CZA-Cromolyn-1\plaque 2/@18 Testo + Cromolyn 1/A6_02.tif </t>
  </si>
  <si>
    <t xml:space="preserve"> 6380.8189 </t>
  </si>
  <si>
    <t xml:space="preserve"> 67.9593 </t>
  </si>
  <si>
    <t xml:space="preserve">F:\Données chgh\2020-CHG-CZA-Cromolyn-1\plaque 2/@18 Testo + Cromolyn 1/A6_03.tif </t>
  </si>
  <si>
    <t xml:space="preserve"> 2336.0286 </t>
  </si>
  <si>
    <t xml:space="preserve"> 64.6574 </t>
  </si>
  <si>
    <t xml:space="preserve">F:\Données chgh\2020-CHG-CZA-Cromolyn-1\plaque 2/@18 Testo + Cromolyn 1/B6_01.tif </t>
  </si>
  <si>
    <t xml:space="preserve"> 60844.8936 </t>
  </si>
  <si>
    <t xml:space="preserve"> 75.6989 </t>
  </si>
  <si>
    <t xml:space="preserve">F:\Données chgh\2020-CHG-CZA-Cromolyn-1\plaque 2/@18 Testo + Cromolyn 1/B6_02.tif </t>
  </si>
  <si>
    <t xml:space="preserve"> 58768.4237 </t>
  </si>
  <si>
    <t xml:space="preserve"> 74.5271 </t>
  </si>
  <si>
    <t xml:space="preserve">F:\Données chgh\2020-CHG-CZA-Cromolyn-1\plaque 2/@18 Testo + Cromolyn 1/B6_03.tif </t>
  </si>
  <si>
    <t xml:space="preserve"> 56800.1033 </t>
  </si>
  <si>
    <t xml:space="preserve"> 75.0339 </t>
  </si>
  <si>
    <t xml:space="preserve">F:\Données chgh\2020-CHG-CZA-Cromolyn-1\plaque 2/@18 Testo + Cromolyn 1/C6_01.tif </t>
  </si>
  <si>
    <t xml:space="preserve"> 34932.2798 </t>
  </si>
  <si>
    <t xml:space="preserve"> 67.8817 </t>
  </si>
  <si>
    <t xml:space="preserve">F:\Données chgh\2020-CHG-CZA-Cromolyn-1\plaque 2/@18 Testo + Cromolyn 1/C6_02.tif </t>
  </si>
  <si>
    <t xml:space="preserve"> 31882.4647 </t>
  </si>
  <si>
    <t xml:space="preserve"> 69.1961 </t>
  </si>
  <si>
    <t xml:space="preserve">F:\Données chgh\2020-CHG-CZA-Cromolyn-1\plaque 2/@18 Testo + Cromolyn 1/C6_03.tif </t>
  </si>
  <si>
    <t xml:space="preserve"> 27967.4538 </t>
  </si>
  <si>
    <t xml:space="preserve"> 68.1647 </t>
  </si>
  <si>
    <t xml:space="preserve">F:\Données chgh\2020-CHG-CZA-Cromolyn-1\plaque 2/@18 Testo + Cromolyn 1/D6_01.tif </t>
  </si>
  <si>
    <t xml:space="preserve"> 44838.7716 </t>
  </si>
  <si>
    <t xml:space="preserve"> 73.0487 </t>
  </si>
  <si>
    <t xml:space="preserve">F:\Données chgh\2020-CHG-CZA-Cromolyn-1\plaque 2/@18 Testo + Cromolyn 1/D6_02.tif </t>
  </si>
  <si>
    <t xml:space="preserve"> 48710.5227 </t>
  </si>
  <si>
    <t xml:space="preserve"> 73.698 </t>
  </si>
  <si>
    <t xml:space="preserve">F:\Données chgh\2020-CHG-CZA-Cromolyn-1\plaque 2/@18 Testo + Cromolyn 1/D6_03.tif </t>
  </si>
  <si>
    <t xml:space="preserve"> 49208.0103 </t>
  </si>
  <si>
    <t xml:space="preserve"> 73.4105 </t>
  </si>
  <si>
    <t xml:space="preserve">F:\Données chgh\2020-CHG-CZA-Cromolyn-1\plaque 2/@18 Testo + Cromolyn 1/E6_01.tif </t>
  </si>
  <si>
    <t xml:space="preserve"> 41140.0596 </t>
  </si>
  <si>
    <t xml:space="preserve"> 72.9669 </t>
  </si>
  <si>
    <t xml:space="preserve">F:\Données chgh\2020-CHG-CZA-Cromolyn-1\plaque 2/@18 Testo + Cromolyn 1/E6_02.tif </t>
  </si>
  <si>
    <t xml:space="preserve"> 46158.1951 </t>
  </si>
  <si>
    <t xml:space="preserve"> 72.127 </t>
  </si>
  <si>
    <t xml:space="preserve">F:\Données chgh\2020-CHG-CZA-Cromolyn-1\plaque 2/@18 Testo + Cromolyn 1/E6_03.tif </t>
  </si>
  <si>
    <t xml:space="preserve"> 40080.1947 </t>
  </si>
  <si>
    <t xml:space="preserve"> 71.8613 </t>
  </si>
  <si>
    <t xml:space="preserve">F:\Données chgh\2020-CHG-CZA-Cromolyn-1\plaque 2/@18 Testo + Cromolyn 1/F6_01.tif </t>
  </si>
  <si>
    <t xml:space="preserve"> 52906.7223 </t>
  </si>
  <si>
    <t xml:space="preserve"> 77.3843 </t>
  </si>
  <si>
    <t xml:space="preserve">F:\Données chgh\2020-CHG-CZA-Cromolyn-1\plaque 2/@18 Testo + Cromolyn 1/F6_02.tif </t>
  </si>
  <si>
    <t xml:space="preserve"> 47369.4692 </t>
  </si>
  <si>
    <t xml:space="preserve"> 78.3799 </t>
  </si>
  <si>
    <t xml:space="preserve">F:\Données chgh\2020-CHG-CZA-Cromolyn-1\plaque 2/@18 Testo + Cromolyn 1/F6_03.tif </t>
  </si>
  <si>
    <t xml:space="preserve"> 48234.665 </t>
  </si>
  <si>
    <t xml:space="preserve">F:\Données chgh\2020-CHG-CZA-Cromolyn-1\plaque 2/@18 Testo + Cromolyn 1/G6_01.tif </t>
  </si>
  <si>
    <t xml:space="preserve"> 27924.194 </t>
  </si>
  <si>
    <t xml:space="preserve"> 67.5655 </t>
  </si>
  <si>
    <t xml:space="preserve">F:\Données chgh\2020-CHG-CZA-Cromolyn-1\plaque 2/@18 Testo + Cromolyn 1/G6_02.tif </t>
  </si>
  <si>
    <t xml:space="preserve"> 29135.4681 </t>
  </si>
  <si>
    <t xml:space="preserve"> 69.2324 </t>
  </si>
  <si>
    <t xml:space="preserve">F:\Données chgh\2020-CHG-CZA-Cromolyn-1\plaque 2/@18 Testo + Cromolyn 1/G6_03.tif </t>
  </si>
  <si>
    <t xml:space="preserve"> 28227.0125 </t>
  </si>
  <si>
    <t xml:space="preserve"> 68.0138 </t>
  </si>
  <si>
    <t xml:space="preserve">F:\Données chgh\2020-CHG-CZA-Cromolyn-1\plaque 2/@18 Testo + Cromolyn 1/H6_01.tif </t>
  </si>
  <si>
    <t xml:space="preserve"> 62229.2068 </t>
  </si>
  <si>
    <t xml:space="preserve"> 85.5495 </t>
  </si>
  <si>
    <t xml:space="preserve">F:\Données chgh\2020-CHG-CZA-Cromolyn-1\plaque 2/@18 Testo + Cromolyn 1/H6_02.tif </t>
  </si>
  <si>
    <t xml:space="preserve"> 60974.673 </t>
  </si>
  <si>
    <t xml:space="preserve"> 88.2774 </t>
  </si>
  <si>
    <t xml:space="preserve">F:\Données chgh\2020-CHG-CZA-Cromolyn-1\plaque 2/@18 Testo + Cromolyn 1/H6_03.tif </t>
  </si>
  <si>
    <t xml:space="preserve"> 57038.0321 </t>
  </si>
  <si>
    <t xml:space="preserve"> 84.7114 </t>
  </si>
  <si>
    <t xml:space="preserve">F:\Données chgh\2020-CHG-CZA-Cromolyn-1\plaque 2/@18 Testo + Cromolyn 1/ </t>
  </si>
  <si>
    <t xml:space="preserve"> 73.4932 </t>
  </si>
  <si>
    <t xml:space="preserve"> 6.1178 </t>
  </si>
  <si>
    <t xml:space="preserve"> 3053968.96 </t>
  </si>
  <si>
    <t xml:space="preserve"> 1483135.36 </t>
  </si>
  <si>
    <t xml:space="preserve">F:\Données chgh\2020-CHG-CZA-Cromolyn-1\plaque 2/@19 Testo + Cromolyn 10/A7_01.tif </t>
  </si>
  <si>
    <t xml:space="preserve"> 28205.3826 </t>
  </si>
  <si>
    <t xml:space="preserve"> 69.0813 </t>
  </si>
  <si>
    <t xml:space="preserve">F:\Données chgh\2020-CHG-CZA-Cromolyn-1\plaque 2/@19 Testo + Cromolyn 10/A7_02.tif </t>
  </si>
  <si>
    <t xml:space="preserve"> 30844.2297 </t>
  </si>
  <si>
    <t xml:space="preserve"> 69.4299 </t>
  </si>
  <si>
    <t xml:space="preserve">F:\Données chgh\2020-CHG-CZA-Cromolyn-1\plaque 2/@19 Testo + Cromolyn 10/A7_03.tif </t>
  </si>
  <si>
    <t xml:space="preserve"> 27469.9662 </t>
  </si>
  <si>
    <t xml:space="preserve"> 68.4331 </t>
  </si>
  <si>
    <t xml:space="preserve">F:\Données chgh\2020-CHG-CZA-Cromolyn-1\plaque 2/@19 Testo + Cromolyn 10/B7_01.tif </t>
  </si>
  <si>
    <t xml:space="preserve"> 45877.0065 </t>
  </si>
  <si>
    <t xml:space="preserve"> 73.7364 </t>
  </si>
  <si>
    <t xml:space="preserve">F:\Données chgh\2020-CHG-CZA-Cromolyn-1\plaque 2/@19 Testo + Cromolyn 10/B7_02.tif </t>
  </si>
  <si>
    <t xml:space="preserve"> 40664.2019 </t>
  </si>
  <si>
    <t xml:space="preserve"> 74.1048 </t>
  </si>
  <si>
    <t xml:space="preserve">F:\Données chgh\2020-CHG-CZA-Cromolyn-1\plaque 2/@19 Testo + Cromolyn 10/B7_03.tif </t>
  </si>
  <si>
    <t xml:space="preserve"> 47023.3909 </t>
  </si>
  <si>
    <t xml:space="preserve"> 72.4282 </t>
  </si>
  <si>
    <t xml:space="preserve">F:\Données chgh\2020-CHG-CZA-Cromolyn-1\plaque 2/@19 Testo + Cromolyn 10/C7_01.tif </t>
  </si>
  <si>
    <t xml:space="preserve"> 757.0463 </t>
  </si>
  <si>
    <t xml:space="preserve"> 63.0571 </t>
  </si>
  <si>
    <t xml:space="preserve">F:\Données chgh\2020-CHG-CZA-Cromolyn-1\plaque 2/@19 Testo + Cromolyn 10/C7_02.tif </t>
  </si>
  <si>
    <t xml:space="preserve"> 63.6154 </t>
  </si>
  <si>
    <t xml:space="preserve">F:\Données chgh\2020-CHG-CZA-Cromolyn-1\plaque 2/@19 Testo + Cromolyn 10/C7_03.tif </t>
  </si>
  <si>
    <t xml:space="preserve"> 86.5196 </t>
  </si>
  <si>
    <t xml:space="preserve"> 65.5 </t>
  </si>
  <si>
    <t xml:space="preserve">F:\Données chgh\2020-CHG-CZA-Cromolyn-1\plaque 2/@19 Testo + Cromolyn 10/D7_01.tif </t>
  </si>
  <si>
    <t xml:space="preserve"> 40707.4617 </t>
  </si>
  <si>
    <t xml:space="preserve"> 70.4511 </t>
  </si>
  <si>
    <t xml:space="preserve">F:\Données chgh\2020-CHG-CZA-Cromolyn-1\plaque 2/@19 Testo + Cromolyn 10/D7_02.tif </t>
  </si>
  <si>
    <t xml:space="preserve"> 35494.6571 </t>
  </si>
  <si>
    <t xml:space="preserve"> 71.8495 </t>
  </si>
  <si>
    <t xml:space="preserve">F:\Données chgh\2020-CHG-CZA-Cromolyn-1\plaque 2/@19 Testo + Cromolyn 10/D7_03.tif </t>
  </si>
  <si>
    <t xml:space="preserve"> 31038.8988 </t>
  </si>
  <si>
    <t xml:space="preserve"> 70.092 </t>
  </si>
  <si>
    <t xml:space="preserve">F:\Données chgh\2020-CHG-CZA-Cromolyn-1\plaque 2/@19 Testo + Cromolyn 10/E7_01.tif </t>
  </si>
  <si>
    <t xml:space="preserve"> 20786.3287 </t>
  </si>
  <si>
    <t xml:space="preserve"> 67.6961 </t>
  </si>
  <si>
    <t xml:space="preserve">F:\Données chgh\2020-CHG-CZA-Cromolyn-1\plaque 2/@19 Testo + Cromolyn 10/E7_02.tif </t>
  </si>
  <si>
    <t xml:space="preserve"> 17520.2146 </t>
  </si>
  <si>
    <t xml:space="preserve"> 67.0914 </t>
  </si>
  <si>
    <t xml:space="preserve">F:\Données chgh\2020-CHG-CZA-Cromolyn-1\plaque 2/@19 Testo + Cromolyn 10/E7_03.tif </t>
  </si>
  <si>
    <t xml:space="preserve"> 22278.7915 </t>
  </si>
  <si>
    <t xml:space="preserve"> 68.4456 </t>
  </si>
  <si>
    <t xml:space="preserve">F:\Données chgh\2020-CHG-CZA-Cromolyn-1\plaque 2/@19 Testo + Cromolyn 10/F7_01.tif </t>
  </si>
  <si>
    <t xml:space="preserve"> 46980.1311 </t>
  </si>
  <si>
    <t xml:space="preserve"> 78.1851 </t>
  </si>
  <si>
    <t xml:space="preserve">F:\Données chgh\2020-CHG-CZA-Cromolyn-1\plaque 2/@19 Testo + Cromolyn 10/F7_02.tif </t>
  </si>
  <si>
    <t xml:space="preserve"> 44319.6541 </t>
  </si>
  <si>
    <t xml:space="preserve"> 77.2064 </t>
  </si>
  <si>
    <t xml:space="preserve">F:\Données chgh\2020-CHG-CZA-Cromolyn-1\plaque 2/@19 Testo + Cromolyn 10/F7_03.tif </t>
  </si>
  <si>
    <t xml:space="preserve"> 77.2811 </t>
  </si>
  <si>
    <t xml:space="preserve">F:\Données chgh\2020-CHG-CZA-Cromolyn-1\plaque 2/@19 Testo + Cromolyn 10/G7_01.tif </t>
  </si>
  <si>
    <t xml:space="preserve"> 41075.1699 </t>
  </si>
  <si>
    <t xml:space="preserve"> 82.991 </t>
  </si>
  <si>
    <t xml:space="preserve">F:\Données chgh\2020-CHG-CZA-Cromolyn-1\plaque 2/@19 Testo + Cromolyn 10/G7_02.tif </t>
  </si>
  <si>
    <t xml:space="preserve"> 39085.2196 </t>
  </si>
  <si>
    <t xml:space="preserve"> 80.1937 </t>
  </si>
  <si>
    <t xml:space="preserve">F:\Données chgh\2020-CHG-CZA-Cromolyn-1\plaque 2/@19 Testo + Cromolyn 10/G7_03.tif </t>
  </si>
  <si>
    <t xml:space="preserve"> 38868.9206 </t>
  </si>
  <si>
    <t xml:space="preserve"> 82.6583 </t>
  </si>
  <si>
    <t xml:space="preserve">F:\Données chgh\2020-CHG-CZA-Cromolyn-1\plaque 2/@19 Testo + Cromolyn 10/H7_01.tif </t>
  </si>
  <si>
    <t xml:space="preserve"> 49986.6865 </t>
  </si>
  <si>
    <t xml:space="preserve"> 79.9018 </t>
  </si>
  <si>
    <t xml:space="preserve">F:\Données chgh\2020-CHG-CZA-Cromolyn-1\plaque 2/@19 Testo + Cromolyn 10/H7_02.tif </t>
  </si>
  <si>
    <t xml:space="preserve"> 44535.953 </t>
  </si>
  <si>
    <t xml:space="preserve"> 77.0243 </t>
  </si>
  <si>
    <t xml:space="preserve">F:\Données chgh\2020-CHG-CZA-Cromolyn-1\plaque 2/@19 Testo + Cromolyn 10/H7_03.tif </t>
  </si>
  <si>
    <t xml:space="preserve"> 45725.5972 </t>
  </si>
  <si>
    <t xml:space="preserve"> 77.815 </t>
  </si>
  <si>
    <t xml:space="preserve">F:\Données chgh\2020-CHG-CZA-Cromolyn-1\plaque 2/@19 Testo + Cromolyn 10/ </t>
  </si>
  <si>
    <t xml:space="preserve"> 72.8445 </t>
  </si>
  <si>
    <t xml:space="preserve"> 5.8551 </t>
  </si>
  <si>
    <t xml:space="preserve"> 2451148.29 </t>
  </si>
  <si>
    <t xml:space="preserve"> 1218015.01 </t>
  </si>
  <si>
    <t xml:space="preserve">F:\Données chgh\2020-CHG-CZA-Cromolyn-1\plaque 2/@20 Testo + Cromolyn 100/A8_01.tif </t>
  </si>
  <si>
    <t xml:space="preserve"> 42221.5543 </t>
  </si>
  <si>
    <t xml:space="preserve"> 72.9908 </t>
  </si>
  <si>
    <t xml:space="preserve">F:\Données chgh\2020-CHG-CZA-Cromolyn-1\plaque 2/@20 Testo + Cromolyn 100/A8_02.tif </t>
  </si>
  <si>
    <t xml:space="preserve"> 45357.889 </t>
  </si>
  <si>
    <t xml:space="preserve"> 73.0835 </t>
  </si>
  <si>
    <t xml:space="preserve">F:\Données chgh\2020-CHG-CZA-Cromolyn-1\plaque 2/@20 Testo + Cromolyn 100/A8_03.tif </t>
  </si>
  <si>
    <t xml:space="preserve"> 40620.9421 </t>
  </si>
  <si>
    <t xml:space="preserve"> 73.14 </t>
  </si>
  <si>
    <t xml:space="preserve">F:\Données chgh\2020-CHG-CZA-Cromolyn-1\plaque 2/@20 Testo + Cromolyn 100/B8_01.tif </t>
  </si>
  <si>
    <t xml:space="preserve"> 59806.6586 </t>
  </si>
  <si>
    <t xml:space="preserve"> 74.5718 </t>
  </si>
  <si>
    <t xml:space="preserve">F:\Données chgh\2020-CHG-CZA-Cromolyn-1\plaque 2/@20 Testo + Cromolyn 100/B8_02.tif </t>
  </si>
  <si>
    <t xml:space="preserve"> 64413.8262 </t>
  </si>
  <si>
    <t xml:space="preserve"> 73.6021 </t>
  </si>
  <si>
    <t xml:space="preserve">F:\Données chgh\2020-CHG-CZA-Cromolyn-1\plaque 2/@20 Testo + Cromolyn 100/B8_03.tif </t>
  </si>
  <si>
    <t xml:space="preserve"> 63764.9294 </t>
  </si>
  <si>
    <t xml:space="preserve"> 74.7836 </t>
  </si>
  <si>
    <t xml:space="preserve">F:\Données chgh\2020-CHG-CZA-Cromolyn-1\plaque 2/@20 Testo + Cromolyn 100/C8_01.tif </t>
  </si>
  <si>
    <t xml:space="preserve"> 70946.0544 </t>
  </si>
  <si>
    <t xml:space="preserve"> 81.1442 </t>
  </si>
  <si>
    <t xml:space="preserve">F:\Données chgh\2020-CHG-CZA-Cromolyn-1\plaque 2/@20 Testo + Cromolyn 100/C8_02.tif </t>
  </si>
  <si>
    <t xml:space="preserve"> 58033.0073 </t>
  </si>
  <si>
    <t xml:space="preserve"> 79.896 </t>
  </si>
  <si>
    <t xml:space="preserve">F:\Données chgh\2020-CHG-CZA-Cromolyn-1\plaque 2/@20 Testo + Cromolyn 100/C8_03.tif </t>
  </si>
  <si>
    <t xml:space="preserve"> 66187.4776 </t>
  </si>
  <si>
    <t xml:space="preserve"> 79.4742 </t>
  </si>
  <si>
    <t xml:space="preserve">F:\Données chgh\2020-CHG-CZA-Cromolyn-1\plaque 2/@20 Testo + Cromolyn 100/D8_01.tif </t>
  </si>
  <si>
    <t xml:space="preserve"> 31795.9451 </t>
  </si>
  <si>
    <t xml:space="preserve"> 71.4449 </t>
  </si>
  <si>
    <t xml:space="preserve">F:\Données chgh\2020-CHG-CZA-Cromolyn-1\plaque 2/@20 Testo + Cromolyn 100/D8_02.tif </t>
  </si>
  <si>
    <t xml:space="preserve"> 31298.4575 </t>
  </si>
  <si>
    <t xml:space="preserve"> 72.7008 </t>
  </si>
  <si>
    <t xml:space="preserve">F:\Données chgh\2020-CHG-CZA-Cromolyn-1\plaque 2/@20 Testo + Cromolyn 100/D8_03.tif </t>
  </si>
  <si>
    <t xml:space="preserve"> 31536.3864 </t>
  </si>
  <si>
    <t>F:\Données chgh\2020-CHG-CZA-Cromolyn-1\plaque 2/@20 Testo + Cromolyn 100/E8_01- exclu.tif</t>
  </si>
  <si>
    <t>F:\Données chgh\2020-CHG-CZA-Cromolyn-1\plaque 2/@20 Testo + Cromolyn 100/E8_02- exclu.tif</t>
  </si>
  <si>
    <t xml:space="preserve">F:\Données chgh\2020-CHG-CZA-Cromolyn-1\plaque 2/@20 Testo + Cromolyn 100/E8_03.tif </t>
  </si>
  <si>
    <t xml:space="preserve"> 64.519 </t>
  </si>
  <si>
    <t xml:space="preserve">F:\Données chgh\2020-CHG-CZA-Cromolyn-1\plaque 2/@20 Testo + Cromolyn 100/F8_01.tif </t>
  </si>
  <si>
    <t xml:space="preserve"> 74.4908 </t>
  </si>
  <si>
    <t xml:space="preserve">F:\Données chgh\2020-CHG-CZA-Cromolyn-1\plaque 2/@20 Testo + Cromolyn 100/F8_02.tif </t>
  </si>
  <si>
    <t xml:space="preserve"> 50094.836 </t>
  </si>
  <si>
    <t xml:space="preserve"> 76.5138 </t>
  </si>
  <si>
    <t xml:space="preserve">F:\Données chgh\2020-CHG-CZA-Cromolyn-1\plaque 2/@20 Testo + Cromolyn 100/F8_03.tif </t>
  </si>
  <si>
    <t xml:space="preserve"> 48277.9248 </t>
  </si>
  <si>
    <t xml:space="preserve"> 75.6004 </t>
  </si>
  <si>
    <t xml:space="preserve">F:\Données chgh\2020-CHG-CZA-Cromolyn-1\plaque 2/@20 Testo + Cromolyn 100/G8_01.tif </t>
  </si>
  <si>
    <t xml:space="preserve"> 45271.3695 </t>
  </si>
  <si>
    <t xml:space="preserve"> 78.657 </t>
  </si>
  <si>
    <t xml:space="preserve">F:\Données chgh\2020-CHG-CZA-Cromolyn-1\plaque 2/@20 Testo + Cromolyn 100/G8_02.tif </t>
  </si>
  <si>
    <t xml:space="preserve"> 55934.9075 </t>
  </si>
  <si>
    <t xml:space="preserve"> 78.1988 </t>
  </si>
  <si>
    <t xml:space="preserve">F:\Données chgh\2020-CHG-CZA-Cromolyn-1\plaque 2/@20 Testo + Cromolyn 100/G8_03.tif </t>
  </si>
  <si>
    <t xml:space="preserve"> 55740.2385 </t>
  </si>
  <si>
    <t xml:space="preserve"> 77.0807 </t>
  </si>
  <si>
    <t xml:space="preserve">F:\Données chgh\2020-CHG-CZA-Cromolyn-1\plaque 2/@20 Testo + Cromolyn 100/H8_01.tif </t>
  </si>
  <si>
    <t xml:space="preserve"> 69431.9618 </t>
  </si>
  <si>
    <t xml:space="preserve"> 78.6829 </t>
  </si>
  <si>
    <t xml:space="preserve">F:\Données chgh\2020-CHG-CZA-Cromolyn-1\plaque 2/@20 Testo + Cromolyn 100/H8_02.tif </t>
  </si>
  <si>
    <t xml:space="preserve"> 63353.9614 </t>
  </si>
  <si>
    <t xml:space="preserve"> 77.7986 </t>
  </si>
  <si>
    <t xml:space="preserve">F:\Données chgh\2020-CHG-CZA-Cromolyn-1\plaque 2/@20 Testo + Cromolyn 100/H8_03.tif </t>
  </si>
  <si>
    <t xml:space="preserve"> 76.6034 </t>
  </si>
  <si>
    <t xml:space="preserve">F:\Données chgh\2020-CHG-CZA-Cromolyn-1\plaque 2/@20 Testo + Cromolyn 100/ </t>
  </si>
  <si>
    <t xml:space="preserve"> 74.5198 </t>
  </si>
  <si>
    <t xml:space="preserve"> 4.5071 </t>
  </si>
  <si>
    <t xml:space="preserve"> 3510352.58 </t>
  </si>
  <si>
    <t xml:space="preserve"> 1594282.6 </t>
  </si>
  <si>
    <t xml:space="preserve">F:\Données chgh\2020-CHG-CZA-Cromolyn-1\plaque 2/@21 Testo + Cromolyn 1000/A9_01.tif </t>
  </si>
  <si>
    <t xml:space="preserve"> 65473.691 </t>
  </si>
  <si>
    <t xml:space="preserve"> 78.2237 </t>
  </si>
  <si>
    <t xml:space="preserve">F:\Données chgh\2020-CHG-CZA-Cromolyn-1\plaque 2/@21 Testo + Cromolyn 1000/A9_02.tif </t>
  </si>
  <si>
    <t xml:space="preserve"> 66360.5167 </t>
  </si>
  <si>
    <t xml:space="preserve"> 77.1183 </t>
  </si>
  <si>
    <t xml:space="preserve">F:\Données chgh\2020-CHG-CZA-Cromolyn-1\plaque 2/@21 Testo + Cromolyn 1000/A9_03.tif </t>
  </si>
  <si>
    <t xml:space="preserve"> 54117.9964 </t>
  </si>
  <si>
    <t xml:space="preserve"> 79.9257 </t>
  </si>
  <si>
    <t xml:space="preserve">F:\Données chgh\2020-CHG-CZA-Cromolyn-1\plaque 2/@21 Testo + Cromolyn 1000/B9_01.tif </t>
  </si>
  <si>
    <t xml:space="preserve"> 72.2035 </t>
  </si>
  <si>
    <t xml:space="preserve">F:\Données chgh\2020-CHG-CZA-Cromolyn-1\plaque 2/@21 Testo + Cromolyn 1000/B9_02.tif </t>
  </si>
  <si>
    <t xml:space="preserve"> 73.8015 </t>
  </si>
  <si>
    <t xml:space="preserve">F:\Données chgh\2020-CHG-CZA-Cromolyn-1\plaque 2/@21 Testo + Cromolyn 1000/B9_03.tif </t>
  </si>
  <si>
    <t xml:space="preserve"> 53707.0284 </t>
  </si>
  <si>
    <t xml:space="preserve"> 71.888 </t>
  </si>
  <si>
    <t xml:space="preserve">F:\Données chgh\2020-CHG-CZA-Cromolyn-1\plaque 2/@21 Testo + Cromolyn 1000/C9_01.tif </t>
  </si>
  <si>
    <t xml:space="preserve"> 36532.892 </t>
  </si>
  <si>
    <t xml:space="preserve"> 73.553 </t>
  </si>
  <si>
    <t xml:space="preserve">F:\Données chgh\2020-CHG-CZA-Cromolyn-1\plaque 2/@21 Testo + Cromolyn 1000/C9_02.tif </t>
  </si>
  <si>
    <t xml:space="preserve"> 71.4738 </t>
  </si>
  <si>
    <t xml:space="preserve">F:\Données chgh\2020-CHG-CZA-Cromolyn-1\plaque 2/@21 Testo + Cromolyn 1000/C9_03.tif </t>
  </si>
  <si>
    <t xml:space="preserve"> 34305.0129 </t>
  </si>
  <si>
    <t xml:space="preserve"> 72.3859 </t>
  </si>
  <si>
    <t xml:space="preserve">F:\Données chgh\2020-CHG-CZA-Cromolyn-1\plaque 2/@21 Testo + Cromolyn 1000/D9_01.tif </t>
  </si>
  <si>
    <t xml:space="preserve"> 57384.1105 </t>
  </si>
  <si>
    <t xml:space="preserve"> 77.5952 </t>
  </si>
  <si>
    <t xml:space="preserve">F:\Données chgh\2020-CHG-CZA-Cromolyn-1\plaque 2/@21 Testo + Cromolyn 1000/D9_02.tif </t>
  </si>
  <si>
    <t xml:space="preserve"> 58595.3845 </t>
  </si>
  <si>
    <t xml:space="preserve"> 76.5781 </t>
  </si>
  <si>
    <t>F:\Données chgh\2020-CHG-CZA-Cromolyn-1\plaque 2/@21 Testo + Cromolyn 1000/D9_03- exclu.tif</t>
  </si>
  <si>
    <t xml:space="preserve">F:\Données chgh\2020-CHG-CZA-Cromolyn-1\plaque 2/@21 Testo + Cromolyn 1000/E9_01.tif </t>
  </si>
  <si>
    <t xml:space="preserve"> 73411.8624 </t>
  </si>
  <si>
    <t xml:space="preserve"> 79.893 </t>
  </si>
  <si>
    <t xml:space="preserve">F:\Données chgh\2020-CHG-CZA-Cromolyn-1\plaque 2/@21 Testo + Cromolyn 1000/E9_02.tif </t>
  </si>
  <si>
    <t xml:space="preserve"> 68199.0578 </t>
  </si>
  <si>
    <t xml:space="preserve"> 81.2382 </t>
  </si>
  <si>
    <t xml:space="preserve">F:\Données chgh\2020-CHG-CZA-Cromolyn-1\plaque 2/@21 Testo + Cromolyn 1000/E9_03.tif </t>
  </si>
  <si>
    <t xml:space="preserve"> 69280.5525 </t>
  </si>
  <si>
    <t xml:space="preserve"> 82.7877 </t>
  </si>
  <si>
    <t xml:space="preserve">F:\Données chgh\2020-CHG-CZA-Cromolyn-1\plaque 2/@21 Testo + Cromolyn 1000/F9_01.tif </t>
  </si>
  <si>
    <t xml:space="preserve"> 52712.0532 </t>
  </si>
  <si>
    <t xml:space="preserve"> 76.9175 </t>
  </si>
  <si>
    <t xml:space="preserve">F:\Données chgh\2020-CHG-CZA-Cromolyn-1\plaque 2/@21 Testo + Cromolyn 1000/F9_02.tif </t>
  </si>
  <si>
    <t xml:space="preserve"> 56475.6549 </t>
  </si>
  <si>
    <t xml:space="preserve"> 75.2528 </t>
  </si>
  <si>
    <t xml:space="preserve">F:\Données chgh\2020-CHG-CZA-Cromolyn-1\plaque 2/@21 Testo + Cromolyn 1000/F9_03.tif </t>
  </si>
  <si>
    <t xml:space="preserve"> 47499.2486 </t>
  </si>
  <si>
    <t xml:space="preserve"> 77.9408 </t>
  </si>
  <si>
    <t xml:space="preserve">F:\Données chgh\2020-CHG-CZA-Cromolyn-1\plaque 2/@21 Testo + Cromolyn 1000/G9_01.tif </t>
  </si>
  <si>
    <t xml:space="preserve"> 65084.3529 </t>
  </si>
  <si>
    <t xml:space="preserve"> 81.0479 </t>
  </si>
  <si>
    <t xml:space="preserve">F:\Données chgh\2020-CHG-CZA-Cromolyn-1\plaque 2/@21 Testo + Cromolyn 1000/G9_02.tif </t>
  </si>
  <si>
    <t xml:space="preserve"> 62899.7336 </t>
  </si>
  <si>
    <t xml:space="preserve"> 81.4089 </t>
  </si>
  <si>
    <t xml:space="preserve">F:\Données chgh\2020-CHG-CZA-Cromolyn-1\plaque 2/@21 Testo + Cromolyn 1000/G9_03.tif </t>
  </si>
  <si>
    <t xml:space="preserve"> 69302.1824 </t>
  </si>
  <si>
    <t xml:space="preserve"> 80.6617 </t>
  </si>
  <si>
    <t xml:space="preserve">F:\Données chgh\2020-CHG-CZA-Cromolyn-1\plaque 2/@21 Testo + Cromolyn 1000/H9_01.tif </t>
  </si>
  <si>
    <t xml:space="preserve"> 33461.447 </t>
  </si>
  <si>
    <t xml:space="preserve"> 74.3723 </t>
  </si>
  <si>
    <t xml:space="preserve">F:\Données chgh\2020-CHG-CZA-Cromolyn-1\plaque 2/@21 Testo + Cromolyn 1000/H9_02.tif </t>
  </si>
  <si>
    <t xml:space="preserve"> 35992.1447 </t>
  </si>
  <si>
    <t xml:space="preserve"> 72.9675 </t>
  </si>
  <si>
    <t xml:space="preserve">F:\Données chgh\2020-CHG-CZA-Cromolyn-1\plaque 2/@21 Testo + Cromolyn 1000/H9_03.tif </t>
  </si>
  <si>
    <t xml:space="preserve"> 35581.1767 </t>
  </si>
  <si>
    <t xml:space="preserve"> 71.155 </t>
  </si>
  <si>
    <t xml:space="preserve">F:\Données chgh\2020-CHG-CZA-Cromolyn-1\plaque 2/@21 Testo + Cromolyn 1000/ </t>
  </si>
  <si>
    <t xml:space="preserve"> 76.4738 </t>
  </si>
  <si>
    <t xml:space="preserve"> 3.6203 </t>
  </si>
  <si>
    <t xml:space="preserve"> 4158895.17 </t>
  </si>
  <si>
    <t xml:space="preserve"> 1162488.98 </t>
  </si>
  <si>
    <t xml:space="preserve"> n total analysed</t>
  </si>
  <si>
    <t>01 TS</t>
  </si>
  <si>
    <t>02 EE2 34</t>
  </si>
  <si>
    <t>03 EE2 51</t>
  </si>
  <si>
    <t>04 EE2 76</t>
  </si>
  <si>
    <t>05 EE2 114</t>
  </si>
  <si>
    <t>06 EE2 171</t>
  </si>
  <si>
    <t>07 EE2 488</t>
  </si>
  <si>
    <t>08 Cromolyn 0.1</t>
  </si>
  <si>
    <t>09 Cromolyn 1</t>
  </si>
  <si>
    <t>10 Cromolyn 10</t>
  </si>
  <si>
    <t>11 Cromolyn 100</t>
  </si>
  <si>
    <t>12 Cromolyn 1000</t>
  </si>
  <si>
    <t>13 Testo 30</t>
  </si>
  <si>
    <t>14 Testo 30</t>
  </si>
  <si>
    <t>15 Testo + EE2</t>
  </si>
  <si>
    <t>16 Testo + FAD</t>
  </si>
  <si>
    <t>17 Testo + Cromolyn 0.1</t>
  </si>
  <si>
    <t>18 Testo + Cromolyn 1</t>
  </si>
  <si>
    <t>19 Testo + Cromolyn 10</t>
  </si>
  <si>
    <t>20 Testo + Cromolyn 100</t>
  </si>
  <si>
    <t>21 Testo + Cromolyn 1000</t>
  </si>
  <si>
    <t>B</t>
  </si>
  <si>
    <t>C</t>
  </si>
  <si>
    <t>D</t>
  </si>
  <si>
    <t>E</t>
  </si>
  <si>
    <t>F</t>
  </si>
  <si>
    <t>G</t>
  </si>
  <si>
    <t>H</t>
  </si>
  <si>
    <t>F:\Données chgh\2020-CHG-CZA-Cromolyn-2\plaque 1/@01 TS/A1_01- exclu.tif</t>
  </si>
  <si>
    <t xml:space="preserve">F:\Données chgh\2020-CHG-CZA-Cromolyn-2\plaque 1/@01 TS/A1_02.tif </t>
  </si>
  <si>
    <t xml:space="preserve"> 69.3425 </t>
  </si>
  <si>
    <t xml:space="preserve">F:\Données chgh\2020-CHG-CZA-Cromolyn-2\plaque 1/@01 TS/A1_03.tif </t>
  </si>
  <si>
    <t xml:space="preserve"> 10793.3174 </t>
  </si>
  <si>
    <t xml:space="preserve"> 73.2184 </t>
  </si>
  <si>
    <t>F:\Données chgh\2020-CHG-CZA-Cromolyn-2\plaque 1/@01 TS/B1_01- exclu.tif</t>
  </si>
  <si>
    <t xml:space="preserve">F:\Données chgh\2020-CHG-CZA-Cromolyn-2\plaque 1/@01 TS/B1_02.tif </t>
  </si>
  <si>
    <t xml:space="preserve"> 7310.9044 </t>
  </si>
  <si>
    <t xml:space="preserve"> 79.3669 </t>
  </si>
  <si>
    <t xml:space="preserve">F:\Données chgh\2020-CHG-CZA-Cromolyn-2\plaque 1/@01 TS/B1_03.tif </t>
  </si>
  <si>
    <t xml:space="preserve"> 11031.2463 </t>
  </si>
  <si>
    <t xml:space="preserve"> 73.8 </t>
  </si>
  <si>
    <t xml:space="preserve">F:\Données chgh\2020-CHG-CZA-Cromolyn-2\plaque 1/@01 TS/C1_01.tif </t>
  </si>
  <si>
    <t xml:space="preserve"> 2249.509 </t>
  </si>
  <si>
    <t xml:space="preserve"> 63.8462 </t>
  </si>
  <si>
    <t xml:space="preserve">F:\Données chgh\2020-CHG-CZA-Cromolyn-2\plaque 1/@01 TS/C1_02.tif </t>
  </si>
  <si>
    <t xml:space="preserve"> 1578.9823 </t>
  </si>
  <si>
    <t xml:space="preserve"> 66.6027 </t>
  </si>
  <si>
    <t xml:space="preserve">F:\Données chgh\2020-CHG-CZA-Cromolyn-2\plaque 1/@01 TS/C1_03.tif </t>
  </si>
  <si>
    <t xml:space="preserve"> 1297.7937 </t>
  </si>
  <si>
    <t xml:space="preserve"> 64.1667 </t>
  </si>
  <si>
    <t xml:space="preserve">F:\Données chgh\2020-CHG-CZA-Cromolyn-2\plaque 1/@01 TS/D1_01.tif </t>
  </si>
  <si>
    <t xml:space="preserve"> 11571.9936 </t>
  </si>
  <si>
    <t xml:space="preserve"> 76.7252 </t>
  </si>
  <si>
    <t xml:space="preserve">F:\Données chgh\2020-CHG-CZA-Cromolyn-2\plaque 1/@01 TS/D1_02.tif </t>
  </si>
  <si>
    <t xml:space="preserve"> 12523.709 </t>
  </si>
  <si>
    <t xml:space="preserve"> 83.6546 </t>
  </si>
  <si>
    <t xml:space="preserve">F:\Données chgh\2020-CHG-CZA-Cromolyn-2\plaque 1/@01 TS/D1_03.tif </t>
  </si>
  <si>
    <t xml:space="preserve"> 11528.7338 </t>
  </si>
  <si>
    <t xml:space="preserve"> 80.349 </t>
  </si>
  <si>
    <t xml:space="preserve">F:\Données chgh\2020-CHG-CZA-Cromolyn-2\plaque 1/@01 TS/E1_01.tif </t>
  </si>
  <si>
    <t xml:space="preserve"> 65.3977 </t>
  </si>
  <si>
    <t xml:space="preserve">F:\Données chgh\2020-CHG-CZA-Cromolyn-2\plaque 1/@01 TS/E1_02.tif </t>
  </si>
  <si>
    <t xml:space="preserve"> 66.3173 </t>
  </si>
  <si>
    <t xml:space="preserve">F:\Données chgh\2020-CHG-CZA-Cromolyn-2\plaque 1/@01 TS/E1_03.tif </t>
  </si>
  <si>
    <t xml:space="preserve"> 6791.7869 </t>
  </si>
  <si>
    <t xml:space="preserve"> 70.9013 </t>
  </si>
  <si>
    <t xml:space="preserve">F:\Données chgh\2020-CHG-CZA-Cromolyn-2\plaque 1/@01 TS/F1_01.tif </t>
  </si>
  <si>
    <t xml:space="preserve"> 410.968 </t>
  </si>
  <si>
    <t xml:space="preserve"> 63.9474 </t>
  </si>
  <si>
    <t xml:space="preserve">F:\Données chgh\2020-CHG-CZA-Cromolyn-2\plaque 1/@01 TS/F1_02.tif </t>
  </si>
  <si>
    <t xml:space="preserve"> 302.8185 </t>
  </si>
  <si>
    <t xml:space="preserve"> 62.5714 </t>
  </si>
  <si>
    <t xml:space="preserve">F:\Données chgh\2020-CHG-CZA-Cromolyn-2\plaque 1/@01 TS/F1_03.tif </t>
  </si>
  <si>
    <t xml:space="preserve"> 216.2989 </t>
  </si>
  <si>
    <t xml:space="preserve"> 62.8 </t>
  </si>
  <si>
    <t xml:space="preserve">F:\Données chgh\2020-CHG-CZA-Cromolyn-2\plaque 1/@01 TS/G1_01.tif </t>
  </si>
  <si>
    <t xml:space="preserve"> 6748.5271 </t>
  </si>
  <si>
    <t xml:space="preserve"> 70.1603 </t>
  </si>
  <si>
    <t xml:space="preserve">F:\Données chgh\2020-CHG-CZA-Cromolyn-2\plaque 1/@01 TS/G1_02.tif </t>
  </si>
  <si>
    <t xml:space="preserve"> 7981.4311 </t>
  </si>
  <si>
    <t xml:space="preserve"> 69.1436 </t>
  </si>
  <si>
    <t xml:space="preserve">F:\Données chgh\2020-CHG-CZA-Cromolyn-2\plaque 1/@01 TS/G1_03.tif </t>
  </si>
  <si>
    <t xml:space="preserve"> 65.4868 </t>
  </si>
  <si>
    <t xml:space="preserve">F:\Données chgh\2020-CHG-CZA-Cromolyn-2\plaque 1/@01 TS/H1_01.tif </t>
  </si>
  <si>
    <t xml:space="preserve"> 10101.1608 </t>
  </si>
  <si>
    <t xml:space="preserve"> 71.6146 </t>
  </si>
  <si>
    <t xml:space="preserve">F:\Données chgh\2020-CHG-CZA-Cromolyn-2\plaque 1/@01 TS/H1_02.tif </t>
  </si>
  <si>
    <t xml:space="preserve"> 13951.282 </t>
  </si>
  <si>
    <t xml:space="preserve"> 84.5178 </t>
  </si>
  <si>
    <t xml:space="preserve">F:\Données chgh\2020-CHG-CZA-Cromolyn-2\plaque 1/@01 TS/H1_03.tif </t>
  </si>
  <si>
    <t xml:space="preserve"> 69.4829 </t>
  </si>
  <si>
    <t xml:space="preserve">F:\Données chgh\2020-CHG-CZA-Cromolyn-2\plaque 1/@01 TS/ </t>
  </si>
  <si>
    <t xml:space="preserve"> 70.3448 </t>
  </si>
  <si>
    <t xml:space="preserve"> 6.5566 </t>
  </si>
  <si>
    <t xml:space="preserve"> 466821.833 </t>
  </si>
  <si>
    <t xml:space="preserve"> 368218.507 </t>
  </si>
  <si>
    <t xml:space="preserve">F:\Données chgh\2020-CHG-CZA-Cromolyn-2\plaque 1/@02 EE2 34/A2_01.tif </t>
  </si>
  <si>
    <t xml:space="preserve"> 1341.0535 </t>
  </si>
  <si>
    <t xml:space="preserve"> 68.4677 </t>
  </si>
  <si>
    <t xml:space="preserve">F:\Données chgh\2020-CHG-CZA-Cromolyn-2\plaque 1/@02 EE2 34/A2_02.tif </t>
  </si>
  <si>
    <t xml:space="preserve"> 237.9288 </t>
  </si>
  <si>
    <t xml:space="preserve"> 63.4545 </t>
  </si>
  <si>
    <t xml:space="preserve">F:\Données chgh\2020-CHG-CZA-Cromolyn-2\plaque 1/@02 EE2 34/A2_03.tif </t>
  </si>
  <si>
    <t xml:space="preserve"> 778.6762 </t>
  </si>
  <si>
    <t xml:space="preserve"> 62.9722 </t>
  </si>
  <si>
    <t xml:space="preserve">F:\Données chgh\2020-CHG-CZA-Cromolyn-2\plaque 1/@02 EE2 34/B2_01.tif </t>
  </si>
  <si>
    <t xml:space="preserve"> 2076.4699 </t>
  </si>
  <si>
    <t xml:space="preserve"> 66.5417 </t>
  </si>
  <si>
    <t xml:space="preserve">F:\Données chgh\2020-CHG-CZA-Cromolyn-2\plaque 1/@02 EE2 34/B2_02.tif </t>
  </si>
  <si>
    <t xml:space="preserve"> 627.2669 </t>
  </si>
  <si>
    <t xml:space="preserve"> 65.3448 </t>
  </si>
  <si>
    <t xml:space="preserve">F:\Données chgh\2020-CHG-CZA-Cromolyn-2\plaque 1/@02 EE2 34/B2_03.tif </t>
  </si>
  <si>
    <t xml:space="preserve">F:\Données chgh\2020-CHG-CZA-Cromolyn-2\plaque 1/@02 EE2 34/C2_01.tif </t>
  </si>
  <si>
    <t xml:space="preserve"> 68.16 </t>
  </si>
  <si>
    <t xml:space="preserve">F:\Données chgh\2020-CHG-CZA-Cromolyn-2\plaque 1/@02 EE2 34/C2_02.tif </t>
  </si>
  <si>
    <t xml:space="preserve"> 2162.9895 </t>
  </si>
  <si>
    <t xml:space="preserve"> 65.59 </t>
  </si>
  <si>
    <t xml:space="preserve">F:\Données chgh\2020-CHG-CZA-Cromolyn-2\plaque 1/@02 EE2 34/C2_03.tif </t>
  </si>
  <si>
    <t xml:space="preserve"> 2033.2101 </t>
  </si>
  <si>
    <t xml:space="preserve"> 66.2021 </t>
  </si>
  <si>
    <t xml:space="preserve">F:\Données chgh\2020-CHG-CZA-Cromolyn-2\plaque 1/@02 EE2 34/D2_01.tif </t>
  </si>
  <si>
    <t xml:space="preserve"> 7397.424 </t>
  </si>
  <si>
    <t xml:space="preserve"> 78.5731 </t>
  </si>
  <si>
    <t xml:space="preserve">F:\Données chgh\2020-CHG-CZA-Cromolyn-2\plaque 1/@02 EE2 34/D2_02.tif </t>
  </si>
  <si>
    <t xml:space="preserve"> 77.9409 </t>
  </si>
  <si>
    <t xml:space="preserve">F:\Données chgh\2020-CHG-CZA-Cromolyn-2\plaque 1/@02 EE2 34/D2_03.tif </t>
  </si>
  <si>
    <t xml:space="preserve"> 64.5889 </t>
  </si>
  <si>
    <t xml:space="preserve">F:\Données chgh\2020-CHG-CZA-Cromolyn-2\plaque 1/@02 EE2 34/E2_01.tif </t>
  </si>
  <si>
    <t xml:space="preserve"> 10057.901 </t>
  </si>
  <si>
    <t xml:space="preserve"> 80.6323 </t>
  </si>
  <si>
    <t>F:\Données chgh\2020-CHG-CZA-Cromolyn-2\plaque 1/@02 EE2 34/E2_02- exclu.tif</t>
  </si>
  <si>
    <t xml:space="preserve">F:\Données chgh\2020-CHG-CZA-Cromolyn-2\plaque 1/@02 EE2 34/E2_03.tif </t>
  </si>
  <si>
    <t xml:space="preserve"> 10598.6484 </t>
  </si>
  <si>
    <t xml:space="preserve"> 79.4898 </t>
  </si>
  <si>
    <t xml:space="preserve">F:\Données chgh\2020-CHG-CZA-Cromolyn-2\plaque 1/@02 EE2 34/F2_01.tif </t>
  </si>
  <si>
    <t xml:space="preserve"> 2725.3667 </t>
  </si>
  <si>
    <t xml:space="preserve"> 66.2857 </t>
  </si>
  <si>
    <t xml:space="preserve">F:\Données chgh\2020-CHG-CZA-Cromolyn-2\plaque 1/@02 EE2 34/F2_02.tif </t>
  </si>
  <si>
    <t xml:space="preserve"> 66.7729 </t>
  </si>
  <si>
    <t xml:space="preserve">F:\Données chgh\2020-CHG-CZA-Cromolyn-2\plaque 1/@02 EE2 34/F2_03.tif </t>
  </si>
  <si>
    <t xml:space="preserve"> 69.4792 </t>
  </si>
  <si>
    <t xml:space="preserve">F:\Données chgh\2020-CHG-CZA-Cromolyn-2\plaque 1/@02 EE2 34/G2_01.tif </t>
  </si>
  <si>
    <t xml:space="preserve"> 64.1899 </t>
  </si>
  <si>
    <t xml:space="preserve">F:\Données chgh\2020-CHG-CZA-Cromolyn-2\plaque 1/@02 EE2 34/G2_02.tif </t>
  </si>
  <si>
    <t xml:space="preserve"> 3828.4913 </t>
  </si>
  <si>
    <t xml:space="preserve"> 66.5876 </t>
  </si>
  <si>
    <t xml:space="preserve">F:\Données chgh\2020-CHG-CZA-Cromolyn-2\plaque 1/@02 EE2 34/G2_03.tif </t>
  </si>
  <si>
    <t xml:space="preserve"> 67.4478 </t>
  </si>
  <si>
    <t xml:space="preserve">F:\Données chgh\2020-CHG-CZA-Cromolyn-2\plaque 1/@02 EE2 34/H2_01.tif </t>
  </si>
  <si>
    <t xml:space="preserve"> 64.3582 </t>
  </si>
  <si>
    <t xml:space="preserve">F:\Données chgh\2020-CHG-CZA-Cromolyn-2\plaque 1/@02 EE2 34/H2_02.tif </t>
  </si>
  <si>
    <t xml:space="preserve"> 886.8257 </t>
  </si>
  <si>
    <t xml:space="preserve"> 63.8537 </t>
  </si>
  <si>
    <t xml:space="preserve">F:\Données chgh\2020-CHG-CZA-Cromolyn-2\plaque 1/@02 EE2 34/H2_03.tif </t>
  </si>
  <si>
    <t xml:space="preserve"> 1319.4236 </t>
  </si>
  <si>
    <t xml:space="preserve"> 66.9508 </t>
  </si>
  <si>
    <t xml:space="preserve">F:\Données chgh\2020-CHG-CZA-Cromolyn-2\plaque 1/@02 EE2 34/ </t>
  </si>
  <si>
    <t xml:space="preserve"> 69.1166 </t>
  </si>
  <si>
    <t xml:space="preserve"> 6.5537 </t>
  </si>
  <si>
    <t xml:space="preserve"> 285978.75 </t>
  </si>
  <si>
    <t xml:space="preserve"> 289661.509 </t>
  </si>
  <si>
    <t xml:space="preserve">F:\Données chgh\2020-CHG-CZA-Cromolyn-2\plaque 1/@03 EE2 51/A3_01.tif </t>
  </si>
  <si>
    <t xml:space="preserve"> 64.4038 </t>
  </si>
  <si>
    <t xml:space="preserve">F:\Données chgh\2020-CHG-CZA-Cromolyn-2\plaque 1/@03 EE2 51/A3_02.tif </t>
  </si>
  <si>
    <t xml:space="preserve"> 66.5429 </t>
  </si>
  <si>
    <t xml:space="preserve">F:\Données chgh\2020-CHG-CZA-Cromolyn-2\plaque 1/@03 EE2 51/A3_03.tif </t>
  </si>
  <si>
    <t xml:space="preserve"> 5277.6943 </t>
  </si>
  <si>
    <t xml:space="preserve"> 71.4631 </t>
  </si>
  <si>
    <t xml:space="preserve">F:\Données chgh\2020-CHG-CZA-Cromolyn-2\plaque 1/@03 EE2 51/B3_01.tif </t>
  </si>
  <si>
    <t xml:space="preserve"> 64.4808 </t>
  </si>
  <si>
    <t xml:space="preserve">F:\Données chgh\2020-CHG-CZA-Cromolyn-2\plaque 1/@03 EE2 51/B3_02.tif </t>
  </si>
  <si>
    <t xml:space="preserve"> 843.5659 </t>
  </si>
  <si>
    <t xml:space="preserve"> 63.5641 </t>
  </si>
  <si>
    <t xml:space="preserve">F:\Données chgh\2020-CHG-CZA-Cromolyn-2\plaque 1/@03 EE2 51/B3_03.tif </t>
  </si>
  <si>
    <t xml:space="preserve"> 432.5979 </t>
  </si>
  <si>
    <t xml:space="preserve"> 63.6 </t>
  </si>
  <si>
    <t xml:space="preserve">F:\Données chgh\2020-CHG-CZA-Cromolyn-2\plaque 1/@03 EE2 51/C3_01.tif </t>
  </si>
  <si>
    <t xml:space="preserve"> 13324.0151 </t>
  </si>
  <si>
    <t xml:space="preserve"> 68.5519 </t>
  </si>
  <si>
    <t>F:\Données chgh\2020-CHG-CZA-Cromolyn-2\plaque 1/@03 EE2 51/C3_02- exclu.tif</t>
  </si>
  <si>
    <t>F:\Données chgh\2020-CHG-CZA-Cromolyn-2\plaque 1/@03 EE2 51/C3_03- exclu.tif</t>
  </si>
  <si>
    <t xml:space="preserve">F:\Données chgh\2020-CHG-CZA-Cromolyn-2\plaque 1/@03 EE2 51/D3_01.tif </t>
  </si>
  <si>
    <t xml:space="preserve"> 64.968 </t>
  </si>
  <si>
    <t xml:space="preserve">F:\Données chgh\2020-CHG-CZA-Cromolyn-2\plaque 1/@03 EE2 51/D3_02.tif </t>
  </si>
  <si>
    <t xml:space="preserve"> 259.5587 </t>
  </si>
  <si>
    <t xml:space="preserve"> 62.0833 </t>
  </si>
  <si>
    <t xml:space="preserve">F:\Données chgh\2020-CHG-CZA-Cromolyn-2\plaque 1/@03 EE2 51/D3_03.tif </t>
  </si>
  <si>
    <t xml:space="preserve"> 65.7019 </t>
  </si>
  <si>
    <t xml:space="preserve">F:\Données chgh\2020-CHG-CZA-Cromolyn-2\plaque 1/@03 EE2 51/E3_01.tif </t>
  </si>
  <si>
    <t xml:space="preserve"> 63.9722 </t>
  </si>
  <si>
    <t xml:space="preserve">F:\Données chgh\2020-CHG-CZA-Cromolyn-2\plaque 1/@03 EE2 51/E3_02.tif </t>
  </si>
  <si>
    <t xml:space="preserve"> 64.4083 </t>
  </si>
  <si>
    <t xml:space="preserve">F:\Données chgh\2020-CHG-CZA-Cromolyn-2\plaque 1/@03 EE2 51/E3_03.tif </t>
  </si>
  <si>
    <t xml:space="preserve"> 1773.6514 </t>
  </si>
  <si>
    <t xml:space="preserve"> 65.2683 </t>
  </si>
  <si>
    <t xml:space="preserve">F:\Données chgh\2020-CHG-CZA-Cromolyn-2\plaque 1/@03 EE2 51/F3_01.tif </t>
  </si>
  <si>
    <t xml:space="preserve"> 16244.0509 </t>
  </si>
  <si>
    <t xml:space="preserve"> 65.5406 </t>
  </si>
  <si>
    <t xml:space="preserve">F:\Données chgh\2020-CHG-CZA-Cromolyn-2\plaque 1/@03 EE2 51/F3_02.tif </t>
  </si>
  <si>
    <t xml:space="preserve"> 15746.5633 </t>
  </si>
  <si>
    <t xml:space="preserve"> 68.9409 </t>
  </si>
  <si>
    <t xml:space="preserve">F:\Données chgh\2020-CHG-CZA-Cromolyn-2\plaque 1/@03 EE2 51/F3_03.tif </t>
  </si>
  <si>
    <t xml:space="preserve"> 10923.0968 </t>
  </si>
  <si>
    <t xml:space="preserve"> 66.7822 </t>
  </si>
  <si>
    <t xml:space="preserve">F:\Données chgh\2020-CHG-CZA-Cromolyn-2\plaque 1/@03 EE2 51/G3_01.tif </t>
  </si>
  <si>
    <t xml:space="preserve"> 151.4093 </t>
  </si>
  <si>
    <t xml:space="preserve"> 61.8571 </t>
  </si>
  <si>
    <t xml:space="preserve">F:\Données chgh\2020-CHG-CZA-Cromolyn-2\plaque 1/@03 EE2 51/G3_02.tif </t>
  </si>
  <si>
    <t xml:space="preserve"> 67.05 </t>
  </si>
  <si>
    <t xml:space="preserve">F:\Données chgh\2020-CHG-CZA-Cromolyn-2\plaque 1/@03 EE2 51/G3_03.tif </t>
  </si>
  <si>
    <t xml:space="preserve"> 800.3061 </t>
  </si>
  <si>
    <t xml:space="preserve"> 63.7027 </t>
  </si>
  <si>
    <t>F:\Données chgh\2020-CHG-CZA-Cromolyn-2\plaque 1/@03 EE2 51/H3_01- exclu.tif</t>
  </si>
  <si>
    <t xml:space="preserve">F:\Données chgh\2020-CHG-CZA-Cromolyn-2\plaque 1/@03 EE2 51/H3_02.tif </t>
  </si>
  <si>
    <t xml:space="preserve"> 519.1175 </t>
  </si>
  <si>
    <t xml:space="preserve"> 63.7917 </t>
  </si>
  <si>
    <t xml:space="preserve">F:\Données chgh\2020-CHG-CZA-Cromolyn-2\plaque 1/@03 EE2 51/H3_03.tif </t>
  </si>
  <si>
    <t xml:space="preserve"> 64.0625 </t>
  </si>
  <si>
    <t xml:space="preserve">F:\Données chgh\2020-CHG-CZA-Cromolyn-2\plaque 1/@03 EE2 51/ </t>
  </si>
  <si>
    <t xml:space="preserve"> 68.2189 </t>
  </si>
  <si>
    <t xml:space="preserve"> 10.5446 </t>
  </si>
  <si>
    <t xml:space="preserve"> 370570.542 </t>
  </si>
  <si>
    <t xml:space="preserve"> 523644.57 </t>
  </si>
  <si>
    <t xml:space="preserve">F:\Données chgh\2020-CHG-CZA-Cromolyn-2\plaque 1/@04 EE2 76/A4_01.tif </t>
  </si>
  <si>
    <t xml:space="preserve"> 25350.2365 </t>
  </si>
  <si>
    <t xml:space="preserve"> 68.9454 </t>
  </si>
  <si>
    <t xml:space="preserve">F:\Données chgh\2020-CHG-CZA-Cromolyn-2\plaque 1/@04 EE2 76/A4_02.tif </t>
  </si>
  <si>
    <t xml:space="preserve"> 28400.0516 </t>
  </si>
  <si>
    <t xml:space="preserve"> 69.6024 </t>
  </si>
  <si>
    <t xml:space="preserve">F:\Données chgh\2020-CHG-CZA-Cromolyn-2\plaque 1/@04 EE2 76/A4_03.tif </t>
  </si>
  <si>
    <t xml:space="preserve"> 33396.5573 </t>
  </si>
  <si>
    <t xml:space="preserve"> 73.7655 </t>
  </si>
  <si>
    <t xml:space="preserve">F:\Données chgh\2020-CHG-CZA-Cromolyn-2\plaque 1/@04 EE2 76/B4_01.tif </t>
  </si>
  <si>
    <t xml:space="preserve"> 11269.1751 </t>
  </si>
  <si>
    <t xml:space="preserve"> 64.7946 </t>
  </si>
  <si>
    <t xml:space="preserve">F:\Données chgh\2020-CHG-CZA-Cromolyn-2\plaque 1/@04 EE2 76/B4_02.tif </t>
  </si>
  <si>
    <t xml:space="preserve"> 64.0034 </t>
  </si>
  <si>
    <t xml:space="preserve">F:\Données chgh\2020-CHG-CZA-Cromolyn-2\plaque 1/@04 EE2 76/B4_03.tif </t>
  </si>
  <si>
    <t xml:space="preserve"> 63.4562 </t>
  </si>
  <si>
    <t xml:space="preserve">F:\Données chgh\2020-CHG-CZA-Cromolyn-2\plaque 1/@04 EE2 76/C4_01.tif </t>
  </si>
  <si>
    <t xml:space="preserve"> 64.7484 </t>
  </si>
  <si>
    <t xml:space="preserve">F:\Données chgh\2020-CHG-CZA-Cromolyn-2\plaque 1/@04 EE2 76/C4_02.tif </t>
  </si>
  <si>
    <t xml:space="preserve"> 4369.2387 </t>
  </si>
  <si>
    <t xml:space="preserve"> 64.7624 </t>
  </si>
  <si>
    <t xml:space="preserve">F:\Données chgh\2020-CHG-CZA-Cromolyn-2\plaque 1/@04 EE2 76/C4_03.tif </t>
  </si>
  <si>
    <t xml:space="preserve"> 11507.1039 </t>
  </si>
  <si>
    <t xml:space="preserve"> 69.3571 </t>
  </si>
  <si>
    <t xml:space="preserve">F:\Données chgh\2020-CHG-CZA-Cromolyn-2\plaque 1/@04 EE2 76/D4_01.tif </t>
  </si>
  <si>
    <t xml:space="preserve"> 64.9371 </t>
  </si>
  <si>
    <t xml:space="preserve">F:\Données chgh\2020-CHG-CZA-Cromolyn-2\plaque 1/@04 EE2 76/D4_02.tif </t>
  </si>
  <si>
    <t xml:space="preserve"> 3655.4522 </t>
  </si>
  <si>
    <t xml:space="preserve"> 64.4615 </t>
  </si>
  <si>
    <t xml:space="preserve">F:\Données chgh\2020-CHG-CZA-Cromolyn-2\plaque 1/@04 EE2 76/D4_03.tif </t>
  </si>
  <si>
    <t xml:space="preserve"> 63.557 </t>
  </si>
  <si>
    <t xml:space="preserve">F:\Données chgh\2020-CHG-CZA-Cromolyn-2\plaque 1/@04 EE2 76/E4_01.tif </t>
  </si>
  <si>
    <t xml:space="preserve"> 19899.5031 </t>
  </si>
  <si>
    <t xml:space="preserve"> 65.7239 </t>
  </si>
  <si>
    <t xml:space="preserve">F:\Données chgh\2020-CHG-CZA-Cromolyn-2\plaque 1/@04 EE2 76/E4_02.tif </t>
  </si>
  <si>
    <t xml:space="preserve"> 38457.9527 </t>
  </si>
  <si>
    <t xml:space="preserve"> 68.991 </t>
  </si>
  <si>
    <t xml:space="preserve">F:\Données chgh\2020-CHG-CZA-Cromolyn-2\plaque 1/@04 EE2 76/E4_03.tif </t>
  </si>
  <si>
    <t xml:space="preserve"> 26885.959 </t>
  </si>
  <si>
    <t xml:space="preserve"> 67.0097 </t>
  </si>
  <si>
    <t xml:space="preserve">F:\Données chgh\2020-CHG-CZA-Cromolyn-2\plaque 1/@04 EE2 76/F4_01.tif </t>
  </si>
  <si>
    <t xml:space="preserve"> 6013.1107 </t>
  </si>
  <si>
    <t xml:space="preserve"> 66.7086 </t>
  </si>
  <si>
    <t xml:space="preserve">F:\Données chgh\2020-CHG-CZA-Cromolyn-2\plaque 1/@04 EE2 76/F4_02.tif </t>
  </si>
  <si>
    <t xml:space="preserve"> 4412.4985 </t>
  </si>
  <si>
    <t xml:space="preserve"> 63.8529 </t>
  </si>
  <si>
    <t xml:space="preserve">F:\Données chgh\2020-CHG-CZA-Cromolyn-2\plaque 1/@04 EE2 76/F4_03.tif </t>
  </si>
  <si>
    <t xml:space="preserve"> 63.4091 </t>
  </si>
  <si>
    <t xml:space="preserve">F:\Données chgh\2020-CHG-CZA-Cromolyn-2\plaque 1/@04 EE2 76/G4_01.tif </t>
  </si>
  <si>
    <t xml:space="preserve"> 65.44 </t>
  </si>
  <si>
    <t xml:space="preserve">F:\Données chgh\2020-CHG-CZA-Cromolyn-2\plaque 1/@04 EE2 76/G4_02.tif </t>
  </si>
  <si>
    <t xml:space="preserve"> 69.9784 </t>
  </si>
  <si>
    <t xml:space="preserve">F:\Données chgh\2020-CHG-CZA-Cromolyn-2\plaque 1/@04 EE2 76/G4_03.tif </t>
  </si>
  <si>
    <t xml:space="preserve"> 69.5626 </t>
  </si>
  <si>
    <t xml:space="preserve">F:\Données chgh\2020-CHG-CZA-Cromolyn-2\plaque 1/@04 EE2 76/H4_01.tif </t>
  </si>
  <si>
    <t xml:space="preserve"> 4563.9078 </t>
  </si>
  <si>
    <t xml:space="preserve"> 64.4076 </t>
  </si>
  <si>
    <t xml:space="preserve">F:\Données chgh\2020-CHG-CZA-Cromolyn-2\plaque 1/@04 EE2 76/H4_02.tif </t>
  </si>
  <si>
    <t xml:space="preserve"> 64.4492 </t>
  </si>
  <si>
    <t xml:space="preserve">F:\Données chgh\2020-CHG-CZA-Cromolyn-2\plaque 1/@04 EE2 76/H4_03.tif </t>
  </si>
  <si>
    <t xml:space="preserve"> 65.5606 </t>
  </si>
  <si>
    <t xml:space="preserve">F:\Données chgh\2020-CHG-CZA-Cromolyn-2\plaque 1/@04 EE2 76/ </t>
  </si>
  <si>
    <t xml:space="preserve"> 66.3119 </t>
  </si>
  <si>
    <t xml:space="preserve"> 2.7283 </t>
  </si>
  <si>
    <t xml:space="preserve"> 806036.167 </t>
  </si>
  <si>
    <t xml:space="preserve"> 759558.093 </t>
  </si>
  <si>
    <t>F:\Données chgh\2020-CHG-CZA-Cromolyn-2\plaque 1/@05 EE2 114/A5_01- exclu.tif</t>
  </si>
  <si>
    <t xml:space="preserve">F:\Données chgh\2020-CHG-CZA-Cromolyn-2\plaque 1/@05 EE2 114/A5_02.tif </t>
  </si>
  <si>
    <t xml:space="preserve"> 49337.7896 </t>
  </si>
  <si>
    <t xml:space="preserve"> 69.8167 </t>
  </si>
  <si>
    <t xml:space="preserve">F:\Données chgh\2020-CHG-CZA-Cromolyn-2\plaque 1/@05 EE2 114/A5_03.tif </t>
  </si>
  <si>
    <t xml:space="preserve"> 56194.4662 </t>
  </si>
  <si>
    <t xml:space="preserve"> 70.5997 </t>
  </si>
  <si>
    <t>F:\Données chgh\2020-CHG-CZA-Cromolyn-2\plaque 1/@05 EE2 114/B5_01- exclu.tif</t>
  </si>
  <si>
    <t xml:space="preserve">F:\Données chgh\2020-CHG-CZA-Cromolyn-2\plaque 1/@05 EE2 114/B5_02.tif </t>
  </si>
  <si>
    <t xml:space="preserve"> 39950.4154 </t>
  </si>
  <si>
    <t xml:space="preserve"> 73.0947 </t>
  </si>
  <si>
    <t xml:space="preserve">F:\Données chgh\2020-CHG-CZA-Cromolyn-2\plaque 1/@05 EE2 114/B5_03.tif </t>
  </si>
  <si>
    <t xml:space="preserve"> 36424.7426 </t>
  </si>
  <si>
    <t xml:space="preserve"> 73.1621 </t>
  </si>
  <si>
    <t xml:space="preserve">F:\Données chgh\2020-CHG-CZA-Cromolyn-2\plaque 1/@05 EE2 114/C5_01.tif </t>
  </si>
  <si>
    <t xml:space="preserve"> 69.3816 </t>
  </si>
  <si>
    <t xml:space="preserve">F:\Données chgh\2020-CHG-CZA-Cromolyn-2\plaque 1/@05 EE2 114/C5_02.tif </t>
  </si>
  <si>
    <t xml:space="preserve"> 41291.4688 </t>
  </si>
  <si>
    <t xml:space="preserve"> 69.6606 </t>
  </si>
  <si>
    <t xml:space="preserve">F:\Données chgh\2020-CHG-CZA-Cromolyn-2\plaque 1/@05 EE2 114/C5_03.tif </t>
  </si>
  <si>
    <t xml:space="preserve"> 39712.4865 </t>
  </si>
  <si>
    <t xml:space="preserve"> 70.0626 </t>
  </si>
  <si>
    <t xml:space="preserve">F:\Données chgh\2020-CHG-CZA-Cromolyn-2\plaque 1/@05 EE2 114/D5_01.tif </t>
  </si>
  <si>
    <t xml:space="preserve"> 20699.8092 </t>
  </si>
  <si>
    <t xml:space="preserve"> 65.7346 </t>
  </si>
  <si>
    <t xml:space="preserve">F:\Données chgh\2020-CHG-CZA-Cromolyn-2\plaque 1/@05 EE2 114/D5_02.tif </t>
  </si>
  <si>
    <t xml:space="preserve"> 25090.6778 </t>
  </si>
  <si>
    <t xml:space="preserve"> 66.4379 </t>
  </si>
  <si>
    <t xml:space="preserve">F:\Données chgh\2020-CHG-CZA-Cromolyn-2\plaque 1/@05 EE2 114/D5_03.tif </t>
  </si>
  <si>
    <t xml:space="preserve"> 17844.6631 </t>
  </si>
  <si>
    <t xml:space="preserve"> 65.6497 </t>
  </si>
  <si>
    <t xml:space="preserve">F:\Données chgh\2020-CHG-CZA-Cromolyn-2\plaque 1/@05 EE2 114/E5_01.tif </t>
  </si>
  <si>
    <t xml:space="preserve"> 32444.8419 </t>
  </si>
  <si>
    <t xml:space="preserve"> 72.9473 </t>
  </si>
  <si>
    <t xml:space="preserve">F:\Données chgh\2020-CHG-CZA-Cromolyn-2\plaque 1/@05 EE2 114/E5_02.tif </t>
  </si>
  <si>
    <t xml:space="preserve"> 31558.0163 </t>
  </si>
  <si>
    <t xml:space="preserve"> 75.4757 </t>
  </si>
  <si>
    <t xml:space="preserve">F:\Données chgh\2020-CHG-CZA-Cromolyn-2\plaque 1/@05 EE2 114/E5_03.tif </t>
  </si>
  <si>
    <t xml:space="preserve"> 33050.479 </t>
  </si>
  <si>
    <t xml:space="preserve"> 73.2369 </t>
  </si>
  <si>
    <t xml:space="preserve">F:\Données chgh\2020-CHG-CZA-Cromolyn-2\plaque 1/@05 EE2 114/F5_01.tif </t>
  </si>
  <si>
    <t xml:space="preserve"> 3871.7511 </t>
  </si>
  <si>
    <t xml:space="preserve"> 63.6648 </t>
  </si>
  <si>
    <t xml:space="preserve">F:\Données chgh\2020-CHG-CZA-Cromolyn-2\plaque 1/@05 EE2 114/F5_02.tif </t>
  </si>
  <si>
    <t xml:space="preserve"> 65.6886 </t>
  </si>
  <si>
    <t xml:space="preserve">F:\Données chgh\2020-CHG-CZA-Cromolyn-2\plaque 1/@05 EE2 114/F5_03.tif </t>
  </si>
  <si>
    <t xml:space="preserve"> 12545.3389 </t>
  </si>
  <si>
    <t xml:space="preserve"> 65.1259 </t>
  </si>
  <si>
    <t xml:space="preserve">F:\Données chgh\2020-CHG-CZA-Cromolyn-2\plaque 1/@05 EE2 114/G5_01.tif </t>
  </si>
  <si>
    <t xml:space="preserve"> 11355.6947 </t>
  </si>
  <si>
    <t xml:space="preserve"> 65.8552 </t>
  </si>
  <si>
    <t xml:space="preserve">F:\Données chgh\2020-CHG-CZA-Cromolyn-2\plaque 1/@05 EE2 114/G5_02.tif </t>
  </si>
  <si>
    <t xml:space="preserve"> 63.5614 </t>
  </si>
  <si>
    <t xml:space="preserve">F:\Données chgh\2020-CHG-CZA-Cromolyn-2\plaque 1/@05 EE2 114/G5_03.tif </t>
  </si>
  <si>
    <t xml:space="preserve"> 72.4361 </t>
  </si>
  <si>
    <t xml:space="preserve">F:\Données chgh\2020-CHG-CZA-Cromolyn-2\plaque 1/@05 EE2 114/H5_01.tif </t>
  </si>
  <si>
    <t xml:space="preserve"> 19964.3927 </t>
  </si>
  <si>
    <t xml:space="preserve"> 68.0043 </t>
  </si>
  <si>
    <t xml:space="preserve">F:\Données chgh\2020-CHG-CZA-Cromolyn-2\plaque 1/@05 EE2 114/H5_02.tif </t>
  </si>
  <si>
    <t xml:space="preserve"> 21110.7772 </t>
  </si>
  <si>
    <t xml:space="preserve"> 67.5102 </t>
  </si>
  <si>
    <t xml:space="preserve">F:\Données chgh\2020-CHG-CZA-Cromolyn-2\plaque 1/@05 EE2 114/H5_03.tif </t>
  </si>
  <si>
    <t xml:space="preserve"> 20829.5885 </t>
  </si>
  <si>
    <t xml:space="preserve"> 67.7497 </t>
  </si>
  <si>
    <t xml:space="preserve">F:\Données chgh\2020-CHG-CZA-Cromolyn-2\plaque 1/@05 EE2 114/ </t>
  </si>
  <si>
    <t xml:space="preserve"> 68.3693 </t>
  </si>
  <si>
    <t xml:space="preserve"> 3.7075 </t>
  </si>
  <si>
    <t xml:space="preserve"> 1701495.83 </t>
  </si>
  <si>
    <t xml:space="preserve"> 1122192.11 </t>
  </si>
  <si>
    <t xml:space="preserve">F:\Données chgh\2020-CHG-CZA-Cromolyn-2\plaque 1/@06 EE2 171/A6_01.tif </t>
  </si>
  <si>
    <t xml:space="preserve"> 15076.0366 </t>
  </si>
  <si>
    <t xml:space="preserve"> 69.1076 </t>
  </si>
  <si>
    <t xml:space="preserve">F:\Données chgh\2020-CHG-CZA-Cromolyn-2\plaque 1/@06 EE2 171/A6_02.tif </t>
  </si>
  <si>
    <t xml:space="preserve"> 14081.0614 </t>
  </si>
  <si>
    <t xml:space="preserve"> 70.0568 </t>
  </si>
  <si>
    <t xml:space="preserve">F:\Données chgh\2020-CHG-CZA-Cromolyn-2\plaque 1/@06 EE2 171/A6_03.tif </t>
  </si>
  <si>
    <t xml:space="preserve"> 15443.7448 </t>
  </si>
  <si>
    <t xml:space="preserve"> 77.0336 </t>
  </si>
  <si>
    <t xml:space="preserve">F:\Données chgh\2020-CHG-CZA-Cromolyn-2\plaque 1/@06 EE2 171/B6_01.tif </t>
  </si>
  <si>
    <t xml:space="preserve"> 31731.0554 </t>
  </si>
  <si>
    <t xml:space="preserve"> 69.2331 </t>
  </si>
  <si>
    <t xml:space="preserve">F:\Données chgh\2020-CHG-CZA-Cromolyn-2\plaque 1/@06 EE2 171/B6_02.tif </t>
  </si>
  <si>
    <t xml:space="preserve"> 29957.4041 </t>
  </si>
  <si>
    <t xml:space="preserve"> 69.8036 </t>
  </si>
  <si>
    <t xml:space="preserve">F:\Données chgh\2020-CHG-CZA-Cromolyn-2\plaque 1/@06 EE2 171/B6_03.tif </t>
  </si>
  <si>
    <t xml:space="preserve"> 38263.2836 </t>
  </si>
  <si>
    <t xml:space="preserve"> 70.4358 </t>
  </si>
  <si>
    <t xml:space="preserve">F:\Données chgh\2020-CHG-CZA-Cromolyn-2\plaque 1/@06 EE2 171/C6_01.tif </t>
  </si>
  <si>
    <t xml:space="preserve"> 53209.5408 </t>
  </si>
  <si>
    <t xml:space="preserve"> 71.3435 </t>
  </si>
  <si>
    <t xml:space="preserve">F:\Données chgh\2020-CHG-CZA-Cromolyn-2\plaque 1/@06 EE2 171/C6_02.tif </t>
  </si>
  <si>
    <t xml:space="preserve"> 53490.7294 </t>
  </si>
  <si>
    <t xml:space="preserve"> 71.4691 </t>
  </si>
  <si>
    <t xml:space="preserve">F:\Données chgh\2020-CHG-CZA-Cromolyn-2\plaque 1/@06 EE2 171/C6_03.tif </t>
  </si>
  <si>
    <t xml:space="preserve"> 46655.6827 </t>
  </si>
  <si>
    <t xml:space="preserve"> 71.5165 </t>
  </si>
  <si>
    <t xml:space="preserve">F:\Données chgh\2020-CHG-CZA-Cromolyn-2\plaque 1/@06 EE2 171/D6_01.tif </t>
  </si>
  <si>
    <t xml:space="preserve"> 45184.8499 </t>
  </si>
  <si>
    <t xml:space="preserve"> 80.5749 </t>
  </si>
  <si>
    <t xml:space="preserve">F:\Données chgh\2020-CHG-CZA-Cromolyn-2\plaque 1/@06 EE2 171/D6_02.tif </t>
  </si>
  <si>
    <t xml:space="preserve"> 39820.636 </t>
  </si>
  <si>
    <t xml:space="preserve"> 78.1434 </t>
  </si>
  <si>
    <t xml:space="preserve">F:\Données chgh\2020-CHG-CZA-Cromolyn-2\plaque 1/@06 EE2 171/D6_03.tif </t>
  </si>
  <si>
    <t xml:space="preserve"> 80.168 </t>
  </si>
  <si>
    <t xml:space="preserve">F:\Données chgh\2020-CHG-CZA-Cromolyn-2\plaque 1/@06 EE2 171/E6_01.tif </t>
  </si>
  <si>
    <t xml:space="preserve"> 35624.4365 </t>
  </si>
  <si>
    <t xml:space="preserve"> 71.5191 </t>
  </si>
  <si>
    <t xml:space="preserve">F:\Données chgh\2020-CHG-CZA-Cromolyn-2\plaque 1/@06 EE2 171/E6_02.tif </t>
  </si>
  <si>
    <t xml:space="preserve"> 34564.5716 </t>
  </si>
  <si>
    <t xml:space="preserve"> 70.7622 </t>
  </si>
  <si>
    <t xml:space="preserve">F:\Données chgh\2020-CHG-CZA-Cromolyn-2\plaque 1/@06 EE2 171/E6_03.tif </t>
  </si>
  <si>
    <t xml:space="preserve"> 71.0581 </t>
  </si>
  <si>
    <t xml:space="preserve">F:\Données chgh\2020-CHG-CZA-Cromolyn-2\plaque 1/@06 EE2 171/F6_01.tif </t>
  </si>
  <si>
    <t xml:space="preserve"> 27145.5178 </t>
  </si>
  <si>
    <t xml:space="preserve"> 77.6231 </t>
  </si>
  <si>
    <t xml:space="preserve">F:\Données chgh\2020-CHG-CZA-Cromolyn-2\plaque 1/@06 EE2 171/F6_02.tif </t>
  </si>
  <si>
    <t xml:space="preserve"> 32358.3224 </t>
  </si>
  <si>
    <t xml:space="preserve"> 81.5789 </t>
  </si>
  <si>
    <t xml:space="preserve">F:\Données chgh\2020-CHG-CZA-Cromolyn-2\plaque 1/@06 EE2 171/F6_03.tif </t>
  </si>
  <si>
    <t xml:space="preserve"> 33201.8883 </t>
  </si>
  <si>
    <t xml:space="preserve"> 75.4932 </t>
  </si>
  <si>
    <t xml:space="preserve">F:\Données chgh\2020-CHG-CZA-Cromolyn-2\plaque 1/@06 EE2 171/G6_01.tif </t>
  </si>
  <si>
    <t xml:space="preserve"> 56324.2456 </t>
  </si>
  <si>
    <t xml:space="preserve"> 75.2684 </t>
  </si>
  <si>
    <t xml:space="preserve">F:\Données chgh\2020-CHG-CZA-Cromolyn-2\plaque 1/@06 EE2 171/G6_02.tif </t>
  </si>
  <si>
    <t xml:space="preserve"> 62250.8367 </t>
  </si>
  <si>
    <t xml:space="preserve"> 74.9778 </t>
  </si>
  <si>
    <t xml:space="preserve">F:\Données chgh\2020-CHG-CZA-Cromolyn-2\plaque 1/@06 EE2 171/G6_03.tif </t>
  </si>
  <si>
    <t xml:space="preserve"> 76.5442 </t>
  </si>
  <si>
    <t xml:space="preserve">F:\Données chgh\2020-CHG-CZA-Cromolyn-2\plaque 1/@06 EE2 171/H6_01.tif </t>
  </si>
  <si>
    <t xml:space="preserve"> 71703.1007 </t>
  </si>
  <si>
    <t xml:space="preserve"> 73.1759 </t>
  </si>
  <si>
    <t xml:space="preserve">F:\Données chgh\2020-CHG-CZA-Cromolyn-2\plaque 1/@06 EE2 171/H6_02.tif </t>
  </si>
  <si>
    <t xml:space="preserve"> 74.2 </t>
  </si>
  <si>
    <t xml:space="preserve">F:\Données chgh\2020-CHG-CZA-Cromolyn-2\plaque 1/@06 EE2 171/H6_03.tif </t>
  </si>
  <si>
    <t xml:space="preserve"> 63051.1428 </t>
  </si>
  <si>
    <t xml:space="preserve"> 73.2168 </t>
  </si>
  <si>
    <t xml:space="preserve">F:\Données chgh\2020-CHG-CZA-Cromolyn-2\plaque 1/@06 EE2 171/ </t>
  </si>
  <si>
    <t xml:space="preserve"> 73.9293 </t>
  </si>
  <si>
    <t xml:space="preserve"> 3.7771 </t>
  </si>
  <si>
    <t xml:space="preserve"> 3081300.17 </t>
  </si>
  <si>
    <t xml:space="preserve"> 1179013.58 </t>
  </si>
  <si>
    <t xml:space="preserve">F:\Données chgh\2020-CHG-CZA-Cromolyn-2\plaque 1/@07 EE2 488/A7_01.tif </t>
  </si>
  <si>
    <t xml:space="preserve"> 63829.819 </t>
  </si>
  <si>
    <t xml:space="preserve"> 91.0346 </t>
  </si>
  <si>
    <t>F:\Données chgh\2020-CHG-CZA-Cromolyn-2\plaque 1/@07 EE2 488/A7_02- exclu.tif</t>
  </si>
  <si>
    <t xml:space="preserve">F:\Données chgh\2020-CHG-CZA-Cromolyn-2\plaque 1/@07 EE2 488/A7_03.tif </t>
  </si>
  <si>
    <t xml:space="preserve"> 63375.5913 </t>
  </si>
  <si>
    <t xml:space="preserve"> 89.7915 </t>
  </si>
  <si>
    <t xml:space="preserve">F:\Données chgh\2020-CHG-CZA-Cromolyn-2\plaque 1/@07 EE2 488/B7_01.tif </t>
  </si>
  <si>
    <t xml:space="preserve"> 90650.8884 </t>
  </si>
  <si>
    <t xml:space="preserve"> 110.7184 </t>
  </si>
  <si>
    <t xml:space="preserve">F:\Données chgh\2020-CHG-CZA-Cromolyn-2\plaque 1/@07 EE2 488/B7_02.tif </t>
  </si>
  <si>
    <t xml:space="preserve"> 98545.7999 </t>
  </si>
  <si>
    <t xml:space="preserve"> 106.8169 </t>
  </si>
  <si>
    <t xml:space="preserve">F:\Données chgh\2020-CHG-CZA-Cromolyn-2\plaque 1/@07 EE2 488/B7_03.tif </t>
  </si>
  <si>
    <t xml:space="preserve"> 96534.2197 </t>
  </si>
  <si>
    <t xml:space="preserve"> 106.6644 </t>
  </si>
  <si>
    <t xml:space="preserve">F:\Données chgh\2020-CHG-CZA-Cromolyn-2\plaque 1/@07 EE2 488/C7_01.tif </t>
  </si>
  <si>
    <t xml:space="preserve"> 68804.6948 </t>
  </si>
  <si>
    <t xml:space="preserve"> 88.3568 </t>
  </si>
  <si>
    <t>F:\Données chgh\2020-CHG-CZA-Cromolyn-2\plaque 1/@07 EE2 488/C7_02- exclu.tif</t>
  </si>
  <si>
    <t xml:space="preserve">F:\Données chgh\2020-CHG-CZA-Cromolyn-2\plaque 1/@07 EE2 488/C7_03.tif </t>
  </si>
  <si>
    <t xml:space="preserve"> 69583.371 </t>
  </si>
  <si>
    <t xml:space="preserve"> 88.0712 </t>
  </si>
  <si>
    <t xml:space="preserve">F:\Données chgh\2020-CHG-CZA-Cromolyn-2\plaque 1/@07 EE2 488/D7_01.tif </t>
  </si>
  <si>
    <t xml:space="preserve"> 70794.6451 </t>
  </si>
  <si>
    <t xml:space="preserve"> 99.1399 </t>
  </si>
  <si>
    <t xml:space="preserve">F:\Données chgh\2020-CHG-CZA-Cromolyn-2\plaque 1/@07 EE2 488/D7_02.tif </t>
  </si>
  <si>
    <t xml:space="preserve"> 74471.7272 </t>
  </si>
  <si>
    <t xml:space="preserve"> 94.5722 </t>
  </si>
  <si>
    <t xml:space="preserve">F:\Données chgh\2020-CHG-CZA-Cromolyn-2\plaque 1/@07 EE2 488/D7_03.tif </t>
  </si>
  <si>
    <t xml:space="preserve"> 61212.6018 </t>
  </si>
  <si>
    <t xml:space="preserve"> 94.5392 </t>
  </si>
  <si>
    <t xml:space="preserve">F:\Données chgh\2020-CHG-CZA-Cromolyn-2\plaque 1/@07 EE2 488/E7_01.tif </t>
  </si>
  <si>
    <t xml:space="preserve"> 43800.5366 </t>
  </si>
  <si>
    <t xml:space="preserve"> 92.439 </t>
  </si>
  <si>
    <t xml:space="preserve">F:\Données chgh\2020-CHG-CZA-Cromolyn-2\plaque 1/@07 EE2 488/E7_02.tif </t>
  </si>
  <si>
    <t xml:space="preserve"> 38847.2908 </t>
  </si>
  <si>
    <t xml:space="preserve"> 97.9727 </t>
  </si>
  <si>
    <t xml:space="preserve">F:\Données chgh\2020-CHG-CZA-Cromolyn-2\plaque 1/@07 EE2 488/E7_03.tif </t>
  </si>
  <si>
    <t xml:space="preserve"> 45379.5189 </t>
  </si>
  <si>
    <t xml:space="preserve"> 97.2846 </t>
  </si>
  <si>
    <t xml:space="preserve">F:\Données chgh\2020-CHG-CZA-Cromolyn-2\plaque 1/@07 EE2 488/F7_01.tif </t>
  </si>
  <si>
    <t xml:space="preserve"> 67139.1929 </t>
  </si>
  <si>
    <t xml:space="preserve"> 100.8792 </t>
  </si>
  <si>
    <t xml:space="preserve">F:\Données chgh\2020-CHG-CZA-Cromolyn-2\plaque 1/@07 EE2 488/F7_02.tif </t>
  </si>
  <si>
    <t xml:space="preserve"> 66252.3672 </t>
  </si>
  <si>
    <t xml:space="preserve"> 98.8224 </t>
  </si>
  <si>
    <t xml:space="preserve">F:\Données chgh\2020-CHG-CZA-Cromolyn-2\plaque 1/@07 EE2 488/F7_03.tif </t>
  </si>
  <si>
    <t xml:space="preserve"> 66836.3744 </t>
  </si>
  <si>
    <t xml:space="preserve"> 102.9699 </t>
  </si>
  <si>
    <t xml:space="preserve">F:\Données chgh\2020-CHG-CZA-Cromolyn-2\plaque 1/@07 EE2 488/G7_01.tif </t>
  </si>
  <si>
    <t xml:space="preserve"> 54442.4448 </t>
  </si>
  <si>
    <t xml:space="preserve"> 98.5562 </t>
  </si>
  <si>
    <t>F:\Données chgh\2020-CHG-CZA-Cromolyn-2\plaque 1/@07 EE2 488/G7_02- exclu.tif</t>
  </si>
  <si>
    <t xml:space="preserve">F:\Données chgh\2020-CHG-CZA-Cromolyn-2\plaque 1/@07 EE2 488/G7_03.tif </t>
  </si>
  <si>
    <t xml:space="preserve"> 53988.217 </t>
  </si>
  <si>
    <t xml:space="preserve"> 99.9635 </t>
  </si>
  <si>
    <t xml:space="preserve">F:\Données chgh\2020-CHG-CZA-Cromolyn-2\plaque 1/@07 EE2 488/H7_01.tif </t>
  </si>
  <si>
    <t xml:space="preserve"> 85.9274 </t>
  </si>
  <si>
    <t xml:space="preserve">F:\Données chgh\2020-CHG-CZA-Cromolyn-2\plaque 1/@07 EE2 488/H7_02.tif </t>
  </si>
  <si>
    <t xml:space="preserve"> 67182.4527 </t>
  </si>
  <si>
    <t xml:space="preserve"> 85.5119 </t>
  </si>
  <si>
    <t xml:space="preserve">F:\Données chgh\2020-CHG-CZA-Cromolyn-2\plaque 1/@07 EE2 488/H7_03.tif </t>
  </si>
  <si>
    <t xml:space="preserve"> 69367.0721 </t>
  </si>
  <si>
    <t xml:space="preserve"> 89.855 </t>
  </si>
  <si>
    <t xml:space="preserve">F:\Données chgh\2020-CHG-CZA-Cromolyn-2\plaque 1/@07 EE2 488/ </t>
  </si>
  <si>
    <t xml:space="preserve"> 94.4244 </t>
  </si>
  <si>
    <t xml:space="preserve"> 8.6647 </t>
  </si>
  <si>
    <t xml:space="preserve"> 6060310.62 </t>
  </si>
  <si>
    <t xml:space="preserve"> 2049197.93 </t>
  </si>
  <si>
    <t xml:space="preserve">F:\Données chgh\2020-CHG-CZA-Cromolyn-2\plaque 1/@08 Cromolyn 0.1/A8_01.tif </t>
  </si>
  <si>
    <t xml:space="preserve"> 64.74 </t>
  </si>
  <si>
    <t xml:space="preserve">F:\Données chgh\2020-CHG-CZA-Cromolyn-2\plaque 1/@08 Cromolyn 0.1/A8_02.tif </t>
  </si>
  <si>
    <t xml:space="preserve"> 68.7668 </t>
  </si>
  <si>
    <t>F:\Données chgh\2020-CHG-CZA-Cromolyn-2\plaque 1/@08 Cromolyn 0.1/A8_03- exclu.tif</t>
  </si>
  <si>
    <t>F:\Données chgh\2020-CHG-CZA-Cromolyn-2\plaque 1/@08 Cromolyn 0.1/B8_01- exclu.tif</t>
  </si>
  <si>
    <t xml:space="preserve">F:\Données chgh\2020-CHG-CZA-Cromolyn-2\plaque 1/@08 Cromolyn 0.1/B8_02.tif </t>
  </si>
  <si>
    <t xml:space="preserve"> 6662.0075 </t>
  </si>
  <si>
    <t xml:space="preserve"> 73.2338 </t>
  </si>
  <si>
    <t xml:space="preserve">F:\Données chgh\2020-CHG-CZA-Cromolyn-2\plaque 1/@08 Cromolyn 0.1/B8_03.tif </t>
  </si>
  <si>
    <t xml:space="preserve"> 8933.1465 </t>
  </si>
  <si>
    <t xml:space="preserve"> 76.3366 </t>
  </si>
  <si>
    <t xml:space="preserve">F:\Données chgh\2020-CHG-CZA-Cromolyn-2\plaque 1/@08 Cromolyn 0.1/C8_01.tif </t>
  </si>
  <si>
    <t xml:space="preserve"> 68.0035 </t>
  </si>
  <si>
    <t xml:space="preserve">F:\Données chgh\2020-CHG-CZA-Cromolyn-2\plaque 1/@08 Cromolyn 0.1/C8_02.tif </t>
  </si>
  <si>
    <t xml:space="preserve"> 7916.5414 </t>
  </si>
  <si>
    <t xml:space="preserve"> 73.806 </t>
  </si>
  <si>
    <t xml:space="preserve">F:\Données chgh\2020-CHG-CZA-Cromolyn-2\plaque 1/@08 Cromolyn 0.1/C8_03.tif </t>
  </si>
  <si>
    <t xml:space="preserve"> 8176.1002 </t>
  </si>
  <si>
    <t xml:space="preserve"> 70.2831 </t>
  </si>
  <si>
    <t xml:space="preserve">F:\Données chgh\2020-CHG-CZA-Cromolyn-2\plaque 1/@08 Cromolyn 0.1/D8_01.tif </t>
  </si>
  <si>
    <t xml:space="preserve"> 71.4576 </t>
  </si>
  <si>
    <t xml:space="preserve">F:\Données chgh\2020-CHG-CZA-Cromolyn-2\plaque 1/@08 Cromolyn 0.1/D8_02.tif </t>
  </si>
  <si>
    <t xml:space="preserve"> 5169.5448 </t>
  </si>
  <si>
    <t xml:space="preserve"> 68.0879 </t>
  </si>
  <si>
    <t xml:space="preserve">F:\Données chgh\2020-CHG-CZA-Cromolyn-2\plaque 1/@08 Cromolyn 0.1/D8_03.tif </t>
  </si>
  <si>
    <t xml:space="preserve"> 3136.3347 </t>
  </si>
  <si>
    <t xml:space="preserve"> 66.5724 </t>
  </si>
  <si>
    <t xml:space="preserve">F:\Données chgh\2020-CHG-CZA-Cromolyn-2\plaque 1/@08 Cromolyn 0.1/E8_01.tif </t>
  </si>
  <si>
    <t xml:space="preserve"> 64.9896 </t>
  </si>
  <si>
    <t xml:space="preserve">F:\Données chgh\2020-CHG-CZA-Cromolyn-2\plaque 1/@08 Cromolyn 0.1/E8_02.tif </t>
  </si>
  <si>
    <t xml:space="preserve"> 3677.0821 </t>
  </si>
  <si>
    <t xml:space="preserve"> 66.1 </t>
  </si>
  <si>
    <t xml:space="preserve">F:\Données chgh\2020-CHG-CZA-Cromolyn-2\plaque 1/@08 Cromolyn 0.1/E8_03.tif </t>
  </si>
  <si>
    <t xml:space="preserve"> 69.036 </t>
  </si>
  <si>
    <t>F:\Données chgh\2020-CHG-CZA-Cromolyn-2\plaque 1/@08 Cromolyn 0.1/F8_01- exclu.tif</t>
  </si>
  <si>
    <t xml:space="preserve">F:\Données chgh\2020-CHG-CZA-Cromolyn-2\plaque 1/@08 Cromolyn 0.1/F8_02.tif </t>
  </si>
  <si>
    <t xml:space="preserve"> 72.6793 </t>
  </si>
  <si>
    <t>F:\Données chgh\2020-CHG-CZA-Cromolyn-2\plaque 1/@08 Cromolyn 0.1/F8_03- exclu.tif</t>
  </si>
  <si>
    <t xml:space="preserve">F:\Données chgh\2020-CHG-CZA-Cromolyn-2\plaque 1/@08 Cromolyn 0.1/G8_01.tif </t>
  </si>
  <si>
    <t xml:space="preserve"> 9409.0042 </t>
  </si>
  <si>
    <t xml:space="preserve"> 67.0736 </t>
  </si>
  <si>
    <t xml:space="preserve">F:\Données chgh\2020-CHG-CZA-Cromolyn-2\plaque 1/@08 Cromolyn 0.1/G8_02.tif </t>
  </si>
  <si>
    <t xml:space="preserve"> 9192.7052 </t>
  </si>
  <si>
    <t xml:space="preserve"> 66.0353 </t>
  </si>
  <si>
    <t xml:space="preserve">F:\Données chgh\2020-CHG-CZA-Cromolyn-2\plaque 1/@08 Cromolyn 0.1/G8_03.tif </t>
  </si>
  <si>
    <t xml:space="preserve"> 8954.7764 </t>
  </si>
  <si>
    <t xml:space="preserve"> 69.7802 </t>
  </si>
  <si>
    <t xml:space="preserve">F:\Données chgh\2020-CHG-CZA-Cromolyn-2\plaque 1/@08 Cromolyn 0.1/H8_01.tif </t>
  </si>
  <si>
    <t xml:space="preserve"> 8219.36 </t>
  </si>
  <si>
    <t xml:space="preserve"> 69.4079 </t>
  </si>
  <si>
    <t xml:space="preserve">F:\Données chgh\2020-CHG-CZA-Cromolyn-2\plaque 1/@08 Cromolyn 0.1/H8_02.tif </t>
  </si>
  <si>
    <t xml:space="preserve"> 5710.2922 </t>
  </si>
  <si>
    <t xml:space="preserve"> 72.0227 </t>
  </si>
  <si>
    <t xml:space="preserve">F:\Données chgh\2020-CHG-CZA-Cromolyn-2\plaque 1/@08 Cromolyn 0.1/H8_03.tif </t>
  </si>
  <si>
    <t xml:space="preserve"> 6964.8261 </t>
  </si>
  <si>
    <t xml:space="preserve"> 76.7422 </t>
  </si>
  <si>
    <t xml:space="preserve">F:\Données chgh\2020-CHG-CZA-Cromolyn-2\plaque 1/@08 Cromolyn 0.1/ </t>
  </si>
  <si>
    <t xml:space="preserve"> 70.5848 </t>
  </si>
  <si>
    <t xml:space="preserve"> 6.112 </t>
  </si>
  <si>
    <t xml:space="preserve"> 488493.958 </t>
  </si>
  <si>
    <t xml:space="preserve"> 313089.621 </t>
  </si>
  <si>
    <t xml:space="preserve">F:\Données chgh\2020-CHG-CZA-Cromolyn-2\plaque 1/@09 Cromolyn 1/A9_01.tif </t>
  </si>
  <si>
    <t xml:space="preserve"> 64.859 </t>
  </si>
  <si>
    <t xml:space="preserve">F:\Données chgh\2020-CHG-CZA-Cromolyn-2\plaque 1/@09 Cromolyn 1/A9_02.tif </t>
  </si>
  <si>
    <t xml:space="preserve"> 1925.0606 </t>
  </si>
  <si>
    <t xml:space="preserve"> 64.1685 </t>
  </si>
  <si>
    <t xml:space="preserve">F:\Données chgh\2020-CHG-CZA-Cromolyn-2\plaque 1/@09 Cromolyn 1/A9_03.tif </t>
  </si>
  <si>
    <t xml:space="preserve"> 64.5 </t>
  </si>
  <si>
    <t xml:space="preserve">F:\Données chgh\2020-CHG-CZA-Cromolyn-2\plaque 1/@09 Cromolyn 1/B9_01.tif </t>
  </si>
  <si>
    <t xml:space="preserve"> 5623.7726 </t>
  </si>
  <si>
    <t xml:space="preserve"> 68.55 </t>
  </si>
  <si>
    <t xml:space="preserve">F:\Données chgh\2020-CHG-CZA-Cromolyn-2\plaque 1/@09 Cromolyn 1/B9_02.tif </t>
  </si>
  <si>
    <t xml:space="preserve"> 66.8085 </t>
  </si>
  <si>
    <t xml:space="preserve">F:\Données chgh\2020-CHG-CZA-Cromolyn-2\plaque 1/@09 Cromolyn 1/B9_03.tif </t>
  </si>
  <si>
    <t xml:space="preserve"> 65.3489 </t>
  </si>
  <si>
    <t xml:space="preserve">F:\Données chgh\2020-CHG-CZA-Cromolyn-2\plaque 1/@09 Cromolyn 1/C9_01.tif </t>
  </si>
  <si>
    <t xml:space="preserve"> 4066.4202 </t>
  </si>
  <si>
    <t xml:space="preserve"> 64.6117 </t>
  </si>
  <si>
    <t xml:space="preserve">F:\Données chgh\2020-CHG-CZA-Cromolyn-2\plaque 1/@09 Cromolyn 1/C9_02.tif </t>
  </si>
  <si>
    <t xml:space="preserve"> 63.7616 </t>
  </si>
  <si>
    <t xml:space="preserve">F:\Données chgh\2020-CHG-CZA-Cromolyn-2\plaque 1/@09 Cromolyn 1/C9_03.tif </t>
  </si>
  <si>
    <t xml:space="preserve"> 64.566 </t>
  </si>
  <si>
    <t xml:space="preserve">F:\Données chgh\2020-CHG-CZA-Cromolyn-2\plaque 1/@09 Cromolyn 1/D9_01.tif </t>
  </si>
  <si>
    <t xml:space="preserve"> 1600.6122 </t>
  </si>
  <si>
    <t xml:space="preserve"> 63.0811 </t>
  </si>
  <si>
    <t xml:space="preserve">F:\Données chgh\2020-CHG-CZA-Cromolyn-2\plaque 1/@09 Cromolyn 1/D9_02.tif </t>
  </si>
  <si>
    <t xml:space="preserve">F:\Données chgh\2020-CHG-CZA-Cromolyn-2\plaque 1/@09 Cromolyn 1/D9_03.tif </t>
  </si>
  <si>
    <t xml:space="preserve"> 61.9038 </t>
  </si>
  <si>
    <t xml:space="preserve">F:\Données chgh\2020-CHG-CZA-Cromolyn-2\plaque 1/@09 Cromolyn 1/E9_01.tif </t>
  </si>
  <si>
    <t xml:space="preserve"> 6229.4097 </t>
  </si>
  <si>
    <t xml:space="preserve"> 72.7569 </t>
  </si>
  <si>
    <t xml:space="preserve">F:\Données chgh\2020-CHG-CZA-Cromolyn-2\plaque 1/@09 Cromolyn 1/E9_02.tif </t>
  </si>
  <si>
    <t xml:space="preserve"> 821.936 </t>
  </si>
  <si>
    <t xml:space="preserve"> 62.6842 </t>
  </si>
  <si>
    <t xml:space="preserve">F:\Données chgh\2020-CHG-CZA-Cromolyn-2\plaque 1/@09 Cromolyn 1/E9_03.tif </t>
  </si>
  <si>
    <t xml:space="preserve"> 4542.2779 </t>
  </si>
  <si>
    <t xml:space="preserve"> 68.8762 </t>
  </si>
  <si>
    <t xml:space="preserve">F:\Données chgh\2020-CHG-CZA-Cromolyn-2\plaque 1/@09 Cromolyn 1/F9_01.tif </t>
  </si>
  <si>
    <t xml:space="preserve"> 66.4123 </t>
  </si>
  <si>
    <t xml:space="preserve">F:\Données chgh\2020-CHG-CZA-Cromolyn-2\plaque 1/@09 Cromolyn 1/F9_02.tif </t>
  </si>
  <si>
    <t xml:space="preserve"> 65.0877 </t>
  </si>
  <si>
    <t xml:space="preserve">F:\Données chgh\2020-CHG-CZA-Cromolyn-2\plaque 1/@09 Cromolyn 1/F9_03.tif </t>
  </si>
  <si>
    <t xml:space="preserve"> 66.9136 </t>
  </si>
  <si>
    <t xml:space="preserve">F:\Données chgh\2020-CHG-CZA-Cromolyn-2\plaque 1/@09 Cromolyn 1/G9_01.tif </t>
  </si>
  <si>
    <t xml:space="preserve"> 9430.6341 </t>
  </si>
  <si>
    <t xml:space="preserve"> 68.1307 </t>
  </si>
  <si>
    <t xml:space="preserve">F:\Données chgh\2020-CHG-CZA-Cromolyn-2\plaque 1/@09 Cromolyn 1/G9_02.tif </t>
  </si>
  <si>
    <t xml:space="preserve"> 62.7719 </t>
  </si>
  <si>
    <t xml:space="preserve">F:\Données chgh\2020-CHG-CZA-Cromolyn-2\plaque 1/@09 Cromolyn 1/G9_03.tif </t>
  </si>
  <si>
    <t xml:space="preserve"> 63.6404 </t>
  </si>
  <si>
    <t xml:space="preserve">F:\Données chgh\2020-CHG-CZA-Cromolyn-2\plaque 1/@09 Cromolyn 1/H9_01.tif </t>
  </si>
  <si>
    <t xml:space="preserve"> 66.1278 </t>
  </si>
  <si>
    <t xml:space="preserve">F:\Données chgh\2020-CHG-CZA-Cromolyn-2\plaque 1/@09 Cromolyn 1/H9_02.tif </t>
  </si>
  <si>
    <t xml:space="preserve"> 64.663 </t>
  </si>
  <si>
    <t xml:space="preserve">F:\Données chgh\2020-CHG-CZA-Cromolyn-2\plaque 1/@09 Cromolyn 1/H9_03.tif </t>
  </si>
  <si>
    <t xml:space="preserve"> 12026.2214 </t>
  </si>
  <si>
    <t xml:space="preserve"> 73.196 </t>
  </si>
  <si>
    <t xml:space="preserve">F:\Données chgh\2020-CHG-CZA-Cromolyn-2\plaque 1/@09 Cromolyn 1/ </t>
  </si>
  <si>
    <t xml:space="preserve"> 65.8508 </t>
  </si>
  <si>
    <t xml:space="preserve"> 2.8751 </t>
  </si>
  <si>
    <t xml:space="preserve"> 300715.917 </t>
  </si>
  <si>
    <t xml:space="preserve"> 204980.693 </t>
  </si>
  <si>
    <t xml:space="preserve">F:\Données chgh\2020-CHG-CZA-Cromolyn-2\plaque 1/@10 Cromolyn 10/A10_01.tif </t>
  </si>
  <si>
    <t xml:space="preserve"> 5061.3953 </t>
  </si>
  <si>
    <t xml:space="preserve"> 69.4359 </t>
  </si>
  <si>
    <t xml:space="preserve">F:\Données chgh\2020-CHG-CZA-Cromolyn-2\plaque 1/@10 Cromolyn 10/A10_02.tif </t>
  </si>
  <si>
    <t xml:space="preserve"> 63.3488 </t>
  </si>
  <si>
    <t xml:space="preserve">F:\Données chgh\2020-CHG-CZA-Cromolyn-2\plaque 1/@10 Cromolyn 10/A10_03.tif </t>
  </si>
  <si>
    <t xml:space="preserve"> 63.069 </t>
  </si>
  <si>
    <t xml:space="preserve">F:\Données chgh\2020-CHG-CZA-Cromolyn-2\plaque 1/@10 Cromolyn 10/B10_01.tif </t>
  </si>
  <si>
    <t xml:space="preserve"> 2465.808 </t>
  </si>
  <si>
    <t xml:space="preserve"> 64.9561 </t>
  </si>
  <si>
    <t xml:space="preserve">F:\Données chgh\2020-CHG-CZA-Cromolyn-2\plaque 1/@10 Cromolyn 10/B10_02.tif </t>
  </si>
  <si>
    <t xml:space="preserve"> 7721.8724 </t>
  </si>
  <si>
    <t xml:space="preserve"> 69.0616 </t>
  </si>
  <si>
    <t xml:space="preserve">F:\Données chgh\2020-CHG-CZA-Cromolyn-2\plaque 1/@10 Cromolyn 10/B10_03.tif </t>
  </si>
  <si>
    <t xml:space="preserve"> 67.3457 </t>
  </si>
  <si>
    <t xml:space="preserve">F:\Données chgh\2020-CHG-CZA-Cromolyn-2\plaque 1/@10 Cromolyn 10/C10_01.tif </t>
  </si>
  <si>
    <t xml:space="preserve">F:\Données chgh\2020-CHG-CZA-Cromolyn-2\plaque 1/@10 Cromolyn 10/C10_02.tif </t>
  </si>
  <si>
    <t xml:space="preserve"> 454.2278 </t>
  </si>
  <si>
    <t xml:space="preserve"> 64.4762 </t>
  </si>
  <si>
    <t xml:space="preserve">F:\Données chgh\2020-CHG-CZA-Cromolyn-2\plaque 1/@10 Cromolyn 10/C10_03.tif </t>
  </si>
  <si>
    <t xml:space="preserve"> 62.75 </t>
  </si>
  <si>
    <t xml:space="preserve">F:\Données chgh\2020-CHG-CZA-Cromolyn-2\plaque 1/@10 Cromolyn 10/D10_01.tif </t>
  </si>
  <si>
    <t xml:space="preserve"> 9322.4846 </t>
  </si>
  <si>
    <t xml:space="preserve"> 72.4524 </t>
  </si>
  <si>
    <t xml:space="preserve">F:\Données chgh\2020-CHG-CZA-Cromolyn-2\plaque 1/@10 Cromolyn 10/D10_02.tif </t>
  </si>
  <si>
    <t xml:space="preserve"> 62.3947 </t>
  </si>
  <si>
    <t xml:space="preserve">F:\Données chgh\2020-CHG-CZA-Cromolyn-2\plaque 1/@10 Cromolyn 10/D10_03.tif </t>
  </si>
  <si>
    <t xml:space="preserve"> 6986.456 </t>
  </si>
  <si>
    <t xml:space="preserve"> 74.2724 </t>
  </si>
  <si>
    <t xml:space="preserve">F:\Données chgh\2020-CHG-CZA-Cromolyn-2\plaque 1/@10 Cromolyn 10/E10_01.tif </t>
  </si>
  <si>
    <t xml:space="preserve"> 67.0791 </t>
  </si>
  <si>
    <t xml:space="preserve">F:\Données chgh\2020-CHG-CZA-Cromolyn-2\plaque 1/@10 Cromolyn 10/E10_02.tif </t>
  </si>
  <si>
    <t xml:space="preserve"> 62.1042 </t>
  </si>
  <si>
    <t xml:space="preserve">F:\Données chgh\2020-CHG-CZA-Cromolyn-2\plaque 1/@10 Cromolyn 10/E10_03.tif </t>
  </si>
  <si>
    <t xml:space="preserve"> 10382.3494 </t>
  </si>
  <si>
    <t xml:space="preserve"> 78.2042 </t>
  </si>
  <si>
    <t xml:space="preserve">F:\Données chgh\2020-CHG-CZA-Cromolyn-2\plaque 1/@10 Cromolyn 10/F10_01.tif </t>
  </si>
  <si>
    <t xml:space="preserve"> 7267.6446 </t>
  </si>
  <si>
    <t xml:space="preserve"> 71.2738 </t>
  </si>
  <si>
    <t xml:space="preserve">F:\Données chgh\2020-CHG-CZA-Cromolyn-2\plaque 1/@10 Cromolyn 10/F10_02.tif </t>
  </si>
  <si>
    <t xml:space="preserve"> 62.7568 </t>
  </si>
  <si>
    <t xml:space="preserve">F:\Données chgh\2020-CHG-CZA-Cromolyn-2\plaque 1/@10 Cromolyn 10/F10_03.tif </t>
  </si>
  <si>
    <t xml:space="preserve"> 540.7474 </t>
  </si>
  <si>
    <t xml:space="preserve"> 62.76 </t>
  </si>
  <si>
    <t xml:space="preserve">F:\Données chgh\2020-CHG-CZA-Cromolyn-2\plaque 1/@10 Cromolyn 10/G10_01.tif </t>
  </si>
  <si>
    <t xml:space="preserve"> 66.8272 </t>
  </si>
  <si>
    <t xml:space="preserve">F:\Données chgh\2020-CHG-CZA-Cromolyn-2\plaque 1/@10 Cromolyn 10/G10_02.tif </t>
  </si>
  <si>
    <t xml:space="preserve"> 71.0387 </t>
  </si>
  <si>
    <t xml:space="preserve">F:\Données chgh\2020-CHG-CZA-Cromolyn-2\plaque 1/@10 Cromolyn 10/G10_03.tif </t>
  </si>
  <si>
    <t xml:space="preserve"> 70.3311 </t>
  </si>
  <si>
    <t>F:\Données chgh\2020-CHG-CZA-Cromolyn-2\plaque 1/@10 Cromolyn 10/H10_01- exclu.tif</t>
  </si>
  <si>
    <t xml:space="preserve">F:\Données chgh\2020-CHG-CZA-Cromolyn-2\plaque 1/@10 Cromolyn 10/H10_02.tif </t>
  </si>
  <si>
    <t xml:space="preserve"> 71.9112 </t>
  </si>
  <si>
    <t xml:space="preserve">F:\Données chgh\2020-CHG-CZA-Cromolyn-2\plaque 1/@10 Cromolyn 10/H10_03.tif </t>
  </si>
  <si>
    <t xml:space="preserve"> 5883.3313 </t>
  </si>
  <si>
    <t xml:space="preserve"> 74.4853 </t>
  </si>
  <si>
    <t xml:space="preserve">F:\Données chgh\2020-CHG-CZA-Cromolyn-2\plaque 1/@10 Cromolyn 10/ </t>
  </si>
  <si>
    <t xml:space="preserve"> 67.4027 </t>
  </si>
  <si>
    <t xml:space="preserve"> 4.7395 </t>
  </si>
  <si>
    <t xml:space="preserve"> 301920.042 </t>
  </si>
  <si>
    <t xml:space="preserve"> 277467.401 </t>
  </si>
  <si>
    <t xml:space="preserve">F:\Données chgh\2020-CHG-CZA-Cromolyn-2\plaque 1/@11 Cromolyn 100/A11_01.tif </t>
  </si>
  <si>
    <t xml:space="preserve"> 66.1504 </t>
  </si>
  <si>
    <t xml:space="preserve">F:\Données chgh\2020-CHG-CZA-Cromolyn-2\plaque 1/@11 Cromolyn 100/A11_02.tif </t>
  </si>
  <si>
    <t xml:space="preserve"> 5104.6551 </t>
  </si>
  <si>
    <t xml:space="preserve"> 67.2669 </t>
  </si>
  <si>
    <t xml:space="preserve">F:\Données chgh\2020-CHG-CZA-Cromolyn-2\plaque 1/@11 Cromolyn 100/A11_03.tif </t>
  </si>
  <si>
    <t xml:space="preserve"> 5537.253 </t>
  </si>
  <si>
    <t xml:space="preserve"> 68.5508 </t>
  </si>
  <si>
    <t xml:space="preserve">F:\Données chgh\2020-CHG-CZA-Cromolyn-2\plaque 1/@11 Cromolyn 100/B11_01.tif </t>
  </si>
  <si>
    <t xml:space="preserve"> 12869.7873 </t>
  </si>
  <si>
    <t xml:space="preserve"> 70.4639 </t>
  </si>
  <si>
    <t xml:space="preserve">F:\Données chgh\2020-CHG-CZA-Cromolyn-2\plaque 1/@11 Cromolyn 100/B11_02.tif </t>
  </si>
  <si>
    <t xml:space="preserve"> 2011.5802 </t>
  </si>
  <si>
    <t xml:space="preserve"> 62.9247 </t>
  </si>
  <si>
    <t>F:\Données chgh\2020-CHG-CZA-Cromolyn-2\plaque 1/@11 Cromolyn 100/B11_03- exclu.tif</t>
  </si>
  <si>
    <t xml:space="preserve">F:\Données chgh\2020-CHG-CZA-Cromolyn-2\plaque 1/@11 Cromolyn 100/C11_01.tif </t>
  </si>
  <si>
    <t xml:space="preserve"> 69.8382 </t>
  </si>
  <si>
    <t xml:space="preserve">F:\Données chgh\2020-CHG-CZA-Cromolyn-2\plaque 1/@11 Cromolyn 100/C11_02.tif </t>
  </si>
  <si>
    <t xml:space="preserve"> 71.6478 </t>
  </si>
  <si>
    <t xml:space="preserve">F:\Données chgh\2020-CHG-CZA-Cromolyn-2\plaque 1/@11 Cromolyn 100/C11_03.tif </t>
  </si>
  <si>
    <t xml:space="preserve"> 1730.3916 </t>
  </si>
  <si>
    <t xml:space="preserve"> 65.1375 </t>
  </si>
  <si>
    <t xml:space="preserve">F:\Données chgh\2020-CHG-CZA-Cromolyn-2\plaque 1/@11 Cromolyn 100/D11_01.tif </t>
  </si>
  <si>
    <t xml:space="preserve"> 1276.1638 </t>
  </si>
  <si>
    <t xml:space="preserve"> 65.3559 </t>
  </si>
  <si>
    <t xml:space="preserve">F:\Données chgh\2020-CHG-CZA-Cromolyn-2\plaque 1/@11 Cromolyn 100/D11_02.tif </t>
  </si>
  <si>
    <t xml:space="preserve">F:\Données chgh\2020-CHG-CZA-Cromolyn-2\plaque 1/@11 Cromolyn 100/D11_03.tif </t>
  </si>
  <si>
    <t xml:space="preserve"> 64.9672 </t>
  </si>
  <si>
    <t xml:space="preserve">F:\Données chgh\2020-CHG-CZA-Cromolyn-2\plaque 1/@11 Cromolyn 100/E11_01.tif </t>
  </si>
  <si>
    <t xml:space="preserve"> 10490.4989 </t>
  </si>
  <si>
    <t xml:space="preserve"> 82.2619 </t>
  </si>
  <si>
    <t xml:space="preserve">F:\Données chgh\2020-CHG-CZA-Cromolyn-2\plaque 1/@11 Cromolyn 100/E11_02.tif </t>
  </si>
  <si>
    <t xml:space="preserve"> 73.3473 </t>
  </si>
  <si>
    <t xml:space="preserve">F:\Données chgh\2020-CHG-CZA-Cromolyn-2\plaque 1/@11 Cromolyn 100/E11_03.tif </t>
  </si>
  <si>
    <t xml:space="preserve"> 9971.3814 </t>
  </si>
  <si>
    <t xml:space="preserve"> 77.8243 </t>
  </si>
  <si>
    <t xml:space="preserve">F:\Données chgh\2020-CHG-CZA-Cromolyn-2\plaque 1/@11 Cromolyn 100/F11_01.tif </t>
  </si>
  <si>
    <t xml:space="preserve"> 9841.6021 </t>
  </si>
  <si>
    <t xml:space="preserve"> 76.4044 </t>
  </si>
  <si>
    <t xml:space="preserve">F:\Données chgh\2020-CHG-CZA-Cromolyn-2\plaque 1/@11 Cromolyn 100/F11_02.tif </t>
  </si>
  <si>
    <t xml:space="preserve"> 78.9742 </t>
  </si>
  <si>
    <t xml:space="preserve">F:\Données chgh\2020-CHG-CZA-Cromolyn-2\plaque 1/@11 Cromolyn 100/F11_03.tif </t>
  </si>
  <si>
    <t xml:space="preserve"> 72.8247 </t>
  </si>
  <si>
    <t xml:space="preserve">F:\Données chgh\2020-CHG-CZA-Cromolyn-2\plaque 1/@11 Cromolyn 100/G11_01.tif </t>
  </si>
  <si>
    <t xml:space="preserve"> 69.0133 </t>
  </si>
  <si>
    <t xml:space="preserve">F:\Données chgh\2020-CHG-CZA-Cromolyn-2\plaque 1/@11 Cromolyn 100/G11_02.tif </t>
  </si>
  <si>
    <t xml:space="preserve"> 63.748 </t>
  </si>
  <si>
    <t xml:space="preserve">F:\Données chgh\2020-CHG-CZA-Cromolyn-2\plaque 1/@11 Cromolyn 100/G11_03.tif </t>
  </si>
  <si>
    <t xml:space="preserve"> 63.0667 </t>
  </si>
  <si>
    <t xml:space="preserve">F:\Données chgh\2020-CHG-CZA-Cromolyn-2\plaque 1/@11 Cromolyn 100/H11_01.tif </t>
  </si>
  <si>
    <t xml:space="preserve"> 6813.4168 </t>
  </si>
  <si>
    <t xml:space="preserve"> 75.4222 </t>
  </si>
  <si>
    <t xml:space="preserve">F:\Données chgh\2020-CHG-CZA-Cromolyn-2\plaque 1/@11 Cromolyn 100/H11_02.tif </t>
  </si>
  <si>
    <t xml:space="preserve">F:\Données chgh\2020-CHG-CZA-Cromolyn-2\plaque 1/@11 Cromolyn 100/H11_03.tif </t>
  </si>
  <si>
    <t xml:space="preserve"> 2617.2173 </t>
  </si>
  <si>
    <t xml:space="preserve">F:\Données chgh\2020-CHG-CZA-Cromolyn-2\plaque 1/@11 Cromolyn 100/ </t>
  </si>
  <si>
    <t xml:space="preserve"> 69.2797 </t>
  </si>
  <si>
    <t xml:space="preserve"> 5.6622 </t>
  </si>
  <si>
    <t xml:space="preserve"> 382970.833 </t>
  </si>
  <si>
    <t xml:space="preserve"> 291924.753 </t>
  </si>
  <si>
    <t xml:space="preserve">F:\Données chgh\2020-CHG-CZA-Cromolyn-2\plaque 1/@12 Cromolyn 1000/A12_01.tif </t>
  </si>
  <si>
    <t xml:space="preserve"> 6467.3385 </t>
  </si>
  <si>
    <t xml:space="preserve"> 69.3746 </t>
  </si>
  <si>
    <t xml:space="preserve">F:\Données chgh\2020-CHG-CZA-Cromolyn-2\plaque 1/@12 Cromolyn 1000/A12_02.tif </t>
  </si>
  <si>
    <t xml:space="preserve">F:\Données chgh\2020-CHG-CZA-Cromolyn-2\plaque 1/@12 Cromolyn 1000/A12_03.tif </t>
  </si>
  <si>
    <t xml:space="preserve"> 62.5333 </t>
  </si>
  <si>
    <t xml:space="preserve">F:\Données chgh\2020-CHG-CZA-Cromolyn-2\plaque 1/@12 Cromolyn 1000/B12_01.tif </t>
  </si>
  <si>
    <t xml:space="preserve"> 14297.3603 </t>
  </si>
  <si>
    <t xml:space="preserve"> 76.7186 </t>
  </si>
  <si>
    <t>F:\Données chgh\2020-CHG-CZA-Cromolyn-2\plaque 1/@12 Cromolyn 1000/B12_02- exclu.tif</t>
  </si>
  <si>
    <t>F:\Données chgh\2020-CHG-CZA-Cromolyn-2\plaque 1/@12 Cromolyn 1000/B12_03- exclu.tif</t>
  </si>
  <si>
    <t xml:space="preserve">F:\Données chgh\2020-CHG-CZA-Cromolyn-2\plaque 1/@12 Cromolyn 1000/C12_01.tif </t>
  </si>
  <si>
    <t xml:space="preserve"> 7462.3136 </t>
  </si>
  <si>
    <t xml:space="preserve"> 69.6261 </t>
  </si>
  <si>
    <t xml:space="preserve">F:\Données chgh\2020-CHG-CZA-Cromolyn-2\plaque 1/@12 Cromolyn 1000/C12_02.tif </t>
  </si>
  <si>
    <t xml:space="preserve"> 67.8772 </t>
  </si>
  <si>
    <t xml:space="preserve">F:\Données chgh\2020-CHG-CZA-Cromolyn-2\plaque 1/@12 Cromolyn 1000/C12_03.tif </t>
  </si>
  <si>
    <t xml:space="preserve"> 63.9506 </t>
  </si>
  <si>
    <t xml:space="preserve">F:\Données chgh\2020-CHG-CZA-Cromolyn-2\plaque 1/@12 Cromolyn 1000/D12_01.tif </t>
  </si>
  <si>
    <t xml:space="preserve">F:\Données chgh\2020-CHG-CZA-Cromolyn-2\plaque 1/@12 Cromolyn 1000/D12_02.tif </t>
  </si>
  <si>
    <t xml:space="preserve"> 7830.0219 </t>
  </si>
  <si>
    <t xml:space="preserve"> 68.2901 </t>
  </si>
  <si>
    <t xml:space="preserve">F:\Données chgh\2020-CHG-CZA-Cromolyn-2\plaque 1/@12 Cromolyn 1000/D12_03.tif </t>
  </si>
  <si>
    <t xml:space="preserve"> 70.0152 </t>
  </si>
  <si>
    <t xml:space="preserve">F:\Données chgh\2020-CHG-CZA-Cromolyn-2\plaque 1/@12 Cromolyn 1000/E12_01.tif </t>
  </si>
  <si>
    <t xml:space="preserve"> 72.0195 </t>
  </si>
  <si>
    <t xml:space="preserve">F:\Données chgh\2020-CHG-CZA-Cromolyn-2\plaque 1/@12 Cromolyn 1000/E12_02.tif </t>
  </si>
  <si>
    <t xml:space="preserve"> 7613.7229 </t>
  </si>
  <si>
    <t xml:space="preserve"> 74.5795 </t>
  </si>
  <si>
    <t xml:space="preserve">F:\Données chgh\2020-CHG-CZA-Cromolyn-2\plaque 1/@12 Cromolyn 1000/E12_03.tif </t>
  </si>
  <si>
    <t xml:space="preserve"> 77.3031 </t>
  </si>
  <si>
    <t xml:space="preserve">F:\Données chgh\2020-CHG-CZA-Cromolyn-2\plaque 1/@12 Cromolyn 1000/F12_01.tif </t>
  </si>
  <si>
    <t xml:space="preserve"> 865.1958 </t>
  </si>
  <si>
    <t xml:space="preserve"> 63.425 </t>
  </si>
  <si>
    <t>F:\Données chgh\2020-CHG-CZA-Cromolyn-2\plaque 1/@12 Cromolyn 1000/F12_02- exclu.tif</t>
  </si>
  <si>
    <t xml:space="preserve">F:\Données chgh\2020-CHG-CZA-Cromolyn-2\plaque 1/@12 Cromolyn 1000/F12_03.tif </t>
  </si>
  <si>
    <t xml:space="preserve"> 64.5455 </t>
  </si>
  <si>
    <t xml:space="preserve">F:\Données chgh\2020-CHG-CZA-Cromolyn-2\plaque 1/@12 Cromolyn 1000/G12_01.tif </t>
  </si>
  <si>
    <t xml:space="preserve"> 67.0456 </t>
  </si>
  <si>
    <t xml:space="preserve">F:\Données chgh\2020-CHG-CZA-Cromolyn-2\plaque 1/@12 Cromolyn 1000/G12_02.tif </t>
  </si>
  <si>
    <t xml:space="preserve"> 3093.0749 </t>
  </si>
  <si>
    <t xml:space="preserve"> 64.2657 </t>
  </si>
  <si>
    <t xml:space="preserve">F:\Données chgh\2020-CHG-CZA-Cromolyn-2\plaque 1/@12 Cromolyn 1000/G12_03.tif </t>
  </si>
  <si>
    <t xml:space="preserve"> 65.0556 </t>
  </si>
  <si>
    <t xml:space="preserve">F:\Données chgh\2020-CHG-CZA-Cromolyn-2\plaque 1/@12 Cromolyn 1000/H12_01.tif </t>
  </si>
  <si>
    <t xml:space="preserve"> 66.045 </t>
  </si>
  <si>
    <t xml:space="preserve">F:\Données chgh\2020-CHG-CZA-Cromolyn-2\plaque 1/@12 Cromolyn 1000/H12_02.tif </t>
  </si>
  <si>
    <t xml:space="preserve"> 68.178 </t>
  </si>
  <si>
    <t xml:space="preserve">F:\Données chgh\2020-CHG-CZA-Cromolyn-2\plaque 1/@12 Cromolyn 1000/H12_03.tif </t>
  </si>
  <si>
    <t xml:space="preserve"> 72.1043 </t>
  </si>
  <si>
    <t xml:space="preserve">F:\Données chgh\2020-CHG-CZA-Cromolyn-2\plaque 1/@12 Cromolyn 1000/ </t>
  </si>
  <si>
    <t xml:space="preserve"> 67.5977 </t>
  </si>
  <si>
    <t xml:space="preserve"> 4.4025 </t>
  </si>
  <si>
    <t xml:space="preserve"> 320710.125 </t>
  </si>
  <si>
    <t xml:space="preserve"> 276722.948 </t>
  </si>
  <si>
    <t xml:space="preserve">F:\Données chgh\2020-CHG-CZA-Cromolyn-2\plaque 2/@13 Testo 30/A1_01.tif </t>
  </si>
  <si>
    <t xml:space="preserve"> 63981.2283 </t>
  </si>
  <si>
    <t xml:space="preserve"> 74.7806 </t>
  </si>
  <si>
    <t xml:space="preserve">F:\Données chgh\2020-CHG-CZA-Cromolyn-2\plaque 2/@13 Testo 30/A1_02.tif </t>
  </si>
  <si>
    <t xml:space="preserve"> 64478.7159 </t>
  </si>
  <si>
    <t xml:space="preserve"> 75.5629 </t>
  </si>
  <si>
    <t xml:space="preserve">F:\Données chgh\2020-CHG-CZA-Cromolyn-2\plaque 2/@13 Testo 30/A1_03.tif </t>
  </si>
  <si>
    <t xml:space="preserve"> 57081.2919 </t>
  </si>
  <si>
    <t xml:space="preserve"> 77.8935 </t>
  </si>
  <si>
    <t xml:space="preserve">F:\Données chgh\2020-CHG-CZA-Cromolyn-2\plaque 2/@13 Testo 30/B1_01.tif </t>
  </si>
  <si>
    <t xml:space="preserve"> 49056.601 </t>
  </si>
  <si>
    <t xml:space="preserve"> 73.5935 </t>
  </si>
  <si>
    <t xml:space="preserve">F:\Données chgh\2020-CHG-CZA-Cromolyn-2\plaque 2/@13 Testo 30/B1_02.tif </t>
  </si>
  <si>
    <t xml:space="preserve"> 44622.4726 </t>
  </si>
  <si>
    <t xml:space="preserve"> 73.1066 </t>
  </si>
  <si>
    <t xml:space="preserve">F:\Données chgh\2020-CHG-CZA-Cromolyn-2\plaque 2/@13 Testo 30/B1_03.tif </t>
  </si>
  <si>
    <t xml:space="preserve"> 46958.5012 </t>
  </si>
  <si>
    <t xml:space="preserve"> 73.1976 </t>
  </si>
  <si>
    <t xml:space="preserve">F:\Données chgh\2020-CHG-CZA-Cromolyn-2\plaque 2/@13 Testo 30/C1_01.tif </t>
  </si>
  <si>
    <t xml:space="preserve"> 41053.54 </t>
  </si>
  <si>
    <t xml:space="preserve"> 71.2018 </t>
  </si>
  <si>
    <t xml:space="preserve">F:\Données chgh\2020-CHG-CZA-Cromolyn-2\plaque 2/@13 Testo 30/C1_02.tif </t>
  </si>
  <si>
    <t xml:space="preserve"> 45055.0705 </t>
  </si>
  <si>
    <t xml:space="preserve"> 72.4129 </t>
  </si>
  <si>
    <t xml:space="preserve">F:\Données chgh\2020-CHG-CZA-Cromolyn-2\plaque 2/@13 Testo 30/C1_03.tif </t>
  </si>
  <si>
    <t xml:space="preserve"> 33028.8491 </t>
  </si>
  <si>
    <t xml:space="preserve"> 70.7328 </t>
  </si>
  <si>
    <t xml:space="preserve">F:\Données chgh\2020-CHG-CZA-Cromolyn-2\plaque 2/@13 Testo 30/D1_01.tif </t>
  </si>
  <si>
    <t xml:space="preserve"> 50960.0317 </t>
  </si>
  <si>
    <t xml:space="preserve"> 73.5785 </t>
  </si>
  <si>
    <t xml:space="preserve">F:\Données chgh\2020-CHG-CZA-Cromolyn-2\plaque 2/@13 Testo 30/D1_02.tif </t>
  </si>
  <si>
    <t xml:space="preserve"> 49575.7185 </t>
  </si>
  <si>
    <t xml:space="preserve"> 73.1309 </t>
  </si>
  <si>
    <t xml:space="preserve">F:\Données chgh\2020-CHG-CZA-Cromolyn-2\plaque 2/@13 Testo 30/D1_03.tif </t>
  </si>
  <si>
    <t xml:space="preserve"> 53014.8717 </t>
  </si>
  <si>
    <t xml:space="preserve"> 74.3231 </t>
  </si>
  <si>
    <t xml:space="preserve">F:\Données chgh\2020-CHG-CZA-Cromolyn-2\plaque 2/@13 Testo 30/E1_01.tif </t>
  </si>
  <si>
    <t xml:space="preserve"> 34175.2335 </t>
  </si>
  <si>
    <t xml:space="preserve"> 68.7222 </t>
  </si>
  <si>
    <t xml:space="preserve">F:\Données chgh\2020-CHG-CZA-Cromolyn-2\plaque 2/@13 Testo 30/E1_02.tif </t>
  </si>
  <si>
    <t xml:space="preserve"> 30995.639 </t>
  </si>
  <si>
    <t xml:space="preserve"> 67.9826 </t>
  </si>
  <si>
    <t xml:space="preserve">F:\Données chgh\2020-CHG-CZA-Cromolyn-2\plaque 2/@13 Testo 30/E1_03.tif </t>
  </si>
  <si>
    <t xml:space="preserve"> 68.8261 </t>
  </si>
  <si>
    <t xml:space="preserve">F:\Données chgh\2020-CHG-CZA-Cromolyn-2\plaque 2/@13 Testo 30/F1_01.tif </t>
  </si>
  <si>
    <t xml:space="preserve"> 57903.2279 </t>
  </si>
  <si>
    <t xml:space="preserve"> 77.7643 </t>
  </si>
  <si>
    <t xml:space="preserve">F:\Données chgh\2020-CHG-CZA-Cromolyn-2\plaque 2/@13 Testo 30/F1_02.tif </t>
  </si>
  <si>
    <t xml:space="preserve"> 75.1645 </t>
  </si>
  <si>
    <t xml:space="preserve">F:\Données chgh\2020-CHG-CZA-Cromolyn-2\plaque 2/@13 Testo 30/F1_03.tif </t>
  </si>
  <si>
    <t xml:space="preserve"> 53296.0604 </t>
  </si>
  <si>
    <t xml:space="preserve"> 76.2581 </t>
  </si>
  <si>
    <t xml:space="preserve">F:\Données chgh\2020-CHG-CZA-Cromolyn-2\plaque 2/@13 Testo 30/G1_01.tif </t>
  </si>
  <si>
    <t xml:space="preserve"> 48018.3661 </t>
  </si>
  <si>
    <t xml:space="preserve"> 73.1982 </t>
  </si>
  <si>
    <t xml:space="preserve">F:\Données chgh\2020-CHG-CZA-Cromolyn-2\plaque 2/@13 Testo 30/G1_02.tif </t>
  </si>
  <si>
    <t xml:space="preserve"> 46936.8713 </t>
  </si>
  <si>
    <t xml:space="preserve"> 72.5539 </t>
  </si>
  <si>
    <t xml:space="preserve">F:\Données chgh\2020-CHG-CZA-Cromolyn-2\plaque 2/@13 Testo 30/G1_03.tif </t>
  </si>
  <si>
    <t xml:space="preserve"> 46266.3446 </t>
  </si>
  <si>
    <t xml:space="preserve"> 76.2272 </t>
  </si>
  <si>
    <t xml:space="preserve">F:\Données chgh\2020-CHG-CZA-Cromolyn-2\plaque 2/@13 Testo 30/H1_01.tif </t>
  </si>
  <si>
    <t xml:space="preserve"> 46331.2343 </t>
  </si>
  <si>
    <t xml:space="preserve"> 75.6265 </t>
  </si>
  <si>
    <t xml:space="preserve">F:\Données chgh\2020-CHG-CZA-Cromolyn-2\plaque 2/@13 Testo 30/H1_02.tif </t>
  </si>
  <si>
    <t xml:space="preserve"> 48299.5547 </t>
  </si>
  <si>
    <t xml:space="preserve"> 73.8168 </t>
  </si>
  <si>
    <t xml:space="preserve">F:\Données chgh\2020-CHG-CZA-Cromolyn-2\plaque 2/@13 Testo 30/H1_03.tif </t>
  </si>
  <si>
    <t xml:space="preserve"> 51825.2275 </t>
  </si>
  <si>
    <t xml:space="preserve"> 74.3543 </t>
  </si>
  <si>
    <t xml:space="preserve">F:\Données chgh\2020-CHG-CZA-Cromolyn-2\plaque 2/@13 Testo 30/ </t>
  </si>
  <si>
    <t xml:space="preserve"> 73.5004 </t>
  </si>
  <si>
    <t xml:space="preserve"> 2.6197 </t>
  </si>
  <si>
    <t xml:space="preserve"> 3541605.96 </t>
  </si>
  <si>
    <t xml:space="preserve"> 750143.005 </t>
  </si>
  <si>
    <t xml:space="preserve">F:\Données chgh\2020-CHG-CZA-Cromolyn-2\plaque 2/@14 Testo 30/A2_01.tif </t>
  </si>
  <si>
    <t xml:space="preserve"> 55242.7509 </t>
  </si>
  <si>
    <t xml:space="preserve"> 72.3418 </t>
  </si>
  <si>
    <t xml:space="preserve">F:\Données chgh\2020-CHG-CZA-Cromolyn-2\plaque 2/@14 Testo 30/A2_02.tif </t>
  </si>
  <si>
    <t xml:space="preserve"> 49878.537 </t>
  </si>
  <si>
    <t xml:space="preserve"> 71.5095 </t>
  </si>
  <si>
    <t xml:space="preserve">F:\Données chgh\2020-CHG-CZA-Cromolyn-2\plaque 2/@14 Testo 30/A2_03.tif </t>
  </si>
  <si>
    <t xml:space="preserve"> 53815.1778 </t>
  </si>
  <si>
    <t xml:space="preserve"> 71.0121 </t>
  </si>
  <si>
    <t xml:space="preserve">F:\Données chgh\2020-CHG-CZA-Cromolyn-2\plaque 2/@14 Testo 30/B2_01.tif </t>
  </si>
  <si>
    <t xml:space="preserve"> 29654.5855 </t>
  </si>
  <si>
    <t xml:space="preserve"> 67.2823 </t>
  </si>
  <si>
    <t xml:space="preserve">F:\Données chgh\2020-CHG-CZA-Cromolyn-2\plaque 2/@14 Testo 30/B2_02.tif </t>
  </si>
  <si>
    <t xml:space="preserve"> 68.5198 </t>
  </si>
  <si>
    <t xml:space="preserve">F:\Données chgh\2020-CHG-CZA-Cromolyn-2\plaque 2/@14 Testo 30/B2_03.tif </t>
  </si>
  <si>
    <t xml:space="preserve"> 32098.7636 </t>
  </si>
  <si>
    <t xml:space="preserve"> 68.5108 </t>
  </si>
  <si>
    <t xml:space="preserve">F:\Données chgh\2020-CHG-CZA-Cromolyn-2\plaque 2/@14 Testo 30/C2_01.tif </t>
  </si>
  <si>
    <t xml:space="preserve"> 46569.1631 </t>
  </si>
  <si>
    <t xml:space="preserve"> 78.1198 </t>
  </si>
  <si>
    <t xml:space="preserve">F:\Données chgh\2020-CHG-CZA-Cromolyn-2\plaque 2/@14 Testo 30/C2_02.tif </t>
  </si>
  <si>
    <t xml:space="preserve"> 46720.5724 </t>
  </si>
  <si>
    <t xml:space="preserve"> 77.9676 </t>
  </si>
  <si>
    <t xml:space="preserve">F:\Données chgh\2020-CHG-CZA-Cromolyn-2\plaque 2/@14 Testo 30/C2_03.tif </t>
  </si>
  <si>
    <t xml:space="preserve"> 42308.0739 </t>
  </si>
  <si>
    <t xml:space="preserve">F:\Données chgh\2020-CHG-CZA-Cromolyn-2\plaque 2/@14 Testo 30/D2_01.tif </t>
  </si>
  <si>
    <t xml:space="preserve"> 74.329 </t>
  </si>
  <si>
    <t xml:space="preserve">F:\Données chgh\2020-CHG-CZA-Cromolyn-2\plaque 2/@14 Testo 30/D2_02.tif </t>
  </si>
  <si>
    <t xml:space="preserve"> 75.935 </t>
  </si>
  <si>
    <t xml:space="preserve">F:\Données chgh\2020-CHG-CZA-Cromolyn-2\plaque 2/@14 Testo 30/D2_03.tif </t>
  </si>
  <si>
    <t xml:space="preserve"> 52430.8646 </t>
  </si>
  <si>
    <t xml:space="preserve"> 76.4926 </t>
  </si>
  <si>
    <t xml:space="preserve">F:\Données chgh\2020-CHG-CZA-Cromolyn-2\plaque 2/@14 Testo 30/E2_01.tif </t>
  </si>
  <si>
    <t xml:space="preserve"> 61904.7584 </t>
  </si>
  <si>
    <t xml:space="preserve"> 84.8546 </t>
  </si>
  <si>
    <t xml:space="preserve">F:\Données chgh\2020-CHG-CZA-Cromolyn-2\plaque 2/@14 Testo 30/E2_02.tif </t>
  </si>
  <si>
    <t xml:space="preserve"> 62467.1357 </t>
  </si>
  <si>
    <t xml:space="preserve"> 83.1101 </t>
  </si>
  <si>
    <t xml:space="preserve">F:\Données chgh\2020-CHG-CZA-Cromolyn-2\plaque 2/@14 Testo 30/E2_03.tif </t>
  </si>
  <si>
    <t xml:space="preserve"> 57946.4877 </t>
  </si>
  <si>
    <t xml:space="preserve"> 81.7268 </t>
  </si>
  <si>
    <t xml:space="preserve">F:\Données chgh\2020-CHG-CZA-Cromolyn-2\plaque 2/@14 Testo 30/F2_01.tif </t>
  </si>
  <si>
    <t xml:space="preserve"> 29265.2474 </t>
  </si>
  <si>
    <t xml:space="preserve"> 72.1752 </t>
  </si>
  <si>
    <t xml:space="preserve">F:\Données chgh\2020-CHG-CZA-Cromolyn-2\plaque 2/@14 Testo 30/F2_02.tif </t>
  </si>
  <si>
    <t xml:space="preserve"> 29762.735 </t>
  </si>
  <si>
    <t xml:space="preserve"> 74.1381 </t>
  </si>
  <si>
    <t xml:space="preserve">F:\Données chgh\2020-CHG-CZA-Cromolyn-2\plaque 2/@14 Testo 30/F2_03.tif </t>
  </si>
  <si>
    <t xml:space="preserve"> 24117.3325 </t>
  </si>
  <si>
    <t xml:space="preserve"> 75.0018 </t>
  </si>
  <si>
    <t xml:space="preserve">F:\Données chgh\2020-CHG-CZA-Cromolyn-2\plaque 2/@14 Testo 30/G2_01.tif </t>
  </si>
  <si>
    <t xml:space="preserve"> 26756.1797 </t>
  </si>
  <si>
    <t xml:space="preserve"> 67.9693 </t>
  </si>
  <si>
    <t xml:space="preserve">F:\Données chgh\2020-CHG-CZA-Cromolyn-2\plaque 2/@14 Testo 30/G2_02.tif </t>
  </si>
  <si>
    <t xml:space="preserve"> 24095.7026 </t>
  </si>
  <si>
    <t xml:space="preserve"> 68.237 </t>
  </si>
  <si>
    <t xml:space="preserve">F:\Données chgh\2020-CHG-CZA-Cromolyn-2\plaque 2/@14 Testo 30/G2_03.tif </t>
  </si>
  <si>
    <t xml:space="preserve"> 67.9962 </t>
  </si>
  <si>
    <t xml:space="preserve">F:\Données chgh\2020-CHG-CZA-Cromolyn-2\plaque 2/@14 Testo 30/H2_01.tif </t>
  </si>
  <si>
    <t xml:space="preserve"> 76.828 </t>
  </si>
  <si>
    <t xml:space="preserve">F:\Données chgh\2020-CHG-CZA-Cromolyn-2\plaque 2/@14 Testo 30/H2_02.tif </t>
  </si>
  <si>
    <t xml:space="preserve"> 38825.6609 </t>
  </si>
  <si>
    <t xml:space="preserve"> 75.4496 </t>
  </si>
  <si>
    <t xml:space="preserve">F:\Données chgh\2020-CHG-CZA-Cromolyn-2\plaque 2/@14 Testo 30/H2_03.tif </t>
  </si>
  <si>
    <t xml:space="preserve"> 74.9257 </t>
  </si>
  <si>
    <t xml:space="preserve">F:\Données chgh\2020-CHG-CZA-Cromolyn-2\plaque 2/@14 Testo 30/ </t>
  </si>
  <si>
    <t xml:space="preserve"> 74.268 </t>
  </si>
  <si>
    <t xml:space="preserve"> 4.9418 </t>
  </si>
  <si>
    <t xml:space="preserve"> 3214552.96 </t>
  </si>
  <si>
    <t xml:space="preserve"> 1092255.79 </t>
  </si>
  <si>
    <t xml:space="preserve">F:\Données chgh\2020-CHG-CZA-Cromolyn-2\plaque 2/@15 Testo + EE2/A3_01.tif </t>
  </si>
  <si>
    <t xml:space="preserve"> 39734.1164 </t>
  </si>
  <si>
    <t xml:space="preserve"> 74.7823 </t>
  </si>
  <si>
    <t>F:\Données chgh\2020-CHG-CZA-Cromolyn-2\plaque 2/@15 Testo + EE2/A3_02- exclu.tif</t>
  </si>
  <si>
    <t>F:\Données chgh\2020-CHG-CZA-Cromolyn-2\plaque 2/@15 Testo + EE2/A3_03- exclu.tif</t>
  </si>
  <si>
    <t xml:space="preserve">F:\Données chgh\2020-CHG-CZA-Cromolyn-2\plaque 2/@15 Testo + EE2/B3_01.tif </t>
  </si>
  <si>
    <t xml:space="preserve"> 70902.7946 </t>
  </si>
  <si>
    <t xml:space="preserve"> 84.4311 </t>
  </si>
  <si>
    <t xml:space="preserve">F:\Données chgh\2020-CHG-CZA-Cromolyn-2\plaque 2/@15 Testo + EE2/B3_02.tif </t>
  </si>
  <si>
    <t xml:space="preserve"> 63483.7407 </t>
  </si>
  <si>
    <t xml:space="preserve"> 85.6947 </t>
  </si>
  <si>
    <t xml:space="preserve">F:\Données chgh\2020-CHG-CZA-Cromolyn-2\plaque 2/@15 Testo + EE2/B3_03.tif </t>
  </si>
  <si>
    <t xml:space="preserve"> 63462.1108 </t>
  </si>
  <si>
    <t xml:space="preserve"> 84.7972 </t>
  </si>
  <si>
    <t xml:space="preserve">F:\Données chgh\2020-CHG-CZA-Cromolyn-2\plaque 2/@15 Testo + EE2/C3_01.tif </t>
  </si>
  <si>
    <t xml:space="preserve"> 43605.8676 </t>
  </si>
  <si>
    <t xml:space="preserve"> 73.5823 </t>
  </si>
  <si>
    <t xml:space="preserve">F:\Données chgh\2020-CHG-CZA-Cromolyn-2\plaque 2/@15 Testo + EE2/C3_02.tif </t>
  </si>
  <si>
    <t xml:space="preserve"> 33656.116 </t>
  </si>
  <si>
    <t xml:space="preserve"> 70.8117 </t>
  </si>
  <si>
    <t xml:space="preserve">F:\Données chgh\2020-CHG-CZA-Cromolyn-2\plaque 2/@15 Testo + EE2/C3_03.tif </t>
  </si>
  <si>
    <t xml:space="preserve"> 36208.4436 </t>
  </si>
  <si>
    <t xml:space="preserve"> 72.764 </t>
  </si>
  <si>
    <t xml:space="preserve">F:\Données chgh\2020-CHG-CZA-Cromolyn-2\plaque 2/@15 Testo + EE2/D3_01.tif </t>
  </si>
  <si>
    <t xml:space="preserve"> 40512.7926 </t>
  </si>
  <si>
    <t xml:space="preserve"> 78.0833 </t>
  </si>
  <si>
    <t xml:space="preserve">F:\Données chgh\2020-CHG-CZA-Cromolyn-2\plaque 2/@15 Testo + EE2/D3_02.tif </t>
  </si>
  <si>
    <t xml:space="preserve"> 42956.9707 </t>
  </si>
  <si>
    <t xml:space="preserve"> 80.8167 </t>
  </si>
  <si>
    <t xml:space="preserve">F:\Données chgh\2020-CHG-CZA-Cromolyn-2\plaque 2/@15 Testo + EE2/D3_03.tif </t>
  </si>
  <si>
    <t xml:space="preserve"> 38977.0701 </t>
  </si>
  <si>
    <t xml:space="preserve"> 80.5738 </t>
  </si>
  <si>
    <t xml:space="preserve">F:\Données chgh\2020-CHG-CZA-Cromolyn-2\plaque 2/@15 Testo + EE2/E3_01.tif </t>
  </si>
  <si>
    <t xml:space="preserve"> 65.0667 </t>
  </si>
  <si>
    <t xml:space="preserve">F:\Données chgh\2020-CHG-CZA-Cromolyn-2\plaque 2/@15 Testo + EE2/E3_02.tif </t>
  </si>
  <si>
    <t xml:space="preserve"> 63.0625 </t>
  </si>
  <si>
    <t xml:space="preserve">F:\Données chgh\2020-CHG-CZA-Cromolyn-2\plaque 2/@15 Testo + EE2/E3_03.tif </t>
  </si>
  <si>
    <t xml:space="preserve"> 64.7 </t>
  </si>
  <si>
    <t xml:space="preserve">F:\Données chgh\2020-CHG-CZA-Cromolyn-2\plaque 2/@15 Testo + EE2/F3_01.tif </t>
  </si>
  <si>
    <t xml:space="preserve"> 68566.766 </t>
  </si>
  <si>
    <t xml:space="preserve"> 88.4691 </t>
  </si>
  <si>
    <t xml:space="preserve">F:\Données chgh\2020-CHG-CZA-Cromolyn-2\plaque 2/@15 Testo + EE2/F3_02.tif </t>
  </si>
  <si>
    <t xml:space="preserve"> 70275.5276 </t>
  </si>
  <si>
    <t xml:space="preserve"> 86.9107 </t>
  </si>
  <si>
    <t xml:space="preserve">F:\Données chgh\2020-CHG-CZA-Cromolyn-2\plaque 2/@15 Testo + EE2/F3_03.tif </t>
  </si>
  <si>
    <t xml:space="preserve"> 75293.6632 </t>
  </si>
  <si>
    <t xml:space="preserve"> 89.1445 </t>
  </si>
  <si>
    <t xml:space="preserve">F:\Données chgh\2020-CHG-CZA-Cromolyn-2\plaque 2/@15 Testo + EE2/G3_01.tif </t>
  </si>
  <si>
    <t xml:space="preserve"> 72049.179 </t>
  </si>
  <si>
    <t xml:space="preserve"> 87.7541 </t>
  </si>
  <si>
    <t xml:space="preserve">F:\Données chgh\2020-CHG-CZA-Cromolyn-2\plaque 2/@15 Testo + EE2/G3_02.tif </t>
  </si>
  <si>
    <t xml:space="preserve"> 75315.2931 </t>
  </si>
  <si>
    <t xml:space="preserve"> 85.0514 </t>
  </si>
  <si>
    <t xml:space="preserve">F:\Données chgh\2020-CHG-CZA-Cromolyn-2\plaque 2/@15 Testo + EE2/G3_03.tif </t>
  </si>
  <si>
    <t xml:space="preserve"> 72654.8161 </t>
  </si>
  <si>
    <t xml:space="preserve"> 86.2926 </t>
  </si>
  <si>
    <t xml:space="preserve">F:\Données chgh\2020-CHG-CZA-Cromolyn-2\plaque 2/@15 Testo + EE2/H3_01.tif </t>
  </si>
  <si>
    <t xml:space="preserve"> 61666.8296 </t>
  </si>
  <si>
    <t xml:space="preserve"> 89.7008 </t>
  </si>
  <si>
    <t xml:space="preserve">F:\Données chgh\2020-CHG-CZA-Cromolyn-2\plaque 2/@15 Testo + EE2/H3_02.tif </t>
  </si>
  <si>
    <t xml:space="preserve"> 65863.0291 </t>
  </si>
  <si>
    <t xml:space="preserve"> 84.5008 </t>
  </si>
  <si>
    <t xml:space="preserve">F:\Données chgh\2020-CHG-CZA-Cromolyn-2\plaque 2/@15 Testo + EE2/H3_03.tif </t>
  </si>
  <si>
    <t xml:space="preserve"> 68696.5453 </t>
  </si>
  <si>
    <t xml:space="preserve"> 88.3479 </t>
  </si>
  <si>
    <t xml:space="preserve">F:\Données chgh\2020-CHG-CZA-Cromolyn-2\plaque 2/@15 Testo + EE2/ </t>
  </si>
  <si>
    <t xml:space="preserve"> 79.4427 </t>
  </si>
  <si>
    <t xml:space="preserve"> 8.8029 </t>
  </si>
  <si>
    <t xml:space="preserve"> 4007356.25 </t>
  </si>
  <si>
    <t xml:space="preserve"> 2264002.19 </t>
  </si>
  <si>
    <t xml:space="preserve">F:\Données chgh\2020-CHG-CZA-Cromolyn-2\plaque 2/@16 Testo + FAD/A4_01.tif </t>
  </si>
  <si>
    <t xml:space="preserve"> 66.9521 </t>
  </si>
  <si>
    <t xml:space="preserve">F:\Données chgh\2020-CHG-CZA-Cromolyn-2\plaque 2/@16 Testo + FAD/A4_02.tif </t>
  </si>
  <si>
    <t xml:space="preserve"> 66.1938 </t>
  </si>
  <si>
    <t xml:space="preserve">F:\Données chgh\2020-CHG-CZA-Cromolyn-2\plaque 2/@16 Testo + FAD/A4_03.tif </t>
  </si>
  <si>
    <t xml:space="preserve"> 65.6066 </t>
  </si>
  <si>
    <t xml:space="preserve">F:\Données chgh\2020-CHG-CZA-Cromolyn-2\plaque 2/@16 Testo + FAD/B4_01.tif </t>
  </si>
  <si>
    <t xml:space="preserve"> 8392.3991 </t>
  </si>
  <si>
    <t xml:space="preserve"> 71.5825 </t>
  </si>
  <si>
    <t xml:space="preserve">F:\Données chgh\2020-CHG-CZA-Cromolyn-2\plaque 2/@16 Testo + FAD/B4_02.tif </t>
  </si>
  <si>
    <t xml:space="preserve"> 11247.5452 </t>
  </si>
  <si>
    <t xml:space="preserve"> 74.3154 </t>
  </si>
  <si>
    <t xml:space="preserve">F:\Données chgh\2020-CHG-CZA-Cromolyn-2\plaque 2/@16 Testo + FAD/B4_03.tif </t>
  </si>
  <si>
    <t xml:space="preserve"> 73.5888 </t>
  </si>
  <si>
    <t xml:space="preserve">F:\Données chgh\2020-CHG-CZA-Cromolyn-2\plaque 2/@16 Testo + FAD/C4_01.tif </t>
  </si>
  <si>
    <t xml:space="preserve"> 5299.3242 </t>
  </si>
  <si>
    <t xml:space="preserve"> 70.498 </t>
  </si>
  <si>
    <t xml:space="preserve">F:\Données chgh\2020-CHG-CZA-Cromolyn-2\plaque 2/@16 Testo + FAD/C4_02.tif </t>
  </si>
  <si>
    <t xml:space="preserve"> 65.6933 </t>
  </si>
  <si>
    <t xml:space="preserve">F:\Données chgh\2020-CHG-CZA-Cromolyn-2\plaque 2/@16 Testo + FAD/C4_03.tif </t>
  </si>
  <si>
    <t xml:space="preserve"> 65.8462 </t>
  </si>
  <si>
    <t xml:space="preserve">F:\Données chgh\2020-CHG-CZA-Cromolyn-2\plaque 2/@16 Testo + FAD/D4_01.tif </t>
  </si>
  <si>
    <t xml:space="preserve"> 65.6235 </t>
  </si>
  <si>
    <t xml:space="preserve">F:\Données chgh\2020-CHG-CZA-Cromolyn-2\plaque 2/@16 Testo + FAD/D4_02.tif </t>
  </si>
  <si>
    <t xml:space="preserve"> 2379.2884 </t>
  </si>
  <si>
    <t xml:space="preserve"> 66.5455 </t>
  </si>
  <si>
    <t xml:space="preserve">F:\Données chgh\2020-CHG-CZA-Cromolyn-2\plaque 2/@16 Testo + FAD/D4_03.tif </t>
  </si>
  <si>
    <t xml:space="preserve"> 64.697 </t>
  </si>
  <si>
    <t xml:space="preserve">F:\Données chgh\2020-CHG-CZA-Cromolyn-2\plaque 2/@16 Testo + FAD/E4_01.tif </t>
  </si>
  <si>
    <t xml:space="preserve">F:\Données chgh\2020-CHG-CZA-Cromolyn-2\plaque 2/@16 Testo + FAD/E4_02.tif </t>
  </si>
  <si>
    <t xml:space="preserve"> 65.931 </t>
  </si>
  <si>
    <t xml:space="preserve">F:\Données chgh\2020-CHG-CZA-Cromolyn-2\plaque 2/@16 Testo + FAD/E4_03.tif </t>
  </si>
  <si>
    <t xml:space="preserve"> 63.6286 </t>
  </si>
  <si>
    <t xml:space="preserve">F:\Données chgh\2020-CHG-CZA-Cromolyn-2\plaque 2/@16 Testo + FAD/F4_01.tif </t>
  </si>
  <si>
    <t xml:space="preserve"> 11096.1359 </t>
  </si>
  <si>
    <t xml:space="preserve"> 77.5945 </t>
  </si>
  <si>
    <t xml:space="preserve">F:\Données chgh\2020-CHG-CZA-Cromolyn-2\plaque 2/@16 Testo + FAD/F4_02.tif </t>
  </si>
  <si>
    <t xml:space="preserve"> 77.602 </t>
  </si>
  <si>
    <t xml:space="preserve">F:\Données chgh\2020-CHG-CZA-Cromolyn-2\plaque 2/@16 Testo + FAD/F4_03.tif </t>
  </si>
  <si>
    <t xml:space="preserve"> 11290.805 </t>
  </si>
  <si>
    <t xml:space="preserve"> 80.5805 </t>
  </si>
  <si>
    <t xml:space="preserve">F:\Données chgh\2020-CHG-CZA-Cromolyn-2\plaque 2/@16 Testo + FAD/G4_01.tif </t>
  </si>
  <si>
    <t xml:space="preserve"> 67.1042 </t>
  </si>
  <si>
    <t xml:space="preserve">F:\Données chgh\2020-CHG-CZA-Cromolyn-2\plaque 2/@16 Testo + FAD/G4_02.tif </t>
  </si>
  <si>
    <t xml:space="preserve"> 63.7568 </t>
  </si>
  <si>
    <t xml:space="preserve">F:\Données chgh\2020-CHG-CZA-Cromolyn-2\plaque 2/@16 Testo + FAD/G4_03.tif </t>
  </si>
  <si>
    <t xml:space="preserve"> 63.8148 </t>
  </si>
  <si>
    <t xml:space="preserve">F:\Données chgh\2020-CHG-CZA-Cromolyn-2\plaque 2/@16 Testo + FAD/H4_01.tif </t>
  </si>
  <si>
    <t xml:space="preserve"> 64.6154 </t>
  </si>
  <si>
    <t xml:space="preserve">F:\Données chgh\2020-CHG-CZA-Cromolyn-2\plaque 2/@16 Testo + FAD/H4_02.tif </t>
  </si>
  <si>
    <t xml:space="preserve"> 62.8182 </t>
  </si>
  <si>
    <t xml:space="preserve">F:\Données chgh\2020-CHG-CZA-Cromolyn-2\plaque 2/@16 Testo + FAD/H4_03.tif </t>
  </si>
  <si>
    <t xml:space="preserve"> 63.8182 </t>
  </si>
  <si>
    <t xml:space="preserve">F:\Données chgh\2020-CHG-CZA-Cromolyn-2\plaque 2/@16 Testo + FAD/ </t>
  </si>
  <si>
    <t xml:space="preserve"> 68.0266 </t>
  </si>
  <si>
    <t xml:space="preserve"> 5.1124 </t>
  </si>
  <si>
    <t xml:space="preserve"> 280741.625 </t>
  </si>
  <si>
    <t xml:space="preserve"> 316102.92 </t>
  </si>
  <si>
    <t xml:space="preserve">F:\Données chgh\2020-CHG-CZA-Cromolyn-2\plaque 2/@17 Testo + Cromolyn 0.1/A5_01.tif </t>
  </si>
  <si>
    <t xml:space="preserve"> 5558.8829 </t>
  </si>
  <si>
    <t xml:space="preserve"> 67.8755 </t>
  </si>
  <si>
    <t xml:space="preserve">F:\Données chgh\2020-CHG-CZA-Cromolyn-2\plaque 2/@17 Testo + Cromolyn 0.1/A5_02.tif </t>
  </si>
  <si>
    <t xml:space="preserve"> 66.0588 </t>
  </si>
  <si>
    <t xml:space="preserve">F:\Données chgh\2020-CHG-CZA-Cromolyn-2\plaque 2/@17 Testo + Cromolyn 0.1/A5_03.tif </t>
  </si>
  <si>
    <t xml:space="preserve"> 4628.7975 </t>
  </si>
  <si>
    <t xml:space="preserve"> 66.6402 </t>
  </si>
  <si>
    <t xml:space="preserve">F:\Données chgh\2020-CHG-CZA-Cromolyn-2\plaque 2/@17 Testo + Cromolyn 0.1/B5_01.tif </t>
  </si>
  <si>
    <t xml:space="preserve"> 22927.6883 </t>
  </si>
  <si>
    <t xml:space="preserve"> 68.0057 </t>
  </si>
  <si>
    <t xml:space="preserve">F:\Données chgh\2020-CHG-CZA-Cromolyn-2\plaque 2/@17 Testo + Cromolyn 0.1/B5_02.tif </t>
  </si>
  <si>
    <t xml:space="preserve"> 68.3657 </t>
  </si>
  <si>
    <t xml:space="preserve">F:\Données chgh\2020-CHG-CZA-Cromolyn-2\plaque 2/@17 Testo + Cromolyn 0.1/B5_03.tif </t>
  </si>
  <si>
    <t xml:space="preserve"> 25198.8272 </t>
  </si>
  <si>
    <t xml:space="preserve"> 69.3399 </t>
  </si>
  <si>
    <t xml:space="preserve">F:\Données chgh\2020-CHG-CZA-Cromolyn-2\plaque 2/@17 Testo + Cromolyn 0.1/C5_01.tif </t>
  </si>
  <si>
    <t xml:space="preserve"> 15876.3427 </t>
  </si>
  <si>
    <t xml:space="preserve"> 69.9687 </t>
  </si>
  <si>
    <t xml:space="preserve">F:\Données chgh\2020-CHG-CZA-Cromolyn-2\plaque 2/@17 Testo + Cromolyn 0.1/C5_02.tif </t>
  </si>
  <si>
    <t xml:space="preserve"> 13648.4635 </t>
  </si>
  <si>
    <t xml:space="preserve"> 67.3455 </t>
  </si>
  <si>
    <t xml:space="preserve">F:\Données chgh\2020-CHG-CZA-Cromolyn-2\plaque 2/@17 Testo + Cromolyn 0.1/C5_03.tif </t>
  </si>
  <si>
    <t xml:space="preserve"> 16287.3107 </t>
  </si>
  <si>
    <t xml:space="preserve"> 69.7835 </t>
  </si>
  <si>
    <t xml:space="preserve">F:\Données chgh\2020-CHG-CZA-Cromolyn-2\plaque 2/@17 Testo + Cromolyn 0.1/D5_01.tif </t>
  </si>
  <si>
    <t xml:space="preserve"> 64.8508 </t>
  </si>
  <si>
    <t xml:space="preserve">F:\Données chgh\2020-CHG-CZA-Cromolyn-2\plaque 2/@17 Testo + Cromolyn 0.1/D5_02.tif </t>
  </si>
  <si>
    <t xml:space="preserve"> 66.5042 </t>
  </si>
  <si>
    <t xml:space="preserve">F:\Données chgh\2020-CHG-CZA-Cromolyn-2\plaque 2/@17 Testo + Cromolyn 0.1/D5_03.tif </t>
  </si>
  <si>
    <t xml:space="preserve"> 7656.9827 </t>
  </si>
  <si>
    <t xml:space="preserve"> 65.9181 </t>
  </si>
  <si>
    <t xml:space="preserve">F:\Données chgh\2020-CHG-CZA-Cromolyn-2\plaque 2/@17 Testo + Cromolyn 0.1/E5_01.tif </t>
  </si>
  <si>
    <t xml:space="preserve"> 58833.3134 </t>
  </si>
  <si>
    <t xml:space="preserve"> 74.525 </t>
  </si>
  <si>
    <t xml:space="preserve">F:\Données chgh\2020-CHG-CZA-Cromolyn-2\plaque 2/@17 Testo + Cromolyn 0.1/E5_02.tif </t>
  </si>
  <si>
    <t xml:space="preserve"> 58141.1568 </t>
  </si>
  <si>
    <t xml:space="preserve"> 74.6566 </t>
  </si>
  <si>
    <t xml:space="preserve">F:\Données chgh\2020-CHG-CZA-Cromolyn-2\plaque 2/@17 Testo + Cromolyn 0.1/E5_03.tif </t>
  </si>
  <si>
    <t xml:space="preserve"> 50354.3947 </t>
  </si>
  <si>
    <t xml:space="preserve"> 73.4695 </t>
  </si>
  <si>
    <t xml:space="preserve">F:\Données chgh\2020-CHG-CZA-Cromolyn-2\plaque 2/@17 Testo + Cromolyn 0.1/F5_01.tif </t>
  </si>
  <si>
    <t xml:space="preserve"> 31406.607 </t>
  </si>
  <si>
    <t xml:space="preserve"> 71.407 </t>
  </si>
  <si>
    <t xml:space="preserve">F:\Données chgh\2020-CHG-CZA-Cromolyn-2\plaque 2/@17 Testo + Cromolyn 0.1/F5_02.tif </t>
  </si>
  <si>
    <t xml:space="preserve"> 27491.5961 </t>
  </si>
  <si>
    <t xml:space="preserve"> 73.8348 </t>
  </si>
  <si>
    <t xml:space="preserve">F:\Données chgh\2020-CHG-CZA-Cromolyn-2\plaque 2/@17 Testo + Cromolyn 0.1/F5_03.tif </t>
  </si>
  <si>
    <t xml:space="preserve"> 26496.6209 </t>
  </si>
  <si>
    <t xml:space="preserve"> 70.0408 </t>
  </si>
  <si>
    <t xml:space="preserve">F:\Données chgh\2020-CHG-CZA-Cromolyn-2\plaque 2/@17 Testo + Cromolyn 0.1/G5_01.tif </t>
  </si>
  <si>
    <t xml:space="preserve"> 66.5235 </t>
  </si>
  <si>
    <t xml:space="preserve">F:\Données chgh\2020-CHG-CZA-Cromolyn-2\plaque 2/@17 Testo + Cromolyn 0.1/G5_02.tif </t>
  </si>
  <si>
    <t xml:space="preserve"> 65.7767 </t>
  </si>
  <si>
    <t xml:space="preserve">F:\Données chgh\2020-CHG-CZA-Cromolyn-2\plaque 2/@17 Testo + Cromolyn 0.1/G5_03.tif </t>
  </si>
  <si>
    <t xml:space="preserve"> 67.3968 </t>
  </si>
  <si>
    <t xml:space="preserve">F:\Données chgh\2020-CHG-CZA-Cromolyn-2\plaque 2/@17 Testo + Cromolyn 0.1/H5_01.tif </t>
  </si>
  <si>
    <t xml:space="preserve"> 19358.7557 </t>
  </si>
  <si>
    <t xml:space="preserve"> 76.3017 </t>
  </si>
  <si>
    <t xml:space="preserve">F:\Données chgh\2020-CHG-CZA-Cromolyn-2\plaque 2/@17 Testo + Cromolyn 0.1/H5_02.tif </t>
  </si>
  <si>
    <t xml:space="preserve"> 13670.0934 </t>
  </si>
  <si>
    <t xml:space="preserve"> 71.3877 </t>
  </si>
  <si>
    <t xml:space="preserve">F:\Données chgh\2020-CHG-CZA-Cromolyn-2\plaque 2/@17 Testo + Cromolyn 0.1/H5_03.tif </t>
  </si>
  <si>
    <t xml:space="preserve"> 15962.8622 </t>
  </si>
  <si>
    <t xml:space="preserve"> 73.7439 </t>
  </si>
  <si>
    <t xml:space="preserve">F:\Données chgh\2020-CHG-CZA-Cromolyn-2\plaque 2/@17 Testo + Cromolyn 0.1/ </t>
  </si>
  <si>
    <t xml:space="preserve"> 69.5717 </t>
  </si>
  <si>
    <t xml:space="preserve"> 3.3605 </t>
  </si>
  <si>
    <t xml:space="preserve"> 1406532.54 </t>
  </si>
  <si>
    <t xml:space="preserve"> 1219770.58 </t>
  </si>
  <si>
    <t xml:space="preserve">F:\Données chgh\2020-CHG-CZA-Cromolyn-2\plaque 2/@18 Testo + Cromolyn 1/A6_01.tif </t>
  </si>
  <si>
    <t xml:space="preserve"> 35321.6179 </t>
  </si>
  <si>
    <t xml:space="preserve"> 72.8665 </t>
  </si>
  <si>
    <t xml:space="preserve">F:\Données chgh\2020-CHG-CZA-Cromolyn-2\plaque 2/@18 Testo + Cromolyn 1/A6_02.tif </t>
  </si>
  <si>
    <t xml:space="preserve"> 31687.7956 </t>
  </si>
  <si>
    <t xml:space="preserve"> 75.7775 </t>
  </si>
  <si>
    <t xml:space="preserve">F:\Données chgh\2020-CHG-CZA-Cromolyn-2\plaque 2/@18 Testo + Cromolyn 1/A6_03.tif </t>
  </si>
  <si>
    <t xml:space="preserve"> 28464.9413 </t>
  </si>
  <si>
    <t xml:space="preserve"> 77.2956 </t>
  </si>
  <si>
    <t xml:space="preserve">F:\Données chgh\2020-CHG-CZA-Cromolyn-2\plaque 2/@18 Testo + Cromolyn 1/B6_01.tif </t>
  </si>
  <si>
    <t xml:space="preserve"> 29676.2154 </t>
  </si>
  <si>
    <t xml:space="preserve"> 74.5641 </t>
  </si>
  <si>
    <t xml:space="preserve">F:\Données chgh\2020-CHG-CZA-Cromolyn-2\plaque 2/@18 Testo + Cromolyn 1/B6_02.tif </t>
  </si>
  <si>
    <t xml:space="preserve"> 31579.6462 </t>
  </si>
  <si>
    <t xml:space="preserve"> 72.3918 </t>
  </si>
  <si>
    <t xml:space="preserve">F:\Données chgh\2020-CHG-CZA-Cromolyn-2\plaque 2/@18 Testo + Cromolyn 1/B6_03.tif </t>
  </si>
  <si>
    <t xml:space="preserve"> 28335.162 </t>
  </si>
  <si>
    <t xml:space="preserve"> 73.3672 </t>
  </si>
  <si>
    <t xml:space="preserve">F:\Données chgh\2020-CHG-CZA-Cromolyn-2\plaque 2/@18 Testo + Cromolyn 1/C6_01.tif </t>
  </si>
  <si>
    <t xml:space="preserve"> 70.2791 </t>
  </si>
  <si>
    <t xml:space="preserve">F:\Données chgh\2020-CHG-CZA-Cromolyn-2\plaque 2/@18 Testo + Cromolyn 1/C6_02.tif </t>
  </si>
  <si>
    <t xml:space="preserve"> 47347.8393 </t>
  </si>
  <si>
    <t xml:space="preserve"> 70.032 </t>
  </si>
  <si>
    <t xml:space="preserve">F:\Données chgh\2020-CHG-CZA-Cromolyn-2\plaque 2/@18 Testo + Cromolyn 1/C6_03.tif </t>
  </si>
  <si>
    <t xml:space="preserve"> 44817.1417 </t>
  </si>
  <si>
    <t xml:space="preserve"> 72.1125 </t>
  </si>
  <si>
    <t xml:space="preserve">F:\Données chgh\2020-CHG-CZA-Cromolyn-2\plaque 2/@18 Testo + Cromolyn 1/D6_01.tif </t>
  </si>
  <si>
    <t xml:space="preserve"> 17649.994 </t>
  </si>
  <si>
    <t xml:space="preserve"> 67.0074 </t>
  </si>
  <si>
    <t>F:\Données chgh\2020-CHG-CZA-Cromolyn-2\plaque 2/@18 Testo + Cromolyn 1/D6_02- exclu.tif</t>
  </si>
  <si>
    <t>F:\Données chgh\2020-CHG-CZA-Cromolyn-2\plaque 2/@18 Testo + Cromolyn 1/D6_03- exclu.tif</t>
  </si>
  <si>
    <t xml:space="preserve">F:\Données chgh\2020-CHG-CZA-Cromolyn-2\plaque 2/@18 Testo + Cromolyn 1/E6_01.tif </t>
  </si>
  <si>
    <t xml:space="preserve"> 64.9563 </t>
  </si>
  <si>
    <t xml:space="preserve">F:\Données chgh\2020-CHG-CZA-Cromolyn-2\plaque 2/@18 Testo + Cromolyn 1/E6_02.tif </t>
  </si>
  <si>
    <t xml:space="preserve"> 64.2885 </t>
  </si>
  <si>
    <t xml:space="preserve">F:\Données chgh\2020-CHG-CZA-Cromolyn-2\plaque 2/@18 Testo + Cromolyn 1/E6_03.tif </t>
  </si>
  <si>
    <t xml:space="preserve"> 3266.1141 </t>
  </si>
  <si>
    <t xml:space="preserve"> 65.2053 </t>
  </si>
  <si>
    <t xml:space="preserve">F:\Données chgh\2020-CHG-CZA-Cromolyn-2\plaque 2/@18 Testo + Cromolyn 1/F6_01.tif </t>
  </si>
  <si>
    <t xml:space="preserve"> 69.8425 </t>
  </si>
  <si>
    <t xml:space="preserve">F:\Données chgh\2020-CHG-CZA-Cromolyn-2\plaque 2/@18 Testo + Cromolyn 1/F6_02.tif </t>
  </si>
  <si>
    <t xml:space="preserve"> 16784.7982 </t>
  </si>
  <si>
    <t xml:space="preserve"> 69.1456 </t>
  </si>
  <si>
    <t xml:space="preserve">F:\Données chgh\2020-CHG-CZA-Cromolyn-2\plaque 2/@18 Testo + Cromolyn 1/F6_03.tif </t>
  </si>
  <si>
    <t xml:space="preserve"> 69.3254 </t>
  </si>
  <si>
    <t xml:space="preserve">F:\Données chgh\2020-CHG-CZA-Cromolyn-2\plaque 2/@18 Testo + Cromolyn 1/G6_01.tif </t>
  </si>
  <si>
    <t xml:space="preserve"> 23143.9873 </t>
  </si>
  <si>
    <t xml:space="preserve"> 69.0393 </t>
  </si>
  <si>
    <t xml:space="preserve">F:\Données chgh\2020-CHG-CZA-Cromolyn-2\plaque 2/@18 Testo + Cromolyn 1/G6_02.tif </t>
  </si>
  <si>
    <t xml:space="preserve"> 19704.834 </t>
  </si>
  <si>
    <t xml:space="preserve"> 68.8233 </t>
  </si>
  <si>
    <t xml:space="preserve">F:\Données chgh\2020-CHG-CZA-Cromolyn-2\plaque 2/@18 Testo + Cromolyn 1/G6_03.tif </t>
  </si>
  <si>
    <t xml:space="preserve"> 25631.4251 </t>
  </si>
  <si>
    <t xml:space="preserve"> 69.1384 </t>
  </si>
  <si>
    <t xml:space="preserve">F:\Données chgh\2020-CHG-CZA-Cromolyn-2\plaque 2/@18 Testo + Cromolyn 1/H6_01.tif </t>
  </si>
  <si>
    <t xml:space="preserve"> 65.4681 </t>
  </si>
  <si>
    <t>F:\Données chgh\2020-CHG-CZA-Cromolyn-2\plaque 2/@18 Testo + Cromolyn 1/H6_02- exclu.tif</t>
  </si>
  <si>
    <t xml:space="preserve">F:\Données chgh\2020-CHG-CZA-Cromolyn-2\plaque 2/@18 Testo + Cromolyn 1/H6_03.tif </t>
  </si>
  <si>
    <t xml:space="preserve"> 65.3964 </t>
  </si>
  <si>
    <t xml:space="preserve">F:\Données chgh\2020-CHG-CZA-Cromolyn-2\plaque 2/@18 Testo + Cromolyn 1/ </t>
  </si>
  <si>
    <t xml:space="preserve"> 69.206 </t>
  </si>
  <si>
    <t xml:space="preserve"> 3.8409 </t>
  </si>
  <si>
    <t xml:space="preserve"> 1442914.04 </t>
  </si>
  <si>
    <t xml:space="preserve"> 1098075.39 </t>
  </si>
  <si>
    <t xml:space="preserve">F:\Données chgh\2020-CHG-CZA-Cromolyn-2\plaque 2/@19 Testo + Cromolyn 10/A7_01.tif </t>
  </si>
  <si>
    <t xml:space="preserve"> 14254.1006 </t>
  </si>
  <si>
    <t xml:space="preserve"> 71.8619 </t>
  </si>
  <si>
    <t xml:space="preserve">F:\Données chgh\2020-CHG-CZA-Cromolyn-2\plaque 2/@19 Testo + Cromolyn 10/A7_02.tif </t>
  </si>
  <si>
    <t xml:space="preserve"> 18017.7022 </t>
  </si>
  <si>
    <t xml:space="preserve"> 70.2197 </t>
  </si>
  <si>
    <t xml:space="preserve">F:\Données chgh\2020-CHG-CZA-Cromolyn-2\plaque 2/@19 Testo + Cromolyn 10/A7_03.tif </t>
  </si>
  <si>
    <t xml:space="preserve"> 17758.1435 </t>
  </si>
  <si>
    <t xml:space="preserve"> 71.1803 </t>
  </si>
  <si>
    <t xml:space="preserve">F:\Données chgh\2020-CHG-CZA-Cromolyn-2\plaque 2/@19 Testo + Cromolyn 10/B7_01.tif </t>
  </si>
  <si>
    <t xml:space="preserve"> 17412.0652 </t>
  </si>
  <si>
    <t xml:space="preserve"> 69.3453 </t>
  </si>
  <si>
    <t xml:space="preserve">F:\Données chgh\2020-CHG-CZA-Cromolyn-2\plaque 2/@19 Testo + Cromolyn 10/B7_02.tif </t>
  </si>
  <si>
    <t xml:space="preserve"> 72.0712 </t>
  </si>
  <si>
    <t xml:space="preserve">F:\Données chgh\2020-CHG-CZA-Cromolyn-2\plaque 2/@19 Testo + Cromolyn 10/B7_03.tif </t>
  </si>
  <si>
    <t xml:space="preserve"> 15162.5561 </t>
  </si>
  <si>
    <t xml:space="preserve"> 70.3852 </t>
  </si>
  <si>
    <t xml:space="preserve">F:\Données chgh\2020-CHG-CZA-Cromolyn-2\plaque 2/@19 Testo + Cromolyn 10/C7_01.tif </t>
  </si>
  <si>
    <t xml:space="preserve"> 12610.2286 </t>
  </si>
  <si>
    <t xml:space="preserve"> 66.1201 </t>
  </si>
  <si>
    <t xml:space="preserve">F:\Données chgh\2020-CHG-CZA-Cromolyn-2\plaque 2/@19 Testo + Cromolyn 10/C7_02.tif </t>
  </si>
  <si>
    <t xml:space="preserve"> 13086.0863 </t>
  </si>
  <si>
    <t xml:space="preserve"> 66.1355 </t>
  </si>
  <si>
    <t xml:space="preserve">F:\Données chgh\2020-CHG-CZA-Cromolyn-2\plaque 2/@19 Testo + Cromolyn 10/C7_03.tif </t>
  </si>
  <si>
    <t xml:space="preserve"> 13388.9048 </t>
  </si>
  <si>
    <t xml:space="preserve"> 66.9111 </t>
  </si>
  <si>
    <t xml:space="preserve">F:\Données chgh\2020-CHG-CZA-Cromolyn-2\plaque 2/@19 Testo + Cromolyn 10/D7_01.tif </t>
  </si>
  <si>
    <t xml:space="preserve"> 14016.1717 </t>
  </si>
  <si>
    <t xml:space="preserve"> 67.5293 </t>
  </si>
  <si>
    <t xml:space="preserve">F:\Données chgh\2020-CHG-CZA-Cromolyn-2\plaque 2/@19 Testo + Cromolyn 10/D7_02.tif </t>
  </si>
  <si>
    <t xml:space="preserve"> 17887.9229 </t>
  </si>
  <si>
    <t xml:space="preserve"> 67.5599 </t>
  </si>
  <si>
    <t xml:space="preserve">F:\Données chgh\2020-CHG-CZA-Cromolyn-2\plaque 2/@19 Testo + Cromolyn 10/D7_03.tif </t>
  </si>
  <si>
    <t xml:space="preserve"> 14989.517 </t>
  </si>
  <si>
    <t xml:space="preserve"> 66.9365 </t>
  </si>
  <si>
    <t xml:space="preserve">F:\Données chgh\2020-CHG-CZA-Cromolyn-2\plaque 2/@19 Testo + Cromolyn 10/E7_01.tif </t>
  </si>
  <si>
    <t xml:space="preserve"> 30627.9308 </t>
  </si>
  <si>
    <t xml:space="preserve"> 69.3545 </t>
  </si>
  <si>
    <t xml:space="preserve">F:\Données chgh\2020-CHG-CZA-Cromolyn-2\plaque 2/@19 Testo + Cromolyn 10/E7_02.tif </t>
  </si>
  <si>
    <t xml:space="preserve"> 27123.8879 </t>
  </si>
  <si>
    <t xml:space="preserve"> 69.2408 </t>
  </si>
  <si>
    <t xml:space="preserve">F:\Données chgh\2020-CHG-CZA-Cromolyn-2\plaque 2/@19 Testo + Cromolyn 10/E7_03.tif </t>
  </si>
  <si>
    <t xml:space="preserve"> 28075.6032 </t>
  </si>
  <si>
    <t xml:space="preserve"> 70.0116 </t>
  </si>
  <si>
    <t xml:space="preserve">F:\Données chgh\2020-CHG-CZA-Cromolyn-2\plaque 2/@19 Testo + Cromolyn 10/F7_01.tif </t>
  </si>
  <si>
    <t xml:space="preserve"> 12826.5275 </t>
  </si>
  <si>
    <t xml:space="preserve"> 70.7639 </t>
  </si>
  <si>
    <t xml:space="preserve">F:\Données chgh\2020-CHG-CZA-Cromolyn-2\plaque 2/@19 Testo + Cromolyn 10/F7_02.tif </t>
  </si>
  <si>
    <t xml:space="preserve"> 68.7084 </t>
  </si>
  <si>
    <t xml:space="preserve">F:\Données chgh\2020-CHG-CZA-Cromolyn-2\plaque 2/@19 Testo + Cromolyn 10/F7_03.tif </t>
  </si>
  <si>
    <t xml:space="preserve"> 70.8802 </t>
  </si>
  <si>
    <t xml:space="preserve">F:\Données chgh\2020-CHG-CZA-Cromolyn-2\plaque 2/@19 Testo + Cromolyn 10/G7_01.tif </t>
  </si>
  <si>
    <t xml:space="preserve"> 67.4088 </t>
  </si>
  <si>
    <t xml:space="preserve">F:\Données chgh\2020-CHG-CZA-Cromolyn-2\plaque 2/@19 Testo + Cromolyn 10/G7_02.tif </t>
  </si>
  <si>
    <t xml:space="preserve"> 9538.7835 </t>
  </si>
  <si>
    <t xml:space="preserve"> 66.7279 </t>
  </si>
  <si>
    <t xml:space="preserve">F:\Données chgh\2020-CHG-CZA-Cromolyn-2\plaque 2/@19 Testo + Cromolyn 10/G7_03.tif </t>
  </si>
  <si>
    <t xml:space="preserve"> 66.9565 </t>
  </si>
  <si>
    <t xml:space="preserve">F:\Données chgh\2020-CHG-CZA-Cromolyn-2\plaque 2/@19 Testo + Cromolyn 10/H7_01.tif </t>
  </si>
  <si>
    <t xml:space="preserve"> 64.6354 </t>
  </si>
  <si>
    <t xml:space="preserve">F:\Données chgh\2020-CHG-CZA-Cromolyn-2\plaque 2/@19 Testo + Cromolyn 10/H7_02.tif </t>
  </si>
  <si>
    <t xml:space="preserve"> 1470.8328 </t>
  </si>
  <si>
    <t xml:space="preserve"> 64.1029 </t>
  </si>
  <si>
    <t xml:space="preserve">F:\Données chgh\2020-CHG-CZA-Cromolyn-2\plaque 2/@19 Testo + Cromolyn 10/H7_03.tif </t>
  </si>
  <si>
    <t xml:space="preserve"> 2530.6977 </t>
  </si>
  <si>
    <t xml:space="preserve"> 64.9915 </t>
  </si>
  <si>
    <t xml:space="preserve">F:\Données chgh\2020-CHG-CZA-Cromolyn-2\plaque 2/@19 Testo + Cromolyn 10/ </t>
  </si>
  <si>
    <t xml:space="preserve"> 68.3349 </t>
  </si>
  <si>
    <t xml:space="preserve"> 2.3177 </t>
  </si>
  <si>
    <t xml:space="preserve"> 986039.292 </t>
  </si>
  <si>
    <t xml:space="preserve"> 517085.948 </t>
  </si>
  <si>
    <t xml:space="preserve">F:\Données chgh\2020-CHG-CZA-Cromolyn-2\plaque 2/@20 Testo + Cromolyn 100/A8_01.tif </t>
  </si>
  <si>
    <t xml:space="preserve"> 70297.1575 </t>
  </si>
  <si>
    <t xml:space="preserve"> 76.1702 </t>
  </si>
  <si>
    <t xml:space="preserve">F:\Données chgh\2020-CHG-CZA-Cromolyn-2\plaque 2/@20 Testo + Cromolyn 100/A8_02.tif </t>
  </si>
  <si>
    <t xml:space="preserve"> 73195.5634 </t>
  </si>
  <si>
    <t xml:space="preserve"> 81.9805 </t>
  </si>
  <si>
    <t>F:\Données chgh\2020-CHG-CZA-Cromolyn-2\plaque 2/@20 Testo + Cromolyn 100/A8_03- exclu.tif</t>
  </si>
  <si>
    <t xml:space="preserve">F:\Données chgh\2020-CHG-CZA-Cromolyn-2\plaque 2/@20 Testo + Cromolyn 100/B8_01.tif </t>
  </si>
  <si>
    <t xml:space="preserve"> 21327.0761 </t>
  </si>
  <si>
    <t xml:space="preserve"> 69.2018 </t>
  </si>
  <si>
    <t xml:space="preserve">F:\Données chgh\2020-CHG-CZA-Cromolyn-2\plaque 2/@20 Testo + Cromolyn 100/B8_02.tif </t>
  </si>
  <si>
    <t xml:space="preserve"> 18666.5991 </t>
  </si>
  <si>
    <t xml:space="preserve"> 69.3418 </t>
  </si>
  <si>
    <t xml:space="preserve">F:\Données chgh\2020-CHG-CZA-Cromolyn-2\plaque 2/@20 Testo + Cromolyn 100/B8_03.tif </t>
  </si>
  <si>
    <t xml:space="preserve"> 14902.9974 </t>
  </si>
  <si>
    <t xml:space="preserve"> 68.2279 </t>
  </si>
  <si>
    <t xml:space="preserve">F:\Données chgh\2020-CHG-CZA-Cromolyn-2\plaque 2/@20 Testo + Cromolyn 100/C8_01.tif </t>
  </si>
  <si>
    <t xml:space="preserve"> 8716.8475 </t>
  </si>
  <si>
    <t xml:space="preserve"> 74.206 </t>
  </si>
  <si>
    <t xml:space="preserve">F:\Données chgh\2020-CHG-CZA-Cromolyn-2\plaque 2/@20 Testo + Cromolyn 100/C8_02.tif </t>
  </si>
  <si>
    <t xml:space="preserve"> 11074.506 </t>
  </si>
  <si>
    <t xml:space="preserve"> 80.1777 </t>
  </si>
  <si>
    <t xml:space="preserve">F:\Données chgh\2020-CHG-CZA-Cromolyn-2\plaque 2/@20 Testo + Cromolyn 100/C8_03.tif </t>
  </si>
  <si>
    <t xml:space="preserve"> 11550.3637 </t>
  </si>
  <si>
    <t xml:space="preserve"> 83.5 </t>
  </si>
  <si>
    <t xml:space="preserve">F:\Données chgh\2020-CHG-CZA-Cromolyn-2\plaque 2/@20 Testo + Cromolyn 100/D8_01.tif </t>
  </si>
  <si>
    <t xml:space="preserve"> 25955.8736 </t>
  </si>
  <si>
    <t xml:space="preserve"> 71.9967 </t>
  </si>
  <si>
    <t xml:space="preserve">F:\Données chgh\2020-CHG-CZA-Cromolyn-2\plaque 2/@20 Testo + Cromolyn 100/D8_02.tif </t>
  </si>
  <si>
    <t xml:space="preserve"> 23079.0976 </t>
  </si>
  <si>
    <t xml:space="preserve"> 68.7751 </t>
  </si>
  <si>
    <t xml:space="preserve">F:\Données chgh\2020-CHG-CZA-Cromolyn-2\plaque 2/@20 Testo + Cromolyn 100/D8_03.tif </t>
  </si>
  <si>
    <t xml:space="preserve"> 19639.9443 </t>
  </si>
  <si>
    <t xml:space="preserve"> 74.2324 </t>
  </si>
  <si>
    <t xml:space="preserve">F:\Données chgh\2020-CHG-CZA-Cromolyn-2\plaque 2/@20 Testo + Cromolyn 100/E8_01.tif </t>
  </si>
  <si>
    <t xml:space="preserve"> 34348.2727 </t>
  </si>
  <si>
    <t xml:space="preserve"> 71.9414 </t>
  </si>
  <si>
    <t xml:space="preserve">F:\Données chgh\2020-CHG-CZA-Cromolyn-2\plaque 2/@20 Testo + Cromolyn 100/E8_02.tif </t>
  </si>
  <si>
    <t xml:space="preserve"> 31514.7565 </t>
  </si>
  <si>
    <t xml:space="preserve"> 71.6767 </t>
  </si>
  <si>
    <t xml:space="preserve">F:\Données chgh\2020-CHG-CZA-Cromolyn-2\plaque 2/@20 Testo + Cromolyn 100/E8_03.tif </t>
  </si>
  <si>
    <t xml:space="preserve"> 26431.7312 </t>
  </si>
  <si>
    <t xml:space="preserve"> 70.8723 </t>
  </si>
  <si>
    <t xml:space="preserve">F:\Données chgh\2020-CHG-CZA-Cromolyn-2\plaque 2/@20 Testo + Cromolyn 100/F8_01.tif </t>
  </si>
  <si>
    <t xml:space="preserve"> 24052.4428 </t>
  </si>
  <si>
    <t xml:space="preserve"> 72.2104 </t>
  </si>
  <si>
    <t xml:space="preserve">F:\Données chgh\2020-CHG-CZA-Cromolyn-2\plaque 2/@20 Testo + Cromolyn 100/F8_02.tif </t>
  </si>
  <si>
    <t xml:space="preserve"> 24528.3005 </t>
  </si>
  <si>
    <t xml:space="preserve"> 74.0273 </t>
  </si>
  <si>
    <t xml:space="preserve">F:\Données chgh\2020-CHG-CZA-Cromolyn-2\plaque 2/@20 Testo + Cromolyn 100/F8_03.tif </t>
  </si>
  <si>
    <t xml:space="preserve"> 27578.1157 </t>
  </si>
  <si>
    <t xml:space="preserve"> 71.7898 </t>
  </si>
  <si>
    <t xml:space="preserve">F:\Données chgh\2020-CHG-CZA-Cromolyn-2\plaque 2/@20 Testo + Cromolyn 100/G8_01.tif </t>
  </si>
  <si>
    <t xml:space="preserve"> 10274.1999 </t>
  </si>
  <si>
    <t xml:space="preserve"> 71.8884 </t>
  </si>
  <si>
    <t xml:space="preserve">F:\Données chgh\2020-CHG-CZA-Cromolyn-2\plaque 2/@20 Testo + Cromolyn 100/G8_02.tif </t>
  </si>
  <si>
    <t xml:space="preserve"> 65.6852 </t>
  </si>
  <si>
    <t xml:space="preserve">F:\Données chgh\2020-CHG-CZA-Cromolyn-2\plaque 2/@20 Testo + Cromolyn 100/G8_03.tif </t>
  </si>
  <si>
    <t xml:space="preserve"> 68.1862 </t>
  </si>
  <si>
    <t xml:space="preserve">F:\Données chgh\2020-CHG-CZA-Cromolyn-2\plaque 2/@20 Testo + Cromolyn 100/H8_01.tif </t>
  </si>
  <si>
    <t xml:space="preserve"> 6553.8581 </t>
  </si>
  <si>
    <t xml:space="preserve"> 67.2574 </t>
  </si>
  <si>
    <t xml:space="preserve">F:\Données chgh\2020-CHG-CZA-Cromolyn-2\plaque 2/@20 Testo + Cromolyn 100/H8_02.tif </t>
  </si>
  <si>
    <t xml:space="preserve"> 4845.0964 </t>
  </si>
  <si>
    <t xml:space="preserve"> 66.808 </t>
  </si>
  <si>
    <t xml:space="preserve">F:\Données chgh\2020-CHG-CZA-Cromolyn-2\plaque 2/@20 Testo + Cromolyn 100/H8_03.tif </t>
  </si>
  <si>
    <t xml:space="preserve"> 5775.1819 </t>
  </si>
  <si>
    <t xml:space="preserve"> 68.0225 </t>
  </si>
  <si>
    <t xml:space="preserve">F:\Données chgh\2020-CHG-CZA-Cromolyn-2\plaque 2/@20 Testo + Cromolyn 100/ </t>
  </si>
  <si>
    <t xml:space="preserve"> 72.4917 </t>
  </si>
  <si>
    <t xml:space="preserve"> 5.0114 </t>
  </si>
  <si>
    <t xml:space="preserve"> 1750651.62 </t>
  </si>
  <si>
    <t xml:space="preserve"> 1500587.22 </t>
  </si>
  <si>
    <t xml:space="preserve">F:\Données chgh\2020-CHG-CZA-Cromolyn-2\plaque 2/@21 Testo + Cromolyn 1000/A9_01.tif </t>
  </si>
  <si>
    <t xml:space="preserve"> 18753.1186 </t>
  </si>
  <si>
    <t xml:space="preserve"> 75.5963 </t>
  </si>
  <si>
    <t xml:space="preserve">F:\Données chgh\2020-CHG-CZA-Cromolyn-2\plaque 2/@21 Testo + Cromolyn 1000/A9_02.tif </t>
  </si>
  <si>
    <t xml:space="preserve"> 17174.1363 </t>
  </si>
  <si>
    <t xml:space="preserve"> 76.6574 </t>
  </si>
  <si>
    <t xml:space="preserve">F:\Données chgh\2020-CHG-CZA-Cromolyn-2\plaque 2/@21 Testo + Cromolyn 1000/A9_03.tif </t>
  </si>
  <si>
    <t xml:space="preserve"> 17498.5848 </t>
  </si>
  <si>
    <t xml:space="preserve"> 74.3548 </t>
  </si>
  <si>
    <t xml:space="preserve">F:\Données chgh\2020-CHG-CZA-Cromolyn-2\plaque 2/@21 Testo + Cromolyn 1000/B9_01.tif </t>
  </si>
  <si>
    <t xml:space="preserve"> 2422.5482 </t>
  </si>
  <si>
    <t xml:space="preserve"> 65.4375 </t>
  </si>
  <si>
    <t xml:space="preserve">F:\Données chgh\2020-CHG-CZA-Cromolyn-2\plaque 2/@21 Testo + Cromolyn 1000/B9_02.tif </t>
  </si>
  <si>
    <t xml:space="preserve"> 65.7849 </t>
  </si>
  <si>
    <t xml:space="preserve">F:\Données chgh\2020-CHG-CZA-Cromolyn-2\plaque 2/@21 Testo + Cromolyn 1000/B9_03.tif </t>
  </si>
  <si>
    <t xml:space="preserve"> 4953.2459 </t>
  </si>
  <si>
    <t xml:space="preserve"> 72.1135 </t>
  </si>
  <si>
    <t xml:space="preserve">F:\Données chgh\2020-CHG-CZA-Cromolyn-2\plaque 2/@21 Testo + Cromolyn 1000/C9_01.tif </t>
  </si>
  <si>
    <t xml:space="preserve"> 5407.4737 </t>
  </si>
  <si>
    <t xml:space="preserve"> 65.808 </t>
  </si>
  <si>
    <t xml:space="preserve">F:\Données chgh\2020-CHG-CZA-Cromolyn-2\plaque 2/@21 Testo + Cromolyn 1000/C9_02.tif </t>
  </si>
  <si>
    <t xml:space="preserve"> 65.4043 </t>
  </si>
  <si>
    <t xml:space="preserve">F:\Données chgh\2020-CHG-CZA-Cromolyn-2\plaque 2/@21 Testo + Cromolyn 1000/C9_03.tif </t>
  </si>
  <si>
    <t xml:space="preserve"> 65.844 </t>
  </si>
  <si>
    <t xml:space="preserve">F:\Données chgh\2020-CHG-CZA-Cromolyn-2\plaque 2/@21 Testo + Cromolyn 1000/D9_01.tif </t>
  </si>
  <si>
    <t xml:space="preserve"> 1838.541 </t>
  </si>
  <si>
    <t xml:space="preserve">F:\Données chgh\2020-CHG-CZA-Cromolyn-2\plaque 2/@21 Testo + Cromolyn 1000/D9_02.tif </t>
  </si>
  <si>
    <t xml:space="preserve"> 66.7015 </t>
  </si>
  <si>
    <t xml:space="preserve">F:\Données chgh\2020-CHG-CZA-Cromolyn-2\plaque 2/@21 Testo + Cromolyn 1000/D9_03.tif </t>
  </si>
  <si>
    <t xml:space="preserve"> 66.8284 </t>
  </si>
  <si>
    <t xml:space="preserve">F:\Données chgh\2020-CHG-CZA-Cromolyn-2\plaque 2/@21 Testo + Cromolyn 1000/E9_01.tif </t>
  </si>
  <si>
    <t xml:space="preserve"> 19575.0546 </t>
  </si>
  <si>
    <t xml:space="preserve"> 68.4939 </t>
  </si>
  <si>
    <t xml:space="preserve">F:\Données chgh\2020-CHG-CZA-Cromolyn-2\plaque 2/@21 Testo + Cromolyn 1000/E9_02.tif </t>
  </si>
  <si>
    <t xml:space="preserve"> 21435.2256 </t>
  </si>
  <si>
    <t xml:space="preserve"> 68.1917 </t>
  </si>
  <si>
    <t xml:space="preserve">F:\Données chgh\2020-CHG-CZA-Cromolyn-2\plaque 2/@21 Testo + Cromolyn 1000/E9_03.tif </t>
  </si>
  <si>
    <t xml:space="preserve"> 16503.6096 </t>
  </si>
  <si>
    <t xml:space="preserve"> 67.5007 </t>
  </si>
  <si>
    <t xml:space="preserve">F:\Données chgh\2020-CHG-CZA-Cromolyn-2\plaque 2/@21 Testo + Cromolyn 1000/F9_01.tif </t>
  </si>
  <si>
    <t xml:space="preserve"> 23706.3645 </t>
  </si>
  <si>
    <t xml:space="preserve"> 69.6268 </t>
  </si>
  <si>
    <t xml:space="preserve">F:\Données chgh\2020-CHG-CZA-Cromolyn-2\plaque 2/@21 Testo + Cromolyn 1000/F9_02.tif </t>
  </si>
  <si>
    <t xml:space="preserve"> 71.0339 </t>
  </si>
  <si>
    <t xml:space="preserve">F:\Données chgh\2020-CHG-CZA-Cromolyn-2\plaque 2/@21 Testo + Cromolyn 1000/F9_03.tif </t>
  </si>
  <si>
    <t xml:space="preserve"> 25242.087 </t>
  </si>
  <si>
    <t xml:space="preserve"> 69.2125 </t>
  </si>
  <si>
    <t xml:space="preserve">F:\Données chgh\2020-CHG-CZA-Cromolyn-2\plaque 2/@21 Testo + Cromolyn 1000/G9_01.tif </t>
  </si>
  <si>
    <t xml:space="preserve"> 22408.5708 </t>
  </si>
  <si>
    <t xml:space="preserve"> 66.9546 </t>
  </si>
  <si>
    <t xml:space="preserve">F:\Données chgh\2020-CHG-CZA-Cromolyn-2\plaque 2/@21 Testo + Cromolyn 1000/G9_02.tif </t>
  </si>
  <si>
    <t xml:space="preserve"> 20548.3999 </t>
  </si>
  <si>
    <t xml:space="preserve"> 67.1274 </t>
  </si>
  <si>
    <t xml:space="preserve">F:\Données chgh\2020-CHG-CZA-Cromolyn-2\plaque 2/@21 Testo + Cromolyn 1000/G9_03.tif </t>
  </si>
  <si>
    <t xml:space="preserve"> 21759.674 </t>
  </si>
  <si>
    <t xml:space="preserve"> 66.831 </t>
  </si>
  <si>
    <t xml:space="preserve">F:\Données chgh\2020-CHG-CZA-Cromolyn-2\plaque 2/@21 Testo + Cromolyn 1000/H9_01.tif </t>
  </si>
  <si>
    <t xml:space="preserve"> 23749.6243 </t>
  </si>
  <si>
    <t xml:space="preserve"> 74.4818 </t>
  </si>
  <si>
    <t xml:space="preserve">F:\Données chgh\2020-CHG-CZA-Cromolyn-2\plaque 2/@21 Testo + Cromolyn 1000/H9_02.tif </t>
  </si>
  <si>
    <t xml:space="preserve"> 24744.5995 </t>
  </si>
  <si>
    <t xml:space="preserve"> 75.1696 </t>
  </si>
  <si>
    <t xml:space="preserve">F:\Données chgh\2020-CHG-CZA-Cromolyn-2\plaque 2/@21 Testo + Cromolyn 1000/H9_03.tif </t>
  </si>
  <si>
    <t xml:space="preserve"> 25155.5675 </t>
  </si>
  <si>
    <t xml:space="preserve"> 73.4583 </t>
  </si>
  <si>
    <t xml:space="preserve">F:\Données chgh\2020-CHG-CZA-Cromolyn-2\plaque 2/@21 Testo + Cromolyn 1000/ </t>
  </si>
  <si>
    <t xml:space="preserve"> 69.4103 </t>
  </si>
  <si>
    <t xml:space="preserve"> 3.6938 </t>
  </si>
  <si>
    <t xml:space="preserve"> 1059625.04 </t>
  </si>
  <si>
    <t xml:space="preserve"> 665265.499 </t>
  </si>
  <si>
    <t xml:space="preserve">F:\Données chgh\2020-CHG-CZA-Cromolyn-3\plaque 1/@01 TS/A1_01.tif </t>
  </si>
  <si>
    <t xml:space="preserve"> 62.4571 </t>
  </si>
  <si>
    <t xml:space="preserve">F:\Données chgh\2020-CHG-CZA-Cromolyn-3\plaque 1/@01 TS/A1_02.tif </t>
  </si>
  <si>
    <t xml:space="preserve"> 2573.9575 </t>
  </si>
  <si>
    <t xml:space="preserve"> 63.4034 </t>
  </si>
  <si>
    <t xml:space="preserve">F:\Données chgh\2020-CHG-CZA-Cromolyn-3\plaque 1/@01 TS/A1_03.tif </t>
  </si>
  <si>
    <t xml:space="preserve"> 63.7255 </t>
  </si>
  <si>
    <t xml:space="preserve">F:\Données chgh\2020-CHG-CZA-Cromolyn-3\plaque 1/@01 TS/B1_01.tif </t>
  </si>
  <si>
    <t xml:space="preserve"> 63.9167 </t>
  </si>
  <si>
    <t xml:space="preserve">F:\Données chgh\2020-CHG-CZA-Cromolyn-3\plaque 1/@01 TS/B1_02.tif </t>
  </si>
  <si>
    <t xml:space="preserve"> 5039.7654 </t>
  </si>
  <si>
    <t xml:space="preserve"> 68.6395 </t>
  </si>
  <si>
    <t xml:space="preserve">F:\Données chgh\2020-CHG-CZA-Cromolyn-3\plaque 1/@01 TS/B1_03.tif </t>
  </si>
  <si>
    <t xml:space="preserve"> 5364.2139 </t>
  </si>
  <si>
    <t xml:space="preserve"> 69.8871 </t>
  </si>
  <si>
    <t>F:\Données chgh\2020-CHG-CZA-Cromolyn-3\plaque 1/@01 TS/C1_01- exclu.tif</t>
  </si>
  <si>
    <t xml:space="preserve">F:\Données chgh\2020-CHG-CZA-Cromolyn-3\plaque 1/@01 TS/C1_02.tif </t>
  </si>
  <si>
    <t xml:space="preserve"> 8327.5094 </t>
  </si>
  <si>
    <t xml:space="preserve"> 72.9039 </t>
  </si>
  <si>
    <t xml:space="preserve">F:\Données chgh\2020-CHG-CZA-Cromolyn-3\plaque 1/@01 TS/C1_03.tif </t>
  </si>
  <si>
    <t xml:space="preserve"> 6899.9364 </t>
  </si>
  <si>
    <t xml:space="preserve"> 71.4734 </t>
  </si>
  <si>
    <t xml:space="preserve">F:\Données chgh\2020-CHG-CZA-Cromolyn-3\plaque 1/@01 TS/D1_01.tif </t>
  </si>
  <si>
    <t xml:space="preserve"> 65.0407 </t>
  </si>
  <si>
    <t xml:space="preserve">F:\Données chgh\2020-CHG-CZA-Cromolyn-3\plaque 1/@01 TS/D1_02.tif </t>
  </si>
  <si>
    <t xml:space="preserve"> 584.0072 </t>
  </si>
  <si>
    <t xml:space="preserve"> 62.4815 </t>
  </si>
  <si>
    <t xml:space="preserve">F:\Données chgh\2020-CHG-CZA-Cromolyn-3\plaque 1/@01 TS/D1_03.tif </t>
  </si>
  <si>
    <t xml:space="preserve"> 63.4086 </t>
  </si>
  <si>
    <t xml:space="preserve">F:\Données chgh\2020-CHG-CZA-Cromolyn-3\plaque 1/@01 TS/E1_01.tif </t>
  </si>
  <si>
    <t xml:space="preserve"> 1081.4947 </t>
  </si>
  <si>
    <t xml:space="preserve"> 63.38 </t>
  </si>
  <si>
    <t xml:space="preserve">F:\Données chgh\2020-CHG-CZA-Cromolyn-3\plaque 1/@01 TS/E1_02.tif </t>
  </si>
  <si>
    <t xml:space="preserve">F:\Données chgh\2020-CHG-CZA-Cromolyn-3\plaque 1/@01 TS/E1_03.tif </t>
  </si>
  <si>
    <t xml:space="preserve"> 908.4556 </t>
  </si>
  <si>
    <t xml:space="preserve"> 63.1667 </t>
  </si>
  <si>
    <t xml:space="preserve">F:\Données chgh\2020-CHG-CZA-Cromolyn-3\plaque 1/@01 TS/F1_01.tif </t>
  </si>
  <si>
    <t xml:space="preserve"> 63.7222 </t>
  </si>
  <si>
    <t xml:space="preserve">F:\Données chgh\2020-CHG-CZA-Cromolyn-3\plaque 1/@01 TS/F1_02.tif </t>
  </si>
  <si>
    <t xml:space="preserve"> 63.566 </t>
  </si>
  <si>
    <t>F:\Données chgh\2020-CHG-CZA-Cromolyn-3\plaque 1/@01 TS/F1_03- exclu.tif</t>
  </si>
  <si>
    <t xml:space="preserve">F:\Données chgh\2020-CHG-CZA-Cromolyn-3\plaque 1/@01 TS/G1_01.tif </t>
  </si>
  <si>
    <t xml:space="preserve"> 692.1566 </t>
  </si>
  <si>
    <t xml:space="preserve"> 63.375 </t>
  </si>
  <si>
    <t xml:space="preserve">F:\Données chgh\2020-CHG-CZA-Cromolyn-3\plaque 1/@01 TS/G1_02.tif </t>
  </si>
  <si>
    <t xml:space="preserve"> 1059.8648 </t>
  </si>
  <si>
    <t xml:space="preserve"> 66.1224 </t>
  </si>
  <si>
    <t xml:space="preserve">F:\Données chgh\2020-CHG-CZA-Cromolyn-3\plaque 1/@01 TS/G1_03.tif </t>
  </si>
  <si>
    <t xml:space="preserve"> 65.4 </t>
  </si>
  <si>
    <t xml:space="preserve">F:\Données chgh\2020-CHG-CZA-Cromolyn-3\plaque 1/@01 TS/H1_01.tif </t>
  </si>
  <si>
    <t xml:space="preserve"> 1254.5339 </t>
  </si>
  <si>
    <t xml:space="preserve"> 62.4138 </t>
  </si>
  <si>
    <t xml:space="preserve">F:\Données chgh\2020-CHG-CZA-Cromolyn-3\plaque 1/@01 TS/H1_02.tif </t>
  </si>
  <si>
    <t xml:space="preserve"> 66.339 </t>
  </si>
  <si>
    <t xml:space="preserve">F:\Données chgh\2020-CHG-CZA-Cromolyn-3\plaque 1/@01 TS/H1_03.tif </t>
  </si>
  <si>
    <t xml:space="preserve"> 64.0164 </t>
  </si>
  <si>
    <t xml:space="preserve">F:\Données chgh\2020-CHG-CZA-Cromolyn-3\plaque 1/@01 TS/ </t>
  </si>
  <si>
    <t xml:space="preserve"> 65.0084 </t>
  </si>
  <si>
    <t xml:space="preserve"> 2.8766 </t>
  </si>
  <si>
    <t xml:space="preserve"> 138309.583 </t>
  </si>
  <si>
    <t xml:space="preserve"> 156010.547 </t>
  </si>
  <si>
    <t xml:space="preserve">F:\Données chgh\2020-CHG-CZA-Cromolyn-3\plaque 1/@02 EE2 34/A2_01.tif </t>
  </si>
  <si>
    <t xml:space="preserve"> 74.3565 </t>
  </si>
  <si>
    <t xml:space="preserve">F:\Données chgh\2020-CHG-CZA-Cromolyn-3\plaque 1/@02 EE2 34/A2_02.tif </t>
  </si>
  <si>
    <t xml:space="preserve"> 6186.1499 </t>
  </si>
  <si>
    <t xml:space="preserve"> 69.1503 </t>
  </si>
  <si>
    <t xml:space="preserve">F:\Données chgh\2020-CHG-CZA-Cromolyn-3\plaque 1/@02 EE2 34/A2_03.tif </t>
  </si>
  <si>
    <t xml:space="preserve"> 79.218 </t>
  </si>
  <si>
    <t xml:space="preserve">F:\Données chgh\2020-CHG-CZA-Cromolyn-3\plaque 1/@02 EE2 34/B2_01.tif </t>
  </si>
  <si>
    <t xml:space="preserve"> 2184.6194 </t>
  </si>
  <si>
    <t xml:space="preserve"> 63.1089 </t>
  </si>
  <si>
    <t xml:space="preserve">F:\Données chgh\2020-CHG-CZA-Cromolyn-3\plaque 1/@02 EE2 34/B2_02.tif </t>
  </si>
  <si>
    <t xml:space="preserve"> 64.2 </t>
  </si>
  <si>
    <t xml:space="preserve">F:\Données chgh\2020-CHG-CZA-Cromolyn-3\plaque 1/@02 EE2 34/B2_03.tif </t>
  </si>
  <si>
    <t xml:space="preserve"> 66.9592 </t>
  </si>
  <si>
    <t xml:space="preserve">F:\Données chgh\2020-CHG-CZA-Cromolyn-3\plaque 1/@02 EE2 34/C2_01.tif </t>
  </si>
  <si>
    <t xml:space="preserve"> 65.3892 </t>
  </si>
  <si>
    <t xml:space="preserve">F:\Données chgh\2020-CHG-CZA-Cromolyn-3\plaque 1/@02 EE2 34/C2_02.tif </t>
  </si>
  <si>
    <t xml:space="preserve"> 66.2315 </t>
  </si>
  <si>
    <t xml:space="preserve">F:\Données chgh\2020-CHG-CZA-Cromolyn-3\plaque 1/@02 EE2 34/C2_03.tif </t>
  </si>
  <si>
    <t xml:space="preserve"> 66.9854 </t>
  </si>
  <si>
    <t xml:space="preserve">F:\Données chgh\2020-CHG-CZA-Cromolyn-3\plaque 1/@02 EE2 34/D2_01.tif </t>
  </si>
  <si>
    <t xml:space="preserve">F:\Données chgh\2020-CHG-CZA-Cromolyn-3\plaque 1/@02 EE2 34/D2_02.tif </t>
  </si>
  <si>
    <t xml:space="preserve">F:\Données chgh\2020-CHG-CZA-Cromolyn-3\plaque 1/@02 EE2 34/D2_03.tif </t>
  </si>
  <si>
    <t xml:space="preserve"> 63.5625 </t>
  </si>
  <si>
    <t xml:space="preserve">F:\Données chgh\2020-CHG-CZA-Cromolyn-3\plaque 1/@02 EE2 34/E2_01.tif </t>
  </si>
  <si>
    <t xml:space="preserve"> 64.4167 </t>
  </si>
  <si>
    <t xml:space="preserve">F:\Données chgh\2020-CHG-CZA-Cromolyn-3\plaque 1/@02 EE2 34/E2_02.tif </t>
  </si>
  <si>
    <t xml:space="preserve"> 63.3636 </t>
  </si>
  <si>
    <t xml:space="preserve">F:\Données chgh\2020-CHG-CZA-Cromolyn-3\plaque 1/@02 EE2 34/E2_03.tif </t>
  </si>
  <si>
    <t xml:space="preserve"> 63.7143 </t>
  </si>
  <si>
    <t xml:space="preserve">F:\Données chgh\2020-CHG-CZA-Cromolyn-3\plaque 1/@02 EE2 34/F2_01.tif </t>
  </si>
  <si>
    <t xml:space="preserve"> 67.9301 </t>
  </si>
  <si>
    <t xml:space="preserve">F:\Données chgh\2020-CHG-CZA-Cromolyn-3\plaque 1/@02 EE2 34/F2_02.tif </t>
  </si>
  <si>
    <t xml:space="preserve"> 66.2727 </t>
  </si>
  <si>
    <t>F:\Données chgh\2020-CHG-CZA-Cromolyn-3\plaque 1/@02 EE2 34/F2_03- exclu.tif</t>
  </si>
  <si>
    <t xml:space="preserve">F:\Données chgh\2020-CHG-CZA-Cromolyn-3\plaque 1/@02 EE2 34/G2_01.tif </t>
  </si>
  <si>
    <t xml:space="preserve"> 64.6053 </t>
  </si>
  <si>
    <t xml:space="preserve">F:\Données chgh\2020-CHG-CZA-Cromolyn-3\plaque 1/@02 EE2 34/G2_02.tif </t>
  </si>
  <si>
    <t xml:space="preserve"> 68.6989 </t>
  </si>
  <si>
    <t xml:space="preserve">F:\Données chgh\2020-CHG-CZA-Cromolyn-3\plaque 1/@02 EE2 34/G2_03.tif </t>
  </si>
  <si>
    <t xml:space="preserve"> 65.7255 </t>
  </si>
  <si>
    <t xml:space="preserve">F:\Données chgh\2020-CHG-CZA-Cromolyn-3\plaque 1/@02 EE2 34/H2_01.tif </t>
  </si>
  <si>
    <t xml:space="preserve"> 67.232 </t>
  </si>
  <si>
    <t xml:space="preserve">F:\Données chgh\2020-CHG-CZA-Cromolyn-3\plaque 1/@02 EE2 34/H2_02.tif </t>
  </si>
  <si>
    <t xml:space="preserve"> 68.682 </t>
  </si>
  <si>
    <t xml:space="preserve">F:\Données chgh\2020-CHG-CZA-Cromolyn-3\plaque 1/@02 EE2 34/H2_03.tif </t>
  </si>
  <si>
    <t xml:space="preserve"> 68.0896 </t>
  </si>
  <si>
    <t xml:space="preserve">F:\Données chgh\2020-CHG-CZA-Cromolyn-3\plaque 1/@02 EE2 34/ </t>
  </si>
  <si>
    <t xml:space="preserve"> 66.5112 </t>
  </si>
  <si>
    <t xml:space="preserve"> 3.8518 </t>
  </si>
  <si>
    <t xml:space="preserve"> 174838.083 </t>
  </si>
  <si>
    <t xml:space="preserve"> 163108.797 </t>
  </si>
  <si>
    <t xml:space="preserve">F:\Données chgh\2020-CHG-CZA-Cromolyn-3\plaque 1/@03 EE2 51/A3_01.tif </t>
  </si>
  <si>
    <t xml:space="preserve"> 63.1957 </t>
  </si>
  <si>
    <t xml:space="preserve">F:\Données chgh\2020-CHG-CZA-Cromolyn-3\plaque 1/@03 EE2 51/A3_02.tif </t>
  </si>
  <si>
    <t xml:space="preserve"> 64.4524 </t>
  </si>
  <si>
    <t xml:space="preserve">F:\Données chgh\2020-CHG-CZA-Cromolyn-3\plaque 1/@03 EE2 51/A3_03.tif </t>
  </si>
  <si>
    <t xml:space="preserve"> 2746.9966 </t>
  </si>
  <si>
    <t xml:space="preserve"> 64.7165 </t>
  </si>
  <si>
    <t xml:space="preserve">F:\Données chgh\2020-CHG-CZA-Cromolyn-3\plaque 1/@03 EE2 51/B3_01.tif </t>
  </si>
  <si>
    <t xml:space="preserve"> 66.8602 </t>
  </si>
  <si>
    <t xml:space="preserve">F:\Données chgh\2020-CHG-CZA-Cromolyn-3\plaque 1/@03 EE2 51/B3_02.tif </t>
  </si>
  <si>
    <t xml:space="preserve"> 64.8452 </t>
  </si>
  <si>
    <t xml:space="preserve">F:\Données chgh\2020-CHG-CZA-Cromolyn-3\plaque 1/@03 EE2 51/B3_03.tif </t>
  </si>
  <si>
    <t xml:space="preserve"> 63.7576 </t>
  </si>
  <si>
    <t xml:space="preserve">F:\Données chgh\2020-CHG-CZA-Cromolyn-3\plaque 1/@03 EE2 51/C3_01.tif </t>
  </si>
  <si>
    <t xml:space="preserve"> 69.5256 </t>
  </si>
  <si>
    <t xml:space="preserve">F:\Données chgh\2020-CHG-CZA-Cromolyn-3\plaque 1/@03 EE2 51/C3_02.tif </t>
  </si>
  <si>
    <t xml:space="preserve"> 73.2918 </t>
  </si>
  <si>
    <t xml:space="preserve">F:\Données chgh\2020-CHG-CZA-Cromolyn-3\plaque 1/@03 EE2 51/C3_03.tif </t>
  </si>
  <si>
    <t xml:space="preserve"> 68.3946 </t>
  </si>
  <si>
    <t xml:space="preserve">F:\Données chgh\2020-CHG-CZA-Cromolyn-3\plaque 1/@03 EE2 51/D3_01.tif </t>
  </si>
  <si>
    <t xml:space="preserve"> 68.7831 </t>
  </si>
  <si>
    <t xml:space="preserve">F:\Données chgh\2020-CHG-CZA-Cromolyn-3\plaque 1/@03 EE2 51/D3_02.tif </t>
  </si>
  <si>
    <t xml:space="preserve"> 66.6882 </t>
  </si>
  <si>
    <t xml:space="preserve">F:\Données chgh\2020-CHG-CZA-Cromolyn-3\plaque 1/@03 EE2 51/D3_03.tif </t>
  </si>
  <si>
    <t xml:space="preserve"> 66.0079 </t>
  </si>
  <si>
    <t xml:space="preserve">F:\Données chgh\2020-CHG-CZA-Cromolyn-3\plaque 1/@03 EE2 51/E3_01.tif </t>
  </si>
  <si>
    <t xml:space="preserve"> 63.9231 </t>
  </si>
  <si>
    <t xml:space="preserve">F:\Données chgh\2020-CHG-CZA-Cromolyn-3\plaque 1/@03 EE2 51/E3_02.tif </t>
  </si>
  <si>
    <t xml:space="preserve"> 66.5692 </t>
  </si>
  <si>
    <t xml:space="preserve">F:\Données chgh\2020-CHG-CZA-Cromolyn-3\plaque 1/@03 EE2 51/E3_03.tif </t>
  </si>
  <si>
    <t xml:space="preserve"> 64.8235 </t>
  </si>
  <si>
    <t xml:space="preserve">F:\Données chgh\2020-CHG-CZA-Cromolyn-3\plaque 1/@03 EE2 51/F3_01.tif </t>
  </si>
  <si>
    <t xml:space="preserve">F:\Données chgh\2020-CHG-CZA-Cromolyn-3\plaque 1/@03 EE2 51/F3_02.tif </t>
  </si>
  <si>
    <t xml:space="preserve"> 65.1176 </t>
  </si>
  <si>
    <t xml:space="preserve">F:\Données chgh\2020-CHG-CZA-Cromolyn-3\plaque 1/@03 EE2 51/F3_03.tif </t>
  </si>
  <si>
    <t xml:space="preserve"> 64.25 </t>
  </si>
  <si>
    <t xml:space="preserve">F:\Données chgh\2020-CHG-CZA-Cromolyn-3\plaque 1/@03 EE2 51/G3_01.tif </t>
  </si>
  <si>
    <t xml:space="preserve"> 69.7607 </t>
  </si>
  <si>
    <t xml:space="preserve">F:\Données chgh\2020-CHG-CZA-Cromolyn-3\plaque 1/@03 EE2 51/G3_02.tif </t>
  </si>
  <si>
    <t xml:space="preserve"> 70.5044 </t>
  </si>
  <si>
    <t xml:space="preserve">F:\Données chgh\2020-CHG-CZA-Cromolyn-3\plaque 1/@03 EE2 51/G3_03.tif </t>
  </si>
  <si>
    <t xml:space="preserve"> 66.2522 </t>
  </si>
  <si>
    <t xml:space="preserve">F:\Données chgh\2020-CHG-CZA-Cromolyn-3\plaque 1/@03 EE2 51/H3_01.tif </t>
  </si>
  <si>
    <t xml:space="preserve"> 1665.5019 </t>
  </si>
  <si>
    <t xml:space="preserve">F:\Données chgh\2020-CHG-CZA-Cromolyn-3\plaque 1/@03 EE2 51/H3_02.tif </t>
  </si>
  <si>
    <t xml:space="preserve"> 63.5217 </t>
  </si>
  <si>
    <t>F:\Données chgh\2020-CHG-CZA-Cromolyn-3\plaque 1/@03 EE2 51/H3_03- exclu.tif</t>
  </si>
  <si>
    <t xml:space="preserve">F:\Données chgh\2020-CHG-CZA-Cromolyn-3\plaque 1/@03 EE2 51/ </t>
  </si>
  <si>
    <t xml:space="preserve"> 66.143 </t>
  </si>
  <si>
    <t xml:space="preserve"> 2.6471 </t>
  </si>
  <si>
    <t xml:space="preserve"> 209464.708 </t>
  </si>
  <si>
    <t xml:space="preserve"> 209490.925 </t>
  </si>
  <si>
    <t xml:space="preserve">F:\Données chgh\2020-CHG-CZA-Cromolyn-3\plaque 1/@04 EE2 76/A4_01.tif </t>
  </si>
  <si>
    <t xml:space="preserve"> 2314.3987 </t>
  </si>
  <si>
    <t xml:space="preserve"> 65.5514 </t>
  </si>
  <si>
    <t xml:space="preserve">F:\Données chgh\2020-CHG-CZA-Cromolyn-3\plaque 1/@04 EE2 76/A4_02.tif </t>
  </si>
  <si>
    <t xml:space="preserve"> 66.506 </t>
  </si>
  <si>
    <t xml:space="preserve">F:\Données chgh\2020-CHG-CZA-Cromolyn-3\plaque 1/@04 EE2 76/A4_03.tif </t>
  </si>
  <si>
    <t xml:space="preserve"> 64.9333 </t>
  </si>
  <si>
    <t xml:space="preserve">F:\Données chgh\2020-CHG-CZA-Cromolyn-3\plaque 1/@04 EE2 76/B4_01.tif </t>
  </si>
  <si>
    <t xml:space="preserve"> 6078.0004 </t>
  </si>
  <si>
    <t xml:space="preserve"> 65.4662 </t>
  </si>
  <si>
    <t xml:space="preserve">F:\Données chgh\2020-CHG-CZA-Cromolyn-3\plaque 1/@04 EE2 76/B4_02.tif </t>
  </si>
  <si>
    <t xml:space="preserve"> 63.0112 </t>
  </si>
  <si>
    <t xml:space="preserve">F:\Données chgh\2020-CHG-CZA-Cromolyn-3\plaque 1/@04 EE2 76/B4_03.tif </t>
  </si>
  <si>
    <t xml:space="preserve"> 69.003 </t>
  </si>
  <si>
    <t xml:space="preserve">F:\Données chgh\2020-CHG-CZA-Cromolyn-3\plaque 1/@04 EE2 76/C4_01.tif </t>
  </si>
  <si>
    <t xml:space="preserve"> 66.5528 </t>
  </si>
  <si>
    <t xml:space="preserve">F:\Données chgh\2020-CHG-CZA-Cromolyn-3\plaque 1/@04 EE2 76/C4_02.tif </t>
  </si>
  <si>
    <t xml:space="preserve"> 72.9495 </t>
  </si>
  <si>
    <t xml:space="preserve">F:\Données chgh\2020-CHG-CZA-Cromolyn-3\plaque 1/@04 EE2 76/C4_03.tif </t>
  </si>
  <si>
    <t xml:space="preserve"> 69.2341 </t>
  </si>
  <si>
    <t xml:space="preserve">F:\Données chgh\2020-CHG-CZA-Cromolyn-3\plaque 1/@04 EE2 76/D4_01.tif </t>
  </si>
  <si>
    <t xml:space="preserve"> 3850.1212 </t>
  </si>
  <si>
    <t xml:space="preserve"> 63.3371 </t>
  </si>
  <si>
    <t xml:space="preserve">F:\Données chgh\2020-CHG-CZA-Cromolyn-3\plaque 1/@04 EE2 76/D4_02.tif </t>
  </si>
  <si>
    <t xml:space="preserve"> 63.3626 </t>
  </si>
  <si>
    <t xml:space="preserve">F:\Données chgh\2020-CHG-CZA-Cromolyn-3\plaque 1/@04 EE2 76/D4_03.tif </t>
  </si>
  <si>
    <t xml:space="preserve"> 64.5052 </t>
  </si>
  <si>
    <t xml:space="preserve">F:\Données chgh\2020-CHG-CZA-Cromolyn-3\plaque 1/@04 EE2 76/E4_01.tif </t>
  </si>
  <si>
    <t xml:space="preserve"> 63.2609 </t>
  </si>
  <si>
    <t xml:space="preserve">F:\Données chgh\2020-CHG-CZA-Cromolyn-3\plaque 1/@04 EE2 76/E4_02.tif </t>
  </si>
  <si>
    <t xml:space="preserve"> 62.6667 </t>
  </si>
  <si>
    <t xml:space="preserve">F:\Données chgh\2020-CHG-CZA-Cromolyn-3\plaque 1/@04 EE2 76/E4_03.tif </t>
  </si>
  <si>
    <t xml:space="preserve"> 194.6691 </t>
  </si>
  <si>
    <t xml:space="preserve"> 63.5556 </t>
  </si>
  <si>
    <t xml:space="preserve">F:\Données chgh\2020-CHG-CZA-Cromolyn-3\plaque 1/@04 EE2 76/F4_01.tif </t>
  </si>
  <si>
    <t xml:space="preserve"> 63.2267 </t>
  </si>
  <si>
    <t xml:space="preserve">F:\Données chgh\2020-CHG-CZA-Cromolyn-3\plaque 1/@04 EE2 76/F4_02.tif </t>
  </si>
  <si>
    <t xml:space="preserve"> 3568.9326 </t>
  </si>
  <si>
    <t xml:space="preserve"> 66.4485 </t>
  </si>
  <si>
    <t xml:space="preserve">F:\Données chgh\2020-CHG-CZA-Cromolyn-3\plaque 1/@04 EE2 76/F4_03.tif </t>
  </si>
  <si>
    <t xml:space="preserve"> 1362.6834 </t>
  </si>
  <si>
    <t xml:space="preserve"> 65.3651 </t>
  </si>
  <si>
    <t xml:space="preserve">F:\Données chgh\2020-CHG-CZA-Cromolyn-3\plaque 1/@04 EE2 76/G4_01.tif </t>
  </si>
  <si>
    <t xml:space="preserve"> 65.3333 </t>
  </si>
  <si>
    <t xml:space="preserve">F:\Données chgh\2020-CHG-CZA-Cromolyn-3\plaque 1/@04 EE2 76/G4_02.tif </t>
  </si>
  <si>
    <t xml:space="preserve"> 65.7664 </t>
  </si>
  <si>
    <t xml:space="preserve">F:\Données chgh\2020-CHG-CZA-Cromolyn-3\plaque 1/@04 EE2 76/G4_03.tif </t>
  </si>
  <si>
    <t xml:space="preserve"> 8240.9899 </t>
  </si>
  <si>
    <t xml:space="preserve"> 65.0971 </t>
  </si>
  <si>
    <t>F:\Données chgh\2020-CHG-CZA-Cromolyn-3\plaque 1/@04 EE2 76/H4_01- exclu.tif</t>
  </si>
  <si>
    <t xml:space="preserve">F:\Données chgh\2020-CHG-CZA-Cromolyn-3\plaque 1/@04 EE2 76/H4_02.tif </t>
  </si>
  <si>
    <t xml:space="preserve"> 71.5361 </t>
  </si>
  <si>
    <t xml:space="preserve">F:\Données chgh\2020-CHG-CZA-Cromolyn-3\plaque 1/@04 EE2 76/H4_03.tif </t>
  </si>
  <si>
    <t xml:space="preserve"> 13410.5347 </t>
  </si>
  <si>
    <t xml:space="preserve"> 71.8806 </t>
  </si>
  <si>
    <t xml:space="preserve">F:\Données chgh\2020-CHG-CZA-Cromolyn-3\plaque 1/@04 EE2 76/ </t>
  </si>
  <si>
    <t xml:space="preserve"> 66.4133 </t>
  </si>
  <si>
    <t xml:space="preserve"> 3.4785 </t>
  </si>
  <si>
    <t xml:space="preserve"> 343854.797 </t>
  </si>
  <si>
    <t xml:space="preserve">F:\Données chgh\2020-CHG-CZA-Cromolyn-3\plaque 1/@05 EE2 114/A5_01.tif </t>
  </si>
  <si>
    <t xml:space="preserve"> 20332.101 </t>
  </si>
  <si>
    <t xml:space="preserve"> 68.6426 </t>
  </si>
  <si>
    <t xml:space="preserve">F:\Données chgh\2020-CHG-CZA-Cromolyn-3\plaque 1/@05 EE2 114/A5_02.tif </t>
  </si>
  <si>
    <t xml:space="preserve"> 18839.6382 </t>
  </si>
  <si>
    <t xml:space="preserve"> 69.3766 </t>
  </si>
  <si>
    <t xml:space="preserve">F:\Données chgh\2020-CHG-CZA-Cromolyn-3\plaque 1/@05 EE2 114/A5_03.tif </t>
  </si>
  <si>
    <t xml:space="preserve"> 17931.1826 </t>
  </si>
  <si>
    <t xml:space="preserve"> 67.3957 </t>
  </si>
  <si>
    <t xml:space="preserve">F:\Données chgh\2020-CHG-CZA-Cromolyn-3\plaque 1/@05 EE2 114/B5_01.tif </t>
  </si>
  <si>
    <t xml:space="preserve"> 10166.0505 </t>
  </si>
  <si>
    <t xml:space="preserve"> 66.7191 </t>
  </si>
  <si>
    <t xml:space="preserve">F:\Données chgh\2020-CHG-CZA-Cromolyn-3\plaque 1/@05 EE2 114/B5_02.tif </t>
  </si>
  <si>
    <t xml:space="preserve"> 8349.1393 </t>
  </si>
  <si>
    <t xml:space="preserve"> 63.9482 </t>
  </si>
  <si>
    <t xml:space="preserve">F:\Données chgh\2020-CHG-CZA-Cromolyn-3\plaque 1/@05 EE2 114/B5_03.tif </t>
  </si>
  <si>
    <t xml:space="preserve"> 8781.7372 </t>
  </si>
  <si>
    <t xml:space="preserve"> 66.8128 </t>
  </si>
  <si>
    <t>F:\Données chgh\2020-CHG-CZA-Cromolyn-3\plaque 1/@05 EE2 114/C5_01- exclu.tif</t>
  </si>
  <si>
    <t xml:space="preserve">F:\Données chgh\2020-CHG-CZA-Cromolyn-3\plaque 1/@05 EE2 114/C5_02.tif </t>
  </si>
  <si>
    <t xml:space="preserve"> 69.4594 </t>
  </si>
  <si>
    <t xml:space="preserve">F:\Données chgh\2020-CHG-CZA-Cromolyn-3\plaque 1/@05 EE2 114/C5_03.tif </t>
  </si>
  <si>
    <t xml:space="preserve"> 17109.2467 </t>
  </si>
  <si>
    <t xml:space="preserve"> 67.981 </t>
  </si>
  <si>
    <t xml:space="preserve">F:\Données chgh\2020-CHG-CZA-Cromolyn-3\plaque 1/@05 EE2 114/D5_01.tif </t>
  </si>
  <si>
    <t xml:space="preserve"> 14621.8088 </t>
  </si>
  <si>
    <t xml:space="preserve"> 66.7308 </t>
  </si>
  <si>
    <t xml:space="preserve">F:\Données chgh\2020-CHG-CZA-Cromolyn-3\plaque 1/@05 EE2 114/D5_02.tif </t>
  </si>
  <si>
    <t xml:space="preserve"> 13432.1646 </t>
  </si>
  <si>
    <t xml:space="preserve"> 66.9114 </t>
  </si>
  <si>
    <t xml:space="preserve">F:\Données chgh\2020-CHG-CZA-Cromolyn-3\plaque 1/@05 EE2 114/D5_03.tif </t>
  </si>
  <si>
    <t xml:space="preserve"> 13475.4244 </t>
  </si>
  <si>
    <t xml:space="preserve"> 66.8379 </t>
  </si>
  <si>
    <t xml:space="preserve">F:\Données chgh\2020-CHG-CZA-Cromolyn-3\plaque 1/@05 EE2 114/E5_01.tif </t>
  </si>
  <si>
    <t xml:space="preserve"> 68.4555 </t>
  </si>
  <si>
    <t xml:space="preserve">F:\Données chgh\2020-CHG-CZA-Cromolyn-3\plaque 1/@05 EE2 114/E5_02.tif </t>
  </si>
  <si>
    <t xml:space="preserve"> 72.6546 </t>
  </si>
  <si>
    <t xml:space="preserve">F:\Données chgh\2020-CHG-CZA-Cromolyn-3\plaque 1/@05 EE2 114/E5_03.tif </t>
  </si>
  <si>
    <t xml:space="preserve"> 6726.8972 </t>
  </si>
  <si>
    <t xml:space="preserve"> 67.1093 </t>
  </si>
  <si>
    <t xml:space="preserve">F:\Données chgh\2020-CHG-CZA-Cromolyn-3\plaque 1/@05 EE2 114/F5_01.tif </t>
  </si>
  <si>
    <t xml:space="preserve"> 29719.4752 </t>
  </si>
  <si>
    <t xml:space="preserve"> 67.2955 </t>
  </si>
  <si>
    <t xml:space="preserve">F:\Données chgh\2020-CHG-CZA-Cromolyn-3\plaque 1/@05 EE2 114/F5_02.tif </t>
  </si>
  <si>
    <t xml:space="preserve"> 24593.1902 </t>
  </si>
  <si>
    <t xml:space="preserve"> 65.6702 </t>
  </si>
  <si>
    <t xml:space="preserve">F:\Données chgh\2020-CHG-CZA-Cromolyn-3\plaque 1/@05 EE2 114/F5_03.tif </t>
  </si>
  <si>
    <t xml:space="preserve"> 22019.2327 </t>
  </si>
  <si>
    <t xml:space="preserve"> 65.6061 </t>
  </si>
  <si>
    <t xml:space="preserve">F:\Données chgh\2020-CHG-CZA-Cromolyn-3\plaque 1/@05 EE2 114/G5_01.tif </t>
  </si>
  <si>
    <t xml:space="preserve"> 31622.9059 </t>
  </si>
  <si>
    <t xml:space="preserve"> 68.8892 </t>
  </si>
  <si>
    <t xml:space="preserve">F:\Données chgh\2020-CHG-CZA-Cromolyn-3\plaque 1/@05 EE2 114/G5_02.tif </t>
  </si>
  <si>
    <t xml:space="preserve"> 68.3004 </t>
  </si>
  <si>
    <t xml:space="preserve">F:\Données chgh\2020-CHG-CZA-Cromolyn-3\plaque 1/@05 EE2 114/G5_03.tif </t>
  </si>
  <si>
    <t xml:space="preserve"> 69.3888 </t>
  </si>
  <si>
    <t xml:space="preserve">F:\Données chgh\2020-CHG-CZA-Cromolyn-3\plaque 1/@05 EE2 114/H5_01.tif </t>
  </si>
  <si>
    <t xml:space="preserve"> 22343.6812 </t>
  </si>
  <si>
    <t xml:space="preserve"> 67.7735 </t>
  </si>
  <si>
    <t xml:space="preserve">F:\Données chgh\2020-CHG-CZA-Cromolyn-3\plaque 1/@05 EE2 114/H5_02.tif </t>
  </si>
  <si>
    <t xml:space="preserve"> 17671.6239 </t>
  </si>
  <si>
    <t xml:space="preserve"> 66.8005 </t>
  </si>
  <si>
    <t xml:space="preserve">F:\Données chgh\2020-CHG-CZA-Cromolyn-3\plaque 1/@05 EE2 114/H5_03.tif </t>
  </si>
  <si>
    <t xml:space="preserve"> 66.9442 </t>
  </si>
  <si>
    <t xml:space="preserve">F:\Données chgh\2020-CHG-CZA-Cromolyn-3\plaque 1/@05 EE2 114/ </t>
  </si>
  <si>
    <t xml:space="preserve"> 67.7396 </t>
  </si>
  <si>
    <t xml:space="preserve"> 1.7534 </t>
  </si>
  <si>
    <t xml:space="preserve"> 1259333.92 </t>
  </si>
  <si>
    <t xml:space="preserve"> 582388.717 </t>
  </si>
  <si>
    <t xml:space="preserve">F:\Données chgh\2020-CHG-CZA-Cromolyn-3\plaque 1/@06 EE2 171/A6_01.tif </t>
  </si>
  <si>
    <t xml:space="preserve"> 33937.3047 </t>
  </si>
  <si>
    <t xml:space="preserve"> 79.3257 </t>
  </si>
  <si>
    <t xml:space="preserve">F:\Données chgh\2020-CHG-CZA-Cromolyn-3\plaque 1/@06 EE2 171/A6_02.tif </t>
  </si>
  <si>
    <t xml:space="preserve"> 44427.8036 </t>
  </si>
  <si>
    <t xml:space="preserve"> 77.555 </t>
  </si>
  <si>
    <t xml:space="preserve">F:\Données chgh\2020-CHG-CZA-Cromolyn-3\plaque 1/@06 EE2 171/A6_03.tif </t>
  </si>
  <si>
    <t xml:space="preserve"> 42632.5223 </t>
  </si>
  <si>
    <t xml:space="preserve"> 77.1776 </t>
  </si>
  <si>
    <t xml:space="preserve">F:\Données chgh\2020-CHG-CZA-Cromolyn-3\plaque 1/@06 EE2 171/B6_01.tif </t>
  </si>
  <si>
    <t xml:space="preserve"> 65.9619 </t>
  </si>
  <si>
    <t xml:space="preserve">F:\Données chgh\2020-CHG-CZA-Cromolyn-3\plaque 1/@06 EE2 171/B6_02.tif </t>
  </si>
  <si>
    <t xml:space="preserve"> 11398.9545 </t>
  </si>
  <si>
    <t xml:space="preserve"> 67.1176 </t>
  </si>
  <si>
    <t xml:space="preserve">F:\Données chgh\2020-CHG-CZA-Cromolyn-3\plaque 1/@06 EE2 171/B6_03.tif </t>
  </si>
  <si>
    <t xml:space="preserve"> 66.27 </t>
  </si>
  <si>
    <t xml:space="preserve">F:\Données chgh\2020-CHG-CZA-Cromolyn-3\plaque 1/@06 EE2 171/C6_01.tif </t>
  </si>
  <si>
    <t xml:space="preserve"> 71.4659 </t>
  </si>
  <si>
    <t xml:space="preserve">F:\Données chgh\2020-CHG-CZA-Cromolyn-3\plaque 1/@06 EE2 171/C6_02.tif </t>
  </si>
  <si>
    <t xml:space="preserve"> 28875.9093 </t>
  </si>
  <si>
    <t xml:space="preserve"> 72.7378 </t>
  </si>
  <si>
    <t xml:space="preserve">F:\Données chgh\2020-CHG-CZA-Cromolyn-3\plaque 1/@06 EE2 171/C6_03.tif </t>
  </si>
  <si>
    <t xml:space="preserve"> 27621.3754 </t>
  </si>
  <si>
    <t xml:space="preserve"> 70.3923 </t>
  </si>
  <si>
    <t xml:space="preserve">F:\Données chgh\2020-CHG-CZA-Cromolyn-3\plaque 1/@06 EE2 171/D6_01.tif </t>
  </si>
  <si>
    <t xml:space="preserve"> 38630.9918 </t>
  </si>
  <si>
    <t xml:space="preserve"> 68.3561 </t>
  </si>
  <si>
    <t xml:space="preserve">F:\Données chgh\2020-CHG-CZA-Cromolyn-3\plaque 1/@06 EE2 171/D6_02.tif </t>
  </si>
  <si>
    <t xml:space="preserve"> 39020.3299 </t>
  </si>
  <si>
    <t xml:space="preserve"> 68.5715 </t>
  </si>
  <si>
    <t xml:space="preserve">F:\Données chgh\2020-CHG-CZA-Cromolyn-3\plaque 1/@06 EE2 171/D6_03.tif </t>
  </si>
  <si>
    <t xml:space="preserve"> 39128.4794 </t>
  </si>
  <si>
    <t xml:space="preserve"> 68.0083 </t>
  </si>
  <si>
    <t xml:space="preserve">F:\Données chgh\2020-CHG-CZA-Cromolyn-3\plaque 1/@06 EE2 171/E6_01.tif </t>
  </si>
  <si>
    <t xml:space="preserve"> 23446.8058 </t>
  </si>
  <si>
    <t xml:space="preserve"> 72.5867 </t>
  </si>
  <si>
    <t xml:space="preserve">F:\Données chgh\2020-CHG-CZA-Cromolyn-3\plaque 1/@06 EE2 171/E6_02.tif </t>
  </si>
  <si>
    <t xml:space="preserve"> 25544.9056 </t>
  </si>
  <si>
    <t xml:space="preserve"> 73.95 </t>
  </si>
  <si>
    <t xml:space="preserve">F:\Données chgh\2020-CHG-CZA-Cromolyn-3\plaque 1/@06 EE2 171/E6_03.tif </t>
  </si>
  <si>
    <t xml:space="preserve"> 24658.0799 </t>
  </si>
  <si>
    <t xml:space="preserve"> 75.414 </t>
  </si>
  <si>
    <t xml:space="preserve">F:\Données chgh\2020-CHG-CZA-Cromolyn-3\plaque 1/@06 EE2 171/F6_01.tif </t>
  </si>
  <si>
    <t xml:space="preserve"> 48148.1454 </t>
  </si>
  <si>
    <t xml:space="preserve"> 72.0157 </t>
  </si>
  <si>
    <t xml:space="preserve">F:\Données chgh\2020-CHG-CZA-Cromolyn-3\plaque 1/@06 EE2 171/F6_02.tif </t>
  </si>
  <si>
    <t xml:space="preserve"> 73.3213 </t>
  </si>
  <si>
    <t xml:space="preserve">F:\Données chgh\2020-CHG-CZA-Cromolyn-3\plaque 1/@06 EE2 171/F6_03.tif </t>
  </si>
  <si>
    <t xml:space="preserve"> 47088.2806 </t>
  </si>
  <si>
    <t xml:space="preserve"> 74.0175 </t>
  </si>
  <si>
    <t xml:space="preserve">F:\Données chgh\2020-CHG-CZA-Cromolyn-3\plaque 1/@06 EE2 171/G6_01.tif </t>
  </si>
  <si>
    <t xml:space="preserve"> 69.6608 </t>
  </si>
  <si>
    <t xml:space="preserve">F:\Données chgh\2020-CHG-CZA-Cromolyn-3\plaque 1/@06 EE2 171/G6_02.tif </t>
  </si>
  <si>
    <t xml:space="preserve"> 21521.7452 </t>
  </si>
  <si>
    <t xml:space="preserve"> 70.0754 </t>
  </si>
  <si>
    <t xml:space="preserve">F:\Données chgh\2020-CHG-CZA-Cromolyn-3\plaque 1/@06 EE2 171/G6_03.tif </t>
  </si>
  <si>
    <t xml:space="preserve"> 21283.8163 </t>
  </si>
  <si>
    <t xml:space="preserve"> 69.3008 </t>
  </si>
  <si>
    <t xml:space="preserve">F:\Données chgh\2020-CHG-CZA-Cromolyn-3\plaque 1/@06 EE2 171/H6_01.tif </t>
  </si>
  <si>
    <t xml:space="preserve"> 32250.1729 </t>
  </si>
  <si>
    <t xml:space="preserve"> 84.6157 </t>
  </si>
  <si>
    <t xml:space="preserve">F:\Données chgh\2020-CHG-CZA-Cromolyn-3\plaque 1/@06 EE2 171/H6_02.tif </t>
  </si>
  <si>
    <t xml:space="preserve"> 28681.2403 </t>
  </si>
  <si>
    <t xml:space="preserve"> 81.0513 </t>
  </si>
  <si>
    <t xml:space="preserve">F:\Données chgh\2020-CHG-CZA-Cromolyn-3\plaque 1/@06 EE2 171/H6_03.tif </t>
  </si>
  <si>
    <t xml:space="preserve"> 29438.2866 </t>
  </si>
  <si>
    <t xml:space="preserve"> 83.191 </t>
  </si>
  <si>
    <t xml:space="preserve">F:\Données chgh\2020-CHG-CZA-Cromolyn-3\plaque 1/@06 EE2 171/ </t>
  </si>
  <si>
    <t xml:space="preserve"> 73.0058 </t>
  </si>
  <si>
    <t xml:space="preserve"> 5.2294 </t>
  </si>
  <si>
    <t xml:space="preserve"> 2241437.54 </t>
  </si>
  <si>
    <t xml:space="preserve"> 904996.63 </t>
  </si>
  <si>
    <t>F:\Données chgh\2020-CHG-CZA-Cromolyn-3\plaque 1/@07 EE2 488/A7_01- exclu.tif</t>
  </si>
  <si>
    <t xml:space="preserve">F:\Données chgh\2020-CHG-CZA-Cromolyn-3\plaque 1/@07 EE2 488/A7_02.tif </t>
  </si>
  <si>
    <t xml:space="preserve"> 29827.6247 </t>
  </si>
  <si>
    <t xml:space="preserve"> 90.4271 </t>
  </si>
  <si>
    <t xml:space="preserve">F:\Données chgh\2020-CHG-CZA-Cromolyn-3\plaque 1/@07 EE2 488/A7_03.tif </t>
  </si>
  <si>
    <t xml:space="preserve"> 36035.4045 </t>
  </si>
  <si>
    <t xml:space="preserve"> 94.2815 </t>
  </si>
  <si>
    <t xml:space="preserve">F:\Données chgh\2020-CHG-CZA-Cromolyn-3\plaque 1/@07 EE2 488/B7_01.tif </t>
  </si>
  <si>
    <t xml:space="preserve"> 65062.723 </t>
  </si>
  <si>
    <t xml:space="preserve"> 96.6051 </t>
  </si>
  <si>
    <t xml:space="preserve">F:\Données chgh\2020-CHG-CZA-Cromolyn-3\plaque 1/@07 EE2 488/B7_02.tif </t>
  </si>
  <si>
    <t xml:space="preserve"> 59071.2422 </t>
  </si>
  <si>
    <t xml:space="preserve"> 98.8407 </t>
  </si>
  <si>
    <t xml:space="preserve">F:\Données chgh\2020-CHG-CZA-Cromolyn-3\plaque 1/@07 EE2 488/B7_03.tif </t>
  </si>
  <si>
    <t xml:space="preserve"> 98.5437 </t>
  </si>
  <si>
    <t xml:space="preserve">F:\Données chgh\2020-CHG-CZA-Cromolyn-3\plaque 1/@07 EE2 488/C7_01.tif </t>
  </si>
  <si>
    <t xml:space="preserve"> 101.9219 </t>
  </si>
  <si>
    <t xml:space="preserve">F:\Données chgh\2020-CHG-CZA-Cromolyn-3\plaque 1/@07 EE2 488/C7_02.tif </t>
  </si>
  <si>
    <t xml:space="preserve"> 70837.9049 </t>
  </si>
  <si>
    <t xml:space="preserve"> 100.9093 </t>
  </si>
  <si>
    <t xml:space="preserve">F:\Données chgh\2020-CHG-CZA-Cromolyn-3\plaque 1/@07 EE2 488/C7_03.tif </t>
  </si>
  <si>
    <t xml:space="preserve"> 80766.0265 </t>
  </si>
  <si>
    <t xml:space="preserve"> 100.7772 </t>
  </si>
  <si>
    <t xml:space="preserve">F:\Données chgh\2020-CHG-CZA-Cromolyn-3\plaque 1/@07 EE2 488/D7_01.tif </t>
  </si>
  <si>
    <t xml:space="preserve"> 37657.6465 </t>
  </si>
  <si>
    <t xml:space="preserve"> 86.8742 </t>
  </si>
  <si>
    <t xml:space="preserve">F:\Données chgh\2020-CHG-CZA-Cromolyn-3\plaque 1/@07 EE2 488/D7_02.tif </t>
  </si>
  <si>
    <t xml:space="preserve"> 89.0097 </t>
  </si>
  <si>
    <t xml:space="preserve">F:\Données chgh\2020-CHG-CZA-Cromolyn-3\plaque 1/@07 EE2 488/D7_03.tif </t>
  </si>
  <si>
    <t xml:space="preserve"> 35040.4293 </t>
  </si>
  <si>
    <t xml:space="preserve"> 93.034 </t>
  </si>
  <si>
    <t xml:space="preserve">F:\Données chgh\2020-CHG-CZA-Cromolyn-3\plaque 1/@07 EE2 488/E7_01.tif </t>
  </si>
  <si>
    <t xml:space="preserve"> 32271.8028 </t>
  </si>
  <si>
    <t xml:space="preserve"> 100.2594 </t>
  </si>
  <si>
    <t xml:space="preserve">F:\Données chgh\2020-CHG-CZA-Cromolyn-3\plaque 1/@07 EE2 488/E7_02.tif </t>
  </si>
  <si>
    <t xml:space="preserve"> 102.1173 </t>
  </si>
  <si>
    <t xml:space="preserve">F:\Données chgh\2020-CHG-CZA-Cromolyn-3\plaque 1/@07 EE2 488/E7_03.tif </t>
  </si>
  <si>
    <t xml:space="preserve"> 27253.6672 </t>
  </si>
  <si>
    <t xml:space="preserve"> 100.4817 </t>
  </si>
  <si>
    <t xml:space="preserve">F:\Données chgh\2020-CHG-CZA-Cromolyn-3\plaque 1/@07 EE2 488/F7_01.tif </t>
  </si>
  <si>
    <t xml:space="preserve"> 85.8877 </t>
  </si>
  <si>
    <t xml:space="preserve">F:\Données chgh\2020-CHG-CZA-Cromolyn-3\plaque 1/@07 EE2 488/F7_02.tif </t>
  </si>
  <si>
    <t xml:space="preserve"> 84.7458 </t>
  </si>
  <si>
    <t>F:\Données chgh\2020-CHG-CZA-Cromolyn-3\plaque 1/@07 EE2 488/F7_03- exclu.tif</t>
  </si>
  <si>
    <t xml:space="preserve">F:\Données chgh\2020-CHG-CZA-Cromolyn-3\plaque 1/@07 EE2 488/G7_01.tif </t>
  </si>
  <si>
    <t xml:space="preserve"> 42135.0347 </t>
  </si>
  <si>
    <t xml:space="preserve"> 95.0113 </t>
  </si>
  <si>
    <t xml:space="preserve">F:\Données chgh\2020-CHG-CZA-Cromolyn-3\plaque 1/@07 EE2 488/G7_02.tif </t>
  </si>
  <si>
    <t xml:space="preserve"> 43238.1594 </t>
  </si>
  <si>
    <t xml:space="preserve"> 98.7909 </t>
  </si>
  <si>
    <t xml:space="preserve">F:\Données chgh\2020-CHG-CZA-Cromolyn-3\plaque 1/@07 EE2 488/G7_03.tif </t>
  </si>
  <si>
    <t xml:space="preserve"> 39496.1876 </t>
  </si>
  <si>
    <t xml:space="preserve"> 97.1867 </t>
  </si>
  <si>
    <t xml:space="preserve">F:\Données chgh\2020-CHG-CZA-Cromolyn-3\plaque 1/@07 EE2 488/H7_01.tif </t>
  </si>
  <si>
    <t xml:space="preserve"> 60996.3029 </t>
  </si>
  <si>
    <t xml:space="preserve"> 92.1709 </t>
  </si>
  <si>
    <t xml:space="preserve">F:\Données chgh\2020-CHG-CZA-Cromolyn-3\plaque 1/@07 EE2 488/H7_02.tif </t>
  </si>
  <si>
    <t xml:space="preserve"> 59006.3525 </t>
  </si>
  <si>
    <t xml:space="preserve"> 92.662 </t>
  </si>
  <si>
    <t xml:space="preserve">F:\Données chgh\2020-CHG-CZA-Cromolyn-3\plaque 1/@07 EE2 488/H7_03.tif </t>
  </si>
  <si>
    <t xml:space="preserve"> 62445.5058 </t>
  </si>
  <si>
    <t xml:space="preserve"> 91.1663 </t>
  </si>
  <si>
    <t xml:space="preserve">F:\Données chgh\2020-CHG-CZA-Cromolyn-3\plaque 1/@07 EE2 488/ </t>
  </si>
  <si>
    <t xml:space="preserve"> 94.1728 </t>
  </si>
  <si>
    <t xml:space="preserve"> 6.2651 </t>
  </si>
  <si>
    <t xml:space="preserve"> 4667360.79 </t>
  </si>
  <si>
    <t xml:space="preserve"> 1595932.05 </t>
  </si>
  <si>
    <t xml:space="preserve">F:\Données chgh\2020-CHG-CZA-Cromolyn-3\plaque 1/@08 Cromolyn 0.1/A8_01.tif </t>
  </si>
  <si>
    <t xml:space="preserve"> 68.1311 </t>
  </si>
  <si>
    <t xml:space="preserve">F:\Données chgh\2020-CHG-CZA-Cromolyn-3\plaque 1/@08 Cromolyn 0.1/A8_02.tif </t>
  </si>
  <si>
    <t xml:space="preserve"> 72.6674 </t>
  </si>
  <si>
    <t xml:space="preserve">F:\Données chgh\2020-CHG-CZA-Cromolyn-3\plaque 1/@08 Cromolyn 0.1/A8_03.tif </t>
  </si>
  <si>
    <t xml:space="preserve"> 67.8149 </t>
  </si>
  <si>
    <t xml:space="preserve">F:\Données chgh\2020-CHG-CZA-Cromolyn-3\plaque 1/@08 Cromolyn 0.1/B8_01.tif </t>
  </si>
  <si>
    <t xml:space="preserve"> 64.7949 </t>
  </si>
  <si>
    <t xml:space="preserve">F:\Données chgh\2020-CHG-CZA-Cromolyn-3\plaque 1/@08 Cromolyn 0.1/B8_02.tif </t>
  </si>
  <si>
    <t xml:space="preserve"> 63.8983 </t>
  </si>
  <si>
    <t xml:space="preserve">F:\Données chgh\2020-CHG-CZA-Cromolyn-3\plaque 1/@08 Cromolyn 0.1/B8_03.tif </t>
  </si>
  <si>
    <t xml:space="preserve"> 64.754 </t>
  </si>
  <si>
    <t xml:space="preserve">F:\Données chgh\2020-CHG-CZA-Cromolyn-3\plaque 1/@08 Cromolyn 0.1/C8_01.tif </t>
  </si>
  <si>
    <t xml:space="preserve"> 67.9295 </t>
  </si>
  <si>
    <t xml:space="preserve">F:\Données chgh\2020-CHG-CZA-Cromolyn-3\plaque 1/@08 Cromolyn 0.1/C8_02.tif </t>
  </si>
  <si>
    <t xml:space="preserve"> 66.7407 </t>
  </si>
  <si>
    <t xml:space="preserve">F:\Données chgh\2020-CHG-CZA-Cromolyn-3\plaque 1/@08 Cromolyn 0.1/C8_03.tif </t>
  </si>
  <si>
    <t xml:space="preserve">F:\Données chgh\2020-CHG-CZA-Cromolyn-3\plaque 1/@08 Cromolyn 0.1/D8_01.tif </t>
  </si>
  <si>
    <t xml:space="preserve"> 65.5556 </t>
  </si>
  <si>
    <t xml:space="preserve">F:\Données chgh\2020-CHG-CZA-Cromolyn-3\plaque 1/@08 Cromolyn 0.1/D8_02.tif </t>
  </si>
  <si>
    <t xml:space="preserve"> 62.65 </t>
  </si>
  <si>
    <t xml:space="preserve">F:\Données chgh\2020-CHG-CZA-Cromolyn-3\plaque 1/@08 Cromolyn 0.1/D8_03.tif </t>
  </si>
  <si>
    <t xml:space="preserve"> 64.0645 </t>
  </si>
  <si>
    <t xml:space="preserve">F:\Données chgh\2020-CHG-CZA-Cromolyn-3\plaque 1/@08 Cromolyn 0.1/E8_01.tif </t>
  </si>
  <si>
    <t xml:space="preserve"> 70.9615 </t>
  </si>
  <si>
    <t xml:space="preserve">F:\Données chgh\2020-CHG-CZA-Cromolyn-3\plaque 1/@08 Cromolyn 0.1/E8_02.tif </t>
  </si>
  <si>
    <t xml:space="preserve"> 64.475 </t>
  </si>
  <si>
    <t xml:space="preserve">F:\Données chgh\2020-CHG-CZA-Cromolyn-3\plaque 1/@08 Cromolyn 0.1/E8_03.tif </t>
  </si>
  <si>
    <t xml:space="preserve"> 6424.0787 </t>
  </si>
  <si>
    <t xml:space="preserve"> 69.6061 </t>
  </si>
  <si>
    <t xml:space="preserve">F:\Données chgh\2020-CHG-CZA-Cromolyn-3\plaque 1/@08 Cromolyn 0.1/F8_01.tif </t>
  </si>
  <si>
    <t xml:space="preserve"> 63.36 </t>
  </si>
  <si>
    <t xml:space="preserve">F:\Données chgh\2020-CHG-CZA-Cromolyn-3\plaque 1/@08 Cromolyn 0.1/F8_02.tif </t>
  </si>
  <si>
    <t xml:space="preserve"> 64.5682 </t>
  </si>
  <si>
    <t xml:space="preserve">F:\Données chgh\2020-CHG-CZA-Cromolyn-3\plaque 1/@08 Cromolyn 0.1/F8_03.tif </t>
  </si>
  <si>
    <t xml:space="preserve"> 63.5429 </t>
  </si>
  <si>
    <t xml:space="preserve">F:\Données chgh\2020-CHG-CZA-Cromolyn-3\plaque 1/@08 Cromolyn 0.1/G8_01.tif </t>
  </si>
  <si>
    <t xml:space="preserve"> 65.1353 </t>
  </si>
  <si>
    <t>F:\Données chgh\2020-CHG-CZA-Cromolyn-3\plaque 1/@08 Cromolyn 0.1/G8_02- exclu.tif</t>
  </si>
  <si>
    <t xml:space="preserve">F:\Données chgh\2020-CHG-CZA-Cromolyn-3\plaque 1/@08 Cromolyn 0.1/G8_03.tif </t>
  </si>
  <si>
    <t xml:space="preserve"> 64.0046 </t>
  </si>
  <si>
    <t xml:space="preserve">F:\Données chgh\2020-CHG-CZA-Cromolyn-3\plaque 1/@08 Cromolyn 0.1/H8_01.tif </t>
  </si>
  <si>
    <t xml:space="preserve"> 67.206 </t>
  </si>
  <si>
    <t xml:space="preserve">F:\Données chgh\2020-CHG-CZA-Cromolyn-3\plaque 1/@08 Cromolyn 0.1/H8_02.tif </t>
  </si>
  <si>
    <t xml:space="preserve"> 63.9528 </t>
  </si>
  <si>
    <t xml:space="preserve">F:\Données chgh\2020-CHG-CZA-Cromolyn-3\plaque 1/@08 Cromolyn 0.1/H8_03.tif </t>
  </si>
  <si>
    <t xml:space="preserve"> 69.5197 </t>
  </si>
  <si>
    <t xml:space="preserve">F:\Données chgh\2020-CHG-CZA-Cromolyn-3\plaque 1/@08 Cromolyn 0.1/ </t>
  </si>
  <si>
    <t xml:space="preserve"> 65.8992 </t>
  </si>
  <si>
    <t xml:space="preserve"> 2.7696 </t>
  </si>
  <si>
    <t xml:space="preserve"> 234641.083 </t>
  </si>
  <si>
    <t xml:space="preserve"> 211495.229 </t>
  </si>
  <si>
    <t xml:space="preserve">F:\Données chgh\2020-CHG-CZA-Cromolyn-3\plaque 1/@09 Cromolyn 1/A9_01.tif </t>
  </si>
  <si>
    <t xml:space="preserve"> 64.2742 </t>
  </si>
  <si>
    <t xml:space="preserve">F:\Données chgh\2020-CHG-CZA-Cromolyn-3\plaque 1/@09 Cromolyn 1/A9_02.tif </t>
  </si>
  <si>
    <t xml:space="preserve"> 66.6954 </t>
  </si>
  <si>
    <t xml:space="preserve">F:\Données chgh\2020-CHG-CZA-Cromolyn-3\plaque 1/@09 Cromolyn 1/A9_03.tif </t>
  </si>
  <si>
    <t xml:space="preserve"> 64.3649 </t>
  </si>
  <si>
    <t xml:space="preserve">F:\Données chgh\2020-CHG-CZA-Cromolyn-3\plaque 1/@09 Cromolyn 1/B9_01.tif </t>
  </si>
  <si>
    <t xml:space="preserve"> 68.8883 </t>
  </si>
  <si>
    <t xml:space="preserve">F:\Données chgh\2020-CHG-CZA-Cromolyn-3\plaque 1/@09 Cromolyn 1/B9_02.tif </t>
  </si>
  <si>
    <t xml:space="preserve"> 64.3438 </t>
  </si>
  <si>
    <t xml:space="preserve">F:\Données chgh\2020-CHG-CZA-Cromolyn-3\plaque 1/@09 Cromolyn 1/B9_03.tif </t>
  </si>
  <si>
    <t xml:space="preserve"> 67.2533 </t>
  </si>
  <si>
    <t xml:space="preserve">F:\Données chgh\2020-CHG-CZA-Cromolyn-3\plaque 1/@09 Cromolyn 1/C9_01.tif </t>
  </si>
  <si>
    <t xml:space="preserve"> 62.9508 </t>
  </si>
  <si>
    <t xml:space="preserve">F:\Données chgh\2020-CHG-CZA-Cromolyn-3\plaque 1/@09 Cromolyn 1/C9_02.tif </t>
  </si>
  <si>
    <t xml:space="preserve"> 63.9848 </t>
  </si>
  <si>
    <t xml:space="preserve">F:\Données chgh\2020-CHG-CZA-Cromolyn-3\plaque 1/@09 Cromolyn 1/C9_03.tif </t>
  </si>
  <si>
    <t xml:space="preserve"> 63.2586 </t>
  </si>
  <si>
    <t xml:space="preserve">F:\Données chgh\2020-CHG-CZA-Cromolyn-3\plaque 1/@09 Cromolyn 1/D9_01.tif </t>
  </si>
  <si>
    <t xml:space="preserve"> 63.5714 </t>
  </si>
  <si>
    <t xml:space="preserve">F:\Données chgh\2020-CHG-CZA-Cromolyn-3\plaque 1/@09 Cromolyn 1/D9_02.tif </t>
  </si>
  <si>
    <t xml:space="preserve"> 65.8902 </t>
  </si>
  <si>
    <t xml:space="preserve">F:\Données chgh\2020-CHG-CZA-Cromolyn-3\plaque 1/@09 Cromolyn 1/D9_03.tif </t>
  </si>
  <si>
    <t xml:space="preserve"> 66.1286 </t>
  </si>
  <si>
    <t xml:space="preserve">F:\Données chgh\2020-CHG-CZA-Cromolyn-3\plaque 1/@09 Cromolyn 1/E9_01.tif </t>
  </si>
  <si>
    <t xml:space="preserve"> 2941.6657 </t>
  </si>
  <si>
    <t xml:space="preserve"> 63.8382 </t>
  </si>
  <si>
    <t xml:space="preserve">F:\Données chgh\2020-CHG-CZA-Cromolyn-3\plaque 1/@09 Cromolyn 1/E9_02.tif </t>
  </si>
  <si>
    <t xml:space="preserve"> 475.8577 </t>
  </si>
  <si>
    <t xml:space="preserve"> 62.7727 </t>
  </si>
  <si>
    <t xml:space="preserve">F:\Données chgh\2020-CHG-CZA-Cromolyn-3\plaque 1/@09 Cromolyn 1/E9_03.tif </t>
  </si>
  <si>
    <t xml:space="preserve"> 605.637 </t>
  </si>
  <si>
    <t xml:space="preserve"> 62.8571 </t>
  </si>
  <si>
    <t xml:space="preserve">F:\Données chgh\2020-CHG-CZA-Cromolyn-3\plaque 1/@09 Cromolyn 1/F9_01.tif </t>
  </si>
  <si>
    <t xml:space="preserve"> 76.0245 </t>
  </si>
  <si>
    <t xml:space="preserve">F:\Données chgh\2020-CHG-CZA-Cromolyn-3\plaque 1/@09 Cromolyn 1/F9_02.tif </t>
  </si>
  <si>
    <t xml:space="preserve"> 65.3913 </t>
  </si>
  <si>
    <t>F:\Données chgh\2020-CHG-CZA-Cromolyn-3\plaque 1/@09 Cromolyn 1/F9_03- exclu.tif</t>
  </si>
  <si>
    <t xml:space="preserve">F:\Données chgh\2020-CHG-CZA-Cromolyn-3\plaque 1/@09 Cromolyn 1/G9_01.tif </t>
  </si>
  <si>
    <t xml:space="preserve"> 64.6667 </t>
  </si>
  <si>
    <t xml:space="preserve">F:\Données chgh\2020-CHG-CZA-Cromolyn-3\plaque 1/@09 Cromolyn 1/G9_02.tif </t>
  </si>
  <si>
    <t xml:space="preserve">F:\Données chgh\2020-CHG-CZA-Cromolyn-3\plaque 1/@09 Cromolyn 1/G9_03.tif </t>
  </si>
  <si>
    <t xml:space="preserve"> 69.8876 </t>
  </si>
  <si>
    <t xml:space="preserve">F:\Données chgh\2020-CHG-CZA-Cromolyn-3\plaque 1/@09 Cromolyn 1/H9_01.tif </t>
  </si>
  <si>
    <t xml:space="preserve"> 6121.2602 </t>
  </si>
  <si>
    <t xml:space="preserve"> 66.7951 </t>
  </si>
  <si>
    <t xml:space="preserve">F:\Données chgh\2020-CHG-CZA-Cromolyn-3\plaque 1/@09 Cromolyn 1/H9_02.tif </t>
  </si>
  <si>
    <t xml:space="preserve"> 67.4569 </t>
  </si>
  <si>
    <t xml:space="preserve">F:\Données chgh\2020-CHG-CZA-Cromolyn-3\plaque 1/@09 Cromolyn 1/H9_03.tif </t>
  </si>
  <si>
    <t xml:space="preserve"> 67.4124 </t>
  </si>
  <si>
    <t xml:space="preserve">F:\Données chgh\2020-CHG-CZA-Cromolyn-3\plaque 1/@09 Cromolyn 1/ </t>
  </si>
  <si>
    <t xml:space="preserve"> 65.7667 </t>
  </si>
  <si>
    <t xml:space="preserve"> 2.9102 </t>
  </si>
  <si>
    <t xml:space="preserve"> 179810.25 </t>
  </si>
  <si>
    <t xml:space="preserve"> 154838.239 </t>
  </si>
  <si>
    <t xml:space="preserve">F:\Données chgh\2020-CHG-CZA-Cromolyn-3\plaque 1/@10 Cromolyn 10/A10_01.tif </t>
  </si>
  <si>
    <t xml:space="preserve"> 62.9286 </t>
  </si>
  <si>
    <t xml:space="preserve">F:\Données chgh\2020-CHG-CZA-Cromolyn-3\plaque 1/@10 Cromolyn 10/A10_02.tif </t>
  </si>
  <si>
    <t xml:space="preserve"> 8089.5806 </t>
  </si>
  <si>
    <t xml:space="preserve"> 67.4759 </t>
  </si>
  <si>
    <t xml:space="preserve">F:\Données chgh\2020-CHG-CZA-Cromolyn-3\plaque 1/@10 Cromolyn 10/A10_03.tif </t>
  </si>
  <si>
    <t xml:space="preserve"> 65.3259 </t>
  </si>
  <si>
    <t xml:space="preserve">F:\Données chgh\2020-CHG-CZA-Cromolyn-3\plaque 1/@10 Cromolyn 10/B10_01.tif </t>
  </si>
  <si>
    <t xml:space="preserve"> 64.3793 </t>
  </si>
  <si>
    <t xml:space="preserve">F:\Données chgh\2020-CHG-CZA-Cromolyn-3\plaque 1/@10 Cromolyn 10/B10_02.tif </t>
  </si>
  <si>
    <t xml:space="preserve"> 62.8333 </t>
  </si>
  <si>
    <t xml:space="preserve">F:\Données chgh\2020-CHG-CZA-Cromolyn-3\plaque 1/@10 Cromolyn 10/B10_03.tif </t>
  </si>
  <si>
    <t xml:space="preserve"> 62.881 </t>
  </si>
  <si>
    <t>F:\Données chgh\2020-CHG-CZA-Cromolyn-3\plaque 1/@10 Cromolyn 10/C10_01- exclu.tif</t>
  </si>
  <si>
    <t xml:space="preserve">F:\Données chgh\2020-CHG-CZA-Cromolyn-3\plaque 1/@10 Cromolyn 10/C10_02.tif </t>
  </si>
  <si>
    <t xml:space="preserve"> 63.7931 </t>
  </si>
  <si>
    <t>F:\Données chgh\2020-CHG-CZA-Cromolyn-3\plaque 1/@10 Cromolyn 10/C10_03- exclu.tif</t>
  </si>
  <si>
    <t xml:space="preserve">F:\Données chgh\2020-CHG-CZA-Cromolyn-3\plaque 1/@10 Cromolyn 10/D10_01.tif </t>
  </si>
  <si>
    <t xml:space="preserve"> 1211.2741 </t>
  </si>
  <si>
    <t xml:space="preserve"> 63.9643 </t>
  </si>
  <si>
    <t xml:space="preserve">F:\Données chgh\2020-CHG-CZA-Cromolyn-3\plaque 1/@10 Cromolyn 10/D10_02.tif </t>
  </si>
  <si>
    <t xml:space="preserve"> 63.3243 </t>
  </si>
  <si>
    <t xml:space="preserve">F:\Données chgh\2020-CHG-CZA-Cromolyn-3\plaque 1/@10 Cromolyn 10/D10_03.tif </t>
  </si>
  <si>
    <t xml:space="preserve"> 63.7619 </t>
  </si>
  <si>
    <t>F:\Données chgh\2020-CHG-CZA-Cromolyn-3\plaque 1/@10 Cromolyn 10/E10_01- exclu.tif</t>
  </si>
  <si>
    <t xml:space="preserve">F:\Données chgh\2020-CHG-CZA-Cromolyn-3\plaque 1/@10 Cromolyn 10/E10_02.tif </t>
  </si>
  <si>
    <t xml:space="preserve"> 64.1111 </t>
  </si>
  <si>
    <t xml:space="preserve">F:\Données chgh\2020-CHG-CZA-Cromolyn-3\plaque 1/@10 Cromolyn 10/E10_03.tif </t>
  </si>
  <si>
    <t xml:space="preserve"> 62.1389 </t>
  </si>
  <si>
    <t xml:space="preserve">F:\Données chgh\2020-CHG-CZA-Cromolyn-3\plaque 1/@10 Cromolyn 10/F10_01.tif </t>
  </si>
  <si>
    <t xml:space="preserve"> 64.96 </t>
  </si>
  <si>
    <t xml:space="preserve">F:\Données chgh\2020-CHG-CZA-Cromolyn-3\plaque 1/@10 Cromolyn 10/F10_02.tif </t>
  </si>
  <si>
    <t xml:space="preserve">F:\Données chgh\2020-CHG-CZA-Cromolyn-3\plaque 1/@10 Cromolyn 10/F10_03.tif </t>
  </si>
  <si>
    <t xml:space="preserve"> 64.2917 </t>
  </si>
  <si>
    <t>F:\Données chgh\2020-CHG-CZA-Cromolyn-3\plaque 1/@10 Cromolyn 10/G10_01- exclu.tif</t>
  </si>
  <si>
    <t xml:space="preserve">F:\Données chgh\2020-CHG-CZA-Cromolyn-3\plaque 1/@10 Cromolyn 10/G10_02.tif </t>
  </si>
  <si>
    <t xml:space="preserve"> 63.0769 </t>
  </si>
  <si>
    <t xml:space="preserve">F:\Données chgh\2020-CHG-CZA-Cromolyn-3\plaque 1/@10 Cromolyn 10/G10_03.tif </t>
  </si>
  <si>
    <t xml:space="preserve"> 63.4118 </t>
  </si>
  <si>
    <t xml:space="preserve">F:\Données chgh\2020-CHG-CZA-Cromolyn-3\plaque 1/@10 Cromolyn 10/H10_01.tif </t>
  </si>
  <si>
    <t xml:space="preserve"> 5818.4417 </t>
  </si>
  <si>
    <t xml:space="preserve"> 71.803 </t>
  </si>
  <si>
    <t xml:space="preserve">F:\Données chgh\2020-CHG-CZA-Cromolyn-3\plaque 1/@10 Cromolyn 10/H10_02.tif </t>
  </si>
  <si>
    <t xml:space="preserve"> 68.6681 </t>
  </si>
  <si>
    <t xml:space="preserve">F:\Données chgh\2020-CHG-CZA-Cromolyn-3\plaque 1/@10 Cromolyn 10/H10_03.tif </t>
  </si>
  <si>
    <t xml:space="preserve"> 65.0154 </t>
  </si>
  <si>
    <t xml:space="preserve">F:\Données chgh\2020-CHG-CZA-Cromolyn-3\plaque 1/@10 Cromolyn 10/ </t>
  </si>
  <si>
    <t xml:space="preserve"> 64.8637 </t>
  </si>
  <si>
    <t xml:space="preserve"> 2.4392 </t>
  </si>
  <si>
    <t xml:space="preserve"> 147176.125 </t>
  </si>
  <si>
    <t xml:space="preserve"> 178292.176 </t>
  </si>
  <si>
    <t xml:space="preserve">F:\Données chgh\2020-CHG-CZA-Cromolyn-3\plaque 1/@11 Cromolyn 100/A11_01.tif </t>
  </si>
  <si>
    <t xml:space="preserve"> 6164.52 </t>
  </si>
  <si>
    <t xml:space="preserve"> 70.386 </t>
  </si>
  <si>
    <t xml:space="preserve">F:\Données chgh\2020-CHG-CZA-Cromolyn-3\plaque 1/@11 Cromolyn 100/A11_02.tif </t>
  </si>
  <si>
    <t xml:space="preserve"> 67.2849 </t>
  </si>
  <si>
    <t xml:space="preserve">F:\Données chgh\2020-CHG-CZA-Cromolyn-3\plaque 1/@11 Cromolyn 100/A11_03.tif </t>
  </si>
  <si>
    <t xml:space="preserve"> 68.5625 </t>
  </si>
  <si>
    <t xml:space="preserve">F:\Données chgh\2020-CHG-CZA-Cromolyn-3\plaque 1/@11 Cromolyn 100/B11_01.tif </t>
  </si>
  <si>
    <t xml:space="preserve"> 67.7983 </t>
  </si>
  <si>
    <t xml:space="preserve">F:\Données chgh\2020-CHG-CZA-Cromolyn-3\plaque 1/@11 Cromolyn 100/B11_02.tif </t>
  </si>
  <si>
    <t xml:space="preserve"> 63.125 </t>
  </si>
  <si>
    <t xml:space="preserve">F:\Données chgh\2020-CHG-CZA-Cromolyn-3\plaque 1/@11 Cromolyn 100/B11_03.tif </t>
  </si>
  <si>
    <t xml:space="preserve"> 64.3382 </t>
  </si>
  <si>
    <t xml:space="preserve">F:\Données chgh\2020-CHG-CZA-Cromolyn-3\plaque 1/@11 Cromolyn 100/C11_01.tif </t>
  </si>
  <si>
    <t xml:space="preserve"> 67.3439 </t>
  </si>
  <si>
    <t xml:space="preserve">F:\Données chgh\2020-CHG-CZA-Cromolyn-3\plaque 1/@11 Cromolyn 100/C11_02.tif </t>
  </si>
  <si>
    <t xml:space="preserve"> 64.7097 </t>
  </si>
  <si>
    <t xml:space="preserve">F:\Données chgh\2020-CHG-CZA-Cromolyn-3\plaque 1/@11 Cromolyn 100/C11_03.tif </t>
  </si>
  <si>
    <t xml:space="preserve"> 66.2759 </t>
  </si>
  <si>
    <t xml:space="preserve">F:\Données chgh\2020-CHG-CZA-Cromolyn-3\plaque 1/@11 Cromolyn 100/D11_01.tif </t>
  </si>
  <si>
    <t xml:space="preserve"> 64.3871 </t>
  </si>
  <si>
    <t xml:space="preserve">F:\Données chgh\2020-CHG-CZA-Cromolyn-3\plaque 1/@11 Cromolyn 100/D11_02.tif </t>
  </si>
  <si>
    <t xml:space="preserve"> 65.4409 </t>
  </si>
  <si>
    <t xml:space="preserve">F:\Données chgh\2020-CHG-CZA-Cromolyn-3\plaque 1/@11 Cromolyn 100/D11_03.tif </t>
  </si>
  <si>
    <t xml:space="preserve"> 66.3019 </t>
  </si>
  <si>
    <t xml:space="preserve">F:\Données chgh\2020-CHG-CZA-Cromolyn-3\plaque 1/@11 Cromolyn 100/E11_01.tif </t>
  </si>
  <si>
    <t xml:space="preserve"> 66.7031 </t>
  </si>
  <si>
    <t xml:space="preserve">F:\Données chgh\2020-CHG-CZA-Cromolyn-3\plaque 1/@11 Cromolyn 100/E11_02.tif </t>
  </si>
  <si>
    <t xml:space="preserve"> 66.8996 </t>
  </si>
  <si>
    <t xml:space="preserve">F:\Données chgh\2020-CHG-CZA-Cromolyn-3\plaque 1/@11 Cromolyn 100/E11_03.tif </t>
  </si>
  <si>
    <t xml:space="preserve"> 5147.9149 </t>
  </si>
  <si>
    <t xml:space="preserve"> 66.8487 </t>
  </si>
  <si>
    <t xml:space="preserve">F:\Données chgh\2020-CHG-CZA-Cromolyn-3\plaque 1/@11 Cromolyn 100/F11_01.tif </t>
  </si>
  <si>
    <t xml:space="preserve"> 9755.0825 </t>
  </si>
  <si>
    <t xml:space="preserve"> 72.1397 </t>
  </si>
  <si>
    <t xml:space="preserve">F:\Données chgh\2020-CHG-CZA-Cromolyn-3\plaque 1/@11 Cromolyn 100/F11_02.tif </t>
  </si>
  <si>
    <t xml:space="preserve"> 70.5421 </t>
  </si>
  <si>
    <t xml:space="preserve">F:\Données chgh\2020-CHG-CZA-Cromolyn-3\plaque 1/@11 Cromolyn 100/F11_03.tif </t>
  </si>
  <si>
    <t xml:space="preserve"> 12393.9296 </t>
  </si>
  <si>
    <t xml:space="preserve"> 74.3054 </t>
  </si>
  <si>
    <t xml:space="preserve">F:\Données chgh\2020-CHG-CZA-Cromolyn-3\plaque 1/@11 Cromolyn 100/G11_01.tif </t>
  </si>
  <si>
    <t xml:space="preserve"> 62.5172 </t>
  </si>
  <si>
    <t xml:space="preserve">F:\Données chgh\2020-CHG-CZA-Cromolyn-3\plaque 1/@11 Cromolyn 100/G11_02.tif </t>
  </si>
  <si>
    <t xml:space="preserve"> 64.86 </t>
  </si>
  <si>
    <t xml:space="preserve">F:\Données chgh\2020-CHG-CZA-Cromolyn-3\plaque 1/@11 Cromolyn 100/G11_03.tif </t>
  </si>
  <si>
    <t xml:space="preserve"> 4044.7903 </t>
  </si>
  <si>
    <t xml:space="preserve"> 66.4385 </t>
  </si>
  <si>
    <t xml:space="preserve">F:\Données chgh\2020-CHG-CZA-Cromolyn-3\plaque 1/@11 Cromolyn 100/H11_01.tif </t>
  </si>
  <si>
    <t xml:space="preserve">F:\Données chgh\2020-CHG-CZA-Cromolyn-3\plaque 1/@11 Cromolyn 100/H11_02.tif </t>
  </si>
  <si>
    <t xml:space="preserve"> 63.7237 </t>
  </si>
  <si>
    <t xml:space="preserve">F:\Données chgh\2020-CHG-CZA-Cromolyn-3\plaque 1/@11 Cromolyn 100/H11_03.tif </t>
  </si>
  <si>
    <t xml:space="preserve"> 2054.84 </t>
  </si>
  <si>
    <t xml:space="preserve"> 63.1368 </t>
  </si>
  <si>
    <t xml:space="preserve">F:\Données chgh\2020-CHG-CZA-Cromolyn-3\plaque 1/@11 Cromolyn 100/ </t>
  </si>
  <si>
    <t xml:space="preserve"> 66.5763 </t>
  </si>
  <si>
    <t xml:space="preserve"> 2.9609 </t>
  </si>
  <si>
    <t xml:space="preserve"> 237632.458 </t>
  </si>
  <si>
    <t xml:space="preserve"> 221739.774 </t>
  </si>
  <si>
    <t xml:space="preserve">F:\Données chgh\2020-CHG-CZA-Cromolyn-3\plaque 1/@12 Cromolyn 1000/A12_01.tif </t>
  </si>
  <si>
    <t xml:space="preserve"> 73.5287 </t>
  </si>
  <si>
    <t xml:space="preserve">F:\Données chgh\2020-CHG-CZA-Cromolyn-3\plaque 1/@12 Cromolyn 1000/A12_02.tif </t>
  </si>
  <si>
    <t xml:space="preserve"> 83.3608 </t>
  </si>
  <si>
    <t xml:space="preserve">F:\Données chgh\2020-CHG-CZA-Cromolyn-3\plaque 1/@12 Cromolyn 1000/A12_03.tif </t>
  </si>
  <si>
    <t xml:space="preserve"> 69.0699 </t>
  </si>
  <si>
    <t xml:space="preserve">F:\Données chgh\2020-CHG-CZA-Cromolyn-3\plaque 1/@12 Cromolyn 1000/B12_01.tif </t>
  </si>
  <si>
    <t xml:space="preserve"> 6618.7478 </t>
  </si>
  <si>
    <t xml:space="preserve"> 67.8725 </t>
  </si>
  <si>
    <t xml:space="preserve">F:\Données chgh\2020-CHG-CZA-Cromolyn-3\plaque 1/@12 Cromolyn 1000/B12_02.tif </t>
  </si>
  <si>
    <t xml:space="preserve"> 66.7721 </t>
  </si>
  <si>
    <t xml:space="preserve">F:\Données chgh\2020-CHG-CZA-Cromolyn-3\plaque 1/@12 Cromolyn 1000/B12_03.tif </t>
  </si>
  <si>
    <t xml:space="preserve"> 2833.5162 </t>
  </si>
  <si>
    <t xml:space="preserve"> 64.7557 </t>
  </si>
  <si>
    <t xml:space="preserve">F:\Données chgh\2020-CHG-CZA-Cromolyn-3\plaque 1/@12 Cromolyn 1000/C12_01.tif </t>
  </si>
  <si>
    <t xml:space="preserve"> 2119.7297 </t>
  </si>
  <si>
    <t xml:space="preserve"> 66.4592 </t>
  </si>
  <si>
    <t xml:space="preserve">F:\Données chgh\2020-CHG-CZA-Cromolyn-3\plaque 1/@12 Cromolyn 1000/C12_02.tif </t>
  </si>
  <si>
    <t xml:space="preserve"> 65.6078 </t>
  </si>
  <si>
    <t xml:space="preserve">F:\Données chgh\2020-CHG-CZA-Cromolyn-3\plaque 1/@12 Cromolyn 1000/C12_03.tif </t>
  </si>
  <si>
    <t xml:space="preserve"> 70.4962 </t>
  </si>
  <si>
    <t xml:space="preserve">F:\Données chgh\2020-CHG-CZA-Cromolyn-3\plaque 1/@12 Cromolyn 1000/D12_01.tif </t>
  </si>
  <si>
    <t xml:space="preserve"> 11939.7018 </t>
  </si>
  <si>
    <t xml:space="preserve"> 82.8388 </t>
  </si>
  <si>
    <t xml:space="preserve">F:\Données chgh\2020-CHG-CZA-Cromolyn-3\plaque 1/@12 Cromolyn 1000/D12_02.tif </t>
  </si>
  <si>
    <t xml:space="preserve"> 73.6658 </t>
  </si>
  <si>
    <t xml:space="preserve">F:\Données chgh\2020-CHG-CZA-Cromolyn-3\plaque 1/@12 Cromolyn 1000/D12_03.tif </t>
  </si>
  <si>
    <t xml:space="preserve"> 75.4128 </t>
  </si>
  <si>
    <t xml:space="preserve">F:\Données chgh\2020-CHG-CZA-Cromolyn-3\plaque 1/@12 Cromolyn 1000/E12_01.tif </t>
  </si>
  <si>
    <t xml:space="preserve"> 62.7333 </t>
  </si>
  <si>
    <t xml:space="preserve">F:\Données chgh\2020-CHG-CZA-Cromolyn-3\plaque 1/@12 Cromolyn 1000/E12_02.tif </t>
  </si>
  <si>
    <t xml:space="preserve"> 66.4768 </t>
  </si>
  <si>
    <t xml:space="preserve">F:\Données chgh\2020-CHG-CZA-Cromolyn-3\plaque 1/@12 Cromolyn 1000/E12_03.tif </t>
  </si>
  <si>
    <t xml:space="preserve"> 62.9062 </t>
  </si>
  <si>
    <t xml:space="preserve">F:\Données chgh\2020-CHG-CZA-Cromolyn-3\plaque 1/@12 Cromolyn 1000/F12_01.tif </t>
  </si>
  <si>
    <t xml:space="preserve"> 64.8 </t>
  </si>
  <si>
    <t xml:space="preserve">F:\Données chgh\2020-CHG-CZA-Cromolyn-3\plaque 1/@12 Cromolyn 1000/F12_02.tif </t>
  </si>
  <si>
    <t xml:space="preserve"> 63.2727 </t>
  </si>
  <si>
    <t xml:space="preserve">F:\Données chgh\2020-CHG-CZA-Cromolyn-3\plaque 1/@12 Cromolyn 1000/F12_03.tif </t>
  </si>
  <si>
    <t xml:space="preserve"> 63.898 </t>
  </si>
  <si>
    <t xml:space="preserve">F:\Données chgh\2020-CHG-CZA-Cromolyn-3\plaque 1/@12 Cromolyn 1000/G12_01.tif </t>
  </si>
  <si>
    <t xml:space="preserve"> 11312.4349 </t>
  </si>
  <si>
    <t xml:space="preserve"> 77.9006 </t>
  </si>
  <si>
    <t xml:space="preserve">F:\Données chgh\2020-CHG-CZA-Cromolyn-3\plaque 1/@12 Cromolyn 1000/G12_02.tif </t>
  </si>
  <si>
    <t xml:space="preserve"> 82.3281 </t>
  </si>
  <si>
    <t xml:space="preserve">F:\Données chgh\2020-CHG-CZA-Cromolyn-3\plaque 1/@12 Cromolyn 1000/G12_03.tif </t>
  </si>
  <si>
    <t xml:space="preserve"> 13561.9439 </t>
  </si>
  <si>
    <t xml:space="preserve"> 89.6571 </t>
  </si>
  <si>
    <t xml:space="preserve">F:\Données chgh\2020-CHG-CZA-Cromolyn-3\plaque 1/@12 Cromolyn 1000/H12_01.tif </t>
  </si>
  <si>
    <t xml:space="preserve"> 12588.5987 </t>
  </si>
  <si>
    <t xml:space="preserve"> 80.2732 </t>
  </si>
  <si>
    <t xml:space="preserve">F:\Données chgh\2020-CHG-CZA-Cromolyn-3\plaque 1/@12 Cromolyn 1000/H12_02.tif </t>
  </si>
  <si>
    <t xml:space="preserve"> 12264.1503 </t>
  </si>
  <si>
    <t xml:space="preserve"> 78.5556 </t>
  </si>
  <si>
    <t xml:space="preserve">F:\Données chgh\2020-CHG-CZA-Cromolyn-3\plaque 1/@12 Cromolyn 1000/H12_03.tif </t>
  </si>
  <si>
    <t xml:space="preserve"> 7137.8652 </t>
  </si>
  <si>
    <t xml:space="preserve"> 79.8121 </t>
  </si>
  <si>
    <t xml:space="preserve">F:\Données chgh\2020-CHG-CZA-Cromolyn-3\plaque 1/@12 Cromolyn 1000/ </t>
  </si>
  <si>
    <t xml:space="preserve"> 72.1856 </t>
  </si>
  <si>
    <t xml:space="preserve"> 7.9678 </t>
  </si>
  <si>
    <t xml:space="preserve"> 467457.083 </t>
  </si>
  <si>
    <t xml:space="preserve"> 379859.025 </t>
  </si>
  <si>
    <t xml:space="preserve">F:\Données chgh\2020-CHG-CZA-Cromolyn-3\plaque 2/@13 Testo 30/A1_01.tif </t>
  </si>
  <si>
    <t xml:space="preserve"> 41377.9884 </t>
  </si>
  <si>
    <t xml:space="preserve"> 72.8327 </t>
  </si>
  <si>
    <t xml:space="preserve">F:\Données chgh\2020-CHG-CZA-Cromolyn-3\plaque 2/@13 Testo 30/A1_02.tif </t>
  </si>
  <si>
    <t xml:space="preserve"> 37506.2373 </t>
  </si>
  <si>
    <t xml:space="preserve"> 73.3772 </t>
  </si>
  <si>
    <t xml:space="preserve">F:\Données chgh\2020-CHG-CZA-Cromolyn-3\plaque 2/@13 Testo 30/A1_03.tif </t>
  </si>
  <si>
    <t xml:space="preserve"> 38739.1413 </t>
  </si>
  <si>
    <t xml:space="preserve"> 75.239 </t>
  </si>
  <si>
    <t xml:space="preserve">F:\Données chgh\2020-CHG-CZA-Cromolyn-3\plaque 2/@13 Testo 30/B1_01.tif </t>
  </si>
  <si>
    <t xml:space="preserve"> 65.4764 </t>
  </si>
  <si>
    <t xml:space="preserve">F:\Données chgh\2020-CHG-CZA-Cromolyn-3\plaque 2/@13 Testo 30/B1_02.tif </t>
  </si>
  <si>
    <t xml:space="preserve"> 66.369 </t>
  </si>
  <si>
    <t>F:\Données chgh\2020-CHG-CZA-Cromolyn-3\plaque 2/@13 Testo 30/B1_03- exclu.tif</t>
  </si>
  <si>
    <t xml:space="preserve">F:\Données chgh\2020-CHG-CZA-Cromolyn-3\plaque 2/@13 Testo 30/C1_01.tif </t>
  </si>
  <si>
    <t xml:space="preserve"> 14535.2892 </t>
  </si>
  <si>
    <t xml:space="preserve"> 66.4464 </t>
  </si>
  <si>
    <t xml:space="preserve">F:\Données chgh\2020-CHG-CZA-Cromolyn-3\plaque 2/@13 Testo 30/C1_02.tif </t>
  </si>
  <si>
    <t xml:space="preserve"> 14751.5881 </t>
  </si>
  <si>
    <t xml:space="preserve"> 65.4267 </t>
  </si>
  <si>
    <t xml:space="preserve">F:\Données chgh\2020-CHG-CZA-Cromolyn-3\plaque 2/@13 Testo 30/C1_03.tif </t>
  </si>
  <si>
    <t xml:space="preserve"> 14340.6201 </t>
  </si>
  <si>
    <t xml:space="preserve"> 65.8084 </t>
  </si>
  <si>
    <t xml:space="preserve">F:\Données chgh\2020-CHG-CZA-Cromolyn-3\plaque 2/@13 Testo 30/D1_01.tif </t>
  </si>
  <si>
    <t xml:space="preserve"> 67.0049 </t>
  </si>
  <si>
    <t xml:space="preserve">F:\Données chgh\2020-CHG-CZA-Cromolyn-3\plaque 2/@13 Testo 30/D1_02.tif </t>
  </si>
  <si>
    <t xml:space="preserve"> 16352.2003 </t>
  </si>
  <si>
    <t xml:space="preserve"> 67.6878 </t>
  </si>
  <si>
    <t xml:space="preserve">F:\Données chgh\2020-CHG-CZA-Cromolyn-3\plaque 2/@13 Testo 30/D1_03.tif </t>
  </si>
  <si>
    <t xml:space="preserve"> 17455.325 </t>
  </si>
  <si>
    <t xml:space="preserve"> 67.3519 </t>
  </si>
  <si>
    <t xml:space="preserve">F:\Données chgh\2020-CHG-CZA-Cromolyn-3\plaque 2/@13 Testo 30/E1_01.tif </t>
  </si>
  <si>
    <t xml:space="preserve"> 71.0227 </t>
  </si>
  <si>
    <t xml:space="preserve">F:\Données chgh\2020-CHG-CZA-Cromolyn-3\plaque 2/@13 Testo 30/E1_02.tif </t>
  </si>
  <si>
    <t xml:space="preserve"> 11009.6164 </t>
  </si>
  <si>
    <t xml:space="preserve"> 71.8114 </t>
  </si>
  <si>
    <t xml:space="preserve">F:\Données chgh\2020-CHG-CZA-Cromolyn-3\plaque 2/@13 Testo 30/E1_03.tif </t>
  </si>
  <si>
    <t xml:space="preserve"> 12718.378 </t>
  </si>
  <si>
    <t xml:space="preserve"> 71.648 </t>
  </si>
  <si>
    <t xml:space="preserve">F:\Données chgh\2020-CHG-CZA-Cromolyn-3\plaque 2/@13 Testo 30/F1_01.tif </t>
  </si>
  <si>
    <t xml:space="preserve"> 4715.317 </t>
  </si>
  <si>
    <t xml:space="preserve"> 66.555 </t>
  </si>
  <si>
    <t xml:space="preserve">F:\Données chgh\2020-CHG-CZA-Cromolyn-3\plaque 2/@13 Testo 30/F1_02.tif </t>
  </si>
  <si>
    <t xml:space="preserve"> 5861.7014 </t>
  </si>
  <si>
    <t xml:space="preserve"> 64.4613 </t>
  </si>
  <si>
    <t xml:space="preserve">F:\Données chgh\2020-CHG-CZA-Cromolyn-3\plaque 2/@13 Testo 30/F1_03.tif </t>
  </si>
  <si>
    <t xml:space="preserve"> 63.3137 </t>
  </si>
  <si>
    <t xml:space="preserve">F:\Données chgh\2020-CHG-CZA-Cromolyn-3\plaque 2/@13 Testo 30/G1_01.tif </t>
  </si>
  <si>
    <t xml:space="preserve"> 68.0111 </t>
  </si>
  <si>
    <t>F:\Données chgh\2020-CHG-CZA-Cromolyn-3\plaque 2/@13 Testo 30/G1_02- exclu.tif</t>
  </si>
  <si>
    <t xml:space="preserve">F:\Données chgh\2020-CHG-CZA-Cromolyn-3\plaque 2/@13 Testo 30/G1_03.tif </t>
  </si>
  <si>
    <t xml:space="preserve"> 23879.4037 </t>
  </si>
  <si>
    <t xml:space="preserve"> 68.7708 </t>
  </si>
  <si>
    <t xml:space="preserve">F:\Données chgh\2020-CHG-CZA-Cromolyn-3\plaque 2/@13 Testo 30/H1_01.tif </t>
  </si>
  <si>
    <t xml:space="preserve"> 75.4285 </t>
  </si>
  <si>
    <t xml:space="preserve">F:\Données chgh\2020-CHG-CZA-Cromolyn-3\plaque 2/@13 Testo 30/H1_02.tif </t>
  </si>
  <si>
    <t xml:space="preserve"> 45985.156 </t>
  </si>
  <si>
    <t xml:space="preserve"> 73.27 </t>
  </si>
  <si>
    <t xml:space="preserve">F:\Données chgh\2020-CHG-CZA-Cromolyn-3\plaque 2/@13 Testo 30/H1_03.tif </t>
  </si>
  <si>
    <t xml:space="preserve"> 41961.9956 </t>
  </si>
  <si>
    <t xml:space="preserve"> 74.5345 </t>
  </si>
  <si>
    <t xml:space="preserve">F:\Données chgh\2020-CHG-CZA-Cromolyn-3\plaque 2/@13 Testo 30/ </t>
  </si>
  <si>
    <t xml:space="preserve"> 68.9024 </t>
  </si>
  <si>
    <t xml:space="preserve"> 3.7203 </t>
  </si>
  <si>
    <t xml:space="preserve"> 1359086.54 </t>
  </si>
  <si>
    <t xml:space="preserve"> 1072829.35 </t>
  </si>
  <si>
    <t xml:space="preserve">F:\Données chgh\2020-CHG-CZA-Cromolyn-3\plaque 2/@14 Testo 30/A2_01.tif </t>
  </si>
  <si>
    <t xml:space="preserve"> 64.7368 </t>
  </si>
  <si>
    <t xml:space="preserve">F:\Données chgh\2020-CHG-CZA-Cromolyn-3\plaque 2/@14 Testo 30/A2_02.tif </t>
  </si>
  <si>
    <t xml:space="preserve">F:\Données chgh\2020-CHG-CZA-Cromolyn-3\plaque 2/@14 Testo 30/A2_03.tif </t>
  </si>
  <si>
    <t>F:\Données chgh\2020-CHG-CZA-Cromolyn-3\plaque 2/@14 Testo 30/B2_01- exclu.tif</t>
  </si>
  <si>
    <t xml:space="preserve">F:\Données chgh\2020-CHG-CZA-Cromolyn-3\plaque 2/@14 Testo 30/B2_02.tif </t>
  </si>
  <si>
    <t xml:space="preserve"> 53339.3202 </t>
  </si>
  <si>
    <t xml:space="preserve"> 84.0174 </t>
  </si>
  <si>
    <t xml:space="preserve">F:\Données chgh\2020-CHG-CZA-Cromolyn-3\plaque 2/@14 Testo 30/B2_03.tif </t>
  </si>
  <si>
    <t xml:space="preserve"> 50570.6936 </t>
  </si>
  <si>
    <t xml:space="preserve"> 82.8507 </t>
  </si>
  <si>
    <t xml:space="preserve">F:\Données chgh\2020-CHG-CZA-Cromolyn-3\plaque 2/@14 Testo 30/C2_01.tif </t>
  </si>
  <si>
    <t xml:space="preserve"> 52128.0461 </t>
  </si>
  <si>
    <t xml:space="preserve"> 82.1643 </t>
  </si>
  <si>
    <t xml:space="preserve">F:\Données chgh\2020-CHG-CZA-Cromolyn-3\plaque 2/@14 Testo 30/C2_02.tif </t>
  </si>
  <si>
    <t xml:space="preserve"> 52409.2347 </t>
  </si>
  <si>
    <t xml:space="preserve"> 80.3533 </t>
  </si>
  <si>
    <t xml:space="preserve">F:\Données chgh\2020-CHG-CZA-Cromolyn-3\plaque 2/@14 Testo 30/C2_03.tif </t>
  </si>
  <si>
    <t xml:space="preserve"> 54420.8149 </t>
  </si>
  <si>
    <t xml:space="preserve"> 80.9316 </t>
  </si>
  <si>
    <t xml:space="preserve">F:\Données chgh\2020-CHG-CZA-Cromolyn-3\plaque 2/@14 Testo 30/D2_01.tif </t>
  </si>
  <si>
    <t xml:space="preserve"> 20310.4711 </t>
  </si>
  <si>
    <t xml:space="preserve"> 67.4207 </t>
  </si>
  <si>
    <t xml:space="preserve">F:\Données chgh\2020-CHG-CZA-Cromolyn-3\plaque 2/@14 Testo 30/D2_02.tif </t>
  </si>
  <si>
    <t xml:space="preserve"> 23122.3574 </t>
  </si>
  <si>
    <t xml:space="preserve"> 67.8616 </t>
  </si>
  <si>
    <t xml:space="preserve">F:\Données chgh\2020-CHG-CZA-Cromolyn-3\plaque 2/@14 Testo 30/D2_03.tif </t>
  </si>
  <si>
    <t xml:space="preserve"> 17347.1755 </t>
  </si>
  <si>
    <t xml:space="preserve"> 66.4439 </t>
  </si>
  <si>
    <t xml:space="preserve">F:\Données chgh\2020-CHG-CZA-Cromolyn-3\plaque 2/@14 Testo 30/E2_01.tif </t>
  </si>
  <si>
    <t xml:space="preserve"> 62661.8047 </t>
  </si>
  <si>
    <t xml:space="preserve"> 75.3 </t>
  </si>
  <si>
    <t xml:space="preserve">F:\Données chgh\2020-CHG-CZA-Cromolyn-3\plaque 2/@14 Testo 30/E2_02.tif </t>
  </si>
  <si>
    <t xml:space="preserve"> 58703.534 </t>
  </si>
  <si>
    <t xml:space="preserve"> 73.9808 </t>
  </si>
  <si>
    <t>F:\Données chgh\2020-CHG-CZA-Cromolyn-3\plaque 2/@14 Testo 30/E2_03- exclu.tif</t>
  </si>
  <si>
    <t xml:space="preserve">F:\Données chgh\2020-CHG-CZA-Cromolyn-3\plaque 2/@14 Testo 30/F2_01.tif </t>
  </si>
  <si>
    <t xml:space="preserve"> 12329.0399 </t>
  </si>
  <si>
    <t xml:space="preserve"> 67.4368 </t>
  </si>
  <si>
    <t xml:space="preserve">F:\Données chgh\2020-CHG-CZA-Cromolyn-3\plaque 2/@14 Testo 30/F2_02.tif </t>
  </si>
  <si>
    <t xml:space="preserve"> 67.8684 </t>
  </si>
  <si>
    <t xml:space="preserve">F:\Données chgh\2020-CHG-CZA-Cromolyn-3\plaque 2/@14 Testo 30/F2_03.tif </t>
  </si>
  <si>
    <t xml:space="preserve"> 12653.4884 </t>
  </si>
  <si>
    <t xml:space="preserve"> 69.2034 </t>
  </si>
  <si>
    <t xml:space="preserve">F:\Données chgh\2020-CHG-CZA-Cromolyn-3\plaque 2/@14 Testo 30/G2_01.tif </t>
  </si>
  <si>
    <t xml:space="preserve"> 16265.6808 </t>
  </si>
  <si>
    <t xml:space="preserve"> 68.4747 </t>
  </si>
  <si>
    <t xml:space="preserve">F:\Données chgh\2020-CHG-CZA-Cromolyn-3\plaque 2/@14 Testo 30/G2_02.tif </t>
  </si>
  <si>
    <t xml:space="preserve"> 20094.1721 </t>
  </si>
  <si>
    <t xml:space="preserve"> 69.5813 </t>
  </si>
  <si>
    <t xml:space="preserve">F:\Données chgh\2020-CHG-CZA-Cromolyn-3\plaque 2/@14 Testo 30/G2_03.tif </t>
  </si>
  <si>
    <t xml:space="preserve"> 15941.2323 </t>
  </si>
  <si>
    <t xml:space="preserve"> 68.2999 </t>
  </si>
  <si>
    <t xml:space="preserve">F:\Données chgh\2020-CHG-CZA-Cromolyn-3\plaque 2/@14 Testo 30/H2_01.tif </t>
  </si>
  <si>
    <t xml:space="preserve"> 46547.5332 </t>
  </si>
  <si>
    <t xml:space="preserve"> 79.8392 </t>
  </si>
  <si>
    <t xml:space="preserve">F:\Données chgh\2020-CHG-CZA-Cromolyn-3\plaque 2/@14 Testo 30/H2_02.tif </t>
  </si>
  <si>
    <t xml:space="preserve"> 45812.1168 </t>
  </si>
  <si>
    <t xml:space="preserve"> 79.9825 </t>
  </si>
  <si>
    <t xml:space="preserve">F:\Données chgh\2020-CHG-CZA-Cromolyn-3\plaque 2/@14 Testo 30/H2_03.tif </t>
  </si>
  <si>
    <t xml:space="preserve"> 44557.5829 </t>
  </si>
  <si>
    <t xml:space="preserve"> 83.8903 </t>
  </si>
  <si>
    <t xml:space="preserve">F:\Données chgh\2020-CHG-CZA-Cromolyn-3\plaque 2/@14 Testo 30/ </t>
  </si>
  <si>
    <t xml:space="preserve"> 73.5597 </t>
  </si>
  <si>
    <t xml:space="preserve"> 6.9149 </t>
  </si>
  <si>
    <t xml:space="preserve"> 2405700.42 </t>
  </si>
  <si>
    <t xml:space="preserve"> 1750587.75 </t>
  </si>
  <si>
    <t xml:space="preserve">F:\Données chgh\2020-CHG-CZA-Cromolyn-3\plaque 2/@15 Testo + EE2/A3_01.tif </t>
  </si>
  <si>
    <t xml:space="preserve"> 49597.3484 </t>
  </si>
  <si>
    <t xml:space="preserve"> 80.0597 </t>
  </si>
  <si>
    <t xml:space="preserve">F:\Données chgh\2020-CHG-CZA-Cromolyn-3\plaque 2/@15 Testo + EE2/A3_02.tif </t>
  </si>
  <si>
    <t xml:space="preserve"> 46850.3518 </t>
  </si>
  <si>
    <t xml:space="preserve"> 78.7867 </t>
  </si>
  <si>
    <t xml:space="preserve">F:\Données chgh\2020-CHG-CZA-Cromolyn-3\plaque 2/@15 Testo + EE2/A3_03.tif </t>
  </si>
  <si>
    <t xml:space="preserve"> 51522.409 </t>
  </si>
  <si>
    <t xml:space="preserve"> 80.9794 </t>
  </si>
  <si>
    <t xml:space="preserve">F:\Données chgh\2020-CHG-CZA-Cromolyn-3\plaque 2/@15 Testo + EE2/B3_01.tif </t>
  </si>
  <si>
    <t xml:space="preserve"> 30736.0803 </t>
  </si>
  <si>
    <t xml:space="preserve"> 70.2449 </t>
  </si>
  <si>
    <t xml:space="preserve">F:\Données chgh\2020-CHG-CZA-Cromolyn-3\plaque 2/@15 Testo + EE2/B3_02.tif </t>
  </si>
  <si>
    <t xml:space="preserve"> 30173.703 </t>
  </si>
  <si>
    <t xml:space="preserve"> 71.524 </t>
  </si>
  <si>
    <t xml:space="preserve">F:\Données chgh\2020-CHG-CZA-Cromolyn-3\plaque 2/@15 Testo + EE2/B3_03.tif </t>
  </si>
  <si>
    <t xml:space="preserve"> 31709.4255 </t>
  </si>
  <si>
    <t xml:space="preserve"> 70.4345 </t>
  </si>
  <si>
    <t xml:space="preserve">F:\Données chgh\2020-CHG-CZA-Cromolyn-3\plaque 2/@15 Testo + EE2/C3_01.tif </t>
  </si>
  <si>
    <t xml:space="preserve"> 79.0963 </t>
  </si>
  <si>
    <t xml:space="preserve">F:\Données chgh\2020-CHG-CZA-Cromolyn-3\plaque 2/@15 Testo + EE2/C3_02.tif </t>
  </si>
  <si>
    <t xml:space="preserve"> 78.4446 </t>
  </si>
  <si>
    <t xml:space="preserve">F:\Données chgh\2020-CHG-CZA-Cromolyn-3\plaque 2/@15 Testo + EE2/C3_03.tif </t>
  </si>
  <si>
    <t xml:space="preserve"> 41615.9173 </t>
  </si>
  <si>
    <t xml:space="preserve"> 77.9127 </t>
  </si>
  <si>
    <t xml:space="preserve">F:\Données chgh\2020-CHG-CZA-Cromolyn-3\plaque 2/@15 Testo + EE2/D3_01.tif </t>
  </si>
  <si>
    <t xml:space="preserve"> 29870.8845 </t>
  </si>
  <si>
    <t xml:space="preserve"> 81.244 </t>
  </si>
  <si>
    <t xml:space="preserve">F:\Données chgh\2020-CHG-CZA-Cromolyn-3\plaque 2/@15 Testo + EE2/D3_02.tif </t>
  </si>
  <si>
    <t xml:space="preserve"> 30476.5215 </t>
  </si>
  <si>
    <t xml:space="preserve"> 78.8751 </t>
  </si>
  <si>
    <t xml:space="preserve">F:\Données chgh\2020-CHG-CZA-Cromolyn-3\plaque 2/@15 Testo + EE2/D3_03.tif </t>
  </si>
  <si>
    <t xml:space="preserve"> 30498.1514 </t>
  </si>
  <si>
    <t xml:space="preserve"> 81.3929 </t>
  </si>
  <si>
    <t xml:space="preserve">F:\Données chgh\2020-CHG-CZA-Cromolyn-3\plaque 2/@15 Testo + EE2/E3_01.tif </t>
  </si>
  <si>
    <t xml:space="preserve"> 43065.1202 </t>
  </si>
  <si>
    <t xml:space="preserve"> 83.5962 </t>
  </si>
  <si>
    <t xml:space="preserve">F:\Données chgh\2020-CHG-CZA-Cromolyn-3\plaque 2/@15 Testo + EE2/E3_02.tif </t>
  </si>
  <si>
    <t xml:space="preserve"> 40750.7215 </t>
  </si>
  <si>
    <t xml:space="preserve"> 84.4586 </t>
  </si>
  <si>
    <t xml:space="preserve">F:\Données chgh\2020-CHG-CZA-Cromolyn-3\plaque 2/@15 Testo + EE2/E3_03.tif </t>
  </si>
  <si>
    <t xml:space="preserve"> 42264.8141 </t>
  </si>
  <si>
    <t xml:space="preserve"> 84.9437 </t>
  </si>
  <si>
    <t xml:space="preserve">F:\Données chgh\2020-CHG-CZA-Cromolyn-3\plaque 2/@15 Testo + EE2/F3_01.tif </t>
  </si>
  <si>
    <t xml:space="preserve"> 75.2286 </t>
  </si>
  <si>
    <t xml:space="preserve">F:\Données chgh\2020-CHG-CZA-Cromolyn-3\plaque 2/@15 Testo + EE2/F3_02.tif </t>
  </si>
  <si>
    <t xml:space="preserve"> 30368.3721 </t>
  </si>
  <si>
    <t xml:space="preserve"> 76.8383 </t>
  </si>
  <si>
    <t xml:space="preserve">F:\Données chgh\2020-CHG-CZA-Cromolyn-3\plaque 2/@15 Testo + EE2/F3_03.tif </t>
  </si>
  <si>
    <t xml:space="preserve"> 26734.5498 </t>
  </si>
  <si>
    <t xml:space="preserve"> 76.1416 </t>
  </si>
  <si>
    <t xml:space="preserve">F:\Données chgh\2020-CHG-CZA-Cromolyn-3\plaque 2/@15 Testo + EE2/G3_01.tif </t>
  </si>
  <si>
    <t xml:space="preserve"> 37679.2764 </t>
  </si>
  <si>
    <t xml:space="preserve"> 75.0867 </t>
  </si>
  <si>
    <t xml:space="preserve">F:\Données chgh\2020-CHG-CZA-Cromolyn-3\plaque 2/@15 Testo + EE2/G3_02.tif </t>
  </si>
  <si>
    <t xml:space="preserve"> 37354.828 </t>
  </si>
  <si>
    <t xml:space="preserve"> 74.619 </t>
  </si>
  <si>
    <t xml:space="preserve">F:\Données chgh\2020-CHG-CZA-Cromolyn-3\plaque 2/@15 Testo + EE2/G3_03.tif </t>
  </si>
  <si>
    <t xml:space="preserve"> 38371.4331 </t>
  </si>
  <si>
    <t xml:space="preserve"> 76.9436 </t>
  </si>
  <si>
    <t xml:space="preserve">F:\Données chgh\2020-CHG-CZA-Cromolyn-3\plaque 2/@15 Testo + EE2/H3_01.tif </t>
  </si>
  <si>
    <t xml:space="preserve"> 67268.9723 </t>
  </si>
  <si>
    <t xml:space="preserve"> 81.1556 </t>
  </si>
  <si>
    <t xml:space="preserve">F:\Données chgh\2020-CHG-CZA-Cromolyn-3\plaque 2/@15 Testo + EE2/H3_02.tif </t>
  </si>
  <si>
    <t xml:space="preserve"> 65322.2818 </t>
  </si>
  <si>
    <t xml:space="preserve"> 83.3023 </t>
  </si>
  <si>
    <t xml:space="preserve">F:\Données chgh\2020-CHG-CZA-Cromolyn-3\plaque 2/@15 Testo + EE2/H3_03.tif </t>
  </si>
  <si>
    <t xml:space="preserve"> 62986.2532 </t>
  </si>
  <si>
    <t xml:space="preserve"> 81.1288 </t>
  </si>
  <si>
    <t xml:space="preserve">F:\Données chgh\2020-CHG-CZA-Cromolyn-3\plaque 2/@15 Testo + EE2/ </t>
  </si>
  <si>
    <t xml:space="preserve"> 78.4349 </t>
  </si>
  <si>
    <t xml:space="preserve"> 4.146 </t>
  </si>
  <si>
    <t xml:space="preserve"> 3233263.71 </t>
  </si>
  <si>
    <t xml:space="preserve"> 1033895.64 </t>
  </si>
  <si>
    <t xml:space="preserve">F:\Données chgh\2020-CHG-CZA-Cromolyn-3\plaque 2/@16 Testo + FAD/A4_01.tif </t>
  </si>
  <si>
    <t xml:space="preserve"> 74.4545 </t>
  </si>
  <si>
    <t xml:space="preserve">F:\Données chgh\2020-CHG-CZA-Cromolyn-3\plaque 2/@16 Testo + FAD/A4_02.tif </t>
  </si>
  <si>
    <t xml:space="preserve"> 64.3077 </t>
  </si>
  <si>
    <t xml:space="preserve">F:\Données chgh\2020-CHG-CZA-Cromolyn-3\plaque 2/@16 Testo + FAD/A4_03.tif </t>
  </si>
  <si>
    <t xml:space="preserve"> 64.2432 </t>
  </si>
  <si>
    <t xml:space="preserve">F:\Données chgh\2020-CHG-CZA-Cromolyn-3\plaque 2/@16 Testo + FAD/B4_01.tif </t>
  </si>
  <si>
    <t xml:space="preserve"> 6402.4488 </t>
  </si>
  <si>
    <t xml:space="preserve"> 73.7635 </t>
  </si>
  <si>
    <t xml:space="preserve">F:\Données chgh\2020-CHG-CZA-Cromolyn-3\plaque 2/@16 Testo + FAD/B4_02.tif </t>
  </si>
  <si>
    <t xml:space="preserve"> 5948.221 </t>
  </si>
  <si>
    <t xml:space="preserve"> 75.9091 </t>
  </si>
  <si>
    <t xml:space="preserve">F:\Données chgh\2020-CHG-CZA-Cromolyn-3\plaque 2/@16 Testo + FAD/B4_03.tif </t>
  </si>
  <si>
    <t xml:space="preserve"> 4909.9861 </t>
  </si>
  <si>
    <t xml:space="preserve"> 74.3612 </t>
  </si>
  <si>
    <t xml:space="preserve">F:\Données chgh\2020-CHG-CZA-Cromolyn-3\plaque 2/@16 Testo + FAD/C4_01.tif </t>
  </si>
  <si>
    <t xml:space="preserve"> 65.9455 </t>
  </si>
  <si>
    <t xml:space="preserve">F:\Données chgh\2020-CHG-CZA-Cromolyn-3\plaque 2/@16 Testo + FAD/C4_02.tif </t>
  </si>
  <si>
    <t xml:space="preserve"> 63.0833 </t>
  </si>
  <si>
    <t xml:space="preserve">F:\Données chgh\2020-CHG-CZA-Cromolyn-3\plaque 2/@16 Testo + FAD/C4_03.tif </t>
  </si>
  <si>
    <t xml:space="preserve"> 62.9697 </t>
  </si>
  <si>
    <t xml:space="preserve">F:\Données chgh\2020-CHG-CZA-Cromolyn-3\plaque 2/@16 Testo + FAD/D4_01.tif </t>
  </si>
  <si>
    <t xml:space="preserve"> 67.6301 </t>
  </si>
  <si>
    <t xml:space="preserve">F:\Données chgh\2020-CHG-CZA-Cromolyn-3\plaque 2/@16 Testo + FAD/D4_02.tif </t>
  </si>
  <si>
    <t xml:space="preserve"> 66.3053 </t>
  </si>
  <si>
    <t xml:space="preserve">F:\Données chgh\2020-CHG-CZA-Cromolyn-3\plaque 2/@16 Testo + FAD/D4_03.tif </t>
  </si>
  <si>
    <t xml:space="preserve"> 5429.1036 </t>
  </si>
  <si>
    <t xml:space="preserve"> 65.9841 </t>
  </si>
  <si>
    <t xml:space="preserve">F:\Données chgh\2020-CHG-CZA-Cromolyn-3\plaque 2/@16 Testo + FAD/E4_01.tif </t>
  </si>
  <si>
    <t xml:space="preserve"> 64.4667 </t>
  </si>
  <si>
    <t xml:space="preserve">F:\Données chgh\2020-CHG-CZA-Cromolyn-3\plaque 2/@16 Testo + FAD/E4_02.tif </t>
  </si>
  <si>
    <t xml:space="preserve"> 3374.2636 </t>
  </si>
  <si>
    <t xml:space="preserve"> 65.0128 </t>
  </si>
  <si>
    <t xml:space="preserve">F:\Données chgh\2020-CHG-CZA-Cromolyn-3\plaque 2/@16 Testo + FAD/E4_03.tif </t>
  </si>
  <si>
    <t xml:space="preserve"> 65.1235 </t>
  </si>
  <si>
    <t xml:space="preserve">F:\Données chgh\2020-CHG-CZA-Cromolyn-3\plaque 2/@16 Testo + FAD/F4_01.tif </t>
  </si>
  <si>
    <t xml:space="preserve"> 69.5528 </t>
  </si>
  <si>
    <t xml:space="preserve">F:\Données chgh\2020-CHG-CZA-Cromolyn-3\plaque 2/@16 Testo + FAD/F4_02.tif </t>
  </si>
  <si>
    <t xml:space="preserve"> 71.6041 </t>
  </si>
  <si>
    <t xml:space="preserve">F:\Données chgh\2020-CHG-CZA-Cromolyn-3\plaque 2/@16 Testo + FAD/F4_03.tif </t>
  </si>
  <si>
    <t xml:space="preserve"> 69.7971 </t>
  </si>
  <si>
    <t>F:\Données chgh\2020-CHG-CZA-Cromolyn-3\plaque 2/@16 Testo + FAD/G4_01- exclu.tif</t>
  </si>
  <si>
    <t>F:\Données chgh\2020-CHG-CZA-Cromolyn-3\plaque 2/@16 Testo + FAD/G4_02- exclu.tif</t>
  </si>
  <si>
    <t xml:space="preserve">F:\Données chgh\2020-CHG-CZA-Cromolyn-3\plaque 2/@16 Testo + FAD/G4_03.tif </t>
  </si>
  <si>
    <t xml:space="preserve"> 79.6111 </t>
  </si>
  <si>
    <t xml:space="preserve">F:\Données chgh\2020-CHG-CZA-Cromolyn-3\plaque 2/@16 Testo + FAD/H4_01.tif </t>
  </si>
  <si>
    <t xml:space="preserve"> 3222.8543 </t>
  </si>
  <si>
    <t xml:space="preserve"> 66.745 </t>
  </si>
  <si>
    <t xml:space="preserve">F:\Données chgh\2020-CHG-CZA-Cromolyn-3\plaque 2/@16 Testo + FAD/H4_02.tif </t>
  </si>
  <si>
    <t xml:space="preserve"> 65.4512 </t>
  </si>
  <si>
    <t xml:space="preserve">F:\Données chgh\2020-CHG-CZA-Cromolyn-3\plaque 2/@16 Testo + FAD/H4_03.tif </t>
  </si>
  <si>
    <t xml:space="preserve"> 65.9726 </t>
  </si>
  <si>
    <t xml:space="preserve">F:\Données chgh\2020-CHG-CZA-Cromolyn-3\plaque 2/@16 Testo + FAD/ </t>
  </si>
  <si>
    <t xml:space="preserve"> 68.6358 </t>
  </si>
  <si>
    <t xml:space="preserve"> 5.2945 </t>
  </si>
  <si>
    <t xml:space="preserve"> 291068.083 </t>
  </si>
  <si>
    <t xml:space="preserve"> 240308.996 </t>
  </si>
  <si>
    <t xml:space="preserve">F:\Données chgh\2020-CHG-CZA-Cromolyn-3\plaque 2/@17 Testo + Cromolyn 0.1/A5_01.tif </t>
  </si>
  <si>
    <t xml:space="preserve"> 22711.3894 </t>
  </si>
  <si>
    <t xml:space="preserve"> 70.0343 </t>
  </si>
  <si>
    <t xml:space="preserve">F:\Données chgh\2020-CHG-CZA-Cromolyn-3\plaque 2/@17 Testo + Cromolyn 0.1/A5_02.tif </t>
  </si>
  <si>
    <t xml:space="preserve"> 21218.9266 </t>
  </si>
  <si>
    <t xml:space="preserve"> 69.7034 </t>
  </si>
  <si>
    <t xml:space="preserve">F:\Données chgh\2020-CHG-CZA-Cromolyn-3\plaque 2/@17 Testo + Cromolyn 0.1/A5_03.tif </t>
  </si>
  <si>
    <t xml:space="preserve"> 21262.1864 </t>
  </si>
  <si>
    <t xml:space="preserve"> 68.175 </t>
  </si>
  <si>
    <t xml:space="preserve">F:\Données chgh\2020-CHG-CZA-Cromolyn-3\plaque 2/@17 Testo + Cromolyn 0.1/B5_01.tif </t>
  </si>
  <si>
    <t xml:space="preserve"> 27989.0836 </t>
  </si>
  <si>
    <t xml:space="preserve"> 68.544 </t>
  </si>
  <si>
    <t xml:space="preserve">F:\Données chgh\2020-CHG-CZA-Cromolyn-3\plaque 2/@17 Testo + Cromolyn 0.1/B5_02.tif </t>
  </si>
  <si>
    <t xml:space="preserve"> 30692.8205 </t>
  </si>
  <si>
    <t xml:space="preserve"> 69.6251 </t>
  </si>
  <si>
    <t xml:space="preserve">F:\Données chgh\2020-CHG-CZA-Cromolyn-3\plaque 2/@17 Testo + Cromolyn 0.1/B5_03.tif </t>
  </si>
  <si>
    <t xml:space="preserve"> 28356.7919 </t>
  </si>
  <si>
    <t xml:space="preserve"> 70.5614 </t>
  </si>
  <si>
    <t xml:space="preserve">F:\Données chgh\2020-CHG-CZA-Cromolyn-3\plaque 2/@17 Testo + Cromolyn 0.1/C5_01.tif </t>
  </si>
  <si>
    <t xml:space="preserve"> 59027.9824 </t>
  </si>
  <si>
    <t xml:space="preserve"> 78.4386 </t>
  </si>
  <si>
    <t xml:space="preserve">F:\Données chgh\2020-CHG-CZA-Cromolyn-3\plaque 2/@17 Testo + Cromolyn 0.1/C5_02.tif </t>
  </si>
  <si>
    <t xml:space="preserve"> 60650.2245 </t>
  </si>
  <si>
    <t>F:\Données chgh\2020-CHG-CZA-Cromolyn-3\plaque 2/@17 Testo + Cromolyn 0.1/C5_03- exclu.tif</t>
  </si>
  <si>
    <t xml:space="preserve">F:\Données chgh\2020-CHG-CZA-Cromolyn-3\plaque 2/@17 Testo + Cromolyn 0.1/D5_01.tif </t>
  </si>
  <si>
    <t xml:space="preserve"> 4239.4593 </t>
  </si>
  <si>
    <t xml:space="preserve"> 66.0102 </t>
  </si>
  <si>
    <t xml:space="preserve">F:\Données chgh\2020-CHG-CZA-Cromolyn-3\plaque 2/@17 Testo + Cromolyn 0.1/D5_02.tif </t>
  </si>
  <si>
    <t xml:space="preserve"> 65.4647 </t>
  </si>
  <si>
    <t xml:space="preserve">F:\Données chgh\2020-CHG-CZA-Cromolyn-3\plaque 2/@17 Testo + Cromolyn 0.1/D5_03.tif </t>
  </si>
  <si>
    <t xml:space="preserve"> 65.6727 </t>
  </si>
  <si>
    <t xml:space="preserve">F:\Données chgh\2020-CHG-CZA-Cromolyn-3\plaque 2/@17 Testo + Cromolyn 0.1/E5_01.tif </t>
  </si>
  <si>
    <t xml:space="preserve"> 35062.0592 </t>
  </si>
  <si>
    <t xml:space="preserve"> 81.2067 </t>
  </si>
  <si>
    <t xml:space="preserve">F:\Données chgh\2020-CHG-CZA-Cromolyn-3\plaque 2/@17 Testo + Cromolyn 0.1/E5_02.tif </t>
  </si>
  <si>
    <t xml:space="preserve"> 35602.8066 </t>
  </si>
  <si>
    <t xml:space="preserve"> 80.0425 </t>
  </si>
  <si>
    <t>F:\Données chgh\2020-CHG-CZA-Cromolyn-3\plaque 2/@17 Testo + Cromolyn 0.1/E5_03- exclu.tif</t>
  </si>
  <si>
    <t xml:space="preserve">F:\Données chgh\2020-CHG-CZA-Cromolyn-3\plaque 2/@17 Testo + Cromolyn 0.1/F5_01.tif </t>
  </si>
  <si>
    <t xml:space="preserve"> 65.476 </t>
  </si>
  <si>
    <t xml:space="preserve">F:\Données chgh\2020-CHG-CZA-Cromolyn-3\plaque 2/@17 Testo + Cromolyn 0.1/F5_02.tif </t>
  </si>
  <si>
    <t xml:space="preserve"> 3179.5945 </t>
  </si>
  <si>
    <t xml:space="preserve"> 65.1497 </t>
  </si>
  <si>
    <t xml:space="preserve">F:\Données chgh\2020-CHG-CZA-Cromolyn-3\plaque 2/@17 Testo + Cromolyn 0.1/F5_03.tif </t>
  </si>
  <si>
    <t xml:space="preserve"> 64.2549 </t>
  </si>
  <si>
    <t xml:space="preserve">F:\Données chgh\2020-CHG-CZA-Cromolyn-3\plaque 2/@17 Testo + Cromolyn 0.1/G5_01.tif </t>
  </si>
  <si>
    <t xml:space="preserve"> 67.8 </t>
  </si>
  <si>
    <t xml:space="preserve">F:\Données chgh\2020-CHG-CZA-Cromolyn-3\plaque 2/@17 Testo + Cromolyn 0.1/G5_02.tif </t>
  </si>
  <si>
    <t xml:space="preserve"> 64.8667 </t>
  </si>
  <si>
    <t xml:space="preserve">F:\Données chgh\2020-CHG-CZA-Cromolyn-3\plaque 2/@17 Testo + Cromolyn 0.1/G5_03.tif </t>
  </si>
  <si>
    <t xml:space="preserve">F:\Données chgh\2020-CHG-CZA-Cromolyn-3\plaque 2/@17 Testo + Cromolyn 0.1/H5_01.tif </t>
  </si>
  <si>
    <t xml:space="preserve"> 44903.6612 </t>
  </si>
  <si>
    <t xml:space="preserve"> 74.9653 </t>
  </si>
  <si>
    <t xml:space="preserve">F:\Données chgh\2020-CHG-CZA-Cromolyn-3\plaque 2/@17 Testo + Cromolyn 0.1/H5_02.tif </t>
  </si>
  <si>
    <t xml:space="preserve"> 44925.2911 </t>
  </si>
  <si>
    <t xml:space="preserve"> 75.1175 </t>
  </si>
  <si>
    <t xml:space="preserve">F:\Données chgh\2020-CHG-CZA-Cromolyn-3\plaque 2/@17 Testo + Cromolyn 0.1/H5_03.tif </t>
  </si>
  <si>
    <t xml:space="preserve"> 42827.1914 </t>
  </si>
  <si>
    <t xml:space="preserve"> 74.1904 </t>
  </si>
  <si>
    <t xml:space="preserve">F:\Données chgh\2020-CHG-CZA-Cromolyn-3\plaque 2/@17 Testo + Cromolyn 0.1/ </t>
  </si>
  <si>
    <t xml:space="preserve"> 70.5686 </t>
  </si>
  <si>
    <t xml:space="preserve"> 5.229 </t>
  </si>
  <si>
    <t xml:space="preserve"> 1794514.42 </t>
  </si>
  <si>
    <t xml:space="preserve"> 1516564.58 </t>
  </si>
  <si>
    <t xml:space="preserve">F:\Données chgh\2020-CHG-CZA-Cromolyn-3\plaque 2/@18 Testo + Cromolyn 1/A6_01.tif </t>
  </si>
  <si>
    <t xml:space="preserve"> 83.0975 </t>
  </si>
  <si>
    <t xml:space="preserve">F:\Données chgh\2020-CHG-CZA-Cromolyn-3\plaque 2/@18 Testo + Cromolyn 1/A6_02.tif </t>
  </si>
  <si>
    <t xml:space="preserve"> 78.8557 </t>
  </si>
  <si>
    <t xml:space="preserve">F:\Données chgh\2020-CHG-CZA-Cromolyn-3\plaque 2/@18 Testo + Cromolyn 1/A6_03.tif </t>
  </si>
  <si>
    <t xml:space="preserve"> 56951.5126 </t>
  </si>
  <si>
    <t xml:space="preserve"> 82.3016 </t>
  </si>
  <si>
    <t>F:\Données chgh\2020-CHG-CZA-Cromolyn-3\plaque 2/@18 Testo + Cromolyn 1/B6_01- exclu.tif</t>
  </si>
  <si>
    <t xml:space="preserve">F:\Données chgh\2020-CHG-CZA-Cromolyn-3\plaque 2/@18 Testo + Cromolyn 1/B6_02.tif </t>
  </si>
  <si>
    <t xml:space="preserve"> 64.6571 </t>
  </si>
  <si>
    <t xml:space="preserve">F:\Données chgh\2020-CHG-CZA-Cromolyn-3\plaque 2/@18 Testo + Cromolyn 1/B6_03.tif </t>
  </si>
  <si>
    <t xml:space="preserve"> 63.5942 </t>
  </si>
  <si>
    <t xml:space="preserve">F:\Données chgh\2020-CHG-CZA-Cromolyn-3\plaque 2/@18 Testo + Cromolyn 1/C6_01.tif </t>
  </si>
  <si>
    <t xml:space="preserve"> 43519.348 </t>
  </si>
  <si>
    <t xml:space="preserve"> 74.4105 </t>
  </si>
  <si>
    <t xml:space="preserve">F:\Données chgh\2020-CHG-CZA-Cromolyn-3\plaque 2/@18 Testo + Cromolyn 1/C6_02.tif </t>
  </si>
  <si>
    <t xml:space="preserve"> 44600.8427 </t>
  </si>
  <si>
    <t xml:space="preserve"> 73.1925 </t>
  </si>
  <si>
    <t xml:space="preserve">F:\Données chgh\2020-CHG-CZA-Cromolyn-3\plaque 2/@18 Testo + Cromolyn 1/C6_03.tif </t>
  </si>
  <si>
    <t xml:space="preserve"> 42372.9636 </t>
  </si>
  <si>
    <t xml:space="preserve"> 72.1827 </t>
  </si>
  <si>
    <t xml:space="preserve">F:\Données chgh\2020-CHG-CZA-Cromolyn-3\plaque 2/@18 Testo + Cromolyn 1/D6_01.tif </t>
  </si>
  <si>
    <t xml:space="preserve"> 13215.8656 </t>
  </si>
  <si>
    <t xml:space="preserve"> 67.8036 </t>
  </si>
  <si>
    <t xml:space="preserve">F:\Données chgh\2020-CHG-CZA-Cromolyn-3\plaque 2/@18 Testo + Cromolyn 1/D6_02.tif </t>
  </si>
  <si>
    <t xml:space="preserve"> 13259.1254 </t>
  </si>
  <si>
    <t xml:space="preserve"> 67.1843 </t>
  </si>
  <si>
    <t xml:space="preserve">F:\Données chgh\2020-CHG-CZA-Cromolyn-3\plaque 2/@18 Testo + Cromolyn 1/D6_03.tif </t>
  </si>
  <si>
    <t xml:space="preserve"> 69.1264 </t>
  </si>
  <si>
    <t xml:space="preserve">F:\Données chgh\2020-CHG-CZA-Cromolyn-3\plaque 2/@18 Testo + Cromolyn 1/E6_01.tif </t>
  </si>
  <si>
    <t xml:space="preserve"> 11485.474 </t>
  </si>
  <si>
    <t xml:space="preserve"> 69.7966 </t>
  </si>
  <si>
    <t xml:space="preserve">F:\Données chgh\2020-CHG-CZA-Cromolyn-3\plaque 2/@18 Testo + Cromolyn 1/E6_02.tif </t>
  </si>
  <si>
    <t xml:space="preserve"> 18709.8589 </t>
  </si>
  <si>
    <t xml:space="preserve"> 69.5491 </t>
  </si>
  <si>
    <t xml:space="preserve">F:\Données chgh\2020-CHG-CZA-Cromolyn-3\plaque 2/@18 Testo + Cromolyn 1/E6_03.tif </t>
  </si>
  <si>
    <t xml:space="preserve"> 15054.4067 </t>
  </si>
  <si>
    <t xml:space="preserve"> 70.1092 </t>
  </si>
  <si>
    <t>F:\Données chgh\2020-CHG-CZA-Cromolyn-3\plaque 2/@18 Testo + Cromolyn 1/F6_01- exclu.tif</t>
  </si>
  <si>
    <t xml:space="preserve">F:\Données chgh\2020-CHG-CZA-Cromolyn-3\plaque 2/@18 Testo + Cromolyn 1/F6_02.tif </t>
  </si>
  <si>
    <t xml:space="preserve"> 28097.2331 </t>
  </si>
  <si>
    <t xml:space="preserve"> 68.4673 </t>
  </si>
  <si>
    <t>F:\Données chgh\2020-CHG-CZA-Cromolyn-3\plaque 2/@18 Testo + Cromolyn 1/F6_03- exclu.tif</t>
  </si>
  <si>
    <t xml:space="preserve">F:\Données chgh\2020-CHG-CZA-Cromolyn-3\plaque 2/@18 Testo + Cromolyn 1/G6_01.tif </t>
  </si>
  <si>
    <t xml:space="preserve"> 65.183 </t>
  </si>
  <si>
    <t xml:space="preserve">F:\Données chgh\2020-CHG-CZA-Cromolyn-3\plaque 2/@18 Testo + Cromolyn 1/G6_02.tif </t>
  </si>
  <si>
    <t xml:space="preserve"> 65.1048 </t>
  </si>
  <si>
    <t>F:\Données chgh\2020-CHG-CZA-Cromolyn-3\plaque 2/@18 Testo + Cromolyn 1/G6_03- exclu.tif</t>
  </si>
  <si>
    <t xml:space="preserve">F:\Données chgh\2020-CHG-CZA-Cromolyn-3\plaque 2/@18 Testo + Cromolyn 1/H6_01.tif </t>
  </si>
  <si>
    <t xml:space="preserve"> 69.994 </t>
  </si>
  <si>
    <t xml:space="preserve">F:\Données chgh\2020-CHG-CZA-Cromolyn-3\plaque 2/@18 Testo + Cromolyn 1/H6_02.tif </t>
  </si>
  <si>
    <t xml:space="preserve"> 68.8696 </t>
  </si>
  <si>
    <t xml:space="preserve">F:\Données chgh\2020-CHG-CZA-Cromolyn-3\plaque 2/@18 Testo + Cromolyn 1/H6_03.tif </t>
  </si>
  <si>
    <t xml:space="preserve"> 20591.6597 </t>
  </si>
  <si>
    <t xml:space="preserve"> 69.5588 </t>
  </si>
  <si>
    <t xml:space="preserve">F:\Données chgh\2020-CHG-CZA-Cromolyn-3\plaque 2/@18 Testo + Cromolyn 1/ </t>
  </si>
  <si>
    <t xml:space="preserve"> 69.4815 </t>
  </si>
  <si>
    <t xml:space="preserve"> 5.6515 </t>
  </si>
  <si>
    <t xml:space="preserve"> 1676123.04 </t>
  </si>
  <si>
    <t xml:space="preserve"> 1533441.75 </t>
  </si>
  <si>
    <t xml:space="preserve">F:\Données chgh\2020-CHG-CZA-Cromolyn-3\plaque 2/@19 Testo + Cromolyn 10/A7_01.tif </t>
  </si>
  <si>
    <t xml:space="preserve"> 34283.383 </t>
  </si>
  <si>
    <t xml:space="preserve"> 71.2934 </t>
  </si>
  <si>
    <t xml:space="preserve">F:\Données chgh\2020-CHG-CZA-Cromolyn-3\plaque 2/@19 Testo + Cromolyn 10/A7_02.tif </t>
  </si>
  <si>
    <t xml:space="preserve"> 28594.7207 </t>
  </si>
  <si>
    <t xml:space="preserve"> 69.972 </t>
  </si>
  <si>
    <t xml:space="preserve">F:\Données chgh\2020-CHG-CZA-Cromolyn-3\plaque 2/@19 Testo + Cromolyn 10/A7_03.tif </t>
  </si>
  <si>
    <t xml:space="preserve"> 34759.2407 </t>
  </si>
  <si>
    <t xml:space="preserve"> 72.1077 </t>
  </si>
  <si>
    <t xml:space="preserve">F:\Données chgh\2020-CHG-CZA-Cromolyn-3\plaque 2/@19 Testo + Cromolyn 10/B7_01.tif </t>
  </si>
  <si>
    <t xml:space="preserve"> 32293.4327 </t>
  </si>
  <si>
    <t xml:space="preserve"> 76.3101 </t>
  </si>
  <si>
    <t xml:space="preserve">F:\Données chgh\2020-CHG-CZA-Cromolyn-3\plaque 2/@19 Testo + Cromolyn 10/B7_02.tif </t>
  </si>
  <si>
    <t xml:space="preserve"> 77.0153 </t>
  </si>
  <si>
    <t>F:\Données chgh\2020-CHG-CZA-Cromolyn-3\plaque 2/@19 Testo + Cromolyn 10/B7_03- exclu.tif</t>
  </si>
  <si>
    <t xml:space="preserve">F:\Données chgh\2020-CHG-CZA-Cromolyn-3\plaque 2/@19 Testo + Cromolyn 10/C7_01.tif </t>
  </si>
  <si>
    <t xml:space="preserve"> 62705.0645 </t>
  </si>
  <si>
    <t xml:space="preserve"> 75.8148 </t>
  </si>
  <si>
    <t xml:space="preserve">F:\Données chgh\2020-CHG-CZA-Cromolyn-3\plaque 2/@19 Testo + Cromolyn 10/C7_02.tif </t>
  </si>
  <si>
    <t xml:space="preserve"> 62878.1037 </t>
  </si>
  <si>
    <t xml:space="preserve"> 73.4702 </t>
  </si>
  <si>
    <t xml:space="preserve">F:\Données chgh\2020-CHG-CZA-Cromolyn-3\plaque 2/@19 Testo + Cromolyn 10/C7_03.tif </t>
  </si>
  <si>
    <t xml:space="preserve"> 63116.0325 </t>
  </si>
  <si>
    <t xml:space="preserve"> 74.877 </t>
  </si>
  <si>
    <t xml:space="preserve">F:\Données chgh\2020-CHG-CZA-Cromolyn-3\plaque 2/@19 Testo + Cromolyn 10/D7_01.tif </t>
  </si>
  <si>
    <t xml:space="preserve"> 31449.8668 </t>
  </si>
  <si>
    <t xml:space="preserve"> 69.9814 </t>
  </si>
  <si>
    <t xml:space="preserve">F:\Données chgh\2020-CHG-CZA-Cromolyn-3\plaque 2/@19 Testo + Cromolyn 10/D7_02.tif </t>
  </si>
  <si>
    <t xml:space="preserve"> 34824.1304 </t>
  </si>
  <si>
    <t xml:space="preserve"> 68.9677 </t>
  </si>
  <si>
    <t xml:space="preserve">F:\Données chgh\2020-CHG-CZA-Cromolyn-3\plaque 2/@19 Testo + Cromolyn 10/D7_03.tif </t>
  </si>
  <si>
    <t xml:space="preserve"> 32228.543 </t>
  </si>
  <si>
    <t xml:space="preserve"> 69.6047 </t>
  </si>
  <si>
    <t xml:space="preserve">F:\Données chgh\2020-CHG-CZA-Cromolyn-3\plaque 2/@19 Testo + Cromolyn 10/E7_01.tif </t>
  </si>
  <si>
    <t xml:space="preserve"> 28984.0588 </t>
  </si>
  <si>
    <t xml:space="preserve"> 73.8097 </t>
  </si>
  <si>
    <t xml:space="preserve">F:\Données chgh\2020-CHG-CZA-Cromolyn-3\plaque 2/@19 Testo + Cromolyn 10/E7_02.tif </t>
  </si>
  <si>
    <t xml:space="preserve"> 73.6588 </t>
  </si>
  <si>
    <t xml:space="preserve">F:\Données chgh\2020-CHG-CZA-Cromolyn-3\plaque 2/@19 Testo + Cromolyn 10/E7_03.tif </t>
  </si>
  <si>
    <t xml:space="preserve"> 30779.3401 </t>
  </si>
  <si>
    <t xml:space="preserve"> 73.2446 </t>
  </si>
  <si>
    <t xml:space="preserve">F:\Données chgh\2020-CHG-CZA-Cromolyn-3\plaque 2/@19 Testo + Cromolyn 10/F7_01.tif </t>
  </si>
  <si>
    <t xml:space="preserve"> 73238.8232 </t>
  </si>
  <si>
    <t xml:space="preserve"> 79.2177 </t>
  </si>
  <si>
    <t xml:space="preserve">F:\Données chgh\2020-CHG-CZA-Cromolyn-3\plaque 2/@19 Testo + Cromolyn 10/F7_02.tif </t>
  </si>
  <si>
    <t xml:space="preserve"> 71897.7697 </t>
  </si>
  <si>
    <t xml:space="preserve"> 80.0129 </t>
  </si>
  <si>
    <t xml:space="preserve">F:\Données chgh\2020-CHG-CZA-Cromolyn-3\plaque 2/@19 Testo + Cromolyn 10/F7_03.tif </t>
  </si>
  <si>
    <t xml:space="preserve"> 70037.5988 </t>
  </si>
  <si>
    <t xml:space="preserve"> 80.6053 </t>
  </si>
  <si>
    <t xml:space="preserve">F:\Données chgh\2020-CHG-CZA-Cromolyn-3\plaque 2/@19 Testo + Cromolyn 10/G7_01.tif </t>
  </si>
  <si>
    <t xml:space="preserve"> 69.3072 </t>
  </si>
  <si>
    <t xml:space="preserve">F:\Données chgh\2020-CHG-CZA-Cromolyn-3\plaque 2/@19 Testo + Cromolyn 10/G7_02.tif </t>
  </si>
  <si>
    <t xml:space="preserve"> 69.351 </t>
  </si>
  <si>
    <t xml:space="preserve">F:\Données chgh\2020-CHG-CZA-Cromolyn-3\plaque 2/@19 Testo + Cromolyn 10/G7_03.tif </t>
  </si>
  <si>
    <t xml:space="preserve"> 39885.5257 </t>
  </si>
  <si>
    <t xml:space="preserve"> 70.6502 </t>
  </si>
  <si>
    <t xml:space="preserve">F:\Données chgh\2020-CHG-CZA-Cromolyn-3\plaque 2/@19 Testo + Cromolyn 10/H7_01.tif </t>
  </si>
  <si>
    <t xml:space="preserve"> 54961.5623 </t>
  </si>
  <si>
    <t xml:space="preserve"> 75.6938 </t>
  </si>
  <si>
    <t xml:space="preserve">F:\Données chgh\2020-CHG-CZA-Cromolyn-3\plaque 2/@19 Testo + Cromolyn 10/H7_02.tif </t>
  </si>
  <si>
    <t xml:space="preserve"> 51003.2915 </t>
  </si>
  <si>
    <t xml:space="preserve"> 77.9067 </t>
  </si>
  <si>
    <t xml:space="preserve">F:\Données chgh\2020-CHG-CZA-Cromolyn-3\plaque 2/@19 Testo + Cromolyn 10/H7_03.tif </t>
  </si>
  <si>
    <t xml:space="preserve"> 56216.0961 </t>
  </si>
  <si>
    <t xml:space="preserve"> 76.8161 </t>
  </si>
  <si>
    <t xml:space="preserve">F:\Données chgh\2020-CHG-CZA-Cromolyn-3\plaque 2/@19 Testo + Cromolyn 10/ </t>
  </si>
  <si>
    <t xml:space="preserve"> 73.6555 </t>
  </si>
  <si>
    <t xml:space="preserve"> 3.7761 </t>
  </si>
  <si>
    <t xml:space="preserve"> 3219332.21 </t>
  </si>
  <si>
    <t xml:space="preserve"> 1439539.56 </t>
  </si>
  <si>
    <t xml:space="preserve">F:\Données chgh\2020-CHG-CZA-Cromolyn-3\plaque 2/@20 Testo + Cromolyn 100/A8_01.tif </t>
  </si>
  <si>
    <t xml:space="preserve"> 51955.0069 </t>
  </si>
  <si>
    <t xml:space="preserve"> 76.8464 </t>
  </si>
  <si>
    <t>F:\Données chgh\2020-CHG-CZA-Cromolyn-3\plaque 2/@20 Testo + Cromolyn 100/A8_02- exclu.tif</t>
  </si>
  <si>
    <t xml:space="preserve">F:\Données chgh\2020-CHG-CZA-Cromolyn-3\plaque 2/@20 Testo + Cromolyn 100/A8_03.tif </t>
  </si>
  <si>
    <t xml:space="preserve"> 51544.0389 </t>
  </si>
  <si>
    <t xml:space="preserve"> 78.1175 </t>
  </si>
  <si>
    <t xml:space="preserve">F:\Données chgh\2020-CHG-CZA-Cromolyn-3\plaque 2/@20 Testo + Cromolyn 100/B8_01.tif </t>
  </si>
  <si>
    <t xml:space="preserve"> 18428.6702 </t>
  </si>
  <si>
    <t xml:space="preserve"> 66.1467 </t>
  </si>
  <si>
    <t xml:space="preserve">F:\Données chgh\2020-CHG-CZA-Cromolyn-3\plaque 2/@20 Testo + Cromolyn 100/B8_02.tif </t>
  </si>
  <si>
    <t xml:space="preserve"> 17779.7734 </t>
  </si>
  <si>
    <t xml:space="preserve"> 66.0669 </t>
  </si>
  <si>
    <t xml:space="preserve">F:\Données chgh\2020-CHG-CZA-Cromolyn-3\plaque 2/@20 Testo + Cromolyn 100/B8_03.tif </t>
  </si>
  <si>
    <t xml:space="preserve"> 16655.0189 </t>
  </si>
  <si>
    <t xml:space="preserve"> 65.0234 </t>
  </si>
  <si>
    <t xml:space="preserve">F:\Données chgh\2020-CHG-CZA-Cromolyn-3\plaque 2/@20 Testo + Cromolyn 100/C8_01.tif </t>
  </si>
  <si>
    <t xml:space="preserve"> 64.9444 </t>
  </si>
  <si>
    <t xml:space="preserve">F:\Données chgh\2020-CHG-CZA-Cromolyn-3\plaque 2/@20 Testo + Cromolyn 100/C8_02.tif </t>
  </si>
  <si>
    <t xml:space="preserve"> 9041.296 </t>
  </si>
  <si>
    <t xml:space="preserve"> 65.1794 </t>
  </si>
  <si>
    <t xml:space="preserve">F:\Données chgh\2020-CHG-CZA-Cromolyn-3\plaque 2/@20 Testo + Cromolyn 100/C8_03.tif </t>
  </si>
  <si>
    <t xml:space="preserve"> 6337.5591 </t>
  </si>
  <si>
    <t xml:space="preserve"> 64.4096 </t>
  </si>
  <si>
    <t xml:space="preserve">F:\Données chgh\2020-CHG-CZA-Cromolyn-3\plaque 2/@20 Testo + Cromolyn 100/D8_01.tif </t>
  </si>
  <si>
    <t xml:space="preserve"> 69.2336 </t>
  </si>
  <si>
    <t xml:space="preserve">F:\Données chgh\2020-CHG-CZA-Cromolyn-3\plaque 2/@20 Testo + Cromolyn 100/D8_02.tif </t>
  </si>
  <si>
    <t xml:space="preserve"> 69.9495 </t>
  </si>
  <si>
    <t xml:space="preserve">F:\Données chgh\2020-CHG-CZA-Cromolyn-3\plaque 2/@20 Testo + Cromolyn 100/D8_03.tif </t>
  </si>
  <si>
    <t xml:space="preserve"> 21045.8875 </t>
  </si>
  <si>
    <t xml:space="preserve"> 69.6547 </t>
  </si>
  <si>
    <t xml:space="preserve">F:\Données chgh\2020-CHG-CZA-Cromolyn-3\plaque 2/@20 Testo + Cromolyn 100/E8_01.tif </t>
  </si>
  <si>
    <t xml:space="preserve"> 14037.8016 </t>
  </si>
  <si>
    <t xml:space="preserve"> 67.8228 </t>
  </si>
  <si>
    <t xml:space="preserve">F:\Données chgh\2020-CHG-CZA-Cromolyn-3\plaque 2/@20 Testo + Cromolyn 100/E8_02.tif </t>
  </si>
  <si>
    <t xml:space="preserve"> 13756.613 </t>
  </si>
  <si>
    <t xml:space="preserve"> 67.033 </t>
  </si>
  <si>
    <t xml:space="preserve">F:\Données chgh\2020-CHG-CZA-Cromolyn-3\plaque 2/@20 Testo + Cromolyn 100/E8_03.tif </t>
  </si>
  <si>
    <t xml:space="preserve"> 12285.7801 </t>
  </si>
  <si>
    <t xml:space="preserve"> 67.3063 </t>
  </si>
  <si>
    <t>F:\Données chgh\2020-CHG-CZA-Cromolyn-3\plaque 2/@20 Testo + Cromolyn 100/F8_01- exclu.tif</t>
  </si>
  <si>
    <t xml:space="preserve">F:\Données chgh\2020-CHG-CZA-Cromolyn-3\plaque 2/@20 Testo + Cromolyn 100/F8_02.tif </t>
  </si>
  <si>
    <t xml:space="preserve"> 65.672 </t>
  </si>
  <si>
    <t xml:space="preserve">F:\Données chgh\2020-CHG-CZA-Cromolyn-3\plaque 2/@20 Testo + Cromolyn 100/F8_03.tif </t>
  </si>
  <si>
    <t xml:space="preserve"> 64.9902 </t>
  </si>
  <si>
    <t xml:space="preserve">F:\Données chgh\2020-CHG-CZA-Cromolyn-3\plaque 2/@20 Testo + Cromolyn 100/G8_01.tif </t>
  </si>
  <si>
    <t xml:space="preserve"> 19272.2361 </t>
  </si>
  <si>
    <t xml:space="preserve"> 68.2088 </t>
  </si>
  <si>
    <t xml:space="preserve">F:\Données chgh\2020-CHG-CZA-Cromolyn-3\plaque 2/@20 Testo + Cromolyn 100/G8_02.tif </t>
  </si>
  <si>
    <t xml:space="preserve"> 69.0116 </t>
  </si>
  <si>
    <t xml:space="preserve">F:\Données chgh\2020-CHG-CZA-Cromolyn-3\plaque 2/@20 Testo + Cromolyn 100/G8_03.tif </t>
  </si>
  <si>
    <t xml:space="preserve"> 21846.1936 </t>
  </si>
  <si>
    <t xml:space="preserve"> 68.9772 </t>
  </si>
  <si>
    <t xml:space="preserve">F:\Données chgh\2020-CHG-CZA-Cromolyn-3\plaque 2/@20 Testo + Cromolyn 100/H8_01.tif </t>
  </si>
  <si>
    <t xml:space="preserve"> 64759.9045 </t>
  </si>
  <si>
    <t xml:space="preserve"> 76.316 </t>
  </si>
  <si>
    <t xml:space="preserve">F:\Données chgh\2020-CHG-CZA-Cromolyn-3\plaque 2/@20 Testo + Cromolyn 100/H8_02.tif </t>
  </si>
  <si>
    <t xml:space="preserve"> 67052.6733 </t>
  </si>
  <si>
    <t xml:space="preserve"> 75.5029 </t>
  </si>
  <si>
    <t xml:space="preserve">F:\Données chgh\2020-CHG-CZA-Cromolyn-3\plaque 2/@20 Testo + Cromolyn 100/H8_03.tif </t>
  </si>
  <si>
    <t xml:space="preserve"> 58119.5269 </t>
  </si>
  <si>
    <t xml:space="preserve"> 76.3483 </t>
  </si>
  <si>
    <t xml:space="preserve">F:\Données chgh\2020-CHG-CZA-Cromolyn-3\plaque 2/@20 Testo + Cromolyn 100/ </t>
  </si>
  <si>
    <t xml:space="preserve"> 68.84 </t>
  </si>
  <si>
    <t xml:space="preserve"> 4.4689 </t>
  </si>
  <si>
    <t xml:space="preserve"> 1725190.46 </t>
  </si>
  <si>
    <t xml:space="preserve"> 1540995.12 </t>
  </si>
  <si>
    <t>F:\Données chgh\2020-CHG-CZA-Cromolyn-3\plaque 2/@21 Testo + Cromolyn 1000/A9_01- exclu.tif</t>
  </si>
  <si>
    <t xml:space="preserve">F:\Données chgh\2020-CHG-CZA-Cromolyn-3\plaque 2/@21 Testo + Cromolyn 1000/A9_02.tif </t>
  </si>
  <si>
    <t xml:space="preserve"> 73.9674 </t>
  </si>
  <si>
    <t xml:space="preserve">F:\Données chgh\2020-CHG-CZA-Cromolyn-3\plaque 2/@21 Testo + Cromolyn 1000/A9_03.tif </t>
  </si>
  <si>
    <t xml:space="preserve"> 18991.0475 </t>
  </si>
  <si>
    <t xml:space="preserve"> 73.0068 </t>
  </si>
  <si>
    <t xml:space="preserve">F:\Données chgh\2020-CHG-CZA-Cromolyn-3\plaque 2/@21 Testo + Cromolyn 1000/B9_01.tif </t>
  </si>
  <si>
    <t xml:space="preserve"> 42156.6646 </t>
  </si>
  <si>
    <t xml:space="preserve"> 74.5788 </t>
  </si>
  <si>
    <t xml:space="preserve">F:\Données chgh\2020-CHG-CZA-Cromolyn-3\plaque 2/@21 Testo + Cromolyn 1000/B9_02.tif </t>
  </si>
  <si>
    <t xml:space="preserve"> 40685.8318 </t>
  </si>
  <si>
    <t xml:space="preserve"> 77.3153 </t>
  </si>
  <si>
    <t xml:space="preserve">F:\Données chgh\2020-CHG-CZA-Cromolyn-3\plaque 2/@21 Testo + Cromolyn 1000/B9_03.tif </t>
  </si>
  <si>
    <t xml:space="preserve"> 41637.5472 </t>
  </si>
  <si>
    <t xml:space="preserve"> 79.3314 </t>
  </si>
  <si>
    <t xml:space="preserve">F:\Données chgh\2020-CHG-CZA-Cromolyn-3\plaque 2/@21 Testo + Cromolyn 1000/C9_01.tif </t>
  </si>
  <si>
    <t xml:space="preserve"> 4477.3882 </t>
  </si>
  <si>
    <t xml:space="preserve"> 68.6377 </t>
  </si>
  <si>
    <t xml:space="preserve">F:\Données chgh\2020-CHG-CZA-Cromolyn-3\plaque 2/@21 Testo + Cromolyn 1000/C9_02.tif </t>
  </si>
  <si>
    <t xml:space="preserve"> 5515.6231 </t>
  </si>
  <si>
    <t xml:space="preserve"> 68.8157 </t>
  </si>
  <si>
    <t xml:space="preserve">F:\Données chgh\2020-CHG-CZA-Cromolyn-3\plaque 2/@21 Testo + Cromolyn 1000/C9_03.tif </t>
  </si>
  <si>
    <t xml:space="preserve"> 4888.3562 </t>
  </si>
  <si>
    <t xml:space="preserve"> 68.0487 </t>
  </si>
  <si>
    <t xml:space="preserve">F:\Données chgh\2020-CHG-CZA-Cromolyn-3\plaque 2/@21 Testo + Cromolyn 1000/D9_01.tif </t>
  </si>
  <si>
    <t xml:space="preserve"> 23792.8841 </t>
  </si>
  <si>
    <t xml:space="preserve"> 66.7873 </t>
  </si>
  <si>
    <t xml:space="preserve">F:\Données chgh\2020-CHG-CZA-Cromolyn-3\plaque 2/@21 Testo + Cromolyn 1000/D9_02.tif </t>
  </si>
  <si>
    <t xml:space="preserve"> 67.3431 </t>
  </si>
  <si>
    <t xml:space="preserve">F:\Données chgh\2020-CHG-CZA-Cromolyn-3\plaque 2/@21 Testo + Cromolyn 1000/D9_03.tif </t>
  </si>
  <si>
    <t xml:space="preserve"> 66.8927 </t>
  </si>
  <si>
    <t xml:space="preserve">F:\Données chgh\2020-CHG-CZA-Cromolyn-3\plaque 2/@21 Testo + Cromolyn 1000/E9_01.tif </t>
  </si>
  <si>
    <t xml:space="preserve"> 37333.1981 </t>
  </si>
  <si>
    <t xml:space="preserve"> 73.1054 </t>
  </si>
  <si>
    <t xml:space="preserve">F:\Données chgh\2020-CHG-CZA-Cromolyn-3\plaque 2/@21 Testo + Cromolyn 1000/E9_02.tif </t>
  </si>
  <si>
    <t xml:space="preserve"> 36468.0023 </t>
  </si>
  <si>
    <t xml:space="preserve"> 75.6951 </t>
  </si>
  <si>
    <t xml:space="preserve">F:\Données chgh\2020-CHG-CZA-Cromolyn-3\plaque 2/@21 Testo + Cromolyn 1000/E9_03.tif </t>
  </si>
  <si>
    <t xml:space="preserve"> 36359.8529 </t>
  </si>
  <si>
    <t xml:space="preserve"> 73.2701 </t>
  </si>
  <si>
    <t xml:space="preserve">F:\Données chgh\2020-CHG-CZA-Cromolyn-3\plaque 2/@21 Testo + Cromolyn 1000/F9_01.tif </t>
  </si>
  <si>
    <t xml:space="preserve"> 8565.4383 </t>
  </si>
  <si>
    <t xml:space="preserve"> 69.75 </t>
  </si>
  <si>
    <t xml:space="preserve">F:\Données chgh\2020-CHG-CZA-Cromolyn-3\plaque 2/@21 Testo + Cromolyn 1000/F9_02.tif </t>
  </si>
  <si>
    <t xml:space="preserve"> 69.9398 </t>
  </si>
  <si>
    <t xml:space="preserve">F:\Données chgh\2020-CHG-CZA-Cromolyn-3\plaque 2/@21 Testo + Cromolyn 1000/F9_03.tif </t>
  </si>
  <si>
    <t xml:space="preserve"> 69.407 </t>
  </si>
  <si>
    <t xml:space="preserve">F:\Données chgh\2020-CHG-CZA-Cromolyn-3\plaque 2/@21 Testo + Cromolyn 1000/G9_01.tif </t>
  </si>
  <si>
    <t xml:space="preserve"> 22949.3182 </t>
  </si>
  <si>
    <t xml:space="preserve"> 67.8699 </t>
  </si>
  <si>
    <t xml:space="preserve">F:\Données chgh\2020-CHG-CZA-Cromolyn-3\plaque 2/@21 Testo + Cromolyn 1000/G9_02.tif </t>
  </si>
  <si>
    <t xml:space="preserve"> 23987.5531 </t>
  </si>
  <si>
    <t xml:space="preserve"> 68.1425 </t>
  </si>
  <si>
    <t xml:space="preserve">F:\Données chgh\2020-CHG-CZA-Cromolyn-3\plaque 2/@21 Testo + Cromolyn 1000/G9_03.tif </t>
  </si>
  <si>
    <t xml:space="preserve"> 23295.3965 </t>
  </si>
  <si>
    <t xml:space="preserve"> 69.571 </t>
  </si>
  <si>
    <t xml:space="preserve">F:\Données chgh\2020-CHG-CZA-Cromolyn-3\plaque 2/@21 Testo + Cromolyn 1000/H9_01.tif </t>
  </si>
  <si>
    <t xml:space="preserve"> 53728.6583 </t>
  </si>
  <si>
    <t xml:space="preserve"> 83.1711 </t>
  </si>
  <si>
    <t xml:space="preserve">F:\Données chgh\2020-CHG-CZA-Cromolyn-3\plaque 2/@21 Testo + Cromolyn 1000/H9_02.tif </t>
  </si>
  <si>
    <t xml:space="preserve"> 51738.708 </t>
  </si>
  <si>
    <t xml:space="preserve"> 79.6467 </t>
  </si>
  <si>
    <t xml:space="preserve">F:\Données chgh\2020-CHG-CZA-Cromolyn-3\plaque 2/@21 Testo + Cromolyn 1000/H9_03.tif </t>
  </si>
  <si>
    <t xml:space="preserve"> 82.6498 </t>
  </si>
  <si>
    <t xml:space="preserve">F:\Données chgh\2020-CHG-CZA-Cromolyn-3\plaque 2/@21 Testo + Cromolyn 1000/ </t>
  </si>
  <si>
    <t xml:space="preserve"> 72.2923 </t>
  </si>
  <si>
    <t xml:space="preserve"> 5.0474 </t>
  </si>
  <si>
    <t xml:space="preserve"> 1251691.88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</si>
</sst>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1"/>
      <color theme="1"/>
      <name val="Calibri"/>
      <family val="2"/>
      <scheme val="minor"/>
    </font>
    <font>
      <b/>
      <sz val="11"/>
      <color theme="1"/>
      <name val="Calibri"/>
      <family val="2"/>
      <scheme val="minor"/>
    </font>
    <font>
      <sz val="13"/>
      <name val="Arial"/>
      <family val="2"/>
    </font>
    <font>
      <sz val="16"/>
      <color theme="1"/>
      <name val="Calibri"/>
      <family val="2"/>
      <scheme val="minor"/>
    </font>
    <font>
      <sz val="10"/>
      <name val="Arial"/>
      <family val="2"/>
    </font>
    <font>
      <b/>
      <sz val="16"/>
      <color theme="1"/>
      <name val="Calibri"/>
      <family val="2"/>
      <scheme val="minor"/>
    </font>
    <font>
      <sz val="11"/>
      <name val="Calibri"/>
      <family val="2"/>
      <scheme val="minor"/>
    </font>
    <font>
      <b/>
      <sz val="20"/>
      <color theme="1"/>
      <name val="Calibri"/>
      <family val="2"/>
      <scheme val="minor"/>
    </font>
    <font>
      <sz val="12"/>
      <color theme="1"/>
      <name val="Calibri"/>
      <family val="2"/>
      <scheme val="minor"/>
    </font>
    <font>
      <b/>
      <sz val="20"/>
      <color rgb="FFFF0000"/>
      <name val="Calibri"/>
      <family val="2"/>
      <scheme val="minor"/>
    </font>
    <font>
      <b/>
      <sz val="9"/>
      <color indexed="81"/>
      <name val="Tahoma"/>
      <family val="2"/>
    </font>
    <font>
      <sz val="11"/>
      <color theme="1"/>
      <name val="Calibri"/>
      <family val="2"/>
      <scheme val="minor"/>
    </font>
    <font>
      <b/>
      <sz val="12"/>
      <color theme="1"/>
      <name val="Calibri"/>
      <family val="2"/>
      <scheme val="minor"/>
    </font>
    <font>
      <sz val="12"/>
      <name val="Calibri"/>
      <family val="2"/>
      <scheme val="minor"/>
    </font>
    <font>
      <sz val="12"/>
      <name val="Arial"/>
      <family val="2"/>
    </font>
    <font>
      <b/>
      <sz val="12"/>
      <name val="Calibri"/>
      <family val="2"/>
      <scheme val="minor"/>
    </font>
    <font>
      <b/>
      <sz val="11"/>
      <name val="Calibri"/>
      <family val="2"/>
      <scheme val="minor"/>
    </font>
    <font>
      <sz val="11"/>
      <color rgb="FFFF0000"/>
      <name val="Calibri"/>
      <family val="2"/>
      <scheme val="minor"/>
    </font>
    <font>
      <b/>
      <sz val="11"/>
      <color rgb="FFFF0000"/>
      <name val="Calibri"/>
      <family val="2"/>
      <scheme val="minor"/>
    </font>
    <font>
      <sz val="8"/>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00B050"/>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6"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rgb="FFFFC000"/>
        <bgColor indexed="64"/>
      </patternFill>
    </fill>
    <fill>
      <patternFill patternType="solid">
        <fgColor theme="0" tint="-0.14999847407452621"/>
        <bgColor theme="0" tint="-0.14999847407452621"/>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bottom/>
      <diagonal/>
    </border>
    <border>
      <left/>
      <right style="thin">
        <color auto="1"/>
      </right>
      <top/>
      <bottom style="thin">
        <color auto="1"/>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style="thin">
        <color theme="1"/>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theme="1"/>
      </left>
      <right style="thin">
        <color theme="1"/>
      </right>
      <top/>
      <bottom/>
      <diagonal/>
    </border>
    <border>
      <left/>
      <right style="thin">
        <color theme="1"/>
      </right>
      <top style="thin">
        <color theme="1"/>
      </top>
      <bottom style="medium">
        <color theme="1"/>
      </bottom>
      <diagonal/>
    </border>
    <border>
      <left/>
      <right style="thin">
        <color theme="1"/>
      </right>
      <top style="thin">
        <color theme="1"/>
      </top>
      <bottom style="thin">
        <color theme="1"/>
      </bottom>
      <diagonal/>
    </border>
    <border>
      <left style="thin">
        <color theme="1"/>
      </left>
      <right/>
      <top/>
      <bottom/>
      <diagonal/>
    </border>
    <border>
      <left/>
      <right style="thin">
        <color indexed="64"/>
      </right>
      <top style="medium">
        <color indexed="64"/>
      </top>
      <bottom/>
      <diagonal/>
    </border>
  </borders>
  <cellStyleXfs count="8">
    <xf numFmtId="0" fontId="0" fillId="0" borderId="0"/>
    <xf numFmtId="0" fontId="4" fillId="0" borderId="0"/>
    <xf numFmtId="0" fontId="8" fillId="0" borderId="0"/>
    <xf numFmtId="0" fontId="4" fillId="0" borderId="0"/>
    <xf numFmtId="0" fontId="8" fillId="0" borderId="0"/>
    <xf numFmtId="0" fontId="4" fillId="0" borderId="0"/>
    <xf numFmtId="0" fontId="8" fillId="0" borderId="0"/>
    <xf numFmtId="9" fontId="11" fillId="0" borderId="0" applyFont="0" applyFill="0" applyBorder="0" applyAlignment="0" applyProtection="0"/>
  </cellStyleXfs>
  <cellXfs count="233">
    <xf numFmtId="0" fontId="0" fillId="0" borderId="0" xfId="0"/>
    <xf numFmtId="0" fontId="0" fillId="0" borderId="0" xfId="0"/>
    <xf numFmtId="0" fontId="1" fillId="0" borderId="0" xfId="0" applyFont="1"/>
    <xf numFmtId="0" fontId="0" fillId="0" borderId="0" xfId="0" applyAlignment="1">
      <alignment horizontal="center"/>
    </xf>
    <xf numFmtId="0" fontId="0" fillId="0" borderId="1" xfId="0" applyBorder="1" applyAlignment="1">
      <alignment horizontal="center"/>
    </xf>
    <xf numFmtId="1" fontId="0" fillId="0" borderId="0" xfId="0" applyNumberFormat="1" applyAlignment="1">
      <alignment horizontal="center"/>
    </xf>
    <xf numFmtId="0" fontId="0" fillId="0" borderId="2" xfId="0" applyBorder="1" applyAlignment="1">
      <alignment horizontal="center"/>
    </xf>
    <xf numFmtId="0" fontId="0" fillId="0" borderId="0" xfId="0" applyBorder="1" applyAlignment="1">
      <alignment horizontal="center"/>
    </xf>
    <xf numFmtId="164" fontId="0" fillId="0" borderId="0" xfId="0" applyNumberFormat="1" applyAlignment="1">
      <alignment horizontal="center"/>
    </xf>
    <xf numFmtId="2" fontId="0" fillId="5" borderId="0" xfId="0" applyNumberFormat="1" applyFill="1" applyAlignment="1">
      <alignment horizontal="center"/>
    </xf>
    <xf numFmtId="164" fontId="0" fillId="5" borderId="0" xfId="0" applyNumberFormat="1" applyFill="1" applyAlignment="1">
      <alignment horizontal="center"/>
    </xf>
    <xf numFmtId="164" fontId="0" fillId="0" borderId="1" xfId="0" applyNumberFormat="1" applyBorder="1" applyAlignment="1">
      <alignment horizontal="center"/>
    </xf>
    <xf numFmtId="0" fontId="2" fillId="0" borderId="0" xfId="0" applyFont="1"/>
    <xf numFmtId="0" fontId="0" fillId="0" borderId="1" xfId="0" applyBorder="1"/>
    <xf numFmtId="0" fontId="2" fillId="0" borderId="1" xfId="0" applyFont="1" applyBorder="1"/>
    <xf numFmtId="0" fontId="0" fillId="0" borderId="0" xfId="0" applyFont="1" applyAlignment="1">
      <alignment horizontal="center"/>
    </xf>
    <xf numFmtId="0" fontId="0" fillId="0" borderId="1" xfId="0" applyBorder="1" applyAlignment="1">
      <alignment horizontal="center"/>
    </xf>
    <xf numFmtId="0" fontId="4" fillId="0" borderId="0" xfId="1"/>
    <xf numFmtId="0" fontId="4" fillId="6" borderId="0" xfId="1" applyFill="1"/>
    <xf numFmtId="0" fontId="4" fillId="2" borderId="0" xfId="1" applyFill="1"/>
    <xf numFmtId="0" fontId="4" fillId="7" borderId="0" xfId="1" applyFill="1"/>
    <xf numFmtId="0" fontId="4" fillId="0" borderId="0" xfId="1" applyFill="1" applyBorder="1"/>
    <xf numFmtId="0" fontId="4" fillId="6" borderId="0" xfId="1" applyFill="1" applyBorder="1"/>
    <xf numFmtId="0" fontId="4" fillId="0" borderId="0" xfId="1" applyFont="1"/>
    <xf numFmtId="0" fontId="4" fillId="6" borderId="0" xfId="1" applyNumberFormat="1" applyFill="1" applyBorder="1"/>
    <xf numFmtId="0" fontId="4" fillId="7" borderId="0" xfId="1" applyNumberFormat="1" applyFill="1"/>
    <xf numFmtId="0" fontId="4" fillId="0" borderId="0" xfId="1" applyFill="1"/>
    <xf numFmtId="0" fontId="4" fillId="6" borderId="0" xfId="1" applyNumberFormat="1" applyFill="1"/>
    <xf numFmtId="0" fontId="4" fillId="0" borderId="0" xfId="1" applyFont="1" applyFill="1" applyBorder="1"/>
    <xf numFmtId="0" fontId="4" fillId="6" borderId="0" xfId="1" applyNumberFormat="1" applyFont="1" applyFill="1" applyBorder="1"/>
    <xf numFmtId="14" fontId="4" fillId="0" borderId="0" xfId="1" applyNumberFormat="1" applyFont="1"/>
    <xf numFmtId="14" fontId="4" fillId="0" borderId="0" xfId="1" applyNumberFormat="1"/>
    <xf numFmtId="0" fontId="0" fillId="0" borderId="1" xfId="0" applyBorder="1" applyAlignment="1">
      <alignment horizontal="center"/>
    </xf>
    <xf numFmtId="0" fontId="0" fillId="0" borderId="0" xfId="0" applyBorder="1"/>
    <xf numFmtId="0" fontId="0" fillId="9" borderId="1" xfId="0" applyFill="1" applyBorder="1" applyAlignment="1">
      <alignment horizontal="center"/>
    </xf>
    <xf numFmtId="0" fontId="0" fillId="9" borderId="12" xfId="0" applyFill="1" applyBorder="1" applyAlignment="1">
      <alignment horizontal="center"/>
    </xf>
    <xf numFmtId="0" fontId="0" fillId="11" borderId="12" xfId="0" applyFill="1" applyBorder="1" applyAlignment="1">
      <alignment horizontal="center"/>
    </xf>
    <xf numFmtId="0" fontId="5" fillId="0" borderId="7" xfId="0" applyFont="1" applyBorder="1" applyAlignment="1">
      <alignment vertical="center"/>
    </xf>
    <xf numFmtId="0" fontId="5" fillId="0" borderId="6" xfId="0" applyFont="1" applyBorder="1" applyAlignment="1">
      <alignment vertical="center" wrapText="1"/>
    </xf>
    <xf numFmtId="0" fontId="1" fillId="4" borderId="3" xfId="0" applyFont="1" applyFill="1" applyBorder="1" applyAlignment="1">
      <alignment horizontal="center"/>
    </xf>
    <xf numFmtId="0" fontId="3" fillId="0" borderId="15" xfId="0" applyFont="1" applyBorder="1" applyAlignment="1">
      <alignment vertical="center"/>
    </xf>
    <xf numFmtId="0" fontId="0" fillId="0" borderId="0" xfId="0" applyFont="1"/>
    <xf numFmtId="0" fontId="3" fillId="0" borderId="9" xfId="0" applyNumberFormat="1" applyFont="1" applyBorder="1" applyAlignment="1">
      <alignment vertical="center"/>
    </xf>
    <xf numFmtId="0" fontId="3" fillId="0" borderId="1" xfId="0" applyNumberFormat="1" applyFont="1" applyBorder="1" applyAlignment="1">
      <alignment vertical="center"/>
    </xf>
    <xf numFmtId="0" fontId="0" fillId="0" borderId="0" xfId="0" applyNumberFormat="1"/>
    <xf numFmtId="0" fontId="0" fillId="7" borderId="8" xfId="0" applyFill="1" applyBorder="1" applyAlignment="1">
      <alignment horizontal="center"/>
    </xf>
    <xf numFmtId="0" fontId="0" fillId="7" borderId="9" xfId="0" applyFill="1" applyBorder="1" applyAlignment="1">
      <alignment horizontal="center"/>
    </xf>
    <xf numFmtId="0" fontId="0" fillId="7" borderId="23" xfId="0" applyFill="1" applyBorder="1"/>
    <xf numFmtId="0" fontId="0" fillId="0" borderId="0" xfId="0" applyAlignment="1">
      <alignment vertical="center"/>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0" fontId="1" fillId="0" borderId="0" xfId="0" applyFont="1" applyAlignment="1">
      <alignment horizontal="center"/>
    </xf>
    <xf numFmtId="0" fontId="3" fillId="14" borderId="26" xfId="0" applyFont="1" applyFill="1" applyBorder="1" applyAlignment="1">
      <alignment vertical="center"/>
    </xf>
    <xf numFmtId="164" fontId="0" fillId="3" borderId="1" xfId="0" applyNumberFormat="1" applyFill="1" applyBorder="1" applyAlignment="1">
      <alignment horizontal="center"/>
    </xf>
    <xf numFmtId="164" fontId="0" fillId="4" borderId="1" xfId="0" applyNumberFormat="1" applyFill="1" applyBorder="1" applyAlignment="1">
      <alignment horizontal="center"/>
    </xf>
    <xf numFmtId="0" fontId="5" fillId="0" borderId="6" xfId="0" applyFont="1" applyBorder="1" applyAlignment="1">
      <alignment vertical="center"/>
    </xf>
    <xf numFmtId="0" fontId="5" fillId="0" borderId="6" xfId="0" applyFont="1" applyBorder="1" applyAlignment="1">
      <alignment horizontal="center" vertical="center"/>
    </xf>
    <xf numFmtId="0" fontId="0" fillId="0" borderId="6" xfId="0" applyBorder="1"/>
    <xf numFmtId="49" fontId="0" fillId="0" borderId="0" xfId="0" applyNumberFormat="1" applyFill="1" applyBorder="1" applyAlignment="1">
      <alignment horizontal="center"/>
    </xf>
    <xf numFmtId="164" fontId="0" fillId="0" borderId="0" xfId="0" applyNumberFormat="1" applyFill="1" applyBorder="1" applyAlignment="1">
      <alignment horizontal="center"/>
    </xf>
    <xf numFmtId="0" fontId="0" fillId="0" borderId="0" xfId="0" applyFill="1"/>
    <xf numFmtId="164" fontId="0" fillId="7" borderId="10" xfId="0" applyNumberFormat="1" applyFill="1" applyBorder="1" applyAlignment="1">
      <alignment horizontal="center"/>
    </xf>
    <xf numFmtId="164" fontId="0" fillId="7" borderId="18" xfId="0" applyNumberFormat="1" applyFill="1" applyBorder="1" applyAlignment="1">
      <alignment horizontal="center"/>
    </xf>
    <xf numFmtId="2" fontId="4" fillId="0" borderId="0" xfId="1" applyNumberFormat="1" applyFill="1"/>
    <xf numFmtId="0" fontId="3" fillId="8" borderId="2" xfId="0" applyNumberFormat="1" applyFont="1" applyFill="1" applyBorder="1" applyAlignment="1">
      <alignment horizontal="center" vertical="center" wrapText="1"/>
    </xf>
    <xf numFmtId="0" fontId="3" fillId="0" borderId="3" xfId="0" applyFont="1" applyBorder="1" applyAlignment="1">
      <alignment vertical="center"/>
    </xf>
    <xf numFmtId="0" fontId="1" fillId="0" borderId="0" xfId="0" applyFont="1" applyBorder="1" applyAlignment="1">
      <alignment horizontal="center" vertical="center"/>
    </xf>
    <xf numFmtId="0" fontId="2" fillId="0" borderId="0" xfId="0" applyFont="1" applyBorder="1"/>
    <xf numFmtId="0" fontId="6" fillId="0" borderId="0" xfId="0" applyFont="1" applyAlignment="1">
      <alignment horizontal="center"/>
    </xf>
    <xf numFmtId="0" fontId="6" fillId="0" borderId="0" xfId="0" applyFont="1"/>
    <xf numFmtId="0" fontId="6" fillId="0" borderId="0" xfId="0" applyFont="1" applyBorder="1" applyAlignment="1">
      <alignment horizontal="center"/>
    </xf>
    <xf numFmtId="0" fontId="1" fillId="3" borderId="1" xfId="0" applyFont="1" applyFill="1" applyBorder="1" applyAlignment="1">
      <alignment horizontal="center"/>
    </xf>
    <xf numFmtId="0" fontId="1" fillId="10" borderId="0" xfId="0" applyFont="1" applyFill="1" applyBorder="1" applyAlignment="1">
      <alignment vertical="center"/>
    </xf>
    <xf numFmtId="0" fontId="2" fillId="0" borderId="1" xfId="0" applyFont="1" applyBorder="1" applyAlignment="1">
      <alignment horizontal="right"/>
    </xf>
    <xf numFmtId="0" fontId="3" fillId="0" borderId="4" xfId="0" applyFont="1" applyBorder="1" applyAlignment="1">
      <alignment vertical="center"/>
    </xf>
    <xf numFmtId="0" fontId="3" fillId="14" borderId="3" xfId="0" applyFont="1" applyFill="1" applyBorder="1" applyAlignment="1">
      <alignment vertical="center"/>
    </xf>
    <xf numFmtId="2" fontId="3" fillId="8" borderId="2" xfId="0" applyNumberFormat="1" applyFont="1" applyFill="1" applyBorder="1" applyAlignment="1">
      <alignment horizontal="center" vertical="center" wrapText="1"/>
    </xf>
    <xf numFmtId="0" fontId="8" fillId="0" borderId="0" xfId="0" applyFont="1"/>
    <xf numFmtId="0" fontId="8" fillId="0" borderId="0" xfId="0" applyFont="1" applyAlignment="1">
      <alignment horizontal="center"/>
    </xf>
    <xf numFmtId="0" fontId="8" fillId="0" borderId="0" xfId="0" applyFont="1" applyFill="1"/>
    <xf numFmtId="0" fontId="13" fillId="0" borderId="1" xfId="0" applyFont="1" applyFill="1" applyBorder="1"/>
    <xf numFmtId="0" fontId="12" fillId="0" borderId="1" xfId="0" applyFont="1" applyFill="1" applyBorder="1" applyAlignment="1">
      <alignment horizontal="center"/>
    </xf>
    <xf numFmtId="0" fontId="8" fillId="15" borderId="1" xfId="0" applyFont="1" applyFill="1" applyBorder="1"/>
    <xf numFmtId="0" fontId="8" fillId="0" borderId="1" xfId="0" applyFont="1" applyFill="1" applyBorder="1" applyAlignment="1">
      <alignment horizontal="center"/>
    </xf>
    <xf numFmtId="2" fontId="13" fillId="0" borderId="1" xfId="0" applyNumberFormat="1" applyFont="1" applyFill="1" applyBorder="1" applyAlignment="1">
      <alignment horizontal="left"/>
    </xf>
    <xf numFmtId="0" fontId="14" fillId="0" borderId="1" xfId="0" applyFont="1" applyFill="1" applyBorder="1"/>
    <xf numFmtId="2" fontId="8" fillId="0" borderId="1" xfId="0" applyNumberFormat="1" applyFont="1" applyFill="1" applyBorder="1"/>
    <xf numFmtId="0" fontId="8" fillId="0" borderId="1" xfId="0" applyFont="1" applyFill="1" applyBorder="1"/>
    <xf numFmtId="0" fontId="12" fillId="0" borderId="1" xfId="0" applyFont="1" applyFill="1" applyBorder="1" applyAlignment="1">
      <alignment horizontal="center" vertical="center" wrapText="1"/>
    </xf>
    <xf numFmtId="0" fontId="12" fillId="0" borderId="1" xfId="0" applyFont="1" applyFill="1" applyBorder="1" applyAlignment="1">
      <alignment vertical="center" wrapText="1"/>
    </xf>
    <xf numFmtId="0" fontId="8" fillId="0" borderId="1" xfId="0" applyFont="1" applyBorder="1" applyAlignment="1">
      <alignment horizontal="center" vertical="center"/>
    </xf>
    <xf numFmtId="0" fontId="13" fillId="15" borderId="1" xfId="0" applyFont="1" applyFill="1" applyBorder="1"/>
    <xf numFmtId="0" fontId="8" fillId="15" borderId="32" xfId="0" applyFont="1" applyFill="1" applyBorder="1"/>
    <xf numFmtId="0" fontId="8" fillId="9" borderId="32" xfId="0" applyFont="1" applyFill="1" applyBorder="1"/>
    <xf numFmtId="0" fontId="13" fillId="17" borderId="1" xfId="0" applyFont="1" applyFill="1" applyBorder="1"/>
    <xf numFmtId="0" fontId="12" fillId="0" borderId="1" xfId="0" applyFont="1" applyBorder="1" applyAlignment="1">
      <alignment horizontal="center" vertical="center" wrapText="1"/>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13" fillId="16" borderId="1" xfId="0" applyFont="1" applyFill="1" applyBorder="1" applyAlignment="1">
      <alignment horizontal="center"/>
    </xf>
    <xf numFmtId="0" fontId="8" fillId="0" borderId="1" xfId="0" applyNumberFormat="1" applyFont="1" applyFill="1" applyBorder="1" applyAlignment="1">
      <alignment horizontal="center"/>
    </xf>
    <xf numFmtId="0" fontId="13" fillId="0" borderId="1" xfId="0" applyNumberFormat="1" applyFont="1" applyFill="1" applyBorder="1" applyAlignment="1">
      <alignment horizontal="center"/>
    </xf>
    <xf numFmtId="2" fontId="3" fillId="8" borderId="21" xfId="0" applyNumberFormat="1" applyFont="1" applyFill="1" applyBorder="1" applyAlignment="1">
      <alignment horizontal="center" vertical="center" wrapText="1"/>
    </xf>
    <xf numFmtId="0" fontId="3" fillId="0" borderId="25" xfId="0" applyFont="1" applyBorder="1" applyAlignment="1">
      <alignment vertical="center"/>
    </xf>
    <xf numFmtId="0" fontId="3" fillId="14" borderId="13" xfId="0" applyFont="1" applyFill="1" applyBorder="1" applyAlignment="1">
      <alignment vertical="center"/>
    </xf>
    <xf numFmtId="0" fontId="3" fillId="14" borderId="15" xfId="0" applyFont="1" applyFill="1" applyBorder="1" applyAlignment="1">
      <alignment vertical="center"/>
    </xf>
    <xf numFmtId="0" fontId="3" fillId="14" borderId="4" xfId="0" applyFont="1" applyFill="1" applyBorder="1" applyAlignment="1">
      <alignment vertical="center"/>
    </xf>
    <xf numFmtId="0" fontId="3" fillId="0" borderId="1" xfId="0" applyNumberFormat="1" applyFont="1" applyBorder="1" applyAlignment="1">
      <alignment horizontal="center" vertical="center"/>
    </xf>
    <xf numFmtId="0" fontId="3" fillId="14" borderId="9" xfId="0" applyNumberFormat="1" applyFont="1" applyFill="1" applyBorder="1" applyAlignment="1">
      <alignment horizontal="center" vertical="center"/>
    </xf>
    <xf numFmtId="0" fontId="3" fillId="14" borderId="1" xfId="0" applyNumberFormat="1" applyFont="1" applyFill="1" applyBorder="1" applyAlignment="1">
      <alignment horizontal="center" vertical="center"/>
    </xf>
    <xf numFmtId="0" fontId="3" fillId="8" borderId="0" xfId="0" applyFont="1" applyFill="1" applyBorder="1" applyAlignment="1">
      <alignment horizontal="center" vertical="center"/>
    </xf>
    <xf numFmtId="0" fontId="3" fillId="0" borderId="0" xfId="0" applyFont="1"/>
    <xf numFmtId="0" fontId="3" fillId="0" borderId="0" xfId="0" applyFont="1" applyFill="1" applyBorder="1" applyAlignment="1">
      <alignment vertical="center"/>
    </xf>
    <xf numFmtId="0" fontId="3" fillId="0" borderId="0" xfId="0" applyFont="1" applyAlignment="1">
      <alignment vertical="center"/>
    </xf>
    <xf numFmtId="0" fontId="3" fillId="14" borderId="23" xfId="0" applyFont="1" applyFill="1" applyBorder="1" applyAlignment="1">
      <alignment vertical="center"/>
    </xf>
    <xf numFmtId="0" fontId="3" fillId="14" borderId="0" xfId="0" applyFont="1" applyFill="1" applyBorder="1" applyAlignment="1">
      <alignment vertical="center"/>
    </xf>
    <xf numFmtId="0" fontId="3" fillId="0" borderId="3" xfId="0" applyNumberFormat="1" applyFont="1" applyBorder="1" applyAlignment="1">
      <alignment horizontal="center" vertical="center"/>
    </xf>
    <xf numFmtId="0" fontId="3" fillId="0" borderId="4" xfId="0" applyNumberFormat="1" applyFont="1" applyBorder="1" applyAlignment="1">
      <alignment horizontal="center" vertical="center"/>
    </xf>
    <xf numFmtId="0" fontId="3" fillId="14" borderId="26" xfId="0" applyNumberFormat="1" applyFont="1" applyFill="1" applyBorder="1" applyAlignment="1">
      <alignment horizontal="center" vertical="center"/>
    </xf>
    <xf numFmtId="0" fontId="3" fillId="14" borderId="3" xfId="0" applyNumberFormat="1" applyFont="1" applyFill="1" applyBorder="1" applyAlignment="1">
      <alignment horizontal="center" vertical="center"/>
    </xf>
    <xf numFmtId="0" fontId="0" fillId="0" borderId="0" xfId="0" pivotButton="1"/>
    <xf numFmtId="2" fontId="8" fillId="16" borderId="1" xfId="0" applyNumberFormat="1" applyFont="1" applyFill="1" applyBorder="1" applyAlignment="1">
      <alignment horizontal="center"/>
    </xf>
    <xf numFmtId="2" fontId="8" fillId="15" borderId="1" xfId="0" applyNumberFormat="1" applyFont="1" applyFill="1" applyBorder="1" applyAlignment="1">
      <alignment horizontal="center"/>
    </xf>
    <xf numFmtId="2" fontId="8" fillId="15" borderId="32" xfId="0" applyNumberFormat="1" applyFont="1" applyFill="1" applyBorder="1" applyAlignment="1">
      <alignment horizontal="center"/>
    </xf>
    <xf numFmtId="2" fontId="8" fillId="15" borderId="32" xfId="7" applyNumberFormat="1" applyFont="1" applyFill="1" applyBorder="1" applyAlignment="1">
      <alignment horizontal="center"/>
    </xf>
    <xf numFmtId="2" fontId="8" fillId="17" borderId="1" xfId="0" applyNumberFormat="1" applyFont="1" applyFill="1" applyBorder="1" applyAlignment="1">
      <alignment horizontal="center"/>
    </xf>
    <xf numFmtId="1" fontId="8" fillId="15" borderId="32" xfId="0" applyNumberFormat="1" applyFont="1" applyFill="1" applyBorder="1" applyAlignment="1">
      <alignment horizontal="center"/>
    </xf>
    <xf numFmtId="1" fontId="8" fillId="9" borderId="32" xfId="0" applyNumberFormat="1" applyFont="1" applyFill="1" applyBorder="1" applyAlignment="1">
      <alignment horizontal="center"/>
    </xf>
    <xf numFmtId="0" fontId="15" fillId="0" borderId="1" xfId="0" applyFont="1" applyBorder="1" applyAlignment="1">
      <alignment horizontal="center" vertical="center" wrapText="1"/>
    </xf>
    <xf numFmtId="0" fontId="13" fillId="0" borderId="1" xfId="0" applyFont="1" applyFill="1" applyBorder="1" applyAlignment="1">
      <alignment horizontal="left"/>
    </xf>
    <xf numFmtId="0" fontId="8" fillId="16" borderId="1" xfId="0" applyNumberFormat="1" applyFont="1" applyFill="1" applyBorder="1" applyAlignment="1">
      <alignment horizontal="center"/>
    </xf>
    <xf numFmtId="0" fontId="8" fillId="16" borderId="32" xfId="0" applyNumberFormat="1" applyFont="1" applyFill="1" applyBorder="1" applyAlignment="1">
      <alignment horizontal="center"/>
    </xf>
    <xf numFmtId="0" fontId="8" fillId="16" borderId="32" xfId="7" applyNumberFormat="1" applyFont="1" applyFill="1" applyBorder="1" applyAlignment="1">
      <alignment horizontal="center"/>
    </xf>
    <xf numFmtId="0" fontId="8" fillId="9" borderId="32" xfId="7" applyNumberFormat="1" applyFont="1" applyFill="1" applyBorder="1" applyAlignment="1">
      <alignment horizontal="center"/>
    </xf>
    <xf numFmtId="0" fontId="8" fillId="17" borderId="1" xfId="0" applyNumberFormat="1" applyFont="1" applyFill="1" applyBorder="1" applyAlignment="1">
      <alignment horizontal="center"/>
    </xf>
    <xf numFmtId="0" fontId="8" fillId="15" borderId="1" xfId="0" applyNumberFormat="1" applyFont="1" applyFill="1" applyBorder="1" applyAlignment="1">
      <alignment horizontal="center"/>
    </xf>
    <xf numFmtId="0" fontId="8" fillId="15" borderId="32" xfId="0" applyNumberFormat="1" applyFont="1" applyFill="1" applyBorder="1" applyAlignment="1">
      <alignment horizontal="center"/>
    </xf>
    <xf numFmtId="0" fontId="8" fillId="15" borderId="32" xfId="7" applyNumberFormat="1" applyFont="1" applyFill="1" applyBorder="1" applyAlignment="1">
      <alignment horizontal="center"/>
    </xf>
    <xf numFmtId="0" fontId="8" fillId="15" borderId="32" xfId="0" applyNumberFormat="1" applyFont="1" applyFill="1" applyBorder="1"/>
    <xf numFmtId="0" fontId="8" fillId="17" borderId="32" xfId="0" applyNumberFormat="1" applyFont="1" applyFill="1" applyBorder="1" applyAlignment="1">
      <alignment horizontal="center"/>
    </xf>
    <xf numFmtId="0" fontId="8" fillId="17" borderId="32" xfId="7" applyNumberFormat="1" applyFont="1" applyFill="1" applyBorder="1" applyAlignment="1">
      <alignment horizontal="center"/>
    </xf>
    <xf numFmtId="0" fontId="8" fillId="9" borderId="32" xfId="0" applyNumberFormat="1" applyFont="1" applyFill="1" applyBorder="1" applyAlignment="1">
      <alignment horizontal="center"/>
    </xf>
    <xf numFmtId="0" fontId="8" fillId="9" borderId="32" xfId="0" applyNumberFormat="1" applyFont="1" applyFill="1" applyBorder="1"/>
    <xf numFmtId="164" fontId="0" fillId="7" borderId="1" xfId="0" applyNumberFormat="1" applyFill="1" applyBorder="1" applyAlignment="1">
      <alignment horizontal="center"/>
    </xf>
    <xf numFmtId="0" fontId="0" fillId="7" borderId="11" xfId="0" applyFill="1" applyBorder="1" applyAlignment="1">
      <alignment horizontal="center"/>
    </xf>
    <xf numFmtId="0" fontId="16" fillId="18" borderId="31" xfId="0" applyFont="1" applyFill="1" applyBorder="1" applyAlignment="1">
      <alignment horizontal="center" vertical="center" wrapText="1"/>
    </xf>
    <xf numFmtId="13" fontId="16" fillId="18" borderId="31" xfId="0" applyNumberFormat="1" applyFont="1" applyFill="1" applyBorder="1" applyAlignment="1">
      <alignment horizontal="center" vertical="center" wrapText="1"/>
    </xf>
    <xf numFmtId="0" fontId="0" fillId="0" borderId="0" xfId="0" applyAlignment="1">
      <alignment horizontal="left"/>
    </xf>
    <xf numFmtId="0" fontId="0" fillId="18" borderId="0" xfId="0" applyFill="1" applyAlignment="1">
      <alignment horizontal="center" vertical="center" wrapText="1"/>
    </xf>
    <xf numFmtId="0" fontId="0" fillId="0" borderId="0" xfId="0" applyNumberFormat="1" applyAlignment="1">
      <alignment wrapText="1"/>
    </xf>
    <xf numFmtId="164" fontId="0" fillId="7" borderId="0" xfId="0" applyNumberFormat="1" applyFill="1" applyBorder="1" applyAlignment="1">
      <alignment horizontal="center"/>
    </xf>
    <xf numFmtId="164" fontId="0" fillId="7" borderId="15" xfId="0" applyNumberFormat="1" applyFill="1" applyBorder="1" applyAlignment="1">
      <alignment horizontal="center"/>
    </xf>
    <xf numFmtId="0" fontId="0" fillId="7" borderId="1" xfId="0" applyFill="1" applyBorder="1" applyAlignment="1">
      <alignment horizontal="center"/>
    </xf>
    <xf numFmtId="0" fontId="0" fillId="7" borderId="22" xfId="0" applyFill="1" applyBorder="1" applyAlignment="1">
      <alignment horizontal="center"/>
    </xf>
    <xf numFmtId="0" fontId="1" fillId="0" borderId="0" xfId="0" applyFont="1" applyAlignment="1">
      <alignment horizontal="center"/>
    </xf>
    <xf numFmtId="0" fontId="1" fillId="19" borderId="3" xfId="0" applyFont="1" applyFill="1" applyBorder="1" applyAlignment="1">
      <alignment horizontal="center"/>
    </xf>
    <xf numFmtId="164" fontId="0" fillId="19" borderId="1" xfId="0" applyNumberFormat="1" applyFill="1" applyBorder="1" applyAlignment="1">
      <alignment horizontal="center"/>
    </xf>
    <xf numFmtId="0" fontId="17" fillId="2" borderId="0" xfId="0" applyFont="1" applyFill="1"/>
    <xf numFmtId="2" fontId="3" fillId="8" borderId="2" xfId="0" applyNumberFormat="1" applyFont="1" applyFill="1" applyBorder="1" applyAlignment="1">
      <alignment horizontal="center" vertical="center"/>
    </xf>
    <xf numFmtId="0" fontId="3" fillId="14" borderId="26" xfId="0" applyFont="1" applyFill="1" applyBorder="1" applyAlignment="1">
      <alignment horizontal="center" vertical="center"/>
    </xf>
    <xf numFmtId="0" fontId="3" fillId="14" borderId="3" xfId="0" applyFont="1" applyFill="1" applyBorder="1" applyAlignment="1">
      <alignment horizontal="center" vertical="center"/>
    </xf>
    <xf numFmtId="0" fontId="0" fillId="0" borderId="0" xfId="0" applyAlignment="1"/>
    <xf numFmtId="0" fontId="3" fillId="0" borderId="3" xfId="0" applyNumberFormat="1" applyFont="1" applyFill="1" applyBorder="1" applyAlignment="1">
      <alignment vertical="center"/>
    </xf>
    <xf numFmtId="2" fontId="3" fillId="0" borderId="15" xfId="0" applyNumberFormat="1" applyFont="1" applyFill="1" applyBorder="1" applyAlignment="1">
      <alignment vertical="center"/>
    </xf>
    <xf numFmtId="0" fontId="3" fillId="0" borderId="1" xfId="0" applyNumberFormat="1" applyFont="1" applyFill="1" applyBorder="1" applyAlignment="1">
      <alignment horizontal="center" vertical="center"/>
    </xf>
    <xf numFmtId="0" fontId="3" fillId="0" borderId="3" xfId="0" applyNumberFormat="1" applyFont="1" applyFill="1" applyBorder="1" applyAlignment="1">
      <alignment horizontal="center" vertical="center"/>
    </xf>
    <xf numFmtId="2" fontId="3" fillId="0" borderId="3" xfId="0" applyNumberFormat="1" applyFont="1" applyFill="1" applyBorder="1" applyAlignment="1">
      <alignment horizontal="center" vertical="center"/>
    </xf>
    <xf numFmtId="0" fontId="3" fillId="0" borderId="0" xfId="0" applyFont="1" applyFill="1"/>
    <xf numFmtId="0" fontId="3" fillId="0" borderId="21" xfId="0" applyFont="1" applyBorder="1" applyAlignment="1">
      <alignment vertical="center"/>
    </xf>
    <xf numFmtId="0" fontId="3" fillId="0" borderId="22" xfId="0" applyNumberFormat="1" applyFont="1" applyBorder="1" applyAlignment="1">
      <alignment horizontal="center" vertical="center"/>
    </xf>
    <xf numFmtId="0" fontId="3" fillId="14" borderId="34" xfId="0" applyNumberFormat="1" applyFont="1" applyFill="1" applyBorder="1" applyAlignment="1">
      <alignment vertical="center"/>
    </xf>
    <xf numFmtId="0" fontId="3" fillId="14" borderId="29" xfId="0" applyFont="1" applyFill="1" applyBorder="1" applyAlignment="1">
      <alignment vertical="center"/>
    </xf>
    <xf numFmtId="0" fontId="3" fillId="14" borderId="35" xfId="0" applyNumberFormat="1" applyFont="1" applyFill="1" applyBorder="1" applyAlignment="1">
      <alignment vertical="center"/>
    </xf>
    <xf numFmtId="0" fontId="3" fillId="14" borderId="24" xfId="0" applyFont="1" applyFill="1" applyBorder="1" applyAlignment="1">
      <alignment vertical="center"/>
    </xf>
    <xf numFmtId="0" fontId="3" fillId="14" borderId="36" xfId="0" applyNumberFormat="1" applyFont="1" applyFill="1" applyBorder="1" applyAlignment="1">
      <alignment vertical="center"/>
    </xf>
    <xf numFmtId="0" fontId="3" fillId="14" borderId="37" xfId="0" applyFont="1" applyFill="1" applyBorder="1" applyAlignment="1">
      <alignment vertical="center"/>
    </xf>
    <xf numFmtId="0" fontId="3" fillId="14" borderId="11" xfId="0" applyNumberFormat="1" applyFont="1" applyFill="1" applyBorder="1" applyAlignment="1">
      <alignment horizontal="center" vertical="center"/>
    </xf>
    <xf numFmtId="0" fontId="3" fillId="14" borderId="38" xfId="0" applyNumberFormat="1" applyFont="1" applyFill="1" applyBorder="1" applyAlignment="1">
      <alignment horizontal="center" vertical="center"/>
    </xf>
    <xf numFmtId="0" fontId="3" fillId="14" borderId="38" xfId="0" applyFont="1" applyFill="1" applyBorder="1" applyAlignment="1">
      <alignment horizontal="center" vertical="center"/>
    </xf>
    <xf numFmtId="0" fontId="3" fillId="14" borderId="33" xfId="0" applyFont="1" applyFill="1" applyBorder="1" applyAlignment="1">
      <alignment vertical="center"/>
    </xf>
    <xf numFmtId="0" fontId="3" fillId="0" borderId="11" xfId="0" applyNumberFormat="1" applyFont="1" applyBorder="1" applyAlignment="1">
      <alignment vertical="center"/>
    </xf>
    <xf numFmtId="0" fontId="0" fillId="0" borderId="0" xfId="0" applyAlignment="1">
      <alignment wrapText="1"/>
    </xf>
    <xf numFmtId="0" fontId="0" fillId="20" borderId="44" xfId="0" applyFont="1" applyFill="1" applyBorder="1" applyAlignment="1">
      <alignment horizontal="left" vertical="top" wrapText="1"/>
    </xf>
    <xf numFmtId="0" fontId="0" fillId="20" borderId="32" xfId="0" applyFont="1" applyFill="1" applyBorder="1" applyAlignment="1">
      <alignment horizontal="left" vertical="top" wrapText="1"/>
    </xf>
    <xf numFmtId="0" fontId="0" fillId="20" borderId="42" xfId="0" applyFont="1" applyFill="1" applyBorder="1" applyAlignment="1">
      <alignment horizontal="left" vertical="top" wrapText="1"/>
    </xf>
    <xf numFmtId="0" fontId="0" fillId="20" borderId="45" xfId="0" applyFont="1" applyFill="1" applyBorder="1" applyAlignment="1">
      <alignment horizontal="left" vertical="top" wrapText="1"/>
    </xf>
    <xf numFmtId="0" fontId="1" fillId="0" borderId="43"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2" xfId="0" applyFont="1" applyFill="1" applyBorder="1" applyAlignment="1">
      <alignment horizontal="center" vertical="center" wrapText="1"/>
    </xf>
    <xf numFmtId="0" fontId="1" fillId="0" borderId="45" xfId="0" applyFont="1" applyFill="1" applyBorder="1" applyAlignment="1">
      <alignment horizontal="center" vertical="center" wrapText="1"/>
    </xf>
    <xf numFmtId="0" fontId="3" fillId="9" borderId="8" xfId="0" applyFont="1" applyFill="1" applyBorder="1" applyAlignment="1">
      <alignment horizontal="center"/>
    </xf>
    <xf numFmtId="0" fontId="3" fillId="9" borderId="10" xfId="0" applyFont="1" applyFill="1" applyBorder="1" applyAlignment="1">
      <alignment horizontal="center"/>
    </xf>
    <xf numFmtId="0" fontId="3" fillId="9" borderId="18" xfId="0" applyFont="1" applyFill="1" applyBorder="1" applyAlignment="1">
      <alignment horizontal="center"/>
    </xf>
    <xf numFmtId="0" fontId="3" fillId="14" borderId="46" xfId="0" applyNumberFormat="1" applyFont="1" applyFill="1" applyBorder="1" applyAlignment="1">
      <alignment vertical="center"/>
    </xf>
    <xf numFmtId="0" fontId="3" fillId="14" borderId="25" xfId="0" applyNumberFormat="1" applyFont="1" applyFill="1" applyBorder="1" applyAlignment="1">
      <alignment vertical="center"/>
    </xf>
    <xf numFmtId="0" fontId="3" fillId="14" borderId="1" xfId="0" applyNumberFormat="1" applyFont="1" applyFill="1" applyBorder="1" applyAlignment="1">
      <alignment vertical="center"/>
    </xf>
    <xf numFmtId="0" fontId="18" fillId="9" borderId="12" xfId="0" applyFont="1" applyFill="1" applyBorder="1" applyAlignment="1">
      <alignment horizontal="left"/>
    </xf>
    <xf numFmtId="0" fontId="7" fillId="13" borderId="7" xfId="0" applyFont="1" applyFill="1" applyBorder="1" applyAlignment="1">
      <alignment horizontal="center" vertical="center" wrapText="1"/>
    </xf>
    <xf numFmtId="0" fontId="7" fillId="13" borderId="6" xfId="0" applyFont="1" applyFill="1" applyBorder="1" applyAlignment="1">
      <alignment horizontal="center" vertical="center" wrapText="1"/>
    </xf>
    <xf numFmtId="0" fontId="7" fillId="13" borderId="5" xfId="0" applyFont="1" applyFill="1" applyBorder="1" applyAlignment="1">
      <alignment horizontal="center" vertical="center" wrapText="1"/>
    </xf>
    <xf numFmtId="14" fontId="3" fillId="0" borderId="9" xfId="0" applyNumberFormat="1" applyFont="1" applyBorder="1" applyAlignment="1">
      <alignment horizontal="center" vertical="center"/>
    </xf>
    <xf numFmtId="0" fontId="3" fillId="0" borderId="16"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7" xfId="0" applyFont="1" applyBorder="1" applyAlignment="1">
      <alignment horizontal="center" vertical="center"/>
    </xf>
    <xf numFmtId="14" fontId="3" fillId="0" borderId="11" xfId="0" applyNumberFormat="1" applyFont="1" applyBorder="1" applyAlignment="1">
      <alignment horizontal="center" vertical="center"/>
    </xf>
    <xf numFmtId="0" fontId="3" fillId="0" borderId="39" xfId="0" applyFont="1" applyBorder="1" applyAlignment="1">
      <alignment horizontal="center" vertical="center"/>
    </xf>
    <xf numFmtId="0" fontId="3" fillId="0" borderId="38" xfId="0" applyFont="1" applyBorder="1" applyAlignment="1">
      <alignment horizontal="left" vertical="center"/>
    </xf>
    <xf numFmtId="0" fontId="3" fillId="0" borderId="40" xfId="0" applyFont="1" applyBorder="1" applyAlignment="1">
      <alignment horizontal="left" vertical="center"/>
    </xf>
    <xf numFmtId="0" fontId="3" fillId="0" borderId="41" xfId="0" applyFont="1" applyBorder="1" applyAlignment="1">
      <alignment horizontal="left" vertical="center"/>
    </xf>
    <xf numFmtId="0" fontId="3" fillId="0" borderId="3" xfId="0" applyFont="1" applyBorder="1" applyAlignment="1">
      <alignment horizontal="left" vertical="center"/>
    </xf>
    <xf numFmtId="0" fontId="3" fillId="0" borderId="14" xfId="0" applyFont="1" applyBorder="1" applyAlignment="1">
      <alignment horizontal="left" vertical="center"/>
    </xf>
    <xf numFmtId="0" fontId="3" fillId="0" borderId="20" xfId="0" applyFont="1" applyBorder="1" applyAlignment="1">
      <alignment horizontal="left" vertical="center"/>
    </xf>
    <xf numFmtId="0" fontId="3" fillId="0" borderId="26" xfId="0" applyFont="1" applyBorder="1" applyAlignment="1">
      <alignment horizontal="left" vertical="center"/>
    </xf>
    <xf numFmtId="0" fontId="3" fillId="0" borderId="27" xfId="0" applyFont="1" applyBorder="1" applyAlignment="1">
      <alignment horizontal="left" vertical="center"/>
    </xf>
    <xf numFmtId="0" fontId="3" fillId="0" borderId="28" xfId="0" applyFont="1" applyBorder="1" applyAlignment="1">
      <alignment horizontal="left" vertical="center"/>
    </xf>
    <xf numFmtId="0" fontId="7" fillId="12" borderId="7" xfId="0" applyFont="1" applyFill="1" applyBorder="1" applyAlignment="1">
      <alignment horizontal="left"/>
    </xf>
    <xf numFmtId="0" fontId="7" fillId="12" borderId="6" xfId="0" applyFont="1" applyFill="1" applyBorder="1" applyAlignment="1">
      <alignment horizontal="left"/>
    </xf>
    <xf numFmtId="164" fontId="7" fillId="12" borderId="7" xfId="0" applyNumberFormat="1" applyFont="1" applyFill="1" applyBorder="1" applyAlignment="1">
      <alignment horizontal="left"/>
    </xf>
    <xf numFmtId="164" fontId="7" fillId="12" borderId="6" xfId="0" applyNumberFormat="1" applyFont="1" applyFill="1" applyBorder="1" applyAlignment="1">
      <alignment horizontal="left"/>
    </xf>
    <xf numFmtId="0" fontId="1" fillId="0" borderId="19" xfId="0" applyFont="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wrapText="1"/>
    </xf>
    <xf numFmtId="0" fontId="1" fillId="0" borderId="2" xfId="0" applyFont="1" applyBorder="1" applyAlignment="1">
      <alignment horizontal="center" vertical="center" wrapText="1"/>
    </xf>
    <xf numFmtId="0" fontId="1" fillId="2" borderId="7"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25" xfId="0" applyFont="1" applyBorder="1" applyAlignment="1">
      <alignment horizontal="center" vertical="center" wrapText="1"/>
    </xf>
    <xf numFmtId="164" fontId="7" fillId="12" borderId="7" xfId="0" applyNumberFormat="1" applyFont="1" applyFill="1" applyBorder="1" applyAlignment="1">
      <alignment horizontal="left" vertical="center"/>
    </xf>
    <xf numFmtId="164" fontId="7" fillId="12" borderId="6" xfId="0" applyNumberFormat="1" applyFont="1" applyFill="1" applyBorder="1" applyAlignment="1">
      <alignment horizontal="left" vertical="center"/>
    </xf>
    <xf numFmtId="164" fontId="7" fillId="12" borderId="5" xfId="0" applyNumberFormat="1" applyFont="1" applyFill="1" applyBorder="1" applyAlignment="1">
      <alignment horizontal="left" vertical="center"/>
    </xf>
    <xf numFmtId="0" fontId="16" fillId="18" borderId="0" xfId="0" applyFont="1" applyFill="1" applyBorder="1" applyAlignment="1">
      <alignment horizontal="center" vertical="center" wrapText="1"/>
    </xf>
  </cellXfs>
  <cellStyles count="8">
    <cellStyle name="Normal" xfId="0" builtinId="0"/>
    <cellStyle name="Normal 2" xfId="1" xr:uid="{00000000-0005-0000-0000-000001000000}"/>
    <cellStyle name="Normal 2 2" xfId="5" xr:uid="{00000000-0005-0000-0000-000002000000}"/>
    <cellStyle name="Normal 2 2 2" xfId="3" xr:uid="{00000000-0005-0000-0000-000003000000}"/>
    <cellStyle name="Normal 3" xfId="2" xr:uid="{00000000-0005-0000-0000-000004000000}"/>
    <cellStyle name="Normal 3 2" xfId="4" xr:uid="{00000000-0005-0000-0000-000005000000}"/>
    <cellStyle name="Normal 4" xfId="6" xr:uid="{00000000-0005-0000-0000-000006000000}"/>
    <cellStyle name="Pourcentage" xfId="7" builtinId="5"/>
  </cellStyles>
  <dxfs count="42">
    <dxf>
      <font>
        <color theme="6" tint="-0.499984740745262"/>
      </font>
      <fill>
        <patternFill>
          <bgColor theme="6" tint="0.79998168889431442"/>
        </patternFill>
      </fill>
    </dxf>
    <dxf>
      <font>
        <color rgb="FFFF0000"/>
      </font>
      <fill>
        <patternFill>
          <bgColor theme="5" tint="0.79998168889431442"/>
        </patternFill>
      </fill>
    </dxf>
    <dxf>
      <font>
        <color theme="6" tint="-0.499984740745262"/>
      </font>
      <fill>
        <patternFill>
          <bgColor theme="6" tint="0.79998168889431442"/>
        </patternFill>
      </fill>
    </dxf>
    <dxf>
      <font>
        <color rgb="FFFF0000"/>
      </font>
      <fill>
        <patternFill>
          <bgColor theme="5" tint="0.79998168889431442"/>
        </patternFill>
      </fill>
    </dxf>
    <dxf>
      <font>
        <color theme="6" tint="-0.499984740745262"/>
      </font>
      <fill>
        <patternFill>
          <bgColor theme="6" tint="0.79998168889431442"/>
        </patternFill>
      </fill>
    </dxf>
    <dxf>
      <font>
        <color rgb="FFFF0000"/>
      </font>
      <fill>
        <patternFill>
          <bgColor theme="5" tint="0.7999816888943144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trike val="0"/>
        <condense val="0"/>
        <extend val="0"/>
        <outline val="0"/>
        <shadow val="0"/>
        <u val="none"/>
        <vertAlign val="baseline"/>
        <sz val="11"/>
        <color auto="1"/>
        <name val="Calibri"/>
        <scheme val="minor"/>
      </font>
      <fill>
        <patternFill patternType="solid">
          <fgColor indexed="64"/>
          <bgColor theme="4" tint="0.59999389629810485"/>
        </patternFill>
      </fill>
      <alignment horizontal="center" vertical="center"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style="thin">
          <color theme="1"/>
        </left>
        <right style="thin">
          <color theme="1"/>
        </right>
        <top style="thin">
          <color theme="1"/>
        </top>
        <bottom style="thin">
          <color theme="1"/>
        </bottom>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border diagonalUp="0" diagonalDown="0" outline="0">
        <left/>
        <right style="thin">
          <color theme="1"/>
        </right>
        <top style="thin">
          <color theme="1"/>
        </top>
        <bottom style="thin">
          <color theme="1"/>
        </bottom>
      </border>
    </dxf>
    <dxf>
      <border outline="0">
        <left style="thin">
          <color theme="1"/>
        </left>
        <right style="thin">
          <color theme="1"/>
        </right>
      </border>
    </dxf>
    <dxf>
      <font>
        <b val="0"/>
        <i val="0"/>
        <strike val="0"/>
        <condense val="0"/>
        <extend val="0"/>
        <outline val="0"/>
        <shadow val="0"/>
        <u val="none"/>
        <vertAlign val="baseline"/>
        <sz val="11"/>
        <color theme="1"/>
        <name val="Calibri"/>
        <scheme val="minor"/>
      </font>
      <fill>
        <patternFill patternType="solid">
          <fgColor theme="0" tint="-0.14999847407452621"/>
          <bgColor theme="0" tint="-0.14999847407452621"/>
        </patternFill>
      </fill>
      <alignment horizontal="left" vertical="top"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theme="1"/>
        </left>
        <right style="thin">
          <color theme="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font>
        <strike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fill>
        <patternFill patternType="solid">
          <fgColor indexed="64"/>
          <bgColor theme="6" tint="0.59999389629810485"/>
        </patternFill>
      </fill>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6"/>
        <color theme="1"/>
        <name val="Calibri"/>
        <scheme val="minor"/>
      </font>
      <numFmt numFmtId="0" formatCode="General"/>
      <fill>
        <patternFill patternType="solid">
          <fgColor indexed="64"/>
          <bgColor theme="6" tint="0.5999938962981048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6"/>
        <color theme="1"/>
        <name val="Calibri"/>
        <scheme val="minor"/>
      </font>
      <numFmt numFmtId="165" formatCode="#,000"/>
      <fill>
        <patternFill patternType="solid">
          <fgColor indexed="64"/>
          <bgColor theme="6" tint="0.59999389629810485"/>
        </patternFill>
      </fill>
      <alignment horizontal="general" vertical="center" textRotation="0" wrapText="0" indent="0" justifyLastLine="0" shrinkToFit="0" readingOrder="0"/>
    </dxf>
    <dxf>
      <font>
        <b val="0"/>
        <i val="0"/>
        <strike val="0"/>
        <condense val="0"/>
        <extend val="0"/>
        <outline val="0"/>
        <shadow val="0"/>
        <u val="none"/>
        <vertAlign val="baseline"/>
        <sz val="16"/>
        <color theme="1"/>
        <name val="Calibri"/>
        <scheme val="minor"/>
      </font>
      <numFmt numFmtId="2" formatCode="0.00"/>
      <fill>
        <patternFill patternType="solid">
          <fgColor indexed="64"/>
          <bgColor theme="0" tint="-0.14999847407452621"/>
        </patternFill>
      </fill>
      <alignment horizontal="center" vertical="center" textRotation="0" wrapText="1" indent="0" justifyLastLine="0" shrinkToFit="0" readingOrder="0"/>
    </dxf>
  </dxfs>
  <tableStyles count="0" defaultTableStyle="TableStyleMedium2" defaultPivotStyle="PivotStyleMedium9"/>
  <colors>
    <mruColors>
      <color rgb="FF5F5F5F"/>
      <color rgb="FFBA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hartsheet" Target="chartsheets/sheet2.xml"/><Relationship Id="rId13" Type="http://schemas.openxmlformats.org/officeDocument/2006/relationships/chartsheet" Target="chartsheets/sheet4.xml"/><Relationship Id="rId18" Type="http://schemas.openxmlformats.org/officeDocument/2006/relationships/worksheet" Target="worksheets/sheet14.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6.xml"/><Relationship Id="rId12" Type="http://schemas.openxmlformats.org/officeDocument/2006/relationships/worksheet" Target="worksheets/sheet9.xml"/><Relationship Id="rId17" Type="http://schemas.openxmlformats.org/officeDocument/2006/relationships/worksheet" Target="worksheets/sheet13.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2.xml"/><Relationship Id="rId20" Type="http://schemas.openxmlformats.org/officeDocument/2006/relationships/externalLink" Target="externalLinks/externalLink2.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chartsheet" Target="chartsheets/sheet3.xml"/><Relationship Id="rId24" Type="http://schemas.openxmlformats.org/officeDocument/2006/relationships/pivotCacheDefinition" Target="pivotCache/pivotCacheDefinition4.xml"/><Relationship Id="rId5" Type="http://schemas.openxmlformats.org/officeDocument/2006/relationships/chartsheet" Target="chartsheets/sheet1.xml"/><Relationship Id="rId15" Type="http://schemas.openxmlformats.org/officeDocument/2006/relationships/worksheet" Target="worksheets/sheet11.xml"/><Relationship Id="rId23" Type="http://schemas.openxmlformats.org/officeDocument/2006/relationships/pivotCacheDefinition" Target="pivotCache/pivotCacheDefinition3.xml"/><Relationship Id="rId28" Type="http://schemas.openxmlformats.org/officeDocument/2006/relationships/calcChain" Target="calcChain.xml"/><Relationship Id="rId10" Type="http://schemas.openxmlformats.org/officeDocument/2006/relationships/worksheet" Target="worksheets/sheet8.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7.xml"/><Relationship Id="rId14" Type="http://schemas.openxmlformats.org/officeDocument/2006/relationships/worksheet" Target="worksheets/sheet10.xml"/><Relationship Id="rId22" Type="http://schemas.openxmlformats.org/officeDocument/2006/relationships/pivotCacheDefinition" Target="pivotCache/pivotCacheDefinition2.xml"/><Relationship Id="rId27" Type="http://schemas.openxmlformats.org/officeDocument/2006/relationships/sharedStrings" Target="sharedStrings.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661954963560215E-2"/>
          <c:y val="0.14661966108751268"/>
          <c:w val="0.9002738512986157"/>
          <c:h val="0.63968468033016779"/>
        </c:manualLayout>
      </c:layout>
      <c:barChart>
        <c:barDir val="col"/>
        <c:grouping val="clustered"/>
        <c:varyColors val="0"/>
        <c:ser>
          <c:idx val="0"/>
          <c:order val="0"/>
          <c:tx>
            <c:v>R1</c:v>
          </c:tx>
          <c:spPr>
            <a:solidFill>
              <a:srgbClr val="00B050"/>
            </a:solidFill>
          </c:spPr>
          <c:invertIfNegative val="0"/>
          <c:errBars>
            <c:errBarType val="plus"/>
            <c:errValType val="cust"/>
            <c:noEndCap val="0"/>
            <c:plus>
              <c:numRef>
                <c:f>'R1'!$N$48:$V$48</c:f>
                <c:numCache>
                  <c:formatCode>General</c:formatCode>
                  <c:ptCount val="9"/>
                  <c:pt idx="0">
                    <c:v>0</c:v>
                  </c:pt>
                  <c:pt idx="1">
                    <c:v>8.3932038884731969E-2</c:v>
                  </c:pt>
                  <c:pt idx="2">
                    <c:v>8.6922606104119587E-2</c:v>
                  </c:pt>
                  <c:pt idx="3">
                    <c:v>1.8265771724455086E-2</c:v>
                  </c:pt>
                  <c:pt idx="4">
                    <c:v>0.14475780942660837</c:v>
                  </c:pt>
                  <c:pt idx="5">
                    <c:v>0.15215660184254445</c:v>
                  </c:pt>
                  <c:pt idx="6">
                    <c:v>0.12453190738723369</c:v>
                  </c:pt>
                  <c:pt idx="7">
                    <c:v>0.16544920938501304</c:v>
                  </c:pt>
                  <c:pt idx="8">
                    <c:v>0.11755298487615423</c:v>
                  </c:pt>
                </c:numCache>
              </c:numRef>
            </c:plus>
            <c:minus>
              <c:numRef>
                <c:f>'R1'!$N$48:$V$48</c:f>
                <c:numCache>
                  <c:formatCode>General</c:formatCode>
                  <c:ptCount val="9"/>
                  <c:pt idx="0">
                    <c:v>0</c:v>
                  </c:pt>
                  <c:pt idx="1">
                    <c:v>8.3932038884731969E-2</c:v>
                  </c:pt>
                  <c:pt idx="2">
                    <c:v>8.6922606104119587E-2</c:v>
                  </c:pt>
                  <c:pt idx="3">
                    <c:v>1.8265771724455086E-2</c:v>
                  </c:pt>
                  <c:pt idx="4">
                    <c:v>0.14475780942660837</c:v>
                  </c:pt>
                  <c:pt idx="5">
                    <c:v>0.15215660184254445</c:v>
                  </c:pt>
                  <c:pt idx="6">
                    <c:v>0.12453190738723369</c:v>
                  </c:pt>
                  <c:pt idx="7">
                    <c:v>0.16544920938501304</c:v>
                  </c:pt>
                  <c:pt idx="8">
                    <c:v>0.11755298487615423</c:v>
                  </c:pt>
                </c:numCache>
              </c:numRef>
            </c:minus>
          </c:errBars>
          <c:cat>
            <c:strRef>
              <c:f>'R1'!$B$52:$V$52</c:f>
              <c:strCache>
                <c:ptCount val="21"/>
                <c:pt idx="0">
                  <c:v>Témoin solvant</c:v>
                </c:pt>
                <c:pt idx="1">
                  <c:v>EE2-33,8ng/L</c:v>
                </c:pt>
                <c:pt idx="2">
                  <c:v>EE2-50,6ng/L</c:v>
                </c:pt>
                <c:pt idx="3">
                  <c:v>EE2-76ng/L</c:v>
                </c:pt>
                <c:pt idx="4">
                  <c:v>EE2-114ng/L</c:v>
                </c:pt>
                <c:pt idx="5">
                  <c:v>EE2-170,9ng/L</c:v>
                </c:pt>
                <c:pt idx="6">
                  <c:v>EE2-488ng/L</c:v>
                </c:pt>
                <c:pt idx="7">
                  <c:v>Cromolyn-0,1µg/L</c:v>
                </c:pt>
                <c:pt idx="8">
                  <c:v>Cromolyn-1µg/L</c:v>
                </c:pt>
                <c:pt idx="9">
                  <c:v>Cromolyn-10µg/L</c:v>
                </c:pt>
                <c:pt idx="10">
                  <c:v>Cromolyn-100µg/L</c:v>
                </c:pt>
                <c:pt idx="11">
                  <c:v>Cromolyn-1000µg/L</c:v>
                </c:pt>
                <c:pt idx="13">
                  <c:v>Testo -30µg/L</c:v>
                </c:pt>
                <c:pt idx="14">
                  <c:v>Testo 30µg/L + EE2 -64ng/L</c:v>
                </c:pt>
                <c:pt idx="15">
                  <c:v>Testo 30µg/L + FAD-10mg/L</c:v>
                </c:pt>
                <c:pt idx="16">
                  <c:v>Cromolyn-0,1µg/L + Testostérone</c:v>
                </c:pt>
                <c:pt idx="17">
                  <c:v>Cromolyn-1µg/L + Testostérone</c:v>
                </c:pt>
                <c:pt idx="18">
                  <c:v>Cromolyn-10µg/L + Testostérone</c:v>
                </c:pt>
                <c:pt idx="19">
                  <c:v>Cromolyn-100µg/L + Testostérone</c:v>
                </c:pt>
                <c:pt idx="20">
                  <c:v>Cromolyn-1000µg/L + Testostérone</c:v>
                </c:pt>
              </c:strCache>
            </c:strRef>
          </c:cat>
          <c:val>
            <c:numRef>
              <c:f>'R1'!$B$53:$V$53</c:f>
              <c:numCache>
                <c:formatCode>0.0000</c:formatCode>
                <c:ptCount val="21"/>
                <c:pt idx="0">
                  <c:v>0.11489181008634612</c:v>
                </c:pt>
                <c:pt idx="1">
                  <c:v>0.14101713883691763</c:v>
                </c:pt>
                <c:pt idx="2">
                  <c:v>8.818283625057588E-2</c:v>
                </c:pt>
                <c:pt idx="3">
                  <c:v>0.10444153667219903</c:v>
                </c:pt>
                <c:pt idx="4">
                  <c:v>0.60443260772762331</c:v>
                </c:pt>
                <c:pt idx="5">
                  <c:v>0.96285727492017503</c:v>
                </c:pt>
                <c:pt idx="6">
                  <c:v>1.5919333625468177</c:v>
                </c:pt>
                <c:pt idx="7">
                  <c:v>7.5129170281245217E-2</c:v>
                </c:pt>
                <c:pt idx="8">
                  <c:v>7.2335978661506831E-2</c:v>
                </c:pt>
                <c:pt idx="9">
                  <c:v>7.1899354900272272E-2</c:v>
                </c:pt>
                <c:pt idx="10">
                  <c:v>0.12613722602250121</c:v>
                </c:pt>
                <c:pt idx="11">
                  <c:v>0.10539892053666466</c:v>
                </c:pt>
                <c:pt idx="13">
                  <c:v>1.0000000000000002</c:v>
                </c:pt>
                <c:pt idx="14">
                  <c:v>1.3567342200028107</c:v>
                </c:pt>
                <c:pt idx="15">
                  <c:v>9.655277458972944E-2</c:v>
                </c:pt>
                <c:pt idx="16">
                  <c:v>1.0731054987418565</c:v>
                </c:pt>
                <c:pt idx="17">
                  <c:v>0.85259154450445163</c:v>
                </c:pt>
                <c:pt idx="18">
                  <c:v>0.68429913215032478</c:v>
                </c:pt>
                <c:pt idx="19">
                  <c:v>0.97549641930710862</c:v>
                </c:pt>
                <c:pt idx="20">
                  <c:v>1.169946940200518</c:v>
                </c:pt>
              </c:numCache>
            </c:numRef>
          </c:val>
          <c:extLst>
            <c:ext xmlns:c16="http://schemas.microsoft.com/office/drawing/2014/chart" uri="{C3380CC4-5D6E-409C-BE32-E72D297353CC}">
              <c16:uniqueId val="{00000000-4E48-433F-93CE-959A7E8575BB}"/>
            </c:ext>
          </c:extLst>
        </c:ser>
        <c:dLbls>
          <c:showLegendKey val="0"/>
          <c:showVal val="0"/>
          <c:showCatName val="0"/>
          <c:showSerName val="0"/>
          <c:showPercent val="0"/>
          <c:showBubbleSize val="0"/>
        </c:dLbls>
        <c:gapWidth val="150"/>
        <c:axId val="324817512"/>
        <c:axId val="324817904"/>
      </c:barChart>
      <c:catAx>
        <c:axId val="324817512"/>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7904"/>
        <c:crosses val="autoZero"/>
        <c:auto val="1"/>
        <c:lblAlgn val="ctr"/>
        <c:lblOffset val="100"/>
        <c:noMultiLvlLbl val="0"/>
      </c:catAx>
      <c:valAx>
        <c:axId val="324817904"/>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7512"/>
        <c:crosses val="autoZero"/>
        <c:crossBetween val="between"/>
        <c:majorUnit val="0.2"/>
        <c:minorUnit val="0.1"/>
      </c:valAx>
    </c:plotArea>
    <c:plotVisOnly val="1"/>
    <c:dispBlanksAs val="gap"/>
    <c:showDLblsOverMax val="0"/>
  </c:chart>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'R2'!$B$54:$V$54</c:f>
                <c:numCache>
                  <c:formatCode>General</c:formatCode>
                  <c:ptCount val="21"/>
                  <c:pt idx="0">
                    <c:v>3.6836892572494992E-2</c:v>
                  </c:pt>
                  <c:pt idx="1">
                    <c:v>2.7891165155883149E-2</c:v>
                  </c:pt>
                  <c:pt idx="2">
                    <c:v>4.1233162267858572E-2</c:v>
                  </c:pt>
                  <c:pt idx="3">
                    <c:v>7.8217373290033559E-2</c:v>
                  </c:pt>
                  <c:pt idx="4">
                    <c:v>0.1178722812946864</c:v>
                  </c:pt>
                  <c:pt idx="5">
                    <c:v>0.12506354617623403</c:v>
                  </c:pt>
                  <c:pt idx="6">
                    <c:v>0.18695959958522365</c:v>
                  </c:pt>
                  <c:pt idx="7">
                    <c:v>1.5583626618771107E-2</c:v>
                  </c:pt>
                  <c:pt idx="8">
                    <c:v>1.3578981346123786E-2</c:v>
                  </c:pt>
                  <c:pt idx="9">
                    <c:v>2.1366572129089146E-2</c:v>
                  </c:pt>
                  <c:pt idx="10">
                    <c:v>2.4881807550573135E-2</c:v>
                  </c:pt>
                  <c:pt idx="11">
                    <c:v>3.3810417557342223E-2</c:v>
                  </c:pt>
                  <c:pt idx="13">
                    <c:v>6.9583191972160258E-2</c:v>
                  </c:pt>
                  <c:pt idx="14">
                    <c:v>0.23459879514090404</c:v>
                  </c:pt>
                  <c:pt idx="15">
                    <c:v>3.3681443292912797E-2</c:v>
                  </c:pt>
                  <c:pt idx="16">
                    <c:v>0.13251468377654479</c:v>
                  </c:pt>
                  <c:pt idx="17">
                    <c:v>0.11260051043669027</c:v>
                  </c:pt>
                  <c:pt idx="18">
                    <c:v>5.5856916697719083E-2</c:v>
                  </c:pt>
                  <c:pt idx="19">
                    <c:v>0.17636757659480098</c:v>
                  </c:pt>
                  <c:pt idx="20">
                    <c:v>7.2284219951112325E-2</c:v>
                  </c:pt>
                </c:numCache>
              </c:numRef>
            </c:plus>
            <c:minus>
              <c:numRef>
                <c:f>'R1'!$N$48:$V$48</c:f>
                <c:numCache>
                  <c:formatCode>General</c:formatCode>
                  <c:ptCount val="9"/>
                  <c:pt idx="0">
                    <c:v>0</c:v>
                  </c:pt>
                  <c:pt idx="1">
                    <c:v>8.3932038884731969E-2</c:v>
                  </c:pt>
                  <c:pt idx="2">
                    <c:v>8.6922606104119587E-2</c:v>
                  </c:pt>
                  <c:pt idx="3">
                    <c:v>1.8265771724455086E-2</c:v>
                  </c:pt>
                  <c:pt idx="4">
                    <c:v>0.14475780942660837</c:v>
                  </c:pt>
                  <c:pt idx="5">
                    <c:v>0.15215660184254445</c:v>
                  </c:pt>
                  <c:pt idx="6">
                    <c:v>0.12453190738723369</c:v>
                  </c:pt>
                  <c:pt idx="7">
                    <c:v>0.16544920938501304</c:v>
                  </c:pt>
                  <c:pt idx="8">
                    <c:v>0.11755298487615423</c:v>
                  </c:pt>
                </c:numCache>
              </c:numRef>
            </c:minus>
          </c:errBars>
          <c:cat>
            <c:strRef>
              <c:f>'R2'!$B$52:$V$52</c:f>
              <c:strCache>
                <c:ptCount val="21"/>
                <c:pt idx="0">
                  <c:v>Témoin solvant</c:v>
                </c:pt>
                <c:pt idx="1">
                  <c:v>EE2-33,8ng/L</c:v>
                </c:pt>
                <c:pt idx="2">
                  <c:v>EE2-50,6ng/L</c:v>
                </c:pt>
                <c:pt idx="3">
                  <c:v>EE2-76ng/L</c:v>
                </c:pt>
                <c:pt idx="4">
                  <c:v>EE2-114ng/L</c:v>
                </c:pt>
                <c:pt idx="5">
                  <c:v>EE2-170,9ng/L</c:v>
                </c:pt>
                <c:pt idx="6">
                  <c:v>EE2-488ng/L</c:v>
                </c:pt>
                <c:pt idx="7">
                  <c:v>Cromolyn-0,1µg/L</c:v>
                </c:pt>
                <c:pt idx="8">
                  <c:v>Cromolyn-1µg/L</c:v>
                </c:pt>
                <c:pt idx="9">
                  <c:v>Cromolyn-10µg/L</c:v>
                </c:pt>
                <c:pt idx="10">
                  <c:v>Cromolyn-100µg/L</c:v>
                </c:pt>
                <c:pt idx="11">
                  <c:v>Cromolyn-1000µg/L</c:v>
                </c:pt>
                <c:pt idx="13">
                  <c:v>Testo -30µg/L</c:v>
                </c:pt>
                <c:pt idx="14">
                  <c:v>Testo 30µg/L + EE2 -64ng/L</c:v>
                </c:pt>
                <c:pt idx="15">
                  <c:v>Testo 30µg/L + FAD-10mg/L</c:v>
                </c:pt>
                <c:pt idx="16">
                  <c:v>Cromolyn-0,1µg/L + Testostérone</c:v>
                </c:pt>
                <c:pt idx="17">
                  <c:v>Cromolyn-1µg/L + Testostérone</c:v>
                </c:pt>
                <c:pt idx="18">
                  <c:v>Cromolyn-10µg/L + Testostérone</c:v>
                </c:pt>
                <c:pt idx="19">
                  <c:v>Cromolyn-100µg/L + Testostérone</c:v>
                </c:pt>
                <c:pt idx="20">
                  <c:v>Cromolyn-1000µg/L + Testostérone</c:v>
                </c:pt>
              </c:strCache>
            </c:strRef>
          </c:cat>
          <c:val>
            <c:numRef>
              <c:f>'R2'!$B$53:$V$53</c:f>
              <c:numCache>
                <c:formatCode>0.0000</c:formatCode>
                <c:ptCount val="21"/>
                <c:pt idx="0">
                  <c:v>0.1465339520395878</c:v>
                </c:pt>
                <c:pt idx="1">
                  <c:v>8.2070912161665052E-2</c:v>
                </c:pt>
                <c:pt idx="2">
                  <c:v>9.0890525357313803E-2</c:v>
                </c:pt>
                <c:pt idx="3">
                  <c:v>0.23860781743255571</c:v>
                </c:pt>
                <c:pt idx="4">
                  <c:v>0.58171193723277703</c:v>
                </c:pt>
                <c:pt idx="5">
                  <c:v>0.91214555627620131</c:v>
                </c:pt>
                <c:pt idx="6">
                  <c:v>1.8840788319230755</c:v>
                </c:pt>
                <c:pt idx="7">
                  <c:v>0.13575804358361562</c:v>
                </c:pt>
                <c:pt idx="8">
                  <c:v>8.9019787833834144E-2</c:v>
                </c:pt>
                <c:pt idx="9">
                  <c:v>9.5186975508655333E-2</c:v>
                </c:pt>
                <c:pt idx="10">
                  <c:v>0.11866842065474902</c:v>
                </c:pt>
                <c:pt idx="11">
                  <c:v>0.12084906676571047</c:v>
                </c:pt>
                <c:pt idx="13">
                  <c:v>1</c:v>
                </c:pt>
                <c:pt idx="14">
                  <c:v>1.2190250310744246</c:v>
                </c:pt>
                <c:pt idx="15">
                  <c:v>8.3106874323942467E-2</c:v>
                </c:pt>
                <c:pt idx="16">
                  <c:v>0.41637047293156854</c:v>
                </c:pt>
                <c:pt idx="17">
                  <c:v>0.45164214794779783</c:v>
                </c:pt>
                <c:pt idx="18">
                  <c:v>0.291893457163721</c:v>
                </c:pt>
                <c:pt idx="19">
                  <c:v>0.53456655296012801</c:v>
                </c:pt>
                <c:pt idx="20">
                  <c:v>0.31367676655819732</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324818296"/>
        <c:axId val="324818688"/>
      </c:barChart>
      <c:catAx>
        <c:axId val="324818296"/>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324818688"/>
        <c:crosses val="autoZero"/>
        <c:auto val="1"/>
        <c:lblAlgn val="ctr"/>
        <c:lblOffset val="100"/>
        <c:noMultiLvlLbl val="0"/>
      </c:catAx>
      <c:valAx>
        <c:axId val="324818688"/>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324818296"/>
        <c:crosses val="autoZero"/>
        <c:crossBetween val="between"/>
        <c:majorUnit val="0.2"/>
      </c:valAx>
    </c:plotArea>
    <c:plotVisOnly val="1"/>
    <c:dispBlanksAs val="gap"/>
    <c:showDLblsOverMax val="0"/>
  </c:chart>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7395319521821627E-2"/>
          <c:y val="0.14871824529979213"/>
          <c:w val="0.9002738512986157"/>
          <c:h val="0.63968468033016779"/>
        </c:manualLayout>
      </c:layout>
      <c:barChart>
        <c:barDir val="col"/>
        <c:grouping val="clustered"/>
        <c:varyColors val="0"/>
        <c:ser>
          <c:idx val="0"/>
          <c:order val="0"/>
          <c:tx>
            <c:v>R2</c:v>
          </c:tx>
          <c:spPr>
            <a:solidFill>
              <a:schemeClr val="accent2"/>
            </a:solidFill>
          </c:spPr>
          <c:invertIfNegative val="0"/>
          <c:dPt>
            <c:idx val="9"/>
            <c:invertIfNegative val="0"/>
            <c:bubble3D val="0"/>
            <c:spPr>
              <a:solidFill>
                <a:schemeClr val="bg1">
                  <a:lumMod val="65000"/>
                </a:schemeClr>
              </a:solidFill>
            </c:spPr>
            <c:extLst>
              <c:ext xmlns:c16="http://schemas.microsoft.com/office/drawing/2014/chart" uri="{C3380CC4-5D6E-409C-BE32-E72D297353CC}">
                <c16:uniqueId val="{00000001-EED2-4ACE-91AA-7F8713196E92}"/>
              </c:ext>
            </c:extLst>
          </c:dPt>
          <c:dPt>
            <c:idx val="11"/>
            <c:invertIfNegative val="0"/>
            <c:bubble3D val="0"/>
            <c:spPr>
              <a:solidFill>
                <a:schemeClr val="bg1">
                  <a:lumMod val="65000"/>
                </a:schemeClr>
              </a:solidFill>
            </c:spPr>
            <c:extLst>
              <c:ext xmlns:c16="http://schemas.microsoft.com/office/drawing/2014/chart" uri="{C3380CC4-5D6E-409C-BE32-E72D297353CC}">
                <c16:uniqueId val="{00000003-EED2-4ACE-91AA-7F8713196E92}"/>
              </c:ext>
            </c:extLst>
          </c:dPt>
          <c:dPt>
            <c:idx val="13"/>
            <c:invertIfNegative val="0"/>
            <c:bubble3D val="0"/>
            <c:spPr>
              <a:solidFill>
                <a:schemeClr val="bg1">
                  <a:lumMod val="65000"/>
                </a:schemeClr>
              </a:solidFill>
            </c:spPr>
            <c:extLst>
              <c:ext xmlns:c16="http://schemas.microsoft.com/office/drawing/2014/chart" uri="{C3380CC4-5D6E-409C-BE32-E72D297353CC}">
                <c16:uniqueId val="{00000005-EED2-4ACE-91AA-7F8713196E92}"/>
              </c:ext>
            </c:extLst>
          </c:dPt>
          <c:dPt>
            <c:idx val="15"/>
            <c:invertIfNegative val="0"/>
            <c:bubble3D val="0"/>
            <c:spPr>
              <a:solidFill>
                <a:schemeClr val="bg1">
                  <a:lumMod val="65000"/>
                </a:schemeClr>
              </a:solidFill>
            </c:spPr>
            <c:extLst>
              <c:ext xmlns:c16="http://schemas.microsoft.com/office/drawing/2014/chart" uri="{C3380CC4-5D6E-409C-BE32-E72D297353CC}">
                <c16:uniqueId val="{00000007-EED2-4ACE-91AA-7F8713196E92}"/>
              </c:ext>
            </c:extLst>
          </c:dPt>
          <c:dPt>
            <c:idx val="25"/>
            <c:invertIfNegative val="0"/>
            <c:bubble3D val="0"/>
            <c:spPr>
              <a:solidFill>
                <a:srgbClr val="00B050"/>
              </a:solidFill>
            </c:spPr>
            <c:extLst>
              <c:ext xmlns:c16="http://schemas.microsoft.com/office/drawing/2014/chart" uri="{C3380CC4-5D6E-409C-BE32-E72D297353CC}">
                <c16:uniqueId val="{00000009-EED2-4ACE-91AA-7F8713196E92}"/>
              </c:ext>
            </c:extLst>
          </c:dPt>
          <c:dPt>
            <c:idx val="26"/>
            <c:invertIfNegative val="0"/>
            <c:bubble3D val="0"/>
            <c:spPr>
              <a:solidFill>
                <a:srgbClr val="FF0000"/>
              </a:solidFill>
            </c:spPr>
            <c:extLst>
              <c:ext xmlns:c16="http://schemas.microsoft.com/office/drawing/2014/chart" uri="{C3380CC4-5D6E-409C-BE32-E72D297353CC}">
                <c16:uniqueId val="{0000000B-EED2-4ACE-91AA-7F8713196E92}"/>
              </c:ext>
            </c:extLst>
          </c:dPt>
          <c:dPt>
            <c:idx val="27"/>
            <c:invertIfNegative val="0"/>
            <c:bubble3D val="0"/>
            <c:spPr>
              <a:solidFill>
                <a:srgbClr val="0070C0"/>
              </a:solidFill>
            </c:spPr>
            <c:extLst>
              <c:ext xmlns:c16="http://schemas.microsoft.com/office/drawing/2014/chart" uri="{C3380CC4-5D6E-409C-BE32-E72D297353CC}">
                <c16:uniqueId val="{0000000D-EED2-4ACE-91AA-7F8713196E92}"/>
              </c:ext>
            </c:extLst>
          </c:dPt>
          <c:dPt>
            <c:idx val="28"/>
            <c:invertIfNegative val="0"/>
            <c:bubble3D val="0"/>
            <c:spPr>
              <a:solidFill>
                <a:schemeClr val="bg1">
                  <a:lumMod val="65000"/>
                </a:schemeClr>
              </a:solidFill>
            </c:spPr>
            <c:extLst>
              <c:ext xmlns:c16="http://schemas.microsoft.com/office/drawing/2014/chart" uri="{C3380CC4-5D6E-409C-BE32-E72D297353CC}">
                <c16:uniqueId val="{0000000F-EED2-4ACE-91AA-7F8713196E92}"/>
              </c:ext>
            </c:extLst>
          </c:dPt>
          <c:dPt>
            <c:idx val="30"/>
            <c:invertIfNegative val="0"/>
            <c:bubble3D val="0"/>
            <c:spPr>
              <a:solidFill>
                <a:schemeClr val="bg1">
                  <a:lumMod val="65000"/>
                </a:schemeClr>
              </a:solidFill>
            </c:spPr>
            <c:extLst>
              <c:ext xmlns:c16="http://schemas.microsoft.com/office/drawing/2014/chart" uri="{C3380CC4-5D6E-409C-BE32-E72D297353CC}">
                <c16:uniqueId val="{00000011-EED2-4ACE-91AA-7F8713196E92}"/>
              </c:ext>
            </c:extLst>
          </c:dPt>
          <c:dPt>
            <c:idx val="32"/>
            <c:invertIfNegative val="0"/>
            <c:bubble3D val="0"/>
            <c:spPr>
              <a:solidFill>
                <a:schemeClr val="bg1">
                  <a:lumMod val="65000"/>
                </a:schemeClr>
              </a:solidFill>
            </c:spPr>
            <c:extLst>
              <c:ext xmlns:c16="http://schemas.microsoft.com/office/drawing/2014/chart" uri="{C3380CC4-5D6E-409C-BE32-E72D297353CC}">
                <c16:uniqueId val="{00000013-EED2-4ACE-91AA-7F8713196E92}"/>
              </c:ext>
            </c:extLst>
          </c:dPt>
          <c:dPt>
            <c:idx val="34"/>
            <c:invertIfNegative val="0"/>
            <c:bubble3D val="0"/>
            <c:spPr>
              <a:solidFill>
                <a:schemeClr val="bg1">
                  <a:lumMod val="65000"/>
                </a:schemeClr>
              </a:solidFill>
            </c:spPr>
            <c:extLst>
              <c:ext xmlns:c16="http://schemas.microsoft.com/office/drawing/2014/chart" uri="{C3380CC4-5D6E-409C-BE32-E72D297353CC}">
                <c16:uniqueId val="{00000015-EED2-4ACE-91AA-7F8713196E92}"/>
              </c:ext>
            </c:extLst>
          </c:dPt>
          <c:errBars>
            <c:errBarType val="plus"/>
            <c:errValType val="cust"/>
            <c:noEndCap val="0"/>
            <c:plus>
              <c:numRef>
                <c:f>'R3'!$B$54:$V$54</c:f>
                <c:numCache>
                  <c:formatCode>General</c:formatCode>
                  <c:ptCount val="21"/>
                  <c:pt idx="0">
                    <c:v>3.013597587535877E-2</c:v>
                  </c:pt>
                  <c:pt idx="1">
                    <c:v>2.880395602089637E-2</c:v>
                  </c:pt>
                  <c:pt idx="2">
                    <c:v>3.5169303062068093E-2</c:v>
                  </c:pt>
                  <c:pt idx="3">
                    <c:v>5.6835308877692281E-2</c:v>
                  </c:pt>
                  <c:pt idx="4">
                    <c:v>0.10601056477925694</c:v>
                  </c:pt>
                  <c:pt idx="5">
                    <c:v>0.16683544125493749</c:v>
                  </c:pt>
                  <c:pt idx="6">
                    <c:v>0.29676418076235878</c:v>
                  </c:pt>
                  <c:pt idx="7">
                    <c:v>3.2696534468696734E-2</c:v>
                  </c:pt>
                  <c:pt idx="8">
                    <c:v>2.3473299403619755E-2</c:v>
                  </c:pt>
                  <c:pt idx="9">
                    <c:v>1.8285453794070351E-2</c:v>
                  </c:pt>
                  <c:pt idx="10">
                    <c:v>3.7583455230354321E-2</c:v>
                  </c:pt>
                  <c:pt idx="11">
                    <c:v>6.6178839950149171E-2</c:v>
                  </c:pt>
                  <c:pt idx="13">
                    <c:v>0.1994436221325693</c:v>
                  </c:pt>
                  <c:pt idx="14">
                    <c:v>0.19222381478900905</c:v>
                  </c:pt>
                  <c:pt idx="15">
                    <c:v>3.4183613347547825E-2</c:v>
                  </c:pt>
                  <c:pt idx="16">
                    <c:v>0.29987197680369493</c:v>
                  </c:pt>
                  <c:pt idx="17">
                    <c:v>0.27952825364635647</c:v>
                  </c:pt>
                  <c:pt idx="18">
                    <c:v>0.24387698140712388</c:v>
                  </c:pt>
                  <c:pt idx="19">
                    <c:v>0.29921364652708565</c:v>
                  </c:pt>
                  <c:pt idx="20">
                    <c:v>0.23095524562011543</c:v>
                  </c:pt>
                </c:numCache>
              </c:numRef>
            </c:plus>
            <c:minus>
              <c:numRef>
                <c:f>'R1'!$N$48:$V$48</c:f>
                <c:numCache>
                  <c:formatCode>General</c:formatCode>
                  <c:ptCount val="9"/>
                  <c:pt idx="0">
                    <c:v>0</c:v>
                  </c:pt>
                  <c:pt idx="1">
                    <c:v>8.3932038884731969E-2</c:v>
                  </c:pt>
                  <c:pt idx="2">
                    <c:v>8.6922606104119587E-2</c:v>
                  </c:pt>
                  <c:pt idx="3">
                    <c:v>1.8265771724455086E-2</c:v>
                  </c:pt>
                  <c:pt idx="4">
                    <c:v>0.14475780942660837</c:v>
                  </c:pt>
                  <c:pt idx="5">
                    <c:v>0.15215660184254445</c:v>
                  </c:pt>
                  <c:pt idx="6">
                    <c:v>0.12453190738723369</c:v>
                  </c:pt>
                  <c:pt idx="7">
                    <c:v>0.16544920938501304</c:v>
                  </c:pt>
                  <c:pt idx="8">
                    <c:v>0.11755298487615423</c:v>
                  </c:pt>
                </c:numCache>
              </c:numRef>
            </c:minus>
          </c:errBars>
          <c:cat>
            <c:strRef>
              <c:f>'R3'!$B$52:$V$52</c:f>
              <c:strCache>
                <c:ptCount val="21"/>
                <c:pt idx="0">
                  <c:v>Témoin solvant</c:v>
                </c:pt>
                <c:pt idx="1">
                  <c:v>EE2-33,8ng/L</c:v>
                </c:pt>
                <c:pt idx="2">
                  <c:v>EE2-50,6ng/L</c:v>
                </c:pt>
                <c:pt idx="3">
                  <c:v>EE2-76ng/L</c:v>
                </c:pt>
                <c:pt idx="4">
                  <c:v>EE2-114ng/L</c:v>
                </c:pt>
                <c:pt idx="5">
                  <c:v>EE2-170,9ng/L</c:v>
                </c:pt>
                <c:pt idx="6">
                  <c:v>EE2-488ng/L</c:v>
                </c:pt>
                <c:pt idx="7">
                  <c:v>Cromolyn-0,1µg/L</c:v>
                </c:pt>
                <c:pt idx="8">
                  <c:v>Cromolyn-1µg/L</c:v>
                </c:pt>
                <c:pt idx="9">
                  <c:v>Cromolyn-10µg/L</c:v>
                </c:pt>
                <c:pt idx="10">
                  <c:v>Cromolyn-100µg/L</c:v>
                </c:pt>
                <c:pt idx="11">
                  <c:v>Cromolyn-1000µg/L</c:v>
                </c:pt>
                <c:pt idx="13">
                  <c:v>Testo -30µg/L</c:v>
                </c:pt>
                <c:pt idx="14">
                  <c:v>Testo 30µg/L + EE2 -64ng/L</c:v>
                </c:pt>
                <c:pt idx="15">
                  <c:v>Testo 30µg/L + FAD-10mg/L</c:v>
                </c:pt>
                <c:pt idx="16">
                  <c:v>Cromolyn-0,1µg/L + Testostérone</c:v>
                </c:pt>
                <c:pt idx="17">
                  <c:v>Cromolyn-1µg/L + Testostérone</c:v>
                </c:pt>
                <c:pt idx="18">
                  <c:v>Cromolyn-10µg/L + Testostérone</c:v>
                </c:pt>
                <c:pt idx="19">
                  <c:v>Cromolyn-100µg/L + Testostérone</c:v>
                </c:pt>
                <c:pt idx="20">
                  <c:v>Cromolyn-1000µg/L + Testostérone</c:v>
                </c:pt>
              </c:strCache>
            </c:strRef>
          </c:cat>
          <c:val>
            <c:numRef>
              <c:f>'R3'!$B$53:$V$53</c:f>
              <c:numCache>
                <c:formatCode>0.0000</c:formatCode>
                <c:ptCount val="21"/>
                <c:pt idx="0">
                  <c:v>8.2806326766790811E-2</c:v>
                </c:pt>
                <c:pt idx="1">
                  <c:v>9.2246374504522582E-2</c:v>
                </c:pt>
                <c:pt idx="2">
                  <c:v>0.10678586291594343</c:v>
                </c:pt>
                <c:pt idx="3">
                  <c:v>0.18158175133720372</c:v>
                </c:pt>
                <c:pt idx="4">
                  <c:v>0.63963658765519982</c:v>
                </c:pt>
                <c:pt idx="5">
                  <c:v>1.1336668343966136</c:v>
                </c:pt>
                <c:pt idx="6">
                  <c:v>2.3612890521566445</c:v>
                </c:pt>
                <c:pt idx="7">
                  <c:v>0.12155522682764261</c:v>
                </c:pt>
                <c:pt idx="8">
                  <c:v>9.5449479282099112E-2</c:v>
                </c:pt>
                <c:pt idx="9">
                  <c:v>5.4143604150173719E-2</c:v>
                </c:pt>
                <c:pt idx="10">
                  <c:v>0.12018895542738178</c:v>
                </c:pt>
                <c:pt idx="11">
                  <c:v>0.23642889084686511</c:v>
                </c:pt>
                <c:pt idx="13">
                  <c:v>1</c:v>
                </c:pt>
                <c:pt idx="14">
                  <c:v>1.6353093784046246</c:v>
                </c:pt>
                <c:pt idx="15">
                  <c:v>0.14698523565697555</c:v>
                </c:pt>
                <c:pt idx="16">
                  <c:v>0.94192036271184421</c:v>
                </c:pt>
                <c:pt idx="17">
                  <c:v>0.89233631424233761</c:v>
                </c:pt>
                <c:pt idx="18">
                  <c:v>1.6738661149387724</c:v>
                </c:pt>
                <c:pt idx="19">
                  <c:v>0.92021255412422909</c:v>
                </c:pt>
                <c:pt idx="20">
                  <c:v>0.98734842314189408</c:v>
                </c:pt>
              </c:numCache>
            </c:numRef>
          </c:val>
          <c:extLst>
            <c:ext xmlns:c16="http://schemas.microsoft.com/office/drawing/2014/chart" uri="{C3380CC4-5D6E-409C-BE32-E72D297353CC}">
              <c16:uniqueId val="{00000016-EED2-4ACE-91AA-7F8713196E92}"/>
            </c:ext>
          </c:extLst>
        </c:ser>
        <c:dLbls>
          <c:showLegendKey val="0"/>
          <c:showVal val="0"/>
          <c:showCatName val="0"/>
          <c:showSerName val="0"/>
          <c:showPercent val="0"/>
          <c:showBubbleSize val="0"/>
        </c:dLbls>
        <c:gapWidth val="150"/>
        <c:axId val="434373488"/>
        <c:axId val="434373880"/>
      </c:barChart>
      <c:catAx>
        <c:axId val="434373488"/>
        <c:scaling>
          <c:orientation val="minMax"/>
        </c:scaling>
        <c:delete val="0"/>
        <c:axPos val="b"/>
        <c:numFmt formatCode="General" sourceLinked="1"/>
        <c:majorTickMark val="out"/>
        <c:minorTickMark val="none"/>
        <c:tickLblPos val="nextTo"/>
        <c:txPr>
          <a:bodyPr rot="-2700000" vert="horz"/>
          <a:lstStyle/>
          <a:p>
            <a:pPr>
              <a:defRPr lang="en-GB"/>
            </a:pPr>
            <a:endParaRPr lang="fr-FR"/>
          </a:p>
        </c:txPr>
        <c:crossAx val="434373880"/>
        <c:crosses val="autoZero"/>
        <c:auto val="1"/>
        <c:lblAlgn val="ctr"/>
        <c:lblOffset val="100"/>
        <c:noMultiLvlLbl val="0"/>
      </c:catAx>
      <c:valAx>
        <c:axId val="434373880"/>
        <c:scaling>
          <c:orientation val="minMax"/>
          <c:max val="2.8"/>
        </c:scaling>
        <c:delete val="0"/>
        <c:axPos val="l"/>
        <c:majorGridlines/>
        <c:title>
          <c:tx>
            <c:rich>
              <a:bodyPr rot="-5400000" vert="horz"/>
              <a:lstStyle/>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r>
                  <a:rPr lang="en-US" sz="1000" b="1" i="0" baseline="0">
                    <a:effectLst/>
                  </a:rPr>
                  <a:t>fluorescence totale (unités arbitraires)</a:t>
                </a:r>
                <a:endParaRPr lang="en-GB" sz="1000">
                  <a:effectLst/>
                </a:endParaRPr>
              </a:p>
              <a:p>
                <a:pPr marL="0" marR="0" indent="0" algn="ctr" defTabSz="914400" rtl="0" eaLnBrk="1" fontAlgn="auto" latinLnBrk="0" hangingPunct="1">
                  <a:lnSpc>
                    <a:spcPct val="100000"/>
                  </a:lnSpc>
                  <a:spcBef>
                    <a:spcPts val="0"/>
                  </a:spcBef>
                  <a:spcAft>
                    <a:spcPts val="0"/>
                  </a:spcAft>
                  <a:buClrTx/>
                  <a:buSzTx/>
                  <a:buFontTx/>
                  <a:buNone/>
                  <a:tabLst/>
                  <a:defRPr lang="en-GB" sz="1000" b="1" i="0" u="none" strike="noStrike" kern="1200" baseline="0">
                    <a:solidFill>
                      <a:sysClr val="windowText" lastClr="000000"/>
                    </a:solidFill>
                    <a:latin typeface="+mn-lt"/>
                    <a:ea typeface="+mn-ea"/>
                    <a:cs typeface="+mn-cs"/>
                  </a:defRPr>
                </a:pPr>
                <a:endParaRPr lang="en-US" sz="1000"/>
              </a:p>
            </c:rich>
          </c:tx>
          <c:overlay val="0"/>
        </c:title>
        <c:numFmt formatCode="0.0" sourceLinked="0"/>
        <c:majorTickMark val="out"/>
        <c:minorTickMark val="none"/>
        <c:tickLblPos val="nextTo"/>
        <c:txPr>
          <a:bodyPr/>
          <a:lstStyle/>
          <a:p>
            <a:pPr>
              <a:defRPr lang="en-GB"/>
            </a:pPr>
            <a:endParaRPr lang="fr-FR"/>
          </a:p>
        </c:txPr>
        <c:crossAx val="434373488"/>
        <c:crosses val="autoZero"/>
        <c:crossBetween val="between"/>
        <c:majorUnit val="0.2"/>
      </c:valAx>
    </c:plotArea>
    <c:plotVisOnly val="1"/>
    <c:dispBlanksAs val="gap"/>
    <c:showDLblsOverMax val="0"/>
  </c:chart>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8086563142153819E-2"/>
          <c:y val="0.10694631110669023"/>
          <c:w val="0.91688911122572669"/>
          <c:h val="0.69895377069250364"/>
        </c:manualLayout>
      </c:layout>
      <c:barChart>
        <c:barDir val="col"/>
        <c:grouping val="clustered"/>
        <c:varyColors val="0"/>
        <c:ser>
          <c:idx val="0"/>
          <c:order val="0"/>
          <c:tx>
            <c:v>Pool</c:v>
          </c:tx>
          <c:spPr>
            <a:solidFill>
              <a:srgbClr val="00B050"/>
            </a:solidFill>
          </c:spPr>
          <c:invertIfNegative val="0"/>
          <c:dPt>
            <c:idx val="1"/>
            <c:invertIfNegative val="0"/>
            <c:bubble3D val="0"/>
            <c:spPr>
              <a:solidFill>
                <a:srgbClr val="BA3838"/>
              </a:solidFill>
            </c:spPr>
            <c:extLst>
              <c:ext xmlns:c16="http://schemas.microsoft.com/office/drawing/2014/chart" uri="{C3380CC4-5D6E-409C-BE32-E72D297353CC}">
                <c16:uniqueId val="{00000001-033C-4530-84A9-991A3866ABD4}"/>
              </c:ext>
            </c:extLst>
          </c:dPt>
          <c:dPt>
            <c:idx val="2"/>
            <c:invertIfNegative val="0"/>
            <c:bubble3D val="0"/>
            <c:spPr>
              <a:solidFill>
                <a:schemeClr val="bg1">
                  <a:lumMod val="65000"/>
                </a:schemeClr>
              </a:solidFill>
            </c:spPr>
            <c:extLst>
              <c:ext xmlns:c16="http://schemas.microsoft.com/office/drawing/2014/chart" uri="{C3380CC4-5D6E-409C-BE32-E72D297353CC}">
                <c16:uniqueId val="{00000003-033C-4530-84A9-991A3866ABD4}"/>
              </c:ext>
            </c:extLst>
          </c:dPt>
          <c:dPt>
            <c:idx val="3"/>
            <c:invertIfNegative val="0"/>
            <c:bubble3D val="0"/>
            <c:spPr>
              <a:solidFill>
                <a:schemeClr val="bg1">
                  <a:lumMod val="65000"/>
                </a:schemeClr>
              </a:solidFill>
            </c:spPr>
            <c:extLst>
              <c:ext xmlns:c16="http://schemas.microsoft.com/office/drawing/2014/chart" uri="{C3380CC4-5D6E-409C-BE32-E72D297353CC}">
                <c16:uniqueId val="{00000005-033C-4530-84A9-991A3866ABD4}"/>
              </c:ext>
            </c:extLst>
          </c:dPt>
          <c:dPt>
            <c:idx val="4"/>
            <c:invertIfNegative val="0"/>
            <c:bubble3D val="0"/>
            <c:spPr>
              <a:solidFill>
                <a:schemeClr val="bg1">
                  <a:lumMod val="65000"/>
                </a:schemeClr>
              </a:solidFill>
            </c:spPr>
            <c:extLst>
              <c:ext xmlns:c16="http://schemas.microsoft.com/office/drawing/2014/chart" uri="{C3380CC4-5D6E-409C-BE32-E72D297353CC}">
                <c16:uniqueId val="{00000007-033C-4530-84A9-991A3866ABD4}"/>
              </c:ext>
            </c:extLst>
          </c:dPt>
          <c:dPt>
            <c:idx val="5"/>
            <c:invertIfNegative val="0"/>
            <c:bubble3D val="0"/>
            <c:spPr>
              <a:solidFill>
                <a:schemeClr val="tx2">
                  <a:lumMod val="40000"/>
                  <a:lumOff val="60000"/>
                </a:schemeClr>
              </a:solidFill>
            </c:spPr>
            <c:extLst>
              <c:ext xmlns:c16="http://schemas.microsoft.com/office/drawing/2014/chart" uri="{C3380CC4-5D6E-409C-BE32-E72D297353CC}">
                <c16:uniqueId val="{00000009-033C-4530-84A9-991A3866ABD4}"/>
              </c:ext>
            </c:extLst>
          </c:dPt>
          <c:dPt>
            <c:idx val="6"/>
            <c:invertIfNegative val="0"/>
            <c:bubble3D val="0"/>
            <c:spPr>
              <a:solidFill>
                <a:schemeClr val="tx2">
                  <a:lumMod val="40000"/>
                  <a:lumOff val="60000"/>
                </a:schemeClr>
              </a:solidFill>
            </c:spPr>
            <c:extLst>
              <c:ext xmlns:c16="http://schemas.microsoft.com/office/drawing/2014/chart" uri="{C3380CC4-5D6E-409C-BE32-E72D297353CC}">
                <c16:uniqueId val="{0000000B-033C-4530-84A9-991A3866ABD4}"/>
              </c:ext>
            </c:extLst>
          </c:dPt>
          <c:dPt>
            <c:idx val="7"/>
            <c:invertIfNegative val="0"/>
            <c:bubble3D val="0"/>
            <c:spPr>
              <a:solidFill>
                <a:schemeClr val="tx2">
                  <a:lumMod val="40000"/>
                  <a:lumOff val="60000"/>
                </a:schemeClr>
              </a:solidFill>
            </c:spPr>
            <c:extLst>
              <c:ext xmlns:c16="http://schemas.microsoft.com/office/drawing/2014/chart" uri="{C3380CC4-5D6E-409C-BE32-E72D297353CC}">
                <c16:uniqueId val="{0000000D-033C-4530-84A9-991A3866ABD4}"/>
              </c:ext>
            </c:extLst>
          </c:dPt>
          <c:dPt>
            <c:idx val="8"/>
            <c:invertIfNegative val="0"/>
            <c:bubble3D val="0"/>
            <c:spPr>
              <a:solidFill>
                <a:schemeClr val="bg1">
                  <a:lumMod val="65000"/>
                </a:schemeClr>
              </a:solidFill>
            </c:spPr>
            <c:extLst>
              <c:ext xmlns:c16="http://schemas.microsoft.com/office/drawing/2014/chart" uri="{C3380CC4-5D6E-409C-BE32-E72D297353CC}">
                <c16:uniqueId val="{0000000F-033C-4530-84A9-991A3866ABD4}"/>
              </c:ext>
            </c:extLst>
          </c:dPt>
          <c:dPt>
            <c:idx val="9"/>
            <c:invertIfNegative val="0"/>
            <c:bubble3D val="0"/>
            <c:spPr>
              <a:solidFill>
                <a:schemeClr val="bg1">
                  <a:lumMod val="65000"/>
                </a:schemeClr>
              </a:solidFill>
            </c:spPr>
            <c:extLst>
              <c:ext xmlns:c16="http://schemas.microsoft.com/office/drawing/2014/chart" uri="{C3380CC4-5D6E-409C-BE32-E72D297353CC}">
                <c16:uniqueId val="{00000011-033C-4530-84A9-991A3866ABD4}"/>
              </c:ext>
            </c:extLst>
          </c:dPt>
          <c:dPt>
            <c:idx val="10"/>
            <c:invertIfNegative val="0"/>
            <c:bubble3D val="0"/>
            <c:spPr>
              <a:solidFill>
                <a:schemeClr val="bg1">
                  <a:lumMod val="65000"/>
                </a:schemeClr>
              </a:solidFill>
            </c:spPr>
            <c:extLst>
              <c:ext xmlns:c16="http://schemas.microsoft.com/office/drawing/2014/chart" uri="{C3380CC4-5D6E-409C-BE32-E72D297353CC}">
                <c16:uniqueId val="{00000013-033C-4530-84A9-991A3866ABD4}"/>
              </c:ext>
            </c:extLst>
          </c:dPt>
          <c:dPt>
            <c:idx val="11"/>
            <c:invertIfNegative val="0"/>
            <c:bubble3D val="0"/>
            <c:spPr>
              <a:solidFill>
                <a:schemeClr val="tx2">
                  <a:lumMod val="40000"/>
                  <a:lumOff val="60000"/>
                </a:schemeClr>
              </a:solidFill>
            </c:spPr>
            <c:extLst>
              <c:ext xmlns:c16="http://schemas.microsoft.com/office/drawing/2014/chart" uri="{C3380CC4-5D6E-409C-BE32-E72D297353CC}">
                <c16:uniqueId val="{00000015-033C-4530-84A9-991A3866ABD4}"/>
              </c:ext>
            </c:extLst>
          </c:dPt>
          <c:dPt>
            <c:idx val="12"/>
            <c:invertIfNegative val="0"/>
            <c:bubble3D val="0"/>
            <c:spPr>
              <a:solidFill>
                <a:schemeClr val="tx2">
                  <a:lumMod val="40000"/>
                  <a:lumOff val="60000"/>
                </a:schemeClr>
              </a:solidFill>
            </c:spPr>
            <c:extLst>
              <c:ext xmlns:c16="http://schemas.microsoft.com/office/drawing/2014/chart" uri="{C3380CC4-5D6E-409C-BE32-E72D297353CC}">
                <c16:uniqueId val="{00000017-033C-4530-84A9-991A3866ABD4}"/>
              </c:ext>
            </c:extLst>
          </c:dPt>
          <c:dPt>
            <c:idx val="13"/>
            <c:invertIfNegative val="0"/>
            <c:bubble3D val="0"/>
            <c:spPr>
              <a:solidFill>
                <a:schemeClr val="tx2">
                  <a:lumMod val="40000"/>
                  <a:lumOff val="60000"/>
                </a:schemeClr>
              </a:solidFill>
            </c:spPr>
            <c:extLst>
              <c:ext xmlns:c16="http://schemas.microsoft.com/office/drawing/2014/chart" uri="{C3380CC4-5D6E-409C-BE32-E72D297353CC}">
                <c16:uniqueId val="{00000019-033C-4530-84A9-991A3866ABD4}"/>
              </c:ext>
            </c:extLst>
          </c:dPt>
          <c:dPt>
            <c:idx val="14"/>
            <c:invertIfNegative val="0"/>
            <c:bubble3D val="0"/>
            <c:spPr>
              <a:solidFill>
                <a:schemeClr val="bg1">
                  <a:lumMod val="65000"/>
                </a:schemeClr>
              </a:solidFill>
            </c:spPr>
            <c:extLst>
              <c:ext xmlns:c16="http://schemas.microsoft.com/office/drawing/2014/chart" uri="{C3380CC4-5D6E-409C-BE32-E72D297353CC}">
                <c16:uniqueId val="{0000001B-033C-4530-84A9-991A3866ABD4}"/>
              </c:ext>
            </c:extLst>
          </c:dPt>
          <c:dPt>
            <c:idx val="15"/>
            <c:invertIfNegative val="0"/>
            <c:bubble3D val="0"/>
            <c:spPr>
              <a:solidFill>
                <a:schemeClr val="bg1">
                  <a:lumMod val="65000"/>
                </a:schemeClr>
              </a:solidFill>
            </c:spPr>
            <c:extLst>
              <c:ext xmlns:c16="http://schemas.microsoft.com/office/drawing/2014/chart" uri="{C3380CC4-5D6E-409C-BE32-E72D297353CC}">
                <c16:uniqueId val="{0000001D-033C-4530-84A9-991A3866ABD4}"/>
              </c:ext>
            </c:extLst>
          </c:dPt>
          <c:dPt>
            <c:idx val="16"/>
            <c:invertIfNegative val="0"/>
            <c:bubble3D val="0"/>
            <c:spPr>
              <a:solidFill>
                <a:schemeClr val="bg1">
                  <a:lumMod val="65000"/>
                </a:schemeClr>
              </a:solidFill>
            </c:spPr>
            <c:extLst>
              <c:ext xmlns:c16="http://schemas.microsoft.com/office/drawing/2014/chart" uri="{C3380CC4-5D6E-409C-BE32-E72D297353CC}">
                <c16:uniqueId val="{0000001F-033C-4530-84A9-991A3866ABD4}"/>
              </c:ext>
            </c:extLst>
          </c:dPt>
          <c:dPt>
            <c:idx val="17"/>
            <c:invertIfNegative val="0"/>
            <c:bubble3D val="0"/>
            <c:spPr>
              <a:solidFill>
                <a:schemeClr val="tx2">
                  <a:lumMod val="40000"/>
                  <a:lumOff val="60000"/>
                </a:schemeClr>
              </a:solidFill>
            </c:spPr>
            <c:extLst>
              <c:ext xmlns:c16="http://schemas.microsoft.com/office/drawing/2014/chart" uri="{C3380CC4-5D6E-409C-BE32-E72D297353CC}">
                <c16:uniqueId val="{00000021-033C-4530-84A9-991A3866ABD4}"/>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23-033C-4530-84A9-991A3866ABD4}"/>
              </c:ext>
            </c:extLst>
          </c:dPt>
          <c:dPt>
            <c:idx val="19"/>
            <c:invertIfNegative val="0"/>
            <c:bubble3D val="0"/>
            <c:spPr>
              <a:solidFill>
                <a:schemeClr val="tx2">
                  <a:lumMod val="40000"/>
                  <a:lumOff val="60000"/>
                </a:schemeClr>
              </a:solidFill>
            </c:spPr>
            <c:extLst>
              <c:ext xmlns:c16="http://schemas.microsoft.com/office/drawing/2014/chart" uri="{C3380CC4-5D6E-409C-BE32-E72D297353CC}">
                <c16:uniqueId val="{00000025-033C-4530-84A9-991A3866ABD4}"/>
              </c:ext>
            </c:extLst>
          </c:dPt>
          <c:dPt>
            <c:idx val="20"/>
            <c:invertIfNegative val="0"/>
            <c:bubble3D val="0"/>
            <c:spPr>
              <a:solidFill>
                <a:schemeClr val="bg1">
                  <a:lumMod val="65000"/>
                </a:schemeClr>
              </a:solidFill>
            </c:spPr>
            <c:extLst>
              <c:ext xmlns:c16="http://schemas.microsoft.com/office/drawing/2014/chart" uri="{C3380CC4-5D6E-409C-BE32-E72D297353CC}">
                <c16:uniqueId val="{00000027-033C-4530-84A9-991A3866ABD4}"/>
              </c:ext>
            </c:extLst>
          </c:dPt>
          <c:dPt>
            <c:idx val="21"/>
            <c:invertIfNegative val="0"/>
            <c:bubble3D val="0"/>
            <c:spPr>
              <a:solidFill>
                <a:schemeClr val="bg1">
                  <a:lumMod val="65000"/>
                </a:schemeClr>
              </a:solidFill>
            </c:spPr>
            <c:extLst>
              <c:ext xmlns:c16="http://schemas.microsoft.com/office/drawing/2014/chart" uri="{C3380CC4-5D6E-409C-BE32-E72D297353CC}">
                <c16:uniqueId val="{00000029-033C-4530-84A9-991A3866ABD4}"/>
              </c:ext>
            </c:extLst>
          </c:dPt>
          <c:dPt>
            <c:idx val="22"/>
            <c:invertIfNegative val="0"/>
            <c:bubble3D val="0"/>
            <c:spPr>
              <a:solidFill>
                <a:schemeClr val="bg1">
                  <a:lumMod val="65000"/>
                </a:schemeClr>
              </a:solidFill>
            </c:spPr>
            <c:extLst>
              <c:ext xmlns:c16="http://schemas.microsoft.com/office/drawing/2014/chart" uri="{C3380CC4-5D6E-409C-BE32-E72D297353CC}">
                <c16:uniqueId val="{0000002B-033C-4530-84A9-991A3866ABD4}"/>
              </c:ext>
            </c:extLst>
          </c:dPt>
          <c:dLbls>
            <c:dLbl>
              <c:idx val="0"/>
              <c:tx>
                <c:rich>
                  <a:bodyPr/>
                  <a:lstStyle/>
                  <a:p>
                    <a:fld id="{58016D0E-9770-4A87-A40F-E2688CA84942}"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033C-4530-84A9-991A3866ABD4}"/>
                </c:ext>
              </c:extLst>
            </c:dLbl>
            <c:dLbl>
              <c:idx val="1"/>
              <c:tx>
                <c:rich>
                  <a:bodyPr/>
                  <a:lstStyle/>
                  <a:p>
                    <a:fld id="{D53B11BF-55B9-41EA-B64D-36A7C4C0A58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33C-4530-84A9-991A3866ABD4}"/>
                </c:ext>
              </c:extLst>
            </c:dLbl>
            <c:dLbl>
              <c:idx val="2"/>
              <c:tx>
                <c:rich>
                  <a:bodyPr/>
                  <a:lstStyle/>
                  <a:p>
                    <a:fld id="{AEC5D5DB-23A5-4C01-9C40-1755CDC730E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33C-4530-84A9-991A3866ABD4}"/>
                </c:ext>
              </c:extLst>
            </c:dLbl>
            <c:dLbl>
              <c:idx val="3"/>
              <c:tx>
                <c:rich>
                  <a:bodyPr/>
                  <a:lstStyle/>
                  <a:p>
                    <a:fld id="{FB1C2DBC-7667-43C5-A4C8-D267B7D6A83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33C-4530-84A9-991A3866ABD4}"/>
                </c:ext>
              </c:extLst>
            </c:dLbl>
            <c:dLbl>
              <c:idx val="4"/>
              <c:tx>
                <c:rich>
                  <a:bodyPr/>
                  <a:lstStyle/>
                  <a:p>
                    <a:fld id="{15B48E75-30C5-4E07-A593-FDD09AAD36B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33C-4530-84A9-991A3866ABD4}"/>
                </c:ext>
              </c:extLst>
            </c:dLbl>
            <c:dLbl>
              <c:idx val="5"/>
              <c:tx>
                <c:rich>
                  <a:bodyPr/>
                  <a:lstStyle/>
                  <a:p>
                    <a:fld id="{DFB3F97B-5E05-4CD8-A288-4759A49A687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33C-4530-84A9-991A3866ABD4}"/>
                </c:ext>
              </c:extLst>
            </c:dLbl>
            <c:dLbl>
              <c:idx val="6"/>
              <c:tx>
                <c:rich>
                  <a:bodyPr/>
                  <a:lstStyle/>
                  <a:p>
                    <a:fld id="{4322A1AC-0F3D-4120-9E05-5776992D34A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33C-4530-84A9-991A3866ABD4}"/>
                </c:ext>
              </c:extLst>
            </c:dLbl>
            <c:dLbl>
              <c:idx val="7"/>
              <c:tx>
                <c:rich>
                  <a:bodyPr/>
                  <a:lstStyle/>
                  <a:p>
                    <a:fld id="{502ABA39-9A68-441E-B978-F59C340DFCC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33C-4530-84A9-991A3866ABD4}"/>
                </c:ext>
              </c:extLst>
            </c:dLbl>
            <c:dLbl>
              <c:idx val="8"/>
              <c:tx>
                <c:rich>
                  <a:bodyPr/>
                  <a:lstStyle/>
                  <a:p>
                    <a:fld id="{A3AF9BDE-EFC5-4592-9E19-FF19172B56C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033C-4530-84A9-991A3866ABD4}"/>
                </c:ext>
              </c:extLst>
            </c:dLbl>
            <c:dLbl>
              <c:idx val="9"/>
              <c:tx>
                <c:rich>
                  <a:bodyPr/>
                  <a:lstStyle/>
                  <a:p>
                    <a:fld id="{4769B23C-7AAF-4321-AE3F-9A9C8CF75AF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033C-4530-84A9-991A3866ABD4}"/>
                </c:ext>
              </c:extLst>
            </c:dLbl>
            <c:dLbl>
              <c:idx val="10"/>
              <c:tx>
                <c:rich>
                  <a:bodyPr/>
                  <a:lstStyle/>
                  <a:p>
                    <a:fld id="{49B7ACB3-2415-4779-A529-E375245A4B2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033C-4530-84A9-991A3866ABD4}"/>
                </c:ext>
              </c:extLst>
            </c:dLbl>
            <c:dLbl>
              <c:idx val="11"/>
              <c:tx>
                <c:rich>
                  <a:bodyPr/>
                  <a:lstStyle/>
                  <a:p>
                    <a:fld id="{72AF2E1D-D818-45EC-B0D9-330D073D49A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5-033C-4530-84A9-991A3866ABD4}"/>
                </c:ext>
              </c:extLst>
            </c:dLbl>
            <c:dLbl>
              <c:idx val="12"/>
              <c:tx>
                <c:rich>
                  <a:bodyPr/>
                  <a:lstStyle/>
                  <a:p>
                    <a:endParaRPr lang="fr-FR"/>
                  </a:p>
                </c:rich>
              </c:tx>
              <c:dLblPos val="outEnd"/>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033C-4530-84A9-991A3866ABD4}"/>
                </c:ext>
              </c:extLst>
            </c:dLbl>
            <c:dLbl>
              <c:idx val="13"/>
              <c:tx>
                <c:rich>
                  <a:bodyPr/>
                  <a:lstStyle/>
                  <a:p>
                    <a:fld id="{9E7042A5-20FB-4D4C-A3A5-39C64652F99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033C-4530-84A9-991A3866ABD4}"/>
                </c:ext>
              </c:extLst>
            </c:dLbl>
            <c:dLbl>
              <c:idx val="14"/>
              <c:tx>
                <c:rich>
                  <a:bodyPr/>
                  <a:lstStyle/>
                  <a:p>
                    <a:fld id="{9B4AE751-C027-4CCC-87C8-6FE178E7706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B-033C-4530-84A9-991A3866ABD4}"/>
                </c:ext>
              </c:extLst>
            </c:dLbl>
            <c:dLbl>
              <c:idx val="15"/>
              <c:tx>
                <c:rich>
                  <a:bodyPr/>
                  <a:lstStyle/>
                  <a:p>
                    <a:fld id="{7E3011C1-6F82-43D3-AF6C-DD33F3A47EC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033C-4530-84A9-991A3866ABD4}"/>
                </c:ext>
              </c:extLst>
            </c:dLbl>
            <c:dLbl>
              <c:idx val="16"/>
              <c:tx>
                <c:rich>
                  <a:bodyPr/>
                  <a:lstStyle/>
                  <a:p>
                    <a:fld id="{E779F44A-F1AE-4F78-892C-92B21016B29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033C-4530-84A9-991A3866ABD4}"/>
                </c:ext>
              </c:extLst>
            </c:dLbl>
            <c:dLbl>
              <c:idx val="17"/>
              <c:tx>
                <c:rich>
                  <a:bodyPr/>
                  <a:lstStyle/>
                  <a:p>
                    <a:fld id="{3CAEFF7D-F450-41E0-9EB9-A96F28301F7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1-033C-4530-84A9-991A3866ABD4}"/>
                </c:ext>
              </c:extLst>
            </c:dLbl>
            <c:dLbl>
              <c:idx val="18"/>
              <c:tx>
                <c:rich>
                  <a:bodyPr/>
                  <a:lstStyle/>
                  <a:p>
                    <a:fld id="{60E91DBD-00AE-469D-8CAF-D228A9CD1B2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3-033C-4530-84A9-991A3866ABD4}"/>
                </c:ext>
              </c:extLst>
            </c:dLbl>
            <c:dLbl>
              <c:idx val="19"/>
              <c:tx>
                <c:rich>
                  <a:bodyPr/>
                  <a:lstStyle/>
                  <a:p>
                    <a:fld id="{A829312B-D0C3-4389-BCE7-335877AB83E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5-033C-4530-84A9-991A3866ABD4}"/>
                </c:ext>
              </c:extLst>
            </c:dLbl>
            <c:dLbl>
              <c:idx val="20"/>
              <c:tx>
                <c:rich>
                  <a:bodyPr/>
                  <a:lstStyle/>
                  <a:p>
                    <a:fld id="{C785363A-516C-4A9A-9A0E-35B93A62AE4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7-033C-4530-84A9-991A3866ABD4}"/>
                </c:ext>
              </c:extLst>
            </c:dLbl>
            <c:dLbl>
              <c:idx val="29"/>
              <c:tx>
                <c:rich>
                  <a:bodyPr/>
                  <a:lstStyle/>
                  <a:p>
                    <a:endParaRPr lang="en-US"/>
                  </a:p>
                </c:rich>
              </c:tx>
              <c:dLblPos val="outEnd"/>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33-033C-4530-84A9-991A3866ABD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errBars>
            <c:errBarType val="both"/>
            <c:errValType val="cust"/>
            <c:noEndCap val="0"/>
            <c:plus>
              <c:numRef>
                <c:f>'pooled normalised values'!$B$76:$V$76</c:f>
                <c:numCache>
                  <c:formatCode>General</c:formatCode>
                  <c:ptCount val="21"/>
                  <c:pt idx="0">
                    <c:v>1.7371146580041141E-2</c:v>
                  </c:pt>
                  <c:pt idx="1">
                    <c:v>1.9712796267595784E-2</c:v>
                  </c:pt>
                  <c:pt idx="2">
                    <c:v>1.9400919045053852E-2</c:v>
                  </c:pt>
                  <c:pt idx="3">
                    <c:v>3.3770473292393029E-2</c:v>
                  </c:pt>
                  <c:pt idx="4">
                    <c:v>5.6487607573109534E-2</c:v>
                  </c:pt>
                  <c:pt idx="5">
                    <c:v>8.1403613002328137E-2</c:v>
                  </c:pt>
                  <c:pt idx="6">
                    <c:v>0.13965482226764564</c:v>
                  </c:pt>
                  <c:pt idx="7">
                    <c:v>1.4244080109132588E-2</c:v>
                  </c:pt>
                  <c:pt idx="8">
                    <c:v>1.1329392747859688E-2</c:v>
                  </c:pt>
                  <c:pt idx="9">
                    <c:v>1.0910315131660089E-2</c:v>
                  </c:pt>
                  <c:pt idx="10">
                    <c:v>1.7233513712185775E-2</c:v>
                  </c:pt>
                  <c:pt idx="11">
                    <c:v>2.7582851286780969E-2</c:v>
                  </c:pt>
                  <c:pt idx="13">
                    <c:v>7.5082631831819749E-2</c:v>
                  </c:pt>
                  <c:pt idx="14">
                    <c:v>0.10678085619379372</c:v>
                  </c:pt>
                  <c:pt idx="15">
                    <c:v>1.7330715671892191E-2</c:v>
                  </c:pt>
                  <c:pt idx="16">
                    <c:v>0.12857289204112948</c:v>
                  </c:pt>
                  <c:pt idx="17">
                    <c:v>0.11525751434686056</c:v>
                  </c:pt>
                  <c:pt idx="18">
                    <c:v>0.15041426033483898</c:v>
                  </c:pt>
                  <c:pt idx="19">
                    <c:v>0.12918102201275808</c:v>
                  </c:pt>
                  <c:pt idx="20">
                    <c:v>0.11506014246509058</c:v>
                  </c:pt>
                </c:numCache>
              </c:numRef>
            </c:plus>
            <c:minus>
              <c:numRef>
                <c:f>'pooled normalised values'!$B$76:$V$76</c:f>
                <c:numCache>
                  <c:formatCode>General</c:formatCode>
                  <c:ptCount val="21"/>
                  <c:pt idx="0">
                    <c:v>1.7371146580041141E-2</c:v>
                  </c:pt>
                  <c:pt idx="1">
                    <c:v>1.9712796267595784E-2</c:v>
                  </c:pt>
                  <c:pt idx="2">
                    <c:v>1.9400919045053852E-2</c:v>
                  </c:pt>
                  <c:pt idx="3">
                    <c:v>3.3770473292393029E-2</c:v>
                  </c:pt>
                  <c:pt idx="4">
                    <c:v>5.6487607573109534E-2</c:v>
                  </c:pt>
                  <c:pt idx="5">
                    <c:v>8.1403613002328137E-2</c:v>
                  </c:pt>
                  <c:pt idx="6">
                    <c:v>0.13965482226764564</c:v>
                  </c:pt>
                  <c:pt idx="7">
                    <c:v>1.4244080109132588E-2</c:v>
                  </c:pt>
                  <c:pt idx="8">
                    <c:v>1.1329392747859688E-2</c:v>
                  </c:pt>
                  <c:pt idx="9">
                    <c:v>1.0910315131660089E-2</c:v>
                  </c:pt>
                  <c:pt idx="10">
                    <c:v>1.7233513712185775E-2</c:v>
                  </c:pt>
                  <c:pt idx="11">
                    <c:v>2.7582851286780969E-2</c:v>
                  </c:pt>
                  <c:pt idx="13">
                    <c:v>7.5082631831819749E-2</c:v>
                  </c:pt>
                  <c:pt idx="14">
                    <c:v>0.10678085619379372</c:v>
                  </c:pt>
                  <c:pt idx="15">
                    <c:v>1.7330715671892191E-2</c:v>
                  </c:pt>
                  <c:pt idx="16">
                    <c:v>0.12857289204112948</c:v>
                  </c:pt>
                  <c:pt idx="17">
                    <c:v>0.11525751434686056</c:v>
                  </c:pt>
                  <c:pt idx="18">
                    <c:v>0.15041426033483898</c:v>
                  </c:pt>
                  <c:pt idx="19">
                    <c:v>0.12918102201275808</c:v>
                  </c:pt>
                  <c:pt idx="20">
                    <c:v>0.11506014246509058</c:v>
                  </c:pt>
                </c:numCache>
              </c:numRef>
            </c:minus>
          </c:errBars>
          <c:cat>
            <c:strRef>
              <c:f>'pooled normalised values'!$B$74:$V$74</c:f>
              <c:strCache>
                <c:ptCount val="21"/>
                <c:pt idx="0">
                  <c:v>Témoin solvant</c:v>
                </c:pt>
                <c:pt idx="1">
                  <c:v>EE2-33,8ng/L</c:v>
                </c:pt>
                <c:pt idx="2">
                  <c:v>EE2-50,6ng/L</c:v>
                </c:pt>
                <c:pt idx="3">
                  <c:v>EE2-76ng/L</c:v>
                </c:pt>
                <c:pt idx="4">
                  <c:v>EE2-114ng/L</c:v>
                </c:pt>
                <c:pt idx="5">
                  <c:v>EE2-170,9ng/L</c:v>
                </c:pt>
                <c:pt idx="6">
                  <c:v>EE2-488ng/L</c:v>
                </c:pt>
                <c:pt idx="7">
                  <c:v>Cromolyn-0,1µg/L</c:v>
                </c:pt>
                <c:pt idx="8">
                  <c:v>Cromolyn-1µg/L</c:v>
                </c:pt>
                <c:pt idx="9">
                  <c:v>Cromolyn-10µg/L</c:v>
                </c:pt>
                <c:pt idx="10">
                  <c:v>Cromolyn-100µg/L</c:v>
                </c:pt>
                <c:pt idx="11">
                  <c:v>Cromolyn-1000µg/L</c:v>
                </c:pt>
                <c:pt idx="13">
                  <c:v>Testo -30µg/L</c:v>
                </c:pt>
                <c:pt idx="14">
                  <c:v>Testo 30µg/L + EE2 -64ng/L</c:v>
                </c:pt>
                <c:pt idx="15">
                  <c:v>Testo 30µg/L + FAD-10mg/L</c:v>
                </c:pt>
                <c:pt idx="16">
                  <c:v>Cromolyn-0,1µg/L + Testostérone</c:v>
                </c:pt>
                <c:pt idx="17">
                  <c:v>Cromolyn-1µg/L + Testostérone</c:v>
                </c:pt>
                <c:pt idx="18">
                  <c:v>Cromolyn-10µg/L + Testostérone</c:v>
                </c:pt>
                <c:pt idx="19">
                  <c:v>Cromolyn-100µg/L + Testostérone</c:v>
                </c:pt>
                <c:pt idx="20">
                  <c:v>Cromolyn-1000µg/L + Testostérone</c:v>
                </c:pt>
              </c:strCache>
            </c:strRef>
          </c:cat>
          <c:val>
            <c:numRef>
              <c:f>'pooled normalised values'!$B$75:$V$75</c:f>
              <c:numCache>
                <c:formatCode>0.0000</c:formatCode>
                <c:ptCount val="21"/>
                <c:pt idx="0">
                  <c:v>0.11474402963090824</c:v>
                </c:pt>
                <c:pt idx="1">
                  <c:v>0.10511147516770174</c:v>
                </c:pt>
                <c:pt idx="2">
                  <c:v>9.5595259127829971E-2</c:v>
                </c:pt>
                <c:pt idx="3">
                  <c:v>0.17487703514731948</c:v>
                </c:pt>
                <c:pt idx="4">
                  <c:v>0.60859371087186676</c:v>
                </c:pt>
                <c:pt idx="5">
                  <c:v>1.0028898885309967</c:v>
                </c:pt>
                <c:pt idx="6">
                  <c:v>1.9457670822088458</c:v>
                </c:pt>
                <c:pt idx="7">
                  <c:v>0.11081414689750113</c:v>
                </c:pt>
                <c:pt idx="8">
                  <c:v>8.5601748592480043E-2</c:v>
                </c:pt>
                <c:pt idx="9">
                  <c:v>7.3743311519700441E-2</c:v>
                </c:pt>
                <c:pt idx="10">
                  <c:v>0.12166486736821068</c:v>
                </c:pt>
                <c:pt idx="11">
                  <c:v>0.15422562604974674</c:v>
                </c:pt>
                <c:pt idx="13">
                  <c:v>1</c:v>
                </c:pt>
                <c:pt idx="14">
                  <c:v>1.4036895431606196</c:v>
                </c:pt>
                <c:pt idx="15">
                  <c:v>0.10888162819021581</c:v>
                </c:pt>
                <c:pt idx="16">
                  <c:v>0.81046544479508986</c:v>
                </c:pt>
                <c:pt idx="17">
                  <c:v>0.73219000223152897</c:v>
                </c:pt>
                <c:pt idx="18">
                  <c:v>0.88335290141760592</c:v>
                </c:pt>
                <c:pt idx="19">
                  <c:v>0.81009184213048868</c:v>
                </c:pt>
                <c:pt idx="20">
                  <c:v>0.82365737663353666</c:v>
                </c:pt>
              </c:numCache>
            </c:numRef>
          </c:val>
          <c:extLst>
            <c:ext xmlns:c15="http://schemas.microsoft.com/office/drawing/2012/chart" uri="{02D57815-91ED-43cb-92C2-25804820EDAC}">
              <c15:datalabelsRange>
                <c15:f>'pooled normalised values'!$B$83:$V$83</c15:f>
                <c15:dlblRangeCache>
                  <c:ptCount val="21"/>
                  <c:pt idx="1">
                    <c:v>NS</c:v>
                  </c:pt>
                  <c:pt idx="2">
                    <c:v>NS</c:v>
                  </c:pt>
                  <c:pt idx="3">
                    <c:v>NS</c:v>
                  </c:pt>
                  <c:pt idx="4">
                    <c:v>NS</c:v>
                  </c:pt>
                  <c:pt idx="5">
                    <c:v>NS</c:v>
                  </c:pt>
                  <c:pt idx="6">
                    <c:v>NS</c:v>
                  </c:pt>
                  <c:pt idx="7">
                    <c:v>NS</c:v>
                  </c:pt>
                  <c:pt idx="8">
                    <c:v>NS</c:v>
                  </c:pt>
                  <c:pt idx="9">
                    <c:v>NS</c:v>
                  </c:pt>
                  <c:pt idx="10">
                    <c:v>NS</c:v>
                  </c:pt>
                  <c:pt idx="11">
                    <c:v>NS</c:v>
                  </c:pt>
                  <c:pt idx="13">
                    <c:v>***</c:v>
                  </c:pt>
                  <c:pt idx="14">
                    <c:v>**</c:v>
                  </c:pt>
                  <c:pt idx="15">
                    <c:v>***</c:v>
                  </c:pt>
                  <c:pt idx="16">
                    <c:v>NS</c:v>
                  </c:pt>
                  <c:pt idx="17">
                    <c:v>*</c:v>
                  </c:pt>
                  <c:pt idx="18">
                    <c:v>NS</c:v>
                  </c:pt>
                  <c:pt idx="19">
                    <c:v>NS</c:v>
                  </c:pt>
                  <c:pt idx="20">
                    <c:v>NS</c:v>
                  </c:pt>
                </c15:dlblRangeCache>
              </c15:datalabelsRange>
            </c:ext>
            <c:ext xmlns:c16="http://schemas.microsoft.com/office/drawing/2014/chart" uri="{C3380CC4-5D6E-409C-BE32-E72D297353CC}">
              <c16:uniqueId val="{0000004B-033C-4530-84A9-991A3866ABD4}"/>
            </c:ext>
          </c:extLst>
        </c:ser>
        <c:dLbls>
          <c:showLegendKey val="0"/>
          <c:showVal val="0"/>
          <c:showCatName val="0"/>
          <c:showSerName val="0"/>
          <c:showPercent val="0"/>
          <c:showBubbleSize val="0"/>
        </c:dLbls>
        <c:gapWidth val="150"/>
        <c:axId val="434374272"/>
        <c:axId val="434374664"/>
      </c:barChart>
      <c:catAx>
        <c:axId val="434374272"/>
        <c:scaling>
          <c:orientation val="minMax"/>
        </c:scaling>
        <c:delete val="0"/>
        <c:axPos val="b"/>
        <c:numFmt formatCode="General" sourceLinked="0"/>
        <c:majorTickMark val="out"/>
        <c:minorTickMark val="none"/>
        <c:tickLblPos val="nextTo"/>
        <c:txPr>
          <a:bodyPr rot="-2700000"/>
          <a:lstStyle/>
          <a:p>
            <a:pPr>
              <a:defRPr lang="en-GB" sz="1000"/>
            </a:pPr>
            <a:endParaRPr lang="fr-FR"/>
          </a:p>
        </c:txPr>
        <c:crossAx val="434374664"/>
        <c:crosses val="autoZero"/>
        <c:auto val="1"/>
        <c:lblAlgn val="ctr"/>
        <c:lblOffset val="100"/>
        <c:noMultiLvlLbl val="0"/>
      </c:catAx>
      <c:valAx>
        <c:axId val="434374664"/>
        <c:scaling>
          <c:orientation val="minMax"/>
          <c:min val="0"/>
        </c:scaling>
        <c:delete val="0"/>
        <c:axPos val="l"/>
        <c:majorGridlines/>
        <c:title>
          <c:tx>
            <c:rich>
              <a:bodyPr rot="-5400000" vert="horz"/>
              <a:lstStyle/>
              <a:p>
                <a:pPr>
                  <a:defRPr lang="en-GB" sz="1400"/>
                </a:pPr>
                <a:r>
                  <a:rPr lang="en-US" sz="1400"/>
                  <a:t>fluorescence totale (unités arbitraires)</a:t>
                </a:r>
              </a:p>
            </c:rich>
          </c:tx>
          <c:overlay val="0"/>
        </c:title>
        <c:numFmt formatCode="0.0" sourceLinked="0"/>
        <c:majorTickMark val="out"/>
        <c:minorTickMark val="none"/>
        <c:tickLblPos val="nextTo"/>
        <c:txPr>
          <a:bodyPr/>
          <a:lstStyle/>
          <a:p>
            <a:pPr>
              <a:defRPr lang="en-GB"/>
            </a:pPr>
            <a:endParaRPr lang="fr-FR"/>
          </a:p>
        </c:txPr>
        <c:crossAx val="434374272"/>
        <c:crosses val="autoZero"/>
        <c:crossBetween val="between"/>
      </c:valAx>
    </c:plotArea>
    <c:plotVisOnly val="1"/>
    <c:dispBlanksAs val="gap"/>
    <c:showDLblsOverMax val="0"/>
  </c:char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5E88AC78-30D4-42FF-910A-07E69F69A11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Cromolyn-0,1µg/L : 0%</c:v>
                  </c:pt>
                  <c:pt idx="1">
                    <c:v>Cromolyn-1µg/L : 0%</c:v>
                  </c:pt>
                  <c:pt idx="2">
                    <c:v>Cromolyn-10µg/L : 0%</c:v>
                  </c:pt>
                  <c:pt idx="3">
                    <c:v>Cromolyn-100µg/L : 0%</c:v>
                  </c:pt>
                  <c:pt idx="4">
                    <c:v>Cromolyn-1000µg/L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5448"/>
        <c:axId val="434375840"/>
      </c:scatterChart>
      <c:valAx>
        <c:axId val="434375448"/>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5840"/>
        <c:crosses val="autoZero"/>
        <c:crossBetween val="midCat"/>
        <c:majorUnit val="25"/>
      </c:valAx>
      <c:valAx>
        <c:axId val="434375840"/>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5448"/>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D28F3100-2D37-41F9-B47C-EC62E74CA322}"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Cromolyn-0,1µg/L : 0%</c:v>
                  </c:pt>
                  <c:pt idx="1">
                    <c:v>#NOMBRE!</c:v>
                  </c:pt>
                  <c:pt idx="2">
                    <c:v>Cromolyn-10µg/L : 0%</c:v>
                  </c:pt>
                  <c:pt idx="3">
                    <c:v>Cromolyn-100µg/L : 0%</c:v>
                  </c:pt>
                  <c:pt idx="4">
                    <c:v>Cromolyn-1000µg/L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6624"/>
        <c:axId val="434377016"/>
      </c:scatterChart>
      <c:valAx>
        <c:axId val="43437662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7016"/>
        <c:crosses val="autoZero"/>
        <c:crossBetween val="midCat"/>
        <c:majorUnit val="25"/>
      </c:valAx>
      <c:valAx>
        <c:axId val="43437701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662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CC82EA90-4D89-4CBA-A749-D2FF52953C47}"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A0E-4A73-A150-20269D17EA87}"/>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CC3-4389-B7A2-7B6B1524FA3D}"/>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CC3-4389-B7A2-7B6B1524FA3D}"/>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CC3-4389-B7A2-7B6B1524FA3D}"/>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CC3-4389-B7A2-7B6B1524FA3D}"/>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CC3-4389-B7A2-7B6B1524FA3D}"/>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CC3-4389-B7A2-7B6B1524FA3D}"/>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9CC3-4389-B7A2-7B6B1524FA3D}"/>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9CC3-4389-B7A2-7B6B1524FA3D}"/>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9CC3-4389-B7A2-7B6B1524FA3D}"/>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9CC3-4389-B7A2-7B6B1524FA3D}"/>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9CC3-4389-B7A2-7B6B1524FA3D}"/>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9CC3-4389-B7A2-7B6B1524FA3D}"/>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9CC3-4389-B7A2-7B6B1524FA3D}"/>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9CC3-4389-B7A2-7B6B1524FA3D}"/>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9CC3-4389-B7A2-7B6B1524FA3D}"/>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9CC3-4389-B7A2-7B6B1524FA3D}"/>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9CC3-4389-B7A2-7B6B1524FA3D}"/>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9CC3-4389-B7A2-7B6B1524FA3D}"/>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9CC3-4389-B7A2-7B6B1524FA3D}"/>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results'!$M$7:$M$26</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results'!$L$7:$L$26</c:f>
              <c:numCache>
                <c:formatCode>0</c:formatCode>
                <c:ptCount val="20"/>
                <c:pt idx="0">
                  <c:v>1</c:v>
                </c:pt>
              </c:numCache>
            </c:numRef>
          </c:yVal>
          <c:smooth val="0"/>
          <c:extLst>
            <c:ext xmlns:c15="http://schemas.microsoft.com/office/drawing/2012/chart" uri="{02D57815-91ED-43cb-92C2-25804820EDAC}">
              <c15:datalabelsRange>
                <c15:f>'summary results'!$N$7:$N$26</c15:f>
                <c15:dlblRangeCache>
                  <c:ptCount val="20"/>
                  <c:pt idx="0">
                    <c:v>Cromolyn-0,1µg/L : 0%</c:v>
                  </c:pt>
                  <c:pt idx="1">
                    <c:v>Cromolyn-1µg/L : 0%</c:v>
                  </c:pt>
                  <c:pt idx="2">
                    <c:v>Cromolyn-10µg/L : 0%</c:v>
                  </c:pt>
                  <c:pt idx="3">
                    <c:v>Cromolyn-100µg/L : 0%</c:v>
                  </c:pt>
                  <c:pt idx="4">
                    <c:v>Cromolyn-1000µg/L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8A0E-4A73-A150-20269D17EA87}"/>
            </c:ext>
          </c:extLst>
        </c:ser>
        <c:dLbls>
          <c:dLblPos val="l"/>
          <c:showLegendKey val="0"/>
          <c:showVal val="1"/>
          <c:showCatName val="0"/>
          <c:showSerName val="0"/>
          <c:showPercent val="0"/>
          <c:showBubbleSize val="0"/>
        </c:dLbls>
        <c:axId val="434377800"/>
        <c:axId val="434378192"/>
      </c:scatterChart>
      <c:valAx>
        <c:axId val="434377800"/>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192"/>
        <c:crosses val="autoZero"/>
        <c:crossBetween val="midCat"/>
        <c:majorUnit val="25"/>
      </c:valAx>
      <c:valAx>
        <c:axId val="434378192"/>
        <c:scaling>
          <c:orientation val="minMax"/>
          <c:max val="10"/>
          <c:min val="0"/>
        </c:scaling>
        <c:delete val="0"/>
        <c:axPos val="l"/>
        <c:numFmt formatCode="0"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7800"/>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4782389848882268E-2"/>
          <c:y val="0.1177993707615683"/>
          <c:w val="0.95294048327555492"/>
          <c:h val="0.78390772121005858"/>
        </c:manualLayout>
      </c:layout>
      <c:scatterChart>
        <c:scatterStyle val="lineMarker"/>
        <c:varyColors val="0"/>
        <c:ser>
          <c:idx val="0"/>
          <c:order val="0"/>
          <c:spPr>
            <a:ln w="28575">
              <a:noFill/>
            </a:ln>
          </c:spPr>
          <c:marker>
            <c:symbol val="circle"/>
            <c:size val="5"/>
          </c:marker>
          <c:dLbls>
            <c:dLbl>
              <c:idx val="0"/>
              <c:tx>
                <c:rich>
                  <a:bodyPr/>
                  <a:lstStyle/>
                  <a:p>
                    <a:fld id="{3948C0F4-E854-46A9-9773-E80AB9A367F4}" type="CELLRANGE">
                      <a:rPr lang="en-US"/>
                      <a:pPr/>
                      <a:t>[PLAGECELL]</a:t>
                    </a:fld>
                    <a:endParaRPr lang="fr-FR"/>
                  </a:p>
                </c:rich>
              </c:tx>
              <c:dLblPos val="l"/>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2A6-4854-9641-F3E2EF92D076}"/>
                </c:ext>
              </c:extLst>
            </c:dLbl>
            <c:dLbl>
              <c:idx val="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B43-49EA-A078-F2139CD3A877}"/>
                </c:ext>
              </c:extLst>
            </c:dLbl>
            <c:dLbl>
              <c:idx val="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B43-49EA-A078-F2139CD3A877}"/>
                </c:ext>
              </c:extLst>
            </c:dLbl>
            <c:dLbl>
              <c:idx val="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B43-49EA-A078-F2139CD3A877}"/>
                </c:ext>
              </c:extLst>
            </c:dLbl>
            <c:dLbl>
              <c:idx val="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FB43-49EA-A078-F2139CD3A877}"/>
                </c:ext>
              </c:extLst>
            </c:dLbl>
            <c:dLbl>
              <c:idx val="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FB43-49EA-A078-F2139CD3A877}"/>
                </c:ext>
              </c:extLst>
            </c:dLbl>
            <c:dLbl>
              <c:idx val="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FB43-49EA-A078-F2139CD3A877}"/>
                </c:ext>
              </c:extLst>
            </c:dLbl>
            <c:dLbl>
              <c:idx val="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FB43-49EA-A078-F2139CD3A877}"/>
                </c:ext>
              </c:extLst>
            </c:dLbl>
            <c:dLbl>
              <c:idx val="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FB43-49EA-A078-F2139CD3A877}"/>
                </c:ext>
              </c:extLst>
            </c:dLbl>
            <c:dLbl>
              <c:idx val="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FB43-49EA-A078-F2139CD3A877}"/>
                </c:ext>
              </c:extLst>
            </c:dLbl>
            <c:dLbl>
              <c:idx val="10"/>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FB43-49EA-A078-F2139CD3A877}"/>
                </c:ext>
              </c:extLst>
            </c:dLbl>
            <c:dLbl>
              <c:idx val="11"/>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FB43-49EA-A078-F2139CD3A877}"/>
                </c:ext>
              </c:extLst>
            </c:dLbl>
            <c:dLbl>
              <c:idx val="12"/>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FB43-49EA-A078-F2139CD3A877}"/>
                </c:ext>
              </c:extLst>
            </c:dLbl>
            <c:dLbl>
              <c:idx val="13"/>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FB43-49EA-A078-F2139CD3A877}"/>
                </c:ext>
              </c:extLst>
            </c:dLbl>
            <c:dLbl>
              <c:idx val="14"/>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FB43-49EA-A078-F2139CD3A877}"/>
                </c:ext>
              </c:extLst>
            </c:dLbl>
            <c:dLbl>
              <c:idx val="15"/>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FB43-49EA-A078-F2139CD3A877}"/>
                </c:ext>
              </c:extLst>
            </c:dLbl>
            <c:dLbl>
              <c:idx val="16"/>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FB43-49EA-A078-F2139CD3A877}"/>
                </c:ext>
              </c:extLst>
            </c:dLbl>
            <c:dLbl>
              <c:idx val="17"/>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FB43-49EA-A078-F2139CD3A877}"/>
                </c:ext>
              </c:extLst>
            </c:dLbl>
            <c:dLbl>
              <c:idx val="18"/>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FB43-49EA-A078-F2139CD3A877}"/>
                </c:ext>
              </c:extLst>
            </c:dLbl>
            <c:dLbl>
              <c:idx val="19"/>
              <c:tx>
                <c:rich>
                  <a:bodyPr/>
                  <a:lstStyle/>
                  <a:p>
                    <a:endParaRPr lang="fr-FR"/>
                  </a:p>
                </c:rich>
              </c:tx>
              <c:dLblPos val="l"/>
              <c:showLegendKey val="0"/>
              <c:showVal val="0"/>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FB43-49EA-A078-F2139CD3A877}"/>
                </c:ext>
              </c:extLst>
            </c:dLbl>
            <c:spPr>
              <a:noFill/>
              <a:ln>
                <a:noFill/>
              </a:ln>
              <a:effectLst/>
            </c:spPr>
            <c:txPr>
              <a:bodyPr wrap="square" lIns="38100" tIns="19050" rIns="38100" bIns="19050" anchor="ctr">
                <a:spAutoFit/>
              </a:bodyPr>
              <a:lstStyle/>
              <a:p>
                <a:pPr>
                  <a:defRPr sz="1200"/>
                </a:pPr>
                <a:endParaRPr lang="fr-FR"/>
              </a:p>
            </c:txPr>
            <c:dLblPos val="l"/>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ext>
            </c:extLst>
          </c:dLbls>
          <c:xVal>
            <c:numRef>
              <c:f>'summary results'!$M$32:$M$51</c:f>
              <c:numCache>
                <c:formatCode>General</c:formatCode>
                <c:ptCount val="20"/>
                <c:pt idx="0">
                  <c:v>0</c:v>
                </c:pt>
                <c:pt idx="1">
                  <c:v>0</c:v>
                </c:pt>
                <c:pt idx="2">
                  <c:v>0</c:v>
                </c:pt>
                <c:pt idx="3">
                  <c:v>0</c:v>
                </c:pt>
                <c:pt idx="4">
                  <c:v>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numCache>
            </c:numRef>
          </c:xVal>
          <c:yVal>
            <c:numRef>
              <c:f>'summary results'!$L$32:$L$51</c:f>
              <c:numCache>
                <c:formatCode>General</c:formatCode>
                <c:ptCount val="20"/>
                <c:pt idx="0">
                  <c:v>1</c:v>
                </c:pt>
              </c:numCache>
            </c:numRef>
          </c:yVal>
          <c:smooth val="0"/>
          <c:extLst>
            <c:ext xmlns:c15="http://schemas.microsoft.com/office/drawing/2012/chart" uri="{02D57815-91ED-43cb-92C2-25804820EDAC}">
              <c15:datalabelsRange>
                <c15:f>'summary results'!$N$32:$N$51</c15:f>
                <c15:dlblRangeCache>
                  <c:ptCount val="20"/>
                  <c:pt idx="0">
                    <c:v>Cromolyn-0,1µg/L : 0%</c:v>
                  </c:pt>
                  <c:pt idx="1">
                    <c:v>#NOMBRE!</c:v>
                  </c:pt>
                  <c:pt idx="2">
                    <c:v>Cromolyn-10µg/L : 0%</c:v>
                  </c:pt>
                  <c:pt idx="3">
                    <c:v>Cromolyn-100µg/L : 0%</c:v>
                  </c:pt>
                  <c:pt idx="4">
                    <c:v>Cromolyn-1000µg/L : 0%</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15:dlblRangeCache>
              </c15:datalabelsRange>
            </c:ext>
            <c:ext xmlns:c16="http://schemas.microsoft.com/office/drawing/2014/chart" uri="{C3380CC4-5D6E-409C-BE32-E72D297353CC}">
              <c16:uniqueId val="{00000008-F2A6-4854-9641-F3E2EF92D076}"/>
            </c:ext>
          </c:extLst>
        </c:ser>
        <c:dLbls>
          <c:dLblPos val="l"/>
          <c:showLegendKey val="0"/>
          <c:showVal val="1"/>
          <c:showCatName val="0"/>
          <c:showSerName val="0"/>
          <c:showPercent val="0"/>
          <c:showBubbleSize val="0"/>
        </c:dLbls>
        <c:axId val="434372704"/>
        <c:axId val="434378976"/>
      </c:scatterChart>
      <c:valAx>
        <c:axId val="434372704"/>
        <c:scaling>
          <c:orientation val="minMax"/>
          <c:max val="150"/>
          <c:min val="-150"/>
        </c:scaling>
        <c:delete val="1"/>
        <c:axPos val="b"/>
        <c:majorGridlines>
          <c:spPr>
            <a:ln w="9525" cap="flat" cmpd="sng" algn="ctr">
              <a:solidFill>
                <a:schemeClr val="tx1">
                  <a:lumMod val="15000"/>
                  <a:lumOff val="85000"/>
                  <a:alpha val="96000"/>
                </a:schemeClr>
              </a:solidFill>
              <a:round/>
            </a:ln>
            <a:effectLst/>
          </c:spPr>
        </c:majorGridlines>
        <c:numFmt formatCode="General" sourceLinked="1"/>
        <c:majorTickMark val="out"/>
        <c:minorTickMark val="none"/>
        <c:tickLblPos val="nextTo"/>
        <c:crossAx val="434378976"/>
        <c:crosses val="autoZero"/>
        <c:crossBetween val="midCat"/>
        <c:majorUnit val="25"/>
      </c:valAx>
      <c:valAx>
        <c:axId val="434378976"/>
        <c:scaling>
          <c:orientation val="minMax"/>
          <c:max val="10"/>
          <c:min val="0"/>
        </c:scaling>
        <c:delete val="0"/>
        <c:axPos val="l"/>
        <c:numFmt formatCode="General" sourceLinked="1"/>
        <c:majorTickMark val="none"/>
        <c:minorTickMark val="none"/>
        <c:tickLblPos val="none"/>
        <c:spPr>
          <a:noFill/>
          <a:ln w="9525" cap="flat" cmpd="sng" algn="ctr">
            <a:solidFill>
              <a:schemeClr val="tx1">
                <a:lumMod val="25000"/>
                <a:lumOff val="75000"/>
              </a:schemeClr>
            </a:solidFill>
            <a:round/>
          </a:ln>
          <a:effectLst/>
        </c:spPr>
        <c:txPr>
          <a:bodyPr rot="-60000000" vert="horz"/>
          <a:lstStyle/>
          <a:p>
            <a:pPr>
              <a:defRPr/>
            </a:pPr>
            <a:endParaRPr lang="fr-FR"/>
          </a:p>
        </c:txPr>
        <c:crossAx val="434372704"/>
        <c:crossesAt val="0"/>
        <c:crossBetween val="midCat"/>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900">
          <a:solidFill>
            <a:schemeClr val="tx1">
              <a:lumMod val="75000"/>
              <a:lumOff val="25000"/>
            </a:schemeClr>
          </a:solidFill>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Cromolyn-1µg/L</c:v>
                </c:pt>
                <c:pt idx="2">
                  <c:v>Cromolyn-10µg/L</c:v>
                </c:pt>
                <c:pt idx="3">
                  <c:v>Cromolyn-100µg/L</c:v>
                </c:pt>
                <c:pt idx="4">
                  <c:v>Cromolyn-1000µg/L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Cromolyn-1µg/L</c:v>
                </c:pt>
                <c:pt idx="2">
                  <c:v>Cromolyn-10µg/L</c:v>
                </c:pt>
                <c:pt idx="3">
                  <c:v>Cromolyn-100µg/L</c:v>
                </c:pt>
                <c:pt idx="4">
                  <c:v>Cromolyn-1000µg/L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Cromolyn-1µg/L</c:v>
                </c:pt>
                <c:pt idx="2">
                  <c:v>Cromolyn-10µg/L</c:v>
                </c:pt>
                <c:pt idx="3">
                  <c:v>Cromolyn-100µg/L</c:v>
                </c:pt>
                <c:pt idx="4">
                  <c:v>Cromolyn-1000µg/L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79760"/>
        <c:axId val="434380152"/>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DD060253-1522-4DCD-8DA0-842E2BE4B455}"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18F46964-A490-4D22-8877-963A4C59490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8B5-430B-9986-9EC2C1992644}"/>
                </c:ext>
              </c:extLst>
            </c:dLbl>
            <c:dLbl>
              <c:idx val="2"/>
              <c:tx>
                <c:rich>
                  <a:bodyPr/>
                  <a:lstStyle/>
                  <a:p>
                    <a:fld id="{57718F54-C324-4E86-84B6-C029CCFB26B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08B5-430B-9986-9EC2C1992644}"/>
                </c:ext>
              </c:extLst>
            </c:dLbl>
            <c:dLbl>
              <c:idx val="3"/>
              <c:tx>
                <c:rich>
                  <a:bodyPr/>
                  <a:lstStyle/>
                  <a:p>
                    <a:fld id="{0B29F3E4-157D-4B67-A37B-81DDD8B86BF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8B5-430B-9986-9EC2C1992644}"/>
                </c:ext>
              </c:extLst>
            </c:dLbl>
            <c:dLbl>
              <c:idx val="4"/>
              <c:tx>
                <c:rich>
                  <a:bodyPr/>
                  <a:lstStyle/>
                  <a:p>
                    <a:fld id="{5420BFCA-45AE-4E0D-8029-97532B1BC93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8B5-430B-9986-9EC2C1992644}"/>
                </c:ext>
              </c:extLst>
            </c:dLbl>
            <c:dLbl>
              <c:idx val="5"/>
              <c:tx>
                <c:rich>
                  <a:bodyPr/>
                  <a:lstStyle/>
                  <a:p>
                    <a:fld id="{D0EB6E43-2013-42AA-AFAA-F3AE267300F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8B5-430B-9986-9EC2C1992644}"/>
                </c:ext>
              </c:extLst>
            </c:dLbl>
            <c:dLbl>
              <c:idx val="6"/>
              <c:tx>
                <c:rich>
                  <a:bodyPr/>
                  <a:lstStyle/>
                  <a:p>
                    <a:fld id="{D24CA6A5-FC62-4307-9670-DEDB65DA87C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8B5-430B-9986-9EC2C1992644}"/>
                </c:ext>
              </c:extLst>
            </c:dLbl>
            <c:dLbl>
              <c:idx val="7"/>
              <c:tx>
                <c:rich>
                  <a:bodyPr/>
                  <a:lstStyle/>
                  <a:p>
                    <a:fld id="{DA75AB79-8E13-4650-A555-F5A953F3F11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8B5-430B-9986-9EC2C1992644}"/>
                </c:ext>
              </c:extLst>
            </c:dLbl>
            <c:dLbl>
              <c:idx val="8"/>
              <c:tx>
                <c:rich>
                  <a:bodyPr/>
                  <a:lstStyle/>
                  <a:p>
                    <a:fld id="{25938B63-CBBB-4F57-94D1-8D0400DF24E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8B5-430B-9986-9EC2C1992644}"/>
                </c:ext>
              </c:extLst>
            </c:dLbl>
            <c:dLbl>
              <c:idx val="9"/>
              <c:tx>
                <c:rich>
                  <a:bodyPr/>
                  <a:lstStyle/>
                  <a:p>
                    <a:fld id="{8AE9CA7F-FA84-44C6-A9BA-2CF961FBCB2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8B5-430B-9986-9EC2C1992644}"/>
                </c:ext>
              </c:extLst>
            </c:dLbl>
            <c:dLbl>
              <c:idx val="10"/>
              <c:tx>
                <c:rich>
                  <a:bodyPr/>
                  <a:lstStyle/>
                  <a:p>
                    <a:fld id="{E1907932-DA9E-4D55-9E58-18875FE20EF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8B5-430B-9986-9EC2C1992644}"/>
                </c:ext>
              </c:extLst>
            </c:dLbl>
            <c:dLbl>
              <c:idx val="11"/>
              <c:tx>
                <c:rich>
                  <a:bodyPr/>
                  <a:lstStyle/>
                  <a:p>
                    <a:fld id="{98EAC5DD-29DA-4025-A07B-9A56562D26F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8B5-430B-9986-9EC2C1992644}"/>
                </c:ext>
              </c:extLst>
            </c:dLbl>
            <c:dLbl>
              <c:idx val="12"/>
              <c:tx>
                <c:rich>
                  <a:bodyPr/>
                  <a:lstStyle/>
                  <a:p>
                    <a:fld id="{BBC01498-86AE-4071-8564-BCDD41B27B6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8B5-430B-9986-9EC2C1992644}"/>
                </c:ext>
              </c:extLst>
            </c:dLbl>
            <c:dLbl>
              <c:idx val="13"/>
              <c:tx>
                <c:rich>
                  <a:bodyPr/>
                  <a:lstStyle/>
                  <a:p>
                    <a:fld id="{1F4AB936-0D45-45EE-ABFD-82B421EF048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8B5-430B-9986-9EC2C1992644}"/>
                </c:ext>
              </c:extLst>
            </c:dLbl>
            <c:dLbl>
              <c:idx val="14"/>
              <c:tx>
                <c:rich>
                  <a:bodyPr/>
                  <a:lstStyle/>
                  <a:p>
                    <a:fld id="{84E9AA6E-6A30-40DD-A442-F4249B1E02B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8B5-430B-9986-9EC2C1992644}"/>
                </c:ext>
              </c:extLst>
            </c:dLbl>
            <c:dLbl>
              <c:idx val="15"/>
              <c:tx>
                <c:rich>
                  <a:bodyPr/>
                  <a:lstStyle/>
                  <a:p>
                    <a:fld id="{40AAC0A9-2014-42B1-A68E-0EDC5965A9D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08B5-430B-9986-9EC2C1992644}"/>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1.1329392747859688E-2</c:v>
                  </c:pt>
                  <c:pt idx="2">
                    <c:v>1.0910315131660089E-2</c:v>
                  </c:pt>
                  <c:pt idx="3">
                    <c:v>1.7233513712185775E-2</c:v>
                  </c:pt>
                  <c:pt idx="4">
                    <c:v>2.7582851286780969E-2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1.1329392747859688E-2</c:v>
                  </c:pt>
                  <c:pt idx="2">
                    <c:v>1.0910315131660089E-2</c:v>
                  </c:pt>
                  <c:pt idx="3">
                    <c:v>1.7233513712185775E-2</c:v>
                  </c:pt>
                  <c:pt idx="4">
                    <c:v>2.7582851286780969E-2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Cromolyn-1µg/L</c:v>
                </c:pt>
                <c:pt idx="2">
                  <c:v>Cromolyn-10µg/L</c:v>
                </c:pt>
                <c:pt idx="3">
                  <c:v>Cromolyn-100µg/L</c:v>
                </c:pt>
                <c:pt idx="4">
                  <c:v>Cromolyn-1000µg/L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8.5601748592480043E-2</c:v>
                </c:pt>
                <c:pt idx="2">
                  <c:v>7.3743311519700441E-2</c:v>
                </c:pt>
                <c:pt idx="3">
                  <c:v>0.12166486736821068</c:v>
                </c:pt>
                <c:pt idx="4">
                  <c:v>0.15422562604974674</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79760"/>
        <c:axId val="434380152"/>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0.11474402963090824</c:v>
                </c:pt>
                <c:pt idx="1">
                  <c:v>0.11474402963090824</c:v>
                </c:pt>
                <c:pt idx="2">
                  <c:v>0.11474402963090824</c:v>
                </c:pt>
                <c:pt idx="3">
                  <c:v>0.11474402963090824</c:v>
                </c:pt>
                <c:pt idx="4">
                  <c:v>0.11474402963090824</c:v>
                </c:pt>
                <c:pt idx="5">
                  <c:v>0.11474402963090824</c:v>
                </c:pt>
                <c:pt idx="6">
                  <c:v>0.11474402963090824</c:v>
                </c:pt>
                <c:pt idx="7">
                  <c:v>0.11474402963090824</c:v>
                </c:pt>
                <c:pt idx="8">
                  <c:v>0.11474402963090824</c:v>
                </c:pt>
                <c:pt idx="9">
                  <c:v>0.11474402963090824</c:v>
                </c:pt>
                <c:pt idx="10">
                  <c:v>0.11474402963090824</c:v>
                </c:pt>
                <c:pt idx="11">
                  <c:v>0.11474402963090824</c:v>
                </c:pt>
                <c:pt idx="12">
                  <c:v>0.11474402963090824</c:v>
                </c:pt>
                <c:pt idx="13">
                  <c:v>0.11474402963090824</c:v>
                </c:pt>
                <c:pt idx="14">
                  <c:v>0.11474402963090824</c:v>
                </c:pt>
                <c:pt idx="15">
                  <c:v>0.11474402963090824</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79760"/>
        <c:axId val="434380152"/>
      </c:lineChart>
      <c:dateAx>
        <c:axId val="43437976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0152"/>
        <c:crosses val="autoZero"/>
        <c:auto val="0"/>
        <c:lblOffset val="100"/>
        <c:baseTimeUnit val="days"/>
      </c:dateAx>
      <c:valAx>
        <c:axId val="434380152"/>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7976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Cromolyn-0,1µg/L + Testostérone</c:v>
                </c:pt>
                <c:pt idx="2">
                  <c:v>Cromolyn-1µg/L + Testostérone</c:v>
                </c:pt>
                <c:pt idx="3">
                  <c:v>Cromolyn-10µg/L + Testostérone</c:v>
                </c:pt>
                <c:pt idx="4">
                  <c:v>Cromolyn-100µg/L + Testostérone</c:v>
                </c:pt>
                <c:pt idx="5">
                  <c:v>Cromolyn-1000µg/L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0.10888162819021581</c:v>
                </c:pt>
                <c:pt idx="1">
                  <c:v>0.10888162819021581</c:v>
                </c:pt>
                <c:pt idx="2">
                  <c:v>0.10888162819021581</c:v>
                </c:pt>
                <c:pt idx="3">
                  <c:v>0.10888162819021581</c:v>
                </c:pt>
                <c:pt idx="4">
                  <c:v>0.10888162819021581</c:v>
                </c:pt>
                <c:pt idx="5">
                  <c:v>0.10888162819021581</c:v>
                </c:pt>
                <c:pt idx="6">
                  <c:v>0.10888162819021581</c:v>
                </c:pt>
                <c:pt idx="7">
                  <c:v>0.10888162819021581</c:v>
                </c:pt>
                <c:pt idx="8">
                  <c:v>0.10888162819021581</c:v>
                </c:pt>
                <c:pt idx="9">
                  <c:v>0.10888162819021581</c:v>
                </c:pt>
                <c:pt idx="10">
                  <c:v>0.10888162819021581</c:v>
                </c:pt>
                <c:pt idx="11">
                  <c:v>0.10888162819021581</c:v>
                </c:pt>
                <c:pt idx="12">
                  <c:v>0.10888162819021581</c:v>
                </c:pt>
                <c:pt idx="13">
                  <c:v>0.10888162819021581</c:v>
                </c:pt>
                <c:pt idx="14">
                  <c:v>0.10888162819021581</c:v>
                </c:pt>
                <c:pt idx="15">
                  <c:v>0.10888162819021581</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Cromolyn-0,1µg/L + Testostérone</c:v>
                </c:pt>
                <c:pt idx="2">
                  <c:v>Cromolyn-1µg/L + Testostérone</c:v>
                </c:pt>
                <c:pt idx="3">
                  <c:v>Cromolyn-10µg/L + Testostérone</c:v>
                </c:pt>
                <c:pt idx="4">
                  <c:v>Cromolyn-100µg/L + Testostérone</c:v>
                </c:pt>
                <c:pt idx="5">
                  <c:v>Cromolyn-1000µg/L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1.2948079149704037</c:v>
                </c:pt>
                <c:pt idx="1">
                  <c:v>1.2948079149704037</c:v>
                </c:pt>
                <c:pt idx="2">
                  <c:v>1.2948079149704037</c:v>
                </c:pt>
                <c:pt idx="3">
                  <c:v>1.2948079149704037</c:v>
                </c:pt>
                <c:pt idx="4">
                  <c:v>1.2948079149704037</c:v>
                </c:pt>
                <c:pt idx="5">
                  <c:v>1.2948079149704037</c:v>
                </c:pt>
                <c:pt idx="6">
                  <c:v>1.2948079149704037</c:v>
                </c:pt>
                <c:pt idx="7">
                  <c:v>1.2948079149704037</c:v>
                </c:pt>
                <c:pt idx="8">
                  <c:v>1.2948079149704037</c:v>
                </c:pt>
                <c:pt idx="9">
                  <c:v>1.2948079149704037</c:v>
                </c:pt>
                <c:pt idx="10">
                  <c:v>1.2948079149704037</c:v>
                </c:pt>
                <c:pt idx="11">
                  <c:v>1.2948079149704037</c:v>
                </c:pt>
                <c:pt idx="12">
                  <c:v>1.2948079149704037</c:v>
                </c:pt>
                <c:pt idx="13">
                  <c:v>1.2948079149704037</c:v>
                </c:pt>
                <c:pt idx="14">
                  <c:v>1.2948079149704037</c:v>
                </c:pt>
                <c:pt idx="15">
                  <c:v>1.2948079149704037</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Cromolyn-0,1µg/L + Testostérone</c:v>
                </c:pt>
                <c:pt idx="2">
                  <c:v>Cromolyn-1µg/L + Testostérone</c:v>
                </c:pt>
                <c:pt idx="3">
                  <c:v>Cromolyn-10µg/L + Testostérone</c:v>
                </c:pt>
                <c:pt idx="4">
                  <c:v>Cromolyn-100µg/L + Testostérone</c:v>
                </c:pt>
                <c:pt idx="5">
                  <c:v>Cromolyn-1000µg/L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1.2051920850295963</c:v>
                </c:pt>
                <c:pt idx="1">
                  <c:v>1.2051920850295963</c:v>
                </c:pt>
                <c:pt idx="2">
                  <c:v>1.2051920850295963</c:v>
                </c:pt>
                <c:pt idx="3">
                  <c:v>1.2051920850295963</c:v>
                </c:pt>
                <c:pt idx="4">
                  <c:v>1.2051920850295963</c:v>
                </c:pt>
                <c:pt idx="5">
                  <c:v>1.2051920850295963</c:v>
                </c:pt>
                <c:pt idx="6">
                  <c:v>1.2051920850295963</c:v>
                </c:pt>
                <c:pt idx="7">
                  <c:v>1.2051920850295963</c:v>
                </c:pt>
                <c:pt idx="8">
                  <c:v>1.2051920850295963</c:v>
                </c:pt>
                <c:pt idx="9">
                  <c:v>1.2051920850295963</c:v>
                </c:pt>
                <c:pt idx="10">
                  <c:v>1.2051920850295963</c:v>
                </c:pt>
                <c:pt idx="11">
                  <c:v>1.2051920850295963</c:v>
                </c:pt>
                <c:pt idx="12">
                  <c:v>1.2051920850295963</c:v>
                </c:pt>
                <c:pt idx="13">
                  <c:v>1.2051920850295963</c:v>
                </c:pt>
                <c:pt idx="14">
                  <c:v>1.2051920850295963</c:v>
                </c:pt>
                <c:pt idx="15">
                  <c:v>1.2051920850295963</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0936"/>
        <c:axId val="434381328"/>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91D5FE-68FC-4D2B-92D2-B5C9629D3D4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BF9C3779-6040-4B25-97E9-0829537E957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E32-4216-8FED-9A7B81C1A779}"/>
                </c:ext>
              </c:extLst>
            </c:dLbl>
            <c:dLbl>
              <c:idx val="2"/>
              <c:tx>
                <c:rich>
                  <a:bodyPr/>
                  <a:lstStyle/>
                  <a:p>
                    <a:fld id="{DF804657-00FA-4D29-81AE-51CF23BAD40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E32-4216-8FED-9A7B81C1A779}"/>
                </c:ext>
              </c:extLst>
            </c:dLbl>
            <c:dLbl>
              <c:idx val="3"/>
              <c:tx>
                <c:rich>
                  <a:bodyPr/>
                  <a:lstStyle/>
                  <a:p>
                    <a:fld id="{C9E5088D-2DED-4A00-9A4E-DF6C02B748B5}"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E32-4216-8FED-9A7B81C1A779}"/>
                </c:ext>
              </c:extLst>
            </c:dLbl>
            <c:dLbl>
              <c:idx val="4"/>
              <c:tx>
                <c:rich>
                  <a:bodyPr/>
                  <a:lstStyle/>
                  <a:p>
                    <a:fld id="{42A21FBB-F869-411D-9FBE-0F9591EC44F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E32-4216-8FED-9A7B81C1A779}"/>
                </c:ext>
              </c:extLst>
            </c:dLbl>
            <c:dLbl>
              <c:idx val="5"/>
              <c:tx>
                <c:rich>
                  <a:bodyPr/>
                  <a:lstStyle/>
                  <a:p>
                    <a:fld id="{8AA275E5-6B28-4353-85CB-9D2E67A711C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E32-4216-8FED-9A7B81C1A779}"/>
                </c:ext>
              </c:extLst>
            </c:dLbl>
            <c:dLbl>
              <c:idx val="6"/>
              <c:tx>
                <c:rich>
                  <a:bodyPr/>
                  <a:lstStyle/>
                  <a:p>
                    <a:fld id="{E550A2C9-49B6-4D10-B104-51510298893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E32-4216-8FED-9A7B81C1A779}"/>
                </c:ext>
              </c:extLst>
            </c:dLbl>
            <c:dLbl>
              <c:idx val="7"/>
              <c:tx>
                <c:rich>
                  <a:bodyPr/>
                  <a:lstStyle/>
                  <a:p>
                    <a:fld id="{E82FDCE1-6DA0-4FD8-8275-EBDBB3E8D4A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E32-4216-8FED-9A7B81C1A779}"/>
                </c:ext>
              </c:extLst>
            </c:dLbl>
            <c:dLbl>
              <c:idx val="8"/>
              <c:tx>
                <c:rich>
                  <a:bodyPr/>
                  <a:lstStyle/>
                  <a:p>
                    <a:fld id="{27DE5B57-EF17-443D-AC01-45828FB82EE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E32-4216-8FED-9A7B81C1A779}"/>
                </c:ext>
              </c:extLst>
            </c:dLbl>
            <c:dLbl>
              <c:idx val="9"/>
              <c:tx>
                <c:rich>
                  <a:bodyPr/>
                  <a:lstStyle/>
                  <a:p>
                    <a:fld id="{9C97505B-93E5-4EAD-9DCD-DFF4009A2A0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E32-4216-8FED-9A7B81C1A779}"/>
                </c:ext>
              </c:extLst>
            </c:dLbl>
            <c:dLbl>
              <c:idx val="10"/>
              <c:tx>
                <c:rich>
                  <a:bodyPr/>
                  <a:lstStyle/>
                  <a:p>
                    <a:fld id="{5338F442-B323-406E-8B77-FBCE0F9E7D6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E32-4216-8FED-9A7B81C1A779}"/>
                </c:ext>
              </c:extLst>
            </c:dLbl>
            <c:dLbl>
              <c:idx val="11"/>
              <c:tx>
                <c:rich>
                  <a:bodyPr/>
                  <a:lstStyle/>
                  <a:p>
                    <a:fld id="{8715E99F-7EC2-447A-AD8E-4CEFC254C07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E32-4216-8FED-9A7B81C1A779}"/>
                </c:ext>
              </c:extLst>
            </c:dLbl>
            <c:dLbl>
              <c:idx val="12"/>
              <c:tx>
                <c:rich>
                  <a:bodyPr/>
                  <a:lstStyle/>
                  <a:p>
                    <a:fld id="{BE11EABE-16E8-4B3A-985D-F093651C799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E32-4216-8FED-9A7B81C1A779}"/>
                </c:ext>
              </c:extLst>
            </c:dLbl>
            <c:dLbl>
              <c:idx val="13"/>
              <c:tx>
                <c:rich>
                  <a:bodyPr/>
                  <a:lstStyle/>
                  <a:p>
                    <a:fld id="{6E7DF934-58F7-4856-A89C-9E91357B798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E32-4216-8FED-9A7B81C1A779}"/>
                </c:ext>
              </c:extLst>
            </c:dLbl>
            <c:dLbl>
              <c:idx val="14"/>
              <c:tx>
                <c:rich>
                  <a:bodyPr/>
                  <a:lstStyle/>
                  <a:p>
                    <a:fld id="{68492F6C-3090-4837-992D-7A06C1F22C1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E32-4216-8FED-9A7B81C1A779}"/>
                </c:ext>
              </c:extLst>
            </c:dLbl>
            <c:dLbl>
              <c:idx val="15"/>
              <c:tx>
                <c:rich>
                  <a:bodyPr/>
                  <a:lstStyle/>
                  <a:p>
                    <a:fld id="{F3A91565-504F-4F2A-AB2B-DE6EF5D53688}"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E32-4216-8FED-9A7B81C1A779}"/>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0.12857289204112948</c:v>
                  </c:pt>
                  <c:pt idx="2">
                    <c:v>0.11525751434686056</c:v>
                  </c:pt>
                  <c:pt idx="3">
                    <c:v>0.15041426033483898</c:v>
                  </c:pt>
                  <c:pt idx="4">
                    <c:v>0.12918102201275808</c:v>
                  </c:pt>
                  <c:pt idx="5">
                    <c:v>0.11506014246509058</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0.12857289204112948</c:v>
                  </c:pt>
                  <c:pt idx="2">
                    <c:v>0.11525751434686056</c:v>
                  </c:pt>
                  <c:pt idx="3">
                    <c:v>0.15041426033483898</c:v>
                  </c:pt>
                  <c:pt idx="4">
                    <c:v>0.12918102201275808</c:v>
                  </c:pt>
                  <c:pt idx="5">
                    <c:v>0.11506014246509058</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Cromolyn-0,1µg/L + Testostérone</c:v>
                </c:pt>
                <c:pt idx="2">
                  <c:v>Cromolyn-1µg/L + Testostérone</c:v>
                </c:pt>
                <c:pt idx="3">
                  <c:v>Cromolyn-10µg/L + Testostérone</c:v>
                </c:pt>
                <c:pt idx="4">
                  <c:v>Cromolyn-100µg/L + Testostérone</c:v>
                </c:pt>
                <c:pt idx="5">
                  <c:v>Cromolyn-1000µg/L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0.81046544479508986</c:v>
                </c:pt>
                <c:pt idx="2">
                  <c:v>0.73219000223152897</c:v>
                </c:pt>
                <c:pt idx="3">
                  <c:v>0.88335290141760592</c:v>
                </c:pt>
                <c:pt idx="4">
                  <c:v>0.81009184213048868</c:v>
                </c:pt>
                <c:pt idx="5">
                  <c:v>0.82365737663353666</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0936"/>
        <c:axId val="434381328"/>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Cromolyn-0,1µg/L + Testostérone</c:v>
                </c:pt>
                <c:pt idx="2">
                  <c:v>Cromolyn-1µg/L + Testostérone</c:v>
                </c:pt>
                <c:pt idx="3">
                  <c:v>Cromolyn-10µg/L + Testostérone</c:v>
                </c:pt>
                <c:pt idx="4">
                  <c:v>Cromolyn-100µg/L + Testostérone</c:v>
                </c:pt>
                <c:pt idx="5">
                  <c:v>Cromolyn-1000µg/L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0936"/>
        <c:axId val="434381328"/>
      </c:lineChart>
      <c:dateAx>
        <c:axId val="43438093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1328"/>
        <c:crosses val="autoZero"/>
        <c:auto val="0"/>
        <c:lblOffset val="100"/>
        <c:baseTimeUnit val="days"/>
      </c:dateAx>
      <c:valAx>
        <c:axId val="434381328"/>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093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CHG'!$E$2:$T$2</c:f>
              <c:strCache>
                <c:ptCount val="15"/>
                <c:pt idx="1">
                  <c:v>Cromolyn-1µg/L</c:v>
                </c:pt>
                <c:pt idx="2">
                  <c:v>Cromolyn-10µg/L</c:v>
                </c:pt>
                <c:pt idx="3">
                  <c:v>Cromolyn-100µg/L</c:v>
                </c:pt>
                <c:pt idx="4">
                  <c:v>Cromolyn-1000µg/L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CHG'!$E$8:$T$8</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E05A-476A-81E0-9DDAF8947A01}"/>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CHG'!$E$2:$T$2</c:f>
              <c:strCache>
                <c:ptCount val="15"/>
                <c:pt idx="1">
                  <c:v>Cromolyn-1µg/L</c:v>
                </c:pt>
                <c:pt idx="2">
                  <c:v>Cromolyn-10µg/L</c:v>
                </c:pt>
                <c:pt idx="3">
                  <c:v>Cromolyn-100µg/L</c:v>
                </c:pt>
                <c:pt idx="4">
                  <c:v>Cromolyn-1000µg/L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CHG'!$E$9:$T$9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E05A-476A-81E0-9DDAF8947A01}"/>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CHG'!$E$2:$T$2</c:f>
              <c:strCache>
                <c:ptCount val="15"/>
                <c:pt idx="1">
                  <c:v>Cromolyn-1µg/L</c:v>
                </c:pt>
                <c:pt idx="2">
                  <c:v>Cromolyn-10µg/L</c:v>
                </c:pt>
                <c:pt idx="3">
                  <c:v>Cromolyn-100µg/L</c:v>
                </c:pt>
                <c:pt idx="4">
                  <c:v>Cromolyn-1000µg/L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CHG'!$E$10:$T$10</c:f>
              <c:numCache>
                <c:formatCode>General</c:formatCode>
                <c:ptCount val="16"/>
                <c:pt idx="0">
                  <c:v>2.5</c:v>
                </c:pt>
                <c:pt idx="1">
                  <c:v>2.5</c:v>
                </c:pt>
                <c:pt idx="2">
                  <c:v>2.5</c:v>
                </c:pt>
                <c:pt idx="3">
                  <c:v>2.5</c:v>
                </c:pt>
                <c:pt idx="4">
                  <c:v>2.5</c:v>
                </c:pt>
                <c:pt idx="5">
                  <c:v>2.5</c:v>
                </c:pt>
                <c:pt idx="6">
                  <c:v>2.5</c:v>
                </c:pt>
                <c:pt idx="7">
                  <c:v>2.5</c:v>
                </c:pt>
                <c:pt idx="8">
                  <c:v>2.5</c:v>
                </c:pt>
                <c:pt idx="9">
                  <c:v>2.5</c:v>
                </c:pt>
                <c:pt idx="10">
                  <c:v>2.5</c:v>
                </c:pt>
                <c:pt idx="11">
                  <c:v>2.5</c:v>
                </c:pt>
                <c:pt idx="12">
                  <c:v>2.5</c:v>
                </c:pt>
                <c:pt idx="13">
                  <c:v>2.5</c:v>
                </c:pt>
                <c:pt idx="14">
                  <c:v>2.5</c:v>
                </c:pt>
                <c:pt idx="15">
                  <c:v>2.5</c:v>
                </c:pt>
              </c:numCache>
            </c:numRef>
          </c:val>
          <c:extLst>
            <c:ext xmlns:c16="http://schemas.microsoft.com/office/drawing/2014/chart" uri="{C3380CC4-5D6E-409C-BE32-E72D297353CC}">
              <c16:uniqueId val="{00000002-E05A-476A-81E0-9DDAF8947A01}"/>
            </c:ext>
          </c:extLst>
        </c:ser>
        <c:dLbls>
          <c:showLegendKey val="0"/>
          <c:showVal val="0"/>
          <c:showCatName val="0"/>
          <c:showSerName val="0"/>
          <c:showPercent val="0"/>
          <c:showBubbleSize val="0"/>
        </c:dLbls>
        <c:axId val="434382112"/>
        <c:axId val="434382504"/>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67BDF2FC-0662-42F7-88AA-6E891B8B54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05A-476A-81E0-9DDAF8947A01}"/>
                </c:ext>
              </c:extLst>
            </c:dLbl>
            <c:dLbl>
              <c:idx val="1"/>
              <c:tx>
                <c:rich>
                  <a:bodyPr/>
                  <a:lstStyle/>
                  <a:p>
                    <a:fld id="{C3E32BE3-A384-4C13-BB5B-D8A6F236FD6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C6E-4AE4-BE8A-896B67024C51}"/>
                </c:ext>
              </c:extLst>
            </c:dLbl>
            <c:dLbl>
              <c:idx val="2"/>
              <c:tx>
                <c:rich>
                  <a:bodyPr/>
                  <a:lstStyle/>
                  <a:p>
                    <a:fld id="{7119E397-0635-4992-AEFE-CE213FB2292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C6E-4AE4-BE8A-896B67024C51}"/>
                </c:ext>
              </c:extLst>
            </c:dLbl>
            <c:dLbl>
              <c:idx val="3"/>
              <c:tx>
                <c:rich>
                  <a:bodyPr/>
                  <a:lstStyle/>
                  <a:p>
                    <a:fld id="{4CD11248-FAA4-4030-AAD8-9C901B67E8E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C6E-4AE4-BE8A-896B67024C51}"/>
                </c:ext>
              </c:extLst>
            </c:dLbl>
            <c:dLbl>
              <c:idx val="4"/>
              <c:tx>
                <c:rich>
                  <a:bodyPr/>
                  <a:lstStyle/>
                  <a:p>
                    <a:fld id="{FF19D79F-2C06-4954-8BEA-ABF45B4C527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C6E-4AE4-BE8A-896B67024C51}"/>
                </c:ext>
              </c:extLst>
            </c:dLbl>
            <c:dLbl>
              <c:idx val="5"/>
              <c:tx>
                <c:rich>
                  <a:bodyPr/>
                  <a:lstStyle/>
                  <a:p>
                    <a:fld id="{0B178EBA-8294-4223-B981-A2C085739566}"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C6E-4AE4-BE8A-896B67024C51}"/>
                </c:ext>
              </c:extLst>
            </c:dLbl>
            <c:dLbl>
              <c:idx val="6"/>
              <c:tx>
                <c:rich>
                  <a:bodyPr/>
                  <a:lstStyle/>
                  <a:p>
                    <a:fld id="{4801AC98-EEB4-404B-B1CD-57FA6E8E8BF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C6E-4AE4-BE8A-896B67024C51}"/>
                </c:ext>
              </c:extLst>
            </c:dLbl>
            <c:dLbl>
              <c:idx val="7"/>
              <c:tx>
                <c:rich>
                  <a:bodyPr/>
                  <a:lstStyle/>
                  <a:p>
                    <a:fld id="{064C36E5-1341-46CC-A4C8-02675510ABB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1C6E-4AE4-BE8A-896B67024C51}"/>
                </c:ext>
              </c:extLst>
            </c:dLbl>
            <c:dLbl>
              <c:idx val="8"/>
              <c:tx>
                <c:rich>
                  <a:bodyPr/>
                  <a:lstStyle/>
                  <a:p>
                    <a:fld id="{880FA205-ABBC-4520-83E6-4C3DEEE5D9E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1C6E-4AE4-BE8A-896B67024C51}"/>
                </c:ext>
              </c:extLst>
            </c:dLbl>
            <c:dLbl>
              <c:idx val="9"/>
              <c:tx>
                <c:rich>
                  <a:bodyPr/>
                  <a:lstStyle/>
                  <a:p>
                    <a:fld id="{2938B62F-BF5F-43DD-A8D5-BFF9D001E8B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1C6E-4AE4-BE8A-896B67024C51}"/>
                </c:ext>
              </c:extLst>
            </c:dLbl>
            <c:dLbl>
              <c:idx val="10"/>
              <c:tx>
                <c:rich>
                  <a:bodyPr/>
                  <a:lstStyle/>
                  <a:p>
                    <a:fld id="{91859E57-12AE-4BED-BBBA-25BC88502A0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1C6E-4AE4-BE8A-896B67024C51}"/>
                </c:ext>
              </c:extLst>
            </c:dLbl>
            <c:dLbl>
              <c:idx val="11"/>
              <c:tx>
                <c:rich>
                  <a:bodyPr/>
                  <a:lstStyle/>
                  <a:p>
                    <a:fld id="{83C01FF9-7330-4389-B41D-B8CC8C7DE97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1C6E-4AE4-BE8A-896B67024C51}"/>
                </c:ext>
              </c:extLst>
            </c:dLbl>
            <c:dLbl>
              <c:idx val="12"/>
              <c:tx>
                <c:rich>
                  <a:bodyPr/>
                  <a:lstStyle/>
                  <a:p>
                    <a:fld id="{2EC87A22-620A-4CDE-9DBD-D8A961A36CA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1C6E-4AE4-BE8A-896B67024C51}"/>
                </c:ext>
              </c:extLst>
            </c:dLbl>
            <c:dLbl>
              <c:idx val="13"/>
              <c:tx>
                <c:rich>
                  <a:bodyPr/>
                  <a:lstStyle/>
                  <a:p>
                    <a:fld id="{055CD32B-C1B5-41A6-80C6-F1FF1D56220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1C6E-4AE4-BE8A-896B67024C51}"/>
                </c:ext>
              </c:extLst>
            </c:dLbl>
            <c:dLbl>
              <c:idx val="14"/>
              <c:tx>
                <c:rich>
                  <a:bodyPr/>
                  <a:lstStyle/>
                  <a:p>
                    <a:fld id="{D18D8B66-ED1E-4308-9313-CC0B50744DD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1C6E-4AE4-BE8A-896B67024C51}"/>
                </c:ext>
              </c:extLst>
            </c:dLbl>
            <c:dLbl>
              <c:idx val="15"/>
              <c:tx>
                <c:rich>
                  <a:bodyPr/>
                  <a:lstStyle/>
                  <a:p>
                    <a:fld id="{FA396178-FD07-4ED1-A3AE-F891322054EC}"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1C6E-4AE4-BE8A-896B67024C51}"/>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CHG'!$E$4:$T$4</c:f>
                <c:numCache>
                  <c:formatCode>General</c:formatCode>
                  <c:ptCount val="16"/>
                  <c:pt idx="1">
                    <c:v>1.1329392747859688E-2</c:v>
                  </c:pt>
                  <c:pt idx="2">
                    <c:v>1.0910315131660089E-2</c:v>
                  </c:pt>
                  <c:pt idx="3">
                    <c:v>1.7233513712185775E-2</c:v>
                  </c:pt>
                  <c:pt idx="4">
                    <c:v>2.7582851286780969E-2</c:v>
                  </c:pt>
                  <c:pt idx="5">
                    <c:v>0</c:v>
                  </c:pt>
                  <c:pt idx="6">
                    <c:v>0</c:v>
                  </c:pt>
                  <c:pt idx="7">
                    <c:v>0</c:v>
                  </c:pt>
                  <c:pt idx="8">
                    <c:v>0</c:v>
                  </c:pt>
                  <c:pt idx="9">
                    <c:v>0</c:v>
                  </c:pt>
                  <c:pt idx="10">
                    <c:v>0</c:v>
                  </c:pt>
                  <c:pt idx="11">
                    <c:v>0</c:v>
                  </c:pt>
                  <c:pt idx="12">
                    <c:v>0</c:v>
                  </c:pt>
                  <c:pt idx="13">
                    <c:v>0</c:v>
                  </c:pt>
                  <c:pt idx="14">
                    <c:v>0</c:v>
                  </c:pt>
                </c:numCache>
              </c:numRef>
            </c:plus>
            <c:minus>
              <c:numRef>
                <c:f>'Graph format rapport CHG'!$E$4:$T$4</c:f>
                <c:numCache>
                  <c:formatCode>General</c:formatCode>
                  <c:ptCount val="16"/>
                  <c:pt idx="1">
                    <c:v>1.1329392747859688E-2</c:v>
                  </c:pt>
                  <c:pt idx="2">
                    <c:v>1.0910315131660089E-2</c:v>
                  </c:pt>
                  <c:pt idx="3">
                    <c:v>1.7233513712185775E-2</c:v>
                  </c:pt>
                  <c:pt idx="4">
                    <c:v>2.7582851286780969E-2</c:v>
                  </c:pt>
                  <c:pt idx="5">
                    <c:v>0</c:v>
                  </c:pt>
                  <c:pt idx="6">
                    <c:v>0</c:v>
                  </c:pt>
                  <c:pt idx="7">
                    <c:v>0</c:v>
                  </c:pt>
                  <c:pt idx="8">
                    <c:v>0</c:v>
                  </c:pt>
                  <c:pt idx="9">
                    <c:v>0</c:v>
                  </c:pt>
                  <c:pt idx="10">
                    <c:v>0</c:v>
                  </c:pt>
                  <c:pt idx="11">
                    <c:v>0</c:v>
                  </c:pt>
                  <c:pt idx="12">
                    <c:v>0</c:v>
                  </c:pt>
                  <c:pt idx="13">
                    <c:v>0</c:v>
                  </c:pt>
                  <c:pt idx="14">
                    <c:v>0</c:v>
                  </c:pt>
                </c:numCache>
              </c:numRef>
            </c:minus>
          </c:errBars>
          <c:cat>
            <c:strRef>
              <c:f>'Graph format rapport CHG'!$E$2:$T$2</c:f>
              <c:strCache>
                <c:ptCount val="15"/>
                <c:pt idx="1">
                  <c:v>Cromolyn-1µg/L</c:v>
                </c:pt>
                <c:pt idx="2">
                  <c:v>Cromolyn-10µg/L</c:v>
                </c:pt>
                <c:pt idx="3">
                  <c:v>Cromolyn-100µg/L</c:v>
                </c:pt>
                <c:pt idx="4">
                  <c:v>Cromolyn-1000µg/L</c:v>
                </c:pt>
                <c:pt idx="5">
                  <c:v>#REF!</c:v>
                </c:pt>
                <c:pt idx="6">
                  <c:v>#REF!</c:v>
                </c:pt>
                <c:pt idx="7">
                  <c:v>#REF!</c:v>
                </c:pt>
                <c:pt idx="8">
                  <c:v>#REF!</c:v>
                </c:pt>
                <c:pt idx="9">
                  <c:v>#REF!</c:v>
                </c:pt>
                <c:pt idx="10">
                  <c:v>#REF!</c:v>
                </c:pt>
                <c:pt idx="11">
                  <c:v>#REF!</c:v>
                </c:pt>
                <c:pt idx="12">
                  <c:v>#REF!</c:v>
                </c:pt>
                <c:pt idx="13">
                  <c:v>#REF!</c:v>
                </c:pt>
                <c:pt idx="14">
                  <c:v>#REF!</c:v>
                </c:pt>
              </c:strCache>
            </c:strRef>
          </c:cat>
          <c:val>
            <c:numRef>
              <c:f>'Graph format rapport CHG'!$E$3:$T$3</c:f>
              <c:numCache>
                <c:formatCode>General</c:formatCode>
                <c:ptCount val="16"/>
                <c:pt idx="1">
                  <c:v>8.5601748592480043E-2</c:v>
                </c:pt>
                <c:pt idx="2">
                  <c:v>7.3743311519700441E-2</c:v>
                </c:pt>
                <c:pt idx="3">
                  <c:v>0.12166486736821068</c:v>
                </c:pt>
                <c:pt idx="4">
                  <c:v>0.15422562604974674</c:v>
                </c:pt>
                <c:pt idx="5">
                  <c:v>0</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CHG'!$E$5:$T$5</c15:f>
                <c15:dlblRangeCache>
                  <c:ptCount val="16"/>
                  <c:pt idx="1">
                    <c:v>NS</c:v>
                  </c:pt>
                  <c:pt idx="2">
                    <c:v>NS</c:v>
                  </c:pt>
                  <c:pt idx="3">
                    <c:v>NS</c:v>
                  </c:pt>
                  <c:pt idx="4">
                    <c:v>NS</c:v>
                  </c:pt>
                  <c:pt idx="5">
                    <c:v>#REF!</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E05A-476A-81E0-9DDAF8947A01}"/>
            </c:ext>
          </c:extLst>
        </c:ser>
        <c:dLbls>
          <c:showLegendKey val="0"/>
          <c:showVal val="0"/>
          <c:showCatName val="0"/>
          <c:showSerName val="0"/>
          <c:showPercent val="0"/>
          <c:showBubbleSize val="0"/>
        </c:dLbls>
        <c:gapWidth val="150"/>
        <c:axId val="434382112"/>
        <c:axId val="434382504"/>
      </c:barChart>
      <c:lineChart>
        <c:grouping val="standard"/>
        <c:varyColors val="0"/>
        <c:ser>
          <c:idx val="1"/>
          <c:order val="1"/>
          <c:tx>
            <c:strRef>
              <c:f>'Graph format rapport CHG'!$D$6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CHG'!$E$6:$T$6</c:f>
              <c:numCache>
                <c:formatCode>General</c:formatCode>
                <c:ptCount val="16"/>
                <c:pt idx="0">
                  <c:v>0.11474402963090824</c:v>
                </c:pt>
                <c:pt idx="1">
                  <c:v>0.11474402963090824</c:v>
                </c:pt>
                <c:pt idx="2">
                  <c:v>0.11474402963090824</c:v>
                </c:pt>
                <c:pt idx="3">
                  <c:v>0.11474402963090824</c:v>
                </c:pt>
                <c:pt idx="4">
                  <c:v>0.11474402963090824</c:v>
                </c:pt>
                <c:pt idx="5">
                  <c:v>0.11474402963090824</c:v>
                </c:pt>
                <c:pt idx="6">
                  <c:v>0.11474402963090824</c:v>
                </c:pt>
                <c:pt idx="7">
                  <c:v>0.11474402963090824</c:v>
                </c:pt>
                <c:pt idx="8">
                  <c:v>0.11474402963090824</c:v>
                </c:pt>
                <c:pt idx="9">
                  <c:v>0.11474402963090824</c:v>
                </c:pt>
                <c:pt idx="10">
                  <c:v>0.11474402963090824</c:v>
                </c:pt>
                <c:pt idx="11">
                  <c:v>0.11474402963090824</c:v>
                </c:pt>
                <c:pt idx="12">
                  <c:v>0.11474402963090824</c:v>
                </c:pt>
                <c:pt idx="13">
                  <c:v>0.11474402963090824</c:v>
                </c:pt>
                <c:pt idx="14">
                  <c:v>0.11474402963090824</c:v>
                </c:pt>
                <c:pt idx="15">
                  <c:v>0.11474402963090824</c:v>
                </c:pt>
              </c:numCache>
            </c:numRef>
          </c:val>
          <c:smooth val="0"/>
          <c:extLst>
            <c:ext xmlns:c16="http://schemas.microsoft.com/office/drawing/2014/chart" uri="{C3380CC4-5D6E-409C-BE32-E72D297353CC}">
              <c16:uniqueId val="{00000014-E05A-476A-81E0-9DDAF8947A01}"/>
            </c:ext>
          </c:extLst>
        </c:ser>
        <c:dLbls>
          <c:showLegendKey val="0"/>
          <c:showVal val="0"/>
          <c:showCatName val="0"/>
          <c:showSerName val="0"/>
          <c:showPercent val="0"/>
          <c:showBubbleSize val="0"/>
        </c:dLbls>
        <c:marker val="1"/>
        <c:smooth val="0"/>
        <c:axId val="434382112"/>
        <c:axId val="434382504"/>
      </c:lineChart>
      <c:dateAx>
        <c:axId val="43438211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2504"/>
        <c:crosses val="autoZero"/>
        <c:auto val="0"/>
        <c:lblOffset val="100"/>
        <c:baseTimeUnit val="days"/>
      </c:dateAx>
      <c:valAx>
        <c:axId val="434382504"/>
        <c:scaling>
          <c:orientation val="minMax"/>
          <c:max val="2"/>
          <c:min val="0"/>
        </c:scaling>
        <c:delete val="0"/>
        <c:axPos val="l"/>
        <c:title>
          <c:tx>
            <c:rich>
              <a:bodyPr/>
              <a:lstStyle/>
              <a:p>
                <a:pPr>
                  <a:defRPr/>
                </a:pPr>
                <a:r>
                  <a:rPr lang="fr-FR"/>
                  <a:t>Fluorescence</a:t>
                </a:r>
              </a:p>
            </c:rich>
          </c:tx>
          <c:layout>
            <c:manualLayout>
              <c:xMode val="edge"/>
              <c:yMode val="edge"/>
              <c:x val="1.0387853349889646E-2"/>
              <c:y val="0.2372296165912457"/>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211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CHG'!$D$8</c:f>
              <c:strCache>
                <c:ptCount val="1"/>
                <c:pt idx="0">
                  <c:v>Zone rouge anti</c:v>
                </c:pt>
              </c:strCache>
            </c:strRef>
          </c:tx>
          <c:spPr>
            <a:solidFill>
              <a:srgbClr val="FF0000">
                <a:alpha val="20000"/>
              </a:srgbClr>
            </a:solidFill>
          </c:spPr>
          <c:cat>
            <c:strRef>
              <c:f>'Graph format rapport CHG'!$U$2:$AJ$2</c:f>
              <c:strCache>
                <c:ptCount val="15"/>
                <c:pt idx="1">
                  <c:v>Cromolyn-0,1µg/L + Testostérone</c:v>
                </c:pt>
                <c:pt idx="2">
                  <c:v>Cromolyn-1µg/L + Testostérone</c:v>
                </c:pt>
                <c:pt idx="3">
                  <c:v>Cromolyn-10µg/L + Testostérone</c:v>
                </c:pt>
                <c:pt idx="4">
                  <c:v>Cromolyn-100µg/L + Testostérone</c:v>
                </c:pt>
                <c:pt idx="5">
                  <c:v>Cromolyn-1000µg/L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CHG'!$U$8:$AJ$8</c:f>
              <c:numCache>
                <c:formatCode>General</c:formatCode>
                <c:ptCount val="16"/>
                <c:pt idx="0">
                  <c:v>0.10888162819021581</c:v>
                </c:pt>
                <c:pt idx="1">
                  <c:v>0.10888162819021581</c:v>
                </c:pt>
                <c:pt idx="2">
                  <c:v>0.10888162819021581</c:v>
                </c:pt>
                <c:pt idx="3">
                  <c:v>0.10888162819021581</c:v>
                </c:pt>
                <c:pt idx="4">
                  <c:v>0.10888162819021581</c:v>
                </c:pt>
                <c:pt idx="5">
                  <c:v>0.10888162819021581</c:v>
                </c:pt>
                <c:pt idx="6">
                  <c:v>0.10888162819021581</c:v>
                </c:pt>
                <c:pt idx="7">
                  <c:v>0.10888162819021581</c:v>
                </c:pt>
                <c:pt idx="8">
                  <c:v>0.10888162819021581</c:v>
                </c:pt>
                <c:pt idx="9">
                  <c:v>0.10888162819021581</c:v>
                </c:pt>
                <c:pt idx="10">
                  <c:v>0.10888162819021581</c:v>
                </c:pt>
                <c:pt idx="11">
                  <c:v>0.10888162819021581</c:v>
                </c:pt>
                <c:pt idx="12">
                  <c:v>0.10888162819021581</c:v>
                </c:pt>
                <c:pt idx="13">
                  <c:v>0.10888162819021581</c:v>
                </c:pt>
                <c:pt idx="14">
                  <c:v>0.10888162819021581</c:v>
                </c:pt>
                <c:pt idx="15">
                  <c:v>0.10888162819021581</c:v>
                </c:pt>
              </c:numCache>
            </c:numRef>
          </c:val>
          <c:extLst>
            <c:ext xmlns:c16="http://schemas.microsoft.com/office/drawing/2014/chart" uri="{C3380CC4-5D6E-409C-BE32-E72D297353CC}">
              <c16:uniqueId val="{00000000-4CBD-4130-8AB9-F913B66FA2BD}"/>
            </c:ext>
          </c:extLst>
        </c:ser>
        <c:ser>
          <c:idx val="6"/>
          <c:order val="3"/>
          <c:tx>
            <c:strRef>
              <c:f>'Graph format rapport CHG'!$D$9</c:f>
              <c:strCache>
                <c:ptCount val="1"/>
                <c:pt idx="0">
                  <c:v>Zone verte</c:v>
                </c:pt>
              </c:strCache>
            </c:strRef>
          </c:tx>
          <c:spPr>
            <a:solidFill>
              <a:srgbClr val="00B050">
                <a:alpha val="20000"/>
              </a:srgbClr>
            </a:solidFill>
          </c:spPr>
          <c:cat>
            <c:strRef>
              <c:f>'Graph format rapport CHG'!$U$2:$AJ$2</c:f>
              <c:strCache>
                <c:ptCount val="15"/>
                <c:pt idx="1">
                  <c:v>Cromolyn-0,1µg/L + Testostérone</c:v>
                </c:pt>
                <c:pt idx="2">
                  <c:v>Cromolyn-1µg/L + Testostérone</c:v>
                </c:pt>
                <c:pt idx="3">
                  <c:v>Cromolyn-10µg/L + Testostérone</c:v>
                </c:pt>
                <c:pt idx="4">
                  <c:v>Cromolyn-100µg/L + Testostérone</c:v>
                </c:pt>
                <c:pt idx="5">
                  <c:v>Cromolyn-1000µg/L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CHG'!$U$9:$AJ$9</c:f>
              <c:numCache>
                <c:formatCode>General</c:formatCode>
                <c:ptCount val="16"/>
                <c:pt idx="0">
                  <c:v>1.2948079149704037</c:v>
                </c:pt>
                <c:pt idx="1">
                  <c:v>1.2948079149704037</c:v>
                </c:pt>
                <c:pt idx="2">
                  <c:v>1.2948079149704037</c:v>
                </c:pt>
                <c:pt idx="3">
                  <c:v>1.2948079149704037</c:v>
                </c:pt>
                <c:pt idx="4">
                  <c:v>1.2948079149704037</c:v>
                </c:pt>
                <c:pt idx="5">
                  <c:v>1.2948079149704037</c:v>
                </c:pt>
                <c:pt idx="6">
                  <c:v>1.2948079149704037</c:v>
                </c:pt>
                <c:pt idx="7">
                  <c:v>1.2948079149704037</c:v>
                </c:pt>
                <c:pt idx="8">
                  <c:v>1.2948079149704037</c:v>
                </c:pt>
                <c:pt idx="9">
                  <c:v>1.2948079149704037</c:v>
                </c:pt>
                <c:pt idx="10">
                  <c:v>1.2948079149704037</c:v>
                </c:pt>
                <c:pt idx="11">
                  <c:v>1.2948079149704037</c:v>
                </c:pt>
                <c:pt idx="12">
                  <c:v>1.2948079149704037</c:v>
                </c:pt>
                <c:pt idx="13">
                  <c:v>1.2948079149704037</c:v>
                </c:pt>
                <c:pt idx="14">
                  <c:v>1.2948079149704037</c:v>
                </c:pt>
                <c:pt idx="15">
                  <c:v>1.2948079149704037</c:v>
                </c:pt>
              </c:numCache>
            </c:numRef>
          </c:val>
          <c:extLst>
            <c:ext xmlns:c16="http://schemas.microsoft.com/office/drawing/2014/chart" uri="{C3380CC4-5D6E-409C-BE32-E72D297353CC}">
              <c16:uniqueId val="{00000001-4CBD-4130-8AB9-F913B66FA2BD}"/>
            </c:ext>
          </c:extLst>
        </c:ser>
        <c:ser>
          <c:idx val="7"/>
          <c:order val="4"/>
          <c:tx>
            <c:strRef>
              <c:f>'Graph format rapport CHG'!$D$10</c:f>
              <c:strCache>
                <c:ptCount val="1"/>
                <c:pt idx="0">
                  <c:v>Zone rouge pro</c:v>
                </c:pt>
              </c:strCache>
            </c:strRef>
          </c:tx>
          <c:spPr>
            <a:solidFill>
              <a:srgbClr val="FF0000">
                <a:alpha val="20000"/>
              </a:srgbClr>
            </a:solidFill>
          </c:spPr>
          <c:cat>
            <c:strRef>
              <c:f>'Graph format rapport CHG'!$U$2:$AJ$2</c:f>
              <c:strCache>
                <c:ptCount val="15"/>
                <c:pt idx="1">
                  <c:v>Cromolyn-0,1µg/L + Testostérone</c:v>
                </c:pt>
                <c:pt idx="2">
                  <c:v>Cromolyn-1µg/L + Testostérone</c:v>
                </c:pt>
                <c:pt idx="3">
                  <c:v>Cromolyn-10µg/L + Testostérone</c:v>
                </c:pt>
                <c:pt idx="4">
                  <c:v>Cromolyn-100µg/L + Testostérone</c:v>
                </c:pt>
                <c:pt idx="5">
                  <c:v>Cromolyn-1000µg/L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CHG'!$U$10:$AJ$10</c:f>
              <c:numCache>
                <c:formatCode>General</c:formatCode>
                <c:ptCount val="16"/>
                <c:pt idx="0">
                  <c:v>1.2051920850295963</c:v>
                </c:pt>
                <c:pt idx="1">
                  <c:v>1.2051920850295963</c:v>
                </c:pt>
                <c:pt idx="2">
                  <c:v>1.2051920850295963</c:v>
                </c:pt>
                <c:pt idx="3">
                  <c:v>1.2051920850295963</c:v>
                </c:pt>
                <c:pt idx="4">
                  <c:v>1.2051920850295963</c:v>
                </c:pt>
                <c:pt idx="5">
                  <c:v>1.2051920850295963</c:v>
                </c:pt>
                <c:pt idx="6">
                  <c:v>1.2051920850295963</c:v>
                </c:pt>
                <c:pt idx="7">
                  <c:v>1.2051920850295963</c:v>
                </c:pt>
                <c:pt idx="8">
                  <c:v>1.2051920850295963</c:v>
                </c:pt>
                <c:pt idx="9">
                  <c:v>1.2051920850295963</c:v>
                </c:pt>
                <c:pt idx="10">
                  <c:v>1.2051920850295963</c:v>
                </c:pt>
                <c:pt idx="11">
                  <c:v>1.2051920850295963</c:v>
                </c:pt>
                <c:pt idx="12">
                  <c:v>1.2051920850295963</c:v>
                </c:pt>
                <c:pt idx="13">
                  <c:v>1.2051920850295963</c:v>
                </c:pt>
                <c:pt idx="14">
                  <c:v>1.2051920850295963</c:v>
                </c:pt>
                <c:pt idx="15">
                  <c:v>1.2051920850295963</c:v>
                </c:pt>
              </c:numCache>
            </c:numRef>
          </c:val>
          <c:extLst>
            <c:ext xmlns:c16="http://schemas.microsoft.com/office/drawing/2014/chart" uri="{C3380CC4-5D6E-409C-BE32-E72D297353CC}">
              <c16:uniqueId val="{00000002-4CBD-4130-8AB9-F913B66FA2BD}"/>
            </c:ext>
          </c:extLst>
        </c:ser>
        <c:dLbls>
          <c:showLegendKey val="0"/>
          <c:showVal val="0"/>
          <c:showCatName val="0"/>
          <c:showSerName val="0"/>
          <c:showPercent val="0"/>
          <c:showBubbleSize val="0"/>
        </c:dLbls>
        <c:axId val="434383288"/>
        <c:axId val="434383680"/>
      </c:areaChart>
      <c:barChart>
        <c:barDir val="col"/>
        <c:grouping val="clustered"/>
        <c:varyColors val="0"/>
        <c:ser>
          <c:idx val="0"/>
          <c:order val="0"/>
          <c:tx>
            <c:strRef>
              <c:f>'Graph format rapport CHG'!$D$3</c:f>
              <c:strCache>
                <c:ptCount val="1"/>
                <c:pt idx="0">
                  <c:v>Moyenne</c:v>
                </c:pt>
              </c:strCache>
            </c:strRef>
          </c:tx>
          <c:spPr>
            <a:ln w="28575">
              <a:noFill/>
            </a:ln>
          </c:spPr>
          <c:invertIfNegative val="0"/>
          <c:dLbls>
            <c:dLbl>
              <c:idx val="0"/>
              <c:tx>
                <c:rich>
                  <a:bodyPr/>
                  <a:lstStyle/>
                  <a:p>
                    <a:fld id="{2DD39B6B-870F-4D26-80E9-D139EFD93F0F}"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CBD-4130-8AB9-F913B66FA2BD}"/>
                </c:ext>
              </c:extLst>
            </c:dLbl>
            <c:dLbl>
              <c:idx val="1"/>
              <c:tx>
                <c:rich>
                  <a:bodyPr/>
                  <a:lstStyle/>
                  <a:p>
                    <a:fld id="{1A0C7E9A-9408-475E-8F88-62C3846C2319}"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8E-4D40-9992-A189D0F7FB1C}"/>
                </c:ext>
              </c:extLst>
            </c:dLbl>
            <c:dLbl>
              <c:idx val="2"/>
              <c:tx>
                <c:rich>
                  <a:bodyPr/>
                  <a:lstStyle/>
                  <a:p>
                    <a:fld id="{C5318CE6-355C-4377-8B4C-CC7F11CA8EBF}"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A8E-4D40-9992-A189D0F7FB1C}"/>
                </c:ext>
              </c:extLst>
            </c:dLbl>
            <c:dLbl>
              <c:idx val="3"/>
              <c:tx>
                <c:rich>
                  <a:bodyPr/>
                  <a:lstStyle/>
                  <a:p>
                    <a:fld id="{C313D1F7-258F-4CF1-B75B-92836A40340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8E-4D40-9992-A189D0F7FB1C}"/>
                </c:ext>
              </c:extLst>
            </c:dLbl>
            <c:dLbl>
              <c:idx val="4"/>
              <c:tx>
                <c:rich>
                  <a:bodyPr/>
                  <a:lstStyle/>
                  <a:p>
                    <a:fld id="{A9AE7349-AA0F-4E13-85A6-C11A8A5669D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BA8E-4D40-9992-A189D0F7FB1C}"/>
                </c:ext>
              </c:extLst>
            </c:dLbl>
            <c:dLbl>
              <c:idx val="5"/>
              <c:tx>
                <c:rich>
                  <a:bodyPr/>
                  <a:lstStyle/>
                  <a:p>
                    <a:fld id="{00341135-A62D-47B6-A26B-0AA19845F69A}"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BA8E-4D40-9992-A189D0F7FB1C}"/>
                </c:ext>
              </c:extLst>
            </c:dLbl>
            <c:dLbl>
              <c:idx val="6"/>
              <c:tx>
                <c:rich>
                  <a:bodyPr/>
                  <a:lstStyle/>
                  <a:p>
                    <a:fld id="{A347B990-2929-4C84-89B7-79E2E2CF9C0E}"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BA8E-4D40-9992-A189D0F7FB1C}"/>
                </c:ext>
              </c:extLst>
            </c:dLbl>
            <c:dLbl>
              <c:idx val="7"/>
              <c:tx>
                <c:rich>
                  <a:bodyPr/>
                  <a:lstStyle/>
                  <a:p>
                    <a:fld id="{EEB9D96F-D0EE-4D5B-BE0C-73BE5A43590C}"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BA8E-4D40-9992-A189D0F7FB1C}"/>
                </c:ext>
              </c:extLst>
            </c:dLbl>
            <c:dLbl>
              <c:idx val="8"/>
              <c:tx>
                <c:rich>
                  <a:bodyPr/>
                  <a:lstStyle/>
                  <a:p>
                    <a:fld id="{A9A3077D-FAF7-4B07-9C04-80E718D1ACC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8E-4D40-9992-A189D0F7FB1C}"/>
                </c:ext>
              </c:extLst>
            </c:dLbl>
            <c:dLbl>
              <c:idx val="9"/>
              <c:tx>
                <c:rich>
                  <a:bodyPr/>
                  <a:lstStyle/>
                  <a:p>
                    <a:fld id="{354EDCA7-D80C-479C-BA98-D5527EEB561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A8E-4D40-9992-A189D0F7FB1C}"/>
                </c:ext>
              </c:extLst>
            </c:dLbl>
            <c:dLbl>
              <c:idx val="10"/>
              <c:tx>
                <c:rich>
                  <a:bodyPr/>
                  <a:lstStyle/>
                  <a:p>
                    <a:fld id="{5D6F4375-183A-4595-8BD8-D83A52BE49F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BA8E-4D40-9992-A189D0F7FB1C}"/>
                </c:ext>
              </c:extLst>
            </c:dLbl>
            <c:dLbl>
              <c:idx val="11"/>
              <c:tx>
                <c:rich>
                  <a:bodyPr/>
                  <a:lstStyle/>
                  <a:p>
                    <a:fld id="{99912A68-770C-4D87-A3A5-F97820C69E9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BA8E-4D40-9992-A189D0F7FB1C}"/>
                </c:ext>
              </c:extLst>
            </c:dLbl>
            <c:dLbl>
              <c:idx val="12"/>
              <c:tx>
                <c:rich>
                  <a:bodyPr/>
                  <a:lstStyle/>
                  <a:p>
                    <a:fld id="{9A08E0C3-4FBF-4F99-ABBB-4239CD849FBD}"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BA8E-4D40-9992-A189D0F7FB1C}"/>
                </c:ext>
              </c:extLst>
            </c:dLbl>
            <c:dLbl>
              <c:idx val="13"/>
              <c:tx>
                <c:rich>
                  <a:bodyPr/>
                  <a:lstStyle/>
                  <a:p>
                    <a:fld id="{2BDE4F6E-7870-489C-ACF8-FB655EF95772}"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BA8E-4D40-9992-A189D0F7FB1C}"/>
                </c:ext>
              </c:extLst>
            </c:dLbl>
            <c:dLbl>
              <c:idx val="14"/>
              <c:tx>
                <c:rich>
                  <a:bodyPr/>
                  <a:lstStyle/>
                  <a:p>
                    <a:fld id="{5E44C239-4FAA-4FBF-9716-61CCECB2ADE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BA8E-4D40-9992-A189D0F7FB1C}"/>
                </c:ext>
              </c:extLst>
            </c:dLbl>
            <c:dLbl>
              <c:idx val="15"/>
              <c:tx>
                <c:rich>
                  <a:bodyPr/>
                  <a:lstStyle/>
                  <a:p>
                    <a:fld id="{51219230-4898-46E6-B947-7A1543797311}"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BA8E-4D40-9992-A189D0F7FB1C}"/>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CHG'!$U$4:$AJ$4</c:f>
                <c:numCache>
                  <c:formatCode>General</c:formatCode>
                  <c:ptCount val="16"/>
                  <c:pt idx="1">
                    <c:v>0.12857289204112948</c:v>
                  </c:pt>
                  <c:pt idx="2">
                    <c:v>0.11525751434686056</c:v>
                  </c:pt>
                  <c:pt idx="3">
                    <c:v>0.15041426033483898</c:v>
                  </c:pt>
                  <c:pt idx="4">
                    <c:v>0.12918102201275808</c:v>
                  </c:pt>
                  <c:pt idx="5">
                    <c:v>0.11506014246509058</c:v>
                  </c:pt>
                  <c:pt idx="6">
                    <c:v>0</c:v>
                  </c:pt>
                  <c:pt idx="7">
                    <c:v>0</c:v>
                  </c:pt>
                  <c:pt idx="8">
                    <c:v>0</c:v>
                  </c:pt>
                  <c:pt idx="9">
                    <c:v>0</c:v>
                  </c:pt>
                  <c:pt idx="10">
                    <c:v>0</c:v>
                  </c:pt>
                  <c:pt idx="11">
                    <c:v>0</c:v>
                  </c:pt>
                  <c:pt idx="12">
                    <c:v>0</c:v>
                  </c:pt>
                  <c:pt idx="13">
                    <c:v>0</c:v>
                  </c:pt>
                  <c:pt idx="14">
                    <c:v>0</c:v>
                  </c:pt>
                </c:numCache>
              </c:numRef>
            </c:plus>
            <c:minus>
              <c:numRef>
                <c:f>'Graph format rapport CHG'!$U$4:$AJ$4</c:f>
                <c:numCache>
                  <c:formatCode>General</c:formatCode>
                  <c:ptCount val="16"/>
                  <c:pt idx="1">
                    <c:v>0.12857289204112948</c:v>
                  </c:pt>
                  <c:pt idx="2">
                    <c:v>0.11525751434686056</c:v>
                  </c:pt>
                  <c:pt idx="3">
                    <c:v>0.15041426033483898</c:v>
                  </c:pt>
                  <c:pt idx="4">
                    <c:v>0.12918102201275808</c:v>
                  </c:pt>
                  <c:pt idx="5">
                    <c:v>0.11506014246509058</c:v>
                  </c:pt>
                  <c:pt idx="6">
                    <c:v>0</c:v>
                  </c:pt>
                  <c:pt idx="7">
                    <c:v>0</c:v>
                  </c:pt>
                  <c:pt idx="8">
                    <c:v>0</c:v>
                  </c:pt>
                  <c:pt idx="9">
                    <c:v>0</c:v>
                  </c:pt>
                  <c:pt idx="10">
                    <c:v>0</c:v>
                  </c:pt>
                  <c:pt idx="11">
                    <c:v>0</c:v>
                  </c:pt>
                  <c:pt idx="12">
                    <c:v>0</c:v>
                  </c:pt>
                  <c:pt idx="13">
                    <c:v>0</c:v>
                  </c:pt>
                  <c:pt idx="14">
                    <c:v>0</c:v>
                  </c:pt>
                </c:numCache>
              </c:numRef>
            </c:minus>
          </c:errBars>
          <c:cat>
            <c:strRef>
              <c:f>'Graph format rapport CHG'!$U$2:$AJ$2</c:f>
              <c:strCache>
                <c:ptCount val="15"/>
                <c:pt idx="1">
                  <c:v>Cromolyn-0,1µg/L + Testostérone</c:v>
                </c:pt>
                <c:pt idx="2">
                  <c:v>Cromolyn-1µg/L + Testostérone</c:v>
                </c:pt>
                <c:pt idx="3">
                  <c:v>Cromolyn-10µg/L + Testostérone</c:v>
                </c:pt>
                <c:pt idx="4">
                  <c:v>Cromolyn-100µg/L + Testostérone</c:v>
                </c:pt>
                <c:pt idx="5">
                  <c:v>Cromolyn-1000µg/L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CHG'!$U$3:$AJ$3</c:f>
              <c:numCache>
                <c:formatCode>General</c:formatCode>
                <c:ptCount val="16"/>
                <c:pt idx="1">
                  <c:v>0.81046544479508986</c:v>
                </c:pt>
                <c:pt idx="2">
                  <c:v>0.73219000223152897</c:v>
                </c:pt>
                <c:pt idx="3">
                  <c:v>0.88335290141760592</c:v>
                </c:pt>
                <c:pt idx="4">
                  <c:v>0.81009184213048868</c:v>
                </c:pt>
                <c:pt idx="5">
                  <c:v>0.82365737663353666</c:v>
                </c:pt>
                <c:pt idx="6">
                  <c:v>0</c:v>
                </c:pt>
                <c:pt idx="7">
                  <c:v>0</c:v>
                </c:pt>
                <c:pt idx="8">
                  <c:v>0</c:v>
                </c:pt>
                <c:pt idx="9">
                  <c:v>0</c:v>
                </c:pt>
                <c:pt idx="10">
                  <c:v>0</c:v>
                </c:pt>
                <c:pt idx="11">
                  <c:v>0</c:v>
                </c:pt>
                <c:pt idx="12">
                  <c:v>0</c:v>
                </c:pt>
                <c:pt idx="13">
                  <c:v>0</c:v>
                </c:pt>
                <c:pt idx="14">
                  <c:v>0</c:v>
                </c:pt>
              </c:numCache>
            </c:numRef>
          </c:val>
          <c:extLst>
            <c:ext xmlns:c15="http://schemas.microsoft.com/office/drawing/2012/chart" uri="{02D57815-91ED-43cb-92C2-25804820EDAC}">
              <c15:datalabelsRange>
                <c15:f>'Graph format rapport CHG'!$U$5:$AJ$5</c15:f>
                <c15:dlblRangeCache>
                  <c:ptCount val="16"/>
                  <c:pt idx="1">
                    <c:v>NS</c:v>
                  </c:pt>
                  <c:pt idx="2">
                    <c:v>*</c:v>
                  </c:pt>
                  <c:pt idx="3">
                    <c:v>NS</c:v>
                  </c:pt>
                  <c:pt idx="4">
                    <c:v>NS</c:v>
                  </c:pt>
                  <c:pt idx="5">
                    <c:v>NS</c:v>
                  </c:pt>
                  <c:pt idx="6">
                    <c:v>#REF!</c:v>
                  </c:pt>
                  <c:pt idx="7">
                    <c:v>#REF!</c:v>
                  </c:pt>
                  <c:pt idx="8">
                    <c:v>#REF!</c:v>
                  </c:pt>
                  <c:pt idx="9">
                    <c:v>#REF!</c:v>
                  </c:pt>
                  <c:pt idx="10">
                    <c:v>#REF!</c:v>
                  </c:pt>
                  <c:pt idx="11">
                    <c:v>#REF!</c:v>
                  </c:pt>
                  <c:pt idx="12">
                    <c:v>#REF!</c:v>
                  </c:pt>
                  <c:pt idx="13">
                    <c:v>#REF!</c:v>
                  </c:pt>
                  <c:pt idx="14">
                    <c:v>#REF!</c:v>
                  </c:pt>
                </c15:dlblRangeCache>
              </c15:datalabelsRange>
            </c:ext>
            <c:ext xmlns:c16="http://schemas.microsoft.com/office/drawing/2014/chart" uri="{C3380CC4-5D6E-409C-BE32-E72D297353CC}">
              <c16:uniqueId val="{00000013-4CBD-4130-8AB9-F913B66FA2BD}"/>
            </c:ext>
          </c:extLst>
        </c:ser>
        <c:dLbls>
          <c:showLegendKey val="0"/>
          <c:showVal val="0"/>
          <c:showCatName val="0"/>
          <c:showSerName val="0"/>
          <c:showPercent val="0"/>
          <c:showBubbleSize val="0"/>
        </c:dLbls>
        <c:gapWidth val="150"/>
        <c:axId val="434383288"/>
        <c:axId val="434383680"/>
      </c:barChart>
      <c:lineChart>
        <c:grouping val="standard"/>
        <c:varyColors val="0"/>
        <c:ser>
          <c:idx val="2"/>
          <c:order val="1"/>
          <c:tx>
            <c:strRef>
              <c:f>'Graph format rapport CHG'!$D$7</c:f>
              <c:strCache>
                <c:ptCount val="1"/>
                <c:pt idx="0">
                  <c:v>Témoin Testo</c:v>
                </c:pt>
              </c:strCache>
            </c:strRef>
          </c:tx>
          <c:spPr>
            <a:ln>
              <a:solidFill>
                <a:srgbClr val="00B050"/>
              </a:solidFill>
            </a:ln>
          </c:spPr>
          <c:marker>
            <c:symbol val="none"/>
          </c:marker>
          <c:cat>
            <c:strRef>
              <c:f>'Graph format rapport CHG'!$U$2:$AJ$2</c:f>
              <c:strCache>
                <c:ptCount val="15"/>
                <c:pt idx="1">
                  <c:v>Cromolyn-0,1µg/L + Testostérone</c:v>
                </c:pt>
                <c:pt idx="2">
                  <c:v>Cromolyn-1µg/L + Testostérone</c:v>
                </c:pt>
                <c:pt idx="3">
                  <c:v>Cromolyn-10µg/L + Testostérone</c:v>
                </c:pt>
                <c:pt idx="4">
                  <c:v>Cromolyn-100µg/L + Testostérone</c:v>
                </c:pt>
                <c:pt idx="5">
                  <c:v>Cromolyn-1000µg/L + Testostérone</c:v>
                </c:pt>
                <c:pt idx="6">
                  <c:v>#REF!</c:v>
                </c:pt>
                <c:pt idx="7">
                  <c:v>#REF!</c:v>
                </c:pt>
                <c:pt idx="8">
                  <c:v>#REF!</c:v>
                </c:pt>
                <c:pt idx="9">
                  <c:v>#REF!</c:v>
                </c:pt>
                <c:pt idx="10">
                  <c:v>#REF!</c:v>
                </c:pt>
                <c:pt idx="11">
                  <c:v>#REF!</c:v>
                </c:pt>
                <c:pt idx="12">
                  <c:v>#REF!</c:v>
                </c:pt>
                <c:pt idx="13">
                  <c:v>#REF!</c:v>
                </c:pt>
                <c:pt idx="14">
                  <c:v>#REF!</c:v>
                </c:pt>
              </c:strCache>
            </c:strRef>
          </c:cat>
          <c:val>
            <c:numRef>
              <c:f>'Graph format rapport CHG'!$U$7:$AJ$7</c:f>
              <c:numCache>
                <c:formatCode>General</c:formatCode>
                <c:ptCount val="1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numCache>
            </c:numRef>
          </c:val>
          <c:smooth val="0"/>
          <c:extLst>
            <c:ext xmlns:c16="http://schemas.microsoft.com/office/drawing/2014/chart" uri="{C3380CC4-5D6E-409C-BE32-E72D297353CC}">
              <c16:uniqueId val="{00000014-4CBD-4130-8AB9-F913B66FA2BD}"/>
            </c:ext>
          </c:extLst>
        </c:ser>
        <c:dLbls>
          <c:showLegendKey val="0"/>
          <c:showVal val="0"/>
          <c:showCatName val="0"/>
          <c:showSerName val="0"/>
          <c:showPercent val="0"/>
          <c:showBubbleSize val="0"/>
        </c:dLbls>
        <c:marker val="1"/>
        <c:smooth val="0"/>
        <c:axId val="434383288"/>
        <c:axId val="434383680"/>
      </c:lineChart>
      <c:dateAx>
        <c:axId val="434383288"/>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3680"/>
        <c:crosses val="autoZero"/>
        <c:auto val="0"/>
        <c:lblOffset val="100"/>
        <c:baseTimeUnit val="days"/>
      </c:dateAx>
      <c:valAx>
        <c:axId val="434383680"/>
        <c:scaling>
          <c:orientation val="minMax"/>
          <c:max val="2"/>
          <c:min val="0"/>
        </c:scaling>
        <c:delete val="0"/>
        <c:axPos val="l"/>
        <c:title>
          <c:tx>
            <c:rich>
              <a:bodyPr/>
              <a:lstStyle/>
              <a:p>
                <a:pPr>
                  <a:defRPr/>
                </a:pPr>
                <a:r>
                  <a:rPr lang="fr-FR"/>
                  <a:t>Fluorescence</a:t>
                </a:r>
              </a:p>
            </c:rich>
          </c:tx>
          <c:layout>
            <c:manualLayout>
              <c:xMode val="edge"/>
              <c:yMode val="edge"/>
              <c:x val="1.5604029236949606E-2"/>
              <c:y val="0.226017570592109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3288"/>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Cromolyn-1µg/L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Cromolyn-1µg/L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Cromolyn-1µg/L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4464"/>
        <c:axId val="434384856"/>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7131CB77-F3B6-429D-8A59-6D0621DDFA24}"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25C8F367-6D56-447A-AF2F-19B0281D05D8}"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076-4183-9788-B9390BF1596B}"/>
                </c:ext>
              </c:extLst>
            </c:dLbl>
            <c:dLbl>
              <c:idx val="2"/>
              <c:tx>
                <c:rich>
                  <a:bodyPr/>
                  <a:lstStyle/>
                  <a:p>
                    <a:fld id="{5B547A0B-62A0-4923-8D37-FAB9C67A754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4076-4183-9788-B9390BF1596B}"/>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1.1329392747859688E-2</c:v>
                  </c:pt>
                </c:numCache>
              </c:numRef>
            </c:plus>
            <c:minus>
              <c:numRef>
                <c:f>'Graph format rapport CHG 1éch'!$E$4:$G$4</c:f>
                <c:numCache>
                  <c:formatCode>General</c:formatCode>
                  <c:ptCount val="3"/>
                  <c:pt idx="1">
                    <c:v>1.1329392747859688E-2</c:v>
                  </c:pt>
                </c:numCache>
              </c:numRef>
            </c:minus>
          </c:errBars>
          <c:cat>
            <c:strRef>
              <c:f>'Graph format rapport CHG 1éch'!$E$2:$G$2</c:f>
              <c:strCache>
                <c:ptCount val="2"/>
                <c:pt idx="1">
                  <c:v>Cromolyn-1µg/L</c:v>
                </c:pt>
              </c:strCache>
            </c:strRef>
          </c:cat>
          <c:val>
            <c:numRef>
              <c:f>'Graph format rapport CHG 1éch'!$E$3:$G$3</c:f>
              <c:numCache>
                <c:formatCode>General</c:formatCode>
                <c:ptCount val="3"/>
                <c:pt idx="1">
                  <c:v>8.5601748592480043E-2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4464"/>
        <c:axId val="434384856"/>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0.11474402963090824</c:v>
                </c:pt>
                <c:pt idx="1">
                  <c:v>0.11474402963090824</c:v>
                </c:pt>
                <c:pt idx="2">
                  <c:v>0.11474402963090824</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4464"/>
        <c:axId val="434384856"/>
      </c:lineChart>
      <c:dateAx>
        <c:axId val="434384464"/>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4856"/>
        <c:crosses val="autoZero"/>
        <c:auto val="0"/>
        <c:lblOffset val="100"/>
        <c:baseTimeUnit val="days"/>
      </c:dateAx>
      <c:valAx>
        <c:axId val="434384856"/>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4464"/>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7480830233223"/>
          <c:y val="4.909851894799426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Cromolyn-0,1µg/L + Testostérone</c:v>
                </c:pt>
              </c:strCache>
            </c:strRef>
          </c:cat>
          <c:val>
            <c:numRef>
              <c:f>'Graph format rapport CHG 1éch'!$H$8:$J$8</c:f>
              <c:numCache>
                <c:formatCode>General</c:formatCode>
                <c:ptCount val="3"/>
                <c:pt idx="0">
                  <c:v>0.10888162819021581</c:v>
                </c:pt>
                <c:pt idx="1">
                  <c:v>0.10888162819021581</c:v>
                </c:pt>
                <c:pt idx="2">
                  <c:v>0.10888162819021581</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Cromolyn-0,1µg/L + Testostérone</c:v>
                </c:pt>
              </c:strCache>
            </c:strRef>
          </c:cat>
          <c:val>
            <c:numRef>
              <c:f>'Graph format rapport CHG 1éch'!$H$9:$J$9</c:f>
              <c:numCache>
                <c:formatCode>General</c:formatCode>
                <c:ptCount val="3"/>
                <c:pt idx="0">
                  <c:v>1.2948079149704037</c:v>
                </c:pt>
                <c:pt idx="1">
                  <c:v>1.2948079149704037</c:v>
                </c:pt>
                <c:pt idx="2">
                  <c:v>1.2948079149704037</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Cromolyn-0,1µg/L + Testostérone</c:v>
                </c:pt>
              </c:strCache>
            </c:strRef>
          </c:cat>
          <c:val>
            <c:numRef>
              <c:f>'Graph format rapport CHG 1éch'!$H$10:$J$10</c:f>
              <c:numCache>
                <c:formatCode>General</c:formatCode>
                <c:ptCount val="3"/>
                <c:pt idx="0">
                  <c:v>1.2051920850295963</c:v>
                </c:pt>
                <c:pt idx="1">
                  <c:v>1.2051920850295963</c:v>
                </c:pt>
                <c:pt idx="2">
                  <c:v>1.2051920850295963</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5640"/>
        <c:axId val="434386032"/>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6219D0BD-57F1-4CF5-9AE9-9ED666E0CD1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6FF0D6BB-1E2E-445A-B6C0-15A040751FBB}"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EE9-4347-837C-FBA7D320B8CC}"/>
                </c:ext>
              </c:extLst>
            </c:dLbl>
            <c:dLbl>
              <c:idx val="2"/>
              <c:tx>
                <c:rich>
                  <a:bodyPr/>
                  <a:lstStyle/>
                  <a:p>
                    <a:fld id="{A4BB3073-E5E3-42A0-8679-2848ADA81084}"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EE9-4347-837C-FBA7D320B8CC}"/>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0.12857289204112948</c:v>
                  </c:pt>
                </c:numCache>
              </c:numRef>
            </c:plus>
            <c:minus>
              <c:numRef>
                <c:f>'Graph format rapport CHG 1éch'!$H$4:$J$4</c:f>
                <c:numCache>
                  <c:formatCode>General</c:formatCode>
                  <c:ptCount val="3"/>
                  <c:pt idx="1">
                    <c:v>0.12857289204112948</c:v>
                  </c:pt>
                </c:numCache>
              </c:numRef>
            </c:minus>
          </c:errBars>
          <c:cat>
            <c:strRef>
              <c:f>'Graph format rapport CHG 1éch'!$H$2:$J$2</c:f>
              <c:strCache>
                <c:ptCount val="2"/>
                <c:pt idx="1">
                  <c:v>Cromolyn-0,1µg/L + Testostérone</c:v>
                </c:pt>
              </c:strCache>
            </c:strRef>
          </c:cat>
          <c:val>
            <c:numRef>
              <c:f>'Graph format rapport CHG 1éch'!$H$3:$J$3</c:f>
              <c:numCache>
                <c:formatCode>General</c:formatCode>
                <c:ptCount val="3"/>
                <c:pt idx="1">
                  <c:v>0.81046544479508986</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5640"/>
        <c:axId val="434386032"/>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Cromolyn-0,1µg/L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5640"/>
        <c:axId val="434386032"/>
      </c:lineChart>
      <c:dateAx>
        <c:axId val="434385640"/>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6032"/>
        <c:crosses val="autoZero"/>
        <c:auto val="0"/>
        <c:lblOffset val="100"/>
        <c:baseTimeUnit val="days"/>
      </c:dateAx>
      <c:valAx>
        <c:axId val="434386032"/>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5640"/>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267062545213636"/>
          <c:y val="2.2539308994609909E-2"/>
          <c:w val="0.74093363291082703"/>
          <c:h val="0.6762260756731255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1éch'!$E$2:$G$2</c:f>
              <c:strCache>
                <c:ptCount val="2"/>
                <c:pt idx="1">
                  <c:v>Cromolyn-1µg/L</c:v>
                </c:pt>
              </c:strCache>
            </c:strRef>
          </c:cat>
          <c:val>
            <c:numRef>
              <c:f>'Graph format rapport CHG 1éch'!$E$8:$G$8</c:f>
              <c:numCache>
                <c:formatCode>General</c:formatCode>
                <c:ptCount val="3"/>
                <c:pt idx="0">
                  <c:v>0</c:v>
                </c:pt>
                <c:pt idx="1">
                  <c:v>0</c:v>
                </c:pt>
                <c:pt idx="2">
                  <c:v>0</c:v>
                </c:pt>
              </c:numCache>
            </c:numRef>
          </c:val>
          <c:extLst>
            <c:ext xmlns:c16="http://schemas.microsoft.com/office/drawing/2014/chart" uri="{C3380CC4-5D6E-409C-BE32-E72D297353CC}">
              <c16:uniqueId val="{00000000-05A9-486D-95E6-8CEA76DDEBDF}"/>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1éch'!$E$2:$G$2</c:f>
              <c:strCache>
                <c:ptCount val="2"/>
                <c:pt idx="1">
                  <c:v>Cromolyn-1µg/L</c:v>
                </c:pt>
              </c:strCache>
            </c:strRef>
          </c:cat>
          <c:val>
            <c:numRef>
              <c:f>'Graph format rapport CHG 1éch'!$E$9:$G$9</c:f>
              <c:numCache>
                <c:formatCode>General</c:formatCode>
                <c:ptCount val="3"/>
                <c:pt idx="0">
                  <c:v>0</c:v>
                </c:pt>
                <c:pt idx="1">
                  <c:v>0</c:v>
                </c:pt>
                <c:pt idx="2">
                  <c:v>0</c:v>
                </c:pt>
              </c:numCache>
            </c:numRef>
          </c:val>
          <c:extLst>
            <c:ext xmlns:c16="http://schemas.microsoft.com/office/drawing/2014/chart" uri="{C3380CC4-5D6E-409C-BE32-E72D297353CC}">
              <c16:uniqueId val="{00000001-05A9-486D-95E6-8CEA76DDEBDF}"/>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1éch'!$E$2:$G$2</c:f>
              <c:strCache>
                <c:ptCount val="2"/>
                <c:pt idx="1">
                  <c:v>Cromolyn-1µg/L</c:v>
                </c:pt>
              </c:strCache>
            </c:strRef>
          </c:cat>
          <c:val>
            <c:numRef>
              <c:f>'Graph format rapport CHG 1éch'!$E$10:$G$10</c:f>
              <c:numCache>
                <c:formatCode>General</c:formatCode>
                <c:ptCount val="3"/>
                <c:pt idx="0">
                  <c:v>2.5</c:v>
                </c:pt>
                <c:pt idx="1">
                  <c:v>2.5</c:v>
                </c:pt>
                <c:pt idx="2">
                  <c:v>2.5</c:v>
                </c:pt>
              </c:numCache>
            </c:numRef>
          </c:val>
          <c:extLst>
            <c:ext xmlns:c16="http://schemas.microsoft.com/office/drawing/2014/chart" uri="{C3380CC4-5D6E-409C-BE32-E72D297353CC}">
              <c16:uniqueId val="{00000002-05A9-486D-95E6-8CEA76DDEBDF}"/>
            </c:ext>
          </c:extLst>
        </c:ser>
        <c:dLbls>
          <c:showLegendKey val="0"/>
          <c:showVal val="0"/>
          <c:showCatName val="0"/>
          <c:showSerName val="0"/>
          <c:showPercent val="0"/>
          <c:showBubbleSize val="0"/>
        </c:dLbls>
        <c:axId val="434386816"/>
        <c:axId val="434387208"/>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C813BDFE-50E8-46BA-BE99-0F1EE3E9E6B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05A9-486D-95E6-8CEA76DDEBDF}"/>
                </c:ext>
              </c:extLst>
            </c:dLbl>
            <c:dLbl>
              <c:idx val="1"/>
              <c:tx>
                <c:rich>
                  <a:bodyPr/>
                  <a:lstStyle/>
                  <a:p>
                    <a:fld id="{D5AD83D0-3687-4C63-8095-42E9D3599C00}"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931-4034-B613-D94F9BFA86BA}"/>
                </c:ext>
              </c:extLst>
            </c:dLbl>
            <c:dLbl>
              <c:idx val="2"/>
              <c:tx>
                <c:rich>
                  <a:bodyPr/>
                  <a:lstStyle/>
                  <a:p>
                    <a:fld id="{C88F07E7-DC94-487F-91EE-5B1FD2A7CC43}"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931-4034-B613-D94F9BFA86BA}"/>
                </c:ext>
              </c:extLst>
            </c:dLbl>
            <c:dLbl>
              <c:idx val="15"/>
              <c:tx>
                <c:rich>
                  <a:bodyPr/>
                  <a:lstStyle/>
                  <a:p>
                    <a:fld id="{D6BEB6DA-8213-4180-910B-2E965FB4A6C9}"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05A9-486D-95E6-8CEA76DDEBDF}"/>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1éch'!$E$4:$G$4</c:f>
                <c:numCache>
                  <c:formatCode>General</c:formatCode>
                  <c:ptCount val="3"/>
                  <c:pt idx="1">
                    <c:v>1.1329392747859688E-2</c:v>
                  </c:pt>
                </c:numCache>
              </c:numRef>
            </c:plus>
            <c:minus>
              <c:numRef>
                <c:f>'Graph format rapport CHG 1éch'!$E$4:$G$4</c:f>
                <c:numCache>
                  <c:formatCode>General</c:formatCode>
                  <c:ptCount val="3"/>
                  <c:pt idx="1">
                    <c:v>1.1329392747859688E-2</c:v>
                  </c:pt>
                </c:numCache>
              </c:numRef>
            </c:minus>
          </c:errBars>
          <c:cat>
            <c:strRef>
              <c:f>'Graph format rapport CHG 1éch'!$E$2:$G$2</c:f>
              <c:strCache>
                <c:ptCount val="2"/>
                <c:pt idx="1">
                  <c:v>Cromolyn-1µg/L</c:v>
                </c:pt>
              </c:strCache>
            </c:strRef>
          </c:cat>
          <c:val>
            <c:numRef>
              <c:f>'Graph format rapport CHG 1éch'!$E$3:$G$3</c:f>
              <c:numCache>
                <c:formatCode>General</c:formatCode>
                <c:ptCount val="3"/>
                <c:pt idx="1">
                  <c:v>8.5601748592480043E-2</c:v>
                </c:pt>
              </c:numCache>
            </c:numRef>
          </c:val>
          <c:extLst>
            <c:ext xmlns:c15="http://schemas.microsoft.com/office/drawing/2012/chart" uri="{02D57815-91ED-43cb-92C2-25804820EDAC}">
              <c15:datalabelsRange>
                <c15:f>'Graph format rapport CHG 1éch'!$E$5:$G$5</c15:f>
                <c15:dlblRangeCache>
                  <c:ptCount val="3"/>
                  <c:pt idx="1">
                    <c:v>NS</c:v>
                  </c:pt>
                </c15:dlblRangeCache>
              </c15:datalabelsRange>
            </c:ext>
            <c:ext xmlns:c16="http://schemas.microsoft.com/office/drawing/2014/chart" uri="{C3380CC4-5D6E-409C-BE32-E72D297353CC}">
              <c16:uniqueId val="{00000007-05A9-486D-95E6-8CEA76DDEBDF}"/>
            </c:ext>
          </c:extLst>
        </c:ser>
        <c:dLbls>
          <c:showLegendKey val="0"/>
          <c:showVal val="0"/>
          <c:showCatName val="0"/>
          <c:showSerName val="0"/>
          <c:showPercent val="0"/>
          <c:showBubbleSize val="0"/>
        </c:dLbls>
        <c:gapWidth val="150"/>
        <c:axId val="434386816"/>
        <c:axId val="434387208"/>
      </c:barChart>
      <c:lineChart>
        <c:grouping val="standard"/>
        <c:varyColors val="0"/>
        <c:ser>
          <c:idx val="1"/>
          <c:order val="1"/>
          <c:tx>
            <c:strRef>
              <c:f>'Graph format rapport CHG 1éch'!$D$6</c:f>
              <c:strCache>
                <c:ptCount val="1"/>
                <c:pt idx="0">
                  <c:v>Témoin Evian</c:v>
                </c:pt>
              </c:strCache>
            </c:strRef>
          </c:tx>
          <c:spPr>
            <a:ln>
              <a:solidFill>
                <a:srgbClr val="00B050"/>
              </a:solidFill>
            </a:ln>
          </c:spPr>
          <c:marker>
            <c:symbol val="none"/>
          </c:marker>
          <c:cat>
            <c:multiLvlStrRef>
              <c:f>'Graph format rapport CHG'!#REF!</c:f>
            </c:multiLvlStrRef>
          </c:cat>
          <c:val>
            <c:numRef>
              <c:f>'Graph format rapport CHG 1éch'!$E$6:$G$6</c:f>
              <c:numCache>
                <c:formatCode>General</c:formatCode>
                <c:ptCount val="3"/>
                <c:pt idx="0">
                  <c:v>0.11474402963090824</c:v>
                </c:pt>
                <c:pt idx="1">
                  <c:v>0.11474402963090824</c:v>
                </c:pt>
                <c:pt idx="2">
                  <c:v>0.11474402963090824</c:v>
                </c:pt>
              </c:numCache>
            </c:numRef>
          </c:val>
          <c:smooth val="0"/>
          <c:extLst>
            <c:ext xmlns:c16="http://schemas.microsoft.com/office/drawing/2014/chart" uri="{C3380CC4-5D6E-409C-BE32-E72D297353CC}">
              <c16:uniqueId val="{00000008-05A9-486D-95E6-8CEA76DDEBDF}"/>
            </c:ext>
          </c:extLst>
        </c:ser>
        <c:dLbls>
          <c:showLegendKey val="0"/>
          <c:showVal val="0"/>
          <c:showCatName val="0"/>
          <c:showSerName val="0"/>
          <c:showPercent val="0"/>
          <c:showBubbleSize val="0"/>
        </c:dLbls>
        <c:marker val="1"/>
        <c:smooth val="0"/>
        <c:axId val="434386816"/>
        <c:axId val="434387208"/>
      </c:lineChart>
      <c:dateAx>
        <c:axId val="434386816"/>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7208"/>
        <c:crosses val="autoZero"/>
        <c:auto val="0"/>
        <c:lblOffset val="100"/>
        <c:baseTimeUnit val="days"/>
      </c:dateAx>
      <c:valAx>
        <c:axId val="434387208"/>
        <c:scaling>
          <c:orientation val="minMax"/>
          <c:max val="2"/>
          <c:min val="0"/>
        </c:scaling>
        <c:delete val="0"/>
        <c:axPos val="l"/>
        <c:title>
          <c:tx>
            <c:rich>
              <a:bodyPr/>
              <a:lstStyle/>
              <a:p>
                <a:pPr>
                  <a:defRPr/>
                </a:pPr>
                <a:r>
                  <a:rPr lang="fr-FR"/>
                  <a:t>Fluorescence</a:t>
                </a:r>
              </a:p>
            </c:rich>
          </c:tx>
          <c:layout>
            <c:manualLayout>
              <c:xMode val="edge"/>
              <c:yMode val="edge"/>
              <c:x val="5.1272132203026073E-2"/>
              <c:y val="0.2449311263860379"/>
            </c:manualLayout>
          </c:layout>
          <c:overlay val="0"/>
        </c:title>
        <c:numFmt formatCode="General" sourceLinked="1"/>
        <c:majorTickMark val="out"/>
        <c:minorTickMark val="none"/>
        <c:tickLblPos val="nextTo"/>
        <c:spPr>
          <a:ln w="25400">
            <a:solidFill>
              <a:schemeClr val="tx1"/>
            </a:solidFill>
          </a:ln>
        </c:spPr>
        <c:txPr>
          <a:bodyPr/>
          <a:lstStyle/>
          <a:p>
            <a:pPr>
              <a:defRPr b="1"/>
            </a:pPr>
            <a:endParaRPr lang="fr-FR"/>
          </a:p>
        </c:txPr>
        <c:crossAx val="434386816"/>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06615584560167"/>
          <c:y val="2.2855878970184925E-2"/>
          <c:w val="0.80127861233935682"/>
          <c:h val="0.58408416644548644"/>
        </c:manualLayout>
      </c:layout>
      <c:areaChart>
        <c:grouping val="stacked"/>
        <c:varyColors val="0"/>
        <c:ser>
          <c:idx val="3"/>
          <c:order val="2"/>
          <c:tx>
            <c:strRef>
              <c:f>'Graph format rapport CHG 1éch'!$D$8</c:f>
              <c:strCache>
                <c:ptCount val="1"/>
                <c:pt idx="0">
                  <c:v>Zone rouge anti</c:v>
                </c:pt>
              </c:strCache>
            </c:strRef>
          </c:tx>
          <c:spPr>
            <a:solidFill>
              <a:srgbClr val="FF0000">
                <a:alpha val="20000"/>
              </a:srgbClr>
            </a:solidFill>
          </c:spPr>
          <c:cat>
            <c:strRef>
              <c:f>'Graph format rapport CHG 1éch'!$H$2:$J$2</c:f>
              <c:strCache>
                <c:ptCount val="2"/>
                <c:pt idx="1">
                  <c:v>Cromolyn-0,1µg/L + Testostérone</c:v>
                </c:pt>
              </c:strCache>
            </c:strRef>
          </c:cat>
          <c:val>
            <c:numRef>
              <c:f>'Graph format rapport CHG 1éch'!$H$8:$J$8</c:f>
              <c:numCache>
                <c:formatCode>General</c:formatCode>
                <c:ptCount val="3"/>
                <c:pt idx="0">
                  <c:v>0.10888162819021581</c:v>
                </c:pt>
                <c:pt idx="1">
                  <c:v>0.10888162819021581</c:v>
                </c:pt>
                <c:pt idx="2">
                  <c:v>0.10888162819021581</c:v>
                </c:pt>
              </c:numCache>
            </c:numRef>
          </c:val>
          <c:extLst>
            <c:ext xmlns:c16="http://schemas.microsoft.com/office/drawing/2014/chart" uri="{C3380CC4-5D6E-409C-BE32-E72D297353CC}">
              <c16:uniqueId val="{00000000-A40E-4BBB-9D49-DCACE2722908}"/>
            </c:ext>
          </c:extLst>
        </c:ser>
        <c:ser>
          <c:idx val="6"/>
          <c:order val="3"/>
          <c:tx>
            <c:strRef>
              <c:f>'Graph format rapport CHG 1éch'!$D$9</c:f>
              <c:strCache>
                <c:ptCount val="1"/>
                <c:pt idx="0">
                  <c:v>Zone verte</c:v>
                </c:pt>
              </c:strCache>
            </c:strRef>
          </c:tx>
          <c:spPr>
            <a:solidFill>
              <a:srgbClr val="00B050">
                <a:alpha val="20000"/>
              </a:srgbClr>
            </a:solidFill>
          </c:spPr>
          <c:cat>
            <c:strRef>
              <c:f>'Graph format rapport CHG 1éch'!$H$2:$J$2</c:f>
              <c:strCache>
                <c:ptCount val="2"/>
                <c:pt idx="1">
                  <c:v>Cromolyn-0,1µg/L + Testostérone</c:v>
                </c:pt>
              </c:strCache>
            </c:strRef>
          </c:cat>
          <c:val>
            <c:numRef>
              <c:f>'Graph format rapport CHG 1éch'!$H$9:$J$9</c:f>
              <c:numCache>
                <c:formatCode>General</c:formatCode>
                <c:ptCount val="3"/>
                <c:pt idx="0">
                  <c:v>1.2948079149704037</c:v>
                </c:pt>
                <c:pt idx="1">
                  <c:v>1.2948079149704037</c:v>
                </c:pt>
                <c:pt idx="2">
                  <c:v>1.2948079149704037</c:v>
                </c:pt>
              </c:numCache>
            </c:numRef>
          </c:val>
          <c:extLst>
            <c:ext xmlns:c16="http://schemas.microsoft.com/office/drawing/2014/chart" uri="{C3380CC4-5D6E-409C-BE32-E72D297353CC}">
              <c16:uniqueId val="{00000001-A40E-4BBB-9D49-DCACE2722908}"/>
            </c:ext>
          </c:extLst>
        </c:ser>
        <c:ser>
          <c:idx val="7"/>
          <c:order val="4"/>
          <c:tx>
            <c:strRef>
              <c:f>'Graph format rapport CHG 1éch'!$D$10</c:f>
              <c:strCache>
                <c:ptCount val="1"/>
                <c:pt idx="0">
                  <c:v>Zone rouge pro</c:v>
                </c:pt>
              </c:strCache>
            </c:strRef>
          </c:tx>
          <c:spPr>
            <a:solidFill>
              <a:srgbClr val="FF0000">
                <a:alpha val="20000"/>
              </a:srgbClr>
            </a:solidFill>
          </c:spPr>
          <c:cat>
            <c:strRef>
              <c:f>'Graph format rapport CHG 1éch'!$H$2:$J$2</c:f>
              <c:strCache>
                <c:ptCount val="2"/>
                <c:pt idx="1">
                  <c:v>Cromolyn-0,1µg/L + Testostérone</c:v>
                </c:pt>
              </c:strCache>
            </c:strRef>
          </c:cat>
          <c:val>
            <c:numRef>
              <c:f>'Graph format rapport CHG 1éch'!$H$10:$J$10</c:f>
              <c:numCache>
                <c:formatCode>General</c:formatCode>
                <c:ptCount val="3"/>
                <c:pt idx="0">
                  <c:v>1.2051920850295963</c:v>
                </c:pt>
                <c:pt idx="1">
                  <c:v>1.2051920850295963</c:v>
                </c:pt>
                <c:pt idx="2">
                  <c:v>1.2051920850295963</c:v>
                </c:pt>
              </c:numCache>
            </c:numRef>
          </c:val>
          <c:extLst>
            <c:ext xmlns:c16="http://schemas.microsoft.com/office/drawing/2014/chart" uri="{C3380CC4-5D6E-409C-BE32-E72D297353CC}">
              <c16:uniqueId val="{00000002-A40E-4BBB-9D49-DCACE2722908}"/>
            </c:ext>
          </c:extLst>
        </c:ser>
        <c:dLbls>
          <c:showLegendKey val="0"/>
          <c:showVal val="0"/>
          <c:showCatName val="0"/>
          <c:showSerName val="0"/>
          <c:showPercent val="0"/>
          <c:showBubbleSize val="0"/>
        </c:dLbls>
        <c:axId val="434387992"/>
        <c:axId val="434388384"/>
      </c:areaChart>
      <c:barChart>
        <c:barDir val="col"/>
        <c:grouping val="clustered"/>
        <c:varyColors val="0"/>
        <c:ser>
          <c:idx val="0"/>
          <c:order val="0"/>
          <c:tx>
            <c:strRef>
              <c:f>'Graph format rapport CHG 1éch'!$D$3</c:f>
              <c:strCache>
                <c:ptCount val="1"/>
                <c:pt idx="0">
                  <c:v>Moyenne</c:v>
                </c:pt>
              </c:strCache>
            </c:strRef>
          </c:tx>
          <c:spPr>
            <a:ln w="28575">
              <a:noFill/>
            </a:ln>
          </c:spPr>
          <c:invertIfNegative val="0"/>
          <c:dLbls>
            <c:dLbl>
              <c:idx val="0"/>
              <c:tx>
                <c:rich>
                  <a:bodyPr/>
                  <a:lstStyle/>
                  <a:p>
                    <a:fld id="{9C4BAC22-3730-4BF5-BD9E-6C5BBDED390B}"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40E-4BBB-9D49-DCACE2722908}"/>
                </c:ext>
              </c:extLst>
            </c:dLbl>
            <c:dLbl>
              <c:idx val="1"/>
              <c:tx>
                <c:rich>
                  <a:bodyPr/>
                  <a:lstStyle/>
                  <a:p>
                    <a:fld id="{33F50E4C-377C-45B1-B0AC-93CAF4599941}"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EBF-4732-9D62-4A2CE2E5DD11}"/>
                </c:ext>
              </c:extLst>
            </c:dLbl>
            <c:dLbl>
              <c:idx val="2"/>
              <c:tx>
                <c:rich>
                  <a:bodyPr/>
                  <a:lstStyle/>
                  <a:p>
                    <a:fld id="{50DA3E89-4E9C-4DCA-A2D2-52C7DDDDFF37}" type="CELLRANGE">
                      <a:rPr lang="fr-FR"/>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EBF-4732-9D62-4A2CE2E5DD11}"/>
                </c:ext>
              </c:extLst>
            </c:dLbl>
            <c:dLbl>
              <c:idx val="15"/>
              <c:tx>
                <c:rich>
                  <a:bodyPr/>
                  <a:lstStyle/>
                  <a:p>
                    <a:fld id="{9F88FD52-D771-43D0-B1AB-DADC933A6E67}" type="CELLRANGE">
                      <a:rPr lang="en-US"/>
                      <a:pPr/>
                      <a:t>[PLAGECELL]</a:t>
                    </a:fld>
                    <a:endParaRPr lang="fr-FR"/>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40E-4BBB-9D49-DCACE2722908}"/>
                </c:ext>
              </c:extLst>
            </c:dLbl>
            <c:spPr>
              <a:noFill/>
              <a:ln>
                <a:noFill/>
              </a:ln>
              <a:effectLst/>
            </c:sp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errBars>
            <c:errBarType val="both"/>
            <c:errValType val="cust"/>
            <c:noEndCap val="0"/>
            <c:plus>
              <c:numRef>
                <c:f>'Graph format rapport CHG 1éch'!$H$4:$J$4</c:f>
                <c:numCache>
                  <c:formatCode>General</c:formatCode>
                  <c:ptCount val="3"/>
                  <c:pt idx="1">
                    <c:v>0.12857289204112948</c:v>
                  </c:pt>
                </c:numCache>
              </c:numRef>
            </c:plus>
            <c:minus>
              <c:numRef>
                <c:f>'Graph format rapport CHG 1éch'!$H$4:$J$4</c:f>
                <c:numCache>
                  <c:formatCode>General</c:formatCode>
                  <c:ptCount val="3"/>
                  <c:pt idx="1">
                    <c:v>0.12857289204112948</c:v>
                  </c:pt>
                </c:numCache>
              </c:numRef>
            </c:minus>
          </c:errBars>
          <c:cat>
            <c:strRef>
              <c:f>'Graph format rapport CHG 1éch'!$H$2:$J$2</c:f>
              <c:strCache>
                <c:ptCount val="2"/>
                <c:pt idx="1">
                  <c:v>Cromolyn-0,1µg/L + Testostérone</c:v>
                </c:pt>
              </c:strCache>
            </c:strRef>
          </c:cat>
          <c:val>
            <c:numRef>
              <c:f>'Graph format rapport CHG 1éch'!$H$3:$J$3</c:f>
              <c:numCache>
                <c:formatCode>General</c:formatCode>
                <c:ptCount val="3"/>
                <c:pt idx="1">
                  <c:v>0.81046544479508986</c:v>
                </c:pt>
              </c:numCache>
            </c:numRef>
          </c:val>
          <c:extLst>
            <c:ext xmlns:c15="http://schemas.microsoft.com/office/drawing/2012/chart" uri="{02D57815-91ED-43cb-92C2-25804820EDAC}">
              <c15:datalabelsRange>
                <c15:f>'Graph format rapport CHG 1éch'!$H$5:$J$5</c15:f>
                <c15:dlblRangeCache>
                  <c:ptCount val="3"/>
                  <c:pt idx="1">
                    <c:v>NS</c:v>
                  </c:pt>
                </c15:dlblRangeCache>
              </c15:datalabelsRange>
            </c:ext>
            <c:ext xmlns:c16="http://schemas.microsoft.com/office/drawing/2014/chart" uri="{C3380CC4-5D6E-409C-BE32-E72D297353CC}">
              <c16:uniqueId val="{00000007-A40E-4BBB-9D49-DCACE2722908}"/>
            </c:ext>
          </c:extLst>
        </c:ser>
        <c:dLbls>
          <c:showLegendKey val="0"/>
          <c:showVal val="0"/>
          <c:showCatName val="0"/>
          <c:showSerName val="0"/>
          <c:showPercent val="0"/>
          <c:showBubbleSize val="0"/>
        </c:dLbls>
        <c:gapWidth val="150"/>
        <c:axId val="434387992"/>
        <c:axId val="434388384"/>
      </c:barChart>
      <c:lineChart>
        <c:grouping val="standard"/>
        <c:varyColors val="0"/>
        <c:ser>
          <c:idx val="2"/>
          <c:order val="1"/>
          <c:tx>
            <c:strRef>
              <c:f>'Graph format rapport CHG 1éch'!$D$7</c:f>
              <c:strCache>
                <c:ptCount val="1"/>
                <c:pt idx="0">
                  <c:v>Témoin Testo</c:v>
                </c:pt>
              </c:strCache>
            </c:strRef>
          </c:tx>
          <c:spPr>
            <a:ln>
              <a:solidFill>
                <a:srgbClr val="00B050"/>
              </a:solidFill>
            </a:ln>
          </c:spPr>
          <c:marker>
            <c:symbol val="none"/>
          </c:marker>
          <c:cat>
            <c:strRef>
              <c:f>'Graph format rapport CHG 1éch'!$H$2:$J$2</c:f>
              <c:strCache>
                <c:ptCount val="2"/>
                <c:pt idx="1">
                  <c:v>Cromolyn-0,1µg/L + Testostérone</c:v>
                </c:pt>
              </c:strCache>
            </c:strRef>
          </c:cat>
          <c:val>
            <c:numRef>
              <c:f>'Graph format rapport CHG 1éch'!$H$7:$J$7</c:f>
              <c:numCache>
                <c:formatCode>General</c:formatCode>
                <c:ptCount val="3"/>
                <c:pt idx="0">
                  <c:v>1</c:v>
                </c:pt>
                <c:pt idx="1">
                  <c:v>1</c:v>
                </c:pt>
                <c:pt idx="2">
                  <c:v>1</c:v>
                </c:pt>
              </c:numCache>
            </c:numRef>
          </c:val>
          <c:smooth val="0"/>
          <c:extLst>
            <c:ext xmlns:c16="http://schemas.microsoft.com/office/drawing/2014/chart" uri="{C3380CC4-5D6E-409C-BE32-E72D297353CC}">
              <c16:uniqueId val="{00000008-A40E-4BBB-9D49-DCACE2722908}"/>
            </c:ext>
          </c:extLst>
        </c:ser>
        <c:dLbls>
          <c:showLegendKey val="0"/>
          <c:showVal val="0"/>
          <c:showCatName val="0"/>
          <c:showSerName val="0"/>
          <c:showPercent val="0"/>
          <c:showBubbleSize val="0"/>
        </c:dLbls>
        <c:marker val="1"/>
        <c:smooth val="0"/>
        <c:axId val="434387992"/>
        <c:axId val="434388384"/>
      </c:lineChart>
      <c:dateAx>
        <c:axId val="434387992"/>
        <c:scaling>
          <c:orientation val="minMax"/>
        </c:scaling>
        <c:delete val="0"/>
        <c:axPos val="b"/>
        <c:numFmt formatCode="General" sourceLinked="0"/>
        <c:majorTickMark val="out"/>
        <c:minorTickMark val="none"/>
        <c:tickLblPos val="low"/>
        <c:spPr>
          <a:ln w="25400">
            <a:solidFill>
              <a:schemeClr val="tx1"/>
            </a:solidFill>
          </a:ln>
        </c:spPr>
        <c:txPr>
          <a:bodyPr rot="0" vert="horz"/>
          <a:lstStyle/>
          <a:p>
            <a:pPr>
              <a:defRPr b="1"/>
            </a:pPr>
            <a:endParaRPr lang="fr-FR"/>
          </a:p>
        </c:txPr>
        <c:crossAx val="434388384"/>
        <c:crosses val="autoZero"/>
        <c:auto val="0"/>
        <c:lblOffset val="100"/>
        <c:baseTimeUnit val="days"/>
      </c:dateAx>
      <c:valAx>
        <c:axId val="434388384"/>
        <c:scaling>
          <c:orientation val="minMax"/>
          <c:max val="2"/>
          <c:min val="0"/>
        </c:scaling>
        <c:delete val="0"/>
        <c:axPos val="l"/>
        <c:title>
          <c:tx>
            <c:rich>
              <a:bodyPr/>
              <a:lstStyle/>
              <a:p>
                <a:pPr>
                  <a:defRPr/>
                </a:pPr>
                <a:r>
                  <a:rPr lang="fr-FR"/>
                  <a:t>Fluorescence</a:t>
                </a:r>
              </a:p>
            </c:rich>
          </c:tx>
          <c:layout>
            <c:manualLayout>
              <c:xMode val="edge"/>
              <c:yMode val="edge"/>
              <c:x val="4.2815104248701457E-3"/>
              <c:y val="0.2110284452273361"/>
            </c:manualLayout>
          </c:layout>
          <c:overlay val="0"/>
        </c:title>
        <c:numFmt formatCode="General" sourceLinked="0"/>
        <c:majorTickMark val="out"/>
        <c:minorTickMark val="none"/>
        <c:tickLblPos val="nextTo"/>
        <c:spPr>
          <a:ln w="25400">
            <a:solidFill>
              <a:schemeClr val="tx1"/>
            </a:solidFill>
          </a:ln>
        </c:spPr>
        <c:txPr>
          <a:bodyPr/>
          <a:lstStyle/>
          <a:p>
            <a:pPr>
              <a:defRPr b="1"/>
            </a:pPr>
            <a:endParaRPr lang="fr-FR"/>
          </a:p>
        </c:txPr>
        <c:crossAx val="434387992"/>
        <c:crosses val="autoZero"/>
        <c:crossBetween val="midCat"/>
        <c:majorUnit val="0.2"/>
      </c:valAx>
    </c:plotArea>
    <c:plotVisOnly val="1"/>
    <c:dispBlanksAs val="zero"/>
    <c:showDLblsOverMax val="0"/>
  </c:chart>
  <c:spPr>
    <a:ln>
      <a:noFill/>
    </a:ln>
  </c:spPr>
  <c:txPr>
    <a:bodyPr/>
    <a:lstStyle/>
    <a:p>
      <a:pPr>
        <a:defRPr sz="1000"/>
      </a:pPr>
      <a:endParaRPr lang="fr-FR"/>
    </a:p>
  </c:txPr>
  <c:printSettings>
    <c:headerFooter/>
    <c:pageMargins b="0.75000000000000022" l="0.70000000000000018" r="0.70000000000000018" t="0.75000000000000022" header="0.3000000000000001" footer="0.3000000000000001"/>
    <c:pageSetup/>
  </c:printSettings>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400-000000000000}">
  <sheetPr/>
  <sheetViews>
    <sheetView zoomScale="117" workbookViewId="0" zoomToFit="1"/>
  </sheetViews>
  <pageMargins left="0.7" right="0.7" top="0.75" bottom="0.75" header="0.3" footer="0.3"/>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700-000000000000}">
  <sheetPr/>
  <sheetViews>
    <sheetView zoomScale="117" workbookViewId="0" zoomToFit="1"/>
  </sheetViews>
  <pageMargins left="0.7" right="0.7" top="0.75" bottom="0.75" header="0.3" footer="0.3"/>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A00-000000000000}">
  <sheetPr/>
  <sheetViews>
    <sheetView zoomScale="117" workbookViewId="0" zoomToFit="1"/>
  </sheetViews>
  <pageMargins left="0.7" right="0.7" top="0.75" bottom="0.75" header="0.3" footer="0.3"/>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C00-000000000000}">
  <sheetPr/>
  <sheetViews>
    <sheetView zoomScale="117" workbookViewId="0" zoomToFit="1"/>
  </sheetViews>
  <pageMargins left="0.7" right="0.7" top="0.75" bottom="0.75" header="0.3" footer="0.3"/>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8.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7.xml"/><Relationship Id="rId5" Type="http://schemas.openxmlformats.org/officeDocument/2006/relationships/image" Target="../media/image3.png"/><Relationship Id="rId4" Type="http://schemas.openxmlformats.org/officeDocument/2006/relationships/image" Target="../media/image2.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absoluteAnchor>
    <xdr:pos x="0" y="0"/>
    <xdr:ext cx="9288910" cy="6048782"/>
    <xdr:graphicFrame macro="">
      <xdr:nvGraphicFramePr>
        <xdr:cNvPr id="2" name="Graphique 1">
          <a:extLst>
            <a:ext uri="{FF2B5EF4-FFF2-40B4-BE49-F238E27FC236}">
              <a16:creationId xmlns:a16="http://schemas.microsoft.com/office/drawing/2014/main" id="{00000000-0008-0000-0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0.42494</cdr:x>
      <cdr:y>0.01696</cdr:y>
    </cdr:from>
    <cdr:to>
      <cdr:x>0.59244</cdr:x>
      <cdr:y>0.06852</cdr:y>
    </cdr:to>
    <cdr:sp macro="" textlink="">
      <cdr:nvSpPr>
        <cdr:cNvPr id="2" name="ZoneTexte 1"/>
        <cdr:cNvSpPr txBox="1"/>
      </cdr:nvSpPr>
      <cdr:spPr>
        <a:xfrm xmlns:a="http://schemas.openxmlformats.org/drawingml/2006/main">
          <a:off x="3946365" y="102453"/>
          <a:ext cx="1555576"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9288910" cy="6048782"/>
    <xdr:graphicFrame macro="">
      <xdr:nvGraphicFramePr>
        <xdr:cNvPr id="2" name="Graphique 1">
          <a:extLst>
            <a:ext uri="{FF2B5EF4-FFF2-40B4-BE49-F238E27FC236}">
              <a16:creationId xmlns:a16="http://schemas.microsoft.com/office/drawing/2014/main" id="{00000000-0008-0000-0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0.37494</cdr:x>
      <cdr:y>0.01504</cdr:y>
    </cdr:from>
    <cdr:to>
      <cdr:x>0.5575</cdr:x>
      <cdr:y>0.06657</cdr:y>
    </cdr:to>
    <cdr:sp macro="" textlink="">
      <cdr:nvSpPr>
        <cdr:cNvPr id="2" name="ZoneTexte 1"/>
        <cdr:cNvSpPr txBox="1"/>
      </cdr:nvSpPr>
      <cdr:spPr>
        <a:xfrm xmlns:a="http://schemas.openxmlformats.org/drawingml/2006/main">
          <a:off x="3480830" y="90920"/>
          <a:ext cx="1694833"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9290911" cy="6045953"/>
    <xdr:graphicFrame macro="">
      <xdr:nvGraphicFramePr>
        <xdr:cNvPr id="2" name="Graphique 1">
          <a:extLst>
            <a:ext uri="{FF2B5EF4-FFF2-40B4-BE49-F238E27FC236}">
              <a16:creationId xmlns:a16="http://schemas.microsoft.com/office/drawing/2014/main" id="{00000000-0008-0000-0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0.37494</cdr:x>
      <cdr:y>0.01504</cdr:y>
    </cdr:from>
    <cdr:to>
      <cdr:x>0.5575</cdr:x>
      <cdr:y>0.0666</cdr:y>
    </cdr:to>
    <cdr:sp macro="" textlink="">
      <cdr:nvSpPr>
        <cdr:cNvPr id="2" name="ZoneTexte 1"/>
        <cdr:cNvSpPr txBox="1"/>
      </cdr:nvSpPr>
      <cdr:spPr>
        <a:xfrm xmlns:a="http://schemas.openxmlformats.org/drawingml/2006/main">
          <a:off x="3482021" y="90854"/>
          <a:ext cx="1695412" cy="311496"/>
        </a:xfrm>
        <a:prstGeom xmlns:a="http://schemas.openxmlformats.org/drawingml/2006/main" prst="rect">
          <a:avLst/>
        </a:prstGeom>
      </cdr:spPr>
      <cdr:txBody>
        <a:bodyPr xmlns:a="http://schemas.openxmlformats.org/drawingml/2006/main" vertOverflow="clip" horzOverflow="clip" wrap="square" rtlCol="0">
          <a:spAutoFit/>
        </a:bodyPr>
        <a:lstStyle xmlns:a="http://schemas.openxmlformats.org/drawingml/2006/main"/>
        <a:p xmlns:a="http://schemas.openxmlformats.org/drawingml/2006/main">
          <a:pPr algn="ctr"/>
          <a:r>
            <a:rPr lang="fr-FR" sz="1400" b="1"/>
            <a:t>N° expérience</a:t>
          </a: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9288910" cy="6048782"/>
    <xdr:graphicFrame macro="">
      <xdr:nvGraphicFramePr>
        <xdr:cNvPr id="2" name="Graphique 1">
          <a:extLst>
            <a:ext uri="{FF2B5EF4-FFF2-40B4-BE49-F238E27FC236}">
              <a16:creationId xmlns:a16="http://schemas.microsoft.com/office/drawing/2014/main" id="{00000000-0008-0000-0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xdr:wsDr xmlns:xdr="http://schemas.openxmlformats.org/drawingml/2006/spreadsheetDrawing" xmlns:a="http://schemas.openxmlformats.org/drawingml/2006/main">
  <xdr:twoCellAnchor editAs="absolute">
    <xdr:from>
      <xdr:col>15</xdr:col>
      <xdr:colOff>384711</xdr:colOff>
      <xdr:row>4</xdr:row>
      <xdr:rowOff>197921</xdr:rowOff>
    </xdr:from>
    <xdr:to>
      <xdr:col>28</xdr:col>
      <xdr:colOff>573972</xdr:colOff>
      <xdr:row>17</xdr:row>
      <xdr:rowOff>43528</xdr:rowOff>
    </xdr:to>
    <xdr:graphicFrame macro="">
      <xdr:nvGraphicFramePr>
        <xdr:cNvPr id="2" name="Graphique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15</xdr:col>
      <xdr:colOff>207819</xdr:colOff>
      <xdr:row>33</xdr:row>
      <xdr:rowOff>40820</xdr:rowOff>
    </xdr:from>
    <xdr:to>
      <xdr:col>28</xdr:col>
      <xdr:colOff>397080</xdr:colOff>
      <xdr:row>47</xdr:row>
      <xdr:rowOff>63320</xdr:rowOff>
    </xdr:to>
    <xdr:graphicFrame macro="">
      <xdr:nvGraphicFramePr>
        <xdr:cNvPr id="56" name="Graphique 55">
          <a:extLst>
            <a:ext uri="{FF2B5EF4-FFF2-40B4-BE49-F238E27FC236}">
              <a16:creationId xmlns:a16="http://schemas.microsoft.com/office/drawing/2014/main" id="{00000000-0008-0000-0D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15</xdr:col>
      <xdr:colOff>289462</xdr:colOff>
      <xdr:row>46</xdr:row>
      <xdr:rowOff>29696</xdr:rowOff>
    </xdr:from>
    <xdr:to>
      <xdr:col>28</xdr:col>
      <xdr:colOff>342269</xdr:colOff>
      <xdr:row>51</xdr:row>
      <xdr:rowOff>106544</xdr:rowOff>
    </xdr:to>
    <xdr:grpSp>
      <xdr:nvGrpSpPr>
        <xdr:cNvPr id="57" name="Groupe 56">
          <a:extLst>
            <a:ext uri="{FF2B5EF4-FFF2-40B4-BE49-F238E27FC236}">
              <a16:creationId xmlns:a16="http://schemas.microsoft.com/office/drawing/2014/main" id="{00000000-0008-0000-0D00-000039000000}"/>
            </a:ext>
          </a:extLst>
        </xdr:cNvPr>
        <xdr:cNvGrpSpPr/>
      </xdr:nvGrpSpPr>
      <xdr:grpSpPr>
        <a:xfrm>
          <a:off x="19448319" y="10275875"/>
          <a:ext cx="8012986" cy="1097383"/>
          <a:chOff x="367064" y="1542965"/>
          <a:chExt cx="7932581" cy="1097383"/>
        </a:xfrm>
      </xdr:grpSpPr>
      <xdr:sp macro="" textlink="">
        <xdr:nvSpPr>
          <xdr:cNvPr id="58" name="Shape 6">
            <a:extLst>
              <a:ext uri="{FF2B5EF4-FFF2-40B4-BE49-F238E27FC236}">
                <a16:creationId xmlns:a16="http://schemas.microsoft.com/office/drawing/2014/main" id="{00000000-0008-0000-0D00-00003A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59" name="Shape 322">
            <a:extLst>
              <a:ext uri="{FF2B5EF4-FFF2-40B4-BE49-F238E27FC236}">
                <a16:creationId xmlns:a16="http://schemas.microsoft.com/office/drawing/2014/main" id="{00000000-0008-0000-0D00-00003B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0" name="Shape 323">
            <a:extLst>
              <a:ext uri="{FF2B5EF4-FFF2-40B4-BE49-F238E27FC236}">
                <a16:creationId xmlns:a16="http://schemas.microsoft.com/office/drawing/2014/main" id="{00000000-0008-0000-0D00-00003C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1" name="Shape 324">
            <a:extLst>
              <a:ext uri="{FF2B5EF4-FFF2-40B4-BE49-F238E27FC236}">
                <a16:creationId xmlns:a16="http://schemas.microsoft.com/office/drawing/2014/main" id="{00000000-0008-0000-0D00-00003D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2" name="Shape 325">
            <a:extLst>
              <a:ext uri="{FF2B5EF4-FFF2-40B4-BE49-F238E27FC236}">
                <a16:creationId xmlns:a16="http://schemas.microsoft.com/office/drawing/2014/main" id="{00000000-0008-0000-0D00-00003E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3" name="Shape 326">
            <a:extLst>
              <a:ext uri="{FF2B5EF4-FFF2-40B4-BE49-F238E27FC236}">
                <a16:creationId xmlns:a16="http://schemas.microsoft.com/office/drawing/2014/main" id="{00000000-0008-0000-0D00-00003F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4" name="Shape 12">
            <a:extLst>
              <a:ext uri="{FF2B5EF4-FFF2-40B4-BE49-F238E27FC236}">
                <a16:creationId xmlns:a16="http://schemas.microsoft.com/office/drawing/2014/main" id="{00000000-0008-0000-0D00-000040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5" name="Shape 327">
            <a:extLst>
              <a:ext uri="{FF2B5EF4-FFF2-40B4-BE49-F238E27FC236}">
                <a16:creationId xmlns:a16="http://schemas.microsoft.com/office/drawing/2014/main" id="{00000000-0008-0000-0D00-000041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6" name="Shape 328">
            <a:extLst>
              <a:ext uri="{FF2B5EF4-FFF2-40B4-BE49-F238E27FC236}">
                <a16:creationId xmlns:a16="http://schemas.microsoft.com/office/drawing/2014/main" id="{00000000-0008-0000-0D00-000042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7" name="Shape 329">
            <a:extLst>
              <a:ext uri="{FF2B5EF4-FFF2-40B4-BE49-F238E27FC236}">
                <a16:creationId xmlns:a16="http://schemas.microsoft.com/office/drawing/2014/main" id="{00000000-0008-0000-0D00-000043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8" name="Shape 330">
            <a:extLst>
              <a:ext uri="{FF2B5EF4-FFF2-40B4-BE49-F238E27FC236}">
                <a16:creationId xmlns:a16="http://schemas.microsoft.com/office/drawing/2014/main" id="{00000000-0008-0000-0D00-000044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69" name="Shape 331">
            <a:extLst>
              <a:ext uri="{FF2B5EF4-FFF2-40B4-BE49-F238E27FC236}">
                <a16:creationId xmlns:a16="http://schemas.microsoft.com/office/drawing/2014/main" id="{00000000-0008-0000-0D00-000045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0" name="Shape 332">
            <a:extLst>
              <a:ext uri="{FF2B5EF4-FFF2-40B4-BE49-F238E27FC236}">
                <a16:creationId xmlns:a16="http://schemas.microsoft.com/office/drawing/2014/main" id="{00000000-0008-0000-0D00-000046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71" name="Picture 308">
            <a:extLst>
              <a:ext uri="{FF2B5EF4-FFF2-40B4-BE49-F238E27FC236}">
                <a16:creationId xmlns:a16="http://schemas.microsoft.com/office/drawing/2014/main" id="{00000000-0008-0000-0D00-000047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72" name="Shape 20">
            <a:extLst>
              <a:ext uri="{FF2B5EF4-FFF2-40B4-BE49-F238E27FC236}">
                <a16:creationId xmlns:a16="http://schemas.microsoft.com/office/drawing/2014/main" id="{00000000-0008-0000-0D00-000048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3" name="Shape 333">
            <a:extLst>
              <a:ext uri="{FF2B5EF4-FFF2-40B4-BE49-F238E27FC236}">
                <a16:creationId xmlns:a16="http://schemas.microsoft.com/office/drawing/2014/main" id="{00000000-0008-0000-0D00-000049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4" name="Rectangle 73">
            <a:extLst>
              <a:ext uri="{FF2B5EF4-FFF2-40B4-BE49-F238E27FC236}">
                <a16:creationId xmlns:a16="http://schemas.microsoft.com/office/drawing/2014/main" id="{00000000-0008-0000-0D00-00004A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75" name="Rectangle 74">
            <a:extLst>
              <a:ext uri="{FF2B5EF4-FFF2-40B4-BE49-F238E27FC236}">
                <a16:creationId xmlns:a16="http://schemas.microsoft.com/office/drawing/2014/main" id="{00000000-0008-0000-0D00-00004B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6" name="Picture 309">
            <a:extLst>
              <a:ext uri="{FF2B5EF4-FFF2-40B4-BE49-F238E27FC236}">
                <a16:creationId xmlns:a16="http://schemas.microsoft.com/office/drawing/2014/main" id="{00000000-0008-0000-0D00-00004C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77" name="Shape 334">
            <a:extLst>
              <a:ext uri="{FF2B5EF4-FFF2-40B4-BE49-F238E27FC236}">
                <a16:creationId xmlns:a16="http://schemas.microsoft.com/office/drawing/2014/main" id="{00000000-0008-0000-0D00-00004D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78" name="Rectangle 77">
            <a:extLst>
              <a:ext uri="{FF2B5EF4-FFF2-40B4-BE49-F238E27FC236}">
                <a16:creationId xmlns:a16="http://schemas.microsoft.com/office/drawing/2014/main" id="{00000000-0008-0000-0D00-00004E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79" name="Picture 311">
            <a:extLst>
              <a:ext uri="{FF2B5EF4-FFF2-40B4-BE49-F238E27FC236}">
                <a16:creationId xmlns:a16="http://schemas.microsoft.com/office/drawing/2014/main" id="{00000000-0008-0000-0D00-00004F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80" name="Shape 30">
            <a:extLst>
              <a:ext uri="{FF2B5EF4-FFF2-40B4-BE49-F238E27FC236}">
                <a16:creationId xmlns:a16="http://schemas.microsoft.com/office/drawing/2014/main" id="{00000000-0008-0000-0D00-000050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1" name="Shape 335">
            <a:extLst>
              <a:ext uri="{FF2B5EF4-FFF2-40B4-BE49-F238E27FC236}">
                <a16:creationId xmlns:a16="http://schemas.microsoft.com/office/drawing/2014/main" id="{00000000-0008-0000-0D00-000051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2" name="Rectangle 81">
            <a:extLst>
              <a:ext uri="{FF2B5EF4-FFF2-40B4-BE49-F238E27FC236}">
                <a16:creationId xmlns:a16="http://schemas.microsoft.com/office/drawing/2014/main" id="{00000000-0008-0000-0D00-000052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83" name="Picture 310">
            <a:extLst>
              <a:ext uri="{FF2B5EF4-FFF2-40B4-BE49-F238E27FC236}">
                <a16:creationId xmlns:a16="http://schemas.microsoft.com/office/drawing/2014/main" id="{00000000-0008-0000-0D00-000053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84" name="Shape 336">
            <a:extLst>
              <a:ext uri="{FF2B5EF4-FFF2-40B4-BE49-F238E27FC236}">
                <a16:creationId xmlns:a16="http://schemas.microsoft.com/office/drawing/2014/main" id="{00000000-0008-0000-0D00-000054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5" name="Rectangle 84">
            <a:extLst>
              <a:ext uri="{FF2B5EF4-FFF2-40B4-BE49-F238E27FC236}">
                <a16:creationId xmlns:a16="http://schemas.microsoft.com/office/drawing/2014/main" id="{00000000-0008-0000-0D00-000055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86" name="Picture 312">
            <a:extLst>
              <a:ext uri="{FF2B5EF4-FFF2-40B4-BE49-F238E27FC236}">
                <a16:creationId xmlns:a16="http://schemas.microsoft.com/office/drawing/2014/main" id="{00000000-0008-0000-0D00-000056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87" name="Shape 337">
            <a:extLst>
              <a:ext uri="{FF2B5EF4-FFF2-40B4-BE49-F238E27FC236}">
                <a16:creationId xmlns:a16="http://schemas.microsoft.com/office/drawing/2014/main" id="{00000000-0008-0000-0D00-000057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88" name="Rectangle 87">
            <a:extLst>
              <a:ext uri="{FF2B5EF4-FFF2-40B4-BE49-F238E27FC236}">
                <a16:creationId xmlns:a16="http://schemas.microsoft.com/office/drawing/2014/main" id="{00000000-0008-0000-0D00-000058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89" name="Rectangle 88">
            <a:extLst>
              <a:ext uri="{FF2B5EF4-FFF2-40B4-BE49-F238E27FC236}">
                <a16:creationId xmlns:a16="http://schemas.microsoft.com/office/drawing/2014/main" id="{00000000-0008-0000-0D00-000059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90" name="Shape 59">
            <a:extLst>
              <a:ext uri="{FF2B5EF4-FFF2-40B4-BE49-F238E27FC236}">
                <a16:creationId xmlns:a16="http://schemas.microsoft.com/office/drawing/2014/main" id="{00000000-0008-0000-0D00-00005A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91" name="Shape 62">
            <a:extLst>
              <a:ext uri="{FF2B5EF4-FFF2-40B4-BE49-F238E27FC236}">
                <a16:creationId xmlns:a16="http://schemas.microsoft.com/office/drawing/2014/main" id="{00000000-0008-0000-0D00-00005B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2" name="Shape 63">
            <a:extLst>
              <a:ext uri="{FF2B5EF4-FFF2-40B4-BE49-F238E27FC236}">
                <a16:creationId xmlns:a16="http://schemas.microsoft.com/office/drawing/2014/main" id="{00000000-0008-0000-0D00-00005C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3" name="Shape 64">
            <a:extLst>
              <a:ext uri="{FF2B5EF4-FFF2-40B4-BE49-F238E27FC236}">
                <a16:creationId xmlns:a16="http://schemas.microsoft.com/office/drawing/2014/main" id="{00000000-0008-0000-0D00-00005D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4" name="Shape 65">
            <a:extLst>
              <a:ext uri="{FF2B5EF4-FFF2-40B4-BE49-F238E27FC236}">
                <a16:creationId xmlns:a16="http://schemas.microsoft.com/office/drawing/2014/main" id="{00000000-0008-0000-0D00-00005E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5" name="Shape 66">
            <a:extLst>
              <a:ext uri="{FF2B5EF4-FFF2-40B4-BE49-F238E27FC236}">
                <a16:creationId xmlns:a16="http://schemas.microsoft.com/office/drawing/2014/main" id="{00000000-0008-0000-0D00-00005F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6" name="Shape 67">
            <a:extLst>
              <a:ext uri="{FF2B5EF4-FFF2-40B4-BE49-F238E27FC236}">
                <a16:creationId xmlns:a16="http://schemas.microsoft.com/office/drawing/2014/main" id="{00000000-0008-0000-0D00-000060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7" name="Shape 68">
            <a:extLst>
              <a:ext uri="{FF2B5EF4-FFF2-40B4-BE49-F238E27FC236}">
                <a16:creationId xmlns:a16="http://schemas.microsoft.com/office/drawing/2014/main" id="{00000000-0008-0000-0D00-000061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8" name="Shape 69">
            <a:extLst>
              <a:ext uri="{FF2B5EF4-FFF2-40B4-BE49-F238E27FC236}">
                <a16:creationId xmlns:a16="http://schemas.microsoft.com/office/drawing/2014/main" id="{00000000-0008-0000-0D00-000062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99" name="Shape 70">
            <a:extLst>
              <a:ext uri="{FF2B5EF4-FFF2-40B4-BE49-F238E27FC236}">
                <a16:creationId xmlns:a16="http://schemas.microsoft.com/office/drawing/2014/main" id="{00000000-0008-0000-0D00-000063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0" name="Shape 71">
            <a:extLst>
              <a:ext uri="{FF2B5EF4-FFF2-40B4-BE49-F238E27FC236}">
                <a16:creationId xmlns:a16="http://schemas.microsoft.com/office/drawing/2014/main" id="{00000000-0008-0000-0D00-000064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1" name="Shape 72">
            <a:extLst>
              <a:ext uri="{FF2B5EF4-FFF2-40B4-BE49-F238E27FC236}">
                <a16:creationId xmlns:a16="http://schemas.microsoft.com/office/drawing/2014/main" id="{00000000-0008-0000-0D00-000065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2" name="Shape 73">
            <a:extLst>
              <a:ext uri="{FF2B5EF4-FFF2-40B4-BE49-F238E27FC236}">
                <a16:creationId xmlns:a16="http://schemas.microsoft.com/office/drawing/2014/main" id="{00000000-0008-0000-0D00-000066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3" name="Shape 74">
            <a:extLst>
              <a:ext uri="{FF2B5EF4-FFF2-40B4-BE49-F238E27FC236}">
                <a16:creationId xmlns:a16="http://schemas.microsoft.com/office/drawing/2014/main" id="{00000000-0008-0000-0D00-000067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4" name="Shape 75">
            <a:extLst>
              <a:ext uri="{FF2B5EF4-FFF2-40B4-BE49-F238E27FC236}">
                <a16:creationId xmlns:a16="http://schemas.microsoft.com/office/drawing/2014/main" id="{00000000-0008-0000-0D00-000068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5" name="Shape 76">
            <a:extLst>
              <a:ext uri="{FF2B5EF4-FFF2-40B4-BE49-F238E27FC236}">
                <a16:creationId xmlns:a16="http://schemas.microsoft.com/office/drawing/2014/main" id="{00000000-0008-0000-0D00-000069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6" name="Shape 77">
            <a:extLst>
              <a:ext uri="{FF2B5EF4-FFF2-40B4-BE49-F238E27FC236}">
                <a16:creationId xmlns:a16="http://schemas.microsoft.com/office/drawing/2014/main" id="{00000000-0008-0000-0D00-00006A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07" name="Rectangle 106">
            <a:extLst>
              <a:ext uri="{FF2B5EF4-FFF2-40B4-BE49-F238E27FC236}">
                <a16:creationId xmlns:a16="http://schemas.microsoft.com/office/drawing/2014/main" id="{00000000-0008-0000-0D00-00006B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08" name="ZoneTexte 55">
            <a:extLst>
              <a:ext uri="{FF2B5EF4-FFF2-40B4-BE49-F238E27FC236}">
                <a16:creationId xmlns:a16="http://schemas.microsoft.com/office/drawing/2014/main" id="{00000000-0008-0000-0D00-00006C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09" name="ZoneTexte 56">
            <a:extLst>
              <a:ext uri="{FF2B5EF4-FFF2-40B4-BE49-F238E27FC236}">
                <a16:creationId xmlns:a16="http://schemas.microsoft.com/office/drawing/2014/main" id="{00000000-0008-0000-0D00-00006D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15</xdr:col>
      <xdr:colOff>452938</xdr:colOff>
      <xdr:row>15</xdr:row>
      <xdr:rowOff>189512</xdr:rowOff>
    </xdr:from>
    <xdr:to>
      <xdr:col>28</xdr:col>
      <xdr:colOff>505745</xdr:colOff>
      <xdr:row>21</xdr:row>
      <xdr:rowOff>62252</xdr:rowOff>
    </xdr:to>
    <xdr:grpSp>
      <xdr:nvGrpSpPr>
        <xdr:cNvPr id="110" name="Groupe 109">
          <a:extLst>
            <a:ext uri="{FF2B5EF4-FFF2-40B4-BE49-F238E27FC236}">
              <a16:creationId xmlns:a16="http://schemas.microsoft.com/office/drawing/2014/main" id="{00000000-0008-0000-0D00-00006E000000}"/>
            </a:ext>
          </a:extLst>
        </xdr:cNvPr>
        <xdr:cNvGrpSpPr/>
      </xdr:nvGrpSpPr>
      <xdr:grpSpPr>
        <a:xfrm>
          <a:off x="19611795" y="3904262"/>
          <a:ext cx="8012986" cy="1097383"/>
          <a:chOff x="367064" y="1542965"/>
          <a:chExt cx="7932581" cy="1097383"/>
        </a:xfrm>
      </xdr:grpSpPr>
      <xdr:sp macro="" textlink="">
        <xdr:nvSpPr>
          <xdr:cNvPr id="111" name="Shape 6">
            <a:extLst>
              <a:ext uri="{FF2B5EF4-FFF2-40B4-BE49-F238E27FC236}">
                <a16:creationId xmlns:a16="http://schemas.microsoft.com/office/drawing/2014/main" id="{00000000-0008-0000-0D00-00006F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2" name="Shape 322">
            <a:extLst>
              <a:ext uri="{FF2B5EF4-FFF2-40B4-BE49-F238E27FC236}">
                <a16:creationId xmlns:a16="http://schemas.microsoft.com/office/drawing/2014/main" id="{00000000-0008-0000-0D00-000070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3" name="Shape 323">
            <a:extLst>
              <a:ext uri="{FF2B5EF4-FFF2-40B4-BE49-F238E27FC236}">
                <a16:creationId xmlns:a16="http://schemas.microsoft.com/office/drawing/2014/main" id="{00000000-0008-0000-0D00-000071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4" name="Shape 324">
            <a:extLst>
              <a:ext uri="{FF2B5EF4-FFF2-40B4-BE49-F238E27FC236}">
                <a16:creationId xmlns:a16="http://schemas.microsoft.com/office/drawing/2014/main" id="{00000000-0008-0000-0D00-000072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5" name="Shape 325">
            <a:extLst>
              <a:ext uri="{FF2B5EF4-FFF2-40B4-BE49-F238E27FC236}">
                <a16:creationId xmlns:a16="http://schemas.microsoft.com/office/drawing/2014/main" id="{00000000-0008-0000-0D00-000073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6" name="Shape 326">
            <a:extLst>
              <a:ext uri="{FF2B5EF4-FFF2-40B4-BE49-F238E27FC236}">
                <a16:creationId xmlns:a16="http://schemas.microsoft.com/office/drawing/2014/main" id="{00000000-0008-0000-0D00-000074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7" name="Shape 12">
            <a:extLst>
              <a:ext uri="{FF2B5EF4-FFF2-40B4-BE49-F238E27FC236}">
                <a16:creationId xmlns:a16="http://schemas.microsoft.com/office/drawing/2014/main" id="{00000000-0008-0000-0D00-000075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8" name="Shape 327">
            <a:extLst>
              <a:ext uri="{FF2B5EF4-FFF2-40B4-BE49-F238E27FC236}">
                <a16:creationId xmlns:a16="http://schemas.microsoft.com/office/drawing/2014/main" id="{00000000-0008-0000-0D00-000076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19" name="Shape 328">
            <a:extLst>
              <a:ext uri="{FF2B5EF4-FFF2-40B4-BE49-F238E27FC236}">
                <a16:creationId xmlns:a16="http://schemas.microsoft.com/office/drawing/2014/main" id="{00000000-0008-0000-0D00-000077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0" name="Shape 329">
            <a:extLst>
              <a:ext uri="{FF2B5EF4-FFF2-40B4-BE49-F238E27FC236}">
                <a16:creationId xmlns:a16="http://schemas.microsoft.com/office/drawing/2014/main" id="{00000000-0008-0000-0D00-000078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1" name="Shape 330">
            <a:extLst>
              <a:ext uri="{FF2B5EF4-FFF2-40B4-BE49-F238E27FC236}">
                <a16:creationId xmlns:a16="http://schemas.microsoft.com/office/drawing/2014/main" id="{00000000-0008-0000-0D00-000079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2" name="Shape 331">
            <a:extLst>
              <a:ext uri="{FF2B5EF4-FFF2-40B4-BE49-F238E27FC236}">
                <a16:creationId xmlns:a16="http://schemas.microsoft.com/office/drawing/2014/main" id="{00000000-0008-0000-0D00-00007A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3" name="Shape 332">
            <a:extLst>
              <a:ext uri="{FF2B5EF4-FFF2-40B4-BE49-F238E27FC236}">
                <a16:creationId xmlns:a16="http://schemas.microsoft.com/office/drawing/2014/main" id="{00000000-0008-0000-0D00-00007B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24" name="Picture 308">
            <a:extLst>
              <a:ext uri="{FF2B5EF4-FFF2-40B4-BE49-F238E27FC236}">
                <a16:creationId xmlns:a16="http://schemas.microsoft.com/office/drawing/2014/main" id="{00000000-0008-0000-0D00-00007C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25" name="Shape 20">
            <a:extLst>
              <a:ext uri="{FF2B5EF4-FFF2-40B4-BE49-F238E27FC236}">
                <a16:creationId xmlns:a16="http://schemas.microsoft.com/office/drawing/2014/main" id="{00000000-0008-0000-0D00-00007D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6" name="Shape 333">
            <a:extLst>
              <a:ext uri="{FF2B5EF4-FFF2-40B4-BE49-F238E27FC236}">
                <a16:creationId xmlns:a16="http://schemas.microsoft.com/office/drawing/2014/main" id="{00000000-0008-0000-0D00-00007E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27" name="Rectangle 126">
            <a:extLst>
              <a:ext uri="{FF2B5EF4-FFF2-40B4-BE49-F238E27FC236}">
                <a16:creationId xmlns:a16="http://schemas.microsoft.com/office/drawing/2014/main" id="{00000000-0008-0000-0D00-00007F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28" name="Rectangle 127">
            <a:extLst>
              <a:ext uri="{FF2B5EF4-FFF2-40B4-BE49-F238E27FC236}">
                <a16:creationId xmlns:a16="http://schemas.microsoft.com/office/drawing/2014/main" id="{00000000-0008-0000-0D00-000080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29" name="Picture 309">
            <a:extLst>
              <a:ext uri="{FF2B5EF4-FFF2-40B4-BE49-F238E27FC236}">
                <a16:creationId xmlns:a16="http://schemas.microsoft.com/office/drawing/2014/main" id="{00000000-0008-0000-0D00-000081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30" name="Shape 334">
            <a:extLst>
              <a:ext uri="{FF2B5EF4-FFF2-40B4-BE49-F238E27FC236}">
                <a16:creationId xmlns:a16="http://schemas.microsoft.com/office/drawing/2014/main" id="{00000000-0008-0000-0D00-000082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1" name="Rectangle 130">
            <a:extLst>
              <a:ext uri="{FF2B5EF4-FFF2-40B4-BE49-F238E27FC236}">
                <a16:creationId xmlns:a16="http://schemas.microsoft.com/office/drawing/2014/main" id="{00000000-0008-0000-0D00-000083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2" name="Picture 311">
            <a:extLst>
              <a:ext uri="{FF2B5EF4-FFF2-40B4-BE49-F238E27FC236}">
                <a16:creationId xmlns:a16="http://schemas.microsoft.com/office/drawing/2014/main" id="{00000000-0008-0000-0D00-000084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33" name="Shape 30">
            <a:extLst>
              <a:ext uri="{FF2B5EF4-FFF2-40B4-BE49-F238E27FC236}">
                <a16:creationId xmlns:a16="http://schemas.microsoft.com/office/drawing/2014/main" id="{00000000-0008-0000-0D00-000085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4" name="Shape 335">
            <a:extLst>
              <a:ext uri="{FF2B5EF4-FFF2-40B4-BE49-F238E27FC236}">
                <a16:creationId xmlns:a16="http://schemas.microsoft.com/office/drawing/2014/main" id="{00000000-0008-0000-0D00-000086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5" name="Rectangle 134">
            <a:extLst>
              <a:ext uri="{FF2B5EF4-FFF2-40B4-BE49-F238E27FC236}">
                <a16:creationId xmlns:a16="http://schemas.microsoft.com/office/drawing/2014/main" id="{00000000-0008-0000-0D00-000087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36" name="Picture 310">
            <a:extLst>
              <a:ext uri="{FF2B5EF4-FFF2-40B4-BE49-F238E27FC236}">
                <a16:creationId xmlns:a16="http://schemas.microsoft.com/office/drawing/2014/main" id="{00000000-0008-0000-0D00-000088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37" name="Shape 336">
            <a:extLst>
              <a:ext uri="{FF2B5EF4-FFF2-40B4-BE49-F238E27FC236}">
                <a16:creationId xmlns:a16="http://schemas.microsoft.com/office/drawing/2014/main" id="{00000000-0008-0000-0D00-000089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38" name="Rectangle 137">
            <a:extLst>
              <a:ext uri="{FF2B5EF4-FFF2-40B4-BE49-F238E27FC236}">
                <a16:creationId xmlns:a16="http://schemas.microsoft.com/office/drawing/2014/main" id="{00000000-0008-0000-0D00-00008A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39" name="Picture 312">
            <a:extLst>
              <a:ext uri="{FF2B5EF4-FFF2-40B4-BE49-F238E27FC236}">
                <a16:creationId xmlns:a16="http://schemas.microsoft.com/office/drawing/2014/main" id="{00000000-0008-0000-0D00-00008B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40" name="Shape 337">
            <a:extLst>
              <a:ext uri="{FF2B5EF4-FFF2-40B4-BE49-F238E27FC236}">
                <a16:creationId xmlns:a16="http://schemas.microsoft.com/office/drawing/2014/main" id="{00000000-0008-0000-0D00-00008C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1" name="Rectangle 140">
            <a:extLst>
              <a:ext uri="{FF2B5EF4-FFF2-40B4-BE49-F238E27FC236}">
                <a16:creationId xmlns:a16="http://schemas.microsoft.com/office/drawing/2014/main" id="{00000000-0008-0000-0D00-00008D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42" name="Rectangle 141">
            <a:extLst>
              <a:ext uri="{FF2B5EF4-FFF2-40B4-BE49-F238E27FC236}">
                <a16:creationId xmlns:a16="http://schemas.microsoft.com/office/drawing/2014/main" id="{00000000-0008-0000-0D00-00008E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anti oestrogénique</a:t>
            </a:r>
          </a:p>
        </xdr:txBody>
      </xdr:sp>
      <xdr:sp macro="" textlink="">
        <xdr:nvSpPr>
          <xdr:cNvPr id="143" name="Shape 59">
            <a:extLst>
              <a:ext uri="{FF2B5EF4-FFF2-40B4-BE49-F238E27FC236}">
                <a16:creationId xmlns:a16="http://schemas.microsoft.com/office/drawing/2014/main" id="{00000000-0008-0000-0D00-00008F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44" name="Shape 62">
            <a:extLst>
              <a:ext uri="{FF2B5EF4-FFF2-40B4-BE49-F238E27FC236}">
                <a16:creationId xmlns:a16="http://schemas.microsoft.com/office/drawing/2014/main" id="{00000000-0008-0000-0D00-000090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5" name="Shape 63">
            <a:extLst>
              <a:ext uri="{FF2B5EF4-FFF2-40B4-BE49-F238E27FC236}">
                <a16:creationId xmlns:a16="http://schemas.microsoft.com/office/drawing/2014/main" id="{00000000-0008-0000-0D00-000091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6" name="Shape 64">
            <a:extLst>
              <a:ext uri="{FF2B5EF4-FFF2-40B4-BE49-F238E27FC236}">
                <a16:creationId xmlns:a16="http://schemas.microsoft.com/office/drawing/2014/main" id="{00000000-0008-0000-0D00-000092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7" name="Shape 65">
            <a:extLst>
              <a:ext uri="{FF2B5EF4-FFF2-40B4-BE49-F238E27FC236}">
                <a16:creationId xmlns:a16="http://schemas.microsoft.com/office/drawing/2014/main" id="{00000000-0008-0000-0D00-000093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8" name="Shape 66">
            <a:extLst>
              <a:ext uri="{FF2B5EF4-FFF2-40B4-BE49-F238E27FC236}">
                <a16:creationId xmlns:a16="http://schemas.microsoft.com/office/drawing/2014/main" id="{00000000-0008-0000-0D00-000094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49" name="Shape 67">
            <a:extLst>
              <a:ext uri="{FF2B5EF4-FFF2-40B4-BE49-F238E27FC236}">
                <a16:creationId xmlns:a16="http://schemas.microsoft.com/office/drawing/2014/main" id="{00000000-0008-0000-0D00-000095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0" name="Shape 68">
            <a:extLst>
              <a:ext uri="{FF2B5EF4-FFF2-40B4-BE49-F238E27FC236}">
                <a16:creationId xmlns:a16="http://schemas.microsoft.com/office/drawing/2014/main" id="{00000000-0008-0000-0D00-000096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1" name="Shape 69">
            <a:extLst>
              <a:ext uri="{FF2B5EF4-FFF2-40B4-BE49-F238E27FC236}">
                <a16:creationId xmlns:a16="http://schemas.microsoft.com/office/drawing/2014/main" id="{00000000-0008-0000-0D00-000097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2" name="Shape 70">
            <a:extLst>
              <a:ext uri="{FF2B5EF4-FFF2-40B4-BE49-F238E27FC236}">
                <a16:creationId xmlns:a16="http://schemas.microsoft.com/office/drawing/2014/main" id="{00000000-0008-0000-0D00-000098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3" name="Shape 71">
            <a:extLst>
              <a:ext uri="{FF2B5EF4-FFF2-40B4-BE49-F238E27FC236}">
                <a16:creationId xmlns:a16="http://schemas.microsoft.com/office/drawing/2014/main" id="{00000000-0008-0000-0D00-000099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4" name="Shape 72">
            <a:extLst>
              <a:ext uri="{FF2B5EF4-FFF2-40B4-BE49-F238E27FC236}">
                <a16:creationId xmlns:a16="http://schemas.microsoft.com/office/drawing/2014/main" id="{00000000-0008-0000-0D00-00009A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5" name="Shape 73">
            <a:extLst>
              <a:ext uri="{FF2B5EF4-FFF2-40B4-BE49-F238E27FC236}">
                <a16:creationId xmlns:a16="http://schemas.microsoft.com/office/drawing/2014/main" id="{00000000-0008-0000-0D00-00009B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6" name="Shape 74">
            <a:extLst>
              <a:ext uri="{FF2B5EF4-FFF2-40B4-BE49-F238E27FC236}">
                <a16:creationId xmlns:a16="http://schemas.microsoft.com/office/drawing/2014/main" id="{00000000-0008-0000-0D00-00009C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7" name="Shape 75">
            <a:extLst>
              <a:ext uri="{FF2B5EF4-FFF2-40B4-BE49-F238E27FC236}">
                <a16:creationId xmlns:a16="http://schemas.microsoft.com/office/drawing/2014/main" id="{00000000-0008-0000-0D00-00009D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8" name="Shape 76">
            <a:extLst>
              <a:ext uri="{FF2B5EF4-FFF2-40B4-BE49-F238E27FC236}">
                <a16:creationId xmlns:a16="http://schemas.microsoft.com/office/drawing/2014/main" id="{00000000-0008-0000-0D00-00009E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59" name="Shape 77">
            <a:extLst>
              <a:ext uri="{FF2B5EF4-FFF2-40B4-BE49-F238E27FC236}">
                <a16:creationId xmlns:a16="http://schemas.microsoft.com/office/drawing/2014/main" id="{00000000-0008-0000-0D00-00009F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0" name="Rectangle 159">
            <a:extLst>
              <a:ext uri="{FF2B5EF4-FFF2-40B4-BE49-F238E27FC236}">
                <a16:creationId xmlns:a16="http://schemas.microsoft.com/office/drawing/2014/main" id="{00000000-0008-0000-0D00-0000A0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Effet pro oestrogénique</a:t>
            </a:r>
          </a:p>
        </xdr:txBody>
      </xdr:sp>
      <xdr:sp macro="" textlink="">
        <xdr:nvSpPr>
          <xdr:cNvPr id="161" name="ZoneTexte 55">
            <a:extLst>
              <a:ext uri="{FF2B5EF4-FFF2-40B4-BE49-F238E27FC236}">
                <a16:creationId xmlns:a16="http://schemas.microsoft.com/office/drawing/2014/main" id="{00000000-0008-0000-0D00-0000A1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sp macro="" textlink="">
        <xdr:nvSpPr>
          <xdr:cNvPr id="162" name="ZoneTexte 56">
            <a:extLst>
              <a:ext uri="{FF2B5EF4-FFF2-40B4-BE49-F238E27FC236}">
                <a16:creationId xmlns:a16="http://schemas.microsoft.com/office/drawing/2014/main" id="{00000000-0008-0000-0D00-0000A2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Evènement clé physiologique</a:t>
            </a:r>
          </a:p>
        </xdr:txBody>
      </xdr:sp>
    </xdr:grpSp>
    <xdr:clientData/>
  </xdr:twoCellAnchor>
  <xdr:twoCellAnchor editAs="absolute">
    <xdr:from>
      <xdr:col>30</xdr:col>
      <xdr:colOff>95250</xdr:colOff>
      <xdr:row>4</xdr:row>
      <xdr:rowOff>197921</xdr:rowOff>
    </xdr:from>
    <xdr:to>
      <xdr:col>43</xdr:col>
      <xdr:colOff>284512</xdr:colOff>
      <xdr:row>17</xdr:row>
      <xdr:rowOff>43528</xdr:rowOff>
    </xdr:to>
    <xdr:graphicFrame macro="">
      <xdr:nvGraphicFramePr>
        <xdr:cNvPr id="163" name="Graphique 162">
          <a:extLst>
            <a:ext uri="{FF2B5EF4-FFF2-40B4-BE49-F238E27FC236}">
              <a16:creationId xmlns:a16="http://schemas.microsoft.com/office/drawing/2014/main" id="{00000000-0008-0000-0D00-0000A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29</xdr:col>
      <xdr:colOff>530680</xdr:colOff>
      <xdr:row>33</xdr:row>
      <xdr:rowOff>40820</xdr:rowOff>
    </xdr:from>
    <xdr:to>
      <xdr:col>43</xdr:col>
      <xdr:colOff>107620</xdr:colOff>
      <xdr:row>47</xdr:row>
      <xdr:rowOff>63320</xdr:rowOff>
    </xdr:to>
    <xdr:graphicFrame macro="">
      <xdr:nvGraphicFramePr>
        <xdr:cNvPr id="164" name="Graphique 163">
          <a:extLst>
            <a:ext uri="{FF2B5EF4-FFF2-40B4-BE49-F238E27FC236}">
              <a16:creationId xmlns:a16="http://schemas.microsoft.com/office/drawing/2014/main" id="{00000000-0008-0000-0D00-0000A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30</xdr:col>
      <xdr:colOff>1</xdr:colOff>
      <xdr:row>46</xdr:row>
      <xdr:rowOff>29696</xdr:rowOff>
    </xdr:from>
    <xdr:to>
      <xdr:col>43</xdr:col>
      <xdr:colOff>52809</xdr:colOff>
      <xdr:row>51</xdr:row>
      <xdr:rowOff>106544</xdr:rowOff>
    </xdr:to>
    <xdr:grpSp>
      <xdr:nvGrpSpPr>
        <xdr:cNvPr id="165" name="Groupe 164">
          <a:extLst>
            <a:ext uri="{FF2B5EF4-FFF2-40B4-BE49-F238E27FC236}">
              <a16:creationId xmlns:a16="http://schemas.microsoft.com/office/drawing/2014/main" id="{00000000-0008-0000-0D00-0000A5000000}"/>
            </a:ext>
          </a:extLst>
        </xdr:cNvPr>
        <xdr:cNvGrpSpPr/>
      </xdr:nvGrpSpPr>
      <xdr:grpSpPr>
        <a:xfrm>
          <a:off x="28343680" y="10275875"/>
          <a:ext cx="8012986" cy="1097383"/>
          <a:chOff x="367064" y="1542965"/>
          <a:chExt cx="7932581" cy="1097383"/>
        </a:xfrm>
      </xdr:grpSpPr>
      <xdr:sp macro="" textlink="">
        <xdr:nvSpPr>
          <xdr:cNvPr id="166" name="Shape 6">
            <a:extLst>
              <a:ext uri="{FF2B5EF4-FFF2-40B4-BE49-F238E27FC236}">
                <a16:creationId xmlns:a16="http://schemas.microsoft.com/office/drawing/2014/main" id="{00000000-0008-0000-0D00-0000A6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7" name="Shape 322">
            <a:extLst>
              <a:ext uri="{FF2B5EF4-FFF2-40B4-BE49-F238E27FC236}">
                <a16:creationId xmlns:a16="http://schemas.microsoft.com/office/drawing/2014/main" id="{00000000-0008-0000-0D00-0000A7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8" name="Shape 323">
            <a:extLst>
              <a:ext uri="{FF2B5EF4-FFF2-40B4-BE49-F238E27FC236}">
                <a16:creationId xmlns:a16="http://schemas.microsoft.com/office/drawing/2014/main" id="{00000000-0008-0000-0D00-0000A8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69" name="Shape 324">
            <a:extLst>
              <a:ext uri="{FF2B5EF4-FFF2-40B4-BE49-F238E27FC236}">
                <a16:creationId xmlns:a16="http://schemas.microsoft.com/office/drawing/2014/main" id="{00000000-0008-0000-0D00-0000A9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0" name="Shape 325">
            <a:extLst>
              <a:ext uri="{FF2B5EF4-FFF2-40B4-BE49-F238E27FC236}">
                <a16:creationId xmlns:a16="http://schemas.microsoft.com/office/drawing/2014/main" id="{00000000-0008-0000-0D00-0000AA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1" name="Shape 326">
            <a:extLst>
              <a:ext uri="{FF2B5EF4-FFF2-40B4-BE49-F238E27FC236}">
                <a16:creationId xmlns:a16="http://schemas.microsoft.com/office/drawing/2014/main" id="{00000000-0008-0000-0D00-0000AB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2" name="Shape 12">
            <a:extLst>
              <a:ext uri="{FF2B5EF4-FFF2-40B4-BE49-F238E27FC236}">
                <a16:creationId xmlns:a16="http://schemas.microsoft.com/office/drawing/2014/main" id="{00000000-0008-0000-0D00-0000AC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3" name="Shape 327">
            <a:extLst>
              <a:ext uri="{FF2B5EF4-FFF2-40B4-BE49-F238E27FC236}">
                <a16:creationId xmlns:a16="http://schemas.microsoft.com/office/drawing/2014/main" id="{00000000-0008-0000-0D00-0000AD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4" name="Shape 328">
            <a:extLst>
              <a:ext uri="{FF2B5EF4-FFF2-40B4-BE49-F238E27FC236}">
                <a16:creationId xmlns:a16="http://schemas.microsoft.com/office/drawing/2014/main" id="{00000000-0008-0000-0D00-0000AE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5" name="Shape 329">
            <a:extLst>
              <a:ext uri="{FF2B5EF4-FFF2-40B4-BE49-F238E27FC236}">
                <a16:creationId xmlns:a16="http://schemas.microsoft.com/office/drawing/2014/main" id="{00000000-0008-0000-0D00-0000AF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6" name="Shape 330">
            <a:extLst>
              <a:ext uri="{FF2B5EF4-FFF2-40B4-BE49-F238E27FC236}">
                <a16:creationId xmlns:a16="http://schemas.microsoft.com/office/drawing/2014/main" id="{00000000-0008-0000-0D00-0000B0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7" name="Shape 331">
            <a:extLst>
              <a:ext uri="{FF2B5EF4-FFF2-40B4-BE49-F238E27FC236}">
                <a16:creationId xmlns:a16="http://schemas.microsoft.com/office/drawing/2014/main" id="{00000000-0008-0000-0D00-0000B1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78" name="Shape 332">
            <a:extLst>
              <a:ext uri="{FF2B5EF4-FFF2-40B4-BE49-F238E27FC236}">
                <a16:creationId xmlns:a16="http://schemas.microsoft.com/office/drawing/2014/main" id="{00000000-0008-0000-0D00-0000B2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179" name="Picture 308">
            <a:extLst>
              <a:ext uri="{FF2B5EF4-FFF2-40B4-BE49-F238E27FC236}">
                <a16:creationId xmlns:a16="http://schemas.microsoft.com/office/drawing/2014/main" id="{00000000-0008-0000-0D00-0000B3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180" name="Shape 20">
            <a:extLst>
              <a:ext uri="{FF2B5EF4-FFF2-40B4-BE49-F238E27FC236}">
                <a16:creationId xmlns:a16="http://schemas.microsoft.com/office/drawing/2014/main" id="{00000000-0008-0000-0D00-0000B4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1" name="Shape 333">
            <a:extLst>
              <a:ext uri="{FF2B5EF4-FFF2-40B4-BE49-F238E27FC236}">
                <a16:creationId xmlns:a16="http://schemas.microsoft.com/office/drawing/2014/main" id="{00000000-0008-0000-0D00-0000B5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2" name="Rectangle 181">
            <a:extLst>
              <a:ext uri="{FF2B5EF4-FFF2-40B4-BE49-F238E27FC236}">
                <a16:creationId xmlns:a16="http://schemas.microsoft.com/office/drawing/2014/main" id="{00000000-0008-0000-0D00-0000B6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183" name="Rectangle 182">
            <a:extLst>
              <a:ext uri="{FF2B5EF4-FFF2-40B4-BE49-F238E27FC236}">
                <a16:creationId xmlns:a16="http://schemas.microsoft.com/office/drawing/2014/main" id="{00000000-0008-0000-0D00-0000B7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4" name="Picture 309">
            <a:extLst>
              <a:ext uri="{FF2B5EF4-FFF2-40B4-BE49-F238E27FC236}">
                <a16:creationId xmlns:a16="http://schemas.microsoft.com/office/drawing/2014/main" id="{00000000-0008-0000-0D00-0000B8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185" name="Shape 334">
            <a:extLst>
              <a:ext uri="{FF2B5EF4-FFF2-40B4-BE49-F238E27FC236}">
                <a16:creationId xmlns:a16="http://schemas.microsoft.com/office/drawing/2014/main" id="{00000000-0008-0000-0D00-0000B9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6" name="Rectangle 185">
            <a:extLst>
              <a:ext uri="{FF2B5EF4-FFF2-40B4-BE49-F238E27FC236}">
                <a16:creationId xmlns:a16="http://schemas.microsoft.com/office/drawing/2014/main" id="{00000000-0008-0000-0D00-0000BA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87" name="Picture 311">
            <a:extLst>
              <a:ext uri="{FF2B5EF4-FFF2-40B4-BE49-F238E27FC236}">
                <a16:creationId xmlns:a16="http://schemas.microsoft.com/office/drawing/2014/main" id="{00000000-0008-0000-0D00-0000BB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188" name="Shape 30">
            <a:extLst>
              <a:ext uri="{FF2B5EF4-FFF2-40B4-BE49-F238E27FC236}">
                <a16:creationId xmlns:a16="http://schemas.microsoft.com/office/drawing/2014/main" id="{00000000-0008-0000-0D00-0000BC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89" name="Shape 335">
            <a:extLst>
              <a:ext uri="{FF2B5EF4-FFF2-40B4-BE49-F238E27FC236}">
                <a16:creationId xmlns:a16="http://schemas.microsoft.com/office/drawing/2014/main" id="{00000000-0008-0000-0D00-0000BD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0" name="Rectangle 189">
            <a:extLst>
              <a:ext uri="{FF2B5EF4-FFF2-40B4-BE49-F238E27FC236}">
                <a16:creationId xmlns:a16="http://schemas.microsoft.com/office/drawing/2014/main" id="{00000000-0008-0000-0D00-0000BE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191" name="Picture 310">
            <a:extLst>
              <a:ext uri="{FF2B5EF4-FFF2-40B4-BE49-F238E27FC236}">
                <a16:creationId xmlns:a16="http://schemas.microsoft.com/office/drawing/2014/main" id="{00000000-0008-0000-0D00-0000BF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192" name="Shape 336">
            <a:extLst>
              <a:ext uri="{FF2B5EF4-FFF2-40B4-BE49-F238E27FC236}">
                <a16:creationId xmlns:a16="http://schemas.microsoft.com/office/drawing/2014/main" id="{00000000-0008-0000-0D00-0000C0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3" name="Rectangle 192">
            <a:extLst>
              <a:ext uri="{FF2B5EF4-FFF2-40B4-BE49-F238E27FC236}">
                <a16:creationId xmlns:a16="http://schemas.microsoft.com/office/drawing/2014/main" id="{00000000-0008-0000-0D00-0000C1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194" name="Picture 312">
            <a:extLst>
              <a:ext uri="{FF2B5EF4-FFF2-40B4-BE49-F238E27FC236}">
                <a16:creationId xmlns:a16="http://schemas.microsoft.com/office/drawing/2014/main" id="{00000000-0008-0000-0D00-0000C2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195" name="Shape 337">
            <a:extLst>
              <a:ext uri="{FF2B5EF4-FFF2-40B4-BE49-F238E27FC236}">
                <a16:creationId xmlns:a16="http://schemas.microsoft.com/office/drawing/2014/main" id="{00000000-0008-0000-0D00-0000C3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196" name="Rectangle 195">
            <a:extLst>
              <a:ext uri="{FF2B5EF4-FFF2-40B4-BE49-F238E27FC236}">
                <a16:creationId xmlns:a16="http://schemas.microsoft.com/office/drawing/2014/main" id="{00000000-0008-0000-0D00-0000C4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197" name="Rectangle 196">
            <a:extLst>
              <a:ext uri="{FF2B5EF4-FFF2-40B4-BE49-F238E27FC236}">
                <a16:creationId xmlns:a16="http://schemas.microsoft.com/office/drawing/2014/main" id="{00000000-0008-0000-0D00-0000C5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198" name="Shape 59">
            <a:extLst>
              <a:ext uri="{FF2B5EF4-FFF2-40B4-BE49-F238E27FC236}">
                <a16:creationId xmlns:a16="http://schemas.microsoft.com/office/drawing/2014/main" id="{00000000-0008-0000-0D00-0000C6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199" name="Shape 62">
            <a:extLst>
              <a:ext uri="{FF2B5EF4-FFF2-40B4-BE49-F238E27FC236}">
                <a16:creationId xmlns:a16="http://schemas.microsoft.com/office/drawing/2014/main" id="{00000000-0008-0000-0D00-0000C7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0" name="Shape 63">
            <a:extLst>
              <a:ext uri="{FF2B5EF4-FFF2-40B4-BE49-F238E27FC236}">
                <a16:creationId xmlns:a16="http://schemas.microsoft.com/office/drawing/2014/main" id="{00000000-0008-0000-0D00-0000C8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1" name="Shape 64">
            <a:extLst>
              <a:ext uri="{FF2B5EF4-FFF2-40B4-BE49-F238E27FC236}">
                <a16:creationId xmlns:a16="http://schemas.microsoft.com/office/drawing/2014/main" id="{00000000-0008-0000-0D00-0000C9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2" name="Shape 65">
            <a:extLst>
              <a:ext uri="{FF2B5EF4-FFF2-40B4-BE49-F238E27FC236}">
                <a16:creationId xmlns:a16="http://schemas.microsoft.com/office/drawing/2014/main" id="{00000000-0008-0000-0D00-0000CA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3" name="Shape 66">
            <a:extLst>
              <a:ext uri="{FF2B5EF4-FFF2-40B4-BE49-F238E27FC236}">
                <a16:creationId xmlns:a16="http://schemas.microsoft.com/office/drawing/2014/main" id="{00000000-0008-0000-0D00-0000CB00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4" name="Shape 67">
            <a:extLst>
              <a:ext uri="{FF2B5EF4-FFF2-40B4-BE49-F238E27FC236}">
                <a16:creationId xmlns:a16="http://schemas.microsoft.com/office/drawing/2014/main" id="{00000000-0008-0000-0D00-0000CC00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5" name="Shape 68">
            <a:extLst>
              <a:ext uri="{FF2B5EF4-FFF2-40B4-BE49-F238E27FC236}">
                <a16:creationId xmlns:a16="http://schemas.microsoft.com/office/drawing/2014/main" id="{00000000-0008-0000-0D00-0000CD00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6" name="Shape 69">
            <a:extLst>
              <a:ext uri="{FF2B5EF4-FFF2-40B4-BE49-F238E27FC236}">
                <a16:creationId xmlns:a16="http://schemas.microsoft.com/office/drawing/2014/main" id="{00000000-0008-0000-0D00-0000CE00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7" name="Shape 70">
            <a:extLst>
              <a:ext uri="{FF2B5EF4-FFF2-40B4-BE49-F238E27FC236}">
                <a16:creationId xmlns:a16="http://schemas.microsoft.com/office/drawing/2014/main" id="{00000000-0008-0000-0D00-0000CF00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8" name="Shape 71">
            <a:extLst>
              <a:ext uri="{FF2B5EF4-FFF2-40B4-BE49-F238E27FC236}">
                <a16:creationId xmlns:a16="http://schemas.microsoft.com/office/drawing/2014/main" id="{00000000-0008-0000-0D00-0000D000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09" name="Shape 72">
            <a:extLst>
              <a:ext uri="{FF2B5EF4-FFF2-40B4-BE49-F238E27FC236}">
                <a16:creationId xmlns:a16="http://schemas.microsoft.com/office/drawing/2014/main" id="{00000000-0008-0000-0D00-0000D100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0" name="Shape 73">
            <a:extLst>
              <a:ext uri="{FF2B5EF4-FFF2-40B4-BE49-F238E27FC236}">
                <a16:creationId xmlns:a16="http://schemas.microsoft.com/office/drawing/2014/main" id="{00000000-0008-0000-0D00-0000D200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1" name="Shape 74">
            <a:extLst>
              <a:ext uri="{FF2B5EF4-FFF2-40B4-BE49-F238E27FC236}">
                <a16:creationId xmlns:a16="http://schemas.microsoft.com/office/drawing/2014/main" id="{00000000-0008-0000-0D00-0000D300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2" name="Shape 75">
            <a:extLst>
              <a:ext uri="{FF2B5EF4-FFF2-40B4-BE49-F238E27FC236}">
                <a16:creationId xmlns:a16="http://schemas.microsoft.com/office/drawing/2014/main" id="{00000000-0008-0000-0D00-0000D400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3" name="Shape 76">
            <a:extLst>
              <a:ext uri="{FF2B5EF4-FFF2-40B4-BE49-F238E27FC236}">
                <a16:creationId xmlns:a16="http://schemas.microsoft.com/office/drawing/2014/main" id="{00000000-0008-0000-0D00-0000D500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4" name="Shape 77">
            <a:extLst>
              <a:ext uri="{FF2B5EF4-FFF2-40B4-BE49-F238E27FC236}">
                <a16:creationId xmlns:a16="http://schemas.microsoft.com/office/drawing/2014/main" id="{00000000-0008-0000-0D00-0000D600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15" name="Rectangle 214">
            <a:extLst>
              <a:ext uri="{FF2B5EF4-FFF2-40B4-BE49-F238E27FC236}">
                <a16:creationId xmlns:a16="http://schemas.microsoft.com/office/drawing/2014/main" id="{00000000-0008-0000-0D00-0000D700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16" name="ZoneTexte 55">
            <a:extLst>
              <a:ext uri="{FF2B5EF4-FFF2-40B4-BE49-F238E27FC236}">
                <a16:creationId xmlns:a16="http://schemas.microsoft.com/office/drawing/2014/main" id="{00000000-0008-0000-0D00-0000D800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17" name="ZoneTexte 56">
            <a:extLst>
              <a:ext uri="{FF2B5EF4-FFF2-40B4-BE49-F238E27FC236}">
                <a16:creationId xmlns:a16="http://schemas.microsoft.com/office/drawing/2014/main" id="{00000000-0008-0000-0D00-0000D900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twoCellAnchor editAs="absolute">
    <xdr:from>
      <xdr:col>30</xdr:col>
      <xdr:colOff>163477</xdr:colOff>
      <xdr:row>15</xdr:row>
      <xdr:rowOff>189512</xdr:rowOff>
    </xdr:from>
    <xdr:to>
      <xdr:col>43</xdr:col>
      <xdr:colOff>216285</xdr:colOff>
      <xdr:row>21</xdr:row>
      <xdr:rowOff>62252</xdr:rowOff>
    </xdr:to>
    <xdr:grpSp>
      <xdr:nvGrpSpPr>
        <xdr:cNvPr id="218" name="Groupe 217">
          <a:extLst>
            <a:ext uri="{FF2B5EF4-FFF2-40B4-BE49-F238E27FC236}">
              <a16:creationId xmlns:a16="http://schemas.microsoft.com/office/drawing/2014/main" id="{00000000-0008-0000-0D00-0000DA000000}"/>
            </a:ext>
          </a:extLst>
        </xdr:cNvPr>
        <xdr:cNvGrpSpPr/>
      </xdr:nvGrpSpPr>
      <xdr:grpSpPr>
        <a:xfrm>
          <a:off x="28507156" y="3904262"/>
          <a:ext cx="8012986" cy="1097383"/>
          <a:chOff x="367064" y="1542965"/>
          <a:chExt cx="7932581" cy="1097383"/>
        </a:xfrm>
      </xdr:grpSpPr>
      <xdr:sp macro="" textlink="">
        <xdr:nvSpPr>
          <xdr:cNvPr id="219" name="Shape 6">
            <a:extLst>
              <a:ext uri="{FF2B5EF4-FFF2-40B4-BE49-F238E27FC236}">
                <a16:creationId xmlns:a16="http://schemas.microsoft.com/office/drawing/2014/main" id="{00000000-0008-0000-0D00-0000DB000000}"/>
              </a:ext>
            </a:extLst>
          </xdr:cNvPr>
          <xdr:cNvSpPr/>
        </xdr:nvSpPr>
        <xdr:spPr>
          <a:xfrm>
            <a:off x="435015" y="2113493"/>
            <a:ext cx="730603" cy="180817"/>
          </a:xfrm>
          <a:custGeom>
            <a:avLst/>
            <a:gdLst/>
            <a:ahLst/>
            <a:cxnLst/>
            <a:rect l="0" t="0" r="0" b="0"/>
            <a:pathLst>
              <a:path w="560337" h="178664">
                <a:moveTo>
                  <a:pt x="114402" y="0"/>
                </a:moveTo>
                <a:lnTo>
                  <a:pt x="560337" y="0"/>
                </a:lnTo>
                <a:lnTo>
                  <a:pt x="560337" y="178664"/>
                </a:lnTo>
                <a:lnTo>
                  <a:pt x="114402" y="178664"/>
                </a:lnTo>
                <a:lnTo>
                  <a:pt x="0" y="89332"/>
                </a:lnTo>
                <a:lnTo>
                  <a:pt x="114402"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0" name="Shape 322">
            <a:extLst>
              <a:ext uri="{FF2B5EF4-FFF2-40B4-BE49-F238E27FC236}">
                <a16:creationId xmlns:a16="http://schemas.microsoft.com/office/drawing/2014/main" id="{00000000-0008-0000-0D00-0000DC000000}"/>
              </a:ext>
            </a:extLst>
          </xdr:cNvPr>
          <xdr:cNvSpPr/>
        </xdr:nvSpPr>
        <xdr:spPr>
          <a:xfrm>
            <a:off x="1157583"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1" name="Shape 323">
            <a:extLst>
              <a:ext uri="{FF2B5EF4-FFF2-40B4-BE49-F238E27FC236}">
                <a16:creationId xmlns:a16="http://schemas.microsoft.com/office/drawing/2014/main" id="{00000000-0008-0000-0D00-0000DD000000}"/>
              </a:ext>
            </a:extLst>
          </xdr:cNvPr>
          <xdr:cNvSpPr/>
        </xdr:nvSpPr>
        <xdr:spPr>
          <a:xfrm>
            <a:off x="1740131" y="2113911"/>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2" name="Shape 324">
            <a:extLst>
              <a:ext uri="{FF2B5EF4-FFF2-40B4-BE49-F238E27FC236}">
                <a16:creationId xmlns:a16="http://schemas.microsoft.com/office/drawing/2014/main" id="{00000000-0008-0000-0D00-0000DE000000}"/>
              </a:ext>
            </a:extLst>
          </xdr:cNvPr>
          <xdr:cNvSpPr/>
        </xdr:nvSpPr>
        <xdr:spPr>
          <a:xfrm>
            <a:off x="229553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3" name="Shape 325">
            <a:extLst>
              <a:ext uri="{FF2B5EF4-FFF2-40B4-BE49-F238E27FC236}">
                <a16:creationId xmlns:a16="http://schemas.microsoft.com/office/drawing/2014/main" id="{00000000-0008-0000-0D00-0000DF000000}"/>
              </a:ext>
            </a:extLst>
          </xdr:cNvPr>
          <xdr:cNvSpPr/>
        </xdr:nvSpPr>
        <xdr:spPr>
          <a:xfrm>
            <a:off x="2878082"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4" name="Shape 326">
            <a:extLst>
              <a:ext uri="{FF2B5EF4-FFF2-40B4-BE49-F238E27FC236}">
                <a16:creationId xmlns:a16="http://schemas.microsoft.com/office/drawing/2014/main" id="{00000000-0008-0000-0D00-0000E0000000}"/>
              </a:ext>
            </a:extLst>
          </xdr:cNvPr>
          <xdr:cNvSpPr/>
        </xdr:nvSpPr>
        <xdr:spPr>
          <a:xfrm>
            <a:off x="34606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5" name="Shape 12">
            <a:extLst>
              <a:ext uri="{FF2B5EF4-FFF2-40B4-BE49-F238E27FC236}">
                <a16:creationId xmlns:a16="http://schemas.microsoft.com/office/drawing/2014/main" id="{00000000-0008-0000-0D00-0000E1000000}"/>
              </a:ext>
            </a:extLst>
          </xdr:cNvPr>
          <xdr:cNvSpPr/>
        </xdr:nvSpPr>
        <xdr:spPr>
          <a:xfrm>
            <a:off x="7514306" y="2112013"/>
            <a:ext cx="730603" cy="180817"/>
          </a:xfrm>
          <a:custGeom>
            <a:avLst/>
            <a:gdLst/>
            <a:ahLst/>
            <a:cxnLst/>
            <a:rect l="0" t="0" r="0" b="0"/>
            <a:pathLst>
              <a:path w="560337" h="178664">
                <a:moveTo>
                  <a:pt x="0" y="0"/>
                </a:moveTo>
                <a:lnTo>
                  <a:pt x="445935" y="0"/>
                </a:lnTo>
                <a:lnTo>
                  <a:pt x="560337" y="89332"/>
                </a:lnTo>
                <a:lnTo>
                  <a:pt x="445935" y="178664"/>
                </a:lnTo>
                <a:lnTo>
                  <a:pt x="0" y="178664"/>
                </a:lnTo>
                <a:lnTo>
                  <a:pt x="0" y="0"/>
                </a:lnTo>
                <a:close/>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6" name="Shape 327">
            <a:extLst>
              <a:ext uri="{FF2B5EF4-FFF2-40B4-BE49-F238E27FC236}">
                <a16:creationId xmlns:a16="http://schemas.microsoft.com/office/drawing/2014/main" id="{00000000-0008-0000-0D00-0000E2000000}"/>
              </a:ext>
            </a:extLst>
          </xdr:cNvPr>
          <xdr:cNvSpPr/>
        </xdr:nvSpPr>
        <xdr:spPr>
          <a:xfrm>
            <a:off x="6930047"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7" name="Shape 328">
            <a:extLst>
              <a:ext uri="{FF2B5EF4-FFF2-40B4-BE49-F238E27FC236}">
                <a16:creationId xmlns:a16="http://schemas.microsoft.com/office/drawing/2014/main" id="{00000000-0008-0000-0D00-0000E3000000}"/>
              </a:ext>
            </a:extLst>
          </xdr:cNvPr>
          <xdr:cNvSpPr/>
        </xdr:nvSpPr>
        <xdr:spPr>
          <a:xfrm>
            <a:off x="6364674"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8" name="Shape 329">
            <a:extLst>
              <a:ext uri="{FF2B5EF4-FFF2-40B4-BE49-F238E27FC236}">
                <a16:creationId xmlns:a16="http://schemas.microsoft.com/office/drawing/2014/main" id="{00000000-0008-0000-0D00-0000E4000000}"/>
              </a:ext>
            </a:extLst>
          </xdr:cNvPr>
          <xdr:cNvSpPr/>
        </xdr:nvSpPr>
        <xdr:spPr>
          <a:xfrm>
            <a:off x="5781746"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FADD39"/>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29" name="Shape 330">
            <a:extLst>
              <a:ext uri="{FF2B5EF4-FFF2-40B4-BE49-F238E27FC236}">
                <a16:creationId xmlns:a16="http://schemas.microsoft.com/office/drawing/2014/main" id="{00000000-0008-0000-0D00-0000E5000000}"/>
              </a:ext>
            </a:extLst>
          </xdr:cNvPr>
          <xdr:cNvSpPr/>
        </xdr:nvSpPr>
        <xdr:spPr>
          <a:xfrm>
            <a:off x="5207181"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0" name="Shape 331">
            <a:extLst>
              <a:ext uri="{FF2B5EF4-FFF2-40B4-BE49-F238E27FC236}">
                <a16:creationId xmlns:a16="http://schemas.microsoft.com/office/drawing/2014/main" id="{00000000-0008-0000-0D00-0000E6000000}"/>
              </a:ext>
            </a:extLst>
          </xdr:cNvPr>
          <xdr:cNvSpPr/>
        </xdr:nvSpPr>
        <xdr:spPr>
          <a:xfrm>
            <a:off x="4624633"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A2CC4A"/>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1" name="Shape 332">
            <a:extLst>
              <a:ext uri="{FF2B5EF4-FFF2-40B4-BE49-F238E27FC236}">
                <a16:creationId xmlns:a16="http://schemas.microsoft.com/office/drawing/2014/main" id="{00000000-0008-0000-0D00-0000E7000000}"/>
              </a:ext>
            </a:extLst>
          </xdr:cNvPr>
          <xdr:cNvSpPr/>
        </xdr:nvSpPr>
        <xdr:spPr>
          <a:xfrm>
            <a:off x="4043195" y="2113912"/>
            <a:ext cx="581438" cy="180817"/>
          </a:xfrm>
          <a:custGeom>
            <a:avLst/>
            <a:gdLst/>
            <a:ahLst/>
            <a:cxnLst/>
            <a:rect l="0" t="0" r="0" b="0"/>
            <a:pathLst>
              <a:path w="445935" h="178664">
                <a:moveTo>
                  <a:pt x="0" y="0"/>
                </a:moveTo>
                <a:lnTo>
                  <a:pt x="445935" y="0"/>
                </a:lnTo>
                <a:lnTo>
                  <a:pt x="445935" y="178664"/>
                </a:lnTo>
                <a:lnTo>
                  <a:pt x="0" y="178664"/>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pic>
        <xdr:nvPicPr>
          <xdr:cNvPr id="232" name="Picture 308">
            <a:extLst>
              <a:ext uri="{FF2B5EF4-FFF2-40B4-BE49-F238E27FC236}">
                <a16:creationId xmlns:a16="http://schemas.microsoft.com/office/drawing/2014/main" id="{00000000-0008-0000-0D00-0000E8000000}"/>
              </a:ext>
            </a:extLst>
          </xdr:cNvPr>
          <xdr:cNvPicPr/>
        </xdr:nvPicPr>
        <xdr:blipFill>
          <a:blip xmlns:r="http://schemas.openxmlformats.org/officeDocument/2006/relationships" r:embed="rId3"/>
          <a:stretch>
            <a:fillRect/>
          </a:stretch>
        </xdr:blipFill>
        <xdr:spPr>
          <a:xfrm>
            <a:off x="4245514" y="1729311"/>
            <a:ext cx="162941" cy="567590"/>
          </a:xfrm>
          <a:prstGeom prst="rect">
            <a:avLst/>
          </a:prstGeom>
        </xdr:spPr>
      </xdr:pic>
      <xdr:sp macro="" textlink="">
        <xdr:nvSpPr>
          <xdr:cNvPr id="233" name="Shape 20">
            <a:extLst>
              <a:ext uri="{FF2B5EF4-FFF2-40B4-BE49-F238E27FC236}">
                <a16:creationId xmlns:a16="http://schemas.microsoft.com/office/drawing/2014/main" id="{00000000-0008-0000-0D00-0000E9000000}"/>
              </a:ext>
            </a:extLst>
          </xdr:cNvPr>
          <xdr:cNvSpPr/>
        </xdr:nvSpPr>
        <xdr:spPr>
          <a:xfrm>
            <a:off x="4253445"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4" name="Shape 333">
            <a:extLst>
              <a:ext uri="{FF2B5EF4-FFF2-40B4-BE49-F238E27FC236}">
                <a16:creationId xmlns:a16="http://schemas.microsoft.com/office/drawing/2014/main" id="{00000000-0008-0000-0D00-0000EA000000}"/>
              </a:ext>
            </a:extLst>
          </xdr:cNvPr>
          <xdr:cNvSpPr/>
        </xdr:nvSpPr>
        <xdr:spPr>
          <a:xfrm>
            <a:off x="4267123"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76C453"/>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5" name="Rectangle 234">
            <a:extLst>
              <a:ext uri="{FF2B5EF4-FFF2-40B4-BE49-F238E27FC236}">
                <a16:creationId xmlns:a16="http://schemas.microsoft.com/office/drawing/2014/main" id="{00000000-0008-0000-0D00-0000EB000000}"/>
              </a:ext>
            </a:extLst>
          </xdr:cNvPr>
          <xdr:cNvSpPr/>
        </xdr:nvSpPr>
        <xdr:spPr>
          <a:xfrm>
            <a:off x="4220933" y="1549342"/>
            <a:ext cx="25371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0 </a:t>
            </a:r>
            <a:r>
              <a:rPr lang="fr-FR" sz="1100">
                <a:solidFill>
                  <a:srgbClr val="76C453"/>
                </a:solidFill>
                <a:latin typeface="Calibri Light" panose="020F0302020204030204" pitchFamily="34" charset="0"/>
                <a:ea typeface="Lato" panose="020F0502020204030203" pitchFamily="34" charset="0"/>
                <a:cs typeface="Lato" panose="020F0502020204030203" pitchFamily="34" charset="0"/>
              </a:rPr>
              <a:t>%</a:t>
            </a:r>
          </a:p>
        </xdr:txBody>
      </xdr:sp>
      <xdr:sp macro="" textlink="">
        <xdr:nvSpPr>
          <xdr:cNvPr id="236" name="Rectangle 235">
            <a:extLst>
              <a:ext uri="{FF2B5EF4-FFF2-40B4-BE49-F238E27FC236}">
                <a16:creationId xmlns:a16="http://schemas.microsoft.com/office/drawing/2014/main" id="{00000000-0008-0000-0D00-0000EC000000}"/>
              </a:ext>
            </a:extLst>
          </xdr:cNvPr>
          <xdr:cNvSpPr/>
        </xdr:nvSpPr>
        <xdr:spPr>
          <a:xfrm>
            <a:off x="4295745" y="1546865"/>
            <a:ext cx="260251"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nSpc>
                <a:spcPct val="107000"/>
              </a:lnSpc>
              <a:spcAft>
                <a:spcPts val="800"/>
              </a:spcAft>
            </a:pPr>
            <a:r>
              <a:rPr lang="fr-FR" sz="1250">
                <a:solidFill>
                  <a:srgbClr val="76C453"/>
                </a:solidFill>
                <a:effectLst/>
                <a:latin typeface="Calibri Light" panose="020F0302020204030204" pitchFamily="34" charset="0"/>
                <a:ea typeface="Lato" panose="020F0502020204030203" pitchFamily="34" charset="0"/>
                <a:cs typeface="Lato" panose="020F0502020204030203" pitchFamily="34" charset="0"/>
              </a:rPr>
              <a:t> </a:t>
            </a:r>
            <a:endParaRPr lang="fr-FR" sz="1100">
              <a:solidFill>
                <a:srgbClr val="0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37" name="Picture 309">
            <a:extLst>
              <a:ext uri="{FF2B5EF4-FFF2-40B4-BE49-F238E27FC236}">
                <a16:creationId xmlns:a16="http://schemas.microsoft.com/office/drawing/2014/main" id="{00000000-0008-0000-0D00-0000ED000000}"/>
              </a:ext>
            </a:extLst>
          </xdr:cNvPr>
          <xdr:cNvPicPr/>
        </xdr:nvPicPr>
        <xdr:blipFill>
          <a:blip xmlns:r="http://schemas.openxmlformats.org/officeDocument/2006/relationships" r:embed="rId3"/>
          <a:stretch>
            <a:fillRect/>
          </a:stretch>
        </xdr:blipFill>
        <xdr:spPr>
          <a:xfrm>
            <a:off x="1648724" y="1729310"/>
            <a:ext cx="162941" cy="567590"/>
          </a:xfrm>
          <a:prstGeom prst="rect">
            <a:avLst/>
          </a:prstGeom>
        </xdr:spPr>
      </xdr:pic>
      <xdr:sp macro="" textlink="">
        <xdr:nvSpPr>
          <xdr:cNvPr id="238" name="Shape 334">
            <a:extLst>
              <a:ext uri="{FF2B5EF4-FFF2-40B4-BE49-F238E27FC236}">
                <a16:creationId xmlns:a16="http://schemas.microsoft.com/office/drawing/2014/main" id="{00000000-0008-0000-0D00-0000EE000000}"/>
              </a:ext>
            </a:extLst>
          </xdr:cNvPr>
          <xdr:cNvSpPr/>
        </xdr:nvSpPr>
        <xdr:spPr>
          <a:xfrm>
            <a:off x="1670333" y="1758637"/>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39" name="Rectangle 238">
            <a:extLst>
              <a:ext uri="{FF2B5EF4-FFF2-40B4-BE49-F238E27FC236}">
                <a16:creationId xmlns:a16="http://schemas.microsoft.com/office/drawing/2014/main" id="{00000000-0008-0000-0D00-0000EF000000}"/>
              </a:ext>
            </a:extLst>
          </xdr:cNvPr>
          <xdr:cNvSpPr/>
        </xdr:nvSpPr>
        <xdr:spPr>
          <a:xfrm>
            <a:off x="1541716" y="1549341"/>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0" name="Picture 311">
            <a:extLst>
              <a:ext uri="{FF2B5EF4-FFF2-40B4-BE49-F238E27FC236}">
                <a16:creationId xmlns:a16="http://schemas.microsoft.com/office/drawing/2014/main" id="{00000000-0008-0000-0D00-0000F0000000}"/>
              </a:ext>
            </a:extLst>
          </xdr:cNvPr>
          <xdr:cNvPicPr/>
        </xdr:nvPicPr>
        <xdr:blipFill>
          <a:blip xmlns:r="http://schemas.openxmlformats.org/officeDocument/2006/relationships" r:embed="rId4"/>
          <a:stretch>
            <a:fillRect/>
          </a:stretch>
        </xdr:blipFill>
        <xdr:spPr>
          <a:xfrm>
            <a:off x="6856939" y="1729311"/>
            <a:ext cx="166915" cy="567590"/>
          </a:xfrm>
          <a:prstGeom prst="rect">
            <a:avLst/>
          </a:prstGeom>
        </xdr:spPr>
      </xdr:pic>
      <xdr:sp macro="" textlink="">
        <xdr:nvSpPr>
          <xdr:cNvPr id="241" name="Shape 30">
            <a:extLst>
              <a:ext uri="{FF2B5EF4-FFF2-40B4-BE49-F238E27FC236}">
                <a16:creationId xmlns:a16="http://schemas.microsoft.com/office/drawing/2014/main" id="{00000000-0008-0000-0D00-0000F1000000}"/>
              </a:ext>
            </a:extLst>
          </xdr:cNvPr>
          <xdr:cNvSpPr/>
        </xdr:nvSpPr>
        <xdr:spPr>
          <a:xfrm>
            <a:off x="7536628" y="1735390"/>
            <a:ext cx="155274" cy="559339"/>
          </a:xfrm>
          <a:custGeom>
            <a:avLst/>
            <a:gdLst/>
            <a:ahLst/>
            <a:cxnLst/>
            <a:rect l="0" t="0" r="0" b="0"/>
            <a:pathLst>
              <a:path w="119088" h="552679">
                <a:moveTo>
                  <a:pt x="0" y="552679"/>
                </a:moveTo>
                <a:lnTo>
                  <a:pt x="119088" y="552679"/>
                </a:lnTo>
                <a:lnTo>
                  <a:pt x="119088" y="0"/>
                </a:lnTo>
                <a:lnTo>
                  <a:pt x="0" y="0"/>
                </a:lnTo>
                <a:close/>
              </a:path>
            </a:pathLst>
          </a:custGeom>
          <a:ln w="3175" cap="flat">
            <a:miter lim="127000"/>
          </a:ln>
        </xdr:spPr>
        <xdr:style>
          <a:lnRef idx="1">
            <a:srgbClr val="000000">
              <a:alpha val="0"/>
            </a:srgbClr>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2" name="Shape 335">
            <a:extLst>
              <a:ext uri="{FF2B5EF4-FFF2-40B4-BE49-F238E27FC236}">
                <a16:creationId xmlns:a16="http://schemas.microsoft.com/office/drawing/2014/main" id="{00000000-0008-0000-0D00-0000F2000000}"/>
              </a:ext>
            </a:extLst>
          </xdr:cNvPr>
          <xdr:cNvSpPr/>
        </xdr:nvSpPr>
        <xdr:spPr>
          <a:xfrm>
            <a:off x="6880535"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DD453C"/>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3" name="Rectangle 242">
            <a:extLst>
              <a:ext uri="{FF2B5EF4-FFF2-40B4-BE49-F238E27FC236}">
                <a16:creationId xmlns:a16="http://schemas.microsoft.com/office/drawing/2014/main" id="{00000000-0008-0000-0D00-0000F3000000}"/>
              </a:ext>
            </a:extLst>
          </xdr:cNvPr>
          <xdr:cNvSpPr/>
        </xdr:nvSpPr>
        <xdr:spPr>
          <a:xfrm>
            <a:off x="6744631" y="1549342"/>
            <a:ext cx="471705" cy="214210"/>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00000"/>
                </a:solidFill>
                <a:effectLst/>
                <a:latin typeface="Calibri Light" panose="020F0302020204030204" pitchFamily="34" charset="0"/>
                <a:ea typeface="Lato" panose="020F0502020204030203" pitchFamily="34" charset="0"/>
                <a:cs typeface="Lato" panose="020F0502020204030203" pitchFamily="34" charset="0"/>
              </a:rPr>
              <a:t>100 %</a:t>
            </a:r>
            <a:endParaRPr lang="fr-FR" sz="1100">
              <a:solidFill>
                <a:srgbClr val="C00000"/>
              </a:solidFill>
              <a:effectLst/>
              <a:latin typeface="Calibri Light" panose="020F0302020204030204" pitchFamily="34" charset="0"/>
              <a:ea typeface="Calibri" panose="020F0502020204030204" pitchFamily="34" charset="0"/>
              <a:cs typeface="Calibri" panose="020F0502020204030204" pitchFamily="34" charset="0"/>
            </a:endParaRPr>
          </a:p>
        </xdr:txBody>
      </xdr:sp>
      <xdr:pic>
        <xdr:nvPicPr>
          <xdr:cNvPr id="244" name="Picture 310">
            <a:extLst>
              <a:ext uri="{FF2B5EF4-FFF2-40B4-BE49-F238E27FC236}">
                <a16:creationId xmlns:a16="http://schemas.microsoft.com/office/drawing/2014/main" id="{00000000-0008-0000-0D00-0000F4000000}"/>
              </a:ext>
            </a:extLst>
          </xdr:cNvPr>
          <xdr:cNvPicPr/>
        </xdr:nvPicPr>
        <xdr:blipFill>
          <a:blip xmlns:r="http://schemas.openxmlformats.org/officeDocument/2006/relationships" r:embed="rId5"/>
          <a:stretch>
            <a:fillRect/>
          </a:stretch>
        </xdr:blipFill>
        <xdr:spPr>
          <a:xfrm>
            <a:off x="2939936" y="1729311"/>
            <a:ext cx="166915" cy="567590"/>
          </a:xfrm>
          <a:prstGeom prst="rect">
            <a:avLst/>
          </a:prstGeom>
        </xdr:spPr>
      </xdr:pic>
      <xdr:sp macro="" textlink="">
        <xdr:nvSpPr>
          <xdr:cNvPr id="245" name="Shape 336">
            <a:extLst>
              <a:ext uri="{FF2B5EF4-FFF2-40B4-BE49-F238E27FC236}">
                <a16:creationId xmlns:a16="http://schemas.microsoft.com/office/drawing/2014/main" id="{00000000-0008-0000-0D00-0000F5000000}"/>
              </a:ext>
            </a:extLst>
          </xdr:cNvPr>
          <xdr:cNvSpPr/>
        </xdr:nvSpPr>
        <xdr:spPr>
          <a:xfrm>
            <a:off x="2963532"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6" name="Rectangle 245">
            <a:extLst>
              <a:ext uri="{FF2B5EF4-FFF2-40B4-BE49-F238E27FC236}">
                <a16:creationId xmlns:a16="http://schemas.microsoft.com/office/drawing/2014/main" id="{00000000-0008-0000-0D00-0000F6000000}"/>
              </a:ext>
            </a:extLst>
          </xdr:cNvPr>
          <xdr:cNvSpPr/>
        </xdr:nvSpPr>
        <xdr:spPr>
          <a:xfrm>
            <a:off x="2861809" y="1542965"/>
            <a:ext cx="434333" cy="226964"/>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pic>
        <xdr:nvPicPr>
          <xdr:cNvPr id="247" name="Picture 312">
            <a:extLst>
              <a:ext uri="{FF2B5EF4-FFF2-40B4-BE49-F238E27FC236}">
                <a16:creationId xmlns:a16="http://schemas.microsoft.com/office/drawing/2014/main" id="{00000000-0008-0000-0D00-0000F7000000}"/>
              </a:ext>
            </a:extLst>
          </xdr:cNvPr>
          <xdr:cNvPicPr/>
        </xdr:nvPicPr>
        <xdr:blipFill>
          <a:blip xmlns:r="http://schemas.openxmlformats.org/officeDocument/2006/relationships" r:embed="rId5"/>
          <a:stretch>
            <a:fillRect/>
          </a:stretch>
        </xdr:blipFill>
        <xdr:spPr>
          <a:xfrm>
            <a:off x="5555301" y="1729311"/>
            <a:ext cx="166915" cy="567590"/>
          </a:xfrm>
          <a:prstGeom prst="rect">
            <a:avLst/>
          </a:prstGeom>
        </xdr:spPr>
      </xdr:pic>
      <xdr:sp macro="" textlink="">
        <xdr:nvSpPr>
          <xdr:cNvPr id="248" name="Shape 337">
            <a:extLst>
              <a:ext uri="{FF2B5EF4-FFF2-40B4-BE49-F238E27FC236}">
                <a16:creationId xmlns:a16="http://schemas.microsoft.com/office/drawing/2014/main" id="{00000000-0008-0000-0D00-0000F8000000}"/>
              </a:ext>
            </a:extLst>
          </xdr:cNvPr>
          <xdr:cNvSpPr/>
        </xdr:nvSpPr>
        <xdr:spPr>
          <a:xfrm>
            <a:off x="5578897" y="1758638"/>
            <a:ext cx="119722" cy="262639"/>
          </a:xfrm>
          <a:custGeom>
            <a:avLst/>
            <a:gdLst/>
            <a:ahLst/>
            <a:cxnLst/>
            <a:rect l="0" t="0" r="0" b="0"/>
            <a:pathLst>
              <a:path w="91821" h="259512">
                <a:moveTo>
                  <a:pt x="0" y="0"/>
                </a:moveTo>
                <a:lnTo>
                  <a:pt x="91821" y="0"/>
                </a:lnTo>
                <a:lnTo>
                  <a:pt x="91821" y="259512"/>
                </a:lnTo>
                <a:lnTo>
                  <a:pt x="0" y="259512"/>
                </a:lnTo>
                <a:lnTo>
                  <a:pt x="0" y="0"/>
                </a:lnTo>
              </a:path>
            </a:pathLst>
          </a:custGeom>
          <a:ln w="0" cap="flat">
            <a:miter lim="127000"/>
          </a:ln>
        </xdr:spPr>
        <xdr:style>
          <a:lnRef idx="0">
            <a:srgbClr val="000000">
              <a:alpha val="0"/>
            </a:srgbClr>
          </a:lnRef>
          <a:fillRef idx="1">
            <a:srgbClr val="CED542"/>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49" name="Rectangle 248">
            <a:extLst>
              <a:ext uri="{FF2B5EF4-FFF2-40B4-BE49-F238E27FC236}">
                <a16:creationId xmlns:a16="http://schemas.microsoft.com/office/drawing/2014/main" id="{00000000-0008-0000-0D00-0000F9000000}"/>
              </a:ext>
            </a:extLst>
          </xdr:cNvPr>
          <xdr:cNvSpPr/>
        </xdr:nvSpPr>
        <xdr:spPr>
          <a:xfrm>
            <a:off x="5425508" y="1544583"/>
            <a:ext cx="429562" cy="223729"/>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rgbClr val="CED542"/>
                </a:solidFill>
                <a:latin typeface="Calibri Light" panose="020F0302020204030204" pitchFamily="34" charset="0"/>
                <a:ea typeface="Lato" panose="020F0502020204030203" pitchFamily="34" charset="0"/>
                <a:cs typeface="Lato" panose="020F0502020204030203" pitchFamily="34" charset="0"/>
              </a:rPr>
              <a:t>50 %</a:t>
            </a:r>
          </a:p>
        </xdr:txBody>
      </xdr:sp>
      <xdr:sp macro="" textlink="">
        <xdr:nvSpPr>
          <xdr:cNvPr id="250" name="Rectangle 249">
            <a:extLst>
              <a:ext uri="{FF2B5EF4-FFF2-40B4-BE49-F238E27FC236}">
                <a16:creationId xmlns:a16="http://schemas.microsoft.com/office/drawing/2014/main" id="{00000000-0008-0000-0D00-0000FA000000}"/>
              </a:ext>
            </a:extLst>
          </xdr:cNvPr>
          <xdr:cNvSpPr/>
        </xdr:nvSpPr>
        <xdr:spPr>
          <a:xfrm>
            <a:off x="1922161" y="2359821"/>
            <a:ext cx="1651522" cy="280526"/>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Anti estrogen effect</a:t>
            </a:r>
          </a:p>
        </xdr:txBody>
      </xdr:sp>
      <xdr:sp macro="" textlink="">
        <xdr:nvSpPr>
          <xdr:cNvPr id="251" name="Shape 59">
            <a:extLst>
              <a:ext uri="{FF2B5EF4-FFF2-40B4-BE49-F238E27FC236}">
                <a16:creationId xmlns:a16="http://schemas.microsoft.com/office/drawing/2014/main" id="{00000000-0008-0000-0D00-0000FB000000}"/>
              </a:ext>
            </a:extLst>
          </xdr:cNvPr>
          <xdr:cNvSpPr/>
        </xdr:nvSpPr>
        <xdr:spPr>
          <a:xfrm>
            <a:off x="4321750" y="2113920"/>
            <a:ext cx="40948" cy="305457"/>
          </a:xfrm>
          <a:custGeom>
            <a:avLst/>
            <a:gdLst/>
            <a:ahLst/>
            <a:cxnLst/>
            <a:rect l="0" t="0" r="0" b="0"/>
            <a:pathLst>
              <a:path h="663715">
                <a:moveTo>
                  <a:pt x="0" y="0"/>
                </a:moveTo>
                <a:lnTo>
                  <a:pt x="0" y="663715"/>
                </a:lnTo>
              </a:path>
            </a:pathLst>
          </a:custGeom>
          <a:ln w="12700" cap="rnd">
            <a:custDash>
              <a:ds d="10000" sp="3000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fr-FR">
              <a:latin typeface="Calibri Light" panose="020F0302020204030204" pitchFamily="34" charset="0"/>
            </a:endParaRPr>
          </a:p>
        </xdr:txBody>
      </xdr:sp>
      <xdr:sp macro="" textlink="">
        <xdr:nvSpPr>
          <xdr:cNvPr id="252" name="Shape 62">
            <a:extLst>
              <a:ext uri="{FF2B5EF4-FFF2-40B4-BE49-F238E27FC236}">
                <a16:creationId xmlns:a16="http://schemas.microsoft.com/office/drawing/2014/main" id="{00000000-0008-0000-0D00-0000FC000000}"/>
              </a:ext>
            </a:extLst>
          </xdr:cNvPr>
          <xdr:cNvSpPr/>
        </xdr:nvSpPr>
        <xdr:spPr>
          <a:xfrm>
            <a:off x="367064"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3" name="Shape 63">
            <a:extLst>
              <a:ext uri="{FF2B5EF4-FFF2-40B4-BE49-F238E27FC236}">
                <a16:creationId xmlns:a16="http://schemas.microsoft.com/office/drawing/2014/main" id="{00000000-0008-0000-0D00-0000FD000000}"/>
              </a:ext>
            </a:extLst>
          </xdr:cNvPr>
          <xdr:cNvSpPr/>
        </xdr:nvSpPr>
        <xdr:spPr>
          <a:xfrm>
            <a:off x="417713" y="2344963"/>
            <a:ext cx="3887621" cy="0"/>
          </a:xfrm>
          <a:custGeom>
            <a:avLst/>
            <a:gdLst/>
            <a:ahLst/>
            <a:cxnLst/>
            <a:rect l="0" t="0" r="0" b="0"/>
            <a:pathLst>
              <a:path w="2981617">
                <a:moveTo>
                  <a:pt x="0" y="0"/>
                </a:moveTo>
                <a:lnTo>
                  <a:pt x="2981617" y="0"/>
                </a:lnTo>
              </a:path>
            </a:pathLst>
          </a:custGeom>
          <a:ln w="12700" cap="rnd">
            <a:custDash>
              <a:ds d="10000" sp="30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4" name="Shape 64">
            <a:extLst>
              <a:ext uri="{FF2B5EF4-FFF2-40B4-BE49-F238E27FC236}">
                <a16:creationId xmlns:a16="http://schemas.microsoft.com/office/drawing/2014/main" id="{00000000-0008-0000-0D00-0000FE000000}"/>
              </a:ext>
            </a:extLst>
          </xdr:cNvPr>
          <xdr:cNvSpPr/>
        </xdr:nvSpPr>
        <xdr:spPr>
          <a:xfrm>
            <a:off x="4330248" y="2341501"/>
            <a:ext cx="828" cy="0"/>
          </a:xfrm>
          <a:custGeom>
            <a:avLst/>
            <a:gdLst/>
            <a:ahLst/>
            <a:cxnLst/>
            <a:rect l="0" t="0" r="0" b="0"/>
            <a:pathLst>
              <a:path w="635">
                <a:moveTo>
                  <a:pt x="0" y="0"/>
                </a:moveTo>
                <a:lnTo>
                  <a:pt x="635"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5" name="Shape 65">
            <a:extLst>
              <a:ext uri="{FF2B5EF4-FFF2-40B4-BE49-F238E27FC236}">
                <a16:creationId xmlns:a16="http://schemas.microsoft.com/office/drawing/2014/main" id="{00000000-0008-0000-0D00-0000FF000000}"/>
              </a:ext>
            </a:extLst>
          </xdr:cNvPr>
          <xdr:cNvSpPr/>
        </xdr:nvSpPr>
        <xdr:spPr>
          <a:xfrm>
            <a:off x="429779" y="2390180"/>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6" name="Shape 66">
            <a:extLst>
              <a:ext uri="{FF2B5EF4-FFF2-40B4-BE49-F238E27FC236}">
                <a16:creationId xmlns:a16="http://schemas.microsoft.com/office/drawing/2014/main" id="{00000000-0008-0000-0D00-000000010000}"/>
              </a:ext>
            </a:extLst>
          </xdr:cNvPr>
          <xdr:cNvSpPr/>
        </xdr:nvSpPr>
        <xdr:spPr>
          <a:xfrm>
            <a:off x="382925" y="2353813"/>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7" name="Shape 67">
            <a:extLst>
              <a:ext uri="{FF2B5EF4-FFF2-40B4-BE49-F238E27FC236}">
                <a16:creationId xmlns:a16="http://schemas.microsoft.com/office/drawing/2014/main" id="{00000000-0008-0000-0D00-000001010000}"/>
              </a:ext>
            </a:extLst>
          </xdr:cNvPr>
          <xdr:cNvSpPr/>
        </xdr:nvSpPr>
        <xdr:spPr>
          <a:xfrm>
            <a:off x="367071" y="2341044"/>
            <a:ext cx="579" cy="913"/>
          </a:xfrm>
          <a:custGeom>
            <a:avLst/>
            <a:gdLst/>
            <a:ahLst/>
            <a:cxnLst/>
            <a:rect l="0" t="0" r="0" b="0"/>
            <a:pathLst>
              <a:path w="444" h="902">
                <a:moveTo>
                  <a:pt x="444" y="902"/>
                </a:moveTo>
                <a:lnTo>
                  <a:pt x="0" y="457"/>
                </a:ln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8" name="Shape 68">
            <a:extLst>
              <a:ext uri="{FF2B5EF4-FFF2-40B4-BE49-F238E27FC236}">
                <a16:creationId xmlns:a16="http://schemas.microsoft.com/office/drawing/2014/main" id="{00000000-0008-0000-0D00-000002010000}"/>
              </a:ext>
            </a:extLst>
          </xdr:cNvPr>
          <xdr:cNvSpPr/>
        </xdr:nvSpPr>
        <xdr:spPr>
          <a:xfrm>
            <a:off x="398202" y="2304685"/>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59" name="Shape 69">
            <a:extLst>
              <a:ext uri="{FF2B5EF4-FFF2-40B4-BE49-F238E27FC236}">
                <a16:creationId xmlns:a16="http://schemas.microsoft.com/office/drawing/2014/main" id="{00000000-0008-0000-0D00-000003010000}"/>
              </a:ext>
            </a:extLst>
          </xdr:cNvPr>
          <xdr:cNvSpPr/>
        </xdr:nvSpPr>
        <xdr:spPr>
          <a:xfrm>
            <a:off x="429773" y="2292378"/>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0" name="Shape 70">
            <a:extLst>
              <a:ext uri="{FF2B5EF4-FFF2-40B4-BE49-F238E27FC236}">
                <a16:creationId xmlns:a16="http://schemas.microsoft.com/office/drawing/2014/main" id="{00000000-0008-0000-0D00-000004010000}"/>
              </a:ext>
            </a:extLst>
          </xdr:cNvPr>
          <xdr:cNvSpPr/>
        </xdr:nvSpPr>
        <xdr:spPr>
          <a:xfrm>
            <a:off x="8298817"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1" name="Shape 71">
            <a:extLst>
              <a:ext uri="{FF2B5EF4-FFF2-40B4-BE49-F238E27FC236}">
                <a16:creationId xmlns:a16="http://schemas.microsoft.com/office/drawing/2014/main" id="{00000000-0008-0000-0D00-000005010000}"/>
              </a:ext>
            </a:extLst>
          </xdr:cNvPr>
          <xdr:cNvSpPr/>
        </xdr:nvSpPr>
        <xdr:spPr>
          <a:xfrm>
            <a:off x="4356847" y="2344963"/>
            <a:ext cx="3892092" cy="0"/>
          </a:xfrm>
          <a:custGeom>
            <a:avLst/>
            <a:gdLst/>
            <a:ahLst/>
            <a:cxnLst/>
            <a:rect l="0" t="0" r="0" b="0"/>
            <a:pathLst>
              <a:path w="2985046">
                <a:moveTo>
                  <a:pt x="2985046" y="0"/>
                </a:moveTo>
                <a:lnTo>
                  <a:pt x="0" y="0"/>
                </a:lnTo>
              </a:path>
            </a:pathLst>
          </a:custGeom>
          <a:ln w="12700" cap="rnd">
            <a:custDash>
              <a:ds d="10000" sp="3012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2" name="Shape 72">
            <a:extLst>
              <a:ext uri="{FF2B5EF4-FFF2-40B4-BE49-F238E27FC236}">
                <a16:creationId xmlns:a16="http://schemas.microsoft.com/office/drawing/2014/main" id="{00000000-0008-0000-0D00-000006010000}"/>
              </a:ext>
            </a:extLst>
          </xdr:cNvPr>
          <xdr:cNvSpPr/>
        </xdr:nvSpPr>
        <xdr:spPr>
          <a:xfrm>
            <a:off x="4331075" y="2341501"/>
            <a:ext cx="828" cy="0"/>
          </a:xfrm>
          <a:custGeom>
            <a:avLst/>
            <a:gdLst/>
            <a:ahLst/>
            <a:cxnLst/>
            <a:rect l="0" t="0" r="0" b="0"/>
            <a:pathLst>
              <a:path w="635">
                <a:moveTo>
                  <a:pt x="635" y="0"/>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3" name="Shape 73">
            <a:extLst>
              <a:ext uri="{FF2B5EF4-FFF2-40B4-BE49-F238E27FC236}">
                <a16:creationId xmlns:a16="http://schemas.microsoft.com/office/drawing/2014/main" id="{00000000-0008-0000-0D00-000007010000}"/>
              </a:ext>
            </a:extLst>
          </xdr:cNvPr>
          <xdr:cNvSpPr/>
        </xdr:nvSpPr>
        <xdr:spPr>
          <a:xfrm>
            <a:off x="8236349" y="2390180"/>
            <a:ext cx="579" cy="450"/>
          </a:xfrm>
          <a:custGeom>
            <a:avLst/>
            <a:gdLst/>
            <a:ahLst/>
            <a:cxnLst/>
            <a:rect l="0" t="0" r="0" b="0"/>
            <a:pathLst>
              <a:path w="444" h="445">
                <a:moveTo>
                  <a:pt x="0" y="445"/>
                </a:moveTo>
                <a:lnTo>
                  <a:pt x="444"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4" name="Shape 74">
            <a:extLst>
              <a:ext uri="{FF2B5EF4-FFF2-40B4-BE49-F238E27FC236}">
                <a16:creationId xmlns:a16="http://schemas.microsoft.com/office/drawing/2014/main" id="{00000000-0008-0000-0D00-000008010000}"/>
              </a:ext>
            </a:extLst>
          </xdr:cNvPr>
          <xdr:cNvSpPr/>
        </xdr:nvSpPr>
        <xdr:spPr>
          <a:xfrm>
            <a:off x="8267488" y="2353813"/>
            <a:ext cx="16294" cy="12648"/>
          </a:xfrm>
          <a:custGeom>
            <a:avLst/>
            <a:gdLst/>
            <a:ahLst/>
            <a:cxnLst/>
            <a:rect l="0" t="0" r="0" b="0"/>
            <a:pathLst>
              <a:path w="12497" h="12497">
                <a:moveTo>
                  <a:pt x="0" y="12497"/>
                </a:moveTo>
                <a:lnTo>
                  <a:pt x="12497"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5" name="Shape 75">
            <a:extLst>
              <a:ext uri="{FF2B5EF4-FFF2-40B4-BE49-F238E27FC236}">
                <a16:creationId xmlns:a16="http://schemas.microsoft.com/office/drawing/2014/main" id="{00000000-0008-0000-0D00-000009010000}"/>
              </a:ext>
            </a:extLst>
          </xdr:cNvPr>
          <xdr:cNvSpPr/>
        </xdr:nvSpPr>
        <xdr:spPr>
          <a:xfrm>
            <a:off x="8299060" y="2341044"/>
            <a:ext cx="579" cy="913"/>
          </a:xfrm>
          <a:custGeom>
            <a:avLst/>
            <a:gdLst/>
            <a:ahLst/>
            <a:cxnLst/>
            <a:rect l="0" t="0" r="0" b="0"/>
            <a:pathLst>
              <a:path w="444" h="902">
                <a:moveTo>
                  <a:pt x="0" y="902"/>
                </a:moveTo>
                <a:lnTo>
                  <a:pt x="444" y="457"/>
                </a:ln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6" name="Shape 76">
            <a:extLst>
              <a:ext uri="{FF2B5EF4-FFF2-40B4-BE49-F238E27FC236}">
                <a16:creationId xmlns:a16="http://schemas.microsoft.com/office/drawing/2014/main" id="{00000000-0008-0000-0D00-00000A010000}"/>
              </a:ext>
            </a:extLst>
          </xdr:cNvPr>
          <xdr:cNvSpPr/>
        </xdr:nvSpPr>
        <xdr:spPr>
          <a:xfrm>
            <a:off x="8252210" y="2304685"/>
            <a:ext cx="16294" cy="12648"/>
          </a:xfrm>
          <a:custGeom>
            <a:avLst/>
            <a:gdLst/>
            <a:ahLst/>
            <a:cxnLst/>
            <a:rect l="0" t="0" r="0" b="0"/>
            <a:pathLst>
              <a:path w="12497" h="12497">
                <a:moveTo>
                  <a:pt x="12497" y="12497"/>
                </a:moveTo>
                <a:lnTo>
                  <a:pt x="0" y="0"/>
                </a:lnTo>
              </a:path>
            </a:pathLst>
          </a:custGeom>
          <a:ln w="12700" cap="rnd">
            <a:custDash>
              <a:ds d="8700" sp="260900"/>
            </a:custDash>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7" name="Shape 77">
            <a:extLst>
              <a:ext uri="{FF2B5EF4-FFF2-40B4-BE49-F238E27FC236}">
                <a16:creationId xmlns:a16="http://schemas.microsoft.com/office/drawing/2014/main" id="{00000000-0008-0000-0D00-00000B010000}"/>
              </a:ext>
            </a:extLst>
          </xdr:cNvPr>
          <xdr:cNvSpPr/>
        </xdr:nvSpPr>
        <xdr:spPr>
          <a:xfrm>
            <a:off x="8236357" y="2292378"/>
            <a:ext cx="579" cy="450"/>
          </a:xfrm>
          <a:custGeom>
            <a:avLst/>
            <a:gdLst/>
            <a:ahLst/>
            <a:cxnLst/>
            <a:rect l="0" t="0" r="0" b="0"/>
            <a:pathLst>
              <a:path w="444" h="445">
                <a:moveTo>
                  <a:pt x="444" y="445"/>
                </a:moveTo>
                <a:lnTo>
                  <a:pt x="0" y="0"/>
                </a:lnTo>
              </a:path>
            </a:pathLst>
          </a:custGeom>
          <a:ln w="12700" cap="rnd">
            <a:round/>
          </a:ln>
        </xdr:spPr>
        <xdr:style>
          <a:lnRef idx="1">
            <a:srgbClr val="868789"/>
          </a:lnRef>
          <a:fillRef idx="0">
            <a:srgbClr val="000000">
              <a:alpha val="0"/>
            </a:srgbClr>
          </a:fillRef>
          <a:effectRef idx="0">
            <a:scrgbClr r="0" g="0" b="0"/>
          </a:effectRef>
          <a:fontRef idx="none"/>
        </xdr:style>
        <xdr:txBody>
          <a:bodyPr wrap="square"/>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fr-FR">
              <a:latin typeface="Calibri Light" panose="020F0302020204030204" pitchFamily="34" charset="0"/>
            </a:endParaRPr>
          </a:p>
        </xdr:txBody>
      </xdr:sp>
      <xdr:sp macro="" textlink="">
        <xdr:nvSpPr>
          <xdr:cNvPr id="268" name="Rectangle 267">
            <a:extLst>
              <a:ext uri="{FF2B5EF4-FFF2-40B4-BE49-F238E27FC236}">
                <a16:creationId xmlns:a16="http://schemas.microsoft.com/office/drawing/2014/main" id="{00000000-0008-0000-0D00-00000C010000}"/>
              </a:ext>
            </a:extLst>
          </xdr:cNvPr>
          <xdr:cNvSpPr/>
        </xdr:nvSpPr>
        <xdr:spPr>
          <a:xfrm>
            <a:off x="5302211" y="2359821"/>
            <a:ext cx="1651521" cy="280527"/>
          </a:xfrm>
          <a:prstGeom prst="rect">
            <a:avLst/>
          </a:prstGeom>
          <a:ln>
            <a:noFill/>
          </a:ln>
        </xdr:spPr>
        <xdr:txBody>
          <a:bodyPr vert="horz" wrap="square" lIns="0" tIns="0" rIns="0" bIns="0" rtlCol="0">
            <a:no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ct val="107000"/>
              </a:lnSpc>
              <a:spcAft>
                <a:spcPts val="800"/>
              </a:spcAft>
            </a:pPr>
            <a:r>
              <a:rPr lang="fr-FR" sz="1250">
                <a:solidFill>
                  <a:sysClr val="windowText" lastClr="000000"/>
                </a:solidFill>
                <a:effectLst/>
                <a:latin typeface="Calibri Light" panose="020F0302020204030204" pitchFamily="34" charset="0"/>
                <a:ea typeface="Lato" panose="020F0502020204030203" pitchFamily="34" charset="0"/>
                <a:cs typeface="Lato" panose="020F0502020204030203" pitchFamily="34" charset="0"/>
              </a:rPr>
              <a:t>Pro estrogen effect</a:t>
            </a:r>
          </a:p>
        </xdr:txBody>
      </xdr:sp>
      <xdr:sp macro="" textlink="">
        <xdr:nvSpPr>
          <xdr:cNvPr id="269" name="ZoneTexte 55">
            <a:extLst>
              <a:ext uri="{FF2B5EF4-FFF2-40B4-BE49-F238E27FC236}">
                <a16:creationId xmlns:a16="http://schemas.microsoft.com/office/drawing/2014/main" id="{00000000-0008-0000-0D00-00000D010000}"/>
              </a:ext>
            </a:extLst>
          </xdr:cNvPr>
          <xdr:cNvSpPr txBox="1"/>
        </xdr:nvSpPr>
        <xdr:spPr>
          <a:xfrm>
            <a:off x="7011527" y="1715956"/>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sp macro="" textlink="">
        <xdr:nvSpPr>
          <xdr:cNvPr id="270" name="ZoneTexte 56">
            <a:extLst>
              <a:ext uri="{FF2B5EF4-FFF2-40B4-BE49-F238E27FC236}">
                <a16:creationId xmlns:a16="http://schemas.microsoft.com/office/drawing/2014/main" id="{00000000-0008-0000-0D00-00000E010000}"/>
              </a:ext>
            </a:extLst>
          </xdr:cNvPr>
          <xdr:cNvSpPr txBox="1"/>
        </xdr:nvSpPr>
        <xdr:spPr>
          <a:xfrm>
            <a:off x="443646" y="1721744"/>
            <a:ext cx="1135621" cy="421141"/>
          </a:xfrm>
          <a:prstGeom prst="rect">
            <a:avLst/>
          </a:prstGeom>
          <a:noFill/>
        </xdr:spPr>
        <xdr:txBody>
          <a:bodyPr wrap="square" rtlCol="0">
            <a:spAutoFit/>
          </a:bodyPr>
          <a:lstStyle>
            <a:defPPr>
              <a:defRPr lang="fr-FR"/>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fr-FR" sz="1050">
                <a:solidFill>
                  <a:srgbClr val="C00000"/>
                </a:solidFill>
                <a:latin typeface="Calibri Light" panose="020F0302020204030204" pitchFamily="34" charset="0"/>
              </a:rPr>
              <a:t>Key physiological event</a:t>
            </a:r>
          </a:p>
        </xdr:txBody>
      </xdr:sp>
    </xdr:grp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8</xdr:col>
      <xdr:colOff>154781</xdr:colOff>
      <xdr:row>32</xdr:row>
      <xdr:rowOff>95250</xdr:rowOff>
    </xdr:to>
    <xdr:graphicFrame macro="">
      <xdr:nvGraphicFramePr>
        <xdr:cNvPr id="2" name="Graphique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377031</xdr:colOff>
      <xdr:row>11</xdr:row>
      <xdr:rowOff>91810</xdr:rowOff>
    </xdr:from>
    <xdr:to>
      <xdr:col>15</xdr:col>
      <xdr:colOff>398319</xdr:colOff>
      <xdr:row>32</xdr:row>
      <xdr:rowOff>51955</xdr:rowOff>
    </xdr:to>
    <xdr:graphicFrame macro="">
      <xdr:nvGraphicFramePr>
        <xdr:cNvPr id="3" name="Graphique 1">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7</xdr:col>
      <xdr:colOff>984059</xdr:colOff>
      <xdr:row>56</xdr:row>
      <xdr:rowOff>86784</xdr:rowOff>
    </xdr:to>
    <xdr:graphicFrame macro="">
      <xdr:nvGraphicFramePr>
        <xdr:cNvPr id="4" name="Graphique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212988</xdr:colOff>
      <xdr:row>35</xdr:row>
      <xdr:rowOff>83344</xdr:rowOff>
    </xdr:from>
    <xdr:to>
      <xdr:col>15</xdr:col>
      <xdr:colOff>234276</xdr:colOff>
      <xdr:row>56</xdr:row>
      <xdr:rowOff>43489</xdr:rowOff>
    </xdr:to>
    <xdr:graphicFrame macro="">
      <xdr:nvGraphicFramePr>
        <xdr:cNvPr id="5" name="Graphique 1">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c:userShapes xmlns:c="http://schemas.openxmlformats.org/drawingml/2006/chart">
  <cdr:absSizeAnchor xmlns:cdr="http://schemas.openxmlformats.org/drawingml/2006/chartDrawing">
    <cdr:from>
      <cdr:x>0.82371</cdr:x>
      <cdr:y>0.55101</cdr:y>
    </cdr:from>
    <cdr:ext cx="796018" cy="436786"/>
    <cdr:sp macro="" textlink="">
      <cdr:nvSpPr>
        <cdr:cNvPr id="4" name="ZoneTexte 1"/>
        <cdr:cNvSpPr txBox="1"/>
      </cdr:nvSpPr>
      <cdr:spPr>
        <a:xfrm xmlns:a="http://schemas.openxmlformats.org/drawingml/2006/main">
          <a:off x="5876731" y="1937227"/>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fr-FR" sz="1100" b="1">
              <a:solidFill>
                <a:srgbClr val="00B050"/>
              </a:solidFill>
            </a:rPr>
            <a:t>Niveau de référence</a:t>
          </a:r>
        </a:p>
      </cdr:txBody>
    </cdr:sp>
  </cdr:absSizeAnchor>
</c:userShapes>
</file>

<file path=xl/drawings/drawing11.xml><?xml version="1.0" encoding="utf-8"?>
<c:userShapes xmlns:c="http://schemas.openxmlformats.org/drawingml/2006/chart">
  <cdr:absSizeAnchor xmlns:cdr="http://schemas.openxmlformats.org/drawingml/2006/chartDrawing">
    <cdr:from>
      <cdr:x>0.8358</cdr:x>
      <cdr:y>0.20578</cdr:y>
    </cdr:from>
    <cdr:ext cx="850804" cy="436786"/>
    <cdr:sp macro="" textlink="">
      <cdr:nvSpPr>
        <cdr:cNvPr id="4" name="ZoneTexte 1"/>
        <cdr:cNvSpPr txBox="1"/>
      </cdr:nvSpPr>
      <cdr:spPr>
        <a:xfrm xmlns:a="http://schemas.openxmlformats.org/drawingml/2006/main">
          <a:off x="5829311" y="697435"/>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2.xml><?xml version="1.0" encoding="utf-8"?>
<c:userShapes xmlns:c="http://schemas.openxmlformats.org/drawingml/2006/chart">
  <cdr:absSizeAnchor xmlns:cdr="http://schemas.openxmlformats.org/drawingml/2006/chartDrawing">
    <cdr:from>
      <cdr:x>0.81608</cdr:x>
      <cdr:y>0.54327</cdr:y>
    </cdr:from>
    <cdr:ext cx="796018" cy="436785"/>
    <cdr:sp macro="" textlink="">
      <cdr:nvSpPr>
        <cdr:cNvPr id="4" name="ZoneTexte 1"/>
        <cdr:cNvSpPr txBox="1"/>
      </cdr:nvSpPr>
      <cdr:spPr>
        <a:xfrm xmlns:a="http://schemas.openxmlformats.org/drawingml/2006/main">
          <a:off x="5822303" y="1910013"/>
          <a:ext cx="796018" cy="436785"/>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a:t>
          </a:r>
          <a:r>
            <a:rPr lang="fr-FR" sz="1100" b="1" baseline="0">
              <a:solidFill>
                <a:srgbClr val="00B050"/>
              </a:solidFill>
            </a:rPr>
            <a:t> level</a:t>
          </a:r>
          <a:endParaRPr lang="fr-FR" sz="1100" b="1">
            <a:solidFill>
              <a:srgbClr val="00B050"/>
            </a:solidFill>
          </a:endParaRPr>
        </a:p>
      </cdr:txBody>
    </cdr:sp>
  </cdr:absSizeAnchor>
</c:userShapes>
</file>

<file path=xl/drawings/drawing13.xml><?xml version="1.0" encoding="utf-8"?>
<c:userShapes xmlns:c="http://schemas.openxmlformats.org/drawingml/2006/chart">
  <cdr:absSizeAnchor xmlns:cdr="http://schemas.openxmlformats.org/drawingml/2006/chartDrawing">
    <cdr:from>
      <cdr:x>0.82019</cdr:x>
      <cdr:y>0.2098</cdr:y>
    </cdr:from>
    <cdr:ext cx="850804" cy="436786"/>
    <cdr:sp macro="" textlink="">
      <cdr:nvSpPr>
        <cdr:cNvPr id="4" name="ZoneTexte 1"/>
        <cdr:cNvSpPr txBox="1"/>
      </cdr:nvSpPr>
      <cdr:spPr>
        <a:xfrm xmlns:a="http://schemas.openxmlformats.org/drawingml/2006/main">
          <a:off x="5720455" y="711042"/>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4.xml><?xml version="1.0" encoding="utf-8"?>
<xdr:wsDr xmlns:xdr="http://schemas.openxmlformats.org/drawingml/2006/spreadsheetDrawing" xmlns:a="http://schemas.openxmlformats.org/drawingml/2006/main">
  <xdr:twoCellAnchor>
    <xdr:from>
      <xdr:col>0</xdr:col>
      <xdr:colOff>164043</xdr:colOff>
      <xdr:row>11</xdr:row>
      <xdr:rowOff>8466</xdr:rowOff>
    </xdr:from>
    <xdr:to>
      <xdr:col>4</xdr:col>
      <xdr:colOff>122465</xdr:colOff>
      <xdr:row>30</xdr:row>
      <xdr:rowOff>95250</xdr:rowOff>
    </xdr:to>
    <xdr:graphicFrame macro="">
      <xdr:nvGraphicFramePr>
        <xdr:cNvPr id="2" name="Graphique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295389</xdr:colOff>
      <xdr:row>11</xdr:row>
      <xdr:rowOff>132631</xdr:rowOff>
    </xdr:from>
    <xdr:to>
      <xdr:col>8</xdr:col>
      <xdr:colOff>340180</xdr:colOff>
      <xdr:row>32</xdr:row>
      <xdr:rowOff>92776</xdr:rowOff>
    </xdr:to>
    <xdr:graphicFrame macro="">
      <xdr:nvGraphicFramePr>
        <xdr:cNvPr id="3" name="Graphique 1">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33</xdr:row>
      <xdr:rowOff>0</xdr:rowOff>
    </xdr:from>
    <xdr:to>
      <xdr:col>3</xdr:col>
      <xdr:colOff>870100</xdr:colOff>
      <xdr:row>52</xdr:row>
      <xdr:rowOff>86784</xdr:rowOff>
    </xdr:to>
    <xdr:graphicFrame macro="">
      <xdr:nvGraphicFramePr>
        <xdr:cNvPr id="4" name="Graphique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131346</xdr:colOff>
      <xdr:row>33</xdr:row>
      <xdr:rowOff>124165</xdr:rowOff>
    </xdr:from>
    <xdr:to>
      <xdr:col>8</xdr:col>
      <xdr:colOff>176137</xdr:colOff>
      <xdr:row>54</xdr:row>
      <xdr:rowOff>84310</xdr:rowOff>
    </xdr:to>
    <xdr:graphicFrame macro="">
      <xdr:nvGraphicFramePr>
        <xdr:cNvPr id="5" name="Graphique 1">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c:userShapes xmlns:c="http://schemas.openxmlformats.org/drawingml/2006/chart">
  <cdr:absSizeAnchor xmlns:cdr="http://schemas.openxmlformats.org/drawingml/2006/chartDrawing">
    <cdr:from>
      <cdr:x>0.65754</cdr:x>
      <cdr:y>0.55369</cdr:y>
    </cdr:from>
    <cdr:ext cx="796018" cy="436786"/>
    <cdr:sp macro="" textlink="">
      <cdr:nvSpPr>
        <cdr:cNvPr id="4" name="ZoneTexte 1"/>
        <cdr:cNvSpPr txBox="1"/>
      </cdr:nvSpPr>
      <cdr:spPr>
        <a:xfrm xmlns:a="http://schemas.openxmlformats.org/drawingml/2006/main">
          <a:off x="2182630" y="1765836"/>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6.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10" y="1024007"/>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Niveau de référence</a:t>
          </a:r>
        </a:p>
      </cdr:txBody>
    </cdr:sp>
  </cdr:absSizeAnchor>
</c:userShapes>
</file>

<file path=xl/drawings/drawing17.xml><?xml version="1.0" encoding="utf-8"?>
<c:userShapes xmlns:c="http://schemas.openxmlformats.org/drawingml/2006/chart">
  <cdr:absSizeAnchor xmlns:cdr="http://schemas.openxmlformats.org/drawingml/2006/chartDrawing">
    <cdr:from>
      <cdr:x>0.67394</cdr:x>
      <cdr:y>0.54089</cdr:y>
    </cdr:from>
    <cdr:ext cx="796018" cy="436786"/>
    <cdr:sp macro="" textlink="">
      <cdr:nvSpPr>
        <cdr:cNvPr id="4" name="ZoneTexte 1"/>
        <cdr:cNvSpPr txBox="1"/>
      </cdr:nvSpPr>
      <cdr:spPr>
        <a:xfrm xmlns:a="http://schemas.openxmlformats.org/drawingml/2006/main">
          <a:off x="2237059" y="1725014"/>
          <a:ext cx="796018"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drawings/drawing18.xml><?xml version="1.0" encoding="utf-8"?>
<c:userShapes xmlns:c="http://schemas.openxmlformats.org/drawingml/2006/chart">
  <cdr:absSizeAnchor xmlns:cdr="http://schemas.openxmlformats.org/drawingml/2006/chartDrawing">
    <cdr:from>
      <cdr:x>0.65829</cdr:x>
      <cdr:y>0.30214</cdr:y>
    </cdr:from>
    <cdr:ext cx="850804" cy="436786"/>
    <cdr:sp macro="" textlink="">
      <cdr:nvSpPr>
        <cdr:cNvPr id="4" name="ZoneTexte 1"/>
        <cdr:cNvSpPr txBox="1"/>
      </cdr:nvSpPr>
      <cdr:spPr>
        <a:xfrm xmlns:a="http://schemas.openxmlformats.org/drawingml/2006/main">
          <a:off x="2215102" y="1023996"/>
          <a:ext cx="850804" cy="436786"/>
        </a:xfrm>
        <a:prstGeom xmlns:a="http://schemas.openxmlformats.org/drawingml/2006/main" prst="rect">
          <a:avLst/>
        </a:prstGeom>
      </cdr:spPr>
      <cdr:txBody>
        <a:bodyPr xmlns:a="http://schemas.openxmlformats.org/drawingml/2006/main" wrap="square" rtlCol="0">
          <a:spAutoFit/>
        </a:bodyP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fr-FR" sz="1100" b="1">
              <a:solidFill>
                <a:srgbClr val="00B050"/>
              </a:solidFill>
            </a:rPr>
            <a:t>Reference level</a:t>
          </a:r>
        </a:p>
      </cdr:txBody>
    </cdr:sp>
  </cdr:abs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file:///C:\RealStats\RealStats%202013%202016.xla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alStats/RealStats%202013%202016.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s>
    <definedNames>
      <definedName name="DPTEST"/>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fig"/>
      <sheetName val="Wilcoxon Table"/>
      <sheetName val="Mann Table"/>
      <sheetName val="Runs Table"/>
      <sheetName val="KS Table"/>
      <sheetName val="KS2 Table"/>
      <sheetName val="Lil Table"/>
      <sheetName val="AD Table"/>
      <sheetName val="SW Table"/>
      <sheetName val="Stud. Q Table"/>
      <sheetName val="Stud. Q Table 2"/>
      <sheetName val="Sp Rho Table"/>
      <sheetName val="Ken Tau Table"/>
      <sheetName val="Durbin Table"/>
      <sheetName val="Dunnett Table"/>
      <sheetName val="Prime"/>
      <sheetName val="RealStats 2013 2016"/>
    </sheetNames>
    <definedNames>
      <definedName name="MTEST"/>
      <definedName name="SWTES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061.485541203707" createdVersion="6" refreshedVersion="6" minRefreshableVersion="3" recordCount="52" xr:uid="{8DEF666A-6C7D-4C16-AD6D-82242760D5D9}">
  <cacheSource type="worksheet">
    <worksheetSource name="liste_groupe"/>
  </cacheSource>
  <cacheFields count="6">
    <cacheField name="Nom sur le graphique" numFmtId="0">
      <sharedItems count="13">
        <s v="Témoin solvant"/>
        <s v="EE2-22,5ng/L"/>
        <s v="EE2-33,8ng/L"/>
        <s v="EE2-50,6ng/L"/>
        <s v="EE2-76ng/L"/>
        <s v="EE2-114ng/L"/>
        <s v="EE2-170,9ng/L"/>
        <s v="EE2-488ng/L"/>
        <s v=" "/>
        <s v="Testo -30µg/L"/>
        <s v="Testo 30µg/L + EE2 -64ng/L"/>
        <s v="Testo 30µg/L + FAD-10mg/L"/>
        <s v="0-00 + Testostérone"/>
      </sharedItems>
    </cacheField>
    <cacheField name="Code WF" numFmtId="0">
      <sharedItems containsBlank="1" containsMixedTypes="1" containsNumber="1" containsInteger="1" minValue="0" maxValue="0" count="3">
        <s v="Témoin"/>
        <m/>
        <n v="0"/>
      </sharedItems>
    </cacheField>
    <cacheField name="Concentration" numFmtId="0">
      <sharedItems containsString="0" containsBlank="1" containsNumber="1" minValue="0" maxValue="488"/>
    </cacheField>
    <cacheField name="Unité" numFmtId="0">
      <sharedItems containsBlank="1" containsMixedTypes="1" containsNumber="1" containsInteger="1" minValue="0" maxValue="0"/>
    </cacheField>
    <cacheField name="Nom de l'échantillon donné par le client" numFmtId="0">
      <sharedItems containsBlank="1" containsMixedTypes="1" containsNumber="1" containsInteger="1" minValue="0" maxValue="0"/>
    </cacheField>
    <cacheField name="Dopage (+Testostérone / + EE2, ….)" numFmtId="0">
      <sharedItems containsBlank="1" count="2">
        <m/>
        <s v=" + Testostéron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176.422885185188" createdVersion="5" refreshedVersion="6" minRefreshableVersion="3" recordCount="1556" xr:uid="{00000000-000A-0000-FFFF-FFFF0C000000}">
  <cacheSource type="worksheet">
    <worksheetSource name="Tableau4"/>
  </cacheSource>
  <cacheFields count="9">
    <cacheField name="Nom groupe" numFmtId="0">
      <sharedItems containsBlank="1" count="23">
        <s v="01 TS"/>
        <s v=""/>
        <s v="02 EE2 34"/>
        <s v="03 EE2 51"/>
        <s v="04 EE2 76"/>
        <s v="05 EE2 114"/>
        <s v="06 EE2 171"/>
        <s v="07 EE2 488"/>
        <s v="08 Cromolyn 0.1"/>
        <s v="09 Cromolyn 1"/>
        <s v="10 Cromolyn 10"/>
        <s v="11 Cromolyn 100"/>
        <s v="12 Cromolyn 1000"/>
        <s v="13 Testo 30"/>
        <s v="14 Testo 30"/>
        <s v="15 Testo + EE2"/>
        <s v="16 Testo + FAD"/>
        <s v="17 Testo + Cromolyn 0.1"/>
        <s v="18 Testo + Cromolyn 1"/>
        <s v="19 Testo + Cromolyn 10"/>
        <s v="20 Testo + Cromolyn 100"/>
        <s v="21 Testo + Cromolyn 1000"/>
        <m u="1"/>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504" maxValue="504"/>
    </cacheField>
    <cacheField name=" mean intensity " numFmtId="0">
      <sharedItems containsBlank="1" containsMixedTypes="1" containsNumber="1" containsInteger="1" minValue="63" maxValue="77"/>
    </cacheField>
    <cacheField name=" " numFmtId="0">
      <sharedItems containsBlank="1" count="24">
        <s v=" "/>
        <m/>
        <s v=" SD mean fluo "/>
        <s v=" 3.7665 "/>
        <s v=" 2.4465 "/>
        <s v=" 2.748 "/>
        <s v=" 4.1557 "/>
        <s v=" 2.0221 "/>
        <s v=" 4.3685 "/>
        <s v=" 4.4765 "/>
        <s v=" 1.8691 "/>
        <s v=" 3.2193 "/>
        <s v=" 3.6654 "/>
        <s v=" 6.4344 "/>
        <s v=" 5.275 "/>
        <s v=" 4.8244 "/>
        <s v=" 6.5057 "/>
        <s v=" 5.0014 "/>
        <s v=" 5.266 "/>
        <s v=" 5.3545 "/>
        <s v=" 6.1178 "/>
        <s v=" 5.8551 "/>
        <s v=" 4.5071 "/>
        <s v=" 3.6203 "/>
      </sharedItems>
    </cacheField>
    <cacheField name=" total fluorescence" numFmtId="0">
      <sharedItems containsBlank="1" containsMixedTypes="1" containsNumber="1" containsInteger="1" minValue="5667" maxValue="8904249"/>
    </cacheField>
    <cacheField name="         " numFmtId="0">
      <sharedItems containsBlank="1"/>
    </cacheField>
    <cacheField name="nbre de larves"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176.424178935187" createdVersion="5" refreshedVersion="6" minRefreshableVersion="3" recordCount="1530" xr:uid="{00000000-000A-0000-FFFF-FFFF10000000}">
  <cacheSource type="worksheet">
    <worksheetSource name="Tableau46"/>
  </cacheSource>
  <cacheFields count="9">
    <cacheField name="Nom groupe" numFmtId="0">
      <sharedItems count="22">
        <s v="01 TS"/>
        <s v=""/>
        <s v="02 EE2 34"/>
        <s v="03 EE2 51"/>
        <s v="04 EE2 76"/>
        <s v="05 EE2 114"/>
        <s v="06 EE2 171"/>
        <s v="07 EE2 488"/>
        <s v="08 Cromolyn 0.1"/>
        <s v="09 Cromolyn 1"/>
        <s v="10 Cromolyn 10"/>
        <s v="11 Cromolyn 100"/>
        <s v="12 Cromolyn 1000"/>
        <s v="13 Testo 30"/>
        <s v="14 Testo 30"/>
        <s v="15 Testo + EE2"/>
        <s v="16 Testo + FAD"/>
        <s v="17 Testo + Cromolyn 0.1"/>
        <s v="18 Testo + Cromolyn 1"/>
        <s v="19 Testo + Cromolyn 10"/>
        <s v="20 Testo + Cromolyn 100"/>
        <s v="21 Testo + Cromolyn 1000"/>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504" maxValue="504"/>
    </cacheField>
    <cacheField name=" mean intensity " numFmtId="0">
      <sharedItems containsBlank="1" containsMixedTypes="1" containsNumber="1" containsInteger="1" minValue="63" maxValue="78"/>
    </cacheField>
    <cacheField name=" " numFmtId="0">
      <sharedItems containsBlank="1" count="24">
        <m/>
        <s v=" "/>
        <s v=" SD mean fluo "/>
        <s v=" 6.5566 "/>
        <s v=" 6.5537 "/>
        <s v=" 10.5446 "/>
        <s v=" 2.7283 "/>
        <s v=" 3.7075 "/>
        <s v=" 3.7771 "/>
        <s v=" 8.6647 "/>
        <s v=" 6.112 "/>
        <s v=" 2.8751 "/>
        <s v=" 4.7395 "/>
        <s v=" 5.6622 "/>
        <s v=" 4.4025 "/>
        <s v=" 2.6197 "/>
        <s v=" 4.9418 "/>
        <s v=" 8.8029 "/>
        <s v=" 5.1124 "/>
        <s v=" 3.3605 "/>
        <s v=" 3.8409 "/>
        <s v=" 2.3177 "/>
        <s v=" 5.0114 "/>
        <s v=" 3.6938 "/>
      </sharedItems>
    </cacheField>
    <cacheField name=" total fluorescence" numFmtId="0">
      <sharedItems containsBlank="1" containsMixedTypes="1" containsNumber="1" containsInteger="1" minValue="5429" maxValue="10526361"/>
    </cacheField>
    <cacheField name="         " numFmtId="0">
      <sharedItems containsBlank="1"/>
    </cacheField>
    <cacheField name="nbre de larves"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eur" refreshedDate="44180.644808333331" createdVersion="5" refreshedVersion="6" minRefreshableVersion="3" recordCount="1710" xr:uid="{00000000-000A-0000-FFFF-FFFF14000000}">
  <cacheSource type="worksheet">
    <worksheetSource name="Tableau467"/>
  </cacheSource>
  <cacheFields count="9">
    <cacheField name="Nom groupe" numFmtId="0">
      <sharedItems count="22">
        <s v="01 TS"/>
        <s v=""/>
        <s v="02 EE2 34"/>
        <s v="03 EE2 51"/>
        <s v="04 EE2 76"/>
        <s v="05 EE2 114"/>
        <s v="06 EE2 171"/>
        <s v="07 EE2 488"/>
        <s v="08 Cromolyn 0.1"/>
        <s v="09 Cromolyn 1"/>
        <s v="10 Cromolyn 10"/>
        <s v="11 Cromolyn 100"/>
        <s v="12 Cromolyn 1000"/>
        <s v="13 Testo 30"/>
        <s v="14 Testo 30"/>
        <s v="15 Testo + EE2"/>
        <s v="16 Testo + FAD"/>
        <s v="17 Testo + Cromolyn 0.1"/>
        <s v="18 Testo + Cromolyn 1"/>
        <s v="19 Testo + Cromolyn 10"/>
        <s v="20 Testo + Cromolyn 100"/>
        <s v="21 Testo + Cromolyn 1000"/>
      </sharedItems>
    </cacheField>
    <cacheField name="N° de valeur" numFmtId="0">
      <sharedItems count="10">
        <s v="A"/>
        <s v="B"/>
        <s v="C"/>
        <s v="D"/>
        <s v="E"/>
        <s v="F"/>
        <s v="G"/>
        <s v="H"/>
        <e v="#VALUE!"/>
        <s v=" "/>
      </sharedItems>
    </cacheField>
    <cacheField name="file name" numFmtId="0">
      <sharedItems containsBlank="1"/>
    </cacheField>
    <cacheField name=" total area " numFmtId="0">
      <sharedItems containsBlank="1" containsMixedTypes="1" containsNumber="1" containsInteger="1" minValue="504" maxValue="504"/>
    </cacheField>
    <cacheField name=" mean intensity " numFmtId="0">
      <sharedItems containsBlank="1" containsMixedTypes="1" containsNumber="1" containsInteger="1" minValue="63" maxValue="78"/>
    </cacheField>
    <cacheField name=" " numFmtId="0">
      <sharedItems containsBlank="1" count="24">
        <s v=" "/>
        <m/>
        <s v=" SD mean fluo "/>
        <s v=" 2.8766 "/>
        <s v=" 3.8518 "/>
        <s v=" 2.6471 "/>
        <s v=" 3.4785 "/>
        <s v=" 1.7534 "/>
        <s v=" 5.2294 "/>
        <s v=" 6.2651 "/>
        <s v=" 2.7696 "/>
        <s v=" 2.9102 "/>
        <s v=" 2.4392 "/>
        <s v=" 2.9609 "/>
        <s v=" 7.9678 "/>
        <s v=" 3.7203 "/>
        <s v=" 6.9149 "/>
        <s v=" 4.146 "/>
        <s v=" 5.2945 "/>
        <s v=" 5.229 "/>
        <s v=" 5.6515 "/>
        <s v=" 3.7761 "/>
        <s v=" 4.4689 "/>
        <s v=" 5.0474 "/>
      </sharedItems>
    </cacheField>
    <cacheField name=" total fluorescence" numFmtId="0">
      <sharedItems containsBlank="1" containsMixedTypes="1" containsNumber="1" containsInteger="1" minValue="9366" maxValue="8139373"/>
    </cacheField>
    <cacheField name="         " numFmtId="0">
      <sharedItems containsBlank="1"/>
    </cacheField>
    <cacheField name="nbre de larves" numFmtId="0">
      <sharedItems containsBlank="1" containsMixedTypes="1" containsNumber="1" containsInteger="1" minValue="24" maxValue="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
  <r>
    <x v="0"/>
    <x v="0"/>
    <m/>
    <m/>
    <s v="Témoin solvant"/>
    <x v="0"/>
  </r>
  <r>
    <x v="1"/>
    <x v="0"/>
    <n v="22.5"/>
    <s v="ng/L"/>
    <s v="EE2"/>
    <x v="0"/>
  </r>
  <r>
    <x v="2"/>
    <x v="0"/>
    <n v="33.799999999999997"/>
    <s v="ng/L"/>
    <s v="EE2"/>
    <x v="0"/>
  </r>
  <r>
    <x v="3"/>
    <x v="0"/>
    <n v="50.6"/>
    <s v="ng/L"/>
    <s v="EE2"/>
    <x v="0"/>
  </r>
  <r>
    <x v="4"/>
    <x v="0"/>
    <n v="76"/>
    <s v="ng/L"/>
    <s v="EE2"/>
    <x v="0"/>
  </r>
  <r>
    <x v="5"/>
    <x v="0"/>
    <n v="114"/>
    <s v="ng/L"/>
    <s v="EE2"/>
    <x v="0"/>
  </r>
  <r>
    <x v="6"/>
    <x v="0"/>
    <n v="170.9"/>
    <s v="ng/L"/>
    <s v="EE2"/>
    <x v="0"/>
  </r>
  <r>
    <x v="7"/>
    <x v="0"/>
    <n v="488"/>
    <s v="ng/L"/>
    <s v="EE2"/>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8"/>
    <x v="1"/>
    <m/>
    <m/>
    <m/>
    <x v="0"/>
  </r>
  <r>
    <x v="9"/>
    <x v="0"/>
    <n v="30"/>
    <s v="µg/L"/>
    <s v="Testo "/>
    <x v="0"/>
  </r>
  <r>
    <x v="10"/>
    <x v="0"/>
    <n v="64"/>
    <s v="ng/L"/>
    <s v="Testo 30µg/L + EE2 "/>
    <x v="0"/>
  </r>
  <r>
    <x v="11"/>
    <x v="0"/>
    <n v="10"/>
    <s v="mg/L"/>
    <s v="Testo 30µg/L + FAD"/>
    <x v="0"/>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r>
    <x v="12"/>
    <x v="2"/>
    <n v="0"/>
    <n v="0"/>
    <n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6">
  <r>
    <x v="0"/>
    <x v="0"/>
    <s v="F:\Données chgh\2020-CHG-CZA-Cromolyn-1\plaque 1/@01 TS/A1_01.tif "/>
    <s v=" 1384.3133 "/>
    <s v=" 62.7188 "/>
    <x v="0"/>
    <n v="86822"/>
    <m/>
    <m/>
  </r>
  <r>
    <x v="0"/>
    <x v="0"/>
    <s v="F:\Données chgh\2020-CHG-CZA-Cromolyn-1\plaque 1/@01 TS/A1_02.tif "/>
    <s v=" 1622.2421 "/>
    <s v=" 64.1867 "/>
    <x v="0"/>
    <n v="104126"/>
    <m/>
    <m/>
  </r>
  <r>
    <x v="0"/>
    <x v="0"/>
    <s v="F:\Données chgh\2020-CHG-CZA-Cromolyn-1\plaque 1/@01 TS/A1_03.tif "/>
    <s v=" 1492.4627 "/>
    <s v=" 65.4348 "/>
    <x v="0"/>
    <n v="97659"/>
    <m/>
    <m/>
  </r>
  <r>
    <x v="0"/>
    <x v="1"/>
    <s v="F:\Données chgh\2020-CHG-CZA-Cromolyn-1\plaque 1/@01 TS/B1_01.tif "/>
    <s v=" 9668.5629 "/>
    <s v=" 76.3982 "/>
    <x v="0"/>
    <n v="738661"/>
    <m/>
    <m/>
  </r>
  <r>
    <x v="0"/>
    <x v="1"/>
    <s v="F:\Données chgh\2020-CHG-CZA-Cromolyn-1\plaque 1/@01 TS/B1_02.tif "/>
    <s v=" 9517.1536 "/>
    <s v=" 71.2068 "/>
    <x v="0"/>
    <n v="677686"/>
    <m/>
    <m/>
  </r>
  <r>
    <x v="0"/>
    <x v="1"/>
    <s v="F:\Données chgh\2020-CHG-CZA-Cromolyn-1\plaque 1/@01 TS/B1_03- exclu.tif"/>
    <m/>
    <m/>
    <x v="1"/>
    <m/>
    <m/>
    <m/>
  </r>
  <r>
    <x v="0"/>
    <x v="2"/>
    <s v="F:\Données chgh\2020-CHG-CZA-Cromolyn-1\plaque 1/@01 TS/C1_01.tif "/>
    <s v=" 9646.933 "/>
    <s v=" 69.0964 "/>
    <x v="0"/>
    <n v="666568"/>
    <m/>
    <m/>
  </r>
  <r>
    <x v="0"/>
    <x v="2"/>
    <s v="F:\Données chgh\2020-CHG-CZA-Cromolyn-1\plaque 1/@01 TS/C1_02.tif "/>
    <s v=" 7765.1322 "/>
    <s v=" 70.337 "/>
    <x v="0"/>
    <n v="546176"/>
    <m/>
    <m/>
  </r>
  <r>
    <x v="0"/>
    <x v="2"/>
    <s v="F:\Données chgh\2020-CHG-CZA-Cromolyn-1\plaque 1/@01 TS/C1_03.tif "/>
    <s v=" 6856.6766 "/>
    <s v=" 68.8738 "/>
    <x v="0"/>
    <n v="472245"/>
    <m/>
    <m/>
  </r>
  <r>
    <x v="0"/>
    <x v="3"/>
    <s v="F:\Données chgh\2020-CHG-CZA-Cromolyn-1\plaque 1/@01 TS/D1_01.tif "/>
    <s v=" 4304.349 "/>
    <s v=" 67.0452 "/>
    <x v="0"/>
    <n v="288586"/>
    <m/>
    <m/>
  </r>
  <r>
    <x v="0"/>
    <x v="3"/>
    <s v="F:\Données chgh\2020-CHG-CZA-Cromolyn-1\plaque 1/@01 TS/D1_02.tif "/>
    <s v=" 973.3453 "/>
    <s v=" 63.0222 "/>
    <x v="0"/>
    <n v="61342"/>
    <m/>
    <m/>
  </r>
  <r>
    <x v="0"/>
    <x v="3"/>
    <s v="F:\Données chgh\2020-CHG-CZA-Cromolyn-1\plaque 1/@01 TS/D1_03.tif "/>
    <s v=" 6315.9292 "/>
    <s v=" 68.8699 "/>
    <x v="0"/>
    <n v="434977"/>
    <m/>
    <m/>
  </r>
  <r>
    <x v="0"/>
    <x v="4"/>
    <s v="F:\Données chgh\2020-CHG-CZA-Cromolyn-1\plaque 1/@01 TS/E1_01- exclu.tif"/>
    <m/>
    <m/>
    <x v="1"/>
    <m/>
    <m/>
    <m/>
  </r>
  <r>
    <x v="0"/>
    <x v="4"/>
    <s v="F:\Données chgh\2020-CHG-CZA-Cromolyn-1\plaque 1/@01 TS/E1_02.tif "/>
    <s v=" 6445.7086 "/>
    <s v=" 70.2315 "/>
    <x v="0"/>
    <n v="452692"/>
    <m/>
    <m/>
  </r>
  <r>
    <x v="0"/>
    <x v="4"/>
    <s v="F:\Données chgh\2020-CHG-CZA-Cromolyn-1\plaque 1/@01 TS/E1_03.tif "/>
    <s v=" 9495.5237 "/>
    <s v=" 75.2005 "/>
    <x v="0"/>
    <n v="714068"/>
    <m/>
    <m/>
  </r>
  <r>
    <x v="0"/>
    <x v="5"/>
    <s v="F:\Données chgh\2020-CHG-CZA-Cromolyn-1\plaque 1/@01 TS/F1_01.tif "/>
    <s v=" 7116.2353 "/>
    <s v=" 67.8602 "/>
    <x v="0"/>
    <n v="482909"/>
    <m/>
    <m/>
  </r>
  <r>
    <x v="0"/>
    <x v="5"/>
    <s v="F:\Données chgh\2020-CHG-CZA-Cromolyn-1\plaque 1/@01 TS/F1_02.tif "/>
    <s v=" 6856.6766 "/>
    <s v=" 68.7729 "/>
    <x v="0"/>
    <n v="471553"/>
    <m/>
    <m/>
  </r>
  <r>
    <x v="0"/>
    <x v="5"/>
    <s v="F:\Données chgh\2020-CHG-CZA-Cromolyn-1\plaque 1/@01 TS/F1_03- exclu.tif"/>
    <m/>
    <m/>
    <x v="1"/>
    <m/>
    <m/>
    <m/>
  </r>
  <r>
    <x v="0"/>
    <x v="6"/>
    <s v="F:\Données chgh\2020-CHG-CZA-Cromolyn-1\plaque 1/@01 TS/G1_01- exclu.tif"/>
    <m/>
    <m/>
    <x v="1"/>
    <m/>
    <m/>
    <m/>
  </r>
  <r>
    <x v="0"/>
    <x v="6"/>
    <s v="F:\Données chgh\2020-CHG-CZA-Cromolyn-1\plaque 1/@01 TS/G1_02.tif "/>
    <s v=" 2790.2564 "/>
    <s v=" 65.5271 "/>
    <x v="0"/>
    <n v="182837"/>
    <m/>
    <m/>
  </r>
  <r>
    <x v="0"/>
    <x v="6"/>
    <s v="F:\Données chgh\2020-CHG-CZA-Cromolyn-1\plaque 1/@01 TS/G1_03.tif "/>
    <s v=" 4023.1604 "/>
    <s v=" 67.9032 "/>
    <x v="0"/>
    <n v="273186"/>
    <m/>
    <m/>
  </r>
  <r>
    <x v="0"/>
    <x v="7"/>
    <s v="F:\Données chgh\2020-CHG-CZA-Cromolyn-1\plaque 1/@01 TS/H1_01.tif "/>
    <s v=" 9344.1145 "/>
    <s v=" 70.5556 "/>
    <x v="0"/>
    <n v="659279"/>
    <m/>
    <m/>
  </r>
  <r>
    <x v="0"/>
    <x v="7"/>
    <s v="F:\Données chgh\2020-CHG-CZA-Cromolyn-1\plaque 1/@01 TS/H1_02.tif "/>
    <s v=" 5385.8438 "/>
    <s v=" 64.747 "/>
    <x v="0"/>
    <n v="348717"/>
    <m/>
    <m/>
  </r>
  <r>
    <x v="0"/>
    <x v="7"/>
    <s v="F:\Données chgh\2020-CHG-CZA-Cromolyn-1\plaque 1/@01 TS/H1_03.tif "/>
    <s v=" 1903.4307 "/>
    <s v=" 63.0909 "/>
    <x v="0"/>
    <n v="120089"/>
    <m/>
    <m/>
  </r>
  <r>
    <x v="1"/>
    <x v="8"/>
    <s v=" "/>
    <m/>
    <m/>
    <x v="1"/>
    <m/>
    <m/>
    <m/>
  </r>
  <r>
    <x v="1"/>
    <x v="8"/>
    <s v="group "/>
    <s v=" "/>
    <s v=" mean of mean fluo "/>
    <x v="2"/>
    <s v=" mean of total fluo "/>
    <s v=" SD total fluo "/>
    <s v=" n fluorescent "/>
  </r>
  <r>
    <x v="0"/>
    <x v="9"/>
    <s v="F:\Données chgh\2020-CHG-CZA-Cromolyn-1\plaque 1/@01 TS/ "/>
    <s v=" "/>
    <s v=" 67.5849 "/>
    <x v="3"/>
    <s v=" 362698.917 "/>
    <s v=" 228807.62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
    <x v="0"/>
    <s v="F:\Données chgh\2020-CHG-CZA-Cromolyn-1\plaque 1/@02 EE2 34/A2_01.tif "/>
    <s v=" 2660.477 "/>
    <s v=" 65.626 "/>
    <x v="0"/>
    <n v="174597"/>
    <m/>
    <m/>
  </r>
  <r>
    <x v="2"/>
    <x v="0"/>
    <s v="F:\Données chgh\2020-CHG-CZA-Cromolyn-1\plaque 1/@02 EE2 34/A2_02- exclu.tif"/>
    <m/>
    <m/>
    <x v="1"/>
    <m/>
    <m/>
    <m/>
  </r>
  <r>
    <x v="2"/>
    <x v="0"/>
    <s v="F:\Données chgh\2020-CHG-CZA-Cromolyn-1\plaque 1/@02 EE2 34/A2_03.tif "/>
    <s v=" 4736.9469 "/>
    <s v=" 65.0137 "/>
    <x v="0"/>
    <n v="307966"/>
    <m/>
    <m/>
  </r>
  <r>
    <x v="2"/>
    <x v="1"/>
    <s v="F:\Données chgh\2020-CHG-CZA-Cromolyn-1\plaque 1/@02 EE2 34/B2_01.tif "/>
    <s v=" 5083.0252 "/>
    <s v=" 67.5787 "/>
    <x v="0"/>
    <n v="343504"/>
    <m/>
    <m/>
  </r>
  <r>
    <x v="2"/>
    <x v="1"/>
    <s v="F:\Données chgh\2020-CHG-CZA-Cromolyn-1\plaque 1/@02 EE2 34/B2_02.tif "/>
    <s v=" 5991.4808 "/>
    <s v=" 67.9964 "/>
    <x v="0"/>
    <n v="407399"/>
    <m/>
    <m/>
  </r>
  <r>
    <x v="2"/>
    <x v="1"/>
    <s v="F:\Données chgh\2020-CHG-CZA-Cromolyn-1\plaque 1/@02 EE2 34/B2_03.tif "/>
    <s v=" 18169.1115 "/>
    <s v=" 67.8833 "/>
    <x v="0"/>
    <n v="1233380"/>
    <m/>
    <m/>
  </r>
  <r>
    <x v="2"/>
    <x v="2"/>
    <s v="F:\Données chgh\2020-CHG-CZA-Cromolyn-1\plaque 1/@02 EE2 34/C2_01.tif "/>
    <s v=" 22819.5388 "/>
    <s v=" 66.3118 "/>
    <x v="0"/>
    <n v="1513206"/>
    <m/>
    <m/>
  </r>
  <r>
    <x v="2"/>
    <x v="2"/>
    <s v="F:\Données chgh\2020-CHG-CZA-Cromolyn-1\plaque 1/@02 EE2 34/C2_02.tif "/>
    <s v=" 23468.4357 "/>
    <s v=" 66.2018 "/>
    <x v="0"/>
    <n v="1553654"/>
    <m/>
    <m/>
  </r>
  <r>
    <x v="2"/>
    <x v="2"/>
    <s v="F:\Données chgh\2020-CHG-CZA-Cromolyn-1\plaque 1/@02 EE2 34/C2_03.tif "/>
    <s v=" 20505.1401 "/>
    <s v=" 65.7774 "/>
    <x v="0"/>
    <n v="1348775"/>
    <m/>
    <m/>
  </r>
  <r>
    <x v="2"/>
    <x v="3"/>
    <s v="F:\Données chgh\2020-CHG-CZA-Cromolyn-1\plaque 1/@02 EE2 34/D2_01.tif "/>
    <s v=" 9863.232 "/>
    <s v=" 67.3026 "/>
    <x v="0"/>
    <n v="663821"/>
    <m/>
    <m/>
  </r>
  <r>
    <x v="2"/>
    <x v="3"/>
    <s v="F:\Données chgh\2020-CHG-CZA-Cromolyn-1\plaque 1/@02 EE2 34/D2_02.tif "/>
    <s v=" 6099.6303 "/>
    <s v=" 67.5142 "/>
    <x v="0"/>
    <n v="411812"/>
    <m/>
    <m/>
  </r>
  <r>
    <x v="2"/>
    <x v="3"/>
    <s v="F:\Données chgh\2020-CHG-CZA-Cromolyn-1\plaque 1/@02 EE2 34/D2_03.tif "/>
    <s v=" 5212.8046 "/>
    <s v=" 67.8216 "/>
    <x v="0"/>
    <n v="353541"/>
    <m/>
    <m/>
  </r>
  <r>
    <x v="2"/>
    <x v="4"/>
    <s v="F:\Données chgh\2020-CHG-CZA-Cromolyn-1\plaque 1/@02 EE2 34/E2_01.tif "/>
    <s v=" 8760.1073 "/>
    <s v=" 73.1111 "/>
    <x v="0"/>
    <n v="640461"/>
    <m/>
    <m/>
  </r>
  <r>
    <x v="2"/>
    <x v="4"/>
    <s v="F:\Données chgh\2020-CHG-CZA-Cromolyn-1\plaque 1/@02 EE2 34/E2_02- exclu.tif"/>
    <m/>
    <m/>
    <x v="1"/>
    <m/>
    <m/>
    <m/>
  </r>
  <r>
    <x v="2"/>
    <x v="4"/>
    <s v="F:\Données chgh\2020-CHG-CZA-Cromolyn-1\plaque 1/@02 EE2 34/E2_03.tif "/>
    <s v=" 8500.5486 "/>
    <s v=" 67.2366 "/>
    <x v="0"/>
    <n v="571548"/>
    <m/>
    <m/>
  </r>
  <r>
    <x v="2"/>
    <x v="5"/>
    <s v="F:\Données chgh\2020-CHG-CZA-Cromolyn-1\plaque 1/@02 EE2 34/F2_01.tif "/>
    <s v=" 3547.3027 "/>
    <s v=" 65.0488 "/>
    <x v="0"/>
    <n v="230748"/>
    <m/>
    <m/>
  </r>
  <r>
    <x v="2"/>
    <x v="5"/>
    <s v="F:\Données chgh\2020-CHG-CZA-Cromolyn-1\plaque 1/@02 EE2 34/F2_02.tif "/>
    <s v=" 5472.3633 "/>
    <s v=" 67.1937 "/>
    <x v="0"/>
    <n v="367708"/>
    <m/>
    <m/>
  </r>
  <r>
    <x v="2"/>
    <x v="5"/>
    <s v="F:\Données chgh\2020-CHG-CZA-Cromolyn-1\plaque 1/@02 EE2 34/F2_03.tif "/>
    <s v=" 8889.8867 "/>
    <s v=" 68.3455 "/>
    <x v="0"/>
    <n v="607584"/>
    <m/>
    <m/>
  </r>
  <r>
    <x v="2"/>
    <x v="6"/>
    <s v="F:\Données chgh\2020-CHG-CZA-Cromolyn-1\plaque 1/@02 EE2 34/G2_01.tif "/>
    <s v=" 1146.3844 "/>
    <s v=" 64.4717 "/>
    <x v="0"/>
    <n v="73909"/>
    <m/>
    <m/>
  </r>
  <r>
    <x v="2"/>
    <x v="6"/>
    <s v="F:\Données chgh\2020-CHG-CZA-Cromolyn-1\plaque 1/@02 EE2 34/G2_02.tif "/>
    <s v=" 1860.1709 "/>
    <s v=" 64.3605 "/>
    <x v="0"/>
    <n v="119721"/>
    <m/>
    <m/>
  </r>
  <r>
    <x v="2"/>
    <x v="6"/>
    <s v="F:\Données chgh\2020-CHG-CZA-Cromolyn-1\plaque 1/@02 EE2 34/G2_03.tif "/>
    <s v=" 1405.9432 "/>
    <s v=" 63.4308 "/>
    <x v="0"/>
    <n v="89180"/>
    <m/>
    <m/>
  </r>
  <r>
    <x v="2"/>
    <x v="7"/>
    <s v="F:\Données chgh\2020-CHG-CZA-Cromolyn-1\plaque 1/@02 EE2 34/H2_01.tif "/>
    <s v=" 1124.7545 "/>
    <n v="65"/>
    <x v="0"/>
    <n v="73109"/>
    <m/>
    <m/>
  </r>
  <r>
    <x v="2"/>
    <x v="7"/>
    <s v="F:\Données chgh\2020-CHG-CZA-Cromolyn-1\plaque 1/@02 EE2 34/H2_02.tif "/>
    <s v=" 1168.0143 "/>
    <s v=" 65.9259 "/>
    <x v="0"/>
    <n v="77002"/>
    <m/>
    <m/>
  </r>
  <r>
    <x v="2"/>
    <x v="7"/>
    <s v="F:\Données chgh\2020-CHG-CZA-Cromolyn-1\plaque 1/@02 EE2 34/H2_03.tif "/>
    <s v=" 1752.0215 "/>
    <s v=" 64.4938 "/>
    <x v="0"/>
    <n v="112995"/>
    <m/>
    <m/>
  </r>
  <r>
    <x v="1"/>
    <x v="8"/>
    <s v=" "/>
    <m/>
    <m/>
    <x v="1"/>
    <m/>
    <m/>
    <m/>
  </r>
  <r>
    <x v="1"/>
    <x v="8"/>
    <s v="group "/>
    <s v=" "/>
    <s v=" mean of mean fluo "/>
    <x v="2"/>
    <s v=" mean of total fluo "/>
    <s v=" SD total fluo "/>
    <s v=" n fluorescent "/>
  </r>
  <r>
    <x v="2"/>
    <x v="9"/>
    <s v="F:\Données chgh\2020-CHG-CZA-Cromolyn-1\plaque 1/@02 EE2 34/ "/>
    <s v=" "/>
    <s v=" 66.6927 "/>
    <x v="4"/>
    <s v=" 503185.208 "/>
    <s v=" 463402.03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3"/>
    <x v="0"/>
    <s v="F:\Données chgh\2020-CHG-CZA-Cromolyn-1\plaque 1/@03 EE2 51/A3_01.tif "/>
    <s v=" 346.0783 "/>
    <s v=" 62.25 "/>
    <x v="0"/>
    <n v="21543"/>
    <m/>
    <m/>
  </r>
  <r>
    <x v="3"/>
    <x v="0"/>
    <s v="F:\Données chgh\2020-CHG-CZA-Cromolyn-1\plaque 1/@03 EE2 51/A3_02.tif "/>
    <s v=" 3612.1924 "/>
    <s v=" 65.4251 "/>
    <x v="0"/>
    <n v="236328"/>
    <m/>
    <m/>
  </r>
  <r>
    <x v="3"/>
    <x v="0"/>
    <s v="F:\Données chgh\2020-CHG-CZA-Cromolyn-1\plaque 1/@03 EE2 51/A3_03.tif "/>
    <s v=" 281.1886 "/>
    <s v=" 64.6923 "/>
    <x v="0"/>
    <n v="18191"/>
    <m/>
    <m/>
  </r>
  <r>
    <x v="3"/>
    <x v="1"/>
    <s v="F:\Données chgh\2020-CHG-CZA-Cromolyn-1\plaque 1/@03 EE2 51/B3_01.tif "/>
    <s v=" 8370.7692 "/>
    <s v=" 67.3488 "/>
    <x v="0"/>
    <n v="563762"/>
    <m/>
    <m/>
  </r>
  <r>
    <x v="3"/>
    <x v="1"/>
    <s v="F:\Données chgh\2020-CHG-CZA-Cromolyn-1\plaque 1/@03 EE2 51/B3_02.tif "/>
    <s v=" 10230.9402 "/>
    <s v=" 69.8816 "/>
    <x v="0"/>
    <n v="714955"/>
    <m/>
    <m/>
  </r>
  <r>
    <x v="3"/>
    <x v="1"/>
    <s v="F:\Données chgh\2020-CHG-CZA-Cromolyn-1\plaque 1/@03 EE2 51/B3_03.tif "/>
    <s v=" 8154.4703 "/>
    <s v=" 67.496 "/>
    <x v="0"/>
    <n v="550394"/>
    <m/>
    <m/>
  </r>
  <r>
    <x v="3"/>
    <x v="2"/>
    <s v="F:\Données chgh\2020-CHG-CZA-Cromolyn-1\plaque 1/@03 EE2 51/C3_01.tif "/>
    <s v=" 3028.1852 "/>
    <s v=" 64.2786 "/>
    <x v="0"/>
    <n v="194647"/>
    <m/>
    <m/>
  </r>
  <r>
    <x v="3"/>
    <x v="2"/>
    <s v="F:\Données chgh\2020-CHG-CZA-Cromolyn-1\plaque 1/@03 EE2 51/C3_02.tif "/>
    <s v=" 2357.6585 "/>
    <s v=" 64.2294 "/>
    <x v="0"/>
    <n v="151431"/>
    <m/>
    <m/>
  </r>
  <r>
    <x v="3"/>
    <x v="2"/>
    <s v="F:\Données chgh\2020-CHG-CZA-Cromolyn-1\plaque 1/@03 EE2 51/C3_03.tif "/>
    <s v=" 3071.445 "/>
    <s v=" 64.5423 "/>
    <x v="0"/>
    <n v="198238"/>
    <m/>
    <m/>
  </r>
  <r>
    <x v="3"/>
    <x v="3"/>
    <s v="F:\Données chgh\2020-CHG-CZA-Cromolyn-1\plaque 1/@03 EE2 51/D3_01.tif "/>
    <s v=" 4109.68 "/>
    <s v=" 67.5737 "/>
    <x v="0"/>
    <n v="277706"/>
    <m/>
    <m/>
  </r>
  <r>
    <x v="3"/>
    <x v="3"/>
    <s v="F:\Données chgh\2020-CHG-CZA-Cromolyn-1\plaque 1/@03 EE2 51/D3_02.tif "/>
    <s v=" 6597.1179 "/>
    <s v=" 70.2918 "/>
    <x v="0"/>
    <n v="463723"/>
    <m/>
    <m/>
  </r>
  <r>
    <x v="3"/>
    <x v="3"/>
    <s v="F:\Données chgh\2020-CHG-CZA-Cromolyn-1\plaque 1/@03 EE2 51/D3_03.tif "/>
    <s v=" 2790.2564 "/>
    <s v=" 71.1705 "/>
    <x v="0"/>
    <n v="198584"/>
    <m/>
    <m/>
  </r>
  <r>
    <x v="3"/>
    <x v="4"/>
    <s v="F:\Données chgh\2020-CHG-CZA-Cromolyn-1\plaque 1/@03 EE2 51/E3_01.tif "/>
    <s v=" 8760.1073 "/>
    <s v=" 70.9654 "/>
    <x v="0"/>
    <n v="621665"/>
    <m/>
    <m/>
  </r>
  <r>
    <x v="3"/>
    <x v="4"/>
    <s v="F:\Données chgh\2020-CHG-CZA-Cromolyn-1\plaque 1/@03 EE2 51/E3_02.tif "/>
    <s v=" 9776.7124 "/>
    <s v=" 71.2588 "/>
    <x v="0"/>
    <n v="696677"/>
    <m/>
    <m/>
  </r>
  <r>
    <x v="3"/>
    <x v="4"/>
    <s v="F:\Données chgh\2020-CHG-CZA-Cromolyn-1\plaque 1/@03 EE2 51/E3_03.tif "/>
    <s v=" 9603.6732 "/>
    <s v=" 68.9459 "/>
    <x v="0"/>
    <n v="662134"/>
    <m/>
    <m/>
  </r>
  <r>
    <x v="3"/>
    <x v="5"/>
    <s v="F:\Données chgh\2020-CHG-CZA-Cromolyn-1\plaque 1/@03 EE2 51/F3_01.tif "/>
    <s v=" 1427.573 "/>
    <s v=" 65.9394 "/>
    <x v="0"/>
    <n v="94133"/>
    <m/>
    <m/>
  </r>
  <r>
    <x v="3"/>
    <x v="5"/>
    <s v="F:\Données chgh\2020-CHG-CZA-Cromolyn-1\plaque 1/@03 EE2 51/F3_02.tif "/>
    <s v=" 2984.9255 "/>
    <s v=" 67.1159 "/>
    <x v="0"/>
    <n v="200336"/>
    <m/>
    <m/>
  </r>
  <r>
    <x v="3"/>
    <x v="5"/>
    <s v="F:\Données chgh\2020-CHG-CZA-Cromolyn-1\plaque 1/@03 EE2 51/F3_03.tif "/>
    <s v=" 2206.2493 "/>
    <s v=" 66.902 "/>
    <x v="0"/>
    <n v="147602"/>
    <m/>
    <m/>
  </r>
  <r>
    <x v="3"/>
    <x v="6"/>
    <s v="F:\Données chgh\2020-CHG-CZA-Cromolyn-1\plaque 1/@03 EE2 51/G3_01.tif "/>
    <s v=" 5320.9541 "/>
    <s v=" 69.4878 "/>
    <x v="0"/>
    <n v="369741"/>
    <m/>
    <m/>
  </r>
  <r>
    <x v="3"/>
    <x v="6"/>
    <s v="F:\Données chgh\2020-CHG-CZA-Cromolyn-1\plaque 1/@03 EE2 51/G3_02.tif "/>
    <s v=" 1016.605 "/>
    <s v=" 63.2553 "/>
    <x v="0"/>
    <n v="64306"/>
    <m/>
    <m/>
  </r>
  <r>
    <x v="3"/>
    <x v="6"/>
    <s v="F:\Données chgh\2020-CHG-CZA-Cromolyn-1\plaque 1/@03 EE2 51/G3_03.tif "/>
    <s v=" 2855.1461 "/>
    <s v=" 65.553 "/>
    <x v="0"/>
    <n v="187163"/>
    <m/>
    <m/>
  </r>
  <r>
    <x v="3"/>
    <x v="7"/>
    <s v="F:\Données chgh\2020-CHG-CZA-Cromolyn-1\plaque 1/@03 EE2 51/H3_01- exclu.tif"/>
    <m/>
    <m/>
    <x v="1"/>
    <m/>
    <m/>
    <m/>
  </r>
  <r>
    <x v="3"/>
    <x v="7"/>
    <s v="F:\Données chgh\2020-CHG-CZA-Cromolyn-1\plaque 1/@03 EE2 51/H3_02- exclu.tif"/>
    <m/>
    <m/>
    <x v="1"/>
    <m/>
    <m/>
    <m/>
  </r>
  <r>
    <x v="3"/>
    <x v="7"/>
    <s v="F:\Données chgh\2020-CHG-CZA-Cromolyn-1\plaque 1/@03 EE2 51/H3_03- exclu.tif"/>
    <m/>
    <m/>
    <x v="1"/>
    <m/>
    <m/>
    <m/>
  </r>
  <r>
    <x v="1"/>
    <x v="8"/>
    <s v=" "/>
    <m/>
    <m/>
    <x v="1"/>
    <m/>
    <m/>
    <m/>
  </r>
  <r>
    <x v="1"/>
    <x v="8"/>
    <s v="group "/>
    <s v=" "/>
    <s v=" mean of mean fluo "/>
    <x v="2"/>
    <s v=" mean of total fluo "/>
    <s v=" SD total fluo "/>
    <s v=" n fluorescent "/>
  </r>
  <r>
    <x v="3"/>
    <x v="9"/>
    <s v="F:\Données chgh\2020-CHG-CZA-Cromolyn-1\plaque 1/@03 EE2 51/ "/>
    <s v=" "/>
    <s v=" 66.7404 "/>
    <x v="5"/>
    <s v=" 277196.917 "/>
    <s v=" 240759.9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4"/>
    <x v="0"/>
    <s v="F:\Données chgh\2020-CHG-CZA-Cromolyn-1\plaque 1/@04 EE2 76/A4_01.tif "/>
    <s v=" 6597.1179 "/>
    <s v=" 66.5836 "/>
    <x v="0"/>
    <n v="439260"/>
    <m/>
    <m/>
  </r>
  <r>
    <x v="4"/>
    <x v="0"/>
    <s v="F:\Données chgh\2020-CHG-CZA-Cromolyn-1\plaque 1/@04 EE2 76/A4_02- exclu.tif"/>
    <m/>
    <m/>
    <x v="1"/>
    <m/>
    <m/>
    <m/>
  </r>
  <r>
    <x v="4"/>
    <x v="0"/>
    <s v="F:\Données chgh\2020-CHG-CZA-Cromolyn-1\plaque 1/@04 EE2 76/A4_03.tif "/>
    <s v=" 4866.7263 "/>
    <s v=" 70.2756 "/>
    <x v="0"/>
    <n v="342012"/>
    <m/>
    <m/>
  </r>
  <r>
    <x v="4"/>
    <x v="1"/>
    <s v="F:\Données chgh\2020-CHG-CZA-Cromolyn-1\plaque 1/@04 EE2 76/B4_01.tif "/>
    <s v=" 10403.9793 "/>
    <s v=" 72.1164 "/>
    <x v="0"/>
    <n v="750298"/>
    <m/>
    <m/>
  </r>
  <r>
    <x v="4"/>
    <x v="1"/>
    <s v="F:\Données chgh\2020-CHG-CZA-Cromolyn-1\plaque 1/@04 EE2 76/B4_02.tif "/>
    <s v=" 12134.3709 "/>
    <s v=" 76.8431 "/>
    <x v="0"/>
    <n v="932443"/>
    <m/>
    <m/>
  </r>
  <r>
    <x v="4"/>
    <x v="1"/>
    <s v="F:\Données chgh\2020-CHG-CZA-Cromolyn-1\plaque 1/@04 EE2 76/B4_03.tif "/>
    <s v=" 12177.6307 "/>
    <s v=" 74.4067 "/>
    <x v="0"/>
    <n v="906098"/>
    <m/>
    <m/>
  </r>
  <r>
    <x v="4"/>
    <x v="2"/>
    <s v="F:\Données chgh\2020-CHG-CZA-Cromolyn-1\plaque 1/@04 EE2 76/C4_01.tif "/>
    <s v=" 1946.6905 "/>
    <s v=" 65.5111 "/>
    <x v="0"/>
    <n v="127530"/>
    <m/>
    <m/>
  </r>
  <r>
    <x v="4"/>
    <x v="2"/>
    <s v="F:\Données chgh\2020-CHG-CZA-Cromolyn-1\plaque 1/@04 EE2 76/C4_02.tif "/>
    <s v=" 2552.3276 "/>
    <s v=" 67.2627 "/>
    <x v="0"/>
    <n v="171676"/>
    <m/>
    <m/>
  </r>
  <r>
    <x v="4"/>
    <x v="2"/>
    <s v="F:\Données chgh\2020-CHG-CZA-Cromolyn-1\plaque 1/@04 EE2 76/C4_03.tif "/>
    <s v=" 1449.2029 "/>
    <s v=" 65.6119 "/>
    <x v="0"/>
    <n v="95085"/>
    <m/>
    <m/>
  </r>
  <r>
    <x v="4"/>
    <x v="3"/>
    <s v="F:\Données chgh\2020-CHG-CZA-Cromolyn-1\plaque 1/@04 EE2 76/D4_01.tif "/>
    <s v=" 6294.2993 "/>
    <s v=" 68.1203 "/>
    <x v="0"/>
    <n v="428769"/>
    <m/>
    <m/>
  </r>
  <r>
    <x v="4"/>
    <x v="3"/>
    <s v="F:\Données chgh\2020-CHG-CZA-Cromolyn-1\plaque 1/@04 EE2 76/D4_02.tif "/>
    <s v=" 7159.4951 "/>
    <s v=" 69.4471 "/>
    <x v="0"/>
    <n v="497206"/>
    <m/>
    <m/>
  </r>
  <r>
    <x v="4"/>
    <x v="3"/>
    <s v="F:\Données chgh\2020-CHG-CZA-Cromolyn-1\plaque 1/@04 EE2 76/D4_03.tif "/>
    <s v=" 8630.328 "/>
    <s v=" 78.7018 "/>
    <x v="0"/>
    <n v="679222"/>
    <m/>
    <m/>
  </r>
  <r>
    <x v="4"/>
    <x v="4"/>
    <s v="F:\Données chgh\2020-CHG-CZA-Cromolyn-1\plaque 1/@04 EE2 76/E4_01.tif "/>
    <s v=" 3590.5625 "/>
    <s v=" 64.8614 "/>
    <x v="0"/>
    <n v="232889"/>
    <m/>
    <m/>
  </r>
  <r>
    <x v="4"/>
    <x v="4"/>
    <s v="F:\Données chgh\2020-CHG-CZA-Cromolyn-1\plaque 1/@04 EE2 76/E4_02.tif "/>
    <s v=" 3352.6337 "/>
    <s v=" 64.7806 "/>
    <x v="0"/>
    <n v="217186"/>
    <m/>
    <m/>
  </r>
  <r>
    <x v="4"/>
    <x v="4"/>
    <s v="F:\Données chgh\2020-CHG-CZA-Cromolyn-1\plaque 1/@04 EE2 76/E4_03.tif "/>
    <s v=" 6921.5663 "/>
    <s v=" 69.225 "/>
    <x v="0"/>
    <n v="479145"/>
    <m/>
    <m/>
  </r>
  <r>
    <x v="4"/>
    <x v="5"/>
    <s v="F:\Données chgh\2020-CHG-CZA-Cromolyn-1\plaque 1/@04 EE2 76/F4_01.tif "/>
    <s v=" 2487.4379 "/>
    <s v=" 63.313 "/>
    <x v="0"/>
    <n v="157487"/>
    <m/>
    <m/>
  </r>
  <r>
    <x v="4"/>
    <x v="5"/>
    <s v="F:\Données chgh\2020-CHG-CZA-Cromolyn-1\plaque 1/@04 EE2 76/F4_02.tif "/>
    <s v=" 7224.3848 "/>
    <s v=" 64.6826 "/>
    <x v="0"/>
    <n v="467292"/>
    <m/>
    <m/>
  </r>
  <r>
    <x v="4"/>
    <x v="5"/>
    <s v="F:\Données chgh\2020-CHG-CZA-Cromolyn-1\plaque 1/@04 EE2 76/F4_03.tif "/>
    <s v=" 10014.6412 "/>
    <s v=" 68.9287 "/>
    <x v="0"/>
    <n v="690296"/>
    <m/>
    <m/>
  </r>
  <r>
    <x v="4"/>
    <x v="6"/>
    <s v="F:\Données chgh\2020-CHG-CZA-Cromolyn-1\plaque 1/@04 EE2 76/G4_01.tif "/>
    <s v=" 1189.6442 "/>
    <s v=" 68.2182 "/>
    <x v="0"/>
    <n v="81155"/>
    <m/>
    <m/>
  </r>
  <r>
    <x v="4"/>
    <x v="6"/>
    <s v="F:\Données chgh\2020-CHG-CZA-Cromolyn-1\plaque 1/@04 EE2 76/G4_02.tif "/>
    <s v=" 1232.904 "/>
    <s v=" 67.3158 "/>
    <x v="0"/>
    <n v="82994"/>
    <m/>
    <m/>
  </r>
  <r>
    <x v="4"/>
    <x v="6"/>
    <s v="F:\Données chgh\2020-CHG-CZA-Cromolyn-1\plaque 1/@04 EE2 76/G4_03.tif "/>
    <s v=" 1968.3204 "/>
    <s v=" 69.9341 "/>
    <x v="0"/>
    <n v="137653"/>
    <m/>
    <m/>
  </r>
  <r>
    <x v="4"/>
    <x v="7"/>
    <s v="F:\Données chgh\2020-CHG-CZA-Cromolyn-1\plaque 1/@04 EE2 76/H4_01.tif "/>
    <s v=" 5212.8046 "/>
    <s v=" 65.4896 "/>
    <x v="0"/>
    <n v="341385"/>
    <m/>
    <m/>
  </r>
  <r>
    <x v="4"/>
    <x v="7"/>
    <s v="F:\Données chgh\2020-CHG-CZA-Cromolyn-1\plaque 1/@04 EE2 76/H4_02.tif "/>
    <s v=" 1795.2813 "/>
    <s v=" 64.8072 "/>
    <x v="0"/>
    <n v="116347"/>
    <m/>
    <m/>
  </r>
  <r>
    <x v="4"/>
    <x v="7"/>
    <s v="F:\Données chgh\2020-CHG-CZA-Cromolyn-1\plaque 1/@04 EE2 76/H4_03.tif "/>
    <s v=" 3331.0038 "/>
    <s v=" 64.4026 "/>
    <x v="0"/>
    <n v="214525"/>
    <m/>
    <m/>
  </r>
  <r>
    <x v="1"/>
    <x v="8"/>
    <s v=" "/>
    <m/>
    <m/>
    <x v="1"/>
    <m/>
    <m/>
    <m/>
  </r>
  <r>
    <x v="1"/>
    <x v="8"/>
    <s v="group "/>
    <s v=" "/>
    <s v=" mean of mean fluo "/>
    <x v="2"/>
    <s v=" mean of total fluo "/>
    <s v=" SD total fluo "/>
    <s v=" n fluorescent "/>
  </r>
  <r>
    <x v="4"/>
    <x v="9"/>
    <s v="F:\Données chgh\2020-CHG-CZA-Cromolyn-1\plaque 1/@04 EE2 76/ "/>
    <s v=" "/>
    <s v=" 68.0366 "/>
    <x v="6"/>
    <s v=" 359285.083 "/>
    <s v=" 269689.92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5"/>
    <x v="0"/>
    <s v="F:\Données chgh\2020-CHG-CZA-Cromolyn-1\plaque 1/@05 EE2 114/A5_01.tif "/>
    <s v=" 35927.255 "/>
    <s v=" 69.5533 "/>
    <x v="0"/>
    <n v="2498858"/>
    <m/>
    <m/>
  </r>
  <r>
    <x v="5"/>
    <x v="0"/>
    <s v="F:\Données chgh\2020-CHG-CZA-Cromolyn-1\plaque 1/@05 EE2 114/A5_02.tif "/>
    <s v=" 28010.7135 "/>
    <s v=" 65.3668 "/>
    <x v="0"/>
    <n v="1830971"/>
    <m/>
    <m/>
  </r>
  <r>
    <x v="5"/>
    <x v="0"/>
    <s v="F:\Données chgh\2020-CHG-CZA-Cromolyn-1\plaque 1/@05 EE2 114/A5_03- exclu.tif"/>
    <m/>
    <m/>
    <x v="1"/>
    <m/>
    <m/>
    <m/>
  </r>
  <r>
    <x v="5"/>
    <x v="1"/>
    <s v="F:\Données chgh\2020-CHG-CZA-Cromolyn-1\plaque 1/@05 EE2 114/B5_01.tif "/>
    <s v=" 45855.3766 "/>
    <s v=" 70.7995 "/>
    <x v="0"/>
    <n v="3246539"/>
    <m/>
    <m/>
  </r>
  <r>
    <x v="5"/>
    <x v="1"/>
    <s v="F:\Données chgh\2020-CHG-CZA-Cromolyn-1\plaque 1/@05 EE2 114/B5_02.tif "/>
    <s v=" 51998.2667 "/>
    <s v=" 71.5986 "/>
    <x v="0"/>
    <n v="3723002"/>
    <m/>
    <m/>
  </r>
  <r>
    <x v="5"/>
    <x v="1"/>
    <s v="F:\Données chgh\2020-CHG-CZA-Cromolyn-1\plaque 1/@05 EE2 114/B5_03.tif "/>
    <s v=" 56518.9147 "/>
    <s v=" 72.3345 "/>
    <x v="0"/>
    <n v="4088266"/>
    <m/>
    <m/>
  </r>
  <r>
    <x v="5"/>
    <x v="2"/>
    <s v="F:\Données chgh\2020-CHG-CZA-Cromolyn-1\plaque 1/@05 EE2 114/C5_01.tif "/>
    <s v=" 29005.6887 "/>
    <s v=" 66.5377 "/>
    <x v="0"/>
    <n v="1929971"/>
    <m/>
    <m/>
  </r>
  <r>
    <x v="5"/>
    <x v="2"/>
    <s v="F:\Données chgh\2020-CHG-CZA-Cromolyn-1\plaque 1/@05 EE2 114/C5_02.tif "/>
    <s v=" 31384.9771 "/>
    <s v=" 67.6589 "/>
    <x v="0"/>
    <n v="2123472"/>
    <m/>
    <m/>
  </r>
  <r>
    <x v="5"/>
    <x v="2"/>
    <s v="F:\Données chgh\2020-CHG-CZA-Cromolyn-1\plaque 1/@05 EE2 114/C5_03.tif "/>
    <s v=" 29849.2546 "/>
    <s v=" 67.2333 "/>
    <x v="0"/>
    <n v="2006865"/>
    <m/>
    <m/>
  </r>
  <r>
    <x v="5"/>
    <x v="3"/>
    <s v="F:\Données chgh\2020-CHG-CZA-Cromolyn-1\plaque 1/@05 EE2 114/D5_01.tif "/>
    <s v=" 20461.8803 "/>
    <s v=" 66.1374 "/>
    <x v="0"/>
    <n v="1353296"/>
    <m/>
    <m/>
  </r>
  <r>
    <x v="5"/>
    <x v="3"/>
    <s v="F:\Données chgh\2020-CHG-CZA-Cromolyn-1\plaque 1/@05 EE2 114/D5_02.tif "/>
    <s v=" 16027.7519 "/>
    <s v=" 66.2335 "/>
    <x v="0"/>
    <n v="1061574"/>
    <m/>
    <m/>
  </r>
  <r>
    <x v="5"/>
    <x v="3"/>
    <s v="F:\Données chgh\2020-CHG-CZA-Cromolyn-1\plaque 1/@05 EE2 114/D5_03.tif "/>
    <s v=" 21629.8946 "/>
    <s v=" 65.733 "/>
    <x v="0"/>
    <n v="1421798"/>
    <m/>
    <m/>
  </r>
  <r>
    <x v="5"/>
    <x v="4"/>
    <s v="F:\Données chgh\2020-CHG-CZA-Cromolyn-1\plaque 1/@05 EE2 114/E5_01.tif "/>
    <s v=" 31644.5358 "/>
    <s v=" 67.9323 "/>
    <x v="0"/>
    <n v="2149687"/>
    <m/>
    <m/>
  </r>
  <r>
    <x v="5"/>
    <x v="4"/>
    <s v="F:\Données chgh\2020-CHG-CZA-Cromolyn-1\plaque 1/@05 EE2 114/E5_02.tif "/>
    <s v=" 30952.3792 "/>
    <s v=" 67.7659 "/>
    <x v="0"/>
    <n v="2097516"/>
    <m/>
    <m/>
  </r>
  <r>
    <x v="5"/>
    <x v="4"/>
    <s v="F:\Données chgh\2020-CHG-CZA-Cromolyn-1\plaque 1/@05 EE2 114/E5_03.tif "/>
    <s v=" 34002.1944 "/>
    <s v=" 68.0585 "/>
    <x v="0"/>
    <n v="2314139"/>
    <m/>
    <m/>
  </r>
  <r>
    <x v="5"/>
    <x v="5"/>
    <s v="F:\Données chgh\2020-CHG-CZA-Cromolyn-1\plaque 1/@05 EE2 114/F5_01.tif "/>
    <s v=" 43540.9779 "/>
    <s v=" 67.3279 "/>
    <x v="0"/>
    <n v="2931521"/>
    <m/>
    <m/>
  </r>
  <r>
    <x v="5"/>
    <x v="5"/>
    <s v="F:\Données chgh\2020-CHG-CZA-Cromolyn-1\plaque 1/@05 EE2 114/F5_02.tif "/>
    <s v=" 42243.1842 "/>
    <s v=" 67.3513 "/>
    <x v="0"/>
    <n v="2845131"/>
    <m/>
    <m/>
  </r>
  <r>
    <x v="5"/>
    <x v="5"/>
    <s v="F:\Données chgh\2020-CHG-CZA-Cromolyn-1\plaque 1/@05 EE2 114/F5_03.tif "/>
    <s v=" 41421.2482 "/>
    <s v=" 67.1039 "/>
    <x v="0"/>
    <n v="2779528"/>
    <m/>
    <m/>
  </r>
  <r>
    <x v="5"/>
    <x v="6"/>
    <s v="F:\Données chgh\2020-CHG-CZA-Cromolyn-1\plaque 1/@05 EE2 114/G5_01.tif "/>
    <s v=" 21694.7843 "/>
    <s v=" 65.659 "/>
    <x v="0"/>
    <n v="1424458"/>
    <m/>
    <m/>
  </r>
  <r>
    <x v="5"/>
    <x v="6"/>
    <s v="F:\Données chgh\2020-CHG-CZA-Cromolyn-1\plaque 1/@05 EE2 114/G5_02.tif "/>
    <s v=" 20353.7308 "/>
    <s v=" 65.7726 "/>
    <x v="0"/>
    <n v="1338717"/>
    <m/>
    <m/>
  </r>
  <r>
    <x v="5"/>
    <x v="6"/>
    <s v="F:\Données chgh\2020-CHG-CZA-Cromolyn-1\plaque 1/@05 EE2 114/G5_03.tif "/>
    <s v=" 21716.4142 "/>
    <s v=" 65.8655 "/>
    <x v="0"/>
    <n v="1430363"/>
    <m/>
    <m/>
  </r>
  <r>
    <x v="5"/>
    <x v="7"/>
    <s v="F:\Données chgh\2020-CHG-CZA-Cromolyn-1\plaque 1/@05 EE2 114/H5_01- exclu.tif"/>
    <m/>
    <m/>
    <x v="1"/>
    <m/>
    <m/>
    <m/>
  </r>
  <r>
    <x v="5"/>
    <x v="7"/>
    <s v="F:\Données chgh\2020-CHG-CZA-Cromolyn-1\plaque 1/@05 EE2 114/H5_02.tif "/>
    <s v=" 28270.2723 "/>
    <s v=" 66.0122 "/>
    <x v="0"/>
    <n v="1866184"/>
    <m/>
    <m/>
  </r>
  <r>
    <x v="5"/>
    <x v="7"/>
    <s v="F:\Données chgh\2020-CHG-CZA-Cromolyn-1\plaque 1/@05 EE2 114/H5_03.tif "/>
    <s v=" 24182.2222 "/>
    <s v=" 66.2129 "/>
    <x v="0"/>
    <n v="1601175"/>
    <m/>
    <m/>
  </r>
  <r>
    <x v="1"/>
    <x v="8"/>
    <s v=" "/>
    <m/>
    <m/>
    <x v="1"/>
    <m/>
    <m/>
    <m/>
  </r>
  <r>
    <x v="1"/>
    <x v="8"/>
    <s v="group "/>
    <s v=" "/>
    <s v=" mean of mean fluo "/>
    <x v="2"/>
    <s v=" mean of total fluo "/>
    <s v=" SD total fluo "/>
    <s v=" n fluorescent "/>
  </r>
  <r>
    <x v="5"/>
    <x v="9"/>
    <s v="F:\Données chgh\2020-CHG-CZA-Cromolyn-1\plaque 1/@05 EE2 114/ "/>
    <s v=" "/>
    <s v=" 67.5322 "/>
    <x v="7"/>
    <s v=" 2165627.38 "/>
    <s v=" 786848.48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6"/>
    <x v="0"/>
    <s v="F:\Données chgh\2020-CHG-CZA-Cromolyn-1\plaque 1/@06 EE2 171/A6_01.tif "/>
    <s v=" 54485.7046 "/>
    <s v=" 72.3708 "/>
    <x v="0"/>
    <n v="3943173"/>
    <m/>
    <m/>
  </r>
  <r>
    <x v="6"/>
    <x v="0"/>
    <s v="F:\Données chgh\2020-CHG-CZA-Cromolyn-1\plaque 1/@06 EE2 171/A6_02.tif "/>
    <s v=" 48775.4124 "/>
    <s v=" 73.2758 "/>
    <x v="0"/>
    <n v="3574059"/>
    <m/>
    <m/>
  </r>
  <r>
    <x v="6"/>
    <x v="0"/>
    <s v="F:\Données chgh\2020-CHG-CZA-Cromolyn-1\plaque 1/@06 EE2 171/A6_03.tif "/>
    <s v=" 53966.5871 "/>
    <s v=" 73.4942 "/>
    <x v="0"/>
    <n v="3966231"/>
    <m/>
    <m/>
  </r>
  <r>
    <x v="6"/>
    <x v="1"/>
    <s v="F:\Données chgh\2020-CHG-CZA-Cromolyn-1\plaque 1/@06 EE2 171/B6_01.tif "/>
    <s v=" 45920.2663 "/>
    <s v=" 78.2652 "/>
    <x v="0"/>
    <n v="3593958"/>
    <m/>
    <m/>
  </r>
  <r>
    <x v="6"/>
    <x v="1"/>
    <s v="F:\Données chgh\2020-CHG-CZA-Cromolyn-1\plaque 1/@06 EE2 171/B6_02- exclu.tif"/>
    <m/>
    <m/>
    <x v="1"/>
    <m/>
    <m/>
    <m/>
  </r>
  <r>
    <x v="6"/>
    <x v="1"/>
    <s v="F:\Données chgh\2020-CHG-CZA-Cromolyn-1\plaque 1/@06 EE2 171/B6_03.tif "/>
    <s v=" 44471.0634 "/>
    <s v=" 76.7524 "/>
    <x v="0"/>
    <n v="3413262"/>
    <m/>
    <m/>
  </r>
  <r>
    <x v="6"/>
    <x v="2"/>
    <s v="F:\Données chgh\2020-CHG-CZA-Cromolyn-1\plaque 1/@06 EE2 171/C6_01.tif "/>
    <s v=" 56562.1745 "/>
    <s v=" 74.5732 "/>
    <x v="0"/>
    <n v="4218024"/>
    <m/>
    <m/>
  </r>
  <r>
    <x v="6"/>
    <x v="2"/>
    <s v="F:\Données chgh\2020-CHG-CZA-Cromolyn-1\plaque 1/@06 EE2 171/C6_02.tif "/>
    <s v=" 56648.694 "/>
    <s v=" 74.84 "/>
    <x v="0"/>
    <n v="4239589"/>
    <m/>
    <m/>
  </r>
  <r>
    <x v="6"/>
    <x v="2"/>
    <s v="F:\Données chgh\2020-CHG-CZA-Cromolyn-1\plaque 1/@06 EE2 171/C6_03.tif "/>
    <s v=" 56756.8435 "/>
    <s v=" 77.7755 "/>
    <x v="0"/>
    <n v="4414294"/>
    <m/>
    <m/>
  </r>
  <r>
    <x v="6"/>
    <x v="3"/>
    <s v="F:\Données chgh\2020-CHG-CZA-Cromolyn-1\plaque 1/@06 EE2 171/D6_01.tif "/>
    <s v=" 54226.1458 "/>
    <s v=" 81.2581 "/>
    <x v="0"/>
    <n v="4406312"/>
    <m/>
    <m/>
  </r>
  <r>
    <x v="6"/>
    <x v="3"/>
    <s v="F:\Données chgh\2020-CHG-CZA-Cromolyn-1\plaque 1/@06 EE2 171/D6_02.tif "/>
    <s v=" 56410.7652 "/>
    <s v=" 80.8144 "/>
    <x v="0"/>
    <n v="4558803"/>
    <m/>
    <m/>
  </r>
  <r>
    <x v="6"/>
    <x v="3"/>
    <s v="F:\Données chgh\2020-CHG-CZA-Cromolyn-1\plaque 1/@06 EE2 171/D6_03.tif "/>
    <s v=" 53923.3273 "/>
    <s v=" 82.0814 "/>
    <x v="0"/>
    <n v="4426104"/>
    <m/>
    <m/>
  </r>
  <r>
    <x v="6"/>
    <x v="4"/>
    <s v="F:\Données chgh\2020-CHG-CZA-Cromolyn-1\plaque 1/@06 EE2 171/E6_01.tif "/>
    <s v=" 13691.7233 "/>
    <s v=" 70.6382 "/>
    <x v="0"/>
    <n v="967159"/>
    <m/>
    <m/>
  </r>
  <r>
    <x v="6"/>
    <x v="4"/>
    <s v="F:\Données chgh\2020-CHG-CZA-Cromolyn-1\plaque 1/@06 EE2 171/E6_02.tif "/>
    <s v=" 12437.1894 "/>
    <s v=" 73.3704 "/>
    <x v="0"/>
    <n v="912522"/>
    <m/>
    <m/>
  </r>
  <r>
    <x v="6"/>
    <x v="4"/>
    <s v="F:\Données chgh\2020-CHG-CZA-Cromolyn-1\plaque 1/@06 EE2 171/E6_03.tif "/>
    <s v=" 11139.3957 "/>
    <s v=" 73.5515 "/>
    <x v="0"/>
    <n v="819319"/>
    <m/>
    <m/>
  </r>
  <r>
    <x v="6"/>
    <x v="5"/>
    <s v="F:\Données chgh\2020-CHG-CZA-Cromolyn-1\plaque 1/@06 EE2 171/F6_01.tif "/>
    <s v=" 63224.182 "/>
    <s v=" 81.8642 "/>
    <x v="0"/>
    <n v="5175796"/>
    <m/>
    <m/>
  </r>
  <r>
    <x v="6"/>
    <x v="5"/>
    <s v="F:\Données chgh\2020-CHG-CZA-Cromolyn-1\plaque 1/@06 EE2 171/F6_02.tif "/>
    <s v=" 70015.9689 "/>
    <s v=" 81.0334 "/>
    <x v="0"/>
    <n v="5673630"/>
    <m/>
    <m/>
  </r>
  <r>
    <x v="6"/>
    <x v="5"/>
    <s v="F:\Données chgh\2020-CHG-CZA-Cromolyn-1\plaque 1/@06 EE2 171/F6_03.tif "/>
    <s v=" 61688.4595 "/>
    <s v=" 79.743 "/>
    <x v="0"/>
    <n v="4919222"/>
    <m/>
    <m/>
  </r>
  <r>
    <x v="6"/>
    <x v="6"/>
    <s v="F:\Données chgh\2020-CHG-CZA-Cromolyn-1\plaque 1/@06 EE2 171/G6_01.tif "/>
    <s v=" 36770.8209 "/>
    <s v=" 71.6382 "/>
    <x v="0"/>
    <n v="2634197"/>
    <m/>
    <m/>
  </r>
  <r>
    <x v="6"/>
    <x v="6"/>
    <s v="F:\Données chgh\2020-CHG-CZA-Cromolyn-1\plaque 1/@06 EE2 171/G6_02.tif "/>
    <s v=" 33483.0769 "/>
    <s v=" 70.334 "/>
    <x v="0"/>
    <n v="2354998"/>
    <m/>
    <m/>
  </r>
  <r>
    <x v="6"/>
    <x v="6"/>
    <s v="F:\Données chgh\2020-CHG-CZA-Cromolyn-1\plaque 1/@06 EE2 171/G6_03.tif "/>
    <s v=" 34672.7211 "/>
    <s v=" 70.0487 "/>
    <x v="0"/>
    <n v="2428778"/>
    <m/>
    <m/>
  </r>
  <r>
    <x v="6"/>
    <x v="7"/>
    <s v="F:\Données chgh\2020-CHG-CZA-Cromolyn-1\plaque 1/@06 EE2 171/H6_01.tif "/>
    <s v=" 44146.6149 "/>
    <s v=" 70.539 "/>
    <x v="0"/>
    <n v="3114056"/>
    <m/>
    <m/>
  </r>
  <r>
    <x v="6"/>
    <x v="7"/>
    <s v="F:\Données chgh\2020-CHG-CZA-Cromolyn-1\plaque 1/@06 EE2 171/H6_02.tif "/>
    <s v=" 39669.2267 "/>
    <s v=" 70.1249 "/>
    <x v="0"/>
    <n v="2781799"/>
    <m/>
    <m/>
  </r>
  <r>
    <x v="6"/>
    <x v="7"/>
    <s v="F:\Données chgh\2020-CHG-CZA-Cromolyn-1\plaque 1/@06 EE2 171/H6_03.tif "/>
    <s v=" 39669.2267 "/>
    <s v=" 68.9613 "/>
    <x v="0"/>
    <n v="2735641"/>
    <m/>
    <m/>
  </r>
  <r>
    <x v="1"/>
    <x v="8"/>
    <s v=" "/>
    <m/>
    <m/>
    <x v="1"/>
    <m/>
    <m/>
    <m/>
  </r>
  <r>
    <x v="1"/>
    <x v="8"/>
    <s v="group "/>
    <s v=" "/>
    <s v=" mean of mean fluo "/>
    <x v="2"/>
    <s v=" mean of total fluo "/>
    <s v=" SD total fluo "/>
    <s v=" n fluorescent "/>
  </r>
  <r>
    <x v="6"/>
    <x v="9"/>
    <s v="F:\Données chgh\2020-CHG-CZA-Cromolyn-1\plaque 1/@06 EE2 171/ "/>
    <s v=" "/>
    <s v=" 74.9386 "/>
    <x v="8"/>
    <s v=" 3434078.38 "/>
    <s v=" 1309750.5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7"/>
    <x v="0"/>
    <s v="F:\Données chgh\2020-CHG-CZA-Cromolyn-1\plaque 1/@07 EE2 488/A7_01.tif "/>
    <s v=" 73065.7841 "/>
    <s v=" 92.4278 "/>
    <x v="0"/>
    <n v="6753307"/>
    <m/>
    <m/>
  </r>
  <r>
    <x v="7"/>
    <x v="0"/>
    <s v="F:\Données chgh\2020-CHG-CZA-Cromolyn-1\plaque 1/@07 EE2 488/A7_02.tif "/>
    <s v=" 76742.8661 "/>
    <s v=" 94.5299 "/>
    <x v="0"/>
    <n v="7254494"/>
    <m/>
    <m/>
  </r>
  <r>
    <x v="7"/>
    <x v="0"/>
    <s v="F:\Données chgh\2020-CHG-CZA-Cromolyn-1\plaque 1/@07 EE2 488/A7_03.tif "/>
    <s v=" 78819.336 "/>
    <s v=" 86.9569 "/>
    <x v="0"/>
    <n v="6853886"/>
    <m/>
    <m/>
  </r>
  <r>
    <x v="7"/>
    <x v="1"/>
    <s v="F:\Données chgh\2020-CHG-CZA-Cromolyn-1\plaque 1/@07 EE2 488/B7_01.tif "/>
    <s v=" 71854.51 "/>
    <s v=" 96.2712 "/>
    <x v="0"/>
    <n v="6917521"/>
    <m/>
    <m/>
  </r>
  <r>
    <x v="7"/>
    <x v="1"/>
    <s v="F:\Données chgh\2020-CHG-CZA-Cromolyn-1\plaque 1/@07 EE2 488/B7_02.tif "/>
    <s v=" 68480.2464 "/>
    <s v=" 98.5092 "/>
    <x v="0"/>
    <n v="6745932"/>
    <m/>
    <m/>
  </r>
  <r>
    <x v="7"/>
    <x v="1"/>
    <s v="F:\Données chgh\2020-CHG-CZA-Cromolyn-1\plaque 1/@07 EE2 488/B7_03.tif "/>
    <s v=" 68026.0186 "/>
    <s v=" 94.9793 "/>
    <x v="0"/>
    <n v="6461066"/>
    <m/>
    <m/>
  </r>
  <r>
    <x v="7"/>
    <x v="2"/>
    <s v="F:\Données chgh\2020-CHG-CZA-Cromolyn-1\plaque 1/@07 EE2 488/C7_01.tif "/>
    <s v=" 39388.0381 "/>
    <s v=" 99.0714 "/>
    <x v="0"/>
    <n v="3902228"/>
    <m/>
    <m/>
  </r>
  <r>
    <x v="7"/>
    <x v="2"/>
    <s v="F:\Données chgh\2020-CHG-CZA-Cromolyn-1\plaque 1/@07 EE2 488/C7_02.tif "/>
    <s v=" 37268.3084 "/>
    <s v=" 96.8456 "/>
    <x v="0"/>
    <n v="3609272"/>
    <m/>
    <m/>
  </r>
  <r>
    <x v="7"/>
    <x v="2"/>
    <s v="F:\Données chgh\2020-CHG-CZA-Cromolyn-1\plaque 1/@07 EE2 488/C7_03.tif "/>
    <s v=" 38241.6537 "/>
    <s v=" 97.582 "/>
    <x v="0"/>
    <n v="3731698"/>
    <m/>
    <m/>
  </r>
  <r>
    <x v="7"/>
    <x v="3"/>
    <s v="F:\Données chgh\2020-CHG-CZA-Cromolyn-1\plaque 1/@07 EE2 488/D7_01.tif "/>
    <s v=" 59157.7618 "/>
    <s v=" 95.608 "/>
    <x v="0"/>
    <n v="5655958"/>
    <m/>
    <m/>
  </r>
  <r>
    <x v="7"/>
    <x v="3"/>
    <s v="F:\Données chgh\2020-CHG-CZA-Cromolyn-1\plaque 1/@07 EE2 488/D7_02.tif "/>
    <s v=" 55956.5374 "/>
    <s v=" 96.5748 "/>
    <x v="0"/>
    <n v="5403991"/>
    <m/>
    <m/>
  </r>
  <r>
    <x v="7"/>
    <x v="3"/>
    <s v="F:\Données chgh\2020-CHG-CZA-Cromolyn-1\plaque 1/@07 EE2 488/D7_03.tif "/>
    <s v=" 54853.4128 "/>
    <s v=" 96.392 "/>
    <x v="0"/>
    <n v="5287428"/>
    <m/>
    <m/>
  </r>
  <r>
    <x v="7"/>
    <x v="4"/>
    <s v="F:\Données chgh\2020-CHG-CZA-Cromolyn-1\plaque 1/@07 EE2 488/E7_01.tif "/>
    <s v=" 61126.0822 "/>
    <s v=" 92.0488 "/>
    <x v="0"/>
    <n v="5626584"/>
    <m/>
    <m/>
  </r>
  <r>
    <x v="7"/>
    <x v="4"/>
    <s v="F:\Données chgh\2020-CHG-CZA-Cromolyn-1\plaque 1/@07 EE2 488/E7_02.tif "/>
    <s v=" 61407.2709 "/>
    <s v=" 95.6643 "/>
    <x v="0"/>
    <n v="5874485"/>
    <m/>
    <m/>
  </r>
  <r>
    <x v="7"/>
    <x v="4"/>
    <s v="F:\Données chgh\2020-CHG-CZA-Cromolyn-1\plaque 1/@07 EE2 488/E7_03.tif "/>
    <s v=" 62034.5378 "/>
    <s v=" 91.7333 "/>
    <x v="0"/>
    <n v="5690631"/>
    <m/>
    <m/>
  </r>
  <r>
    <x v="7"/>
    <x v="5"/>
    <s v="F:\Données chgh\2020-CHG-CZA-Cromolyn-1\plaque 1/@07 EE2 488/F7_01.tif "/>
    <s v=" 82561.3078 "/>
    <s v=" 100.5096 "/>
    <x v="0"/>
    <n v="8298201"/>
    <m/>
    <m/>
  </r>
  <r>
    <x v="7"/>
    <x v="5"/>
    <s v="F:\Données chgh\2020-CHG-CZA-Cromolyn-1\plaque 1/@07 EE2 488/F7_02.tif "/>
    <s v=" 85351.5642 "/>
    <s v=" 97.5041 "/>
    <x v="0"/>
    <n v="8322124"/>
    <m/>
    <m/>
  </r>
  <r>
    <x v="7"/>
    <x v="5"/>
    <s v="F:\Données chgh\2020-CHG-CZA-Cromolyn-1\plaque 1/@07 EE2 488/F7_03.tif "/>
    <s v=" 90218.2905 "/>
    <s v=" 98.6967 "/>
    <x v="0"/>
    <n v="8904249"/>
    <m/>
    <m/>
  </r>
  <r>
    <x v="7"/>
    <x v="6"/>
    <s v="F:\Données chgh\2020-CHG-CZA-Cromolyn-1\plaque 1/@07 EE2 488/G7_01.tif "/>
    <s v=" 53793.5479 "/>
    <s v=" 89.1134 "/>
    <x v="0"/>
    <n v="4793725"/>
    <m/>
    <m/>
  </r>
  <r>
    <x v="7"/>
    <x v="6"/>
    <s v="F:\Données chgh\2020-CHG-CZA-Cromolyn-1\plaque 1/@07 EE2 488/G7_02.tif "/>
    <s v=" 46028.4158 "/>
    <s v=" 94.2166 "/>
    <x v="0"/>
    <n v="4336642"/>
    <m/>
    <m/>
  </r>
  <r>
    <x v="7"/>
    <x v="6"/>
    <s v="F:\Données chgh\2020-CHG-CZA-Cromolyn-1\plaque 1/@07 EE2 488/G7_03.tif "/>
    <s v=" 51349.3698 "/>
    <s v=" 92.9541 "/>
    <x v="0"/>
    <n v="4773134"/>
    <m/>
    <m/>
  </r>
  <r>
    <x v="7"/>
    <x v="7"/>
    <s v="F:\Données chgh\2020-CHG-CZA-Cromolyn-1\plaque 1/@07 EE2 488/H7_01.tif "/>
    <s v=" 44298.0242 "/>
    <s v=" 85.1035 "/>
    <x v="0"/>
    <n v="3769918"/>
    <m/>
    <m/>
  </r>
  <r>
    <x v="7"/>
    <x v="7"/>
    <s v="F:\Données chgh\2020-CHG-CZA-Cromolyn-1\plaque 1/@07 EE2 488/H7_02.tif "/>
    <s v=" 45682.3375 "/>
    <s v=" 85.642 "/>
    <x v="0"/>
    <n v="3912329"/>
    <m/>
    <m/>
  </r>
  <r>
    <x v="7"/>
    <x v="7"/>
    <s v="F:\Données chgh\2020-CHG-CZA-Cromolyn-1\plaque 1/@07 EE2 488/H7_03.tif "/>
    <s v=" 46028.4158 "/>
    <s v=" 86.3792 "/>
    <x v="0"/>
    <n v="3975899"/>
    <m/>
    <m/>
  </r>
  <r>
    <x v="1"/>
    <x v="8"/>
    <s v=" "/>
    <m/>
    <m/>
    <x v="1"/>
    <m/>
    <m/>
    <m/>
  </r>
  <r>
    <x v="1"/>
    <x v="8"/>
    <s v="group "/>
    <s v=" "/>
    <s v=" mean of mean fluo "/>
    <x v="2"/>
    <s v=" mean of total fluo "/>
    <s v=" SD total fluo "/>
    <s v=" n fluorescent "/>
  </r>
  <r>
    <x v="7"/>
    <x v="9"/>
    <s v="F:\Données chgh\2020-CHG-CZA-Cromolyn-1\plaque 1/@07 EE2 488/ "/>
    <s v=" "/>
    <s v=" 93.9714 "/>
    <x v="9"/>
    <s v=" 5702279.25 "/>
    <s v=" 1575793.6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8"/>
    <x v="0"/>
    <s v="F:\Données chgh\2020-CHG-CZA-Cromolyn-1\plaque 1/@08 Cromolyn 0.1/A8_01.tif "/>
    <s v=" 8414.029 "/>
    <s v=" 66.0206 "/>
    <x v="0"/>
    <n v="555499"/>
    <m/>
    <m/>
  </r>
  <r>
    <x v="8"/>
    <x v="0"/>
    <s v="F:\Données chgh\2020-CHG-CZA-Cromolyn-1\plaque 1/@08 Cromolyn 0.1/A8_02- exclu.tif"/>
    <m/>
    <m/>
    <x v="1"/>
    <m/>
    <m/>
    <m/>
  </r>
  <r>
    <x v="8"/>
    <x v="0"/>
    <s v="F:\Données chgh\2020-CHG-CZA-Cromolyn-1\plaque 1/@08 Cromolyn 0.1/A8_03.tif "/>
    <s v=" 12134.3709 "/>
    <s v=" 69.3672 "/>
    <x v="0"/>
    <n v="841727"/>
    <m/>
    <m/>
  </r>
  <r>
    <x v="8"/>
    <x v="1"/>
    <s v="F:\Données chgh\2020-CHG-CZA-Cromolyn-1\plaque 1/@08 Cromolyn 0.1/B8_01.tif "/>
    <s v=" 1405.9432 "/>
    <s v=" 64.3846 "/>
    <x v="0"/>
    <n v="90521"/>
    <m/>
    <m/>
  </r>
  <r>
    <x v="8"/>
    <x v="1"/>
    <s v="F:\Données chgh\2020-CHG-CZA-Cromolyn-1\plaque 1/@08 Cromolyn 0.1/B8_02.tif "/>
    <s v=" 1514.0926 "/>
    <s v=" 65.9571 "/>
    <x v="0"/>
    <n v="99865"/>
    <m/>
    <m/>
  </r>
  <r>
    <x v="8"/>
    <x v="1"/>
    <s v="F:\Données chgh\2020-CHG-CZA-Cromolyn-1\plaque 1/@08 Cromolyn 0.1/B8_03.tif "/>
    <s v=" 1384.3133 "/>
    <s v=" 66.625 "/>
    <x v="0"/>
    <n v="92230"/>
    <m/>
    <m/>
  </r>
  <r>
    <x v="8"/>
    <x v="2"/>
    <s v="F:\Données chgh\2020-CHG-CZA-Cromolyn-1\plaque 1/@08 Cromolyn 0.1/C8_01.tif "/>
    <s v=" 5472.3633 "/>
    <s v=" 67.419 "/>
    <x v="0"/>
    <n v="368941"/>
    <m/>
    <m/>
  </r>
  <r>
    <x v="8"/>
    <x v="2"/>
    <s v="F:\Données chgh\2020-CHG-CZA-Cromolyn-1\plaque 1/@08 Cromolyn 0.1/C8_02.tif "/>
    <s v=" 3698.712 "/>
    <s v=" 70.2222 "/>
    <x v="0"/>
    <n v="259732"/>
    <m/>
    <m/>
  </r>
  <r>
    <x v="8"/>
    <x v="2"/>
    <s v="F:\Données chgh\2020-CHG-CZA-Cromolyn-1\plaque 1/@08 Cromolyn 0.1/C8_03.tif "/>
    <s v=" 4131.3099 "/>
    <s v=" 67.178 "/>
    <x v="0"/>
    <n v="277533"/>
    <m/>
    <m/>
  </r>
  <r>
    <x v="8"/>
    <x v="3"/>
    <s v="F:\Données chgh\2020-CHG-CZA-Cromolyn-1\plaque 1/@08 Cromolyn 0.1/D8_01.tif "/>
    <s v=" 1881.8008 "/>
    <s v=" 66.0575 "/>
    <x v="0"/>
    <n v="124307"/>
    <m/>
    <m/>
  </r>
  <r>
    <x v="8"/>
    <x v="3"/>
    <s v="F:\Données chgh\2020-CHG-CZA-Cromolyn-1\plaque 1/@08 Cromolyn 0.1/D8_02.tif "/>
    <s v=" 1168.0143 "/>
    <s v=" 63.9259 "/>
    <x v="0"/>
    <n v="74666"/>
    <m/>
    <m/>
  </r>
  <r>
    <x v="8"/>
    <x v="3"/>
    <s v="F:\Données chgh\2020-CHG-CZA-Cromolyn-1\plaque 1/@08 Cromolyn 0.1/D8_03.tif "/>
    <s v=" 367.7082 "/>
    <s v=" 63.3529 "/>
    <x v="0"/>
    <n v="23295"/>
    <m/>
    <m/>
  </r>
  <r>
    <x v="8"/>
    <x v="4"/>
    <s v="F:\Données chgh\2020-CHG-CZA-Cromolyn-1\plaque 1/@08 Cromolyn 0.1/E8_01.tif "/>
    <s v=" 2227.8791 "/>
    <s v=" 64.1845 "/>
    <x v="0"/>
    <n v="142995"/>
    <m/>
    <m/>
  </r>
  <r>
    <x v="8"/>
    <x v="4"/>
    <s v="F:\Données chgh\2020-CHG-CZA-Cromolyn-1\plaque 1/@08 Cromolyn 0.1/E8_02.tif "/>
    <s v=" 2920.0358 "/>
    <s v=" 67.2296 "/>
    <x v="0"/>
    <n v="196313"/>
    <m/>
    <m/>
  </r>
  <r>
    <x v="8"/>
    <x v="4"/>
    <s v="F:\Données chgh\2020-CHG-CZA-Cromolyn-1\plaque 1/@08 Cromolyn 0.1/E8_03.tif "/>
    <s v=" 1816.9111 "/>
    <s v=" 65.25 "/>
    <x v="0"/>
    <n v="118553"/>
    <m/>
    <m/>
  </r>
  <r>
    <x v="8"/>
    <x v="5"/>
    <s v="F:\Données chgh\2020-CHG-CZA-Cromolyn-1\plaque 1/@08 Cromolyn 0.1/F8_01.tif "/>
    <s v=" 3201.2244 "/>
    <s v=" 65.5473 "/>
    <x v="0"/>
    <n v="209832"/>
    <m/>
    <m/>
  </r>
  <r>
    <x v="8"/>
    <x v="5"/>
    <s v="F:\Données chgh\2020-CHG-CZA-Cromolyn-1\plaque 1/@08 Cromolyn 0.1/F8_02.tif "/>
    <s v=" 3633.8223 "/>
    <s v=" 65.2857 "/>
    <x v="0"/>
    <n v="237237"/>
    <m/>
    <m/>
  </r>
  <r>
    <x v="8"/>
    <x v="5"/>
    <s v="F:\Données chgh\2020-CHG-CZA-Cromolyn-1\plaque 1/@08 Cromolyn 0.1/F8_03.tif "/>
    <s v=" 8197.7301 "/>
    <s v=" 66.8813 "/>
    <x v="0"/>
    <n v="548275"/>
    <m/>
    <m/>
  </r>
  <r>
    <x v="8"/>
    <x v="6"/>
    <s v="F:\Données chgh\2020-CHG-CZA-Cromolyn-1\plaque 1/@08 Cromolyn 0.1/G8_01.tif "/>
    <s v=" 7440.6838 "/>
    <s v=" 70.1395 "/>
    <x v="0"/>
    <n v="521886"/>
    <m/>
    <m/>
  </r>
  <r>
    <x v="8"/>
    <x v="6"/>
    <s v="F:\Données chgh\2020-CHG-CZA-Cromolyn-1\plaque 1/@08 Cromolyn 0.1/G8_02.tif "/>
    <s v=" 4196.1996 "/>
    <s v=" 64.1392 "/>
    <x v="0"/>
    <n v="269141"/>
    <m/>
    <m/>
  </r>
  <r>
    <x v="8"/>
    <x v="6"/>
    <s v="F:\Données chgh\2020-CHG-CZA-Cromolyn-1\plaque 1/@08 Cromolyn 0.1/G8_03.tif "/>
    <s v=" 3309.3739 "/>
    <s v=" 67.2353 "/>
    <x v="0"/>
    <n v="222507"/>
    <m/>
    <m/>
  </r>
  <r>
    <x v="8"/>
    <x v="7"/>
    <s v="F:\Données chgh\2020-CHG-CZA-Cromolyn-1\plaque 1/@08 Cromolyn 0.1/H8_01.tif "/>
    <s v=" 1168.0143 "/>
    <s v=" 66.9444 "/>
    <x v="0"/>
    <n v="78192"/>
    <m/>
    <m/>
  </r>
  <r>
    <x v="8"/>
    <x v="7"/>
    <s v="F:\Données chgh\2020-CHG-CZA-Cromolyn-1\plaque 1/@08 Cromolyn 0.1/H8_02.tif "/>
    <s v=" 3114.7048 "/>
    <s v=" 67.1319 "/>
    <x v="0"/>
    <n v="209096"/>
    <m/>
    <m/>
  </r>
  <r>
    <x v="8"/>
    <x v="7"/>
    <s v="F:\Données chgh\2020-CHG-CZA-Cromolyn-1\plaque 1/@08 Cromolyn 0.1/H8_03.tif "/>
    <s v=" 2963.2956 "/>
    <s v=" 66.7226 "/>
    <x v="0"/>
    <n v="197719"/>
    <m/>
    <m/>
  </r>
  <r>
    <x v="1"/>
    <x v="8"/>
    <s v=" "/>
    <m/>
    <m/>
    <x v="1"/>
    <m/>
    <m/>
    <m/>
  </r>
  <r>
    <x v="1"/>
    <x v="8"/>
    <s v="group "/>
    <s v=" "/>
    <s v=" mean of mean fluo "/>
    <x v="2"/>
    <s v=" mean of total fluo "/>
    <s v=" SD total fluo "/>
    <s v=" n fluorescent "/>
  </r>
  <r>
    <x v="8"/>
    <x v="9"/>
    <s v="F:\Données chgh\2020-CHG-CZA-Cromolyn-1\plaque 1/@08 Cromolyn 0.1/ "/>
    <s v=" "/>
    <s v=" 66.3006 "/>
    <x v="10"/>
    <s v=" 259501.917 "/>
    <s v=" 198466.446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9"/>
    <x v="0"/>
    <s v="F:\Données chgh\2020-CHG-CZA-Cromolyn-1\plaque 1/@09 Cromolyn 1/A9_01.tif "/>
    <s v=" 15292.3355 "/>
    <s v=" 75.2291 "/>
    <x v="0"/>
    <n v="1150429"/>
    <m/>
    <m/>
  </r>
  <r>
    <x v="9"/>
    <x v="0"/>
    <s v="F:\Données chgh\2020-CHG-CZA-Cromolyn-1\plaque 1/@09 Cromolyn 1/A9_02.tif "/>
    <s v=" 6359.189 "/>
    <s v=" 66.119 "/>
    <x v="0"/>
    <n v="420464"/>
    <m/>
    <m/>
  </r>
  <r>
    <x v="9"/>
    <x v="0"/>
    <s v="F:\Données chgh\2020-CHG-CZA-Cromolyn-1\plaque 1/@09 Cromolyn 1/A9_03.tif "/>
    <s v=" 10252.5701 "/>
    <s v=" 73.7996 "/>
    <x v="0"/>
    <n v="756635"/>
    <m/>
    <m/>
  </r>
  <r>
    <x v="9"/>
    <x v="1"/>
    <s v="F:\Données chgh\2020-CHG-CZA-Cromolyn-1\plaque 1/@09 Cromolyn 1/B9_01.tif "/>
    <s v=" 8651.9579 "/>
    <s v=" 70.2325 "/>
    <x v="0"/>
    <n v="607649"/>
    <m/>
    <m/>
  </r>
  <r>
    <x v="9"/>
    <x v="1"/>
    <s v="F:\Données chgh\2020-CHG-CZA-Cromolyn-1\plaque 1/@09 Cromolyn 1/B9_02.tif "/>
    <s v=" 1514.0926 "/>
    <s v=" 62.7571 "/>
    <x v="0"/>
    <n v="95020"/>
    <m/>
    <m/>
  </r>
  <r>
    <x v="9"/>
    <x v="1"/>
    <s v="F:\Données chgh\2020-CHG-CZA-Cromolyn-1\plaque 1/@09 Cromolyn 1/B9_03.tif "/>
    <s v=" 951.7154 "/>
    <s v=" 63.0227 "/>
    <x v="0"/>
    <n v="59980"/>
    <m/>
    <m/>
  </r>
  <r>
    <x v="9"/>
    <x v="2"/>
    <s v="F:\Données chgh\2020-CHG-CZA-Cromolyn-1\plaque 1/@09 Cromolyn 1/C9_01.tif "/>
    <s v=" 3287.744 "/>
    <s v=" 65.6513 "/>
    <x v="0"/>
    <n v="215845"/>
    <m/>
    <m/>
  </r>
  <r>
    <x v="9"/>
    <x v="2"/>
    <s v="F:\Données chgh\2020-CHG-CZA-Cromolyn-1\plaque 1/@09 Cromolyn 1/C9_02.tif "/>
    <s v=" 3417.5234 "/>
    <s v=" 67.3608 "/>
    <x v="0"/>
    <n v="230207"/>
    <m/>
    <m/>
  </r>
  <r>
    <x v="9"/>
    <x v="2"/>
    <s v="F:\Données chgh\2020-CHG-CZA-Cromolyn-1\plaque 1/@09 Cromolyn 1/C9_03.tif "/>
    <s v=" 4325.9789 "/>
    <s v=" 66.695 "/>
    <x v="0"/>
    <n v="288521"/>
    <m/>
    <m/>
  </r>
  <r>
    <x v="9"/>
    <x v="3"/>
    <s v="F:\Données chgh\2020-CHG-CZA-Cromolyn-1\plaque 1/@09 Cromolyn 1/D9_01.tif "/>
    <s v=" 4974.8758 "/>
    <s v=" 68.8087 "/>
    <x v="0"/>
    <n v="342315"/>
    <m/>
    <m/>
  </r>
  <r>
    <x v="9"/>
    <x v="3"/>
    <s v="F:\Données chgh\2020-CHG-CZA-Cromolyn-1\plaque 1/@09 Cromolyn 1/D9_02.tif "/>
    <s v=" 2206.2493 "/>
    <s v=" 65.049 "/>
    <x v="0"/>
    <n v="143514"/>
    <m/>
    <m/>
  </r>
  <r>
    <x v="9"/>
    <x v="3"/>
    <s v="F:\Données chgh\2020-CHG-CZA-Cromolyn-1\plaque 1/@09 Cromolyn 1/D9_03.tif "/>
    <s v=" 6770.157 "/>
    <s v=" 68.7923 "/>
    <x v="0"/>
    <n v="465735"/>
    <m/>
    <m/>
  </r>
  <r>
    <x v="9"/>
    <x v="4"/>
    <s v="F:\Données chgh\2020-CHG-CZA-Cromolyn-1\plaque 1/@09 Cromolyn 1/E9_01.tif "/>
    <s v=" 2098.0998 "/>
    <s v=" 66.6598 "/>
    <x v="0"/>
    <n v="139859"/>
    <m/>
    <m/>
  </r>
  <r>
    <x v="9"/>
    <x v="4"/>
    <s v="F:\Données chgh\2020-CHG-CZA-Cromolyn-1\plaque 1/@09 Cromolyn 1/E9_02.tif "/>
    <s v=" 1643.872 "/>
    <s v=" 65.2632 "/>
    <x v="0"/>
    <n v="107284"/>
    <m/>
    <m/>
  </r>
  <r>
    <x v="9"/>
    <x v="4"/>
    <s v="F:\Données chgh\2020-CHG-CZA-Cromolyn-1\plaque 1/@09 Cromolyn 1/E9_03.tif "/>
    <s v=" 3893.381 "/>
    <s v=" 67.9611 "/>
    <x v="0"/>
    <n v="264599"/>
    <m/>
    <m/>
  </r>
  <r>
    <x v="9"/>
    <x v="5"/>
    <s v="F:\Données chgh\2020-CHG-CZA-Cromolyn-1\plaque 1/@09 Cromolyn 1/F9_01.tif "/>
    <s v=" 1427.573 "/>
    <s v=" 65.4697 "/>
    <x v="0"/>
    <n v="93463"/>
    <m/>
    <m/>
  </r>
  <r>
    <x v="9"/>
    <x v="5"/>
    <s v="F:\Données chgh\2020-CHG-CZA-Cromolyn-1\plaque 1/@09 Cromolyn 1/F9_02.tif "/>
    <s v=" 1816.9111 "/>
    <s v=" 66.119 "/>
    <x v="0"/>
    <n v="120132"/>
    <m/>
    <m/>
  </r>
  <r>
    <x v="9"/>
    <x v="5"/>
    <s v="F:\Données chgh\2020-CHG-CZA-Cromolyn-1\plaque 1/@09 Cromolyn 1/F9_03.tif "/>
    <s v=" 930.0855 "/>
    <s v=" 63.186 "/>
    <x v="0"/>
    <n v="58768"/>
    <m/>
    <m/>
  </r>
  <r>
    <x v="9"/>
    <x v="6"/>
    <s v="F:\Données chgh\2020-CHG-CZA-Cromolyn-1\plaque 1/@09 Cromolyn 1/G9_01.tif "/>
    <s v=" 389.3381 "/>
    <s v=" 63.4444 "/>
    <x v="0"/>
    <n v="24701"/>
    <m/>
    <m/>
  </r>
  <r>
    <x v="9"/>
    <x v="6"/>
    <s v="F:\Données chgh\2020-CHG-CZA-Cromolyn-1\plaque 1/@09 Cromolyn 1/G9_02.tif "/>
    <s v=" 3698.712 "/>
    <s v=" 66.7251 "/>
    <x v="0"/>
    <n v="246797"/>
    <m/>
    <m/>
  </r>
  <r>
    <x v="9"/>
    <x v="6"/>
    <s v="F:\Données chgh\2020-CHG-CZA-Cromolyn-1\plaque 1/@09 Cromolyn 1/G9_03.tif "/>
    <s v=" 713.7865 "/>
    <s v=" 62.4545 "/>
    <x v="0"/>
    <n v="44579"/>
    <m/>
    <m/>
  </r>
  <r>
    <x v="9"/>
    <x v="7"/>
    <s v="F:\Données chgh\2020-CHG-CZA-Cromolyn-1\plaque 1/@09 Cromolyn 1/H9_01.tif "/>
    <s v=" 1427.573 "/>
    <s v=" 65.4848 "/>
    <x v="0"/>
    <n v="93484"/>
    <m/>
    <m/>
  </r>
  <r>
    <x v="9"/>
    <x v="7"/>
    <s v="F:\Données chgh\2020-CHG-CZA-Cromolyn-1\plaque 1/@09 Cromolyn 1/H9_02.tif "/>
    <s v=" 994.9752 "/>
    <s v=" 63.1087 "/>
    <x v="0"/>
    <n v="62792"/>
    <m/>
    <m/>
  </r>
  <r>
    <x v="9"/>
    <x v="7"/>
    <s v="F:\Données chgh\2020-CHG-CZA-Cromolyn-1\plaque 1/@09 Cromolyn 1/H9_03.tif "/>
    <s v=" 2768.6265 "/>
    <s v=" 67.1016 "/>
    <x v="0"/>
    <n v="185779"/>
    <m/>
    <m/>
  </r>
  <r>
    <x v="1"/>
    <x v="8"/>
    <s v=" "/>
    <m/>
    <m/>
    <x v="1"/>
    <m/>
    <m/>
    <m/>
  </r>
  <r>
    <x v="1"/>
    <x v="8"/>
    <s v="group "/>
    <s v=" "/>
    <s v=" mean of mean fluo "/>
    <x v="2"/>
    <s v=" mean of total fluo "/>
    <s v=" SD total fluo "/>
    <s v=" n fluorescent "/>
  </r>
  <r>
    <x v="9"/>
    <x v="9"/>
    <s v="F:\Données chgh\2020-CHG-CZA-Cromolyn-1\plaque 1/@09 Cromolyn 1/ "/>
    <s v=" "/>
    <s v=" 66.5206 "/>
    <x v="11"/>
    <s v=" 259106.292 "/>
    <s v=" 265337.42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0"/>
    <x v="0"/>
    <s v="F:\Données chgh\2020-CHG-CZA-Cromolyn-1\plaque 1/@10 Cromolyn 10/A10_01.tif "/>
    <s v=" 2703.7368 "/>
    <s v=" 67.096 "/>
    <x v="0"/>
    <n v="181410"/>
    <m/>
    <m/>
  </r>
  <r>
    <x v="10"/>
    <x v="0"/>
    <s v="F:\Données chgh\2020-CHG-CZA-Cromolyn-1\plaque 1/@10 Cromolyn 10/A10_02.tif "/>
    <s v=" 2292.7688 "/>
    <s v=" 67.8868 "/>
    <x v="0"/>
    <n v="155649"/>
    <m/>
    <m/>
  </r>
  <r>
    <x v="10"/>
    <x v="0"/>
    <s v="F:\Données chgh\2020-CHG-CZA-Cromolyn-1\plaque 1/@10 Cromolyn 10/A10_03.tif "/>
    <s v=" 1881.8008 "/>
    <s v=" 64.908 "/>
    <x v="0"/>
    <n v="122144"/>
    <m/>
    <m/>
  </r>
  <r>
    <x v="10"/>
    <x v="1"/>
    <s v="F:\Données chgh\2020-CHG-CZA-Cromolyn-1\plaque 1/@10 Cromolyn 10/B10_01.tif "/>
    <s v=" 4931.616 "/>
    <s v=" 64.6623 "/>
    <x v="0"/>
    <n v="318890"/>
    <m/>
    <m/>
  </r>
  <r>
    <x v="10"/>
    <x v="1"/>
    <s v="F:\Données chgh\2020-CHG-CZA-Cromolyn-1\plaque 1/@10 Cromolyn 10/B10_02.tif "/>
    <s v=" 5796.8118 "/>
    <s v=" 70.7313 "/>
    <x v="0"/>
    <n v="410016"/>
    <m/>
    <m/>
  </r>
  <r>
    <x v="10"/>
    <x v="1"/>
    <s v="F:\Données chgh\2020-CHG-CZA-Cromolyn-1\plaque 1/@10 Cromolyn 10/B10_03.tif "/>
    <s v=" 2141.3596 "/>
    <s v=" 63.6061 "/>
    <x v="0"/>
    <n v="136203"/>
    <m/>
    <m/>
  </r>
  <r>
    <x v="10"/>
    <x v="2"/>
    <s v="F:\Données chgh\2020-CHG-CZA-Cromolyn-1\plaque 1/@10 Cromolyn 10/C10_01.tif "/>
    <s v=" 4650.4273 "/>
    <s v=" 65.6279 "/>
    <x v="0"/>
    <n v="305198"/>
    <m/>
    <m/>
  </r>
  <r>
    <x v="10"/>
    <x v="2"/>
    <s v="F:\Données chgh\2020-CHG-CZA-Cromolyn-1\plaque 1/@10 Cromolyn 10/C10_02.tif "/>
    <s v=" 3958.2707 "/>
    <s v=" 65.3224 "/>
    <x v="0"/>
    <n v="258564"/>
    <m/>
    <m/>
  </r>
  <r>
    <x v="10"/>
    <x v="2"/>
    <s v="F:\Données chgh\2020-CHG-CZA-Cromolyn-1\plaque 1/@10 Cromolyn 10/C10_03.tif "/>
    <s v=" 7440.6838 "/>
    <s v=" 69.8547 "/>
    <x v="0"/>
    <n v="519766"/>
    <m/>
    <m/>
  </r>
  <r>
    <x v="10"/>
    <x v="3"/>
    <s v="F:\Données chgh\2020-CHG-CZA-Cromolyn-1\plaque 1/@10 Cromolyn 10/D10_01.tif "/>
    <s v=" 6705.2673 "/>
    <s v=" 74.1935 "/>
    <x v="0"/>
    <n v="497488"/>
    <m/>
    <m/>
  </r>
  <r>
    <x v="10"/>
    <x v="3"/>
    <s v="F:\Données chgh\2020-CHG-CZA-Cromolyn-1\plaque 1/@10 Cromolyn 10/D10_02.tif "/>
    <s v=" 3547.3027 "/>
    <s v=" 67.4817 "/>
    <x v="0"/>
    <n v="239378"/>
    <m/>
    <m/>
  </r>
  <r>
    <x v="10"/>
    <x v="3"/>
    <s v="F:\Données chgh\2020-CHG-CZA-Cromolyn-1\plaque 1/@10 Cromolyn 10/D10_03.tif "/>
    <s v=" 2400.9183 "/>
    <s v=" 66.5045 "/>
    <x v="0"/>
    <n v="159672"/>
    <m/>
    <m/>
  </r>
  <r>
    <x v="10"/>
    <x v="4"/>
    <s v="F:\Données chgh\2020-CHG-CZA-Cromolyn-1\plaque 1/@10 Cromolyn 10/E10_01.tif "/>
    <s v=" 9344.1145 "/>
    <s v=" 68.912 "/>
    <x v="0"/>
    <n v="643922"/>
    <m/>
    <m/>
  </r>
  <r>
    <x v="10"/>
    <x v="4"/>
    <s v="F:\Données chgh\2020-CHG-CZA-Cromolyn-1\plaque 1/@10 Cromolyn 10/E10_02.tif "/>
    <s v=" 5493.9932 "/>
    <s v=" 65.8937 "/>
    <x v="0"/>
    <n v="362020"/>
    <m/>
    <m/>
  </r>
  <r>
    <x v="10"/>
    <x v="4"/>
    <s v="F:\Données chgh\2020-CHG-CZA-Cromolyn-1\plaque 1/@10 Cromolyn 10/E10_03.tif "/>
    <s v=" 5342.584 "/>
    <s v=" 65.4737 "/>
    <x v="0"/>
    <n v="349799"/>
    <m/>
    <m/>
  </r>
  <r>
    <x v="10"/>
    <x v="5"/>
    <s v="F:\Données chgh\2020-CHG-CZA-Cromolyn-1\plaque 1/@10 Cromolyn 10/F10_01.tif "/>
    <s v=" 1038.2349 "/>
    <s v=" 64.0833 "/>
    <x v="0"/>
    <n v="66534"/>
    <m/>
    <m/>
  </r>
  <r>
    <x v="10"/>
    <x v="5"/>
    <s v="F:\Données chgh\2020-CHG-CZA-Cromolyn-1\plaque 1/@10 Cromolyn 10/F10_02- exclu.tif"/>
    <m/>
    <m/>
    <x v="1"/>
    <m/>
    <m/>
    <m/>
  </r>
  <r>
    <x v="10"/>
    <x v="5"/>
    <s v="F:\Données chgh\2020-CHG-CZA-Cromolyn-1\plaque 1/@10 Cromolyn 10/F10_03.tif "/>
    <s v=" 973.3453 "/>
    <s v=" 65.5333 "/>
    <x v="0"/>
    <n v="63787"/>
    <m/>
    <m/>
  </r>
  <r>
    <x v="10"/>
    <x v="6"/>
    <s v="F:\Données chgh\2020-CHG-CZA-Cromolyn-1\plaque 1/@10 Cromolyn 10/G10_01.tif "/>
    <s v=" 108.1495 "/>
    <n v="63"/>
    <x v="0"/>
    <n v="6813"/>
    <m/>
    <m/>
  </r>
  <r>
    <x v="10"/>
    <x v="6"/>
    <s v="F:\Données chgh\2020-CHG-CZA-Cromolyn-1\plaque 1/@10 Cromolyn 10/G10_02.tif "/>
    <s v=" 324.4484 "/>
    <s v=" 62.2 "/>
    <x v="0"/>
    <n v="20181"/>
    <m/>
    <m/>
  </r>
  <r>
    <x v="10"/>
    <x v="6"/>
    <s v="F:\Données chgh\2020-CHG-CZA-Cromolyn-1\plaque 1/@10 Cromolyn 10/G10_03- exclu.tif"/>
    <m/>
    <m/>
    <x v="1"/>
    <m/>
    <m/>
    <m/>
  </r>
  <r>
    <x v="10"/>
    <x v="7"/>
    <s v="F:\Données chgh\2020-CHG-CZA-Cromolyn-1\plaque 1/@10 Cromolyn 10/H10_01.tif "/>
    <s v=" 8478.9187 "/>
    <s v=" 77.8776 "/>
    <x v="0"/>
    <n v="660317"/>
    <m/>
    <m/>
  </r>
  <r>
    <x v="10"/>
    <x v="7"/>
    <s v="F:\Données chgh\2020-CHG-CZA-Cromolyn-1\plaque 1/@10 Cromolyn 10/H10_02.tif "/>
    <s v=" 3460.7831 "/>
    <s v=" 67.35 "/>
    <x v="0"/>
    <n v="233084"/>
    <m/>
    <m/>
  </r>
  <r>
    <x v="10"/>
    <x v="7"/>
    <s v="F:\Données chgh\2020-CHG-CZA-Cromolyn-1\plaque 1/@10 Cromolyn 10/H10_03.tif "/>
    <s v=" 5493.9932 "/>
    <s v=" 71.2638 "/>
    <x v="0"/>
    <n v="391523"/>
    <m/>
    <m/>
  </r>
  <r>
    <x v="1"/>
    <x v="8"/>
    <s v=" "/>
    <m/>
    <m/>
    <x v="1"/>
    <m/>
    <m/>
    <m/>
  </r>
  <r>
    <x v="1"/>
    <x v="8"/>
    <s v="group "/>
    <s v=" "/>
    <s v=" mean of mean fluo "/>
    <x v="2"/>
    <s v=" mean of total fluo "/>
    <s v=" SD total fluo "/>
    <s v=" n fluorescent "/>
  </r>
  <r>
    <x v="10"/>
    <x v="9"/>
    <s v="F:\Données chgh\2020-CHG-CZA-Cromolyn-1\plaque 1/@10 Cromolyn 10/ "/>
    <s v=" "/>
    <s v=" 67.0337 "/>
    <x v="12"/>
    <s v=" 255868.208 "/>
    <s v=" 194660.40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1"/>
    <x v="0"/>
    <s v="F:\Données chgh\2020-CHG-CZA-Cromolyn-1\plaque 1/@11 Cromolyn 100/A11_01.tif "/>
    <s v=" 2595.5874 "/>
    <s v=" 66.05 "/>
    <x v="0"/>
    <n v="171439"/>
    <m/>
    <m/>
  </r>
  <r>
    <x v="11"/>
    <x v="0"/>
    <s v="F:\Données chgh\2020-CHG-CZA-Cromolyn-1\plaque 1/@11 Cromolyn 100/A11_02.tif "/>
    <s v=" 1168.0143 "/>
    <s v=" 64.4074 "/>
    <x v="0"/>
    <n v="75229"/>
    <m/>
    <m/>
  </r>
  <r>
    <x v="11"/>
    <x v="0"/>
    <s v="F:\Données chgh\2020-CHG-CZA-Cromolyn-1\plaque 1/@11 Cromolyn 100/A11_03.tif "/>
    <s v=" 1124.7545 "/>
    <s v=" 64.2308 "/>
    <x v="0"/>
    <n v="72244"/>
    <m/>
    <m/>
  </r>
  <r>
    <x v="11"/>
    <x v="1"/>
    <s v="F:\Données chgh\2020-CHG-CZA-Cromolyn-1\plaque 1/@11 Cromolyn 100/B11_01.tif "/>
    <s v=" 11420.5844 "/>
    <s v=" 80.4299 "/>
    <x v="0"/>
    <n v="918557"/>
    <m/>
    <m/>
  </r>
  <r>
    <x v="11"/>
    <x v="1"/>
    <s v="F:\Données chgh\2020-CHG-CZA-Cromolyn-1\plaque 1/@11 Cromolyn 100/B11_02- exclu.tif"/>
    <m/>
    <m/>
    <x v="1"/>
    <m/>
    <m/>
    <m/>
  </r>
  <r>
    <x v="11"/>
    <x v="1"/>
    <s v="F:\Données chgh\2020-CHG-CZA-Cromolyn-1\plaque 1/@11 Cromolyn 100/B11_03.tif "/>
    <s v=" 11723.4029 "/>
    <s v=" 74.7583 "/>
    <x v="0"/>
    <n v="876422"/>
    <m/>
    <m/>
  </r>
  <r>
    <x v="11"/>
    <x v="2"/>
    <s v="F:\Données chgh\2020-CHG-CZA-Cromolyn-1\plaque 1/@11 Cromolyn 100/C11_01.tif "/>
    <s v=" 713.7865 "/>
    <s v=" 65.8788 "/>
    <x v="0"/>
    <n v="47023"/>
    <m/>
    <m/>
  </r>
  <r>
    <x v="11"/>
    <x v="2"/>
    <s v="F:\Données chgh\2020-CHG-CZA-Cromolyn-1\plaque 1/@11 Cromolyn 100/C11_02.tif "/>
    <s v=" 648.8968 "/>
    <s v=" 69.9333 "/>
    <x v="0"/>
    <n v="45380"/>
    <m/>
    <m/>
  </r>
  <r>
    <x v="11"/>
    <x v="2"/>
    <s v="F:\Données chgh\2020-CHG-CZA-Cromolyn-1\plaque 1/@11 Cromolyn 100/C11_03.tif "/>
    <s v=" 930.0855 "/>
    <s v=" 67.4186 "/>
    <x v="0"/>
    <n v="62705"/>
    <m/>
    <m/>
  </r>
  <r>
    <x v="11"/>
    <x v="3"/>
    <s v="F:\Données chgh\2020-CHG-CZA-Cromolyn-1\plaque 1/@11 Cromolyn 100/D11_01.tif "/>
    <s v=" 7938.1713 "/>
    <s v=" 70.5095 "/>
    <x v="0"/>
    <n v="559717"/>
    <m/>
    <m/>
  </r>
  <r>
    <x v="11"/>
    <x v="3"/>
    <s v="F:\Données chgh\2020-CHG-CZA-Cromolyn-1\plaque 1/@11 Cromolyn 100/D11_02.tif "/>
    <s v=" 7375.7941 "/>
    <s v=" 73.173 "/>
    <x v="0"/>
    <n v="539709"/>
    <m/>
    <m/>
  </r>
  <r>
    <x v="11"/>
    <x v="3"/>
    <s v="F:\Données chgh\2020-CHG-CZA-Cromolyn-1\plaque 1/@11 Cromolyn 100/D11_03.tif "/>
    <s v=" 6510.5983 "/>
    <s v=" 69.1993 "/>
    <x v="0"/>
    <n v="450529"/>
    <m/>
    <m/>
  </r>
  <r>
    <x v="11"/>
    <x v="4"/>
    <s v="F:\Données chgh\2020-CHG-CZA-Cromolyn-1\plaque 1/@11 Cromolyn 100/E11_01.tif "/>
    <s v=" 3763.6017 "/>
    <s v=" 64.546 "/>
    <x v="0"/>
    <n v="242925"/>
    <m/>
    <m/>
  </r>
  <r>
    <x v="11"/>
    <x v="4"/>
    <s v="F:\Données chgh\2020-CHG-CZA-Cromolyn-1\plaque 1/@11 Cromolyn 100/E11_02.tif "/>
    <s v=" 7678.6126 "/>
    <s v=" 66.3127 "/>
    <x v="0"/>
    <n v="509189"/>
    <m/>
    <m/>
  </r>
  <r>
    <x v="11"/>
    <x v="4"/>
    <s v="F:\Données chgh\2020-CHG-CZA-Cromolyn-1\plaque 1/@11 Cromolyn 100/E11_03.tif "/>
    <s v=" 1946.6905 "/>
    <s v=" 65.0333 "/>
    <x v="0"/>
    <n v="126600"/>
    <m/>
    <m/>
  </r>
  <r>
    <x v="11"/>
    <x v="5"/>
    <s v="F:\Données chgh\2020-CHG-CZA-Cromolyn-1\plaque 1/@11 Cromolyn 100/F11_01.tif "/>
    <s v=" 14794.8479 "/>
    <s v=" 92.5292 "/>
    <x v="0"/>
    <n v="1368956"/>
    <m/>
    <m/>
  </r>
  <r>
    <x v="11"/>
    <x v="5"/>
    <s v="F:\Données chgh\2020-CHG-CZA-Cromolyn-1\plaque 1/@11 Cromolyn 100/F11_02.tif "/>
    <s v=" 10555.3886 "/>
    <s v=" 75.3566 "/>
    <x v="0"/>
    <n v="795418"/>
    <m/>
    <m/>
  </r>
  <r>
    <x v="11"/>
    <x v="5"/>
    <s v="F:\Données chgh\2020-CHG-CZA-Cromolyn-1\plaque 1/@11 Cromolyn 100/F11_03.tif "/>
    <s v=" 4261.0892 "/>
    <s v=" 66.1371 "/>
    <x v="0"/>
    <n v="281816"/>
    <m/>
    <m/>
  </r>
  <r>
    <x v="11"/>
    <x v="6"/>
    <s v="F:\Données chgh\2020-CHG-CZA-Cromolyn-1\plaque 1/@11 Cromolyn 100/G11_01.tif "/>
    <s v=" 7072.9755 "/>
    <s v=" 67.7125 "/>
    <x v="0"/>
    <n v="478929"/>
    <m/>
    <m/>
  </r>
  <r>
    <x v="11"/>
    <x v="6"/>
    <s v="F:\Données chgh\2020-CHG-CZA-Cromolyn-1\plaque 1/@11 Cromolyn 100/G11_02.tif "/>
    <s v=" 5969.8509 "/>
    <s v=" 66.5761 "/>
    <x v="0"/>
    <n v="397449"/>
    <m/>
    <m/>
  </r>
  <r>
    <x v="11"/>
    <x v="6"/>
    <s v="F:\Données chgh\2020-CHG-CZA-Cromolyn-1\plaque 1/@11 Cromolyn 100/G11_03.tif "/>
    <s v=" 7008.0859 "/>
    <s v=" 69.5895 "/>
    <x v="0"/>
    <n v="487689"/>
    <m/>
    <m/>
  </r>
  <r>
    <x v="11"/>
    <x v="7"/>
    <s v="F:\Données chgh\2020-CHG-CZA-Cromolyn-1\plaque 1/@11 Cromolyn 100/H11_01.tif "/>
    <s v=" 8478.9187 "/>
    <s v=" 66.1531 "/>
    <x v="0"/>
    <n v="560906"/>
    <m/>
    <m/>
  </r>
  <r>
    <x v="11"/>
    <x v="7"/>
    <s v="F:\Données chgh\2020-CHG-CZA-Cromolyn-1\plaque 1/@11 Cromolyn 100/H11_02.tif "/>
    <s v=" 6640.3777 "/>
    <s v=" 65.2801 "/>
    <x v="0"/>
    <n v="433485"/>
    <m/>
    <m/>
  </r>
  <r>
    <x v="11"/>
    <x v="7"/>
    <s v="F:\Données chgh\2020-CHG-CZA-Cromolyn-1\plaque 1/@11 Cromolyn 100/H11_03.tif "/>
    <s v=" 6835.0467 "/>
    <s v=" 64.9462 "/>
    <x v="0"/>
    <n v="443910"/>
    <m/>
    <m/>
  </r>
  <r>
    <x v="1"/>
    <x v="8"/>
    <s v=" "/>
    <m/>
    <m/>
    <x v="1"/>
    <m/>
    <m/>
    <m/>
  </r>
  <r>
    <x v="1"/>
    <x v="8"/>
    <s v="group "/>
    <s v=" "/>
    <s v=" mean of mean fluo "/>
    <x v="2"/>
    <s v=" mean of total fluo "/>
    <s v=" SD total fluo "/>
    <s v=" n fluorescent "/>
  </r>
  <r>
    <x v="11"/>
    <x v="9"/>
    <s v="F:\Données chgh\2020-CHG-CZA-Cromolyn-1\plaque 1/@11 Cromolyn 100/ "/>
    <s v=" "/>
    <s v=" 69.2311 "/>
    <x v="13"/>
    <s v=" 427095.792 "/>
    <s v=" 324888.29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2"/>
    <x v="0"/>
    <s v="F:\Données chgh\2020-CHG-CZA-Cromolyn-1\plaque 1/@12 Cromolyn 1000/A12_01.tif "/>
    <s v=" 3504.0429 "/>
    <s v=" 65.1358 "/>
    <x v="0"/>
    <n v="228239"/>
    <m/>
    <m/>
  </r>
  <r>
    <x v="12"/>
    <x v="0"/>
    <s v="F:\Données chgh\2020-CHG-CZA-Cromolyn-1\plaque 1/@12 Cromolyn 1000/A12_02.tif "/>
    <s v=" 1384.3133 "/>
    <s v=" 63.4531 "/>
    <x v="0"/>
    <n v="87839"/>
    <m/>
    <m/>
  </r>
  <r>
    <x v="12"/>
    <x v="0"/>
    <s v="F:\Données chgh\2020-CHG-CZA-Cromolyn-1\plaque 1/@12 Cromolyn 1000/A12_03.tif "/>
    <s v=" 1103.1246 "/>
    <s v=" 63.5686 "/>
    <x v="0"/>
    <n v="70124"/>
    <m/>
    <m/>
  </r>
  <r>
    <x v="12"/>
    <x v="1"/>
    <s v="F:\Données chgh\2020-CHG-CZA-Cromolyn-1\plaque 1/@12 Cromolyn 1000/B12_01.tif "/>
    <s v=" 3006.5554 "/>
    <s v=" 66.2446 "/>
    <x v="0"/>
    <n v="199168"/>
    <m/>
    <m/>
  </r>
  <r>
    <x v="12"/>
    <x v="1"/>
    <s v="F:\Données chgh\2020-CHG-CZA-Cromolyn-1\plaque 1/@12 Cromolyn 1000/B12_02.tif "/>
    <s v=" 1708.7617 "/>
    <s v=" 68.3924 "/>
    <x v="0"/>
    <n v="116866"/>
    <m/>
    <m/>
  </r>
  <r>
    <x v="12"/>
    <x v="1"/>
    <s v="F:\Données chgh\2020-CHG-CZA-Cromolyn-1\plaque 1/@12 Cromolyn 1000/B12_03.tif "/>
    <s v=" 562.3773 "/>
    <s v=" 61.7308 "/>
    <x v="0"/>
    <n v="34716"/>
    <m/>
    <m/>
  </r>
  <r>
    <x v="12"/>
    <x v="2"/>
    <s v="F:\Données chgh\2020-CHG-CZA-Cromolyn-1\plaque 1/@12 Cromolyn 1000/C12_01.tif "/>
    <s v=" 9625.3031 "/>
    <s v=" 70.4202 "/>
    <x v="0"/>
    <n v="677816"/>
    <m/>
    <m/>
  </r>
  <r>
    <x v="12"/>
    <x v="2"/>
    <s v="F:\Données chgh\2020-CHG-CZA-Cromolyn-1\plaque 1/@12 Cromolyn 1000/C12_02.tif "/>
    <s v=" 7786.7621 "/>
    <s v=" 69.6278 "/>
    <x v="0"/>
    <n v="542175"/>
    <m/>
    <m/>
  </r>
  <r>
    <x v="12"/>
    <x v="2"/>
    <s v="F:\Données chgh\2020-CHG-CZA-Cromolyn-1\plaque 1/@12 Cromolyn 1000/C12_03.tif "/>
    <s v=" 5991.4808 "/>
    <s v=" 71.148 "/>
    <x v="0"/>
    <n v="426282"/>
    <m/>
    <m/>
  </r>
  <r>
    <x v="12"/>
    <x v="3"/>
    <s v="F:\Données chgh\2020-CHG-CZA-Cromolyn-1\plaque 1/@12 Cromolyn 1000/D12_01.tif "/>
    <s v=" 9863.232 "/>
    <s v=" 79.875 "/>
    <x v="0"/>
    <n v="787826"/>
    <m/>
    <m/>
  </r>
  <r>
    <x v="12"/>
    <x v="3"/>
    <s v="F:\Données chgh\2020-CHG-CZA-Cromolyn-1\plaque 1/@12 Cromolyn 1000/D12_02.tif "/>
    <s v=" 1557.3524 "/>
    <s v=" 67.1389 "/>
    <x v="0"/>
    <n v="104559"/>
    <m/>
    <m/>
  </r>
  <r>
    <x v="12"/>
    <x v="3"/>
    <s v="F:\Données chgh\2020-CHG-CZA-Cromolyn-1\plaque 1/@12 Cromolyn 1000/D12_03.tif "/>
    <s v=" 9906.4917 "/>
    <s v=" 75.2118 "/>
    <x v="0"/>
    <n v="745085"/>
    <m/>
    <m/>
  </r>
  <r>
    <x v="12"/>
    <x v="4"/>
    <s v="F:\Données chgh\2020-CHG-CZA-Cromolyn-1\plaque 1/@12 Cromolyn 1000/E12_01.tif "/>
    <s v=" 3915.0109 "/>
    <s v=" 67.4917 "/>
    <x v="0"/>
    <n v="264231"/>
    <m/>
    <m/>
  </r>
  <r>
    <x v="12"/>
    <x v="4"/>
    <s v="F:\Données chgh\2020-CHG-CZA-Cromolyn-1\plaque 1/@12 Cromolyn 1000/E12_02.tif "/>
    <s v=" 3698.712 "/>
    <s v=" 67.6959 "/>
    <x v="0"/>
    <n v="250388"/>
    <m/>
    <m/>
  </r>
  <r>
    <x v="12"/>
    <x v="4"/>
    <s v="F:\Données chgh\2020-CHG-CZA-Cromolyn-1\plaque 1/@12 Cromolyn 1000/E12_03.tif "/>
    <s v=" 4434.1284 "/>
    <s v=" 68.0439 "/>
    <x v="0"/>
    <n v="301715"/>
    <m/>
    <m/>
  </r>
  <r>
    <x v="12"/>
    <x v="5"/>
    <s v="F:\Données chgh\2020-CHG-CZA-Cromolyn-1\plaque 1/@12 Cromolyn 1000/F12_01.tif "/>
    <s v=" 1989.9503 "/>
    <s v=" 64.8043 "/>
    <x v="0"/>
    <n v="128957"/>
    <m/>
    <m/>
  </r>
  <r>
    <x v="12"/>
    <x v="5"/>
    <s v="F:\Données chgh\2020-CHG-CZA-Cromolyn-1\plaque 1/@12 Cromolyn 1000/F12_02.tif "/>
    <s v=" 2984.9255 "/>
    <s v=" 64.7536 "/>
    <x v="0"/>
    <n v="193285"/>
    <m/>
    <m/>
  </r>
  <r>
    <x v="12"/>
    <x v="5"/>
    <s v="F:\Données chgh\2020-CHG-CZA-Cromolyn-1\plaque 1/@12 Cromolyn 1000/F12_03- exclu.tif"/>
    <m/>
    <m/>
    <x v="1"/>
    <m/>
    <m/>
    <m/>
  </r>
  <r>
    <x v="12"/>
    <x v="6"/>
    <s v="F:\Données chgh\2020-CHG-CZA-Cromolyn-1\plaque 1/@12 Cromolyn 1000/G12_01.tif "/>
    <s v=" 3439.1532 "/>
    <s v=" 65.5409 "/>
    <x v="0"/>
    <n v="225405"/>
    <m/>
    <m/>
  </r>
  <r>
    <x v="12"/>
    <x v="6"/>
    <s v="F:\Données chgh\2020-CHG-CZA-Cromolyn-1\plaque 1/@12 Cromolyn 1000/G12_02.tif "/>
    <s v=" 12156.0008 "/>
    <s v=" 72.4947 "/>
    <x v="0"/>
    <n v="881245"/>
    <m/>
    <m/>
  </r>
  <r>
    <x v="12"/>
    <x v="6"/>
    <s v="F:\Données chgh\2020-CHG-CZA-Cromolyn-1\plaque 1/@12 Cromolyn 1000/G12_03.tif "/>
    <s v=" 9365.7444 "/>
    <s v=" 73.4619 "/>
    <x v="0"/>
    <n v="688025"/>
    <m/>
    <m/>
  </r>
  <r>
    <x v="12"/>
    <x v="7"/>
    <s v="F:\Données chgh\2020-CHG-CZA-Cromolyn-1\plaque 1/@12 Cromolyn 1000/H12_01.tif "/>
    <s v=" 8998.0362 "/>
    <s v=" 79.4543 "/>
    <x v="0"/>
    <n v="714933"/>
    <m/>
    <m/>
  </r>
  <r>
    <x v="12"/>
    <x v="7"/>
    <s v="F:\Données chgh\2020-CHG-CZA-Cromolyn-1\plaque 1/@12 Cromolyn 1000/H12_02.tif "/>
    <s v=" 7743.5023 "/>
    <s v=" 72.6285 "/>
    <x v="0"/>
    <n v="562399"/>
    <m/>
    <m/>
  </r>
  <r>
    <x v="12"/>
    <x v="7"/>
    <s v="F:\Données chgh\2020-CHG-CZA-Cromolyn-1\plaque 1/@12 Cromolyn 1000/H12_03.tif "/>
    <s v=" 9625.3031 "/>
    <s v=" 69.4517 "/>
    <x v="0"/>
    <n v="668494"/>
    <m/>
    <m/>
  </r>
  <r>
    <x v="1"/>
    <x v="8"/>
    <s v=" "/>
    <m/>
    <m/>
    <x v="1"/>
    <m/>
    <m/>
    <m/>
  </r>
  <r>
    <x v="1"/>
    <x v="8"/>
    <s v="group "/>
    <s v=" "/>
    <s v=" mean of mean fluo "/>
    <x v="2"/>
    <s v=" mean of total fluo "/>
    <s v=" SD total fluo "/>
    <s v=" n fluorescent "/>
  </r>
  <r>
    <x v="12"/>
    <x v="9"/>
    <s v="F:\Données chgh\2020-CHG-CZA-Cromolyn-1\plaque 1/@12 Cromolyn 1000/ "/>
    <s v=" "/>
    <s v=" 69.5176 "/>
    <x v="14"/>
    <s v=" 418361.833 "/>
    <s v=" 308909.33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3"/>
    <x v="0"/>
    <s v="F:\Données chgh\2020-CHG-CZA-Cromolyn-1\plaque 2/@13 Testo 30/A1_01.tif "/>
    <s v=" 44406.1737 "/>
    <s v=" 70.2177 "/>
    <x v="0"/>
    <n v="3118101"/>
    <m/>
    <m/>
  </r>
  <r>
    <x v="13"/>
    <x v="0"/>
    <s v="F:\Données chgh\2020-CHG-CZA-Cromolyn-1\plaque 2/@13 Testo 30/A1_02.tif "/>
    <s v=" 46417.7539 "/>
    <s v=" 70.7749 "/>
    <x v="0"/>
    <n v="3285213"/>
    <m/>
    <m/>
  </r>
  <r>
    <x v="13"/>
    <x v="0"/>
    <s v="F:\Données chgh\2020-CHG-CZA-Cromolyn-1\plaque 2/@13 Testo 30/A1_03.tif "/>
    <s v=" 43432.8284 "/>
    <s v=" 69.8456 "/>
    <x v="0"/>
    <n v="3033593"/>
    <m/>
    <m/>
  </r>
  <r>
    <x v="13"/>
    <x v="1"/>
    <s v="F:\Données chgh\2020-CHG-CZA-Cromolyn-1\plaque 2/@13 Testo 30/B1_01- exclu.tif"/>
    <m/>
    <m/>
    <x v="1"/>
    <m/>
    <m/>
    <m/>
  </r>
  <r>
    <x v="13"/>
    <x v="1"/>
    <s v="F:\Données chgh\2020-CHG-CZA-Cromolyn-1\plaque 2/@13 Testo 30/B1_02.tif "/>
    <s v=" 56540.5446 "/>
    <s v=" 76.1155 "/>
    <x v="0"/>
    <n v="4303614"/>
    <m/>
    <m/>
  </r>
  <r>
    <x v="13"/>
    <x v="1"/>
    <s v="F:\Données chgh\2020-CHG-CZA-Cromolyn-1\plaque 2/@13 Testo 30/B1_03.tif "/>
    <s v=" 57427.3702 "/>
    <s v=" 74.4309 "/>
    <x v="0"/>
    <n v="4274370"/>
    <m/>
    <m/>
  </r>
  <r>
    <x v="13"/>
    <x v="2"/>
    <s v="F:\Données chgh\2020-CHG-CZA-Cromolyn-1\plaque 2/@13 Testo 30/C1_01.tif "/>
    <s v=" 56735.2136 "/>
    <s v=" 79.5654 "/>
    <x v="0"/>
    <n v="4514159"/>
    <m/>
    <m/>
  </r>
  <r>
    <x v="13"/>
    <x v="2"/>
    <s v="F:\Données chgh\2020-CHG-CZA-Cromolyn-1\plaque 2/@13 Testo 30/C1_02.tif "/>
    <s v=" 53598.8789 "/>
    <s v=" 79.2191 "/>
    <x v="0"/>
    <n v="4246056"/>
    <m/>
    <m/>
  </r>
  <r>
    <x v="13"/>
    <x v="2"/>
    <s v="F:\Données chgh\2020-CHG-CZA-Cromolyn-1\plaque 2/@13 Testo 30/C1_03.tif "/>
    <s v=" 52171.3058 "/>
    <s v=" 81.3337 "/>
    <x v="0"/>
    <n v="4243288"/>
    <m/>
    <m/>
  </r>
  <r>
    <x v="13"/>
    <x v="3"/>
    <s v="F:\Données chgh\2020-CHG-CZA-Cromolyn-1\plaque 2/@13 Testo 30/D1_01- exclu.tif"/>
    <m/>
    <m/>
    <x v="1"/>
    <m/>
    <m/>
    <m/>
  </r>
  <r>
    <x v="13"/>
    <x v="3"/>
    <s v="F:\Données chgh\2020-CHG-CZA-Cromolyn-1\plaque 2/@13 Testo 30/D1_02.tif "/>
    <s v=" 42199.9244 "/>
    <s v=" 71.6827 "/>
    <x v="0"/>
    <n v="3025006"/>
    <m/>
    <m/>
  </r>
  <r>
    <x v="13"/>
    <x v="3"/>
    <s v="F:\Données chgh\2020-CHG-CZA-Cromolyn-1\plaque 2/@13 Testo 30/D1_03.tif "/>
    <s v=" 39625.967 "/>
    <s v=" 71.9574 "/>
    <x v="0"/>
    <n v="2851382"/>
    <m/>
    <m/>
  </r>
  <r>
    <x v="13"/>
    <x v="4"/>
    <s v="F:\Données chgh\2020-CHG-CZA-Cromolyn-1\plaque 2/@13 Testo 30/E1_01.tif "/>
    <s v=" 3028.1852 "/>
    <s v=" 64.0714 "/>
    <x v="0"/>
    <n v="194020"/>
    <m/>
    <m/>
  </r>
  <r>
    <x v="13"/>
    <x v="4"/>
    <s v="F:\Données chgh\2020-CHG-CZA-Cromolyn-1\plaque 2/@13 Testo 30/E1_02.tif "/>
    <s v=" 7959.8012 "/>
    <s v=" 65.337 "/>
    <x v="0"/>
    <n v="520069"/>
    <m/>
    <m/>
  </r>
  <r>
    <x v="13"/>
    <x v="4"/>
    <s v="F:\Données chgh\2020-CHG-CZA-Cromolyn-1\plaque 2/@13 Testo 30/E1_03.tif "/>
    <s v=" 3395.8935 "/>
    <s v=" 64.414 "/>
    <x v="0"/>
    <n v="218743"/>
    <m/>
    <m/>
  </r>
  <r>
    <x v="13"/>
    <x v="5"/>
    <s v="F:\Données chgh\2020-CHG-CZA-Cromolyn-1\plaque 2/@13 Testo 30/F1_01.tif "/>
    <s v=" 38176.764 "/>
    <s v=" 78.2839 "/>
    <x v="0"/>
    <n v="2988624"/>
    <m/>
    <m/>
  </r>
  <r>
    <x v="13"/>
    <x v="5"/>
    <s v="F:\Données chgh\2020-CHG-CZA-Cromolyn-1\plaque 2/@13 Testo 30/F1_02.tif "/>
    <s v=" 32206.9131 "/>
    <s v=" 70.5588 "/>
    <x v="0"/>
    <n v="2272480"/>
    <m/>
    <m/>
  </r>
  <r>
    <x v="13"/>
    <x v="5"/>
    <s v="F:\Données chgh\2020-CHG-CZA-Cromolyn-1\plaque 2/@13 Testo 30/F1_03.tif "/>
    <s v=" 34715.9809 "/>
    <s v=" 72.8374 "/>
    <x v="0"/>
    <n v="2528621"/>
    <m/>
    <m/>
  </r>
  <r>
    <x v="13"/>
    <x v="6"/>
    <s v="F:\Données chgh\2020-CHG-CZA-Cromolyn-1\plaque 2/@13 Testo 30/G1_01.tif "/>
    <s v=" 50873.5122 "/>
    <s v=" 75.2283 "/>
    <x v="0"/>
    <n v="3827129"/>
    <m/>
    <m/>
  </r>
  <r>
    <x v="13"/>
    <x v="6"/>
    <s v="F:\Données chgh\2020-CHG-CZA-Cromolyn-1\plaque 2/@13 Testo 30/G1_02.tif "/>
    <s v=" 56043.057 "/>
    <s v=" 75.5824 "/>
    <x v="0"/>
    <n v="4235869"/>
    <m/>
    <m/>
  </r>
  <r>
    <x v="13"/>
    <x v="6"/>
    <s v="F:\Données chgh\2020-CHG-CZA-Cromolyn-1\plaque 2/@13 Testo 30/G1_03.tif "/>
    <s v=" 53685.3985 "/>
    <s v=" 75.2446 "/>
    <x v="0"/>
    <n v="4039534"/>
    <m/>
    <m/>
  </r>
  <r>
    <x v="13"/>
    <x v="7"/>
    <s v="F:\Données chgh\2020-CHG-CZA-Cromolyn-1\plaque 2/@13 Testo 30/H1_01.tif "/>
    <s v=" 54658.7437 "/>
    <s v=" 74.6624 "/>
    <x v="0"/>
    <n v="4080955"/>
    <m/>
    <m/>
  </r>
  <r>
    <x v="13"/>
    <x v="7"/>
    <s v="F:\Données chgh\2020-CHG-CZA-Cromolyn-1\plaque 2/@13 Testo 30/H1_02.tif "/>
    <s v=" 51868.4873 "/>
    <s v=" 72.8816 "/>
    <x v="0"/>
    <n v="3780257"/>
    <m/>
    <m/>
  </r>
  <r>
    <x v="13"/>
    <x v="7"/>
    <s v="F:\Données chgh\2020-CHG-CZA-Cromolyn-1\plaque 2/@13 Testo 30/H1_03.tif "/>
    <s v=" 51479.1492 "/>
    <s v=" 75.4315 "/>
    <x v="0"/>
    <n v="3883150"/>
    <m/>
    <m/>
  </r>
  <r>
    <x v="1"/>
    <x v="8"/>
    <s v=" "/>
    <m/>
    <m/>
    <x v="1"/>
    <m/>
    <m/>
    <m/>
  </r>
  <r>
    <x v="1"/>
    <x v="8"/>
    <s v="group "/>
    <s v=" "/>
    <s v=" mean of mean fluo "/>
    <x v="2"/>
    <s v=" mean of total fluo "/>
    <s v=" SD total fluo "/>
    <s v=" n fluorescent "/>
  </r>
  <r>
    <x v="13"/>
    <x v="9"/>
    <s v="F:\Données chgh\2020-CHG-CZA-Cromolyn-1\plaque 2/@13 Testo 30/ "/>
    <s v=" "/>
    <s v=" 72.7884 "/>
    <x v="15"/>
    <s v=" 3089197.75 "/>
    <s v=" 1368033.3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4"/>
    <x v="0"/>
    <s v="F:\Données chgh\2020-CHG-CZA-Cromolyn-1\plaque 2/@14 Testo 30/A2_01.tif "/>
    <s v=" 56389.1353 "/>
    <s v=" 81.85 "/>
    <x v="0"/>
    <n v="4615452"/>
    <m/>
    <m/>
  </r>
  <r>
    <x v="14"/>
    <x v="0"/>
    <s v="F:\Données chgh\2020-CHG-CZA-Cromolyn-1\plaque 2/@14 Testo 30/A2_02.tif "/>
    <s v=" 61255.8616 "/>
    <s v=" 78.8686 "/>
    <x v="0"/>
    <n v="4831167"/>
    <m/>
    <m/>
  </r>
  <r>
    <x v="14"/>
    <x v="0"/>
    <s v="F:\Données chgh\2020-CHG-CZA-Cromolyn-1\plaque 2/@14 Testo 30/A2_03- exclu.tif"/>
    <m/>
    <m/>
    <x v="1"/>
    <m/>
    <m/>
    <m/>
  </r>
  <r>
    <x v="14"/>
    <x v="1"/>
    <s v="F:\Données chgh\2020-CHG-CZA-Cromolyn-1\plaque 2/@14 Testo 30/B2_01.tif "/>
    <s v=" 45163.22 "/>
    <s v=" 79.3745 "/>
    <x v="0"/>
    <n v="3584809"/>
    <m/>
    <m/>
  </r>
  <r>
    <x v="14"/>
    <x v="1"/>
    <s v="F:\Données chgh\2020-CHG-CZA-Cromolyn-1\plaque 2/@14 Testo 30/B2_02.tif "/>
    <s v=" 42459.4832 "/>
    <s v=" 84.5935 "/>
    <x v="0"/>
    <n v="3591795"/>
    <m/>
    <m/>
  </r>
  <r>
    <x v="14"/>
    <x v="1"/>
    <s v="F:\Données chgh\2020-CHG-CZA-Cromolyn-1\plaque 2/@14 Testo 30/B2_03.tif "/>
    <s v=" 37765.796 "/>
    <s v=" 82.732 "/>
    <x v="0"/>
    <n v="3124438"/>
    <m/>
    <m/>
  </r>
  <r>
    <x v="14"/>
    <x v="2"/>
    <s v="F:\Données chgh\2020-CHG-CZA-Cromolyn-1\plaque 2/@14 Testo 30/C2_01- exclu.tif"/>
    <m/>
    <m/>
    <x v="1"/>
    <m/>
    <m/>
    <m/>
  </r>
  <r>
    <x v="14"/>
    <x v="2"/>
    <s v="F:\Données chgh\2020-CHG-CZA-Cromolyn-1\plaque 2/@14 Testo 30/C2_02- exclu.tif"/>
    <m/>
    <m/>
    <x v="1"/>
    <m/>
    <m/>
    <m/>
  </r>
  <r>
    <x v="14"/>
    <x v="2"/>
    <s v="F:\Données chgh\2020-CHG-CZA-Cromolyn-1\plaque 2/@14 Testo 30/C2_03- exclu.tif"/>
    <m/>
    <m/>
    <x v="1"/>
    <m/>
    <m/>
    <m/>
  </r>
  <r>
    <x v="14"/>
    <x v="3"/>
    <s v="F:\Données chgh\2020-CHG-CZA-Cromolyn-1\plaque 2/@14 Testo 30/D2_01.tif "/>
    <s v=" 58292.566 "/>
    <s v=" 77.4085 "/>
    <x v="0"/>
    <n v="4512342"/>
    <m/>
    <m/>
  </r>
  <r>
    <x v="14"/>
    <x v="3"/>
    <s v="F:\Données chgh\2020-CHG-CZA-Cromolyn-1\plaque 2/@14 Testo 30/D2_02.tif "/>
    <s v=" 54745.2633 "/>
    <s v=" 77.4911 "/>
    <x v="0"/>
    <n v="4242271"/>
    <m/>
    <m/>
  </r>
  <r>
    <x v="14"/>
    <x v="3"/>
    <s v="F:\Données chgh\2020-CHG-CZA-Cromolyn-1\plaque 2/@14 Testo 30/D2_03.tif "/>
    <s v=" 56713.5837 "/>
    <s v=" 77.4691 "/>
    <x v="0"/>
    <n v="4393551"/>
    <m/>
    <m/>
  </r>
  <r>
    <x v="14"/>
    <x v="4"/>
    <s v="F:\Données chgh\2020-CHG-CZA-Cromolyn-1\plaque 2/@14 Testo 30/E2_01.tif "/>
    <s v=" 41464.508 "/>
    <s v=" 73.9922 "/>
    <x v="0"/>
    <n v="3068049"/>
    <m/>
    <m/>
  </r>
  <r>
    <x v="14"/>
    <x v="4"/>
    <s v="F:\Données chgh\2020-CHG-CZA-Cromolyn-1\plaque 2/@14 Testo 30/E2_02.tif "/>
    <s v=" 30087.1834 "/>
    <s v=" 70.6405 "/>
    <x v="0"/>
    <n v="2125375"/>
    <m/>
    <m/>
  </r>
  <r>
    <x v="14"/>
    <x v="4"/>
    <s v="F:\Données chgh\2020-CHG-CZA-Cromolyn-1\plaque 2/@14 Testo 30/E2_03.tif "/>
    <s v=" 35689.3261 "/>
    <s v=" 70.8436 "/>
    <x v="0"/>
    <n v="2528362"/>
    <m/>
    <m/>
  </r>
  <r>
    <x v="14"/>
    <x v="5"/>
    <s v="F:\Données chgh\2020-CHG-CZA-Cromolyn-1\plaque 2/@14 Testo 30/F2_01.tif "/>
    <s v=" 53144.6511 "/>
    <s v=" 74.1392 "/>
    <x v="0"/>
    <n v="3940102"/>
    <m/>
    <m/>
  </r>
  <r>
    <x v="14"/>
    <x v="5"/>
    <s v="F:\Données chgh\2020-CHG-CZA-Cromolyn-1\plaque 2/@14 Testo 30/F2_02.tif "/>
    <s v=" 56713.5837 "/>
    <s v=" 73.5107 "/>
    <x v="0"/>
    <n v="4169054"/>
    <m/>
    <m/>
  </r>
  <r>
    <x v="14"/>
    <x v="5"/>
    <s v="F:\Données chgh\2020-CHG-CZA-Cromolyn-1\plaque 2/@14 Testo 30/F2_03.tif "/>
    <s v=" 48559.1134 "/>
    <s v=" 73.1225 "/>
    <x v="0"/>
    <n v="3550764"/>
    <m/>
    <m/>
  </r>
  <r>
    <x v="14"/>
    <x v="6"/>
    <s v="F:\Données chgh\2020-CHG-CZA-Cromolyn-1\plaque 2/@14 Testo 30/G2_01.tif "/>
    <s v=" 56432.3951 "/>
    <s v=" 76.8475 "/>
    <x v="0"/>
    <n v="4336686"/>
    <m/>
    <m/>
  </r>
  <r>
    <x v="14"/>
    <x v="6"/>
    <s v="F:\Données chgh\2020-CHG-CZA-Cromolyn-1\plaque 2/@14 Testo 30/G2_02.tif "/>
    <s v=" 54745.2633 "/>
    <s v=" 75.9182 "/>
    <x v="0"/>
    <n v="4156163"/>
    <m/>
    <m/>
  </r>
  <r>
    <x v="14"/>
    <x v="6"/>
    <s v="F:\Données chgh\2020-CHG-CZA-Cromolyn-1\plaque 2/@14 Testo 30/G2_03.tif "/>
    <s v=" 55112.9715 "/>
    <s v=" 76.2724 "/>
    <x v="0"/>
    <n v="4203597"/>
    <m/>
    <m/>
  </r>
  <r>
    <x v="14"/>
    <x v="7"/>
    <s v="F:\Données chgh\2020-CHG-CZA-Cromolyn-1\plaque 2/@14 Testo 30/H2_01.tif "/>
    <s v=" 61710.0894 "/>
    <s v=" 80.3148 "/>
    <x v="0"/>
    <n v="4956231"/>
    <m/>
    <m/>
  </r>
  <r>
    <x v="14"/>
    <x v="7"/>
    <s v="F:\Données chgh\2020-CHG-CZA-Cromolyn-1\plaque 2/@14 Testo 30/H2_02.tif "/>
    <s v=" 65214.1323 "/>
    <s v=" 78.1516 "/>
    <x v="0"/>
    <n v="5096587"/>
    <m/>
    <m/>
  </r>
  <r>
    <x v="14"/>
    <x v="7"/>
    <s v="F:\Données chgh\2020-CHG-CZA-Cromolyn-1\plaque 2/@14 Testo 30/H2_03.tif "/>
    <s v=" 59157.7618 "/>
    <s v=" 80.2556 "/>
    <x v="0"/>
    <n v="4747740"/>
    <m/>
    <m/>
  </r>
  <r>
    <x v="1"/>
    <x v="8"/>
    <s v=" "/>
    <m/>
    <m/>
    <x v="1"/>
    <m/>
    <m/>
    <m/>
  </r>
  <r>
    <x v="1"/>
    <x v="8"/>
    <s v="group "/>
    <s v=" "/>
    <s v=" mean of mean fluo "/>
    <x v="2"/>
    <s v=" mean of total fluo "/>
    <s v=" SD total fluo "/>
    <s v=" n fluorescent "/>
  </r>
  <r>
    <x v="14"/>
    <x v="9"/>
    <s v="F:\Données chgh\2020-CHG-CZA-Cromolyn-1\plaque 2/@14 Testo 30/ "/>
    <s v=" "/>
    <s v=" 77.3281 "/>
    <x v="16"/>
    <s v=" 3574436.58 "/>
    <s v=" 1407946.2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5"/>
    <x v="0"/>
    <s v="F:\Données chgh\2020-CHG-CZA-Cromolyn-1\plaque 2/@15 Testo + EE2/A3_01.tif "/>
    <s v=" 52301.0852 "/>
    <s v=" 91.6497 "/>
    <x v="0"/>
    <n v="4793379"/>
    <m/>
    <m/>
  </r>
  <r>
    <x v="15"/>
    <x v="0"/>
    <s v="F:\Données chgh\2020-CHG-CZA-Cromolyn-1\plaque 2/@15 Testo + EE2/A3_02.tif "/>
    <s v=" 49727.1278 "/>
    <s v=" 96.4793 "/>
    <x v="0"/>
    <n v="4797640"/>
    <m/>
    <m/>
  </r>
  <r>
    <x v="15"/>
    <x v="0"/>
    <s v="F:\Données chgh\2020-CHG-CZA-Cromolyn-1\plaque 2/@15 Testo + EE2/A3_03.tif "/>
    <s v=" 53944.9572 "/>
    <s v=" 91.9547 "/>
    <x v="0"/>
    <n v="4960492"/>
    <m/>
    <m/>
  </r>
  <r>
    <x v="15"/>
    <x v="1"/>
    <s v="F:\Données chgh\2020-CHG-CZA-Cromolyn-1\plaque 2/@15 Testo + EE2/B3_01.tif "/>
    <s v=" 70621.606 "/>
    <s v=" 83.0778 "/>
    <x v="0"/>
    <n v="5867087"/>
    <m/>
    <m/>
  </r>
  <r>
    <x v="15"/>
    <x v="1"/>
    <s v="F:\Données chgh\2020-CHG-CZA-Cromolyn-1\plaque 2/@15 Testo + EE2/B3_02.tif "/>
    <s v=" 60888.1534 "/>
    <s v=" 80.7012 "/>
    <x v="0"/>
    <n v="4913750"/>
    <m/>
    <m/>
  </r>
  <r>
    <x v="15"/>
    <x v="1"/>
    <s v="F:\Données chgh\2020-CHG-CZA-Cromolyn-1\plaque 2/@15 Testo + EE2/B3_03- exclu.tif"/>
    <m/>
    <m/>
    <x v="1"/>
    <m/>
    <m/>
    <m/>
  </r>
  <r>
    <x v="15"/>
    <x v="2"/>
    <s v="F:\Données chgh\2020-CHG-CZA-Cromolyn-1\plaque 2/@15 Testo + EE2/C3_01.tif "/>
    <s v=" 55480.6797 "/>
    <s v=" 83.5505 "/>
    <x v="0"/>
    <n v="4635438"/>
    <m/>
    <m/>
  </r>
  <r>
    <x v="15"/>
    <x v="2"/>
    <s v="F:\Données chgh\2020-CHG-CZA-Cromolyn-1\plaque 2/@15 Testo + EE2/C3_02.tif "/>
    <s v=" 60260.8864 "/>
    <s v=" 82.1698 "/>
    <x v="0"/>
    <n v="4951624"/>
    <m/>
    <m/>
  </r>
  <r>
    <x v="15"/>
    <x v="2"/>
    <s v="F:\Données chgh\2020-CHG-CZA-Cromolyn-1\plaque 2/@15 Testo + EE2/C3_03.tif "/>
    <s v=" 65516.9508 "/>
    <s v=" 83.2126 "/>
    <x v="0"/>
    <n v="5451837"/>
    <m/>
    <m/>
  </r>
  <r>
    <x v="15"/>
    <x v="3"/>
    <s v="F:\Données chgh\2020-CHG-CZA-Cromolyn-1\plaque 2/@15 Testo + EE2/D3_01.tif "/>
    <s v=" 66403.7765 "/>
    <s v=" 83.5717 "/>
    <x v="0"/>
    <n v="5549474"/>
    <m/>
    <m/>
  </r>
  <r>
    <x v="15"/>
    <x v="3"/>
    <s v="F:\Données chgh\2020-CHG-CZA-Cromolyn-1\plaque 2/@15 Testo + EE2/D3_02.tif "/>
    <s v=" 65538.5807 "/>
    <s v=" 82.1762 "/>
    <x v="0"/>
    <n v="5385714"/>
    <m/>
    <m/>
  </r>
  <r>
    <x v="15"/>
    <x v="3"/>
    <s v="F:\Données chgh\2020-CHG-CZA-Cromolyn-1\plaque 2/@15 Testo + EE2/D3_03.tif "/>
    <s v=" 67290.6022 "/>
    <s v=" 86.5757 "/>
    <x v="0"/>
    <n v="5825731"/>
    <m/>
    <m/>
  </r>
  <r>
    <x v="15"/>
    <x v="4"/>
    <s v="F:\Données chgh\2020-CHG-CZA-Cromolyn-1\plaque 2/@15 Testo + EE2/E3_01.tif "/>
    <s v=" 43951.9459 "/>
    <s v=" 79.7082 "/>
    <x v="0"/>
    <n v="3503329"/>
    <m/>
    <m/>
  </r>
  <r>
    <x v="15"/>
    <x v="4"/>
    <s v="F:\Données chgh\2020-CHG-CZA-Cromolyn-1\plaque 2/@15 Testo + EE2/E3_02.tif "/>
    <s v=" 42026.8853 "/>
    <s v=" 81.175 "/>
    <x v="0"/>
    <n v="3411532"/>
    <m/>
    <m/>
  </r>
  <r>
    <x v="15"/>
    <x v="4"/>
    <s v="F:\Données chgh\2020-CHG-CZA-Cromolyn-1\plaque 2/@15 Testo + EE2/E3_03.tif "/>
    <s v=" 41594.2874 "/>
    <s v=" 79.5746 "/>
    <x v="0"/>
    <n v="3309850"/>
    <m/>
    <m/>
  </r>
  <r>
    <x v="15"/>
    <x v="5"/>
    <s v="F:\Données chgh\2020-CHG-CZA-Cromolyn-1\plaque 2/@15 Testo + EE2/F3_01.tif "/>
    <s v=" 73109.0438 "/>
    <s v=" 81.2299 "/>
    <x v="0"/>
    <n v="5938639"/>
    <m/>
    <m/>
  </r>
  <r>
    <x v="15"/>
    <x v="5"/>
    <s v="F:\Données chgh\2020-CHG-CZA-Cromolyn-1\plaque 2/@15 Testo + EE2/F3_02.tif "/>
    <s v=" 68328.8371 "/>
    <s v=" 80.2985 "/>
    <x v="0"/>
    <n v="5486704"/>
    <m/>
    <m/>
  </r>
  <r>
    <x v="15"/>
    <x v="5"/>
    <s v="F:\Données chgh\2020-CHG-CZA-Cromolyn-1\plaque 2/@15 Testo + EE2/F3_03.tif "/>
    <s v=" 68610.0258 "/>
    <s v=" 79.6293 "/>
    <x v="0"/>
    <n v="5463365"/>
    <m/>
    <m/>
  </r>
  <r>
    <x v="15"/>
    <x v="6"/>
    <s v="F:\Données chgh\2020-CHG-CZA-Cromolyn-1\plaque 2/@15 Testo + EE2/G3_01.tif "/>
    <s v=" 60412.2957 "/>
    <s v=" 85.9216 "/>
    <x v="0"/>
    <n v="5190720"/>
    <m/>
    <m/>
  </r>
  <r>
    <x v="15"/>
    <x v="6"/>
    <s v="F:\Données chgh\2020-CHG-CZA-Cromolyn-1\plaque 2/@15 Testo + EE2/G3_02.tif "/>
    <s v=" 65343.9117 "/>
    <s v=" 85.4889 "/>
    <x v="0"/>
    <n v="5586180"/>
    <m/>
    <m/>
  </r>
  <r>
    <x v="15"/>
    <x v="6"/>
    <s v="F:\Données chgh\2020-CHG-CZA-Cromolyn-1\plaque 2/@15 Testo + EE2/G3_03.tif "/>
    <s v=" 62380.6161 "/>
    <s v=" 87.1449 "/>
    <x v="0"/>
    <n v="5436155"/>
    <m/>
    <m/>
  </r>
  <r>
    <x v="15"/>
    <x v="7"/>
    <s v="F:\Données chgh\2020-CHG-CZA-Cromolyn-1\plaque 2/@15 Testo + EE2/H3_01.tif "/>
    <s v=" 44341.284 "/>
    <s v=" 77.9766 "/>
    <x v="0"/>
    <n v="3457582"/>
    <m/>
    <m/>
  </r>
  <r>
    <x v="15"/>
    <x v="7"/>
    <s v="F:\Données chgh\2020-CHG-CZA-Cromolyn-1\plaque 2/@15 Testo + EE2/H3_02.tif "/>
    <s v=" 46763.8322 "/>
    <s v=" 76.8113 "/>
    <x v="0"/>
    <n v="3591990"/>
    <m/>
    <m/>
  </r>
  <r>
    <x v="15"/>
    <x v="7"/>
    <s v="F:\Données chgh\2020-CHG-CZA-Cromolyn-1\plaque 2/@15 Testo + EE2/H3_03.tif "/>
    <s v=" 47845.3269 "/>
    <s v=" 78.0967 "/>
    <x v="0"/>
    <n v="3736564"/>
    <m/>
    <m/>
  </r>
  <r>
    <x v="1"/>
    <x v="8"/>
    <s v=" "/>
    <m/>
    <m/>
    <x v="1"/>
    <m/>
    <m/>
    <m/>
  </r>
  <r>
    <x v="1"/>
    <x v="8"/>
    <s v="group "/>
    <s v=" "/>
    <s v=" mean of mean fluo "/>
    <x v="2"/>
    <s v=" mean of total fluo "/>
    <s v=" SD total fluo "/>
    <s v=" n fluorescent "/>
  </r>
  <r>
    <x v="15"/>
    <x v="9"/>
    <s v="F:\Données chgh\2020-CHG-CZA-Cromolyn-1\plaque 2/@15 Testo + EE2/ "/>
    <s v=" "/>
    <s v=" 83.0833 "/>
    <x v="17"/>
    <s v=" 4854762.25 "/>
    <s v=" 868865.26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6"/>
    <x v="0"/>
    <s v="F:\Données chgh\2020-CHG-CZA-Cromolyn-1\plaque 2/@16 Testo + FAD/A4_01.tif "/>
    <s v=" 2898.4059 "/>
    <s v=" 65.9776 "/>
    <x v="0"/>
    <n v="191230"/>
    <m/>
    <m/>
  </r>
  <r>
    <x v="16"/>
    <x v="0"/>
    <s v="F:\Données chgh\2020-CHG-CZA-Cromolyn-1\plaque 2/@16 Testo + FAD/A4_02.tif "/>
    <s v=" 1903.4307 "/>
    <s v=" 64.3409 "/>
    <x v="0"/>
    <n v="122468"/>
    <m/>
    <m/>
  </r>
  <r>
    <x v="16"/>
    <x v="0"/>
    <s v="F:\Données chgh\2020-CHG-CZA-Cromolyn-1\plaque 2/@16 Testo + FAD/A4_03.tif "/>
    <s v=" 3482.413 "/>
    <s v=" 65.1863 "/>
    <x v="0"/>
    <n v="227006"/>
    <m/>
    <m/>
  </r>
  <r>
    <x v="16"/>
    <x v="1"/>
    <s v="F:\Données chgh\2020-CHG-CZA-Cromolyn-1\plaque 2/@16 Testo + FAD/B4_01.tif "/>
    <s v=" 5191.1747 "/>
    <s v=" 66.2125 "/>
    <x v="0"/>
    <n v="343721"/>
    <m/>
    <m/>
  </r>
  <r>
    <x v="16"/>
    <x v="1"/>
    <s v="F:\Données chgh\2020-CHG-CZA-Cromolyn-1\plaque 2/@16 Testo + FAD/B4_02.tif "/>
    <s v=" 3720.3419 "/>
    <s v=" 65.2267 "/>
    <x v="0"/>
    <n v="242666"/>
    <m/>
    <m/>
  </r>
  <r>
    <x v="16"/>
    <x v="1"/>
    <s v="F:\Données chgh\2020-CHG-CZA-Cromolyn-1\plaque 2/@16 Testo + FAD/B4_03.tif "/>
    <s v=" 5991.4808 "/>
    <s v=" 67.3177 "/>
    <x v="0"/>
    <n v="403333"/>
    <m/>
    <m/>
  </r>
  <r>
    <x v="16"/>
    <x v="2"/>
    <s v="F:\Données chgh\2020-CHG-CZA-Cromolyn-1\plaque 2/@16 Testo + FAD/C4_01.tif "/>
    <s v=" 10663.5381 "/>
    <s v=" 83.9959 "/>
    <x v="0"/>
    <n v="895694"/>
    <m/>
    <m/>
  </r>
  <r>
    <x v="16"/>
    <x v="2"/>
    <s v="F:\Données chgh\2020-CHG-CZA-Cromolyn-1\plaque 2/@16 Testo + FAD/C4_02.tif "/>
    <s v=" 6597.1179 "/>
    <s v=" 72.7803 "/>
    <x v="0"/>
    <n v="480140"/>
    <m/>
    <m/>
  </r>
  <r>
    <x v="16"/>
    <x v="2"/>
    <s v="F:\Données chgh\2020-CHG-CZA-Cromolyn-1\plaque 2/@16 Testo + FAD/C4_03.tif "/>
    <s v=" 1146.3844 "/>
    <s v=" 66.2453 "/>
    <x v="0"/>
    <n v="75943"/>
    <m/>
    <m/>
  </r>
  <r>
    <x v="16"/>
    <x v="3"/>
    <s v="F:\Données chgh\2020-CHG-CZA-Cromolyn-1\plaque 2/@16 Testo + FAD/D4_01.tif "/>
    <s v=" 2660.477 "/>
    <s v=" 64.5447 "/>
    <x v="0"/>
    <n v="171720"/>
    <m/>
    <m/>
  </r>
  <r>
    <x v="16"/>
    <x v="3"/>
    <s v="F:\Données chgh\2020-CHG-CZA-Cromolyn-1\plaque 2/@16 Testo + FAD/D4_02.tif "/>
    <s v=" 4866.7263 "/>
    <s v=" 66.3644 "/>
    <x v="0"/>
    <n v="322978"/>
    <m/>
    <m/>
  </r>
  <r>
    <x v="16"/>
    <x v="3"/>
    <s v="F:\Données chgh\2020-CHG-CZA-Cromolyn-1\plaque 2/@16 Testo + FAD/D4_03.tif "/>
    <s v=" 1449.2029 "/>
    <s v=" 63.1493 "/>
    <x v="0"/>
    <n v="91516"/>
    <m/>
    <m/>
  </r>
  <r>
    <x v="16"/>
    <x v="4"/>
    <s v="F:\Données chgh\2020-CHG-CZA-Cromolyn-1\plaque 2/@16 Testo + FAD/E4_01.tif "/>
    <s v=" 8457.2888 "/>
    <s v=" 70.7494 "/>
    <x v="0"/>
    <n v="598348"/>
    <m/>
    <m/>
  </r>
  <r>
    <x v="16"/>
    <x v="4"/>
    <s v="F:\Données chgh\2020-CHG-CZA-Cromolyn-1\plaque 2/@16 Testo + FAD/E4_02.tif "/>
    <s v=" 11918.0719 "/>
    <s v=" 72.2123 "/>
    <x v="0"/>
    <n v="860632"/>
    <m/>
    <m/>
  </r>
  <r>
    <x v="16"/>
    <x v="4"/>
    <s v="F:\Données chgh\2020-CHG-CZA-Cromolyn-1\plaque 2/@16 Testo + FAD/E4_03.tif "/>
    <s v=" 3915.0109 "/>
    <s v=" 69.8011 "/>
    <x v="0"/>
    <n v="273272"/>
    <m/>
    <m/>
  </r>
  <r>
    <x v="16"/>
    <x v="5"/>
    <s v="F:\Données chgh\2020-CHG-CZA-Cromolyn-1\plaque 2/@16 Testo + FAD/F4_01.tif "/>
    <s v=" 7419.0539 "/>
    <s v=" 76.9796 "/>
    <x v="0"/>
    <n v="571116"/>
    <m/>
    <m/>
  </r>
  <r>
    <x v="16"/>
    <x v="5"/>
    <s v="F:\Données chgh\2020-CHG-CZA-Cromolyn-1\plaque 2/@16 Testo + FAD/F4_02.tif "/>
    <s v=" 7808.392 "/>
    <s v=" 75.9945 "/>
    <x v="0"/>
    <n v="593395"/>
    <m/>
    <m/>
  </r>
  <r>
    <x v="16"/>
    <x v="5"/>
    <s v="F:\Données chgh\2020-CHG-CZA-Cromolyn-1\plaque 2/@16 Testo + FAD/F4_03.tif "/>
    <s v=" 5667.0324 "/>
    <s v=" 77.0611 "/>
    <x v="0"/>
    <n v="436708"/>
    <m/>
    <m/>
  </r>
  <r>
    <x v="16"/>
    <x v="6"/>
    <s v="F:\Données chgh\2020-CHG-CZA-Cromolyn-1\plaque 2/@16 Testo + FAD/G4_01.tif "/>
    <s v=" 497.4876 "/>
    <s v=" 63.1304 "/>
    <x v="0"/>
    <n v="31407"/>
    <m/>
    <m/>
  </r>
  <r>
    <x v="16"/>
    <x v="6"/>
    <s v="F:\Données chgh\2020-CHG-CZA-Cromolyn-1\plaque 2/@16 Testo + FAD/G4_02.tif "/>
    <s v=" 1881.8008 "/>
    <s v=" 64.954 "/>
    <x v="0"/>
    <n v="122231"/>
    <m/>
    <m/>
  </r>
  <r>
    <x v="16"/>
    <x v="6"/>
    <s v="F:\Données chgh\2020-CHG-CZA-Cromolyn-1\plaque 2/@16 Testo + FAD/G4_03.tif "/>
    <s v=" 670.5267 "/>
    <s v=" 65.1613 "/>
    <x v="0"/>
    <n v="43692"/>
    <m/>
    <m/>
  </r>
  <r>
    <x v="16"/>
    <x v="7"/>
    <s v="F:\Données chgh\2020-CHG-CZA-Cromolyn-1\plaque 2/@16 Testo + FAD/H4_01.tif "/>
    <s v=" 3741.9718 "/>
    <s v=" 67.815 "/>
    <x v="0"/>
    <n v="253762"/>
    <m/>
    <m/>
  </r>
  <r>
    <x v="16"/>
    <x v="7"/>
    <s v="F:\Données chgh\2020-CHG-CZA-Cromolyn-1\plaque 2/@16 Testo + FAD/H4_02.tif "/>
    <s v=" 6835.0467 "/>
    <s v=" 67.6709 "/>
    <x v="0"/>
    <n v="462534"/>
    <m/>
    <m/>
  </r>
  <r>
    <x v="16"/>
    <x v="7"/>
    <s v="F:\Données chgh\2020-CHG-CZA-Cromolyn-1\plaque 2/@16 Testo + FAD/H4_03.tif "/>
    <s v=" 7094.6054 "/>
    <s v=" 68.3476 "/>
    <x v="0"/>
    <n v="484899"/>
    <m/>
    <m/>
  </r>
  <r>
    <x v="1"/>
    <x v="8"/>
    <s v=" "/>
    <m/>
    <m/>
    <x v="1"/>
    <m/>
    <m/>
    <m/>
  </r>
  <r>
    <x v="1"/>
    <x v="8"/>
    <s v="group "/>
    <s v=" "/>
    <s v=" mean of mean fluo "/>
    <x v="2"/>
    <s v=" mean of total fluo "/>
    <s v=" SD total fluo "/>
    <s v=" n fluorescent "/>
  </r>
  <r>
    <x v="16"/>
    <x v="9"/>
    <s v="F:\Données chgh\2020-CHG-CZA-Cromolyn-1\plaque 2/@16 Testo + FAD/ "/>
    <s v=" "/>
    <s v=" 68.8008 "/>
    <x v="18"/>
    <s v=" 345850.458 "/>
    <s v=" 240157.53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7"/>
    <x v="0"/>
    <s v="F:\Données chgh\2020-CHG-CZA-Cromolyn-1\plaque 2/@17 Testo + Cromolyn 0.1/A5_01.tif "/>
    <s v=" 49921.7968 "/>
    <s v=" 74.4389 "/>
    <x v="0"/>
    <n v="3716124"/>
    <m/>
    <m/>
  </r>
  <r>
    <x v="17"/>
    <x v="0"/>
    <s v="F:\Données chgh\2020-CHG-CZA-Cromolyn-1\plaque 2/@17 Testo + Cromolyn 0.1/A5_02.tif "/>
    <s v=" 23425.1759 "/>
    <s v=" 65.9926 "/>
    <x v="0"/>
    <n v="1545889"/>
    <m/>
    <m/>
  </r>
  <r>
    <x v="17"/>
    <x v="0"/>
    <s v="F:\Données chgh\2020-CHG-CZA-Cromolyn-1\plaque 2/@17 Testo + Cromolyn 0.1/A5_03.tif "/>
    <s v=" 41356.3585 "/>
    <s v=" 73.9712 "/>
    <x v="0"/>
    <n v="3059181"/>
    <m/>
    <m/>
  </r>
  <r>
    <x v="17"/>
    <x v="1"/>
    <s v="F:\Données chgh\2020-CHG-CZA-Cromolyn-1\plaque 2/@17 Testo + Cromolyn 0.1/B5_01- exclu.tif"/>
    <m/>
    <m/>
    <x v="1"/>
    <m/>
    <m/>
    <m/>
  </r>
  <r>
    <x v="17"/>
    <x v="1"/>
    <s v="F:\Données chgh\2020-CHG-CZA-Cromolyn-1\plaque 2/@17 Testo + Cromolyn 0.1/B5_02.tif "/>
    <s v=" 54745.2633 "/>
    <s v=" 77.8945 "/>
    <x v="0"/>
    <n v="4264355"/>
    <m/>
    <m/>
  </r>
  <r>
    <x v="17"/>
    <x v="1"/>
    <s v="F:\Données chgh\2020-CHG-CZA-Cromolyn-1\plaque 2/@17 Testo + Cromolyn 0.1/B5_03.tif "/>
    <s v=" 62142.6873 "/>
    <s v=" 77.1089 "/>
    <x v="0"/>
    <n v="4791757"/>
    <m/>
    <m/>
  </r>
  <r>
    <x v="17"/>
    <x v="2"/>
    <s v="F:\Données chgh\2020-CHG-CZA-Cromolyn-1\plaque 2/@17 Testo + Cromolyn 0.1/C5_01.tif "/>
    <s v=" 40036.935 "/>
    <s v=" 71.8271 "/>
    <x v="0"/>
    <n v="2875738"/>
    <m/>
    <m/>
  </r>
  <r>
    <x v="17"/>
    <x v="2"/>
    <s v="F:\Données chgh\2020-CHG-CZA-Cromolyn-1\plaque 2/@17 Testo + Cromolyn 0.1/C5_02.tif "/>
    <s v=" 38674.2516 "/>
    <s v=" 70.0738 "/>
    <x v="0"/>
    <n v="2710053"/>
    <m/>
    <m/>
  </r>
  <r>
    <x v="17"/>
    <x v="2"/>
    <s v="F:\Données chgh\2020-CHG-CZA-Cromolyn-1\plaque 2/@17 Testo + Cromolyn 0.1/C5_03.tif "/>
    <s v=" 37592.7569 "/>
    <s v=" 69.4114 "/>
    <x v="0"/>
    <n v="2609366"/>
    <m/>
    <m/>
  </r>
  <r>
    <x v="17"/>
    <x v="3"/>
    <s v="F:\Données chgh\2020-CHG-CZA-Cromolyn-1\plaque 2/@17 Testo + Cromolyn 0.1/D5_01.tif "/>
    <s v=" 64262.4169 "/>
    <s v=" 76.6186 "/>
    <x v="0"/>
    <n v="4923699"/>
    <m/>
    <m/>
  </r>
  <r>
    <x v="17"/>
    <x v="3"/>
    <s v="F:\Données chgh\2020-CHG-CZA-Cromolyn-1\plaque 2/@17 Testo + Cromolyn 0.1/D5_02.tif "/>
    <s v=" 59265.9113 "/>
    <s v=" 75.7365 "/>
    <x v="0"/>
    <n v="4488592"/>
    <m/>
    <m/>
  </r>
  <r>
    <x v="17"/>
    <x v="3"/>
    <s v="F:\Données chgh\2020-CHG-CZA-Cromolyn-1\plaque 2/@17 Testo + Cromolyn 0.1/D5_03.tif "/>
    <s v=" 58811.6835 "/>
    <s v=" 75.569 "/>
    <x v="0"/>
    <n v="4444338"/>
    <m/>
    <m/>
  </r>
  <r>
    <x v="17"/>
    <x v="4"/>
    <s v="F:\Données chgh\2020-CHG-CZA-Cromolyn-1\plaque 2/@17 Testo + Cromolyn 0.1/E5_01.tif "/>
    <s v=" 61883.1285 "/>
    <s v=" 81.2146 "/>
    <x v="0"/>
    <n v="5025814"/>
    <m/>
    <m/>
  </r>
  <r>
    <x v="17"/>
    <x v="4"/>
    <s v="F:\Données chgh\2020-CHG-CZA-Cromolyn-1\plaque 2/@17 Testo + Cromolyn 0.1/E5_02.tif "/>
    <s v=" 54702.0035 "/>
    <s v=" 78.4021 "/>
    <x v="0"/>
    <n v="4288754"/>
    <m/>
    <m/>
  </r>
  <r>
    <x v="17"/>
    <x v="4"/>
    <s v="F:\Données chgh\2020-CHG-CZA-Cromolyn-1\plaque 2/@17 Testo + Cromolyn 0.1/E5_03.tif "/>
    <s v=" 62012.9079 "/>
    <s v=" 81.1985 "/>
    <x v="0"/>
    <n v="5035353"/>
    <m/>
    <m/>
  </r>
  <r>
    <x v="17"/>
    <x v="5"/>
    <s v="F:\Données chgh\2020-CHG-CZA-Cromolyn-1\plaque 2/@17 Testo + Cromolyn 0.1/F5_01.tif "/>
    <s v=" 29308.5072 "/>
    <s v=" 71.859 "/>
    <x v="0"/>
    <n v="2106081"/>
    <m/>
    <m/>
  </r>
  <r>
    <x v="17"/>
    <x v="5"/>
    <s v="F:\Données chgh\2020-CHG-CZA-Cromolyn-1\plaque 2/@17 Testo + Cromolyn 0.1/F5_02.tif "/>
    <s v=" 23187.247 "/>
    <s v=" 68.4459 "/>
    <x v="0"/>
    <n v="1587072"/>
    <m/>
    <m/>
  </r>
  <r>
    <x v="17"/>
    <x v="5"/>
    <s v="F:\Données chgh\2020-CHG-CZA-Cromolyn-1\plaque 2/@17 Testo + Cromolyn 0.1/F5_03.tif "/>
    <s v=" 28659.6104 "/>
    <s v=" 71.3094 "/>
    <x v="0"/>
    <n v="2043701"/>
    <m/>
    <m/>
  </r>
  <r>
    <x v="17"/>
    <x v="6"/>
    <s v="F:\Données chgh\2020-CHG-CZA-Cromolyn-1\plaque 2/@17 Testo + Cromolyn 0.1/G5_01.tif "/>
    <s v=" 44665.7324 "/>
    <s v=" 70.754 "/>
    <x v="0"/>
    <n v="3160279"/>
    <m/>
    <m/>
  </r>
  <r>
    <x v="17"/>
    <x v="6"/>
    <s v="F:\Données chgh\2020-CHG-CZA-Cromolyn-1\plaque 2/@17 Testo + Cromolyn 0.1/G5_02.tif "/>
    <s v=" 44016.8356 "/>
    <s v=" 70.5784 "/>
    <x v="0"/>
    <n v="3106637"/>
    <m/>
    <m/>
  </r>
  <r>
    <x v="17"/>
    <x v="6"/>
    <s v="F:\Données chgh\2020-CHG-CZA-Cromolyn-1\plaque 2/@17 Testo + Cromolyn 0.1/G5_03.tif "/>
    <s v=" 41464.508 "/>
    <s v=" 68.7997 "/>
    <x v="0"/>
    <n v="2852745"/>
    <m/>
    <m/>
  </r>
  <r>
    <x v="17"/>
    <x v="7"/>
    <s v="F:\Données chgh\2020-CHG-CZA-Cromolyn-1\plaque 2/@17 Testo + Cromolyn 0.1/H5_01.tif "/>
    <s v=" 76548.1971 "/>
    <s v=" 85.1181 "/>
    <x v="0"/>
    <n v="6515638"/>
    <m/>
    <m/>
  </r>
  <r>
    <x v="17"/>
    <x v="7"/>
    <s v="F:\Données chgh\2020-CHG-CZA-Cromolyn-1\plaque 2/@17 Testo + Cromolyn 0.1/H5_02.tif "/>
    <s v=" 71962.6594 "/>
    <s v=" 83.6534 "/>
    <x v="0"/>
    <n v="6019924"/>
    <m/>
    <m/>
  </r>
  <r>
    <x v="17"/>
    <x v="7"/>
    <s v="F:\Données chgh\2020-CHG-CZA-Cromolyn-1\plaque 2/@17 Testo + Cromolyn 0.1/H5_03.tif "/>
    <s v=" 78105.5495 "/>
    <s v=" 83.9014 "/>
    <x v="0"/>
    <n v="6553166"/>
    <m/>
    <m/>
  </r>
  <r>
    <x v="1"/>
    <x v="8"/>
    <s v=" "/>
    <m/>
    <m/>
    <x v="1"/>
    <m/>
    <m/>
    <m/>
  </r>
  <r>
    <x v="1"/>
    <x v="8"/>
    <s v="group "/>
    <s v=" "/>
    <s v=" mean of mean fluo "/>
    <x v="2"/>
    <s v=" mean of total fluo "/>
    <s v=" SD total fluo "/>
    <s v=" n fluorescent "/>
  </r>
  <r>
    <x v="17"/>
    <x v="9"/>
    <s v="F:\Données chgh\2020-CHG-CZA-Cromolyn-1\plaque 2/@17 Testo + Cromolyn 0.1/ "/>
    <s v=" "/>
    <s v=" 74.8344 "/>
    <x v="19"/>
    <s v=" 3828205.67 "/>
    <s v=" 1449764.6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8"/>
    <x v="0"/>
    <s v="F:\Données chgh\2020-CHG-CZA-Cromolyn-1\plaque 2/@18 Testo + Cromolyn 1/A6_01.tif "/>
    <s v=" 6034.7406 "/>
    <s v=" 67.491 "/>
    <x v="0"/>
    <n v="407291"/>
    <m/>
    <m/>
  </r>
  <r>
    <x v="18"/>
    <x v="0"/>
    <s v="F:\Données chgh\2020-CHG-CZA-Cromolyn-1\plaque 2/@18 Testo + Cromolyn 1/A6_02.tif "/>
    <s v=" 6380.8189 "/>
    <s v=" 67.9593 "/>
    <x v="0"/>
    <n v="433636"/>
    <m/>
    <m/>
  </r>
  <r>
    <x v="18"/>
    <x v="0"/>
    <s v="F:\Données chgh\2020-CHG-CZA-Cromolyn-1\plaque 2/@18 Testo + Cromolyn 1/A6_03.tif "/>
    <s v=" 2336.0286 "/>
    <s v=" 64.6574 "/>
    <x v="0"/>
    <n v="151042"/>
    <m/>
    <m/>
  </r>
  <r>
    <x v="18"/>
    <x v="1"/>
    <s v="F:\Données chgh\2020-CHG-CZA-Cromolyn-1\plaque 2/@18 Testo + Cromolyn 1/B6_01.tif "/>
    <s v=" 60844.8936 "/>
    <s v=" 75.6989 "/>
    <x v="0"/>
    <n v="4605891"/>
    <m/>
    <m/>
  </r>
  <r>
    <x v="18"/>
    <x v="1"/>
    <s v="F:\Données chgh\2020-CHG-CZA-Cromolyn-1\plaque 2/@18 Testo + Cromolyn 1/B6_02.tif "/>
    <s v=" 58768.4237 "/>
    <s v=" 74.5271 "/>
    <x v="0"/>
    <n v="4379837"/>
    <m/>
    <m/>
  </r>
  <r>
    <x v="18"/>
    <x v="1"/>
    <s v="F:\Données chgh\2020-CHG-CZA-Cromolyn-1\plaque 2/@18 Testo + Cromolyn 1/B6_03.tif "/>
    <s v=" 56800.1033 "/>
    <s v=" 75.0339 "/>
    <x v="0"/>
    <n v="4261933"/>
    <m/>
    <m/>
  </r>
  <r>
    <x v="18"/>
    <x v="2"/>
    <s v="F:\Données chgh\2020-CHG-CZA-Cromolyn-1\plaque 2/@18 Testo + Cromolyn 1/C6_01.tif "/>
    <s v=" 34932.2798 "/>
    <s v=" 67.8817 "/>
    <x v="0"/>
    <n v="2371264"/>
    <m/>
    <m/>
  </r>
  <r>
    <x v="18"/>
    <x v="2"/>
    <s v="F:\Données chgh\2020-CHG-CZA-Cromolyn-1\plaque 2/@18 Testo + Cromolyn 1/C6_02.tif "/>
    <s v=" 31882.4647 "/>
    <s v=" 69.1961 "/>
    <x v="0"/>
    <n v="2206141"/>
    <m/>
    <m/>
  </r>
  <r>
    <x v="18"/>
    <x v="2"/>
    <s v="F:\Données chgh\2020-CHG-CZA-Cromolyn-1\plaque 2/@18 Testo + Cromolyn 1/C6_03.tif "/>
    <s v=" 27967.4538 "/>
    <s v=" 68.1647 "/>
    <x v="0"/>
    <n v="1906394"/>
    <m/>
    <m/>
  </r>
  <r>
    <x v="18"/>
    <x v="3"/>
    <s v="F:\Données chgh\2020-CHG-CZA-Cromolyn-1\plaque 2/@18 Testo + Cromolyn 1/D6_01.tif "/>
    <s v=" 44838.7716 "/>
    <s v=" 73.0487 "/>
    <x v="0"/>
    <n v="3275415"/>
    <m/>
    <m/>
  </r>
  <r>
    <x v="18"/>
    <x v="3"/>
    <s v="F:\Données chgh\2020-CHG-CZA-Cromolyn-1\plaque 2/@18 Testo + Cromolyn 1/D6_02.tif "/>
    <s v=" 48710.5227 "/>
    <s v=" 73.698 "/>
    <x v="0"/>
    <n v="3589870"/>
    <m/>
    <m/>
  </r>
  <r>
    <x v="18"/>
    <x v="3"/>
    <s v="F:\Données chgh\2020-CHG-CZA-Cromolyn-1\plaque 2/@18 Testo + Cromolyn 1/D6_03.tif "/>
    <s v=" 49208.0103 "/>
    <s v=" 73.4105 "/>
    <x v="0"/>
    <n v="3612387"/>
    <m/>
    <m/>
  </r>
  <r>
    <x v="18"/>
    <x v="4"/>
    <s v="F:\Données chgh\2020-CHG-CZA-Cromolyn-1\plaque 2/@18 Testo + Cromolyn 1/E6_01.tif "/>
    <s v=" 41140.0596 "/>
    <s v=" 72.9669 "/>
    <x v="0"/>
    <n v="3001862"/>
    <m/>
    <m/>
  </r>
  <r>
    <x v="18"/>
    <x v="4"/>
    <s v="F:\Données chgh\2020-CHG-CZA-Cromolyn-1\plaque 2/@18 Testo + Cromolyn 1/E6_02.tif "/>
    <s v=" 46158.1951 "/>
    <s v=" 72.127 "/>
    <x v="0"/>
    <n v="3329252"/>
    <m/>
    <m/>
  </r>
  <r>
    <x v="18"/>
    <x v="4"/>
    <s v="F:\Données chgh\2020-CHG-CZA-Cromolyn-1\plaque 2/@18 Testo + Cromolyn 1/E6_03.tif "/>
    <s v=" 40080.1947 "/>
    <s v=" 71.8613 "/>
    <x v="0"/>
    <n v="2880215"/>
    <m/>
    <m/>
  </r>
  <r>
    <x v="18"/>
    <x v="5"/>
    <s v="F:\Données chgh\2020-CHG-CZA-Cromolyn-1\plaque 2/@18 Testo + Cromolyn 1/F6_01.tif "/>
    <s v=" 52906.7223 "/>
    <s v=" 77.3843 "/>
    <x v="0"/>
    <n v="4094150"/>
    <m/>
    <m/>
  </r>
  <r>
    <x v="18"/>
    <x v="5"/>
    <s v="F:\Données chgh\2020-CHG-CZA-Cromolyn-1\plaque 2/@18 Testo + Cromolyn 1/F6_02.tif "/>
    <s v=" 47369.4692 "/>
    <s v=" 78.3799 "/>
    <x v="0"/>
    <n v="3712815"/>
    <m/>
    <m/>
  </r>
  <r>
    <x v="18"/>
    <x v="5"/>
    <s v="F:\Données chgh\2020-CHG-CZA-Cromolyn-1\plaque 2/@18 Testo + Cromolyn 1/F6_03.tif "/>
    <s v=" 48234.665 "/>
    <n v="77"/>
    <x v="0"/>
    <n v="3714069"/>
    <m/>
    <m/>
  </r>
  <r>
    <x v="18"/>
    <x v="6"/>
    <s v="F:\Données chgh\2020-CHG-CZA-Cromolyn-1\plaque 2/@18 Testo + Cromolyn 1/G6_01.tif "/>
    <s v=" 27924.194 "/>
    <s v=" 67.5655 "/>
    <x v="0"/>
    <n v="1886711"/>
    <m/>
    <m/>
  </r>
  <r>
    <x v="18"/>
    <x v="6"/>
    <s v="F:\Données chgh\2020-CHG-CZA-Cromolyn-1\plaque 2/@18 Testo + Cromolyn 1/G6_02.tif "/>
    <s v=" 29135.4681 "/>
    <s v=" 69.2324 "/>
    <x v="0"/>
    <n v="2017117"/>
    <m/>
    <m/>
  </r>
  <r>
    <x v="18"/>
    <x v="6"/>
    <s v="F:\Données chgh\2020-CHG-CZA-Cromolyn-1\plaque 2/@18 Testo + Cromolyn 1/G6_03.tif "/>
    <s v=" 28227.0125 "/>
    <s v=" 68.0138 "/>
    <x v="0"/>
    <n v="1919826"/>
    <m/>
    <m/>
  </r>
  <r>
    <x v="18"/>
    <x v="7"/>
    <s v="F:\Données chgh\2020-CHG-CZA-Cromolyn-1\plaque 2/@18 Testo + Cromolyn 1/H6_01.tif "/>
    <s v=" 62229.2068 "/>
    <s v=" 85.5495 "/>
    <x v="0"/>
    <n v="5323679"/>
    <m/>
    <m/>
  </r>
  <r>
    <x v="18"/>
    <x v="7"/>
    <s v="F:\Données chgh\2020-CHG-CZA-Cromolyn-1\plaque 2/@18 Testo + Cromolyn 1/H6_02.tif "/>
    <s v=" 60974.673 "/>
    <s v=" 88.2774 "/>
    <x v="0"/>
    <n v="5382686"/>
    <m/>
    <m/>
  </r>
  <r>
    <x v="18"/>
    <x v="7"/>
    <s v="F:\Données chgh\2020-CHG-CZA-Cromolyn-1\plaque 2/@18 Testo + Cromolyn 1/H6_03.tif "/>
    <s v=" 57038.0321 "/>
    <s v=" 84.7114 "/>
    <x v="0"/>
    <n v="4831772"/>
    <m/>
    <m/>
  </r>
  <r>
    <x v="1"/>
    <x v="8"/>
    <s v=" "/>
    <m/>
    <m/>
    <x v="1"/>
    <m/>
    <m/>
    <m/>
  </r>
  <r>
    <x v="1"/>
    <x v="8"/>
    <s v="group "/>
    <s v=" "/>
    <s v=" mean of mean fluo "/>
    <x v="2"/>
    <s v=" mean of total fluo "/>
    <s v=" SD total fluo "/>
    <s v=" n fluorescent "/>
  </r>
  <r>
    <x v="18"/>
    <x v="9"/>
    <s v="F:\Données chgh\2020-CHG-CZA-Cromolyn-1\plaque 2/@18 Testo + Cromolyn 1/ "/>
    <s v=" "/>
    <s v=" 73.4932 "/>
    <x v="20"/>
    <s v=" 3053968.96 "/>
    <s v=" 1483135.36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9"/>
    <x v="0"/>
    <s v="F:\Données chgh\2020-CHG-CZA-Cromolyn-1\plaque 2/@19 Testo + Cromolyn 10/A7_01.tif "/>
    <s v=" 28205.3826 "/>
    <s v=" 69.0813 "/>
    <x v="0"/>
    <n v="1948464"/>
    <m/>
    <m/>
  </r>
  <r>
    <x v="19"/>
    <x v="0"/>
    <s v="F:\Données chgh\2020-CHG-CZA-Cromolyn-1\plaque 2/@19 Testo + Cromolyn 10/A7_02.tif "/>
    <s v=" 30844.2297 "/>
    <s v=" 69.4299 "/>
    <x v="0"/>
    <n v="2141511"/>
    <m/>
    <m/>
  </r>
  <r>
    <x v="19"/>
    <x v="0"/>
    <s v="F:\Données chgh\2020-CHG-CZA-Cromolyn-1\plaque 2/@19 Testo + Cromolyn 10/A7_03.tif "/>
    <s v=" 27469.9662 "/>
    <s v=" 68.4331 "/>
    <x v="0"/>
    <n v="1879854"/>
    <m/>
    <m/>
  </r>
  <r>
    <x v="19"/>
    <x v="1"/>
    <s v="F:\Données chgh\2020-CHG-CZA-Cromolyn-1\plaque 2/@19 Testo + Cromolyn 10/B7_01.tif "/>
    <s v=" 45877.0065 "/>
    <s v=" 73.7364 "/>
    <x v="0"/>
    <n v="3382807"/>
    <m/>
    <m/>
  </r>
  <r>
    <x v="19"/>
    <x v="1"/>
    <s v="F:\Données chgh\2020-CHG-CZA-Cromolyn-1\plaque 2/@19 Testo + Cromolyn 10/B7_02.tif "/>
    <s v=" 40664.2019 "/>
    <s v=" 74.1048 "/>
    <x v="0"/>
    <n v="3013412"/>
    <m/>
    <m/>
  </r>
  <r>
    <x v="19"/>
    <x v="1"/>
    <s v="F:\Données chgh\2020-CHG-CZA-Cromolyn-1\plaque 2/@19 Testo + Cromolyn 10/B7_03.tif "/>
    <s v=" 47023.3909 "/>
    <s v=" 72.4282 "/>
    <x v="0"/>
    <n v="3405822"/>
    <m/>
    <m/>
  </r>
  <r>
    <x v="19"/>
    <x v="2"/>
    <s v="F:\Données chgh\2020-CHG-CZA-Cromolyn-1\plaque 2/@19 Testo + Cromolyn 10/C7_01.tif "/>
    <s v=" 757.0463 "/>
    <s v=" 63.0571 "/>
    <x v="0"/>
    <n v="47737"/>
    <m/>
    <m/>
  </r>
  <r>
    <x v="19"/>
    <x v="2"/>
    <s v="F:\Données chgh\2020-CHG-CZA-Cromolyn-1\plaque 2/@19 Testo + Cromolyn 10/C7_02.tif "/>
    <s v=" 562.3773 "/>
    <s v=" 63.6154 "/>
    <x v="0"/>
    <n v="35776"/>
    <m/>
    <m/>
  </r>
  <r>
    <x v="19"/>
    <x v="2"/>
    <s v="F:\Données chgh\2020-CHG-CZA-Cromolyn-1\plaque 2/@19 Testo + Cromolyn 10/C7_03.tif "/>
    <s v=" 86.5196 "/>
    <s v=" 65.5 "/>
    <x v="0"/>
    <n v="5667"/>
    <m/>
    <m/>
  </r>
  <r>
    <x v="19"/>
    <x v="3"/>
    <s v="F:\Données chgh\2020-CHG-CZA-Cromolyn-1\plaque 2/@19 Testo + Cromolyn 10/D7_01.tif "/>
    <s v=" 40707.4617 "/>
    <s v=" 70.4511 "/>
    <x v="0"/>
    <n v="2867886"/>
    <m/>
    <m/>
  </r>
  <r>
    <x v="19"/>
    <x v="3"/>
    <s v="F:\Données chgh\2020-CHG-CZA-Cromolyn-1\plaque 2/@19 Testo + Cromolyn 10/D7_02.tif "/>
    <s v=" 35494.6571 "/>
    <s v=" 71.8495 "/>
    <x v="0"/>
    <n v="2550273"/>
    <m/>
    <m/>
  </r>
  <r>
    <x v="19"/>
    <x v="3"/>
    <s v="F:\Données chgh\2020-CHG-CZA-Cromolyn-1\plaque 2/@19 Testo + Cromolyn 10/D7_03.tif "/>
    <s v=" 31038.8988 "/>
    <s v=" 70.092 "/>
    <x v="0"/>
    <n v="2175578"/>
    <m/>
    <m/>
  </r>
  <r>
    <x v="19"/>
    <x v="4"/>
    <s v="F:\Données chgh\2020-CHG-CZA-Cromolyn-1\plaque 2/@19 Testo + Cromolyn 10/E7_01.tif "/>
    <s v=" 20786.3287 "/>
    <s v=" 67.6961 "/>
    <x v="0"/>
    <n v="1407154"/>
    <m/>
    <m/>
  </r>
  <r>
    <x v="19"/>
    <x v="4"/>
    <s v="F:\Données chgh\2020-CHG-CZA-Cromolyn-1\plaque 2/@19 Testo + Cromolyn 10/E7_02.tif "/>
    <s v=" 17520.2146 "/>
    <s v=" 67.0914 "/>
    <x v="0"/>
    <n v="1175455"/>
    <m/>
    <m/>
  </r>
  <r>
    <x v="19"/>
    <x v="4"/>
    <s v="F:\Données chgh\2020-CHG-CZA-Cromolyn-1\plaque 2/@19 Testo + Cromolyn 10/E7_03.tif "/>
    <s v=" 22278.7915 "/>
    <s v=" 68.4456 "/>
    <x v="0"/>
    <n v="1524886"/>
    <m/>
    <m/>
  </r>
  <r>
    <x v="19"/>
    <x v="5"/>
    <s v="F:\Données chgh\2020-CHG-CZA-Cromolyn-1\plaque 2/@19 Testo + Cromolyn 10/F7_01.tif "/>
    <s v=" 46980.1311 "/>
    <s v=" 78.1851 "/>
    <x v="0"/>
    <n v="3673145"/>
    <m/>
    <m/>
  </r>
  <r>
    <x v="19"/>
    <x v="5"/>
    <s v="F:\Données chgh\2020-CHG-CZA-Cromolyn-1\plaque 2/@19 Testo + Cromolyn 10/F7_02.tif "/>
    <s v=" 44319.6541 "/>
    <s v=" 77.2064 "/>
    <x v="0"/>
    <n v="3421763"/>
    <m/>
    <m/>
  </r>
  <r>
    <x v="19"/>
    <x v="5"/>
    <s v="F:\Données chgh\2020-CHG-CZA-Cromolyn-1\plaque 2/@19 Testo + Cromolyn 10/F7_03.tif "/>
    <s v=" 44406.1737 "/>
    <s v=" 77.2811 "/>
    <x v="0"/>
    <n v="3431756"/>
    <m/>
    <m/>
  </r>
  <r>
    <x v="19"/>
    <x v="6"/>
    <s v="F:\Données chgh\2020-CHG-CZA-Cromolyn-1\plaque 2/@19 Testo + Cromolyn 10/G7_01.tif "/>
    <s v=" 41075.1699 "/>
    <s v=" 82.991 "/>
    <x v="0"/>
    <n v="3408871"/>
    <m/>
    <m/>
  </r>
  <r>
    <x v="19"/>
    <x v="6"/>
    <s v="F:\Données chgh\2020-CHG-CZA-Cromolyn-1\plaque 2/@19 Testo + Cromolyn 10/G7_02.tif "/>
    <s v=" 39085.2196 "/>
    <s v=" 80.1937 "/>
    <x v="0"/>
    <n v="3134388"/>
    <m/>
    <m/>
  </r>
  <r>
    <x v="19"/>
    <x v="6"/>
    <s v="F:\Données chgh\2020-CHG-CZA-Cromolyn-1\plaque 2/@19 Testo + Cromolyn 10/G7_03.tif "/>
    <s v=" 38868.9206 "/>
    <s v=" 82.6583 "/>
    <x v="0"/>
    <n v="3212840"/>
    <m/>
    <m/>
  </r>
  <r>
    <x v="19"/>
    <x v="7"/>
    <s v="F:\Données chgh\2020-CHG-CZA-Cromolyn-1\plaque 2/@19 Testo + Cromolyn 10/H7_01.tif "/>
    <s v=" 49986.6865 "/>
    <s v=" 79.9018 "/>
    <x v="0"/>
    <n v="3994025"/>
    <m/>
    <m/>
  </r>
  <r>
    <x v="19"/>
    <x v="7"/>
    <s v="F:\Données chgh\2020-CHG-CZA-Cromolyn-1\plaque 2/@19 Testo + Cromolyn 10/H7_02.tif "/>
    <s v=" 44535.953 "/>
    <s v=" 77.0243 "/>
    <x v="0"/>
    <n v="3430350"/>
    <m/>
    <m/>
  </r>
  <r>
    <x v="19"/>
    <x v="7"/>
    <s v="F:\Données chgh\2020-CHG-CZA-Cromolyn-1\plaque 2/@19 Testo + Cromolyn 10/H7_03.tif "/>
    <s v=" 45725.5972 "/>
    <s v=" 77.815 "/>
    <x v="0"/>
    <n v="3558139"/>
    <m/>
    <m/>
  </r>
  <r>
    <x v="1"/>
    <x v="8"/>
    <s v=" "/>
    <m/>
    <m/>
    <x v="1"/>
    <m/>
    <m/>
    <m/>
  </r>
  <r>
    <x v="1"/>
    <x v="8"/>
    <s v="group "/>
    <s v=" "/>
    <s v=" mean of mean fluo "/>
    <x v="2"/>
    <s v=" mean of total fluo "/>
    <s v=" SD total fluo "/>
    <s v=" n fluorescent "/>
  </r>
  <r>
    <x v="19"/>
    <x v="9"/>
    <s v="F:\Données chgh\2020-CHG-CZA-Cromolyn-1\plaque 2/@19 Testo + Cromolyn 10/ "/>
    <s v=" "/>
    <s v=" 72.8445 "/>
    <x v="21"/>
    <s v=" 2451148.29 "/>
    <s v=" 1218015.01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0"/>
    <x v="0"/>
    <s v="F:\Données chgh\2020-CHG-CZA-Cromolyn-1\plaque 2/@20 Testo + Cromolyn 100/A8_01.tif "/>
    <s v=" 42221.5543 "/>
    <s v=" 72.9908 "/>
    <x v="0"/>
    <n v="3081784"/>
    <m/>
    <m/>
  </r>
  <r>
    <x v="20"/>
    <x v="0"/>
    <s v="F:\Données chgh\2020-CHG-CZA-Cromolyn-1\plaque 2/@20 Testo + Cromolyn 100/A8_02.tif "/>
    <s v=" 45357.889 "/>
    <s v=" 73.0835 "/>
    <x v="0"/>
    <n v="3314911"/>
    <m/>
    <m/>
  </r>
  <r>
    <x v="20"/>
    <x v="0"/>
    <s v="F:\Données chgh\2020-CHG-CZA-Cromolyn-1\plaque 2/@20 Testo + Cromolyn 100/A8_03.tif "/>
    <s v=" 40620.9421 "/>
    <s v=" 73.14 "/>
    <x v="0"/>
    <n v="2971017"/>
    <m/>
    <m/>
  </r>
  <r>
    <x v="20"/>
    <x v="1"/>
    <s v="F:\Données chgh\2020-CHG-CZA-Cromolyn-1\plaque 2/@20 Testo + Cromolyn 100/B8_01.tif "/>
    <s v=" 59806.6586 "/>
    <s v=" 74.5718 "/>
    <x v="0"/>
    <n v="4459890"/>
    <m/>
    <m/>
  </r>
  <r>
    <x v="20"/>
    <x v="1"/>
    <s v="F:\Données chgh\2020-CHG-CZA-Cromolyn-1\plaque 2/@20 Testo + Cromolyn 100/B8_02.tif "/>
    <s v=" 64413.8262 "/>
    <s v=" 73.6021 "/>
    <x v="0"/>
    <n v="4740992"/>
    <m/>
    <m/>
  </r>
  <r>
    <x v="20"/>
    <x v="1"/>
    <s v="F:\Données chgh\2020-CHG-CZA-Cromolyn-1\plaque 2/@20 Testo + Cromolyn 100/B8_03.tif "/>
    <s v=" 63764.9294 "/>
    <s v=" 74.7836 "/>
    <x v="0"/>
    <n v="4768570"/>
    <m/>
    <m/>
  </r>
  <r>
    <x v="20"/>
    <x v="2"/>
    <s v="F:\Données chgh\2020-CHG-CZA-Cromolyn-1\plaque 2/@20 Testo + Cromolyn 100/C8_01.tif "/>
    <s v=" 70946.0544 "/>
    <s v=" 81.1442 "/>
    <x v="0"/>
    <n v="5756861"/>
    <m/>
    <m/>
  </r>
  <r>
    <x v="20"/>
    <x v="2"/>
    <s v="F:\Données chgh\2020-CHG-CZA-Cromolyn-1\plaque 2/@20 Testo + Cromolyn 100/C8_02.tif "/>
    <s v=" 58033.0073 "/>
    <s v=" 79.896 "/>
    <x v="0"/>
    <n v="4636606"/>
    <m/>
    <m/>
  </r>
  <r>
    <x v="20"/>
    <x v="2"/>
    <s v="F:\Données chgh\2020-CHG-CZA-Cromolyn-1\plaque 2/@20 Testo + Cromolyn 100/C8_03.tif "/>
    <s v=" 66187.4776 "/>
    <s v=" 79.4742 "/>
    <x v="0"/>
    <n v="5260196"/>
    <m/>
    <m/>
  </r>
  <r>
    <x v="20"/>
    <x v="3"/>
    <s v="F:\Données chgh\2020-CHG-CZA-Cromolyn-1\plaque 2/@20 Testo + Cromolyn 100/D8_01.tif "/>
    <s v=" 31795.9451 "/>
    <s v=" 71.4449 "/>
    <x v="0"/>
    <n v="2271658"/>
    <m/>
    <m/>
  </r>
  <r>
    <x v="20"/>
    <x v="3"/>
    <s v="F:\Données chgh\2020-CHG-CZA-Cromolyn-1\plaque 2/@20 Testo + Cromolyn 100/D8_02.tif "/>
    <s v=" 31298.4575 "/>
    <s v=" 72.7008 "/>
    <x v="0"/>
    <n v="2275422"/>
    <m/>
    <m/>
  </r>
  <r>
    <x v="20"/>
    <x v="3"/>
    <s v="F:\Données chgh\2020-CHG-CZA-Cromolyn-1\plaque 2/@20 Testo + Cromolyn 100/D8_03.tif "/>
    <s v=" 31536.3864 "/>
    <s v=" 73.0487 "/>
    <x v="0"/>
    <n v="2303692"/>
    <m/>
    <m/>
  </r>
  <r>
    <x v="20"/>
    <x v="4"/>
    <s v="F:\Données chgh\2020-CHG-CZA-Cromolyn-1\plaque 2/@20 Testo + Cromolyn 100/E8_01- exclu.tif"/>
    <m/>
    <m/>
    <x v="1"/>
    <m/>
    <m/>
    <m/>
  </r>
  <r>
    <x v="20"/>
    <x v="4"/>
    <s v="F:\Données chgh\2020-CHG-CZA-Cromolyn-1\plaque 2/@20 Testo + Cromolyn 100/E8_02- exclu.tif"/>
    <m/>
    <m/>
    <x v="1"/>
    <m/>
    <m/>
    <m/>
  </r>
  <r>
    <x v="20"/>
    <x v="4"/>
    <s v="F:\Données chgh\2020-CHG-CZA-Cromolyn-1\plaque 2/@20 Testo + Cromolyn 100/E8_03.tif "/>
    <s v=" 1708.7617 "/>
    <s v=" 64.519 "/>
    <x v="0"/>
    <n v="110248"/>
    <m/>
    <m/>
  </r>
  <r>
    <x v="20"/>
    <x v="5"/>
    <s v="F:\Données chgh\2020-CHG-CZA-Cromolyn-1\plaque 2/@20 Testo + Cromolyn 100/F8_01.tif "/>
    <s v=" 44471.0634 "/>
    <s v=" 74.4908 "/>
    <x v="0"/>
    <n v="3312683"/>
    <m/>
    <m/>
  </r>
  <r>
    <x v="20"/>
    <x v="5"/>
    <s v="F:\Données chgh\2020-CHG-CZA-Cromolyn-1\plaque 2/@20 Testo + Cromolyn 100/F8_02.tif "/>
    <s v=" 50094.836 "/>
    <s v=" 76.5138 "/>
    <x v="0"/>
    <n v="3832947"/>
    <m/>
    <m/>
  </r>
  <r>
    <x v="20"/>
    <x v="5"/>
    <s v="F:\Données chgh\2020-CHG-CZA-Cromolyn-1\plaque 2/@20 Testo + Cromolyn 100/F8_03.tif "/>
    <s v=" 48277.9248 "/>
    <s v=" 75.6004 "/>
    <x v="0"/>
    <n v="3649828"/>
    <m/>
    <m/>
  </r>
  <r>
    <x v="20"/>
    <x v="6"/>
    <s v="F:\Données chgh\2020-CHG-CZA-Cromolyn-1\plaque 2/@20 Testo + Cromolyn 100/G8_01.tif "/>
    <s v=" 45271.3695 "/>
    <s v=" 78.657 "/>
    <x v="0"/>
    <n v="3560908"/>
    <m/>
    <m/>
  </r>
  <r>
    <x v="20"/>
    <x v="6"/>
    <s v="F:\Données chgh\2020-CHG-CZA-Cromolyn-1\plaque 2/@20 Testo + Cromolyn 100/G8_02.tif "/>
    <s v=" 55934.9075 "/>
    <s v=" 78.1988 "/>
    <x v="0"/>
    <n v="4374041"/>
    <m/>
    <m/>
  </r>
  <r>
    <x v="20"/>
    <x v="6"/>
    <s v="F:\Données chgh\2020-CHG-CZA-Cromolyn-1\plaque 2/@20 Testo + Cromolyn 100/G8_03.tif "/>
    <s v=" 55740.2385 "/>
    <s v=" 77.0807 "/>
    <x v="0"/>
    <n v="4296497"/>
    <m/>
    <m/>
  </r>
  <r>
    <x v="20"/>
    <x v="7"/>
    <s v="F:\Données chgh\2020-CHG-CZA-Cromolyn-1\plaque 2/@20 Testo + Cromolyn 100/H8_01.tif "/>
    <s v=" 69431.9618 "/>
    <s v=" 78.6829 "/>
    <x v="0"/>
    <n v="5463106"/>
    <m/>
    <m/>
  </r>
  <r>
    <x v="20"/>
    <x v="7"/>
    <s v="F:\Données chgh\2020-CHG-CZA-Cromolyn-1\plaque 2/@20 Testo + Cromolyn 100/H8_02.tif "/>
    <s v=" 63353.9614 "/>
    <s v=" 77.7986 "/>
    <x v="0"/>
    <n v="4928847"/>
    <m/>
    <m/>
  </r>
  <r>
    <x v="20"/>
    <x v="7"/>
    <s v="F:\Données chgh\2020-CHG-CZA-Cromolyn-1\plaque 2/@20 Testo + Cromolyn 100/H8_03.tif "/>
    <s v=" 55740.2385 "/>
    <s v=" 76.6034 "/>
    <x v="0"/>
    <n v="4269893"/>
    <m/>
    <m/>
  </r>
  <r>
    <x v="1"/>
    <x v="8"/>
    <s v=" "/>
    <m/>
    <m/>
    <x v="1"/>
    <m/>
    <m/>
    <m/>
  </r>
  <r>
    <x v="1"/>
    <x v="8"/>
    <s v="group "/>
    <s v=" "/>
    <s v=" mean of mean fluo "/>
    <x v="2"/>
    <s v=" mean of total fluo "/>
    <s v=" SD total fluo "/>
    <s v=" n fluorescent "/>
  </r>
  <r>
    <x v="20"/>
    <x v="9"/>
    <s v="F:\Données chgh\2020-CHG-CZA-Cromolyn-1\plaque 2/@20 Testo + Cromolyn 100/ "/>
    <s v=" "/>
    <s v=" 74.5198 "/>
    <x v="22"/>
    <s v=" 3510352.58 "/>
    <s v=" 1594282.6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1"/>
    <x v="0"/>
    <s v="F:\Données chgh\2020-CHG-CZA-Cromolyn-1\plaque 2/@21 Testo + Cromolyn 1000/A9_01.tif "/>
    <s v=" 65473.691 "/>
    <s v=" 78.2237 "/>
    <x v="0"/>
    <n v="5121591"/>
    <m/>
    <m/>
  </r>
  <r>
    <x v="21"/>
    <x v="0"/>
    <s v="F:\Données chgh\2020-CHG-CZA-Cromolyn-1\plaque 2/@21 Testo + Cromolyn 1000/A9_02.tif "/>
    <s v=" 66360.5167 "/>
    <s v=" 77.1183 "/>
    <x v="0"/>
    <n v="5117611"/>
    <m/>
    <m/>
  </r>
  <r>
    <x v="21"/>
    <x v="0"/>
    <s v="F:\Données chgh\2020-CHG-CZA-Cromolyn-1\plaque 2/@21 Testo + Cromolyn 1000/A9_03.tif "/>
    <s v=" 54117.9964 "/>
    <s v=" 79.9257 "/>
    <x v="0"/>
    <n v="4325417"/>
    <m/>
    <m/>
  </r>
  <r>
    <x v="21"/>
    <x v="1"/>
    <s v="F:\Données chgh\2020-CHG-CZA-Cromolyn-1\plaque 2/@21 Testo + Cromolyn 1000/B9_01.tif "/>
    <s v=" 56432.3951 "/>
    <s v=" 72.2035 "/>
    <x v="0"/>
    <n v="4074618"/>
    <m/>
    <m/>
  </r>
  <r>
    <x v="21"/>
    <x v="1"/>
    <s v="F:\Données chgh\2020-CHG-CZA-Cromolyn-1\plaque 2/@21 Testo + Cromolyn 1000/B9_02.tif "/>
    <s v=" 61883.1285 "/>
    <s v=" 73.8015 "/>
    <x v="0"/>
    <n v="4567066"/>
    <m/>
    <m/>
  </r>
  <r>
    <x v="21"/>
    <x v="1"/>
    <s v="F:\Données chgh\2020-CHG-CZA-Cromolyn-1\plaque 2/@21 Testo + Cromolyn 1000/B9_03.tif "/>
    <s v=" 53707.0284 "/>
    <s v=" 71.888 "/>
    <x v="0"/>
    <n v="3860893"/>
    <m/>
    <m/>
  </r>
  <r>
    <x v="21"/>
    <x v="2"/>
    <s v="F:\Données chgh\2020-CHG-CZA-Cromolyn-1\plaque 2/@21 Testo + Cromolyn 1000/C9_01.tif "/>
    <s v=" 36532.892 "/>
    <s v=" 73.553 "/>
    <x v="0"/>
    <n v="2687103"/>
    <m/>
    <m/>
  </r>
  <r>
    <x v="21"/>
    <x v="2"/>
    <s v="F:\Données chgh\2020-CHG-CZA-Cromolyn-1\plaque 2/@21 Testo + Cromolyn 1000/C9_02.tif "/>
    <s v=" 30087.1834 "/>
    <s v=" 71.4738 "/>
    <x v="0"/>
    <n v="2150444"/>
    <m/>
    <m/>
  </r>
  <r>
    <x v="21"/>
    <x v="2"/>
    <s v="F:\Données chgh\2020-CHG-CZA-Cromolyn-1\plaque 2/@21 Testo + Cromolyn 1000/C9_03.tif "/>
    <s v=" 34305.0129 "/>
    <s v=" 72.3859 "/>
    <x v="0"/>
    <n v="2483198"/>
    <m/>
    <m/>
  </r>
  <r>
    <x v="21"/>
    <x v="3"/>
    <s v="F:\Données chgh\2020-CHG-CZA-Cromolyn-1\plaque 2/@21 Testo + Cromolyn 1000/D9_01.tif "/>
    <s v=" 57384.1105 "/>
    <s v=" 77.5952 "/>
    <x v="0"/>
    <n v="4452730"/>
    <m/>
    <m/>
  </r>
  <r>
    <x v="21"/>
    <x v="3"/>
    <s v="F:\Données chgh\2020-CHG-CZA-Cromolyn-1\plaque 2/@21 Testo + Cromolyn 1000/D9_02.tif "/>
    <s v=" 58595.3845 "/>
    <s v=" 76.5781 "/>
    <x v="0"/>
    <n v="4487122"/>
    <m/>
    <m/>
  </r>
  <r>
    <x v="21"/>
    <x v="3"/>
    <s v="F:\Données chgh\2020-CHG-CZA-Cromolyn-1\plaque 2/@21 Testo + Cromolyn 1000/D9_03- exclu.tif"/>
    <m/>
    <m/>
    <x v="1"/>
    <m/>
    <m/>
    <m/>
  </r>
  <r>
    <x v="21"/>
    <x v="4"/>
    <s v="F:\Données chgh\2020-CHG-CZA-Cromolyn-1\plaque 2/@21 Testo + Cromolyn 1000/E9_01.tif "/>
    <s v=" 73411.8624 "/>
    <s v=" 79.893 "/>
    <x v="0"/>
    <n v="5865097"/>
    <m/>
    <m/>
  </r>
  <r>
    <x v="21"/>
    <x v="4"/>
    <s v="F:\Données chgh\2020-CHG-CZA-Cromolyn-1\plaque 2/@21 Testo + Cromolyn 1000/E9_02.tif "/>
    <s v=" 68199.0578 "/>
    <s v=" 81.2382 "/>
    <x v="0"/>
    <n v="5540368"/>
    <m/>
    <m/>
  </r>
  <r>
    <x v="21"/>
    <x v="4"/>
    <s v="F:\Données chgh\2020-CHG-CZA-Cromolyn-1\plaque 2/@21 Testo + Cromolyn 1000/E9_03.tif "/>
    <s v=" 69280.5525 "/>
    <s v=" 82.7877 "/>
    <x v="0"/>
    <n v="5735578"/>
    <m/>
    <m/>
  </r>
  <r>
    <x v="21"/>
    <x v="5"/>
    <s v="F:\Données chgh\2020-CHG-CZA-Cromolyn-1\plaque 2/@21 Testo + Cromolyn 1000/F9_01.tif "/>
    <s v=" 52712.0532 "/>
    <s v=" 76.9175 "/>
    <x v="0"/>
    <n v="4054480"/>
    <m/>
    <m/>
  </r>
  <r>
    <x v="21"/>
    <x v="5"/>
    <s v="F:\Données chgh\2020-CHG-CZA-Cromolyn-1\plaque 2/@21 Testo + Cromolyn 1000/F9_02.tif "/>
    <s v=" 56475.6549 "/>
    <s v=" 75.2528 "/>
    <x v="0"/>
    <n v="4249950"/>
    <m/>
    <m/>
  </r>
  <r>
    <x v="21"/>
    <x v="5"/>
    <s v="F:\Données chgh\2020-CHG-CZA-Cromolyn-1\plaque 2/@21 Testo + Cromolyn 1000/F9_03.tif "/>
    <s v=" 47499.2486 "/>
    <s v=" 77.9408 "/>
    <x v="0"/>
    <n v="3702130"/>
    <m/>
    <m/>
  </r>
  <r>
    <x v="21"/>
    <x v="6"/>
    <s v="F:\Données chgh\2020-CHG-CZA-Cromolyn-1\plaque 2/@21 Testo + Cromolyn 1000/G9_01.tif "/>
    <s v=" 65084.3529 "/>
    <s v=" 81.0479 "/>
    <x v="0"/>
    <n v="5274947"/>
    <m/>
    <m/>
  </r>
  <r>
    <x v="21"/>
    <x v="6"/>
    <s v="F:\Données chgh\2020-CHG-CZA-Cromolyn-1\plaque 2/@21 Testo + Cromolyn 1000/G9_02.tif "/>
    <s v=" 62899.7336 "/>
    <s v=" 81.4089 "/>
    <x v="0"/>
    <n v="5120596"/>
    <m/>
    <m/>
  </r>
  <r>
    <x v="21"/>
    <x v="6"/>
    <s v="F:\Données chgh\2020-CHG-CZA-Cromolyn-1\plaque 2/@21 Testo + Cromolyn 1000/G9_03.tif "/>
    <s v=" 69302.1824 "/>
    <s v=" 80.6617 "/>
    <x v="0"/>
    <n v="5590030"/>
    <m/>
    <m/>
  </r>
  <r>
    <x v="21"/>
    <x v="7"/>
    <s v="F:\Données chgh\2020-CHG-CZA-Cromolyn-1\plaque 2/@21 Testo + Cromolyn 1000/H9_01.tif "/>
    <s v=" 33461.447 "/>
    <s v=" 74.3723 "/>
    <x v="0"/>
    <n v="2488606"/>
    <m/>
    <m/>
  </r>
  <r>
    <x v="21"/>
    <x v="7"/>
    <s v="F:\Données chgh\2020-CHG-CZA-Cromolyn-1\plaque 2/@21 Testo + Cromolyn 1000/H9_02.tif "/>
    <s v=" 35992.1447 "/>
    <s v=" 72.9675 "/>
    <x v="0"/>
    <n v="2626259"/>
    <m/>
    <m/>
  </r>
  <r>
    <x v="21"/>
    <x v="7"/>
    <s v="F:\Données chgh\2020-CHG-CZA-Cromolyn-1\plaque 2/@21 Testo + Cromolyn 1000/H9_03.tif "/>
    <s v=" 35581.1767 "/>
    <s v=" 71.155 "/>
    <x v="0"/>
    <n v="2531779"/>
    <m/>
    <m/>
  </r>
  <r>
    <x v="1"/>
    <x v="8"/>
    <s v=" "/>
    <m/>
    <m/>
    <x v="1"/>
    <m/>
    <m/>
    <m/>
  </r>
  <r>
    <x v="1"/>
    <x v="8"/>
    <s v="group "/>
    <s v=" "/>
    <s v=" mean of mean fluo "/>
    <x v="2"/>
    <s v=" mean of total fluo "/>
    <s v=" SD total fluo "/>
    <s v=" n fluorescent "/>
  </r>
  <r>
    <x v="21"/>
    <x v="9"/>
    <s v="F:\Données chgh\2020-CHG-CZA-Cromolyn-1\plaque 2/@21 Testo + Cromolyn 1000/ "/>
    <s v=" "/>
    <s v=" 76.4738 "/>
    <x v="23"/>
    <s v=" 4158895.17 "/>
    <s v=" 1162488.98 "/>
    <n v="24"/>
  </r>
  <r>
    <x v="1"/>
    <x v="8"/>
    <s v=" "/>
    <m/>
    <m/>
    <x v="1"/>
    <m/>
    <m/>
    <m/>
  </r>
  <r>
    <x v="1"/>
    <x v="8"/>
    <s v=" "/>
    <m/>
    <m/>
    <x v="1"/>
    <m/>
    <m/>
    <m/>
  </r>
  <r>
    <x v="1"/>
    <x v="8"/>
    <s v=" "/>
    <m/>
    <m/>
    <x v="1"/>
    <m/>
    <m/>
    <m/>
  </r>
  <r>
    <x v="1"/>
    <x v="8"/>
    <s v=" "/>
    <m/>
    <m/>
    <x v="1"/>
    <m/>
    <m/>
    <m/>
  </r>
  <r>
    <x v="1"/>
    <x v="8"/>
    <s v=" "/>
    <m/>
    <m/>
    <x v="1"/>
    <m/>
    <m/>
    <m/>
  </r>
  <r>
    <x v="1"/>
    <x v="8"/>
    <s v=" "/>
    <m/>
    <m/>
    <x v="1"/>
    <m/>
    <m/>
    <m/>
  </r>
  <r>
    <x v="1"/>
    <x v="8"/>
    <m/>
    <s v=" n total analysed"/>
    <m/>
    <x v="1"/>
    <m/>
    <m/>
    <m/>
  </r>
  <r>
    <x v="1"/>
    <x v="8"/>
    <m/>
    <n v="504"/>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30">
  <r>
    <x v="0"/>
    <x v="0"/>
    <s v="F:\Données chgh\2020-CHG-CZA-Cromolyn-2\plaque 1/@01 TS/A1_01- exclu.tif"/>
    <m/>
    <m/>
    <x v="0"/>
    <m/>
    <m/>
    <m/>
  </r>
  <r>
    <x v="0"/>
    <x v="0"/>
    <s v="F:\Données chgh\2020-CHG-CZA-Cromolyn-2\plaque 1/@01 TS/A1_02.tif "/>
    <s v=" 8651.9579 "/>
    <s v=" 69.3425 "/>
    <x v="1"/>
    <n v="599948"/>
    <m/>
    <m/>
  </r>
  <r>
    <x v="0"/>
    <x v="0"/>
    <s v="F:\Données chgh\2020-CHG-CZA-Cromolyn-2\plaque 1/@01 TS/A1_03.tif "/>
    <s v=" 10793.3174 "/>
    <s v=" 73.2184 "/>
    <x v="1"/>
    <n v="790270"/>
    <m/>
    <m/>
  </r>
  <r>
    <x v="0"/>
    <x v="1"/>
    <s v="F:\Données chgh\2020-CHG-CZA-Cromolyn-2\plaque 1/@01 TS/B1_01- exclu.tif"/>
    <m/>
    <m/>
    <x v="0"/>
    <m/>
    <m/>
    <m/>
  </r>
  <r>
    <x v="0"/>
    <x v="1"/>
    <s v="F:\Données chgh\2020-CHG-CZA-Cromolyn-2\plaque 1/@01 TS/B1_02.tif "/>
    <s v=" 7310.9044 "/>
    <s v=" 79.3669 "/>
    <x v="1"/>
    <n v="580244"/>
    <m/>
    <m/>
  </r>
  <r>
    <x v="0"/>
    <x v="1"/>
    <s v="F:\Données chgh\2020-CHG-CZA-Cromolyn-2\plaque 1/@01 TS/B1_03.tif "/>
    <s v=" 11031.2463 "/>
    <s v=" 73.8 "/>
    <x v="1"/>
    <n v="814106"/>
    <m/>
    <m/>
  </r>
  <r>
    <x v="0"/>
    <x v="2"/>
    <s v="F:\Données chgh\2020-CHG-CZA-Cromolyn-2\plaque 1/@01 TS/C1_01.tif "/>
    <s v=" 2249.509 "/>
    <s v=" 63.8462 "/>
    <x v="1"/>
    <n v="143623"/>
    <m/>
    <m/>
  </r>
  <r>
    <x v="0"/>
    <x v="2"/>
    <s v="F:\Données chgh\2020-CHG-CZA-Cromolyn-2\plaque 1/@01 TS/C1_02.tif "/>
    <s v=" 1578.9823 "/>
    <s v=" 66.6027 "/>
    <x v="1"/>
    <n v="105165"/>
    <m/>
    <m/>
  </r>
  <r>
    <x v="0"/>
    <x v="2"/>
    <s v="F:\Données chgh\2020-CHG-CZA-Cromolyn-2\plaque 1/@01 TS/C1_03.tif "/>
    <s v=" 1297.7937 "/>
    <s v=" 64.1667 "/>
    <x v="1"/>
    <n v="83275"/>
    <m/>
    <m/>
  </r>
  <r>
    <x v="0"/>
    <x v="3"/>
    <s v="F:\Données chgh\2020-CHG-CZA-Cromolyn-2\plaque 1/@01 TS/D1_01.tif "/>
    <s v=" 11571.9936 "/>
    <s v=" 76.7252 "/>
    <x v="1"/>
    <n v="887864"/>
    <m/>
    <m/>
  </r>
  <r>
    <x v="0"/>
    <x v="3"/>
    <s v="F:\Données chgh\2020-CHG-CZA-Cromolyn-2\plaque 1/@01 TS/D1_02.tif "/>
    <s v=" 12523.709 "/>
    <s v=" 83.6546 "/>
    <x v="1"/>
    <n v="1047666"/>
    <m/>
    <m/>
  </r>
  <r>
    <x v="0"/>
    <x v="3"/>
    <s v="F:\Données chgh\2020-CHG-CZA-Cromolyn-2\plaque 1/@01 TS/D1_03.tif "/>
    <s v=" 11528.7338 "/>
    <s v=" 80.349 "/>
    <x v="1"/>
    <n v="926322"/>
    <m/>
    <m/>
  </r>
  <r>
    <x v="0"/>
    <x v="4"/>
    <s v="F:\Données chgh\2020-CHG-CZA-Cromolyn-2\plaque 1/@01 TS/E1_01.tif "/>
    <s v=" 1903.4307 "/>
    <s v=" 65.3977 "/>
    <x v="1"/>
    <n v="124480"/>
    <m/>
    <m/>
  </r>
  <r>
    <x v="0"/>
    <x v="4"/>
    <s v="F:\Données chgh\2020-CHG-CZA-Cromolyn-2\plaque 1/@01 TS/E1_02.tif "/>
    <s v=" 2249.509 "/>
    <s v=" 66.3173 "/>
    <x v="1"/>
    <n v="149181"/>
    <m/>
    <m/>
  </r>
  <r>
    <x v="0"/>
    <x v="4"/>
    <s v="F:\Données chgh\2020-CHG-CZA-Cromolyn-2\plaque 1/@01 TS/E1_03.tif "/>
    <s v=" 6791.7869 "/>
    <s v=" 70.9013 "/>
    <x v="1"/>
    <n v="481546"/>
    <m/>
    <m/>
  </r>
  <r>
    <x v="0"/>
    <x v="5"/>
    <s v="F:\Données chgh\2020-CHG-CZA-Cromolyn-2\plaque 1/@01 TS/F1_01.tif "/>
    <s v=" 410.968 "/>
    <s v=" 63.9474 "/>
    <x v="1"/>
    <n v="26280"/>
    <m/>
    <m/>
  </r>
  <r>
    <x v="0"/>
    <x v="5"/>
    <s v="F:\Données chgh\2020-CHG-CZA-Cromolyn-2\plaque 1/@01 TS/F1_02.tif "/>
    <s v=" 302.8185 "/>
    <s v=" 62.5714 "/>
    <x v="1"/>
    <n v="18948"/>
    <m/>
    <m/>
  </r>
  <r>
    <x v="0"/>
    <x v="5"/>
    <s v="F:\Données chgh\2020-CHG-CZA-Cromolyn-2\plaque 1/@01 TS/F1_03.tif "/>
    <s v=" 216.2989 "/>
    <s v=" 62.8 "/>
    <x v="1"/>
    <n v="13584"/>
    <m/>
    <m/>
  </r>
  <r>
    <x v="0"/>
    <x v="6"/>
    <s v="F:\Données chgh\2020-CHG-CZA-Cromolyn-2\plaque 1/@01 TS/G1_01.tif "/>
    <s v=" 6748.5271 "/>
    <s v=" 70.1603 "/>
    <x v="1"/>
    <n v="473478"/>
    <m/>
    <m/>
  </r>
  <r>
    <x v="0"/>
    <x v="6"/>
    <s v="F:\Données chgh\2020-CHG-CZA-Cromolyn-2\plaque 1/@01 TS/G1_02.tif "/>
    <s v=" 7981.4311 "/>
    <s v=" 69.1436 "/>
    <x v="1"/>
    <n v="551865"/>
    <m/>
    <m/>
  </r>
  <r>
    <x v="0"/>
    <x v="6"/>
    <s v="F:\Données chgh\2020-CHG-CZA-Cromolyn-2\plaque 1/@01 TS/G1_03.tif "/>
    <s v=" 1643.872 "/>
    <s v=" 65.4868 "/>
    <x v="1"/>
    <n v="107652"/>
    <m/>
    <m/>
  </r>
  <r>
    <x v="0"/>
    <x v="7"/>
    <s v="F:\Données chgh\2020-CHG-CZA-Cromolyn-2\plaque 1/@01 TS/H1_01.tif "/>
    <s v=" 10101.1608 "/>
    <s v=" 71.6146 "/>
    <x v="1"/>
    <n v="723390"/>
    <m/>
    <m/>
  </r>
  <r>
    <x v="0"/>
    <x v="7"/>
    <s v="F:\Données chgh\2020-CHG-CZA-Cromolyn-2\plaque 1/@01 TS/H1_02.tif "/>
    <s v=" 13951.282 "/>
    <s v=" 84.5178 "/>
    <x v="1"/>
    <n v="1179132"/>
    <m/>
    <m/>
  </r>
  <r>
    <x v="0"/>
    <x v="7"/>
    <s v="F:\Données chgh\2020-CHG-CZA-Cromolyn-2\plaque 1/@01 TS/H1_03.tif "/>
    <s v=" 9495.5237 "/>
    <s v=" 69.4829 "/>
    <x v="1"/>
    <n v="659777"/>
    <m/>
    <m/>
  </r>
  <r>
    <x v="1"/>
    <x v="8"/>
    <s v=" "/>
    <m/>
    <m/>
    <x v="0"/>
    <m/>
    <m/>
    <m/>
  </r>
  <r>
    <x v="1"/>
    <x v="8"/>
    <s v="group "/>
    <s v=" "/>
    <s v=" mean of mean fluo "/>
    <x v="2"/>
    <s v=" mean of total fluo "/>
    <s v=" SD total fluo "/>
    <s v=" n fluorescent "/>
  </r>
  <r>
    <x v="0"/>
    <x v="9"/>
    <s v="F:\Données chgh\2020-CHG-CZA-Cromolyn-2\plaque 1/@01 TS/ "/>
    <s v=" "/>
    <s v=" 70.3448 "/>
    <x v="3"/>
    <s v=" 466821.833 "/>
    <s v=" 368218.507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2"/>
    <x v="0"/>
    <s v="F:\Données chgh\2020-CHG-CZA-Cromolyn-2\plaque 1/@02 EE2 34/A2_01.tif "/>
    <s v=" 1341.0535 "/>
    <s v=" 68.4677 "/>
    <x v="1"/>
    <n v="91819"/>
    <m/>
    <m/>
  </r>
  <r>
    <x v="2"/>
    <x v="0"/>
    <s v="F:\Données chgh\2020-CHG-CZA-Cromolyn-2\plaque 1/@02 EE2 34/A2_02.tif "/>
    <s v=" 237.9288 "/>
    <s v=" 63.4545 "/>
    <x v="1"/>
    <n v="15098"/>
    <m/>
    <m/>
  </r>
  <r>
    <x v="2"/>
    <x v="0"/>
    <s v="F:\Données chgh\2020-CHG-CZA-Cromolyn-2\plaque 1/@02 EE2 34/A2_03.tif "/>
    <s v=" 778.6762 "/>
    <s v=" 62.9722 "/>
    <x v="1"/>
    <n v="49035"/>
    <m/>
    <m/>
  </r>
  <r>
    <x v="2"/>
    <x v="1"/>
    <s v="F:\Données chgh\2020-CHG-CZA-Cromolyn-2\plaque 1/@02 EE2 34/B2_01.tif "/>
    <s v=" 2076.4699 "/>
    <s v=" 66.5417 "/>
    <x v="1"/>
    <n v="138172"/>
    <m/>
    <m/>
  </r>
  <r>
    <x v="2"/>
    <x v="1"/>
    <s v="F:\Données chgh\2020-CHG-CZA-Cromolyn-2\plaque 1/@02 EE2 34/B2_02.tif "/>
    <s v=" 627.2669 "/>
    <s v=" 65.3448 "/>
    <x v="1"/>
    <n v="40989"/>
    <m/>
    <m/>
  </r>
  <r>
    <x v="2"/>
    <x v="1"/>
    <s v="F:\Données chgh\2020-CHG-CZA-Cromolyn-2\plaque 1/@02 EE2 34/B2_03.tif "/>
    <s v=" 1643.872 "/>
    <s v=" 67.3158 "/>
    <x v="1"/>
    <n v="110659"/>
    <m/>
    <m/>
  </r>
  <r>
    <x v="2"/>
    <x v="2"/>
    <s v="F:\Données chgh\2020-CHG-CZA-Cromolyn-2\plaque 1/@02 EE2 34/C2_01.tif "/>
    <s v=" 4325.9789 "/>
    <s v=" 68.16 "/>
    <x v="1"/>
    <n v="294859"/>
    <m/>
    <m/>
  </r>
  <r>
    <x v="2"/>
    <x v="2"/>
    <s v="F:\Données chgh\2020-CHG-CZA-Cromolyn-2\plaque 1/@02 EE2 34/C2_02.tif "/>
    <s v=" 2162.9895 "/>
    <s v=" 65.59 "/>
    <x v="1"/>
    <n v="141870"/>
    <m/>
    <m/>
  </r>
  <r>
    <x v="2"/>
    <x v="2"/>
    <s v="F:\Données chgh\2020-CHG-CZA-Cromolyn-2\plaque 1/@02 EE2 34/C2_03.tif "/>
    <s v=" 2033.2101 "/>
    <s v=" 66.2021 "/>
    <x v="1"/>
    <n v="134603"/>
    <m/>
    <m/>
  </r>
  <r>
    <x v="2"/>
    <x v="3"/>
    <s v="F:\Données chgh\2020-CHG-CZA-Cromolyn-2\plaque 1/@02 EE2 34/D2_01.tif "/>
    <s v=" 7397.424 "/>
    <s v=" 78.5731 "/>
    <x v="1"/>
    <n v="581239"/>
    <m/>
    <m/>
  </r>
  <r>
    <x v="2"/>
    <x v="3"/>
    <s v="F:\Données chgh\2020-CHG-CZA-Cromolyn-2\plaque 1/@02 EE2 34/D2_02.tif "/>
    <s v=" 8414.029 "/>
    <s v=" 77.9409 "/>
    <x v="1"/>
    <n v="655797"/>
    <m/>
    <m/>
  </r>
  <r>
    <x v="2"/>
    <x v="3"/>
    <s v="F:\Données chgh\2020-CHG-CZA-Cromolyn-2\plaque 1/@02 EE2 34/D2_03.tif "/>
    <s v=" 3893.381 "/>
    <s v=" 64.5889 "/>
    <x v="1"/>
    <n v="251469"/>
    <m/>
    <m/>
  </r>
  <r>
    <x v="2"/>
    <x v="4"/>
    <s v="F:\Données chgh\2020-CHG-CZA-Cromolyn-2\plaque 1/@02 EE2 34/E2_01.tif "/>
    <s v=" 10057.901 "/>
    <s v=" 80.6323 "/>
    <x v="1"/>
    <n v="810991"/>
    <m/>
    <m/>
  </r>
  <r>
    <x v="2"/>
    <x v="4"/>
    <s v="F:\Données chgh\2020-CHG-CZA-Cromolyn-2\plaque 1/@02 EE2 34/E2_02- exclu.tif"/>
    <m/>
    <m/>
    <x v="0"/>
    <m/>
    <m/>
    <m/>
  </r>
  <r>
    <x v="2"/>
    <x v="4"/>
    <s v="F:\Données chgh\2020-CHG-CZA-Cromolyn-2\plaque 1/@02 EE2 34/E2_03.tif "/>
    <s v=" 10598.6484 "/>
    <s v=" 79.4898 "/>
    <x v="1"/>
    <n v="842484"/>
    <m/>
    <m/>
  </r>
  <r>
    <x v="2"/>
    <x v="5"/>
    <s v="F:\Données chgh\2020-CHG-CZA-Cromolyn-2\plaque 1/@02 EE2 34/F2_01.tif "/>
    <s v=" 2725.3667 "/>
    <s v=" 66.2857 "/>
    <x v="1"/>
    <n v="180653"/>
    <m/>
    <m/>
  </r>
  <r>
    <x v="2"/>
    <x v="5"/>
    <s v="F:\Données chgh\2020-CHG-CZA-Cromolyn-2\plaque 1/@02 EE2 34/F2_02.tif "/>
    <s v=" 6380.8189 "/>
    <s v=" 66.7729 "/>
    <x v="1"/>
    <n v="426066"/>
    <m/>
    <m/>
  </r>
  <r>
    <x v="2"/>
    <x v="5"/>
    <s v="F:\Données chgh\2020-CHG-CZA-Cromolyn-2\plaque 1/@02 EE2 34/F2_03.tif "/>
    <s v=" 5191.1747 "/>
    <s v=" 69.4792 "/>
    <x v="1"/>
    <n v="360678"/>
    <m/>
    <m/>
  </r>
  <r>
    <x v="2"/>
    <x v="6"/>
    <s v="F:\Données chgh\2020-CHG-CZA-Cromolyn-2\plaque 1/@02 EE2 34/G2_01.tif "/>
    <s v=" 1708.7617 "/>
    <s v=" 64.1899 "/>
    <x v="1"/>
    <n v="109685"/>
    <m/>
    <m/>
  </r>
  <r>
    <x v="2"/>
    <x v="6"/>
    <s v="F:\Données chgh\2020-CHG-CZA-Cromolyn-2\plaque 1/@02 EE2 34/G2_02.tif "/>
    <s v=" 3828.4913 "/>
    <s v=" 66.5876 "/>
    <x v="1"/>
    <n v="254930"/>
    <m/>
    <m/>
  </r>
  <r>
    <x v="2"/>
    <x v="6"/>
    <s v="F:\Données chgh\2020-CHG-CZA-Cromolyn-2\plaque 1/@02 EE2 34/G2_03.tif "/>
    <s v=" 1449.2029 "/>
    <s v=" 67.4478 "/>
    <x v="1"/>
    <n v="97745"/>
    <m/>
    <m/>
  </r>
  <r>
    <x v="2"/>
    <x v="7"/>
    <s v="F:\Données chgh\2020-CHG-CZA-Cromolyn-2\plaque 1/@02 EE2 34/H2_01.tif "/>
    <s v=" 1449.2029 "/>
    <s v=" 64.3582 "/>
    <x v="1"/>
    <n v="93268"/>
    <m/>
    <m/>
  </r>
  <r>
    <x v="2"/>
    <x v="7"/>
    <s v="F:\Données chgh\2020-CHG-CZA-Cromolyn-2\plaque 1/@02 EE2 34/H2_02.tif "/>
    <s v=" 886.8257 "/>
    <s v=" 63.8537 "/>
    <x v="1"/>
    <n v="56627"/>
    <m/>
    <m/>
  </r>
  <r>
    <x v="2"/>
    <x v="7"/>
    <s v="F:\Données chgh\2020-CHG-CZA-Cromolyn-2\plaque 1/@02 EE2 34/H2_03.tif "/>
    <s v=" 1319.4236 "/>
    <s v=" 66.9508 "/>
    <x v="1"/>
    <n v="88336"/>
    <m/>
    <m/>
  </r>
  <r>
    <x v="1"/>
    <x v="8"/>
    <s v=" "/>
    <m/>
    <m/>
    <x v="0"/>
    <m/>
    <m/>
    <m/>
  </r>
  <r>
    <x v="1"/>
    <x v="8"/>
    <s v="group "/>
    <s v=" "/>
    <s v=" mean of mean fluo "/>
    <x v="2"/>
    <s v=" mean of total fluo "/>
    <s v=" SD total fluo "/>
    <s v=" n fluorescent "/>
  </r>
  <r>
    <x v="2"/>
    <x v="9"/>
    <s v="F:\Données chgh\2020-CHG-CZA-Cromolyn-2\plaque 1/@02 EE2 34/ "/>
    <s v=" "/>
    <s v=" 69.1166 "/>
    <x v="4"/>
    <s v=" 285978.75 "/>
    <s v=" 289661.509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3"/>
    <x v="0"/>
    <s v="F:\Données chgh\2020-CHG-CZA-Cromolyn-2\plaque 1/@03 EE2 51/A3_01.tif "/>
    <s v=" 1124.7545 "/>
    <s v=" 64.4038 "/>
    <x v="1"/>
    <n v="72439"/>
    <m/>
    <m/>
  </r>
  <r>
    <x v="3"/>
    <x v="0"/>
    <s v="F:\Données chgh\2020-CHG-CZA-Cromolyn-2\plaque 1/@03 EE2 51/A3_02.tif "/>
    <s v=" 3028.1852 "/>
    <s v=" 66.5429 "/>
    <x v="1"/>
    <n v="201504"/>
    <m/>
    <m/>
  </r>
  <r>
    <x v="3"/>
    <x v="0"/>
    <s v="F:\Données chgh\2020-CHG-CZA-Cromolyn-2\plaque 1/@03 EE2 51/A3_03.tif "/>
    <s v=" 5277.6943 "/>
    <s v=" 71.4631 "/>
    <x v="1"/>
    <n v="377160"/>
    <m/>
    <m/>
  </r>
  <r>
    <x v="3"/>
    <x v="1"/>
    <s v="F:\Données chgh\2020-CHG-CZA-Cromolyn-2\plaque 1/@03 EE2 51/B3_01.tif "/>
    <s v=" 1124.7545 "/>
    <s v=" 64.4808 "/>
    <x v="1"/>
    <n v="72525"/>
    <m/>
    <m/>
  </r>
  <r>
    <x v="3"/>
    <x v="1"/>
    <s v="F:\Données chgh\2020-CHG-CZA-Cromolyn-2\plaque 1/@03 EE2 51/B3_02.tif "/>
    <s v=" 843.5659 "/>
    <s v=" 63.5641 "/>
    <x v="1"/>
    <n v="53621"/>
    <m/>
    <m/>
  </r>
  <r>
    <x v="3"/>
    <x v="1"/>
    <s v="F:\Données chgh\2020-CHG-CZA-Cromolyn-2\plaque 1/@03 EE2 51/B3_03.tif "/>
    <s v=" 432.5979 "/>
    <s v=" 63.6 "/>
    <x v="1"/>
    <n v="27513"/>
    <m/>
    <m/>
  </r>
  <r>
    <x v="3"/>
    <x v="2"/>
    <s v="F:\Données chgh\2020-CHG-CZA-Cromolyn-2\plaque 1/@03 EE2 51/C3_01.tif "/>
    <s v=" 13324.0151 "/>
    <s v=" 68.5519 "/>
    <x v="1"/>
    <n v="913387"/>
    <m/>
    <m/>
  </r>
  <r>
    <x v="3"/>
    <x v="2"/>
    <s v="F:\Données chgh\2020-CHG-CZA-Cromolyn-2\plaque 1/@03 EE2 51/C3_02- exclu.tif"/>
    <m/>
    <m/>
    <x v="0"/>
    <m/>
    <m/>
    <m/>
  </r>
  <r>
    <x v="3"/>
    <x v="2"/>
    <s v="F:\Données chgh\2020-CHG-CZA-Cromolyn-2\plaque 1/@03 EE2 51/C3_03- exclu.tif"/>
    <m/>
    <m/>
    <x v="0"/>
    <m/>
    <m/>
    <m/>
  </r>
  <r>
    <x v="3"/>
    <x v="3"/>
    <s v="F:\Données chgh\2020-CHG-CZA-Cromolyn-2\plaque 1/@03 EE2 51/D3_01.tif "/>
    <s v=" 2703.7368 "/>
    <s v=" 64.968 "/>
    <x v="1"/>
    <n v="175656"/>
    <m/>
    <m/>
  </r>
  <r>
    <x v="3"/>
    <x v="3"/>
    <s v="F:\Données chgh\2020-CHG-CZA-Cromolyn-2\plaque 1/@03 EE2 51/D3_02.tif "/>
    <s v=" 259.5587 "/>
    <s v=" 62.0833 "/>
    <x v="1"/>
    <n v="16114"/>
    <m/>
    <m/>
  </r>
  <r>
    <x v="3"/>
    <x v="3"/>
    <s v="F:\Données chgh\2020-CHG-CZA-Cromolyn-2\plaque 1/@03 EE2 51/D3_03.tif "/>
    <s v=" 2249.509 "/>
    <s v=" 65.7019 "/>
    <x v="1"/>
    <n v="147797"/>
    <m/>
    <m/>
  </r>
  <r>
    <x v="3"/>
    <x v="4"/>
    <s v="F:\Données chgh\2020-CHG-CZA-Cromolyn-2\plaque 1/@03 EE2 51/E3_01.tif "/>
    <s v=" 2336.0286 "/>
    <s v=" 63.9722 "/>
    <x v="1"/>
    <n v="149441"/>
    <m/>
    <m/>
  </r>
  <r>
    <x v="3"/>
    <x v="4"/>
    <s v="F:\Données chgh\2020-CHG-CZA-Cromolyn-2\plaque 1/@03 EE2 51/E3_02.tif "/>
    <s v=" 2595.5874 "/>
    <s v=" 64.4083 "/>
    <x v="1"/>
    <n v="167177"/>
    <m/>
    <m/>
  </r>
  <r>
    <x v="3"/>
    <x v="4"/>
    <s v="F:\Données chgh\2020-CHG-CZA-Cromolyn-2\plaque 1/@03 EE2 51/E3_03.tif "/>
    <s v=" 1773.6514 "/>
    <s v=" 65.2683 "/>
    <x v="1"/>
    <n v="115763"/>
    <m/>
    <m/>
  </r>
  <r>
    <x v="3"/>
    <x v="5"/>
    <s v="F:\Données chgh\2020-CHG-CZA-Cromolyn-2\plaque 1/@03 EE2 51/F3_01.tif "/>
    <s v=" 16244.0509 "/>
    <s v=" 65.5406 "/>
    <x v="1"/>
    <n v="1064645"/>
    <m/>
    <m/>
  </r>
  <r>
    <x v="3"/>
    <x v="5"/>
    <s v="F:\Données chgh\2020-CHG-CZA-Cromolyn-2\plaque 1/@03 EE2 51/F3_02.tif "/>
    <s v=" 15746.5633 "/>
    <s v=" 68.9409 "/>
    <x v="1"/>
    <n v="1085583"/>
    <m/>
    <m/>
  </r>
  <r>
    <x v="3"/>
    <x v="5"/>
    <s v="F:\Données chgh\2020-CHG-CZA-Cromolyn-2\plaque 1/@03 EE2 51/F3_03.tif "/>
    <s v=" 10923.0968 "/>
    <s v=" 66.7822 "/>
    <x v="1"/>
    <n v="729468"/>
    <m/>
    <m/>
  </r>
  <r>
    <x v="3"/>
    <x v="6"/>
    <s v="F:\Données chgh\2020-CHG-CZA-Cromolyn-2\plaque 1/@03 EE2 51/G3_01.tif "/>
    <s v=" 151.4093 "/>
    <s v=" 61.8571 "/>
    <x v="1"/>
    <n v="9366"/>
    <m/>
    <m/>
  </r>
  <r>
    <x v="3"/>
    <x v="6"/>
    <s v="F:\Données chgh\2020-CHG-CZA-Cromolyn-2\plaque 1/@03 EE2 51/G3_02.tif "/>
    <s v=" 432.5979 "/>
    <s v=" 67.05 "/>
    <x v="1"/>
    <n v="29006"/>
    <m/>
    <m/>
  </r>
  <r>
    <x v="3"/>
    <x v="6"/>
    <s v="F:\Données chgh\2020-CHG-CZA-Cromolyn-2\plaque 1/@03 EE2 51/G3_03.tif "/>
    <s v=" 800.3061 "/>
    <s v=" 63.7027 "/>
    <x v="1"/>
    <n v="50982"/>
    <m/>
    <m/>
  </r>
  <r>
    <x v="3"/>
    <x v="7"/>
    <s v="F:\Données chgh\2020-CHG-CZA-Cromolyn-2\plaque 1/@03 EE2 51/H3_01- exclu.tif"/>
    <m/>
    <m/>
    <x v="0"/>
    <m/>
    <m/>
    <m/>
  </r>
  <r>
    <x v="3"/>
    <x v="7"/>
    <s v="F:\Données chgh\2020-CHG-CZA-Cromolyn-2\plaque 1/@03 EE2 51/H3_02.tif "/>
    <s v=" 519.1175 "/>
    <s v=" 63.7917 "/>
    <x v="1"/>
    <n v="33115"/>
    <m/>
    <m/>
  </r>
  <r>
    <x v="3"/>
    <x v="7"/>
    <s v="F:\Données chgh\2020-CHG-CZA-Cromolyn-2\plaque 1/@03 EE2 51/H3_03.tif "/>
    <s v=" 346.0783 "/>
    <s v=" 64.0625 "/>
    <x v="1"/>
    <n v="22171"/>
    <m/>
    <m/>
  </r>
  <r>
    <x v="1"/>
    <x v="8"/>
    <s v=" "/>
    <m/>
    <m/>
    <x v="0"/>
    <m/>
    <m/>
    <m/>
  </r>
  <r>
    <x v="1"/>
    <x v="8"/>
    <s v="group "/>
    <s v=" "/>
    <s v=" mean of mean fluo "/>
    <x v="2"/>
    <s v=" mean of total fluo "/>
    <s v=" SD total fluo "/>
    <s v=" n fluorescent "/>
  </r>
  <r>
    <x v="3"/>
    <x v="9"/>
    <s v="F:\Données chgh\2020-CHG-CZA-Cromolyn-2\plaque 1/@03 EE2 51/ "/>
    <s v=" "/>
    <s v=" 68.2189 "/>
    <x v="5"/>
    <s v=" 370570.542 "/>
    <s v=" 523644.57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4"/>
    <x v="0"/>
    <s v="F:\Données chgh\2020-CHG-CZA-Cromolyn-2\plaque 1/@04 EE2 76/A4_01.tif "/>
    <s v=" 25350.2365 "/>
    <s v=" 68.9454 "/>
    <x v="1"/>
    <n v="1747782"/>
    <m/>
    <m/>
  </r>
  <r>
    <x v="4"/>
    <x v="0"/>
    <s v="F:\Données chgh\2020-CHG-CZA-Cromolyn-2\plaque 1/@04 EE2 76/A4_02.tif "/>
    <s v=" 28400.0516 "/>
    <s v=" 69.6024 "/>
    <x v="1"/>
    <n v="1976713"/>
    <m/>
    <m/>
  </r>
  <r>
    <x v="4"/>
    <x v="0"/>
    <s v="F:\Données chgh\2020-CHG-CZA-Cromolyn-2\plaque 1/@04 EE2 76/A4_03.tif "/>
    <s v=" 33396.5573 "/>
    <s v=" 73.7655 "/>
    <x v="1"/>
    <n v="2463515"/>
    <m/>
    <m/>
  </r>
  <r>
    <x v="4"/>
    <x v="1"/>
    <s v="F:\Données chgh\2020-CHG-CZA-Cromolyn-2\plaque 1/@04 EE2 76/B4_01.tif "/>
    <s v=" 11269.1751 "/>
    <s v=" 64.7946 "/>
    <x v="1"/>
    <n v="730182"/>
    <m/>
    <m/>
  </r>
  <r>
    <x v="4"/>
    <x v="1"/>
    <s v="F:\Données chgh\2020-CHG-CZA-Cromolyn-2\plaque 1/@04 EE2 76/B4_02.tif "/>
    <s v=" 6445.7086 "/>
    <s v=" 64.0034 "/>
    <x v="1"/>
    <n v="412547"/>
    <m/>
    <m/>
  </r>
  <r>
    <x v="4"/>
    <x v="1"/>
    <s v="F:\Données chgh\2020-CHG-CZA-Cromolyn-2\plaque 1/@04 EE2 76/B4_03.tif "/>
    <s v=" 8154.4703 "/>
    <s v=" 63.4562 "/>
    <x v="1"/>
    <n v="517452"/>
    <m/>
    <m/>
  </r>
  <r>
    <x v="4"/>
    <x v="2"/>
    <s v="F:\Données chgh\2020-CHG-CZA-Cromolyn-2\plaque 1/@04 EE2 76/C4_01.tif "/>
    <s v=" 3439.1532 "/>
    <s v=" 64.7484 "/>
    <x v="1"/>
    <n v="222680"/>
    <m/>
    <m/>
  </r>
  <r>
    <x v="4"/>
    <x v="2"/>
    <s v="F:\Données chgh\2020-CHG-CZA-Cromolyn-2\plaque 1/@04 EE2 76/C4_02.tif "/>
    <s v=" 4369.2387 "/>
    <s v=" 64.7624 "/>
    <x v="1"/>
    <n v="282962"/>
    <m/>
    <m/>
  </r>
  <r>
    <x v="4"/>
    <x v="2"/>
    <s v="F:\Données chgh\2020-CHG-CZA-Cromolyn-2\plaque 1/@04 EE2 76/C4_03.tif "/>
    <s v=" 11507.1039 "/>
    <s v=" 69.3571 "/>
    <x v="1"/>
    <n v="798100"/>
    <m/>
    <m/>
  </r>
  <r>
    <x v="4"/>
    <x v="3"/>
    <s v="F:\Données chgh\2020-CHG-CZA-Cromolyn-2\plaque 1/@04 EE2 76/D4_01.tif "/>
    <s v=" 7224.3848 "/>
    <s v=" 64.9371 "/>
    <x v="1"/>
    <n v="469131"/>
    <m/>
    <m/>
  </r>
  <r>
    <x v="4"/>
    <x v="3"/>
    <s v="F:\Données chgh\2020-CHG-CZA-Cromolyn-2\plaque 1/@04 EE2 76/D4_02.tif "/>
    <s v=" 3655.4522 "/>
    <s v=" 64.4615 "/>
    <x v="1"/>
    <n v="235636"/>
    <m/>
    <m/>
  </r>
  <r>
    <x v="4"/>
    <x v="3"/>
    <s v="F:\Données chgh\2020-CHG-CZA-Cromolyn-2\plaque 1/@04 EE2 76/D4_03.tif "/>
    <s v=" 3417.5234 "/>
    <s v=" 63.557 "/>
    <x v="1"/>
    <n v="217207"/>
    <m/>
    <m/>
  </r>
  <r>
    <x v="4"/>
    <x v="4"/>
    <s v="F:\Données chgh\2020-CHG-CZA-Cromolyn-2\plaque 1/@04 EE2 76/E4_01.tif "/>
    <s v=" 19899.5031 "/>
    <s v=" 65.7239 "/>
    <x v="1"/>
    <n v="1307873"/>
    <m/>
    <m/>
  </r>
  <r>
    <x v="4"/>
    <x v="4"/>
    <s v="F:\Données chgh\2020-CHG-CZA-Cromolyn-2\plaque 1/@04 EE2 76/E4_02.tif "/>
    <s v=" 38457.9527 "/>
    <s v=" 68.991 "/>
    <x v="1"/>
    <n v="2653253"/>
    <m/>
    <m/>
  </r>
  <r>
    <x v="4"/>
    <x v="4"/>
    <s v="F:\Données chgh\2020-CHG-CZA-Cromolyn-2\plaque 1/@04 EE2 76/E4_03.tif "/>
    <s v=" 26885.959 "/>
    <s v=" 67.0097 "/>
    <x v="1"/>
    <n v="1801619"/>
    <m/>
    <m/>
  </r>
  <r>
    <x v="4"/>
    <x v="5"/>
    <s v="F:\Données chgh\2020-CHG-CZA-Cromolyn-2\plaque 1/@04 EE2 76/F4_01.tif "/>
    <s v=" 6013.1107 "/>
    <s v=" 66.7086 "/>
    <x v="1"/>
    <n v="401126"/>
    <m/>
    <m/>
  </r>
  <r>
    <x v="4"/>
    <x v="5"/>
    <s v="F:\Données chgh\2020-CHG-CZA-Cromolyn-2\plaque 1/@04 EE2 76/F4_02.tif "/>
    <s v=" 4412.4985 "/>
    <s v=" 63.8529 "/>
    <x v="1"/>
    <n v="281751"/>
    <m/>
    <m/>
  </r>
  <r>
    <x v="4"/>
    <x v="5"/>
    <s v="F:\Données chgh\2020-CHG-CZA-Cromolyn-2\plaque 1/@04 EE2 76/F4_03.tif "/>
    <s v=" 2855.1461 "/>
    <s v=" 63.4091 "/>
    <x v="1"/>
    <n v="181042"/>
    <m/>
    <m/>
  </r>
  <r>
    <x v="4"/>
    <x v="6"/>
    <s v="F:\Données chgh\2020-CHG-CZA-Cromolyn-2\plaque 1/@04 EE2 76/G4_01.tif "/>
    <s v=" 8651.9579 "/>
    <s v=" 65.44 "/>
    <x v="1"/>
    <n v="566184"/>
    <m/>
    <m/>
  </r>
  <r>
    <x v="4"/>
    <x v="6"/>
    <s v="F:\Données chgh\2020-CHG-CZA-Cromolyn-2\plaque 1/@04 EE2 76/G4_02.tif "/>
    <s v=" 11031.2463 "/>
    <s v=" 69.9784 "/>
    <x v="1"/>
    <n v="771949"/>
    <m/>
    <m/>
  </r>
  <r>
    <x v="4"/>
    <x v="6"/>
    <s v="F:\Données chgh\2020-CHG-CZA-Cromolyn-2\plaque 1/@04 EE2 76/G4_03.tif "/>
    <s v=" 9495.5237 "/>
    <s v=" 69.5626 "/>
    <x v="1"/>
    <n v="660534"/>
    <m/>
    <m/>
  </r>
  <r>
    <x v="4"/>
    <x v="7"/>
    <s v="F:\Données chgh\2020-CHG-CZA-Cromolyn-2\plaque 1/@04 EE2 76/H4_01.tif "/>
    <s v=" 4563.9078 "/>
    <s v=" 64.4076 "/>
    <x v="1"/>
    <n v="293950"/>
    <m/>
    <m/>
  </r>
  <r>
    <x v="4"/>
    <x v="7"/>
    <s v="F:\Données chgh\2020-CHG-CZA-Cromolyn-2\plaque 1/@04 EE2 76/H4_02.tif "/>
    <s v=" 2552.3276 "/>
    <s v=" 64.4492 "/>
    <x v="1"/>
    <n v="164495"/>
    <m/>
    <m/>
  </r>
  <r>
    <x v="4"/>
    <x v="7"/>
    <s v="F:\Données chgh\2020-CHG-CZA-Cromolyn-2\plaque 1/@04 EE2 76/H4_03.tif "/>
    <s v=" 2855.1461 "/>
    <s v=" 65.5606 "/>
    <x v="1"/>
    <n v="187185"/>
    <m/>
    <m/>
  </r>
  <r>
    <x v="1"/>
    <x v="8"/>
    <s v=" "/>
    <m/>
    <m/>
    <x v="0"/>
    <m/>
    <m/>
    <m/>
  </r>
  <r>
    <x v="1"/>
    <x v="8"/>
    <s v="group "/>
    <s v=" "/>
    <s v=" mean of mean fluo "/>
    <x v="2"/>
    <s v=" mean of total fluo "/>
    <s v=" SD total fluo "/>
    <s v=" n fluorescent "/>
  </r>
  <r>
    <x v="4"/>
    <x v="9"/>
    <s v="F:\Données chgh\2020-CHG-CZA-Cromolyn-2\plaque 1/@04 EE2 76/ "/>
    <s v=" "/>
    <s v=" 66.3119 "/>
    <x v="6"/>
    <s v=" 806036.167 "/>
    <s v=" 759558.093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5"/>
    <x v="0"/>
    <s v="F:\Données chgh\2020-CHG-CZA-Cromolyn-2\plaque 1/@05 EE2 114/A5_01- exclu.tif"/>
    <m/>
    <m/>
    <x v="0"/>
    <m/>
    <m/>
    <m/>
  </r>
  <r>
    <x v="5"/>
    <x v="0"/>
    <s v="F:\Données chgh\2020-CHG-CZA-Cromolyn-2\plaque 1/@05 EE2 114/A5_02.tif "/>
    <s v=" 49337.7896 "/>
    <s v=" 69.8167 "/>
    <x v="1"/>
    <n v="3444604"/>
    <m/>
    <m/>
  </r>
  <r>
    <x v="5"/>
    <x v="0"/>
    <s v="F:\Données chgh\2020-CHG-CZA-Cromolyn-2\plaque 1/@05 EE2 114/A5_03.tif "/>
    <s v=" 56194.4662 "/>
    <s v=" 70.5997 "/>
    <x v="1"/>
    <n v="3967312"/>
    <m/>
    <m/>
  </r>
  <r>
    <x v="5"/>
    <x v="1"/>
    <s v="F:\Données chgh\2020-CHG-CZA-Cromolyn-2\plaque 1/@05 EE2 114/B5_01- exclu.tif"/>
    <m/>
    <m/>
    <x v="0"/>
    <m/>
    <m/>
    <m/>
  </r>
  <r>
    <x v="5"/>
    <x v="1"/>
    <s v="F:\Données chgh\2020-CHG-CZA-Cromolyn-2\plaque 1/@05 EE2 114/B5_02.tif "/>
    <s v=" 39950.4154 "/>
    <s v=" 73.0947 "/>
    <x v="1"/>
    <n v="2920166"/>
    <m/>
    <m/>
  </r>
  <r>
    <x v="5"/>
    <x v="1"/>
    <s v="F:\Données chgh\2020-CHG-CZA-Cromolyn-2\plaque 1/@05 EE2 114/B5_03.tif "/>
    <s v=" 36424.7426 "/>
    <s v=" 73.1621 "/>
    <x v="1"/>
    <n v="2664911"/>
    <m/>
    <m/>
  </r>
  <r>
    <x v="5"/>
    <x v="2"/>
    <s v="F:\Données chgh\2020-CHG-CZA-Cromolyn-2\plaque 1/@05 EE2 114/C5_01.tif "/>
    <s v=" 39625.967 "/>
    <s v=" 69.3816 "/>
    <x v="1"/>
    <n v="2749311"/>
    <m/>
    <m/>
  </r>
  <r>
    <x v="5"/>
    <x v="2"/>
    <s v="F:\Données chgh\2020-CHG-CZA-Cromolyn-2\plaque 1/@05 EE2 114/C5_02.tif "/>
    <s v=" 41291.4688 "/>
    <s v=" 69.6606 "/>
    <x v="1"/>
    <n v="2876387"/>
    <m/>
    <m/>
  </r>
  <r>
    <x v="5"/>
    <x v="2"/>
    <s v="F:\Données chgh\2020-CHG-CZA-Cromolyn-2\plaque 1/@05 EE2 114/C5_03.tif "/>
    <s v=" 39712.4865 "/>
    <s v=" 70.0626 "/>
    <x v="1"/>
    <n v="2782361"/>
    <m/>
    <m/>
  </r>
  <r>
    <x v="5"/>
    <x v="3"/>
    <s v="F:\Données chgh\2020-CHG-CZA-Cromolyn-2\plaque 1/@05 EE2 114/D5_01.tif "/>
    <s v=" 20699.8092 "/>
    <s v=" 65.7346 "/>
    <x v="1"/>
    <n v="1360693"/>
    <m/>
    <m/>
  </r>
  <r>
    <x v="5"/>
    <x v="3"/>
    <s v="F:\Données chgh\2020-CHG-CZA-Cromolyn-2\plaque 1/@05 EE2 114/D5_02.tif "/>
    <s v=" 25090.6778 "/>
    <s v=" 66.4379 "/>
    <x v="1"/>
    <n v="1666973"/>
    <m/>
    <m/>
  </r>
  <r>
    <x v="5"/>
    <x v="3"/>
    <s v="F:\Données chgh\2020-CHG-CZA-Cromolyn-2\plaque 1/@05 EE2 114/D5_03.tif "/>
    <s v=" 17844.6631 "/>
    <s v=" 65.6497 "/>
    <x v="1"/>
    <n v="1171497"/>
    <m/>
    <m/>
  </r>
  <r>
    <x v="5"/>
    <x v="4"/>
    <s v="F:\Données chgh\2020-CHG-CZA-Cromolyn-2\plaque 1/@05 EE2 114/E5_01.tif "/>
    <s v=" 32444.8419 "/>
    <s v=" 72.9473 "/>
    <x v="1"/>
    <n v="2366765"/>
    <m/>
    <m/>
  </r>
  <r>
    <x v="5"/>
    <x v="4"/>
    <s v="F:\Données chgh\2020-CHG-CZA-Cromolyn-2\plaque 1/@05 EE2 114/E5_02.tif "/>
    <s v=" 31558.0163 "/>
    <s v=" 75.4757 "/>
    <x v="1"/>
    <n v="2381862"/>
    <m/>
    <m/>
  </r>
  <r>
    <x v="5"/>
    <x v="4"/>
    <s v="F:\Données chgh\2020-CHG-CZA-Cromolyn-2\plaque 1/@05 EE2 114/E5_03.tif "/>
    <s v=" 33050.479 "/>
    <s v=" 73.2369 "/>
    <x v="1"/>
    <n v="2420515"/>
    <m/>
    <m/>
  </r>
  <r>
    <x v="5"/>
    <x v="5"/>
    <s v="F:\Données chgh\2020-CHG-CZA-Cromolyn-2\plaque 1/@05 EE2 114/F5_01.tif "/>
    <s v=" 3871.7511 "/>
    <s v=" 63.6648 "/>
    <x v="1"/>
    <n v="246494"/>
    <m/>
    <m/>
  </r>
  <r>
    <x v="5"/>
    <x v="5"/>
    <s v="F:\Données chgh\2020-CHG-CZA-Cromolyn-2\plaque 1/@05 EE2 114/F5_02.tif "/>
    <s v=" 12156.0008 "/>
    <s v=" 65.6886 "/>
    <x v="1"/>
    <n v="798511"/>
    <m/>
    <m/>
  </r>
  <r>
    <x v="5"/>
    <x v="5"/>
    <s v="F:\Données chgh\2020-CHG-CZA-Cromolyn-2\plaque 1/@05 EE2 114/F5_03.tif "/>
    <s v=" 12545.3389 "/>
    <s v=" 65.1259 "/>
    <x v="1"/>
    <n v="817026"/>
    <m/>
    <m/>
  </r>
  <r>
    <x v="5"/>
    <x v="6"/>
    <s v="F:\Données chgh\2020-CHG-CZA-Cromolyn-2\plaque 1/@05 EE2 114/G5_01.tif "/>
    <s v=" 11355.6947 "/>
    <s v=" 65.8552 "/>
    <x v="1"/>
    <n v="747832"/>
    <m/>
    <m/>
  </r>
  <r>
    <x v="5"/>
    <x v="6"/>
    <s v="F:\Données chgh\2020-CHG-CZA-Cromolyn-2\plaque 1/@05 EE2 114/G5_02.tif "/>
    <s v=" 4931.616 "/>
    <s v=" 63.5614 "/>
    <x v="1"/>
    <n v="313460"/>
    <m/>
    <m/>
  </r>
  <r>
    <x v="5"/>
    <x v="6"/>
    <s v="F:\Données chgh\2020-CHG-CZA-Cromolyn-2\plaque 1/@05 EE2 114/G5_03.tif "/>
    <s v=" 10663.5381 "/>
    <s v=" 72.4361 "/>
    <x v="1"/>
    <n v="772425"/>
    <m/>
    <m/>
  </r>
  <r>
    <x v="5"/>
    <x v="7"/>
    <s v="F:\Données chgh\2020-CHG-CZA-Cromolyn-2\plaque 1/@05 EE2 114/H5_01.tif "/>
    <s v=" 19964.3927 "/>
    <s v=" 68.0043 "/>
    <x v="1"/>
    <n v="1357665"/>
    <m/>
    <m/>
  </r>
  <r>
    <x v="5"/>
    <x v="7"/>
    <s v="F:\Données chgh\2020-CHG-CZA-Cromolyn-2\plaque 1/@05 EE2 114/H5_02.tif "/>
    <s v=" 21110.7772 "/>
    <s v=" 67.5102 "/>
    <x v="1"/>
    <n v="1425194"/>
    <m/>
    <m/>
  </r>
  <r>
    <x v="5"/>
    <x v="7"/>
    <s v="F:\Données chgh\2020-CHG-CZA-Cromolyn-2\plaque 1/@05 EE2 114/H5_03.tif "/>
    <s v=" 20829.5885 "/>
    <s v=" 67.7497 "/>
    <x v="1"/>
    <n v="1411199"/>
    <m/>
    <m/>
  </r>
  <r>
    <x v="1"/>
    <x v="8"/>
    <s v=" "/>
    <m/>
    <m/>
    <x v="0"/>
    <m/>
    <m/>
    <m/>
  </r>
  <r>
    <x v="1"/>
    <x v="8"/>
    <s v="group "/>
    <s v=" "/>
    <s v=" mean of mean fluo "/>
    <x v="2"/>
    <s v=" mean of total fluo "/>
    <s v=" SD total fluo "/>
    <s v=" n fluorescent "/>
  </r>
  <r>
    <x v="5"/>
    <x v="9"/>
    <s v="F:\Données chgh\2020-CHG-CZA-Cromolyn-2\plaque 1/@05 EE2 114/ "/>
    <s v=" "/>
    <s v=" 68.3693 "/>
    <x v="7"/>
    <s v=" 1701495.83 "/>
    <s v=" 1122192.11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6"/>
    <x v="0"/>
    <s v="F:\Données chgh\2020-CHG-CZA-Cromolyn-2\plaque 1/@06 EE2 171/A6_01.tif "/>
    <s v=" 15076.0366 "/>
    <s v=" 69.1076 "/>
    <x v="1"/>
    <n v="1041869"/>
    <m/>
    <m/>
  </r>
  <r>
    <x v="6"/>
    <x v="0"/>
    <s v="F:\Données chgh\2020-CHG-CZA-Cromolyn-2\plaque 1/@06 EE2 171/A6_02.tif "/>
    <s v=" 14081.0614 "/>
    <s v=" 70.0568 "/>
    <x v="1"/>
    <n v="986475"/>
    <m/>
    <m/>
  </r>
  <r>
    <x v="6"/>
    <x v="0"/>
    <s v="F:\Données chgh\2020-CHG-CZA-Cromolyn-2\plaque 1/@06 EE2 171/A6_03.tif "/>
    <s v=" 15443.7448 "/>
    <s v=" 77.0336 "/>
    <x v="1"/>
    <n v="1189687"/>
    <m/>
    <m/>
  </r>
  <r>
    <x v="6"/>
    <x v="1"/>
    <s v="F:\Données chgh\2020-CHG-CZA-Cromolyn-2\plaque 1/@06 EE2 171/B6_01.tif "/>
    <s v=" 31731.0554 "/>
    <s v=" 69.2331 "/>
    <x v="1"/>
    <n v="2196840"/>
    <m/>
    <m/>
  </r>
  <r>
    <x v="6"/>
    <x v="1"/>
    <s v="F:\Données chgh\2020-CHG-CZA-Cromolyn-2\plaque 1/@06 EE2 171/B6_02.tif "/>
    <s v=" 29957.4041 "/>
    <s v=" 69.8036 "/>
    <x v="1"/>
    <n v="2091135"/>
    <m/>
    <m/>
  </r>
  <r>
    <x v="6"/>
    <x v="1"/>
    <s v="F:\Données chgh\2020-CHG-CZA-Cromolyn-2\plaque 1/@06 EE2 171/B6_03.tif "/>
    <s v=" 38263.2836 "/>
    <s v=" 70.4358 "/>
    <x v="1"/>
    <n v="2695107"/>
    <m/>
    <m/>
  </r>
  <r>
    <x v="6"/>
    <x v="2"/>
    <s v="F:\Données chgh\2020-CHG-CZA-Cromolyn-2\plaque 1/@06 EE2 171/C6_01.tif "/>
    <s v=" 53209.5408 "/>
    <s v=" 71.3435 "/>
    <x v="1"/>
    <n v="3796155"/>
    <m/>
    <m/>
  </r>
  <r>
    <x v="6"/>
    <x v="2"/>
    <s v="F:\Données chgh\2020-CHG-CZA-Cromolyn-2\plaque 1/@06 EE2 171/C6_02.tif "/>
    <s v=" 53490.7294 "/>
    <s v=" 71.4691 "/>
    <x v="1"/>
    <n v="3822932"/>
    <m/>
    <m/>
  </r>
  <r>
    <x v="6"/>
    <x v="2"/>
    <s v="F:\Données chgh\2020-CHG-CZA-Cromolyn-2\plaque 1/@06 EE2 171/C6_03.tif "/>
    <s v=" 46655.6827 "/>
    <s v=" 71.5165 "/>
    <x v="1"/>
    <n v="3336649"/>
    <m/>
    <m/>
  </r>
  <r>
    <x v="6"/>
    <x v="3"/>
    <s v="F:\Données chgh\2020-CHG-CZA-Cromolyn-2\plaque 1/@06 EE2 171/D6_01.tif "/>
    <s v=" 45184.8499 "/>
    <s v=" 80.5749 "/>
    <x v="1"/>
    <n v="3640765"/>
    <m/>
    <m/>
  </r>
  <r>
    <x v="6"/>
    <x v="3"/>
    <s v="F:\Données chgh\2020-CHG-CZA-Cromolyn-2\plaque 1/@06 EE2 171/D6_02.tif "/>
    <s v=" 39820.636 "/>
    <s v=" 78.1434 "/>
    <x v="1"/>
    <n v="3111720"/>
    <m/>
    <m/>
  </r>
  <r>
    <x v="6"/>
    <x v="3"/>
    <s v="F:\Données chgh\2020-CHG-CZA-Cromolyn-2\plaque 1/@06 EE2 171/D6_03.tif "/>
    <s v=" 44535.953 "/>
    <s v=" 80.168 "/>
    <x v="1"/>
    <n v="3570360"/>
    <m/>
    <m/>
  </r>
  <r>
    <x v="6"/>
    <x v="4"/>
    <s v="F:\Données chgh\2020-CHG-CZA-Cromolyn-2\plaque 1/@06 EE2 171/E6_01.tif "/>
    <s v=" 35624.4365 "/>
    <s v=" 71.5191 "/>
    <x v="1"/>
    <n v="2547829"/>
    <m/>
    <m/>
  </r>
  <r>
    <x v="6"/>
    <x v="4"/>
    <s v="F:\Données chgh\2020-CHG-CZA-Cromolyn-2\plaque 1/@06 EE2 171/E6_02.tif "/>
    <s v=" 34564.5716 "/>
    <s v=" 70.7622 "/>
    <x v="1"/>
    <n v="2445865"/>
    <m/>
    <m/>
  </r>
  <r>
    <x v="6"/>
    <x v="4"/>
    <s v="F:\Données chgh\2020-CHG-CZA-Cromolyn-2\plaque 1/@06 EE2 171/E6_03.tif "/>
    <s v=" 41291.4688 "/>
    <s v=" 71.0581 "/>
    <x v="1"/>
    <n v="2934095"/>
    <m/>
    <m/>
  </r>
  <r>
    <x v="6"/>
    <x v="5"/>
    <s v="F:\Données chgh\2020-CHG-CZA-Cromolyn-2\plaque 1/@06 EE2 171/F6_01.tif "/>
    <s v=" 27145.5178 "/>
    <s v=" 77.6231 "/>
    <x v="1"/>
    <n v="2107119"/>
    <m/>
    <m/>
  </r>
  <r>
    <x v="6"/>
    <x v="5"/>
    <s v="F:\Données chgh\2020-CHG-CZA-Cromolyn-2\plaque 1/@06 EE2 171/F6_02.tif "/>
    <s v=" 32358.3224 "/>
    <s v=" 81.5789 "/>
    <x v="1"/>
    <n v="2639756"/>
    <m/>
    <m/>
  </r>
  <r>
    <x v="6"/>
    <x v="5"/>
    <s v="F:\Données chgh\2020-CHG-CZA-Cromolyn-2\plaque 1/@06 EE2 171/F6_03.tif "/>
    <s v=" 33201.8883 "/>
    <s v=" 75.4932 "/>
    <x v="1"/>
    <n v="2506515"/>
    <m/>
    <m/>
  </r>
  <r>
    <x v="6"/>
    <x v="6"/>
    <s v="F:\Données chgh\2020-CHG-CZA-Cromolyn-2\plaque 1/@06 EE2 171/G6_01.tif "/>
    <s v=" 56324.2456 "/>
    <s v=" 75.2684 "/>
    <x v="1"/>
    <n v="4239438"/>
    <m/>
    <m/>
  </r>
  <r>
    <x v="6"/>
    <x v="6"/>
    <s v="F:\Données chgh\2020-CHG-CZA-Cromolyn-2\plaque 1/@06 EE2 171/G6_02.tif "/>
    <s v=" 62250.8367 "/>
    <s v=" 74.9778 "/>
    <x v="1"/>
    <n v="4667428"/>
    <m/>
    <m/>
  </r>
  <r>
    <x v="6"/>
    <x v="6"/>
    <s v="F:\Données chgh\2020-CHG-CZA-Cromolyn-2\plaque 1/@06 EE2 171/G6_03.tif "/>
    <s v=" 61407.2709 "/>
    <s v=" 76.5442 "/>
    <x v="1"/>
    <n v="4700371"/>
    <m/>
    <m/>
  </r>
  <r>
    <x v="6"/>
    <x v="7"/>
    <s v="F:\Données chgh\2020-CHG-CZA-Cromolyn-2\plaque 1/@06 EE2 171/H6_01.tif "/>
    <s v=" 71703.1007 "/>
    <s v=" 73.1759 "/>
    <x v="1"/>
    <n v="5246937"/>
    <m/>
    <m/>
  </r>
  <r>
    <x v="6"/>
    <x v="7"/>
    <s v="F:\Données chgh\2020-CHG-CZA-Cromolyn-2\plaque 1/@06 EE2 171/H6_02.tif "/>
    <s v=" 51479.1492 "/>
    <s v=" 74.2 "/>
    <x v="1"/>
    <n v="3819753"/>
    <m/>
    <m/>
  </r>
  <r>
    <x v="6"/>
    <x v="7"/>
    <s v="F:\Données chgh\2020-CHG-CZA-Cromolyn-2\plaque 1/@06 EE2 171/H6_03.tif "/>
    <s v=" 63051.1428 "/>
    <s v=" 73.2168 "/>
    <x v="1"/>
    <n v="4616404"/>
    <m/>
    <m/>
  </r>
  <r>
    <x v="1"/>
    <x v="8"/>
    <s v=" "/>
    <m/>
    <m/>
    <x v="0"/>
    <m/>
    <m/>
    <m/>
  </r>
  <r>
    <x v="1"/>
    <x v="8"/>
    <s v="group "/>
    <s v=" "/>
    <s v=" mean of mean fluo "/>
    <x v="2"/>
    <s v=" mean of total fluo "/>
    <s v=" SD total fluo "/>
    <s v=" n fluorescent "/>
  </r>
  <r>
    <x v="6"/>
    <x v="9"/>
    <s v="F:\Données chgh\2020-CHG-CZA-Cromolyn-2\plaque 1/@06 EE2 171/ "/>
    <s v=" "/>
    <s v=" 73.9293 "/>
    <x v="8"/>
    <s v=" 3081300.17 "/>
    <s v=" 1179013.58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7"/>
    <x v="0"/>
    <s v="F:\Données chgh\2020-CHG-CZA-Cromolyn-2\plaque 1/@07 EE2 488/A7_01.tif "/>
    <s v=" 63829.819 "/>
    <s v=" 91.0346 "/>
    <x v="1"/>
    <n v="5810720"/>
    <m/>
    <m/>
  </r>
  <r>
    <x v="7"/>
    <x v="0"/>
    <s v="F:\Données chgh\2020-CHG-CZA-Cromolyn-2\plaque 1/@07 EE2 488/A7_02- exclu.tif"/>
    <m/>
    <m/>
    <x v="0"/>
    <m/>
    <m/>
    <m/>
  </r>
  <r>
    <x v="7"/>
    <x v="0"/>
    <s v="F:\Données chgh\2020-CHG-CZA-Cromolyn-2\plaque 1/@07 EE2 488/A7_03.tif "/>
    <s v=" 63375.5913 "/>
    <s v=" 89.7915 "/>
    <x v="1"/>
    <n v="5690587"/>
    <m/>
    <m/>
  </r>
  <r>
    <x v="7"/>
    <x v="1"/>
    <s v="F:\Données chgh\2020-CHG-CZA-Cromolyn-2\plaque 1/@07 EE2 488/B7_01.tif "/>
    <s v=" 90650.8884 "/>
    <s v=" 110.7184 "/>
    <x v="1"/>
    <n v="10036725"/>
    <m/>
    <m/>
  </r>
  <r>
    <x v="7"/>
    <x v="1"/>
    <s v="F:\Données chgh\2020-CHG-CZA-Cromolyn-2\plaque 1/@07 EE2 488/B7_02.tif "/>
    <s v=" 98545.7999 "/>
    <s v=" 106.8169 "/>
    <x v="1"/>
    <n v="10526361"/>
    <m/>
    <m/>
  </r>
  <r>
    <x v="7"/>
    <x v="1"/>
    <s v="F:\Données chgh\2020-CHG-CZA-Cromolyn-2\plaque 1/@07 EE2 488/B7_03.tif "/>
    <s v=" 96534.2197 "/>
    <s v=" 106.6644 "/>
    <x v="1"/>
    <n v="10296760"/>
    <m/>
    <m/>
  </r>
  <r>
    <x v="7"/>
    <x v="2"/>
    <s v="F:\Données chgh\2020-CHG-CZA-Cromolyn-2\plaque 1/@07 EE2 488/C7_01.tif "/>
    <s v=" 68804.6948 "/>
    <s v=" 88.3568 "/>
    <x v="1"/>
    <n v="6079363"/>
    <m/>
    <m/>
  </r>
  <r>
    <x v="7"/>
    <x v="2"/>
    <s v="F:\Données chgh\2020-CHG-CZA-Cromolyn-2\plaque 1/@07 EE2 488/C7_02- exclu.tif"/>
    <m/>
    <m/>
    <x v="0"/>
    <m/>
    <m/>
    <m/>
  </r>
  <r>
    <x v="7"/>
    <x v="2"/>
    <s v="F:\Données chgh\2020-CHG-CZA-Cromolyn-2\plaque 1/@07 EE2 488/C7_03.tif "/>
    <s v=" 69583.371 "/>
    <s v=" 88.0712 "/>
    <x v="1"/>
    <n v="6128290"/>
    <m/>
    <m/>
  </r>
  <r>
    <x v="7"/>
    <x v="3"/>
    <s v="F:\Données chgh\2020-CHG-CZA-Cromolyn-2\plaque 1/@07 EE2 488/D7_01.tif "/>
    <s v=" 70794.6451 "/>
    <s v=" 99.1399 "/>
    <x v="1"/>
    <n v="7018576"/>
    <m/>
    <m/>
  </r>
  <r>
    <x v="7"/>
    <x v="3"/>
    <s v="F:\Données chgh\2020-CHG-CZA-Cromolyn-2\plaque 1/@07 EE2 488/D7_02.tif "/>
    <s v=" 74471.7272 "/>
    <s v=" 94.5722 "/>
    <x v="1"/>
    <n v="7042953"/>
    <m/>
    <m/>
  </r>
  <r>
    <x v="7"/>
    <x v="3"/>
    <s v="F:\Données chgh\2020-CHG-CZA-Cromolyn-2\plaque 1/@07 EE2 488/D7_03.tif "/>
    <s v=" 61212.6018 "/>
    <s v=" 94.5392 "/>
    <x v="1"/>
    <n v="5786992"/>
    <m/>
    <m/>
  </r>
  <r>
    <x v="7"/>
    <x v="4"/>
    <s v="F:\Données chgh\2020-CHG-CZA-Cromolyn-2\plaque 1/@07 EE2 488/E7_01.tif "/>
    <s v=" 43800.5366 "/>
    <s v=" 92.439 "/>
    <x v="1"/>
    <n v="4048878"/>
    <m/>
    <m/>
  </r>
  <r>
    <x v="7"/>
    <x v="4"/>
    <s v="F:\Données chgh\2020-CHG-CZA-Cromolyn-2\plaque 1/@07 EE2 488/E7_02.tif "/>
    <s v=" 38847.2908 "/>
    <s v=" 97.9727 "/>
    <x v="1"/>
    <n v="3805975"/>
    <m/>
    <m/>
  </r>
  <r>
    <x v="7"/>
    <x v="4"/>
    <s v="F:\Données chgh\2020-CHG-CZA-Cromolyn-2\plaque 1/@07 EE2 488/E7_03.tif "/>
    <s v=" 45379.5189 "/>
    <s v=" 97.2846 "/>
    <x v="1"/>
    <n v="4414726"/>
    <m/>
    <m/>
  </r>
  <r>
    <x v="7"/>
    <x v="5"/>
    <s v="F:\Données chgh\2020-CHG-CZA-Cromolyn-2\plaque 1/@07 EE2 488/F7_01.tif "/>
    <s v=" 67139.1929 "/>
    <s v=" 100.8792 "/>
    <x v="1"/>
    <n v="6772947"/>
    <m/>
    <m/>
  </r>
  <r>
    <x v="7"/>
    <x v="5"/>
    <s v="F:\Données chgh\2020-CHG-CZA-Cromolyn-2\plaque 1/@07 EE2 488/F7_02.tif "/>
    <s v=" 66252.3672 "/>
    <s v=" 98.8224 "/>
    <x v="1"/>
    <n v="6547218"/>
    <m/>
    <m/>
  </r>
  <r>
    <x v="7"/>
    <x v="5"/>
    <s v="F:\Données chgh\2020-CHG-CZA-Cromolyn-2\plaque 1/@07 EE2 488/F7_03.tif "/>
    <s v=" 66836.3744 "/>
    <s v=" 102.9699 "/>
    <x v="1"/>
    <n v="6882135"/>
    <m/>
    <m/>
  </r>
  <r>
    <x v="7"/>
    <x v="6"/>
    <s v="F:\Données chgh\2020-CHG-CZA-Cromolyn-2\plaque 1/@07 EE2 488/G7_01.tif "/>
    <s v=" 54442.4448 "/>
    <s v=" 98.5562 "/>
    <x v="1"/>
    <n v="5365641"/>
    <m/>
    <m/>
  </r>
  <r>
    <x v="7"/>
    <x v="6"/>
    <s v="F:\Données chgh\2020-CHG-CZA-Cromolyn-2\plaque 1/@07 EE2 488/G7_02- exclu.tif"/>
    <m/>
    <m/>
    <x v="0"/>
    <m/>
    <m/>
    <m/>
  </r>
  <r>
    <x v="7"/>
    <x v="6"/>
    <s v="F:\Données chgh\2020-CHG-CZA-Cromolyn-2\plaque 1/@07 EE2 488/G7_03.tif "/>
    <s v=" 53988.217 "/>
    <s v=" 99.9635 "/>
    <x v="1"/>
    <n v="5396853"/>
    <m/>
    <m/>
  </r>
  <r>
    <x v="7"/>
    <x v="7"/>
    <s v="F:\Données chgh\2020-CHG-CZA-Cromolyn-2\plaque 1/@07 EE2 488/H7_01.tif "/>
    <s v=" 68480.2464 "/>
    <s v=" 85.9274 "/>
    <x v="1"/>
    <n v="5884326"/>
    <m/>
    <m/>
  </r>
  <r>
    <x v="7"/>
    <x v="7"/>
    <s v="F:\Données chgh\2020-CHG-CZA-Cromolyn-2\plaque 1/@07 EE2 488/H7_02.tif "/>
    <s v=" 67182.4527 "/>
    <s v=" 85.5119 "/>
    <x v="1"/>
    <n v="5744900"/>
    <m/>
    <m/>
  </r>
  <r>
    <x v="7"/>
    <x v="7"/>
    <s v="F:\Données chgh\2020-CHG-CZA-Cromolyn-2\plaque 1/@07 EE2 488/H7_03.tif "/>
    <s v=" 69367.0721 "/>
    <s v=" 89.855 "/>
    <x v="1"/>
    <n v="6232979"/>
    <m/>
    <m/>
  </r>
  <r>
    <x v="1"/>
    <x v="8"/>
    <s v=" "/>
    <m/>
    <m/>
    <x v="0"/>
    <m/>
    <m/>
    <m/>
  </r>
  <r>
    <x v="1"/>
    <x v="8"/>
    <s v="group "/>
    <s v=" "/>
    <s v=" mean of mean fluo "/>
    <x v="2"/>
    <s v=" mean of total fluo "/>
    <s v=" SD total fluo "/>
    <s v=" n fluorescent "/>
  </r>
  <r>
    <x v="7"/>
    <x v="9"/>
    <s v="F:\Données chgh\2020-CHG-CZA-Cromolyn-2\plaque 1/@07 EE2 488/ "/>
    <s v=" "/>
    <s v=" 94.4244 "/>
    <x v="9"/>
    <s v=" 6060310.62 "/>
    <s v=" 2049197.93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8"/>
    <x v="0"/>
    <s v="F:\Données chgh\2020-CHG-CZA-Cromolyn-2\plaque 1/@08 Cromolyn 0.1/A8_01.tif "/>
    <s v=" 2162.9895 "/>
    <s v=" 64.74 "/>
    <x v="1"/>
    <n v="140032"/>
    <m/>
    <m/>
  </r>
  <r>
    <x v="8"/>
    <x v="0"/>
    <s v="F:\Données chgh\2020-CHG-CZA-Cromolyn-2\plaque 1/@08 Cromolyn 0.1/A8_02.tif "/>
    <s v=" 7419.0539 "/>
    <s v=" 68.7668 "/>
    <x v="1"/>
    <n v="510184"/>
    <m/>
    <m/>
  </r>
  <r>
    <x v="8"/>
    <x v="0"/>
    <s v="F:\Données chgh\2020-CHG-CZA-Cromolyn-2\plaque 1/@08 Cromolyn 0.1/A8_03- exclu.tif"/>
    <m/>
    <m/>
    <x v="0"/>
    <m/>
    <m/>
    <m/>
  </r>
  <r>
    <x v="8"/>
    <x v="1"/>
    <s v="F:\Données chgh\2020-CHG-CZA-Cromolyn-2\plaque 1/@08 Cromolyn 0.1/B8_01- exclu.tif"/>
    <m/>
    <m/>
    <x v="0"/>
    <m/>
    <m/>
    <m/>
  </r>
  <r>
    <x v="8"/>
    <x v="1"/>
    <s v="F:\Données chgh\2020-CHG-CZA-Cromolyn-2\plaque 1/@08 Cromolyn 0.1/B8_02.tif "/>
    <s v=" 6662.0075 "/>
    <s v=" 73.2338 "/>
    <x v="1"/>
    <n v="487884"/>
    <m/>
    <m/>
  </r>
  <r>
    <x v="8"/>
    <x v="1"/>
    <s v="F:\Données chgh\2020-CHG-CZA-Cromolyn-2\plaque 1/@08 Cromolyn 0.1/B8_03.tif "/>
    <s v=" 8933.1465 "/>
    <s v=" 76.3366 "/>
    <x v="1"/>
    <n v="681926"/>
    <m/>
    <m/>
  </r>
  <r>
    <x v="8"/>
    <x v="2"/>
    <s v="F:\Données chgh\2020-CHG-CZA-Cromolyn-2\plaque 1/@08 Cromolyn 0.1/C8_01.tif "/>
    <s v=" 6099.6303 "/>
    <s v=" 68.0035 "/>
    <x v="1"/>
    <n v="414796"/>
    <m/>
    <m/>
  </r>
  <r>
    <x v="8"/>
    <x v="2"/>
    <s v="F:\Données chgh\2020-CHG-CZA-Cromolyn-2\plaque 1/@08 Cromolyn 0.1/C8_02.tif "/>
    <s v=" 7916.5414 "/>
    <s v=" 73.806 "/>
    <x v="1"/>
    <n v="584288"/>
    <m/>
    <m/>
  </r>
  <r>
    <x v="8"/>
    <x v="2"/>
    <s v="F:\Données chgh\2020-CHG-CZA-Cromolyn-2\plaque 1/@08 Cromolyn 0.1/C8_03.tif "/>
    <s v=" 8176.1002 "/>
    <s v=" 70.2831 "/>
    <x v="1"/>
    <n v="574641"/>
    <m/>
    <m/>
  </r>
  <r>
    <x v="8"/>
    <x v="3"/>
    <s v="F:\Données chgh\2020-CHG-CZA-Cromolyn-2\plaque 1/@08 Cromolyn 0.1/D8_01.tif "/>
    <s v=" 8414.029 "/>
    <s v=" 71.4576 "/>
    <x v="1"/>
    <n v="601246"/>
    <m/>
    <m/>
  </r>
  <r>
    <x v="8"/>
    <x v="3"/>
    <s v="F:\Données chgh\2020-CHG-CZA-Cromolyn-2\plaque 1/@08 Cromolyn 0.1/D8_02.tif "/>
    <s v=" 5169.5448 "/>
    <s v=" 68.0879 "/>
    <x v="1"/>
    <n v="351983"/>
    <m/>
    <m/>
  </r>
  <r>
    <x v="8"/>
    <x v="3"/>
    <s v="F:\Données chgh\2020-CHG-CZA-Cromolyn-2\plaque 1/@08 Cromolyn 0.1/D8_03.tif "/>
    <s v=" 3136.3347 "/>
    <s v=" 66.5724 "/>
    <x v="1"/>
    <n v="208793"/>
    <m/>
    <m/>
  </r>
  <r>
    <x v="8"/>
    <x v="4"/>
    <s v="F:\Données chgh\2020-CHG-CZA-Cromolyn-2\plaque 1/@08 Cromolyn 0.1/E8_01.tif "/>
    <s v=" 2076.4699 "/>
    <s v=" 64.9896 "/>
    <x v="1"/>
    <n v="134949"/>
    <m/>
    <m/>
  </r>
  <r>
    <x v="8"/>
    <x v="4"/>
    <s v="F:\Données chgh\2020-CHG-CZA-Cromolyn-2\plaque 1/@08 Cromolyn 0.1/E8_02.tif "/>
    <s v=" 3677.0821 "/>
    <s v=" 66.1 "/>
    <x v="1"/>
    <n v="243055"/>
    <m/>
    <m/>
  </r>
  <r>
    <x v="8"/>
    <x v="4"/>
    <s v="F:\Données chgh\2020-CHG-CZA-Cromolyn-2\plaque 1/@08 Cromolyn 0.1/E8_03.tif "/>
    <s v=" 2400.9183 "/>
    <s v=" 69.036 "/>
    <x v="1"/>
    <n v="165750"/>
    <m/>
    <m/>
  </r>
  <r>
    <x v="8"/>
    <x v="5"/>
    <s v="F:\Données chgh\2020-CHG-CZA-Cromolyn-2\plaque 1/@08 Cromolyn 0.1/F8_01- exclu.tif"/>
    <m/>
    <m/>
    <x v="0"/>
    <m/>
    <m/>
    <m/>
  </r>
  <r>
    <x v="8"/>
    <x v="5"/>
    <s v="F:\Données chgh\2020-CHG-CZA-Cromolyn-2\plaque 1/@08 Cromolyn 0.1/F8_02.tif "/>
    <s v=" 7419.0539 "/>
    <s v=" 72.6793 "/>
    <x v="1"/>
    <n v="539212"/>
    <m/>
    <m/>
  </r>
  <r>
    <x v="8"/>
    <x v="5"/>
    <s v="F:\Données chgh\2020-CHG-CZA-Cromolyn-2\plaque 1/@08 Cromolyn 0.1/F8_03- exclu.tif"/>
    <m/>
    <m/>
    <x v="0"/>
    <m/>
    <m/>
    <m/>
  </r>
  <r>
    <x v="8"/>
    <x v="6"/>
    <s v="F:\Données chgh\2020-CHG-CZA-Cromolyn-2\plaque 1/@08 Cromolyn 0.1/G8_01.tif "/>
    <s v=" 9409.0042 "/>
    <s v=" 67.0736 "/>
    <x v="1"/>
    <n v="631095"/>
    <m/>
    <m/>
  </r>
  <r>
    <x v="8"/>
    <x v="6"/>
    <s v="F:\Données chgh\2020-CHG-CZA-Cromolyn-2\plaque 1/@08 Cromolyn 0.1/G8_02.tif "/>
    <s v=" 9192.7052 "/>
    <s v=" 66.0353 "/>
    <x v="1"/>
    <n v="607043"/>
    <m/>
    <m/>
  </r>
  <r>
    <x v="8"/>
    <x v="6"/>
    <s v="F:\Données chgh\2020-CHG-CZA-Cromolyn-2\plaque 1/@08 Cromolyn 0.1/G8_03.tif "/>
    <s v=" 8954.7764 "/>
    <s v=" 69.7802 "/>
    <x v="1"/>
    <n v="624866"/>
    <m/>
    <m/>
  </r>
  <r>
    <x v="8"/>
    <x v="7"/>
    <s v="F:\Données chgh\2020-CHG-CZA-Cromolyn-2\plaque 1/@08 Cromolyn 0.1/H8_01.tif "/>
    <s v=" 8219.36 "/>
    <s v=" 69.4079 "/>
    <x v="1"/>
    <n v="570488"/>
    <m/>
    <m/>
  </r>
  <r>
    <x v="8"/>
    <x v="7"/>
    <s v="F:\Données chgh\2020-CHG-CZA-Cromolyn-2\plaque 1/@08 Cromolyn 0.1/H8_02.tif "/>
    <s v=" 5710.2922 "/>
    <s v=" 72.0227 "/>
    <x v="1"/>
    <n v="411271"/>
    <m/>
    <m/>
  </r>
  <r>
    <x v="8"/>
    <x v="7"/>
    <s v="F:\Données chgh\2020-CHG-CZA-Cromolyn-2\plaque 1/@08 Cromolyn 0.1/H8_03.tif "/>
    <s v=" 6964.8261 "/>
    <s v=" 76.7422 "/>
    <x v="1"/>
    <n v="534496"/>
    <m/>
    <m/>
  </r>
  <r>
    <x v="1"/>
    <x v="8"/>
    <s v=" "/>
    <m/>
    <m/>
    <x v="0"/>
    <m/>
    <m/>
    <m/>
  </r>
  <r>
    <x v="1"/>
    <x v="8"/>
    <s v="group "/>
    <s v=" "/>
    <s v=" mean of mean fluo "/>
    <x v="2"/>
    <s v=" mean of total fluo "/>
    <s v=" SD total fluo "/>
    <s v=" n fluorescent "/>
  </r>
  <r>
    <x v="8"/>
    <x v="9"/>
    <s v="F:\Données chgh\2020-CHG-CZA-Cromolyn-2\plaque 1/@08 Cromolyn 0.1/ "/>
    <s v=" "/>
    <s v=" 70.5848 "/>
    <x v="10"/>
    <s v=" 488493.958 "/>
    <s v=" 313089.621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9"/>
    <x v="0"/>
    <s v="F:\Données chgh\2020-CHG-CZA-Cromolyn-2\plaque 1/@09 Cromolyn 1/A9_01.tif "/>
    <s v=" 6597.1179 "/>
    <s v=" 64.859 "/>
    <x v="1"/>
    <n v="427883"/>
    <m/>
    <m/>
  </r>
  <r>
    <x v="9"/>
    <x v="0"/>
    <s v="F:\Données chgh\2020-CHG-CZA-Cromolyn-2\plaque 1/@09 Cromolyn 1/A9_02.tif "/>
    <s v=" 1925.0606 "/>
    <s v=" 64.1685 "/>
    <x v="1"/>
    <n v="123528"/>
    <m/>
    <m/>
  </r>
  <r>
    <x v="9"/>
    <x v="0"/>
    <s v="F:\Données chgh\2020-CHG-CZA-Cromolyn-2\plaque 1/@09 Cromolyn 1/A9_03.tif "/>
    <s v=" 3504.0429 "/>
    <s v=" 64.5 "/>
    <x v="1"/>
    <n v="226011"/>
    <m/>
    <m/>
  </r>
  <r>
    <x v="9"/>
    <x v="1"/>
    <s v="F:\Données chgh\2020-CHG-CZA-Cromolyn-2\plaque 1/@09 Cromolyn 1/B9_01.tif "/>
    <s v=" 5623.7726 "/>
    <s v=" 68.55 "/>
    <x v="1"/>
    <n v="385510"/>
    <m/>
    <m/>
  </r>
  <r>
    <x v="9"/>
    <x v="1"/>
    <s v="F:\Données chgh\2020-CHG-CZA-Cromolyn-2\plaque 1/@09 Cromolyn 1/B9_02.tif "/>
    <s v=" 2033.2101 "/>
    <s v=" 66.8085 "/>
    <x v="1"/>
    <n v="135836"/>
    <m/>
    <m/>
  </r>
  <r>
    <x v="9"/>
    <x v="1"/>
    <s v="F:\Données chgh\2020-CHG-CZA-Cromolyn-2\plaque 1/@09 Cromolyn 1/B9_03.tif "/>
    <s v=" 5083.0252 "/>
    <s v=" 65.3489 "/>
    <x v="1"/>
    <n v="332170"/>
    <m/>
    <m/>
  </r>
  <r>
    <x v="9"/>
    <x v="2"/>
    <s v="F:\Données chgh\2020-CHG-CZA-Cromolyn-2\plaque 1/@09 Cromolyn 1/C9_01.tif "/>
    <s v=" 4066.4202 "/>
    <s v=" 64.6117 "/>
    <x v="1"/>
    <n v="262738"/>
    <m/>
    <m/>
  </r>
  <r>
    <x v="9"/>
    <x v="2"/>
    <s v="F:\Données chgh\2020-CHG-CZA-Cromolyn-2\plaque 1/@09 Cromolyn 1/C9_02.tif "/>
    <s v=" 3720.3419 "/>
    <s v=" 63.7616 "/>
    <x v="1"/>
    <n v="237215"/>
    <m/>
    <m/>
  </r>
  <r>
    <x v="9"/>
    <x v="2"/>
    <s v="F:\Données chgh\2020-CHG-CZA-Cromolyn-2\plaque 1/@09 Cromolyn 1/C9_03.tif "/>
    <s v=" 3439.1532 "/>
    <s v=" 64.566 "/>
    <x v="1"/>
    <n v="222052"/>
    <m/>
    <m/>
  </r>
  <r>
    <x v="9"/>
    <x v="3"/>
    <s v="F:\Données chgh\2020-CHG-CZA-Cromolyn-2\plaque 1/@09 Cromolyn 1/D9_01.tif "/>
    <s v=" 1600.6122 "/>
    <s v=" 63.0811 "/>
    <x v="1"/>
    <n v="100968"/>
    <m/>
    <m/>
  </r>
  <r>
    <x v="9"/>
    <x v="3"/>
    <s v="F:\Données chgh\2020-CHG-CZA-Cromolyn-2\plaque 1/@09 Cromolyn 1/D9_02.tif "/>
    <s v=" 2292.7688 "/>
    <n v="67"/>
    <x v="1"/>
    <n v="153616"/>
    <m/>
    <m/>
  </r>
  <r>
    <x v="9"/>
    <x v="3"/>
    <s v="F:\Données chgh\2020-CHG-CZA-Cromolyn-2\plaque 1/@09 Cromolyn 1/D9_03.tif "/>
    <s v=" 1124.7545 "/>
    <s v=" 61.9038 "/>
    <x v="1"/>
    <n v="69627"/>
    <m/>
    <m/>
  </r>
  <r>
    <x v="9"/>
    <x v="4"/>
    <s v="F:\Données chgh\2020-CHG-CZA-Cromolyn-2\plaque 1/@09 Cromolyn 1/E9_01.tif "/>
    <s v=" 6229.4097 "/>
    <s v=" 72.7569 "/>
    <x v="1"/>
    <n v="453233"/>
    <m/>
    <m/>
  </r>
  <r>
    <x v="9"/>
    <x v="4"/>
    <s v="F:\Données chgh\2020-CHG-CZA-Cromolyn-2\plaque 1/@09 Cromolyn 1/E9_02.tif "/>
    <s v=" 821.936 "/>
    <s v=" 62.6842 "/>
    <x v="1"/>
    <n v="51522"/>
    <m/>
    <m/>
  </r>
  <r>
    <x v="9"/>
    <x v="4"/>
    <s v="F:\Données chgh\2020-CHG-CZA-Cromolyn-2\plaque 1/@09 Cromolyn 1/E9_03.tif "/>
    <s v=" 4542.2779 "/>
    <s v=" 68.8762 "/>
    <x v="1"/>
    <n v="312855"/>
    <m/>
    <m/>
  </r>
  <r>
    <x v="9"/>
    <x v="5"/>
    <s v="F:\Données chgh\2020-CHG-CZA-Cromolyn-2\plaque 1/@09 Cromolyn 1/F9_01.tif "/>
    <s v=" 7765.1322 "/>
    <s v=" 66.4123 "/>
    <x v="1"/>
    <n v="515700"/>
    <m/>
    <m/>
  </r>
  <r>
    <x v="9"/>
    <x v="5"/>
    <s v="F:\Données chgh\2020-CHG-CZA-Cromolyn-2\plaque 1/@09 Cromolyn 1/F9_02.tif "/>
    <s v=" 7397.424 "/>
    <s v=" 65.0877 "/>
    <x v="1"/>
    <n v="481481"/>
    <m/>
    <m/>
  </r>
  <r>
    <x v="9"/>
    <x v="5"/>
    <s v="F:\Données chgh\2020-CHG-CZA-Cromolyn-2\plaque 1/@09 Cromolyn 1/F9_03.tif "/>
    <s v=" 3504.0429 "/>
    <s v=" 66.9136 "/>
    <x v="1"/>
    <n v="234468"/>
    <m/>
    <m/>
  </r>
  <r>
    <x v="9"/>
    <x v="6"/>
    <s v="F:\Données chgh\2020-CHG-CZA-Cromolyn-2\plaque 1/@09 Cromolyn 1/G9_01.tif "/>
    <s v=" 9430.6341 "/>
    <s v=" 68.1307 "/>
    <x v="1"/>
    <n v="642516"/>
    <m/>
    <m/>
  </r>
  <r>
    <x v="9"/>
    <x v="6"/>
    <s v="F:\Données chgh\2020-CHG-CZA-Cromolyn-2\plaque 1/@09 Cromolyn 1/G9_02.tif "/>
    <s v=" 1232.904 "/>
    <s v=" 62.7719 "/>
    <x v="1"/>
    <n v="77392"/>
    <m/>
    <m/>
  </r>
  <r>
    <x v="9"/>
    <x v="6"/>
    <s v="F:\Données chgh\2020-CHG-CZA-Cromolyn-2\plaque 1/@09 Cromolyn 1/G9_03.tif "/>
    <s v=" 1925.0606 "/>
    <s v=" 63.6404 "/>
    <x v="1"/>
    <n v="122512"/>
    <m/>
    <m/>
  </r>
  <r>
    <x v="9"/>
    <x v="7"/>
    <s v="F:\Données chgh\2020-CHG-CZA-Cromolyn-2\plaque 1/@09 Cromolyn 1/H9_01.tif "/>
    <s v=" 7786.7621 "/>
    <s v=" 66.1278 "/>
    <x v="1"/>
    <n v="514921"/>
    <m/>
    <m/>
  </r>
  <r>
    <x v="9"/>
    <x v="7"/>
    <s v="F:\Données chgh\2020-CHG-CZA-Cromolyn-2\plaque 1/@09 Cromolyn 1/H9_02.tif "/>
    <s v=" 3915.0109 "/>
    <s v=" 64.663 "/>
    <x v="1"/>
    <n v="253156"/>
    <m/>
    <m/>
  </r>
  <r>
    <x v="9"/>
    <x v="7"/>
    <s v="F:\Données chgh\2020-CHG-CZA-Cromolyn-2\plaque 1/@09 Cromolyn 1/H9_03.tif "/>
    <s v=" 12026.2214 "/>
    <s v=" 73.196 "/>
    <x v="1"/>
    <n v="880272"/>
    <m/>
    <m/>
  </r>
  <r>
    <x v="1"/>
    <x v="8"/>
    <s v=" "/>
    <m/>
    <m/>
    <x v="0"/>
    <m/>
    <m/>
    <m/>
  </r>
  <r>
    <x v="1"/>
    <x v="8"/>
    <s v="group "/>
    <s v=" "/>
    <s v=" mean of mean fluo "/>
    <x v="2"/>
    <s v=" mean of total fluo "/>
    <s v=" SD total fluo "/>
    <s v=" n fluorescent "/>
  </r>
  <r>
    <x v="9"/>
    <x v="9"/>
    <s v="F:\Données chgh\2020-CHG-CZA-Cromolyn-2\plaque 1/@09 Cromolyn 1/ "/>
    <s v=" "/>
    <s v=" 65.8508 "/>
    <x v="11"/>
    <s v=" 300715.917 "/>
    <s v=" 204980.693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0"/>
    <x v="0"/>
    <s v="F:\Données chgh\2020-CHG-CZA-Cromolyn-2\plaque 1/@10 Cromolyn 10/A10_01.tif "/>
    <s v=" 5061.3953 "/>
    <s v=" 69.4359 "/>
    <x v="1"/>
    <n v="351443"/>
    <m/>
    <m/>
  </r>
  <r>
    <x v="10"/>
    <x v="0"/>
    <s v="F:\Données chgh\2020-CHG-CZA-Cromolyn-2\plaque 1/@10 Cromolyn 10/A10_02.tif "/>
    <s v=" 930.0855 "/>
    <s v=" 63.3488 "/>
    <x v="1"/>
    <n v="58920"/>
    <m/>
    <m/>
  </r>
  <r>
    <x v="10"/>
    <x v="0"/>
    <s v="F:\Données chgh\2020-CHG-CZA-Cromolyn-2\plaque 1/@10 Cromolyn 10/A10_03.tif "/>
    <s v=" 627.2669 "/>
    <s v=" 63.069 "/>
    <x v="1"/>
    <n v="39561"/>
    <m/>
    <m/>
  </r>
  <r>
    <x v="10"/>
    <x v="1"/>
    <s v="F:\Données chgh\2020-CHG-CZA-Cromolyn-2\plaque 1/@10 Cromolyn 10/B10_01.tif "/>
    <s v=" 2465.808 "/>
    <s v=" 64.9561 "/>
    <x v="1"/>
    <n v="160169"/>
    <m/>
    <m/>
  </r>
  <r>
    <x v="10"/>
    <x v="1"/>
    <s v="F:\Données chgh\2020-CHG-CZA-Cromolyn-2\plaque 1/@10 Cromolyn 10/B10_02.tif "/>
    <s v=" 7721.8724 "/>
    <s v=" 69.0616 "/>
    <x v="1"/>
    <n v="533285"/>
    <m/>
    <m/>
  </r>
  <r>
    <x v="10"/>
    <x v="1"/>
    <s v="F:\Données chgh\2020-CHG-CZA-Cromolyn-2\plaque 1/@10 Cromolyn 10/B10_03.tif "/>
    <s v=" 1752.0215 "/>
    <s v=" 67.3457 "/>
    <x v="1"/>
    <n v="117991"/>
    <m/>
    <m/>
  </r>
  <r>
    <x v="10"/>
    <x v="2"/>
    <s v="F:\Données chgh\2020-CHG-CZA-Cromolyn-2\plaque 1/@10 Cromolyn 10/C10_01.tif "/>
    <s v=" 237.9288 "/>
    <s v=" 62.4545 "/>
    <x v="1"/>
    <n v="14860"/>
    <m/>
    <m/>
  </r>
  <r>
    <x v="10"/>
    <x v="2"/>
    <s v="F:\Données chgh\2020-CHG-CZA-Cromolyn-2\plaque 1/@10 Cromolyn 10/C10_02.tif "/>
    <s v=" 454.2278 "/>
    <s v=" 64.4762 "/>
    <x v="1"/>
    <n v="29287"/>
    <m/>
    <m/>
  </r>
  <r>
    <x v="10"/>
    <x v="2"/>
    <s v="F:\Données chgh\2020-CHG-CZA-Cromolyn-2\plaque 1/@10 Cromolyn 10/C10_03.tif "/>
    <s v=" 86.5196 "/>
    <s v=" 62.75 "/>
    <x v="1"/>
    <n v="5429"/>
    <m/>
    <m/>
  </r>
  <r>
    <x v="10"/>
    <x v="3"/>
    <s v="F:\Données chgh\2020-CHG-CZA-Cromolyn-2\plaque 1/@10 Cromolyn 10/D10_01.tif "/>
    <s v=" 9322.4846 "/>
    <s v=" 72.4524 "/>
    <x v="1"/>
    <n v="675437"/>
    <m/>
    <m/>
  </r>
  <r>
    <x v="10"/>
    <x v="3"/>
    <s v="F:\Données chgh\2020-CHG-CZA-Cromolyn-2\plaque 1/@10 Cromolyn 10/D10_02.tif "/>
    <s v=" 821.936 "/>
    <s v=" 62.3947 "/>
    <x v="1"/>
    <n v="51284"/>
    <m/>
    <m/>
  </r>
  <r>
    <x v="10"/>
    <x v="3"/>
    <s v="F:\Données chgh\2020-CHG-CZA-Cromolyn-2\plaque 1/@10 Cromolyn 10/D10_03.tif "/>
    <s v=" 6986.456 "/>
    <s v=" 74.2724 "/>
    <x v="1"/>
    <n v="518901"/>
    <m/>
    <m/>
  </r>
  <r>
    <x v="10"/>
    <x v="4"/>
    <s v="F:\Données chgh\2020-CHG-CZA-Cromolyn-2\plaque 1/@10 Cromolyn 10/E10_01.tif "/>
    <s v=" 3828.4913 "/>
    <s v=" 67.0791 "/>
    <x v="1"/>
    <n v="256812"/>
    <m/>
    <m/>
  </r>
  <r>
    <x v="10"/>
    <x v="4"/>
    <s v="F:\Données chgh\2020-CHG-CZA-Cromolyn-2\plaque 1/@10 Cromolyn 10/E10_02.tif "/>
    <s v=" 1038.2349 "/>
    <s v=" 62.1042 "/>
    <x v="1"/>
    <n v="64479"/>
    <m/>
    <m/>
  </r>
  <r>
    <x v="10"/>
    <x v="4"/>
    <s v="F:\Données chgh\2020-CHG-CZA-Cromolyn-2\plaque 1/@10 Cromolyn 10/E10_03.tif "/>
    <s v=" 10382.3494 "/>
    <s v=" 78.2042 "/>
    <x v="1"/>
    <n v="811943"/>
    <m/>
    <m/>
  </r>
  <r>
    <x v="10"/>
    <x v="5"/>
    <s v="F:\Données chgh\2020-CHG-CZA-Cromolyn-2\plaque 1/@10 Cromolyn 10/F10_01.tif "/>
    <s v=" 7267.6446 "/>
    <s v=" 71.2738 "/>
    <x v="1"/>
    <n v="517993"/>
    <m/>
    <m/>
  </r>
  <r>
    <x v="10"/>
    <x v="5"/>
    <s v="F:\Données chgh\2020-CHG-CZA-Cromolyn-2\plaque 1/@10 Cromolyn 10/F10_02.tif "/>
    <s v=" 800.3061 "/>
    <s v=" 62.7568 "/>
    <x v="1"/>
    <n v="50225"/>
    <m/>
    <m/>
  </r>
  <r>
    <x v="10"/>
    <x v="5"/>
    <s v="F:\Données chgh\2020-CHG-CZA-Cromolyn-2\plaque 1/@10 Cromolyn 10/F10_03.tif "/>
    <s v=" 540.7474 "/>
    <s v=" 62.76 "/>
    <x v="1"/>
    <n v="33937"/>
    <m/>
    <m/>
  </r>
  <r>
    <x v="10"/>
    <x v="6"/>
    <s v="F:\Données chgh\2020-CHG-CZA-Cromolyn-2\plaque 1/@10 Cromolyn 10/G10_01.tif "/>
    <s v=" 10014.6412 "/>
    <s v=" 66.8272 "/>
    <x v="1"/>
    <n v="669251"/>
    <m/>
    <m/>
  </r>
  <r>
    <x v="10"/>
    <x v="6"/>
    <s v="F:\Données chgh\2020-CHG-CZA-Cromolyn-2\plaque 1/@10 Cromolyn 10/G10_02.tif "/>
    <s v=" 8933.1465 "/>
    <s v=" 71.0387 "/>
    <x v="1"/>
    <n v="634599"/>
    <m/>
    <m/>
  </r>
  <r>
    <x v="10"/>
    <x v="6"/>
    <s v="F:\Données chgh\2020-CHG-CZA-Cromolyn-2\plaque 1/@10 Cromolyn 10/G10_03.tif "/>
    <s v=" 9603.6732 "/>
    <s v=" 70.3311 "/>
    <x v="1"/>
    <n v="675437"/>
    <m/>
    <m/>
  </r>
  <r>
    <x v="10"/>
    <x v="7"/>
    <s v="F:\Données chgh\2020-CHG-CZA-Cromolyn-2\plaque 1/@10 Cromolyn 10/H10_01- exclu.tif"/>
    <m/>
    <m/>
    <x v="0"/>
    <m/>
    <m/>
    <m/>
  </r>
  <r>
    <x v="10"/>
    <x v="7"/>
    <s v="F:\Données chgh\2020-CHG-CZA-Cromolyn-2\plaque 1/@10 Cromolyn 10/H10_02.tif "/>
    <s v=" 7310.9044 "/>
    <s v=" 71.9112 "/>
    <x v="1"/>
    <n v="525736"/>
    <m/>
    <m/>
  </r>
  <r>
    <x v="10"/>
    <x v="7"/>
    <s v="F:\Données chgh\2020-CHG-CZA-Cromolyn-2\plaque 1/@10 Cromolyn 10/H10_03.tif "/>
    <s v=" 5883.3313 "/>
    <s v=" 74.4853 "/>
    <x v="1"/>
    <n v="438222"/>
    <m/>
    <m/>
  </r>
  <r>
    <x v="1"/>
    <x v="8"/>
    <s v=" "/>
    <m/>
    <m/>
    <x v="0"/>
    <m/>
    <m/>
    <m/>
  </r>
  <r>
    <x v="1"/>
    <x v="8"/>
    <s v="group "/>
    <s v=" "/>
    <s v=" mean of mean fluo "/>
    <x v="2"/>
    <s v=" mean of total fluo "/>
    <s v=" SD total fluo "/>
    <s v=" n fluorescent "/>
  </r>
  <r>
    <x v="10"/>
    <x v="9"/>
    <s v="F:\Données chgh\2020-CHG-CZA-Cromolyn-2\plaque 1/@10 Cromolyn 10/ "/>
    <s v=" "/>
    <s v=" 67.4027 "/>
    <x v="12"/>
    <s v=" 301920.042 "/>
    <s v=" 277467.401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1"/>
    <x v="0"/>
    <s v="F:\Données chgh\2020-CHG-CZA-Cromolyn-2\plaque 1/@11 Cromolyn 100/A11_01.tif "/>
    <s v=" 5320.9541 "/>
    <s v=" 66.1504 "/>
    <x v="1"/>
    <n v="351983"/>
    <m/>
    <m/>
  </r>
  <r>
    <x v="11"/>
    <x v="0"/>
    <s v="F:\Données chgh\2020-CHG-CZA-Cromolyn-2\plaque 1/@11 Cromolyn 100/A11_02.tif "/>
    <s v=" 5104.6551 "/>
    <s v=" 67.2669 "/>
    <x v="1"/>
    <n v="343375"/>
    <m/>
    <m/>
  </r>
  <r>
    <x v="11"/>
    <x v="0"/>
    <s v="F:\Données chgh\2020-CHG-CZA-Cromolyn-2\plaque 1/@11 Cromolyn 100/A11_03.tif "/>
    <s v=" 5537.253 "/>
    <s v=" 68.5508 "/>
    <x v="1"/>
    <n v="379583"/>
    <m/>
    <m/>
  </r>
  <r>
    <x v="11"/>
    <x v="1"/>
    <s v="F:\Données chgh\2020-CHG-CZA-Cromolyn-2\plaque 1/@11 Cromolyn 100/B11_01.tif "/>
    <s v=" 12869.7873 "/>
    <s v=" 70.4639 "/>
    <x v="1"/>
    <n v="906855"/>
    <m/>
    <m/>
  </r>
  <r>
    <x v="11"/>
    <x v="1"/>
    <s v="F:\Données chgh\2020-CHG-CZA-Cromolyn-2\plaque 1/@11 Cromolyn 100/B11_02.tif "/>
    <s v=" 2011.5802 "/>
    <s v=" 62.9247 "/>
    <x v="1"/>
    <n v="126578"/>
    <m/>
    <m/>
  </r>
  <r>
    <x v="11"/>
    <x v="1"/>
    <s v="F:\Données chgh\2020-CHG-CZA-Cromolyn-2\plaque 1/@11 Cromolyn 100/B11_03- exclu.tif"/>
    <m/>
    <m/>
    <x v="0"/>
    <m/>
    <m/>
    <m/>
  </r>
  <r>
    <x v="11"/>
    <x v="2"/>
    <s v="F:\Données chgh\2020-CHG-CZA-Cromolyn-2\plaque 1/@11 Cromolyn 100/C11_01.tif "/>
    <s v=" 5883.3313 "/>
    <s v=" 69.8382 "/>
    <x v="1"/>
    <n v="410881"/>
    <m/>
    <m/>
  </r>
  <r>
    <x v="11"/>
    <x v="2"/>
    <s v="F:\Données chgh\2020-CHG-CZA-Cromolyn-2\plaque 1/@11 Cromolyn 100/C11_02.tif "/>
    <s v=" 6510.5983 "/>
    <s v=" 71.6478 "/>
    <x v="1"/>
    <n v="466470"/>
    <m/>
    <m/>
  </r>
  <r>
    <x v="11"/>
    <x v="2"/>
    <s v="F:\Données chgh\2020-CHG-CZA-Cromolyn-2\plaque 1/@11 Cromolyn 100/C11_03.tif "/>
    <s v=" 1730.3916 "/>
    <s v=" 65.1375 "/>
    <x v="1"/>
    <n v="112713"/>
    <m/>
    <m/>
  </r>
  <r>
    <x v="11"/>
    <x v="3"/>
    <s v="F:\Données chgh\2020-CHG-CZA-Cromolyn-2\plaque 1/@11 Cromolyn 100/D11_01.tif "/>
    <s v=" 1276.1638 "/>
    <s v=" 65.3559 "/>
    <x v="1"/>
    <n v="83405"/>
    <m/>
    <m/>
  </r>
  <r>
    <x v="11"/>
    <x v="3"/>
    <s v="F:\Données chgh\2020-CHG-CZA-Cromolyn-2\plaque 1/@11 Cromolyn 100/D11_02.tif "/>
    <s v=" 1189.6442 "/>
    <n v="65"/>
    <x v="1"/>
    <n v="77327"/>
    <m/>
    <m/>
  </r>
  <r>
    <x v="11"/>
    <x v="3"/>
    <s v="F:\Données chgh\2020-CHG-CZA-Cromolyn-2\plaque 1/@11 Cromolyn 100/D11_03.tif "/>
    <s v=" 1319.4236 "/>
    <s v=" 64.9672 "/>
    <x v="1"/>
    <n v="85719"/>
    <m/>
    <m/>
  </r>
  <r>
    <x v="11"/>
    <x v="4"/>
    <s v="F:\Données chgh\2020-CHG-CZA-Cromolyn-2\plaque 1/@11 Cromolyn 100/E11_01.tif "/>
    <s v=" 10490.4989 "/>
    <s v=" 82.2619 "/>
    <x v="1"/>
    <n v="862968"/>
    <m/>
    <m/>
  </r>
  <r>
    <x v="11"/>
    <x v="4"/>
    <s v="F:\Données chgh\2020-CHG-CZA-Cromolyn-2\plaque 1/@11 Cromolyn 100/E11_02.tif "/>
    <s v=" 5667.0324 "/>
    <s v=" 73.3473 "/>
    <x v="1"/>
    <n v="415662"/>
    <m/>
    <m/>
  </r>
  <r>
    <x v="11"/>
    <x v="4"/>
    <s v="F:\Données chgh\2020-CHG-CZA-Cromolyn-2\plaque 1/@11 Cromolyn 100/E11_03.tif "/>
    <s v=" 9971.3814 "/>
    <s v=" 77.8243 "/>
    <x v="1"/>
    <n v="776016"/>
    <m/>
    <m/>
  </r>
  <r>
    <x v="11"/>
    <x v="5"/>
    <s v="F:\Données chgh\2020-CHG-CZA-Cromolyn-2\plaque 1/@11 Cromolyn 100/F11_01.tif "/>
    <s v=" 9841.6021 "/>
    <s v=" 76.4044 "/>
    <x v="1"/>
    <n v="751942"/>
    <m/>
    <m/>
  </r>
  <r>
    <x v="11"/>
    <x v="5"/>
    <s v="F:\Données chgh\2020-CHG-CZA-Cromolyn-2\plaque 1/@11 Cromolyn 100/F11_02.tif "/>
    <s v=" 10057.901 "/>
    <s v=" 78.9742 "/>
    <x v="1"/>
    <n v="794315"/>
    <m/>
    <m/>
  </r>
  <r>
    <x v="11"/>
    <x v="5"/>
    <s v="F:\Données chgh\2020-CHG-CZA-Cromolyn-2\plaque 1/@11 Cromolyn 100/F11_03.tif "/>
    <s v=" 10490.4989 "/>
    <s v=" 72.8247 "/>
    <x v="1"/>
    <n v="763968"/>
    <m/>
    <m/>
  </r>
  <r>
    <x v="11"/>
    <x v="6"/>
    <s v="F:\Données chgh\2020-CHG-CZA-Cromolyn-2\plaque 1/@11 Cromolyn 100/G11_01.tif "/>
    <s v=" 6510.5983 "/>
    <s v=" 69.0133 "/>
    <x v="1"/>
    <n v="449318"/>
    <m/>
    <m/>
  </r>
  <r>
    <x v="11"/>
    <x v="6"/>
    <s v="F:\Données chgh\2020-CHG-CZA-Cromolyn-2\plaque 1/@11 Cromolyn 100/G11_02.tif "/>
    <s v=" 2660.477 "/>
    <s v=" 63.748 "/>
    <x v="1"/>
    <n v="169600"/>
    <m/>
    <m/>
  </r>
  <r>
    <x v="11"/>
    <x v="6"/>
    <s v="F:\Données chgh\2020-CHG-CZA-Cromolyn-2\plaque 1/@11 Cromolyn 100/G11_03.tif "/>
    <s v=" 973.3453 "/>
    <s v=" 63.0667 "/>
    <x v="1"/>
    <n v="61386"/>
    <m/>
    <m/>
  </r>
  <r>
    <x v="11"/>
    <x v="7"/>
    <s v="F:\Données chgh\2020-CHG-CZA-Cromolyn-2\plaque 1/@11 Cromolyn 100/H11_01.tif "/>
    <s v=" 6813.4168 "/>
    <s v=" 75.4222 "/>
    <x v="1"/>
    <n v="513883"/>
    <m/>
    <m/>
  </r>
  <r>
    <x v="11"/>
    <x v="7"/>
    <s v="F:\Données chgh\2020-CHG-CZA-Cromolyn-2\plaque 1/@11 Cromolyn 100/H11_02.tif "/>
    <s v=" 432.5979 "/>
    <s v=" 63.6 "/>
    <x v="1"/>
    <n v="27513"/>
    <m/>
    <m/>
  </r>
  <r>
    <x v="11"/>
    <x v="7"/>
    <s v="F:\Données chgh\2020-CHG-CZA-Cromolyn-2\plaque 1/@11 Cromolyn 100/H11_03.tif "/>
    <s v=" 2617.2173 "/>
    <n v="66"/>
    <x v="1"/>
    <n v="172736"/>
    <m/>
    <m/>
  </r>
  <r>
    <x v="1"/>
    <x v="8"/>
    <s v=" "/>
    <m/>
    <m/>
    <x v="0"/>
    <m/>
    <m/>
    <m/>
  </r>
  <r>
    <x v="1"/>
    <x v="8"/>
    <s v="group "/>
    <s v=" "/>
    <s v=" mean of mean fluo "/>
    <x v="2"/>
    <s v=" mean of total fluo "/>
    <s v=" SD total fluo "/>
    <s v=" n fluorescent "/>
  </r>
  <r>
    <x v="11"/>
    <x v="9"/>
    <s v="F:\Données chgh\2020-CHG-CZA-Cromolyn-2\plaque 1/@11 Cromolyn 100/ "/>
    <s v=" "/>
    <s v=" 69.2797 "/>
    <x v="13"/>
    <s v=" 382970.833 "/>
    <s v=" 291924.753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2"/>
    <x v="0"/>
    <s v="F:\Données chgh\2020-CHG-CZA-Cromolyn-2\plaque 1/@12 Cromolyn 1000/A12_01.tif "/>
    <s v=" 6467.3385 "/>
    <s v=" 69.3746 "/>
    <x v="1"/>
    <n v="448669"/>
    <m/>
    <m/>
  </r>
  <r>
    <x v="12"/>
    <x v="0"/>
    <s v="F:\Données chgh\2020-CHG-CZA-Cromolyn-2\plaque 1/@12 Cromolyn 1000/A12_02.tif "/>
    <s v=" 389.3381 "/>
    <n v="63"/>
    <x v="1"/>
    <n v="24528"/>
    <m/>
    <m/>
  </r>
  <r>
    <x v="12"/>
    <x v="0"/>
    <s v="F:\Données chgh\2020-CHG-CZA-Cromolyn-2\plaque 1/@12 Cromolyn 1000/A12_03.tif "/>
    <s v=" 324.4484 "/>
    <s v=" 62.5333 "/>
    <x v="1"/>
    <n v="20289"/>
    <m/>
    <m/>
  </r>
  <r>
    <x v="12"/>
    <x v="1"/>
    <s v="F:\Données chgh\2020-CHG-CZA-Cromolyn-2\plaque 1/@12 Cromolyn 1000/B12_01.tif "/>
    <s v=" 14297.3603 "/>
    <s v=" 76.7186 "/>
    <x v="1"/>
    <n v="1096874"/>
    <m/>
    <m/>
  </r>
  <r>
    <x v="12"/>
    <x v="1"/>
    <s v="F:\Données chgh\2020-CHG-CZA-Cromolyn-2\plaque 1/@12 Cromolyn 1000/B12_02- exclu.tif"/>
    <m/>
    <m/>
    <x v="0"/>
    <m/>
    <m/>
    <m/>
  </r>
  <r>
    <x v="12"/>
    <x v="1"/>
    <s v="F:\Données chgh\2020-CHG-CZA-Cromolyn-2\plaque 1/@12 Cromolyn 1000/B12_03- exclu.tif"/>
    <m/>
    <m/>
    <x v="0"/>
    <m/>
    <m/>
    <m/>
  </r>
  <r>
    <x v="12"/>
    <x v="2"/>
    <s v="F:\Données chgh\2020-CHG-CZA-Cromolyn-2\plaque 1/@12 Cromolyn 1000/C12_01.tif "/>
    <s v=" 7462.3136 "/>
    <s v=" 69.6261 "/>
    <x v="1"/>
    <n v="519572"/>
    <m/>
    <m/>
  </r>
  <r>
    <x v="12"/>
    <x v="2"/>
    <s v="F:\Données chgh\2020-CHG-CZA-Cromolyn-2\plaque 1/@12 Cromolyn 1000/C12_02.tif "/>
    <s v=" 3698.712 "/>
    <s v=" 67.8772 "/>
    <x v="1"/>
    <n v="251058"/>
    <m/>
    <m/>
  </r>
  <r>
    <x v="12"/>
    <x v="2"/>
    <s v="F:\Données chgh\2020-CHG-CZA-Cromolyn-2\plaque 1/@12 Cromolyn 1000/C12_03.tif "/>
    <s v=" 3504.0429 "/>
    <s v=" 63.9506 "/>
    <x v="1"/>
    <n v="224086"/>
    <m/>
    <m/>
  </r>
  <r>
    <x v="12"/>
    <x v="3"/>
    <s v="F:\Données chgh\2020-CHG-CZA-Cromolyn-2\plaque 1/@12 Cromolyn 1000/D12_01.tif "/>
    <s v=" 2357.6585 "/>
    <n v="63"/>
    <x v="1"/>
    <n v="148532"/>
    <m/>
    <m/>
  </r>
  <r>
    <x v="12"/>
    <x v="3"/>
    <s v="F:\Données chgh\2020-CHG-CZA-Cromolyn-2\plaque 1/@12 Cromolyn 1000/D12_02.tif "/>
    <s v=" 7830.0219 "/>
    <s v=" 68.2901 "/>
    <x v="1"/>
    <n v="534713"/>
    <m/>
    <m/>
  </r>
  <r>
    <x v="12"/>
    <x v="3"/>
    <s v="F:\Données chgh\2020-CHG-CZA-Cromolyn-2\plaque 1/@12 Cromolyn 1000/D12_03.tif "/>
    <s v=" 7094.6054 "/>
    <s v=" 70.0152 "/>
    <x v="1"/>
    <n v="496731"/>
    <m/>
    <m/>
  </r>
  <r>
    <x v="12"/>
    <x v="4"/>
    <s v="F:\Données chgh\2020-CHG-CZA-Cromolyn-2\plaque 1/@12 Cromolyn 1000/E12_01.tif "/>
    <s v=" 6662.0075 "/>
    <s v=" 72.0195 "/>
    <x v="1"/>
    <n v="479794"/>
    <m/>
    <m/>
  </r>
  <r>
    <x v="12"/>
    <x v="4"/>
    <s v="F:\Données chgh\2020-CHG-CZA-Cromolyn-2\plaque 1/@12 Cromolyn 1000/E12_02.tif "/>
    <s v=" 7613.7229 "/>
    <s v=" 74.5795 "/>
    <x v="1"/>
    <n v="567828"/>
    <m/>
    <m/>
  </r>
  <r>
    <x v="12"/>
    <x v="4"/>
    <s v="F:\Données chgh\2020-CHG-CZA-Cromolyn-2\plaque 1/@12 Cromolyn 1000/E12_03.tif "/>
    <s v=" 9776.7124 "/>
    <s v=" 77.3031 "/>
    <x v="1"/>
    <n v="755770"/>
    <m/>
    <m/>
  </r>
  <r>
    <x v="12"/>
    <x v="5"/>
    <s v="F:\Données chgh\2020-CHG-CZA-Cromolyn-2\plaque 1/@12 Cromolyn 1000/F12_01.tif "/>
    <s v=" 865.1958 "/>
    <s v=" 63.425 "/>
    <x v="1"/>
    <n v="54875"/>
    <m/>
    <m/>
  </r>
  <r>
    <x v="12"/>
    <x v="5"/>
    <s v="F:\Données chgh\2020-CHG-CZA-Cromolyn-2\plaque 1/@12 Cromolyn 1000/F12_02- exclu.tif"/>
    <m/>
    <m/>
    <x v="0"/>
    <m/>
    <m/>
    <m/>
  </r>
  <r>
    <x v="12"/>
    <x v="5"/>
    <s v="F:\Données chgh\2020-CHG-CZA-Cromolyn-2\plaque 1/@12 Cromolyn 1000/F12_03.tif "/>
    <s v=" 951.7154 "/>
    <s v=" 64.5455 "/>
    <x v="1"/>
    <n v="61429"/>
    <m/>
    <m/>
  </r>
  <r>
    <x v="12"/>
    <x v="6"/>
    <s v="F:\Données chgh\2020-CHG-CZA-Cromolyn-2\plaque 1/@12 Cromolyn 1000/G12_01.tif "/>
    <s v=" 5212.8046 "/>
    <s v=" 67.0456 "/>
    <x v="1"/>
    <n v="349496"/>
    <m/>
    <m/>
  </r>
  <r>
    <x v="12"/>
    <x v="6"/>
    <s v="F:\Données chgh\2020-CHG-CZA-Cromolyn-2\plaque 1/@12 Cromolyn 1000/G12_02.tif "/>
    <s v=" 3093.0749 "/>
    <s v=" 64.2657 "/>
    <x v="1"/>
    <n v="198779"/>
    <m/>
    <m/>
  </r>
  <r>
    <x v="12"/>
    <x v="6"/>
    <s v="F:\Données chgh\2020-CHG-CZA-Cromolyn-2\plaque 1/@12 Cromolyn 1000/G12_03.tif "/>
    <s v=" 2336.0286 "/>
    <s v=" 65.0556 "/>
    <x v="1"/>
    <n v="151972"/>
    <m/>
    <m/>
  </r>
  <r>
    <x v="12"/>
    <x v="7"/>
    <s v="F:\Données chgh\2020-CHG-CZA-Cromolyn-2\plaque 1/@12 Cromolyn 1000/H12_01.tif "/>
    <s v=" 2400.9183 "/>
    <s v=" 66.045 "/>
    <x v="1"/>
    <n v="158569"/>
    <m/>
    <m/>
  </r>
  <r>
    <x v="12"/>
    <x v="7"/>
    <s v="F:\Données chgh\2020-CHG-CZA-Cromolyn-2\plaque 1/@12 Cromolyn 1000/H12_02.tif "/>
    <s v=" 5710.2922 "/>
    <s v=" 68.178 "/>
    <x v="1"/>
    <n v="389316"/>
    <m/>
    <m/>
  </r>
  <r>
    <x v="12"/>
    <x v="7"/>
    <s v="F:\Données chgh\2020-CHG-CZA-Cromolyn-2\plaque 1/@12 Cromolyn 1000/H12_03.tif "/>
    <s v=" 8500.5486 "/>
    <s v=" 72.1043 "/>
    <x v="1"/>
    <n v="612926"/>
    <m/>
    <m/>
  </r>
  <r>
    <x v="1"/>
    <x v="8"/>
    <s v=" "/>
    <m/>
    <m/>
    <x v="0"/>
    <m/>
    <m/>
    <m/>
  </r>
  <r>
    <x v="1"/>
    <x v="8"/>
    <s v="group "/>
    <s v=" "/>
    <s v=" mean of mean fluo "/>
    <x v="2"/>
    <s v=" mean of total fluo "/>
    <s v=" SD total fluo "/>
    <s v=" n fluorescent "/>
  </r>
  <r>
    <x v="12"/>
    <x v="9"/>
    <s v="F:\Données chgh\2020-CHG-CZA-Cromolyn-2\plaque 1/@12 Cromolyn 1000/ "/>
    <s v=" "/>
    <s v=" 67.5977 "/>
    <x v="14"/>
    <s v=" 320710.125 "/>
    <s v=" 276722.948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3"/>
    <x v="0"/>
    <s v="F:\Données chgh\2020-CHG-CZA-Cromolyn-2\plaque 2/@13 Testo 30/A1_01.tif "/>
    <s v=" 63981.2283 "/>
    <s v=" 74.7806 "/>
    <x v="1"/>
    <n v="4784554"/>
    <m/>
    <m/>
  </r>
  <r>
    <x v="13"/>
    <x v="0"/>
    <s v="F:\Données chgh\2020-CHG-CZA-Cromolyn-2\plaque 2/@13 Testo 30/A1_02.tif "/>
    <s v=" 64478.7159 "/>
    <s v=" 75.5629 "/>
    <x v="1"/>
    <n v="4872199"/>
    <m/>
    <m/>
  </r>
  <r>
    <x v="13"/>
    <x v="0"/>
    <s v="F:\Données chgh\2020-CHG-CZA-Cromolyn-2\plaque 2/@13 Testo 30/A1_03.tif "/>
    <s v=" 57081.2919 "/>
    <s v=" 77.8935 "/>
    <x v="1"/>
    <n v="4446263"/>
    <m/>
    <m/>
  </r>
  <r>
    <x v="13"/>
    <x v="1"/>
    <s v="F:\Données chgh\2020-CHG-CZA-Cromolyn-2\plaque 2/@13 Testo 30/B1_01.tif "/>
    <s v=" 49056.601 "/>
    <s v=" 73.5935 "/>
    <x v="1"/>
    <n v="3610246"/>
    <m/>
    <m/>
  </r>
  <r>
    <x v="13"/>
    <x v="1"/>
    <s v="F:\Données chgh\2020-CHG-CZA-Cromolyn-2\plaque 2/@13 Testo 30/B1_02.tif "/>
    <s v=" 44622.4726 "/>
    <s v=" 73.1066 "/>
    <x v="1"/>
    <n v="3262199"/>
    <m/>
    <m/>
  </r>
  <r>
    <x v="13"/>
    <x v="1"/>
    <s v="F:\Données chgh\2020-CHG-CZA-Cromolyn-2\plaque 2/@13 Testo 30/B1_03.tif "/>
    <s v=" 46958.5012 "/>
    <s v=" 73.1976 "/>
    <x v="1"/>
    <n v="3437250"/>
    <m/>
    <m/>
  </r>
  <r>
    <x v="13"/>
    <x v="2"/>
    <s v="F:\Données chgh\2020-CHG-CZA-Cromolyn-2\plaque 2/@13 Testo 30/C1_01.tif "/>
    <s v=" 41053.54 "/>
    <s v=" 71.2018 "/>
    <x v="1"/>
    <n v="2923086"/>
    <m/>
    <m/>
  </r>
  <r>
    <x v="13"/>
    <x v="2"/>
    <s v="F:\Données chgh\2020-CHG-CZA-Cromolyn-2\plaque 2/@13 Testo 30/C1_02.tif "/>
    <s v=" 45055.0705 "/>
    <s v=" 72.4129 "/>
    <x v="1"/>
    <n v="3262567"/>
    <m/>
    <m/>
  </r>
  <r>
    <x v="13"/>
    <x v="2"/>
    <s v="F:\Données chgh\2020-CHG-CZA-Cromolyn-2\plaque 2/@13 Testo 30/C1_03.tif "/>
    <s v=" 33028.8491 "/>
    <s v=" 70.7328 "/>
    <x v="1"/>
    <n v="2336223"/>
    <m/>
    <m/>
  </r>
  <r>
    <x v="13"/>
    <x v="3"/>
    <s v="F:\Données chgh\2020-CHG-CZA-Cromolyn-2\plaque 2/@13 Testo 30/D1_01.tif "/>
    <s v=" 50960.0317 "/>
    <s v=" 73.5785 "/>
    <x v="1"/>
    <n v="3749564"/>
    <m/>
    <m/>
  </r>
  <r>
    <x v="13"/>
    <x v="3"/>
    <s v="F:\Données chgh\2020-CHG-CZA-Cromolyn-2\plaque 2/@13 Testo 30/D1_02.tif "/>
    <s v=" 49575.7185 "/>
    <s v=" 73.1309 "/>
    <x v="1"/>
    <n v="3625516"/>
    <m/>
    <m/>
  </r>
  <r>
    <x v="13"/>
    <x v="3"/>
    <s v="F:\Données chgh\2020-CHG-CZA-Cromolyn-2\plaque 2/@13 Testo 30/D1_03.tif "/>
    <s v=" 53014.8717 "/>
    <s v=" 74.3231 "/>
    <x v="1"/>
    <n v="3940231"/>
    <m/>
    <m/>
  </r>
  <r>
    <x v="13"/>
    <x v="4"/>
    <s v="F:\Données chgh\2020-CHG-CZA-Cromolyn-2\plaque 2/@13 Testo 30/E1_01.tif "/>
    <s v=" 34175.2335 "/>
    <s v=" 68.7222 "/>
    <x v="1"/>
    <n v="2348596"/>
    <m/>
    <m/>
  </r>
  <r>
    <x v="13"/>
    <x v="4"/>
    <s v="F:\Données chgh\2020-CHG-CZA-Cromolyn-2\plaque 2/@13 Testo 30/E1_02.tif "/>
    <s v=" 30995.639 "/>
    <s v=" 67.9826 "/>
    <x v="1"/>
    <n v="2107163"/>
    <m/>
    <m/>
  </r>
  <r>
    <x v="13"/>
    <x v="4"/>
    <s v="F:\Données chgh\2020-CHG-CZA-Cromolyn-2\plaque 2/@13 Testo 30/E1_03.tif "/>
    <s v=" 33461.447 "/>
    <s v=" 68.8261 "/>
    <x v="1"/>
    <n v="2303021"/>
    <m/>
    <m/>
  </r>
  <r>
    <x v="13"/>
    <x v="5"/>
    <s v="F:\Données chgh\2020-CHG-CZA-Cromolyn-2\plaque 2/@13 Testo 30/F1_01.tif "/>
    <s v=" 57903.2279 "/>
    <s v=" 77.7643 "/>
    <x v="1"/>
    <n v="4502803"/>
    <m/>
    <m/>
  </r>
  <r>
    <x v="13"/>
    <x v="5"/>
    <s v="F:\Données chgh\2020-CHG-CZA-Cromolyn-2\plaque 2/@13 Testo 30/F1_02.tif "/>
    <s v=" 53923.3273 "/>
    <s v=" 75.1645 "/>
    <x v="1"/>
    <n v="4053118"/>
    <m/>
    <m/>
  </r>
  <r>
    <x v="13"/>
    <x v="5"/>
    <s v="F:\Données chgh\2020-CHG-CZA-Cromolyn-2\plaque 2/@13 Testo 30/F1_03.tif "/>
    <s v=" 53296.0604 "/>
    <s v=" 76.2581 "/>
    <x v="1"/>
    <n v="4064257"/>
    <m/>
    <m/>
  </r>
  <r>
    <x v="13"/>
    <x v="6"/>
    <s v="F:\Données chgh\2020-CHG-CZA-Cromolyn-2\plaque 2/@13 Testo 30/G1_01.tif "/>
    <s v=" 48018.3661 "/>
    <s v=" 73.1982 "/>
    <x v="1"/>
    <n v="3514858"/>
    <m/>
    <m/>
  </r>
  <r>
    <x v="13"/>
    <x v="6"/>
    <s v="F:\Données chgh\2020-CHG-CZA-Cromolyn-2\plaque 2/@13 Testo 30/G1_02.tif "/>
    <s v=" 46936.8713 "/>
    <s v=" 72.5539 "/>
    <x v="1"/>
    <n v="3405454"/>
    <m/>
    <m/>
  </r>
  <r>
    <x v="13"/>
    <x v="6"/>
    <s v="F:\Données chgh\2020-CHG-CZA-Cromolyn-2\plaque 2/@13 Testo 30/G1_03.tif "/>
    <s v=" 46266.3446 "/>
    <s v=" 76.2272 "/>
    <x v="1"/>
    <n v="3526754"/>
    <m/>
    <m/>
  </r>
  <r>
    <x v="13"/>
    <x v="7"/>
    <s v="F:\Données chgh\2020-CHG-CZA-Cromolyn-2\plaque 2/@13 Testo 30/H1_01.tif "/>
    <s v=" 46331.2343 "/>
    <s v=" 75.6265 "/>
    <x v="1"/>
    <n v="3503870"/>
    <m/>
    <m/>
  </r>
  <r>
    <x v="13"/>
    <x v="7"/>
    <s v="F:\Données chgh\2020-CHG-CZA-Cromolyn-2\plaque 2/@13 Testo 30/H1_02.tif "/>
    <s v=" 48299.5547 "/>
    <s v=" 73.8168 "/>
    <x v="1"/>
    <n v="3565320"/>
    <m/>
    <m/>
  </r>
  <r>
    <x v="13"/>
    <x v="7"/>
    <s v="F:\Données chgh\2020-CHG-CZA-Cromolyn-2\plaque 2/@13 Testo 30/H1_03.tif "/>
    <s v=" 51825.2275 "/>
    <s v=" 74.3543 "/>
    <x v="1"/>
    <n v="3853431"/>
    <m/>
    <m/>
  </r>
  <r>
    <x v="1"/>
    <x v="8"/>
    <s v=" "/>
    <m/>
    <m/>
    <x v="0"/>
    <m/>
    <m/>
    <m/>
  </r>
  <r>
    <x v="1"/>
    <x v="8"/>
    <s v="group "/>
    <s v=" "/>
    <s v=" mean of mean fluo "/>
    <x v="2"/>
    <s v=" mean of total fluo "/>
    <s v=" SD total fluo "/>
    <s v=" n fluorescent "/>
  </r>
  <r>
    <x v="13"/>
    <x v="9"/>
    <s v="F:\Données chgh\2020-CHG-CZA-Cromolyn-2\plaque 2/@13 Testo 30/ "/>
    <s v=" "/>
    <s v=" 73.5004 "/>
    <x v="15"/>
    <s v=" 3541605.96 "/>
    <s v=" 750143.005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4"/>
    <x v="0"/>
    <s v="F:\Données chgh\2020-CHG-CZA-Cromolyn-2\plaque 2/@14 Testo 30/A2_01.tif "/>
    <s v=" 55242.7509 "/>
    <s v=" 72.3418 "/>
    <x v="1"/>
    <n v="3996361"/>
    <m/>
    <m/>
  </r>
  <r>
    <x v="14"/>
    <x v="0"/>
    <s v="F:\Données chgh\2020-CHG-CZA-Cromolyn-2\plaque 2/@14 Testo 30/A2_02.tif "/>
    <s v=" 49878.537 "/>
    <s v=" 71.5095 "/>
    <x v="1"/>
    <n v="3566791"/>
    <m/>
    <m/>
  </r>
  <r>
    <x v="14"/>
    <x v="0"/>
    <s v="F:\Données chgh\2020-CHG-CZA-Cromolyn-2\plaque 2/@14 Testo 30/A2_03.tif "/>
    <s v=" 53815.1778 "/>
    <s v=" 71.0121 "/>
    <x v="1"/>
    <n v="3821527"/>
    <m/>
    <m/>
  </r>
  <r>
    <x v="14"/>
    <x v="1"/>
    <s v="F:\Données chgh\2020-CHG-CZA-Cromolyn-2\plaque 2/@14 Testo 30/B2_01.tif "/>
    <s v=" 29654.5855 "/>
    <s v=" 67.2823 "/>
    <x v="1"/>
    <n v="1995228"/>
    <m/>
    <m/>
  </r>
  <r>
    <x v="14"/>
    <x v="1"/>
    <s v="F:\Données chgh\2020-CHG-CZA-Cromolyn-2\plaque 2/@14 Testo 30/B2_02.tif "/>
    <s v=" 35494.6571 "/>
    <s v=" 68.5198 "/>
    <x v="1"/>
    <n v="2432087"/>
    <m/>
    <m/>
  </r>
  <r>
    <x v="14"/>
    <x v="1"/>
    <s v="F:\Données chgh\2020-CHG-CZA-Cromolyn-2\plaque 2/@14 Testo 30/B2_03.tif "/>
    <s v=" 32098.7636 "/>
    <s v=" 68.5108 "/>
    <x v="1"/>
    <n v="2199111"/>
    <m/>
    <m/>
  </r>
  <r>
    <x v="14"/>
    <x v="2"/>
    <s v="F:\Données chgh\2020-CHG-CZA-Cromolyn-2\plaque 2/@14 Testo 30/C2_01.tif "/>
    <s v=" 46569.1631 "/>
    <s v=" 78.1198 "/>
    <x v="1"/>
    <n v="3637975"/>
    <m/>
    <m/>
  </r>
  <r>
    <x v="14"/>
    <x v="2"/>
    <s v="F:\Données chgh\2020-CHG-CZA-Cromolyn-2\plaque 2/@14 Testo 30/C2_02.tif "/>
    <s v=" 46720.5724 "/>
    <s v=" 77.9676 "/>
    <x v="1"/>
    <n v="3642691"/>
    <m/>
    <m/>
  </r>
  <r>
    <x v="14"/>
    <x v="2"/>
    <s v="F:\Données chgh\2020-CHG-CZA-Cromolyn-2\plaque 2/@14 Testo 30/C2_03.tif "/>
    <s v=" 42308.0739 "/>
    <n v="78"/>
    <x v="1"/>
    <n v="3300030"/>
    <m/>
    <m/>
  </r>
  <r>
    <x v="14"/>
    <x v="3"/>
    <s v="F:\Données chgh\2020-CHG-CZA-Cromolyn-2\plaque 2/@14 Testo 30/D2_01.tif "/>
    <s v=" 49575.7185 "/>
    <s v=" 74.329 "/>
    <x v="1"/>
    <n v="3684912"/>
    <m/>
    <m/>
  </r>
  <r>
    <x v="14"/>
    <x v="3"/>
    <s v="F:\Données chgh\2020-CHG-CZA-Cromolyn-2\plaque 2/@14 Testo 30/D2_02.tif "/>
    <s v=" 55242.7509 "/>
    <s v=" 75.935 "/>
    <x v="1"/>
    <n v="4194859"/>
    <m/>
    <m/>
  </r>
  <r>
    <x v="14"/>
    <x v="3"/>
    <s v="F:\Données chgh\2020-CHG-CZA-Cromolyn-2\plaque 2/@14 Testo 30/D2_03.tif "/>
    <s v=" 52430.8646 "/>
    <s v=" 76.4926 "/>
    <x v="1"/>
    <n v="4010572"/>
    <m/>
    <m/>
  </r>
  <r>
    <x v="14"/>
    <x v="4"/>
    <s v="F:\Données chgh\2020-CHG-CZA-Cromolyn-2\plaque 2/@14 Testo 30/E2_01.tif "/>
    <s v=" 61904.7584 "/>
    <s v=" 84.8546 "/>
    <x v="1"/>
    <n v="5252906"/>
    <m/>
    <m/>
  </r>
  <r>
    <x v="14"/>
    <x v="4"/>
    <s v="F:\Données chgh\2020-CHG-CZA-Cromolyn-2\plaque 2/@14 Testo 30/E2_02.tif "/>
    <s v=" 62467.1357 "/>
    <s v=" 83.1101 "/>
    <x v="1"/>
    <n v="5191651"/>
    <m/>
    <m/>
  </r>
  <r>
    <x v="14"/>
    <x v="4"/>
    <s v="F:\Données chgh\2020-CHG-CZA-Cromolyn-2\plaque 2/@14 Testo 30/E2_03.tif "/>
    <s v=" 57946.4877 "/>
    <s v=" 81.7268 "/>
    <x v="1"/>
    <n v="4735779"/>
    <m/>
    <m/>
  </r>
  <r>
    <x v="14"/>
    <x v="5"/>
    <s v="F:\Données chgh\2020-CHG-CZA-Cromolyn-2\plaque 2/@14 Testo 30/F2_01.tif "/>
    <s v=" 29265.2474 "/>
    <s v=" 72.1752 "/>
    <x v="1"/>
    <n v="2112224"/>
    <m/>
    <m/>
  </r>
  <r>
    <x v="14"/>
    <x v="5"/>
    <s v="F:\Données chgh\2020-CHG-CZA-Cromolyn-2\plaque 2/@14 Testo 30/F2_02.tif "/>
    <s v=" 29762.735 "/>
    <s v=" 74.1381 "/>
    <x v="1"/>
    <n v="2206552"/>
    <m/>
    <m/>
  </r>
  <r>
    <x v="14"/>
    <x v="5"/>
    <s v="F:\Données chgh\2020-CHG-CZA-Cromolyn-2\plaque 2/@14 Testo 30/F2_03.tif "/>
    <s v=" 24117.3325 "/>
    <s v=" 75.0018 "/>
    <x v="1"/>
    <n v="1808843"/>
    <m/>
    <m/>
  </r>
  <r>
    <x v="14"/>
    <x v="6"/>
    <s v="F:\Données chgh\2020-CHG-CZA-Cromolyn-2\plaque 2/@14 Testo 30/G2_01.tif "/>
    <s v=" 26756.1797 "/>
    <s v=" 67.9693 "/>
    <x v="1"/>
    <n v="1818598"/>
    <m/>
    <m/>
  </r>
  <r>
    <x v="14"/>
    <x v="6"/>
    <s v="F:\Données chgh\2020-CHG-CZA-Cromolyn-2\plaque 2/@14 Testo 30/G2_02.tif "/>
    <s v=" 24095.7026 "/>
    <s v=" 68.237 "/>
    <x v="1"/>
    <n v="1644218"/>
    <m/>
    <m/>
  </r>
  <r>
    <x v="14"/>
    <x v="6"/>
    <s v="F:\Données chgh\2020-CHG-CZA-Cromolyn-2\plaque 2/@14 Testo 30/G2_03.tif "/>
    <s v=" 28227.0125 "/>
    <s v=" 67.9962 "/>
    <x v="1"/>
    <n v="1919329"/>
    <m/>
    <m/>
  </r>
  <r>
    <x v="14"/>
    <x v="7"/>
    <s v="F:\Données chgh\2020-CHG-CZA-Cromolyn-2\plaque 2/@14 Testo 30/H2_01.tif "/>
    <s v=" 48299.5547 "/>
    <s v=" 76.828 "/>
    <x v="1"/>
    <n v="3710760"/>
    <m/>
    <m/>
  </r>
  <r>
    <x v="14"/>
    <x v="7"/>
    <s v="F:\Données chgh\2020-CHG-CZA-Cromolyn-2\plaque 2/@14 Testo 30/H2_02.tif "/>
    <s v=" 38825.6609 "/>
    <s v=" 75.4496 "/>
    <x v="1"/>
    <n v="2929380"/>
    <m/>
    <m/>
  </r>
  <r>
    <x v="14"/>
    <x v="7"/>
    <s v="F:\Données chgh\2020-CHG-CZA-Cromolyn-2\plaque 2/@14 Testo 30/H2_03.tif "/>
    <s v=" 44535.953 "/>
    <s v=" 74.9257 "/>
    <x v="1"/>
    <n v="3336887"/>
    <m/>
    <m/>
  </r>
  <r>
    <x v="1"/>
    <x v="8"/>
    <s v=" "/>
    <m/>
    <m/>
    <x v="0"/>
    <m/>
    <m/>
    <m/>
  </r>
  <r>
    <x v="1"/>
    <x v="8"/>
    <s v="group "/>
    <s v=" "/>
    <s v=" mean of mean fluo "/>
    <x v="2"/>
    <s v=" mean of total fluo "/>
    <s v=" SD total fluo "/>
    <s v=" n fluorescent "/>
  </r>
  <r>
    <x v="14"/>
    <x v="9"/>
    <s v="F:\Données chgh\2020-CHG-CZA-Cromolyn-2\plaque 2/@14 Testo 30/ "/>
    <s v=" "/>
    <s v=" 74.268 "/>
    <x v="16"/>
    <s v=" 3214552.96 "/>
    <s v=" 1092255.79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5"/>
    <x v="0"/>
    <s v="F:\Données chgh\2020-CHG-CZA-Cromolyn-2\plaque 2/@15 Testo + EE2/A3_01.tif "/>
    <s v=" 39734.1164 "/>
    <s v=" 74.7823 "/>
    <x v="1"/>
    <n v="2971407"/>
    <m/>
    <m/>
  </r>
  <r>
    <x v="15"/>
    <x v="0"/>
    <s v="F:\Données chgh\2020-CHG-CZA-Cromolyn-2\plaque 2/@15 Testo + EE2/A3_02- exclu.tif"/>
    <m/>
    <m/>
    <x v="0"/>
    <m/>
    <m/>
    <m/>
  </r>
  <r>
    <x v="15"/>
    <x v="0"/>
    <s v="F:\Données chgh\2020-CHG-CZA-Cromolyn-2\plaque 2/@15 Testo + EE2/A3_03- exclu.tif"/>
    <m/>
    <m/>
    <x v="0"/>
    <m/>
    <m/>
    <m/>
  </r>
  <r>
    <x v="15"/>
    <x v="1"/>
    <s v="F:\Données chgh\2020-CHG-CZA-Cromolyn-2\plaque 2/@15 Testo + EE2/B3_01.tif "/>
    <s v=" 70902.7946 "/>
    <s v=" 84.4311 "/>
    <x v="1"/>
    <n v="5986398"/>
    <m/>
    <m/>
  </r>
  <r>
    <x v="15"/>
    <x v="1"/>
    <s v="F:\Données chgh\2020-CHG-CZA-Cromolyn-2\plaque 2/@15 Testo + EE2/B3_02.tif "/>
    <s v=" 63483.7407 "/>
    <s v=" 85.6947 "/>
    <x v="1"/>
    <n v="5440221"/>
    <m/>
    <m/>
  </r>
  <r>
    <x v="15"/>
    <x v="1"/>
    <s v="F:\Données chgh\2020-CHG-CZA-Cromolyn-2\plaque 2/@15 Testo + EE2/B3_03.tif "/>
    <s v=" 63462.1108 "/>
    <s v=" 84.7972 "/>
    <x v="1"/>
    <n v="5381410"/>
    <m/>
    <m/>
  </r>
  <r>
    <x v="15"/>
    <x v="2"/>
    <s v="F:\Données chgh\2020-CHG-CZA-Cromolyn-2\plaque 2/@15 Testo + EE2/C3_01.tif "/>
    <s v=" 43605.8676 "/>
    <s v=" 73.5823 "/>
    <x v="1"/>
    <n v="3208622"/>
    <m/>
    <m/>
  </r>
  <r>
    <x v="15"/>
    <x v="2"/>
    <s v="F:\Données chgh\2020-CHG-CZA-Cromolyn-2\plaque 2/@15 Testo + EE2/C3_02.tif "/>
    <s v=" 33656.116 "/>
    <s v=" 70.8117 "/>
    <x v="1"/>
    <n v="2383247"/>
    <m/>
    <m/>
  </r>
  <r>
    <x v="15"/>
    <x v="2"/>
    <s v="F:\Données chgh\2020-CHG-CZA-Cromolyn-2\plaque 2/@15 Testo + EE2/C3_03.tif "/>
    <s v=" 36208.4436 "/>
    <s v=" 72.764 "/>
    <x v="1"/>
    <n v="2634673"/>
    <m/>
    <m/>
  </r>
  <r>
    <x v="15"/>
    <x v="3"/>
    <s v="F:\Données chgh\2020-CHG-CZA-Cromolyn-2\plaque 2/@15 Testo + EE2/D3_01.tif "/>
    <s v=" 40512.7926 "/>
    <s v=" 78.0833 "/>
    <x v="1"/>
    <n v="3163372"/>
    <m/>
    <m/>
  </r>
  <r>
    <x v="15"/>
    <x v="3"/>
    <s v="F:\Données chgh\2020-CHG-CZA-Cromolyn-2\plaque 2/@15 Testo + EE2/D3_02.tif "/>
    <s v=" 42956.9707 "/>
    <s v=" 80.8167 "/>
    <x v="1"/>
    <n v="3471641"/>
    <m/>
    <m/>
  </r>
  <r>
    <x v="15"/>
    <x v="3"/>
    <s v="F:\Données chgh\2020-CHG-CZA-Cromolyn-2\plaque 2/@15 Testo + EE2/D3_03.tif "/>
    <s v=" 38977.0701 "/>
    <s v=" 80.5738 "/>
    <x v="1"/>
    <n v="3140531"/>
    <m/>
    <m/>
  </r>
  <r>
    <x v="15"/>
    <x v="4"/>
    <s v="F:\Données chgh\2020-CHG-CZA-Cromolyn-2\plaque 2/@15 Testo + EE2/E3_01.tif "/>
    <s v=" 324.4484 "/>
    <s v=" 65.0667 "/>
    <x v="1"/>
    <n v="21111"/>
    <m/>
    <m/>
  </r>
  <r>
    <x v="15"/>
    <x v="4"/>
    <s v="F:\Données chgh\2020-CHG-CZA-Cromolyn-2\plaque 2/@15 Testo + EE2/E3_02.tif "/>
    <s v=" 346.0783 "/>
    <s v=" 63.0625 "/>
    <x v="1"/>
    <n v="21825"/>
    <m/>
    <m/>
  </r>
  <r>
    <x v="15"/>
    <x v="4"/>
    <s v="F:\Données chgh\2020-CHG-CZA-Cromolyn-2\plaque 2/@15 Testo + EE2/E3_03.tif "/>
    <s v=" 216.2989 "/>
    <s v=" 64.7 "/>
    <x v="1"/>
    <n v="13995"/>
    <m/>
    <m/>
  </r>
  <r>
    <x v="15"/>
    <x v="5"/>
    <s v="F:\Données chgh\2020-CHG-CZA-Cromolyn-2\plaque 2/@15 Testo + EE2/F3_01.tif "/>
    <s v=" 68566.766 "/>
    <s v=" 88.4691 "/>
    <x v="1"/>
    <n v="6066039"/>
    <m/>
    <m/>
  </r>
  <r>
    <x v="15"/>
    <x v="5"/>
    <s v="F:\Données chgh\2020-CHG-CZA-Cromolyn-2\plaque 2/@15 Testo + EE2/F3_02.tif "/>
    <s v=" 70275.5276 "/>
    <s v=" 86.9107 "/>
    <x v="1"/>
    <n v="6107698"/>
    <m/>
    <m/>
  </r>
  <r>
    <x v="15"/>
    <x v="5"/>
    <s v="F:\Données chgh\2020-CHG-CZA-Cromolyn-2\plaque 2/@15 Testo + EE2/F3_03.tif "/>
    <s v=" 75293.6632 "/>
    <s v=" 89.1445 "/>
    <x v="1"/>
    <n v="6712016"/>
    <m/>
    <m/>
  </r>
  <r>
    <x v="15"/>
    <x v="6"/>
    <s v="F:\Données chgh\2020-CHG-CZA-Cromolyn-2\plaque 2/@15 Testo + EE2/G3_01.tif "/>
    <s v=" 72049.179 "/>
    <s v=" 87.7541 "/>
    <x v="1"/>
    <n v="6322613"/>
    <m/>
    <m/>
  </r>
  <r>
    <x v="15"/>
    <x v="6"/>
    <s v="F:\Données chgh\2020-CHG-CZA-Cromolyn-2\plaque 2/@15 Testo + EE2/G3_02.tif "/>
    <s v=" 75315.2931 "/>
    <s v=" 85.0514 "/>
    <x v="1"/>
    <n v="6405672"/>
    <m/>
    <m/>
  </r>
  <r>
    <x v="15"/>
    <x v="6"/>
    <s v="F:\Données chgh\2020-CHG-CZA-Cromolyn-2\plaque 2/@15 Testo + EE2/G3_03.tif "/>
    <s v=" 72654.8161 "/>
    <s v=" 86.2926 "/>
    <x v="1"/>
    <n v="6269576"/>
    <m/>
    <m/>
  </r>
  <r>
    <x v="15"/>
    <x v="7"/>
    <s v="F:\Données chgh\2020-CHG-CZA-Cromolyn-2\plaque 2/@15 Testo + EE2/H3_01.tif "/>
    <s v=" 61666.8296 "/>
    <s v=" 89.7008 "/>
    <x v="1"/>
    <n v="5531564"/>
    <m/>
    <m/>
  </r>
  <r>
    <x v="15"/>
    <x v="7"/>
    <s v="F:\Données chgh\2020-CHG-CZA-Cromolyn-2\plaque 2/@15 Testo + EE2/H3_02.tif "/>
    <s v=" 65863.0291 "/>
    <s v=" 84.5008 "/>
    <x v="1"/>
    <n v="5565480"/>
    <m/>
    <m/>
  </r>
  <r>
    <x v="15"/>
    <x v="7"/>
    <s v="F:\Données chgh\2020-CHG-CZA-Cromolyn-2\plaque 2/@15 Testo + EE2/H3_03.tif "/>
    <s v=" 68696.5453 "/>
    <s v=" 88.3479 "/>
    <x v="1"/>
    <n v="6069197"/>
    <m/>
    <m/>
  </r>
  <r>
    <x v="1"/>
    <x v="8"/>
    <s v=" "/>
    <m/>
    <m/>
    <x v="0"/>
    <m/>
    <m/>
    <m/>
  </r>
  <r>
    <x v="1"/>
    <x v="8"/>
    <s v="group "/>
    <s v=" "/>
    <s v=" mean of mean fluo "/>
    <x v="2"/>
    <s v=" mean of total fluo "/>
    <s v=" SD total fluo "/>
    <s v=" n fluorescent "/>
  </r>
  <r>
    <x v="15"/>
    <x v="9"/>
    <s v="F:\Données chgh\2020-CHG-CZA-Cromolyn-2\plaque 2/@15 Testo + EE2/ "/>
    <s v=" "/>
    <s v=" 79.4427 "/>
    <x v="17"/>
    <s v=" 4007356.25 "/>
    <s v=" 2264002.19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6"/>
    <x v="0"/>
    <s v="F:\Données chgh\2020-CHG-CZA-Cromolyn-2\plaque 2/@16 Testo + FAD/A4_01.tif "/>
    <s v=" 4066.4202 "/>
    <s v=" 66.9521 "/>
    <x v="1"/>
    <n v="272255"/>
    <m/>
    <m/>
  </r>
  <r>
    <x v="16"/>
    <x v="0"/>
    <s v="F:\Données chgh\2020-CHG-CZA-Cromolyn-2\plaque 2/@16 Testo + FAD/A4_02.tif "/>
    <s v=" 2790.2564 "/>
    <s v=" 66.1938 "/>
    <x v="1"/>
    <n v="184698"/>
    <m/>
    <m/>
  </r>
  <r>
    <x v="16"/>
    <x v="0"/>
    <s v="F:\Données chgh\2020-CHG-CZA-Cromolyn-2\plaque 2/@16 Testo + FAD/A4_03.tif "/>
    <s v=" 1319.4236 "/>
    <s v=" 65.6066 "/>
    <x v="1"/>
    <n v="86563"/>
    <m/>
    <m/>
  </r>
  <r>
    <x v="16"/>
    <x v="1"/>
    <s v="F:\Données chgh\2020-CHG-CZA-Cromolyn-2\plaque 2/@16 Testo + FAD/B4_01.tif "/>
    <s v=" 8392.3991 "/>
    <s v=" 71.5825 "/>
    <x v="1"/>
    <n v="600749"/>
    <m/>
    <m/>
  </r>
  <r>
    <x v="16"/>
    <x v="1"/>
    <s v="F:\Données chgh\2020-CHG-CZA-Cromolyn-2\plaque 2/@16 Testo + FAD/B4_02.tif "/>
    <s v=" 11247.5452 "/>
    <s v=" 74.3154 "/>
    <x v="1"/>
    <n v="835866"/>
    <m/>
    <m/>
  </r>
  <r>
    <x v="16"/>
    <x v="1"/>
    <s v="F:\Données chgh\2020-CHG-CZA-Cromolyn-2\plaque 2/@16 Testo + FAD/B4_03.tif "/>
    <s v=" 8889.8867 "/>
    <s v=" 73.5888 "/>
    <x v="1"/>
    <n v="654196"/>
    <m/>
    <m/>
  </r>
  <r>
    <x v="16"/>
    <x v="2"/>
    <s v="F:\Données chgh\2020-CHG-CZA-Cromolyn-2\plaque 2/@16 Testo + FAD/C4_01.tif "/>
    <s v=" 5299.3242 "/>
    <s v=" 70.498 "/>
    <x v="1"/>
    <n v="373592"/>
    <m/>
    <m/>
  </r>
  <r>
    <x v="16"/>
    <x v="2"/>
    <s v="F:\Données chgh\2020-CHG-CZA-Cromolyn-2\plaque 2/@16 Testo + FAD/C4_02.tif "/>
    <s v=" 1622.2421 "/>
    <s v=" 65.6933 "/>
    <x v="1"/>
    <n v="106570"/>
    <m/>
    <m/>
  </r>
  <r>
    <x v="16"/>
    <x v="2"/>
    <s v="F:\Données chgh\2020-CHG-CZA-Cromolyn-2\plaque 2/@16 Testo + FAD/C4_03.tif "/>
    <s v=" 1405.9432 "/>
    <s v=" 65.8462 "/>
    <x v="1"/>
    <n v="92576"/>
    <m/>
    <m/>
  </r>
  <r>
    <x v="16"/>
    <x v="3"/>
    <s v="F:\Données chgh\2020-CHG-CZA-Cromolyn-2\plaque 2/@16 Testo + FAD/D4_01.tif "/>
    <s v=" 3677.0821 "/>
    <s v=" 65.6235 "/>
    <x v="1"/>
    <n v="241303"/>
    <m/>
    <m/>
  </r>
  <r>
    <x v="16"/>
    <x v="3"/>
    <s v="F:\Données chgh\2020-CHG-CZA-Cromolyn-2\plaque 2/@16 Testo + FAD/D4_02.tif "/>
    <s v=" 2379.2884 "/>
    <s v=" 66.5455 "/>
    <x v="1"/>
    <n v="158331"/>
    <m/>
    <m/>
  </r>
  <r>
    <x v="16"/>
    <x v="3"/>
    <s v="F:\Données chgh\2020-CHG-CZA-Cromolyn-2\plaque 2/@16 Testo + FAD/D4_03.tif "/>
    <s v=" 713.7865 "/>
    <s v=" 64.697 "/>
    <x v="1"/>
    <n v="46180"/>
    <m/>
    <m/>
  </r>
  <r>
    <x v="16"/>
    <x v="4"/>
    <s v="F:\Données chgh\2020-CHG-CZA-Cromolyn-2\plaque 2/@16 Testo + FAD/E4_01.tif "/>
    <s v=" 281.1886 "/>
    <s v=" 64.2308 "/>
    <x v="1"/>
    <n v="18061"/>
    <m/>
    <m/>
  </r>
  <r>
    <x v="16"/>
    <x v="4"/>
    <s v="F:\Données chgh\2020-CHG-CZA-Cromolyn-2\plaque 2/@16 Testo + FAD/E4_02.tif "/>
    <s v=" 627.2669 "/>
    <s v=" 65.931 "/>
    <x v="1"/>
    <n v="41356"/>
    <m/>
    <m/>
  </r>
  <r>
    <x v="16"/>
    <x v="4"/>
    <s v="F:\Données chgh\2020-CHG-CZA-Cromolyn-2\plaque 2/@16 Testo + FAD/E4_03.tif "/>
    <s v=" 757.0463 "/>
    <s v=" 63.6286 "/>
    <x v="1"/>
    <n v="48170"/>
    <m/>
    <m/>
  </r>
  <r>
    <x v="16"/>
    <x v="5"/>
    <s v="F:\Données chgh\2020-CHG-CZA-Cromolyn-2\plaque 2/@16 Testo + FAD/F4_01.tif "/>
    <s v=" 11096.1359 "/>
    <s v=" 77.5945 "/>
    <x v="1"/>
    <n v="861000"/>
    <m/>
    <m/>
  </r>
  <r>
    <x v="16"/>
    <x v="5"/>
    <s v="F:\Données chgh\2020-CHG-CZA-Cromolyn-2\plaque 2/@16 Testo + FAD/F4_02.tif "/>
    <s v=" 11031.2463 "/>
    <s v=" 77.602 "/>
    <x v="1"/>
    <n v="856046"/>
    <m/>
    <m/>
  </r>
  <r>
    <x v="16"/>
    <x v="5"/>
    <s v="F:\Données chgh\2020-CHG-CZA-Cromolyn-2\plaque 2/@16 Testo + FAD/F4_03.tif "/>
    <s v=" 11290.805 "/>
    <s v=" 80.5805 "/>
    <x v="1"/>
    <n v="909818"/>
    <m/>
    <m/>
  </r>
  <r>
    <x v="16"/>
    <x v="6"/>
    <s v="F:\Données chgh\2020-CHG-CZA-Cromolyn-2\plaque 2/@16 Testo + FAD/G4_01.tif "/>
    <s v=" 2076.4699 "/>
    <s v=" 67.1042 "/>
    <x v="1"/>
    <n v="139340"/>
    <m/>
    <m/>
  </r>
  <r>
    <x v="16"/>
    <x v="6"/>
    <s v="F:\Données chgh\2020-CHG-CZA-Cromolyn-2\plaque 2/@16 Testo + FAD/G4_02.tif "/>
    <s v=" 800.3061 "/>
    <s v=" 63.7568 "/>
    <x v="1"/>
    <n v="51025"/>
    <m/>
    <m/>
  </r>
  <r>
    <x v="16"/>
    <x v="6"/>
    <s v="F:\Données chgh\2020-CHG-CZA-Cromolyn-2\plaque 2/@16 Testo + FAD/G4_03.tif "/>
    <s v=" 1752.0215 "/>
    <s v=" 63.8148 "/>
    <x v="1"/>
    <n v="111805"/>
    <m/>
    <m/>
  </r>
  <r>
    <x v="16"/>
    <x v="7"/>
    <s v="F:\Données chgh\2020-CHG-CZA-Cromolyn-2\plaque 2/@16 Testo + FAD/H4_01.tif "/>
    <s v=" 281.1886 "/>
    <s v=" 64.6154 "/>
    <x v="1"/>
    <n v="18169"/>
    <m/>
    <m/>
  </r>
  <r>
    <x v="16"/>
    <x v="7"/>
    <s v="F:\Données chgh\2020-CHG-CZA-Cromolyn-2\plaque 2/@16 Testo + FAD/H4_02.tif "/>
    <s v=" 237.9288 "/>
    <s v=" 62.8182 "/>
    <x v="1"/>
    <n v="14946"/>
    <m/>
    <m/>
  </r>
  <r>
    <x v="16"/>
    <x v="7"/>
    <s v="F:\Données chgh\2020-CHG-CZA-Cromolyn-2\plaque 2/@16 Testo + FAD/H4_03.tif "/>
    <s v=" 237.9288 "/>
    <s v=" 63.8182 "/>
    <x v="1"/>
    <n v="15184"/>
    <m/>
    <m/>
  </r>
  <r>
    <x v="1"/>
    <x v="8"/>
    <s v=" "/>
    <m/>
    <m/>
    <x v="0"/>
    <m/>
    <m/>
    <m/>
  </r>
  <r>
    <x v="1"/>
    <x v="8"/>
    <s v="group "/>
    <s v=" "/>
    <s v=" mean of mean fluo "/>
    <x v="2"/>
    <s v=" mean of total fluo "/>
    <s v=" SD total fluo "/>
    <s v=" n fluorescent "/>
  </r>
  <r>
    <x v="16"/>
    <x v="9"/>
    <s v="F:\Données chgh\2020-CHG-CZA-Cromolyn-2\plaque 2/@16 Testo + FAD/ "/>
    <s v=" "/>
    <s v=" 68.0266 "/>
    <x v="18"/>
    <s v=" 280741.625 "/>
    <s v=" 316102.92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7"/>
    <x v="0"/>
    <s v="F:\Données chgh\2020-CHG-CZA-Cromolyn-2\plaque 2/@17 Testo + Cromolyn 0.1/A5_01.tif "/>
    <s v=" 5558.8829 "/>
    <s v=" 67.8755 "/>
    <x v="1"/>
    <n v="377312"/>
    <m/>
    <m/>
  </r>
  <r>
    <x v="17"/>
    <x v="0"/>
    <s v="F:\Données chgh\2020-CHG-CZA-Cromolyn-2\plaque 2/@17 Testo + Cromolyn 0.1/A5_02.tif "/>
    <s v=" 4412.4985 "/>
    <s v=" 66.0588 "/>
    <x v="1"/>
    <n v="291484"/>
    <m/>
    <m/>
  </r>
  <r>
    <x v="17"/>
    <x v="0"/>
    <s v="F:\Données chgh\2020-CHG-CZA-Cromolyn-2\plaque 2/@17 Testo + Cromolyn 0.1/A5_03.tif "/>
    <s v=" 4628.7975 "/>
    <s v=" 66.6402 "/>
    <x v="1"/>
    <n v="308464"/>
    <m/>
    <m/>
  </r>
  <r>
    <x v="17"/>
    <x v="1"/>
    <s v="F:\Données chgh\2020-CHG-CZA-Cromolyn-2\plaque 2/@17 Testo + Cromolyn 0.1/B5_01.tif "/>
    <s v=" 22927.6883 "/>
    <s v=" 68.0057 "/>
    <x v="1"/>
    <n v="1559213"/>
    <m/>
    <m/>
  </r>
  <r>
    <x v="17"/>
    <x v="1"/>
    <s v="F:\Données chgh\2020-CHG-CZA-Cromolyn-2\plaque 2/@17 Testo + Cromolyn 0.1/B5_02.tif "/>
    <s v=" 23425.1759 "/>
    <s v=" 68.3657 "/>
    <x v="1"/>
    <n v="1601477"/>
    <m/>
    <m/>
  </r>
  <r>
    <x v="17"/>
    <x v="1"/>
    <s v="F:\Données chgh\2020-CHG-CZA-Cromolyn-2\plaque 2/@17 Testo + Cromolyn 0.1/B5_03.tif "/>
    <s v=" 25198.8272 "/>
    <s v=" 69.3399 "/>
    <x v="1"/>
    <n v="1747285"/>
    <m/>
    <m/>
  </r>
  <r>
    <x v="17"/>
    <x v="2"/>
    <s v="F:\Données chgh\2020-CHG-CZA-Cromolyn-2\plaque 2/@17 Testo + Cromolyn 0.1/C5_01.tif "/>
    <s v=" 15876.3427 "/>
    <s v=" 69.9687 "/>
    <x v="1"/>
    <n v="1110846"/>
    <m/>
    <m/>
  </r>
  <r>
    <x v="17"/>
    <x v="2"/>
    <s v="F:\Données chgh\2020-CHG-CZA-Cromolyn-2\plaque 2/@17 Testo + Cromolyn 0.1/C5_02.tif "/>
    <s v=" 13648.4635 "/>
    <s v=" 67.3455 "/>
    <x v="1"/>
    <n v="919162"/>
    <m/>
    <m/>
  </r>
  <r>
    <x v="17"/>
    <x v="2"/>
    <s v="F:\Données chgh\2020-CHG-CZA-Cromolyn-2\plaque 2/@17 Testo + Cromolyn 0.1/C5_03.tif "/>
    <s v=" 16287.3107 "/>
    <s v=" 69.7835 "/>
    <x v="1"/>
    <n v="1136586"/>
    <m/>
    <m/>
  </r>
  <r>
    <x v="17"/>
    <x v="3"/>
    <s v="F:\Données chgh\2020-CHG-CZA-Cromolyn-2\plaque 2/@17 Testo + Cromolyn 0.1/D5_01.tif "/>
    <s v=" 6813.4168 "/>
    <s v=" 64.8508 "/>
    <x v="1"/>
    <n v="441855"/>
    <m/>
    <m/>
  </r>
  <r>
    <x v="17"/>
    <x v="3"/>
    <s v="F:\Données chgh\2020-CHG-CZA-Cromolyn-2\plaque 2/@17 Testo + Cromolyn 0.1/D5_02.tif "/>
    <s v=" 7678.6126 "/>
    <s v=" 66.5042 "/>
    <x v="1"/>
    <n v="510660"/>
    <m/>
    <m/>
  </r>
  <r>
    <x v="17"/>
    <x v="3"/>
    <s v="F:\Données chgh\2020-CHG-CZA-Cromolyn-2\plaque 2/@17 Testo + Cromolyn 0.1/D5_03.tif "/>
    <s v=" 7656.9827 "/>
    <s v=" 65.9181 "/>
    <x v="1"/>
    <n v="504734"/>
    <m/>
    <m/>
  </r>
  <r>
    <x v="17"/>
    <x v="4"/>
    <s v="F:\Données chgh\2020-CHG-CZA-Cromolyn-2\plaque 2/@17 Testo + Cromolyn 0.1/E5_01.tif "/>
    <s v=" 58833.3134 "/>
    <s v=" 74.525 "/>
    <x v="1"/>
    <n v="4384553"/>
    <m/>
    <m/>
  </r>
  <r>
    <x v="17"/>
    <x v="4"/>
    <s v="F:\Données chgh\2020-CHG-CZA-Cromolyn-2\plaque 2/@17 Testo + Cromolyn 0.1/E5_02.tif "/>
    <s v=" 58141.1568 "/>
    <s v=" 74.6566 "/>
    <x v="1"/>
    <n v="4340622"/>
    <m/>
    <m/>
  </r>
  <r>
    <x v="17"/>
    <x v="4"/>
    <s v="F:\Données chgh\2020-CHG-CZA-Cromolyn-2\plaque 2/@17 Testo + Cromolyn 0.1/E5_03.tif "/>
    <s v=" 50354.3947 "/>
    <s v=" 73.4695 "/>
    <x v="1"/>
    <n v="3699512"/>
    <m/>
    <m/>
  </r>
  <r>
    <x v="17"/>
    <x v="5"/>
    <s v="F:\Données chgh\2020-CHG-CZA-Cromolyn-2\plaque 2/@17 Testo + Cromolyn 0.1/F5_01.tif "/>
    <s v=" 31406.607 "/>
    <s v=" 71.407 "/>
    <x v="1"/>
    <n v="2242652"/>
    <m/>
    <m/>
  </r>
  <r>
    <x v="17"/>
    <x v="5"/>
    <s v="F:\Données chgh\2020-CHG-CZA-Cromolyn-2\plaque 2/@17 Testo + Cromolyn 0.1/F5_02.tif "/>
    <s v=" 27491.5961 "/>
    <s v=" 73.8348 "/>
    <x v="1"/>
    <n v="2029836"/>
    <m/>
    <m/>
  </r>
  <r>
    <x v="17"/>
    <x v="5"/>
    <s v="F:\Données chgh\2020-CHG-CZA-Cromolyn-2\plaque 2/@17 Testo + Cromolyn 0.1/F5_03.tif "/>
    <s v=" 26496.6209 "/>
    <s v=" 70.0408 "/>
    <x v="1"/>
    <n v="1855845"/>
    <m/>
    <m/>
  </r>
  <r>
    <x v="17"/>
    <x v="6"/>
    <s v="F:\Données chgh\2020-CHG-CZA-Cromolyn-2\plaque 2/@17 Testo + Cromolyn 0.1/G5_01.tif "/>
    <s v=" 5991.4808 "/>
    <s v=" 66.5235 "/>
    <x v="1"/>
    <n v="398574"/>
    <m/>
    <m/>
  </r>
  <r>
    <x v="17"/>
    <x v="6"/>
    <s v="F:\Données chgh\2020-CHG-CZA-Cromolyn-2\plaque 2/@17 Testo + Cromolyn 0.1/G5_02.tif "/>
    <s v=" 4650.4273 "/>
    <s v=" 65.7767 "/>
    <x v="1"/>
    <n v="305890"/>
    <m/>
    <m/>
  </r>
  <r>
    <x v="17"/>
    <x v="6"/>
    <s v="F:\Données chgh\2020-CHG-CZA-Cromolyn-2\plaque 2/@17 Testo + Cromolyn 0.1/G5_03.tif "/>
    <s v=" 5342.584 "/>
    <s v=" 67.3968 "/>
    <x v="1"/>
    <n v="360073"/>
    <m/>
    <m/>
  </r>
  <r>
    <x v="17"/>
    <x v="7"/>
    <s v="F:\Données chgh\2020-CHG-CZA-Cromolyn-2\plaque 2/@17 Testo + Cromolyn 0.1/H5_01.tif "/>
    <s v=" 19358.7557 "/>
    <s v=" 76.3017 "/>
    <x v="1"/>
    <n v="1477106"/>
    <m/>
    <m/>
  </r>
  <r>
    <x v="17"/>
    <x v="7"/>
    <s v="F:\Données chgh\2020-CHG-CZA-Cromolyn-2\plaque 2/@17 Testo + Cromolyn 0.1/H5_02.tif "/>
    <s v=" 13670.0934 "/>
    <s v=" 71.3877 "/>
    <x v="1"/>
    <n v="975876"/>
    <m/>
    <m/>
  </r>
  <r>
    <x v="17"/>
    <x v="7"/>
    <s v="F:\Données chgh\2020-CHG-CZA-Cromolyn-2\plaque 2/@17 Testo + Cromolyn 0.1/H5_03.tif "/>
    <s v=" 15962.8622 "/>
    <s v=" 73.7439 "/>
    <x v="1"/>
    <n v="1177164"/>
    <m/>
    <m/>
  </r>
  <r>
    <x v="1"/>
    <x v="8"/>
    <s v=" "/>
    <m/>
    <m/>
    <x v="0"/>
    <m/>
    <m/>
    <m/>
  </r>
  <r>
    <x v="1"/>
    <x v="8"/>
    <s v="group "/>
    <s v=" "/>
    <s v=" mean of mean fluo "/>
    <x v="2"/>
    <s v=" mean of total fluo "/>
    <s v=" SD total fluo "/>
    <s v=" n fluorescent "/>
  </r>
  <r>
    <x v="17"/>
    <x v="9"/>
    <s v="F:\Données chgh\2020-CHG-CZA-Cromolyn-2\plaque 2/@17 Testo + Cromolyn 0.1/ "/>
    <s v=" "/>
    <s v=" 69.5717 "/>
    <x v="19"/>
    <s v=" 1406532.54 "/>
    <s v=" 1219770.58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8"/>
    <x v="0"/>
    <s v="F:\Données chgh\2020-CHG-CZA-Cromolyn-2\plaque 2/@18 Testo + Cromolyn 1/A6_01.tif "/>
    <s v=" 35321.6179 "/>
    <s v=" 72.8665 "/>
    <x v="1"/>
    <n v="2573763"/>
    <m/>
    <m/>
  </r>
  <r>
    <x v="18"/>
    <x v="0"/>
    <s v="F:\Données chgh\2020-CHG-CZA-Cromolyn-2\plaque 2/@18 Testo + Cromolyn 1/A6_02.tif "/>
    <s v=" 31687.7956 "/>
    <s v=" 75.7775 "/>
    <x v="1"/>
    <n v="2401221"/>
    <m/>
    <m/>
  </r>
  <r>
    <x v="18"/>
    <x v="0"/>
    <s v="F:\Données chgh\2020-CHG-CZA-Cromolyn-2\plaque 2/@18 Testo + Cromolyn 1/A6_03.tif "/>
    <s v=" 28464.9413 "/>
    <s v=" 77.2956 "/>
    <x v="1"/>
    <n v="2200215"/>
    <m/>
    <m/>
  </r>
  <r>
    <x v="18"/>
    <x v="1"/>
    <s v="F:\Données chgh\2020-CHG-CZA-Cromolyn-2\plaque 2/@18 Testo + Cromolyn 1/B6_01.tif "/>
    <s v=" 29676.2154 "/>
    <s v=" 74.5641 "/>
    <x v="1"/>
    <n v="2212781"/>
    <m/>
    <m/>
  </r>
  <r>
    <x v="18"/>
    <x v="1"/>
    <s v="F:\Données chgh\2020-CHG-CZA-Cromolyn-2\plaque 2/@18 Testo + Cromolyn 1/B6_02.tif "/>
    <s v=" 31579.6462 "/>
    <s v=" 72.3918 "/>
    <x v="1"/>
    <n v="2286107"/>
    <m/>
    <m/>
  </r>
  <r>
    <x v="18"/>
    <x v="1"/>
    <s v="F:\Données chgh\2020-CHG-CZA-Cromolyn-2\plaque 2/@18 Testo + Cromolyn 1/B6_03.tif "/>
    <s v=" 28335.162 "/>
    <s v=" 73.3672 "/>
    <x v="1"/>
    <n v="2078871"/>
    <m/>
    <m/>
  </r>
  <r>
    <x v="18"/>
    <x v="2"/>
    <s v="F:\Données chgh\2020-CHG-CZA-Cromolyn-2\plaque 2/@18 Testo + Cromolyn 1/C6_01.tif "/>
    <s v=" 46569.1631 "/>
    <s v=" 70.2791 "/>
    <x v="1"/>
    <n v="3272841"/>
    <m/>
    <m/>
  </r>
  <r>
    <x v="18"/>
    <x v="2"/>
    <s v="F:\Données chgh\2020-CHG-CZA-Cromolyn-2\plaque 2/@18 Testo + Cromolyn 1/C6_02.tif "/>
    <s v=" 47347.8393 "/>
    <s v=" 70.032 "/>
    <x v="1"/>
    <n v="3315863"/>
    <m/>
    <m/>
  </r>
  <r>
    <x v="18"/>
    <x v="2"/>
    <s v="F:\Données chgh\2020-CHG-CZA-Cromolyn-2\plaque 2/@18 Testo + Cromolyn 1/C6_03.tif "/>
    <s v=" 44817.1417 "/>
    <s v=" 72.1125 "/>
    <x v="1"/>
    <n v="3231874"/>
    <m/>
    <m/>
  </r>
  <r>
    <x v="18"/>
    <x v="3"/>
    <s v="F:\Données chgh\2020-CHG-CZA-Cromolyn-2\plaque 2/@18 Testo + Cromolyn 1/D6_01.tif "/>
    <s v=" 17649.994 "/>
    <s v=" 67.0074 "/>
    <x v="1"/>
    <n v="1182679"/>
    <m/>
    <m/>
  </r>
  <r>
    <x v="18"/>
    <x v="3"/>
    <s v="F:\Données chgh\2020-CHG-CZA-Cromolyn-2\plaque 2/@18 Testo + Cromolyn 1/D6_02- exclu.tif"/>
    <m/>
    <m/>
    <x v="0"/>
    <m/>
    <m/>
    <m/>
  </r>
  <r>
    <x v="18"/>
    <x v="3"/>
    <s v="F:\Données chgh\2020-CHG-CZA-Cromolyn-2\plaque 2/@18 Testo + Cromolyn 1/D6_03- exclu.tif"/>
    <m/>
    <m/>
    <x v="0"/>
    <m/>
    <m/>
    <m/>
  </r>
  <r>
    <x v="18"/>
    <x v="4"/>
    <s v="F:\Données chgh\2020-CHG-CZA-Cromolyn-2\plaque 2/@18 Testo + Cromolyn 1/E6_01.tif "/>
    <s v=" 3958.2707 "/>
    <s v=" 64.9563 "/>
    <x v="1"/>
    <n v="257115"/>
    <m/>
    <m/>
  </r>
  <r>
    <x v="18"/>
    <x v="4"/>
    <s v="F:\Données chgh\2020-CHG-CZA-Cromolyn-2\plaque 2/@18 Testo + Cromolyn 1/E6_02.tif "/>
    <s v=" 2249.509 "/>
    <s v=" 64.2885 "/>
    <x v="1"/>
    <n v="144617"/>
    <m/>
    <m/>
  </r>
  <r>
    <x v="18"/>
    <x v="4"/>
    <s v="F:\Données chgh\2020-CHG-CZA-Cromolyn-2\plaque 2/@18 Testo + Cromolyn 1/E6_03.tif "/>
    <s v=" 3266.1141 "/>
    <s v=" 65.2053 "/>
    <x v="1"/>
    <n v="212968"/>
    <m/>
    <m/>
  </r>
  <r>
    <x v="18"/>
    <x v="5"/>
    <s v="F:\Données chgh\2020-CHG-CZA-Cromolyn-2\plaque 2/@18 Testo + Cromolyn 1/F6_01.tif "/>
    <s v=" 20461.8803 "/>
    <s v=" 69.8425 "/>
    <x v="1"/>
    <n v="1429109"/>
    <m/>
    <m/>
  </r>
  <r>
    <x v="18"/>
    <x v="5"/>
    <s v="F:\Données chgh\2020-CHG-CZA-Cromolyn-2\plaque 2/@18 Testo + Cromolyn 1/F6_02.tif "/>
    <s v=" 16784.7982 "/>
    <s v=" 69.1456 "/>
    <x v="1"/>
    <n v="1160595"/>
    <m/>
    <m/>
  </r>
  <r>
    <x v="18"/>
    <x v="5"/>
    <s v="F:\Données chgh\2020-CHG-CZA-Cromolyn-2\plaque 2/@18 Testo + Cromolyn 1/F6_03.tif "/>
    <s v=" 16287.3107 "/>
    <s v=" 69.3254 "/>
    <x v="1"/>
    <n v="1129124"/>
    <m/>
    <m/>
  </r>
  <r>
    <x v="18"/>
    <x v="6"/>
    <s v="F:\Données chgh\2020-CHG-CZA-Cromolyn-2\plaque 2/@18 Testo + Cromolyn 1/G6_01.tif "/>
    <s v=" 23143.9873 "/>
    <s v=" 69.0393 "/>
    <x v="1"/>
    <n v="1597844"/>
    <m/>
    <m/>
  </r>
  <r>
    <x v="18"/>
    <x v="6"/>
    <s v="F:\Données chgh\2020-CHG-CZA-Cromolyn-2\plaque 2/@18 Testo + Cromolyn 1/G6_02.tif "/>
    <s v=" 19704.834 "/>
    <s v=" 68.8233 "/>
    <x v="1"/>
    <n v="1356151"/>
    <m/>
    <m/>
  </r>
  <r>
    <x v="18"/>
    <x v="6"/>
    <s v="F:\Données chgh\2020-CHG-CZA-Cromolyn-2\plaque 2/@18 Testo + Cromolyn 1/G6_03.tif "/>
    <s v=" 25631.4251 "/>
    <s v=" 69.1384 "/>
    <x v="1"/>
    <n v="1772116"/>
    <m/>
    <m/>
  </r>
  <r>
    <x v="18"/>
    <x v="7"/>
    <s v="F:\Données chgh\2020-CHG-CZA-Cromolyn-2\plaque 2/@18 Testo + Cromolyn 1/H6_01.tif "/>
    <s v=" 2033.2101 "/>
    <s v=" 65.4681 "/>
    <x v="1"/>
    <n v="133110"/>
    <m/>
    <m/>
  </r>
  <r>
    <x v="18"/>
    <x v="7"/>
    <s v="F:\Données chgh\2020-CHG-CZA-Cromolyn-2\plaque 2/@18 Testo + Cromolyn 1/H6_02- exclu.tif"/>
    <m/>
    <m/>
    <x v="0"/>
    <m/>
    <m/>
    <m/>
  </r>
  <r>
    <x v="18"/>
    <x v="7"/>
    <s v="F:\Données chgh\2020-CHG-CZA-Cromolyn-2\plaque 2/@18 Testo + Cromolyn 1/H6_03.tif "/>
    <s v=" 2400.9183 "/>
    <s v=" 65.3964 "/>
    <x v="1"/>
    <n v="157011"/>
    <m/>
    <m/>
  </r>
  <r>
    <x v="1"/>
    <x v="8"/>
    <s v=" "/>
    <m/>
    <m/>
    <x v="0"/>
    <m/>
    <m/>
    <m/>
  </r>
  <r>
    <x v="1"/>
    <x v="8"/>
    <s v="group "/>
    <s v=" "/>
    <s v=" mean of mean fluo "/>
    <x v="2"/>
    <s v=" mean of total fluo "/>
    <s v=" SD total fluo "/>
    <s v=" n fluorescent "/>
  </r>
  <r>
    <x v="18"/>
    <x v="9"/>
    <s v="F:\Données chgh\2020-CHG-CZA-Cromolyn-2\plaque 2/@18 Testo + Cromolyn 1/ "/>
    <s v=" "/>
    <s v=" 69.206 "/>
    <x v="20"/>
    <s v=" 1442914.04 "/>
    <s v=" 1098075.39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19"/>
    <x v="0"/>
    <s v="F:\Données chgh\2020-CHG-CZA-Cromolyn-2\plaque 2/@19 Testo + Cromolyn 10/A7_01.tif "/>
    <s v=" 14254.1006 "/>
    <s v=" 71.8619 "/>
    <x v="1"/>
    <n v="1024327"/>
    <m/>
    <m/>
  </r>
  <r>
    <x v="19"/>
    <x v="0"/>
    <s v="F:\Données chgh\2020-CHG-CZA-Cromolyn-2\plaque 2/@19 Testo + Cromolyn 10/A7_02.tif "/>
    <s v=" 18017.7022 "/>
    <s v=" 70.2197 "/>
    <x v="1"/>
    <n v="1265197"/>
    <m/>
    <m/>
  </r>
  <r>
    <x v="19"/>
    <x v="0"/>
    <s v="F:\Données chgh\2020-CHG-CZA-Cromolyn-2\plaque 2/@19 Testo + Cromolyn 10/A7_03.tif "/>
    <s v=" 17758.1435 "/>
    <s v=" 71.1803 "/>
    <x v="1"/>
    <n v="1264029"/>
    <m/>
    <m/>
  </r>
  <r>
    <x v="19"/>
    <x v="1"/>
    <s v="F:\Données chgh\2020-CHG-CZA-Cromolyn-2\plaque 2/@19 Testo + Cromolyn 10/B7_01.tif "/>
    <s v=" 17412.0652 "/>
    <s v=" 69.3453 "/>
    <x v="1"/>
    <n v="1207446"/>
    <m/>
    <m/>
  </r>
  <r>
    <x v="19"/>
    <x v="1"/>
    <s v="F:\Données chgh\2020-CHG-CZA-Cromolyn-2\plaque 2/@19 Testo + Cromolyn 10/B7_02.tif "/>
    <s v=" 13670.0934 "/>
    <s v=" 72.0712 "/>
    <x v="1"/>
    <n v="985220"/>
    <m/>
    <m/>
  </r>
  <r>
    <x v="19"/>
    <x v="1"/>
    <s v="F:\Données chgh\2020-CHG-CZA-Cromolyn-2\plaque 2/@19 Testo + Cromolyn 10/B7_03.tif "/>
    <s v=" 15162.5561 "/>
    <s v=" 70.3852 "/>
    <x v="1"/>
    <n v="1067219"/>
    <m/>
    <m/>
  </r>
  <r>
    <x v="19"/>
    <x v="2"/>
    <s v="F:\Données chgh\2020-CHG-CZA-Cromolyn-2\plaque 2/@19 Testo + Cromolyn 10/C7_01.tif "/>
    <s v=" 12610.2286 "/>
    <s v=" 66.1201 "/>
    <x v="1"/>
    <n v="833789"/>
    <m/>
    <m/>
  </r>
  <r>
    <x v="19"/>
    <x v="2"/>
    <s v="F:\Données chgh\2020-CHG-CZA-Cromolyn-2\plaque 2/@19 Testo + Cromolyn 10/C7_02.tif "/>
    <s v=" 13086.0863 "/>
    <s v=" 66.1355 "/>
    <x v="1"/>
    <n v="865455"/>
    <m/>
    <m/>
  </r>
  <r>
    <x v="19"/>
    <x v="2"/>
    <s v="F:\Données chgh\2020-CHG-CZA-Cromolyn-2\plaque 2/@19 Testo + Cromolyn 10/C7_03.tif "/>
    <s v=" 13388.9048 "/>
    <s v=" 66.9111 "/>
    <x v="1"/>
    <n v="895867"/>
    <m/>
    <m/>
  </r>
  <r>
    <x v="19"/>
    <x v="3"/>
    <s v="F:\Données chgh\2020-CHG-CZA-Cromolyn-2\plaque 2/@19 Testo + Cromolyn 10/D7_01.tif "/>
    <s v=" 14016.1717 "/>
    <s v=" 67.5293 "/>
    <x v="1"/>
    <n v="946503"/>
    <m/>
    <m/>
  </r>
  <r>
    <x v="19"/>
    <x v="3"/>
    <s v="F:\Données chgh\2020-CHG-CZA-Cromolyn-2\plaque 2/@19 Testo + Cromolyn 10/D7_02.tif "/>
    <s v=" 17887.9229 "/>
    <s v=" 67.5599 "/>
    <x v="1"/>
    <n v="1208505"/>
    <m/>
    <m/>
  </r>
  <r>
    <x v="19"/>
    <x v="3"/>
    <s v="F:\Données chgh\2020-CHG-CZA-Cromolyn-2\plaque 2/@19 Testo + Cromolyn 10/D7_03.tif "/>
    <s v=" 14989.517 "/>
    <s v=" 66.9365 "/>
    <x v="1"/>
    <n v="1003346"/>
    <m/>
    <m/>
  </r>
  <r>
    <x v="19"/>
    <x v="4"/>
    <s v="F:\Données chgh\2020-CHG-CZA-Cromolyn-2\plaque 2/@19 Testo + Cromolyn 10/E7_01.tif "/>
    <s v=" 30627.9308 "/>
    <s v=" 69.3545 "/>
    <x v="1"/>
    <n v="2124185"/>
    <m/>
    <m/>
  </r>
  <r>
    <x v="19"/>
    <x v="4"/>
    <s v="F:\Données chgh\2020-CHG-CZA-Cromolyn-2\plaque 2/@19 Testo + Cromolyn 10/E7_02.tif "/>
    <s v=" 27123.8879 "/>
    <s v=" 69.2408 "/>
    <x v="1"/>
    <n v="1878080"/>
    <m/>
    <m/>
  </r>
  <r>
    <x v="19"/>
    <x v="4"/>
    <s v="F:\Données chgh\2020-CHG-CZA-Cromolyn-2\plaque 2/@19 Testo + Cromolyn 10/E7_03.tif "/>
    <s v=" 28075.6032 "/>
    <s v=" 70.0116 "/>
    <x v="1"/>
    <n v="1965617"/>
    <m/>
    <m/>
  </r>
  <r>
    <x v="19"/>
    <x v="5"/>
    <s v="F:\Données chgh\2020-CHG-CZA-Cromolyn-2\plaque 2/@19 Testo + Cromolyn 10/F7_01.tif "/>
    <s v=" 12826.5275 "/>
    <s v=" 70.7639 "/>
    <x v="1"/>
    <n v="907655"/>
    <m/>
    <m/>
  </r>
  <r>
    <x v="19"/>
    <x v="5"/>
    <s v="F:\Données chgh\2020-CHG-CZA-Cromolyn-2\plaque 2/@19 Testo + Cromolyn 10/F7_02.tif "/>
    <s v=" 15876.3427 "/>
    <s v=" 68.7084 "/>
    <x v="1"/>
    <n v="1090839"/>
    <m/>
    <m/>
  </r>
  <r>
    <x v="19"/>
    <x v="5"/>
    <s v="F:\Données chgh\2020-CHG-CZA-Cromolyn-2\plaque 2/@19 Testo + Cromolyn 10/F7_03.tif "/>
    <s v=" 15162.5561 "/>
    <s v=" 70.8802 "/>
    <x v="1"/>
    <n v="1074725"/>
    <m/>
    <m/>
  </r>
  <r>
    <x v="19"/>
    <x v="6"/>
    <s v="F:\Données chgh\2020-CHG-CZA-Cromolyn-2\plaque 2/@19 Testo + Cromolyn 10/G7_01.tif "/>
    <s v=" 7830.0219 "/>
    <s v=" 67.4088 "/>
    <x v="1"/>
    <n v="527813"/>
    <m/>
    <m/>
  </r>
  <r>
    <x v="19"/>
    <x v="6"/>
    <s v="F:\Données chgh\2020-CHG-CZA-Cromolyn-2\plaque 2/@19 Testo + Cromolyn 10/G7_02.tif "/>
    <s v=" 9538.7835 "/>
    <s v=" 66.7279 "/>
    <x v="1"/>
    <n v="636503"/>
    <m/>
    <m/>
  </r>
  <r>
    <x v="19"/>
    <x v="6"/>
    <s v="F:\Données chgh\2020-CHG-CZA-Cromolyn-2\plaque 2/@19 Testo + Cromolyn 10/G7_03.tif "/>
    <s v=" 7462.3136 "/>
    <s v=" 66.9565 "/>
    <x v="1"/>
    <n v="499651"/>
    <m/>
    <m/>
  </r>
  <r>
    <x v="19"/>
    <x v="7"/>
    <s v="F:\Données chgh\2020-CHG-CZA-Cromolyn-2\plaque 2/@19 Testo + Cromolyn 10/H7_01.tif "/>
    <s v=" 2076.4699 "/>
    <s v=" 64.6354 "/>
    <x v="1"/>
    <n v="134213"/>
    <m/>
    <m/>
  </r>
  <r>
    <x v="19"/>
    <x v="7"/>
    <s v="F:\Données chgh\2020-CHG-CZA-Cromolyn-2\plaque 2/@19 Testo + Cromolyn 10/H7_02.tif "/>
    <s v=" 1470.8328 "/>
    <s v=" 64.1029 "/>
    <x v="1"/>
    <n v="94285"/>
    <m/>
    <m/>
  </r>
  <r>
    <x v="19"/>
    <x v="7"/>
    <s v="F:\Données chgh\2020-CHG-CZA-Cromolyn-2\plaque 2/@19 Testo + Cromolyn 10/H7_03.tif "/>
    <s v=" 2530.6977 "/>
    <s v=" 64.9915 "/>
    <x v="1"/>
    <n v="164474"/>
    <m/>
    <m/>
  </r>
  <r>
    <x v="1"/>
    <x v="8"/>
    <s v=" "/>
    <m/>
    <m/>
    <x v="0"/>
    <m/>
    <m/>
    <m/>
  </r>
  <r>
    <x v="1"/>
    <x v="8"/>
    <s v="group "/>
    <s v=" "/>
    <s v=" mean of mean fluo "/>
    <x v="2"/>
    <s v=" mean of total fluo "/>
    <s v=" SD total fluo "/>
    <s v=" n fluorescent "/>
  </r>
  <r>
    <x v="19"/>
    <x v="9"/>
    <s v="F:\Données chgh\2020-CHG-CZA-Cromolyn-2\plaque 2/@19 Testo + Cromolyn 10/ "/>
    <s v=" "/>
    <s v=" 68.3349 "/>
    <x v="21"/>
    <s v=" 986039.292 "/>
    <s v=" 517085.948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20"/>
    <x v="0"/>
    <s v="F:\Données chgh\2020-CHG-CZA-Cromolyn-2\plaque 2/@20 Testo + Cromolyn 100/A8_01.tif "/>
    <s v=" 70297.1575 "/>
    <s v=" 76.1702 "/>
    <x v="1"/>
    <n v="5354545"/>
    <m/>
    <m/>
  </r>
  <r>
    <x v="20"/>
    <x v="0"/>
    <s v="F:\Données chgh\2020-CHG-CZA-Cromolyn-2\plaque 2/@20 Testo + Cromolyn 100/A8_02.tif "/>
    <s v=" 73195.5634 "/>
    <s v=" 81.9805 "/>
    <x v="1"/>
    <n v="6000609"/>
    <m/>
    <m/>
  </r>
  <r>
    <x v="20"/>
    <x v="0"/>
    <s v="F:\Données chgh\2020-CHG-CZA-Cromolyn-2\plaque 2/@20 Testo + Cromolyn 100/A8_03- exclu.tif"/>
    <m/>
    <m/>
    <x v="0"/>
    <m/>
    <m/>
    <m/>
  </r>
  <r>
    <x v="20"/>
    <x v="1"/>
    <s v="F:\Données chgh\2020-CHG-CZA-Cromolyn-2\plaque 2/@20 Testo + Cromolyn 100/B8_01.tif "/>
    <s v=" 21327.0761 "/>
    <s v=" 69.2018 "/>
    <x v="1"/>
    <n v="1475873"/>
    <m/>
    <m/>
  </r>
  <r>
    <x v="20"/>
    <x v="1"/>
    <s v="F:\Données chgh\2020-CHG-CZA-Cromolyn-2\plaque 2/@20 Testo + Cromolyn 100/B8_02.tif "/>
    <s v=" 18666.5991 "/>
    <s v=" 69.3418 "/>
    <x v="1"/>
    <n v="1294376"/>
    <m/>
    <m/>
  </r>
  <r>
    <x v="20"/>
    <x v="1"/>
    <s v="F:\Données chgh\2020-CHG-CZA-Cromolyn-2\plaque 2/@20 Testo + Cromolyn 100/B8_03.tif "/>
    <s v=" 14902.9974 "/>
    <s v=" 68.2279 "/>
    <x v="1"/>
    <n v="1016800"/>
    <m/>
    <m/>
  </r>
  <r>
    <x v="20"/>
    <x v="2"/>
    <s v="F:\Données chgh\2020-CHG-CZA-Cromolyn-2\plaque 2/@20 Testo + Cromolyn 100/C8_01.tif "/>
    <s v=" 8716.8475 "/>
    <s v=" 74.206 "/>
    <x v="1"/>
    <n v="646842"/>
    <m/>
    <m/>
  </r>
  <r>
    <x v="20"/>
    <x v="2"/>
    <s v="F:\Données chgh\2020-CHG-CZA-Cromolyn-2\plaque 2/@20 Testo + Cromolyn 100/C8_02.tif "/>
    <s v=" 11074.506 "/>
    <s v=" 80.1777 "/>
    <x v="1"/>
    <n v="887929"/>
    <m/>
    <m/>
  </r>
  <r>
    <x v="20"/>
    <x v="2"/>
    <s v="F:\Données chgh\2020-CHG-CZA-Cromolyn-2\plaque 2/@20 Testo + Cromolyn 100/C8_03.tif "/>
    <s v=" 11550.3637 "/>
    <s v=" 83.5 "/>
    <x v="1"/>
    <n v="964455"/>
    <m/>
    <m/>
  </r>
  <r>
    <x v="20"/>
    <x v="3"/>
    <s v="F:\Données chgh\2020-CHG-CZA-Cromolyn-2\plaque 2/@20 Testo + Cromolyn 100/D8_01.tif "/>
    <s v=" 25955.8736 "/>
    <s v=" 71.9967 "/>
    <x v="1"/>
    <n v="1868736"/>
    <m/>
    <m/>
  </r>
  <r>
    <x v="20"/>
    <x v="3"/>
    <s v="F:\Données chgh\2020-CHG-CZA-Cromolyn-2\plaque 2/@20 Testo + Cromolyn 100/D8_02.tif "/>
    <s v=" 23079.0976 "/>
    <s v=" 68.7751 "/>
    <x v="1"/>
    <n v="1587267"/>
    <m/>
    <m/>
  </r>
  <r>
    <x v="20"/>
    <x v="3"/>
    <s v="F:\Données chgh\2020-CHG-CZA-Cromolyn-2\plaque 2/@20 Testo + Cromolyn 100/D8_03.tif "/>
    <s v=" 19639.9443 "/>
    <s v=" 74.2324 "/>
    <x v="1"/>
    <n v="1457920"/>
    <m/>
    <m/>
  </r>
  <r>
    <x v="20"/>
    <x v="4"/>
    <s v="F:\Données chgh\2020-CHG-CZA-Cromolyn-2\plaque 2/@20 Testo + Cromolyn 100/E8_01.tif "/>
    <s v=" 34348.2727 "/>
    <s v=" 71.9414 "/>
    <x v="1"/>
    <n v="2471064"/>
    <m/>
    <m/>
  </r>
  <r>
    <x v="20"/>
    <x v="4"/>
    <s v="F:\Données chgh\2020-CHG-CZA-Cromolyn-2\plaque 2/@20 Testo + Cromolyn 100/E8_02.tif "/>
    <s v=" 31514.7565 "/>
    <s v=" 71.6767 "/>
    <x v="1"/>
    <n v="2258875"/>
    <m/>
    <m/>
  </r>
  <r>
    <x v="20"/>
    <x v="4"/>
    <s v="F:\Données chgh\2020-CHG-CZA-Cromolyn-2\plaque 2/@20 Testo + Cromolyn 100/E8_03.tif "/>
    <s v=" 26431.7312 "/>
    <s v=" 70.8723 "/>
    <x v="1"/>
    <n v="1873279"/>
    <m/>
    <m/>
  </r>
  <r>
    <x v="20"/>
    <x v="5"/>
    <s v="F:\Données chgh\2020-CHG-CZA-Cromolyn-2\plaque 2/@20 Testo + Cromolyn 100/F8_01.tif "/>
    <s v=" 24052.4428 "/>
    <s v=" 72.2104 "/>
    <x v="1"/>
    <n v="1736837"/>
    <m/>
    <m/>
  </r>
  <r>
    <x v="20"/>
    <x v="5"/>
    <s v="F:\Données chgh\2020-CHG-CZA-Cromolyn-2\plaque 2/@20 Testo + Cromolyn 100/F8_02.tif "/>
    <s v=" 24528.3005 "/>
    <s v=" 74.0273 "/>
    <x v="1"/>
    <n v="1815765"/>
    <m/>
    <m/>
  </r>
  <r>
    <x v="20"/>
    <x v="5"/>
    <s v="F:\Données chgh\2020-CHG-CZA-Cromolyn-2\plaque 2/@20 Testo + Cromolyn 100/F8_03.tif "/>
    <s v=" 27578.1157 "/>
    <s v=" 71.7898 "/>
    <x v="1"/>
    <n v="1979828"/>
    <m/>
    <m/>
  </r>
  <r>
    <x v="20"/>
    <x v="6"/>
    <s v="F:\Données chgh\2020-CHG-CZA-Cromolyn-2\plaque 2/@20 Testo + Cromolyn 100/G8_01.tif "/>
    <s v=" 10274.1999 "/>
    <s v=" 71.8884 "/>
    <x v="1"/>
    <n v="738596"/>
    <m/>
    <m/>
  </r>
  <r>
    <x v="20"/>
    <x v="6"/>
    <s v="F:\Données chgh\2020-CHG-CZA-Cromolyn-2\plaque 2/@20 Testo + Cromolyn 100/G8_02.tif "/>
    <s v=" 6597.1179 "/>
    <s v=" 65.6852 "/>
    <x v="1"/>
    <n v="433333"/>
    <m/>
    <m/>
  </r>
  <r>
    <x v="20"/>
    <x v="6"/>
    <s v="F:\Données chgh\2020-CHG-CZA-Cromolyn-2\plaque 2/@20 Testo + Cromolyn 100/G8_03.tif "/>
    <s v=" 9409.0042 "/>
    <s v=" 68.1862 "/>
    <x v="1"/>
    <n v="641564"/>
    <m/>
    <m/>
  </r>
  <r>
    <x v="20"/>
    <x v="7"/>
    <s v="F:\Données chgh\2020-CHG-CZA-Cromolyn-2\plaque 2/@20 Testo + Cromolyn 100/H8_01.tif "/>
    <s v=" 6553.8581 "/>
    <s v=" 67.2574 "/>
    <x v="1"/>
    <n v="440796"/>
    <m/>
    <m/>
  </r>
  <r>
    <x v="20"/>
    <x v="7"/>
    <s v="F:\Données chgh\2020-CHG-CZA-Cromolyn-2\plaque 2/@20 Testo + Cromolyn 100/H8_02.tif "/>
    <s v=" 4845.0964 "/>
    <s v=" 66.808 "/>
    <x v="1"/>
    <n v="323691"/>
    <m/>
    <m/>
  </r>
  <r>
    <x v="20"/>
    <x v="7"/>
    <s v="F:\Données chgh\2020-CHG-CZA-Cromolyn-2\plaque 2/@20 Testo + Cromolyn 100/H8_03.tif "/>
    <s v=" 5775.1819 "/>
    <s v=" 68.0225 "/>
    <x v="1"/>
    <n v="392842"/>
    <m/>
    <m/>
  </r>
  <r>
    <x v="1"/>
    <x v="8"/>
    <s v=" "/>
    <m/>
    <m/>
    <x v="0"/>
    <m/>
    <m/>
    <m/>
  </r>
  <r>
    <x v="1"/>
    <x v="8"/>
    <s v="group "/>
    <s v=" "/>
    <s v=" mean of mean fluo "/>
    <x v="2"/>
    <s v=" mean of total fluo "/>
    <s v=" SD total fluo "/>
    <s v=" n fluorescent "/>
  </r>
  <r>
    <x v="20"/>
    <x v="9"/>
    <s v="F:\Données chgh\2020-CHG-CZA-Cromolyn-2\plaque 2/@20 Testo + Cromolyn 100/ "/>
    <s v=" "/>
    <s v=" 72.4917 "/>
    <x v="22"/>
    <s v=" 1750651.62 "/>
    <s v=" 1500587.22 "/>
    <n v="24"/>
  </r>
  <r>
    <x v="1"/>
    <x v="8"/>
    <s v=" "/>
    <m/>
    <m/>
    <x v="0"/>
    <m/>
    <m/>
    <m/>
  </r>
  <r>
    <x v="1"/>
    <x v="8"/>
    <s v=" "/>
    <m/>
    <m/>
    <x v="0"/>
    <m/>
    <m/>
    <m/>
  </r>
  <r>
    <x v="1"/>
    <x v="8"/>
    <s v=" "/>
    <m/>
    <m/>
    <x v="0"/>
    <m/>
    <m/>
    <m/>
  </r>
  <r>
    <x v="1"/>
    <x v="8"/>
    <s v=" "/>
    <m/>
    <m/>
    <x v="0"/>
    <m/>
    <m/>
    <m/>
  </r>
  <r>
    <x v="1"/>
    <x v="8"/>
    <s v=" "/>
    <m/>
    <m/>
    <x v="0"/>
    <m/>
    <m/>
    <m/>
  </r>
  <r>
    <x v="1"/>
    <x v="8"/>
    <s v="file name "/>
    <s v=" total area "/>
    <s v=" mean intensity "/>
    <x v="1"/>
    <s v=" total fluorescence"/>
    <m/>
    <m/>
  </r>
  <r>
    <x v="21"/>
    <x v="0"/>
    <s v="F:\Données chgh\2020-CHG-CZA-Cromolyn-2\plaque 2/@21 Testo + Cromolyn 1000/A9_01.tif "/>
    <s v=" 18753.1186 "/>
    <s v=" 75.5963 "/>
    <x v="1"/>
    <n v="1417667"/>
    <m/>
    <m/>
  </r>
  <r>
    <x v="21"/>
    <x v="0"/>
    <s v="F:\Données chgh\2020-CHG-CZA-Cromolyn-2\plaque 2/@21 Testo + Cromolyn 1000/A9_02.tif "/>
    <s v=" 17174.1363 "/>
    <s v=" 76.6574 "/>
    <x v="1"/>
    <n v="1316525"/>
    <m/>
    <m/>
  </r>
  <r>
    <x v="21"/>
    <x v="0"/>
    <s v="F:\Données chgh\2020-CHG-CZA-Cromolyn-2\plaque 2/@21 Testo + Cromolyn 1000/A9_03.tif "/>
    <s v=" 17498.5848 "/>
    <s v=" 74.3548 "/>
    <x v="1"/>
    <n v="1301103"/>
    <m/>
    <m/>
  </r>
  <r>
    <x v="21"/>
    <x v="1"/>
    <s v="F:\Données chgh\2020-CHG-CZA-Cromolyn-2\plaque 2/@21 Testo + Cromolyn 1000/B9_01.tif "/>
    <s v=" 2422.5482 "/>
    <s v=" 65.4375 "/>
    <x v="1"/>
    <n v="158525"/>
    <m/>
    <m/>
  </r>
  <r>
    <x v="21"/>
    <x v="1"/>
    <s v="F:\Données chgh\2020-CHG-CZA-Cromolyn-2\plaque 2/@21 Testo + Cromolyn 1000/B9_02.tif "/>
    <s v=" 4023.1604 "/>
    <s v=" 65.7849 "/>
    <x v="1"/>
    <n v="264663"/>
    <m/>
    <m/>
  </r>
  <r>
    <x v="21"/>
    <x v="1"/>
    <s v="F:\Données chgh\2020-CHG-CZA-Cromolyn-2\plaque 2/@21 Testo + Cromolyn 1000/B9_03.tif "/>
    <s v=" 4953.2459 "/>
    <s v=" 72.1135 "/>
    <x v="1"/>
    <n v="357196"/>
    <m/>
    <m/>
  </r>
  <r>
    <x v="21"/>
    <x v="2"/>
    <s v="F:\Données chgh\2020-CHG-CZA-Cromolyn-2\plaque 2/@21 Testo + Cromolyn 1000/C9_01.tif "/>
    <s v=" 5407.4737 "/>
    <s v=" 65.808 "/>
    <x v="1"/>
    <n v="355855"/>
    <m/>
    <m/>
  </r>
  <r>
    <x v="21"/>
    <x v="2"/>
    <s v="F:\Données chgh\2020-CHG-CZA-Cromolyn-2\plaque 2/@21 Testo + Cromolyn 1000/C9_02.tif "/>
    <s v=" 4066.4202 "/>
    <s v=" 65.4043 "/>
    <x v="1"/>
    <n v="265961"/>
    <m/>
    <m/>
  </r>
  <r>
    <x v="21"/>
    <x v="2"/>
    <s v="F:\Données chgh\2020-CHG-CZA-Cromolyn-2\plaque 2/@21 Testo + Cromolyn 1000/C9_03.tif "/>
    <s v=" 5407.4737 "/>
    <s v=" 65.844 "/>
    <x v="1"/>
    <n v="356050"/>
    <m/>
    <m/>
  </r>
  <r>
    <x v="21"/>
    <x v="3"/>
    <s v="F:\Données chgh\2020-CHG-CZA-Cromolyn-2\plaque 2/@21 Testo + Cromolyn 1000/D9_01.tif "/>
    <s v=" 1838.541 "/>
    <s v=" 67.2353 "/>
    <x v="1"/>
    <n v="123615"/>
    <m/>
    <m/>
  </r>
  <r>
    <x v="21"/>
    <x v="3"/>
    <s v="F:\Données chgh\2020-CHG-CZA-Cromolyn-2\plaque 2/@21 Testo + Cromolyn 1000/D9_02.tif "/>
    <s v=" 2898.4059 "/>
    <s v=" 66.7015 "/>
    <x v="1"/>
    <n v="193328"/>
    <m/>
    <m/>
  </r>
  <r>
    <x v="21"/>
    <x v="3"/>
    <s v="F:\Données chgh\2020-CHG-CZA-Cromolyn-2\plaque 2/@21 Testo + Cromolyn 1000/D9_03.tif "/>
    <s v=" 3655.4522 "/>
    <s v=" 66.8284 "/>
    <x v="1"/>
    <n v="244288"/>
    <m/>
    <m/>
  </r>
  <r>
    <x v="21"/>
    <x v="4"/>
    <s v="F:\Données chgh\2020-CHG-CZA-Cromolyn-2\plaque 2/@21 Testo + Cromolyn 1000/E9_01.tif "/>
    <s v=" 19575.0546 "/>
    <s v=" 68.4939 "/>
    <x v="1"/>
    <n v="1340772"/>
    <m/>
    <m/>
  </r>
  <r>
    <x v="21"/>
    <x v="4"/>
    <s v="F:\Données chgh\2020-CHG-CZA-Cromolyn-2\plaque 2/@21 Testo + Cromolyn 1000/E9_02.tif "/>
    <s v=" 21435.2256 "/>
    <s v=" 68.1917 "/>
    <x v="1"/>
    <n v="1461705"/>
    <m/>
    <m/>
  </r>
  <r>
    <x v="21"/>
    <x v="4"/>
    <s v="F:\Données chgh\2020-CHG-CZA-Cromolyn-2\plaque 2/@21 Testo + Cromolyn 1000/E9_03.tif "/>
    <s v=" 16503.6096 "/>
    <s v=" 67.5007 "/>
    <x v="1"/>
    <n v="1114004"/>
    <m/>
    <m/>
  </r>
  <r>
    <x v="21"/>
    <x v="5"/>
    <s v="F:\Données chgh\2020-CHG-CZA-Cromolyn-2\plaque 2/@21 Testo + Cromolyn 1000/F9_01.tif "/>
    <s v=" 23706.3645 "/>
    <s v=" 69.6268 "/>
    <x v="1"/>
    <n v="1650599"/>
    <m/>
    <m/>
  </r>
  <r>
    <x v="21"/>
    <x v="5"/>
    <s v="F:\Données chgh\2020-CHG-CZA-Cromolyn-2\plaque 2/@21 Testo + Cromolyn 1000/F9_02.tif "/>
    <s v=" 27469.9662 "/>
    <s v=" 71.0339 "/>
    <x v="1"/>
    <n v="1951298"/>
    <m/>
    <m/>
  </r>
  <r>
    <x v="21"/>
    <x v="5"/>
    <s v="F:\Données chgh\2020-CHG-CZA-Cromolyn-2\plaque 2/@21 Testo + Cromolyn 1000/F9_03.tif "/>
    <s v=" 25242.087 "/>
    <s v=" 69.2125 "/>
    <x v="1"/>
    <n v="1747068"/>
    <m/>
    <m/>
  </r>
  <r>
    <x v="21"/>
    <x v="6"/>
    <s v="F:\Données chgh\2020-CHG-CZA-Cromolyn-2\plaque 2/@21 Testo + Cromolyn 1000/G9_01.tif "/>
    <s v=" 22408.5708 "/>
    <s v=" 66.9546 "/>
    <x v="1"/>
    <n v="1500358"/>
    <m/>
    <m/>
  </r>
  <r>
    <x v="21"/>
    <x v="6"/>
    <s v="F:\Données chgh\2020-CHG-CZA-Cromolyn-2\plaque 2/@21 Testo + Cromolyn 1000/G9_02.tif "/>
    <s v=" 20548.3999 "/>
    <s v=" 67.1274 "/>
    <x v="1"/>
    <n v="1379360"/>
    <m/>
    <m/>
  </r>
  <r>
    <x v="21"/>
    <x v="6"/>
    <s v="F:\Données chgh\2020-CHG-CZA-Cromolyn-2\plaque 2/@21 Testo + Cromolyn 1000/G9_03.tif "/>
    <s v=" 21759.674 "/>
    <s v=" 66.831 "/>
    <x v="1"/>
    <n v="1454221"/>
    <m/>
    <m/>
  </r>
  <r>
    <x v="21"/>
    <x v="7"/>
    <s v="F:\Données chgh\2020-CHG-CZA-Cromolyn-2\plaque 2/@21 Testo + Cromolyn 1000/H9_01.tif "/>
    <s v=" 23749.6243 "/>
    <s v=" 74.4818 "/>
    <x v="1"/>
    <n v="1768914"/>
    <m/>
    <m/>
  </r>
  <r>
    <x v="21"/>
    <x v="7"/>
    <s v="F:\Données chgh\2020-CHG-CZA-Cromolyn-2\plaque 2/@21 Testo + Cromolyn 1000/H9_02.tif "/>
    <s v=" 24744.5995 "/>
    <s v=" 75.1696 "/>
    <x v="1"/>
    <n v="1860041"/>
    <m/>
    <m/>
  </r>
  <r>
    <x v="21"/>
    <x v="7"/>
    <s v="F:\Données chgh\2020-CHG-CZA-Cromolyn-2\plaque 2/@21 Testo + Cromolyn 1000/H9_03.tif "/>
    <s v=" 25155.5675 "/>
    <s v=" 73.4583 "/>
    <x v="1"/>
    <n v="1847885"/>
    <m/>
    <m/>
  </r>
  <r>
    <x v="1"/>
    <x v="8"/>
    <s v=" "/>
    <m/>
    <m/>
    <x v="0"/>
    <m/>
    <m/>
    <m/>
  </r>
  <r>
    <x v="1"/>
    <x v="8"/>
    <s v="group "/>
    <s v=" "/>
    <s v=" mean of mean fluo "/>
    <x v="2"/>
    <s v=" mean of total fluo "/>
    <s v=" SD total fluo "/>
    <s v=" n fluorescent "/>
  </r>
  <r>
    <x v="21"/>
    <x v="9"/>
    <s v="F:\Données chgh\2020-CHG-CZA-Cromolyn-2\plaque 2/@21 Testo + Cromolyn 1000/ "/>
    <s v=" "/>
    <s v=" 69.4103 "/>
    <x v="23"/>
    <s v=" 1059625.04 "/>
    <s v=" 665265.499 "/>
    <n v="24"/>
  </r>
  <r>
    <x v="1"/>
    <x v="8"/>
    <s v=" "/>
    <m/>
    <m/>
    <x v="0"/>
    <m/>
    <m/>
    <m/>
  </r>
  <r>
    <x v="1"/>
    <x v="8"/>
    <s v=" "/>
    <m/>
    <m/>
    <x v="0"/>
    <m/>
    <m/>
    <m/>
  </r>
  <r>
    <x v="1"/>
    <x v="8"/>
    <s v=" "/>
    <m/>
    <m/>
    <x v="0"/>
    <m/>
    <m/>
    <m/>
  </r>
  <r>
    <x v="1"/>
    <x v="8"/>
    <s v=" "/>
    <m/>
    <m/>
    <x v="0"/>
    <m/>
    <m/>
    <m/>
  </r>
  <r>
    <x v="1"/>
    <x v="8"/>
    <s v=" "/>
    <m/>
    <m/>
    <x v="0"/>
    <m/>
    <m/>
    <m/>
  </r>
  <r>
    <x v="1"/>
    <x v="8"/>
    <s v=" "/>
    <m/>
    <m/>
    <x v="0"/>
    <m/>
    <m/>
    <m/>
  </r>
  <r>
    <x v="1"/>
    <x v="8"/>
    <m/>
    <s v=" n total analysed"/>
    <m/>
    <x v="0"/>
    <m/>
    <m/>
    <m/>
  </r>
  <r>
    <x v="1"/>
    <x v="8"/>
    <m/>
    <n v="504"/>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r>
    <x v="1"/>
    <x v="8"/>
    <m/>
    <m/>
    <m/>
    <x v="0"/>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0">
  <r>
    <x v="0"/>
    <x v="0"/>
    <s v="F:\Données chgh\2020-CHG-CZA-Cromolyn-3\plaque 1/@01 TS/A1_01.tif "/>
    <s v=" 757.0463 "/>
    <s v=" 62.4571 "/>
    <x v="0"/>
    <n v="47283"/>
    <m/>
    <m/>
  </r>
  <r>
    <x v="0"/>
    <x v="0"/>
    <s v="F:\Données chgh\2020-CHG-CZA-Cromolyn-3\plaque 1/@01 TS/A1_02.tif "/>
    <s v=" 2573.9575 "/>
    <s v=" 63.4034 "/>
    <x v="0"/>
    <n v="163198"/>
    <m/>
    <m/>
  </r>
  <r>
    <x v="0"/>
    <x v="0"/>
    <s v="F:\Données chgh\2020-CHG-CZA-Cromolyn-3\plaque 1/@01 TS/A1_03.tif "/>
    <s v=" 1103.1246 "/>
    <s v=" 63.7255 "/>
    <x v="0"/>
    <n v="70297"/>
    <m/>
    <m/>
  </r>
  <r>
    <x v="0"/>
    <x v="1"/>
    <s v="F:\Données chgh\2020-CHG-CZA-Cromolyn-3\plaque 1/@01 TS/B1_01.tif "/>
    <s v=" 778.6762 "/>
    <s v=" 63.9167 "/>
    <x v="0"/>
    <n v="49770"/>
    <m/>
    <m/>
  </r>
  <r>
    <x v="0"/>
    <x v="1"/>
    <s v="F:\Données chgh\2020-CHG-CZA-Cromolyn-3\plaque 1/@01 TS/B1_02.tif "/>
    <s v=" 5039.7654 "/>
    <s v=" 68.6395 "/>
    <x v="0"/>
    <n v="345927"/>
    <m/>
    <m/>
  </r>
  <r>
    <x v="0"/>
    <x v="1"/>
    <s v="F:\Données chgh\2020-CHG-CZA-Cromolyn-3\plaque 1/@01 TS/B1_03.tif "/>
    <s v=" 5364.2139 "/>
    <s v=" 69.8871 "/>
    <x v="0"/>
    <n v="374889"/>
    <m/>
    <m/>
  </r>
  <r>
    <x v="0"/>
    <x v="2"/>
    <s v="F:\Données chgh\2020-CHG-CZA-Cromolyn-3\plaque 1/@01 TS/C1_01- exclu.tif"/>
    <m/>
    <m/>
    <x v="1"/>
    <m/>
    <m/>
    <m/>
  </r>
  <r>
    <x v="0"/>
    <x v="2"/>
    <s v="F:\Données chgh\2020-CHG-CZA-Cromolyn-3\plaque 1/@01 TS/C1_02.tif "/>
    <s v=" 8327.5094 "/>
    <s v=" 72.9039 "/>
    <x v="0"/>
    <n v="607108"/>
    <m/>
    <m/>
  </r>
  <r>
    <x v="0"/>
    <x v="2"/>
    <s v="F:\Données chgh\2020-CHG-CZA-Cromolyn-3\plaque 1/@01 TS/C1_03.tif "/>
    <s v=" 6899.9364 "/>
    <s v=" 71.4734 "/>
    <x v="0"/>
    <n v="493162"/>
    <m/>
    <m/>
  </r>
  <r>
    <x v="0"/>
    <x v="3"/>
    <s v="F:\Données chgh\2020-CHG-CZA-Cromolyn-3\plaque 1/@01 TS/D1_01.tif "/>
    <s v=" 2660.477 "/>
    <s v=" 65.0407 "/>
    <x v="0"/>
    <n v="173039"/>
    <m/>
    <m/>
  </r>
  <r>
    <x v="0"/>
    <x v="3"/>
    <s v="F:\Données chgh\2020-CHG-CZA-Cromolyn-3\plaque 1/@01 TS/D1_02.tif "/>
    <s v=" 584.0072 "/>
    <s v=" 62.4815 "/>
    <x v="0"/>
    <n v="36490"/>
    <m/>
    <m/>
  </r>
  <r>
    <x v="0"/>
    <x v="3"/>
    <s v="F:\Données chgh\2020-CHG-CZA-Cromolyn-3\plaque 1/@01 TS/D1_03.tif "/>
    <s v=" 2011.5802 "/>
    <s v=" 63.4086 "/>
    <x v="0"/>
    <n v="127551"/>
    <m/>
    <m/>
  </r>
  <r>
    <x v="0"/>
    <x v="4"/>
    <s v="F:\Données chgh\2020-CHG-CZA-Cromolyn-3\plaque 1/@01 TS/E1_01.tif "/>
    <s v=" 1081.4947 "/>
    <s v=" 63.38 "/>
    <x v="0"/>
    <n v="68545"/>
    <m/>
    <m/>
  </r>
  <r>
    <x v="0"/>
    <x v="4"/>
    <s v="F:\Données chgh\2020-CHG-CZA-Cromolyn-3\plaque 1/@01 TS/E1_02.tif "/>
    <s v=" 584.0072 "/>
    <s v=" 63.4444 "/>
    <x v="0"/>
    <n v="37052"/>
    <m/>
    <m/>
  </r>
  <r>
    <x v="0"/>
    <x v="4"/>
    <s v="F:\Données chgh\2020-CHG-CZA-Cromolyn-3\plaque 1/@01 TS/E1_03.tif "/>
    <s v=" 908.4556 "/>
    <s v=" 63.1667 "/>
    <x v="0"/>
    <n v="57384"/>
    <m/>
    <m/>
  </r>
  <r>
    <x v="0"/>
    <x v="5"/>
    <s v="F:\Données chgh\2020-CHG-CZA-Cromolyn-3\plaque 1/@01 TS/F1_01.tif "/>
    <s v=" 1946.6905 "/>
    <s v=" 63.7222 "/>
    <x v="0"/>
    <n v="124047"/>
    <m/>
    <m/>
  </r>
  <r>
    <x v="0"/>
    <x v="5"/>
    <s v="F:\Données chgh\2020-CHG-CZA-Cromolyn-3\plaque 1/@01 TS/F1_02.tif "/>
    <s v=" 1146.3844 "/>
    <s v=" 63.566 "/>
    <x v="0"/>
    <n v="72871"/>
    <m/>
    <m/>
  </r>
  <r>
    <x v="0"/>
    <x v="5"/>
    <s v="F:\Données chgh\2020-CHG-CZA-Cromolyn-3\plaque 1/@01 TS/F1_03- exclu.tif"/>
    <m/>
    <m/>
    <x v="1"/>
    <m/>
    <m/>
    <m/>
  </r>
  <r>
    <x v="0"/>
    <x v="6"/>
    <s v="F:\Données chgh\2020-CHG-CZA-Cromolyn-3\plaque 1/@01 TS/G1_01.tif "/>
    <s v=" 692.1566 "/>
    <s v=" 63.375 "/>
    <x v="0"/>
    <n v="43865"/>
    <m/>
    <m/>
  </r>
  <r>
    <x v="0"/>
    <x v="6"/>
    <s v="F:\Données chgh\2020-CHG-CZA-Cromolyn-3\plaque 1/@01 TS/G1_02.tif "/>
    <s v=" 1059.8648 "/>
    <s v=" 66.1224 "/>
    <x v="0"/>
    <n v="70081"/>
    <m/>
    <m/>
  </r>
  <r>
    <x v="0"/>
    <x v="6"/>
    <s v="F:\Données chgh\2020-CHG-CZA-Cromolyn-3\plaque 1/@01 TS/G1_03.tif "/>
    <s v=" 1081.4947 "/>
    <s v=" 65.4 "/>
    <x v="0"/>
    <n v="70730"/>
    <m/>
    <m/>
  </r>
  <r>
    <x v="0"/>
    <x v="7"/>
    <s v="F:\Données chgh\2020-CHG-CZA-Cromolyn-3\plaque 1/@01 TS/H1_01.tif "/>
    <s v=" 1254.5339 "/>
    <s v=" 62.4138 "/>
    <x v="0"/>
    <n v="78300"/>
    <m/>
    <m/>
  </r>
  <r>
    <x v="0"/>
    <x v="7"/>
    <s v="F:\Données chgh\2020-CHG-CZA-Cromolyn-3\plaque 1/@01 TS/H1_02.tif "/>
    <s v=" 1276.1638 "/>
    <s v=" 66.339 "/>
    <x v="0"/>
    <n v="84659"/>
    <m/>
    <m/>
  </r>
  <r>
    <x v="0"/>
    <x v="7"/>
    <s v="F:\Données chgh\2020-CHG-CZA-Cromolyn-3\plaque 1/@01 TS/H1_03.tif "/>
    <s v=" 1319.4236 "/>
    <s v=" 64.0164 "/>
    <x v="0"/>
    <n v="84465"/>
    <m/>
    <m/>
  </r>
  <r>
    <x v="1"/>
    <x v="8"/>
    <s v=" "/>
    <m/>
    <m/>
    <x v="1"/>
    <m/>
    <m/>
    <m/>
  </r>
  <r>
    <x v="1"/>
    <x v="8"/>
    <s v="group "/>
    <s v=" "/>
    <s v=" mean of mean fluo "/>
    <x v="2"/>
    <s v=" mean of total fluo "/>
    <s v=" SD total fluo "/>
    <s v=" n fluorescent "/>
  </r>
  <r>
    <x v="0"/>
    <x v="9"/>
    <s v="F:\Données chgh\2020-CHG-CZA-Cromolyn-3\plaque 1/@01 TS/ "/>
    <s v=" "/>
    <s v=" 65.0084 "/>
    <x v="3"/>
    <s v=" 138309.583 "/>
    <s v=" 156010.54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
    <x v="0"/>
    <s v="F:\Données chgh\2020-CHG-CZA-Cromolyn-3\plaque 1/@02 EE2 34/A2_01.tif "/>
    <s v=" 7462.3136 "/>
    <s v=" 74.3565 "/>
    <x v="0"/>
    <n v="554872"/>
    <m/>
    <m/>
  </r>
  <r>
    <x v="2"/>
    <x v="0"/>
    <s v="F:\Données chgh\2020-CHG-CZA-Cromolyn-3\plaque 1/@02 EE2 34/A2_02.tif "/>
    <s v=" 6186.1499 "/>
    <s v=" 69.1503 "/>
    <x v="0"/>
    <n v="427774"/>
    <m/>
    <m/>
  </r>
  <r>
    <x v="2"/>
    <x v="0"/>
    <s v="F:\Données chgh\2020-CHG-CZA-Cromolyn-3\plaque 1/@02 EE2 34/A2_03.tif "/>
    <s v=" 7440.6838 "/>
    <s v=" 79.218 "/>
    <x v="0"/>
    <n v="589436"/>
    <m/>
    <m/>
  </r>
  <r>
    <x v="2"/>
    <x v="1"/>
    <s v="F:\Données chgh\2020-CHG-CZA-Cromolyn-3\plaque 1/@02 EE2 34/B2_01.tif "/>
    <s v=" 2184.6194 "/>
    <s v=" 63.1089 "/>
    <x v="0"/>
    <n v="137869"/>
    <m/>
    <m/>
  </r>
  <r>
    <x v="2"/>
    <x v="1"/>
    <s v="F:\Données chgh\2020-CHG-CZA-Cromolyn-3\plaque 1/@02 EE2 34/B2_02.tif "/>
    <s v=" 1405.9432 "/>
    <s v=" 64.2 "/>
    <x v="0"/>
    <n v="90262"/>
    <m/>
    <m/>
  </r>
  <r>
    <x v="2"/>
    <x v="1"/>
    <s v="F:\Données chgh\2020-CHG-CZA-Cromolyn-3\plaque 1/@02 EE2 34/B2_03.tif "/>
    <s v=" 1059.8648 "/>
    <s v=" 66.9592 "/>
    <x v="0"/>
    <n v="70968"/>
    <m/>
    <m/>
  </r>
  <r>
    <x v="2"/>
    <x v="2"/>
    <s v="F:\Données chgh\2020-CHG-CZA-Cromolyn-3\plaque 1/@02 EE2 34/C2_01.tif "/>
    <s v=" 3612.1924 "/>
    <s v=" 65.3892 "/>
    <x v="0"/>
    <n v="236198"/>
    <m/>
    <m/>
  </r>
  <r>
    <x v="2"/>
    <x v="2"/>
    <s v="F:\Données chgh\2020-CHG-CZA-Cromolyn-3\plaque 1/@02 EE2 34/C2_02.tif "/>
    <s v=" 2336.0286 "/>
    <s v=" 66.2315 "/>
    <x v="0"/>
    <n v="154719"/>
    <m/>
    <m/>
  </r>
  <r>
    <x v="2"/>
    <x v="2"/>
    <s v="F:\Données chgh\2020-CHG-CZA-Cromolyn-3\plaque 1/@02 EE2 34/C2_03.tif "/>
    <s v=" 2963.2956 "/>
    <s v=" 66.9854 "/>
    <x v="0"/>
    <n v="198498"/>
    <m/>
    <m/>
  </r>
  <r>
    <x v="2"/>
    <x v="3"/>
    <s v="F:\Données chgh\2020-CHG-CZA-Cromolyn-3\plaque 1/@02 EE2 34/D2_01.tif "/>
    <s v=" 302.8185 "/>
    <s v=" 61.8571 "/>
    <x v="0"/>
    <n v="18731"/>
    <m/>
    <m/>
  </r>
  <r>
    <x v="2"/>
    <x v="3"/>
    <s v="F:\Données chgh\2020-CHG-CZA-Cromolyn-3\plaque 1/@02 EE2 34/D2_02.tif "/>
    <s v=" 324.4484 "/>
    <n v="63"/>
    <x v="0"/>
    <n v="20440"/>
    <m/>
    <m/>
  </r>
  <r>
    <x v="2"/>
    <x v="3"/>
    <s v="F:\Données chgh\2020-CHG-CZA-Cromolyn-3\plaque 1/@02 EE2 34/D2_03.tif "/>
    <s v=" 1038.2349 "/>
    <s v=" 63.5625 "/>
    <x v="0"/>
    <n v="65993"/>
    <m/>
    <m/>
  </r>
  <r>
    <x v="2"/>
    <x v="4"/>
    <s v="F:\Données chgh\2020-CHG-CZA-Cromolyn-3\plaque 1/@02 EE2 34/E2_01.tif "/>
    <s v=" 259.5587 "/>
    <s v=" 64.4167 "/>
    <x v="0"/>
    <n v="16720"/>
    <m/>
    <m/>
  </r>
  <r>
    <x v="2"/>
    <x v="4"/>
    <s v="F:\Données chgh\2020-CHG-CZA-Cromolyn-3\plaque 1/@02 EE2 34/E2_02.tif "/>
    <s v=" 237.9288 "/>
    <s v=" 63.3636 "/>
    <x v="0"/>
    <n v="15076"/>
    <m/>
    <m/>
  </r>
  <r>
    <x v="2"/>
    <x v="4"/>
    <s v="F:\Données chgh\2020-CHG-CZA-Cromolyn-3\plaque 1/@02 EE2 34/E2_03.tif "/>
    <s v=" 151.4093 "/>
    <s v=" 63.7143 "/>
    <x v="0"/>
    <n v="9647"/>
    <m/>
    <m/>
  </r>
  <r>
    <x v="2"/>
    <x v="5"/>
    <s v="F:\Données chgh\2020-CHG-CZA-Cromolyn-3\plaque 1/@02 EE2 34/F2_01.tif "/>
    <s v=" 4023.1604 "/>
    <s v=" 67.9301 "/>
    <x v="0"/>
    <n v="273294"/>
    <m/>
    <m/>
  </r>
  <r>
    <x v="2"/>
    <x v="5"/>
    <s v="F:\Données chgh\2020-CHG-CZA-Cromolyn-3\plaque 1/@02 EE2 34/F2_02.tif "/>
    <s v=" 2379.2884 "/>
    <s v=" 66.2727 "/>
    <x v="0"/>
    <n v="157682"/>
    <m/>
    <m/>
  </r>
  <r>
    <x v="2"/>
    <x v="5"/>
    <s v="F:\Données chgh\2020-CHG-CZA-Cromolyn-3\plaque 1/@02 EE2 34/F2_03- exclu.tif"/>
    <m/>
    <m/>
    <x v="1"/>
    <m/>
    <m/>
    <m/>
  </r>
  <r>
    <x v="2"/>
    <x v="6"/>
    <s v="F:\Données chgh\2020-CHG-CZA-Cromolyn-3\plaque 1/@02 EE2 34/G2_01.tif "/>
    <s v=" 1643.872 "/>
    <s v=" 64.6053 "/>
    <x v="0"/>
    <n v="106203"/>
    <m/>
    <m/>
  </r>
  <r>
    <x v="2"/>
    <x v="6"/>
    <s v="F:\Données chgh\2020-CHG-CZA-Cromolyn-3\plaque 1/@02 EE2 34/G2_02.tif "/>
    <s v=" 2011.5802 "/>
    <s v=" 68.6989 "/>
    <x v="0"/>
    <n v="138193"/>
    <m/>
    <m/>
  </r>
  <r>
    <x v="2"/>
    <x v="6"/>
    <s v="F:\Données chgh\2020-CHG-CZA-Cromolyn-3\plaque 1/@02 EE2 34/G2_03.tif "/>
    <s v=" 2206.2493 "/>
    <s v=" 65.7255 "/>
    <x v="0"/>
    <n v="145007"/>
    <m/>
    <m/>
  </r>
  <r>
    <x v="2"/>
    <x v="7"/>
    <s v="F:\Données chgh\2020-CHG-CZA-Cromolyn-3\plaque 1/@02 EE2 34/H2_01.tif "/>
    <s v=" 2703.7368 "/>
    <s v=" 67.232 "/>
    <x v="0"/>
    <n v="181778"/>
    <m/>
    <m/>
  </r>
  <r>
    <x v="2"/>
    <x v="7"/>
    <s v="F:\Données chgh\2020-CHG-CZA-Cromolyn-3\plaque 1/@02 EE2 34/H2_02.tif "/>
    <s v=" 5169.5448 "/>
    <s v=" 68.682 "/>
    <x v="0"/>
    <n v="355055"/>
    <m/>
    <m/>
  </r>
  <r>
    <x v="2"/>
    <x v="7"/>
    <s v="F:\Données chgh\2020-CHG-CZA-Cromolyn-3\plaque 1/@02 EE2 34/H2_03.tif "/>
    <s v=" 2898.4059 "/>
    <s v=" 68.0896 "/>
    <x v="0"/>
    <n v="197351"/>
    <m/>
    <m/>
  </r>
  <r>
    <x v="1"/>
    <x v="8"/>
    <s v=" "/>
    <m/>
    <m/>
    <x v="1"/>
    <m/>
    <m/>
    <m/>
  </r>
  <r>
    <x v="1"/>
    <x v="8"/>
    <s v="group "/>
    <s v=" "/>
    <s v=" mean of mean fluo "/>
    <x v="2"/>
    <s v=" mean of total fluo "/>
    <s v=" SD total fluo "/>
    <s v=" n fluorescent "/>
  </r>
  <r>
    <x v="2"/>
    <x v="9"/>
    <s v="F:\Données chgh\2020-CHG-CZA-Cromolyn-3\plaque 1/@02 EE2 34/ "/>
    <s v=" "/>
    <s v=" 66.5112 "/>
    <x v="4"/>
    <s v=" 174838.083 "/>
    <s v=" 163108.79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3"/>
    <x v="0"/>
    <s v="F:\Données chgh\2020-CHG-CZA-Cromolyn-3\plaque 1/@03 EE2 51/A3_01.tif "/>
    <s v=" 994.9752 "/>
    <s v=" 63.1957 "/>
    <x v="0"/>
    <n v="62878"/>
    <m/>
    <m/>
  </r>
  <r>
    <x v="3"/>
    <x v="0"/>
    <s v="F:\Données chgh\2020-CHG-CZA-Cromolyn-3\plaque 1/@03 EE2 51/A3_02.tif "/>
    <s v=" 908.4556 "/>
    <s v=" 64.4524 "/>
    <x v="0"/>
    <n v="58552"/>
    <m/>
    <m/>
  </r>
  <r>
    <x v="3"/>
    <x v="0"/>
    <s v="F:\Données chgh\2020-CHG-CZA-Cromolyn-3\plaque 1/@03 EE2 51/A3_03.tif "/>
    <s v=" 2746.9966 "/>
    <s v=" 64.7165 "/>
    <x v="0"/>
    <n v="177776"/>
    <m/>
    <m/>
  </r>
  <r>
    <x v="3"/>
    <x v="1"/>
    <s v="F:\Données chgh\2020-CHG-CZA-Cromolyn-3\plaque 1/@03 EE2 51/B3_01.tif "/>
    <s v=" 4023.1604 "/>
    <s v=" 66.8602 "/>
    <x v="0"/>
    <n v="268989"/>
    <m/>
    <m/>
  </r>
  <r>
    <x v="3"/>
    <x v="1"/>
    <s v="F:\Données chgh\2020-CHG-CZA-Cromolyn-3\plaque 1/@03 EE2 51/B3_02.tif "/>
    <s v=" 3352.6337 "/>
    <s v=" 64.8452 "/>
    <x v="0"/>
    <n v="217402"/>
    <m/>
    <m/>
  </r>
  <r>
    <x v="3"/>
    <x v="1"/>
    <s v="F:\Données chgh\2020-CHG-CZA-Cromolyn-3\plaque 1/@03 EE2 51/B3_03.tif "/>
    <s v=" 1427.573 "/>
    <s v=" 63.7576 "/>
    <x v="0"/>
    <n v="91019"/>
    <m/>
    <m/>
  </r>
  <r>
    <x v="3"/>
    <x v="2"/>
    <s v="F:\Données chgh\2020-CHG-CZA-Cromolyn-3\plaque 1/@03 EE2 51/C3_01.tif "/>
    <s v=" 5061.3953 "/>
    <s v=" 69.5256 "/>
    <x v="0"/>
    <n v="351897"/>
    <m/>
    <m/>
  </r>
  <r>
    <x v="3"/>
    <x v="2"/>
    <s v="F:\Données chgh\2020-CHG-CZA-Cromolyn-3\plaque 1/@03 EE2 51/C3_02.tif "/>
    <s v=" 12156.0008 "/>
    <s v=" 73.2918 "/>
    <x v="0"/>
    <n v="890935"/>
    <m/>
    <m/>
  </r>
  <r>
    <x v="3"/>
    <x v="2"/>
    <s v="F:\Données chgh\2020-CHG-CZA-Cromolyn-3\plaque 1/@03 EE2 51/C3_03.tif "/>
    <s v=" 9538.7835 "/>
    <s v=" 68.3946 "/>
    <x v="0"/>
    <n v="652401"/>
    <m/>
    <m/>
  </r>
  <r>
    <x v="3"/>
    <x v="3"/>
    <s v="F:\Données chgh\2020-CHG-CZA-Cromolyn-3\plaque 1/@03 EE2 51/D3_01.tif "/>
    <s v=" 3590.5625 "/>
    <s v=" 68.7831 "/>
    <x v="0"/>
    <n v="246970"/>
    <m/>
    <m/>
  </r>
  <r>
    <x v="3"/>
    <x v="3"/>
    <s v="F:\Données chgh\2020-CHG-CZA-Cromolyn-3\plaque 1/@03 EE2 51/D3_02.tif "/>
    <s v=" 3677.0821 "/>
    <s v=" 66.6882 "/>
    <x v="0"/>
    <n v="245218"/>
    <m/>
    <m/>
  </r>
  <r>
    <x v="3"/>
    <x v="3"/>
    <s v="F:\Données chgh\2020-CHG-CZA-Cromolyn-3\plaque 1/@03 EE2 51/D3_03.tif "/>
    <s v=" 2725.3667 "/>
    <s v=" 66.0079 "/>
    <x v="0"/>
    <n v="179896"/>
    <m/>
    <m/>
  </r>
  <r>
    <x v="3"/>
    <x v="4"/>
    <s v="F:\Données chgh\2020-CHG-CZA-Cromolyn-3\plaque 1/@03 EE2 51/E3_01.tif "/>
    <s v=" 843.5659 "/>
    <s v=" 63.9231 "/>
    <x v="0"/>
    <n v="53923"/>
    <m/>
    <m/>
  </r>
  <r>
    <x v="3"/>
    <x v="4"/>
    <s v="F:\Données chgh\2020-CHG-CZA-Cromolyn-3\plaque 1/@03 EE2 51/E3_02.tif "/>
    <s v=" 1405.9432 "/>
    <s v=" 66.5692 "/>
    <x v="0"/>
    <n v="93593"/>
    <m/>
    <m/>
  </r>
  <r>
    <x v="3"/>
    <x v="4"/>
    <s v="F:\Données chgh\2020-CHG-CZA-Cromolyn-3\plaque 1/@03 EE2 51/E3_03.tif "/>
    <s v=" 367.7082 "/>
    <s v=" 64.8235 "/>
    <x v="0"/>
    <n v="23836"/>
    <m/>
    <m/>
  </r>
  <r>
    <x v="3"/>
    <x v="5"/>
    <s v="F:\Données chgh\2020-CHG-CZA-Cromolyn-3\plaque 1/@03 EE2 51/F3_01.tif "/>
    <s v=" 951.7154 "/>
    <n v="65"/>
    <x v="0"/>
    <n v="61861"/>
    <m/>
    <m/>
  </r>
  <r>
    <x v="3"/>
    <x v="5"/>
    <s v="F:\Données chgh\2020-CHG-CZA-Cromolyn-3\plaque 1/@03 EE2 51/F3_02.tif "/>
    <s v=" 1838.541 "/>
    <s v=" 65.1176 "/>
    <x v="0"/>
    <n v="119721"/>
    <m/>
    <m/>
  </r>
  <r>
    <x v="3"/>
    <x v="5"/>
    <s v="F:\Données chgh\2020-CHG-CZA-Cromolyn-3\plaque 1/@03 EE2 51/F3_03.tif "/>
    <s v=" 519.1175 "/>
    <s v=" 64.25 "/>
    <x v="0"/>
    <n v="33353"/>
    <m/>
    <m/>
  </r>
  <r>
    <x v="3"/>
    <x v="6"/>
    <s v="F:\Données chgh\2020-CHG-CZA-Cromolyn-3\plaque 1/@03 EE2 51/G3_01.tif "/>
    <s v=" 5061.3953 "/>
    <s v=" 69.7607 "/>
    <x v="0"/>
    <n v="353086"/>
    <m/>
    <m/>
  </r>
  <r>
    <x v="3"/>
    <x v="6"/>
    <s v="F:\Données chgh\2020-CHG-CZA-Cromolyn-3\plaque 1/@03 EE2 51/G3_02.tif "/>
    <s v=" 4931.616 "/>
    <s v=" 70.5044 "/>
    <x v="0"/>
    <n v="347701"/>
    <m/>
    <m/>
  </r>
  <r>
    <x v="3"/>
    <x v="6"/>
    <s v="F:\Données chgh\2020-CHG-CZA-Cromolyn-3\plaque 1/@03 EE2 51/G3_03.tif "/>
    <s v=" 4974.8758 "/>
    <s v=" 66.2522 "/>
    <x v="0"/>
    <n v="329596"/>
    <m/>
    <m/>
  </r>
  <r>
    <x v="3"/>
    <x v="7"/>
    <s v="F:\Données chgh\2020-CHG-CZA-Cromolyn-3\plaque 1/@03 EE2 51/H3_01.tif "/>
    <s v=" 1665.5019 "/>
    <s v=" 63.7143 "/>
    <x v="0"/>
    <n v="106116"/>
    <m/>
    <m/>
  </r>
  <r>
    <x v="3"/>
    <x v="7"/>
    <s v="F:\Données chgh\2020-CHG-CZA-Cromolyn-3\plaque 1/@03 EE2 51/H3_02.tif "/>
    <s v=" 497.4876 "/>
    <s v=" 63.5217 "/>
    <x v="0"/>
    <n v="31601"/>
    <m/>
    <m/>
  </r>
  <r>
    <x v="3"/>
    <x v="7"/>
    <s v="F:\Données chgh\2020-CHG-CZA-Cromolyn-3\plaque 1/@03 EE2 51/H3_03- exclu.tif"/>
    <m/>
    <m/>
    <x v="1"/>
    <m/>
    <m/>
    <m/>
  </r>
  <r>
    <x v="1"/>
    <x v="8"/>
    <s v=" "/>
    <m/>
    <m/>
    <x v="1"/>
    <m/>
    <m/>
    <m/>
  </r>
  <r>
    <x v="1"/>
    <x v="8"/>
    <s v="group "/>
    <s v=" "/>
    <s v=" mean of mean fluo "/>
    <x v="2"/>
    <s v=" mean of total fluo "/>
    <s v=" SD total fluo "/>
    <s v=" n fluorescent "/>
  </r>
  <r>
    <x v="3"/>
    <x v="9"/>
    <s v="F:\Données chgh\2020-CHG-CZA-Cromolyn-3\plaque 1/@03 EE2 51/ "/>
    <s v=" "/>
    <s v=" 66.143 "/>
    <x v="5"/>
    <s v=" 209464.708 "/>
    <s v=" 209490.92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4"/>
    <x v="0"/>
    <s v="F:\Données chgh\2020-CHG-CZA-Cromolyn-3\plaque 1/@04 EE2 76/A4_01.tif "/>
    <s v=" 2314.3987 "/>
    <s v=" 65.5514 "/>
    <x v="0"/>
    <n v="151712"/>
    <m/>
    <m/>
  </r>
  <r>
    <x v="4"/>
    <x v="0"/>
    <s v="F:\Données chgh\2020-CHG-CZA-Cromolyn-3\plaque 1/@04 EE2 76/A4_02.tif "/>
    <s v=" 3633.8223 "/>
    <s v=" 66.506 "/>
    <x v="0"/>
    <n v="241671"/>
    <m/>
    <m/>
  </r>
  <r>
    <x v="4"/>
    <x v="0"/>
    <s v="F:\Données chgh\2020-CHG-CZA-Cromolyn-3\plaque 1/@04 EE2 76/A4_03.tif "/>
    <s v=" 1946.6905 "/>
    <s v=" 64.9333 "/>
    <x v="0"/>
    <n v="126405"/>
    <m/>
    <m/>
  </r>
  <r>
    <x v="4"/>
    <x v="1"/>
    <s v="F:\Données chgh\2020-CHG-CZA-Cromolyn-3\plaque 1/@04 EE2 76/B4_01.tif "/>
    <s v=" 6078.0004 "/>
    <s v=" 65.4662 "/>
    <x v="0"/>
    <n v="397904"/>
    <m/>
    <m/>
  </r>
  <r>
    <x v="4"/>
    <x v="1"/>
    <s v="F:\Données chgh\2020-CHG-CZA-Cromolyn-3\plaque 1/@04 EE2 76/B4_02.tif "/>
    <s v=" 1925.0606 "/>
    <s v=" 63.0112 "/>
    <x v="0"/>
    <n v="121300"/>
    <m/>
    <m/>
  </r>
  <r>
    <x v="4"/>
    <x v="1"/>
    <s v="F:\Données chgh\2020-CHG-CZA-Cromolyn-3\plaque 1/@04 EE2 76/B4_03.tif "/>
    <s v=" 7094.6054 "/>
    <s v=" 69.003 "/>
    <x v="0"/>
    <n v="489549"/>
    <m/>
    <m/>
  </r>
  <r>
    <x v="4"/>
    <x v="2"/>
    <s v="F:\Données chgh\2020-CHG-CZA-Cromolyn-3\plaque 1/@04 EE2 76/C4_01.tif "/>
    <s v=" 3482.413 "/>
    <s v=" 66.5528 "/>
    <x v="0"/>
    <n v="231764"/>
    <m/>
    <m/>
  </r>
  <r>
    <x v="4"/>
    <x v="2"/>
    <s v="F:\Données chgh\2020-CHG-CZA-Cromolyn-3\plaque 1/@04 EE2 76/C4_02.tif "/>
    <s v=" 6856.6766 "/>
    <s v=" 72.9495 "/>
    <x v="0"/>
    <n v="500191"/>
    <m/>
    <m/>
  </r>
  <r>
    <x v="4"/>
    <x v="2"/>
    <s v="F:\Données chgh\2020-CHG-CZA-Cromolyn-3\plaque 1/@04 EE2 76/C4_03.tif "/>
    <s v=" 6467.3385 "/>
    <s v=" 69.2341 "/>
    <x v="0"/>
    <n v="447760"/>
    <m/>
    <m/>
  </r>
  <r>
    <x v="4"/>
    <x v="3"/>
    <s v="F:\Données chgh\2020-CHG-CZA-Cromolyn-3\plaque 1/@04 EE2 76/D4_01.tif "/>
    <s v=" 3850.1212 "/>
    <s v=" 63.3371 "/>
    <x v="0"/>
    <n v="243855"/>
    <m/>
    <m/>
  </r>
  <r>
    <x v="4"/>
    <x v="3"/>
    <s v="F:\Données chgh\2020-CHG-CZA-Cromolyn-3\plaque 1/@04 EE2 76/D4_02.tif "/>
    <s v=" 1968.3204 "/>
    <s v=" 63.3626 "/>
    <x v="0"/>
    <n v="124718"/>
    <m/>
    <m/>
  </r>
  <r>
    <x v="4"/>
    <x v="3"/>
    <s v="F:\Données chgh\2020-CHG-CZA-Cromolyn-3\plaque 1/@04 EE2 76/D4_03.tif "/>
    <s v=" 4196.1996 "/>
    <s v=" 64.5052 "/>
    <x v="0"/>
    <n v="270677"/>
    <m/>
    <m/>
  </r>
  <r>
    <x v="4"/>
    <x v="4"/>
    <s v="F:\Données chgh\2020-CHG-CZA-Cromolyn-3\plaque 1/@04 EE2 76/E4_01.tif "/>
    <s v=" 497.4876 "/>
    <s v=" 63.2609 "/>
    <x v="0"/>
    <n v="31471"/>
    <m/>
    <m/>
  </r>
  <r>
    <x v="4"/>
    <x v="4"/>
    <s v="F:\Données chgh\2020-CHG-CZA-Cromolyn-3\plaque 1/@04 EE2 76/E4_02.tif "/>
    <s v=" 389.3381 "/>
    <s v=" 62.6667 "/>
    <x v="0"/>
    <n v="24399"/>
    <m/>
    <m/>
  </r>
  <r>
    <x v="4"/>
    <x v="4"/>
    <s v="F:\Données chgh\2020-CHG-CZA-Cromolyn-3\plaque 1/@04 EE2 76/E4_03.tif "/>
    <s v=" 194.6691 "/>
    <s v=" 63.5556 "/>
    <x v="0"/>
    <n v="12372"/>
    <m/>
    <m/>
  </r>
  <r>
    <x v="4"/>
    <x v="5"/>
    <s v="F:\Données chgh\2020-CHG-CZA-Cromolyn-3\plaque 1/@04 EE2 76/F4_01.tif "/>
    <s v=" 1622.2421 "/>
    <s v=" 63.2267 "/>
    <x v="0"/>
    <n v="102569"/>
    <m/>
    <m/>
  </r>
  <r>
    <x v="4"/>
    <x v="5"/>
    <s v="F:\Données chgh\2020-CHG-CZA-Cromolyn-3\plaque 1/@04 EE2 76/F4_02.tif "/>
    <s v=" 3568.9326 "/>
    <s v=" 66.4485 "/>
    <x v="0"/>
    <n v="237150"/>
    <m/>
    <m/>
  </r>
  <r>
    <x v="4"/>
    <x v="5"/>
    <s v="F:\Données chgh\2020-CHG-CZA-Cromolyn-3\plaque 1/@04 EE2 76/F4_03.tif "/>
    <s v=" 1362.6834 "/>
    <s v=" 65.3651 "/>
    <x v="0"/>
    <n v="89072"/>
    <m/>
    <m/>
  </r>
  <r>
    <x v="4"/>
    <x v="6"/>
    <s v="F:\Données chgh\2020-CHG-CZA-Cromolyn-3\plaque 1/@04 EE2 76/G4_01.tif "/>
    <s v=" 8630.328 "/>
    <s v=" 65.3333 "/>
    <x v="0"/>
    <n v="563848"/>
    <m/>
    <m/>
  </r>
  <r>
    <x v="4"/>
    <x v="6"/>
    <s v="F:\Données chgh\2020-CHG-CZA-Cromolyn-3\plaque 1/@04 EE2 76/G4_02.tif "/>
    <s v=" 8889.8867 "/>
    <s v=" 65.7664 "/>
    <x v="0"/>
    <n v="584656"/>
    <m/>
    <m/>
  </r>
  <r>
    <x v="4"/>
    <x v="6"/>
    <s v="F:\Données chgh\2020-CHG-CZA-Cromolyn-3\plaque 1/@04 EE2 76/G4_03.tif "/>
    <s v=" 8240.9899 "/>
    <s v=" 65.0971 "/>
    <x v="0"/>
    <n v="536465"/>
    <m/>
    <m/>
  </r>
  <r>
    <x v="4"/>
    <x v="7"/>
    <s v="F:\Données chgh\2020-CHG-CZA-Cromolyn-3\plaque 1/@04 EE2 76/H4_01- exclu.tif"/>
    <m/>
    <m/>
    <x v="1"/>
    <m/>
    <m/>
    <m/>
  </r>
  <r>
    <x v="4"/>
    <x v="7"/>
    <s v="F:\Données chgh\2020-CHG-CZA-Cromolyn-3\plaque 1/@04 EE2 76/H4_02.tif "/>
    <s v=" 15292.3355 "/>
    <s v=" 71.5361 "/>
    <x v="0"/>
    <n v="1093954"/>
    <m/>
    <m/>
  </r>
  <r>
    <x v="4"/>
    <x v="7"/>
    <s v="F:\Données chgh\2020-CHG-CZA-Cromolyn-3\plaque 1/@04 EE2 76/H4_03.tif "/>
    <s v=" 13410.5347 "/>
    <s v=" 71.8806 "/>
    <x v="0"/>
    <n v="963958"/>
    <m/>
    <m/>
  </r>
  <r>
    <x v="1"/>
    <x v="8"/>
    <s v=" "/>
    <m/>
    <m/>
    <x v="1"/>
    <m/>
    <m/>
    <m/>
  </r>
  <r>
    <x v="1"/>
    <x v="8"/>
    <s v="group "/>
    <s v=" "/>
    <s v=" mean of mean fluo "/>
    <x v="2"/>
    <s v=" mean of total fluo "/>
    <s v=" SD total fluo "/>
    <s v=" n fluorescent "/>
  </r>
  <r>
    <x v="4"/>
    <x v="9"/>
    <s v="F:\Données chgh\2020-CHG-CZA-Cromolyn-3\plaque 1/@04 EE2 76/ "/>
    <s v=" "/>
    <s v=" 66.4133 "/>
    <x v="6"/>
    <n v="370484"/>
    <s v=" 343854.79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5"/>
    <x v="0"/>
    <s v="F:\Données chgh\2020-CHG-CZA-Cromolyn-3\plaque 1/@05 EE2 114/A5_01.tif "/>
    <s v=" 20332.101 "/>
    <s v=" 68.6426 "/>
    <x v="0"/>
    <n v="1395647"/>
    <m/>
    <m/>
  </r>
  <r>
    <x v="5"/>
    <x v="0"/>
    <s v="F:\Données chgh\2020-CHG-CZA-Cromolyn-3\plaque 1/@05 EE2 114/A5_02.tif "/>
    <s v=" 18839.6382 "/>
    <s v=" 69.3766 "/>
    <x v="0"/>
    <n v="1307030"/>
    <m/>
    <m/>
  </r>
  <r>
    <x v="5"/>
    <x v="0"/>
    <s v="F:\Données chgh\2020-CHG-CZA-Cromolyn-3\plaque 1/@05 EE2 114/A5_03.tif "/>
    <s v=" 17931.1826 "/>
    <s v=" 67.3957 "/>
    <x v="0"/>
    <n v="1208484"/>
    <m/>
    <m/>
  </r>
  <r>
    <x v="5"/>
    <x v="1"/>
    <s v="F:\Données chgh\2020-CHG-CZA-Cromolyn-3\plaque 1/@05 EE2 114/B5_01.tif "/>
    <s v=" 10166.0505 "/>
    <s v=" 66.7191 "/>
    <x v="0"/>
    <n v="678270"/>
    <m/>
    <m/>
  </r>
  <r>
    <x v="5"/>
    <x v="1"/>
    <s v="F:\Données chgh\2020-CHG-CZA-Cromolyn-3\plaque 1/@05 EE2 114/B5_02.tif "/>
    <s v=" 8349.1393 "/>
    <s v=" 63.9482 "/>
    <x v="0"/>
    <n v="533912"/>
    <m/>
    <m/>
  </r>
  <r>
    <x v="5"/>
    <x v="1"/>
    <s v="F:\Données chgh\2020-CHG-CZA-Cromolyn-3\plaque 1/@05 EE2 114/B5_03.tif "/>
    <s v=" 8781.7372 "/>
    <s v=" 66.8128 "/>
    <x v="0"/>
    <n v="586733"/>
    <m/>
    <m/>
  </r>
  <r>
    <x v="5"/>
    <x v="2"/>
    <s v="F:\Données chgh\2020-CHG-CZA-Cromolyn-3\plaque 1/@05 EE2 114/C5_01- exclu.tif"/>
    <m/>
    <m/>
    <x v="1"/>
    <m/>
    <m/>
    <m/>
  </r>
  <r>
    <x v="5"/>
    <x v="2"/>
    <s v="F:\Données chgh\2020-CHG-CZA-Cromolyn-3\plaque 1/@05 EE2 114/C5_02.tif "/>
    <s v=" 22927.6883 "/>
    <s v=" 69.4594 "/>
    <x v="0"/>
    <n v="1592544"/>
    <m/>
    <m/>
  </r>
  <r>
    <x v="5"/>
    <x v="2"/>
    <s v="F:\Données chgh\2020-CHG-CZA-Cromolyn-3\plaque 1/@05 EE2 114/C5_03.tif "/>
    <s v=" 17109.2467 "/>
    <s v=" 67.981 "/>
    <x v="0"/>
    <n v="1163104"/>
    <m/>
    <m/>
  </r>
  <r>
    <x v="5"/>
    <x v="3"/>
    <s v="F:\Données chgh\2020-CHG-CZA-Cromolyn-3\plaque 1/@05 EE2 114/D5_01.tif "/>
    <s v=" 14621.8088 "/>
    <s v=" 66.7308 "/>
    <x v="0"/>
    <n v="975725"/>
    <m/>
    <m/>
  </r>
  <r>
    <x v="5"/>
    <x v="3"/>
    <s v="F:\Données chgh\2020-CHG-CZA-Cromolyn-3\plaque 1/@05 EE2 114/D5_02.tif "/>
    <s v=" 13432.1646 "/>
    <s v=" 66.9114 "/>
    <x v="0"/>
    <n v="898765"/>
    <m/>
    <m/>
  </r>
  <r>
    <x v="5"/>
    <x v="3"/>
    <s v="F:\Données chgh\2020-CHG-CZA-Cromolyn-3\plaque 1/@05 EE2 114/D5_03.tif "/>
    <s v=" 13475.4244 "/>
    <s v=" 66.8379 "/>
    <x v="0"/>
    <n v="900669"/>
    <m/>
    <m/>
  </r>
  <r>
    <x v="5"/>
    <x v="4"/>
    <s v="F:\Données chgh\2020-CHG-CZA-Cromolyn-3\plaque 1/@05 EE2 114/E5_01.tif "/>
    <s v=" 8500.5486 "/>
    <s v=" 68.4555 "/>
    <x v="0"/>
    <n v="581909"/>
    <m/>
    <m/>
  </r>
  <r>
    <x v="5"/>
    <x v="4"/>
    <s v="F:\Données chgh\2020-CHG-CZA-Cromolyn-3\plaque 1/@05 EE2 114/E5_02.tif "/>
    <s v=" 8954.7764 "/>
    <s v=" 72.6546 "/>
    <x v="0"/>
    <n v="650606"/>
    <m/>
    <m/>
  </r>
  <r>
    <x v="5"/>
    <x v="4"/>
    <s v="F:\Données chgh\2020-CHG-CZA-Cromolyn-3\plaque 1/@05 EE2 114/E5_03.tif "/>
    <s v=" 6726.8972 "/>
    <s v=" 67.1093 "/>
    <x v="0"/>
    <n v="451438"/>
    <m/>
    <m/>
  </r>
  <r>
    <x v="5"/>
    <x v="5"/>
    <s v="F:\Données chgh\2020-CHG-CZA-Cromolyn-3\plaque 1/@05 EE2 114/F5_01.tif "/>
    <s v=" 29719.4752 "/>
    <s v=" 67.2955 "/>
    <x v="0"/>
    <n v="1999987"/>
    <m/>
    <m/>
  </r>
  <r>
    <x v="5"/>
    <x v="5"/>
    <s v="F:\Données chgh\2020-CHG-CZA-Cromolyn-3\plaque 1/@05 EE2 114/F5_02.tif "/>
    <s v=" 24593.1902 "/>
    <s v=" 65.6702 "/>
    <x v="0"/>
    <n v="1615039"/>
    <m/>
    <m/>
  </r>
  <r>
    <x v="5"/>
    <x v="5"/>
    <s v="F:\Données chgh\2020-CHG-CZA-Cromolyn-3\plaque 1/@05 EE2 114/F5_03.tif "/>
    <s v=" 22019.2327 "/>
    <s v=" 65.6061 "/>
    <x v="0"/>
    <n v="1444596"/>
    <m/>
    <m/>
  </r>
  <r>
    <x v="5"/>
    <x v="6"/>
    <s v="F:\Données chgh\2020-CHG-CZA-Cromolyn-3\plaque 1/@05 EE2 114/G5_01.tif "/>
    <s v=" 31622.9059 "/>
    <s v=" 68.8892 "/>
    <x v="0"/>
    <n v="2178476"/>
    <m/>
    <m/>
  </r>
  <r>
    <x v="5"/>
    <x v="6"/>
    <s v="F:\Données chgh\2020-CHG-CZA-Cromolyn-3\plaque 1/@05 EE2 114/G5_02.tif "/>
    <s v=" 35494.6571 "/>
    <s v=" 68.3004 "/>
    <x v="0"/>
    <n v="2424300"/>
    <m/>
    <m/>
  </r>
  <r>
    <x v="5"/>
    <x v="6"/>
    <s v="F:\Données chgh\2020-CHG-CZA-Cromolyn-3\plaque 1/@05 EE2 114/G5_03.tif "/>
    <s v=" 35992.1447 "/>
    <s v=" 69.3888 "/>
    <x v="0"/>
    <n v="2497453"/>
    <m/>
    <m/>
  </r>
  <r>
    <x v="5"/>
    <x v="7"/>
    <s v="F:\Données chgh\2020-CHG-CZA-Cromolyn-3\plaque 1/@05 EE2 114/H5_01.tif "/>
    <s v=" 22343.6812 "/>
    <s v=" 67.7735 "/>
    <x v="0"/>
    <n v="1514309"/>
    <m/>
    <m/>
  </r>
  <r>
    <x v="5"/>
    <x v="7"/>
    <s v="F:\Données chgh\2020-CHG-CZA-Cromolyn-3\plaque 1/@05 EE2 114/H5_02.tif "/>
    <s v=" 17671.6239 "/>
    <s v=" 66.8005 "/>
    <x v="0"/>
    <n v="1180473"/>
    <m/>
    <m/>
  </r>
  <r>
    <x v="5"/>
    <x v="7"/>
    <s v="F:\Données chgh\2020-CHG-CZA-Cromolyn-3\plaque 1/@05 EE2 114/H5_03.tif "/>
    <s v=" 17844.6631 "/>
    <s v=" 66.9442 "/>
    <x v="0"/>
    <n v="1194597"/>
    <m/>
    <m/>
  </r>
  <r>
    <x v="1"/>
    <x v="8"/>
    <s v=" "/>
    <m/>
    <m/>
    <x v="1"/>
    <m/>
    <m/>
    <m/>
  </r>
  <r>
    <x v="1"/>
    <x v="8"/>
    <s v="group "/>
    <s v=" "/>
    <s v=" mean of mean fluo "/>
    <x v="2"/>
    <s v=" mean of total fluo "/>
    <s v=" SD total fluo "/>
    <s v=" n fluorescent "/>
  </r>
  <r>
    <x v="5"/>
    <x v="9"/>
    <s v="F:\Données chgh\2020-CHG-CZA-Cromolyn-3\plaque 1/@05 EE2 114/ "/>
    <s v=" "/>
    <s v=" 67.7396 "/>
    <x v="7"/>
    <s v=" 1259333.92 "/>
    <s v=" 582388.717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6"/>
    <x v="0"/>
    <s v="F:\Données chgh\2020-CHG-CZA-Cromolyn-3\plaque 1/@06 EE2 171/A6_01.tif "/>
    <s v=" 33937.3047 "/>
    <s v=" 79.3257 "/>
    <x v="0"/>
    <n v="2692100"/>
    <m/>
    <m/>
  </r>
  <r>
    <x v="6"/>
    <x v="0"/>
    <s v="F:\Données chgh\2020-CHG-CZA-Cromolyn-3\plaque 1/@06 EE2 171/A6_02.tif "/>
    <s v=" 44427.8036 "/>
    <s v=" 77.555 "/>
    <x v="0"/>
    <n v="3445599"/>
    <m/>
    <m/>
  </r>
  <r>
    <x v="6"/>
    <x v="0"/>
    <s v="F:\Données chgh\2020-CHG-CZA-Cromolyn-3\plaque 1/@06 EE2 171/A6_03.tif "/>
    <s v=" 42632.5223 "/>
    <s v=" 77.1776 "/>
    <x v="0"/>
    <n v="3290275"/>
    <m/>
    <m/>
  </r>
  <r>
    <x v="6"/>
    <x v="1"/>
    <s v="F:\Données chgh\2020-CHG-CZA-Cromolyn-3\plaque 1/@06 EE2 171/B6_01.tif "/>
    <s v=" 7938.1713 "/>
    <s v=" 65.9619 "/>
    <x v="0"/>
    <n v="523616"/>
    <m/>
    <m/>
  </r>
  <r>
    <x v="6"/>
    <x v="1"/>
    <s v="F:\Données chgh\2020-CHG-CZA-Cromolyn-3\plaque 1/@06 EE2 171/B6_02.tif "/>
    <s v=" 11398.9545 "/>
    <s v=" 67.1176 "/>
    <x v="0"/>
    <n v="765071"/>
    <m/>
    <m/>
  </r>
  <r>
    <x v="6"/>
    <x v="1"/>
    <s v="F:\Données chgh\2020-CHG-CZA-Cromolyn-3\plaque 1/@06 EE2 171/B6_03.tif "/>
    <s v=" 8651.9579 "/>
    <s v=" 66.27 "/>
    <x v="0"/>
    <n v="573365"/>
    <m/>
    <m/>
  </r>
  <r>
    <x v="6"/>
    <x v="2"/>
    <s v="F:\Données chgh\2020-CHG-CZA-Cromolyn-3\plaque 1/@06 EE2 171/C6_01.tif "/>
    <s v=" 29849.2546 "/>
    <s v=" 71.4659 "/>
    <x v="0"/>
    <n v="2133205"/>
    <m/>
    <m/>
  </r>
  <r>
    <x v="6"/>
    <x v="2"/>
    <s v="F:\Données chgh\2020-CHG-CZA-Cromolyn-3\plaque 1/@06 EE2 171/C6_02.tif "/>
    <s v=" 28875.9093 "/>
    <s v=" 72.7378 "/>
    <x v="0"/>
    <n v="2100371"/>
    <m/>
    <m/>
  </r>
  <r>
    <x v="6"/>
    <x v="2"/>
    <s v="F:\Données chgh\2020-CHG-CZA-Cromolyn-3\plaque 1/@06 EE2 171/C6_03.tif "/>
    <s v=" 27621.3754 "/>
    <s v=" 70.3923 "/>
    <x v="0"/>
    <n v="1944333"/>
    <m/>
    <m/>
  </r>
  <r>
    <x v="6"/>
    <x v="3"/>
    <s v="F:\Données chgh\2020-CHG-CZA-Cromolyn-3\plaque 1/@06 EE2 171/D6_01.tif "/>
    <s v=" 38630.9918 "/>
    <s v=" 68.3561 "/>
    <x v="0"/>
    <n v="2640664"/>
    <m/>
    <m/>
  </r>
  <r>
    <x v="6"/>
    <x v="3"/>
    <s v="F:\Données chgh\2020-CHG-CZA-Cromolyn-3\plaque 1/@06 EE2 171/D6_02.tif "/>
    <s v=" 39020.3299 "/>
    <s v=" 68.5715 "/>
    <x v="0"/>
    <n v="2675683"/>
    <m/>
    <m/>
  </r>
  <r>
    <x v="6"/>
    <x v="3"/>
    <s v="F:\Données chgh\2020-CHG-CZA-Cromolyn-3\plaque 1/@06 EE2 171/D6_03.tif "/>
    <s v=" 39128.4794 "/>
    <s v=" 68.0083 "/>
    <x v="0"/>
    <n v="2661061"/>
    <m/>
    <m/>
  </r>
  <r>
    <x v="6"/>
    <x v="4"/>
    <s v="F:\Données chgh\2020-CHG-CZA-Cromolyn-3\plaque 1/@06 EE2 171/E6_01.tif "/>
    <s v=" 23446.8058 "/>
    <s v=" 72.5867 "/>
    <x v="0"/>
    <n v="1701927"/>
    <m/>
    <m/>
  </r>
  <r>
    <x v="6"/>
    <x v="4"/>
    <s v="F:\Données chgh\2020-CHG-CZA-Cromolyn-3\plaque 1/@06 EE2 171/E6_02.tif "/>
    <s v=" 25544.9056 "/>
    <s v=" 73.95 "/>
    <x v="0"/>
    <n v="1889047"/>
    <m/>
    <m/>
  </r>
  <r>
    <x v="6"/>
    <x v="4"/>
    <s v="F:\Données chgh\2020-CHG-CZA-Cromolyn-3\plaque 1/@06 EE2 171/E6_03.tif "/>
    <s v=" 24658.0799 "/>
    <s v=" 75.414 "/>
    <x v="0"/>
    <n v="1859565"/>
    <m/>
    <m/>
  </r>
  <r>
    <x v="6"/>
    <x v="5"/>
    <s v="F:\Données chgh\2020-CHG-CZA-Cromolyn-3\plaque 1/@06 EE2 171/F6_01.tif "/>
    <s v=" 48148.1454 "/>
    <s v=" 72.0157 "/>
    <x v="0"/>
    <n v="3467424"/>
    <m/>
    <m/>
  </r>
  <r>
    <x v="6"/>
    <x v="5"/>
    <s v="F:\Données chgh\2020-CHG-CZA-Cromolyn-3\plaque 1/@06 EE2 171/F6_02.tif "/>
    <s v=" 50960.0317 "/>
    <s v=" 73.3213 "/>
    <x v="0"/>
    <n v="3736456"/>
    <m/>
    <m/>
  </r>
  <r>
    <x v="6"/>
    <x v="5"/>
    <s v="F:\Données chgh\2020-CHG-CZA-Cromolyn-3\plaque 1/@06 EE2 171/F6_03.tif "/>
    <s v=" 47088.2806 "/>
    <s v=" 74.0175 "/>
    <x v="0"/>
    <n v="3485355"/>
    <m/>
    <m/>
  </r>
  <r>
    <x v="6"/>
    <x v="6"/>
    <s v="F:\Données chgh\2020-CHG-CZA-Cromolyn-3\plaque 1/@06 EE2 171/G6_01.tif "/>
    <s v=" 24744.5995 "/>
    <s v=" 69.6608 "/>
    <x v="0"/>
    <n v="1723730"/>
    <m/>
    <m/>
  </r>
  <r>
    <x v="6"/>
    <x v="6"/>
    <s v="F:\Données chgh\2020-CHG-CZA-Cromolyn-3\plaque 1/@06 EE2 171/G6_02.tif "/>
    <s v=" 21521.7452 "/>
    <s v=" 70.0754 "/>
    <x v="0"/>
    <n v="1508144"/>
    <m/>
    <m/>
  </r>
  <r>
    <x v="6"/>
    <x v="6"/>
    <s v="F:\Données chgh\2020-CHG-CZA-Cromolyn-3\plaque 1/@06 EE2 171/G6_03.tif "/>
    <s v=" 21283.8163 "/>
    <s v=" 69.3008 "/>
    <x v="0"/>
    <n v="1474986"/>
    <m/>
    <m/>
  </r>
  <r>
    <x v="6"/>
    <x v="7"/>
    <s v="F:\Données chgh\2020-CHG-CZA-Cromolyn-3\plaque 1/@06 EE2 171/H6_01.tif "/>
    <s v=" 32250.1729 "/>
    <s v=" 84.6157 "/>
    <x v="0"/>
    <n v="2728871"/>
    <m/>
    <m/>
  </r>
  <r>
    <x v="6"/>
    <x v="7"/>
    <s v="F:\Données chgh\2020-CHG-CZA-Cromolyn-3\plaque 1/@06 EE2 171/H6_02.tif "/>
    <s v=" 28681.2403 "/>
    <s v=" 81.0513 "/>
    <x v="0"/>
    <n v="2324651"/>
    <m/>
    <m/>
  </r>
  <r>
    <x v="6"/>
    <x v="7"/>
    <s v="F:\Données chgh\2020-CHG-CZA-Cromolyn-3\plaque 1/@06 EE2 171/H6_03.tif "/>
    <s v=" 29438.2866 "/>
    <s v=" 83.191 "/>
    <x v="0"/>
    <n v="2449002"/>
    <m/>
    <m/>
  </r>
  <r>
    <x v="1"/>
    <x v="8"/>
    <s v=" "/>
    <m/>
    <m/>
    <x v="1"/>
    <m/>
    <m/>
    <m/>
  </r>
  <r>
    <x v="1"/>
    <x v="8"/>
    <s v="group "/>
    <s v=" "/>
    <s v=" mean of mean fluo "/>
    <x v="2"/>
    <s v=" mean of total fluo "/>
    <s v=" SD total fluo "/>
    <s v=" n fluorescent "/>
  </r>
  <r>
    <x v="6"/>
    <x v="9"/>
    <s v="F:\Données chgh\2020-CHG-CZA-Cromolyn-3\plaque 1/@06 EE2 171/ "/>
    <s v=" "/>
    <s v=" 73.0058 "/>
    <x v="8"/>
    <s v=" 2241437.54 "/>
    <s v=" 904996.63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7"/>
    <x v="0"/>
    <s v="F:\Données chgh\2020-CHG-CZA-Cromolyn-3\plaque 1/@07 EE2 488/A7_01- exclu.tif"/>
    <m/>
    <m/>
    <x v="1"/>
    <m/>
    <m/>
    <m/>
  </r>
  <r>
    <x v="7"/>
    <x v="0"/>
    <s v="F:\Données chgh\2020-CHG-CZA-Cromolyn-3\plaque 1/@07 EE2 488/A7_02.tif "/>
    <s v=" 29827.6247 "/>
    <s v=" 90.4271 "/>
    <x v="0"/>
    <n v="2697226"/>
    <m/>
    <m/>
  </r>
  <r>
    <x v="7"/>
    <x v="0"/>
    <s v="F:\Données chgh\2020-CHG-CZA-Cromolyn-3\plaque 1/@07 EE2 488/A7_03.tif "/>
    <s v=" 36035.4045 "/>
    <s v=" 94.2815 "/>
    <x v="0"/>
    <n v="3397472"/>
    <m/>
    <m/>
  </r>
  <r>
    <x v="7"/>
    <x v="1"/>
    <s v="F:\Données chgh\2020-CHG-CZA-Cromolyn-3\plaque 1/@07 EE2 488/B7_01.tif "/>
    <s v=" 65062.723 "/>
    <s v=" 96.6051 "/>
    <x v="0"/>
    <n v="6285388"/>
    <m/>
    <m/>
  </r>
  <r>
    <x v="7"/>
    <x v="1"/>
    <s v="F:\Données chgh\2020-CHG-CZA-Cromolyn-3\plaque 1/@07 EE2 488/B7_02.tif "/>
    <s v=" 59071.2422 "/>
    <s v=" 98.8407 "/>
    <x v="0"/>
    <n v="5838644"/>
    <m/>
    <m/>
  </r>
  <r>
    <x v="7"/>
    <x v="1"/>
    <s v="F:\Données chgh\2020-CHG-CZA-Cromolyn-3\plaque 1/@07 EE2 488/B7_03.tif "/>
    <s v=" 62380.6161 "/>
    <s v=" 98.5437 "/>
    <x v="0"/>
    <n v="6147216"/>
    <m/>
    <m/>
  </r>
  <r>
    <x v="7"/>
    <x v="2"/>
    <s v="F:\Données chgh\2020-CHG-CZA-Cromolyn-3\plaque 1/@07 EE2 488/C7_01.tif "/>
    <s v=" 75293.6632 "/>
    <s v=" 101.9219 "/>
    <x v="0"/>
    <n v="7674070"/>
    <m/>
    <m/>
  </r>
  <r>
    <x v="7"/>
    <x v="2"/>
    <s v="F:\Données chgh\2020-CHG-CZA-Cromolyn-3\plaque 1/@07 EE2 488/C7_02.tif "/>
    <s v=" 70837.9049 "/>
    <s v=" 100.9093 "/>
    <x v="0"/>
    <n v="7148204"/>
    <m/>
    <m/>
  </r>
  <r>
    <x v="7"/>
    <x v="2"/>
    <s v="F:\Données chgh\2020-CHG-CZA-Cromolyn-3\plaque 1/@07 EE2 488/C7_03.tif "/>
    <s v=" 80766.0265 "/>
    <s v=" 100.7772 "/>
    <x v="0"/>
    <n v="8139373"/>
    <m/>
    <m/>
  </r>
  <r>
    <x v="7"/>
    <x v="3"/>
    <s v="F:\Données chgh\2020-CHG-CZA-Cromolyn-3\plaque 1/@07 EE2 488/D7_01.tif "/>
    <s v=" 37657.6465 "/>
    <s v=" 86.8742 "/>
    <x v="0"/>
    <n v="3271478"/>
    <m/>
    <m/>
  </r>
  <r>
    <x v="7"/>
    <x v="3"/>
    <s v="F:\Données chgh\2020-CHG-CZA-Cromolyn-3\plaque 1/@07 EE2 488/D7_02.tif "/>
    <s v=" 37765.796 "/>
    <s v=" 89.0097 "/>
    <x v="0"/>
    <n v="3361524"/>
    <m/>
    <m/>
  </r>
  <r>
    <x v="7"/>
    <x v="3"/>
    <s v="F:\Données chgh\2020-CHG-CZA-Cromolyn-3\plaque 1/@07 EE2 488/D7_03.tif "/>
    <s v=" 35040.4293 "/>
    <s v=" 93.034 "/>
    <x v="0"/>
    <n v="3259950"/>
    <m/>
    <m/>
  </r>
  <r>
    <x v="7"/>
    <x v="4"/>
    <s v="F:\Données chgh\2020-CHG-CZA-Cromolyn-3\plaque 1/@07 EE2 488/E7_01.tif "/>
    <s v=" 32271.8028 "/>
    <s v=" 100.2594 "/>
    <x v="0"/>
    <n v="3235551"/>
    <m/>
    <m/>
  </r>
  <r>
    <x v="7"/>
    <x v="4"/>
    <s v="F:\Données chgh\2020-CHG-CZA-Cromolyn-3\plaque 1/@07 EE2 488/E7_02.tif "/>
    <s v=" 31536.3864 "/>
    <s v=" 102.1173 "/>
    <x v="0"/>
    <n v="3220410"/>
    <m/>
    <m/>
  </r>
  <r>
    <x v="7"/>
    <x v="4"/>
    <s v="F:\Données chgh\2020-CHG-CZA-Cromolyn-3\plaque 1/@07 EE2 488/E7_03.tif "/>
    <s v=" 27253.6672 "/>
    <s v=" 100.4817 "/>
    <x v="0"/>
    <n v="2738496"/>
    <m/>
    <m/>
  </r>
  <r>
    <x v="7"/>
    <x v="5"/>
    <s v="F:\Données chgh\2020-CHG-CZA-Cromolyn-3\plaque 1/@07 EE2 488/F7_01.tif "/>
    <s v=" 53944.9572 "/>
    <s v=" 85.8877 "/>
    <x v="0"/>
    <n v="4633210"/>
    <m/>
    <m/>
  </r>
  <r>
    <x v="7"/>
    <x v="5"/>
    <s v="F:\Données chgh\2020-CHG-CZA-Cromolyn-3\plaque 1/@07 EE2 488/F7_02.tif "/>
    <s v=" 53014.8717 "/>
    <s v=" 84.7458 "/>
    <x v="0"/>
    <n v="4492789"/>
    <m/>
    <m/>
  </r>
  <r>
    <x v="7"/>
    <x v="5"/>
    <s v="F:\Données chgh\2020-CHG-CZA-Cromolyn-3\plaque 1/@07 EE2 488/F7_03- exclu.tif"/>
    <m/>
    <m/>
    <x v="1"/>
    <m/>
    <m/>
    <m/>
  </r>
  <r>
    <x v="7"/>
    <x v="6"/>
    <s v="F:\Données chgh\2020-CHG-CZA-Cromolyn-3\plaque 1/@07 EE2 488/G7_01.tif "/>
    <s v=" 42135.0347 "/>
    <s v=" 95.0113 "/>
    <x v="0"/>
    <n v="4003304"/>
    <m/>
    <m/>
  </r>
  <r>
    <x v="7"/>
    <x v="6"/>
    <s v="F:\Données chgh\2020-CHG-CZA-Cromolyn-3\plaque 1/@07 EE2 488/G7_02.tif "/>
    <s v=" 43238.1594 "/>
    <s v=" 98.7909 "/>
    <x v="0"/>
    <n v="4271536"/>
    <m/>
    <m/>
  </r>
  <r>
    <x v="7"/>
    <x v="6"/>
    <s v="F:\Données chgh\2020-CHG-CZA-Cromolyn-3\plaque 1/@07 EE2 488/G7_03.tif "/>
    <s v=" 39496.1876 "/>
    <s v=" 97.1867 "/>
    <x v="0"/>
    <n v="3838506"/>
    <m/>
    <m/>
  </r>
  <r>
    <x v="7"/>
    <x v="7"/>
    <s v="F:\Données chgh\2020-CHG-CZA-Cromolyn-3\plaque 1/@07 EE2 488/H7_01.tif "/>
    <s v=" 60996.3029 "/>
    <s v=" 92.1709 "/>
    <x v="0"/>
    <n v="5622085"/>
    <m/>
    <m/>
  </r>
  <r>
    <x v="7"/>
    <x v="7"/>
    <s v="F:\Données chgh\2020-CHG-CZA-Cromolyn-3\plaque 1/@07 EE2 488/H7_02.tif "/>
    <s v=" 59006.3525 "/>
    <s v=" 92.662 "/>
    <x v="0"/>
    <n v="5467648"/>
    <m/>
    <m/>
  </r>
  <r>
    <x v="7"/>
    <x v="7"/>
    <s v="F:\Données chgh\2020-CHG-CZA-Cromolyn-3\plaque 1/@07 EE2 488/H7_03.tif "/>
    <s v=" 62445.5058 "/>
    <s v=" 91.1663 "/>
    <x v="0"/>
    <n v="5692923"/>
    <m/>
    <m/>
  </r>
  <r>
    <x v="1"/>
    <x v="8"/>
    <s v=" "/>
    <m/>
    <m/>
    <x v="1"/>
    <m/>
    <m/>
    <m/>
  </r>
  <r>
    <x v="1"/>
    <x v="8"/>
    <s v="group "/>
    <s v=" "/>
    <s v=" mean of mean fluo "/>
    <x v="2"/>
    <s v=" mean of total fluo "/>
    <s v=" SD total fluo "/>
    <s v=" n fluorescent "/>
  </r>
  <r>
    <x v="7"/>
    <x v="9"/>
    <s v="F:\Données chgh\2020-CHG-CZA-Cromolyn-3\plaque 1/@07 EE2 488/ "/>
    <s v=" "/>
    <s v=" 94.1728 "/>
    <x v="9"/>
    <s v=" 4667360.79 "/>
    <s v=" 1595932.0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8"/>
    <x v="0"/>
    <s v="F:\Données chgh\2020-CHG-CZA-Cromolyn-3\plaque 1/@08 Cromolyn 0.1/A8_01.tif "/>
    <s v=" 7094.6054 "/>
    <s v=" 68.1311 "/>
    <x v="0"/>
    <n v="483363"/>
    <m/>
    <m/>
  </r>
  <r>
    <x v="8"/>
    <x v="0"/>
    <s v="F:\Données chgh\2020-CHG-CZA-Cromolyn-3\plaque 1/@08 Cromolyn 0.1/A8_02.tif "/>
    <s v=" 10274.1999 "/>
    <s v=" 72.6674 "/>
    <x v="0"/>
    <n v="746599"/>
    <m/>
    <m/>
  </r>
  <r>
    <x v="8"/>
    <x v="0"/>
    <s v="F:\Données chgh\2020-CHG-CZA-Cromolyn-3\plaque 1/@08 Cromolyn 0.1/A8_03.tif "/>
    <s v=" 6078.0004 "/>
    <s v=" 67.8149 "/>
    <x v="0"/>
    <n v="412179"/>
    <m/>
    <m/>
  </r>
  <r>
    <x v="8"/>
    <x v="1"/>
    <s v="F:\Données chgh\2020-CHG-CZA-Cromolyn-3\plaque 1/@08 Cromolyn 0.1/B8_01.tif "/>
    <s v=" 843.5659 "/>
    <s v=" 64.7949 "/>
    <x v="0"/>
    <n v="54659"/>
    <m/>
    <m/>
  </r>
  <r>
    <x v="8"/>
    <x v="1"/>
    <s v="F:\Données chgh\2020-CHG-CZA-Cromolyn-3\plaque 1/@08 Cromolyn 0.1/B8_02.tif "/>
    <s v=" 1276.1638 "/>
    <s v=" 63.8983 "/>
    <x v="0"/>
    <n v="81545"/>
    <m/>
    <m/>
  </r>
  <r>
    <x v="8"/>
    <x v="1"/>
    <s v="F:\Données chgh\2020-CHG-CZA-Cromolyn-3\plaque 1/@08 Cromolyn 0.1/B8_03.tif "/>
    <s v=" 2725.3667 "/>
    <s v=" 64.754 "/>
    <x v="0"/>
    <n v="176478"/>
    <m/>
    <m/>
  </r>
  <r>
    <x v="8"/>
    <x v="2"/>
    <s v="F:\Données chgh\2020-CHG-CZA-Cromolyn-3\plaque 1/@08 Cromolyn 0.1/C8_01.tif "/>
    <s v=" 5212.8046 "/>
    <s v=" 67.9295 "/>
    <x v="0"/>
    <n v="354103"/>
    <m/>
    <m/>
  </r>
  <r>
    <x v="8"/>
    <x v="2"/>
    <s v="F:\Données chgh\2020-CHG-CZA-Cromolyn-3\plaque 1/@08 Cromolyn 0.1/C8_02.tif "/>
    <s v=" 2336.0286 "/>
    <s v=" 66.7407 "/>
    <x v="0"/>
    <n v="155908"/>
    <m/>
    <m/>
  </r>
  <r>
    <x v="8"/>
    <x v="2"/>
    <s v="F:\Données chgh\2020-CHG-CZA-Cromolyn-3\plaque 1/@08 Cromolyn 0.1/C8_03.tif "/>
    <s v=" 151.4093 "/>
    <s v=" 61.8571 "/>
    <x v="0"/>
    <n v="9366"/>
    <m/>
    <m/>
  </r>
  <r>
    <x v="8"/>
    <x v="3"/>
    <s v="F:\Données chgh\2020-CHG-CZA-Cromolyn-3\plaque 1/@08 Cromolyn 0.1/D8_01.tif "/>
    <s v=" 389.3381 "/>
    <s v=" 65.5556 "/>
    <x v="0"/>
    <n v="25523"/>
    <m/>
    <m/>
  </r>
  <r>
    <x v="8"/>
    <x v="3"/>
    <s v="F:\Données chgh\2020-CHG-CZA-Cromolyn-3\plaque 1/@08 Cromolyn 0.1/D8_02.tif "/>
    <s v=" 432.5979 "/>
    <s v=" 62.65 "/>
    <x v="0"/>
    <n v="27102"/>
    <m/>
    <m/>
  </r>
  <r>
    <x v="8"/>
    <x v="3"/>
    <s v="F:\Données chgh\2020-CHG-CZA-Cromolyn-3\plaque 1/@08 Cromolyn 0.1/D8_03.tif "/>
    <s v=" 670.5267 "/>
    <s v=" 64.0645 "/>
    <x v="0"/>
    <n v="42957"/>
    <m/>
    <m/>
  </r>
  <r>
    <x v="8"/>
    <x v="4"/>
    <s v="F:\Données chgh\2020-CHG-CZA-Cromolyn-3\plaque 1/@08 Cromolyn 0.1/E8_01.tif "/>
    <s v=" 8998.0362 "/>
    <s v=" 70.9615 "/>
    <x v="0"/>
    <n v="638514"/>
    <m/>
    <m/>
  </r>
  <r>
    <x v="8"/>
    <x v="4"/>
    <s v="F:\Données chgh\2020-CHG-CZA-Cromolyn-3\plaque 1/@08 Cromolyn 0.1/E8_02.tif "/>
    <s v=" 865.1958 "/>
    <s v=" 64.475 "/>
    <x v="0"/>
    <n v="55783"/>
    <m/>
    <m/>
  </r>
  <r>
    <x v="8"/>
    <x v="4"/>
    <s v="F:\Données chgh\2020-CHG-CZA-Cromolyn-3\plaque 1/@08 Cromolyn 0.1/E8_03.tif "/>
    <s v=" 6424.0787 "/>
    <s v=" 69.6061 "/>
    <x v="0"/>
    <n v="447155"/>
    <m/>
    <m/>
  </r>
  <r>
    <x v="8"/>
    <x v="5"/>
    <s v="F:\Données chgh\2020-CHG-CZA-Cromolyn-3\plaque 1/@08 Cromolyn 0.1/F8_01.tif "/>
    <s v=" 540.7474 "/>
    <s v=" 63.36 "/>
    <x v="0"/>
    <n v="34262"/>
    <m/>
    <m/>
  </r>
  <r>
    <x v="8"/>
    <x v="5"/>
    <s v="F:\Données chgh\2020-CHG-CZA-Cromolyn-3\plaque 1/@08 Cromolyn 0.1/F8_02.tif "/>
    <s v=" 951.7154 "/>
    <s v=" 64.5682 "/>
    <x v="0"/>
    <n v="61451"/>
    <m/>
    <m/>
  </r>
  <r>
    <x v="8"/>
    <x v="5"/>
    <s v="F:\Données chgh\2020-CHG-CZA-Cromolyn-3\plaque 1/@08 Cromolyn 0.1/F8_03.tif "/>
    <s v=" 757.0463 "/>
    <s v=" 63.5429 "/>
    <x v="0"/>
    <n v="48105"/>
    <m/>
    <m/>
  </r>
  <r>
    <x v="8"/>
    <x v="6"/>
    <s v="F:\Données chgh\2020-CHG-CZA-Cromolyn-3\plaque 1/@08 Cromolyn 0.1/G8_01.tif "/>
    <s v=" 6553.8581 "/>
    <s v=" 65.1353 "/>
    <x v="0"/>
    <n v="426888"/>
    <m/>
    <m/>
  </r>
  <r>
    <x v="8"/>
    <x v="6"/>
    <s v="F:\Données chgh\2020-CHG-CZA-Cromolyn-3\plaque 1/@08 Cromolyn 0.1/G8_02- exclu.tif"/>
    <m/>
    <m/>
    <x v="1"/>
    <m/>
    <m/>
    <m/>
  </r>
  <r>
    <x v="8"/>
    <x v="6"/>
    <s v="F:\Données chgh\2020-CHG-CZA-Cromolyn-3\plaque 1/@08 Cromolyn 0.1/G8_03.tif "/>
    <s v=" 4736.9469 "/>
    <s v=" 64.0046 "/>
    <x v="0"/>
    <n v="303186"/>
    <m/>
    <m/>
  </r>
  <r>
    <x v="8"/>
    <x v="7"/>
    <s v="F:\Données chgh\2020-CHG-CZA-Cromolyn-3\plaque 1/@08 Cromolyn 0.1/H8_01.tif "/>
    <s v=" 4304.349 "/>
    <s v=" 67.206 "/>
    <x v="0"/>
    <n v="289278"/>
    <m/>
    <m/>
  </r>
  <r>
    <x v="8"/>
    <x v="7"/>
    <s v="F:\Données chgh\2020-CHG-CZA-Cromolyn-3\plaque 1/@08 Cromolyn 0.1/H8_02.tif "/>
    <s v=" 2292.7688 "/>
    <s v=" 63.9528 "/>
    <x v="0"/>
    <n v="146629"/>
    <m/>
    <m/>
  </r>
  <r>
    <x v="8"/>
    <x v="7"/>
    <s v="F:\Données chgh\2020-CHG-CZA-Cromolyn-3\plaque 1/@08 Cromolyn 0.1/H8_03.tif "/>
    <s v=" 5493.9932 "/>
    <s v=" 69.5197 "/>
    <x v="0"/>
    <n v="381941"/>
    <m/>
    <m/>
  </r>
  <r>
    <x v="1"/>
    <x v="8"/>
    <s v=" "/>
    <m/>
    <m/>
    <x v="1"/>
    <m/>
    <m/>
    <m/>
  </r>
  <r>
    <x v="1"/>
    <x v="8"/>
    <s v="group "/>
    <s v=" "/>
    <s v=" mean of mean fluo "/>
    <x v="2"/>
    <s v=" mean of total fluo "/>
    <s v=" SD total fluo "/>
    <s v=" n fluorescent "/>
  </r>
  <r>
    <x v="8"/>
    <x v="9"/>
    <s v="F:\Données chgh\2020-CHG-CZA-Cromolyn-3\plaque 1/@08 Cromolyn 0.1/ "/>
    <s v=" "/>
    <s v=" 65.8992 "/>
    <x v="10"/>
    <s v=" 234641.083 "/>
    <s v=" 211495.22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9"/>
    <x v="0"/>
    <s v="F:\Données chgh\2020-CHG-CZA-Cromolyn-3\plaque 1/@09 Cromolyn 1/A9_01.tif "/>
    <s v=" 1341.0535 "/>
    <s v=" 64.2742 "/>
    <x v="0"/>
    <n v="86195"/>
    <m/>
    <m/>
  </r>
  <r>
    <x v="9"/>
    <x v="0"/>
    <s v="F:\Données chgh\2020-CHG-CZA-Cromolyn-3\plaque 1/@09 Cromolyn 1/A9_02.tif "/>
    <s v=" 3266.1141 "/>
    <s v=" 66.6954 "/>
    <x v="0"/>
    <n v="217835"/>
    <m/>
    <m/>
  </r>
  <r>
    <x v="9"/>
    <x v="0"/>
    <s v="F:\Données chgh\2020-CHG-CZA-Cromolyn-3\plaque 1/@09 Cromolyn 1/A9_03.tif "/>
    <s v=" 1600.6122 "/>
    <s v=" 64.3649 "/>
    <x v="0"/>
    <n v="103023"/>
    <m/>
    <m/>
  </r>
  <r>
    <x v="9"/>
    <x v="1"/>
    <s v="F:\Données chgh\2020-CHG-CZA-Cromolyn-3\plaque 1/@09 Cromolyn 1/B9_01.tif "/>
    <s v=" 4261.0892 "/>
    <s v=" 68.8883 "/>
    <x v="0"/>
    <n v="293539"/>
    <m/>
    <m/>
  </r>
  <r>
    <x v="9"/>
    <x v="1"/>
    <s v="F:\Données chgh\2020-CHG-CZA-Cromolyn-3\plaque 1/@09 Cromolyn 1/B9_02.tif "/>
    <s v=" 2768.6265 "/>
    <s v=" 64.3438 "/>
    <x v="0"/>
    <n v="178144"/>
    <m/>
    <m/>
  </r>
  <r>
    <x v="9"/>
    <x v="1"/>
    <s v="F:\Données chgh\2020-CHG-CZA-Cromolyn-3\plaque 1/@09 Cromolyn 1/B9_03.tif "/>
    <s v=" 4866.7263 "/>
    <s v=" 67.2533 "/>
    <x v="0"/>
    <n v="327304"/>
    <m/>
    <m/>
  </r>
  <r>
    <x v="9"/>
    <x v="2"/>
    <s v="F:\Données chgh\2020-CHG-CZA-Cromolyn-3\plaque 1/@09 Cromolyn 1/C9_01.tif "/>
    <s v=" 1319.4236 "/>
    <s v=" 62.9508 "/>
    <x v="0"/>
    <n v="83059"/>
    <m/>
    <m/>
  </r>
  <r>
    <x v="9"/>
    <x v="2"/>
    <s v="F:\Données chgh\2020-CHG-CZA-Cromolyn-3\plaque 1/@09 Cromolyn 1/C9_02.tif "/>
    <s v=" 1427.573 "/>
    <s v=" 63.9848 "/>
    <x v="0"/>
    <n v="91343"/>
    <m/>
    <m/>
  </r>
  <r>
    <x v="9"/>
    <x v="2"/>
    <s v="F:\Données chgh\2020-CHG-CZA-Cromolyn-3\plaque 1/@09 Cromolyn 1/C9_03.tif "/>
    <s v=" 1254.5339 "/>
    <s v=" 63.2586 "/>
    <x v="0"/>
    <n v="79360"/>
    <m/>
    <m/>
  </r>
  <r>
    <x v="9"/>
    <x v="3"/>
    <s v="F:\Données chgh\2020-CHG-CZA-Cromolyn-3\plaque 1/@09 Cromolyn 1/D9_01.tif "/>
    <s v=" 908.4556 "/>
    <s v=" 63.5714 "/>
    <x v="0"/>
    <n v="57752"/>
    <m/>
    <m/>
  </r>
  <r>
    <x v="9"/>
    <x v="3"/>
    <s v="F:\Données chgh\2020-CHG-CZA-Cromolyn-3\plaque 1/@09 Cromolyn 1/D9_02.tif "/>
    <s v=" 1773.6514 "/>
    <s v=" 65.8902 "/>
    <x v="0"/>
    <n v="116866"/>
    <m/>
    <m/>
  </r>
  <r>
    <x v="9"/>
    <x v="3"/>
    <s v="F:\Données chgh\2020-CHG-CZA-Cromolyn-3\plaque 1/@09 Cromolyn 1/D9_03.tif "/>
    <s v=" 1514.0926 "/>
    <s v=" 66.1286 "/>
    <x v="0"/>
    <n v="100125"/>
    <m/>
    <m/>
  </r>
  <r>
    <x v="9"/>
    <x v="4"/>
    <s v="F:\Données chgh\2020-CHG-CZA-Cromolyn-3\plaque 1/@09 Cromolyn 1/E9_01.tif "/>
    <s v=" 2941.6657 "/>
    <s v=" 63.8382 "/>
    <x v="0"/>
    <n v="187791"/>
    <m/>
    <m/>
  </r>
  <r>
    <x v="9"/>
    <x v="4"/>
    <s v="F:\Données chgh\2020-CHG-CZA-Cromolyn-3\plaque 1/@09 Cromolyn 1/E9_02.tif "/>
    <s v=" 475.8577 "/>
    <s v=" 62.7727 "/>
    <x v="0"/>
    <n v="29871"/>
    <m/>
    <m/>
  </r>
  <r>
    <x v="9"/>
    <x v="4"/>
    <s v="F:\Données chgh\2020-CHG-CZA-Cromolyn-3\plaque 1/@09 Cromolyn 1/E9_03.tif "/>
    <s v=" 605.637 "/>
    <s v=" 62.8571 "/>
    <x v="0"/>
    <n v="38069"/>
    <m/>
    <m/>
  </r>
  <r>
    <x v="9"/>
    <x v="5"/>
    <s v="F:\Données chgh\2020-CHG-CZA-Cromolyn-3\plaque 1/@09 Cromolyn 1/F9_01.tif "/>
    <s v=" 6186.1499 "/>
    <s v=" 76.0245 "/>
    <x v="0"/>
    <n v="470299"/>
    <m/>
    <m/>
  </r>
  <r>
    <x v="9"/>
    <x v="5"/>
    <s v="F:\Données chgh\2020-CHG-CZA-Cromolyn-3\plaque 1/@09 Cromolyn 1/F9_02.tif "/>
    <s v=" 497.4876 "/>
    <s v=" 65.3913 "/>
    <x v="0"/>
    <n v="32531"/>
    <m/>
    <m/>
  </r>
  <r>
    <x v="9"/>
    <x v="5"/>
    <s v="F:\Données chgh\2020-CHG-CZA-Cromolyn-3\plaque 1/@09 Cromolyn 1/F9_03- exclu.tif"/>
    <m/>
    <m/>
    <x v="1"/>
    <m/>
    <m/>
    <m/>
  </r>
  <r>
    <x v="9"/>
    <x v="6"/>
    <s v="F:\Données chgh\2020-CHG-CZA-Cromolyn-3\plaque 1/@09 Cromolyn 1/G9_01.tif "/>
    <s v=" 389.3381 "/>
    <s v=" 64.6667 "/>
    <x v="0"/>
    <n v="25177"/>
    <m/>
    <m/>
  </r>
  <r>
    <x v="9"/>
    <x v="6"/>
    <s v="F:\Données chgh\2020-CHG-CZA-Cromolyn-3\plaque 1/@09 Cromolyn 1/G9_02.tif "/>
    <s v=" 1665.5019 "/>
    <s v=" 65.2857 "/>
    <x v="0"/>
    <n v="108733"/>
    <m/>
    <m/>
  </r>
  <r>
    <x v="9"/>
    <x v="6"/>
    <s v="F:\Données chgh\2020-CHG-CZA-Cromolyn-3\plaque 1/@09 Cromolyn 1/G9_03.tif "/>
    <s v=" 3850.1212 "/>
    <s v=" 69.8876 "/>
    <x v="0"/>
    <n v="269076"/>
    <m/>
    <m/>
  </r>
  <r>
    <x v="9"/>
    <x v="7"/>
    <s v="F:\Données chgh\2020-CHG-CZA-Cromolyn-3\plaque 1/@09 Cromolyn 1/H9_01.tif "/>
    <s v=" 6121.2602 "/>
    <s v=" 66.7951 "/>
    <x v="0"/>
    <n v="408870"/>
    <m/>
    <m/>
  </r>
  <r>
    <x v="9"/>
    <x v="7"/>
    <s v="F:\Données chgh\2020-CHG-CZA-Cromolyn-3\plaque 1/@09 Cromolyn 1/H9_02.tif "/>
    <s v=" 6770.157 "/>
    <s v=" 67.4569 "/>
    <x v="0"/>
    <n v="456694"/>
    <m/>
    <m/>
  </r>
  <r>
    <x v="9"/>
    <x v="7"/>
    <s v="F:\Données chgh\2020-CHG-CZA-Cromolyn-3\plaque 1/@09 Cromolyn 1/H9_03.tif "/>
    <s v=" 7656.9827 "/>
    <s v=" 67.4124 "/>
    <x v="0"/>
    <n v="516176"/>
    <m/>
    <m/>
  </r>
  <r>
    <x v="1"/>
    <x v="8"/>
    <s v=" "/>
    <m/>
    <m/>
    <x v="1"/>
    <m/>
    <m/>
    <m/>
  </r>
  <r>
    <x v="1"/>
    <x v="8"/>
    <s v="group "/>
    <s v=" "/>
    <s v=" mean of mean fluo "/>
    <x v="2"/>
    <s v=" mean of total fluo "/>
    <s v=" SD total fluo "/>
    <s v=" n fluorescent "/>
  </r>
  <r>
    <x v="9"/>
    <x v="9"/>
    <s v="F:\Données chgh\2020-CHG-CZA-Cromolyn-3\plaque 1/@09 Cromolyn 1/ "/>
    <s v=" "/>
    <s v=" 65.7667 "/>
    <x v="11"/>
    <s v=" 179810.25 "/>
    <s v=" 154838.239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0"/>
    <x v="0"/>
    <s v="F:\Données chgh\2020-CHG-CZA-Cromolyn-3\plaque 1/@10 Cromolyn 10/A10_01.tif "/>
    <s v=" 302.8185 "/>
    <s v=" 62.9286 "/>
    <x v="0"/>
    <n v="19056"/>
    <m/>
    <m/>
  </r>
  <r>
    <x v="10"/>
    <x v="0"/>
    <s v="F:\Données chgh\2020-CHG-CZA-Cromolyn-3\plaque 1/@10 Cromolyn 10/A10_02.tif "/>
    <s v=" 8089.5806 "/>
    <s v=" 67.4759 "/>
    <x v="0"/>
    <n v="545852"/>
    <m/>
    <m/>
  </r>
  <r>
    <x v="10"/>
    <x v="0"/>
    <s v="F:\Données chgh\2020-CHG-CZA-Cromolyn-3\plaque 1/@10 Cromolyn 10/A10_03.tif "/>
    <s v=" 2920.0358 "/>
    <s v=" 65.3259 "/>
    <x v="0"/>
    <n v="190754"/>
    <m/>
    <m/>
  </r>
  <r>
    <x v="10"/>
    <x v="1"/>
    <s v="F:\Données chgh\2020-CHG-CZA-Cromolyn-3\plaque 1/@10 Cromolyn 10/B10_01.tif "/>
    <s v=" 1254.5339 "/>
    <s v=" 64.3793 "/>
    <x v="0"/>
    <n v="80766"/>
    <m/>
    <m/>
  </r>
  <r>
    <x v="10"/>
    <x v="1"/>
    <s v="F:\Données chgh\2020-CHG-CZA-Cromolyn-3\plaque 1/@10 Cromolyn 10/B10_02.tif "/>
    <s v=" 389.3381 "/>
    <s v=" 62.8333 "/>
    <x v="0"/>
    <n v="24463"/>
    <m/>
    <m/>
  </r>
  <r>
    <x v="10"/>
    <x v="1"/>
    <s v="F:\Données chgh\2020-CHG-CZA-Cromolyn-3\plaque 1/@10 Cromolyn 10/B10_03.tif "/>
    <s v=" 908.4556 "/>
    <s v=" 62.881 "/>
    <x v="0"/>
    <n v="57125"/>
    <m/>
    <m/>
  </r>
  <r>
    <x v="10"/>
    <x v="2"/>
    <s v="F:\Données chgh\2020-CHG-CZA-Cromolyn-3\plaque 1/@10 Cromolyn 10/C10_01- exclu.tif"/>
    <m/>
    <m/>
    <x v="1"/>
    <m/>
    <m/>
    <m/>
  </r>
  <r>
    <x v="10"/>
    <x v="2"/>
    <s v="F:\Données chgh\2020-CHG-CZA-Cromolyn-3\plaque 1/@10 Cromolyn 10/C10_02.tif "/>
    <s v=" 627.2669 "/>
    <s v=" 63.7931 "/>
    <x v="0"/>
    <n v="40015"/>
    <m/>
    <m/>
  </r>
  <r>
    <x v="10"/>
    <x v="2"/>
    <s v="F:\Données chgh\2020-CHG-CZA-Cromolyn-3\plaque 1/@10 Cromolyn 10/C10_03- exclu.tif"/>
    <m/>
    <m/>
    <x v="1"/>
    <m/>
    <m/>
    <m/>
  </r>
  <r>
    <x v="10"/>
    <x v="3"/>
    <s v="F:\Données chgh\2020-CHG-CZA-Cromolyn-3\plaque 1/@10 Cromolyn 10/D10_01.tif "/>
    <s v=" 1211.2741 "/>
    <s v=" 63.9643 "/>
    <x v="0"/>
    <n v="77478"/>
    <m/>
    <m/>
  </r>
  <r>
    <x v="10"/>
    <x v="3"/>
    <s v="F:\Données chgh\2020-CHG-CZA-Cromolyn-3\plaque 1/@10 Cromolyn 10/D10_02.tif "/>
    <s v=" 1600.6122 "/>
    <s v=" 63.3243 "/>
    <x v="0"/>
    <n v="101358"/>
    <m/>
    <m/>
  </r>
  <r>
    <x v="10"/>
    <x v="3"/>
    <s v="F:\Données chgh\2020-CHG-CZA-Cromolyn-3\plaque 1/@10 Cromolyn 10/D10_03.tif "/>
    <s v=" 1816.9111 "/>
    <s v=" 63.7619 "/>
    <x v="0"/>
    <n v="115850"/>
    <m/>
    <m/>
  </r>
  <r>
    <x v="10"/>
    <x v="4"/>
    <s v="F:\Données chgh\2020-CHG-CZA-Cromolyn-3\plaque 1/@10 Cromolyn 10/E10_01- exclu.tif"/>
    <m/>
    <m/>
    <x v="1"/>
    <m/>
    <m/>
    <m/>
  </r>
  <r>
    <x v="10"/>
    <x v="4"/>
    <s v="F:\Données chgh\2020-CHG-CZA-Cromolyn-3\plaque 1/@10 Cromolyn 10/E10_02.tif "/>
    <s v=" 1557.3524 "/>
    <s v=" 64.1111 "/>
    <x v="0"/>
    <n v="99844"/>
    <m/>
    <m/>
  </r>
  <r>
    <x v="10"/>
    <x v="4"/>
    <s v="F:\Données chgh\2020-CHG-CZA-Cromolyn-3\plaque 1/@10 Cromolyn 10/E10_03.tif "/>
    <s v=" 778.6762 "/>
    <s v=" 62.1389 "/>
    <x v="0"/>
    <n v="48386"/>
    <m/>
    <m/>
  </r>
  <r>
    <x v="10"/>
    <x v="5"/>
    <s v="F:\Données chgh\2020-CHG-CZA-Cromolyn-3\plaque 1/@10 Cromolyn 10/F10_01.tif "/>
    <s v=" 540.7474 "/>
    <s v=" 64.96 "/>
    <x v="0"/>
    <n v="35127"/>
    <m/>
    <m/>
  </r>
  <r>
    <x v="10"/>
    <x v="5"/>
    <s v="F:\Données chgh\2020-CHG-CZA-Cromolyn-3\plaque 1/@10 Cromolyn 10/F10_02.tif "/>
    <s v=" 540.7474 "/>
    <s v=" 64.2 "/>
    <x v="0"/>
    <n v="34716"/>
    <m/>
    <m/>
  </r>
  <r>
    <x v="10"/>
    <x v="5"/>
    <s v="F:\Données chgh\2020-CHG-CZA-Cromolyn-3\plaque 1/@10 Cromolyn 10/F10_03.tif "/>
    <s v=" 519.1175 "/>
    <s v=" 64.2917 "/>
    <x v="0"/>
    <n v="33375"/>
    <m/>
    <m/>
  </r>
  <r>
    <x v="10"/>
    <x v="6"/>
    <s v="F:\Données chgh\2020-CHG-CZA-Cromolyn-3\plaque 1/@10 Cromolyn 10/G10_01- exclu.tif"/>
    <m/>
    <m/>
    <x v="1"/>
    <m/>
    <m/>
    <m/>
  </r>
  <r>
    <x v="10"/>
    <x v="6"/>
    <s v="F:\Données chgh\2020-CHG-CZA-Cromolyn-3\plaque 1/@10 Cromolyn 10/G10_02.tif "/>
    <s v=" 281.1886 "/>
    <s v=" 63.0769 "/>
    <x v="0"/>
    <n v="17737"/>
    <m/>
    <m/>
  </r>
  <r>
    <x v="10"/>
    <x v="6"/>
    <s v="F:\Données chgh\2020-CHG-CZA-Cromolyn-3\plaque 1/@10 Cromolyn 10/G10_03.tif "/>
    <s v=" 367.7082 "/>
    <s v=" 63.4118 "/>
    <x v="0"/>
    <n v="23317"/>
    <m/>
    <m/>
  </r>
  <r>
    <x v="10"/>
    <x v="7"/>
    <s v="F:\Données chgh\2020-CHG-CZA-Cromolyn-3\plaque 1/@10 Cromolyn 10/H10_01.tif "/>
    <s v=" 5818.4417 "/>
    <s v=" 71.803 "/>
    <x v="0"/>
    <n v="417781"/>
    <m/>
    <m/>
  </r>
  <r>
    <x v="10"/>
    <x v="7"/>
    <s v="F:\Données chgh\2020-CHG-CZA-Cromolyn-3\plaque 1/@10 Cromolyn 10/H10_02.tif "/>
    <s v=" 4953.2459 "/>
    <s v=" 68.6681 "/>
    <x v="0"/>
    <n v="340130"/>
    <m/>
    <m/>
  </r>
  <r>
    <x v="10"/>
    <x v="7"/>
    <s v="F:\Données chgh\2020-CHG-CZA-Cromolyn-3\plaque 1/@10 Cromolyn 10/H10_03.tif "/>
    <s v=" 1405.9432 "/>
    <s v=" 65.0154 "/>
    <x v="0"/>
    <n v="91408"/>
    <m/>
    <m/>
  </r>
  <r>
    <x v="1"/>
    <x v="8"/>
    <s v=" "/>
    <m/>
    <m/>
    <x v="1"/>
    <m/>
    <m/>
    <m/>
  </r>
  <r>
    <x v="1"/>
    <x v="8"/>
    <s v="group "/>
    <s v=" "/>
    <s v=" mean of mean fluo "/>
    <x v="2"/>
    <s v=" mean of total fluo "/>
    <s v=" SD total fluo "/>
    <s v=" n fluorescent "/>
  </r>
  <r>
    <x v="10"/>
    <x v="9"/>
    <s v="F:\Données chgh\2020-CHG-CZA-Cromolyn-3\plaque 1/@10 Cromolyn 10/ "/>
    <s v=" "/>
    <s v=" 64.8637 "/>
    <x v="12"/>
    <s v=" 147176.125 "/>
    <s v=" 178292.176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1"/>
    <x v="0"/>
    <s v="F:\Données chgh\2020-CHG-CZA-Cromolyn-3\plaque 1/@11 Cromolyn 100/A11_01.tif "/>
    <s v=" 6164.52 "/>
    <s v=" 70.386 "/>
    <x v="0"/>
    <n v="433896"/>
    <m/>
    <m/>
  </r>
  <r>
    <x v="11"/>
    <x v="0"/>
    <s v="F:\Données chgh\2020-CHG-CZA-Cromolyn-3\plaque 1/@11 Cromolyn 100/A11_02.tif "/>
    <s v=" 3720.3419 "/>
    <s v=" 67.2849 "/>
    <x v="0"/>
    <n v="250323"/>
    <m/>
    <m/>
  </r>
  <r>
    <x v="11"/>
    <x v="0"/>
    <s v="F:\Données chgh\2020-CHG-CZA-Cromolyn-3\plaque 1/@11 Cromolyn 100/A11_03.tif "/>
    <s v=" 3114.7048 "/>
    <s v=" 68.5625 "/>
    <x v="0"/>
    <n v="213552"/>
    <m/>
    <m/>
  </r>
  <r>
    <x v="11"/>
    <x v="1"/>
    <s v="F:\Données chgh\2020-CHG-CZA-Cromolyn-3\plaque 1/@11 Cromolyn 100/B11_01.tif "/>
    <s v=" 2573.9575 "/>
    <s v=" 67.7983 "/>
    <x v="0"/>
    <n v="174510"/>
    <m/>
    <m/>
  </r>
  <r>
    <x v="11"/>
    <x v="1"/>
    <s v="F:\Données chgh\2020-CHG-CZA-Cromolyn-3\plaque 1/@11 Cromolyn 100/B11_02.tif "/>
    <s v=" 1384.3133 "/>
    <s v=" 63.125 "/>
    <x v="0"/>
    <n v="87385"/>
    <m/>
    <m/>
  </r>
  <r>
    <x v="11"/>
    <x v="1"/>
    <s v="F:\Données chgh\2020-CHG-CZA-Cromolyn-3\plaque 1/@11 Cromolyn 100/B11_03.tif "/>
    <s v=" 1470.8328 "/>
    <s v=" 64.3382 "/>
    <x v="0"/>
    <n v="94631"/>
    <m/>
    <m/>
  </r>
  <r>
    <x v="11"/>
    <x v="2"/>
    <s v="F:\Données chgh\2020-CHG-CZA-Cromolyn-3\plaque 1/@11 Cromolyn 100/C11_01.tif "/>
    <s v=" 3395.8935 "/>
    <s v=" 67.3439 "/>
    <x v="0"/>
    <n v="228693"/>
    <m/>
    <m/>
  </r>
  <r>
    <x v="11"/>
    <x v="2"/>
    <s v="F:\Données chgh\2020-CHG-CZA-Cromolyn-3\plaque 1/@11 Cromolyn 100/C11_02.tif "/>
    <s v=" 2011.5802 "/>
    <s v=" 64.7097 "/>
    <x v="0"/>
    <n v="130169"/>
    <m/>
    <m/>
  </r>
  <r>
    <x v="11"/>
    <x v="2"/>
    <s v="F:\Données chgh\2020-CHG-CZA-Cromolyn-3\plaque 1/@11 Cromolyn 100/C11_03.tif "/>
    <s v=" 627.2669 "/>
    <s v=" 66.2759 "/>
    <x v="0"/>
    <n v="41573"/>
    <m/>
    <m/>
  </r>
  <r>
    <x v="11"/>
    <x v="3"/>
    <s v="F:\Données chgh\2020-CHG-CZA-Cromolyn-3\plaque 1/@11 Cromolyn 100/D11_01.tif "/>
    <s v=" 670.5267 "/>
    <s v=" 64.3871 "/>
    <x v="0"/>
    <n v="43173"/>
    <m/>
    <m/>
  </r>
  <r>
    <x v="11"/>
    <x v="3"/>
    <s v="F:\Données chgh\2020-CHG-CZA-Cromolyn-3\plaque 1/@11 Cromolyn 100/D11_02.tif "/>
    <s v=" 2011.5802 "/>
    <s v=" 65.4409 "/>
    <x v="0"/>
    <n v="131640"/>
    <m/>
    <m/>
  </r>
  <r>
    <x v="11"/>
    <x v="3"/>
    <s v="F:\Données chgh\2020-CHG-CZA-Cromolyn-3\plaque 1/@11 Cromolyn 100/D11_03.tif "/>
    <s v=" 1146.3844 "/>
    <s v=" 66.3019 "/>
    <x v="0"/>
    <n v="76007"/>
    <m/>
    <m/>
  </r>
  <r>
    <x v="11"/>
    <x v="4"/>
    <s v="F:\Données chgh\2020-CHG-CZA-Cromolyn-3\plaque 1/@11 Cromolyn 100/E11_01.tif "/>
    <s v=" 4953.2459 "/>
    <s v=" 66.7031 "/>
    <x v="0"/>
    <n v="330397"/>
    <m/>
    <m/>
  </r>
  <r>
    <x v="11"/>
    <x v="4"/>
    <s v="F:\Données chgh\2020-CHG-CZA-Cromolyn-3\plaque 1/@11 Cromolyn 100/E11_02.tif "/>
    <s v=" 6034.7406 "/>
    <s v=" 66.8996 "/>
    <x v="0"/>
    <n v="403722"/>
    <m/>
    <m/>
  </r>
  <r>
    <x v="11"/>
    <x v="4"/>
    <s v="F:\Données chgh\2020-CHG-CZA-Cromolyn-3\plaque 1/@11 Cromolyn 100/E11_03.tif "/>
    <s v=" 5147.9149 "/>
    <s v=" 66.8487 "/>
    <x v="0"/>
    <n v="344132"/>
    <m/>
    <m/>
  </r>
  <r>
    <x v="11"/>
    <x v="5"/>
    <s v="F:\Données chgh\2020-CHG-CZA-Cromolyn-3\plaque 1/@11 Cromolyn 100/F11_01.tif "/>
    <s v=" 9755.0825 "/>
    <s v=" 72.1397 "/>
    <x v="0"/>
    <n v="703729"/>
    <m/>
    <m/>
  </r>
  <r>
    <x v="11"/>
    <x v="5"/>
    <s v="F:\Données chgh\2020-CHG-CZA-Cromolyn-3\plaque 1/@11 Cromolyn 100/F11_02.tif "/>
    <s v=" 6424.0787 "/>
    <s v=" 70.5421 "/>
    <x v="0"/>
    <n v="453168"/>
    <m/>
    <m/>
  </r>
  <r>
    <x v="11"/>
    <x v="5"/>
    <s v="F:\Données chgh\2020-CHG-CZA-Cromolyn-3\plaque 1/@11 Cromolyn 100/F11_03.tif "/>
    <s v=" 12393.9296 "/>
    <s v=" 74.3054 "/>
    <x v="0"/>
    <n v="920936"/>
    <m/>
    <m/>
  </r>
  <r>
    <x v="11"/>
    <x v="6"/>
    <s v="F:\Données chgh\2020-CHG-CZA-Cromolyn-3\plaque 1/@11 Cromolyn 100/G11_01.tif "/>
    <s v=" 627.2669 "/>
    <s v=" 62.5172 "/>
    <x v="0"/>
    <n v="39215"/>
    <m/>
    <m/>
  </r>
  <r>
    <x v="11"/>
    <x v="6"/>
    <s v="F:\Données chgh\2020-CHG-CZA-Cromolyn-3\plaque 1/@11 Cromolyn 100/G11_02.tif "/>
    <s v=" 1081.4947 "/>
    <s v=" 64.86 "/>
    <x v="0"/>
    <n v="70146"/>
    <m/>
    <m/>
  </r>
  <r>
    <x v="11"/>
    <x v="6"/>
    <s v="F:\Données chgh\2020-CHG-CZA-Cromolyn-3\plaque 1/@11 Cromolyn 100/G11_03.tif "/>
    <s v=" 4044.7903 "/>
    <s v=" 66.4385 "/>
    <x v="0"/>
    <n v="268730"/>
    <m/>
    <m/>
  </r>
  <r>
    <x v="11"/>
    <x v="7"/>
    <s v="F:\Données chgh\2020-CHG-CZA-Cromolyn-3\plaque 1/@11 Cromolyn 100/H11_01.tif "/>
    <s v=" 454.2278 "/>
    <s v=" 63.7619 "/>
    <x v="0"/>
    <n v="28962"/>
    <m/>
    <m/>
  </r>
  <r>
    <x v="11"/>
    <x v="7"/>
    <s v="F:\Données chgh\2020-CHG-CZA-Cromolyn-3\plaque 1/@11 Cromolyn 100/H11_02.tif "/>
    <s v=" 1643.872 "/>
    <s v=" 63.7237 "/>
    <x v="0"/>
    <n v="104754"/>
    <m/>
    <m/>
  </r>
  <r>
    <x v="11"/>
    <x v="7"/>
    <s v="F:\Données chgh\2020-CHG-CZA-Cromolyn-3\plaque 1/@11 Cromolyn 100/H11_03.tif "/>
    <s v=" 2054.84 "/>
    <s v=" 63.1368 "/>
    <x v="0"/>
    <n v="129736"/>
    <m/>
    <m/>
  </r>
  <r>
    <x v="1"/>
    <x v="8"/>
    <s v=" "/>
    <m/>
    <m/>
    <x v="1"/>
    <m/>
    <m/>
    <m/>
  </r>
  <r>
    <x v="1"/>
    <x v="8"/>
    <s v="group "/>
    <s v=" "/>
    <s v=" mean of mean fluo "/>
    <x v="2"/>
    <s v=" mean of total fluo "/>
    <s v=" SD total fluo "/>
    <s v=" n fluorescent "/>
  </r>
  <r>
    <x v="11"/>
    <x v="9"/>
    <s v="F:\Données chgh\2020-CHG-CZA-Cromolyn-3\plaque 1/@11 Cromolyn 100/ "/>
    <s v=" "/>
    <s v=" 66.5763 "/>
    <x v="13"/>
    <s v=" 237632.458 "/>
    <s v=" 221739.77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2"/>
    <x v="0"/>
    <s v="F:\Données chgh\2020-CHG-CZA-Cromolyn-3\plaque 1/@12 Cromolyn 1000/A12_01.tif "/>
    <s v=" 7159.4951 "/>
    <s v=" 73.5287 "/>
    <x v="0"/>
    <n v="526428"/>
    <m/>
    <m/>
  </r>
  <r>
    <x v="12"/>
    <x v="0"/>
    <s v="F:\Données chgh\2020-CHG-CZA-Cromolyn-3\plaque 1/@12 Cromolyn 1000/A12_02.tif "/>
    <s v=" 7613.7229 "/>
    <s v=" 83.3608 "/>
    <x v="0"/>
    <n v="634686"/>
    <m/>
    <m/>
  </r>
  <r>
    <x v="12"/>
    <x v="0"/>
    <s v="F:\Données chgh\2020-CHG-CZA-Cromolyn-3\plaque 1/@12 Cromolyn 1000/A12_03.tif "/>
    <s v=" 6186.1499 "/>
    <s v=" 69.0699 "/>
    <x v="0"/>
    <n v="427277"/>
    <m/>
    <m/>
  </r>
  <r>
    <x v="12"/>
    <x v="1"/>
    <s v="F:\Données chgh\2020-CHG-CZA-Cromolyn-3\plaque 1/@12 Cromolyn 1000/B12_01.tif "/>
    <s v=" 6618.7478 "/>
    <s v=" 67.8725 "/>
    <x v="0"/>
    <n v="449231"/>
    <m/>
    <m/>
  </r>
  <r>
    <x v="12"/>
    <x v="1"/>
    <s v="F:\Données chgh\2020-CHG-CZA-Cromolyn-3\plaque 1/@12 Cromolyn 1000/B12_02.tif "/>
    <s v=" 2941.6657 "/>
    <s v=" 66.7721 "/>
    <x v="0"/>
    <n v="196421"/>
    <m/>
    <m/>
  </r>
  <r>
    <x v="12"/>
    <x v="1"/>
    <s v="F:\Données chgh\2020-CHG-CZA-Cromolyn-3\plaque 1/@12 Cromolyn 1000/B12_03.tif "/>
    <s v=" 2833.5162 "/>
    <s v=" 64.7557 "/>
    <x v="0"/>
    <n v="183486"/>
    <m/>
    <m/>
  </r>
  <r>
    <x v="12"/>
    <x v="2"/>
    <s v="F:\Données chgh\2020-CHG-CZA-Cromolyn-3\plaque 1/@12 Cromolyn 1000/C12_01.tif "/>
    <s v=" 2119.7297 "/>
    <s v=" 66.4592 "/>
    <x v="0"/>
    <n v="140876"/>
    <m/>
    <m/>
  </r>
  <r>
    <x v="12"/>
    <x v="2"/>
    <s v="F:\Données chgh\2020-CHG-CZA-Cromolyn-3\plaque 1/@12 Cromolyn 1000/C12_02.tif "/>
    <s v=" 1103.1246 "/>
    <s v=" 65.6078 "/>
    <x v="0"/>
    <n v="72374"/>
    <m/>
    <m/>
  </r>
  <r>
    <x v="12"/>
    <x v="2"/>
    <s v="F:\Données chgh\2020-CHG-CZA-Cromolyn-3\plaque 1/@12 Cromolyn 1000/C12_03.tif "/>
    <s v=" 5623.7726 "/>
    <s v=" 70.4962 "/>
    <x v="0"/>
    <n v="396454"/>
    <m/>
    <m/>
  </r>
  <r>
    <x v="12"/>
    <x v="3"/>
    <s v="F:\Données chgh\2020-CHG-CZA-Cromolyn-3\plaque 1/@12 Cromolyn 1000/D12_01.tif "/>
    <s v=" 11939.7018 "/>
    <s v=" 82.8388 "/>
    <x v="0"/>
    <n v="989070"/>
    <m/>
    <m/>
  </r>
  <r>
    <x v="12"/>
    <x v="3"/>
    <s v="F:\Données chgh\2020-CHG-CZA-Cromolyn-3\plaque 1/@12 Cromolyn 1000/D12_02.tif "/>
    <s v=" 8089.5806 "/>
    <s v=" 73.6658 "/>
    <x v="0"/>
    <n v="595925"/>
    <m/>
    <m/>
  </r>
  <r>
    <x v="12"/>
    <x v="3"/>
    <s v="F:\Données chgh\2020-CHG-CZA-Cromolyn-3\plaque 1/@12 Cromolyn 1000/D12_03.tif "/>
    <s v=" 7072.9755 "/>
    <s v=" 75.4128 "/>
    <x v="0"/>
    <n v="533393"/>
    <m/>
    <m/>
  </r>
  <r>
    <x v="12"/>
    <x v="4"/>
    <s v="F:\Données chgh\2020-CHG-CZA-Cromolyn-3\plaque 1/@12 Cromolyn 1000/E12_01.tif "/>
    <s v=" 648.8968 "/>
    <s v=" 62.7333 "/>
    <x v="0"/>
    <n v="40707"/>
    <m/>
    <m/>
  </r>
  <r>
    <x v="12"/>
    <x v="4"/>
    <s v="F:\Données chgh\2020-CHG-CZA-Cromolyn-3\plaque 1/@12 Cromolyn 1000/E12_02.tif "/>
    <s v=" 3266.1141 "/>
    <s v=" 66.4768 "/>
    <x v="0"/>
    <n v="217121"/>
    <m/>
    <m/>
  </r>
  <r>
    <x v="12"/>
    <x v="4"/>
    <s v="F:\Données chgh\2020-CHG-CZA-Cromolyn-3\plaque 1/@12 Cromolyn 1000/E12_03.tif "/>
    <s v=" 692.1566 "/>
    <s v=" 62.9062 "/>
    <x v="0"/>
    <n v="43541"/>
    <m/>
    <m/>
  </r>
  <r>
    <x v="12"/>
    <x v="5"/>
    <s v="F:\Données chgh\2020-CHG-CZA-Cromolyn-3\plaque 1/@12 Cromolyn 1000/F12_01.tif "/>
    <s v=" 432.5979 "/>
    <s v=" 64.8 "/>
    <x v="0"/>
    <n v="28032"/>
    <m/>
    <m/>
  </r>
  <r>
    <x v="12"/>
    <x v="5"/>
    <s v="F:\Données chgh\2020-CHG-CZA-Cromolyn-3\plaque 1/@12 Cromolyn 1000/F12_02.tif "/>
    <s v=" 237.9288 "/>
    <s v=" 63.2727 "/>
    <x v="0"/>
    <n v="15054"/>
    <m/>
    <m/>
  </r>
  <r>
    <x v="12"/>
    <x v="5"/>
    <s v="F:\Données chgh\2020-CHG-CZA-Cromolyn-3\plaque 1/@12 Cromolyn 1000/F12_03.tif "/>
    <s v=" 1059.8648 "/>
    <s v=" 63.898 "/>
    <x v="0"/>
    <n v="67723"/>
    <m/>
    <m/>
  </r>
  <r>
    <x v="12"/>
    <x v="6"/>
    <s v="F:\Données chgh\2020-CHG-CZA-Cromolyn-3\plaque 1/@12 Cromolyn 1000/G12_01.tif "/>
    <s v=" 11312.4349 "/>
    <s v=" 77.9006 "/>
    <x v="0"/>
    <n v="881245"/>
    <m/>
    <m/>
  </r>
  <r>
    <x v="12"/>
    <x v="6"/>
    <s v="F:\Données chgh\2020-CHG-CZA-Cromolyn-3\plaque 1/@12 Cromolyn 1000/G12_02.tif "/>
    <s v=" 12393.9296 "/>
    <s v=" 82.3281 "/>
    <x v="0"/>
    <n v="1020369"/>
    <m/>
    <m/>
  </r>
  <r>
    <x v="12"/>
    <x v="6"/>
    <s v="F:\Données chgh\2020-CHG-CZA-Cromolyn-3\plaque 1/@12 Cromolyn 1000/G12_03.tif "/>
    <s v=" 13561.9439 "/>
    <s v=" 89.6571 "/>
    <x v="0"/>
    <n v="1215925"/>
    <m/>
    <m/>
  </r>
  <r>
    <x v="12"/>
    <x v="7"/>
    <s v="F:\Données chgh\2020-CHG-CZA-Cromolyn-3\plaque 1/@12 Cromolyn 1000/H12_01.tif "/>
    <s v=" 12588.5987 "/>
    <s v=" 80.2732 "/>
    <x v="0"/>
    <n v="1010527"/>
    <m/>
    <m/>
  </r>
  <r>
    <x v="12"/>
    <x v="7"/>
    <s v="F:\Données chgh\2020-CHG-CZA-Cromolyn-3\plaque 1/@12 Cromolyn 1000/H12_02.tif "/>
    <s v=" 12264.1503 "/>
    <s v=" 78.5556 "/>
    <x v="0"/>
    <n v="963417"/>
    <m/>
    <m/>
  </r>
  <r>
    <x v="12"/>
    <x v="7"/>
    <s v="F:\Données chgh\2020-CHG-CZA-Cromolyn-3\plaque 1/@12 Cromolyn 1000/H12_03.tif "/>
    <s v=" 7137.8652 "/>
    <s v=" 79.8121 "/>
    <x v="0"/>
    <n v="569688"/>
    <m/>
    <m/>
  </r>
  <r>
    <x v="1"/>
    <x v="8"/>
    <s v=" "/>
    <m/>
    <m/>
    <x v="1"/>
    <m/>
    <m/>
    <m/>
  </r>
  <r>
    <x v="1"/>
    <x v="8"/>
    <s v="group "/>
    <s v=" "/>
    <s v=" mean of mean fluo "/>
    <x v="2"/>
    <s v=" mean of total fluo "/>
    <s v=" SD total fluo "/>
    <s v=" n fluorescent "/>
  </r>
  <r>
    <x v="12"/>
    <x v="9"/>
    <s v="F:\Données chgh\2020-CHG-CZA-Cromolyn-3\plaque 1/@12 Cromolyn 1000/ "/>
    <s v=" "/>
    <s v=" 72.1856 "/>
    <x v="14"/>
    <s v=" 467457.083 "/>
    <s v=" 379859.02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3"/>
    <x v="0"/>
    <s v="F:\Données chgh\2020-CHG-CZA-Cromolyn-3\plaque 2/@13 Testo 30/A1_01.tif "/>
    <s v=" 41377.9884 "/>
    <s v=" 72.8327 "/>
    <x v="0"/>
    <n v="3013672"/>
    <m/>
    <m/>
  </r>
  <r>
    <x v="13"/>
    <x v="0"/>
    <s v="F:\Données chgh\2020-CHG-CZA-Cromolyn-3\plaque 2/@13 Testo 30/A1_02.tif "/>
    <s v=" 37506.2373 "/>
    <s v=" 73.3772 "/>
    <x v="0"/>
    <n v="2752101"/>
    <m/>
    <m/>
  </r>
  <r>
    <x v="13"/>
    <x v="0"/>
    <s v="F:\Données chgh\2020-CHG-CZA-Cromolyn-3\plaque 2/@13 Testo 30/A1_03.tif "/>
    <s v=" 38739.1413 "/>
    <s v=" 75.239 "/>
    <x v="0"/>
    <n v="2914693"/>
    <m/>
    <m/>
  </r>
  <r>
    <x v="13"/>
    <x v="1"/>
    <s v="F:\Données chgh\2020-CHG-CZA-Cromolyn-3\plaque 2/@13 Testo 30/B1_01.tif "/>
    <s v=" 5493.9932 "/>
    <s v=" 65.4764 "/>
    <x v="0"/>
    <n v="359727"/>
    <m/>
    <m/>
  </r>
  <r>
    <x v="13"/>
    <x v="1"/>
    <s v="F:\Données chgh\2020-CHG-CZA-Cromolyn-3\plaque 2/@13 Testo 30/B1_02.tif "/>
    <s v=" 7678.6126 "/>
    <s v=" 66.369 "/>
    <x v="0"/>
    <n v="509622"/>
    <m/>
    <m/>
  </r>
  <r>
    <x v="13"/>
    <x v="1"/>
    <s v="F:\Données chgh\2020-CHG-CZA-Cromolyn-3\plaque 2/@13 Testo 30/B1_03- exclu.tif"/>
    <m/>
    <m/>
    <x v="1"/>
    <m/>
    <m/>
    <m/>
  </r>
  <r>
    <x v="13"/>
    <x v="2"/>
    <s v="F:\Données chgh\2020-CHG-CZA-Cromolyn-3\plaque 2/@13 Testo 30/C1_01.tif "/>
    <s v=" 14535.2892 "/>
    <s v=" 66.4464 "/>
    <x v="0"/>
    <n v="965818"/>
    <m/>
    <m/>
  </r>
  <r>
    <x v="13"/>
    <x v="2"/>
    <s v="F:\Données chgh\2020-CHG-CZA-Cromolyn-3\plaque 2/@13 Testo 30/C1_02.tif "/>
    <s v=" 14751.5881 "/>
    <s v=" 65.4267 "/>
    <x v="0"/>
    <n v="965148"/>
    <m/>
    <m/>
  </r>
  <r>
    <x v="13"/>
    <x v="2"/>
    <s v="F:\Données chgh\2020-CHG-CZA-Cromolyn-3\plaque 2/@13 Testo 30/C1_03.tif "/>
    <s v=" 14340.6201 "/>
    <s v=" 65.8084 "/>
    <x v="0"/>
    <n v="943734"/>
    <m/>
    <m/>
  </r>
  <r>
    <x v="13"/>
    <x v="3"/>
    <s v="F:\Données chgh\2020-CHG-CZA-Cromolyn-3\plaque 2/@13 Testo 30/D1_01.tif "/>
    <s v=" 17520.2146 "/>
    <s v=" 67.0049 "/>
    <x v="0"/>
    <n v="1173941"/>
    <m/>
    <m/>
  </r>
  <r>
    <x v="13"/>
    <x v="3"/>
    <s v="F:\Données chgh\2020-CHG-CZA-Cromolyn-3\plaque 2/@13 Testo 30/D1_02.tif "/>
    <s v=" 16352.2003 "/>
    <s v=" 67.6878 "/>
    <x v="0"/>
    <n v="1106845"/>
    <m/>
    <m/>
  </r>
  <r>
    <x v="13"/>
    <x v="3"/>
    <s v="F:\Données chgh\2020-CHG-CZA-Cromolyn-3\plaque 2/@13 Testo 30/D1_03.tif "/>
    <s v=" 17455.325 "/>
    <s v=" 67.3519 "/>
    <x v="0"/>
    <n v="1175650"/>
    <m/>
    <m/>
  </r>
  <r>
    <x v="13"/>
    <x v="4"/>
    <s v="F:\Données chgh\2020-CHG-CZA-Cromolyn-3\plaque 2/@13 Testo 30/E1_01.tif "/>
    <s v=" 12393.9296 "/>
    <s v=" 71.0227 "/>
    <x v="0"/>
    <n v="880250"/>
    <m/>
    <m/>
  </r>
  <r>
    <x v="13"/>
    <x v="4"/>
    <s v="F:\Données chgh\2020-CHG-CZA-Cromolyn-3\plaque 2/@13 Testo 30/E1_02.tif "/>
    <s v=" 11009.6164 "/>
    <s v=" 71.8114 "/>
    <x v="0"/>
    <n v="790616"/>
    <m/>
    <m/>
  </r>
  <r>
    <x v="13"/>
    <x v="4"/>
    <s v="F:\Données chgh\2020-CHG-CZA-Cromolyn-3\plaque 2/@13 Testo 30/E1_03.tif "/>
    <s v=" 12718.378 "/>
    <s v=" 71.648 "/>
    <x v="0"/>
    <n v="911246"/>
    <m/>
    <m/>
  </r>
  <r>
    <x v="13"/>
    <x v="5"/>
    <s v="F:\Données chgh\2020-CHG-CZA-Cromolyn-3\plaque 2/@13 Testo 30/F1_01.tif "/>
    <s v=" 4715.317 "/>
    <s v=" 66.555 "/>
    <x v="0"/>
    <n v="313828"/>
    <m/>
    <m/>
  </r>
  <r>
    <x v="13"/>
    <x v="5"/>
    <s v="F:\Données chgh\2020-CHG-CZA-Cromolyn-3\plaque 2/@13 Testo 30/F1_02.tif "/>
    <s v=" 5861.7014 "/>
    <s v=" 64.4613 "/>
    <x v="0"/>
    <n v="377853"/>
    <m/>
    <m/>
  </r>
  <r>
    <x v="13"/>
    <x v="5"/>
    <s v="F:\Données chgh\2020-CHG-CZA-Cromolyn-3\plaque 2/@13 Testo 30/F1_03.tif "/>
    <s v=" 1103.1246 "/>
    <s v=" 63.3137 "/>
    <x v="0"/>
    <n v="69843"/>
    <m/>
    <m/>
  </r>
  <r>
    <x v="13"/>
    <x v="6"/>
    <s v="F:\Données chgh\2020-CHG-CZA-Cromolyn-3\plaque 2/@13 Testo 30/G1_01.tif "/>
    <s v=" 21435.2256 "/>
    <s v=" 68.0111 "/>
    <x v="0"/>
    <n v="1457833"/>
    <m/>
    <m/>
  </r>
  <r>
    <x v="13"/>
    <x v="6"/>
    <s v="F:\Données chgh\2020-CHG-CZA-Cromolyn-3\plaque 2/@13 Testo 30/G1_02- exclu.tif"/>
    <m/>
    <m/>
    <x v="1"/>
    <m/>
    <m/>
    <m/>
  </r>
  <r>
    <x v="13"/>
    <x v="6"/>
    <s v="F:\Données chgh\2020-CHG-CZA-Cromolyn-3\plaque 2/@13 Testo 30/G1_03.tif "/>
    <s v=" 23879.4037 "/>
    <s v=" 68.7708 "/>
    <x v="0"/>
    <n v="1642206"/>
    <m/>
    <m/>
  </r>
  <r>
    <x v="13"/>
    <x v="7"/>
    <s v="F:\Données chgh\2020-CHG-CZA-Cromolyn-3\plaque 2/@13 Testo 30/H1_01.tif "/>
    <s v=" 41140.0596 "/>
    <s v=" 75.4285 "/>
    <x v="0"/>
    <n v="3103133"/>
    <m/>
    <m/>
  </r>
  <r>
    <x v="13"/>
    <x v="7"/>
    <s v="F:\Données chgh\2020-CHG-CZA-Cromolyn-3\plaque 2/@13 Testo 30/H1_02.tif "/>
    <s v=" 45985.156 "/>
    <s v=" 73.27 "/>
    <x v="0"/>
    <n v="3369332"/>
    <m/>
    <m/>
  </r>
  <r>
    <x v="13"/>
    <x v="7"/>
    <s v="F:\Données chgh\2020-CHG-CZA-Cromolyn-3\plaque 2/@13 Testo 30/H1_03.tif "/>
    <s v=" 41961.9956 "/>
    <s v=" 74.5345 "/>
    <x v="0"/>
    <n v="3127618"/>
    <m/>
    <m/>
  </r>
  <r>
    <x v="1"/>
    <x v="8"/>
    <s v=" "/>
    <m/>
    <m/>
    <x v="1"/>
    <m/>
    <m/>
    <m/>
  </r>
  <r>
    <x v="1"/>
    <x v="8"/>
    <s v="group "/>
    <s v=" "/>
    <s v=" mean of mean fluo "/>
    <x v="2"/>
    <s v=" mean of total fluo "/>
    <s v=" SD total fluo "/>
    <s v=" n fluorescent "/>
  </r>
  <r>
    <x v="13"/>
    <x v="9"/>
    <s v="F:\Données chgh\2020-CHG-CZA-Cromolyn-3\plaque 2/@13 Testo 30/ "/>
    <s v=" "/>
    <s v=" 68.9024 "/>
    <x v="15"/>
    <s v=" 1359086.54 "/>
    <s v=" 1072829.3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4"/>
    <x v="0"/>
    <s v="F:\Données chgh\2020-CHG-CZA-Cromolyn-3\plaque 2/@14 Testo 30/A2_01.tif "/>
    <s v=" 410.968 "/>
    <s v=" 64.7368 "/>
    <x v="0"/>
    <n v="26605"/>
    <m/>
    <m/>
  </r>
  <r>
    <x v="14"/>
    <x v="0"/>
    <s v="F:\Données chgh\2020-CHG-CZA-Cromolyn-3\plaque 2/@14 Testo 30/A2_02.tif "/>
    <s v=" 346.0783 "/>
    <s v=" 64.0625 "/>
    <x v="0"/>
    <n v="22171"/>
    <m/>
    <m/>
  </r>
  <r>
    <x v="14"/>
    <x v="0"/>
    <s v="F:\Données chgh\2020-CHG-CZA-Cromolyn-3\plaque 2/@14 Testo 30/A2_03.tif "/>
    <s v=" 237.9288 "/>
    <s v=" 66.5455 "/>
    <x v="0"/>
    <n v="15833"/>
    <m/>
    <m/>
  </r>
  <r>
    <x v="14"/>
    <x v="1"/>
    <s v="F:\Données chgh\2020-CHG-CZA-Cromolyn-3\plaque 2/@14 Testo 30/B2_01- exclu.tif"/>
    <m/>
    <m/>
    <x v="1"/>
    <m/>
    <m/>
    <m/>
  </r>
  <r>
    <x v="14"/>
    <x v="1"/>
    <s v="F:\Données chgh\2020-CHG-CZA-Cromolyn-3\plaque 2/@14 Testo 30/B2_02.tif "/>
    <s v=" 53339.3202 "/>
    <s v=" 84.0174 "/>
    <x v="0"/>
    <n v="4481433"/>
    <m/>
    <m/>
  </r>
  <r>
    <x v="14"/>
    <x v="1"/>
    <s v="F:\Données chgh\2020-CHG-CZA-Cromolyn-3\plaque 2/@14 Testo 30/B2_03.tif "/>
    <s v=" 50570.6936 "/>
    <s v=" 82.8507 "/>
    <x v="0"/>
    <n v="4189819"/>
    <m/>
    <m/>
  </r>
  <r>
    <x v="14"/>
    <x v="2"/>
    <s v="F:\Données chgh\2020-CHG-CZA-Cromolyn-3\plaque 2/@14 Testo 30/C2_01.tif "/>
    <s v=" 52128.0461 "/>
    <s v=" 82.1643 "/>
    <x v="0"/>
    <n v="4283065"/>
    <m/>
    <m/>
  </r>
  <r>
    <x v="14"/>
    <x v="2"/>
    <s v="F:\Données chgh\2020-CHG-CZA-Cromolyn-3\plaque 2/@14 Testo 30/C2_02.tif "/>
    <s v=" 52409.2347 "/>
    <s v=" 80.3533 "/>
    <x v="0"/>
    <n v="4211254"/>
    <m/>
    <m/>
  </r>
  <r>
    <x v="14"/>
    <x v="2"/>
    <s v="F:\Données chgh\2020-CHG-CZA-Cromolyn-3\plaque 2/@14 Testo 30/C2_03.tif "/>
    <s v=" 54420.8149 "/>
    <s v=" 80.9316 "/>
    <x v="0"/>
    <n v="4404366"/>
    <m/>
    <m/>
  </r>
  <r>
    <x v="14"/>
    <x v="3"/>
    <s v="F:\Données chgh\2020-CHG-CZA-Cromolyn-3\plaque 2/@14 Testo 30/D2_01.tif "/>
    <s v=" 20310.4711 "/>
    <s v=" 67.4207 "/>
    <x v="0"/>
    <n v="1369345"/>
    <m/>
    <m/>
  </r>
  <r>
    <x v="14"/>
    <x v="3"/>
    <s v="F:\Données chgh\2020-CHG-CZA-Cromolyn-3\plaque 2/@14 Testo 30/D2_02.tif "/>
    <s v=" 23122.3574 "/>
    <s v=" 67.8616 "/>
    <x v="0"/>
    <n v="1569119"/>
    <m/>
    <m/>
  </r>
  <r>
    <x v="14"/>
    <x v="3"/>
    <s v="F:\Données chgh\2020-CHG-CZA-Cromolyn-3\plaque 2/@14 Testo 30/D2_03.tif "/>
    <s v=" 17347.1755 "/>
    <s v=" 66.4439 "/>
    <x v="0"/>
    <n v="1152614"/>
    <m/>
    <m/>
  </r>
  <r>
    <x v="14"/>
    <x v="4"/>
    <s v="F:\Données chgh\2020-CHG-CZA-Cromolyn-3\plaque 2/@14 Testo 30/E2_01.tif "/>
    <s v=" 62661.8047 "/>
    <s v=" 75.3 "/>
    <x v="0"/>
    <n v="4718432"/>
    <m/>
    <m/>
  </r>
  <r>
    <x v="14"/>
    <x v="4"/>
    <s v="F:\Données chgh\2020-CHG-CZA-Cromolyn-3\plaque 2/@14 Testo 30/E2_02.tif "/>
    <s v=" 58703.534 "/>
    <s v=" 73.9808 "/>
    <x v="0"/>
    <n v="4342937"/>
    <m/>
    <m/>
  </r>
  <r>
    <x v="14"/>
    <x v="4"/>
    <s v="F:\Données chgh\2020-CHG-CZA-Cromolyn-3\plaque 2/@14 Testo 30/E2_03- exclu.tif"/>
    <m/>
    <m/>
    <x v="1"/>
    <m/>
    <m/>
    <m/>
  </r>
  <r>
    <x v="14"/>
    <x v="5"/>
    <s v="F:\Données chgh\2020-CHG-CZA-Cromolyn-3\plaque 2/@14 Testo 30/F2_01.tif "/>
    <s v=" 12329.0399 "/>
    <s v=" 67.4368 "/>
    <x v="0"/>
    <n v="831432"/>
    <m/>
    <m/>
  </r>
  <r>
    <x v="14"/>
    <x v="5"/>
    <s v="F:\Données chgh\2020-CHG-CZA-Cromolyn-3\plaque 2/@14 Testo 30/F2_02.tif "/>
    <s v=" 13475.4244 "/>
    <s v=" 67.8684 "/>
    <x v="0"/>
    <n v="914555"/>
    <m/>
    <m/>
  </r>
  <r>
    <x v="14"/>
    <x v="5"/>
    <s v="F:\Données chgh\2020-CHG-CZA-Cromolyn-3\plaque 2/@14 Testo 30/F2_03.tif "/>
    <s v=" 12653.4884 "/>
    <s v=" 69.2034 "/>
    <x v="0"/>
    <n v="875665"/>
    <m/>
    <m/>
  </r>
  <r>
    <x v="14"/>
    <x v="6"/>
    <s v="F:\Données chgh\2020-CHG-CZA-Cromolyn-3\plaque 2/@14 Testo 30/G2_01.tif "/>
    <s v=" 16265.6808 "/>
    <s v=" 68.4747 "/>
    <x v="0"/>
    <n v="1113788"/>
    <m/>
    <m/>
  </r>
  <r>
    <x v="14"/>
    <x v="6"/>
    <s v="F:\Données chgh\2020-CHG-CZA-Cromolyn-3\plaque 2/@14 Testo 30/G2_02.tif "/>
    <s v=" 20094.1721 "/>
    <s v=" 69.5813 "/>
    <x v="0"/>
    <n v="1398178"/>
    <m/>
    <m/>
  </r>
  <r>
    <x v="14"/>
    <x v="6"/>
    <s v="F:\Données chgh\2020-CHG-CZA-Cromolyn-3\plaque 2/@14 Testo 30/G2_03.tif "/>
    <s v=" 15941.2323 "/>
    <s v=" 68.2999 "/>
    <x v="0"/>
    <n v="1088784"/>
    <m/>
    <m/>
  </r>
  <r>
    <x v="14"/>
    <x v="7"/>
    <s v="F:\Données chgh\2020-CHG-CZA-Cromolyn-3\plaque 2/@14 Testo 30/H2_01.tif "/>
    <s v=" 46547.5332 "/>
    <s v=" 79.8392 "/>
    <x v="0"/>
    <n v="3716319"/>
    <m/>
    <m/>
  </r>
  <r>
    <x v="14"/>
    <x v="7"/>
    <s v="F:\Données chgh\2020-CHG-CZA-Cromolyn-3\plaque 2/@14 Testo 30/H2_02.tif "/>
    <s v=" 45812.1168 "/>
    <s v=" 79.9825 "/>
    <x v="0"/>
    <n v="3664169"/>
    <m/>
    <m/>
  </r>
  <r>
    <x v="14"/>
    <x v="7"/>
    <s v="F:\Données chgh\2020-CHG-CZA-Cromolyn-3\plaque 2/@14 Testo 30/H2_03.tif "/>
    <s v=" 44557.5829 "/>
    <s v=" 83.8903 "/>
    <x v="0"/>
    <n v="3737949"/>
    <m/>
    <m/>
  </r>
  <r>
    <x v="1"/>
    <x v="8"/>
    <s v=" "/>
    <m/>
    <m/>
    <x v="1"/>
    <m/>
    <m/>
    <m/>
  </r>
  <r>
    <x v="1"/>
    <x v="8"/>
    <s v="group "/>
    <s v=" "/>
    <s v=" mean of mean fluo "/>
    <x v="2"/>
    <s v=" mean of total fluo "/>
    <s v=" SD total fluo "/>
    <s v=" n fluorescent "/>
  </r>
  <r>
    <x v="14"/>
    <x v="9"/>
    <s v="F:\Données chgh\2020-CHG-CZA-Cromolyn-3\plaque 2/@14 Testo 30/ "/>
    <s v=" "/>
    <s v=" 73.5597 "/>
    <x v="16"/>
    <s v=" 2405700.42 "/>
    <s v=" 1750587.7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5"/>
    <x v="0"/>
    <s v="F:\Données chgh\2020-CHG-CZA-Cromolyn-3\plaque 2/@15 Testo + EE2/A3_01.tif "/>
    <s v=" 49597.3484 "/>
    <s v=" 80.0597 "/>
    <x v="0"/>
    <n v="3970751"/>
    <m/>
    <m/>
  </r>
  <r>
    <x v="15"/>
    <x v="0"/>
    <s v="F:\Données chgh\2020-CHG-CZA-Cromolyn-3\plaque 2/@15 Testo + EE2/A3_02.tif "/>
    <s v=" 46850.3518 "/>
    <s v=" 78.7867 "/>
    <x v="0"/>
    <n v="3691185"/>
    <m/>
    <m/>
  </r>
  <r>
    <x v="15"/>
    <x v="0"/>
    <s v="F:\Données chgh\2020-CHG-CZA-Cromolyn-3\plaque 2/@15 Testo + EE2/A3_03.tif "/>
    <s v=" 51522.409 "/>
    <s v=" 80.9794 "/>
    <x v="0"/>
    <n v="4172255"/>
    <m/>
    <m/>
  </r>
  <r>
    <x v="15"/>
    <x v="1"/>
    <s v="F:\Données chgh\2020-CHG-CZA-Cromolyn-3\plaque 2/@15 Testo + EE2/B3_01.tif "/>
    <s v=" 30736.0803 "/>
    <s v=" 70.2449 "/>
    <x v="0"/>
    <n v="2159053"/>
    <m/>
    <m/>
  </r>
  <r>
    <x v="15"/>
    <x v="1"/>
    <s v="F:\Données chgh\2020-CHG-CZA-Cromolyn-3\plaque 2/@15 Testo + EE2/B3_02.tif "/>
    <s v=" 30173.703 "/>
    <s v=" 71.524 "/>
    <x v="0"/>
    <n v="2158144"/>
    <m/>
    <m/>
  </r>
  <r>
    <x v="15"/>
    <x v="1"/>
    <s v="F:\Données chgh\2020-CHG-CZA-Cromolyn-3\plaque 2/@15 Testo + EE2/B3_03.tif "/>
    <s v=" 31709.4255 "/>
    <s v=" 70.4345 "/>
    <x v="0"/>
    <n v="2233438"/>
    <m/>
    <m/>
  </r>
  <r>
    <x v="15"/>
    <x v="2"/>
    <s v="F:\Données chgh\2020-CHG-CZA-Cromolyn-3\plaque 2/@15 Testo + EE2/C3_01.tif "/>
    <s v=" 44016.8356 "/>
    <s v=" 79.0963 "/>
    <x v="0"/>
    <n v="3481569"/>
    <m/>
    <m/>
  </r>
  <r>
    <x v="15"/>
    <x v="2"/>
    <s v="F:\Données chgh\2020-CHG-CZA-Cromolyn-3\plaque 2/@15 Testo + EE2/C3_02.tif "/>
    <s v=" 44471.0634 "/>
    <s v=" 78.4446 "/>
    <x v="0"/>
    <n v="3488513"/>
    <m/>
    <m/>
  </r>
  <r>
    <x v="15"/>
    <x v="2"/>
    <s v="F:\Données chgh\2020-CHG-CZA-Cromolyn-3\plaque 2/@15 Testo + EE2/C3_03.tif "/>
    <s v=" 41615.9173 "/>
    <s v=" 77.9127 "/>
    <x v="0"/>
    <n v="3242408"/>
    <m/>
    <m/>
  </r>
  <r>
    <x v="15"/>
    <x v="3"/>
    <s v="F:\Données chgh\2020-CHG-CZA-Cromolyn-3\plaque 2/@15 Testo + EE2/D3_01.tif "/>
    <s v=" 29870.8845 "/>
    <s v=" 81.244 "/>
    <x v="0"/>
    <n v="2426831"/>
    <m/>
    <m/>
  </r>
  <r>
    <x v="15"/>
    <x v="3"/>
    <s v="F:\Données chgh\2020-CHG-CZA-Cromolyn-3\plaque 2/@15 Testo + EE2/D3_02.tif "/>
    <s v=" 30476.5215 "/>
    <s v=" 78.8751 "/>
    <x v="0"/>
    <n v="2403838"/>
    <m/>
    <m/>
  </r>
  <r>
    <x v="15"/>
    <x v="3"/>
    <s v="F:\Données chgh\2020-CHG-CZA-Cromolyn-3\plaque 2/@15 Testo + EE2/D3_03.tif "/>
    <s v=" 30498.1514 "/>
    <s v=" 81.3929 "/>
    <x v="0"/>
    <n v="2482333"/>
    <m/>
    <m/>
  </r>
  <r>
    <x v="15"/>
    <x v="4"/>
    <s v="F:\Données chgh\2020-CHG-CZA-Cromolyn-3\plaque 2/@15 Testo + EE2/E3_01.tif "/>
    <s v=" 43065.1202 "/>
    <s v=" 83.5962 "/>
    <x v="0"/>
    <n v="3600080"/>
    <m/>
    <m/>
  </r>
  <r>
    <x v="15"/>
    <x v="4"/>
    <s v="F:\Données chgh\2020-CHG-CZA-Cromolyn-3\plaque 2/@15 Testo + EE2/E3_02.tif "/>
    <s v=" 40750.7215 "/>
    <s v=" 84.4586 "/>
    <x v="0"/>
    <n v="3441749"/>
    <m/>
    <m/>
  </r>
  <r>
    <x v="15"/>
    <x v="4"/>
    <s v="F:\Données chgh\2020-CHG-CZA-Cromolyn-3\plaque 2/@15 Testo + EE2/E3_03.tif "/>
    <s v=" 42264.8141 "/>
    <s v=" 84.9437 "/>
    <x v="0"/>
    <n v="3590130"/>
    <m/>
    <m/>
  </r>
  <r>
    <x v="15"/>
    <x v="5"/>
    <s v="F:\Données chgh\2020-CHG-CZA-Cromolyn-3\plaque 2/@15 Testo + EE2/F3_01.tif "/>
    <s v=" 28010.7135 "/>
    <s v=" 75.2286 "/>
    <x v="0"/>
    <n v="2107206"/>
    <m/>
    <m/>
  </r>
  <r>
    <x v="15"/>
    <x v="5"/>
    <s v="F:\Données chgh\2020-CHG-CZA-Cromolyn-3\plaque 2/@15 Testo + EE2/F3_02.tif "/>
    <s v=" 30368.3721 "/>
    <s v=" 76.8383 "/>
    <x v="0"/>
    <n v="2333455"/>
    <m/>
    <m/>
  </r>
  <r>
    <x v="15"/>
    <x v="5"/>
    <s v="F:\Données chgh\2020-CHG-CZA-Cromolyn-3\plaque 2/@15 Testo + EE2/F3_03.tif "/>
    <s v=" 26734.5498 "/>
    <s v=" 76.1416 "/>
    <x v="0"/>
    <n v="2035611"/>
    <m/>
    <m/>
  </r>
  <r>
    <x v="15"/>
    <x v="6"/>
    <s v="F:\Données chgh\2020-CHG-CZA-Cromolyn-3\plaque 2/@15 Testo + EE2/G3_01.tif "/>
    <s v=" 37679.2764 "/>
    <s v=" 75.0867 "/>
    <x v="0"/>
    <n v="2829212"/>
    <m/>
    <m/>
  </r>
  <r>
    <x v="15"/>
    <x v="6"/>
    <s v="F:\Données chgh\2020-CHG-CZA-Cromolyn-3\plaque 2/@15 Testo + EE2/G3_02.tif "/>
    <s v=" 37354.828 "/>
    <s v=" 74.619 "/>
    <x v="0"/>
    <n v="2787380"/>
    <m/>
    <m/>
  </r>
  <r>
    <x v="15"/>
    <x v="6"/>
    <s v="F:\Données chgh\2020-CHG-CZA-Cromolyn-3\plaque 2/@15 Testo + EE2/G3_03.tif "/>
    <s v=" 38371.4331 "/>
    <s v=" 76.9436 "/>
    <x v="0"/>
    <n v="2952437"/>
    <m/>
    <m/>
  </r>
  <r>
    <x v="15"/>
    <x v="7"/>
    <s v="F:\Données chgh\2020-CHG-CZA-Cromolyn-3\plaque 2/@15 Testo + EE2/H3_01.tif "/>
    <s v=" 67268.9723 "/>
    <s v=" 81.1556 "/>
    <x v="0"/>
    <n v="5459256"/>
    <m/>
    <m/>
  </r>
  <r>
    <x v="15"/>
    <x v="7"/>
    <s v="F:\Données chgh\2020-CHG-CZA-Cromolyn-3\plaque 2/@15 Testo + EE2/H3_02.tif "/>
    <s v=" 65322.2818 "/>
    <s v=" 83.3023 "/>
    <x v="0"/>
    <n v="5441497"/>
    <m/>
    <m/>
  </r>
  <r>
    <x v="15"/>
    <x v="7"/>
    <s v="F:\Données chgh\2020-CHG-CZA-Cromolyn-3\plaque 2/@15 Testo + EE2/H3_03.tif "/>
    <s v=" 62986.2532 "/>
    <s v=" 81.1288 "/>
    <x v="0"/>
    <n v="5109998"/>
    <m/>
    <m/>
  </r>
  <r>
    <x v="1"/>
    <x v="8"/>
    <s v=" "/>
    <m/>
    <m/>
    <x v="1"/>
    <m/>
    <m/>
    <m/>
  </r>
  <r>
    <x v="1"/>
    <x v="8"/>
    <s v="group "/>
    <s v=" "/>
    <s v=" mean of mean fluo "/>
    <x v="2"/>
    <s v=" mean of total fluo "/>
    <s v=" SD total fluo "/>
    <s v=" n fluorescent "/>
  </r>
  <r>
    <x v="15"/>
    <x v="9"/>
    <s v="F:\Données chgh\2020-CHG-CZA-Cromolyn-3\plaque 2/@15 Testo + EE2/ "/>
    <s v=" "/>
    <s v=" 78.4349 "/>
    <x v="17"/>
    <s v=" 3233263.71 "/>
    <s v=" 1033895.64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6"/>
    <x v="0"/>
    <s v="F:\Données chgh\2020-CHG-CZA-Cromolyn-3\plaque 2/@16 Testo + FAD/A4_01.tif "/>
    <s v=" 951.7154 "/>
    <s v=" 74.4545 "/>
    <x v="0"/>
    <n v="70860"/>
    <m/>
    <m/>
  </r>
  <r>
    <x v="16"/>
    <x v="0"/>
    <s v="F:\Données chgh\2020-CHG-CZA-Cromolyn-3\plaque 2/@16 Testo + FAD/A4_02.tif "/>
    <s v=" 562.3773 "/>
    <s v=" 64.3077 "/>
    <x v="0"/>
    <n v="36165"/>
    <m/>
    <m/>
  </r>
  <r>
    <x v="16"/>
    <x v="0"/>
    <s v="F:\Données chgh\2020-CHG-CZA-Cromolyn-3\plaque 2/@16 Testo + FAD/A4_03.tif "/>
    <s v=" 800.3061 "/>
    <s v=" 64.2432 "/>
    <x v="0"/>
    <n v="51414"/>
    <m/>
    <m/>
  </r>
  <r>
    <x v="16"/>
    <x v="1"/>
    <s v="F:\Données chgh\2020-CHG-CZA-Cromolyn-3\plaque 2/@16 Testo + FAD/B4_01.tif "/>
    <s v=" 6402.4488 "/>
    <s v=" 73.7635 "/>
    <x v="0"/>
    <n v="472267"/>
    <m/>
    <m/>
  </r>
  <r>
    <x v="16"/>
    <x v="1"/>
    <s v="F:\Données chgh\2020-CHG-CZA-Cromolyn-3\plaque 2/@16 Testo + FAD/B4_02.tif "/>
    <s v=" 5948.221 "/>
    <s v=" 75.9091 "/>
    <x v="0"/>
    <n v="451524"/>
    <m/>
    <m/>
  </r>
  <r>
    <x v="16"/>
    <x v="1"/>
    <s v="F:\Données chgh\2020-CHG-CZA-Cromolyn-3\plaque 2/@16 Testo + FAD/B4_03.tif "/>
    <s v=" 4909.9861 "/>
    <s v=" 74.3612 "/>
    <x v="0"/>
    <n v="365113"/>
    <m/>
    <m/>
  </r>
  <r>
    <x v="16"/>
    <x v="2"/>
    <s v="F:\Données chgh\2020-CHG-CZA-Cromolyn-3\plaque 2/@16 Testo + FAD/C4_01.tif "/>
    <s v=" 1189.6442 "/>
    <s v=" 65.9455 "/>
    <x v="0"/>
    <n v="78452"/>
    <m/>
    <m/>
  </r>
  <r>
    <x v="16"/>
    <x v="2"/>
    <s v="F:\Données chgh\2020-CHG-CZA-Cromolyn-3\plaque 2/@16 Testo + FAD/C4_02.tif "/>
    <s v=" 1297.7937 "/>
    <s v=" 63.0833 "/>
    <x v="0"/>
    <n v="81869"/>
    <m/>
    <m/>
  </r>
  <r>
    <x v="16"/>
    <x v="2"/>
    <s v="F:\Données chgh\2020-CHG-CZA-Cromolyn-3\plaque 2/@16 Testo + FAD/C4_03.tif "/>
    <s v=" 713.7865 "/>
    <s v=" 62.9697 "/>
    <x v="0"/>
    <n v="44947"/>
    <m/>
    <m/>
  </r>
  <r>
    <x v="16"/>
    <x v="3"/>
    <s v="F:\Données chgh\2020-CHG-CZA-Cromolyn-3\plaque 2/@16 Testo + FAD/D4_01.tif "/>
    <s v=" 3741.9718 "/>
    <s v=" 67.6301 "/>
    <x v="0"/>
    <n v="253070"/>
    <m/>
    <m/>
  </r>
  <r>
    <x v="16"/>
    <x v="3"/>
    <s v="F:\Données chgh\2020-CHG-CZA-Cromolyn-3\plaque 2/@16 Testo + FAD/D4_02.tif "/>
    <s v=" 9776.7124 "/>
    <s v=" 66.3053 "/>
    <x v="0"/>
    <n v="648248"/>
    <m/>
    <m/>
  </r>
  <r>
    <x v="16"/>
    <x v="3"/>
    <s v="F:\Données chgh\2020-CHG-CZA-Cromolyn-3\plaque 2/@16 Testo + FAD/D4_03.tif "/>
    <s v=" 5429.1036 "/>
    <s v=" 65.9841 "/>
    <x v="0"/>
    <n v="358234"/>
    <m/>
    <m/>
  </r>
  <r>
    <x v="16"/>
    <x v="4"/>
    <s v="F:\Données chgh\2020-CHG-CZA-Cromolyn-3\plaque 2/@16 Testo + FAD/E4_01.tif "/>
    <s v=" 2920.0358 "/>
    <s v=" 64.4667 "/>
    <x v="0"/>
    <n v="188245"/>
    <m/>
    <m/>
  </r>
  <r>
    <x v="16"/>
    <x v="4"/>
    <s v="F:\Données chgh\2020-CHG-CZA-Cromolyn-3\plaque 2/@16 Testo + FAD/E4_02.tif "/>
    <s v=" 3374.2636 "/>
    <s v=" 65.0128 "/>
    <x v="0"/>
    <n v="219370"/>
    <m/>
    <m/>
  </r>
  <r>
    <x v="16"/>
    <x v="4"/>
    <s v="F:\Données chgh\2020-CHG-CZA-Cromolyn-3\plaque 2/@16 Testo + FAD/E4_03.tif "/>
    <s v=" 3504.0429 "/>
    <s v=" 65.1235 "/>
    <x v="0"/>
    <n v="228195"/>
    <m/>
    <m/>
  </r>
  <r>
    <x v="16"/>
    <x v="5"/>
    <s v="F:\Données chgh\2020-CHG-CZA-Cromolyn-3\plaque 2/@16 Testo + FAD/F4_01.tif "/>
    <s v=" 6964.8261 "/>
    <s v=" 69.5528 "/>
    <x v="0"/>
    <n v="484423"/>
    <m/>
    <m/>
  </r>
  <r>
    <x v="16"/>
    <x v="5"/>
    <s v="F:\Données chgh\2020-CHG-CZA-Cromolyn-3\plaque 2/@16 Testo + FAD/F4_02.tif "/>
    <s v=" 8414.029 "/>
    <s v=" 71.6041 "/>
    <x v="0"/>
    <n v="602479"/>
    <m/>
    <m/>
  </r>
  <r>
    <x v="16"/>
    <x v="5"/>
    <s v="F:\Données chgh\2020-CHG-CZA-Cromolyn-3\plaque 2/@16 Testo + FAD/F4_03.tif "/>
    <s v=" 5969.8509 "/>
    <s v=" 69.7971 "/>
    <x v="0"/>
    <n v="416678"/>
    <m/>
    <m/>
  </r>
  <r>
    <x v="16"/>
    <x v="6"/>
    <s v="F:\Données chgh\2020-CHG-CZA-Cromolyn-3\plaque 2/@16 Testo + FAD/G4_01- exclu.tif"/>
    <m/>
    <m/>
    <x v="1"/>
    <m/>
    <m/>
    <m/>
  </r>
  <r>
    <x v="16"/>
    <x v="6"/>
    <s v="F:\Données chgh\2020-CHG-CZA-Cromolyn-3\plaque 2/@16 Testo + FAD/G4_02- exclu.tif"/>
    <m/>
    <m/>
    <x v="1"/>
    <m/>
    <m/>
    <m/>
  </r>
  <r>
    <x v="16"/>
    <x v="6"/>
    <s v="F:\Données chgh\2020-CHG-CZA-Cromolyn-3\plaque 2/@16 Testo + FAD/G4_03.tif "/>
    <s v=" 6229.4097 "/>
    <s v=" 79.6111 "/>
    <x v="0"/>
    <n v="495930"/>
    <m/>
    <m/>
  </r>
  <r>
    <x v="16"/>
    <x v="7"/>
    <s v="F:\Données chgh\2020-CHG-CZA-Cromolyn-3\plaque 2/@16 Testo + FAD/H4_01.tif "/>
    <s v=" 3222.8543 "/>
    <s v=" 66.745 "/>
    <x v="0"/>
    <n v="215109"/>
    <m/>
    <m/>
  </r>
  <r>
    <x v="16"/>
    <x v="7"/>
    <s v="F:\Données chgh\2020-CHG-CZA-Cromolyn-3\plaque 2/@16 Testo + FAD/H4_02.tif "/>
    <s v=" 1773.6514 "/>
    <s v=" 65.4512 "/>
    <x v="0"/>
    <n v="116088"/>
    <m/>
    <m/>
  </r>
  <r>
    <x v="16"/>
    <x v="7"/>
    <s v="F:\Données chgh\2020-CHG-CZA-Cromolyn-3\plaque 2/@16 Testo + FAD/H4_03.tif "/>
    <s v=" 1578.9823 "/>
    <s v=" 65.9726 "/>
    <x v="0"/>
    <n v="104170"/>
    <m/>
    <m/>
  </r>
  <r>
    <x v="1"/>
    <x v="8"/>
    <s v=" "/>
    <m/>
    <m/>
    <x v="1"/>
    <m/>
    <m/>
    <m/>
  </r>
  <r>
    <x v="1"/>
    <x v="8"/>
    <s v="group "/>
    <s v=" "/>
    <s v=" mean of mean fluo "/>
    <x v="2"/>
    <s v=" mean of total fluo "/>
    <s v=" SD total fluo "/>
    <s v=" n fluorescent "/>
  </r>
  <r>
    <x v="16"/>
    <x v="9"/>
    <s v="F:\Données chgh\2020-CHG-CZA-Cromolyn-3\plaque 2/@16 Testo + FAD/ "/>
    <s v=" "/>
    <s v=" 68.6358 "/>
    <x v="18"/>
    <s v=" 291068.083 "/>
    <s v=" 240308.996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7"/>
    <x v="0"/>
    <s v="F:\Données chgh\2020-CHG-CZA-Cromolyn-3\plaque 2/@17 Testo + Cromolyn 0.1/A5_01.tif "/>
    <s v=" 22711.3894 "/>
    <s v=" 70.0343 "/>
    <x v="0"/>
    <n v="1590576"/>
    <m/>
    <m/>
  </r>
  <r>
    <x v="17"/>
    <x v="0"/>
    <s v="F:\Données chgh\2020-CHG-CZA-Cromolyn-3\plaque 2/@17 Testo + Cromolyn 0.1/A5_02.tif "/>
    <s v=" 21218.9266 "/>
    <s v=" 69.7034 "/>
    <x v="0"/>
    <n v="1479031"/>
    <m/>
    <m/>
  </r>
  <r>
    <x v="17"/>
    <x v="0"/>
    <s v="F:\Données chgh\2020-CHG-CZA-Cromolyn-3\plaque 2/@17 Testo + Cromolyn 0.1/A5_03.tif "/>
    <s v=" 21262.1864 "/>
    <s v=" 68.175 "/>
    <x v="0"/>
    <n v="1449549"/>
    <m/>
    <m/>
  </r>
  <r>
    <x v="17"/>
    <x v="1"/>
    <s v="F:\Données chgh\2020-CHG-CZA-Cromolyn-3\plaque 2/@17 Testo + Cromolyn 0.1/B5_01.tif "/>
    <s v=" 27989.0836 "/>
    <s v=" 68.544 "/>
    <x v="0"/>
    <n v="1918485"/>
    <m/>
    <m/>
  </r>
  <r>
    <x v="17"/>
    <x v="1"/>
    <s v="F:\Données chgh\2020-CHG-CZA-Cromolyn-3\plaque 2/@17 Testo + Cromolyn 0.1/B5_02.tif "/>
    <s v=" 30692.8205 "/>
    <s v=" 69.6251 "/>
    <x v="0"/>
    <n v="2136990"/>
    <m/>
    <m/>
  </r>
  <r>
    <x v="17"/>
    <x v="1"/>
    <s v="F:\Données chgh\2020-CHG-CZA-Cromolyn-3\plaque 2/@17 Testo + Cromolyn 0.1/B5_03.tif "/>
    <s v=" 28356.7919 "/>
    <s v=" 70.5614 "/>
    <x v="0"/>
    <n v="2000895"/>
    <m/>
    <m/>
  </r>
  <r>
    <x v="17"/>
    <x v="2"/>
    <s v="F:\Données chgh\2020-CHG-CZA-Cromolyn-3\plaque 2/@17 Testo + Cromolyn 0.1/C5_01.tif "/>
    <s v=" 59027.9824 "/>
    <s v=" 78.4386 "/>
    <x v="0"/>
    <n v="4630074"/>
    <m/>
    <m/>
  </r>
  <r>
    <x v="17"/>
    <x v="2"/>
    <s v="F:\Données chgh\2020-CHG-CZA-Cromolyn-3\plaque 2/@17 Testo + Cromolyn 0.1/C5_02.tif "/>
    <s v=" 60650.2245 "/>
    <n v="78"/>
    <x v="0"/>
    <n v="4730718"/>
    <m/>
    <m/>
  </r>
  <r>
    <x v="17"/>
    <x v="2"/>
    <s v="F:\Données chgh\2020-CHG-CZA-Cromolyn-3\plaque 2/@17 Testo + Cromolyn 0.1/C5_03- exclu.tif"/>
    <m/>
    <m/>
    <x v="1"/>
    <m/>
    <m/>
    <m/>
  </r>
  <r>
    <x v="17"/>
    <x v="3"/>
    <s v="F:\Données chgh\2020-CHG-CZA-Cromolyn-3\plaque 2/@17 Testo + Cromolyn 0.1/D5_01.tif "/>
    <s v=" 4239.4593 "/>
    <s v=" 66.0102 "/>
    <x v="0"/>
    <n v="279848"/>
    <m/>
    <m/>
  </r>
  <r>
    <x v="17"/>
    <x v="3"/>
    <s v="F:\Données chgh\2020-CHG-CZA-Cromolyn-3\plaque 2/@17 Testo + Cromolyn 0.1/D5_02.tif "/>
    <s v=" 3677.0821 "/>
    <s v=" 65.4647 "/>
    <x v="0"/>
    <n v="240719"/>
    <m/>
    <m/>
  </r>
  <r>
    <x v="17"/>
    <x v="3"/>
    <s v="F:\Données chgh\2020-CHG-CZA-Cromolyn-3\plaque 2/@17 Testo + Cromolyn 0.1/D5_03.tif "/>
    <s v=" 2379.2884 "/>
    <s v=" 65.6727 "/>
    <x v="0"/>
    <n v="156254"/>
    <m/>
    <m/>
  </r>
  <r>
    <x v="17"/>
    <x v="4"/>
    <s v="F:\Données chgh\2020-CHG-CZA-Cromolyn-3\plaque 2/@17 Testo + Cromolyn 0.1/E5_01.tif "/>
    <s v=" 35062.0592 "/>
    <s v=" 81.2067 "/>
    <x v="0"/>
    <n v="2847273"/>
    <m/>
    <m/>
  </r>
  <r>
    <x v="17"/>
    <x v="4"/>
    <s v="F:\Données chgh\2020-CHG-CZA-Cromolyn-3\plaque 2/@17 Testo + Cromolyn 0.1/E5_02.tif "/>
    <s v=" 35602.8066 "/>
    <s v=" 80.0425 "/>
    <x v="0"/>
    <n v="2849739"/>
    <m/>
    <m/>
  </r>
  <r>
    <x v="17"/>
    <x v="4"/>
    <s v="F:\Données chgh\2020-CHG-CZA-Cromolyn-3\plaque 2/@17 Testo + Cromolyn 0.1/E5_03- exclu.tif"/>
    <m/>
    <m/>
    <x v="1"/>
    <m/>
    <m/>
    <m/>
  </r>
  <r>
    <x v="17"/>
    <x v="5"/>
    <s v="F:\Données chgh\2020-CHG-CZA-Cromolyn-3\plaque 2/@17 Testo + Cromolyn 0.1/F5_01.tif "/>
    <s v=" 5861.7014 "/>
    <s v=" 65.476 "/>
    <x v="0"/>
    <n v="383801"/>
    <m/>
    <m/>
  </r>
  <r>
    <x v="17"/>
    <x v="5"/>
    <s v="F:\Données chgh\2020-CHG-CZA-Cromolyn-3\plaque 2/@17 Testo + Cromolyn 0.1/F5_02.tif "/>
    <s v=" 3179.5945 "/>
    <s v=" 65.1497 "/>
    <x v="0"/>
    <n v="207150"/>
    <m/>
    <m/>
  </r>
  <r>
    <x v="17"/>
    <x v="5"/>
    <s v="F:\Données chgh\2020-CHG-CZA-Cromolyn-3\plaque 2/@17 Testo + Cromolyn 0.1/F5_03.tif "/>
    <s v=" 4412.4985 "/>
    <s v=" 64.2549 "/>
    <x v="0"/>
    <n v="283525"/>
    <m/>
    <m/>
  </r>
  <r>
    <x v="17"/>
    <x v="6"/>
    <s v="F:\Données chgh\2020-CHG-CZA-Cromolyn-3\plaque 2/@17 Testo + Cromolyn 0.1/G5_01.tif "/>
    <s v=" 216.2989 "/>
    <s v=" 67.8 "/>
    <x v="0"/>
    <n v="14665"/>
    <m/>
    <m/>
  </r>
  <r>
    <x v="17"/>
    <x v="6"/>
    <s v="F:\Données chgh\2020-CHG-CZA-Cromolyn-3\plaque 2/@17 Testo + Cromolyn 0.1/G5_02.tif "/>
    <s v=" 324.4484 "/>
    <s v=" 64.8667 "/>
    <x v="0"/>
    <n v="21046"/>
    <m/>
    <m/>
  </r>
  <r>
    <x v="17"/>
    <x v="6"/>
    <s v="F:\Données chgh\2020-CHG-CZA-Cromolyn-3\plaque 2/@17 Testo + Cromolyn 0.1/G5_03.tif "/>
    <s v=" 432.5979 "/>
    <s v=" 65.4 "/>
    <x v="0"/>
    <n v="28292"/>
    <m/>
    <m/>
  </r>
  <r>
    <x v="17"/>
    <x v="7"/>
    <s v="F:\Données chgh\2020-CHG-CZA-Cromolyn-3\plaque 2/@17 Testo + Cromolyn 0.1/H5_01.tif "/>
    <s v=" 44903.6612 "/>
    <s v=" 74.9653 "/>
    <x v="0"/>
    <n v="3366217"/>
    <m/>
    <m/>
  </r>
  <r>
    <x v="17"/>
    <x v="7"/>
    <s v="F:\Données chgh\2020-CHG-CZA-Cromolyn-3\plaque 2/@17 Testo + Cromolyn 0.1/H5_02.tif "/>
    <s v=" 44925.2911 "/>
    <s v=" 75.1175 "/>
    <x v="0"/>
    <n v="3374675"/>
    <m/>
    <m/>
  </r>
  <r>
    <x v="17"/>
    <x v="7"/>
    <s v="F:\Données chgh\2020-CHG-CZA-Cromolyn-3\plaque 2/@17 Testo + Cromolyn 0.1/H5_03.tif "/>
    <s v=" 42827.1914 "/>
    <s v=" 74.1904 "/>
    <x v="0"/>
    <n v="3177367"/>
    <m/>
    <m/>
  </r>
  <r>
    <x v="1"/>
    <x v="8"/>
    <s v=" "/>
    <m/>
    <m/>
    <x v="1"/>
    <m/>
    <m/>
    <m/>
  </r>
  <r>
    <x v="1"/>
    <x v="8"/>
    <s v="group "/>
    <s v=" "/>
    <s v=" mean of mean fluo "/>
    <x v="2"/>
    <s v=" mean of total fluo "/>
    <s v=" SD total fluo "/>
    <s v=" n fluorescent "/>
  </r>
  <r>
    <x v="17"/>
    <x v="9"/>
    <s v="F:\Données chgh\2020-CHG-CZA-Cromolyn-3\plaque 2/@17 Testo + Cromolyn 0.1/ "/>
    <s v=" "/>
    <s v=" 70.5686 "/>
    <x v="19"/>
    <s v=" 1794514.42 "/>
    <s v=" 1516564.58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8"/>
    <x v="0"/>
    <s v="F:\Données chgh\2020-CHG-CZA-Cromolyn-3\plaque 2/@18 Testo + Cromolyn 1/A6_01.tif "/>
    <s v=" 61883.1285 "/>
    <s v=" 83.0975 "/>
    <x v="0"/>
    <n v="5142334"/>
    <m/>
    <m/>
  </r>
  <r>
    <x v="18"/>
    <x v="0"/>
    <s v="F:\Données chgh\2020-CHG-CZA-Cromolyn-3\plaque 2/@18 Testo + Cromolyn 1/A6_02.tif "/>
    <s v=" 60412.2957 "/>
    <s v=" 78.8557 "/>
    <x v="0"/>
    <n v="4763855"/>
    <m/>
    <m/>
  </r>
  <r>
    <x v="18"/>
    <x v="0"/>
    <s v="F:\Données chgh\2020-CHG-CZA-Cromolyn-3\plaque 2/@18 Testo + Cromolyn 1/A6_03.tif "/>
    <s v=" 56951.5126 "/>
    <s v=" 82.3016 "/>
    <x v="0"/>
    <n v="4687198"/>
    <m/>
    <m/>
  </r>
  <r>
    <x v="18"/>
    <x v="1"/>
    <s v="F:\Données chgh\2020-CHG-CZA-Cromolyn-3\plaque 2/@18 Testo + Cromolyn 1/B6_01- exclu.tif"/>
    <m/>
    <m/>
    <x v="1"/>
    <m/>
    <m/>
    <m/>
  </r>
  <r>
    <x v="18"/>
    <x v="1"/>
    <s v="F:\Données chgh\2020-CHG-CZA-Cromolyn-3\plaque 2/@18 Testo + Cromolyn 1/B6_02.tif "/>
    <s v=" 757.0463 "/>
    <s v=" 64.6571 "/>
    <x v="0"/>
    <n v="48948"/>
    <m/>
    <m/>
  </r>
  <r>
    <x v="18"/>
    <x v="1"/>
    <s v="F:\Données chgh\2020-CHG-CZA-Cromolyn-3\plaque 2/@18 Testo + Cromolyn 1/B6_03.tif "/>
    <s v=" 1492.4627 "/>
    <s v=" 63.5942 "/>
    <x v="0"/>
    <n v="94912"/>
    <m/>
    <m/>
  </r>
  <r>
    <x v="18"/>
    <x v="2"/>
    <s v="F:\Données chgh\2020-CHG-CZA-Cromolyn-3\plaque 2/@18 Testo + Cromolyn 1/C6_01.tif "/>
    <s v=" 43519.348 "/>
    <s v=" 74.4105 "/>
    <x v="0"/>
    <n v="3238298"/>
    <m/>
    <m/>
  </r>
  <r>
    <x v="18"/>
    <x v="2"/>
    <s v="F:\Données chgh\2020-CHG-CZA-Cromolyn-3\plaque 2/@18 Testo + Cromolyn 1/C6_02.tif "/>
    <s v=" 44600.8427 "/>
    <s v=" 73.1925 "/>
    <x v="0"/>
    <n v="3264449"/>
    <m/>
    <m/>
  </r>
  <r>
    <x v="18"/>
    <x v="2"/>
    <s v="F:\Données chgh\2020-CHG-CZA-Cromolyn-3\plaque 2/@18 Testo + Cromolyn 1/C6_03.tif "/>
    <s v=" 42372.9636 "/>
    <s v=" 72.1827 "/>
    <x v="0"/>
    <n v="3058597"/>
    <m/>
    <m/>
  </r>
  <r>
    <x v="18"/>
    <x v="3"/>
    <s v="F:\Données chgh\2020-CHG-CZA-Cromolyn-3\plaque 2/@18 Testo + Cromolyn 1/D6_01.tif "/>
    <s v=" 13215.8656 "/>
    <s v=" 67.8036 "/>
    <x v="0"/>
    <n v="896083"/>
    <m/>
    <m/>
  </r>
  <r>
    <x v="18"/>
    <x v="3"/>
    <s v="F:\Données chgh\2020-CHG-CZA-Cromolyn-3\plaque 2/@18 Testo + Cromolyn 1/D6_02.tif "/>
    <s v=" 13259.1254 "/>
    <s v=" 67.1843 "/>
    <x v="0"/>
    <n v="890806"/>
    <m/>
    <m/>
  </r>
  <r>
    <x v="18"/>
    <x v="3"/>
    <s v="F:\Données chgh\2020-CHG-CZA-Cromolyn-3\plaque 2/@18 Testo + Cromolyn 1/D6_03.tif "/>
    <s v=" 20699.8092 "/>
    <s v=" 69.1264 "/>
    <x v="0"/>
    <n v="1430904"/>
    <m/>
    <m/>
  </r>
  <r>
    <x v="18"/>
    <x v="4"/>
    <s v="F:\Données chgh\2020-CHG-CZA-Cromolyn-3\plaque 2/@18 Testo + Cromolyn 1/E6_01.tif "/>
    <s v=" 11485.474 "/>
    <s v=" 69.7966 "/>
    <x v="0"/>
    <n v="801647"/>
    <m/>
    <m/>
  </r>
  <r>
    <x v="18"/>
    <x v="4"/>
    <s v="F:\Données chgh\2020-CHG-CZA-Cromolyn-3\plaque 2/@18 Testo + Cromolyn 1/E6_02.tif "/>
    <s v=" 18709.8589 "/>
    <s v=" 69.5491 "/>
    <x v="0"/>
    <n v="1301254"/>
    <m/>
    <m/>
  </r>
  <r>
    <x v="18"/>
    <x v="4"/>
    <s v="F:\Données chgh\2020-CHG-CZA-Cromolyn-3\plaque 2/@18 Testo + Cromolyn 1/E6_03.tif "/>
    <s v=" 15054.4067 "/>
    <s v=" 70.1092 "/>
    <x v="0"/>
    <n v="1055452"/>
    <m/>
    <m/>
  </r>
  <r>
    <x v="18"/>
    <x v="5"/>
    <s v="F:\Données chgh\2020-CHG-CZA-Cromolyn-3\plaque 2/@18 Testo + Cromolyn 1/F6_01- exclu.tif"/>
    <m/>
    <m/>
    <x v="1"/>
    <m/>
    <m/>
    <m/>
  </r>
  <r>
    <x v="18"/>
    <x v="5"/>
    <s v="F:\Données chgh\2020-CHG-CZA-Cromolyn-3\plaque 2/@18 Testo + Cromolyn 1/F6_02.tif "/>
    <s v=" 28097.2331 "/>
    <s v=" 68.4673 "/>
    <x v="0"/>
    <n v="1923741"/>
    <m/>
    <m/>
  </r>
  <r>
    <x v="18"/>
    <x v="5"/>
    <s v="F:\Données chgh\2020-CHG-CZA-Cromolyn-3\plaque 2/@18 Testo + Cromolyn 1/F6_03- exclu.tif"/>
    <m/>
    <m/>
    <x v="1"/>
    <m/>
    <m/>
    <m/>
  </r>
  <r>
    <x v="18"/>
    <x v="6"/>
    <s v="F:\Données chgh\2020-CHG-CZA-Cromolyn-3\plaque 2/@18 Testo + Cromolyn 1/G6_01.tif "/>
    <s v=" 10403.9793 "/>
    <s v=" 65.183 "/>
    <x v="0"/>
    <n v="678162"/>
    <m/>
    <m/>
  </r>
  <r>
    <x v="18"/>
    <x v="6"/>
    <s v="F:\Données chgh\2020-CHG-CZA-Cromolyn-3\plaque 2/@18 Testo + Cromolyn 1/G6_02.tif "/>
    <s v=" 6813.4168 "/>
    <s v=" 65.1048 "/>
    <x v="0"/>
    <n v="443586"/>
    <m/>
    <m/>
  </r>
  <r>
    <x v="18"/>
    <x v="6"/>
    <s v="F:\Données chgh\2020-CHG-CZA-Cromolyn-3\plaque 2/@18 Testo + Cromolyn 1/G6_03- exclu.tif"/>
    <m/>
    <m/>
    <x v="1"/>
    <m/>
    <m/>
    <m/>
  </r>
  <r>
    <x v="18"/>
    <x v="7"/>
    <s v="F:\Données chgh\2020-CHG-CZA-Cromolyn-3\plaque 2/@18 Testo + Cromolyn 1/H6_01.tif "/>
    <s v=" 21586.6348 "/>
    <s v=" 69.994 "/>
    <x v="0"/>
    <n v="1510935"/>
    <m/>
    <m/>
  </r>
  <r>
    <x v="18"/>
    <x v="7"/>
    <s v="F:\Données chgh\2020-CHG-CZA-Cromolyn-3\plaque 2/@18 Testo + Cromolyn 1/H6_02.tif "/>
    <s v=" 17412.0652 "/>
    <s v=" 68.8696 "/>
    <x v="0"/>
    <n v="1199161"/>
    <m/>
    <m/>
  </r>
  <r>
    <x v="18"/>
    <x v="7"/>
    <s v="F:\Données chgh\2020-CHG-CZA-Cromolyn-3\plaque 2/@18 Testo + Cromolyn 1/H6_03.tif "/>
    <s v=" 20591.6597 "/>
    <s v=" 69.5588 "/>
    <x v="0"/>
    <n v="1432332"/>
    <m/>
    <m/>
  </r>
  <r>
    <x v="1"/>
    <x v="8"/>
    <s v=" "/>
    <m/>
    <m/>
    <x v="1"/>
    <m/>
    <m/>
    <m/>
  </r>
  <r>
    <x v="1"/>
    <x v="8"/>
    <s v="group "/>
    <s v=" "/>
    <s v=" mean of mean fluo "/>
    <x v="2"/>
    <s v=" mean of total fluo "/>
    <s v=" SD total fluo "/>
    <s v=" n fluorescent "/>
  </r>
  <r>
    <x v="18"/>
    <x v="9"/>
    <s v="F:\Données chgh\2020-CHG-CZA-Cromolyn-3\plaque 2/@18 Testo + Cromolyn 1/ "/>
    <s v=" "/>
    <s v=" 69.4815 "/>
    <x v="20"/>
    <s v=" 1676123.04 "/>
    <s v=" 1533441.75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19"/>
    <x v="0"/>
    <s v="F:\Données chgh\2020-CHG-CZA-Cromolyn-3\plaque 2/@19 Testo + Cromolyn 10/A7_01.tif "/>
    <s v=" 34283.383 "/>
    <s v=" 71.2934 "/>
    <x v="0"/>
    <n v="2444178"/>
    <m/>
    <m/>
  </r>
  <r>
    <x v="19"/>
    <x v="0"/>
    <s v="F:\Données chgh\2020-CHG-CZA-Cromolyn-3\plaque 2/@19 Testo + Cromolyn 10/A7_02.tif "/>
    <s v=" 28594.7207 "/>
    <s v=" 69.972 "/>
    <x v="0"/>
    <n v="2000830"/>
    <m/>
    <m/>
  </r>
  <r>
    <x v="19"/>
    <x v="0"/>
    <s v="F:\Données chgh\2020-CHG-CZA-Cromolyn-3\plaque 2/@19 Testo + Cromolyn 10/A7_03.tif "/>
    <s v=" 34759.2407 "/>
    <s v=" 72.1077 "/>
    <x v="0"/>
    <n v="2506407"/>
    <m/>
    <m/>
  </r>
  <r>
    <x v="19"/>
    <x v="1"/>
    <s v="F:\Données chgh\2020-CHG-CZA-Cromolyn-3\plaque 2/@19 Testo + Cromolyn 10/B7_01.tif "/>
    <s v=" 32293.4327 "/>
    <s v=" 76.3101 "/>
    <x v="0"/>
    <n v="2464316"/>
    <m/>
    <m/>
  </r>
  <r>
    <x v="19"/>
    <x v="1"/>
    <s v="F:\Données chgh\2020-CHG-CZA-Cromolyn-3\plaque 2/@19 Testo + Cromolyn 10/B7_02.tif "/>
    <s v=" 31038.8988 "/>
    <s v=" 77.0153 "/>
    <x v="0"/>
    <n v="2390471"/>
    <m/>
    <m/>
  </r>
  <r>
    <x v="19"/>
    <x v="1"/>
    <s v="F:\Données chgh\2020-CHG-CZA-Cromolyn-3\plaque 2/@19 Testo + Cromolyn 10/B7_03- exclu.tif"/>
    <m/>
    <m/>
    <x v="1"/>
    <m/>
    <m/>
    <m/>
  </r>
  <r>
    <x v="19"/>
    <x v="2"/>
    <s v="F:\Données chgh\2020-CHG-CZA-Cromolyn-3\plaque 2/@19 Testo + Cromolyn 10/C7_01.tif "/>
    <s v=" 62705.0645 "/>
    <s v=" 75.8148 "/>
    <x v="0"/>
    <n v="4753970"/>
    <m/>
    <m/>
  </r>
  <r>
    <x v="19"/>
    <x v="2"/>
    <s v="F:\Données chgh\2020-CHG-CZA-Cromolyn-3\plaque 2/@19 Testo + Cromolyn 10/C7_02.tif "/>
    <s v=" 62878.1037 "/>
    <s v=" 73.4702 "/>
    <x v="0"/>
    <n v="4619670"/>
    <m/>
    <m/>
  </r>
  <r>
    <x v="19"/>
    <x v="2"/>
    <s v="F:\Données chgh\2020-CHG-CZA-Cromolyn-3\plaque 2/@19 Testo + Cromolyn 10/C7_03.tif "/>
    <s v=" 63116.0325 "/>
    <s v=" 74.877 "/>
    <x v="0"/>
    <n v="4725937"/>
    <m/>
    <m/>
  </r>
  <r>
    <x v="19"/>
    <x v="3"/>
    <s v="F:\Données chgh\2020-CHG-CZA-Cromolyn-3\plaque 2/@19 Testo + Cromolyn 10/D7_01.tif "/>
    <s v=" 31449.8668 "/>
    <s v=" 69.9814 "/>
    <x v="0"/>
    <n v="2200907"/>
    <m/>
    <m/>
  </r>
  <r>
    <x v="19"/>
    <x v="3"/>
    <s v="F:\Données chgh\2020-CHG-CZA-Cromolyn-3\plaque 2/@19 Testo + Cromolyn 10/D7_02.tif "/>
    <s v=" 34824.1304 "/>
    <s v=" 68.9677 "/>
    <x v="0"/>
    <n v="2401740"/>
    <m/>
    <m/>
  </r>
  <r>
    <x v="19"/>
    <x v="3"/>
    <s v="F:\Données chgh\2020-CHG-CZA-Cromolyn-3\plaque 2/@19 Testo + Cromolyn 10/D7_03.tif "/>
    <s v=" 32228.543 "/>
    <s v=" 69.6047 "/>
    <x v="0"/>
    <n v="2243258"/>
    <m/>
    <m/>
  </r>
  <r>
    <x v="19"/>
    <x v="4"/>
    <s v="F:\Données chgh\2020-CHG-CZA-Cromolyn-3\plaque 2/@19 Testo + Cromolyn 10/E7_01.tif "/>
    <s v=" 28984.0588 "/>
    <s v=" 73.8097 "/>
    <x v="0"/>
    <n v="2139305"/>
    <m/>
    <m/>
  </r>
  <r>
    <x v="19"/>
    <x v="4"/>
    <s v="F:\Données chgh\2020-CHG-CZA-Cromolyn-3\plaque 2/@19 Testo + Cromolyn 10/E7_02.tif "/>
    <s v=" 28335.162 "/>
    <s v=" 73.6588 "/>
    <x v="0"/>
    <n v="2087133"/>
    <m/>
    <m/>
  </r>
  <r>
    <x v="19"/>
    <x v="4"/>
    <s v="F:\Données chgh\2020-CHG-CZA-Cromolyn-3\plaque 2/@19 Testo + Cromolyn 10/E7_03.tif "/>
    <s v=" 30779.3401 "/>
    <s v=" 73.2446 "/>
    <x v="0"/>
    <n v="2254419"/>
    <m/>
    <m/>
  </r>
  <r>
    <x v="19"/>
    <x v="5"/>
    <s v="F:\Données chgh\2020-CHG-CZA-Cromolyn-3\plaque 2/@19 Testo + Cromolyn 10/F7_01.tif "/>
    <s v=" 73238.8232 "/>
    <s v=" 79.2177 "/>
    <x v="0"/>
    <n v="5801808"/>
    <m/>
    <m/>
  </r>
  <r>
    <x v="19"/>
    <x v="5"/>
    <s v="F:\Données chgh\2020-CHG-CZA-Cromolyn-3\plaque 2/@19 Testo + Cromolyn 10/F7_02.tif "/>
    <s v=" 71897.7697 "/>
    <s v=" 80.0129 "/>
    <x v="0"/>
    <n v="5752752"/>
    <m/>
    <m/>
  </r>
  <r>
    <x v="19"/>
    <x v="5"/>
    <s v="F:\Données chgh\2020-CHG-CZA-Cromolyn-3\plaque 2/@19 Testo + Cromolyn 10/F7_03.tif "/>
    <s v=" 70037.5988 "/>
    <s v=" 80.6053 "/>
    <x v="0"/>
    <n v="5645402"/>
    <m/>
    <m/>
  </r>
  <r>
    <x v="19"/>
    <x v="6"/>
    <s v="F:\Données chgh\2020-CHG-CZA-Cromolyn-3\plaque 2/@19 Testo + Cromolyn 10/G7_01.tif "/>
    <s v=" 37592.7569 "/>
    <s v=" 69.3072 "/>
    <x v="0"/>
    <n v="2605451"/>
    <m/>
    <m/>
  </r>
  <r>
    <x v="19"/>
    <x v="6"/>
    <s v="F:\Données chgh\2020-CHG-CZA-Cromolyn-3\plaque 2/@19 Testo + Cromolyn 10/G7_02.tif "/>
    <s v=" 38825.6609 "/>
    <s v=" 69.351 "/>
    <x v="0"/>
    <n v="2692597"/>
    <m/>
    <m/>
  </r>
  <r>
    <x v="19"/>
    <x v="6"/>
    <s v="F:\Données chgh\2020-CHG-CZA-Cromolyn-3\plaque 2/@19 Testo + Cromolyn 10/G7_03.tif "/>
    <s v=" 39885.5257 "/>
    <s v=" 70.6502 "/>
    <x v="0"/>
    <n v="2817921"/>
    <m/>
    <m/>
  </r>
  <r>
    <x v="19"/>
    <x v="7"/>
    <s v="F:\Données chgh\2020-CHG-CZA-Cromolyn-3\plaque 2/@19 Testo + Cromolyn 10/H7_01.tif "/>
    <s v=" 54961.5623 "/>
    <s v=" 75.6938 "/>
    <x v="0"/>
    <n v="4160251"/>
    <m/>
    <m/>
  </r>
  <r>
    <x v="19"/>
    <x v="7"/>
    <s v="F:\Données chgh\2020-CHG-CZA-Cromolyn-3\plaque 2/@19 Testo + Cromolyn 10/H7_02.tif "/>
    <s v=" 51003.2915 "/>
    <s v=" 77.9067 "/>
    <x v="0"/>
    <n v="3973498"/>
    <m/>
    <m/>
  </r>
  <r>
    <x v="19"/>
    <x v="7"/>
    <s v="F:\Données chgh\2020-CHG-CZA-Cromolyn-3\plaque 2/@19 Testo + Cromolyn 10/H7_03.tif "/>
    <s v=" 56216.0961 "/>
    <s v=" 76.8161 "/>
    <x v="0"/>
    <n v="4318300"/>
    <m/>
    <m/>
  </r>
  <r>
    <x v="1"/>
    <x v="8"/>
    <s v=" "/>
    <m/>
    <m/>
    <x v="1"/>
    <m/>
    <m/>
    <m/>
  </r>
  <r>
    <x v="1"/>
    <x v="8"/>
    <s v="group "/>
    <s v=" "/>
    <s v=" mean of mean fluo "/>
    <x v="2"/>
    <s v=" mean of total fluo "/>
    <s v=" SD total fluo "/>
    <s v=" n fluorescent "/>
  </r>
  <r>
    <x v="19"/>
    <x v="9"/>
    <s v="F:\Données chgh\2020-CHG-CZA-Cromolyn-3\plaque 2/@19 Testo + Cromolyn 10/ "/>
    <s v=" "/>
    <s v=" 73.6555 "/>
    <x v="21"/>
    <s v=" 3219332.21 "/>
    <s v=" 1439539.56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0"/>
    <x v="0"/>
    <s v="F:\Données chgh\2020-CHG-CZA-Cromolyn-3\plaque 2/@20 Testo + Cromolyn 100/A8_01.tif "/>
    <s v=" 51955.0069 "/>
    <s v=" 76.8464 "/>
    <x v="0"/>
    <n v="3992554"/>
    <m/>
    <m/>
  </r>
  <r>
    <x v="20"/>
    <x v="0"/>
    <s v="F:\Données chgh\2020-CHG-CZA-Cromolyn-3\plaque 2/@20 Testo + Cromolyn 100/A8_02- exclu.tif"/>
    <m/>
    <m/>
    <x v="1"/>
    <m/>
    <m/>
    <m/>
  </r>
  <r>
    <x v="20"/>
    <x v="0"/>
    <s v="F:\Données chgh\2020-CHG-CZA-Cromolyn-3\plaque 2/@20 Testo + Cromolyn 100/A8_03.tif "/>
    <s v=" 51544.0389 "/>
    <s v=" 78.1175 "/>
    <x v="0"/>
    <n v="4026491"/>
    <m/>
    <m/>
  </r>
  <r>
    <x v="20"/>
    <x v="1"/>
    <s v="F:\Données chgh\2020-CHG-CZA-Cromolyn-3\plaque 2/@20 Testo + Cromolyn 100/B8_01.tif "/>
    <s v=" 18428.6702 "/>
    <s v=" 66.1467 "/>
    <x v="0"/>
    <n v="1218996"/>
    <m/>
    <m/>
  </r>
  <r>
    <x v="20"/>
    <x v="1"/>
    <s v="F:\Données chgh\2020-CHG-CZA-Cromolyn-3\plaque 2/@20 Testo + Cromolyn 100/B8_02.tif "/>
    <s v=" 17779.7734 "/>
    <s v=" 66.0669 "/>
    <x v="0"/>
    <n v="1174655"/>
    <m/>
    <m/>
  </r>
  <r>
    <x v="20"/>
    <x v="1"/>
    <s v="F:\Données chgh\2020-CHG-CZA-Cromolyn-3\plaque 2/@20 Testo + Cromolyn 100/B8_03.tif "/>
    <s v=" 16655.0189 "/>
    <s v=" 65.0234 "/>
    <x v="0"/>
    <n v="1082966"/>
    <m/>
    <m/>
  </r>
  <r>
    <x v="20"/>
    <x v="2"/>
    <s v="F:\Données chgh\2020-CHG-CZA-Cromolyn-3\plaque 2/@20 Testo + Cromolyn 100/C8_01.tif "/>
    <s v=" 6618.7478 "/>
    <s v=" 64.9444 "/>
    <x v="0"/>
    <n v="429851"/>
    <m/>
    <m/>
  </r>
  <r>
    <x v="20"/>
    <x v="2"/>
    <s v="F:\Données chgh\2020-CHG-CZA-Cromolyn-3\plaque 2/@20 Testo + Cromolyn 100/C8_02.tif "/>
    <s v=" 9041.296 "/>
    <s v=" 65.1794 "/>
    <x v="0"/>
    <n v="589306"/>
    <m/>
    <m/>
  </r>
  <r>
    <x v="20"/>
    <x v="2"/>
    <s v="F:\Données chgh\2020-CHG-CZA-Cromolyn-3\plaque 2/@20 Testo + Cromolyn 100/C8_03.tif "/>
    <s v=" 6337.5591 "/>
    <s v=" 64.4096 "/>
    <x v="0"/>
    <n v="408199"/>
    <m/>
    <m/>
  </r>
  <r>
    <x v="20"/>
    <x v="3"/>
    <s v="F:\Données chgh\2020-CHG-CZA-Cromolyn-3\plaque 2/@20 Testo + Cromolyn 100/D8_01.tif "/>
    <s v=" 20829.5885 "/>
    <s v=" 69.2336 "/>
    <x v="0"/>
    <n v="1442108"/>
    <m/>
    <m/>
  </r>
  <r>
    <x v="20"/>
    <x v="3"/>
    <s v="F:\Données chgh\2020-CHG-CZA-Cromolyn-3\plaque 2/@20 Testo + Cromolyn 100/D8_02.tif "/>
    <s v=" 23122.3574 "/>
    <s v=" 69.9495 "/>
    <x v="0"/>
    <n v="1617397"/>
    <m/>
    <m/>
  </r>
  <r>
    <x v="20"/>
    <x v="3"/>
    <s v="F:\Données chgh\2020-CHG-CZA-Cromolyn-3\plaque 2/@20 Testo + Cromolyn 100/D8_03.tif "/>
    <s v=" 21045.8875 "/>
    <s v=" 69.6547 "/>
    <x v="0"/>
    <n v="1465944"/>
    <m/>
    <m/>
  </r>
  <r>
    <x v="20"/>
    <x v="4"/>
    <s v="F:\Données chgh\2020-CHG-CZA-Cromolyn-3\plaque 2/@20 Testo + Cromolyn 100/E8_01.tif "/>
    <s v=" 14037.8016 "/>
    <s v=" 67.8228 "/>
    <x v="0"/>
    <n v="952083"/>
    <m/>
    <m/>
  </r>
  <r>
    <x v="20"/>
    <x v="4"/>
    <s v="F:\Données chgh\2020-CHG-CZA-Cromolyn-3\plaque 2/@20 Testo + Cromolyn 100/E8_02.tif "/>
    <s v=" 13756.613 "/>
    <s v=" 67.033 "/>
    <x v="0"/>
    <n v="922147"/>
    <m/>
    <m/>
  </r>
  <r>
    <x v="20"/>
    <x v="4"/>
    <s v="F:\Données chgh\2020-CHG-CZA-Cromolyn-3\plaque 2/@20 Testo + Cromolyn 100/E8_03.tif "/>
    <s v=" 12285.7801 "/>
    <s v=" 67.3063 "/>
    <x v="0"/>
    <n v="826911"/>
    <m/>
    <m/>
  </r>
  <r>
    <x v="20"/>
    <x v="5"/>
    <s v="F:\Données chgh\2020-CHG-CZA-Cromolyn-3\plaque 2/@20 Testo + Cromolyn 100/F8_01- exclu.tif"/>
    <m/>
    <m/>
    <x v="1"/>
    <m/>
    <m/>
    <m/>
  </r>
  <r>
    <x v="20"/>
    <x v="5"/>
    <s v="F:\Données chgh\2020-CHG-CZA-Cromolyn-3\plaque 2/@20 Testo + Cromolyn 100/F8_02.tif "/>
    <s v=" 2703.7368 "/>
    <s v=" 65.672 "/>
    <x v="0"/>
    <n v="177560"/>
    <m/>
    <m/>
  </r>
  <r>
    <x v="20"/>
    <x v="5"/>
    <s v="F:\Données chgh\2020-CHG-CZA-Cromolyn-3\plaque 2/@20 Testo + Cromolyn 100/F8_03.tif "/>
    <s v=" 4412.4985 "/>
    <s v=" 64.9902 "/>
    <x v="0"/>
    <n v="286769"/>
    <m/>
    <m/>
  </r>
  <r>
    <x v="20"/>
    <x v="6"/>
    <s v="F:\Données chgh\2020-CHG-CZA-Cromolyn-3\plaque 2/@20 Testo + Cromolyn 100/G8_01.tif "/>
    <s v=" 19272.2361 "/>
    <s v=" 68.2088 "/>
    <x v="0"/>
    <n v="1314535"/>
    <m/>
    <m/>
  </r>
  <r>
    <x v="20"/>
    <x v="6"/>
    <s v="F:\Données chgh\2020-CHG-CZA-Cromolyn-3\plaque 2/@20 Testo + Cromolyn 100/G8_02.tif "/>
    <s v=" 22408.5708 "/>
    <s v=" 69.0116 "/>
    <x v="0"/>
    <n v="1546451"/>
    <m/>
    <m/>
  </r>
  <r>
    <x v="20"/>
    <x v="6"/>
    <s v="F:\Données chgh\2020-CHG-CZA-Cromolyn-3\plaque 2/@20 Testo + Cromolyn 100/G8_03.tif "/>
    <s v=" 21846.1936 "/>
    <s v=" 68.9772 "/>
    <x v="0"/>
    <n v="1506890"/>
    <m/>
    <m/>
  </r>
  <r>
    <x v="20"/>
    <x v="7"/>
    <s v="F:\Données chgh\2020-CHG-CZA-Cromolyn-3\plaque 2/@20 Testo + Cromolyn 100/H8_01.tif "/>
    <s v=" 64759.9045 "/>
    <s v=" 76.316 "/>
    <x v="0"/>
    <n v="4942215"/>
    <m/>
    <m/>
  </r>
  <r>
    <x v="20"/>
    <x v="7"/>
    <s v="F:\Données chgh\2020-CHG-CZA-Cromolyn-3\plaque 2/@20 Testo + Cromolyn 100/H8_02.tif "/>
    <s v=" 67052.6733 "/>
    <s v=" 75.5029 "/>
    <x v="0"/>
    <n v="5062672"/>
    <m/>
    <m/>
  </r>
  <r>
    <x v="20"/>
    <x v="7"/>
    <s v="F:\Données chgh\2020-CHG-CZA-Cromolyn-3\plaque 2/@20 Testo + Cromolyn 100/H8_03.tif "/>
    <s v=" 58119.5269 "/>
    <s v=" 76.3483 "/>
    <x v="0"/>
    <n v="4437330"/>
    <m/>
    <m/>
  </r>
  <r>
    <x v="1"/>
    <x v="8"/>
    <s v=" "/>
    <m/>
    <m/>
    <x v="1"/>
    <m/>
    <m/>
    <m/>
  </r>
  <r>
    <x v="1"/>
    <x v="8"/>
    <s v="group "/>
    <s v=" "/>
    <s v=" mean of mean fluo "/>
    <x v="2"/>
    <s v=" mean of total fluo "/>
    <s v=" SD total fluo "/>
    <s v=" n fluorescent "/>
  </r>
  <r>
    <x v="20"/>
    <x v="9"/>
    <s v="F:\Données chgh\2020-CHG-CZA-Cromolyn-3\plaque 2/@20 Testo + Cromolyn 100/ "/>
    <s v=" "/>
    <s v=" 68.84 "/>
    <x v="22"/>
    <s v=" 1725190.46 "/>
    <s v=" 1540995.12 "/>
    <n v="24"/>
  </r>
  <r>
    <x v="1"/>
    <x v="8"/>
    <s v=" "/>
    <m/>
    <m/>
    <x v="1"/>
    <m/>
    <m/>
    <m/>
  </r>
  <r>
    <x v="1"/>
    <x v="8"/>
    <s v=" "/>
    <m/>
    <m/>
    <x v="1"/>
    <m/>
    <m/>
    <m/>
  </r>
  <r>
    <x v="1"/>
    <x v="8"/>
    <s v=" "/>
    <m/>
    <m/>
    <x v="1"/>
    <m/>
    <m/>
    <m/>
  </r>
  <r>
    <x v="1"/>
    <x v="8"/>
    <s v=" "/>
    <m/>
    <m/>
    <x v="1"/>
    <m/>
    <m/>
    <m/>
  </r>
  <r>
    <x v="1"/>
    <x v="8"/>
    <s v=" "/>
    <m/>
    <m/>
    <x v="1"/>
    <m/>
    <m/>
    <m/>
  </r>
  <r>
    <x v="1"/>
    <x v="8"/>
    <s v="file name "/>
    <s v=" total area "/>
    <s v=" mean intensity "/>
    <x v="0"/>
    <s v=" total fluorescence"/>
    <m/>
    <m/>
  </r>
  <r>
    <x v="21"/>
    <x v="0"/>
    <s v="F:\Données chgh\2020-CHG-CZA-Cromolyn-3\plaque 2/@21 Testo + Cromolyn 1000/A9_01- exclu.tif"/>
    <m/>
    <m/>
    <x v="1"/>
    <m/>
    <m/>
    <m/>
  </r>
  <r>
    <x v="21"/>
    <x v="0"/>
    <s v="F:\Données chgh\2020-CHG-CZA-Cromolyn-3\plaque 2/@21 Testo + Cromolyn 1000/A9_02.tif "/>
    <s v=" 21262.1864 "/>
    <s v=" 73.9674 "/>
    <x v="0"/>
    <n v="1572710"/>
    <m/>
    <m/>
  </r>
  <r>
    <x v="21"/>
    <x v="0"/>
    <s v="F:\Données chgh\2020-CHG-CZA-Cromolyn-3\plaque 2/@21 Testo + Cromolyn 1000/A9_03.tif "/>
    <s v=" 18991.0475 "/>
    <s v=" 73.0068 "/>
    <x v="0"/>
    <n v="1386476"/>
    <m/>
    <m/>
  </r>
  <r>
    <x v="21"/>
    <x v="1"/>
    <s v="F:\Données chgh\2020-CHG-CZA-Cromolyn-3\plaque 2/@21 Testo + Cromolyn 1000/B9_01.tif "/>
    <s v=" 42156.6646 "/>
    <s v=" 74.5788 "/>
    <x v="0"/>
    <n v="3143992"/>
    <m/>
    <m/>
  </r>
  <r>
    <x v="21"/>
    <x v="1"/>
    <s v="F:\Données chgh\2020-CHG-CZA-Cromolyn-3\plaque 2/@21 Testo + Cromolyn 1000/B9_02.tif "/>
    <s v=" 40685.8318 "/>
    <s v=" 77.3153 "/>
    <x v="0"/>
    <n v="3145636"/>
    <m/>
    <m/>
  </r>
  <r>
    <x v="21"/>
    <x v="1"/>
    <s v="F:\Données chgh\2020-CHG-CZA-Cromolyn-3\plaque 2/@21 Testo + Cromolyn 1000/B9_03.tif "/>
    <s v=" 41637.5472 "/>
    <s v=" 79.3314 "/>
    <x v="0"/>
    <n v="3303166"/>
    <m/>
    <m/>
  </r>
  <r>
    <x v="21"/>
    <x v="2"/>
    <s v="F:\Données chgh\2020-CHG-CZA-Cromolyn-3\plaque 2/@21 Testo + Cromolyn 1000/C9_01.tif "/>
    <s v=" 4477.3882 "/>
    <s v=" 68.6377 "/>
    <x v="0"/>
    <n v="307318"/>
    <m/>
    <m/>
  </r>
  <r>
    <x v="21"/>
    <x v="2"/>
    <s v="F:\Données chgh\2020-CHG-CZA-Cromolyn-3\plaque 2/@21 Testo + Cromolyn 1000/C9_02.tif "/>
    <s v=" 5515.6231 "/>
    <s v=" 68.8157 "/>
    <x v="0"/>
    <n v="379561"/>
    <m/>
    <m/>
  </r>
  <r>
    <x v="21"/>
    <x v="2"/>
    <s v="F:\Données chgh\2020-CHG-CZA-Cromolyn-3\plaque 2/@21 Testo + Cromolyn 1000/C9_03.tif "/>
    <s v=" 4888.3562 "/>
    <s v=" 68.0487 "/>
    <x v="0"/>
    <n v="332646"/>
    <m/>
    <m/>
  </r>
  <r>
    <x v="21"/>
    <x v="3"/>
    <s v="F:\Données chgh\2020-CHG-CZA-Cromolyn-3\plaque 2/@21 Testo + Cromolyn 1000/D9_01.tif "/>
    <s v=" 23792.8841 "/>
    <s v=" 66.7873 "/>
    <x v="0"/>
    <n v="1589062"/>
    <m/>
    <m/>
  </r>
  <r>
    <x v="21"/>
    <x v="3"/>
    <s v="F:\Données chgh\2020-CHG-CZA-Cromolyn-3\plaque 2/@21 Testo + Cromolyn 1000/D9_02.tif "/>
    <s v=" 22819.5388 "/>
    <s v=" 67.3431 "/>
    <x v="0"/>
    <n v="1536739"/>
    <m/>
    <m/>
  </r>
  <r>
    <x v="21"/>
    <x v="3"/>
    <s v="F:\Données chgh\2020-CHG-CZA-Cromolyn-3\plaque 2/@21 Testo + Cromolyn 1000/D9_03.tif "/>
    <s v=" 24593.1902 "/>
    <s v=" 66.8927 "/>
    <x v="0"/>
    <n v="1645105"/>
    <m/>
    <m/>
  </r>
  <r>
    <x v="21"/>
    <x v="4"/>
    <s v="F:\Données chgh\2020-CHG-CZA-Cromolyn-3\plaque 2/@21 Testo + Cromolyn 1000/E9_01.tif "/>
    <s v=" 37333.1981 "/>
    <s v=" 73.1054 "/>
    <x v="0"/>
    <n v="2729260"/>
    <m/>
    <m/>
  </r>
  <r>
    <x v="21"/>
    <x v="4"/>
    <s v="F:\Données chgh\2020-CHG-CZA-Cromolyn-3\plaque 2/@21 Testo + Cromolyn 1000/E9_02.tif "/>
    <s v=" 36468.0023 "/>
    <s v=" 75.6951 "/>
    <x v="0"/>
    <n v="2760450"/>
    <m/>
    <m/>
  </r>
  <r>
    <x v="21"/>
    <x v="4"/>
    <s v="F:\Données chgh\2020-CHG-CZA-Cromolyn-3\plaque 2/@21 Testo + Cromolyn 1000/E9_03.tif "/>
    <s v=" 36359.8529 "/>
    <s v=" 73.2701 "/>
    <x v="0"/>
    <n v="2664089"/>
    <m/>
    <m/>
  </r>
  <r>
    <x v="21"/>
    <x v="5"/>
    <s v="F:\Données chgh\2020-CHG-CZA-Cromolyn-3\plaque 2/@21 Testo + Cromolyn 1000/F9_01.tif "/>
    <s v=" 8565.4383 "/>
    <s v=" 69.75 "/>
    <x v="0"/>
    <n v="597439"/>
    <m/>
    <m/>
  </r>
  <r>
    <x v="21"/>
    <x v="5"/>
    <s v="F:\Données chgh\2020-CHG-CZA-Cromolyn-3\plaque 2/@21 Testo + Cromolyn 1000/F9_02.tif "/>
    <s v=" 9344.1145 "/>
    <s v=" 69.9398 "/>
    <x v="0"/>
    <n v="653526"/>
    <m/>
    <m/>
  </r>
  <r>
    <x v="21"/>
    <x v="5"/>
    <s v="F:\Données chgh\2020-CHG-CZA-Cromolyn-3\plaque 2/@21 Testo + Cromolyn 1000/F9_03.tif "/>
    <s v=" 7440.6838 "/>
    <s v=" 69.407 "/>
    <x v="0"/>
    <n v="516435"/>
    <m/>
    <m/>
  </r>
  <r>
    <x v="21"/>
    <x v="6"/>
    <s v="F:\Données chgh\2020-CHG-CZA-Cromolyn-3\plaque 2/@21 Testo + Cromolyn 1000/G9_01.tif "/>
    <s v=" 22949.3182 "/>
    <s v=" 67.8699 "/>
    <x v="0"/>
    <n v="1557569"/>
    <m/>
    <m/>
  </r>
  <r>
    <x v="21"/>
    <x v="6"/>
    <s v="F:\Données chgh\2020-CHG-CZA-Cromolyn-3\plaque 2/@21 Testo + Cromolyn 1000/G9_02.tif "/>
    <s v=" 23987.5531 "/>
    <s v=" 68.1425 "/>
    <x v="0"/>
    <n v="1634571"/>
    <m/>
    <m/>
  </r>
  <r>
    <x v="21"/>
    <x v="6"/>
    <s v="F:\Données chgh\2020-CHG-CZA-Cromolyn-3\plaque 2/@21 Testo + Cromolyn 1000/G9_03.tif "/>
    <s v=" 23295.3965 "/>
    <s v=" 69.571 "/>
    <x v="0"/>
    <n v="1620685"/>
    <m/>
    <m/>
  </r>
  <r>
    <x v="21"/>
    <x v="7"/>
    <s v="F:\Données chgh\2020-CHG-CZA-Cromolyn-3\plaque 2/@21 Testo + Cromolyn 1000/H9_01.tif "/>
    <s v=" 53728.6583 "/>
    <s v=" 83.1711 "/>
    <x v="0"/>
    <n v="4468671"/>
    <m/>
    <m/>
  </r>
  <r>
    <x v="21"/>
    <x v="7"/>
    <s v="F:\Données chgh\2020-CHG-CZA-Cromolyn-3\plaque 2/@21 Testo + Cromolyn 1000/H9_02.tif "/>
    <s v=" 51738.708 "/>
    <s v=" 79.6467 "/>
    <x v="0"/>
    <n v="4120819"/>
    <m/>
    <m/>
  </r>
  <r>
    <x v="21"/>
    <x v="7"/>
    <s v="F:\Données chgh\2020-CHG-CZA-Cromolyn-3\plaque 2/@21 Testo + Cromolyn 1000/H9_03.tif "/>
    <s v=" 44838.7716 "/>
    <s v=" 82.6498 "/>
    <x v="0"/>
    <n v="3705915"/>
    <m/>
    <m/>
  </r>
  <r>
    <x v="1"/>
    <x v="8"/>
    <s v=" "/>
    <m/>
    <m/>
    <x v="1"/>
    <m/>
    <m/>
    <m/>
  </r>
  <r>
    <x v="1"/>
    <x v="8"/>
    <s v="group "/>
    <s v=" "/>
    <s v=" mean of mean fluo "/>
    <x v="2"/>
    <s v=" mean of total fluo "/>
    <s v=" SD total fluo "/>
    <s v=" n fluorescent "/>
  </r>
  <r>
    <x v="21"/>
    <x v="9"/>
    <s v="F:\Données chgh\2020-CHG-CZA-Cromolyn-3\plaque 2/@21 Testo + Cromolyn 1000/ "/>
    <s v=" "/>
    <s v=" 72.2923 "/>
    <x v="23"/>
    <n v="1932641"/>
    <s v=" 1251691.88 "/>
    <n v="24"/>
  </r>
  <r>
    <x v="1"/>
    <x v="8"/>
    <s v=" "/>
    <m/>
    <m/>
    <x v="1"/>
    <m/>
    <m/>
    <m/>
  </r>
  <r>
    <x v="1"/>
    <x v="8"/>
    <s v=" "/>
    <m/>
    <m/>
    <x v="1"/>
    <m/>
    <m/>
    <m/>
  </r>
  <r>
    <x v="1"/>
    <x v="8"/>
    <s v=" "/>
    <m/>
    <m/>
    <x v="1"/>
    <m/>
    <m/>
    <m/>
  </r>
  <r>
    <x v="1"/>
    <x v="8"/>
    <s v=" "/>
    <m/>
    <m/>
    <x v="1"/>
    <m/>
    <m/>
    <m/>
  </r>
  <r>
    <x v="1"/>
    <x v="8"/>
    <s v=" "/>
    <m/>
    <m/>
    <x v="1"/>
    <m/>
    <m/>
    <m/>
  </r>
  <r>
    <x v="1"/>
    <x v="8"/>
    <s v=" "/>
    <m/>
    <m/>
    <x v="1"/>
    <m/>
    <m/>
    <m/>
  </r>
  <r>
    <x v="1"/>
    <x v="8"/>
    <m/>
    <s v=" n total analysed"/>
    <m/>
    <x v="1"/>
    <m/>
    <m/>
    <m/>
  </r>
  <r>
    <x v="1"/>
    <x v="8"/>
    <m/>
    <n v="504"/>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r>
    <x v="1"/>
    <x v="8"/>
    <m/>
    <m/>
    <m/>
    <x v="1"/>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eau croisé dynamique3" cacheId="2"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4">
        <item m="1" x="22"/>
        <item x="1"/>
        <item x="0"/>
        <item x="2"/>
        <item x="3"/>
        <item x="4"/>
        <item x="5"/>
        <item x="6"/>
        <item x="7"/>
        <item x="8"/>
        <item x="9"/>
        <item x="10"/>
        <item x="11"/>
        <item x="12"/>
        <item x="13"/>
        <item x="14"/>
        <item x="15"/>
        <item x="16"/>
        <item x="17"/>
        <item x="18"/>
        <item x="19"/>
        <item x="20"/>
        <item x="21"/>
        <item t="default"/>
      </items>
    </pivotField>
    <pivotField axis="axisRow" subtotalTop="0" showAll="0" sortType="ascending">
      <items count="11">
        <item h="1" x="9"/>
        <item x="0"/>
        <item x="1"/>
        <item x="2"/>
        <item x="3"/>
        <item x="4"/>
        <item x="5"/>
        <item x="6"/>
        <item x="7"/>
        <item h="1" x="8"/>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2"/>
    </i>
    <i>
      <x v="3"/>
    </i>
    <i>
      <x v="4"/>
    </i>
    <i>
      <x v="5"/>
    </i>
    <i>
      <x v="6"/>
    </i>
    <i>
      <x v="7"/>
    </i>
    <i>
      <x v="8"/>
    </i>
    <i>
      <x v="9"/>
    </i>
    <i>
      <x v="10"/>
    </i>
    <i>
      <x v="11"/>
    </i>
    <i>
      <x v="12"/>
    </i>
    <i>
      <x v="13"/>
    </i>
    <i>
      <x v="14"/>
    </i>
    <i>
      <x v="15"/>
    </i>
    <i>
      <x v="16"/>
    </i>
    <i>
      <x v="17"/>
    </i>
    <i>
      <x v="18"/>
    </i>
    <i>
      <x v="19"/>
    </i>
    <i>
      <x v="20"/>
    </i>
    <i>
      <x v="21"/>
    </i>
    <i>
      <x v="22"/>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eau croisé dynamique3" cacheId="3"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3">
        <item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0"/>
        <item x="1"/>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Tableau croisé dynamique3" cacheId="8"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K3:AF12" firstHeaderRow="1" firstDataRow="2" firstDataCol="1" rowPageCount="1" colPageCount="1"/>
  <pivotFields count="9">
    <pivotField axis="axisCol" subtotalTop="0" showAll="0">
      <items count="23">
        <item x="1"/>
        <item x="0"/>
        <item x="2"/>
        <item x="3"/>
        <item x="4"/>
        <item x="5"/>
        <item x="6"/>
        <item x="7"/>
        <item x="8"/>
        <item x="9"/>
        <item x="10"/>
        <item x="11"/>
        <item x="12"/>
        <item x="13"/>
        <item x="14"/>
        <item x="15"/>
        <item x="16"/>
        <item x="17"/>
        <item x="18"/>
        <item x="19"/>
        <item x="20"/>
        <item x="21"/>
        <item t="default"/>
      </items>
    </pivotField>
    <pivotField axis="axisRow" subtotalTop="0" showAll="0">
      <items count="11">
        <item h="1" x="8"/>
        <item x="0"/>
        <item x="1"/>
        <item x="2"/>
        <item x="3"/>
        <item x="4"/>
        <item x="5"/>
        <item x="6"/>
        <item x="7"/>
        <item h="1" x="9"/>
        <item t="default"/>
      </items>
    </pivotField>
    <pivotField subtotalTop="0" showAll="0"/>
    <pivotField subtotalTop="0" showAll="0"/>
    <pivotField subtotalTop="0" showAll="0"/>
    <pivotField axis="axisPage" subtotalTop="0" showAll="0">
      <items count="25">
        <item x="1"/>
        <item x="0"/>
        <item x="2"/>
        <item x="3"/>
        <item x="4"/>
        <item x="5"/>
        <item x="6"/>
        <item x="7"/>
        <item x="8"/>
        <item x="9"/>
        <item x="10"/>
        <item x="11"/>
        <item x="12"/>
        <item x="13"/>
        <item x="14"/>
        <item x="15"/>
        <item x="16"/>
        <item x="17"/>
        <item x="18"/>
        <item x="19"/>
        <item x="20"/>
        <item x="21"/>
        <item x="22"/>
        <item x="23"/>
        <item t="default"/>
      </items>
    </pivotField>
    <pivotField dataField="1" subtotalTop="0" showAll="0"/>
    <pivotField subtotalTop="0" showAll="0"/>
    <pivotField subtotalTop="0" showAll="0"/>
  </pivotFields>
  <rowFields count="1">
    <field x="1"/>
  </rowFields>
  <rowItems count="8">
    <i>
      <x v="1"/>
    </i>
    <i>
      <x v="2"/>
    </i>
    <i>
      <x v="3"/>
    </i>
    <i>
      <x v="4"/>
    </i>
    <i>
      <x v="5"/>
    </i>
    <i>
      <x v="6"/>
    </i>
    <i>
      <x v="7"/>
    </i>
    <i>
      <x v="8"/>
    </i>
  </rowItems>
  <colFields count="1">
    <field x="0"/>
  </colFields>
  <colItems count="21">
    <i>
      <x v="1"/>
    </i>
    <i>
      <x v="2"/>
    </i>
    <i>
      <x v="3"/>
    </i>
    <i>
      <x v="4"/>
    </i>
    <i>
      <x v="5"/>
    </i>
    <i>
      <x v="6"/>
    </i>
    <i>
      <x v="7"/>
    </i>
    <i>
      <x v="8"/>
    </i>
    <i>
      <x v="9"/>
    </i>
    <i>
      <x v="10"/>
    </i>
    <i>
      <x v="11"/>
    </i>
    <i>
      <x v="12"/>
    </i>
    <i>
      <x v="13"/>
    </i>
    <i>
      <x v="14"/>
    </i>
    <i>
      <x v="15"/>
    </i>
    <i>
      <x v="16"/>
    </i>
    <i>
      <x v="17"/>
    </i>
    <i>
      <x v="18"/>
    </i>
    <i>
      <x v="19"/>
    </i>
    <i>
      <x v="20"/>
    </i>
    <i>
      <x v="21"/>
    </i>
  </colItems>
  <pageFields count="1">
    <pageField fld="5" hier="-1"/>
  </pageFields>
  <dataFields count="1">
    <dataField name="Moyenne de  total fluorescence" fld="6" subtotal="average" baseField="1"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AF9C9-0BF8-4385-8AFD-DA7A17EBEF6D}" name="Tableau croisé dynamique3" cacheId="1"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U5:U6" firstHeaderRow="1" firstDataRow="1" firstDataCol="1" rowPageCount="2" colPageCount="1"/>
  <pivotFields count="6">
    <pivotField axis="axisRow" showAll="0" defaultSubtotal="0">
      <items count="13">
        <item x="12"/>
        <item x="8"/>
        <item x="1"/>
        <item x="2"/>
        <item x="3"/>
        <item x="4"/>
        <item x="5"/>
        <item x="6"/>
        <item x="7"/>
        <item x="10"/>
        <item x="11"/>
        <item x="9"/>
        <item x="0"/>
      </items>
    </pivotField>
    <pivotField axis="axisPage" multipleItemSelectionAllowed="1" showAll="0" defaultSubtotal="0">
      <items count="3">
        <item x="2"/>
        <item h="1" x="0"/>
        <item x="1"/>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i>
  </rowItems>
  <colItems count="1">
    <i/>
  </colItems>
  <pageFields count="2">
    <pageField fld="1" hier="-1"/>
    <pageField fld="5" item="0"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EBC52-00CD-4364-A425-54249E53BA82}" name="Tableau croisé dynamique2" cacheId="1" applyNumberFormats="0" applyBorderFormats="0" applyFontFormats="0" applyPatternFormats="0" applyAlignmentFormats="0" applyWidthHeightFormats="1" dataCaption="Valeurs" updatedVersion="6" minRefreshableVersion="3" rowGrandTotals="0" colGrandTotals="0" itemPrintTitles="1" createdVersion="5" indent="0" outline="1" outlineData="1" multipleFieldFilters="0">
  <location ref="Q5:Q6" firstHeaderRow="1" firstDataRow="1" firstDataCol="1" rowPageCount="2" colPageCount="1"/>
  <pivotFields count="6">
    <pivotField axis="axisRow" showAll="0" defaultSubtotal="0">
      <items count="13">
        <item x="12"/>
        <item x="8"/>
        <item x="1"/>
        <item x="2"/>
        <item x="3"/>
        <item x="4"/>
        <item x="5"/>
        <item x="6"/>
        <item x="7"/>
        <item x="10"/>
        <item x="11"/>
        <item x="9"/>
        <item x="0"/>
      </items>
    </pivotField>
    <pivotField axis="axisPage" multipleItemSelectionAllowed="1" showAll="0" defaultSubtotal="0">
      <items count="3">
        <item x="2"/>
        <item x="1"/>
        <item h="1" x="0"/>
      </items>
    </pivotField>
    <pivotField showAll="0" defaultSubtotal="0"/>
    <pivotField showAll="0" defaultSubtotal="0"/>
    <pivotField showAll="0" defaultSubtotal="0"/>
    <pivotField axis="axisPage" showAll="0" defaultSubtotal="0">
      <items count="2">
        <item x="1"/>
        <item x="0"/>
      </items>
    </pivotField>
  </pivotFields>
  <rowFields count="1">
    <field x="0"/>
  </rowFields>
  <rowItems count="1">
    <i>
      <x v="1"/>
    </i>
  </rowItems>
  <colItems count="1">
    <i/>
  </colItems>
  <pageFields count="2">
    <pageField fld="1" hier="-1"/>
    <pageField fld="5" item="1"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iste_groupe" displayName="liste_groupe" ref="A6:F57" totalsRowShown="0" headerRowDxfId="41" dataDxfId="40" tableBorderDxfId="39">
  <autoFilter ref="A6:F57" xr:uid="{00000000-0009-0000-0100-000001000000}"/>
  <tableColumns count="6">
    <tableColumn id="4" xr3:uid="{00000000-0010-0000-0000-000004000000}" name="Nom sur le graphique" dataDxfId="38">
      <calculatedColumnFormula>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calculatedColumnFormula>
    </tableColumn>
    <tableColumn id="1" xr3:uid="{00000000-0010-0000-0000-000001000000}" name="Code WF" dataDxfId="37">
      <calculatedColumnFormula>A2</calculatedColumnFormula>
    </tableColumn>
    <tableColumn id="2" xr3:uid="{00000000-0010-0000-0000-000002000000}" name="Concentration" dataDxfId="36">
      <calculatedColumnFormula>B2</calculatedColumnFormula>
    </tableColumn>
    <tableColumn id="10" xr3:uid="{00000000-0010-0000-0000-00000A000000}" name="Unité" dataDxfId="35"/>
    <tableColumn id="3" xr3:uid="{00000000-0010-0000-0000-000003000000}" name="Nom de l'échantillon donné par le client" dataDxfId="34">
      <calculatedColumnFormula>C2</calculatedColumnFormula>
    </tableColumn>
    <tableColumn id="9" xr3:uid="{00000000-0010-0000-0000-000009000000}" name="Dopage (+Testostérone / + EE2, ….)" dataDxfId="33"/>
  </tableColumns>
  <tableStyleInfo name="TableStyleLight15"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1000000}" name="Tableau7" displayName="Tableau7" ref="A1:I7" totalsRowShown="0">
  <autoFilter ref="A1:I7" xr:uid="{00000000-0009-0000-0100-000007000000}"/>
  <tableColumns count="9">
    <tableColumn id="1" xr3:uid="{00000000-0010-0000-0100-000001000000}" name="Nom groupe"/>
    <tableColumn id="2" xr3:uid="{00000000-0010-0000-0100-000002000000}" name="N° de valeur"/>
    <tableColumn id="3" xr3:uid="{00000000-0010-0000-0100-000003000000}" name="file name"/>
    <tableColumn id="4" xr3:uid="{00000000-0010-0000-0100-000004000000}" name=" total area "/>
    <tableColumn id="5" xr3:uid="{00000000-0010-0000-0100-000005000000}" name=" mean intensity "/>
    <tableColumn id="6" xr3:uid="{00000000-0010-0000-0100-000006000000}" name=" "/>
    <tableColumn id="7" xr3:uid="{00000000-0010-0000-0100-000007000000}" name=" total fluorescence"/>
    <tableColumn id="8" xr3:uid="{00000000-0010-0000-0100-000008000000}" name="         "/>
    <tableColumn id="9" xr3:uid="{00000000-0010-0000-0100-000009000000}" name="nbre de larv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au4" displayName="Tableau4" ref="A1:I1557" totalsRowShown="0">
  <autoFilter ref="A1:I1557" xr:uid="{00000000-0009-0000-0100-000004000000}"/>
  <tableColumns count="9">
    <tableColumn id="1" xr3:uid="{00000000-0010-0000-0200-000001000000}" name="Nom groupe" dataDxfId="32">
      <calculatedColumnFormula>IFERROR(LEFT(RIGHT(C2,LEN(C2)-SEARCH("@",C2)),SEARCH("/",RIGHT(C2,LEN(C2)-SEARCH("@",C2)-1))),"")</calculatedColumnFormula>
    </tableColumn>
    <tableColumn id="2" xr3:uid="{00000000-0010-0000-0200-000002000000}" name="N° de valeur" dataDxfId="31">
      <calculatedColumnFormula>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calculatedColumnFormula>
    </tableColumn>
    <tableColumn id="3" xr3:uid="{00000000-0010-0000-0200-000003000000}" name="file name"/>
    <tableColumn id="4" xr3:uid="{00000000-0010-0000-0200-000004000000}" name=" total area "/>
    <tableColumn id="5" xr3:uid="{00000000-0010-0000-0200-000005000000}" name=" mean intensity "/>
    <tableColumn id="6" xr3:uid="{00000000-0010-0000-0200-000006000000}" name=" "/>
    <tableColumn id="7" xr3:uid="{00000000-0010-0000-0200-000007000000}" name=" total fluorescence"/>
    <tableColumn id="8" xr3:uid="{00000000-0010-0000-0200-000008000000}" name="         "/>
    <tableColumn id="9" xr3:uid="{00000000-0010-0000-0200-000009000000}" name="nbre de larves"/>
  </tableColumns>
  <tableStyleInfo name="TableStyleLight16"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au46" displayName="Tableau46" ref="A1:I1531" totalsRowShown="0">
  <autoFilter ref="A1:I1531" xr:uid="{00000000-0009-0000-0100-000005000000}"/>
  <tableColumns count="9">
    <tableColumn id="1" xr3:uid="{00000000-0010-0000-0300-000001000000}" name="Nom groupe" dataDxfId="30">
      <calculatedColumnFormula>IFERROR(LEFT(RIGHT(C2,LEN(C2)-SEARCH("@",C2)),SEARCH("/",RIGHT(C2,LEN(C2)-SEARCH("@",C2)-1))),"")</calculatedColumnFormula>
    </tableColumn>
    <tableColumn id="2" xr3:uid="{00000000-0010-0000-0300-000002000000}" name="N° de valeur" dataDxfId="29">
      <calculatedColumnFormula>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calculatedColumnFormula>
    </tableColumn>
    <tableColumn id="3" xr3:uid="{00000000-0010-0000-0300-000003000000}" name="file name"/>
    <tableColumn id="4" xr3:uid="{00000000-0010-0000-0300-000004000000}" name=" total area "/>
    <tableColumn id="5" xr3:uid="{00000000-0010-0000-0300-000005000000}" name=" mean intensity "/>
    <tableColumn id="6" xr3:uid="{00000000-0010-0000-0300-000006000000}" name=" "/>
    <tableColumn id="7" xr3:uid="{00000000-0010-0000-0300-000007000000}" name=" total fluorescence"/>
    <tableColumn id="8" xr3:uid="{00000000-0010-0000-0300-000008000000}" name="         "/>
    <tableColumn id="9" xr3:uid="{00000000-0010-0000-0300-000009000000}" name="nbre de larves"/>
  </tableColumns>
  <tableStyleInfo name="TableStyleLight16"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au467" displayName="Tableau467" ref="A1:I1711" totalsRowShown="0">
  <autoFilter ref="A1:I1711" xr:uid="{00000000-0009-0000-0100-000006000000}"/>
  <tableColumns count="9">
    <tableColumn id="1" xr3:uid="{00000000-0010-0000-0400-000001000000}" name="Nom groupe" dataDxfId="28">
      <calculatedColumnFormula>IFERROR(LEFT(RIGHT(C2,LEN(C2)-SEARCH("@",C2)),SEARCH("/",RIGHT(C2,LEN(C2)-SEARCH("@",C2)-1))),"")</calculatedColumnFormula>
    </tableColumn>
    <tableColumn id="2" xr3:uid="{00000000-0010-0000-0400-000002000000}" name="N° de valeur" dataDxfId="27">
      <calculatedColumnFormula>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calculatedColumnFormula>
    </tableColumn>
    <tableColumn id="3" xr3:uid="{00000000-0010-0000-0400-000003000000}" name="file name"/>
    <tableColumn id="4" xr3:uid="{00000000-0010-0000-0400-000004000000}" name=" total area "/>
    <tableColumn id="5" xr3:uid="{00000000-0010-0000-0400-000005000000}" name=" mean intensity "/>
    <tableColumn id="6" xr3:uid="{00000000-0010-0000-0400-000006000000}" name=" "/>
    <tableColumn id="7" xr3:uid="{00000000-0010-0000-0400-000007000000}" name=" total fluorescence"/>
    <tableColumn id="8" xr3:uid="{00000000-0010-0000-0400-000008000000}" name="         "/>
    <tableColumn id="9" xr3:uid="{00000000-0010-0000-0400-000009000000}" name="nbre de larves"/>
  </tableColumns>
  <tableStyleInfo name="TableStyleLight16"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Tableau2" displayName="Tableau2" ref="A1:G2" totalsRowShown="0" headerRowDxfId="26" dataDxfId="25" tableBorderDxfId="24">
  <autoFilter ref="A1:G2" xr:uid="{00000000-0009-0000-0100-000002000000}"/>
  <tableColumns count="7">
    <tableColumn id="1" xr3:uid="{00000000-0010-0000-0500-000001000000}" name="Description" dataDxfId="23"/>
    <tableColumn id="2" xr3:uid="{00000000-0010-0000-0500-000002000000}" name="Problème" dataDxfId="22"/>
    <tableColumn id="3" xr3:uid="{00000000-0010-0000-0500-000003000000}" name="EqH RAPPORT" dataDxfId="21"/>
    <tableColumn id="4" xr3:uid="{00000000-0010-0000-0500-000004000000}" name="% atteinte du seuil RAPPORT" dataDxfId="20"/>
    <tableColumn id="5" xr3:uid="{00000000-0010-0000-0500-000005000000}" name="Valeur échelle sur graphique RAPPORT" dataDxfId="19"/>
    <tableColumn id="6" xr3:uid="{00000000-0010-0000-0500-000006000000}" name="EqH BASE DE DONNEES" dataDxfId="18"/>
    <tableColumn id="7" xr3:uid="{00000000-0010-0000-0500-000007000000}" name="% BASE DE DONNEES" dataDxfId="17"/>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ableau3" displayName="Tableau3" ref="A1:N15" totalsRowShown="0" headerRowDxfId="16">
  <autoFilter ref="A1:N15" xr:uid="{00000000-0009-0000-0100-000003000000}"/>
  <tableColumns count="14">
    <tableColumn id="1" xr3:uid="{00000000-0010-0000-0600-000001000000}" name="Nom ND">
      <calculatedColumnFormula>Q6</calculatedColumnFormula>
    </tableColumn>
    <tableColumn id="2" xr3:uid="{00000000-0010-0000-0600-000002000000}" name="Nom D" dataDxfId="15">
      <calculatedColumnFormula>U6</calculatedColumnFormula>
    </tableColumn>
    <tableColumn id="3" xr3:uid="{00000000-0010-0000-0600-000003000000}" name="CHG-protocole"/>
    <tableColumn id="4" xr3:uid="{00000000-0010-0000-0600-000004000000}" name="CHG-dilution" dataDxfId="14">
      <calculatedColumnFormula>CONCATENATE(VLOOKUP(Tableau3[[#This Row],[Nom ND]],liste_groupe[],3,FALSE),VLOOKUP(Tableau3[[#This Row],[Nom ND]],liste_groupe[],4,FALSE))</calculatedColumnFormula>
    </tableColumn>
    <tableColumn id="5" xr3:uid="{00000000-0010-0000-0600-000005000000}" name="CHG-induction ND" dataDxfId="13">
      <calculatedColumnFormula>HLOOKUP(Tableau3[[#This Row],[Nom ND]],'pooled normalised values'!$B$74:$V$83,4,FALSE)</calculatedColumnFormula>
    </tableColumn>
    <tableColumn id="6" xr3:uid="{00000000-0010-0000-0600-000006000000}" name="CHG-test ND" dataDxfId="12">
      <calculatedColumnFormula>HLOOKUP(Tableau3[[#This Row],[Nom ND]],'pooled normalised values'!$B$74:$V$83,8,FALSE)</calculatedColumnFormula>
    </tableColumn>
    <tableColumn id="8" xr3:uid="{00000000-0010-0000-0600-000008000000}" name="CHG-EQH ND" dataDxfId="11">
      <calculatedColumnFormula>VLOOKUP(Tableau3[[#This Row],[Nom ND]],'summary results'!$A$6:$N$26,9,FALSE)</calculatedColumnFormula>
    </tableColumn>
    <tableColumn id="9" xr3:uid="{00000000-0010-0000-0600-000009000000}" name="CHG-% atteinte du seuil ND" dataDxfId="10">
      <calculatedColumnFormula>VLOOKUP(Tableau3[[#This Row],[Nom ND]],'summary results'!$A$6:$N$26,11,FALSE)</calculatedColumnFormula>
    </tableColumn>
    <tableColumn id="10" xr3:uid="{00000000-0010-0000-0600-00000A000000}" name="CHG-induction D" dataDxfId="9">
      <calculatedColumnFormula>HLOOKUP(Tableau3[[#This Row],[Nom D]],'pooled normalised values'!$B$74:$V$83,4,FALSE)</calculatedColumnFormula>
    </tableColumn>
    <tableColumn id="11" xr3:uid="{00000000-0010-0000-0600-00000B000000}" name="CHG-test D" dataDxfId="8">
      <calculatedColumnFormula>HLOOKUP(Tableau3[[#This Row],[Nom D]],'pooled normalised values'!$B$74:$V$83,8,FALSE)</calculatedColumnFormula>
    </tableColumn>
    <tableColumn id="13" xr3:uid="{00000000-0010-0000-0600-00000D000000}" name="CHG-EQH D" dataDxfId="7">
      <calculatedColumnFormula>VLOOKUP(Tableau3[[#This Row],[Nom D]],'summary results'!$A$29:$N$51,9,FALSE)</calculatedColumnFormula>
    </tableColumn>
    <tableColumn id="14" xr3:uid="{00000000-0010-0000-0600-00000E000000}" name="CHG-% atteinte seuil D" dataDxfId="6">
      <calculatedColumnFormula>VLOOKUP(Tableau3[[#This Row],[Nom D]],'summary results'!$A$29:$N$51,11,FALSE)</calculatedColumnFormula>
    </tableColumn>
    <tableColumn id="15" xr3:uid="{00000000-0010-0000-0600-00000F000000}" name="CHG-Testo+EE2">
      <calculatedColumnFormula>'summary results'!$G$30</calculatedColumnFormula>
    </tableColumn>
    <tableColumn id="16" xr3:uid="{00000000-0010-0000-0600-000010000000}" name="CHG-Testo+Fad">
      <calculatedColumnFormula>'summary results'!$G$31</calculatedColumnFormula>
    </tableColumn>
  </tableColumns>
  <tableStyleInfo name="TableStyleLight15" showFirstColumn="0" showLastColumn="0" showRowStripes="0"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7"/>
  <sheetViews>
    <sheetView showGridLines="0" topLeftCell="A37" zoomScale="55" zoomScaleNormal="55" workbookViewId="0">
      <selection activeCell="B14" sqref="B14:B18"/>
    </sheetView>
  </sheetViews>
  <sheetFormatPr baseColWidth="10" defaultRowHeight="39" customHeight="1" x14ac:dyDescent="0.25"/>
  <cols>
    <col min="1" max="1" width="42" bestFit="1" customWidth="1"/>
    <col min="2" max="2" width="33.85546875" style="44" bestFit="1" customWidth="1"/>
    <col min="3" max="3" width="21.28515625" customWidth="1"/>
    <col min="4" max="4" width="30.42578125" customWidth="1"/>
    <col min="5" max="5" width="62.28515625" style="160" bestFit="1" customWidth="1"/>
    <col min="6" max="6" width="56.7109375" bestFit="1" customWidth="1"/>
    <col min="7" max="7" width="19.42578125" customWidth="1"/>
    <col min="8" max="8" width="15.28515625" customWidth="1"/>
    <col min="9" max="9" width="18" customWidth="1"/>
    <col min="10" max="10" width="19.5703125" bestFit="1" customWidth="1"/>
  </cols>
  <sheetData>
    <row r="1" spans="1:9" ht="39" customHeight="1" thickBot="1" x14ac:dyDescent="0.3">
      <c r="A1" s="196" t="s">
        <v>36</v>
      </c>
      <c r="B1" s="197"/>
      <c r="C1" s="197"/>
      <c r="D1" s="197"/>
      <c r="E1" s="197"/>
      <c r="F1" s="197"/>
      <c r="G1" s="197"/>
      <c r="H1" s="197"/>
      <c r="I1" s="198"/>
    </row>
    <row r="2" spans="1:9" ht="21" x14ac:dyDescent="0.35">
      <c r="A2" s="189" t="s">
        <v>17</v>
      </c>
      <c r="B2" s="42" t="s">
        <v>115</v>
      </c>
      <c r="C2" s="199"/>
      <c r="D2" s="200"/>
      <c r="E2" s="42" t="s">
        <v>21</v>
      </c>
      <c r="F2" s="211"/>
      <c r="G2" s="212"/>
      <c r="H2" s="212"/>
      <c r="I2" s="213"/>
    </row>
    <row r="3" spans="1:9" ht="21" x14ac:dyDescent="0.35">
      <c r="A3" s="190" t="s">
        <v>18</v>
      </c>
      <c r="B3" s="43" t="s">
        <v>115</v>
      </c>
      <c r="C3" s="201"/>
      <c r="D3" s="202"/>
      <c r="E3" s="43" t="s">
        <v>21</v>
      </c>
      <c r="F3" s="208"/>
      <c r="G3" s="209"/>
      <c r="H3" s="209"/>
      <c r="I3" s="210"/>
    </row>
    <row r="4" spans="1:9" ht="21.75" thickBot="1" x14ac:dyDescent="0.4">
      <c r="A4" s="191" t="s">
        <v>22</v>
      </c>
      <c r="B4" s="179" t="s">
        <v>115</v>
      </c>
      <c r="C4" s="203"/>
      <c r="D4" s="204"/>
      <c r="E4" s="179" t="s">
        <v>21</v>
      </c>
      <c r="F4" s="205"/>
      <c r="G4" s="206"/>
      <c r="H4" s="206"/>
      <c r="I4" s="207"/>
    </row>
    <row r="5" spans="1:9" s="1" customFormat="1" ht="65.25" customHeight="1" thickBot="1" x14ac:dyDescent="0.3">
      <c r="A5" s="196" t="s">
        <v>37</v>
      </c>
      <c r="B5" s="197"/>
      <c r="C5" s="197"/>
      <c r="D5" s="197"/>
      <c r="E5" s="197"/>
      <c r="F5" s="197"/>
      <c r="G5" s="197"/>
      <c r="H5" s="197"/>
      <c r="I5" s="198"/>
    </row>
    <row r="6" spans="1:9" s="110" customFormat="1" ht="39" customHeight="1" x14ac:dyDescent="0.35">
      <c r="A6" s="76" t="s">
        <v>35</v>
      </c>
      <c r="B6" s="101" t="s">
        <v>7</v>
      </c>
      <c r="C6" s="64" t="s">
        <v>19</v>
      </c>
      <c r="D6" s="64" t="s">
        <v>75</v>
      </c>
      <c r="E6" s="157" t="s">
        <v>51</v>
      </c>
      <c r="F6" s="109" t="s">
        <v>78</v>
      </c>
    </row>
    <row r="7" spans="1:9" s="166" customFormat="1" ht="39" customHeight="1" x14ac:dyDescent="0.35">
      <c r="A7"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Témoin solvant</v>
      </c>
      <c r="B7" s="162" t="s">
        <v>123</v>
      </c>
      <c r="C7" s="163"/>
      <c r="D7" s="164"/>
      <c r="E7" s="165" t="s">
        <v>125</v>
      </c>
      <c r="F7" s="111"/>
    </row>
    <row r="8" spans="1:9" s="166" customFormat="1" ht="39" customHeight="1" x14ac:dyDescent="0.35">
      <c r="A8"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EE2-33,8ng/L</v>
      </c>
      <c r="B8" s="162" t="s">
        <v>123</v>
      </c>
      <c r="C8" s="163">
        <v>33.799999999999997</v>
      </c>
      <c r="D8" s="164" t="s">
        <v>124</v>
      </c>
      <c r="E8" s="165" t="s">
        <v>126</v>
      </c>
      <c r="F8" s="111"/>
    </row>
    <row r="9" spans="1:9" s="166" customFormat="1" ht="39" customHeight="1" x14ac:dyDescent="0.35">
      <c r="A9"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EE2-50,6ng/L</v>
      </c>
      <c r="B9" s="162" t="s">
        <v>123</v>
      </c>
      <c r="C9" s="163">
        <v>50.6</v>
      </c>
      <c r="D9" s="164" t="s">
        <v>124</v>
      </c>
      <c r="E9" s="165" t="s">
        <v>126</v>
      </c>
      <c r="F9" s="111"/>
    </row>
    <row r="10" spans="1:9" s="166" customFormat="1" ht="39" customHeight="1" x14ac:dyDescent="0.35">
      <c r="A10"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EE2-76ng/L</v>
      </c>
      <c r="B10" s="162" t="s">
        <v>123</v>
      </c>
      <c r="C10" s="163">
        <v>76</v>
      </c>
      <c r="D10" s="164" t="s">
        <v>124</v>
      </c>
      <c r="E10" s="165" t="s">
        <v>126</v>
      </c>
      <c r="F10" s="111"/>
    </row>
    <row r="11" spans="1:9" s="166" customFormat="1" ht="39" customHeight="1" x14ac:dyDescent="0.35">
      <c r="A11"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EE2-114ng/L</v>
      </c>
      <c r="B11" s="162" t="s">
        <v>123</v>
      </c>
      <c r="C11" s="163">
        <v>114</v>
      </c>
      <c r="D11" s="164" t="s">
        <v>124</v>
      </c>
      <c r="E11" s="165" t="s">
        <v>126</v>
      </c>
      <c r="F11" s="111"/>
    </row>
    <row r="12" spans="1:9" s="166" customFormat="1" ht="39" customHeight="1" x14ac:dyDescent="0.35">
      <c r="A12"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EE2-170,9ng/L</v>
      </c>
      <c r="B12" s="162" t="s">
        <v>123</v>
      </c>
      <c r="C12" s="163">
        <v>170.9</v>
      </c>
      <c r="D12" s="164" t="s">
        <v>124</v>
      </c>
      <c r="E12" s="165" t="s">
        <v>126</v>
      </c>
      <c r="F12" s="111"/>
    </row>
    <row r="13" spans="1:9" s="166" customFormat="1" ht="39" customHeight="1" x14ac:dyDescent="0.35">
      <c r="A13"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EE2-488ng/L</v>
      </c>
      <c r="B13" s="162" t="s">
        <v>123</v>
      </c>
      <c r="C13" s="163">
        <v>488</v>
      </c>
      <c r="D13" s="164" t="s">
        <v>124</v>
      </c>
      <c r="E13" s="165" t="s">
        <v>126</v>
      </c>
      <c r="F13" s="111"/>
    </row>
    <row r="14" spans="1:9" s="166" customFormat="1" ht="39" customHeight="1" x14ac:dyDescent="0.35">
      <c r="A14" s="16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Cromolyn-0,1µg/L</v>
      </c>
      <c r="B14" s="162" t="s">
        <v>166</v>
      </c>
      <c r="C14" s="163">
        <v>0.1</v>
      </c>
      <c r="D14" s="164" t="s">
        <v>127</v>
      </c>
      <c r="E14" s="165" t="s">
        <v>167</v>
      </c>
      <c r="F14" s="111"/>
    </row>
    <row r="15" spans="1:9" s="112" customFormat="1" ht="39" customHeight="1" x14ac:dyDescent="0.25">
      <c r="A1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Cromolyn-1µg/L</v>
      </c>
      <c r="B15" s="162" t="s">
        <v>168</v>
      </c>
      <c r="C15" s="106">
        <v>1</v>
      </c>
      <c r="D15" s="164" t="s">
        <v>127</v>
      </c>
      <c r="E15" s="165" t="s">
        <v>167</v>
      </c>
      <c r="F15" s="111"/>
    </row>
    <row r="16" spans="1:9" s="112" customFormat="1" ht="39" customHeight="1" x14ac:dyDescent="0.25">
      <c r="A1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Cromolyn-10µg/L</v>
      </c>
      <c r="B16" s="162" t="s">
        <v>169</v>
      </c>
      <c r="C16" s="106">
        <v>10</v>
      </c>
      <c r="D16" s="164" t="s">
        <v>127</v>
      </c>
      <c r="E16" s="165" t="s">
        <v>167</v>
      </c>
      <c r="F16" s="111"/>
    </row>
    <row r="17" spans="1:6" s="112" customFormat="1" ht="39" customHeight="1" x14ac:dyDescent="0.25">
      <c r="A1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Cromolyn-100µg/L</v>
      </c>
      <c r="B17" s="162" t="s">
        <v>170</v>
      </c>
      <c r="C17" s="106">
        <v>100</v>
      </c>
      <c r="D17" s="164" t="s">
        <v>127</v>
      </c>
      <c r="E17" s="165" t="s">
        <v>167</v>
      </c>
      <c r="F17" s="111"/>
    </row>
    <row r="18" spans="1:6" s="112" customFormat="1" ht="39" customHeight="1" x14ac:dyDescent="0.25">
      <c r="A1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Cromolyn-1000µg/L</v>
      </c>
      <c r="B18" s="162" t="s">
        <v>171</v>
      </c>
      <c r="C18" s="106">
        <v>1000</v>
      </c>
      <c r="D18" s="164" t="s">
        <v>127</v>
      </c>
      <c r="E18" s="165" t="s">
        <v>167</v>
      </c>
      <c r="F18" s="111"/>
    </row>
    <row r="19" spans="1:6" s="112" customFormat="1" ht="39" customHeight="1" x14ac:dyDescent="0.25">
      <c r="A1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19" s="40"/>
      <c r="C19" s="106"/>
      <c r="D19" s="106"/>
      <c r="E19" s="40"/>
      <c r="F19" s="111"/>
    </row>
    <row r="20" spans="1:6" s="112" customFormat="1" ht="39" customHeight="1" x14ac:dyDescent="0.25">
      <c r="A2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0" s="102"/>
      <c r="C20" s="106"/>
      <c r="D20" s="106"/>
      <c r="E20" s="102"/>
      <c r="F20" s="111"/>
    </row>
    <row r="21" spans="1:6" s="112" customFormat="1" ht="39" customHeight="1" x14ac:dyDescent="0.25">
      <c r="A2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1" s="40"/>
      <c r="C21" s="106"/>
      <c r="D21" s="106"/>
      <c r="E21" s="40"/>
      <c r="F21" s="111"/>
    </row>
    <row r="22" spans="1:6" s="112" customFormat="1" ht="39" customHeight="1" x14ac:dyDescent="0.25">
      <c r="A2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2" s="102"/>
      <c r="C22" s="106"/>
      <c r="D22" s="106"/>
      <c r="E22" s="102"/>
      <c r="F22" s="111"/>
    </row>
    <row r="23" spans="1:6" s="112" customFormat="1" ht="39" customHeight="1" x14ac:dyDescent="0.25">
      <c r="A2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3" s="40"/>
      <c r="C23" s="106"/>
      <c r="D23" s="106"/>
      <c r="E23" s="40"/>
      <c r="F23" s="111"/>
    </row>
    <row r="24" spans="1:6" s="112" customFormat="1" ht="39" customHeight="1" x14ac:dyDescent="0.25">
      <c r="A24"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4" s="102"/>
      <c r="C24" s="106"/>
      <c r="D24" s="106"/>
      <c r="E24" s="102"/>
      <c r="F24" s="111"/>
    </row>
    <row r="25" spans="1:6" s="112" customFormat="1" ht="39" customHeight="1" x14ac:dyDescent="0.25">
      <c r="A25"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5" s="40"/>
      <c r="C25" s="106"/>
      <c r="D25" s="106"/>
      <c r="E25" s="40"/>
      <c r="F25" s="111"/>
    </row>
    <row r="26" spans="1:6" s="112" customFormat="1" ht="39" customHeight="1" x14ac:dyDescent="0.25">
      <c r="A26"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6" s="102"/>
      <c r="C26" s="106"/>
      <c r="D26" s="106"/>
      <c r="E26" s="102"/>
      <c r="F26" s="111"/>
    </row>
    <row r="27" spans="1:6" s="112" customFormat="1" ht="39" customHeight="1" x14ac:dyDescent="0.25">
      <c r="A27"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7" s="40"/>
      <c r="C27" s="106"/>
      <c r="D27" s="106"/>
      <c r="E27" s="40"/>
      <c r="F27" s="111"/>
    </row>
    <row r="28" spans="1:6" s="112" customFormat="1" ht="39" customHeight="1" x14ac:dyDescent="0.25">
      <c r="A28"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8" s="102"/>
      <c r="C28" s="106"/>
      <c r="D28" s="106"/>
      <c r="E28" s="102"/>
      <c r="F28" s="111"/>
    </row>
    <row r="29" spans="1:6" s="112" customFormat="1" ht="39" customHeight="1" x14ac:dyDescent="0.25">
      <c r="A29"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29" s="40"/>
      <c r="C29" s="106"/>
      <c r="D29" s="115"/>
      <c r="E29" s="40"/>
      <c r="F29" s="111"/>
    </row>
    <row r="30" spans="1:6" s="112" customFormat="1" ht="39" customHeight="1" x14ac:dyDescent="0.25">
      <c r="A30"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0" s="102"/>
      <c r="C30" s="106"/>
      <c r="D30" s="115"/>
      <c r="E30" s="102"/>
      <c r="F30" s="111"/>
    </row>
    <row r="31" spans="1:6" s="112" customFormat="1" ht="39" customHeight="1" x14ac:dyDescent="0.25">
      <c r="A31"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1" s="40"/>
      <c r="C31" s="106"/>
      <c r="D31" s="115"/>
      <c r="E31" s="40"/>
      <c r="F31" s="111"/>
    </row>
    <row r="32" spans="1:6" s="112" customFormat="1" ht="39" customHeight="1" x14ac:dyDescent="0.25">
      <c r="A32"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2" s="102"/>
      <c r="C32" s="106"/>
      <c r="D32" s="115"/>
      <c r="E32" s="102"/>
      <c r="F32" s="111"/>
    </row>
    <row r="33" spans="1:6" s="112" customFormat="1" ht="39" customHeight="1" x14ac:dyDescent="0.25">
      <c r="A33" s="6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3" s="40"/>
      <c r="C33" s="106"/>
      <c r="D33" s="115"/>
      <c r="E33" s="40"/>
      <c r="F33" s="111"/>
    </row>
    <row r="34" spans="1:6" s="112" customFormat="1" ht="39" customHeight="1" thickBot="1" x14ac:dyDescent="0.3">
      <c r="A34" s="74"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 xml:space="preserve"> </v>
      </c>
      <c r="B34" s="167"/>
      <c r="C34" s="168"/>
      <c r="D34" s="116"/>
      <c r="E34" s="167"/>
      <c r="F34" s="111"/>
    </row>
    <row r="35" spans="1:6" s="112" customFormat="1" ht="39" customHeight="1" x14ac:dyDescent="0.25">
      <c r="A35" s="169"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v>
      </c>
      <c r="B35" s="103" t="s">
        <v>123</v>
      </c>
      <c r="C35" s="107">
        <v>30</v>
      </c>
      <c r="D35" s="117" t="s">
        <v>127</v>
      </c>
      <c r="E35" s="158" t="s">
        <v>20</v>
      </c>
      <c r="F35" s="170"/>
    </row>
    <row r="36" spans="1:6" s="112" customFormat="1" ht="39" customHeight="1" x14ac:dyDescent="0.25">
      <c r="A36" s="171"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EE2 -64ng/L</v>
      </c>
      <c r="B36" s="104" t="s">
        <v>123</v>
      </c>
      <c r="C36" s="108">
        <v>64</v>
      </c>
      <c r="D36" s="118" t="s">
        <v>124</v>
      </c>
      <c r="E36" s="159" t="s">
        <v>128</v>
      </c>
      <c r="F36" s="172"/>
    </row>
    <row r="37" spans="1:6" s="112" customFormat="1" ht="39" customHeight="1" thickBot="1" x14ac:dyDescent="0.3">
      <c r="A37" s="173"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Testo 30µg/L + FAD-10mg/L</v>
      </c>
      <c r="B37" s="174" t="s">
        <v>123</v>
      </c>
      <c r="C37" s="175">
        <v>10</v>
      </c>
      <c r="D37" s="176" t="s">
        <v>129</v>
      </c>
      <c r="E37" s="177" t="s">
        <v>130</v>
      </c>
      <c r="F37" s="178"/>
    </row>
    <row r="38" spans="1:6" s="112" customFormat="1" ht="39" customHeight="1" x14ac:dyDescent="0.25">
      <c r="A38" s="52"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Cromolyn-0,1µg/L + Testostérone</v>
      </c>
      <c r="B38" s="192" t="str">
        <f>B14</f>
        <v>190-20</v>
      </c>
      <c r="C38" s="192">
        <f t="shared" ref="C38:E38" si="0">C14</f>
        <v>0.1</v>
      </c>
      <c r="D38" s="192" t="str">
        <f t="shared" si="0"/>
        <v>µg/L</v>
      </c>
      <c r="E38" s="192" t="str">
        <f t="shared" si="0"/>
        <v>Cromolyn</v>
      </c>
      <c r="F38" s="113" t="s">
        <v>50</v>
      </c>
    </row>
    <row r="39" spans="1:6" s="112" customFormat="1" ht="39" customHeight="1" x14ac:dyDescent="0.25">
      <c r="A39"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Cromolyn-1µg/L + Testostérone</v>
      </c>
      <c r="B39" s="194" t="str">
        <f t="shared" ref="B39:E39" si="1">B15</f>
        <v>190-21</v>
      </c>
      <c r="C39" s="194">
        <f t="shared" si="1"/>
        <v>1</v>
      </c>
      <c r="D39" s="194" t="str">
        <f t="shared" si="1"/>
        <v>µg/L</v>
      </c>
      <c r="E39" s="194" t="str">
        <f t="shared" si="1"/>
        <v>Cromolyn</v>
      </c>
      <c r="F39" s="114" t="s">
        <v>50</v>
      </c>
    </row>
    <row r="40" spans="1:6" s="112" customFormat="1" ht="39" customHeight="1" x14ac:dyDescent="0.25">
      <c r="A40"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Cromolyn-10µg/L + Testostérone</v>
      </c>
      <c r="B40" s="194" t="str">
        <f t="shared" ref="B40:E40" si="2">B16</f>
        <v>190-22</v>
      </c>
      <c r="C40" s="194">
        <f t="shared" si="2"/>
        <v>10</v>
      </c>
      <c r="D40" s="194" t="str">
        <f t="shared" si="2"/>
        <v>µg/L</v>
      </c>
      <c r="E40" s="194" t="str">
        <f t="shared" si="2"/>
        <v>Cromolyn</v>
      </c>
      <c r="F40" s="114" t="s">
        <v>50</v>
      </c>
    </row>
    <row r="41" spans="1:6" s="112" customFormat="1" ht="39" customHeight="1" x14ac:dyDescent="0.25">
      <c r="A41"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Cromolyn-100µg/L + Testostérone</v>
      </c>
      <c r="B41" s="194" t="str">
        <f t="shared" ref="B41:E41" si="3">B17</f>
        <v>190-23</v>
      </c>
      <c r="C41" s="194">
        <f t="shared" si="3"/>
        <v>100</v>
      </c>
      <c r="D41" s="194" t="str">
        <f t="shared" si="3"/>
        <v>µg/L</v>
      </c>
      <c r="E41" s="194" t="str">
        <f t="shared" si="3"/>
        <v>Cromolyn</v>
      </c>
      <c r="F41" s="114" t="s">
        <v>50</v>
      </c>
    </row>
    <row r="42" spans="1:6" s="112" customFormat="1" ht="39" customHeight="1" x14ac:dyDescent="0.25">
      <c r="A42"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Cromolyn-1000µg/L + Testostérone</v>
      </c>
      <c r="B42" s="194" t="str">
        <f t="shared" ref="B42:E42" si="4">B18</f>
        <v>190-24</v>
      </c>
      <c r="C42" s="194">
        <f t="shared" si="4"/>
        <v>1000</v>
      </c>
      <c r="D42" s="194" t="str">
        <f t="shared" si="4"/>
        <v>µg/L</v>
      </c>
      <c r="E42" s="194" t="str">
        <f t="shared" si="4"/>
        <v>Cromolyn</v>
      </c>
      <c r="F42" s="114" t="s">
        <v>50</v>
      </c>
    </row>
    <row r="43" spans="1:6" s="112" customFormat="1" ht="39" customHeight="1" x14ac:dyDescent="0.25">
      <c r="A43"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3" s="194">
        <f t="shared" ref="B43:E43" si="5">B19</f>
        <v>0</v>
      </c>
      <c r="C43" s="194">
        <f t="shared" si="5"/>
        <v>0</v>
      </c>
      <c r="D43" s="194">
        <f t="shared" si="5"/>
        <v>0</v>
      </c>
      <c r="E43" s="194">
        <f t="shared" si="5"/>
        <v>0</v>
      </c>
      <c r="F43" s="114" t="s">
        <v>50</v>
      </c>
    </row>
    <row r="44" spans="1:6" s="112" customFormat="1" ht="39" customHeight="1" x14ac:dyDescent="0.25">
      <c r="A44"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4" s="194">
        <f t="shared" ref="B44:E44" si="6">B20</f>
        <v>0</v>
      </c>
      <c r="C44" s="194">
        <f t="shared" si="6"/>
        <v>0</v>
      </c>
      <c r="D44" s="194">
        <f t="shared" si="6"/>
        <v>0</v>
      </c>
      <c r="E44" s="194">
        <f t="shared" si="6"/>
        <v>0</v>
      </c>
      <c r="F44" s="114" t="s">
        <v>50</v>
      </c>
    </row>
    <row r="45" spans="1:6" s="112" customFormat="1" ht="39" customHeight="1" x14ac:dyDescent="0.25">
      <c r="A45"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5" s="194">
        <f t="shared" ref="B45:E45" si="7">B21</f>
        <v>0</v>
      </c>
      <c r="C45" s="194">
        <f t="shared" si="7"/>
        <v>0</v>
      </c>
      <c r="D45" s="194">
        <f t="shared" si="7"/>
        <v>0</v>
      </c>
      <c r="E45" s="194">
        <f t="shared" si="7"/>
        <v>0</v>
      </c>
      <c r="F45" s="114" t="s">
        <v>50</v>
      </c>
    </row>
    <row r="46" spans="1:6" s="112" customFormat="1" ht="39" customHeight="1" x14ac:dyDescent="0.25">
      <c r="A46"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6" s="194">
        <f t="shared" ref="B46:E46" si="8">B22</f>
        <v>0</v>
      </c>
      <c r="C46" s="194">
        <f t="shared" si="8"/>
        <v>0</v>
      </c>
      <c r="D46" s="194">
        <f t="shared" si="8"/>
        <v>0</v>
      </c>
      <c r="E46" s="194">
        <f t="shared" si="8"/>
        <v>0</v>
      </c>
      <c r="F46" s="114" t="s">
        <v>50</v>
      </c>
    </row>
    <row r="47" spans="1:6" s="112" customFormat="1" ht="39" customHeight="1" x14ac:dyDescent="0.25">
      <c r="A47"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7" s="194">
        <f t="shared" ref="B47:E47" si="9">B23</f>
        <v>0</v>
      </c>
      <c r="C47" s="194">
        <f t="shared" si="9"/>
        <v>0</v>
      </c>
      <c r="D47" s="194">
        <f t="shared" si="9"/>
        <v>0</v>
      </c>
      <c r="E47" s="194">
        <f t="shared" si="9"/>
        <v>0</v>
      </c>
      <c r="F47" s="114" t="s">
        <v>50</v>
      </c>
    </row>
    <row r="48" spans="1:6" s="112" customFormat="1" ht="39" customHeight="1" x14ac:dyDescent="0.25">
      <c r="A48"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8" s="194">
        <f t="shared" ref="B48:E48" si="10">B24</f>
        <v>0</v>
      </c>
      <c r="C48" s="194">
        <f t="shared" si="10"/>
        <v>0</v>
      </c>
      <c r="D48" s="194">
        <f t="shared" si="10"/>
        <v>0</v>
      </c>
      <c r="E48" s="194">
        <f t="shared" si="10"/>
        <v>0</v>
      </c>
      <c r="F48" s="114" t="s">
        <v>50</v>
      </c>
    </row>
    <row r="49" spans="1:6" s="112" customFormat="1" ht="39" customHeight="1" x14ac:dyDescent="0.25">
      <c r="A49"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49" s="194">
        <f t="shared" ref="B49:E49" si="11">B25</f>
        <v>0</v>
      </c>
      <c r="C49" s="194">
        <f t="shared" si="11"/>
        <v>0</v>
      </c>
      <c r="D49" s="194">
        <f t="shared" si="11"/>
        <v>0</v>
      </c>
      <c r="E49" s="194">
        <f t="shared" si="11"/>
        <v>0</v>
      </c>
      <c r="F49" s="114" t="s">
        <v>50</v>
      </c>
    </row>
    <row r="50" spans="1:6" s="112" customFormat="1" ht="39" customHeight="1" x14ac:dyDescent="0.25">
      <c r="A50"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0" s="194">
        <f t="shared" ref="B50:E50" si="12">B26</f>
        <v>0</v>
      </c>
      <c r="C50" s="194">
        <f t="shared" si="12"/>
        <v>0</v>
      </c>
      <c r="D50" s="194">
        <f t="shared" si="12"/>
        <v>0</v>
      </c>
      <c r="E50" s="194">
        <f t="shared" si="12"/>
        <v>0</v>
      </c>
      <c r="F50" s="114" t="s">
        <v>50</v>
      </c>
    </row>
    <row r="51" spans="1:6" s="112" customFormat="1" ht="39" customHeight="1" x14ac:dyDescent="0.25">
      <c r="A51"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1" s="194">
        <f t="shared" ref="B51:E51" si="13">B27</f>
        <v>0</v>
      </c>
      <c r="C51" s="194">
        <f t="shared" si="13"/>
        <v>0</v>
      </c>
      <c r="D51" s="194">
        <f t="shared" si="13"/>
        <v>0</v>
      </c>
      <c r="E51" s="194">
        <f t="shared" si="13"/>
        <v>0</v>
      </c>
      <c r="F51" s="114" t="s">
        <v>50</v>
      </c>
    </row>
    <row r="52" spans="1:6" s="112" customFormat="1" ht="39" customHeight="1" x14ac:dyDescent="0.25">
      <c r="A52"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2" s="194">
        <f t="shared" ref="B52:E52" si="14">B28</f>
        <v>0</v>
      </c>
      <c r="C52" s="194">
        <f t="shared" si="14"/>
        <v>0</v>
      </c>
      <c r="D52" s="194">
        <f t="shared" si="14"/>
        <v>0</v>
      </c>
      <c r="E52" s="194">
        <f t="shared" si="14"/>
        <v>0</v>
      </c>
      <c r="F52" s="114" t="s">
        <v>50</v>
      </c>
    </row>
    <row r="53" spans="1:6" s="112" customFormat="1" ht="39" customHeight="1" x14ac:dyDescent="0.25">
      <c r="A53"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3" s="194">
        <f t="shared" ref="B53:E53" si="15">B29</f>
        <v>0</v>
      </c>
      <c r="C53" s="194">
        <f t="shared" si="15"/>
        <v>0</v>
      </c>
      <c r="D53" s="194">
        <f t="shared" si="15"/>
        <v>0</v>
      </c>
      <c r="E53" s="194">
        <f t="shared" si="15"/>
        <v>0</v>
      </c>
      <c r="F53" s="114" t="s">
        <v>50</v>
      </c>
    </row>
    <row r="54" spans="1:6" s="112" customFormat="1" ht="39" customHeight="1" x14ac:dyDescent="0.25">
      <c r="A54"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4" s="194">
        <f t="shared" ref="B54:E54" si="16">B30</f>
        <v>0</v>
      </c>
      <c r="C54" s="194">
        <f t="shared" si="16"/>
        <v>0</v>
      </c>
      <c r="D54" s="194">
        <f t="shared" si="16"/>
        <v>0</v>
      </c>
      <c r="E54" s="194">
        <f t="shared" si="16"/>
        <v>0</v>
      </c>
      <c r="F54" s="114" t="s">
        <v>50</v>
      </c>
    </row>
    <row r="55" spans="1:6" s="112" customFormat="1" ht="39" customHeight="1" x14ac:dyDescent="0.25">
      <c r="A55"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5" s="194">
        <f t="shared" ref="B55:E55" si="17">B31</f>
        <v>0</v>
      </c>
      <c r="C55" s="194">
        <f t="shared" si="17"/>
        <v>0</v>
      </c>
      <c r="D55" s="194">
        <f t="shared" si="17"/>
        <v>0</v>
      </c>
      <c r="E55" s="194">
        <f t="shared" si="17"/>
        <v>0</v>
      </c>
      <c r="F55" s="114" t="s">
        <v>50</v>
      </c>
    </row>
    <row r="56" spans="1:6" s="112" customFormat="1" ht="39" customHeight="1" x14ac:dyDescent="0.25">
      <c r="A56" s="7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6" s="194">
        <f t="shared" ref="B56:E56" si="18">B32</f>
        <v>0</v>
      </c>
      <c r="C56" s="194">
        <f t="shared" si="18"/>
        <v>0</v>
      </c>
      <c r="D56" s="194">
        <f t="shared" si="18"/>
        <v>0</v>
      </c>
      <c r="E56" s="194">
        <f t="shared" si="18"/>
        <v>0</v>
      </c>
      <c r="F56" s="114" t="s">
        <v>50</v>
      </c>
    </row>
    <row r="57" spans="1:6" s="112" customFormat="1" ht="39" customHeight="1" x14ac:dyDescent="0.25">
      <c r="A57" s="105" t="str">
        <f>IF(ISBLANK(liste_groupe[[#This Row],[Code WF]])," ",IF(ISBLANK(liste_groupe[[#This Row],[Unité]]),CONCATENATE(liste_groupe[[#This Row],[Nom de l''échantillon donné par le client]],liste_groupe[[#This Row],[Dopage (+Testostérone / + EE2, ….)]]),CONCATENATE(liste_groupe[[#This Row],[Nom de l''échantillon donné par le client]],"-",liste_groupe[[#This Row],[Concentration]],liste_groupe[[#This Row],[Unité]],liste_groupe[[#This Row],[Dopage (+Testostérone / + EE2, ….)]])))</f>
        <v>0-00 + Testostérone</v>
      </c>
      <c r="B57" s="193">
        <f t="shared" ref="B57:E57" si="19">B33</f>
        <v>0</v>
      </c>
      <c r="C57" s="193">
        <f t="shared" si="19"/>
        <v>0</v>
      </c>
      <c r="D57" s="193">
        <f t="shared" si="19"/>
        <v>0</v>
      </c>
      <c r="E57" s="193">
        <f t="shared" si="19"/>
        <v>0</v>
      </c>
      <c r="F57" s="114" t="s">
        <v>50</v>
      </c>
    </row>
  </sheetData>
  <protectedRanges>
    <protectedRange sqref="C19:D37 A15:A51 C15:C18" name="Plage1_1"/>
  </protectedRanges>
  <mergeCells count="8">
    <mergeCell ref="A5:I5"/>
    <mergeCell ref="A1:I1"/>
    <mergeCell ref="C2:D2"/>
    <mergeCell ref="C3:D3"/>
    <mergeCell ref="C4:D4"/>
    <mergeCell ref="F4:I4"/>
    <mergeCell ref="F3:I3"/>
    <mergeCell ref="F2:I2"/>
  </mergeCells>
  <phoneticPr fontId="19" type="noConversion"/>
  <dataValidations count="1">
    <dataValidation type="custom" allowBlank="1" showInputMessage="1" showErrorMessage="1" sqref="E7:E37" xr:uid="{E0A8F951-ED76-4488-98E3-F13AD7875916}">
      <formula1>ISERROR(SEARCH("-",E7))=TRUE</formula1>
    </dataValidation>
  </dataValidations>
  <pageMargins left="0.7" right="0.7" top="0.75" bottom="0.75" header="0.3" footer="0.3"/>
  <pageSetup paperSize="9" scale="35" orientation="landscape" r:id="rId1"/>
  <headerFooter>
    <oddHeader>&amp;C&amp;"-,Gras"&amp;20Résultats&amp;R&amp;"-,Gras"&amp;20Page : &amp;P/&amp;P</oddHead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
  <sheetViews>
    <sheetView workbookViewId="0">
      <selection activeCell="D12" sqref="D12"/>
    </sheetView>
  </sheetViews>
  <sheetFormatPr baseColWidth="10" defaultRowHeight="15" x14ac:dyDescent="0.25"/>
  <cols>
    <col min="1" max="1" width="14.140625" customWidth="1"/>
    <col min="2" max="2" width="14" customWidth="1"/>
    <col min="3" max="3" width="11.5703125" customWidth="1"/>
    <col min="4" max="4" width="12.42578125" customWidth="1"/>
    <col min="5" max="5" width="17.28515625" customWidth="1"/>
    <col min="7" max="7" width="19.5703125" customWidth="1"/>
    <col min="9" max="9" width="15.7109375" customWidth="1"/>
  </cols>
  <sheetData>
    <row r="1" spans="1:9" x14ac:dyDescent="0.25">
      <c r="A1" t="s">
        <v>107</v>
      </c>
      <c r="B1" t="s">
        <v>108</v>
      </c>
      <c r="C1" t="s">
        <v>109</v>
      </c>
      <c r="D1" t="s">
        <v>110</v>
      </c>
      <c r="E1" t="s">
        <v>111</v>
      </c>
      <c r="F1" t="s">
        <v>112</v>
      </c>
      <c r="G1" t="s">
        <v>113</v>
      </c>
      <c r="H1" t="s">
        <v>117</v>
      </c>
      <c r="I1" t="s">
        <v>118</v>
      </c>
    </row>
    <row r="2" spans="1:9" x14ac:dyDescent="0.25">
      <c r="A2" t="s">
        <v>153</v>
      </c>
      <c r="B2" t="s">
        <v>164</v>
      </c>
      <c r="C2" t="s">
        <v>144</v>
      </c>
      <c r="D2" t="s">
        <v>147</v>
      </c>
      <c r="E2" t="s">
        <v>148</v>
      </c>
      <c r="F2" t="s">
        <v>112</v>
      </c>
      <c r="G2">
        <v>360268</v>
      </c>
    </row>
    <row r="3" spans="1:9" x14ac:dyDescent="0.25">
      <c r="A3" t="s">
        <v>153</v>
      </c>
      <c r="B3" t="s">
        <v>164</v>
      </c>
      <c r="C3" t="s">
        <v>145</v>
      </c>
      <c r="D3" t="s">
        <v>149</v>
      </c>
      <c r="E3" t="s">
        <v>150</v>
      </c>
      <c r="F3" t="s">
        <v>112</v>
      </c>
      <c r="G3">
        <v>372315</v>
      </c>
    </row>
    <row r="4" spans="1:9" x14ac:dyDescent="0.25">
      <c r="A4" t="s">
        <v>153</v>
      </c>
      <c r="B4" t="s">
        <v>164</v>
      </c>
      <c r="C4" t="s">
        <v>146</v>
      </c>
      <c r="D4" t="s">
        <v>151</v>
      </c>
      <c r="E4" t="s">
        <v>152</v>
      </c>
      <c r="F4" t="s">
        <v>112</v>
      </c>
      <c r="G4">
        <v>237626</v>
      </c>
    </row>
    <row r="5" spans="1:9" x14ac:dyDescent="0.25">
      <c r="A5" t="s">
        <v>153</v>
      </c>
      <c r="B5" t="s">
        <v>164</v>
      </c>
      <c r="C5" t="s">
        <v>161</v>
      </c>
      <c r="D5" t="s">
        <v>162</v>
      </c>
      <c r="E5" t="s">
        <v>163</v>
      </c>
      <c r="F5" t="s">
        <v>112</v>
      </c>
      <c r="G5">
        <v>1439015</v>
      </c>
    </row>
    <row r="6" spans="1:9" x14ac:dyDescent="0.25">
      <c r="A6" t="s">
        <v>153</v>
      </c>
      <c r="B6" t="s">
        <v>164</v>
      </c>
      <c r="C6" t="s">
        <v>158</v>
      </c>
      <c r="D6" t="s">
        <v>159</v>
      </c>
      <c r="E6" t="s">
        <v>160</v>
      </c>
      <c r="F6" t="s">
        <v>112</v>
      </c>
      <c r="G6">
        <v>1433586</v>
      </c>
    </row>
    <row r="7" spans="1:9" x14ac:dyDescent="0.25">
      <c r="A7" t="s">
        <v>153</v>
      </c>
      <c r="B7" t="s">
        <v>164</v>
      </c>
      <c r="C7" t="s">
        <v>155</v>
      </c>
      <c r="D7" t="s">
        <v>156</v>
      </c>
      <c r="E7" t="s">
        <v>157</v>
      </c>
      <c r="F7" t="s">
        <v>112</v>
      </c>
      <c r="G7">
        <v>1115346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N1557"/>
  <sheetViews>
    <sheetView showGridLines="0" topLeftCell="J1" zoomScale="70" zoomScaleNormal="70" workbookViewId="0">
      <selection activeCell="Z5" sqref="Z5:AF12"/>
    </sheetView>
  </sheetViews>
  <sheetFormatPr baseColWidth="10" defaultColWidth="11.42578125" defaultRowHeight="15" x14ac:dyDescent="0.25"/>
  <cols>
    <col min="1" max="1" width="15" style="1" customWidth="1"/>
    <col min="2" max="2" width="26.5703125" style="1" customWidth="1"/>
    <col min="3" max="3" width="87.140625" style="1" bestFit="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28.28515625" style="1" customWidth="1"/>
    <col min="12" max="12" width="28.140625" style="1" customWidth="1"/>
    <col min="13" max="14" width="12.85546875" style="1" customWidth="1"/>
    <col min="15" max="20" width="12.28515625" style="1" customWidth="1"/>
    <col min="21" max="21" width="17.42578125" style="1" customWidth="1"/>
    <col min="22" max="25" width="12.28515625" style="1" customWidth="1"/>
    <col min="26" max="27" width="15.5703125" style="1" customWidth="1"/>
    <col min="28" max="28" width="14.28515625" style="1" customWidth="1"/>
    <col min="29" max="16384" width="11.42578125" style="1"/>
  </cols>
  <sheetData>
    <row r="1" spans="1:144" x14ac:dyDescent="0.2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TS</v>
      </c>
      <c r="B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 s="1" t="s">
        <v>172</v>
      </c>
      <c r="D2" s="1" t="s">
        <v>173</v>
      </c>
      <c r="E2" s="1" t="s">
        <v>174</v>
      </c>
      <c r="F2" s="1" t="s">
        <v>112</v>
      </c>
      <c r="G2" s="1">
        <v>86822</v>
      </c>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TS</v>
      </c>
      <c r="B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 s="1" t="s">
        <v>175</v>
      </c>
      <c r="D3" s="1" t="s">
        <v>176</v>
      </c>
      <c r="E3" s="1" t="s">
        <v>177</v>
      </c>
      <c r="F3" s="1" t="s">
        <v>112</v>
      </c>
      <c r="G3" s="1">
        <v>104126</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TS</v>
      </c>
      <c r="B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 s="1" t="s">
        <v>178</v>
      </c>
      <c r="D4" s="1" t="s">
        <v>179</v>
      </c>
      <c r="E4" s="1" t="s">
        <v>180</v>
      </c>
      <c r="F4" s="1" t="s">
        <v>112</v>
      </c>
      <c r="G4" s="1">
        <v>97659</v>
      </c>
      <c r="K4" s="119" t="s">
        <v>100</v>
      </c>
      <c r="L4" s="1" t="s">
        <v>1671</v>
      </c>
      <c r="M4" s="1" t="s">
        <v>1672</v>
      </c>
      <c r="N4" s="1" t="s">
        <v>1673</v>
      </c>
      <c r="O4" s="1" t="s">
        <v>1674</v>
      </c>
      <c r="P4" s="1" t="s">
        <v>1675</v>
      </c>
      <c r="Q4" s="1" t="s">
        <v>1676</v>
      </c>
      <c r="R4" s="1" t="s">
        <v>1677</v>
      </c>
      <c r="S4" s="1" t="s">
        <v>1678</v>
      </c>
      <c r="T4" s="1" t="s">
        <v>1679</v>
      </c>
      <c r="U4" s="1" t="s">
        <v>1680</v>
      </c>
      <c r="V4" s="1" t="s">
        <v>1681</v>
      </c>
      <c r="W4" s="1" t="s">
        <v>1682</v>
      </c>
      <c r="X4" s="1" t="s">
        <v>1683</v>
      </c>
      <c r="Y4" s="1" t="s">
        <v>1684</v>
      </c>
      <c r="Z4" s="1" t="s">
        <v>1685</v>
      </c>
      <c r="AA4" s="1" t="s">
        <v>1686</v>
      </c>
      <c r="AB4" s="1" t="s">
        <v>1687</v>
      </c>
      <c r="AC4" s="1" t="s">
        <v>1688</v>
      </c>
      <c r="AD4" s="1" t="s">
        <v>1689</v>
      </c>
      <c r="AE4" s="1" t="s">
        <v>1690</v>
      </c>
      <c r="AF4" s="1" t="s">
        <v>1691</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TS</v>
      </c>
      <c r="B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 s="1" t="s">
        <v>181</v>
      </c>
      <c r="D5" s="1" t="s">
        <v>182</v>
      </c>
      <c r="E5" s="1" t="s">
        <v>183</v>
      </c>
      <c r="F5" s="1" t="s">
        <v>112</v>
      </c>
      <c r="G5" s="1">
        <v>738661</v>
      </c>
      <c r="K5" s="146" t="s">
        <v>164</v>
      </c>
      <c r="L5" s="44">
        <v>96202.333333333328</v>
      </c>
      <c r="M5" s="44">
        <v>241281.5</v>
      </c>
      <c r="N5" s="44">
        <v>92020.666666666672</v>
      </c>
      <c r="O5" s="44">
        <v>390636</v>
      </c>
      <c r="P5" s="44">
        <v>2164914.5</v>
      </c>
      <c r="Q5" s="44">
        <v>3827821</v>
      </c>
      <c r="R5" s="44">
        <v>6953895.666666667</v>
      </c>
      <c r="S5" s="44">
        <v>698613</v>
      </c>
      <c r="T5" s="44">
        <v>775842.66666666663</v>
      </c>
      <c r="U5" s="44">
        <v>153067.66666666666</v>
      </c>
      <c r="V5" s="44">
        <v>106304</v>
      </c>
      <c r="W5" s="44">
        <v>128734</v>
      </c>
      <c r="X5" s="44">
        <v>3145635.6666666665</v>
      </c>
      <c r="Y5" s="44">
        <v>4723309.5</v>
      </c>
      <c r="Z5" s="44">
        <v>4850503.666666667</v>
      </c>
      <c r="AA5" s="44">
        <v>180234.66666666666</v>
      </c>
      <c r="AB5" s="44">
        <v>2773731.3333333335</v>
      </c>
      <c r="AC5" s="44">
        <v>330656.33333333331</v>
      </c>
      <c r="AD5" s="44">
        <v>1989943</v>
      </c>
      <c r="AE5" s="44">
        <v>3122570.6666666665</v>
      </c>
      <c r="AF5" s="44">
        <v>4854873</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TS</v>
      </c>
      <c r="B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 s="1" t="s">
        <v>184</v>
      </c>
      <c r="D6" s="1" t="s">
        <v>185</v>
      </c>
      <c r="E6" s="1" t="s">
        <v>186</v>
      </c>
      <c r="F6" s="1" t="s">
        <v>112</v>
      </c>
      <c r="G6" s="1">
        <v>677686</v>
      </c>
      <c r="K6" s="146" t="s">
        <v>1692</v>
      </c>
      <c r="L6" s="44">
        <v>708173.5</v>
      </c>
      <c r="M6" s="44">
        <v>661427.66666666663</v>
      </c>
      <c r="N6" s="44">
        <v>609703.66666666663</v>
      </c>
      <c r="O6" s="44">
        <v>862946.33333333337</v>
      </c>
      <c r="P6" s="44">
        <v>3685935.6666666665</v>
      </c>
      <c r="Q6" s="44">
        <v>3503610</v>
      </c>
      <c r="R6" s="44">
        <v>6708173</v>
      </c>
      <c r="S6" s="44">
        <v>94205.333333333328</v>
      </c>
      <c r="T6" s="44">
        <v>254216.33333333334</v>
      </c>
      <c r="U6" s="44">
        <v>288369.66666666669</v>
      </c>
      <c r="V6" s="44">
        <v>897489.5</v>
      </c>
      <c r="W6" s="44">
        <v>116916.66666666667</v>
      </c>
      <c r="X6" s="44">
        <v>4288992</v>
      </c>
      <c r="Y6" s="44">
        <v>3433680.6666666665</v>
      </c>
      <c r="Z6" s="44">
        <v>5390418.5</v>
      </c>
      <c r="AA6" s="44">
        <v>329906.66666666669</v>
      </c>
      <c r="AB6" s="44">
        <v>4528056</v>
      </c>
      <c r="AC6" s="44">
        <v>4415887</v>
      </c>
      <c r="AD6" s="44">
        <v>3267347</v>
      </c>
      <c r="AE6" s="44">
        <v>4656484</v>
      </c>
      <c r="AF6" s="44">
        <v>4167525.6666666665</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TS</v>
      </c>
      <c r="B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 s="1" t="s">
        <v>187</v>
      </c>
      <c r="K7" s="146" t="s">
        <v>1693</v>
      </c>
      <c r="L7" s="44">
        <v>561663</v>
      </c>
      <c r="M7" s="44">
        <v>1471878.3333333333</v>
      </c>
      <c r="N7" s="44">
        <v>181438.66666666666</v>
      </c>
      <c r="O7" s="44">
        <v>131430.33333333334</v>
      </c>
      <c r="P7" s="44">
        <v>2020102.6666666667</v>
      </c>
      <c r="Q7" s="44">
        <v>4290635.666666667</v>
      </c>
      <c r="R7" s="44">
        <v>3747732.6666666665</v>
      </c>
      <c r="S7" s="44">
        <v>302068.66666666669</v>
      </c>
      <c r="T7" s="44">
        <v>244857.66666666666</v>
      </c>
      <c r="U7" s="44">
        <v>361176</v>
      </c>
      <c r="V7" s="44">
        <v>51702.666666666664</v>
      </c>
      <c r="W7" s="44">
        <v>548757.66666666663</v>
      </c>
      <c r="X7" s="44">
        <v>4334501</v>
      </c>
      <c r="Y7" s="44"/>
      <c r="Z7" s="44">
        <v>5012966.333333333</v>
      </c>
      <c r="AA7" s="44">
        <v>483925.66666666669</v>
      </c>
      <c r="AB7" s="44">
        <v>2731719</v>
      </c>
      <c r="AC7" s="44">
        <v>2161266.3333333335</v>
      </c>
      <c r="AD7" s="44">
        <v>29726.666666666668</v>
      </c>
      <c r="AE7" s="44">
        <v>5217887.666666667</v>
      </c>
      <c r="AF7" s="44">
        <v>2440248.3333333335</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TS</v>
      </c>
      <c r="B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8" s="1" t="s">
        <v>188</v>
      </c>
      <c r="D8" s="1" t="s">
        <v>189</v>
      </c>
      <c r="E8" s="1" t="s">
        <v>190</v>
      </c>
      <c r="F8" s="1" t="s">
        <v>112</v>
      </c>
      <c r="G8" s="1">
        <v>666568</v>
      </c>
      <c r="K8" s="146" t="s">
        <v>1694</v>
      </c>
      <c r="L8" s="44">
        <v>261635</v>
      </c>
      <c r="M8" s="44">
        <v>476391.33333333331</v>
      </c>
      <c r="N8" s="44">
        <v>313337.66666666669</v>
      </c>
      <c r="O8" s="44">
        <v>535065.66666666663</v>
      </c>
      <c r="P8" s="44">
        <v>1278889.3333333333</v>
      </c>
      <c r="Q8" s="44">
        <v>4463739.666666667</v>
      </c>
      <c r="R8" s="44">
        <v>5449125.666666667</v>
      </c>
      <c r="S8" s="44">
        <v>74089.333333333328</v>
      </c>
      <c r="T8" s="44">
        <v>317188</v>
      </c>
      <c r="U8" s="44">
        <v>298846</v>
      </c>
      <c r="V8" s="44">
        <v>516651.66666666669</v>
      </c>
      <c r="W8" s="44">
        <v>545823.33333333337</v>
      </c>
      <c r="X8" s="44">
        <v>2938194</v>
      </c>
      <c r="Y8" s="44">
        <v>4382721.333333333</v>
      </c>
      <c r="Z8" s="44">
        <v>5586973</v>
      </c>
      <c r="AA8" s="44">
        <v>195404.66666666666</v>
      </c>
      <c r="AB8" s="44">
        <v>4618876.333333333</v>
      </c>
      <c r="AC8" s="44">
        <v>3492557.3333333335</v>
      </c>
      <c r="AD8" s="44">
        <v>2531245.6666666665</v>
      </c>
      <c r="AE8" s="44">
        <v>2283590.6666666665</v>
      </c>
      <c r="AF8" s="44">
        <v>4469926</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TS</v>
      </c>
      <c r="B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9" s="1" t="s">
        <v>191</v>
      </c>
      <c r="D9" s="1" t="s">
        <v>192</v>
      </c>
      <c r="E9" s="1" t="s">
        <v>193</v>
      </c>
      <c r="F9" s="1" t="s">
        <v>112</v>
      </c>
      <c r="G9" s="1">
        <v>546176</v>
      </c>
      <c r="K9" s="146" t="s">
        <v>1695</v>
      </c>
      <c r="L9" s="44">
        <v>583380</v>
      </c>
      <c r="M9" s="44">
        <v>606004.5</v>
      </c>
      <c r="N9" s="44">
        <v>660158.66666666663</v>
      </c>
      <c r="O9" s="44">
        <v>309740</v>
      </c>
      <c r="P9" s="44">
        <v>2187114</v>
      </c>
      <c r="Q9" s="44">
        <v>899666.66666666663</v>
      </c>
      <c r="R9" s="44">
        <v>5730566.666666667</v>
      </c>
      <c r="S9" s="44">
        <v>152620.33333333334</v>
      </c>
      <c r="T9" s="44">
        <v>170580.66666666666</v>
      </c>
      <c r="U9" s="44">
        <v>451913.66666666669</v>
      </c>
      <c r="V9" s="44">
        <v>292904.66666666669</v>
      </c>
      <c r="W9" s="44">
        <v>272111.33333333331</v>
      </c>
      <c r="X9" s="44">
        <v>310944</v>
      </c>
      <c r="Y9" s="44">
        <v>2573928.6666666665</v>
      </c>
      <c r="Z9" s="44">
        <v>3408237</v>
      </c>
      <c r="AA9" s="44">
        <v>577417.33333333337</v>
      </c>
      <c r="AB9" s="44">
        <v>4783307</v>
      </c>
      <c r="AC9" s="44">
        <v>3070443</v>
      </c>
      <c r="AD9" s="44">
        <v>1369165</v>
      </c>
      <c r="AE9" s="44">
        <v>110248</v>
      </c>
      <c r="AF9" s="44">
        <v>5713681</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TS</v>
      </c>
      <c r="B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 s="1" t="s">
        <v>194</v>
      </c>
      <c r="D10" s="1" t="s">
        <v>195</v>
      </c>
      <c r="E10" s="1" t="s">
        <v>196</v>
      </c>
      <c r="F10" s="1" t="s">
        <v>112</v>
      </c>
      <c r="G10" s="1">
        <v>472245</v>
      </c>
      <c r="K10" s="146" t="s">
        <v>1696</v>
      </c>
      <c r="L10" s="44">
        <v>477231</v>
      </c>
      <c r="M10" s="44">
        <v>402013.33333333331</v>
      </c>
      <c r="N10" s="44">
        <v>147357</v>
      </c>
      <c r="O10" s="44">
        <v>438358.33333333331</v>
      </c>
      <c r="P10" s="44">
        <v>2852060</v>
      </c>
      <c r="Q10" s="44">
        <v>5256216</v>
      </c>
      <c r="R10" s="44">
        <v>8508191.333333334</v>
      </c>
      <c r="S10" s="44">
        <v>331781.33333333331</v>
      </c>
      <c r="T10" s="44">
        <v>90787.666666666672</v>
      </c>
      <c r="U10" s="44">
        <v>65160.5</v>
      </c>
      <c r="V10" s="44">
        <v>815396.66666666663</v>
      </c>
      <c r="W10" s="44">
        <v>161121</v>
      </c>
      <c r="X10" s="44">
        <v>2596575</v>
      </c>
      <c r="Y10" s="44">
        <v>3886640</v>
      </c>
      <c r="Z10" s="44">
        <v>5629569.333333333</v>
      </c>
      <c r="AA10" s="44">
        <v>533739.66666666663</v>
      </c>
      <c r="AB10" s="44">
        <v>1912284.6666666667</v>
      </c>
      <c r="AC10" s="44">
        <v>3840344.6666666665</v>
      </c>
      <c r="AD10" s="44">
        <v>3508888</v>
      </c>
      <c r="AE10" s="44">
        <v>3598486</v>
      </c>
      <c r="AF10" s="44">
        <v>4002186.6666666665</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TS</v>
      </c>
      <c r="B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 s="1" t="s">
        <v>197</v>
      </c>
      <c r="D11" s="1" t="s">
        <v>198</v>
      </c>
      <c r="E11" s="1" t="s">
        <v>199</v>
      </c>
      <c r="F11" s="1" t="s">
        <v>112</v>
      </c>
      <c r="G11" s="1">
        <v>288586</v>
      </c>
      <c r="K11" s="146" t="s">
        <v>1697</v>
      </c>
      <c r="L11" s="44">
        <v>228011.5</v>
      </c>
      <c r="M11" s="44">
        <v>94270</v>
      </c>
      <c r="N11" s="44">
        <v>207070</v>
      </c>
      <c r="O11" s="44">
        <v>100600.66666666667</v>
      </c>
      <c r="P11" s="44">
        <v>1397846</v>
      </c>
      <c r="Q11" s="44">
        <v>2472657.6666666665</v>
      </c>
      <c r="R11" s="44">
        <v>4634500.333333333</v>
      </c>
      <c r="S11" s="44">
        <v>337844.66666666669</v>
      </c>
      <c r="T11" s="44">
        <v>105359</v>
      </c>
      <c r="U11" s="44">
        <v>13497</v>
      </c>
      <c r="V11" s="44">
        <v>454689</v>
      </c>
      <c r="W11" s="44">
        <v>598225</v>
      </c>
      <c r="X11" s="44">
        <v>4034177.3333333335</v>
      </c>
      <c r="Y11" s="44">
        <v>4232148.666666667</v>
      </c>
      <c r="Z11" s="44">
        <v>5404351.666666667</v>
      </c>
      <c r="AA11" s="44">
        <v>65776.666666666672</v>
      </c>
      <c r="AB11" s="44">
        <v>3039887</v>
      </c>
      <c r="AC11" s="44">
        <v>1941218</v>
      </c>
      <c r="AD11" s="44">
        <v>3252033</v>
      </c>
      <c r="AE11" s="44">
        <v>4077148.6666666665</v>
      </c>
      <c r="AF11" s="44">
        <v>5328524.333333333</v>
      </c>
      <c r="AG11"/>
    </row>
    <row r="12" spans="1:144" x14ac:dyDescent="0.25">
      <c r="A12" s="1" t="str">
        <f t="shared" si="0"/>
        <v>01 TS</v>
      </c>
      <c r="B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2" s="1" t="s">
        <v>200</v>
      </c>
      <c r="D12" s="1" t="s">
        <v>201</v>
      </c>
      <c r="E12" s="1" t="s">
        <v>202</v>
      </c>
      <c r="F12" s="1" t="s">
        <v>112</v>
      </c>
      <c r="G12" s="1">
        <v>61342</v>
      </c>
      <c r="K12" s="146" t="s">
        <v>1698</v>
      </c>
      <c r="L12" s="44">
        <v>376028.33333333331</v>
      </c>
      <c r="M12" s="44">
        <v>87702</v>
      </c>
      <c r="N12" s="44"/>
      <c r="O12" s="44">
        <v>224085.66666666666</v>
      </c>
      <c r="P12" s="44">
        <v>1733679.5</v>
      </c>
      <c r="Q12" s="44">
        <v>2877165.3333333335</v>
      </c>
      <c r="R12" s="44">
        <v>3886048.6666666665</v>
      </c>
      <c r="S12" s="44">
        <v>161669</v>
      </c>
      <c r="T12" s="44">
        <v>114018.33333333333</v>
      </c>
      <c r="U12" s="44">
        <v>428308</v>
      </c>
      <c r="V12" s="44">
        <v>479433.66666666669</v>
      </c>
      <c r="W12" s="44">
        <v>648608.66666666663</v>
      </c>
      <c r="X12" s="44">
        <v>3914787.3333333335</v>
      </c>
      <c r="Y12" s="44">
        <v>4933519.333333333</v>
      </c>
      <c r="Z12" s="44">
        <v>3595378.6666666665</v>
      </c>
      <c r="AA12" s="44">
        <v>400398.33333333331</v>
      </c>
      <c r="AB12" s="44">
        <v>6362909.333333333</v>
      </c>
      <c r="AC12" s="44">
        <v>5179379</v>
      </c>
      <c r="AD12" s="44">
        <v>3660838</v>
      </c>
      <c r="AE12" s="44">
        <v>4887282</v>
      </c>
      <c r="AF12" s="44">
        <v>2548881.3333333335</v>
      </c>
      <c r="AG12"/>
    </row>
    <row r="13" spans="1:144" x14ac:dyDescent="0.25">
      <c r="A13" s="1" t="str">
        <f t="shared" si="0"/>
        <v>01 TS</v>
      </c>
      <c r="B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3" s="1" t="s">
        <v>203</v>
      </c>
      <c r="D13" s="1" t="s">
        <v>204</v>
      </c>
      <c r="E13" s="1" t="s">
        <v>205</v>
      </c>
      <c r="F13" s="1" t="s">
        <v>112</v>
      </c>
      <c r="G13" s="1">
        <v>434977</v>
      </c>
      <c r="K13"/>
      <c r="L13"/>
      <c r="M13"/>
      <c r="N13"/>
      <c r="O13"/>
      <c r="P13"/>
      <c r="Q13"/>
      <c r="R13"/>
      <c r="S13"/>
      <c r="T13"/>
      <c r="U13"/>
      <c r="V13"/>
      <c r="W13"/>
      <c r="X13"/>
      <c r="Y13"/>
      <c r="Z13"/>
      <c r="AA13"/>
      <c r="AB13"/>
      <c r="AC13"/>
      <c r="AD13"/>
      <c r="AE13"/>
      <c r="AF13"/>
      <c r="AG13"/>
    </row>
    <row r="14" spans="1:144" x14ac:dyDescent="0.25">
      <c r="A14" s="1" t="str">
        <f t="shared" si="0"/>
        <v>01 TS</v>
      </c>
      <c r="B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 s="1" t="s">
        <v>206</v>
      </c>
      <c r="K14"/>
      <c r="L14"/>
      <c r="M14"/>
      <c r="N14"/>
      <c r="O14"/>
      <c r="P14"/>
      <c r="Q14"/>
      <c r="R14"/>
      <c r="S14"/>
      <c r="T14"/>
      <c r="U14"/>
      <c r="V14"/>
      <c r="W14"/>
      <c r="X14"/>
      <c r="Y14"/>
      <c r="Z14"/>
      <c r="AA14"/>
      <c r="AB14"/>
      <c r="AC14"/>
      <c r="AD14"/>
      <c r="AE14"/>
      <c r="AF14"/>
      <c r="AG14"/>
    </row>
    <row r="15" spans="1:144" x14ac:dyDescent="0.25">
      <c r="A15" s="1" t="str">
        <f t="shared" si="0"/>
        <v>01 TS</v>
      </c>
      <c r="B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5" s="1" t="s">
        <v>207</v>
      </c>
      <c r="D15" s="1" t="s">
        <v>208</v>
      </c>
      <c r="E15" s="1" t="s">
        <v>209</v>
      </c>
      <c r="F15" s="1" t="s">
        <v>112</v>
      </c>
      <c r="G15" s="1">
        <v>452692</v>
      </c>
    </row>
    <row r="16" spans="1:144" x14ac:dyDescent="0.25">
      <c r="A16" s="1" t="str">
        <f t="shared" si="0"/>
        <v>01 TS</v>
      </c>
      <c r="B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6" s="1" t="s">
        <v>210</v>
      </c>
      <c r="D16" s="1" t="s">
        <v>211</v>
      </c>
      <c r="E16" s="1" t="s">
        <v>212</v>
      </c>
      <c r="F16" s="1" t="s">
        <v>112</v>
      </c>
      <c r="G16" s="1">
        <v>714068</v>
      </c>
      <c r="M16"/>
      <c r="N16"/>
      <c r="O16"/>
      <c r="P16"/>
      <c r="Q16"/>
      <c r="R16"/>
      <c r="S16"/>
      <c r="T16"/>
      <c r="U16"/>
      <c r="V16"/>
      <c r="W16"/>
      <c r="X16"/>
      <c r="Y16"/>
      <c r="Z16"/>
      <c r="AA16"/>
      <c r="AB16"/>
      <c r="AC16"/>
      <c r="AD16"/>
      <c r="AE16"/>
      <c r="AF16"/>
      <c r="AG16"/>
      <c r="AH16"/>
    </row>
    <row r="17" spans="1:34" x14ac:dyDescent="0.25">
      <c r="A17" s="1" t="str">
        <f t="shared" si="0"/>
        <v>01 TS</v>
      </c>
      <c r="B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7" s="1" t="s">
        <v>213</v>
      </c>
      <c r="D17" s="1" t="s">
        <v>214</v>
      </c>
      <c r="E17" s="1" t="s">
        <v>215</v>
      </c>
      <c r="F17" s="1" t="s">
        <v>112</v>
      </c>
      <c r="G17" s="1">
        <v>482909</v>
      </c>
      <c r="M17"/>
      <c r="N17"/>
      <c r="O17"/>
      <c r="P17"/>
      <c r="Q17"/>
      <c r="R17"/>
      <c r="S17"/>
      <c r="T17"/>
      <c r="U17"/>
      <c r="V17"/>
      <c r="W17"/>
      <c r="X17"/>
      <c r="Y17"/>
      <c r="Z17"/>
      <c r="AA17"/>
      <c r="AB17"/>
      <c r="AC17"/>
      <c r="AD17"/>
      <c r="AE17"/>
      <c r="AF17"/>
      <c r="AG17"/>
      <c r="AH17"/>
    </row>
    <row r="18" spans="1:34" x14ac:dyDescent="0.25">
      <c r="A18" s="1" t="str">
        <f t="shared" si="0"/>
        <v>01 TS</v>
      </c>
      <c r="B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 s="1" t="s">
        <v>216</v>
      </c>
      <c r="D18" s="1" t="s">
        <v>195</v>
      </c>
      <c r="E18" s="1" t="s">
        <v>217</v>
      </c>
      <c r="F18" s="1" t="s">
        <v>112</v>
      </c>
      <c r="G18" s="1">
        <v>471553</v>
      </c>
      <c r="M18"/>
      <c r="N18"/>
      <c r="O18"/>
      <c r="P18"/>
      <c r="Q18"/>
      <c r="R18"/>
      <c r="S18"/>
      <c r="T18"/>
      <c r="U18"/>
      <c r="V18"/>
      <c r="W18"/>
      <c r="X18"/>
      <c r="Y18"/>
      <c r="Z18"/>
      <c r="AA18"/>
      <c r="AB18"/>
      <c r="AC18"/>
      <c r="AD18"/>
      <c r="AE18"/>
      <c r="AF18"/>
      <c r="AG18"/>
      <c r="AH18"/>
    </row>
    <row r="19" spans="1:34" x14ac:dyDescent="0.25">
      <c r="A19" s="1" t="str">
        <f t="shared" si="0"/>
        <v>01 TS</v>
      </c>
      <c r="B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9" s="1" t="s">
        <v>218</v>
      </c>
      <c r="K19"/>
      <c r="L19"/>
      <c r="M19"/>
      <c r="N19"/>
      <c r="O19"/>
      <c r="P19"/>
      <c r="Q19"/>
      <c r="R19"/>
      <c r="S19"/>
      <c r="T19"/>
      <c r="U19"/>
      <c r="V19"/>
      <c r="W19"/>
      <c r="X19"/>
      <c r="Y19"/>
      <c r="Z19"/>
      <c r="AA19"/>
      <c r="AB19"/>
      <c r="AC19"/>
      <c r="AD19"/>
      <c r="AE19"/>
      <c r="AF19"/>
      <c r="AG19"/>
      <c r="AH19"/>
    </row>
    <row r="20" spans="1:34" x14ac:dyDescent="0.25">
      <c r="A20" s="1" t="str">
        <f t="shared" si="0"/>
        <v>01 TS</v>
      </c>
      <c r="B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0" s="1" t="s">
        <v>219</v>
      </c>
      <c r="K20"/>
      <c r="L20"/>
      <c r="M20"/>
      <c r="N20"/>
      <c r="O20"/>
      <c r="P20"/>
      <c r="Q20"/>
      <c r="R20"/>
      <c r="S20"/>
      <c r="T20"/>
      <c r="U20"/>
      <c r="V20"/>
      <c r="W20"/>
      <c r="X20"/>
      <c r="Y20"/>
      <c r="Z20"/>
      <c r="AA20"/>
      <c r="AB20"/>
      <c r="AC20"/>
      <c r="AD20"/>
      <c r="AE20"/>
      <c r="AF20"/>
      <c r="AG20"/>
      <c r="AH20"/>
    </row>
    <row r="21" spans="1:34" x14ac:dyDescent="0.25">
      <c r="A21" s="1" t="str">
        <f t="shared" si="0"/>
        <v>01 TS</v>
      </c>
      <c r="B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 s="1" t="s">
        <v>220</v>
      </c>
      <c r="D21" s="1" t="s">
        <v>221</v>
      </c>
      <c r="E21" s="1" t="s">
        <v>222</v>
      </c>
      <c r="F21" s="1" t="s">
        <v>112</v>
      </c>
      <c r="G21" s="1">
        <v>182837</v>
      </c>
      <c r="K21"/>
      <c r="L21"/>
      <c r="M21"/>
      <c r="N21"/>
      <c r="O21"/>
      <c r="P21"/>
      <c r="Q21"/>
      <c r="R21"/>
      <c r="S21"/>
      <c r="T21"/>
      <c r="U21"/>
      <c r="V21"/>
      <c r="W21"/>
      <c r="X21"/>
      <c r="Y21"/>
      <c r="Z21"/>
      <c r="AA21"/>
      <c r="AB21"/>
      <c r="AC21"/>
      <c r="AD21"/>
      <c r="AE21"/>
      <c r="AF21"/>
      <c r="AG21"/>
      <c r="AH21"/>
    </row>
    <row r="22" spans="1:34" x14ac:dyDescent="0.25">
      <c r="A22" s="1" t="str">
        <f t="shared" si="0"/>
        <v>01 TS</v>
      </c>
      <c r="B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 s="1" t="s">
        <v>223</v>
      </c>
      <c r="D22" s="1" t="s">
        <v>224</v>
      </c>
      <c r="E22" s="1" t="s">
        <v>225</v>
      </c>
      <c r="F22" s="1" t="s">
        <v>112</v>
      </c>
      <c r="G22" s="1">
        <v>273186</v>
      </c>
      <c r="K22"/>
      <c r="L22"/>
      <c r="M22"/>
      <c r="N22"/>
      <c r="O22"/>
      <c r="P22"/>
      <c r="Q22"/>
      <c r="R22"/>
      <c r="S22"/>
      <c r="T22"/>
      <c r="U22"/>
      <c r="V22"/>
      <c r="W22"/>
      <c r="X22"/>
      <c r="Y22"/>
      <c r="Z22"/>
      <c r="AA22"/>
      <c r="AB22"/>
      <c r="AC22"/>
      <c r="AD22"/>
      <c r="AE22"/>
      <c r="AF22"/>
      <c r="AG22"/>
      <c r="AH22"/>
    </row>
    <row r="23" spans="1:34" x14ac:dyDescent="0.25">
      <c r="A23" s="1" t="str">
        <f t="shared" si="0"/>
        <v>01 TS</v>
      </c>
      <c r="B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3" s="1" t="s">
        <v>226</v>
      </c>
      <c r="D23" s="1" t="s">
        <v>227</v>
      </c>
      <c r="E23" s="1" t="s">
        <v>228</v>
      </c>
      <c r="F23" s="1" t="s">
        <v>112</v>
      </c>
      <c r="G23" s="1">
        <v>659279</v>
      </c>
      <c r="K23"/>
      <c r="L23"/>
      <c r="M23"/>
      <c r="N23"/>
      <c r="O23"/>
      <c r="P23"/>
      <c r="Q23"/>
      <c r="R23"/>
      <c r="S23"/>
      <c r="T23"/>
      <c r="U23"/>
      <c r="V23"/>
      <c r="W23"/>
      <c r="X23"/>
      <c r="Y23"/>
      <c r="Z23"/>
      <c r="AA23"/>
      <c r="AB23"/>
      <c r="AC23"/>
      <c r="AD23"/>
      <c r="AE23"/>
      <c r="AF23"/>
      <c r="AG23"/>
      <c r="AH23"/>
    </row>
    <row r="24" spans="1:34" x14ac:dyDescent="0.25">
      <c r="A24" s="1" t="str">
        <f t="shared" si="0"/>
        <v>01 TS</v>
      </c>
      <c r="B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4" s="1" t="s">
        <v>229</v>
      </c>
      <c r="D24" s="1" t="s">
        <v>230</v>
      </c>
      <c r="E24" s="1" t="s">
        <v>231</v>
      </c>
      <c r="F24" s="1" t="s">
        <v>112</v>
      </c>
      <c r="G24" s="1">
        <v>348717</v>
      </c>
      <c r="K24"/>
      <c r="L24"/>
      <c r="M24"/>
      <c r="N24"/>
      <c r="O24"/>
      <c r="P24"/>
      <c r="Q24"/>
      <c r="R24"/>
      <c r="S24"/>
      <c r="T24"/>
      <c r="U24"/>
      <c r="V24"/>
      <c r="W24"/>
      <c r="X24"/>
      <c r="Y24"/>
      <c r="Z24"/>
      <c r="AA24"/>
      <c r="AB24"/>
      <c r="AC24"/>
      <c r="AD24"/>
      <c r="AE24"/>
      <c r="AF24"/>
      <c r="AG24"/>
      <c r="AH24"/>
    </row>
    <row r="25" spans="1:34" x14ac:dyDescent="0.25">
      <c r="A25" s="1" t="str">
        <f t="shared" si="0"/>
        <v>01 TS</v>
      </c>
      <c r="B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 s="1" t="s">
        <v>232</v>
      </c>
      <c r="D25" s="1" t="s">
        <v>233</v>
      </c>
      <c r="E25" s="1" t="s">
        <v>234</v>
      </c>
      <c r="F25" s="1" t="s">
        <v>112</v>
      </c>
      <c r="G25" s="1">
        <v>120089</v>
      </c>
      <c r="K25"/>
      <c r="L25"/>
      <c r="M25"/>
      <c r="N25"/>
      <c r="O25"/>
      <c r="P25"/>
      <c r="Q25"/>
      <c r="R25"/>
      <c r="S25"/>
      <c r="T25"/>
      <c r="U25"/>
      <c r="V25"/>
      <c r="W25"/>
      <c r="X25"/>
      <c r="Y25"/>
      <c r="Z25"/>
      <c r="AA25"/>
      <c r="AB25"/>
      <c r="AC25"/>
      <c r="AD25"/>
      <c r="AE25"/>
      <c r="AF25"/>
      <c r="AG25"/>
      <c r="AH25"/>
    </row>
    <row r="26" spans="1:34" x14ac:dyDescent="0.25">
      <c r="A26" s="1" t="str">
        <f t="shared" si="0"/>
        <v/>
      </c>
      <c r="B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 s="1" t="s">
        <v>112</v>
      </c>
      <c r="K26"/>
      <c r="L26"/>
      <c r="M26"/>
      <c r="N26"/>
      <c r="O26"/>
      <c r="P26"/>
      <c r="Q26"/>
      <c r="R26"/>
      <c r="S26"/>
      <c r="T26"/>
      <c r="U26"/>
      <c r="V26"/>
      <c r="W26"/>
      <c r="X26"/>
      <c r="Y26"/>
      <c r="Z26"/>
      <c r="AA26"/>
      <c r="AB26"/>
      <c r="AC26"/>
      <c r="AD26"/>
      <c r="AE26"/>
      <c r="AF26"/>
      <c r="AG26"/>
      <c r="AH26"/>
    </row>
    <row r="27" spans="1:34" x14ac:dyDescent="0.25">
      <c r="A27" s="1" t="str">
        <f t="shared" si="0"/>
        <v/>
      </c>
      <c r="B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7" s="1" t="s">
        <v>235</v>
      </c>
      <c r="D27" s="1" t="s">
        <v>112</v>
      </c>
      <c r="E27" s="1" t="s">
        <v>236</v>
      </c>
      <c r="F27" s="1" t="s">
        <v>237</v>
      </c>
      <c r="G27" s="1" t="s">
        <v>238</v>
      </c>
      <c r="H27" s="1" t="s">
        <v>239</v>
      </c>
      <c r="I27" s="1" t="s">
        <v>240</v>
      </c>
      <c r="K27"/>
      <c r="L27"/>
      <c r="M27"/>
      <c r="N27"/>
      <c r="O27"/>
      <c r="P27"/>
      <c r="Q27"/>
      <c r="R27"/>
      <c r="S27"/>
      <c r="T27"/>
      <c r="U27"/>
      <c r="V27"/>
      <c r="W27"/>
      <c r="X27"/>
      <c r="Y27"/>
      <c r="Z27"/>
      <c r="AA27"/>
      <c r="AB27"/>
      <c r="AC27"/>
      <c r="AD27"/>
      <c r="AE27"/>
      <c r="AF27"/>
      <c r="AG27"/>
      <c r="AH27"/>
    </row>
    <row r="28" spans="1:34" x14ac:dyDescent="0.25">
      <c r="A28" s="1" t="str">
        <f t="shared" si="0"/>
        <v>01 TS</v>
      </c>
      <c r="B2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8" s="1" t="s">
        <v>241</v>
      </c>
      <c r="D28" s="1" t="s">
        <v>112</v>
      </c>
      <c r="E28" s="1" t="s">
        <v>242</v>
      </c>
      <c r="F28" s="1" t="s">
        <v>243</v>
      </c>
      <c r="G28" s="1" t="s">
        <v>244</v>
      </c>
      <c r="H28" s="1" t="s">
        <v>245</v>
      </c>
      <c r="I28" s="1">
        <v>24</v>
      </c>
      <c r="K28"/>
      <c r="L28"/>
      <c r="M28"/>
      <c r="N28"/>
      <c r="O28"/>
      <c r="P28"/>
      <c r="Q28"/>
      <c r="R28"/>
      <c r="S28"/>
      <c r="T28"/>
      <c r="U28"/>
      <c r="V28"/>
      <c r="W28"/>
      <c r="X28"/>
      <c r="Y28"/>
      <c r="Z28"/>
      <c r="AA28"/>
      <c r="AB28"/>
      <c r="AC28"/>
      <c r="AD28"/>
      <c r="AE28"/>
      <c r="AF28"/>
      <c r="AG28"/>
      <c r="AH28"/>
    </row>
    <row r="29" spans="1:34" x14ac:dyDescent="0.25">
      <c r="A29" s="1" t="str">
        <f t="shared" si="0"/>
        <v/>
      </c>
      <c r="B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 s="1" t="s">
        <v>112</v>
      </c>
      <c r="K29"/>
      <c r="L29"/>
      <c r="M29"/>
      <c r="N29"/>
      <c r="O29"/>
      <c r="P29"/>
      <c r="Q29"/>
      <c r="R29"/>
      <c r="S29"/>
      <c r="T29"/>
      <c r="U29"/>
      <c r="V29"/>
      <c r="W29"/>
      <c r="X29"/>
      <c r="Y29"/>
      <c r="Z29"/>
      <c r="AA29"/>
      <c r="AB29"/>
      <c r="AC29"/>
      <c r="AD29"/>
      <c r="AE29"/>
      <c r="AF29"/>
      <c r="AG29"/>
      <c r="AH29"/>
    </row>
    <row r="30" spans="1:34" x14ac:dyDescent="0.25">
      <c r="A30" s="1" t="str">
        <f t="shared" si="0"/>
        <v/>
      </c>
      <c r="B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0" s="1" t="s">
        <v>112</v>
      </c>
      <c r="K30"/>
      <c r="L30"/>
      <c r="M30"/>
      <c r="N30"/>
      <c r="O30"/>
      <c r="P30"/>
      <c r="Q30"/>
      <c r="R30"/>
      <c r="S30"/>
      <c r="T30"/>
      <c r="U30"/>
      <c r="V30"/>
      <c r="W30"/>
      <c r="X30"/>
      <c r="Y30"/>
      <c r="Z30"/>
      <c r="AA30"/>
      <c r="AB30"/>
      <c r="AC30"/>
      <c r="AD30"/>
      <c r="AE30"/>
      <c r="AF30"/>
      <c r="AG30"/>
      <c r="AH30"/>
    </row>
    <row r="31" spans="1:34" x14ac:dyDescent="0.25">
      <c r="A31" s="1" t="str">
        <f t="shared" si="0"/>
        <v/>
      </c>
      <c r="B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1" s="1" t="s">
        <v>112</v>
      </c>
      <c r="K31"/>
      <c r="L31"/>
      <c r="M31"/>
      <c r="N31"/>
      <c r="O31"/>
      <c r="P31"/>
      <c r="Q31"/>
      <c r="R31"/>
      <c r="S31"/>
      <c r="T31"/>
      <c r="U31"/>
      <c r="V31"/>
      <c r="W31"/>
      <c r="X31"/>
      <c r="Y31"/>
      <c r="Z31"/>
      <c r="AA31"/>
      <c r="AB31"/>
      <c r="AC31"/>
      <c r="AD31"/>
      <c r="AE31"/>
      <c r="AF31"/>
      <c r="AG31"/>
      <c r="AH31"/>
    </row>
    <row r="32" spans="1:34" x14ac:dyDescent="0.25">
      <c r="A32" s="1" t="str">
        <f t="shared" si="0"/>
        <v/>
      </c>
      <c r="B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 s="1" t="s">
        <v>112</v>
      </c>
      <c r="K32"/>
      <c r="L32"/>
      <c r="M32"/>
      <c r="N32"/>
      <c r="O32"/>
      <c r="P32"/>
      <c r="Q32"/>
      <c r="R32"/>
      <c r="S32"/>
      <c r="T32"/>
      <c r="U32"/>
      <c r="V32"/>
      <c r="W32"/>
      <c r="X32"/>
      <c r="Y32"/>
      <c r="Z32"/>
      <c r="AA32"/>
      <c r="AB32"/>
      <c r="AC32"/>
      <c r="AD32"/>
      <c r="AE32"/>
      <c r="AF32"/>
      <c r="AG32"/>
      <c r="AH32"/>
    </row>
    <row r="33" spans="1:34" x14ac:dyDescent="0.25">
      <c r="A33" s="1" t="str">
        <f t="shared" si="0"/>
        <v/>
      </c>
      <c r="B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 s="1" t="s">
        <v>112</v>
      </c>
      <c r="K33"/>
      <c r="L33"/>
      <c r="M33"/>
      <c r="N33"/>
      <c r="O33"/>
      <c r="P33"/>
      <c r="Q33"/>
      <c r="R33"/>
      <c r="S33"/>
      <c r="T33"/>
      <c r="U33"/>
      <c r="V33"/>
      <c r="W33"/>
      <c r="X33"/>
      <c r="Y33"/>
      <c r="Z33"/>
      <c r="AA33"/>
      <c r="AB33"/>
      <c r="AC33"/>
      <c r="AD33"/>
      <c r="AE33"/>
      <c r="AF33"/>
      <c r="AG33"/>
      <c r="AH33"/>
    </row>
    <row r="34" spans="1:34" x14ac:dyDescent="0.25">
      <c r="A34" s="1" t="str">
        <f t="shared" si="0"/>
        <v/>
      </c>
      <c r="B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4" s="1" t="s">
        <v>246</v>
      </c>
      <c r="D34" s="1" t="s">
        <v>110</v>
      </c>
      <c r="E34" s="1" t="s">
        <v>111</v>
      </c>
      <c r="F34" s="1" t="s">
        <v>112</v>
      </c>
      <c r="G34" s="1" t="s">
        <v>113</v>
      </c>
      <c r="K34"/>
      <c r="L34"/>
      <c r="M34"/>
      <c r="N34"/>
      <c r="O34"/>
      <c r="P34"/>
      <c r="Q34"/>
      <c r="R34"/>
      <c r="S34"/>
      <c r="T34"/>
      <c r="U34"/>
      <c r="V34"/>
      <c r="W34"/>
      <c r="X34"/>
      <c r="Y34"/>
      <c r="Z34"/>
      <c r="AA34"/>
      <c r="AB34"/>
      <c r="AC34"/>
      <c r="AD34"/>
      <c r="AE34"/>
      <c r="AF34"/>
      <c r="AG34"/>
      <c r="AH34"/>
    </row>
    <row r="35" spans="1:34" x14ac:dyDescent="0.25">
      <c r="A35" s="1" t="str">
        <f t="shared" si="0"/>
        <v>02 EE2 34</v>
      </c>
      <c r="B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5" s="1" t="s">
        <v>247</v>
      </c>
      <c r="D35" s="1" t="s">
        <v>248</v>
      </c>
      <c r="E35" s="1" t="s">
        <v>249</v>
      </c>
      <c r="F35" s="1" t="s">
        <v>112</v>
      </c>
      <c r="G35" s="1">
        <v>174597</v>
      </c>
      <c r="K35"/>
      <c r="L35"/>
      <c r="M35"/>
      <c r="N35"/>
      <c r="O35"/>
      <c r="P35"/>
      <c r="Q35"/>
      <c r="R35"/>
      <c r="S35"/>
      <c r="T35"/>
      <c r="U35"/>
      <c r="V35"/>
      <c r="W35"/>
      <c r="X35"/>
      <c r="Y35"/>
      <c r="Z35"/>
      <c r="AA35"/>
      <c r="AB35"/>
      <c r="AC35"/>
      <c r="AD35"/>
      <c r="AE35"/>
      <c r="AF35"/>
      <c r="AG35"/>
      <c r="AH35"/>
    </row>
    <row r="36" spans="1:34" x14ac:dyDescent="0.25">
      <c r="A36" s="1" t="str">
        <f t="shared" si="0"/>
        <v>02 EE2 34</v>
      </c>
      <c r="B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 s="1" t="s">
        <v>250</v>
      </c>
      <c r="K36"/>
      <c r="L36"/>
      <c r="M36"/>
      <c r="N36"/>
      <c r="O36"/>
      <c r="P36"/>
      <c r="Q36"/>
      <c r="R36"/>
      <c r="S36"/>
      <c r="T36"/>
      <c r="U36"/>
      <c r="V36"/>
      <c r="W36"/>
      <c r="X36"/>
      <c r="Y36"/>
      <c r="Z36"/>
      <c r="AA36"/>
      <c r="AB36"/>
      <c r="AC36"/>
      <c r="AD36"/>
      <c r="AE36"/>
      <c r="AF36"/>
      <c r="AG36"/>
      <c r="AH36"/>
    </row>
    <row r="37" spans="1:34" x14ac:dyDescent="0.25">
      <c r="A37" s="1" t="str">
        <f t="shared" si="0"/>
        <v>02 EE2 34</v>
      </c>
      <c r="B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7" s="1" t="s">
        <v>251</v>
      </c>
      <c r="D37" s="1" t="s">
        <v>252</v>
      </c>
      <c r="E37" s="1" t="s">
        <v>253</v>
      </c>
      <c r="F37" s="1" t="s">
        <v>112</v>
      </c>
      <c r="G37" s="1">
        <v>307966</v>
      </c>
      <c r="K37"/>
      <c r="L37"/>
      <c r="M37"/>
      <c r="N37"/>
      <c r="O37"/>
      <c r="P37"/>
      <c r="Q37"/>
      <c r="R37"/>
      <c r="S37"/>
      <c r="T37"/>
      <c r="U37"/>
      <c r="V37"/>
      <c r="W37"/>
      <c r="X37"/>
      <c r="Y37"/>
      <c r="Z37"/>
      <c r="AA37"/>
      <c r="AB37"/>
      <c r="AC37"/>
      <c r="AD37"/>
      <c r="AE37"/>
      <c r="AF37"/>
      <c r="AG37"/>
      <c r="AH37"/>
    </row>
    <row r="38" spans="1:34" x14ac:dyDescent="0.25">
      <c r="A38" s="1" t="str">
        <f t="shared" si="0"/>
        <v>02 EE2 34</v>
      </c>
      <c r="B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8" s="1" t="s">
        <v>254</v>
      </c>
      <c r="D38" s="1" t="s">
        <v>255</v>
      </c>
      <c r="E38" s="1" t="s">
        <v>256</v>
      </c>
      <c r="F38" s="1" t="s">
        <v>112</v>
      </c>
      <c r="G38" s="1">
        <v>343504</v>
      </c>
      <c r="K38"/>
      <c r="L38"/>
      <c r="M38"/>
      <c r="N38"/>
      <c r="O38"/>
      <c r="P38"/>
      <c r="Q38"/>
      <c r="R38"/>
      <c r="S38"/>
      <c r="T38"/>
      <c r="U38"/>
      <c r="V38"/>
      <c r="W38"/>
      <c r="X38"/>
      <c r="Y38"/>
      <c r="Z38"/>
      <c r="AA38"/>
      <c r="AB38"/>
      <c r="AC38"/>
      <c r="AD38"/>
      <c r="AE38"/>
      <c r="AF38"/>
      <c r="AG38"/>
      <c r="AH38"/>
    </row>
    <row r="39" spans="1:34" x14ac:dyDescent="0.25">
      <c r="A39" s="1" t="str">
        <f t="shared" si="0"/>
        <v>02 EE2 34</v>
      </c>
      <c r="B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9" s="1" t="s">
        <v>257</v>
      </c>
      <c r="D39" s="1" t="s">
        <v>258</v>
      </c>
      <c r="E39" s="1" t="s">
        <v>259</v>
      </c>
      <c r="F39" s="1" t="s">
        <v>112</v>
      </c>
      <c r="G39" s="1">
        <v>407399</v>
      </c>
    </row>
    <row r="40" spans="1:34" x14ac:dyDescent="0.25">
      <c r="A40" s="1" t="str">
        <f t="shared" si="0"/>
        <v>02 EE2 34</v>
      </c>
      <c r="B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 s="1" t="s">
        <v>260</v>
      </c>
      <c r="D40" s="1" t="s">
        <v>261</v>
      </c>
      <c r="E40" s="1" t="s">
        <v>262</v>
      </c>
      <c r="F40" s="1" t="s">
        <v>112</v>
      </c>
      <c r="G40" s="1">
        <v>1233380</v>
      </c>
    </row>
    <row r="41" spans="1:34" x14ac:dyDescent="0.25">
      <c r="A41" s="1" t="str">
        <f t="shared" si="0"/>
        <v>02 EE2 34</v>
      </c>
      <c r="B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1" s="1" t="s">
        <v>263</v>
      </c>
      <c r="D41" s="1" t="s">
        <v>264</v>
      </c>
      <c r="E41" s="1" t="s">
        <v>265</v>
      </c>
      <c r="F41" s="1" t="s">
        <v>112</v>
      </c>
      <c r="G41" s="1">
        <v>1513206</v>
      </c>
    </row>
    <row r="42" spans="1:34" x14ac:dyDescent="0.25">
      <c r="A42" s="1" t="str">
        <f t="shared" si="0"/>
        <v>02 EE2 34</v>
      </c>
      <c r="B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2" s="1" t="s">
        <v>266</v>
      </c>
      <c r="D42" s="1" t="s">
        <v>267</v>
      </c>
      <c r="E42" s="1" t="s">
        <v>268</v>
      </c>
      <c r="F42" s="1" t="s">
        <v>112</v>
      </c>
      <c r="G42" s="1">
        <v>1553654</v>
      </c>
    </row>
    <row r="43" spans="1:34" x14ac:dyDescent="0.25">
      <c r="A43" s="1" t="str">
        <f t="shared" si="0"/>
        <v>02 EE2 34</v>
      </c>
      <c r="B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 s="1" t="s">
        <v>269</v>
      </c>
      <c r="D43" s="1" t="s">
        <v>270</v>
      </c>
      <c r="E43" s="1" t="s">
        <v>271</v>
      </c>
      <c r="F43" s="1" t="s">
        <v>112</v>
      </c>
      <c r="G43" s="1">
        <v>1348775</v>
      </c>
    </row>
    <row r="44" spans="1:34" x14ac:dyDescent="0.25">
      <c r="A44" s="1" t="str">
        <f t="shared" si="0"/>
        <v>02 EE2 34</v>
      </c>
      <c r="B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 s="1" t="s">
        <v>272</v>
      </c>
      <c r="D44" s="1" t="s">
        <v>273</v>
      </c>
      <c r="E44" s="1" t="s">
        <v>274</v>
      </c>
      <c r="F44" s="1" t="s">
        <v>112</v>
      </c>
      <c r="G44" s="1">
        <v>663821</v>
      </c>
    </row>
    <row r="45" spans="1:34" x14ac:dyDescent="0.25">
      <c r="A45" s="1" t="str">
        <f t="shared" si="0"/>
        <v>02 EE2 34</v>
      </c>
      <c r="B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5" s="1" t="s">
        <v>275</v>
      </c>
      <c r="D45" s="1" t="s">
        <v>276</v>
      </c>
      <c r="E45" s="1" t="s">
        <v>277</v>
      </c>
      <c r="F45" s="1" t="s">
        <v>112</v>
      </c>
      <c r="G45" s="1">
        <v>411812</v>
      </c>
    </row>
    <row r="46" spans="1:34" x14ac:dyDescent="0.25">
      <c r="A46" s="1" t="str">
        <f t="shared" si="0"/>
        <v>02 EE2 34</v>
      </c>
      <c r="B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6" s="1" t="s">
        <v>278</v>
      </c>
      <c r="D46" s="1" t="s">
        <v>279</v>
      </c>
      <c r="E46" s="1" t="s">
        <v>280</v>
      </c>
      <c r="F46" s="1" t="s">
        <v>112</v>
      </c>
      <c r="G46" s="1">
        <v>353541</v>
      </c>
    </row>
    <row r="47" spans="1:34" x14ac:dyDescent="0.25">
      <c r="A47" s="1" t="str">
        <f t="shared" si="0"/>
        <v>02 EE2 34</v>
      </c>
      <c r="B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 s="1" t="s">
        <v>281</v>
      </c>
      <c r="D47" s="1" t="s">
        <v>282</v>
      </c>
      <c r="E47" s="1" t="s">
        <v>283</v>
      </c>
      <c r="F47" s="1" t="s">
        <v>112</v>
      </c>
      <c r="G47" s="1">
        <v>640461</v>
      </c>
    </row>
    <row r="48" spans="1:34" x14ac:dyDescent="0.25">
      <c r="A48" s="1" t="str">
        <f t="shared" si="0"/>
        <v>02 EE2 34</v>
      </c>
      <c r="B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8" s="1" t="s">
        <v>284</v>
      </c>
    </row>
    <row r="49" spans="1:9" x14ac:dyDescent="0.25">
      <c r="A49" s="1" t="str">
        <f t="shared" si="0"/>
        <v>02 EE2 34</v>
      </c>
      <c r="B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9" s="1" t="s">
        <v>285</v>
      </c>
      <c r="D49" s="1" t="s">
        <v>286</v>
      </c>
      <c r="E49" s="1" t="s">
        <v>287</v>
      </c>
      <c r="F49" s="1" t="s">
        <v>112</v>
      </c>
      <c r="G49" s="1">
        <v>571548</v>
      </c>
    </row>
    <row r="50" spans="1:9" x14ac:dyDescent="0.25">
      <c r="A50" s="1" t="str">
        <f t="shared" si="0"/>
        <v>02 EE2 34</v>
      </c>
      <c r="B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0" s="1" t="s">
        <v>288</v>
      </c>
      <c r="D50" s="1" t="s">
        <v>151</v>
      </c>
      <c r="E50" s="1" t="s">
        <v>289</v>
      </c>
      <c r="F50" s="1" t="s">
        <v>112</v>
      </c>
      <c r="G50" s="1">
        <v>230748</v>
      </c>
    </row>
    <row r="51" spans="1:9" x14ac:dyDescent="0.25">
      <c r="A51" s="1" t="str">
        <f t="shared" si="0"/>
        <v>02 EE2 34</v>
      </c>
      <c r="B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 s="1" t="s">
        <v>290</v>
      </c>
      <c r="D51" s="1" t="s">
        <v>291</v>
      </c>
      <c r="E51" s="1" t="s">
        <v>292</v>
      </c>
      <c r="F51" s="1" t="s">
        <v>112</v>
      </c>
      <c r="G51" s="1">
        <v>367708</v>
      </c>
    </row>
    <row r="52" spans="1:9" x14ac:dyDescent="0.25">
      <c r="A52" s="1" t="str">
        <f t="shared" si="0"/>
        <v>02 EE2 34</v>
      </c>
      <c r="B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2" s="1" t="s">
        <v>293</v>
      </c>
      <c r="D52" s="1" t="s">
        <v>294</v>
      </c>
      <c r="E52" s="1" t="s">
        <v>295</v>
      </c>
      <c r="F52" s="1" t="s">
        <v>112</v>
      </c>
      <c r="G52" s="1">
        <v>607584</v>
      </c>
    </row>
    <row r="53" spans="1:9" x14ac:dyDescent="0.25">
      <c r="A53" s="1" t="str">
        <f t="shared" si="0"/>
        <v>02 EE2 34</v>
      </c>
      <c r="B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3" s="1" t="s">
        <v>296</v>
      </c>
      <c r="D53" s="1" t="s">
        <v>297</v>
      </c>
      <c r="E53" s="1" t="s">
        <v>298</v>
      </c>
      <c r="F53" s="1" t="s">
        <v>112</v>
      </c>
      <c r="G53" s="1">
        <v>73909</v>
      </c>
    </row>
    <row r="54" spans="1:9" x14ac:dyDescent="0.25">
      <c r="A54" s="1" t="str">
        <f t="shared" si="0"/>
        <v>02 EE2 34</v>
      </c>
      <c r="B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 s="1" t="s">
        <v>299</v>
      </c>
      <c r="D54" s="1" t="s">
        <v>300</v>
      </c>
      <c r="E54" s="1" t="s">
        <v>301</v>
      </c>
      <c r="F54" s="1" t="s">
        <v>112</v>
      </c>
      <c r="G54" s="1">
        <v>119721</v>
      </c>
    </row>
    <row r="55" spans="1:9" x14ac:dyDescent="0.25">
      <c r="A55" s="1" t="str">
        <f t="shared" si="0"/>
        <v>02 EE2 34</v>
      </c>
      <c r="B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 s="1" t="s">
        <v>302</v>
      </c>
      <c r="D55" s="1" t="s">
        <v>303</v>
      </c>
      <c r="E55" s="1" t="s">
        <v>304</v>
      </c>
      <c r="F55" s="1" t="s">
        <v>112</v>
      </c>
      <c r="G55" s="1">
        <v>89180</v>
      </c>
    </row>
    <row r="56" spans="1:9" x14ac:dyDescent="0.25">
      <c r="A56" s="1" t="str">
        <f t="shared" si="0"/>
        <v>02 EE2 34</v>
      </c>
      <c r="B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6" s="1" t="s">
        <v>305</v>
      </c>
      <c r="D56" s="1" t="s">
        <v>306</v>
      </c>
      <c r="E56" s="1">
        <v>65</v>
      </c>
      <c r="F56" s="1" t="s">
        <v>112</v>
      </c>
      <c r="G56" s="1">
        <v>73109</v>
      </c>
    </row>
    <row r="57" spans="1:9" x14ac:dyDescent="0.25">
      <c r="A57" s="1" t="str">
        <f t="shared" si="0"/>
        <v>02 EE2 34</v>
      </c>
      <c r="B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7" s="1" t="s">
        <v>307</v>
      </c>
      <c r="D57" s="1" t="s">
        <v>308</v>
      </c>
      <c r="E57" s="1" t="s">
        <v>309</v>
      </c>
      <c r="F57" s="1" t="s">
        <v>112</v>
      </c>
      <c r="G57" s="1">
        <v>77002</v>
      </c>
    </row>
    <row r="58" spans="1:9" x14ac:dyDescent="0.25">
      <c r="A58" s="1" t="str">
        <f t="shared" si="0"/>
        <v>02 EE2 34</v>
      </c>
      <c r="B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 s="1" t="s">
        <v>310</v>
      </c>
      <c r="D58" s="1" t="s">
        <v>311</v>
      </c>
      <c r="E58" s="1" t="s">
        <v>312</v>
      </c>
      <c r="F58" s="1" t="s">
        <v>112</v>
      </c>
      <c r="G58" s="1">
        <v>112995</v>
      </c>
    </row>
    <row r="59" spans="1:9" x14ac:dyDescent="0.25">
      <c r="A59" s="1" t="str">
        <f t="shared" si="0"/>
        <v/>
      </c>
      <c r="B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 s="1" t="s">
        <v>112</v>
      </c>
    </row>
    <row r="60" spans="1:9" x14ac:dyDescent="0.25">
      <c r="A60" s="1" t="str">
        <f t="shared" si="0"/>
        <v/>
      </c>
      <c r="B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0" s="1" t="s">
        <v>235</v>
      </c>
      <c r="D60" s="1" t="s">
        <v>112</v>
      </c>
      <c r="E60" s="1" t="s">
        <v>236</v>
      </c>
      <c r="F60" s="1" t="s">
        <v>237</v>
      </c>
      <c r="G60" s="1" t="s">
        <v>238</v>
      </c>
      <c r="H60" s="1" t="s">
        <v>239</v>
      </c>
      <c r="I60" s="1" t="s">
        <v>240</v>
      </c>
    </row>
    <row r="61" spans="1:9" x14ac:dyDescent="0.25">
      <c r="A61" s="1" t="str">
        <f t="shared" si="0"/>
        <v>02 EE2 34</v>
      </c>
      <c r="B6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1" s="1" t="s">
        <v>313</v>
      </c>
      <c r="D61" s="1" t="s">
        <v>112</v>
      </c>
      <c r="E61" s="1" t="s">
        <v>314</v>
      </c>
      <c r="F61" s="1" t="s">
        <v>315</v>
      </c>
      <c r="G61" s="1" t="s">
        <v>316</v>
      </c>
      <c r="H61" s="1" t="s">
        <v>317</v>
      </c>
      <c r="I61" s="1">
        <v>24</v>
      </c>
    </row>
    <row r="62" spans="1:9" x14ac:dyDescent="0.25">
      <c r="A62" s="1" t="str">
        <f t="shared" si="0"/>
        <v/>
      </c>
      <c r="B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 s="1" t="s">
        <v>112</v>
      </c>
    </row>
    <row r="63" spans="1:9" x14ac:dyDescent="0.25">
      <c r="A63" s="1" t="str">
        <f t="shared" si="0"/>
        <v/>
      </c>
      <c r="B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3" s="1" t="s">
        <v>112</v>
      </c>
    </row>
    <row r="64" spans="1:9" x14ac:dyDescent="0.25">
      <c r="A64" s="1" t="str">
        <f t="shared" si="0"/>
        <v/>
      </c>
      <c r="B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4" s="1" t="s">
        <v>112</v>
      </c>
    </row>
    <row r="65" spans="1:7" x14ac:dyDescent="0.25">
      <c r="A65" s="1" t="str">
        <f t="shared" si="0"/>
        <v/>
      </c>
      <c r="B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 s="1" t="s">
        <v>112</v>
      </c>
    </row>
    <row r="66" spans="1:7" x14ac:dyDescent="0.25">
      <c r="A66" s="1" t="str">
        <f t="shared" ref="A66:A129" si="1">IFERROR(LEFT(RIGHT(C66,LEN(C66)-SEARCH("@",C66)),SEARCH("/",RIGHT(C66,LEN(C66)-SEARCH("@",C66)-1))),"")</f>
        <v/>
      </c>
      <c r="B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 s="1" t="s">
        <v>112</v>
      </c>
    </row>
    <row r="67" spans="1:7" x14ac:dyDescent="0.25">
      <c r="A67" s="1" t="str">
        <f t="shared" si="1"/>
        <v/>
      </c>
      <c r="B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7" s="1" t="s">
        <v>246</v>
      </c>
      <c r="D67" s="1" t="s">
        <v>110</v>
      </c>
      <c r="E67" s="1" t="s">
        <v>111</v>
      </c>
      <c r="F67" s="1" t="s">
        <v>112</v>
      </c>
      <c r="G67" s="1" t="s">
        <v>113</v>
      </c>
    </row>
    <row r="68" spans="1:7" x14ac:dyDescent="0.25">
      <c r="A68" s="1" t="str">
        <f t="shared" si="1"/>
        <v>03 EE2 51</v>
      </c>
      <c r="B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8" s="1" t="s">
        <v>318</v>
      </c>
      <c r="D68" s="1" t="s">
        <v>319</v>
      </c>
      <c r="E68" s="1" t="s">
        <v>320</v>
      </c>
      <c r="F68" s="1" t="s">
        <v>112</v>
      </c>
      <c r="G68" s="1">
        <v>21543</v>
      </c>
    </row>
    <row r="69" spans="1:7" x14ac:dyDescent="0.25">
      <c r="A69" s="1" t="str">
        <f t="shared" si="1"/>
        <v>03 EE2 51</v>
      </c>
      <c r="B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9" s="1" t="s">
        <v>321</v>
      </c>
      <c r="D69" s="1" t="s">
        <v>322</v>
      </c>
      <c r="E69" s="1" t="s">
        <v>323</v>
      </c>
      <c r="F69" s="1" t="s">
        <v>112</v>
      </c>
      <c r="G69" s="1">
        <v>236328</v>
      </c>
    </row>
    <row r="70" spans="1:7" x14ac:dyDescent="0.25">
      <c r="A70" s="1" t="str">
        <f t="shared" si="1"/>
        <v>03 EE2 51</v>
      </c>
      <c r="B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70" s="1" t="s">
        <v>324</v>
      </c>
      <c r="D70" s="1" t="s">
        <v>325</v>
      </c>
      <c r="E70" s="1" t="s">
        <v>326</v>
      </c>
      <c r="F70" s="1" t="s">
        <v>112</v>
      </c>
      <c r="G70" s="1">
        <v>18191</v>
      </c>
    </row>
    <row r="71" spans="1:7" x14ac:dyDescent="0.25">
      <c r="A71" s="1" t="str">
        <f t="shared" si="1"/>
        <v>03 EE2 51</v>
      </c>
      <c r="B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1" s="1" t="s">
        <v>327</v>
      </c>
      <c r="D71" s="1" t="s">
        <v>328</v>
      </c>
      <c r="E71" s="1" t="s">
        <v>329</v>
      </c>
      <c r="F71" s="1" t="s">
        <v>112</v>
      </c>
      <c r="G71" s="1">
        <v>563762</v>
      </c>
    </row>
    <row r="72" spans="1:7" x14ac:dyDescent="0.25">
      <c r="A72" s="1" t="str">
        <f t="shared" si="1"/>
        <v>03 EE2 51</v>
      </c>
      <c r="B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2" s="1" t="s">
        <v>330</v>
      </c>
      <c r="D72" s="1" t="s">
        <v>331</v>
      </c>
      <c r="E72" s="1" t="s">
        <v>332</v>
      </c>
      <c r="F72" s="1" t="s">
        <v>112</v>
      </c>
      <c r="G72" s="1">
        <v>714955</v>
      </c>
    </row>
    <row r="73" spans="1:7" x14ac:dyDescent="0.25">
      <c r="A73" s="1" t="str">
        <f t="shared" si="1"/>
        <v>03 EE2 51</v>
      </c>
      <c r="B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73" s="1" t="s">
        <v>333</v>
      </c>
      <c r="D73" s="1" t="s">
        <v>334</v>
      </c>
      <c r="E73" s="1" t="s">
        <v>335</v>
      </c>
      <c r="F73" s="1" t="s">
        <v>112</v>
      </c>
      <c r="G73" s="1">
        <v>550394</v>
      </c>
    </row>
    <row r="74" spans="1:7" x14ac:dyDescent="0.25">
      <c r="A74" s="1" t="str">
        <f t="shared" si="1"/>
        <v>03 EE2 51</v>
      </c>
      <c r="B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4" s="1" t="s">
        <v>336</v>
      </c>
      <c r="D74" s="1" t="s">
        <v>337</v>
      </c>
      <c r="E74" s="1" t="s">
        <v>338</v>
      </c>
      <c r="F74" s="1" t="s">
        <v>112</v>
      </c>
      <c r="G74" s="1">
        <v>194647</v>
      </c>
    </row>
    <row r="75" spans="1:7" x14ac:dyDescent="0.25">
      <c r="A75" s="1" t="str">
        <f t="shared" si="1"/>
        <v>03 EE2 51</v>
      </c>
      <c r="B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5" s="1" t="s">
        <v>339</v>
      </c>
      <c r="D75" s="1" t="s">
        <v>340</v>
      </c>
      <c r="E75" s="1" t="s">
        <v>341</v>
      </c>
      <c r="F75" s="1" t="s">
        <v>112</v>
      </c>
      <c r="G75" s="1">
        <v>151431</v>
      </c>
    </row>
    <row r="76" spans="1:7" x14ac:dyDescent="0.25">
      <c r="A76" s="1" t="str">
        <f t="shared" si="1"/>
        <v>03 EE2 51</v>
      </c>
      <c r="B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76" s="1" t="s">
        <v>342</v>
      </c>
      <c r="D76" s="1" t="s">
        <v>343</v>
      </c>
      <c r="E76" s="1" t="s">
        <v>344</v>
      </c>
      <c r="F76" s="1" t="s">
        <v>112</v>
      </c>
      <c r="G76" s="1">
        <v>198238</v>
      </c>
    </row>
    <row r="77" spans="1:7" x14ac:dyDescent="0.25">
      <c r="A77" s="1" t="str">
        <f t="shared" si="1"/>
        <v>03 EE2 51</v>
      </c>
      <c r="B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7" s="1" t="s">
        <v>345</v>
      </c>
      <c r="D77" s="1" t="s">
        <v>346</v>
      </c>
      <c r="E77" s="1" t="s">
        <v>347</v>
      </c>
      <c r="F77" s="1" t="s">
        <v>112</v>
      </c>
      <c r="G77" s="1">
        <v>277706</v>
      </c>
    </row>
    <row r="78" spans="1:7" x14ac:dyDescent="0.25">
      <c r="A78" s="1" t="str">
        <f t="shared" si="1"/>
        <v>03 EE2 51</v>
      </c>
      <c r="B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8" s="1" t="s">
        <v>348</v>
      </c>
      <c r="D78" s="1" t="s">
        <v>349</v>
      </c>
      <c r="E78" s="1" t="s">
        <v>350</v>
      </c>
      <c r="F78" s="1" t="s">
        <v>112</v>
      </c>
      <c r="G78" s="1">
        <v>463723</v>
      </c>
    </row>
    <row r="79" spans="1:7" x14ac:dyDescent="0.25">
      <c r="A79" s="1" t="str">
        <f t="shared" si="1"/>
        <v>03 EE2 51</v>
      </c>
      <c r="B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79" s="1" t="s">
        <v>351</v>
      </c>
      <c r="D79" s="1" t="s">
        <v>221</v>
      </c>
      <c r="E79" s="1" t="s">
        <v>352</v>
      </c>
      <c r="F79" s="1" t="s">
        <v>112</v>
      </c>
      <c r="G79" s="1">
        <v>198584</v>
      </c>
    </row>
    <row r="80" spans="1:7" x14ac:dyDescent="0.25">
      <c r="A80" s="1" t="str">
        <f t="shared" si="1"/>
        <v>03 EE2 51</v>
      </c>
      <c r="B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0" s="1" t="s">
        <v>353</v>
      </c>
      <c r="D80" s="1" t="s">
        <v>282</v>
      </c>
      <c r="E80" s="1" t="s">
        <v>354</v>
      </c>
      <c r="F80" s="1" t="s">
        <v>112</v>
      </c>
      <c r="G80" s="1">
        <v>621665</v>
      </c>
    </row>
    <row r="81" spans="1:9" x14ac:dyDescent="0.25">
      <c r="A81" s="1" t="str">
        <f t="shared" si="1"/>
        <v>03 EE2 51</v>
      </c>
      <c r="B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1" s="1" t="s">
        <v>355</v>
      </c>
      <c r="D81" s="1" t="s">
        <v>356</v>
      </c>
      <c r="E81" s="1" t="s">
        <v>357</v>
      </c>
      <c r="F81" s="1" t="s">
        <v>112</v>
      </c>
      <c r="G81" s="1">
        <v>696677</v>
      </c>
    </row>
    <row r="82" spans="1:9" x14ac:dyDescent="0.25">
      <c r="A82" s="1" t="str">
        <f t="shared" si="1"/>
        <v>03 EE2 51</v>
      </c>
      <c r="B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82" s="1" t="s">
        <v>358</v>
      </c>
      <c r="D82" s="1" t="s">
        <v>359</v>
      </c>
      <c r="E82" s="1" t="s">
        <v>360</v>
      </c>
      <c r="F82" s="1" t="s">
        <v>112</v>
      </c>
      <c r="G82" s="1">
        <v>662134</v>
      </c>
    </row>
    <row r="83" spans="1:9" x14ac:dyDescent="0.25">
      <c r="A83" s="1" t="str">
        <f t="shared" si="1"/>
        <v>03 EE2 51</v>
      </c>
      <c r="B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3" s="1" t="s">
        <v>361</v>
      </c>
      <c r="D83" s="1" t="s">
        <v>362</v>
      </c>
      <c r="E83" s="1" t="s">
        <v>363</v>
      </c>
      <c r="F83" s="1" t="s">
        <v>112</v>
      </c>
      <c r="G83" s="1">
        <v>94133</v>
      </c>
    </row>
    <row r="84" spans="1:9" x14ac:dyDescent="0.25">
      <c r="A84" s="1" t="str">
        <f t="shared" si="1"/>
        <v>03 EE2 51</v>
      </c>
      <c r="B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4" s="1" t="s">
        <v>364</v>
      </c>
      <c r="D84" s="1" t="s">
        <v>365</v>
      </c>
      <c r="E84" s="1" t="s">
        <v>366</v>
      </c>
      <c r="F84" s="1" t="s">
        <v>112</v>
      </c>
      <c r="G84" s="1">
        <v>200336</v>
      </c>
    </row>
    <row r="85" spans="1:9" x14ac:dyDescent="0.25">
      <c r="A85" s="1" t="str">
        <f t="shared" si="1"/>
        <v>03 EE2 51</v>
      </c>
      <c r="B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85" s="1" t="s">
        <v>367</v>
      </c>
      <c r="D85" s="1" t="s">
        <v>368</v>
      </c>
      <c r="E85" s="1" t="s">
        <v>369</v>
      </c>
      <c r="F85" s="1" t="s">
        <v>112</v>
      </c>
      <c r="G85" s="1">
        <v>147602</v>
      </c>
    </row>
    <row r="86" spans="1:9" x14ac:dyDescent="0.25">
      <c r="A86" s="1" t="str">
        <f t="shared" si="1"/>
        <v>03 EE2 51</v>
      </c>
      <c r="B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6" s="1" t="s">
        <v>370</v>
      </c>
      <c r="D86" s="1" t="s">
        <v>371</v>
      </c>
      <c r="E86" s="1" t="s">
        <v>372</v>
      </c>
      <c r="F86" s="1" t="s">
        <v>112</v>
      </c>
      <c r="G86" s="1">
        <v>369741</v>
      </c>
    </row>
    <row r="87" spans="1:9" x14ac:dyDescent="0.25">
      <c r="A87" s="1" t="str">
        <f t="shared" si="1"/>
        <v>03 EE2 51</v>
      </c>
      <c r="B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7" s="1" t="s">
        <v>373</v>
      </c>
      <c r="D87" s="1" t="s">
        <v>374</v>
      </c>
      <c r="E87" s="1" t="s">
        <v>375</v>
      </c>
      <c r="F87" s="1" t="s">
        <v>112</v>
      </c>
      <c r="G87" s="1">
        <v>64306</v>
      </c>
    </row>
    <row r="88" spans="1:9" x14ac:dyDescent="0.25">
      <c r="A88" s="1" t="str">
        <f t="shared" si="1"/>
        <v>03 EE2 51</v>
      </c>
      <c r="B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88" s="1" t="s">
        <v>376</v>
      </c>
      <c r="D88" s="1" t="s">
        <v>377</v>
      </c>
      <c r="E88" s="1" t="s">
        <v>378</v>
      </c>
      <c r="F88" s="1" t="s">
        <v>112</v>
      </c>
      <c r="G88" s="1">
        <v>187163</v>
      </c>
    </row>
    <row r="89" spans="1:9" x14ac:dyDescent="0.25">
      <c r="A89" s="1" t="str">
        <f t="shared" si="1"/>
        <v>03 EE2 51</v>
      </c>
      <c r="B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89" s="1" t="s">
        <v>379</v>
      </c>
    </row>
    <row r="90" spans="1:9" x14ac:dyDescent="0.25">
      <c r="A90" s="1" t="str">
        <f t="shared" si="1"/>
        <v>03 EE2 51</v>
      </c>
      <c r="B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0" s="1" t="s">
        <v>380</v>
      </c>
    </row>
    <row r="91" spans="1:9" x14ac:dyDescent="0.25">
      <c r="A91" s="1" t="str">
        <f t="shared" si="1"/>
        <v>03 EE2 51</v>
      </c>
      <c r="B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91" s="1" t="s">
        <v>381</v>
      </c>
    </row>
    <row r="92" spans="1:9" x14ac:dyDescent="0.25">
      <c r="A92" s="1" t="str">
        <f t="shared" si="1"/>
        <v/>
      </c>
      <c r="B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2" s="1" t="s">
        <v>112</v>
      </c>
    </row>
    <row r="93" spans="1:9" x14ac:dyDescent="0.25">
      <c r="A93" s="1" t="str">
        <f t="shared" si="1"/>
        <v/>
      </c>
      <c r="B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3" s="1" t="s">
        <v>235</v>
      </c>
      <c r="D93" s="1" t="s">
        <v>112</v>
      </c>
      <c r="E93" s="1" t="s">
        <v>236</v>
      </c>
      <c r="F93" s="1" t="s">
        <v>237</v>
      </c>
      <c r="G93" s="1" t="s">
        <v>238</v>
      </c>
      <c r="H93" s="1" t="s">
        <v>239</v>
      </c>
      <c r="I93" s="1" t="s">
        <v>240</v>
      </c>
    </row>
    <row r="94" spans="1:9" x14ac:dyDescent="0.25">
      <c r="A94" s="1" t="str">
        <f t="shared" si="1"/>
        <v>03 EE2 51</v>
      </c>
      <c r="B9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94" s="1" t="s">
        <v>382</v>
      </c>
      <c r="D94" s="1" t="s">
        <v>112</v>
      </c>
      <c r="E94" s="1" t="s">
        <v>383</v>
      </c>
      <c r="F94" s="1" t="s">
        <v>384</v>
      </c>
      <c r="G94" s="1" t="s">
        <v>385</v>
      </c>
      <c r="H94" s="1" t="s">
        <v>386</v>
      </c>
      <c r="I94" s="1">
        <v>24</v>
      </c>
    </row>
    <row r="95" spans="1:9" x14ac:dyDescent="0.25">
      <c r="A95" s="1" t="str">
        <f t="shared" si="1"/>
        <v/>
      </c>
      <c r="B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5" s="1" t="s">
        <v>112</v>
      </c>
    </row>
    <row r="96" spans="1:9" x14ac:dyDescent="0.25">
      <c r="A96" s="1" t="str">
        <f t="shared" si="1"/>
        <v/>
      </c>
      <c r="B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6" s="1" t="s">
        <v>112</v>
      </c>
    </row>
    <row r="97" spans="1:7" x14ac:dyDescent="0.25">
      <c r="A97" s="1" t="str">
        <f t="shared" si="1"/>
        <v/>
      </c>
      <c r="B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7" s="1" t="s">
        <v>112</v>
      </c>
    </row>
    <row r="98" spans="1:7" x14ac:dyDescent="0.25">
      <c r="A98" s="1" t="str">
        <f t="shared" si="1"/>
        <v/>
      </c>
      <c r="B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8" s="1" t="s">
        <v>112</v>
      </c>
    </row>
    <row r="99" spans="1:7" x14ac:dyDescent="0.25">
      <c r="A99" s="1" t="str">
        <f t="shared" si="1"/>
        <v/>
      </c>
      <c r="B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99" s="1" t="s">
        <v>112</v>
      </c>
    </row>
    <row r="100" spans="1:7" x14ac:dyDescent="0.25">
      <c r="A100" s="1" t="str">
        <f t="shared" si="1"/>
        <v/>
      </c>
      <c r="B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00" s="1" t="s">
        <v>246</v>
      </c>
      <c r="D100" s="1" t="s">
        <v>110</v>
      </c>
      <c r="E100" s="1" t="s">
        <v>111</v>
      </c>
      <c r="F100" s="1" t="s">
        <v>112</v>
      </c>
      <c r="G100" s="1" t="s">
        <v>113</v>
      </c>
    </row>
    <row r="101" spans="1:7" x14ac:dyDescent="0.25">
      <c r="A101" s="1" t="str">
        <f t="shared" si="1"/>
        <v>04 EE2 76</v>
      </c>
      <c r="B1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1" s="1" t="s">
        <v>387</v>
      </c>
      <c r="D101" s="1" t="s">
        <v>349</v>
      </c>
      <c r="E101" s="1" t="s">
        <v>388</v>
      </c>
      <c r="F101" s="1" t="s">
        <v>112</v>
      </c>
      <c r="G101" s="1">
        <v>439260</v>
      </c>
    </row>
    <row r="102" spans="1:7" x14ac:dyDescent="0.25">
      <c r="A102" s="1" t="str">
        <f t="shared" si="1"/>
        <v>04 EE2 76</v>
      </c>
      <c r="B1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2" s="1" t="s">
        <v>389</v>
      </c>
    </row>
    <row r="103" spans="1:7" x14ac:dyDescent="0.25">
      <c r="A103" s="1" t="str">
        <f t="shared" si="1"/>
        <v>04 EE2 76</v>
      </c>
      <c r="B1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03" s="1" t="s">
        <v>390</v>
      </c>
      <c r="D103" s="1" t="s">
        <v>391</v>
      </c>
      <c r="E103" s="1" t="s">
        <v>392</v>
      </c>
      <c r="F103" s="1" t="s">
        <v>112</v>
      </c>
      <c r="G103" s="1">
        <v>342012</v>
      </c>
    </row>
    <row r="104" spans="1:7" x14ac:dyDescent="0.25">
      <c r="A104" s="1" t="str">
        <f t="shared" si="1"/>
        <v>04 EE2 76</v>
      </c>
      <c r="B1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4" s="1" t="s">
        <v>393</v>
      </c>
      <c r="D104" s="1" t="s">
        <v>394</v>
      </c>
      <c r="E104" s="1" t="s">
        <v>395</v>
      </c>
      <c r="F104" s="1" t="s">
        <v>112</v>
      </c>
      <c r="G104" s="1">
        <v>750298</v>
      </c>
    </row>
    <row r="105" spans="1:7" x14ac:dyDescent="0.25">
      <c r="A105" s="1" t="str">
        <f t="shared" si="1"/>
        <v>04 EE2 76</v>
      </c>
      <c r="B1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5" s="1" t="s">
        <v>396</v>
      </c>
      <c r="D105" s="1" t="s">
        <v>397</v>
      </c>
      <c r="E105" s="1" t="s">
        <v>398</v>
      </c>
      <c r="F105" s="1" t="s">
        <v>112</v>
      </c>
      <c r="G105" s="1">
        <v>932443</v>
      </c>
    </row>
    <row r="106" spans="1:7" x14ac:dyDescent="0.25">
      <c r="A106" s="1" t="str">
        <f t="shared" si="1"/>
        <v>04 EE2 76</v>
      </c>
      <c r="B1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06" s="1" t="s">
        <v>399</v>
      </c>
      <c r="D106" s="1" t="s">
        <v>400</v>
      </c>
      <c r="E106" s="1" t="s">
        <v>401</v>
      </c>
      <c r="F106" s="1" t="s">
        <v>112</v>
      </c>
      <c r="G106" s="1">
        <v>906098</v>
      </c>
    </row>
    <row r="107" spans="1:7" x14ac:dyDescent="0.25">
      <c r="A107" s="1" t="str">
        <f t="shared" si="1"/>
        <v>04 EE2 76</v>
      </c>
      <c r="B1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7" s="1" t="s">
        <v>402</v>
      </c>
      <c r="D107" s="1" t="s">
        <v>403</v>
      </c>
      <c r="E107" s="1" t="s">
        <v>404</v>
      </c>
      <c r="F107" s="1" t="s">
        <v>112</v>
      </c>
      <c r="G107" s="1">
        <v>127530</v>
      </c>
    </row>
    <row r="108" spans="1:7" x14ac:dyDescent="0.25">
      <c r="A108" s="1" t="str">
        <f t="shared" si="1"/>
        <v>04 EE2 76</v>
      </c>
      <c r="B1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8" s="1" t="s">
        <v>405</v>
      </c>
      <c r="D108" s="1" t="s">
        <v>406</v>
      </c>
      <c r="E108" s="1" t="s">
        <v>407</v>
      </c>
      <c r="F108" s="1" t="s">
        <v>112</v>
      </c>
      <c r="G108" s="1">
        <v>171676</v>
      </c>
    </row>
    <row r="109" spans="1:7" x14ac:dyDescent="0.25">
      <c r="A109" s="1" t="str">
        <f t="shared" si="1"/>
        <v>04 EE2 76</v>
      </c>
      <c r="B1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09" s="1" t="s">
        <v>408</v>
      </c>
      <c r="D109" s="1" t="s">
        <v>409</v>
      </c>
      <c r="E109" s="1" t="s">
        <v>410</v>
      </c>
      <c r="F109" s="1" t="s">
        <v>112</v>
      </c>
      <c r="G109" s="1">
        <v>95085</v>
      </c>
    </row>
    <row r="110" spans="1:7" x14ac:dyDescent="0.25">
      <c r="A110" s="1" t="str">
        <f t="shared" si="1"/>
        <v>04 EE2 76</v>
      </c>
      <c r="B1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0" s="1" t="s">
        <v>411</v>
      </c>
      <c r="D110" s="1" t="s">
        <v>412</v>
      </c>
      <c r="E110" s="1" t="s">
        <v>413</v>
      </c>
      <c r="F110" s="1" t="s">
        <v>112</v>
      </c>
      <c r="G110" s="1">
        <v>428769</v>
      </c>
    </row>
    <row r="111" spans="1:7" x14ac:dyDescent="0.25">
      <c r="A111" s="1" t="str">
        <f t="shared" si="1"/>
        <v>04 EE2 76</v>
      </c>
      <c r="B1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1" s="1" t="s">
        <v>414</v>
      </c>
      <c r="D111" s="1" t="s">
        <v>415</v>
      </c>
      <c r="E111" s="1" t="s">
        <v>416</v>
      </c>
      <c r="F111" s="1" t="s">
        <v>112</v>
      </c>
      <c r="G111" s="1">
        <v>497206</v>
      </c>
    </row>
    <row r="112" spans="1:7" x14ac:dyDescent="0.25">
      <c r="A112" s="1" t="str">
        <f t="shared" si="1"/>
        <v>04 EE2 76</v>
      </c>
      <c r="B1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12" s="1" t="s">
        <v>417</v>
      </c>
      <c r="D112" s="1" t="s">
        <v>418</v>
      </c>
      <c r="E112" s="1" t="s">
        <v>419</v>
      </c>
      <c r="F112" s="1" t="s">
        <v>112</v>
      </c>
      <c r="G112" s="1">
        <v>679222</v>
      </c>
    </row>
    <row r="113" spans="1:9" x14ac:dyDescent="0.25">
      <c r="A113" s="1" t="str">
        <f t="shared" si="1"/>
        <v>04 EE2 76</v>
      </c>
      <c r="B1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3" s="1" t="s">
        <v>420</v>
      </c>
      <c r="D113" s="1" t="s">
        <v>421</v>
      </c>
      <c r="E113" s="1" t="s">
        <v>422</v>
      </c>
      <c r="F113" s="1" t="s">
        <v>112</v>
      </c>
      <c r="G113" s="1">
        <v>232889</v>
      </c>
    </row>
    <row r="114" spans="1:9" x14ac:dyDescent="0.25">
      <c r="A114" s="1" t="str">
        <f t="shared" si="1"/>
        <v>04 EE2 76</v>
      </c>
      <c r="B1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4" s="1" t="s">
        <v>423</v>
      </c>
      <c r="D114" s="1" t="s">
        <v>424</v>
      </c>
      <c r="E114" s="1" t="s">
        <v>425</v>
      </c>
      <c r="F114" s="1" t="s">
        <v>112</v>
      </c>
      <c r="G114" s="1">
        <v>217186</v>
      </c>
    </row>
    <row r="115" spans="1:9" x14ac:dyDescent="0.25">
      <c r="A115" s="1" t="str">
        <f t="shared" si="1"/>
        <v>04 EE2 76</v>
      </c>
      <c r="B1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15" s="1" t="s">
        <v>426</v>
      </c>
      <c r="D115" s="1" t="s">
        <v>427</v>
      </c>
      <c r="E115" s="1" t="s">
        <v>428</v>
      </c>
      <c r="F115" s="1" t="s">
        <v>112</v>
      </c>
      <c r="G115" s="1">
        <v>479145</v>
      </c>
    </row>
    <row r="116" spans="1:9" x14ac:dyDescent="0.25">
      <c r="A116" s="1" t="str">
        <f t="shared" si="1"/>
        <v>04 EE2 76</v>
      </c>
      <c r="B1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6" s="1" t="s">
        <v>429</v>
      </c>
      <c r="D116" s="1" t="s">
        <v>430</v>
      </c>
      <c r="E116" s="1" t="s">
        <v>431</v>
      </c>
      <c r="F116" s="1" t="s">
        <v>112</v>
      </c>
      <c r="G116" s="1">
        <v>157487</v>
      </c>
    </row>
    <row r="117" spans="1:9" x14ac:dyDescent="0.25">
      <c r="A117" s="1" t="str">
        <f t="shared" si="1"/>
        <v>04 EE2 76</v>
      </c>
      <c r="B1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7" s="1" t="s">
        <v>432</v>
      </c>
      <c r="D117" s="1" t="s">
        <v>433</v>
      </c>
      <c r="E117" s="1" t="s">
        <v>434</v>
      </c>
      <c r="F117" s="1" t="s">
        <v>112</v>
      </c>
      <c r="G117" s="1">
        <v>467292</v>
      </c>
    </row>
    <row r="118" spans="1:9" x14ac:dyDescent="0.25">
      <c r="A118" s="1" t="str">
        <f t="shared" si="1"/>
        <v>04 EE2 76</v>
      </c>
      <c r="B1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18" s="1" t="s">
        <v>435</v>
      </c>
      <c r="D118" s="1" t="s">
        <v>436</v>
      </c>
      <c r="E118" s="1" t="s">
        <v>437</v>
      </c>
      <c r="F118" s="1" t="s">
        <v>112</v>
      </c>
      <c r="G118" s="1">
        <v>690296</v>
      </c>
    </row>
    <row r="119" spans="1:9" x14ac:dyDescent="0.25">
      <c r="A119" s="1" t="str">
        <f t="shared" si="1"/>
        <v>04 EE2 76</v>
      </c>
      <c r="B1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19" s="1" t="s">
        <v>438</v>
      </c>
      <c r="D119" s="1" t="s">
        <v>439</v>
      </c>
      <c r="E119" s="1" t="s">
        <v>440</v>
      </c>
      <c r="F119" s="1" t="s">
        <v>112</v>
      </c>
      <c r="G119" s="1">
        <v>81155</v>
      </c>
    </row>
    <row r="120" spans="1:9" x14ac:dyDescent="0.25">
      <c r="A120" s="1" t="str">
        <f t="shared" si="1"/>
        <v>04 EE2 76</v>
      </c>
      <c r="B1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0" s="1" t="s">
        <v>441</v>
      </c>
      <c r="D120" s="1" t="s">
        <v>442</v>
      </c>
      <c r="E120" s="1" t="s">
        <v>443</v>
      </c>
      <c r="F120" s="1" t="s">
        <v>112</v>
      </c>
      <c r="G120" s="1">
        <v>82994</v>
      </c>
    </row>
    <row r="121" spans="1:9" x14ac:dyDescent="0.25">
      <c r="A121" s="1" t="str">
        <f t="shared" si="1"/>
        <v>04 EE2 76</v>
      </c>
      <c r="B1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21" s="1" t="s">
        <v>444</v>
      </c>
      <c r="D121" s="1" t="s">
        <v>445</v>
      </c>
      <c r="E121" s="1" t="s">
        <v>446</v>
      </c>
      <c r="F121" s="1" t="s">
        <v>112</v>
      </c>
      <c r="G121" s="1">
        <v>137653</v>
      </c>
    </row>
    <row r="122" spans="1:9" x14ac:dyDescent="0.25">
      <c r="A122" s="1" t="str">
        <f t="shared" si="1"/>
        <v>04 EE2 76</v>
      </c>
      <c r="B1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2" s="1" t="s">
        <v>447</v>
      </c>
      <c r="D122" s="1" t="s">
        <v>279</v>
      </c>
      <c r="E122" s="1" t="s">
        <v>448</v>
      </c>
      <c r="F122" s="1" t="s">
        <v>112</v>
      </c>
      <c r="G122" s="1">
        <v>341385</v>
      </c>
    </row>
    <row r="123" spans="1:9" x14ac:dyDescent="0.25">
      <c r="A123" s="1" t="str">
        <f t="shared" si="1"/>
        <v>04 EE2 76</v>
      </c>
      <c r="B1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3" s="1" t="s">
        <v>449</v>
      </c>
      <c r="D123" s="1" t="s">
        <v>450</v>
      </c>
      <c r="E123" s="1" t="s">
        <v>451</v>
      </c>
      <c r="F123" s="1" t="s">
        <v>112</v>
      </c>
      <c r="G123" s="1">
        <v>116347</v>
      </c>
    </row>
    <row r="124" spans="1:9" x14ac:dyDescent="0.25">
      <c r="A124" s="1" t="str">
        <f t="shared" si="1"/>
        <v>04 EE2 76</v>
      </c>
      <c r="B1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24" s="1" t="s">
        <v>452</v>
      </c>
      <c r="D124" s="1" t="s">
        <v>453</v>
      </c>
      <c r="E124" s="1" t="s">
        <v>454</v>
      </c>
      <c r="F124" s="1" t="s">
        <v>112</v>
      </c>
      <c r="G124" s="1">
        <v>214525</v>
      </c>
    </row>
    <row r="125" spans="1:9" x14ac:dyDescent="0.25">
      <c r="A125" s="1" t="str">
        <f t="shared" si="1"/>
        <v/>
      </c>
      <c r="B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5" s="1" t="s">
        <v>112</v>
      </c>
    </row>
    <row r="126" spans="1:9" x14ac:dyDescent="0.25">
      <c r="A126" s="1" t="str">
        <f t="shared" si="1"/>
        <v/>
      </c>
      <c r="B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6" s="1" t="s">
        <v>235</v>
      </c>
      <c r="D126" s="1" t="s">
        <v>112</v>
      </c>
      <c r="E126" s="1" t="s">
        <v>236</v>
      </c>
      <c r="F126" s="1" t="s">
        <v>237</v>
      </c>
      <c r="G126" s="1" t="s">
        <v>238</v>
      </c>
      <c r="H126" s="1" t="s">
        <v>239</v>
      </c>
      <c r="I126" s="1" t="s">
        <v>240</v>
      </c>
    </row>
    <row r="127" spans="1:9" x14ac:dyDescent="0.25">
      <c r="A127" s="1" t="str">
        <f t="shared" si="1"/>
        <v>04 EE2 76</v>
      </c>
      <c r="B12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27" s="1" t="s">
        <v>455</v>
      </c>
      <c r="D127" s="1" t="s">
        <v>112</v>
      </c>
      <c r="E127" s="1" t="s">
        <v>456</v>
      </c>
      <c r="F127" s="1" t="s">
        <v>457</v>
      </c>
      <c r="G127" s="1" t="s">
        <v>458</v>
      </c>
      <c r="H127" s="1" t="s">
        <v>459</v>
      </c>
      <c r="I127" s="1">
        <v>24</v>
      </c>
    </row>
    <row r="128" spans="1:9" x14ac:dyDescent="0.25">
      <c r="A128" s="1" t="str">
        <f t="shared" si="1"/>
        <v/>
      </c>
      <c r="B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8" s="1" t="s">
        <v>112</v>
      </c>
    </row>
    <row r="129" spans="1:7" x14ac:dyDescent="0.25">
      <c r="A129" s="1" t="str">
        <f t="shared" si="1"/>
        <v/>
      </c>
      <c r="B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29" s="1" t="s">
        <v>112</v>
      </c>
    </row>
    <row r="130" spans="1:7" x14ac:dyDescent="0.25">
      <c r="A130" s="1" t="str">
        <f t="shared" ref="A130:A193" si="2">IFERROR(LEFT(RIGHT(C130,LEN(C130)-SEARCH("@",C130)),SEARCH("/",RIGHT(C130,LEN(C130)-SEARCH("@",C130)-1))),"")</f>
        <v/>
      </c>
      <c r="B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0" s="1" t="s">
        <v>112</v>
      </c>
    </row>
    <row r="131" spans="1:7" x14ac:dyDescent="0.25">
      <c r="A131" s="1" t="str">
        <f t="shared" si="2"/>
        <v/>
      </c>
      <c r="B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1" s="1" t="s">
        <v>112</v>
      </c>
    </row>
    <row r="132" spans="1:7" x14ac:dyDescent="0.25">
      <c r="A132" s="1" t="str">
        <f t="shared" si="2"/>
        <v/>
      </c>
      <c r="B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2" s="1" t="s">
        <v>112</v>
      </c>
    </row>
    <row r="133" spans="1:7" x14ac:dyDescent="0.25">
      <c r="A133" s="1" t="str">
        <f t="shared" si="2"/>
        <v/>
      </c>
      <c r="B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33" s="1" t="s">
        <v>246</v>
      </c>
      <c r="D133" s="1" t="s">
        <v>110</v>
      </c>
      <c r="E133" s="1" t="s">
        <v>111</v>
      </c>
      <c r="F133" s="1" t="s">
        <v>112</v>
      </c>
      <c r="G133" s="1" t="s">
        <v>113</v>
      </c>
    </row>
    <row r="134" spans="1:7" x14ac:dyDescent="0.25">
      <c r="A134" s="1" t="str">
        <f t="shared" si="2"/>
        <v>05 EE2 114</v>
      </c>
      <c r="B1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4" s="1" t="s">
        <v>460</v>
      </c>
      <c r="D134" s="1" t="s">
        <v>461</v>
      </c>
      <c r="E134" s="1" t="s">
        <v>462</v>
      </c>
      <c r="F134" s="1" t="s">
        <v>112</v>
      </c>
      <c r="G134" s="1">
        <v>2498858</v>
      </c>
    </row>
    <row r="135" spans="1:7" x14ac:dyDescent="0.25">
      <c r="A135" s="1" t="str">
        <f t="shared" si="2"/>
        <v>05 EE2 114</v>
      </c>
      <c r="B1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5" s="1" t="s">
        <v>463</v>
      </c>
      <c r="D135" s="1" t="s">
        <v>464</v>
      </c>
      <c r="E135" s="1" t="s">
        <v>465</v>
      </c>
      <c r="F135" s="1" t="s">
        <v>112</v>
      </c>
      <c r="G135" s="1">
        <v>1830971</v>
      </c>
    </row>
    <row r="136" spans="1:7" x14ac:dyDescent="0.25">
      <c r="A136" s="1" t="str">
        <f t="shared" si="2"/>
        <v>05 EE2 114</v>
      </c>
      <c r="B1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36" s="1" t="s">
        <v>466</v>
      </c>
    </row>
    <row r="137" spans="1:7" x14ac:dyDescent="0.25">
      <c r="A137" s="1" t="str">
        <f t="shared" si="2"/>
        <v>05 EE2 114</v>
      </c>
      <c r="B1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7" s="1" t="s">
        <v>467</v>
      </c>
      <c r="D137" s="1" t="s">
        <v>468</v>
      </c>
      <c r="E137" s="1" t="s">
        <v>469</v>
      </c>
      <c r="F137" s="1" t="s">
        <v>112</v>
      </c>
      <c r="G137" s="1">
        <v>3246539</v>
      </c>
    </row>
    <row r="138" spans="1:7" x14ac:dyDescent="0.25">
      <c r="A138" s="1" t="str">
        <f t="shared" si="2"/>
        <v>05 EE2 114</v>
      </c>
      <c r="B1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8" s="1" t="s">
        <v>470</v>
      </c>
      <c r="D138" s="1" t="s">
        <v>471</v>
      </c>
      <c r="E138" s="1" t="s">
        <v>472</v>
      </c>
      <c r="F138" s="1" t="s">
        <v>112</v>
      </c>
      <c r="G138" s="1">
        <v>3723002</v>
      </c>
    </row>
    <row r="139" spans="1:7" x14ac:dyDescent="0.25">
      <c r="A139" s="1" t="str">
        <f t="shared" si="2"/>
        <v>05 EE2 114</v>
      </c>
      <c r="B1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39" s="1" t="s">
        <v>473</v>
      </c>
      <c r="D139" s="1" t="s">
        <v>474</v>
      </c>
      <c r="E139" s="1" t="s">
        <v>475</v>
      </c>
      <c r="F139" s="1" t="s">
        <v>112</v>
      </c>
      <c r="G139" s="1">
        <v>4088266</v>
      </c>
    </row>
    <row r="140" spans="1:7" x14ac:dyDescent="0.25">
      <c r="A140" s="1" t="str">
        <f t="shared" si="2"/>
        <v>05 EE2 114</v>
      </c>
      <c r="B1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0" s="1" t="s">
        <v>476</v>
      </c>
      <c r="D140" s="1" t="s">
        <v>477</v>
      </c>
      <c r="E140" s="1" t="s">
        <v>478</v>
      </c>
      <c r="F140" s="1" t="s">
        <v>112</v>
      </c>
      <c r="G140" s="1">
        <v>1929971</v>
      </c>
    </row>
    <row r="141" spans="1:7" x14ac:dyDescent="0.25">
      <c r="A141" s="1" t="str">
        <f t="shared" si="2"/>
        <v>05 EE2 114</v>
      </c>
      <c r="B1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1" s="1" t="s">
        <v>479</v>
      </c>
      <c r="D141" s="1" t="s">
        <v>480</v>
      </c>
      <c r="E141" s="1" t="s">
        <v>481</v>
      </c>
      <c r="F141" s="1" t="s">
        <v>112</v>
      </c>
      <c r="G141" s="1">
        <v>2123472</v>
      </c>
    </row>
    <row r="142" spans="1:7" x14ac:dyDescent="0.25">
      <c r="A142" s="1" t="str">
        <f t="shared" si="2"/>
        <v>05 EE2 114</v>
      </c>
      <c r="B1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42" s="1" t="s">
        <v>482</v>
      </c>
      <c r="D142" s="1" t="s">
        <v>483</v>
      </c>
      <c r="E142" s="1" t="s">
        <v>484</v>
      </c>
      <c r="F142" s="1" t="s">
        <v>112</v>
      </c>
      <c r="G142" s="1">
        <v>2006865</v>
      </c>
    </row>
    <row r="143" spans="1:7" x14ac:dyDescent="0.25">
      <c r="A143" s="1" t="str">
        <f t="shared" si="2"/>
        <v>05 EE2 114</v>
      </c>
      <c r="B1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3" s="1" t="s">
        <v>485</v>
      </c>
      <c r="D143" s="1" t="s">
        <v>486</v>
      </c>
      <c r="E143" s="1" t="s">
        <v>487</v>
      </c>
      <c r="F143" s="1" t="s">
        <v>112</v>
      </c>
      <c r="G143" s="1">
        <v>1353296</v>
      </c>
    </row>
    <row r="144" spans="1:7" x14ac:dyDescent="0.25">
      <c r="A144" s="1" t="str">
        <f t="shared" si="2"/>
        <v>05 EE2 114</v>
      </c>
      <c r="B1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4" s="1" t="s">
        <v>488</v>
      </c>
      <c r="D144" s="1" t="s">
        <v>489</v>
      </c>
      <c r="E144" s="1" t="s">
        <v>490</v>
      </c>
      <c r="F144" s="1" t="s">
        <v>112</v>
      </c>
      <c r="G144" s="1">
        <v>1061574</v>
      </c>
    </row>
    <row r="145" spans="1:9" x14ac:dyDescent="0.25">
      <c r="A145" s="1" t="str">
        <f t="shared" si="2"/>
        <v>05 EE2 114</v>
      </c>
      <c r="B1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45" s="1" t="s">
        <v>491</v>
      </c>
      <c r="D145" s="1" t="s">
        <v>492</v>
      </c>
      <c r="E145" s="1" t="s">
        <v>493</v>
      </c>
      <c r="F145" s="1" t="s">
        <v>112</v>
      </c>
      <c r="G145" s="1">
        <v>1421798</v>
      </c>
    </row>
    <row r="146" spans="1:9" x14ac:dyDescent="0.25">
      <c r="A146" s="1" t="str">
        <f t="shared" si="2"/>
        <v>05 EE2 114</v>
      </c>
      <c r="B1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6" s="1" t="s">
        <v>494</v>
      </c>
      <c r="D146" s="1" t="s">
        <v>495</v>
      </c>
      <c r="E146" s="1" t="s">
        <v>496</v>
      </c>
      <c r="F146" s="1" t="s">
        <v>112</v>
      </c>
      <c r="G146" s="1">
        <v>2149687</v>
      </c>
    </row>
    <row r="147" spans="1:9" x14ac:dyDescent="0.25">
      <c r="A147" s="1" t="str">
        <f t="shared" si="2"/>
        <v>05 EE2 114</v>
      </c>
      <c r="B1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7" s="1" t="s">
        <v>497</v>
      </c>
      <c r="D147" s="1" t="s">
        <v>498</v>
      </c>
      <c r="E147" s="1" t="s">
        <v>499</v>
      </c>
      <c r="F147" s="1" t="s">
        <v>112</v>
      </c>
      <c r="G147" s="1">
        <v>2097516</v>
      </c>
    </row>
    <row r="148" spans="1:9" x14ac:dyDescent="0.25">
      <c r="A148" s="1" t="str">
        <f t="shared" si="2"/>
        <v>05 EE2 114</v>
      </c>
      <c r="B1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48" s="1" t="s">
        <v>500</v>
      </c>
      <c r="D148" s="1" t="s">
        <v>501</v>
      </c>
      <c r="E148" s="1" t="s">
        <v>502</v>
      </c>
      <c r="F148" s="1" t="s">
        <v>112</v>
      </c>
      <c r="G148" s="1">
        <v>2314139</v>
      </c>
    </row>
    <row r="149" spans="1:9" x14ac:dyDescent="0.25">
      <c r="A149" s="1" t="str">
        <f t="shared" si="2"/>
        <v>05 EE2 114</v>
      </c>
      <c r="B1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49" s="1" t="s">
        <v>503</v>
      </c>
      <c r="D149" s="1" t="s">
        <v>504</v>
      </c>
      <c r="E149" s="1" t="s">
        <v>505</v>
      </c>
      <c r="F149" s="1" t="s">
        <v>112</v>
      </c>
      <c r="G149" s="1">
        <v>2931521</v>
      </c>
    </row>
    <row r="150" spans="1:9" x14ac:dyDescent="0.25">
      <c r="A150" s="1" t="str">
        <f t="shared" si="2"/>
        <v>05 EE2 114</v>
      </c>
      <c r="B1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0" s="1" t="s">
        <v>506</v>
      </c>
      <c r="D150" s="1" t="s">
        <v>507</v>
      </c>
      <c r="E150" s="1" t="s">
        <v>508</v>
      </c>
      <c r="F150" s="1" t="s">
        <v>112</v>
      </c>
      <c r="G150" s="1">
        <v>2845131</v>
      </c>
    </row>
    <row r="151" spans="1:9" x14ac:dyDescent="0.25">
      <c r="A151" s="1" t="str">
        <f t="shared" si="2"/>
        <v>05 EE2 114</v>
      </c>
      <c r="B1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51" s="1" t="s">
        <v>509</v>
      </c>
      <c r="D151" s="1" t="s">
        <v>510</v>
      </c>
      <c r="E151" s="1" t="s">
        <v>511</v>
      </c>
      <c r="F151" s="1" t="s">
        <v>112</v>
      </c>
      <c r="G151" s="1">
        <v>2779528</v>
      </c>
    </row>
    <row r="152" spans="1:9" x14ac:dyDescent="0.25">
      <c r="A152" s="1" t="str">
        <f t="shared" si="2"/>
        <v>05 EE2 114</v>
      </c>
      <c r="B1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2" s="1" t="s">
        <v>512</v>
      </c>
      <c r="D152" s="1" t="s">
        <v>513</v>
      </c>
      <c r="E152" s="1" t="s">
        <v>514</v>
      </c>
      <c r="F152" s="1" t="s">
        <v>112</v>
      </c>
      <c r="G152" s="1">
        <v>1424458</v>
      </c>
    </row>
    <row r="153" spans="1:9" x14ac:dyDescent="0.25">
      <c r="A153" s="1" t="str">
        <f t="shared" si="2"/>
        <v>05 EE2 114</v>
      </c>
      <c r="B1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3" s="1" t="s">
        <v>515</v>
      </c>
      <c r="D153" s="1" t="s">
        <v>516</v>
      </c>
      <c r="E153" s="1" t="s">
        <v>517</v>
      </c>
      <c r="F153" s="1" t="s">
        <v>112</v>
      </c>
      <c r="G153" s="1">
        <v>1338717</v>
      </c>
    </row>
    <row r="154" spans="1:9" x14ac:dyDescent="0.25">
      <c r="A154" s="1" t="str">
        <f t="shared" si="2"/>
        <v>05 EE2 114</v>
      </c>
      <c r="B1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54" s="1" t="s">
        <v>518</v>
      </c>
      <c r="D154" s="1" t="s">
        <v>519</v>
      </c>
      <c r="E154" s="1" t="s">
        <v>520</v>
      </c>
      <c r="F154" s="1" t="s">
        <v>112</v>
      </c>
      <c r="G154" s="1">
        <v>1430363</v>
      </c>
    </row>
    <row r="155" spans="1:9" x14ac:dyDescent="0.25">
      <c r="A155" s="1" t="str">
        <f t="shared" si="2"/>
        <v>05 EE2 114</v>
      </c>
      <c r="B1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5" s="1" t="s">
        <v>521</v>
      </c>
    </row>
    <row r="156" spans="1:9" x14ac:dyDescent="0.25">
      <c r="A156" s="1" t="str">
        <f t="shared" si="2"/>
        <v>05 EE2 114</v>
      </c>
      <c r="B1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6" s="1" t="s">
        <v>522</v>
      </c>
      <c r="D156" s="1" t="s">
        <v>523</v>
      </c>
      <c r="E156" s="1" t="s">
        <v>524</v>
      </c>
      <c r="F156" s="1" t="s">
        <v>112</v>
      </c>
      <c r="G156" s="1">
        <v>1866184</v>
      </c>
    </row>
    <row r="157" spans="1:9" x14ac:dyDescent="0.25">
      <c r="A157" s="1" t="str">
        <f t="shared" si="2"/>
        <v>05 EE2 114</v>
      </c>
      <c r="B1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57" s="1" t="s">
        <v>525</v>
      </c>
      <c r="D157" s="1" t="s">
        <v>526</v>
      </c>
      <c r="E157" s="1" t="s">
        <v>527</v>
      </c>
      <c r="F157" s="1" t="s">
        <v>112</v>
      </c>
      <c r="G157" s="1">
        <v>1601175</v>
      </c>
    </row>
    <row r="158" spans="1:9" x14ac:dyDescent="0.25">
      <c r="A158" s="1" t="str">
        <f t="shared" si="2"/>
        <v/>
      </c>
      <c r="B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8" s="1" t="s">
        <v>112</v>
      </c>
    </row>
    <row r="159" spans="1:9" x14ac:dyDescent="0.25">
      <c r="A159" s="1" t="str">
        <f t="shared" si="2"/>
        <v/>
      </c>
      <c r="B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59" s="1" t="s">
        <v>235</v>
      </c>
      <c r="D159" s="1" t="s">
        <v>112</v>
      </c>
      <c r="E159" s="1" t="s">
        <v>236</v>
      </c>
      <c r="F159" s="1" t="s">
        <v>237</v>
      </c>
      <c r="G159" s="1" t="s">
        <v>238</v>
      </c>
      <c r="H159" s="1" t="s">
        <v>239</v>
      </c>
      <c r="I159" s="1" t="s">
        <v>240</v>
      </c>
    </row>
    <row r="160" spans="1:9" x14ac:dyDescent="0.25">
      <c r="A160" s="1" t="str">
        <f t="shared" si="2"/>
        <v>05 EE2 114</v>
      </c>
      <c r="B16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60" s="1" t="s">
        <v>528</v>
      </c>
      <c r="D160" s="1" t="s">
        <v>112</v>
      </c>
      <c r="E160" s="1" t="s">
        <v>529</v>
      </c>
      <c r="F160" s="1" t="s">
        <v>530</v>
      </c>
      <c r="G160" s="1" t="s">
        <v>531</v>
      </c>
      <c r="H160" s="1" t="s">
        <v>532</v>
      </c>
      <c r="I160" s="1">
        <v>24</v>
      </c>
    </row>
    <row r="161" spans="1:7" x14ac:dyDescent="0.25">
      <c r="A161" s="1" t="str">
        <f t="shared" si="2"/>
        <v/>
      </c>
      <c r="B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1" s="1" t="s">
        <v>112</v>
      </c>
    </row>
    <row r="162" spans="1:7" x14ac:dyDescent="0.25">
      <c r="A162" s="1" t="str">
        <f t="shared" si="2"/>
        <v/>
      </c>
      <c r="B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2" s="1" t="s">
        <v>112</v>
      </c>
    </row>
    <row r="163" spans="1:7" x14ac:dyDescent="0.25">
      <c r="A163" s="1" t="str">
        <f t="shared" si="2"/>
        <v/>
      </c>
      <c r="B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3" s="1" t="s">
        <v>112</v>
      </c>
    </row>
    <row r="164" spans="1:7" x14ac:dyDescent="0.25">
      <c r="A164" s="1" t="str">
        <f t="shared" si="2"/>
        <v/>
      </c>
      <c r="B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4" s="1" t="s">
        <v>112</v>
      </c>
    </row>
    <row r="165" spans="1:7" x14ac:dyDescent="0.25">
      <c r="A165" s="1" t="str">
        <f t="shared" si="2"/>
        <v/>
      </c>
      <c r="B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5" s="1" t="s">
        <v>112</v>
      </c>
    </row>
    <row r="166" spans="1:7" x14ac:dyDescent="0.25">
      <c r="A166" s="1" t="str">
        <f t="shared" si="2"/>
        <v/>
      </c>
      <c r="B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66" s="1" t="s">
        <v>246</v>
      </c>
      <c r="D166" s="1" t="s">
        <v>110</v>
      </c>
      <c r="E166" s="1" t="s">
        <v>111</v>
      </c>
      <c r="F166" s="1" t="s">
        <v>112</v>
      </c>
      <c r="G166" s="1" t="s">
        <v>113</v>
      </c>
    </row>
    <row r="167" spans="1:7" x14ac:dyDescent="0.25">
      <c r="A167" s="1" t="str">
        <f t="shared" si="2"/>
        <v>06 EE2 171</v>
      </c>
      <c r="B1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7" s="1" t="s">
        <v>533</v>
      </c>
      <c r="D167" s="1" t="s">
        <v>534</v>
      </c>
      <c r="E167" s="1" t="s">
        <v>535</v>
      </c>
      <c r="F167" s="1" t="s">
        <v>112</v>
      </c>
      <c r="G167" s="1">
        <v>3943173</v>
      </c>
    </row>
    <row r="168" spans="1:7" x14ac:dyDescent="0.25">
      <c r="A168" s="1" t="str">
        <f t="shared" si="2"/>
        <v>06 EE2 171</v>
      </c>
      <c r="B1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8" s="1" t="s">
        <v>536</v>
      </c>
      <c r="D168" s="1" t="s">
        <v>537</v>
      </c>
      <c r="E168" s="1" t="s">
        <v>538</v>
      </c>
      <c r="F168" s="1" t="s">
        <v>112</v>
      </c>
      <c r="G168" s="1">
        <v>3574059</v>
      </c>
    </row>
    <row r="169" spans="1:7" x14ac:dyDescent="0.25">
      <c r="A169" s="1" t="str">
        <f t="shared" si="2"/>
        <v>06 EE2 171</v>
      </c>
      <c r="B1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169" s="1" t="s">
        <v>539</v>
      </c>
      <c r="D169" s="1" t="s">
        <v>540</v>
      </c>
      <c r="E169" s="1" t="s">
        <v>541</v>
      </c>
      <c r="F169" s="1" t="s">
        <v>112</v>
      </c>
      <c r="G169" s="1">
        <v>3966231</v>
      </c>
    </row>
    <row r="170" spans="1:7" x14ac:dyDescent="0.25">
      <c r="A170" s="1" t="str">
        <f t="shared" si="2"/>
        <v>06 EE2 171</v>
      </c>
      <c r="B1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0" s="1" t="s">
        <v>542</v>
      </c>
      <c r="D170" s="1" t="s">
        <v>543</v>
      </c>
      <c r="E170" s="1" t="s">
        <v>544</v>
      </c>
      <c r="F170" s="1" t="s">
        <v>112</v>
      </c>
      <c r="G170" s="1">
        <v>3593958</v>
      </c>
    </row>
    <row r="171" spans="1:7" x14ac:dyDescent="0.25">
      <c r="A171" s="1" t="str">
        <f t="shared" si="2"/>
        <v>06 EE2 171</v>
      </c>
      <c r="B1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1" s="1" t="s">
        <v>545</v>
      </c>
    </row>
    <row r="172" spans="1:7" x14ac:dyDescent="0.25">
      <c r="A172" s="1" t="str">
        <f t="shared" si="2"/>
        <v>06 EE2 171</v>
      </c>
      <c r="B1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172" s="1" t="s">
        <v>546</v>
      </c>
      <c r="D172" s="1" t="s">
        <v>547</v>
      </c>
      <c r="E172" s="1" t="s">
        <v>548</v>
      </c>
      <c r="F172" s="1" t="s">
        <v>112</v>
      </c>
      <c r="G172" s="1">
        <v>3413262</v>
      </c>
    </row>
    <row r="173" spans="1:7" x14ac:dyDescent="0.25">
      <c r="A173" s="1" t="str">
        <f t="shared" si="2"/>
        <v>06 EE2 171</v>
      </c>
      <c r="B1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3" s="1" t="s">
        <v>549</v>
      </c>
      <c r="D173" s="1" t="s">
        <v>550</v>
      </c>
      <c r="E173" s="1" t="s">
        <v>551</v>
      </c>
      <c r="F173" s="1" t="s">
        <v>112</v>
      </c>
      <c r="G173" s="1">
        <v>4218024</v>
      </c>
    </row>
    <row r="174" spans="1:7" x14ac:dyDescent="0.25">
      <c r="A174" s="1" t="str">
        <f t="shared" si="2"/>
        <v>06 EE2 171</v>
      </c>
      <c r="B1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4" s="1" t="s">
        <v>552</v>
      </c>
      <c r="D174" s="1" t="s">
        <v>553</v>
      </c>
      <c r="E174" s="1" t="s">
        <v>554</v>
      </c>
      <c r="F174" s="1" t="s">
        <v>112</v>
      </c>
      <c r="G174" s="1">
        <v>4239589</v>
      </c>
    </row>
    <row r="175" spans="1:7" x14ac:dyDescent="0.25">
      <c r="A175" s="1" t="str">
        <f t="shared" si="2"/>
        <v>06 EE2 171</v>
      </c>
      <c r="B1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175" s="1" t="s">
        <v>555</v>
      </c>
      <c r="D175" s="1" t="s">
        <v>556</v>
      </c>
      <c r="E175" s="1" t="s">
        <v>557</v>
      </c>
      <c r="F175" s="1" t="s">
        <v>112</v>
      </c>
      <c r="G175" s="1">
        <v>4414294</v>
      </c>
    </row>
    <row r="176" spans="1:7" x14ac:dyDescent="0.25">
      <c r="A176" s="1" t="str">
        <f t="shared" si="2"/>
        <v>06 EE2 171</v>
      </c>
      <c r="B1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6" s="1" t="s">
        <v>558</v>
      </c>
      <c r="D176" s="1" t="s">
        <v>559</v>
      </c>
      <c r="E176" s="1" t="s">
        <v>560</v>
      </c>
      <c r="F176" s="1" t="s">
        <v>112</v>
      </c>
      <c r="G176" s="1">
        <v>4406312</v>
      </c>
    </row>
    <row r="177" spans="1:9" x14ac:dyDescent="0.25">
      <c r="A177" s="1" t="str">
        <f t="shared" si="2"/>
        <v>06 EE2 171</v>
      </c>
      <c r="B1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7" s="1" t="s">
        <v>561</v>
      </c>
      <c r="D177" s="1" t="s">
        <v>562</v>
      </c>
      <c r="E177" s="1" t="s">
        <v>563</v>
      </c>
      <c r="F177" s="1" t="s">
        <v>112</v>
      </c>
      <c r="G177" s="1">
        <v>4558803</v>
      </c>
    </row>
    <row r="178" spans="1:9" x14ac:dyDescent="0.25">
      <c r="A178" s="1" t="str">
        <f t="shared" si="2"/>
        <v>06 EE2 171</v>
      </c>
      <c r="B1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178" s="1" t="s">
        <v>564</v>
      </c>
      <c r="D178" s="1" t="s">
        <v>565</v>
      </c>
      <c r="E178" s="1" t="s">
        <v>566</v>
      </c>
      <c r="F178" s="1" t="s">
        <v>112</v>
      </c>
      <c r="G178" s="1">
        <v>4426104</v>
      </c>
    </row>
    <row r="179" spans="1:9" x14ac:dyDescent="0.25">
      <c r="A179" s="1" t="str">
        <f t="shared" si="2"/>
        <v>06 EE2 171</v>
      </c>
      <c r="B1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79" s="1" t="s">
        <v>567</v>
      </c>
      <c r="D179" s="1" t="s">
        <v>568</v>
      </c>
      <c r="E179" s="1" t="s">
        <v>569</v>
      </c>
      <c r="F179" s="1" t="s">
        <v>112</v>
      </c>
      <c r="G179" s="1">
        <v>967159</v>
      </c>
    </row>
    <row r="180" spans="1:9" x14ac:dyDescent="0.25">
      <c r="A180" s="1" t="str">
        <f t="shared" si="2"/>
        <v>06 EE2 171</v>
      </c>
      <c r="B1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0" s="1" t="s">
        <v>570</v>
      </c>
      <c r="D180" s="1" t="s">
        <v>571</v>
      </c>
      <c r="E180" s="1" t="s">
        <v>572</v>
      </c>
      <c r="F180" s="1" t="s">
        <v>112</v>
      </c>
      <c r="G180" s="1">
        <v>912522</v>
      </c>
    </row>
    <row r="181" spans="1:9" x14ac:dyDescent="0.25">
      <c r="A181" s="1" t="str">
        <f t="shared" si="2"/>
        <v>06 EE2 171</v>
      </c>
      <c r="B1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181" s="1" t="s">
        <v>573</v>
      </c>
      <c r="D181" s="1" t="s">
        <v>574</v>
      </c>
      <c r="E181" s="1" t="s">
        <v>575</v>
      </c>
      <c r="F181" s="1" t="s">
        <v>112</v>
      </c>
      <c r="G181" s="1">
        <v>819319</v>
      </c>
    </row>
    <row r="182" spans="1:9" x14ac:dyDescent="0.25">
      <c r="A182" s="1" t="str">
        <f t="shared" si="2"/>
        <v>06 EE2 171</v>
      </c>
      <c r="B1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2" s="1" t="s">
        <v>576</v>
      </c>
      <c r="D182" s="1" t="s">
        <v>577</v>
      </c>
      <c r="E182" s="1" t="s">
        <v>578</v>
      </c>
      <c r="F182" s="1" t="s">
        <v>112</v>
      </c>
      <c r="G182" s="1">
        <v>5175796</v>
      </c>
    </row>
    <row r="183" spans="1:9" x14ac:dyDescent="0.25">
      <c r="A183" s="1" t="str">
        <f t="shared" si="2"/>
        <v>06 EE2 171</v>
      </c>
      <c r="B1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3" s="1" t="s">
        <v>579</v>
      </c>
      <c r="D183" s="1" t="s">
        <v>580</v>
      </c>
      <c r="E183" s="1" t="s">
        <v>581</v>
      </c>
      <c r="F183" s="1" t="s">
        <v>112</v>
      </c>
      <c r="G183" s="1">
        <v>5673630</v>
      </c>
    </row>
    <row r="184" spans="1:9" x14ac:dyDescent="0.25">
      <c r="A184" s="1" t="str">
        <f t="shared" si="2"/>
        <v>06 EE2 171</v>
      </c>
      <c r="B1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184" s="1" t="s">
        <v>582</v>
      </c>
      <c r="D184" s="1" t="s">
        <v>583</v>
      </c>
      <c r="E184" s="1" t="s">
        <v>584</v>
      </c>
      <c r="F184" s="1" t="s">
        <v>112</v>
      </c>
      <c r="G184" s="1">
        <v>4919222</v>
      </c>
    </row>
    <row r="185" spans="1:9" x14ac:dyDescent="0.25">
      <c r="A185" s="1" t="str">
        <f t="shared" si="2"/>
        <v>06 EE2 171</v>
      </c>
      <c r="B1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5" s="1" t="s">
        <v>585</v>
      </c>
      <c r="D185" s="1" t="s">
        <v>586</v>
      </c>
      <c r="E185" s="1" t="s">
        <v>587</v>
      </c>
      <c r="F185" s="1" t="s">
        <v>112</v>
      </c>
      <c r="G185" s="1">
        <v>2634197</v>
      </c>
    </row>
    <row r="186" spans="1:9" x14ac:dyDescent="0.25">
      <c r="A186" s="1" t="str">
        <f t="shared" si="2"/>
        <v>06 EE2 171</v>
      </c>
      <c r="B1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6" s="1" t="s">
        <v>588</v>
      </c>
      <c r="D186" s="1" t="s">
        <v>589</v>
      </c>
      <c r="E186" s="1" t="s">
        <v>590</v>
      </c>
      <c r="F186" s="1" t="s">
        <v>112</v>
      </c>
      <c r="G186" s="1">
        <v>2354998</v>
      </c>
    </row>
    <row r="187" spans="1:9" x14ac:dyDescent="0.25">
      <c r="A187" s="1" t="str">
        <f t="shared" si="2"/>
        <v>06 EE2 171</v>
      </c>
      <c r="B1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187" s="1" t="s">
        <v>591</v>
      </c>
      <c r="D187" s="1" t="s">
        <v>592</v>
      </c>
      <c r="E187" s="1" t="s">
        <v>593</v>
      </c>
      <c r="F187" s="1" t="s">
        <v>112</v>
      </c>
      <c r="G187" s="1">
        <v>2428778</v>
      </c>
    </row>
    <row r="188" spans="1:9" x14ac:dyDescent="0.25">
      <c r="A188" s="1" t="str">
        <f t="shared" si="2"/>
        <v>06 EE2 171</v>
      </c>
      <c r="B1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8" s="1" t="s">
        <v>594</v>
      </c>
      <c r="D188" s="1" t="s">
        <v>595</v>
      </c>
      <c r="E188" s="1" t="s">
        <v>596</v>
      </c>
      <c r="F188" s="1" t="s">
        <v>112</v>
      </c>
      <c r="G188" s="1">
        <v>3114056</v>
      </c>
    </row>
    <row r="189" spans="1:9" x14ac:dyDescent="0.25">
      <c r="A189" s="1" t="str">
        <f t="shared" si="2"/>
        <v>06 EE2 171</v>
      </c>
      <c r="B1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89" s="1" t="s">
        <v>597</v>
      </c>
      <c r="D189" s="1" t="s">
        <v>598</v>
      </c>
      <c r="E189" s="1" t="s">
        <v>599</v>
      </c>
      <c r="F189" s="1" t="s">
        <v>112</v>
      </c>
      <c r="G189" s="1">
        <v>2781799</v>
      </c>
    </row>
    <row r="190" spans="1:9" x14ac:dyDescent="0.25">
      <c r="A190" s="1" t="str">
        <f t="shared" si="2"/>
        <v>06 EE2 171</v>
      </c>
      <c r="B1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190" s="1" t="s">
        <v>600</v>
      </c>
      <c r="D190" s="1" t="s">
        <v>598</v>
      </c>
      <c r="E190" s="1" t="s">
        <v>601</v>
      </c>
      <c r="F190" s="1" t="s">
        <v>112</v>
      </c>
      <c r="G190" s="1">
        <v>2735641</v>
      </c>
    </row>
    <row r="191" spans="1:9" x14ac:dyDescent="0.25">
      <c r="A191" s="1" t="str">
        <f t="shared" si="2"/>
        <v/>
      </c>
      <c r="B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1" s="1" t="s">
        <v>112</v>
      </c>
    </row>
    <row r="192" spans="1:9" x14ac:dyDescent="0.25">
      <c r="A192" s="1" t="str">
        <f t="shared" si="2"/>
        <v/>
      </c>
      <c r="B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2" s="1" t="s">
        <v>235</v>
      </c>
      <c r="D192" s="1" t="s">
        <v>112</v>
      </c>
      <c r="E192" s="1" t="s">
        <v>236</v>
      </c>
      <c r="F192" s="1" t="s">
        <v>237</v>
      </c>
      <c r="G192" s="1" t="s">
        <v>238</v>
      </c>
      <c r="H192" s="1" t="s">
        <v>239</v>
      </c>
      <c r="I192" s="1" t="s">
        <v>240</v>
      </c>
    </row>
    <row r="193" spans="1:9" x14ac:dyDescent="0.25">
      <c r="A193" s="1" t="str">
        <f t="shared" si="2"/>
        <v>06 EE2 171</v>
      </c>
      <c r="B19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193" s="1" t="s">
        <v>602</v>
      </c>
      <c r="D193" s="1" t="s">
        <v>112</v>
      </c>
      <c r="E193" s="1" t="s">
        <v>603</v>
      </c>
      <c r="F193" s="1" t="s">
        <v>604</v>
      </c>
      <c r="G193" s="1" t="s">
        <v>605</v>
      </c>
      <c r="H193" s="1" t="s">
        <v>606</v>
      </c>
      <c r="I193" s="1">
        <v>24</v>
      </c>
    </row>
    <row r="194" spans="1:9" x14ac:dyDescent="0.25">
      <c r="A194" s="1" t="str">
        <f t="shared" ref="A194:A257" si="3">IFERROR(LEFT(RIGHT(C194,LEN(C194)-SEARCH("@",C194)),SEARCH("/",RIGHT(C194,LEN(C194)-SEARCH("@",C194)-1))),"")</f>
        <v/>
      </c>
      <c r="B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4" s="1" t="s">
        <v>112</v>
      </c>
    </row>
    <row r="195" spans="1:9" x14ac:dyDescent="0.25">
      <c r="A195" s="1" t="str">
        <f t="shared" si="3"/>
        <v/>
      </c>
      <c r="B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5" s="1" t="s">
        <v>112</v>
      </c>
    </row>
    <row r="196" spans="1:9" x14ac:dyDescent="0.25">
      <c r="A196" s="1" t="str">
        <f t="shared" si="3"/>
        <v/>
      </c>
      <c r="B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6" s="1" t="s">
        <v>112</v>
      </c>
    </row>
    <row r="197" spans="1:9" x14ac:dyDescent="0.25">
      <c r="A197" s="1" t="str">
        <f t="shared" si="3"/>
        <v/>
      </c>
      <c r="B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7" s="1" t="s">
        <v>112</v>
      </c>
    </row>
    <row r="198" spans="1:9" x14ac:dyDescent="0.25">
      <c r="A198" s="1" t="str">
        <f t="shared" si="3"/>
        <v/>
      </c>
      <c r="B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8" s="1" t="s">
        <v>112</v>
      </c>
    </row>
    <row r="199" spans="1:9" x14ac:dyDescent="0.25">
      <c r="A199" s="1" t="str">
        <f t="shared" si="3"/>
        <v/>
      </c>
      <c r="B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199" s="1" t="s">
        <v>246</v>
      </c>
      <c r="D199" s="1" t="s">
        <v>110</v>
      </c>
      <c r="E199" s="1" t="s">
        <v>111</v>
      </c>
      <c r="F199" s="1" t="s">
        <v>112</v>
      </c>
      <c r="G199" s="1" t="s">
        <v>113</v>
      </c>
    </row>
    <row r="200" spans="1:9" x14ac:dyDescent="0.25">
      <c r="A200" s="1" t="str">
        <f t="shared" si="3"/>
        <v>07 EE2 488</v>
      </c>
      <c r="B2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0" s="1" t="s">
        <v>607</v>
      </c>
      <c r="D200" s="1" t="s">
        <v>608</v>
      </c>
      <c r="E200" s="1" t="s">
        <v>609</v>
      </c>
      <c r="F200" s="1" t="s">
        <v>112</v>
      </c>
      <c r="G200" s="1">
        <v>6753307</v>
      </c>
    </row>
    <row r="201" spans="1:9" x14ac:dyDescent="0.25">
      <c r="A201" s="1" t="str">
        <f t="shared" si="3"/>
        <v>07 EE2 488</v>
      </c>
      <c r="B2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1" s="1" t="s">
        <v>610</v>
      </c>
      <c r="D201" s="1" t="s">
        <v>611</v>
      </c>
      <c r="E201" s="1" t="s">
        <v>612</v>
      </c>
      <c r="F201" s="1" t="s">
        <v>112</v>
      </c>
      <c r="G201" s="1">
        <v>7254494</v>
      </c>
    </row>
    <row r="202" spans="1:9" x14ac:dyDescent="0.25">
      <c r="A202" s="1" t="str">
        <f t="shared" si="3"/>
        <v>07 EE2 488</v>
      </c>
      <c r="B2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02" s="1" t="s">
        <v>613</v>
      </c>
      <c r="D202" s="1" t="s">
        <v>614</v>
      </c>
      <c r="E202" s="1" t="s">
        <v>615</v>
      </c>
      <c r="F202" s="1" t="s">
        <v>112</v>
      </c>
      <c r="G202" s="1">
        <v>6853886</v>
      </c>
    </row>
    <row r="203" spans="1:9" x14ac:dyDescent="0.25">
      <c r="A203" s="1" t="str">
        <f t="shared" si="3"/>
        <v>07 EE2 488</v>
      </c>
      <c r="B2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3" s="1" t="s">
        <v>616</v>
      </c>
      <c r="D203" s="1" t="s">
        <v>617</v>
      </c>
      <c r="E203" s="1" t="s">
        <v>618</v>
      </c>
      <c r="F203" s="1" t="s">
        <v>112</v>
      </c>
      <c r="G203" s="1">
        <v>6917521</v>
      </c>
    </row>
    <row r="204" spans="1:9" x14ac:dyDescent="0.25">
      <c r="A204" s="1" t="str">
        <f t="shared" si="3"/>
        <v>07 EE2 488</v>
      </c>
      <c r="B2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4" s="1" t="s">
        <v>619</v>
      </c>
      <c r="D204" s="1" t="s">
        <v>620</v>
      </c>
      <c r="E204" s="1" t="s">
        <v>621</v>
      </c>
      <c r="F204" s="1" t="s">
        <v>112</v>
      </c>
      <c r="G204" s="1">
        <v>6745932</v>
      </c>
    </row>
    <row r="205" spans="1:9" x14ac:dyDescent="0.25">
      <c r="A205" s="1" t="str">
        <f t="shared" si="3"/>
        <v>07 EE2 488</v>
      </c>
      <c r="B2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05" s="1" t="s">
        <v>622</v>
      </c>
      <c r="D205" s="1" t="s">
        <v>623</v>
      </c>
      <c r="E205" s="1" t="s">
        <v>624</v>
      </c>
      <c r="F205" s="1" t="s">
        <v>112</v>
      </c>
      <c r="G205" s="1">
        <v>6461066</v>
      </c>
    </row>
    <row r="206" spans="1:9" x14ac:dyDescent="0.25">
      <c r="A206" s="1" t="str">
        <f t="shared" si="3"/>
        <v>07 EE2 488</v>
      </c>
      <c r="B2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6" s="1" t="s">
        <v>625</v>
      </c>
      <c r="D206" s="1" t="s">
        <v>626</v>
      </c>
      <c r="E206" s="1" t="s">
        <v>627</v>
      </c>
      <c r="F206" s="1" t="s">
        <v>112</v>
      </c>
      <c r="G206" s="1">
        <v>3902228</v>
      </c>
    </row>
    <row r="207" spans="1:9" x14ac:dyDescent="0.25">
      <c r="A207" s="1" t="str">
        <f t="shared" si="3"/>
        <v>07 EE2 488</v>
      </c>
      <c r="B2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7" s="1" t="s">
        <v>628</v>
      </c>
      <c r="D207" s="1" t="s">
        <v>629</v>
      </c>
      <c r="E207" s="1" t="s">
        <v>630</v>
      </c>
      <c r="F207" s="1" t="s">
        <v>112</v>
      </c>
      <c r="G207" s="1">
        <v>3609272</v>
      </c>
    </row>
    <row r="208" spans="1:9" x14ac:dyDescent="0.25">
      <c r="A208" s="1" t="str">
        <f t="shared" si="3"/>
        <v>07 EE2 488</v>
      </c>
      <c r="B2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08" s="1" t="s">
        <v>631</v>
      </c>
      <c r="D208" s="1" t="s">
        <v>632</v>
      </c>
      <c r="E208" s="1" t="s">
        <v>633</v>
      </c>
      <c r="F208" s="1" t="s">
        <v>112</v>
      </c>
      <c r="G208" s="1">
        <v>3731698</v>
      </c>
    </row>
    <row r="209" spans="1:7" x14ac:dyDescent="0.25">
      <c r="A209" s="1" t="str">
        <f t="shared" si="3"/>
        <v>07 EE2 488</v>
      </c>
      <c r="B2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09" s="1" t="s">
        <v>634</v>
      </c>
      <c r="D209" s="1" t="s">
        <v>635</v>
      </c>
      <c r="E209" s="1" t="s">
        <v>636</v>
      </c>
      <c r="F209" s="1" t="s">
        <v>112</v>
      </c>
      <c r="G209" s="1">
        <v>5655958</v>
      </c>
    </row>
    <row r="210" spans="1:7" x14ac:dyDescent="0.25">
      <c r="A210" s="1" t="str">
        <f t="shared" si="3"/>
        <v>07 EE2 488</v>
      </c>
      <c r="B2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0" s="1" t="s">
        <v>637</v>
      </c>
      <c r="D210" s="1" t="s">
        <v>638</v>
      </c>
      <c r="E210" s="1" t="s">
        <v>639</v>
      </c>
      <c r="F210" s="1" t="s">
        <v>112</v>
      </c>
      <c r="G210" s="1">
        <v>5403991</v>
      </c>
    </row>
    <row r="211" spans="1:7" x14ac:dyDescent="0.25">
      <c r="A211" s="1" t="str">
        <f t="shared" si="3"/>
        <v>07 EE2 488</v>
      </c>
      <c r="B2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11" s="1" t="s">
        <v>640</v>
      </c>
      <c r="D211" s="1" t="s">
        <v>641</v>
      </c>
      <c r="E211" s="1" t="s">
        <v>642</v>
      </c>
      <c r="F211" s="1" t="s">
        <v>112</v>
      </c>
      <c r="G211" s="1">
        <v>5287428</v>
      </c>
    </row>
    <row r="212" spans="1:7" x14ac:dyDescent="0.25">
      <c r="A212" s="1" t="str">
        <f t="shared" si="3"/>
        <v>07 EE2 488</v>
      </c>
      <c r="B2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2" s="1" t="s">
        <v>643</v>
      </c>
      <c r="D212" s="1" t="s">
        <v>644</v>
      </c>
      <c r="E212" s="1" t="s">
        <v>645</v>
      </c>
      <c r="F212" s="1" t="s">
        <v>112</v>
      </c>
      <c r="G212" s="1">
        <v>5626584</v>
      </c>
    </row>
    <row r="213" spans="1:7" x14ac:dyDescent="0.25">
      <c r="A213" s="1" t="str">
        <f t="shared" si="3"/>
        <v>07 EE2 488</v>
      </c>
      <c r="B2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3" s="1" t="s">
        <v>646</v>
      </c>
      <c r="D213" s="1" t="s">
        <v>647</v>
      </c>
      <c r="E213" s="1" t="s">
        <v>648</v>
      </c>
      <c r="F213" s="1" t="s">
        <v>112</v>
      </c>
      <c r="G213" s="1">
        <v>5874485</v>
      </c>
    </row>
    <row r="214" spans="1:7" x14ac:dyDescent="0.25">
      <c r="A214" s="1" t="str">
        <f t="shared" si="3"/>
        <v>07 EE2 488</v>
      </c>
      <c r="B2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14" s="1" t="s">
        <v>649</v>
      </c>
      <c r="D214" s="1" t="s">
        <v>650</v>
      </c>
      <c r="E214" s="1" t="s">
        <v>651</v>
      </c>
      <c r="F214" s="1" t="s">
        <v>112</v>
      </c>
      <c r="G214" s="1">
        <v>5690631</v>
      </c>
    </row>
    <row r="215" spans="1:7" x14ac:dyDescent="0.25">
      <c r="A215" s="1" t="str">
        <f t="shared" si="3"/>
        <v>07 EE2 488</v>
      </c>
      <c r="B2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5" s="1" t="s">
        <v>652</v>
      </c>
      <c r="D215" s="1" t="s">
        <v>653</v>
      </c>
      <c r="E215" s="1" t="s">
        <v>654</v>
      </c>
      <c r="F215" s="1" t="s">
        <v>112</v>
      </c>
      <c r="G215" s="1">
        <v>8298201</v>
      </c>
    </row>
    <row r="216" spans="1:7" x14ac:dyDescent="0.25">
      <c r="A216" s="1" t="str">
        <f t="shared" si="3"/>
        <v>07 EE2 488</v>
      </c>
      <c r="B2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6" s="1" t="s">
        <v>655</v>
      </c>
      <c r="D216" s="1" t="s">
        <v>656</v>
      </c>
      <c r="E216" s="1" t="s">
        <v>657</v>
      </c>
      <c r="F216" s="1" t="s">
        <v>112</v>
      </c>
      <c r="G216" s="1">
        <v>8322124</v>
      </c>
    </row>
    <row r="217" spans="1:7" x14ac:dyDescent="0.25">
      <c r="A217" s="1" t="str">
        <f t="shared" si="3"/>
        <v>07 EE2 488</v>
      </c>
      <c r="B2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17" s="1" t="s">
        <v>658</v>
      </c>
      <c r="D217" s="1" t="s">
        <v>659</v>
      </c>
      <c r="E217" s="1" t="s">
        <v>660</v>
      </c>
      <c r="F217" s="1" t="s">
        <v>112</v>
      </c>
      <c r="G217" s="1">
        <v>8904249</v>
      </c>
    </row>
    <row r="218" spans="1:7" x14ac:dyDescent="0.25">
      <c r="A218" s="1" t="str">
        <f t="shared" si="3"/>
        <v>07 EE2 488</v>
      </c>
      <c r="B2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8" s="1" t="s">
        <v>661</v>
      </c>
      <c r="D218" s="1" t="s">
        <v>662</v>
      </c>
      <c r="E218" s="1" t="s">
        <v>663</v>
      </c>
      <c r="F218" s="1" t="s">
        <v>112</v>
      </c>
      <c r="G218" s="1">
        <v>4793725</v>
      </c>
    </row>
    <row r="219" spans="1:7" x14ac:dyDescent="0.25">
      <c r="A219" s="1" t="str">
        <f t="shared" si="3"/>
        <v>07 EE2 488</v>
      </c>
      <c r="B2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19" s="1" t="s">
        <v>664</v>
      </c>
      <c r="D219" s="1" t="s">
        <v>665</v>
      </c>
      <c r="E219" s="1" t="s">
        <v>666</v>
      </c>
      <c r="F219" s="1" t="s">
        <v>112</v>
      </c>
      <c r="G219" s="1">
        <v>4336642</v>
      </c>
    </row>
    <row r="220" spans="1:7" x14ac:dyDescent="0.25">
      <c r="A220" s="1" t="str">
        <f t="shared" si="3"/>
        <v>07 EE2 488</v>
      </c>
      <c r="B2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20" s="1" t="s">
        <v>667</v>
      </c>
      <c r="D220" s="1" t="s">
        <v>668</v>
      </c>
      <c r="E220" s="1" t="s">
        <v>669</v>
      </c>
      <c r="F220" s="1" t="s">
        <v>112</v>
      </c>
      <c r="G220" s="1">
        <v>4773134</v>
      </c>
    </row>
    <row r="221" spans="1:7" x14ac:dyDescent="0.25">
      <c r="A221" s="1" t="str">
        <f t="shared" si="3"/>
        <v>07 EE2 488</v>
      </c>
      <c r="B2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1" s="1" t="s">
        <v>670</v>
      </c>
      <c r="D221" s="1" t="s">
        <v>671</v>
      </c>
      <c r="E221" s="1" t="s">
        <v>672</v>
      </c>
      <c r="F221" s="1" t="s">
        <v>112</v>
      </c>
      <c r="G221" s="1">
        <v>3769918</v>
      </c>
    </row>
    <row r="222" spans="1:7" x14ac:dyDescent="0.25">
      <c r="A222" s="1" t="str">
        <f t="shared" si="3"/>
        <v>07 EE2 488</v>
      </c>
      <c r="B2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2" s="1" t="s">
        <v>673</v>
      </c>
      <c r="D222" s="1" t="s">
        <v>674</v>
      </c>
      <c r="E222" s="1" t="s">
        <v>675</v>
      </c>
      <c r="F222" s="1" t="s">
        <v>112</v>
      </c>
      <c r="G222" s="1">
        <v>3912329</v>
      </c>
    </row>
    <row r="223" spans="1:7" x14ac:dyDescent="0.25">
      <c r="A223" s="1" t="str">
        <f t="shared" si="3"/>
        <v>07 EE2 488</v>
      </c>
      <c r="B2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23" s="1" t="s">
        <v>676</v>
      </c>
      <c r="D223" s="1" t="s">
        <v>665</v>
      </c>
      <c r="E223" s="1" t="s">
        <v>677</v>
      </c>
      <c r="F223" s="1" t="s">
        <v>112</v>
      </c>
      <c r="G223" s="1">
        <v>3975899</v>
      </c>
    </row>
    <row r="224" spans="1:7" x14ac:dyDescent="0.25">
      <c r="A224" s="1" t="str">
        <f t="shared" si="3"/>
        <v/>
      </c>
      <c r="B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4" s="1" t="s">
        <v>112</v>
      </c>
    </row>
    <row r="225" spans="1:9" x14ac:dyDescent="0.25">
      <c r="A225" s="1" t="str">
        <f t="shared" si="3"/>
        <v/>
      </c>
      <c r="B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5" s="1" t="s">
        <v>235</v>
      </c>
      <c r="D225" s="1" t="s">
        <v>112</v>
      </c>
      <c r="E225" s="1" t="s">
        <v>236</v>
      </c>
      <c r="F225" s="1" t="s">
        <v>237</v>
      </c>
      <c r="G225" s="1" t="s">
        <v>238</v>
      </c>
      <c r="H225" s="1" t="s">
        <v>239</v>
      </c>
      <c r="I225" s="1" t="s">
        <v>240</v>
      </c>
    </row>
    <row r="226" spans="1:9" x14ac:dyDescent="0.25">
      <c r="A226" s="1" t="str">
        <f t="shared" si="3"/>
        <v>07 EE2 488</v>
      </c>
      <c r="B22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26" s="1" t="s">
        <v>678</v>
      </c>
      <c r="D226" s="1" t="s">
        <v>112</v>
      </c>
      <c r="E226" s="1" t="s">
        <v>679</v>
      </c>
      <c r="F226" s="1" t="s">
        <v>680</v>
      </c>
      <c r="G226" s="1" t="s">
        <v>681</v>
      </c>
      <c r="H226" s="1" t="s">
        <v>682</v>
      </c>
      <c r="I226" s="1">
        <v>24</v>
      </c>
    </row>
    <row r="227" spans="1:9" x14ac:dyDescent="0.25">
      <c r="A227" s="1" t="str">
        <f t="shared" si="3"/>
        <v/>
      </c>
      <c r="B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7" s="1" t="s">
        <v>112</v>
      </c>
    </row>
    <row r="228" spans="1:9" x14ac:dyDescent="0.25">
      <c r="A228" s="1" t="str">
        <f t="shared" si="3"/>
        <v/>
      </c>
      <c r="B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8" s="1" t="s">
        <v>112</v>
      </c>
    </row>
    <row r="229" spans="1:9" x14ac:dyDescent="0.25">
      <c r="A229" s="1" t="str">
        <f t="shared" si="3"/>
        <v/>
      </c>
      <c r="B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29" s="1" t="s">
        <v>112</v>
      </c>
    </row>
    <row r="230" spans="1:9" x14ac:dyDescent="0.25">
      <c r="A230" s="1" t="str">
        <f t="shared" si="3"/>
        <v/>
      </c>
      <c r="B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0" s="1" t="s">
        <v>112</v>
      </c>
    </row>
    <row r="231" spans="1:9" x14ac:dyDescent="0.25">
      <c r="A231" s="1" t="str">
        <f t="shared" si="3"/>
        <v/>
      </c>
      <c r="B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1" s="1" t="s">
        <v>112</v>
      </c>
    </row>
    <row r="232" spans="1:9" x14ac:dyDescent="0.25">
      <c r="A232" s="1" t="str">
        <f t="shared" si="3"/>
        <v/>
      </c>
      <c r="B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32" s="1" t="s">
        <v>246</v>
      </c>
      <c r="D232" s="1" t="s">
        <v>110</v>
      </c>
      <c r="E232" s="1" t="s">
        <v>111</v>
      </c>
      <c r="F232" s="1" t="s">
        <v>112</v>
      </c>
      <c r="G232" s="1" t="s">
        <v>113</v>
      </c>
    </row>
    <row r="233" spans="1:9" x14ac:dyDescent="0.25">
      <c r="A233" s="1" t="str">
        <f t="shared" si="3"/>
        <v>08 Cromolyn 0.1</v>
      </c>
      <c r="B2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3" s="1" t="s">
        <v>683</v>
      </c>
      <c r="D233" s="1" t="s">
        <v>684</v>
      </c>
      <c r="E233" s="1" t="s">
        <v>685</v>
      </c>
      <c r="F233" s="1" t="s">
        <v>112</v>
      </c>
      <c r="G233" s="1">
        <v>555499</v>
      </c>
    </row>
    <row r="234" spans="1:9" x14ac:dyDescent="0.25">
      <c r="A234" s="1" t="str">
        <f t="shared" si="3"/>
        <v>08 Cromolyn 0.1</v>
      </c>
      <c r="B2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4" s="1" t="s">
        <v>686</v>
      </c>
    </row>
    <row r="235" spans="1:9" x14ac:dyDescent="0.25">
      <c r="A235" s="1" t="str">
        <f t="shared" si="3"/>
        <v>08 Cromolyn 0.1</v>
      </c>
      <c r="B2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35" s="1" t="s">
        <v>687</v>
      </c>
      <c r="D235" s="1" t="s">
        <v>397</v>
      </c>
      <c r="E235" s="1" t="s">
        <v>688</v>
      </c>
      <c r="F235" s="1" t="s">
        <v>112</v>
      </c>
      <c r="G235" s="1">
        <v>841727</v>
      </c>
    </row>
    <row r="236" spans="1:9" x14ac:dyDescent="0.25">
      <c r="A236" s="1" t="str">
        <f t="shared" si="3"/>
        <v>08 Cromolyn 0.1</v>
      </c>
      <c r="B2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6" s="1" t="s">
        <v>689</v>
      </c>
      <c r="D236" s="1" t="s">
        <v>303</v>
      </c>
      <c r="E236" s="1" t="s">
        <v>690</v>
      </c>
      <c r="F236" s="1" t="s">
        <v>112</v>
      </c>
      <c r="G236" s="1">
        <v>90521</v>
      </c>
    </row>
    <row r="237" spans="1:9" x14ac:dyDescent="0.25">
      <c r="A237" s="1" t="str">
        <f t="shared" si="3"/>
        <v>08 Cromolyn 0.1</v>
      </c>
      <c r="B2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7" s="1" t="s">
        <v>691</v>
      </c>
      <c r="D237" s="1" t="s">
        <v>692</v>
      </c>
      <c r="E237" s="1" t="s">
        <v>693</v>
      </c>
      <c r="F237" s="1" t="s">
        <v>112</v>
      </c>
      <c r="G237" s="1">
        <v>99865</v>
      </c>
    </row>
    <row r="238" spans="1:9" x14ac:dyDescent="0.25">
      <c r="A238" s="1" t="str">
        <f t="shared" si="3"/>
        <v>08 Cromolyn 0.1</v>
      </c>
      <c r="B2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38" s="1" t="s">
        <v>694</v>
      </c>
      <c r="D238" s="1" t="s">
        <v>173</v>
      </c>
      <c r="E238" s="1" t="s">
        <v>695</v>
      </c>
      <c r="F238" s="1" t="s">
        <v>112</v>
      </c>
      <c r="G238" s="1">
        <v>92230</v>
      </c>
    </row>
    <row r="239" spans="1:9" x14ac:dyDescent="0.25">
      <c r="A239" s="1" t="str">
        <f t="shared" si="3"/>
        <v>08 Cromolyn 0.1</v>
      </c>
      <c r="B2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39" s="1" t="s">
        <v>696</v>
      </c>
      <c r="D239" s="1" t="s">
        <v>291</v>
      </c>
      <c r="E239" s="1" t="s">
        <v>697</v>
      </c>
      <c r="F239" s="1" t="s">
        <v>112</v>
      </c>
      <c r="G239" s="1">
        <v>368941</v>
      </c>
    </row>
    <row r="240" spans="1:9" x14ac:dyDescent="0.25">
      <c r="A240" s="1" t="str">
        <f t="shared" si="3"/>
        <v>08 Cromolyn 0.1</v>
      </c>
      <c r="B2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0" s="1" t="s">
        <v>698</v>
      </c>
      <c r="D240" s="1" t="s">
        <v>699</v>
      </c>
      <c r="E240" s="1" t="s">
        <v>700</v>
      </c>
      <c r="F240" s="1" t="s">
        <v>112</v>
      </c>
      <c r="G240" s="1">
        <v>259732</v>
      </c>
    </row>
    <row r="241" spans="1:7" x14ac:dyDescent="0.25">
      <c r="A241" s="1" t="str">
        <f t="shared" si="3"/>
        <v>08 Cromolyn 0.1</v>
      </c>
      <c r="B2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41" s="1" t="s">
        <v>701</v>
      </c>
      <c r="D241" s="1" t="s">
        <v>702</v>
      </c>
      <c r="E241" s="1" t="s">
        <v>703</v>
      </c>
      <c r="F241" s="1" t="s">
        <v>112</v>
      </c>
      <c r="G241" s="1">
        <v>277533</v>
      </c>
    </row>
    <row r="242" spans="1:7" x14ac:dyDescent="0.25">
      <c r="A242" s="1" t="str">
        <f t="shared" si="3"/>
        <v>08 Cromolyn 0.1</v>
      </c>
      <c r="B2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2" s="1" t="s">
        <v>704</v>
      </c>
      <c r="D242" s="1" t="s">
        <v>705</v>
      </c>
      <c r="E242" s="1" t="s">
        <v>706</v>
      </c>
      <c r="F242" s="1" t="s">
        <v>112</v>
      </c>
      <c r="G242" s="1">
        <v>124307</v>
      </c>
    </row>
    <row r="243" spans="1:7" x14ac:dyDescent="0.25">
      <c r="A243" s="1" t="str">
        <f t="shared" si="3"/>
        <v>08 Cromolyn 0.1</v>
      </c>
      <c r="B2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3" s="1" t="s">
        <v>707</v>
      </c>
      <c r="D243" s="1" t="s">
        <v>308</v>
      </c>
      <c r="E243" s="1" t="s">
        <v>708</v>
      </c>
      <c r="F243" s="1" t="s">
        <v>112</v>
      </c>
      <c r="G243" s="1">
        <v>74666</v>
      </c>
    </row>
    <row r="244" spans="1:7" x14ac:dyDescent="0.25">
      <c r="A244" s="1" t="str">
        <f t="shared" si="3"/>
        <v>08 Cromolyn 0.1</v>
      </c>
      <c r="B2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44" s="1" t="s">
        <v>709</v>
      </c>
      <c r="D244" s="1" t="s">
        <v>710</v>
      </c>
      <c r="E244" s="1" t="s">
        <v>711</v>
      </c>
      <c r="F244" s="1" t="s">
        <v>112</v>
      </c>
      <c r="G244" s="1">
        <v>23295</v>
      </c>
    </row>
    <row r="245" spans="1:7" x14ac:dyDescent="0.25">
      <c r="A245" s="1" t="str">
        <f t="shared" si="3"/>
        <v>08 Cromolyn 0.1</v>
      </c>
      <c r="B2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5" s="1" t="s">
        <v>712</v>
      </c>
      <c r="D245" s="1" t="s">
        <v>713</v>
      </c>
      <c r="E245" s="1" t="s">
        <v>714</v>
      </c>
      <c r="F245" s="1" t="s">
        <v>112</v>
      </c>
      <c r="G245" s="1">
        <v>142995</v>
      </c>
    </row>
    <row r="246" spans="1:7" x14ac:dyDescent="0.25">
      <c r="A246" s="1" t="str">
        <f t="shared" si="3"/>
        <v>08 Cromolyn 0.1</v>
      </c>
      <c r="B2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6" s="1" t="s">
        <v>715</v>
      </c>
      <c r="D246" s="1" t="s">
        <v>716</v>
      </c>
      <c r="E246" s="1" t="s">
        <v>717</v>
      </c>
      <c r="F246" s="1" t="s">
        <v>112</v>
      </c>
      <c r="G246" s="1">
        <v>196313</v>
      </c>
    </row>
    <row r="247" spans="1:7" x14ac:dyDescent="0.25">
      <c r="A247" s="1" t="str">
        <f t="shared" si="3"/>
        <v>08 Cromolyn 0.1</v>
      </c>
      <c r="B2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47" s="1" t="s">
        <v>718</v>
      </c>
      <c r="D247" s="1" t="s">
        <v>719</v>
      </c>
      <c r="E247" s="1" t="s">
        <v>720</v>
      </c>
      <c r="F247" s="1" t="s">
        <v>112</v>
      </c>
      <c r="G247" s="1">
        <v>118553</v>
      </c>
    </row>
    <row r="248" spans="1:7" x14ac:dyDescent="0.25">
      <c r="A248" s="1" t="str">
        <f t="shared" si="3"/>
        <v>08 Cromolyn 0.1</v>
      </c>
      <c r="B2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8" s="1" t="s">
        <v>721</v>
      </c>
      <c r="D248" s="1" t="s">
        <v>722</v>
      </c>
      <c r="E248" s="1" t="s">
        <v>723</v>
      </c>
      <c r="F248" s="1" t="s">
        <v>112</v>
      </c>
      <c r="G248" s="1">
        <v>209832</v>
      </c>
    </row>
    <row r="249" spans="1:7" x14ac:dyDescent="0.25">
      <c r="A249" s="1" t="str">
        <f t="shared" si="3"/>
        <v>08 Cromolyn 0.1</v>
      </c>
      <c r="B2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49" s="1" t="s">
        <v>724</v>
      </c>
      <c r="D249" s="1" t="s">
        <v>725</v>
      </c>
      <c r="E249" s="1" t="s">
        <v>726</v>
      </c>
      <c r="F249" s="1" t="s">
        <v>112</v>
      </c>
      <c r="G249" s="1">
        <v>237237</v>
      </c>
    </row>
    <row r="250" spans="1:7" x14ac:dyDescent="0.25">
      <c r="A250" s="1" t="str">
        <f t="shared" si="3"/>
        <v>08 Cromolyn 0.1</v>
      </c>
      <c r="B2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50" s="1" t="s">
        <v>727</v>
      </c>
      <c r="D250" s="1" t="s">
        <v>728</v>
      </c>
      <c r="E250" s="1" t="s">
        <v>729</v>
      </c>
      <c r="F250" s="1" t="s">
        <v>112</v>
      </c>
      <c r="G250" s="1">
        <v>548275</v>
      </c>
    </row>
    <row r="251" spans="1:7" x14ac:dyDescent="0.25">
      <c r="A251" s="1" t="str">
        <f t="shared" si="3"/>
        <v>08 Cromolyn 0.1</v>
      </c>
      <c r="B2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1" s="1" t="s">
        <v>730</v>
      </c>
      <c r="D251" s="1" t="s">
        <v>731</v>
      </c>
      <c r="E251" s="1" t="s">
        <v>732</v>
      </c>
      <c r="F251" s="1" t="s">
        <v>112</v>
      </c>
      <c r="G251" s="1">
        <v>521886</v>
      </c>
    </row>
    <row r="252" spans="1:7" x14ac:dyDescent="0.25">
      <c r="A252" s="1" t="str">
        <f t="shared" si="3"/>
        <v>08 Cromolyn 0.1</v>
      </c>
      <c r="B2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2" s="1" t="s">
        <v>733</v>
      </c>
      <c r="D252" s="1" t="s">
        <v>734</v>
      </c>
      <c r="E252" s="1" t="s">
        <v>735</v>
      </c>
      <c r="F252" s="1" t="s">
        <v>112</v>
      </c>
      <c r="G252" s="1">
        <v>269141</v>
      </c>
    </row>
    <row r="253" spans="1:7" x14ac:dyDescent="0.25">
      <c r="A253" s="1" t="str">
        <f t="shared" si="3"/>
        <v>08 Cromolyn 0.1</v>
      </c>
      <c r="B2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53" s="1" t="s">
        <v>736</v>
      </c>
      <c r="D253" s="1" t="s">
        <v>737</v>
      </c>
      <c r="E253" s="1" t="s">
        <v>738</v>
      </c>
      <c r="F253" s="1" t="s">
        <v>112</v>
      </c>
      <c r="G253" s="1">
        <v>222507</v>
      </c>
    </row>
    <row r="254" spans="1:7" x14ac:dyDescent="0.25">
      <c r="A254" s="1" t="str">
        <f t="shared" si="3"/>
        <v>08 Cromolyn 0.1</v>
      </c>
      <c r="B2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4" s="1" t="s">
        <v>739</v>
      </c>
      <c r="D254" s="1" t="s">
        <v>308</v>
      </c>
      <c r="E254" s="1" t="s">
        <v>740</v>
      </c>
      <c r="F254" s="1" t="s">
        <v>112</v>
      </c>
      <c r="G254" s="1">
        <v>78192</v>
      </c>
    </row>
    <row r="255" spans="1:7" x14ac:dyDescent="0.25">
      <c r="A255" s="1" t="str">
        <f t="shared" si="3"/>
        <v>08 Cromolyn 0.1</v>
      </c>
      <c r="B2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5" s="1" t="s">
        <v>741</v>
      </c>
      <c r="D255" s="1" t="s">
        <v>742</v>
      </c>
      <c r="E255" s="1" t="s">
        <v>743</v>
      </c>
      <c r="F255" s="1" t="s">
        <v>112</v>
      </c>
      <c r="G255" s="1">
        <v>209096</v>
      </c>
    </row>
    <row r="256" spans="1:7" x14ac:dyDescent="0.25">
      <c r="A256" s="1" t="str">
        <f t="shared" si="3"/>
        <v>08 Cromolyn 0.1</v>
      </c>
      <c r="B2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56" s="1" t="s">
        <v>744</v>
      </c>
      <c r="D256" s="1" t="s">
        <v>745</v>
      </c>
      <c r="E256" s="1" t="s">
        <v>746</v>
      </c>
      <c r="F256" s="1" t="s">
        <v>112</v>
      </c>
      <c r="G256" s="1">
        <v>197719</v>
      </c>
    </row>
    <row r="257" spans="1:9" x14ac:dyDescent="0.25">
      <c r="A257" s="1" t="str">
        <f t="shared" si="3"/>
        <v/>
      </c>
      <c r="B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7" s="1" t="s">
        <v>112</v>
      </c>
    </row>
    <row r="258" spans="1:9" x14ac:dyDescent="0.25">
      <c r="A258" s="1" t="str">
        <f t="shared" ref="A258:A321" si="4">IFERROR(LEFT(RIGHT(C258,LEN(C258)-SEARCH("@",C258)),SEARCH("/",RIGHT(C258,LEN(C258)-SEARCH("@",C258)-1))),"")</f>
        <v/>
      </c>
      <c r="B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58" s="1" t="s">
        <v>235</v>
      </c>
      <c r="D258" s="1" t="s">
        <v>112</v>
      </c>
      <c r="E258" s="1" t="s">
        <v>236</v>
      </c>
      <c r="F258" s="1" t="s">
        <v>237</v>
      </c>
      <c r="G258" s="1" t="s">
        <v>238</v>
      </c>
      <c r="H258" s="1" t="s">
        <v>239</v>
      </c>
      <c r="I258" s="1" t="s">
        <v>240</v>
      </c>
    </row>
    <row r="259" spans="1:9" x14ac:dyDescent="0.25">
      <c r="A259" s="1" t="str">
        <f t="shared" si="4"/>
        <v>08 Cromolyn 0.1</v>
      </c>
      <c r="B25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59" s="1" t="s">
        <v>747</v>
      </c>
      <c r="D259" s="1" t="s">
        <v>112</v>
      </c>
      <c r="E259" s="1" t="s">
        <v>748</v>
      </c>
      <c r="F259" s="1" t="s">
        <v>749</v>
      </c>
      <c r="G259" s="1" t="s">
        <v>750</v>
      </c>
      <c r="H259" s="1" t="s">
        <v>751</v>
      </c>
      <c r="I259" s="1">
        <v>24</v>
      </c>
    </row>
    <row r="260" spans="1:9" x14ac:dyDescent="0.25">
      <c r="A260" s="1" t="str">
        <f t="shared" si="4"/>
        <v/>
      </c>
      <c r="B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0" s="1" t="s">
        <v>112</v>
      </c>
    </row>
    <row r="261" spans="1:9" x14ac:dyDescent="0.25">
      <c r="A261" s="1" t="str">
        <f t="shared" si="4"/>
        <v/>
      </c>
      <c r="B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1" s="1" t="s">
        <v>112</v>
      </c>
    </row>
    <row r="262" spans="1:9" x14ac:dyDescent="0.25">
      <c r="A262" s="1" t="str">
        <f t="shared" si="4"/>
        <v/>
      </c>
      <c r="B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2" s="1" t="s">
        <v>112</v>
      </c>
    </row>
    <row r="263" spans="1:9" x14ac:dyDescent="0.25">
      <c r="A263" s="1" t="str">
        <f t="shared" si="4"/>
        <v/>
      </c>
      <c r="B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3" s="1" t="s">
        <v>112</v>
      </c>
    </row>
    <row r="264" spans="1:9" x14ac:dyDescent="0.25">
      <c r="A264" s="1" t="str">
        <f t="shared" si="4"/>
        <v/>
      </c>
      <c r="B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4" s="1" t="s">
        <v>112</v>
      </c>
    </row>
    <row r="265" spans="1:9" x14ac:dyDescent="0.25">
      <c r="A265" s="1" t="str">
        <f t="shared" si="4"/>
        <v/>
      </c>
      <c r="B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65" s="1" t="s">
        <v>246</v>
      </c>
      <c r="D265" s="1" t="s">
        <v>110</v>
      </c>
      <c r="E265" s="1" t="s">
        <v>111</v>
      </c>
      <c r="F265" s="1" t="s">
        <v>112</v>
      </c>
      <c r="G265" s="1" t="s">
        <v>113</v>
      </c>
    </row>
    <row r="266" spans="1:9" x14ac:dyDescent="0.25">
      <c r="A266" s="1" t="str">
        <f t="shared" si="4"/>
        <v>09 Cromolyn 1</v>
      </c>
      <c r="B2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6" s="1" t="s">
        <v>752</v>
      </c>
      <c r="D266" s="1" t="s">
        <v>753</v>
      </c>
      <c r="E266" s="1" t="s">
        <v>754</v>
      </c>
      <c r="F266" s="1" t="s">
        <v>112</v>
      </c>
      <c r="G266" s="1">
        <v>1150429</v>
      </c>
    </row>
    <row r="267" spans="1:9" x14ac:dyDescent="0.25">
      <c r="A267" s="1" t="str">
        <f t="shared" si="4"/>
        <v>09 Cromolyn 1</v>
      </c>
      <c r="B2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7" s="1" t="s">
        <v>755</v>
      </c>
      <c r="D267" s="1" t="s">
        <v>756</v>
      </c>
      <c r="E267" s="1" t="s">
        <v>757</v>
      </c>
      <c r="F267" s="1" t="s">
        <v>112</v>
      </c>
      <c r="G267" s="1">
        <v>420464</v>
      </c>
    </row>
    <row r="268" spans="1:9" x14ac:dyDescent="0.25">
      <c r="A268" s="1" t="str">
        <f t="shared" si="4"/>
        <v>09 Cromolyn 1</v>
      </c>
      <c r="B2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68" s="1" t="s">
        <v>758</v>
      </c>
      <c r="D268" s="1" t="s">
        <v>759</v>
      </c>
      <c r="E268" s="1" t="s">
        <v>760</v>
      </c>
      <c r="F268" s="1" t="s">
        <v>112</v>
      </c>
      <c r="G268" s="1">
        <v>756635</v>
      </c>
    </row>
    <row r="269" spans="1:9" x14ac:dyDescent="0.25">
      <c r="A269" s="1" t="str">
        <f t="shared" si="4"/>
        <v>09 Cromolyn 1</v>
      </c>
      <c r="B2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69" s="1" t="s">
        <v>761</v>
      </c>
      <c r="D269" s="1" t="s">
        <v>762</v>
      </c>
      <c r="E269" s="1" t="s">
        <v>763</v>
      </c>
      <c r="F269" s="1" t="s">
        <v>112</v>
      </c>
      <c r="G269" s="1">
        <v>607649</v>
      </c>
    </row>
    <row r="270" spans="1:9" x14ac:dyDescent="0.25">
      <c r="A270" s="1" t="str">
        <f t="shared" si="4"/>
        <v>09 Cromolyn 1</v>
      </c>
      <c r="B2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0" s="1" t="s">
        <v>764</v>
      </c>
      <c r="D270" s="1" t="s">
        <v>692</v>
      </c>
      <c r="E270" s="1" t="s">
        <v>765</v>
      </c>
      <c r="F270" s="1" t="s">
        <v>112</v>
      </c>
      <c r="G270" s="1">
        <v>95020</v>
      </c>
    </row>
    <row r="271" spans="1:9" x14ac:dyDescent="0.25">
      <c r="A271" s="1" t="str">
        <f t="shared" si="4"/>
        <v>09 Cromolyn 1</v>
      </c>
      <c r="B2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271" s="1" t="s">
        <v>766</v>
      </c>
      <c r="D271" s="1" t="s">
        <v>767</v>
      </c>
      <c r="E271" s="1" t="s">
        <v>768</v>
      </c>
      <c r="F271" s="1" t="s">
        <v>112</v>
      </c>
      <c r="G271" s="1">
        <v>59980</v>
      </c>
    </row>
    <row r="272" spans="1:9" x14ac:dyDescent="0.25">
      <c r="A272" s="1" t="str">
        <f t="shared" si="4"/>
        <v>09 Cromolyn 1</v>
      </c>
      <c r="B2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2" s="1" t="s">
        <v>769</v>
      </c>
      <c r="D272" s="1" t="s">
        <v>770</v>
      </c>
      <c r="E272" s="1" t="s">
        <v>771</v>
      </c>
      <c r="F272" s="1" t="s">
        <v>112</v>
      </c>
      <c r="G272" s="1">
        <v>215845</v>
      </c>
    </row>
    <row r="273" spans="1:7" x14ac:dyDescent="0.25">
      <c r="A273" s="1" t="str">
        <f t="shared" si="4"/>
        <v>09 Cromolyn 1</v>
      </c>
      <c r="B2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3" s="1" t="s">
        <v>772</v>
      </c>
      <c r="D273" s="1" t="s">
        <v>773</v>
      </c>
      <c r="E273" s="1" t="s">
        <v>774</v>
      </c>
      <c r="F273" s="1" t="s">
        <v>112</v>
      </c>
      <c r="G273" s="1">
        <v>230207</v>
      </c>
    </row>
    <row r="274" spans="1:7" x14ac:dyDescent="0.25">
      <c r="A274" s="1" t="str">
        <f t="shared" si="4"/>
        <v>09 Cromolyn 1</v>
      </c>
      <c r="B2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274" s="1" t="s">
        <v>775</v>
      </c>
      <c r="D274" s="1" t="s">
        <v>776</v>
      </c>
      <c r="E274" s="1" t="s">
        <v>777</v>
      </c>
      <c r="F274" s="1" t="s">
        <v>112</v>
      </c>
      <c r="G274" s="1">
        <v>288521</v>
      </c>
    </row>
    <row r="275" spans="1:7" x14ac:dyDescent="0.25">
      <c r="A275" s="1" t="str">
        <f t="shared" si="4"/>
        <v>09 Cromolyn 1</v>
      </c>
      <c r="B2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5" s="1" t="s">
        <v>778</v>
      </c>
      <c r="D275" s="1" t="s">
        <v>779</v>
      </c>
      <c r="E275" s="1" t="s">
        <v>780</v>
      </c>
      <c r="F275" s="1" t="s">
        <v>112</v>
      </c>
      <c r="G275" s="1">
        <v>342315</v>
      </c>
    </row>
    <row r="276" spans="1:7" x14ac:dyDescent="0.25">
      <c r="A276" s="1" t="str">
        <f t="shared" si="4"/>
        <v>09 Cromolyn 1</v>
      </c>
      <c r="B2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6" s="1" t="s">
        <v>781</v>
      </c>
      <c r="D276" s="1" t="s">
        <v>368</v>
      </c>
      <c r="E276" s="1" t="s">
        <v>782</v>
      </c>
      <c r="F276" s="1" t="s">
        <v>112</v>
      </c>
      <c r="G276" s="1">
        <v>143514</v>
      </c>
    </row>
    <row r="277" spans="1:7" x14ac:dyDescent="0.25">
      <c r="A277" s="1" t="str">
        <f t="shared" si="4"/>
        <v>09 Cromolyn 1</v>
      </c>
      <c r="B2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277" s="1" t="s">
        <v>783</v>
      </c>
      <c r="D277" s="1" t="s">
        <v>784</v>
      </c>
      <c r="E277" s="1" t="s">
        <v>785</v>
      </c>
      <c r="F277" s="1" t="s">
        <v>112</v>
      </c>
      <c r="G277" s="1">
        <v>465735</v>
      </c>
    </row>
    <row r="278" spans="1:7" x14ac:dyDescent="0.25">
      <c r="A278" s="1" t="str">
        <f t="shared" si="4"/>
        <v>09 Cromolyn 1</v>
      </c>
      <c r="B2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8" s="1" t="s">
        <v>786</v>
      </c>
      <c r="D278" s="1" t="s">
        <v>787</v>
      </c>
      <c r="E278" s="1" t="s">
        <v>788</v>
      </c>
      <c r="F278" s="1" t="s">
        <v>112</v>
      </c>
      <c r="G278" s="1">
        <v>139859</v>
      </c>
    </row>
    <row r="279" spans="1:7" x14ac:dyDescent="0.25">
      <c r="A279" s="1" t="str">
        <f t="shared" si="4"/>
        <v>09 Cromolyn 1</v>
      </c>
      <c r="B2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79" s="1" t="s">
        <v>789</v>
      </c>
      <c r="D279" s="1" t="s">
        <v>790</v>
      </c>
      <c r="E279" s="1" t="s">
        <v>791</v>
      </c>
      <c r="F279" s="1" t="s">
        <v>112</v>
      </c>
      <c r="G279" s="1">
        <v>107284</v>
      </c>
    </row>
    <row r="280" spans="1:7" x14ac:dyDescent="0.25">
      <c r="A280" s="1" t="str">
        <f t="shared" si="4"/>
        <v>09 Cromolyn 1</v>
      </c>
      <c r="B2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280" s="1" t="s">
        <v>792</v>
      </c>
      <c r="D280" s="1" t="s">
        <v>793</v>
      </c>
      <c r="E280" s="1" t="s">
        <v>794</v>
      </c>
      <c r="F280" s="1" t="s">
        <v>112</v>
      </c>
      <c r="G280" s="1">
        <v>264599</v>
      </c>
    </row>
    <row r="281" spans="1:7" x14ac:dyDescent="0.25">
      <c r="A281" s="1" t="str">
        <f t="shared" si="4"/>
        <v>09 Cromolyn 1</v>
      </c>
      <c r="B2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1" s="1" t="s">
        <v>795</v>
      </c>
      <c r="D281" s="1" t="s">
        <v>362</v>
      </c>
      <c r="E281" s="1" t="s">
        <v>796</v>
      </c>
      <c r="F281" s="1" t="s">
        <v>112</v>
      </c>
      <c r="G281" s="1">
        <v>93463</v>
      </c>
    </row>
    <row r="282" spans="1:7" x14ac:dyDescent="0.25">
      <c r="A282" s="1" t="str">
        <f t="shared" si="4"/>
        <v>09 Cromolyn 1</v>
      </c>
      <c r="B2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2" s="1" t="s">
        <v>797</v>
      </c>
      <c r="D282" s="1" t="s">
        <v>719</v>
      </c>
      <c r="E282" s="1" t="s">
        <v>757</v>
      </c>
      <c r="F282" s="1" t="s">
        <v>112</v>
      </c>
      <c r="G282" s="1">
        <v>120132</v>
      </c>
    </row>
    <row r="283" spans="1:7" x14ac:dyDescent="0.25">
      <c r="A283" s="1" t="str">
        <f t="shared" si="4"/>
        <v>09 Cromolyn 1</v>
      </c>
      <c r="B2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283" s="1" t="s">
        <v>798</v>
      </c>
      <c r="D283" s="1" t="s">
        <v>799</v>
      </c>
      <c r="E283" s="1" t="s">
        <v>800</v>
      </c>
      <c r="F283" s="1" t="s">
        <v>112</v>
      </c>
      <c r="G283" s="1">
        <v>58768</v>
      </c>
    </row>
    <row r="284" spans="1:7" x14ac:dyDescent="0.25">
      <c r="A284" s="1" t="str">
        <f t="shared" si="4"/>
        <v>09 Cromolyn 1</v>
      </c>
      <c r="B2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4" s="1" t="s">
        <v>801</v>
      </c>
      <c r="D284" s="1" t="s">
        <v>802</v>
      </c>
      <c r="E284" s="1" t="s">
        <v>803</v>
      </c>
      <c r="F284" s="1" t="s">
        <v>112</v>
      </c>
      <c r="G284" s="1">
        <v>24701</v>
      </c>
    </row>
    <row r="285" spans="1:7" x14ac:dyDescent="0.25">
      <c r="A285" s="1" t="str">
        <f t="shared" si="4"/>
        <v>09 Cromolyn 1</v>
      </c>
      <c r="B2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5" s="1" t="s">
        <v>804</v>
      </c>
      <c r="D285" s="1" t="s">
        <v>699</v>
      </c>
      <c r="E285" s="1" t="s">
        <v>805</v>
      </c>
      <c r="F285" s="1" t="s">
        <v>112</v>
      </c>
      <c r="G285" s="1">
        <v>246797</v>
      </c>
    </row>
    <row r="286" spans="1:7" x14ac:dyDescent="0.25">
      <c r="A286" s="1" t="str">
        <f t="shared" si="4"/>
        <v>09 Cromolyn 1</v>
      </c>
      <c r="B2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286" s="1" t="s">
        <v>806</v>
      </c>
      <c r="D286" s="1" t="s">
        <v>807</v>
      </c>
      <c r="E286" s="1" t="s">
        <v>808</v>
      </c>
      <c r="F286" s="1" t="s">
        <v>112</v>
      </c>
      <c r="G286" s="1">
        <v>44579</v>
      </c>
    </row>
    <row r="287" spans="1:7" x14ac:dyDescent="0.25">
      <c r="A287" s="1" t="str">
        <f t="shared" si="4"/>
        <v>09 Cromolyn 1</v>
      </c>
      <c r="B2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7" s="1" t="s">
        <v>809</v>
      </c>
      <c r="D287" s="1" t="s">
        <v>362</v>
      </c>
      <c r="E287" s="1" t="s">
        <v>810</v>
      </c>
      <c r="F287" s="1" t="s">
        <v>112</v>
      </c>
      <c r="G287" s="1">
        <v>93484</v>
      </c>
    </row>
    <row r="288" spans="1:7" x14ac:dyDescent="0.25">
      <c r="A288" s="1" t="str">
        <f t="shared" si="4"/>
        <v>09 Cromolyn 1</v>
      </c>
      <c r="B2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8" s="1" t="s">
        <v>811</v>
      </c>
      <c r="D288" s="1" t="s">
        <v>812</v>
      </c>
      <c r="E288" s="1" t="s">
        <v>813</v>
      </c>
      <c r="F288" s="1" t="s">
        <v>112</v>
      </c>
      <c r="G288" s="1">
        <v>62792</v>
      </c>
    </row>
    <row r="289" spans="1:9" x14ac:dyDescent="0.25">
      <c r="A289" s="1" t="str">
        <f t="shared" si="4"/>
        <v>09 Cromolyn 1</v>
      </c>
      <c r="B2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289" s="1" t="s">
        <v>814</v>
      </c>
      <c r="D289" s="1" t="s">
        <v>815</v>
      </c>
      <c r="E289" s="1" t="s">
        <v>816</v>
      </c>
      <c r="F289" s="1" t="s">
        <v>112</v>
      </c>
      <c r="G289" s="1">
        <v>185779</v>
      </c>
    </row>
    <row r="290" spans="1:9" x14ac:dyDescent="0.25">
      <c r="A290" s="1" t="str">
        <f t="shared" si="4"/>
        <v/>
      </c>
      <c r="B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0" s="1" t="s">
        <v>112</v>
      </c>
    </row>
    <row r="291" spans="1:9" x14ac:dyDescent="0.25">
      <c r="A291" s="1" t="str">
        <f t="shared" si="4"/>
        <v/>
      </c>
      <c r="B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1" s="1" t="s">
        <v>235</v>
      </c>
      <c r="D291" s="1" t="s">
        <v>112</v>
      </c>
      <c r="E291" s="1" t="s">
        <v>236</v>
      </c>
      <c r="F291" s="1" t="s">
        <v>237</v>
      </c>
      <c r="G291" s="1" t="s">
        <v>238</v>
      </c>
      <c r="H291" s="1" t="s">
        <v>239</v>
      </c>
      <c r="I291" s="1" t="s">
        <v>240</v>
      </c>
    </row>
    <row r="292" spans="1:9" x14ac:dyDescent="0.25">
      <c r="A292" s="1" t="str">
        <f t="shared" si="4"/>
        <v>09 Cromolyn 1</v>
      </c>
      <c r="B29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292" s="1" t="s">
        <v>817</v>
      </c>
      <c r="D292" s="1" t="s">
        <v>112</v>
      </c>
      <c r="E292" s="1" t="s">
        <v>818</v>
      </c>
      <c r="F292" s="1" t="s">
        <v>819</v>
      </c>
      <c r="G292" s="1" t="s">
        <v>820</v>
      </c>
      <c r="H292" s="1" t="s">
        <v>821</v>
      </c>
      <c r="I292" s="1">
        <v>24</v>
      </c>
    </row>
    <row r="293" spans="1:9" x14ac:dyDescent="0.25">
      <c r="A293" s="1" t="str">
        <f t="shared" si="4"/>
        <v/>
      </c>
      <c r="B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3" s="1" t="s">
        <v>112</v>
      </c>
    </row>
    <row r="294" spans="1:9" x14ac:dyDescent="0.25">
      <c r="A294" s="1" t="str">
        <f t="shared" si="4"/>
        <v/>
      </c>
      <c r="B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4" s="1" t="s">
        <v>112</v>
      </c>
    </row>
    <row r="295" spans="1:9" x14ac:dyDescent="0.25">
      <c r="A295" s="1" t="str">
        <f t="shared" si="4"/>
        <v/>
      </c>
      <c r="B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5" s="1" t="s">
        <v>112</v>
      </c>
    </row>
    <row r="296" spans="1:9" x14ac:dyDescent="0.25">
      <c r="A296" s="1" t="str">
        <f t="shared" si="4"/>
        <v/>
      </c>
      <c r="B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6" s="1" t="s">
        <v>112</v>
      </c>
    </row>
    <row r="297" spans="1:9" x14ac:dyDescent="0.25">
      <c r="A297" s="1" t="str">
        <f t="shared" si="4"/>
        <v/>
      </c>
      <c r="B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7" s="1" t="s">
        <v>112</v>
      </c>
    </row>
    <row r="298" spans="1:9" x14ac:dyDescent="0.25">
      <c r="A298" s="1" t="str">
        <f t="shared" si="4"/>
        <v/>
      </c>
      <c r="B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298" s="1" t="s">
        <v>246</v>
      </c>
      <c r="D298" s="1" t="s">
        <v>110</v>
      </c>
      <c r="E298" s="1" t="s">
        <v>111</v>
      </c>
      <c r="F298" s="1" t="s">
        <v>112</v>
      </c>
      <c r="G298" s="1" t="s">
        <v>113</v>
      </c>
    </row>
    <row r="299" spans="1:9" x14ac:dyDescent="0.25">
      <c r="A299" s="1" t="str">
        <f t="shared" si="4"/>
        <v>10 Cromolyn 10</v>
      </c>
      <c r="B2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299" s="1" t="s">
        <v>822</v>
      </c>
      <c r="D299" s="1" t="s">
        <v>823</v>
      </c>
      <c r="E299" s="1" t="s">
        <v>824</v>
      </c>
      <c r="F299" s="1" t="s">
        <v>112</v>
      </c>
      <c r="G299" s="1">
        <v>181410</v>
      </c>
    </row>
    <row r="300" spans="1:9" x14ac:dyDescent="0.25">
      <c r="A300" s="1" t="str">
        <f t="shared" si="4"/>
        <v>10 Cromolyn 10</v>
      </c>
      <c r="B3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0" s="1" t="s">
        <v>825</v>
      </c>
      <c r="D300" s="1" t="s">
        <v>826</v>
      </c>
      <c r="E300" s="1" t="s">
        <v>827</v>
      </c>
      <c r="F300" s="1" t="s">
        <v>112</v>
      </c>
      <c r="G300" s="1">
        <v>155649</v>
      </c>
    </row>
    <row r="301" spans="1:9" x14ac:dyDescent="0.25">
      <c r="A301" s="1" t="str">
        <f t="shared" si="4"/>
        <v>10 Cromolyn 10</v>
      </c>
      <c r="B3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01" s="1" t="s">
        <v>828</v>
      </c>
      <c r="D301" s="1" t="s">
        <v>705</v>
      </c>
      <c r="E301" s="1" t="s">
        <v>829</v>
      </c>
      <c r="F301" s="1" t="s">
        <v>112</v>
      </c>
      <c r="G301" s="1">
        <v>122144</v>
      </c>
    </row>
    <row r="302" spans="1:9" x14ac:dyDescent="0.25">
      <c r="A302" s="1" t="str">
        <f t="shared" si="4"/>
        <v>10 Cromolyn 10</v>
      </c>
      <c r="B3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2" s="1" t="s">
        <v>830</v>
      </c>
      <c r="D302" s="1" t="s">
        <v>147</v>
      </c>
      <c r="E302" s="1" t="s">
        <v>831</v>
      </c>
      <c r="F302" s="1" t="s">
        <v>112</v>
      </c>
      <c r="G302" s="1">
        <v>318890</v>
      </c>
    </row>
    <row r="303" spans="1:9" x14ac:dyDescent="0.25">
      <c r="A303" s="1" t="str">
        <f t="shared" si="4"/>
        <v>10 Cromolyn 10</v>
      </c>
      <c r="B3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3" s="1" t="s">
        <v>832</v>
      </c>
      <c r="D303" s="1" t="s">
        <v>833</v>
      </c>
      <c r="E303" s="1" t="s">
        <v>834</v>
      </c>
      <c r="F303" s="1" t="s">
        <v>112</v>
      </c>
      <c r="G303" s="1">
        <v>410016</v>
      </c>
    </row>
    <row r="304" spans="1:9" x14ac:dyDescent="0.25">
      <c r="A304" s="1" t="str">
        <f t="shared" si="4"/>
        <v>10 Cromolyn 10</v>
      </c>
      <c r="B3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04" s="1" t="s">
        <v>835</v>
      </c>
      <c r="D304" s="1" t="s">
        <v>836</v>
      </c>
      <c r="E304" s="1" t="s">
        <v>837</v>
      </c>
      <c r="F304" s="1" t="s">
        <v>112</v>
      </c>
      <c r="G304" s="1">
        <v>136203</v>
      </c>
    </row>
    <row r="305" spans="1:7" x14ac:dyDescent="0.25">
      <c r="A305" s="1" t="str">
        <f t="shared" si="4"/>
        <v>10 Cromolyn 10</v>
      </c>
      <c r="B3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5" s="1" t="s">
        <v>838</v>
      </c>
      <c r="D305" s="1" t="s">
        <v>839</v>
      </c>
      <c r="E305" s="1" t="s">
        <v>840</v>
      </c>
      <c r="F305" s="1" t="s">
        <v>112</v>
      </c>
      <c r="G305" s="1">
        <v>305198</v>
      </c>
    </row>
    <row r="306" spans="1:7" x14ac:dyDescent="0.25">
      <c r="A306" s="1" t="str">
        <f t="shared" si="4"/>
        <v>10 Cromolyn 10</v>
      </c>
      <c r="B3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6" s="1" t="s">
        <v>841</v>
      </c>
      <c r="D306" s="1" t="s">
        <v>842</v>
      </c>
      <c r="E306" s="1" t="s">
        <v>843</v>
      </c>
      <c r="F306" s="1" t="s">
        <v>112</v>
      </c>
      <c r="G306" s="1">
        <v>258564</v>
      </c>
    </row>
    <row r="307" spans="1:7" x14ac:dyDescent="0.25">
      <c r="A307" s="1" t="str">
        <f t="shared" si="4"/>
        <v>10 Cromolyn 10</v>
      </c>
      <c r="B3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07" s="1" t="s">
        <v>844</v>
      </c>
      <c r="D307" s="1" t="s">
        <v>731</v>
      </c>
      <c r="E307" s="1" t="s">
        <v>845</v>
      </c>
      <c r="F307" s="1" t="s">
        <v>112</v>
      </c>
      <c r="G307" s="1">
        <v>519766</v>
      </c>
    </row>
    <row r="308" spans="1:7" x14ac:dyDescent="0.25">
      <c r="A308" s="1" t="str">
        <f t="shared" si="4"/>
        <v>10 Cromolyn 10</v>
      </c>
      <c r="B3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8" s="1" t="s">
        <v>846</v>
      </c>
      <c r="D308" s="1" t="s">
        <v>847</v>
      </c>
      <c r="E308" s="1" t="s">
        <v>848</v>
      </c>
      <c r="F308" s="1" t="s">
        <v>112</v>
      </c>
      <c r="G308" s="1">
        <v>497488</v>
      </c>
    </row>
    <row r="309" spans="1:7" x14ac:dyDescent="0.25">
      <c r="A309" s="1" t="str">
        <f t="shared" si="4"/>
        <v>10 Cromolyn 10</v>
      </c>
      <c r="B3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09" s="1" t="s">
        <v>849</v>
      </c>
      <c r="D309" s="1" t="s">
        <v>151</v>
      </c>
      <c r="E309" s="1" t="s">
        <v>850</v>
      </c>
      <c r="F309" s="1" t="s">
        <v>112</v>
      </c>
      <c r="G309" s="1">
        <v>239378</v>
      </c>
    </row>
    <row r="310" spans="1:7" x14ac:dyDescent="0.25">
      <c r="A310" s="1" t="str">
        <f t="shared" si="4"/>
        <v>10 Cromolyn 10</v>
      </c>
      <c r="B3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10" s="1" t="s">
        <v>851</v>
      </c>
      <c r="D310" s="1" t="s">
        <v>852</v>
      </c>
      <c r="E310" s="1" t="s">
        <v>853</v>
      </c>
      <c r="F310" s="1" t="s">
        <v>112</v>
      </c>
      <c r="G310" s="1">
        <v>159672</v>
      </c>
    </row>
    <row r="311" spans="1:7" x14ac:dyDescent="0.25">
      <c r="A311" s="1" t="str">
        <f t="shared" si="4"/>
        <v>10 Cromolyn 10</v>
      </c>
      <c r="B3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1" s="1" t="s">
        <v>854</v>
      </c>
      <c r="D311" s="1" t="s">
        <v>227</v>
      </c>
      <c r="E311" s="1" t="s">
        <v>855</v>
      </c>
      <c r="F311" s="1" t="s">
        <v>112</v>
      </c>
      <c r="G311" s="1">
        <v>643922</v>
      </c>
    </row>
    <row r="312" spans="1:7" x14ac:dyDescent="0.25">
      <c r="A312" s="1" t="str">
        <f t="shared" si="4"/>
        <v>10 Cromolyn 10</v>
      </c>
      <c r="B3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2" s="1" t="s">
        <v>856</v>
      </c>
      <c r="D312" s="1" t="s">
        <v>857</v>
      </c>
      <c r="E312" s="1" t="s">
        <v>858</v>
      </c>
      <c r="F312" s="1" t="s">
        <v>112</v>
      </c>
      <c r="G312" s="1">
        <v>362020</v>
      </c>
    </row>
    <row r="313" spans="1:7" x14ac:dyDescent="0.25">
      <c r="A313" s="1" t="str">
        <f t="shared" si="4"/>
        <v>10 Cromolyn 10</v>
      </c>
      <c r="B3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13" s="1" t="s">
        <v>859</v>
      </c>
      <c r="D313" s="1" t="s">
        <v>860</v>
      </c>
      <c r="E313" s="1" t="s">
        <v>861</v>
      </c>
      <c r="F313" s="1" t="s">
        <v>112</v>
      </c>
      <c r="G313" s="1">
        <v>349799</v>
      </c>
    </row>
    <row r="314" spans="1:7" x14ac:dyDescent="0.25">
      <c r="A314" s="1" t="str">
        <f t="shared" si="4"/>
        <v>10 Cromolyn 10</v>
      </c>
      <c r="B3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4" s="1" t="s">
        <v>862</v>
      </c>
      <c r="D314" s="1" t="s">
        <v>863</v>
      </c>
      <c r="E314" s="1" t="s">
        <v>864</v>
      </c>
      <c r="F314" s="1" t="s">
        <v>112</v>
      </c>
      <c r="G314" s="1">
        <v>66534</v>
      </c>
    </row>
    <row r="315" spans="1:7" x14ac:dyDescent="0.25">
      <c r="A315" s="1" t="str">
        <f t="shared" si="4"/>
        <v>10 Cromolyn 10</v>
      </c>
      <c r="B3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5" s="1" t="s">
        <v>865</v>
      </c>
    </row>
    <row r="316" spans="1:7" x14ac:dyDescent="0.25">
      <c r="A316" s="1" t="str">
        <f t="shared" si="4"/>
        <v>10 Cromolyn 10</v>
      </c>
      <c r="B3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16" s="1" t="s">
        <v>866</v>
      </c>
      <c r="D316" s="1" t="s">
        <v>201</v>
      </c>
      <c r="E316" s="1" t="s">
        <v>867</v>
      </c>
      <c r="F316" s="1" t="s">
        <v>112</v>
      </c>
      <c r="G316" s="1">
        <v>63787</v>
      </c>
    </row>
    <row r="317" spans="1:7" x14ac:dyDescent="0.25">
      <c r="A317" s="1" t="str">
        <f t="shared" si="4"/>
        <v>10 Cromolyn 10</v>
      </c>
      <c r="B3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7" s="1" t="s">
        <v>868</v>
      </c>
      <c r="D317" s="1" t="s">
        <v>869</v>
      </c>
      <c r="E317" s="1">
        <v>63</v>
      </c>
      <c r="F317" s="1" t="s">
        <v>112</v>
      </c>
      <c r="G317" s="1">
        <v>6813</v>
      </c>
    </row>
    <row r="318" spans="1:7" x14ac:dyDescent="0.25">
      <c r="A318" s="1" t="str">
        <f t="shared" si="4"/>
        <v>10 Cromolyn 10</v>
      </c>
      <c r="B3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8" s="1" t="s">
        <v>870</v>
      </c>
      <c r="D318" s="1" t="s">
        <v>871</v>
      </c>
      <c r="E318" s="1" t="s">
        <v>872</v>
      </c>
      <c r="F318" s="1" t="s">
        <v>112</v>
      </c>
      <c r="G318" s="1">
        <v>20181</v>
      </c>
    </row>
    <row r="319" spans="1:7" x14ac:dyDescent="0.25">
      <c r="A319" s="1" t="str">
        <f t="shared" si="4"/>
        <v>10 Cromolyn 10</v>
      </c>
      <c r="B3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19" s="1" t="s">
        <v>873</v>
      </c>
    </row>
    <row r="320" spans="1:7" x14ac:dyDescent="0.25">
      <c r="A320" s="1" t="str">
        <f t="shared" si="4"/>
        <v>10 Cromolyn 10</v>
      </c>
      <c r="B3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0" s="1" t="s">
        <v>874</v>
      </c>
      <c r="D320" s="1" t="s">
        <v>875</v>
      </c>
      <c r="E320" s="1" t="s">
        <v>876</v>
      </c>
      <c r="F320" s="1" t="s">
        <v>112</v>
      </c>
      <c r="G320" s="1">
        <v>660317</v>
      </c>
    </row>
    <row r="321" spans="1:9" x14ac:dyDescent="0.25">
      <c r="A321" s="1" t="str">
        <f t="shared" si="4"/>
        <v>10 Cromolyn 10</v>
      </c>
      <c r="B3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1" s="1" t="s">
        <v>877</v>
      </c>
      <c r="D321" s="1" t="s">
        <v>878</v>
      </c>
      <c r="E321" s="1" t="s">
        <v>879</v>
      </c>
      <c r="F321" s="1" t="s">
        <v>112</v>
      </c>
      <c r="G321" s="1">
        <v>233084</v>
      </c>
    </row>
    <row r="322" spans="1:9" x14ac:dyDescent="0.25">
      <c r="A322" s="1" t="str">
        <f t="shared" ref="A322:A385" si="5">IFERROR(LEFT(RIGHT(C322,LEN(C322)-SEARCH("@",C322)),SEARCH("/",RIGHT(C322,LEN(C322)-SEARCH("@",C322)-1))),"")</f>
        <v>10 Cromolyn 10</v>
      </c>
      <c r="B3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22" s="1" t="s">
        <v>880</v>
      </c>
      <c r="D322" s="1" t="s">
        <v>857</v>
      </c>
      <c r="E322" s="1" t="s">
        <v>881</v>
      </c>
      <c r="F322" s="1" t="s">
        <v>112</v>
      </c>
      <c r="G322" s="1">
        <v>391523</v>
      </c>
    </row>
    <row r="323" spans="1:9" x14ac:dyDescent="0.25">
      <c r="A323" s="1" t="str">
        <f t="shared" si="5"/>
        <v/>
      </c>
      <c r="B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3" s="1" t="s">
        <v>112</v>
      </c>
    </row>
    <row r="324" spans="1:9" x14ac:dyDescent="0.25">
      <c r="A324" s="1" t="str">
        <f t="shared" si="5"/>
        <v/>
      </c>
      <c r="B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4" s="1" t="s">
        <v>235</v>
      </c>
      <c r="D324" s="1" t="s">
        <v>112</v>
      </c>
      <c r="E324" s="1" t="s">
        <v>236</v>
      </c>
      <c r="F324" s="1" t="s">
        <v>237</v>
      </c>
      <c r="G324" s="1" t="s">
        <v>238</v>
      </c>
      <c r="H324" s="1" t="s">
        <v>239</v>
      </c>
      <c r="I324" s="1" t="s">
        <v>240</v>
      </c>
    </row>
    <row r="325" spans="1:9" x14ac:dyDescent="0.25">
      <c r="A325" s="1" t="str">
        <f t="shared" si="5"/>
        <v>10 Cromolyn 10</v>
      </c>
      <c r="B32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25" s="1" t="s">
        <v>882</v>
      </c>
      <c r="D325" s="1" t="s">
        <v>112</v>
      </c>
      <c r="E325" s="1" t="s">
        <v>883</v>
      </c>
      <c r="F325" s="1" t="s">
        <v>884</v>
      </c>
      <c r="G325" s="1" t="s">
        <v>885</v>
      </c>
      <c r="H325" s="1" t="s">
        <v>886</v>
      </c>
      <c r="I325" s="1">
        <v>24</v>
      </c>
    </row>
    <row r="326" spans="1:9" x14ac:dyDescent="0.25">
      <c r="A326" s="1" t="str">
        <f t="shared" si="5"/>
        <v/>
      </c>
      <c r="B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6" s="1" t="s">
        <v>112</v>
      </c>
    </row>
    <row r="327" spans="1:9" x14ac:dyDescent="0.25">
      <c r="A327" s="1" t="str">
        <f t="shared" si="5"/>
        <v/>
      </c>
      <c r="B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7" s="1" t="s">
        <v>112</v>
      </c>
    </row>
    <row r="328" spans="1:9" x14ac:dyDescent="0.25">
      <c r="A328" s="1" t="str">
        <f t="shared" si="5"/>
        <v/>
      </c>
      <c r="B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8" s="1" t="s">
        <v>112</v>
      </c>
    </row>
    <row r="329" spans="1:9" x14ac:dyDescent="0.25">
      <c r="A329" s="1" t="str">
        <f t="shared" si="5"/>
        <v/>
      </c>
      <c r="B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29" s="1" t="s">
        <v>112</v>
      </c>
    </row>
    <row r="330" spans="1:9" x14ac:dyDescent="0.25">
      <c r="A330" s="1" t="str">
        <f t="shared" si="5"/>
        <v/>
      </c>
      <c r="B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0" s="1" t="s">
        <v>112</v>
      </c>
    </row>
    <row r="331" spans="1:9" x14ac:dyDescent="0.25">
      <c r="A331" s="1" t="str">
        <f t="shared" si="5"/>
        <v/>
      </c>
      <c r="B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31" s="1" t="s">
        <v>246</v>
      </c>
      <c r="D331" s="1" t="s">
        <v>110</v>
      </c>
      <c r="E331" s="1" t="s">
        <v>111</v>
      </c>
      <c r="F331" s="1" t="s">
        <v>112</v>
      </c>
      <c r="G331" s="1" t="s">
        <v>113</v>
      </c>
    </row>
    <row r="332" spans="1:9" x14ac:dyDescent="0.25">
      <c r="A332" s="1" t="str">
        <f t="shared" si="5"/>
        <v>11 Cromolyn 100</v>
      </c>
      <c r="B3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2" s="1" t="s">
        <v>887</v>
      </c>
      <c r="D332" s="1" t="s">
        <v>888</v>
      </c>
      <c r="E332" s="1" t="s">
        <v>889</v>
      </c>
      <c r="F332" s="1" t="s">
        <v>112</v>
      </c>
      <c r="G332" s="1">
        <v>171439</v>
      </c>
    </row>
    <row r="333" spans="1:9" x14ac:dyDescent="0.25">
      <c r="A333" s="1" t="str">
        <f t="shared" si="5"/>
        <v>11 Cromolyn 100</v>
      </c>
      <c r="B3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3" s="1" t="s">
        <v>890</v>
      </c>
      <c r="D333" s="1" t="s">
        <v>308</v>
      </c>
      <c r="E333" s="1" t="s">
        <v>891</v>
      </c>
      <c r="F333" s="1" t="s">
        <v>112</v>
      </c>
      <c r="G333" s="1">
        <v>75229</v>
      </c>
    </row>
    <row r="334" spans="1:9" x14ac:dyDescent="0.25">
      <c r="A334" s="1" t="str">
        <f t="shared" si="5"/>
        <v>11 Cromolyn 100</v>
      </c>
      <c r="B3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34" s="1" t="s">
        <v>892</v>
      </c>
      <c r="D334" s="1" t="s">
        <v>306</v>
      </c>
      <c r="E334" s="1" t="s">
        <v>893</v>
      </c>
      <c r="F334" s="1" t="s">
        <v>112</v>
      </c>
      <c r="G334" s="1">
        <v>72244</v>
      </c>
    </row>
    <row r="335" spans="1:9" x14ac:dyDescent="0.25">
      <c r="A335" s="1" t="str">
        <f t="shared" si="5"/>
        <v>11 Cromolyn 100</v>
      </c>
      <c r="B3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5" s="1" t="s">
        <v>894</v>
      </c>
      <c r="D335" s="1" t="s">
        <v>895</v>
      </c>
      <c r="E335" s="1" t="s">
        <v>896</v>
      </c>
      <c r="F335" s="1" t="s">
        <v>112</v>
      </c>
      <c r="G335" s="1">
        <v>918557</v>
      </c>
    </row>
    <row r="336" spans="1:9" x14ac:dyDescent="0.25">
      <c r="A336" s="1" t="str">
        <f t="shared" si="5"/>
        <v>11 Cromolyn 100</v>
      </c>
      <c r="B3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6" s="1" t="s">
        <v>897</v>
      </c>
    </row>
    <row r="337" spans="1:7" x14ac:dyDescent="0.25">
      <c r="A337" s="1" t="str">
        <f t="shared" si="5"/>
        <v>11 Cromolyn 100</v>
      </c>
      <c r="B3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37" s="1" t="s">
        <v>898</v>
      </c>
      <c r="D337" s="1" t="s">
        <v>899</v>
      </c>
      <c r="E337" s="1" t="s">
        <v>900</v>
      </c>
      <c r="F337" s="1" t="s">
        <v>112</v>
      </c>
      <c r="G337" s="1">
        <v>876422</v>
      </c>
    </row>
    <row r="338" spans="1:7" x14ac:dyDescent="0.25">
      <c r="A338" s="1" t="str">
        <f t="shared" si="5"/>
        <v>11 Cromolyn 100</v>
      </c>
      <c r="B3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8" s="1" t="s">
        <v>901</v>
      </c>
      <c r="D338" s="1" t="s">
        <v>807</v>
      </c>
      <c r="E338" s="1" t="s">
        <v>902</v>
      </c>
      <c r="F338" s="1" t="s">
        <v>112</v>
      </c>
      <c r="G338" s="1">
        <v>47023</v>
      </c>
    </row>
    <row r="339" spans="1:7" x14ac:dyDescent="0.25">
      <c r="A339" s="1" t="str">
        <f t="shared" si="5"/>
        <v>11 Cromolyn 100</v>
      </c>
      <c r="B3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39" s="1" t="s">
        <v>903</v>
      </c>
      <c r="D339" s="1" t="s">
        <v>904</v>
      </c>
      <c r="E339" s="1" t="s">
        <v>905</v>
      </c>
      <c r="F339" s="1" t="s">
        <v>112</v>
      </c>
      <c r="G339" s="1">
        <v>45380</v>
      </c>
    </row>
    <row r="340" spans="1:7" x14ac:dyDescent="0.25">
      <c r="A340" s="1" t="str">
        <f t="shared" si="5"/>
        <v>11 Cromolyn 100</v>
      </c>
      <c r="B3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40" s="1" t="s">
        <v>906</v>
      </c>
      <c r="D340" s="1" t="s">
        <v>799</v>
      </c>
      <c r="E340" s="1" t="s">
        <v>907</v>
      </c>
      <c r="F340" s="1" t="s">
        <v>112</v>
      </c>
      <c r="G340" s="1">
        <v>62705</v>
      </c>
    </row>
    <row r="341" spans="1:7" x14ac:dyDescent="0.25">
      <c r="A341" s="1" t="str">
        <f t="shared" si="5"/>
        <v>11 Cromolyn 100</v>
      </c>
      <c r="B3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1" s="1" t="s">
        <v>908</v>
      </c>
      <c r="D341" s="1" t="s">
        <v>909</v>
      </c>
      <c r="E341" s="1" t="s">
        <v>910</v>
      </c>
      <c r="F341" s="1" t="s">
        <v>112</v>
      </c>
      <c r="G341" s="1">
        <v>559717</v>
      </c>
    </row>
    <row r="342" spans="1:7" x14ac:dyDescent="0.25">
      <c r="A342" s="1" t="str">
        <f t="shared" si="5"/>
        <v>11 Cromolyn 100</v>
      </c>
      <c r="B3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2" s="1" t="s">
        <v>911</v>
      </c>
      <c r="D342" s="1" t="s">
        <v>912</v>
      </c>
      <c r="E342" s="1" t="s">
        <v>913</v>
      </c>
      <c r="F342" s="1" t="s">
        <v>112</v>
      </c>
      <c r="G342" s="1">
        <v>539709</v>
      </c>
    </row>
    <row r="343" spans="1:7" x14ac:dyDescent="0.25">
      <c r="A343" s="1" t="str">
        <f t="shared" si="5"/>
        <v>11 Cromolyn 100</v>
      </c>
      <c r="B3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43" s="1" t="s">
        <v>914</v>
      </c>
      <c r="D343" s="1" t="s">
        <v>915</v>
      </c>
      <c r="E343" s="1" t="s">
        <v>916</v>
      </c>
      <c r="F343" s="1" t="s">
        <v>112</v>
      </c>
      <c r="G343" s="1">
        <v>450529</v>
      </c>
    </row>
    <row r="344" spans="1:7" x14ac:dyDescent="0.25">
      <c r="A344" s="1" t="str">
        <f t="shared" si="5"/>
        <v>11 Cromolyn 100</v>
      </c>
      <c r="B3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4" s="1" t="s">
        <v>917</v>
      </c>
      <c r="D344" s="1" t="s">
        <v>918</v>
      </c>
      <c r="E344" s="1" t="s">
        <v>919</v>
      </c>
      <c r="F344" s="1" t="s">
        <v>112</v>
      </c>
      <c r="G344" s="1">
        <v>242925</v>
      </c>
    </row>
    <row r="345" spans="1:7" x14ac:dyDescent="0.25">
      <c r="A345" s="1" t="str">
        <f t="shared" si="5"/>
        <v>11 Cromolyn 100</v>
      </c>
      <c r="B3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5" s="1" t="s">
        <v>920</v>
      </c>
      <c r="D345" s="1" t="s">
        <v>921</v>
      </c>
      <c r="E345" s="1" t="s">
        <v>922</v>
      </c>
      <c r="F345" s="1" t="s">
        <v>112</v>
      </c>
      <c r="G345" s="1">
        <v>509189</v>
      </c>
    </row>
    <row r="346" spans="1:7" x14ac:dyDescent="0.25">
      <c r="A346" s="1" t="str">
        <f t="shared" si="5"/>
        <v>11 Cromolyn 100</v>
      </c>
      <c r="B3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46" s="1" t="s">
        <v>923</v>
      </c>
      <c r="D346" s="1" t="s">
        <v>403</v>
      </c>
      <c r="E346" s="1" t="s">
        <v>924</v>
      </c>
      <c r="F346" s="1" t="s">
        <v>112</v>
      </c>
      <c r="G346" s="1">
        <v>126600</v>
      </c>
    </row>
    <row r="347" spans="1:7" x14ac:dyDescent="0.25">
      <c r="A347" s="1" t="str">
        <f t="shared" si="5"/>
        <v>11 Cromolyn 100</v>
      </c>
      <c r="B3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7" s="1" t="s">
        <v>925</v>
      </c>
      <c r="D347" s="1" t="s">
        <v>926</v>
      </c>
      <c r="E347" s="1" t="s">
        <v>927</v>
      </c>
      <c r="F347" s="1" t="s">
        <v>112</v>
      </c>
      <c r="G347" s="1">
        <v>1368956</v>
      </c>
    </row>
    <row r="348" spans="1:7" x14ac:dyDescent="0.25">
      <c r="A348" s="1" t="str">
        <f t="shared" si="5"/>
        <v>11 Cromolyn 100</v>
      </c>
      <c r="B3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8" s="1" t="s">
        <v>928</v>
      </c>
      <c r="D348" s="1" t="s">
        <v>929</v>
      </c>
      <c r="E348" s="1" t="s">
        <v>930</v>
      </c>
      <c r="F348" s="1" t="s">
        <v>112</v>
      </c>
      <c r="G348" s="1">
        <v>795418</v>
      </c>
    </row>
    <row r="349" spans="1:7" x14ac:dyDescent="0.25">
      <c r="A349" s="1" t="str">
        <f t="shared" si="5"/>
        <v>11 Cromolyn 100</v>
      </c>
      <c r="B3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49" s="1" t="s">
        <v>931</v>
      </c>
      <c r="D349" s="1" t="s">
        <v>932</v>
      </c>
      <c r="E349" s="1" t="s">
        <v>933</v>
      </c>
      <c r="F349" s="1" t="s">
        <v>112</v>
      </c>
      <c r="G349" s="1">
        <v>281816</v>
      </c>
    </row>
    <row r="350" spans="1:7" x14ac:dyDescent="0.25">
      <c r="A350" s="1" t="str">
        <f t="shared" si="5"/>
        <v>11 Cromolyn 100</v>
      </c>
      <c r="B3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0" s="1" t="s">
        <v>934</v>
      </c>
      <c r="D350" s="1" t="s">
        <v>935</v>
      </c>
      <c r="E350" s="1" t="s">
        <v>936</v>
      </c>
      <c r="F350" s="1" t="s">
        <v>112</v>
      </c>
      <c r="G350" s="1">
        <v>478929</v>
      </c>
    </row>
    <row r="351" spans="1:7" x14ac:dyDescent="0.25">
      <c r="A351" s="1" t="str">
        <f t="shared" si="5"/>
        <v>11 Cromolyn 100</v>
      </c>
      <c r="B3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1" s="1" t="s">
        <v>937</v>
      </c>
      <c r="D351" s="1" t="s">
        <v>938</v>
      </c>
      <c r="E351" s="1" t="s">
        <v>939</v>
      </c>
      <c r="F351" s="1" t="s">
        <v>112</v>
      </c>
      <c r="G351" s="1">
        <v>397449</v>
      </c>
    </row>
    <row r="352" spans="1:7" x14ac:dyDescent="0.25">
      <c r="A352" s="1" t="str">
        <f t="shared" si="5"/>
        <v>11 Cromolyn 100</v>
      </c>
      <c r="B3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52" s="1" t="s">
        <v>940</v>
      </c>
      <c r="D352" s="1" t="s">
        <v>941</v>
      </c>
      <c r="E352" s="1" t="s">
        <v>942</v>
      </c>
      <c r="F352" s="1" t="s">
        <v>112</v>
      </c>
      <c r="G352" s="1">
        <v>487689</v>
      </c>
    </row>
    <row r="353" spans="1:9" x14ac:dyDescent="0.25">
      <c r="A353" s="1" t="str">
        <f t="shared" si="5"/>
        <v>11 Cromolyn 100</v>
      </c>
      <c r="B3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3" s="1" t="s">
        <v>943</v>
      </c>
      <c r="D353" s="1" t="s">
        <v>875</v>
      </c>
      <c r="E353" s="1" t="s">
        <v>944</v>
      </c>
      <c r="F353" s="1" t="s">
        <v>112</v>
      </c>
      <c r="G353" s="1">
        <v>560906</v>
      </c>
    </row>
    <row r="354" spans="1:9" x14ac:dyDescent="0.25">
      <c r="A354" s="1" t="str">
        <f t="shared" si="5"/>
        <v>11 Cromolyn 100</v>
      </c>
      <c r="B3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4" s="1" t="s">
        <v>945</v>
      </c>
      <c r="D354" s="1" t="s">
        <v>946</v>
      </c>
      <c r="E354" s="1" t="s">
        <v>947</v>
      </c>
      <c r="F354" s="1" t="s">
        <v>112</v>
      </c>
      <c r="G354" s="1">
        <v>433485</v>
      </c>
    </row>
    <row r="355" spans="1:9" x14ac:dyDescent="0.25">
      <c r="A355" s="1" t="str">
        <f t="shared" si="5"/>
        <v>11 Cromolyn 100</v>
      </c>
      <c r="B3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55" s="1" t="s">
        <v>948</v>
      </c>
      <c r="D355" s="1" t="s">
        <v>949</v>
      </c>
      <c r="E355" s="1" t="s">
        <v>950</v>
      </c>
      <c r="F355" s="1" t="s">
        <v>112</v>
      </c>
      <c r="G355" s="1">
        <v>443910</v>
      </c>
    </row>
    <row r="356" spans="1:9" x14ac:dyDescent="0.25">
      <c r="A356" s="1" t="str">
        <f t="shared" si="5"/>
        <v/>
      </c>
      <c r="B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6" s="1" t="s">
        <v>112</v>
      </c>
    </row>
    <row r="357" spans="1:9" x14ac:dyDescent="0.25">
      <c r="A357" s="1" t="str">
        <f t="shared" si="5"/>
        <v/>
      </c>
      <c r="B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7" s="1" t="s">
        <v>235</v>
      </c>
      <c r="D357" s="1" t="s">
        <v>112</v>
      </c>
      <c r="E357" s="1" t="s">
        <v>236</v>
      </c>
      <c r="F357" s="1" t="s">
        <v>237</v>
      </c>
      <c r="G357" s="1" t="s">
        <v>238</v>
      </c>
      <c r="H357" s="1" t="s">
        <v>239</v>
      </c>
      <c r="I357" s="1" t="s">
        <v>240</v>
      </c>
    </row>
    <row r="358" spans="1:9" x14ac:dyDescent="0.25">
      <c r="A358" s="1" t="str">
        <f t="shared" si="5"/>
        <v>11 Cromolyn 100</v>
      </c>
      <c r="B35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58" s="1" t="s">
        <v>951</v>
      </c>
      <c r="D358" s="1" t="s">
        <v>112</v>
      </c>
      <c r="E358" s="1" t="s">
        <v>952</v>
      </c>
      <c r="F358" s="1" t="s">
        <v>953</v>
      </c>
      <c r="G358" s="1" t="s">
        <v>954</v>
      </c>
      <c r="H358" s="1" t="s">
        <v>955</v>
      </c>
      <c r="I358" s="1">
        <v>24</v>
      </c>
    </row>
    <row r="359" spans="1:9" x14ac:dyDescent="0.25">
      <c r="A359" s="1" t="str">
        <f t="shared" si="5"/>
        <v/>
      </c>
      <c r="B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59" s="1" t="s">
        <v>112</v>
      </c>
    </row>
    <row r="360" spans="1:9" x14ac:dyDescent="0.25">
      <c r="A360" s="1" t="str">
        <f t="shared" si="5"/>
        <v/>
      </c>
      <c r="B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0" s="1" t="s">
        <v>112</v>
      </c>
    </row>
    <row r="361" spans="1:9" x14ac:dyDescent="0.25">
      <c r="A361" s="1" t="str">
        <f t="shared" si="5"/>
        <v/>
      </c>
      <c r="B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1" s="1" t="s">
        <v>112</v>
      </c>
    </row>
    <row r="362" spans="1:9" x14ac:dyDescent="0.25">
      <c r="A362" s="1" t="str">
        <f t="shared" si="5"/>
        <v/>
      </c>
      <c r="B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2" s="1" t="s">
        <v>112</v>
      </c>
    </row>
    <row r="363" spans="1:9" x14ac:dyDescent="0.25">
      <c r="A363" s="1" t="str">
        <f t="shared" si="5"/>
        <v/>
      </c>
      <c r="B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3" s="1" t="s">
        <v>112</v>
      </c>
    </row>
    <row r="364" spans="1:9" x14ac:dyDescent="0.25">
      <c r="A364" s="1" t="str">
        <f t="shared" si="5"/>
        <v/>
      </c>
      <c r="B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64" s="1" t="s">
        <v>246</v>
      </c>
      <c r="D364" s="1" t="s">
        <v>110</v>
      </c>
      <c r="E364" s="1" t="s">
        <v>111</v>
      </c>
      <c r="F364" s="1" t="s">
        <v>112</v>
      </c>
      <c r="G364" s="1" t="s">
        <v>113</v>
      </c>
    </row>
    <row r="365" spans="1:9" x14ac:dyDescent="0.25">
      <c r="A365" s="1" t="str">
        <f t="shared" si="5"/>
        <v>12 Cromolyn 1000</v>
      </c>
      <c r="B3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5" s="1" t="s">
        <v>956</v>
      </c>
      <c r="D365" s="1" t="s">
        <v>957</v>
      </c>
      <c r="E365" s="1" t="s">
        <v>958</v>
      </c>
      <c r="F365" s="1" t="s">
        <v>112</v>
      </c>
      <c r="G365" s="1">
        <v>228239</v>
      </c>
    </row>
    <row r="366" spans="1:9" x14ac:dyDescent="0.25">
      <c r="A366" s="1" t="str">
        <f t="shared" si="5"/>
        <v>12 Cromolyn 1000</v>
      </c>
      <c r="B3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6" s="1" t="s">
        <v>959</v>
      </c>
      <c r="D366" s="1" t="s">
        <v>173</v>
      </c>
      <c r="E366" s="1" t="s">
        <v>960</v>
      </c>
      <c r="F366" s="1" t="s">
        <v>112</v>
      </c>
      <c r="G366" s="1">
        <v>87839</v>
      </c>
    </row>
    <row r="367" spans="1:9" x14ac:dyDescent="0.25">
      <c r="A367" s="1" t="str">
        <f t="shared" si="5"/>
        <v>12 Cromolyn 1000</v>
      </c>
      <c r="B3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67" s="1" t="s">
        <v>961</v>
      </c>
      <c r="D367" s="1" t="s">
        <v>962</v>
      </c>
      <c r="E367" s="1" t="s">
        <v>963</v>
      </c>
      <c r="F367" s="1" t="s">
        <v>112</v>
      </c>
      <c r="G367" s="1">
        <v>70124</v>
      </c>
    </row>
    <row r="368" spans="1:9" x14ac:dyDescent="0.25">
      <c r="A368" s="1" t="str">
        <f t="shared" si="5"/>
        <v>12 Cromolyn 1000</v>
      </c>
      <c r="B3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8" s="1" t="s">
        <v>964</v>
      </c>
      <c r="D368" s="1" t="s">
        <v>965</v>
      </c>
      <c r="E368" s="1" t="s">
        <v>966</v>
      </c>
      <c r="F368" s="1" t="s">
        <v>112</v>
      </c>
      <c r="G368" s="1">
        <v>199168</v>
      </c>
    </row>
    <row r="369" spans="1:7" x14ac:dyDescent="0.25">
      <c r="A369" s="1" t="str">
        <f t="shared" si="5"/>
        <v>12 Cromolyn 1000</v>
      </c>
      <c r="B3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69" s="1" t="s">
        <v>967</v>
      </c>
      <c r="D369" s="1" t="s">
        <v>968</v>
      </c>
      <c r="E369" s="1" t="s">
        <v>969</v>
      </c>
      <c r="F369" s="1" t="s">
        <v>112</v>
      </c>
      <c r="G369" s="1">
        <v>116866</v>
      </c>
    </row>
    <row r="370" spans="1:7" x14ac:dyDescent="0.25">
      <c r="A370" s="1" t="str">
        <f t="shared" si="5"/>
        <v>12 Cromolyn 1000</v>
      </c>
      <c r="B3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370" s="1" t="s">
        <v>970</v>
      </c>
      <c r="D370" s="1" t="s">
        <v>971</v>
      </c>
      <c r="E370" s="1" t="s">
        <v>972</v>
      </c>
      <c r="F370" s="1" t="s">
        <v>112</v>
      </c>
      <c r="G370" s="1">
        <v>34716</v>
      </c>
    </row>
    <row r="371" spans="1:7" x14ac:dyDescent="0.25">
      <c r="A371" s="1" t="str">
        <f t="shared" si="5"/>
        <v>12 Cromolyn 1000</v>
      </c>
      <c r="B3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1" s="1" t="s">
        <v>973</v>
      </c>
      <c r="D371" s="1" t="s">
        <v>974</v>
      </c>
      <c r="E371" s="1" t="s">
        <v>975</v>
      </c>
      <c r="F371" s="1" t="s">
        <v>112</v>
      </c>
      <c r="G371" s="1">
        <v>677816</v>
      </c>
    </row>
    <row r="372" spans="1:7" x14ac:dyDescent="0.25">
      <c r="A372" s="1" t="str">
        <f t="shared" si="5"/>
        <v>12 Cromolyn 1000</v>
      </c>
      <c r="B3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2" s="1" t="s">
        <v>976</v>
      </c>
      <c r="D372" s="1" t="s">
        <v>977</v>
      </c>
      <c r="E372" s="1" t="s">
        <v>978</v>
      </c>
      <c r="F372" s="1" t="s">
        <v>112</v>
      </c>
      <c r="G372" s="1">
        <v>542175</v>
      </c>
    </row>
    <row r="373" spans="1:7" x14ac:dyDescent="0.25">
      <c r="A373" s="1" t="str">
        <f t="shared" si="5"/>
        <v>12 Cromolyn 1000</v>
      </c>
      <c r="B3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373" s="1" t="s">
        <v>979</v>
      </c>
      <c r="D373" s="1" t="s">
        <v>258</v>
      </c>
      <c r="E373" s="1" t="s">
        <v>980</v>
      </c>
      <c r="F373" s="1" t="s">
        <v>112</v>
      </c>
      <c r="G373" s="1">
        <v>426282</v>
      </c>
    </row>
    <row r="374" spans="1:7" x14ac:dyDescent="0.25">
      <c r="A374" s="1" t="str">
        <f t="shared" si="5"/>
        <v>12 Cromolyn 1000</v>
      </c>
      <c r="B3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4" s="1" t="s">
        <v>981</v>
      </c>
      <c r="D374" s="1" t="s">
        <v>273</v>
      </c>
      <c r="E374" s="1" t="s">
        <v>982</v>
      </c>
      <c r="F374" s="1" t="s">
        <v>112</v>
      </c>
      <c r="G374" s="1">
        <v>787826</v>
      </c>
    </row>
    <row r="375" spans="1:7" x14ac:dyDescent="0.25">
      <c r="A375" s="1" t="str">
        <f t="shared" si="5"/>
        <v>12 Cromolyn 1000</v>
      </c>
      <c r="B3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5" s="1" t="s">
        <v>983</v>
      </c>
      <c r="D375" s="1" t="s">
        <v>984</v>
      </c>
      <c r="E375" s="1" t="s">
        <v>985</v>
      </c>
      <c r="F375" s="1" t="s">
        <v>112</v>
      </c>
      <c r="G375" s="1">
        <v>104559</v>
      </c>
    </row>
    <row r="376" spans="1:7" x14ac:dyDescent="0.25">
      <c r="A376" s="1" t="str">
        <f t="shared" si="5"/>
        <v>12 Cromolyn 1000</v>
      </c>
      <c r="B3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376" s="1" t="s">
        <v>986</v>
      </c>
      <c r="D376" s="1" t="s">
        <v>987</v>
      </c>
      <c r="E376" s="1" t="s">
        <v>988</v>
      </c>
      <c r="F376" s="1" t="s">
        <v>112</v>
      </c>
      <c r="G376" s="1">
        <v>745085</v>
      </c>
    </row>
    <row r="377" spans="1:7" x14ac:dyDescent="0.25">
      <c r="A377" s="1" t="str">
        <f t="shared" si="5"/>
        <v>12 Cromolyn 1000</v>
      </c>
      <c r="B3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7" s="1" t="s">
        <v>989</v>
      </c>
      <c r="D377" s="1" t="s">
        <v>990</v>
      </c>
      <c r="E377" s="1" t="s">
        <v>991</v>
      </c>
      <c r="F377" s="1" t="s">
        <v>112</v>
      </c>
      <c r="G377" s="1">
        <v>264231</v>
      </c>
    </row>
    <row r="378" spans="1:7" x14ac:dyDescent="0.25">
      <c r="A378" s="1" t="str">
        <f t="shared" si="5"/>
        <v>12 Cromolyn 1000</v>
      </c>
      <c r="B3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8" s="1" t="s">
        <v>992</v>
      </c>
      <c r="D378" s="1" t="s">
        <v>699</v>
      </c>
      <c r="E378" s="1" t="s">
        <v>993</v>
      </c>
      <c r="F378" s="1" t="s">
        <v>112</v>
      </c>
      <c r="G378" s="1">
        <v>250388</v>
      </c>
    </row>
    <row r="379" spans="1:7" x14ac:dyDescent="0.25">
      <c r="A379" s="1" t="str">
        <f t="shared" si="5"/>
        <v>12 Cromolyn 1000</v>
      </c>
      <c r="B3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379" s="1" t="s">
        <v>994</v>
      </c>
      <c r="D379" s="1" t="s">
        <v>995</v>
      </c>
      <c r="E379" s="1" t="s">
        <v>996</v>
      </c>
      <c r="F379" s="1" t="s">
        <v>112</v>
      </c>
      <c r="G379" s="1">
        <v>301715</v>
      </c>
    </row>
    <row r="380" spans="1:7" x14ac:dyDescent="0.25">
      <c r="A380" s="1" t="str">
        <f t="shared" si="5"/>
        <v>12 Cromolyn 1000</v>
      </c>
      <c r="B3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0" s="1" t="s">
        <v>997</v>
      </c>
      <c r="D380" s="1" t="s">
        <v>998</v>
      </c>
      <c r="E380" s="1" t="s">
        <v>999</v>
      </c>
      <c r="F380" s="1" t="s">
        <v>112</v>
      </c>
      <c r="G380" s="1">
        <v>128957</v>
      </c>
    </row>
    <row r="381" spans="1:7" x14ac:dyDescent="0.25">
      <c r="A381" s="1" t="str">
        <f t="shared" si="5"/>
        <v>12 Cromolyn 1000</v>
      </c>
      <c r="B3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1" s="1" t="s">
        <v>1000</v>
      </c>
      <c r="D381" s="1" t="s">
        <v>365</v>
      </c>
      <c r="E381" s="1" t="s">
        <v>1001</v>
      </c>
      <c r="F381" s="1" t="s">
        <v>112</v>
      </c>
      <c r="G381" s="1">
        <v>193285</v>
      </c>
    </row>
    <row r="382" spans="1:7" x14ac:dyDescent="0.25">
      <c r="A382" s="1" t="str">
        <f t="shared" si="5"/>
        <v>12 Cromolyn 1000</v>
      </c>
      <c r="B3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382" s="1" t="s">
        <v>1002</v>
      </c>
    </row>
    <row r="383" spans="1:7" x14ac:dyDescent="0.25">
      <c r="A383" s="1" t="str">
        <f t="shared" si="5"/>
        <v>12 Cromolyn 1000</v>
      </c>
      <c r="B3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3" s="1" t="s">
        <v>1003</v>
      </c>
      <c r="D383" s="1" t="s">
        <v>1004</v>
      </c>
      <c r="E383" s="1" t="s">
        <v>1005</v>
      </c>
      <c r="F383" s="1" t="s">
        <v>112</v>
      </c>
      <c r="G383" s="1">
        <v>225405</v>
      </c>
    </row>
    <row r="384" spans="1:7" x14ac:dyDescent="0.25">
      <c r="A384" s="1" t="str">
        <f t="shared" si="5"/>
        <v>12 Cromolyn 1000</v>
      </c>
      <c r="B3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4" s="1" t="s">
        <v>1006</v>
      </c>
      <c r="D384" s="1" t="s">
        <v>1007</v>
      </c>
      <c r="E384" s="1" t="s">
        <v>1008</v>
      </c>
      <c r="F384" s="1" t="s">
        <v>112</v>
      </c>
      <c r="G384" s="1">
        <v>881245</v>
      </c>
    </row>
    <row r="385" spans="1:9" x14ac:dyDescent="0.25">
      <c r="A385" s="1" t="str">
        <f t="shared" si="5"/>
        <v>12 Cromolyn 1000</v>
      </c>
      <c r="B3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385" s="1" t="s">
        <v>1009</v>
      </c>
      <c r="D385" s="1" t="s">
        <v>1010</v>
      </c>
      <c r="E385" s="1" t="s">
        <v>1011</v>
      </c>
      <c r="F385" s="1" t="s">
        <v>112</v>
      </c>
      <c r="G385" s="1">
        <v>688025</v>
      </c>
    </row>
    <row r="386" spans="1:9" x14ac:dyDescent="0.25">
      <c r="A386" s="1" t="str">
        <f t="shared" ref="A386:A449" si="6">IFERROR(LEFT(RIGHT(C386,LEN(C386)-SEARCH("@",C386)),SEARCH("/",RIGHT(C386,LEN(C386)-SEARCH("@",C386)-1))),"")</f>
        <v>12 Cromolyn 1000</v>
      </c>
      <c r="B3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6" s="1" t="s">
        <v>1012</v>
      </c>
      <c r="D386" s="1" t="s">
        <v>1013</v>
      </c>
      <c r="E386" s="1" t="s">
        <v>1014</v>
      </c>
      <c r="F386" s="1" t="s">
        <v>112</v>
      </c>
      <c r="G386" s="1">
        <v>714933</v>
      </c>
    </row>
    <row r="387" spans="1:9" x14ac:dyDescent="0.25">
      <c r="A387" s="1" t="str">
        <f t="shared" si="6"/>
        <v>12 Cromolyn 1000</v>
      </c>
      <c r="B3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7" s="1" t="s">
        <v>1015</v>
      </c>
      <c r="D387" s="1" t="s">
        <v>1016</v>
      </c>
      <c r="E387" s="1" t="s">
        <v>1017</v>
      </c>
      <c r="F387" s="1" t="s">
        <v>112</v>
      </c>
      <c r="G387" s="1">
        <v>562399</v>
      </c>
    </row>
    <row r="388" spans="1:9" x14ac:dyDescent="0.25">
      <c r="A388" s="1" t="str">
        <f t="shared" si="6"/>
        <v>12 Cromolyn 1000</v>
      </c>
      <c r="B3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388" s="1" t="s">
        <v>1018</v>
      </c>
      <c r="D388" s="1" t="s">
        <v>974</v>
      </c>
      <c r="E388" s="1" t="s">
        <v>1019</v>
      </c>
      <c r="F388" s="1" t="s">
        <v>112</v>
      </c>
      <c r="G388" s="1">
        <v>668494</v>
      </c>
    </row>
    <row r="389" spans="1:9" x14ac:dyDescent="0.25">
      <c r="A389" s="1" t="str">
        <f t="shared" si="6"/>
        <v/>
      </c>
      <c r="B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89" s="1" t="s">
        <v>112</v>
      </c>
    </row>
    <row r="390" spans="1:9" x14ac:dyDescent="0.25">
      <c r="A390" s="1" t="str">
        <f t="shared" si="6"/>
        <v/>
      </c>
      <c r="B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0" s="1" t="s">
        <v>235</v>
      </c>
      <c r="D390" s="1" t="s">
        <v>112</v>
      </c>
      <c r="E390" s="1" t="s">
        <v>236</v>
      </c>
      <c r="F390" s="1" t="s">
        <v>237</v>
      </c>
      <c r="G390" s="1" t="s">
        <v>238</v>
      </c>
      <c r="H390" s="1" t="s">
        <v>239</v>
      </c>
      <c r="I390" s="1" t="s">
        <v>240</v>
      </c>
    </row>
    <row r="391" spans="1:9" x14ac:dyDescent="0.25">
      <c r="A391" s="1" t="str">
        <f t="shared" si="6"/>
        <v>12 Cromolyn 1000</v>
      </c>
      <c r="B39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391" s="1" t="s">
        <v>1020</v>
      </c>
      <c r="D391" s="1" t="s">
        <v>112</v>
      </c>
      <c r="E391" s="1" t="s">
        <v>1021</v>
      </c>
      <c r="F391" s="1" t="s">
        <v>1022</v>
      </c>
      <c r="G391" s="1" t="s">
        <v>1023</v>
      </c>
      <c r="H391" s="1" t="s">
        <v>1024</v>
      </c>
      <c r="I391" s="1">
        <v>24</v>
      </c>
    </row>
    <row r="392" spans="1:9" x14ac:dyDescent="0.25">
      <c r="A392" s="1" t="str">
        <f t="shared" si="6"/>
        <v/>
      </c>
      <c r="B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2" s="1" t="s">
        <v>112</v>
      </c>
    </row>
    <row r="393" spans="1:9" x14ac:dyDescent="0.25">
      <c r="A393" s="1" t="str">
        <f t="shared" si="6"/>
        <v/>
      </c>
      <c r="B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3" s="1" t="s">
        <v>112</v>
      </c>
    </row>
    <row r="394" spans="1:9" x14ac:dyDescent="0.25">
      <c r="A394" s="1" t="str">
        <f t="shared" si="6"/>
        <v/>
      </c>
      <c r="B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4" s="1" t="s">
        <v>112</v>
      </c>
    </row>
    <row r="395" spans="1:9" x14ac:dyDescent="0.25">
      <c r="A395" s="1" t="str">
        <f t="shared" si="6"/>
        <v/>
      </c>
      <c r="B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5" s="1" t="s">
        <v>112</v>
      </c>
    </row>
    <row r="396" spans="1:9" x14ac:dyDescent="0.25">
      <c r="A396" s="1" t="str">
        <f t="shared" si="6"/>
        <v/>
      </c>
      <c r="B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6" s="1" t="s">
        <v>112</v>
      </c>
    </row>
    <row r="397" spans="1:9" x14ac:dyDescent="0.25">
      <c r="A397" s="1" t="str">
        <f t="shared" si="6"/>
        <v/>
      </c>
      <c r="B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397" s="1" t="s">
        <v>246</v>
      </c>
      <c r="D397" s="1" t="s">
        <v>110</v>
      </c>
      <c r="E397" s="1" t="s">
        <v>111</v>
      </c>
      <c r="F397" s="1" t="s">
        <v>112</v>
      </c>
      <c r="G397" s="1" t="s">
        <v>113</v>
      </c>
    </row>
    <row r="398" spans="1:9" x14ac:dyDescent="0.25">
      <c r="A398" s="1" t="str">
        <f t="shared" si="6"/>
        <v>13 Testo 30</v>
      </c>
      <c r="B3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8" s="1" t="s">
        <v>1025</v>
      </c>
      <c r="D398" s="1" t="s">
        <v>1026</v>
      </c>
      <c r="E398" s="1" t="s">
        <v>1027</v>
      </c>
      <c r="F398" s="1" t="s">
        <v>112</v>
      </c>
      <c r="G398" s="1">
        <v>3118101</v>
      </c>
    </row>
    <row r="399" spans="1:9" x14ac:dyDescent="0.25">
      <c r="A399" s="1" t="str">
        <f t="shared" si="6"/>
        <v>13 Testo 30</v>
      </c>
      <c r="B3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399" s="1" t="s">
        <v>1028</v>
      </c>
      <c r="D399" s="1" t="s">
        <v>1029</v>
      </c>
      <c r="E399" s="1" t="s">
        <v>1030</v>
      </c>
      <c r="F399" s="1" t="s">
        <v>112</v>
      </c>
      <c r="G399" s="1">
        <v>3285213</v>
      </c>
    </row>
    <row r="400" spans="1:9" x14ac:dyDescent="0.25">
      <c r="A400" s="1" t="str">
        <f t="shared" si="6"/>
        <v>13 Testo 30</v>
      </c>
      <c r="B4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00" s="1" t="s">
        <v>1031</v>
      </c>
      <c r="D400" s="1" t="s">
        <v>1032</v>
      </c>
      <c r="E400" s="1" t="s">
        <v>1033</v>
      </c>
      <c r="F400" s="1" t="s">
        <v>112</v>
      </c>
      <c r="G400" s="1">
        <v>3033593</v>
      </c>
    </row>
    <row r="401" spans="1:7" x14ac:dyDescent="0.25">
      <c r="A401" s="1" t="str">
        <f t="shared" si="6"/>
        <v>13 Testo 30</v>
      </c>
      <c r="B4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1" s="1" t="s">
        <v>1034</v>
      </c>
    </row>
    <row r="402" spans="1:7" x14ac:dyDescent="0.25">
      <c r="A402" s="1" t="str">
        <f t="shared" si="6"/>
        <v>13 Testo 30</v>
      </c>
      <c r="B4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2" s="1" t="s">
        <v>1035</v>
      </c>
      <c r="D402" s="1" t="s">
        <v>1036</v>
      </c>
      <c r="E402" s="1" t="s">
        <v>1037</v>
      </c>
      <c r="F402" s="1" t="s">
        <v>112</v>
      </c>
      <c r="G402" s="1">
        <v>4303614</v>
      </c>
    </row>
    <row r="403" spans="1:7" x14ac:dyDescent="0.25">
      <c r="A403" s="1" t="str">
        <f t="shared" si="6"/>
        <v>13 Testo 30</v>
      </c>
      <c r="B4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03" s="1" t="s">
        <v>1038</v>
      </c>
      <c r="D403" s="1" t="s">
        <v>1039</v>
      </c>
      <c r="E403" s="1" t="s">
        <v>1040</v>
      </c>
      <c r="F403" s="1" t="s">
        <v>112</v>
      </c>
      <c r="G403" s="1">
        <v>4274370</v>
      </c>
    </row>
    <row r="404" spans="1:7" x14ac:dyDescent="0.25">
      <c r="A404" s="1" t="str">
        <f t="shared" si="6"/>
        <v>13 Testo 30</v>
      </c>
      <c r="B4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4" s="1" t="s">
        <v>1041</v>
      </c>
      <c r="D404" s="1" t="s">
        <v>1042</v>
      </c>
      <c r="E404" s="1" t="s">
        <v>1043</v>
      </c>
      <c r="F404" s="1" t="s">
        <v>112</v>
      </c>
      <c r="G404" s="1">
        <v>4514159</v>
      </c>
    </row>
    <row r="405" spans="1:7" x14ac:dyDescent="0.25">
      <c r="A405" s="1" t="str">
        <f t="shared" si="6"/>
        <v>13 Testo 30</v>
      </c>
      <c r="B4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5" s="1" t="s">
        <v>1044</v>
      </c>
      <c r="D405" s="1" t="s">
        <v>1045</v>
      </c>
      <c r="E405" s="1" t="s">
        <v>1046</v>
      </c>
      <c r="F405" s="1" t="s">
        <v>112</v>
      </c>
      <c r="G405" s="1">
        <v>4246056</v>
      </c>
    </row>
    <row r="406" spans="1:7" x14ac:dyDescent="0.25">
      <c r="A406" s="1" t="str">
        <f t="shared" si="6"/>
        <v>13 Testo 30</v>
      </c>
      <c r="B4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06" s="1" t="s">
        <v>1047</v>
      </c>
      <c r="D406" s="1" t="s">
        <v>1048</v>
      </c>
      <c r="E406" s="1" t="s">
        <v>1049</v>
      </c>
      <c r="F406" s="1" t="s">
        <v>112</v>
      </c>
      <c r="G406" s="1">
        <v>4243288</v>
      </c>
    </row>
    <row r="407" spans="1:7" x14ac:dyDescent="0.25">
      <c r="A407" s="1" t="str">
        <f t="shared" si="6"/>
        <v>13 Testo 30</v>
      </c>
      <c r="B4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7" s="1" t="s">
        <v>1050</v>
      </c>
    </row>
    <row r="408" spans="1:7" x14ac:dyDescent="0.25">
      <c r="A408" s="1" t="str">
        <f t="shared" si="6"/>
        <v>13 Testo 30</v>
      </c>
      <c r="B4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8" s="1" t="s">
        <v>1051</v>
      </c>
      <c r="D408" s="1" t="s">
        <v>1052</v>
      </c>
      <c r="E408" s="1" t="s">
        <v>1053</v>
      </c>
      <c r="F408" s="1" t="s">
        <v>112</v>
      </c>
      <c r="G408" s="1">
        <v>3025006</v>
      </c>
    </row>
    <row r="409" spans="1:7" x14ac:dyDescent="0.25">
      <c r="A409" s="1" t="str">
        <f t="shared" si="6"/>
        <v>13 Testo 30</v>
      </c>
      <c r="B4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09" s="1" t="s">
        <v>1054</v>
      </c>
      <c r="D409" s="1" t="s">
        <v>1055</v>
      </c>
      <c r="E409" s="1" t="s">
        <v>1056</v>
      </c>
      <c r="F409" s="1" t="s">
        <v>112</v>
      </c>
      <c r="G409" s="1">
        <v>2851382</v>
      </c>
    </row>
    <row r="410" spans="1:7" x14ac:dyDescent="0.25">
      <c r="A410" s="1" t="str">
        <f t="shared" si="6"/>
        <v>13 Testo 30</v>
      </c>
      <c r="B4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0" s="1" t="s">
        <v>1057</v>
      </c>
      <c r="D410" s="1" t="s">
        <v>337</v>
      </c>
      <c r="E410" s="1" t="s">
        <v>1058</v>
      </c>
      <c r="F410" s="1" t="s">
        <v>112</v>
      </c>
      <c r="G410" s="1">
        <v>194020</v>
      </c>
    </row>
    <row r="411" spans="1:7" x14ac:dyDescent="0.25">
      <c r="A411" s="1" t="str">
        <f t="shared" si="6"/>
        <v>13 Testo 30</v>
      </c>
      <c r="B4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1" s="1" t="s">
        <v>1059</v>
      </c>
      <c r="D411" s="1" t="s">
        <v>1060</v>
      </c>
      <c r="E411" s="1" t="s">
        <v>1061</v>
      </c>
      <c r="F411" s="1" t="s">
        <v>112</v>
      </c>
      <c r="G411" s="1">
        <v>520069</v>
      </c>
    </row>
    <row r="412" spans="1:7" x14ac:dyDescent="0.25">
      <c r="A412" s="1" t="str">
        <f t="shared" si="6"/>
        <v>13 Testo 30</v>
      </c>
      <c r="B4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12" s="1" t="s">
        <v>1062</v>
      </c>
      <c r="D412" s="1" t="s">
        <v>1063</v>
      </c>
      <c r="E412" s="1" t="s">
        <v>1064</v>
      </c>
      <c r="F412" s="1" t="s">
        <v>112</v>
      </c>
      <c r="G412" s="1">
        <v>218743</v>
      </c>
    </row>
    <row r="413" spans="1:7" x14ac:dyDescent="0.25">
      <c r="A413" s="1" t="str">
        <f t="shared" si="6"/>
        <v>13 Testo 30</v>
      </c>
      <c r="B4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3" s="1" t="s">
        <v>1065</v>
      </c>
      <c r="D413" s="1" t="s">
        <v>1066</v>
      </c>
      <c r="E413" s="1" t="s">
        <v>1067</v>
      </c>
      <c r="F413" s="1" t="s">
        <v>112</v>
      </c>
      <c r="G413" s="1">
        <v>2988624</v>
      </c>
    </row>
    <row r="414" spans="1:7" x14ac:dyDescent="0.25">
      <c r="A414" s="1" t="str">
        <f t="shared" si="6"/>
        <v>13 Testo 30</v>
      </c>
      <c r="B4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4" s="1" t="s">
        <v>1068</v>
      </c>
      <c r="D414" s="1" t="s">
        <v>1069</v>
      </c>
      <c r="E414" s="1" t="s">
        <v>1070</v>
      </c>
      <c r="F414" s="1" t="s">
        <v>112</v>
      </c>
      <c r="G414" s="1">
        <v>2272480</v>
      </c>
    </row>
    <row r="415" spans="1:7" x14ac:dyDescent="0.25">
      <c r="A415" s="1" t="str">
        <f t="shared" si="6"/>
        <v>13 Testo 30</v>
      </c>
      <c r="B4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15" s="1" t="s">
        <v>1071</v>
      </c>
      <c r="D415" s="1" t="s">
        <v>1072</v>
      </c>
      <c r="E415" s="1" t="s">
        <v>1073</v>
      </c>
      <c r="F415" s="1" t="s">
        <v>112</v>
      </c>
      <c r="G415" s="1">
        <v>2528621</v>
      </c>
    </row>
    <row r="416" spans="1:7" x14ac:dyDescent="0.25">
      <c r="A416" s="1" t="str">
        <f t="shared" si="6"/>
        <v>13 Testo 30</v>
      </c>
      <c r="B4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6" s="1" t="s">
        <v>1074</v>
      </c>
      <c r="D416" s="1" t="s">
        <v>1075</v>
      </c>
      <c r="E416" s="1" t="s">
        <v>1076</v>
      </c>
      <c r="F416" s="1" t="s">
        <v>112</v>
      </c>
      <c r="G416" s="1">
        <v>3827129</v>
      </c>
    </row>
    <row r="417" spans="1:9" x14ac:dyDescent="0.25">
      <c r="A417" s="1" t="str">
        <f t="shared" si="6"/>
        <v>13 Testo 30</v>
      </c>
      <c r="B4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7" s="1" t="s">
        <v>1077</v>
      </c>
      <c r="D417" s="1" t="s">
        <v>1078</v>
      </c>
      <c r="E417" s="1" t="s">
        <v>1079</v>
      </c>
      <c r="F417" s="1" t="s">
        <v>112</v>
      </c>
      <c r="G417" s="1">
        <v>4235869</v>
      </c>
    </row>
    <row r="418" spans="1:9" x14ac:dyDescent="0.25">
      <c r="A418" s="1" t="str">
        <f t="shared" si="6"/>
        <v>13 Testo 30</v>
      </c>
      <c r="B4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18" s="1" t="s">
        <v>1080</v>
      </c>
      <c r="D418" s="1" t="s">
        <v>1081</v>
      </c>
      <c r="E418" s="1" t="s">
        <v>1082</v>
      </c>
      <c r="F418" s="1" t="s">
        <v>112</v>
      </c>
      <c r="G418" s="1">
        <v>4039534</v>
      </c>
    </row>
    <row r="419" spans="1:9" x14ac:dyDescent="0.25">
      <c r="A419" s="1" t="str">
        <f t="shared" si="6"/>
        <v>13 Testo 30</v>
      </c>
      <c r="B4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19" s="1" t="s">
        <v>1083</v>
      </c>
      <c r="D419" s="1" t="s">
        <v>1084</v>
      </c>
      <c r="E419" s="1" t="s">
        <v>1085</v>
      </c>
      <c r="F419" s="1" t="s">
        <v>112</v>
      </c>
      <c r="G419" s="1">
        <v>4080955</v>
      </c>
    </row>
    <row r="420" spans="1:9" x14ac:dyDescent="0.25">
      <c r="A420" s="1" t="str">
        <f t="shared" si="6"/>
        <v>13 Testo 30</v>
      </c>
      <c r="B4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0" s="1" t="s">
        <v>1086</v>
      </c>
      <c r="D420" s="1" t="s">
        <v>1087</v>
      </c>
      <c r="E420" s="1" t="s">
        <v>1088</v>
      </c>
      <c r="F420" s="1" t="s">
        <v>112</v>
      </c>
      <c r="G420" s="1">
        <v>3780257</v>
      </c>
    </row>
    <row r="421" spans="1:9" x14ac:dyDescent="0.25">
      <c r="A421" s="1" t="str">
        <f t="shared" si="6"/>
        <v>13 Testo 30</v>
      </c>
      <c r="B42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21" s="1" t="s">
        <v>1089</v>
      </c>
      <c r="D421" s="1" t="s">
        <v>1090</v>
      </c>
      <c r="E421" s="1" t="s">
        <v>1091</v>
      </c>
      <c r="F421" s="1" t="s">
        <v>112</v>
      </c>
      <c r="G421" s="1">
        <v>3883150</v>
      </c>
    </row>
    <row r="422" spans="1:9" x14ac:dyDescent="0.25">
      <c r="A422" s="1" t="str">
        <f t="shared" si="6"/>
        <v/>
      </c>
      <c r="B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2" s="1" t="s">
        <v>112</v>
      </c>
    </row>
    <row r="423" spans="1:9" x14ac:dyDescent="0.25">
      <c r="A423" s="1" t="str">
        <f t="shared" si="6"/>
        <v/>
      </c>
      <c r="B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3" s="1" t="s">
        <v>235</v>
      </c>
      <c r="D423" s="1" t="s">
        <v>112</v>
      </c>
      <c r="E423" s="1" t="s">
        <v>236</v>
      </c>
      <c r="F423" s="1" t="s">
        <v>237</v>
      </c>
      <c r="G423" s="1" t="s">
        <v>238</v>
      </c>
      <c r="H423" s="1" t="s">
        <v>239</v>
      </c>
      <c r="I423" s="1" t="s">
        <v>240</v>
      </c>
    </row>
    <row r="424" spans="1:9" x14ac:dyDescent="0.25">
      <c r="A424" s="1" t="str">
        <f t="shared" si="6"/>
        <v>13 Testo 30</v>
      </c>
      <c r="B42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24" s="1" t="s">
        <v>1092</v>
      </c>
      <c r="D424" s="1" t="s">
        <v>112</v>
      </c>
      <c r="E424" s="1" t="s">
        <v>1093</v>
      </c>
      <c r="F424" s="1" t="s">
        <v>1094</v>
      </c>
      <c r="G424" s="1" t="s">
        <v>1095</v>
      </c>
      <c r="H424" s="1" t="s">
        <v>1096</v>
      </c>
      <c r="I424" s="1">
        <v>24</v>
      </c>
    </row>
    <row r="425" spans="1:9" x14ac:dyDescent="0.25">
      <c r="A425" s="1" t="str">
        <f t="shared" si="6"/>
        <v/>
      </c>
      <c r="B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5" s="1" t="s">
        <v>112</v>
      </c>
    </row>
    <row r="426" spans="1:9" x14ac:dyDescent="0.25">
      <c r="A426" s="1" t="str">
        <f t="shared" si="6"/>
        <v/>
      </c>
      <c r="B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6" s="1" t="s">
        <v>112</v>
      </c>
    </row>
    <row r="427" spans="1:9" x14ac:dyDescent="0.25">
      <c r="A427" s="1" t="str">
        <f t="shared" si="6"/>
        <v/>
      </c>
      <c r="B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7" s="1" t="s">
        <v>112</v>
      </c>
    </row>
    <row r="428" spans="1:9" x14ac:dyDescent="0.25">
      <c r="A428" s="1" t="str">
        <f t="shared" si="6"/>
        <v/>
      </c>
      <c r="B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8" s="1" t="s">
        <v>112</v>
      </c>
    </row>
    <row r="429" spans="1:9" x14ac:dyDescent="0.25">
      <c r="A429" s="1" t="str">
        <f t="shared" si="6"/>
        <v/>
      </c>
      <c r="B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29" s="1" t="s">
        <v>112</v>
      </c>
    </row>
    <row r="430" spans="1:9" x14ac:dyDescent="0.25">
      <c r="A430" s="1" t="str">
        <f t="shared" si="6"/>
        <v/>
      </c>
      <c r="B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30" s="1" t="s">
        <v>246</v>
      </c>
      <c r="D430" s="1" t="s">
        <v>110</v>
      </c>
      <c r="E430" s="1" t="s">
        <v>111</v>
      </c>
      <c r="F430" s="1" t="s">
        <v>112</v>
      </c>
      <c r="G430" s="1" t="s">
        <v>113</v>
      </c>
    </row>
    <row r="431" spans="1:9" x14ac:dyDescent="0.25">
      <c r="A431" s="1" t="str">
        <f t="shared" si="6"/>
        <v>14 Testo 30</v>
      </c>
      <c r="B4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1" s="1" t="s">
        <v>1097</v>
      </c>
      <c r="D431" s="1" t="s">
        <v>1098</v>
      </c>
      <c r="E431" s="1" t="s">
        <v>1099</v>
      </c>
      <c r="F431" s="1" t="s">
        <v>112</v>
      </c>
      <c r="G431" s="1">
        <v>4615452</v>
      </c>
    </row>
    <row r="432" spans="1:9" x14ac:dyDescent="0.25">
      <c r="A432" s="1" t="str">
        <f t="shared" si="6"/>
        <v>14 Testo 30</v>
      </c>
      <c r="B4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2" s="1" t="s">
        <v>1100</v>
      </c>
      <c r="D432" s="1" t="s">
        <v>1101</v>
      </c>
      <c r="E432" s="1" t="s">
        <v>1102</v>
      </c>
      <c r="F432" s="1" t="s">
        <v>112</v>
      </c>
      <c r="G432" s="1">
        <v>4831167</v>
      </c>
    </row>
    <row r="433" spans="1:7" x14ac:dyDescent="0.25">
      <c r="A433" s="1" t="str">
        <f t="shared" si="6"/>
        <v>14 Testo 30</v>
      </c>
      <c r="B4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33" s="1" t="s">
        <v>1103</v>
      </c>
    </row>
    <row r="434" spans="1:7" x14ac:dyDescent="0.25">
      <c r="A434" s="1" t="str">
        <f t="shared" si="6"/>
        <v>14 Testo 30</v>
      </c>
      <c r="B4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4" s="1" t="s">
        <v>1104</v>
      </c>
      <c r="D434" s="1" t="s">
        <v>1105</v>
      </c>
      <c r="E434" s="1" t="s">
        <v>1106</v>
      </c>
      <c r="F434" s="1" t="s">
        <v>112</v>
      </c>
      <c r="G434" s="1">
        <v>3584809</v>
      </c>
    </row>
    <row r="435" spans="1:7" x14ac:dyDescent="0.25">
      <c r="A435" s="1" t="str">
        <f t="shared" si="6"/>
        <v>14 Testo 30</v>
      </c>
      <c r="B4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5" s="1" t="s">
        <v>1107</v>
      </c>
      <c r="D435" s="1" t="s">
        <v>1108</v>
      </c>
      <c r="E435" s="1" t="s">
        <v>1109</v>
      </c>
      <c r="F435" s="1" t="s">
        <v>112</v>
      </c>
      <c r="G435" s="1">
        <v>3591795</v>
      </c>
    </row>
    <row r="436" spans="1:7" x14ac:dyDescent="0.25">
      <c r="A436" s="1" t="str">
        <f t="shared" si="6"/>
        <v>14 Testo 30</v>
      </c>
      <c r="B4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36" s="1" t="s">
        <v>1110</v>
      </c>
      <c r="D436" s="1" t="s">
        <v>1111</v>
      </c>
      <c r="E436" s="1" t="s">
        <v>1112</v>
      </c>
      <c r="F436" s="1" t="s">
        <v>112</v>
      </c>
      <c r="G436" s="1">
        <v>3124438</v>
      </c>
    </row>
    <row r="437" spans="1:7" x14ac:dyDescent="0.25">
      <c r="A437" s="1" t="str">
        <f t="shared" si="6"/>
        <v>14 Testo 30</v>
      </c>
      <c r="B4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7" s="1" t="s">
        <v>1113</v>
      </c>
    </row>
    <row r="438" spans="1:7" x14ac:dyDescent="0.25">
      <c r="A438" s="1" t="str">
        <f t="shared" si="6"/>
        <v>14 Testo 30</v>
      </c>
      <c r="B4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8" s="1" t="s">
        <v>1114</v>
      </c>
    </row>
    <row r="439" spans="1:7" x14ac:dyDescent="0.25">
      <c r="A439" s="1" t="str">
        <f t="shared" si="6"/>
        <v>14 Testo 30</v>
      </c>
      <c r="B4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39" s="1" t="s">
        <v>1115</v>
      </c>
    </row>
    <row r="440" spans="1:7" x14ac:dyDescent="0.25">
      <c r="A440" s="1" t="str">
        <f t="shared" si="6"/>
        <v>14 Testo 30</v>
      </c>
      <c r="B4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0" s="1" t="s">
        <v>1116</v>
      </c>
      <c r="D440" s="1" t="s">
        <v>1117</v>
      </c>
      <c r="E440" s="1" t="s">
        <v>1118</v>
      </c>
      <c r="F440" s="1" t="s">
        <v>112</v>
      </c>
      <c r="G440" s="1">
        <v>4512342</v>
      </c>
    </row>
    <row r="441" spans="1:7" x14ac:dyDescent="0.25">
      <c r="A441" s="1" t="str">
        <f t="shared" si="6"/>
        <v>14 Testo 30</v>
      </c>
      <c r="B4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1" s="1" t="s">
        <v>1119</v>
      </c>
      <c r="D441" s="1" t="s">
        <v>1120</v>
      </c>
      <c r="E441" s="1" t="s">
        <v>1121</v>
      </c>
      <c r="F441" s="1" t="s">
        <v>112</v>
      </c>
      <c r="G441" s="1">
        <v>4242271</v>
      </c>
    </row>
    <row r="442" spans="1:7" x14ac:dyDescent="0.25">
      <c r="A442" s="1" t="str">
        <f t="shared" si="6"/>
        <v>14 Testo 30</v>
      </c>
      <c r="B4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42" s="1" t="s">
        <v>1122</v>
      </c>
      <c r="D442" s="1" t="s">
        <v>1123</v>
      </c>
      <c r="E442" s="1" t="s">
        <v>1124</v>
      </c>
      <c r="F442" s="1" t="s">
        <v>112</v>
      </c>
      <c r="G442" s="1">
        <v>4393551</v>
      </c>
    </row>
    <row r="443" spans="1:7" x14ac:dyDescent="0.25">
      <c r="A443" s="1" t="str">
        <f t="shared" si="6"/>
        <v>14 Testo 30</v>
      </c>
      <c r="B4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3" s="1" t="s">
        <v>1125</v>
      </c>
      <c r="D443" s="1" t="s">
        <v>1126</v>
      </c>
      <c r="E443" s="1" t="s">
        <v>1127</v>
      </c>
      <c r="F443" s="1" t="s">
        <v>112</v>
      </c>
      <c r="G443" s="1">
        <v>3068049</v>
      </c>
    </row>
    <row r="444" spans="1:7" x14ac:dyDescent="0.25">
      <c r="A444" s="1" t="str">
        <f t="shared" si="6"/>
        <v>14 Testo 30</v>
      </c>
      <c r="B4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4" s="1" t="s">
        <v>1128</v>
      </c>
      <c r="D444" s="1" t="s">
        <v>1129</v>
      </c>
      <c r="E444" s="1" t="s">
        <v>1130</v>
      </c>
      <c r="F444" s="1" t="s">
        <v>112</v>
      </c>
      <c r="G444" s="1">
        <v>2125375</v>
      </c>
    </row>
    <row r="445" spans="1:7" x14ac:dyDescent="0.25">
      <c r="A445" s="1" t="str">
        <f t="shared" si="6"/>
        <v>14 Testo 30</v>
      </c>
      <c r="B4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45" s="1" t="s">
        <v>1131</v>
      </c>
      <c r="D445" s="1" t="s">
        <v>1132</v>
      </c>
      <c r="E445" s="1" t="s">
        <v>1133</v>
      </c>
      <c r="F445" s="1" t="s">
        <v>112</v>
      </c>
      <c r="G445" s="1">
        <v>2528362</v>
      </c>
    </row>
    <row r="446" spans="1:7" x14ac:dyDescent="0.25">
      <c r="A446" s="1" t="str">
        <f t="shared" si="6"/>
        <v>14 Testo 30</v>
      </c>
      <c r="B4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6" s="1" t="s">
        <v>1134</v>
      </c>
      <c r="D446" s="1" t="s">
        <v>1135</v>
      </c>
      <c r="E446" s="1" t="s">
        <v>1136</v>
      </c>
      <c r="F446" s="1" t="s">
        <v>112</v>
      </c>
      <c r="G446" s="1">
        <v>3940102</v>
      </c>
    </row>
    <row r="447" spans="1:7" x14ac:dyDescent="0.25">
      <c r="A447" s="1" t="str">
        <f t="shared" si="6"/>
        <v>14 Testo 30</v>
      </c>
      <c r="B4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7" s="1" t="s">
        <v>1137</v>
      </c>
      <c r="D447" s="1" t="s">
        <v>1123</v>
      </c>
      <c r="E447" s="1" t="s">
        <v>1138</v>
      </c>
      <c r="F447" s="1" t="s">
        <v>112</v>
      </c>
      <c r="G447" s="1">
        <v>4169054</v>
      </c>
    </row>
    <row r="448" spans="1:7" x14ac:dyDescent="0.25">
      <c r="A448" s="1" t="str">
        <f t="shared" si="6"/>
        <v>14 Testo 30</v>
      </c>
      <c r="B4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48" s="1" t="s">
        <v>1139</v>
      </c>
      <c r="D448" s="1" t="s">
        <v>1140</v>
      </c>
      <c r="E448" s="1" t="s">
        <v>1141</v>
      </c>
      <c r="F448" s="1" t="s">
        <v>112</v>
      </c>
      <c r="G448" s="1">
        <v>3550764</v>
      </c>
    </row>
    <row r="449" spans="1:9" x14ac:dyDescent="0.25">
      <c r="A449" s="1" t="str">
        <f t="shared" si="6"/>
        <v>14 Testo 30</v>
      </c>
      <c r="B4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49" s="1" t="s">
        <v>1142</v>
      </c>
      <c r="D449" s="1" t="s">
        <v>1143</v>
      </c>
      <c r="E449" s="1" t="s">
        <v>1144</v>
      </c>
      <c r="F449" s="1" t="s">
        <v>112</v>
      </c>
      <c r="G449" s="1">
        <v>4336686</v>
      </c>
    </row>
    <row r="450" spans="1:9" x14ac:dyDescent="0.25">
      <c r="A450" s="1" t="str">
        <f t="shared" ref="A450:A513" si="7">IFERROR(LEFT(RIGHT(C450,LEN(C450)-SEARCH("@",C450)),SEARCH("/",RIGHT(C450,LEN(C450)-SEARCH("@",C450)-1))),"")</f>
        <v>14 Testo 30</v>
      </c>
      <c r="B4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0" s="1" t="s">
        <v>1145</v>
      </c>
      <c r="D450" s="1" t="s">
        <v>1120</v>
      </c>
      <c r="E450" s="1" t="s">
        <v>1146</v>
      </c>
      <c r="F450" s="1" t="s">
        <v>112</v>
      </c>
      <c r="G450" s="1">
        <v>4156163</v>
      </c>
    </row>
    <row r="451" spans="1:9" x14ac:dyDescent="0.25">
      <c r="A451" s="1" t="str">
        <f t="shared" si="7"/>
        <v>14 Testo 30</v>
      </c>
      <c r="B4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51" s="1" t="s">
        <v>1147</v>
      </c>
      <c r="D451" s="1" t="s">
        <v>1148</v>
      </c>
      <c r="E451" s="1" t="s">
        <v>1149</v>
      </c>
      <c r="F451" s="1" t="s">
        <v>112</v>
      </c>
      <c r="G451" s="1">
        <v>4203597</v>
      </c>
    </row>
    <row r="452" spans="1:9" x14ac:dyDescent="0.25">
      <c r="A452" s="1" t="str">
        <f t="shared" si="7"/>
        <v>14 Testo 30</v>
      </c>
      <c r="B4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2" s="1" t="s">
        <v>1150</v>
      </c>
      <c r="D452" s="1" t="s">
        <v>1151</v>
      </c>
      <c r="E452" s="1" t="s">
        <v>1152</v>
      </c>
      <c r="F452" s="1" t="s">
        <v>112</v>
      </c>
      <c r="G452" s="1">
        <v>4956231</v>
      </c>
    </row>
    <row r="453" spans="1:9" x14ac:dyDescent="0.25">
      <c r="A453" s="1" t="str">
        <f t="shared" si="7"/>
        <v>14 Testo 30</v>
      </c>
      <c r="B4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3" s="1" t="s">
        <v>1153</v>
      </c>
      <c r="D453" s="1" t="s">
        <v>1154</v>
      </c>
      <c r="E453" s="1" t="s">
        <v>1155</v>
      </c>
      <c r="F453" s="1" t="s">
        <v>112</v>
      </c>
      <c r="G453" s="1">
        <v>5096587</v>
      </c>
    </row>
    <row r="454" spans="1:9" x14ac:dyDescent="0.25">
      <c r="A454" s="1" t="str">
        <f t="shared" si="7"/>
        <v>14 Testo 30</v>
      </c>
      <c r="B45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54" s="1" t="s">
        <v>1156</v>
      </c>
      <c r="D454" s="1" t="s">
        <v>635</v>
      </c>
      <c r="E454" s="1" t="s">
        <v>1157</v>
      </c>
      <c r="F454" s="1" t="s">
        <v>112</v>
      </c>
      <c r="G454" s="1">
        <v>4747740</v>
      </c>
    </row>
    <row r="455" spans="1:9" x14ac:dyDescent="0.25">
      <c r="A455" s="1" t="str">
        <f t="shared" si="7"/>
        <v/>
      </c>
      <c r="B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5" s="1" t="s">
        <v>112</v>
      </c>
    </row>
    <row r="456" spans="1:9" x14ac:dyDescent="0.25">
      <c r="A456" s="1" t="str">
        <f t="shared" si="7"/>
        <v/>
      </c>
      <c r="B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6" s="1" t="s">
        <v>235</v>
      </c>
      <c r="D456" s="1" t="s">
        <v>112</v>
      </c>
      <c r="E456" s="1" t="s">
        <v>236</v>
      </c>
      <c r="F456" s="1" t="s">
        <v>237</v>
      </c>
      <c r="G456" s="1" t="s">
        <v>238</v>
      </c>
      <c r="H456" s="1" t="s">
        <v>239</v>
      </c>
      <c r="I456" s="1" t="s">
        <v>240</v>
      </c>
    </row>
    <row r="457" spans="1:9" x14ac:dyDescent="0.25">
      <c r="A457" s="1" t="str">
        <f t="shared" si="7"/>
        <v>14 Testo 30</v>
      </c>
      <c r="B45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57" s="1" t="s">
        <v>1158</v>
      </c>
      <c r="D457" s="1" t="s">
        <v>112</v>
      </c>
      <c r="E457" s="1" t="s">
        <v>1159</v>
      </c>
      <c r="F457" s="1" t="s">
        <v>1160</v>
      </c>
      <c r="G457" s="1" t="s">
        <v>1161</v>
      </c>
      <c r="H457" s="1" t="s">
        <v>1162</v>
      </c>
      <c r="I457" s="1">
        <v>24</v>
      </c>
    </row>
    <row r="458" spans="1:9" x14ac:dyDescent="0.25">
      <c r="A458" s="1" t="str">
        <f t="shared" si="7"/>
        <v/>
      </c>
      <c r="B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8" s="1" t="s">
        <v>112</v>
      </c>
    </row>
    <row r="459" spans="1:9" x14ac:dyDescent="0.25">
      <c r="A459" s="1" t="str">
        <f t="shared" si="7"/>
        <v/>
      </c>
      <c r="B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59" s="1" t="s">
        <v>112</v>
      </c>
    </row>
    <row r="460" spans="1:9" x14ac:dyDescent="0.25">
      <c r="A460" s="1" t="str">
        <f t="shared" si="7"/>
        <v/>
      </c>
      <c r="B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0" s="1" t="s">
        <v>112</v>
      </c>
    </row>
    <row r="461" spans="1:9" x14ac:dyDescent="0.25">
      <c r="A461" s="1" t="str">
        <f t="shared" si="7"/>
        <v/>
      </c>
      <c r="B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1" s="1" t="s">
        <v>112</v>
      </c>
    </row>
    <row r="462" spans="1:9" x14ac:dyDescent="0.25">
      <c r="A462" s="1" t="str">
        <f t="shared" si="7"/>
        <v/>
      </c>
      <c r="B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2" s="1" t="s">
        <v>112</v>
      </c>
    </row>
    <row r="463" spans="1:9" x14ac:dyDescent="0.25">
      <c r="A463" s="1" t="str">
        <f t="shared" si="7"/>
        <v/>
      </c>
      <c r="B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63" s="1" t="s">
        <v>246</v>
      </c>
      <c r="D463" s="1" t="s">
        <v>110</v>
      </c>
      <c r="E463" s="1" t="s">
        <v>111</v>
      </c>
      <c r="F463" s="1" t="s">
        <v>112</v>
      </c>
      <c r="G463" s="1" t="s">
        <v>113</v>
      </c>
    </row>
    <row r="464" spans="1:9" x14ac:dyDescent="0.25">
      <c r="A464" s="1" t="str">
        <f t="shared" si="7"/>
        <v>15 Testo + EE2</v>
      </c>
      <c r="B4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4" s="1" t="s">
        <v>1163</v>
      </c>
      <c r="D464" s="1" t="s">
        <v>1164</v>
      </c>
      <c r="E464" s="1" t="s">
        <v>1165</v>
      </c>
      <c r="F464" s="1" t="s">
        <v>112</v>
      </c>
      <c r="G464" s="1">
        <v>4793379</v>
      </c>
    </row>
    <row r="465" spans="1:7" x14ac:dyDescent="0.25">
      <c r="A465" s="1" t="str">
        <f t="shared" si="7"/>
        <v>15 Testo + EE2</v>
      </c>
      <c r="B4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5" s="1" t="s">
        <v>1166</v>
      </c>
      <c r="D465" s="1" t="s">
        <v>1167</v>
      </c>
      <c r="E465" s="1" t="s">
        <v>1168</v>
      </c>
      <c r="F465" s="1" t="s">
        <v>112</v>
      </c>
      <c r="G465" s="1">
        <v>4797640</v>
      </c>
    </row>
    <row r="466" spans="1:7" x14ac:dyDescent="0.25">
      <c r="A466" s="1" t="str">
        <f t="shared" si="7"/>
        <v>15 Testo + EE2</v>
      </c>
      <c r="B4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66" s="1" t="s">
        <v>1169</v>
      </c>
      <c r="D466" s="1" t="s">
        <v>1170</v>
      </c>
      <c r="E466" s="1" t="s">
        <v>1171</v>
      </c>
      <c r="F466" s="1" t="s">
        <v>112</v>
      </c>
      <c r="G466" s="1">
        <v>4960492</v>
      </c>
    </row>
    <row r="467" spans="1:7" x14ac:dyDescent="0.25">
      <c r="A467" s="1" t="str">
        <f t="shared" si="7"/>
        <v>15 Testo + EE2</v>
      </c>
      <c r="B4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7" s="1" t="s">
        <v>1172</v>
      </c>
      <c r="D467" s="1" t="s">
        <v>1173</v>
      </c>
      <c r="E467" s="1" t="s">
        <v>1174</v>
      </c>
      <c r="F467" s="1" t="s">
        <v>112</v>
      </c>
      <c r="G467" s="1">
        <v>5867087</v>
      </c>
    </row>
    <row r="468" spans="1:7" x14ac:dyDescent="0.25">
      <c r="A468" s="1" t="str">
        <f t="shared" si="7"/>
        <v>15 Testo + EE2</v>
      </c>
      <c r="B4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8" s="1" t="s">
        <v>1175</v>
      </c>
      <c r="D468" s="1" t="s">
        <v>1176</v>
      </c>
      <c r="E468" s="1" t="s">
        <v>1177</v>
      </c>
      <c r="F468" s="1" t="s">
        <v>112</v>
      </c>
      <c r="G468" s="1">
        <v>4913750</v>
      </c>
    </row>
    <row r="469" spans="1:7" x14ac:dyDescent="0.25">
      <c r="A469" s="1" t="str">
        <f t="shared" si="7"/>
        <v>15 Testo + EE2</v>
      </c>
      <c r="B4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469" s="1" t="s">
        <v>1178</v>
      </c>
    </row>
    <row r="470" spans="1:7" x14ac:dyDescent="0.25">
      <c r="A470" s="1" t="str">
        <f t="shared" si="7"/>
        <v>15 Testo + EE2</v>
      </c>
      <c r="B4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0" s="1" t="s">
        <v>1179</v>
      </c>
      <c r="D470" s="1" t="s">
        <v>1180</v>
      </c>
      <c r="E470" s="1" t="s">
        <v>1181</v>
      </c>
      <c r="F470" s="1" t="s">
        <v>112</v>
      </c>
      <c r="G470" s="1">
        <v>4635438</v>
      </c>
    </row>
    <row r="471" spans="1:7" x14ac:dyDescent="0.25">
      <c r="A471" s="1" t="str">
        <f t="shared" si="7"/>
        <v>15 Testo + EE2</v>
      </c>
      <c r="B4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1" s="1" t="s">
        <v>1182</v>
      </c>
      <c r="D471" s="1" t="s">
        <v>1183</v>
      </c>
      <c r="E471" s="1" t="s">
        <v>1184</v>
      </c>
      <c r="F471" s="1" t="s">
        <v>112</v>
      </c>
      <c r="G471" s="1">
        <v>4951624</v>
      </c>
    </row>
    <row r="472" spans="1:7" x14ac:dyDescent="0.25">
      <c r="A472" s="1" t="str">
        <f t="shared" si="7"/>
        <v>15 Testo + EE2</v>
      </c>
      <c r="B4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472" s="1" t="s">
        <v>1185</v>
      </c>
      <c r="D472" s="1" t="s">
        <v>1186</v>
      </c>
      <c r="E472" s="1" t="s">
        <v>1187</v>
      </c>
      <c r="F472" s="1" t="s">
        <v>112</v>
      </c>
      <c r="G472" s="1">
        <v>5451837</v>
      </c>
    </row>
    <row r="473" spans="1:7" x14ac:dyDescent="0.25">
      <c r="A473" s="1" t="str">
        <f t="shared" si="7"/>
        <v>15 Testo + EE2</v>
      </c>
      <c r="B4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3" s="1" t="s">
        <v>1188</v>
      </c>
      <c r="D473" s="1" t="s">
        <v>1189</v>
      </c>
      <c r="E473" s="1" t="s">
        <v>1190</v>
      </c>
      <c r="F473" s="1" t="s">
        <v>112</v>
      </c>
      <c r="G473" s="1">
        <v>5549474</v>
      </c>
    </row>
    <row r="474" spans="1:7" x14ac:dyDescent="0.25">
      <c r="A474" s="1" t="str">
        <f t="shared" si="7"/>
        <v>15 Testo + EE2</v>
      </c>
      <c r="B4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4" s="1" t="s">
        <v>1191</v>
      </c>
      <c r="D474" s="1" t="s">
        <v>1192</v>
      </c>
      <c r="E474" s="1" t="s">
        <v>1193</v>
      </c>
      <c r="F474" s="1" t="s">
        <v>112</v>
      </c>
      <c r="G474" s="1">
        <v>5385714</v>
      </c>
    </row>
    <row r="475" spans="1:7" x14ac:dyDescent="0.25">
      <c r="A475" s="1" t="str">
        <f t="shared" si="7"/>
        <v>15 Testo + EE2</v>
      </c>
      <c r="B4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475" s="1" t="s">
        <v>1194</v>
      </c>
      <c r="D475" s="1" t="s">
        <v>1195</v>
      </c>
      <c r="E475" s="1" t="s">
        <v>1196</v>
      </c>
      <c r="F475" s="1" t="s">
        <v>112</v>
      </c>
      <c r="G475" s="1">
        <v>5825731</v>
      </c>
    </row>
    <row r="476" spans="1:7" x14ac:dyDescent="0.25">
      <c r="A476" s="1" t="str">
        <f t="shared" si="7"/>
        <v>15 Testo + EE2</v>
      </c>
      <c r="B4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6" s="1" t="s">
        <v>1197</v>
      </c>
      <c r="D476" s="1" t="s">
        <v>1198</v>
      </c>
      <c r="E476" s="1" t="s">
        <v>1199</v>
      </c>
      <c r="F476" s="1" t="s">
        <v>112</v>
      </c>
      <c r="G476" s="1">
        <v>3503329</v>
      </c>
    </row>
    <row r="477" spans="1:7" x14ac:dyDescent="0.25">
      <c r="A477" s="1" t="str">
        <f t="shared" si="7"/>
        <v>15 Testo + EE2</v>
      </c>
      <c r="B4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7" s="1" t="s">
        <v>1200</v>
      </c>
      <c r="D477" s="1" t="s">
        <v>1201</v>
      </c>
      <c r="E477" s="1" t="s">
        <v>1202</v>
      </c>
      <c r="F477" s="1" t="s">
        <v>112</v>
      </c>
      <c r="G477" s="1">
        <v>3411532</v>
      </c>
    </row>
    <row r="478" spans="1:7" x14ac:dyDescent="0.25">
      <c r="A478" s="1" t="str">
        <f t="shared" si="7"/>
        <v>15 Testo + EE2</v>
      </c>
      <c r="B4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478" s="1" t="s">
        <v>1203</v>
      </c>
      <c r="D478" s="1" t="s">
        <v>1204</v>
      </c>
      <c r="E478" s="1" t="s">
        <v>1205</v>
      </c>
      <c r="F478" s="1" t="s">
        <v>112</v>
      </c>
      <c r="G478" s="1">
        <v>3309850</v>
      </c>
    </row>
    <row r="479" spans="1:7" x14ac:dyDescent="0.25">
      <c r="A479" s="1" t="str">
        <f t="shared" si="7"/>
        <v>15 Testo + EE2</v>
      </c>
      <c r="B4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79" s="1" t="s">
        <v>1206</v>
      </c>
      <c r="D479" s="1" t="s">
        <v>1207</v>
      </c>
      <c r="E479" s="1" t="s">
        <v>1208</v>
      </c>
      <c r="F479" s="1" t="s">
        <v>112</v>
      </c>
      <c r="G479" s="1">
        <v>5938639</v>
      </c>
    </row>
    <row r="480" spans="1:7" x14ac:dyDescent="0.25">
      <c r="A480" s="1" t="str">
        <f t="shared" si="7"/>
        <v>15 Testo + EE2</v>
      </c>
      <c r="B4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0" s="1" t="s">
        <v>1209</v>
      </c>
      <c r="D480" s="1" t="s">
        <v>1210</v>
      </c>
      <c r="E480" s="1" t="s">
        <v>1211</v>
      </c>
      <c r="F480" s="1" t="s">
        <v>112</v>
      </c>
      <c r="G480" s="1">
        <v>5486704</v>
      </c>
    </row>
    <row r="481" spans="1:9" x14ac:dyDescent="0.25">
      <c r="A481" s="1" t="str">
        <f t="shared" si="7"/>
        <v>15 Testo + EE2</v>
      </c>
      <c r="B4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481" s="1" t="s">
        <v>1212</v>
      </c>
      <c r="D481" s="1" t="s">
        <v>1213</v>
      </c>
      <c r="E481" s="1" t="s">
        <v>1214</v>
      </c>
      <c r="F481" s="1" t="s">
        <v>112</v>
      </c>
      <c r="G481" s="1">
        <v>5463365</v>
      </c>
    </row>
    <row r="482" spans="1:9" x14ac:dyDescent="0.25">
      <c r="A482" s="1" t="str">
        <f t="shared" si="7"/>
        <v>15 Testo + EE2</v>
      </c>
      <c r="B4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2" s="1" t="s">
        <v>1215</v>
      </c>
      <c r="D482" s="1" t="s">
        <v>1216</v>
      </c>
      <c r="E482" s="1" t="s">
        <v>1217</v>
      </c>
      <c r="F482" s="1" t="s">
        <v>112</v>
      </c>
      <c r="G482" s="1">
        <v>5190720</v>
      </c>
    </row>
    <row r="483" spans="1:9" x14ac:dyDescent="0.25">
      <c r="A483" s="1" t="str">
        <f t="shared" si="7"/>
        <v>15 Testo + EE2</v>
      </c>
      <c r="B4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3" s="1" t="s">
        <v>1218</v>
      </c>
      <c r="D483" s="1" t="s">
        <v>1219</v>
      </c>
      <c r="E483" s="1" t="s">
        <v>1220</v>
      </c>
      <c r="F483" s="1" t="s">
        <v>112</v>
      </c>
      <c r="G483" s="1">
        <v>5586180</v>
      </c>
    </row>
    <row r="484" spans="1:9" x14ac:dyDescent="0.25">
      <c r="A484" s="1" t="str">
        <f t="shared" si="7"/>
        <v>15 Testo + EE2</v>
      </c>
      <c r="B4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484" s="1" t="s">
        <v>1221</v>
      </c>
      <c r="D484" s="1" t="s">
        <v>1222</v>
      </c>
      <c r="E484" s="1" t="s">
        <v>1223</v>
      </c>
      <c r="F484" s="1" t="s">
        <v>112</v>
      </c>
      <c r="G484" s="1">
        <v>5436155</v>
      </c>
    </row>
    <row r="485" spans="1:9" x14ac:dyDescent="0.25">
      <c r="A485" s="1" t="str">
        <f t="shared" si="7"/>
        <v>15 Testo + EE2</v>
      </c>
      <c r="B4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5" s="1" t="s">
        <v>1224</v>
      </c>
      <c r="D485" s="1" t="s">
        <v>1225</v>
      </c>
      <c r="E485" s="1" t="s">
        <v>1226</v>
      </c>
      <c r="F485" s="1" t="s">
        <v>112</v>
      </c>
      <c r="G485" s="1">
        <v>3457582</v>
      </c>
    </row>
    <row r="486" spans="1:9" x14ac:dyDescent="0.25">
      <c r="A486" s="1" t="str">
        <f t="shared" si="7"/>
        <v>15 Testo + EE2</v>
      </c>
      <c r="B4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6" s="1" t="s">
        <v>1227</v>
      </c>
      <c r="D486" s="1" t="s">
        <v>1228</v>
      </c>
      <c r="E486" s="1" t="s">
        <v>1229</v>
      </c>
      <c r="F486" s="1" t="s">
        <v>112</v>
      </c>
      <c r="G486" s="1">
        <v>3591990</v>
      </c>
    </row>
    <row r="487" spans="1:9" x14ac:dyDescent="0.25">
      <c r="A487" s="1" t="str">
        <f t="shared" si="7"/>
        <v>15 Testo + EE2</v>
      </c>
      <c r="B48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487" s="1" t="s">
        <v>1230</v>
      </c>
      <c r="D487" s="1" t="s">
        <v>1231</v>
      </c>
      <c r="E487" s="1" t="s">
        <v>1232</v>
      </c>
      <c r="F487" s="1" t="s">
        <v>112</v>
      </c>
      <c r="G487" s="1">
        <v>3736564</v>
      </c>
    </row>
    <row r="488" spans="1:9" x14ac:dyDescent="0.25">
      <c r="A488" s="1" t="str">
        <f t="shared" si="7"/>
        <v/>
      </c>
      <c r="B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8" s="1" t="s">
        <v>112</v>
      </c>
    </row>
    <row r="489" spans="1:9" x14ac:dyDescent="0.25">
      <c r="A489" s="1" t="str">
        <f t="shared" si="7"/>
        <v/>
      </c>
      <c r="B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89" s="1" t="s">
        <v>235</v>
      </c>
      <c r="D489" s="1" t="s">
        <v>112</v>
      </c>
      <c r="E489" s="1" t="s">
        <v>236</v>
      </c>
      <c r="F489" s="1" t="s">
        <v>237</v>
      </c>
      <c r="G489" s="1" t="s">
        <v>238</v>
      </c>
      <c r="H489" s="1" t="s">
        <v>239</v>
      </c>
      <c r="I489" s="1" t="s">
        <v>240</v>
      </c>
    </row>
    <row r="490" spans="1:9" x14ac:dyDescent="0.25">
      <c r="A490" s="1" t="str">
        <f t="shared" si="7"/>
        <v>15 Testo + EE2</v>
      </c>
      <c r="B49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490" s="1" t="s">
        <v>1233</v>
      </c>
      <c r="D490" s="1" t="s">
        <v>112</v>
      </c>
      <c r="E490" s="1" t="s">
        <v>1234</v>
      </c>
      <c r="F490" s="1" t="s">
        <v>1235</v>
      </c>
      <c r="G490" s="1" t="s">
        <v>1236</v>
      </c>
      <c r="H490" s="1" t="s">
        <v>1237</v>
      </c>
      <c r="I490" s="1">
        <v>24</v>
      </c>
    </row>
    <row r="491" spans="1:9" x14ac:dyDescent="0.25">
      <c r="A491" s="1" t="str">
        <f t="shared" si="7"/>
        <v/>
      </c>
      <c r="B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1" s="1" t="s">
        <v>112</v>
      </c>
    </row>
    <row r="492" spans="1:9" x14ac:dyDescent="0.25">
      <c r="A492" s="1" t="str">
        <f t="shared" si="7"/>
        <v/>
      </c>
      <c r="B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2" s="1" t="s">
        <v>112</v>
      </c>
    </row>
    <row r="493" spans="1:9" x14ac:dyDescent="0.25">
      <c r="A493" s="1" t="str">
        <f t="shared" si="7"/>
        <v/>
      </c>
      <c r="B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3" s="1" t="s">
        <v>112</v>
      </c>
    </row>
    <row r="494" spans="1:9" x14ac:dyDescent="0.25">
      <c r="A494" s="1" t="str">
        <f t="shared" si="7"/>
        <v/>
      </c>
      <c r="B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4" s="1" t="s">
        <v>112</v>
      </c>
    </row>
    <row r="495" spans="1:9" x14ac:dyDescent="0.25">
      <c r="A495" s="1" t="str">
        <f t="shared" si="7"/>
        <v/>
      </c>
      <c r="B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5" s="1" t="s">
        <v>112</v>
      </c>
    </row>
    <row r="496" spans="1:9" x14ac:dyDescent="0.25">
      <c r="A496" s="1" t="str">
        <f t="shared" si="7"/>
        <v/>
      </c>
      <c r="B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496" s="1" t="s">
        <v>246</v>
      </c>
      <c r="D496" s="1" t="s">
        <v>110</v>
      </c>
      <c r="E496" s="1" t="s">
        <v>111</v>
      </c>
      <c r="F496" s="1" t="s">
        <v>112</v>
      </c>
      <c r="G496" s="1" t="s">
        <v>113</v>
      </c>
    </row>
    <row r="497" spans="1:7" x14ac:dyDescent="0.25">
      <c r="A497" s="1" t="str">
        <f t="shared" si="7"/>
        <v>16 Testo + FAD</v>
      </c>
      <c r="B4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7" s="1" t="s">
        <v>1238</v>
      </c>
      <c r="D497" s="1" t="s">
        <v>1239</v>
      </c>
      <c r="E497" s="1" t="s">
        <v>1240</v>
      </c>
      <c r="F497" s="1" t="s">
        <v>112</v>
      </c>
      <c r="G497" s="1">
        <v>191230</v>
      </c>
    </row>
    <row r="498" spans="1:7" x14ac:dyDescent="0.25">
      <c r="A498" s="1" t="str">
        <f t="shared" si="7"/>
        <v>16 Testo + FAD</v>
      </c>
      <c r="B4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8" s="1" t="s">
        <v>1241</v>
      </c>
      <c r="D498" s="1" t="s">
        <v>233</v>
      </c>
      <c r="E498" s="1" t="s">
        <v>1242</v>
      </c>
      <c r="F498" s="1" t="s">
        <v>112</v>
      </c>
      <c r="G498" s="1">
        <v>122468</v>
      </c>
    </row>
    <row r="499" spans="1:7" x14ac:dyDescent="0.25">
      <c r="A499" s="1" t="str">
        <f t="shared" si="7"/>
        <v>16 Testo + FAD</v>
      </c>
      <c r="B4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499" s="1" t="s">
        <v>1243</v>
      </c>
      <c r="D499" s="1" t="s">
        <v>1244</v>
      </c>
      <c r="E499" s="1" t="s">
        <v>1245</v>
      </c>
      <c r="F499" s="1" t="s">
        <v>112</v>
      </c>
      <c r="G499" s="1">
        <v>227006</v>
      </c>
    </row>
    <row r="500" spans="1:7" x14ac:dyDescent="0.25">
      <c r="A500" s="1" t="str">
        <f t="shared" si="7"/>
        <v>16 Testo + FAD</v>
      </c>
      <c r="B5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0" s="1" t="s">
        <v>1246</v>
      </c>
      <c r="D500" s="1" t="s">
        <v>1247</v>
      </c>
      <c r="E500" s="1" t="s">
        <v>1248</v>
      </c>
      <c r="F500" s="1" t="s">
        <v>112</v>
      </c>
      <c r="G500" s="1">
        <v>343721</v>
      </c>
    </row>
    <row r="501" spans="1:7" x14ac:dyDescent="0.25">
      <c r="A501" s="1" t="str">
        <f t="shared" si="7"/>
        <v>16 Testo + FAD</v>
      </c>
      <c r="B5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1" s="1" t="s">
        <v>1249</v>
      </c>
      <c r="D501" s="1" t="s">
        <v>1250</v>
      </c>
      <c r="E501" s="1" t="s">
        <v>1251</v>
      </c>
      <c r="F501" s="1" t="s">
        <v>112</v>
      </c>
      <c r="G501" s="1">
        <v>242666</v>
      </c>
    </row>
    <row r="502" spans="1:7" x14ac:dyDescent="0.25">
      <c r="A502" s="1" t="str">
        <f t="shared" si="7"/>
        <v>16 Testo + FAD</v>
      </c>
      <c r="B5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02" s="1" t="s">
        <v>1252</v>
      </c>
      <c r="D502" s="1" t="s">
        <v>258</v>
      </c>
      <c r="E502" s="1" t="s">
        <v>1253</v>
      </c>
      <c r="F502" s="1" t="s">
        <v>112</v>
      </c>
      <c r="G502" s="1">
        <v>403333</v>
      </c>
    </row>
    <row r="503" spans="1:7" x14ac:dyDescent="0.25">
      <c r="A503" s="1" t="str">
        <f t="shared" si="7"/>
        <v>16 Testo + FAD</v>
      </c>
      <c r="B5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3" s="1" t="s">
        <v>1254</v>
      </c>
      <c r="D503" s="1" t="s">
        <v>1255</v>
      </c>
      <c r="E503" s="1" t="s">
        <v>1256</v>
      </c>
      <c r="F503" s="1" t="s">
        <v>112</v>
      </c>
      <c r="G503" s="1">
        <v>895694</v>
      </c>
    </row>
    <row r="504" spans="1:7" x14ac:dyDescent="0.25">
      <c r="A504" s="1" t="str">
        <f t="shared" si="7"/>
        <v>16 Testo + FAD</v>
      </c>
      <c r="B5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4" s="1" t="s">
        <v>1257</v>
      </c>
      <c r="D504" s="1" t="s">
        <v>349</v>
      </c>
      <c r="E504" s="1" t="s">
        <v>1258</v>
      </c>
      <c r="F504" s="1" t="s">
        <v>112</v>
      </c>
      <c r="G504" s="1">
        <v>480140</v>
      </c>
    </row>
    <row r="505" spans="1:7" x14ac:dyDescent="0.25">
      <c r="A505" s="1" t="str">
        <f t="shared" si="7"/>
        <v>16 Testo + FAD</v>
      </c>
      <c r="B5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05" s="1" t="s">
        <v>1259</v>
      </c>
      <c r="D505" s="1" t="s">
        <v>297</v>
      </c>
      <c r="E505" s="1" t="s">
        <v>1260</v>
      </c>
      <c r="F505" s="1" t="s">
        <v>112</v>
      </c>
      <c r="G505" s="1">
        <v>75943</v>
      </c>
    </row>
    <row r="506" spans="1:7" x14ac:dyDescent="0.25">
      <c r="A506" s="1" t="str">
        <f t="shared" si="7"/>
        <v>16 Testo + FAD</v>
      </c>
      <c r="B5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6" s="1" t="s">
        <v>1261</v>
      </c>
      <c r="D506" s="1" t="s">
        <v>248</v>
      </c>
      <c r="E506" s="1" t="s">
        <v>1262</v>
      </c>
      <c r="F506" s="1" t="s">
        <v>112</v>
      </c>
      <c r="G506" s="1">
        <v>171720</v>
      </c>
    </row>
    <row r="507" spans="1:7" x14ac:dyDescent="0.25">
      <c r="A507" s="1" t="str">
        <f t="shared" si="7"/>
        <v>16 Testo + FAD</v>
      </c>
      <c r="B5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7" s="1" t="s">
        <v>1263</v>
      </c>
      <c r="D507" s="1" t="s">
        <v>391</v>
      </c>
      <c r="E507" s="1" t="s">
        <v>1264</v>
      </c>
      <c r="F507" s="1" t="s">
        <v>112</v>
      </c>
      <c r="G507" s="1">
        <v>322978</v>
      </c>
    </row>
    <row r="508" spans="1:7" x14ac:dyDescent="0.25">
      <c r="A508" s="1" t="str">
        <f t="shared" si="7"/>
        <v>16 Testo + FAD</v>
      </c>
      <c r="B5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08" s="1" t="s">
        <v>1265</v>
      </c>
      <c r="D508" s="1" t="s">
        <v>409</v>
      </c>
      <c r="E508" s="1" t="s">
        <v>1266</v>
      </c>
      <c r="F508" s="1" t="s">
        <v>112</v>
      </c>
      <c r="G508" s="1">
        <v>91516</v>
      </c>
    </row>
    <row r="509" spans="1:7" x14ac:dyDescent="0.25">
      <c r="A509" s="1" t="str">
        <f t="shared" si="7"/>
        <v>16 Testo + FAD</v>
      </c>
      <c r="B5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09" s="1" t="s">
        <v>1267</v>
      </c>
      <c r="D509" s="1" t="s">
        <v>1268</v>
      </c>
      <c r="E509" s="1" t="s">
        <v>1269</v>
      </c>
      <c r="F509" s="1" t="s">
        <v>112</v>
      </c>
      <c r="G509" s="1">
        <v>598348</v>
      </c>
    </row>
    <row r="510" spans="1:7" x14ac:dyDescent="0.25">
      <c r="A510" s="1" t="str">
        <f t="shared" si="7"/>
        <v>16 Testo + FAD</v>
      </c>
      <c r="B5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0" s="1" t="s">
        <v>1270</v>
      </c>
      <c r="D510" s="1" t="s">
        <v>1271</v>
      </c>
      <c r="E510" s="1" t="s">
        <v>1272</v>
      </c>
      <c r="F510" s="1" t="s">
        <v>112</v>
      </c>
      <c r="G510" s="1">
        <v>860632</v>
      </c>
    </row>
    <row r="511" spans="1:7" x14ac:dyDescent="0.25">
      <c r="A511" s="1" t="str">
        <f t="shared" si="7"/>
        <v>16 Testo + FAD</v>
      </c>
      <c r="B5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11" s="1" t="s">
        <v>1273</v>
      </c>
      <c r="D511" s="1" t="s">
        <v>990</v>
      </c>
      <c r="E511" s="1" t="s">
        <v>1274</v>
      </c>
      <c r="F511" s="1" t="s">
        <v>112</v>
      </c>
      <c r="G511" s="1">
        <v>273272</v>
      </c>
    </row>
    <row r="512" spans="1:7" x14ac:dyDescent="0.25">
      <c r="A512" s="1" t="str">
        <f t="shared" si="7"/>
        <v>16 Testo + FAD</v>
      </c>
      <c r="B5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2" s="1" t="s">
        <v>1275</v>
      </c>
      <c r="D512" s="1" t="s">
        <v>1276</v>
      </c>
      <c r="E512" s="1" t="s">
        <v>1277</v>
      </c>
      <c r="F512" s="1" t="s">
        <v>112</v>
      </c>
      <c r="G512" s="1">
        <v>571116</v>
      </c>
    </row>
    <row r="513" spans="1:9" x14ac:dyDescent="0.25">
      <c r="A513" s="1" t="str">
        <f t="shared" si="7"/>
        <v>16 Testo + FAD</v>
      </c>
      <c r="B5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3" s="1" t="s">
        <v>1278</v>
      </c>
      <c r="D513" s="1" t="s">
        <v>1279</v>
      </c>
      <c r="E513" s="1" t="s">
        <v>1280</v>
      </c>
      <c r="F513" s="1" t="s">
        <v>112</v>
      </c>
      <c r="G513" s="1">
        <v>593395</v>
      </c>
    </row>
    <row r="514" spans="1:9" x14ac:dyDescent="0.25">
      <c r="A514" s="1" t="str">
        <f t="shared" ref="A514:A577" si="8">IFERROR(LEFT(RIGHT(C514,LEN(C514)-SEARCH("@",C514)),SEARCH("/",RIGHT(C514,LEN(C514)-SEARCH("@",C514)-1))),"")</f>
        <v>16 Testo + FAD</v>
      </c>
      <c r="B5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14" s="1" t="s">
        <v>1281</v>
      </c>
      <c r="D514" s="1" t="s">
        <v>1282</v>
      </c>
      <c r="E514" s="1" t="s">
        <v>1283</v>
      </c>
      <c r="F514" s="1" t="s">
        <v>112</v>
      </c>
      <c r="G514" s="1">
        <v>436708</v>
      </c>
    </row>
    <row r="515" spans="1:9" x14ac:dyDescent="0.25">
      <c r="A515" s="1" t="str">
        <f t="shared" si="8"/>
        <v>16 Testo + FAD</v>
      </c>
      <c r="B5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5" s="1" t="s">
        <v>1284</v>
      </c>
      <c r="D515" s="1" t="s">
        <v>1285</v>
      </c>
      <c r="E515" s="1" t="s">
        <v>1286</v>
      </c>
      <c r="F515" s="1" t="s">
        <v>112</v>
      </c>
      <c r="G515" s="1">
        <v>31407</v>
      </c>
    </row>
    <row r="516" spans="1:9" x14ac:dyDescent="0.25">
      <c r="A516" s="1" t="str">
        <f t="shared" si="8"/>
        <v>16 Testo + FAD</v>
      </c>
      <c r="B5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6" s="1" t="s">
        <v>1287</v>
      </c>
      <c r="D516" s="1" t="s">
        <v>705</v>
      </c>
      <c r="E516" s="1" t="s">
        <v>1288</v>
      </c>
      <c r="F516" s="1" t="s">
        <v>112</v>
      </c>
      <c r="G516" s="1">
        <v>122231</v>
      </c>
    </row>
    <row r="517" spans="1:9" x14ac:dyDescent="0.25">
      <c r="A517" s="1" t="str">
        <f t="shared" si="8"/>
        <v>16 Testo + FAD</v>
      </c>
      <c r="B5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17" s="1" t="s">
        <v>1289</v>
      </c>
      <c r="D517" s="1" t="s">
        <v>1290</v>
      </c>
      <c r="E517" s="1" t="s">
        <v>1291</v>
      </c>
      <c r="F517" s="1" t="s">
        <v>112</v>
      </c>
      <c r="G517" s="1">
        <v>43692</v>
      </c>
    </row>
    <row r="518" spans="1:9" x14ac:dyDescent="0.25">
      <c r="A518" s="1" t="str">
        <f t="shared" si="8"/>
        <v>16 Testo + FAD</v>
      </c>
      <c r="B5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8" s="1" t="s">
        <v>1292</v>
      </c>
      <c r="D518" s="1" t="s">
        <v>1293</v>
      </c>
      <c r="E518" s="1" t="s">
        <v>1294</v>
      </c>
      <c r="F518" s="1" t="s">
        <v>112</v>
      </c>
      <c r="G518" s="1">
        <v>253762</v>
      </c>
    </row>
    <row r="519" spans="1:9" x14ac:dyDescent="0.25">
      <c r="A519" s="1" t="str">
        <f t="shared" si="8"/>
        <v>16 Testo + FAD</v>
      </c>
      <c r="B5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19" s="1" t="s">
        <v>1295</v>
      </c>
      <c r="D519" s="1" t="s">
        <v>949</v>
      </c>
      <c r="E519" s="1" t="s">
        <v>1296</v>
      </c>
      <c r="F519" s="1" t="s">
        <v>112</v>
      </c>
      <c r="G519" s="1">
        <v>462534</v>
      </c>
    </row>
    <row r="520" spans="1:9" x14ac:dyDescent="0.25">
      <c r="A520" s="1" t="str">
        <f t="shared" si="8"/>
        <v>16 Testo + FAD</v>
      </c>
      <c r="B52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20" s="1" t="s">
        <v>1297</v>
      </c>
      <c r="D520" s="1" t="s">
        <v>1298</v>
      </c>
      <c r="E520" s="1" t="s">
        <v>1299</v>
      </c>
      <c r="F520" s="1" t="s">
        <v>112</v>
      </c>
      <c r="G520" s="1">
        <v>484899</v>
      </c>
    </row>
    <row r="521" spans="1:9" x14ac:dyDescent="0.25">
      <c r="A521" s="1" t="str">
        <f t="shared" si="8"/>
        <v/>
      </c>
      <c r="B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1" s="1" t="s">
        <v>112</v>
      </c>
    </row>
    <row r="522" spans="1:9" x14ac:dyDescent="0.25">
      <c r="A522" s="1" t="str">
        <f t="shared" si="8"/>
        <v/>
      </c>
      <c r="B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2" s="1" t="s">
        <v>235</v>
      </c>
      <c r="D522" s="1" t="s">
        <v>112</v>
      </c>
      <c r="E522" s="1" t="s">
        <v>236</v>
      </c>
      <c r="F522" s="1" t="s">
        <v>237</v>
      </c>
      <c r="G522" s="1" t="s">
        <v>238</v>
      </c>
      <c r="H522" s="1" t="s">
        <v>239</v>
      </c>
      <c r="I522" s="1" t="s">
        <v>240</v>
      </c>
    </row>
    <row r="523" spans="1:9" x14ac:dyDescent="0.25">
      <c r="A523" s="1" t="str">
        <f t="shared" si="8"/>
        <v>16 Testo + FAD</v>
      </c>
      <c r="B52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23" s="1" t="s">
        <v>1300</v>
      </c>
      <c r="D523" s="1" t="s">
        <v>112</v>
      </c>
      <c r="E523" s="1" t="s">
        <v>1301</v>
      </c>
      <c r="F523" s="1" t="s">
        <v>1302</v>
      </c>
      <c r="G523" s="1" t="s">
        <v>1303</v>
      </c>
      <c r="H523" s="1" t="s">
        <v>1304</v>
      </c>
      <c r="I523" s="1">
        <v>24</v>
      </c>
    </row>
    <row r="524" spans="1:9" x14ac:dyDescent="0.25">
      <c r="A524" s="1" t="str">
        <f t="shared" si="8"/>
        <v/>
      </c>
      <c r="B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4" s="1" t="s">
        <v>112</v>
      </c>
    </row>
    <row r="525" spans="1:9" x14ac:dyDescent="0.25">
      <c r="A525" s="1" t="str">
        <f t="shared" si="8"/>
        <v/>
      </c>
      <c r="B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5" s="1" t="s">
        <v>112</v>
      </c>
    </row>
    <row r="526" spans="1:9" x14ac:dyDescent="0.25">
      <c r="A526" s="1" t="str">
        <f t="shared" si="8"/>
        <v/>
      </c>
      <c r="B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6" s="1" t="s">
        <v>112</v>
      </c>
    </row>
    <row r="527" spans="1:9" x14ac:dyDescent="0.25">
      <c r="A527" s="1" t="str">
        <f t="shared" si="8"/>
        <v/>
      </c>
      <c r="B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7" s="1" t="s">
        <v>112</v>
      </c>
    </row>
    <row r="528" spans="1:9" x14ac:dyDescent="0.25">
      <c r="A528" s="1" t="str">
        <f t="shared" si="8"/>
        <v/>
      </c>
      <c r="B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8" s="1" t="s">
        <v>112</v>
      </c>
    </row>
    <row r="529" spans="1:7" x14ac:dyDescent="0.25">
      <c r="A529" s="1" t="str">
        <f t="shared" si="8"/>
        <v/>
      </c>
      <c r="B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29" s="1" t="s">
        <v>246</v>
      </c>
      <c r="D529" s="1" t="s">
        <v>110</v>
      </c>
      <c r="E529" s="1" t="s">
        <v>111</v>
      </c>
      <c r="F529" s="1" t="s">
        <v>112</v>
      </c>
      <c r="G529" s="1" t="s">
        <v>113</v>
      </c>
    </row>
    <row r="530" spans="1:7" x14ac:dyDescent="0.25">
      <c r="A530" s="1" t="str">
        <f t="shared" si="8"/>
        <v>17 Testo + Cromolyn 0.1</v>
      </c>
      <c r="B5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0" s="1" t="s">
        <v>1305</v>
      </c>
      <c r="D530" s="1" t="s">
        <v>1306</v>
      </c>
      <c r="E530" s="1" t="s">
        <v>1307</v>
      </c>
      <c r="F530" s="1" t="s">
        <v>112</v>
      </c>
      <c r="G530" s="1">
        <v>3716124</v>
      </c>
    </row>
    <row r="531" spans="1:7" x14ac:dyDescent="0.25">
      <c r="A531" s="1" t="str">
        <f t="shared" si="8"/>
        <v>17 Testo + Cromolyn 0.1</v>
      </c>
      <c r="B5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1" s="1" t="s">
        <v>1308</v>
      </c>
      <c r="D531" s="1" t="s">
        <v>1309</v>
      </c>
      <c r="E531" s="1" t="s">
        <v>1310</v>
      </c>
      <c r="F531" s="1" t="s">
        <v>112</v>
      </c>
      <c r="G531" s="1">
        <v>1545889</v>
      </c>
    </row>
    <row r="532" spans="1:7" x14ac:dyDescent="0.25">
      <c r="A532" s="1" t="str">
        <f t="shared" si="8"/>
        <v>17 Testo + Cromolyn 0.1</v>
      </c>
      <c r="B5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32" s="1" t="s">
        <v>1311</v>
      </c>
      <c r="D532" s="1" t="s">
        <v>1312</v>
      </c>
      <c r="E532" s="1" t="s">
        <v>1313</v>
      </c>
      <c r="F532" s="1" t="s">
        <v>112</v>
      </c>
      <c r="G532" s="1">
        <v>3059181</v>
      </c>
    </row>
    <row r="533" spans="1:7" x14ac:dyDescent="0.25">
      <c r="A533" s="1" t="str">
        <f t="shared" si="8"/>
        <v>17 Testo + Cromolyn 0.1</v>
      </c>
      <c r="B5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3" s="1" t="s">
        <v>1314</v>
      </c>
    </row>
    <row r="534" spans="1:7" x14ac:dyDescent="0.25">
      <c r="A534" s="1" t="str">
        <f t="shared" si="8"/>
        <v>17 Testo + Cromolyn 0.1</v>
      </c>
      <c r="B5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4" s="1" t="s">
        <v>1315</v>
      </c>
      <c r="D534" s="1" t="s">
        <v>1120</v>
      </c>
      <c r="E534" s="1" t="s">
        <v>1316</v>
      </c>
      <c r="F534" s="1" t="s">
        <v>112</v>
      </c>
      <c r="G534" s="1">
        <v>4264355</v>
      </c>
    </row>
    <row r="535" spans="1:7" x14ac:dyDescent="0.25">
      <c r="A535" s="1" t="str">
        <f t="shared" si="8"/>
        <v>17 Testo + Cromolyn 0.1</v>
      </c>
      <c r="B5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35" s="1" t="s">
        <v>1317</v>
      </c>
      <c r="D535" s="1" t="s">
        <v>1318</v>
      </c>
      <c r="E535" s="1" t="s">
        <v>1319</v>
      </c>
      <c r="F535" s="1" t="s">
        <v>112</v>
      </c>
      <c r="G535" s="1">
        <v>4791757</v>
      </c>
    </row>
    <row r="536" spans="1:7" x14ac:dyDescent="0.25">
      <c r="A536" s="1" t="str">
        <f t="shared" si="8"/>
        <v>17 Testo + Cromolyn 0.1</v>
      </c>
      <c r="B5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6" s="1" t="s">
        <v>1320</v>
      </c>
      <c r="D536" s="1" t="s">
        <v>1321</v>
      </c>
      <c r="E536" s="1" t="s">
        <v>1322</v>
      </c>
      <c r="F536" s="1" t="s">
        <v>112</v>
      </c>
      <c r="G536" s="1">
        <v>2875738</v>
      </c>
    </row>
    <row r="537" spans="1:7" x14ac:dyDescent="0.25">
      <c r="A537" s="1" t="str">
        <f t="shared" si="8"/>
        <v>17 Testo + Cromolyn 0.1</v>
      </c>
      <c r="B5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7" s="1" t="s">
        <v>1323</v>
      </c>
      <c r="D537" s="1" t="s">
        <v>1324</v>
      </c>
      <c r="E537" s="1" t="s">
        <v>1325</v>
      </c>
      <c r="F537" s="1" t="s">
        <v>112</v>
      </c>
      <c r="G537" s="1">
        <v>2710053</v>
      </c>
    </row>
    <row r="538" spans="1:7" x14ac:dyDescent="0.25">
      <c r="A538" s="1" t="str">
        <f t="shared" si="8"/>
        <v>17 Testo + Cromolyn 0.1</v>
      </c>
      <c r="B5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38" s="1" t="s">
        <v>1326</v>
      </c>
      <c r="D538" s="1" t="s">
        <v>1327</v>
      </c>
      <c r="E538" s="1" t="s">
        <v>1328</v>
      </c>
      <c r="F538" s="1" t="s">
        <v>112</v>
      </c>
      <c r="G538" s="1">
        <v>2609366</v>
      </c>
    </row>
    <row r="539" spans="1:7" x14ac:dyDescent="0.25">
      <c r="A539" s="1" t="str">
        <f t="shared" si="8"/>
        <v>17 Testo + Cromolyn 0.1</v>
      </c>
      <c r="B5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39" s="1" t="s">
        <v>1329</v>
      </c>
      <c r="D539" s="1" t="s">
        <v>1330</v>
      </c>
      <c r="E539" s="1" t="s">
        <v>1331</v>
      </c>
      <c r="F539" s="1" t="s">
        <v>112</v>
      </c>
      <c r="G539" s="1">
        <v>4923699</v>
      </c>
    </row>
    <row r="540" spans="1:7" x14ac:dyDescent="0.25">
      <c r="A540" s="1" t="str">
        <f t="shared" si="8"/>
        <v>17 Testo + Cromolyn 0.1</v>
      </c>
      <c r="B5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0" s="1" t="s">
        <v>1332</v>
      </c>
      <c r="D540" s="1" t="s">
        <v>1333</v>
      </c>
      <c r="E540" s="1" t="s">
        <v>1334</v>
      </c>
      <c r="F540" s="1" t="s">
        <v>112</v>
      </c>
      <c r="G540" s="1">
        <v>4488592</v>
      </c>
    </row>
    <row r="541" spans="1:7" x14ac:dyDescent="0.25">
      <c r="A541" s="1" t="str">
        <f t="shared" si="8"/>
        <v>17 Testo + Cromolyn 0.1</v>
      </c>
      <c r="B5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41" s="1" t="s">
        <v>1335</v>
      </c>
      <c r="D541" s="1" t="s">
        <v>1336</v>
      </c>
      <c r="E541" s="1" t="s">
        <v>1337</v>
      </c>
      <c r="F541" s="1" t="s">
        <v>112</v>
      </c>
      <c r="G541" s="1">
        <v>4444338</v>
      </c>
    </row>
    <row r="542" spans="1:7" x14ac:dyDescent="0.25">
      <c r="A542" s="1" t="str">
        <f t="shared" si="8"/>
        <v>17 Testo + Cromolyn 0.1</v>
      </c>
      <c r="B5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2" s="1" t="s">
        <v>1338</v>
      </c>
      <c r="D542" s="1" t="s">
        <v>1339</v>
      </c>
      <c r="E542" s="1" t="s">
        <v>1340</v>
      </c>
      <c r="F542" s="1" t="s">
        <v>112</v>
      </c>
      <c r="G542" s="1">
        <v>5025814</v>
      </c>
    </row>
    <row r="543" spans="1:7" x14ac:dyDescent="0.25">
      <c r="A543" s="1" t="str">
        <f t="shared" si="8"/>
        <v>17 Testo + Cromolyn 0.1</v>
      </c>
      <c r="B5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3" s="1" t="s">
        <v>1341</v>
      </c>
      <c r="D543" s="1" t="s">
        <v>1342</v>
      </c>
      <c r="E543" s="1" t="s">
        <v>1343</v>
      </c>
      <c r="F543" s="1" t="s">
        <v>112</v>
      </c>
      <c r="G543" s="1">
        <v>4288754</v>
      </c>
    </row>
    <row r="544" spans="1:7" x14ac:dyDescent="0.25">
      <c r="A544" s="1" t="str">
        <f t="shared" si="8"/>
        <v>17 Testo + Cromolyn 0.1</v>
      </c>
      <c r="B5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44" s="1" t="s">
        <v>1344</v>
      </c>
      <c r="D544" s="1" t="s">
        <v>1345</v>
      </c>
      <c r="E544" s="1" t="s">
        <v>1346</v>
      </c>
      <c r="F544" s="1" t="s">
        <v>112</v>
      </c>
      <c r="G544" s="1">
        <v>5035353</v>
      </c>
    </row>
    <row r="545" spans="1:9" x14ac:dyDescent="0.25">
      <c r="A545" s="1" t="str">
        <f t="shared" si="8"/>
        <v>17 Testo + Cromolyn 0.1</v>
      </c>
      <c r="B5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5" s="1" t="s">
        <v>1347</v>
      </c>
      <c r="D545" s="1" t="s">
        <v>1348</v>
      </c>
      <c r="E545" s="1" t="s">
        <v>1349</v>
      </c>
      <c r="F545" s="1" t="s">
        <v>112</v>
      </c>
      <c r="G545" s="1">
        <v>2106081</v>
      </c>
    </row>
    <row r="546" spans="1:9" x14ac:dyDescent="0.25">
      <c r="A546" s="1" t="str">
        <f t="shared" si="8"/>
        <v>17 Testo + Cromolyn 0.1</v>
      </c>
      <c r="B5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6" s="1" t="s">
        <v>1350</v>
      </c>
      <c r="D546" s="1" t="s">
        <v>1351</v>
      </c>
      <c r="E546" s="1" t="s">
        <v>1352</v>
      </c>
      <c r="F546" s="1" t="s">
        <v>112</v>
      </c>
      <c r="G546" s="1">
        <v>1587072</v>
      </c>
    </row>
    <row r="547" spans="1:9" x14ac:dyDescent="0.25">
      <c r="A547" s="1" t="str">
        <f t="shared" si="8"/>
        <v>17 Testo + Cromolyn 0.1</v>
      </c>
      <c r="B5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47" s="1" t="s">
        <v>1353</v>
      </c>
      <c r="D547" s="1" t="s">
        <v>1354</v>
      </c>
      <c r="E547" s="1" t="s">
        <v>1355</v>
      </c>
      <c r="F547" s="1" t="s">
        <v>112</v>
      </c>
      <c r="G547" s="1">
        <v>2043701</v>
      </c>
    </row>
    <row r="548" spans="1:9" x14ac:dyDescent="0.25">
      <c r="A548" s="1" t="str">
        <f t="shared" si="8"/>
        <v>17 Testo + Cromolyn 0.1</v>
      </c>
      <c r="B5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8" s="1" t="s">
        <v>1356</v>
      </c>
      <c r="D548" s="1" t="s">
        <v>1357</v>
      </c>
      <c r="E548" s="1" t="s">
        <v>1358</v>
      </c>
      <c r="F548" s="1" t="s">
        <v>112</v>
      </c>
      <c r="G548" s="1">
        <v>3160279</v>
      </c>
    </row>
    <row r="549" spans="1:9" x14ac:dyDescent="0.25">
      <c r="A549" s="1" t="str">
        <f t="shared" si="8"/>
        <v>17 Testo + Cromolyn 0.1</v>
      </c>
      <c r="B5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49" s="1" t="s">
        <v>1359</v>
      </c>
      <c r="D549" s="1" t="s">
        <v>1360</v>
      </c>
      <c r="E549" s="1" t="s">
        <v>1361</v>
      </c>
      <c r="F549" s="1" t="s">
        <v>112</v>
      </c>
      <c r="G549" s="1">
        <v>3106637</v>
      </c>
    </row>
    <row r="550" spans="1:9" x14ac:dyDescent="0.25">
      <c r="A550" s="1" t="str">
        <f t="shared" si="8"/>
        <v>17 Testo + Cromolyn 0.1</v>
      </c>
      <c r="B5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50" s="1" t="s">
        <v>1362</v>
      </c>
      <c r="D550" s="1" t="s">
        <v>1126</v>
      </c>
      <c r="E550" s="1" t="s">
        <v>1363</v>
      </c>
      <c r="F550" s="1" t="s">
        <v>112</v>
      </c>
      <c r="G550" s="1">
        <v>2852745</v>
      </c>
    </row>
    <row r="551" spans="1:9" x14ac:dyDescent="0.25">
      <c r="A551" s="1" t="str">
        <f t="shared" si="8"/>
        <v>17 Testo + Cromolyn 0.1</v>
      </c>
      <c r="B5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1" s="1" t="s">
        <v>1364</v>
      </c>
      <c r="D551" s="1" t="s">
        <v>1365</v>
      </c>
      <c r="E551" s="1" t="s">
        <v>1366</v>
      </c>
      <c r="F551" s="1" t="s">
        <v>112</v>
      </c>
      <c r="G551" s="1">
        <v>6515638</v>
      </c>
    </row>
    <row r="552" spans="1:9" x14ac:dyDescent="0.25">
      <c r="A552" s="1" t="str">
        <f t="shared" si="8"/>
        <v>17 Testo + Cromolyn 0.1</v>
      </c>
      <c r="B5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2" s="1" t="s">
        <v>1367</v>
      </c>
      <c r="D552" s="1" t="s">
        <v>1368</v>
      </c>
      <c r="E552" s="1" t="s">
        <v>1369</v>
      </c>
      <c r="F552" s="1" t="s">
        <v>112</v>
      </c>
      <c r="G552" s="1">
        <v>6019924</v>
      </c>
    </row>
    <row r="553" spans="1:9" x14ac:dyDescent="0.25">
      <c r="A553" s="1" t="str">
        <f t="shared" si="8"/>
        <v>17 Testo + Cromolyn 0.1</v>
      </c>
      <c r="B55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53" s="1" t="s">
        <v>1370</v>
      </c>
      <c r="D553" s="1" t="s">
        <v>1371</v>
      </c>
      <c r="E553" s="1" t="s">
        <v>1372</v>
      </c>
      <c r="F553" s="1" t="s">
        <v>112</v>
      </c>
      <c r="G553" s="1">
        <v>6553166</v>
      </c>
    </row>
    <row r="554" spans="1:9" x14ac:dyDescent="0.25">
      <c r="A554" s="1" t="str">
        <f t="shared" si="8"/>
        <v/>
      </c>
      <c r="B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4" s="1" t="s">
        <v>112</v>
      </c>
    </row>
    <row r="555" spans="1:9" x14ac:dyDescent="0.25">
      <c r="A555" s="1" t="str">
        <f t="shared" si="8"/>
        <v/>
      </c>
      <c r="B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5" s="1" t="s">
        <v>235</v>
      </c>
      <c r="D555" s="1" t="s">
        <v>112</v>
      </c>
      <c r="E555" s="1" t="s">
        <v>236</v>
      </c>
      <c r="F555" s="1" t="s">
        <v>237</v>
      </c>
      <c r="G555" s="1" t="s">
        <v>238</v>
      </c>
      <c r="H555" s="1" t="s">
        <v>239</v>
      </c>
      <c r="I555" s="1" t="s">
        <v>240</v>
      </c>
    </row>
    <row r="556" spans="1:9" x14ac:dyDescent="0.25">
      <c r="A556" s="1" t="str">
        <f t="shared" si="8"/>
        <v>17 Testo + Cromolyn 0.1</v>
      </c>
      <c r="B55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56" s="1" t="s">
        <v>1373</v>
      </c>
      <c r="D556" s="1" t="s">
        <v>112</v>
      </c>
      <c r="E556" s="1" t="s">
        <v>1374</v>
      </c>
      <c r="F556" s="1" t="s">
        <v>1375</v>
      </c>
      <c r="G556" s="1" t="s">
        <v>1376</v>
      </c>
      <c r="H556" s="1" t="s">
        <v>1377</v>
      </c>
      <c r="I556" s="1">
        <v>24</v>
      </c>
    </row>
    <row r="557" spans="1:9" x14ac:dyDescent="0.25">
      <c r="A557" s="1" t="str">
        <f t="shared" si="8"/>
        <v/>
      </c>
      <c r="B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7" s="1" t="s">
        <v>112</v>
      </c>
    </row>
    <row r="558" spans="1:9" x14ac:dyDescent="0.25">
      <c r="A558" s="1" t="str">
        <f t="shared" si="8"/>
        <v/>
      </c>
      <c r="B5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8" s="1" t="s">
        <v>112</v>
      </c>
    </row>
    <row r="559" spans="1:9" x14ac:dyDescent="0.25">
      <c r="A559" s="1" t="str">
        <f t="shared" si="8"/>
        <v/>
      </c>
      <c r="B5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59" s="1" t="s">
        <v>112</v>
      </c>
    </row>
    <row r="560" spans="1:9" x14ac:dyDescent="0.25">
      <c r="A560" s="1" t="str">
        <f t="shared" si="8"/>
        <v/>
      </c>
      <c r="B5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0" s="1" t="s">
        <v>112</v>
      </c>
    </row>
    <row r="561" spans="1:7" x14ac:dyDescent="0.25">
      <c r="A561" s="1" t="str">
        <f t="shared" si="8"/>
        <v/>
      </c>
      <c r="B5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1" s="1" t="s">
        <v>112</v>
      </c>
    </row>
    <row r="562" spans="1:7" x14ac:dyDescent="0.25">
      <c r="A562" s="1" t="str">
        <f t="shared" si="8"/>
        <v/>
      </c>
      <c r="B5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62" s="1" t="s">
        <v>246</v>
      </c>
      <c r="D562" s="1" t="s">
        <v>110</v>
      </c>
      <c r="E562" s="1" t="s">
        <v>111</v>
      </c>
      <c r="F562" s="1" t="s">
        <v>112</v>
      </c>
      <c r="G562" s="1" t="s">
        <v>113</v>
      </c>
    </row>
    <row r="563" spans="1:7" x14ac:dyDescent="0.25">
      <c r="A563" s="1" t="str">
        <f t="shared" si="8"/>
        <v>18 Testo + Cromolyn 1</v>
      </c>
      <c r="B5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3" s="1" t="s">
        <v>1378</v>
      </c>
      <c r="D563" s="1" t="s">
        <v>1379</v>
      </c>
      <c r="E563" s="1" t="s">
        <v>1380</v>
      </c>
      <c r="F563" s="1" t="s">
        <v>112</v>
      </c>
      <c r="G563" s="1">
        <v>407291</v>
      </c>
    </row>
    <row r="564" spans="1:7" x14ac:dyDescent="0.25">
      <c r="A564" s="1" t="str">
        <f t="shared" si="8"/>
        <v>18 Testo + Cromolyn 1</v>
      </c>
      <c r="B5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4" s="1" t="s">
        <v>1381</v>
      </c>
      <c r="D564" s="1" t="s">
        <v>1382</v>
      </c>
      <c r="E564" s="1" t="s">
        <v>1383</v>
      </c>
      <c r="F564" s="1" t="s">
        <v>112</v>
      </c>
      <c r="G564" s="1">
        <v>433636</v>
      </c>
    </row>
    <row r="565" spans="1:7" x14ac:dyDescent="0.25">
      <c r="A565" s="1" t="str">
        <f t="shared" si="8"/>
        <v>18 Testo + Cromolyn 1</v>
      </c>
      <c r="B5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65" s="1" t="s">
        <v>1384</v>
      </c>
      <c r="D565" s="1" t="s">
        <v>1385</v>
      </c>
      <c r="E565" s="1" t="s">
        <v>1386</v>
      </c>
      <c r="F565" s="1" t="s">
        <v>112</v>
      </c>
      <c r="G565" s="1">
        <v>151042</v>
      </c>
    </row>
    <row r="566" spans="1:7" x14ac:dyDescent="0.25">
      <c r="A566" s="1" t="str">
        <f t="shared" si="8"/>
        <v>18 Testo + Cromolyn 1</v>
      </c>
      <c r="B5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6" s="1" t="s">
        <v>1387</v>
      </c>
      <c r="D566" s="1" t="s">
        <v>1388</v>
      </c>
      <c r="E566" s="1" t="s">
        <v>1389</v>
      </c>
      <c r="F566" s="1" t="s">
        <v>112</v>
      </c>
      <c r="G566" s="1">
        <v>4605891</v>
      </c>
    </row>
    <row r="567" spans="1:7" x14ac:dyDescent="0.25">
      <c r="A567" s="1" t="str">
        <f t="shared" si="8"/>
        <v>18 Testo + Cromolyn 1</v>
      </c>
      <c r="B5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7" s="1" t="s">
        <v>1390</v>
      </c>
      <c r="D567" s="1" t="s">
        <v>1391</v>
      </c>
      <c r="E567" s="1" t="s">
        <v>1392</v>
      </c>
      <c r="F567" s="1" t="s">
        <v>112</v>
      </c>
      <c r="G567" s="1">
        <v>4379837</v>
      </c>
    </row>
    <row r="568" spans="1:7" x14ac:dyDescent="0.25">
      <c r="A568" s="1" t="str">
        <f t="shared" si="8"/>
        <v>18 Testo + Cromolyn 1</v>
      </c>
      <c r="B5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68" s="1" t="s">
        <v>1393</v>
      </c>
      <c r="D568" s="1" t="s">
        <v>1394</v>
      </c>
      <c r="E568" s="1" t="s">
        <v>1395</v>
      </c>
      <c r="F568" s="1" t="s">
        <v>112</v>
      </c>
      <c r="G568" s="1">
        <v>4261933</v>
      </c>
    </row>
    <row r="569" spans="1:7" x14ac:dyDescent="0.25">
      <c r="A569" s="1" t="str">
        <f t="shared" si="8"/>
        <v>18 Testo + Cromolyn 1</v>
      </c>
      <c r="B5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69" s="1" t="s">
        <v>1396</v>
      </c>
      <c r="D569" s="1" t="s">
        <v>1397</v>
      </c>
      <c r="E569" s="1" t="s">
        <v>1398</v>
      </c>
      <c r="F569" s="1" t="s">
        <v>112</v>
      </c>
      <c r="G569" s="1">
        <v>2371264</v>
      </c>
    </row>
    <row r="570" spans="1:7" x14ac:dyDescent="0.25">
      <c r="A570" s="1" t="str">
        <f t="shared" si="8"/>
        <v>18 Testo + Cromolyn 1</v>
      </c>
      <c r="B5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0" s="1" t="s">
        <v>1399</v>
      </c>
      <c r="D570" s="1" t="s">
        <v>1400</v>
      </c>
      <c r="E570" s="1" t="s">
        <v>1401</v>
      </c>
      <c r="F570" s="1" t="s">
        <v>112</v>
      </c>
      <c r="G570" s="1">
        <v>2206141</v>
      </c>
    </row>
    <row r="571" spans="1:7" x14ac:dyDescent="0.25">
      <c r="A571" s="1" t="str">
        <f t="shared" si="8"/>
        <v>18 Testo + Cromolyn 1</v>
      </c>
      <c r="B5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571" s="1" t="s">
        <v>1402</v>
      </c>
      <c r="D571" s="1" t="s">
        <v>1403</v>
      </c>
      <c r="E571" s="1" t="s">
        <v>1404</v>
      </c>
      <c r="F571" s="1" t="s">
        <v>112</v>
      </c>
      <c r="G571" s="1">
        <v>1906394</v>
      </c>
    </row>
    <row r="572" spans="1:7" x14ac:dyDescent="0.25">
      <c r="A572" s="1" t="str">
        <f t="shared" si="8"/>
        <v>18 Testo + Cromolyn 1</v>
      </c>
      <c r="B5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2" s="1" t="s">
        <v>1405</v>
      </c>
      <c r="D572" s="1" t="s">
        <v>1406</v>
      </c>
      <c r="E572" s="1" t="s">
        <v>1407</v>
      </c>
      <c r="F572" s="1" t="s">
        <v>112</v>
      </c>
      <c r="G572" s="1">
        <v>3275415</v>
      </c>
    </row>
    <row r="573" spans="1:7" x14ac:dyDescent="0.25">
      <c r="A573" s="1" t="str">
        <f t="shared" si="8"/>
        <v>18 Testo + Cromolyn 1</v>
      </c>
      <c r="B5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3" s="1" t="s">
        <v>1408</v>
      </c>
      <c r="D573" s="1" t="s">
        <v>1409</v>
      </c>
      <c r="E573" s="1" t="s">
        <v>1410</v>
      </c>
      <c r="F573" s="1" t="s">
        <v>112</v>
      </c>
      <c r="G573" s="1">
        <v>3589870</v>
      </c>
    </row>
    <row r="574" spans="1:7" x14ac:dyDescent="0.25">
      <c r="A574" s="1" t="str">
        <f t="shared" si="8"/>
        <v>18 Testo + Cromolyn 1</v>
      </c>
      <c r="B5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574" s="1" t="s">
        <v>1411</v>
      </c>
      <c r="D574" s="1" t="s">
        <v>1412</v>
      </c>
      <c r="E574" s="1" t="s">
        <v>1413</v>
      </c>
      <c r="F574" s="1" t="s">
        <v>112</v>
      </c>
      <c r="G574" s="1">
        <v>3612387</v>
      </c>
    </row>
    <row r="575" spans="1:7" x14ac:dyDescent="0.25">
      <c r="A575" s="1" t="str">
        <f t="shared" si="8"/>
        <v>18 Testo + Cromolyn 1</v>
      </c>
      <c r="B5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5" s="1" t="s">
        <v>1414</v>
      </c>
      <c r="D575" s="1" t="s">
        <v>1415</v>
      </c>
      <c r="E575" s="1" t="s">
        <v>1416</v>
      </c>
      <c r="F575" s="1" t="s">
        <v>112</v>
      </c>
      <c r="G575" s="1">
        <v>3001862</v>
      </c>
    </row>
    <row r="576" spans="1:7" x14ac:dyDescent="0.25">
      <c r="A576" s="1" t="str">
        <f t="shared" si="8"/>
        <v>18 Testo + Cromolyn 1</v>
      </c>
      <c r="B5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6" s="1" t="s">
        <v>1417</v>
      </c>
      <c r="D576" s="1" t="s">
        <v>1418</v>
      </c>
      <c r="E576" s="1" t="s">
        <v>1419</v>
      </c>
      <c r="F576" s="1" t="s">
        <v>112</v>
      </c>
      <c r="G576" s="1">
        <v>3329252</v>
      </c>
    </row>
    <row r="577" spans="1:9" x14ac:dyDescent="0.25">
      <c r="A577" s="1" t="str">
        <f t="shared" si="8"/>
        <v>18 Testo + Cromolyn 1</v>
      </c>
      <c r="B5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577" s="1" t="s">
        <v>1420</v>
      </c>
      <c r="D577" s="1" t="s">
        <v>1421</v>
      </c>
      <c r="E577" s="1" t="s">
        <v>1422</v>
      </c>
      <c r="F577" s="1" t="s">
        <v>112</v>
      </c>
      <c r="G577" s="1">
        <v>2880215</v>
      </c>
    </row>
    <row r="578" spans="1:9" x14ac:dyDescent="0.25">
      <c r="A578" s="1" t="str">
        <f t="shared" ref="A578:A641" si="9">IFERROR(LEFT(RIGHT(C578,LEN(C578)-SEARCH("@",C578)),SEARCH("/",RIGHT(C578,LEN(C578)-SEARCH("@",C578)-1))),"")</f>
        <v>18 Testo + Cromolyn 1</v>
      </c>
      <c r="B5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8" s="1" t="s">
        <v>1423</v>
      </c>
      <c r="D578" s="1" t="s">
        <v>1424</v>
      </c>
      <c r="E578" s="1" t="s">
        <v>1425</v>
      </c>
      <c r="F578" s="1" t="s">
        <v>112</v>
      </c>
      <c r="G578" s="1">
        <v>4094150</v>
      </c>
    </row>
    <row r="579" spans="1:9" x14ac:dyDescent="0.25">
      <c r="A579" s="1" t="str">
        <f t="shared" si="9"/>
        <v>18 Testo + Cromolyn 1</v>
      </c>
      <c r="B5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79" s="1" t="s">
        <v>1426</v>
      </c>
      <c r="D579" s="1" t="s">
        <v>1427</v>
      </c>
      <c r="E579" s="1" t="s">
        <v>1428</v>
      </c>
      <c r="F579" s="1" t="s">
        <v>112</v>
      </c>
      <c r="G579" s="1">
        <v>3712815</v>
      </c>
    </row>
    <row r="580" spans="1:9" x14ac:dyDescent="0.25">
      <c r="A580" s="1" t="str">
        <f t="shared" si="9"/>
        <v>18 Testo + Cromolyn 1</v>
      </c>
      <c r="B5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580" s="1" t="s">
        <v>1429</v>
      </c>
      <c r="D580" s="1" t="s">
        <v>1430</v>
      </c>
      <c r="E580" s="1">
        <v>77</v>
      </c>
      <c r="F580" s="1" t="s">
        <v>112</v>
      </c>
      <c r="G580" s="1">
        <v>3714069</v>
      </c>
    </row>
    <row r="581" spans="1:9" x14ac:dyDescent="0.25">
      <c r="A581" s="1" t="str">
        <f t="shared" si="9"/>
        <v>18 Testo + Cromolyn 1</v>
      </c>
      <c r="B5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1" s="1" t="s">
        <v>1431</v>
      </c>
      <c r="D581" s="1" t="s">
        <v>1432</v>
      </c>
      <c r="E581" s="1" t="s">
        <v>1433</v>
      </c>
      <c r="F581" s="1" t="s">
        <v>112</v>
      </c>
      <c r="G581" s="1">
        <v>1886711</v>
      </c>
    </row>
    <row r="582" spans="1:9" x14ac:dyDescent="0.25">
      <c r="A582" s="1" t="str">
        <f t="shared" si="9"/>
        <v>18 Testo + Cromolyn 1</v>
      </c>
      <c r="B5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2" s="1" t="s">
        <v>1434</v>
      </c>
      <c r="D582" s="1" t="s">
        <v>1435</v>
      </c>
      <c r="E582" s="1" t="s">
        <v>1436</v>
      </c>
      <c r="F582" s="1" t="s">
        <v>112</v>
      </c>
      <c r="G582" s="1">
        <v>2017117</v>
      </c>
    </row>
    <row r="583" spans="1:9" x14ac:dyDescent="0.25">
      <c r="A583" s="1" t="str">
        <f t="shared" si="9"/>
        <v>18 Testo + Cromolyn 1</v>
      </c>
      <c r="B5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583" s="1" t="s">
        <v>1437</v>
      </c>
      <c r="D583" s="1" t="s">
        <v>1438</v>
      </c>
      <c r="E583" s="1" t="s">
        <v>1439</v>
      </c>
      <c r="F583" s="1" t="s">
        <v>112</v>
      </c>
      <c r="G583" s="1">
        <v>1919826</v>
      </c>
    </row>
    <row r="584" spans="1:9" x14ac:dyDescent="0.25">
      <c r="A584" s="1" t="str">
        <f t="shared" si="9"/>
        <v>18 Testo + Cromolyn 1</v>
      </c>
      <c r="B5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4" s="1" t="s">
        <v>1440</v>
      </c>
      <c r="D584" s="1" t="s">
        <v>1441</v>
      </c>
      <c r="E584" s="1" t="s">
        <v>1442</v>
      </c>
      <c r="F584" s="1" t="s">
        <v>112</v>
      </c>
      <c r="G584" s="1">
        <v>5323679</v>
      </c>
    </row>
    <row r="585" spans="1:9" x14ac:dyDescent="0.25">
      <c r="A585" s="1" t="str">
        <f t="shared" si="9"/>
        <v>18 Testo + Cromolyn 1</v>
      </c>
      <c r="B5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5" s="1" t="s">
        <v>1443</v>
      </c>
      <c r="D585" s="1" t="s">
        <v>1444</v>
      </c>
      <c r="E585" s="1" t="s">
        <v>1445</v>
      </c>
      <c r="F585" s="1" t="s">
        <v>112</v>
      </c>
      <c r="G585" s="1">
        <v>5382686</v>
      </c>
    </row>
    <row r="586" spans="1:9" x14ac:dyDescent="0.25">
      <c r="A586" s="1" t="str">
        <f t="shared" si="9"/>
        <v>18 Testo + Cromolyn 1</v>
      </c>
      <c r="B58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586" s="1" t="s">
        <v>1446</v>
      </c>
      <c r="D586" s="1" t="s">
        <v>1447</v>
      </c>
      <c r="E586" s="1" t="s">
        <v>1448</v>
      </c>
      <c r="F586" s="1" t="s">
        <v>112</v>
      </c>
      <c r="G586" s="1">
        <v>4831772</v>
      </c>
    </row>
    <row r="587" spans="1:9" x14ac:dyDescent="0.25">
      <c r="A587" s="1" t="str">
        <f t="shared" si="9"/>
        <v/>
      </c>
      <c r="B5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7" s="1" t="s">
        <v>112</v>
      </c>
    </row>
    <row r="588" spans="1:9" x14ac:dyDescent="0.25">
      <c r="A588" s="1" t="str">
        <f t="shared" si="9"/>
        <v/>
      </c>
      <c r="B5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88" s="1" t="s">
        <v>235</v>
      </c>
      <c r="D588" s="1" t="s">
        <v>112</v>
      </c>
      <c r="E588" s="1" t="s">
        <v>236</v>
      </c>
      <c r="F588" s="1" t="s">
        <v>237</v>
      </c>
      <c r="G588" s="1" t="s">
        <v>238</v>
      </c>
      <c r="H588" s="1" t="s">
        <v>239</v>
      </c>
      <c r="I588" s="1" t="s">
        <v>240</v>
      </c>
    </row>
    <row r="589" spans="1:9" x14ac:dyDescent="0.25">
      <c r="A589" s="1" t="str">
        <f t="shared" si="9"/>
        <v>18 Testo + Cromolyn 1</v>
      </c>
      <c r="B58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589" s="1" t="s">
        <v>1449</v>
      </c>
      <c r="D589" s="1" t="s">
        <v>112</v>
      </c>
      <c r="E589" s="1" t="s">
        <v>1450</v>
      </c>
      <c r="F589" s="1" t="s">
        <v>1451</v>
      </c>
      <c r="G589" s="1" t="s">
        <v>1452</v>
      </c>
      <c r="H589" s="1" t="s">
        <v>1453</v>
      </c>
      <c r="I589" s="1">
        <v>24</v>
      </c>
    </row>
    <row r="590" spans="1:9" x14ac:dyDescent="0.25">
      <c r="A590" s="1" t="str">
        <f t="shared" si="9"/>
        <v/>
      </c>
      <c r="B5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0" s="1" t="s">
        <v>112</v>
      </c>
    </row>
    <row r="591" spans="1:9" x14ac:dyDescent="0.25">
      <c r="A591" s="1" t="str">
        <f t="shared" si="9"/>
        <v/>
      </c>
      <c r="B5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1" s="1" t="s">
        <v>112</v>
      </c>
    </row>
    <row r="592" spans="1:9" x14ac:dyDescent="0.25">
      <c r="A592" s="1" t="str">
        <f t="shared" si="9"/>
        <v/>
      </c>
      <c r="B5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2" s="1" t="s">
        <v>112</v>
      </c>
    </row>
    <row r="593" spans="1:7" x14ac:dyDescent="0.25">
      <c r="A593" s="1" t="str">
        <f t="shared" si="9"/>
        <v/>
      </c>
      <c r="B5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3" s="1" t="s">
        <v>112</v>
      </c>
    </row>
    <row r="594" spans="1:7" x14ac:dyDescent="0.25">
      <c r="A594" s="1" t="str">
        <f t="shared" si="9"/>
        <v/>
      </c>
      <c r="B5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4" s="1" t="s">
        <v>112</v>
      </c>
    </row>
    <row r="595" spans="1:7" x14ac:dyDescent="0.25">
      <c r="A595" s="1" t="str">
        <f t="shared" si="9"/>
        <v/>
      </c>
      <c r="B5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595" s="1" t="s">
        <v>246</v>
      </c>
      <c r="D595" s="1" t="s">
        <v>110</v>
      </c>
      <c r="E595" s="1" t="s">
        <v>111</v>
      </c>
      <c r="F595" s="1" t="s">
        <v>112</v>
      </c>
      <c r="G595" s="1" t="s">
        <v>113</v>
      </c>
    </row>
    <row r="596" spans="1:7" x14ac:dyDescent="0.25">
      <c r="A596" s="1" t="str">
        <f t="shared" si="9"/>
        <v>19 Testo + Cromolyn 10</v>
      </c>
      <c r="B59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6" s="1" t="s">
        <v>1454</v>
      </c>
      <c r="D596" s="1" t="s">
        <v>1455</v>
      </c>
      <c r="E596" s="1" t="s">
        <v>1456</v>
      </c>
      <c r="F596" s="1" t="s">
        <v>112</v>
      </c>
      <c r="G596" s="1">
        <v>1948464</v>
      </c>
    </row>
    <row r="597" spans="1:7" x14ac:dyDescent="0.25">
      <c r="A597" s="1" t="str">
        <f t="shared" si="9"/>
        <v>19 Testo + Cromolyn 10</v>
      </c>
      <c r="B59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7" s="1" t="s">
        <v>1457</v>
      </c>
      <c r="D597" s="1" t="s">
        <v>1458</v>
      </c>
      <c r="E597" s="1" t="s">
        <v>1459</v>
      </c>
      <c r="F597" s="1" t="s">
        <v>112</v>
      </c>
      <c r="G597" s="1">
        <v>2141511</v>
      </c>
    </row>
    <row r="598" spans="1:7" x14ac:dyDescent="0.25">
      <c r="A598" s="1" t="str">
        <f t="shared" si="9"/>
        <v>19 Testo + Cromolyn 10</v>
      </c>
      <c r="B59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598" s="1" t="s">
        <v>1460</v>
      </c>
      <c r="D598" s="1" t="s">
        <v>1461</v>
      </c>
      <c r="E598" s="1" t="s">
        <v>1462</v>
      </c>
      <c r="F598" s="1" t="s">
        <v>112</v>
      </c>
      <c r="G598" s="1">
        <v>1879854</v>
      </c>
    </row>
    <row r="599" spans="1:7" x14ac:dyDescent="0.25">
      <c r="A599" s="1" t="str">
        <f t="shared" si="9"/>
        <v>19 Testo + Cromolyn 10</v>
      </c>
      <c r="B59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599" s="1" t="s">
        <v>1463</v>
      </c>
      <c r="D599" s="1" t="s">
        <v>1464</v>
      </c>
      <c r="E599" s="1" t="s">
        <v>1465</v>
      </c>
      <c r="F599" s="1" t="s">
        <v>112</v>
      </c>
      <c r="G599" s="1">
        <v>3382807</v>
      </c>
    </row>
    <row r="600" spans="1:7" x14ac:dyDescent="0.25">
      <c r="A600" s="1" t="str">
        <f t="shared" si="9"/>
        <v>19 Testo + Cromolyn 10</v>
      </c>
      <c r="B60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0" s="1" t="s">
        <v>1466</v>
      </c>
      <c r="D600" s="1" t="s">
        <v>1467</v>
      </c>
      <c r="E600" s="1" t="s">
        <v>1468</v>
      </c>
      <c r="F600" s="1" t="s">
        <v>112</v>
      </c>
      <c r="G600" s="1">
        <v>3013412</v>
      </c>
    </row>
    <row r="601" spans="1:7" x14ac:dyDescent="0.25">
      <c r="A601" s="1" t="str">
        <f t="shared" si="9"/>
        <v>19 Testo + Cromolyn 10</v>
      </c>
      <c r="B60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01" s="1" t="s">
        <v>1469</v>
      </c>
      <c r="D601" s="1" t="s">
        <v>1470</v>
      </c>
      <c r="E601" s="1" t="s">
        <v>1471</v>
      </c>
      <c r="F601" s="1" t="s">
        <v>112</v>
      </c>
      <c r="G601" s="1">
        <v>3405822</v>
      </c>
    </row>
    <row r="602" spans="1:7" x14ac:dyDescent="0.25">
      <c r="A602" s="1" t="str">
        <f t="shared" si="9"/>
        <v>19 Testo + Cromolyn 10</v>
      </c>
      <c r="B60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2" s="1" t="s">
        <v>1472</v>
      </c>
      <c r="D602" s="1" t="s">
        <v>1473</v>
      </c>
      <c r="E602" s="1" t="s">
        <v>1474</v>
      </c>
      <c r="F602" s="1" t="s">
        <v>112</v>
      </c>
      <c r="G602" s="1">
        <v>47737</v>
      </c>
    </row>
    <row r="603" spans="1:7" x14ac:dyDescent="0.25">
      <c r="A603" s="1" t="str">
        <f t="shared" si="9"/>
        <v>19 Testo + Cromolyn 10</v>
      </c>
      <c r="B60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3" s="1" t="s">
        <v>1475</v>
      </c>
      <c r="D603" s="1" t="s">
        <v>971</v>
      </c>
      <c r="E603" s="1" t="s">
        <v>1476</v>
      </c>
      <c r="F603" s="1" t="s">
        <v>112</v>
      </c>
      <c r="G603" s="1">
        <v>35776</v>
      </c>
    </row>
    <row r="604" spans="1:7" x14ac:dyDescent="0.25">
      <c r="A604" s="1" t="str">
        <f t="shared" si="9"/>
        <v>19 Testo + Cromolyn 10</v>
      </c>
      <c r="B60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04" s="1" t="s">
        <v>1477</v>
      </c>
      <c r="D604" s="1" t="s">
        <v>1478</v>
      </c>
      <c r="E604" s="1" t="s">
        <v>1479</v>
      </c>
      <c r="F604" s="1" t="s">
        <v>112</v>
      </c>
      <c r="G604" s="1">
        <v>5667</v>
      </c>
    </row>
    <row r="605" spans="1:7" x14ac:dyDescent="0.25">
      <c r="A605" s="1" t="str">
        <f t="shared" si="9"/>
        <v>19 Testo + Cromolyn 10</v>
      </c>
      <c r="B60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5" s="1" t="s">
        <v>1480</v>
      </c>
      <c r="D605" s="1" t="s">
        <v>1481</v>
      </c>
      <c r="E605" s="1" t="s">
        <v>1482</v>
      </c>
      <c r="F605" s="1" t="s">
        <v>112</v>
      </c>
      <c r="G605" s="1">
        <v>2867886</v>
      </c>
    </row>
    <row r="606" spans="1:7" x14ac:dyDescent="0.25">
      <c r="A606" s="1" t="str">
        <f t="shared" si="9"/>
        <v>19 Testo + Cromolyn 10</v>
      </c>
      <c r="B60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6" s="1" t="s">
        <v>1483</v>
      </c>
      <c r="D606" s="1" t="s">
        <v>1484</v>
      </c>
      <c r="E606" s="1" t="s">
        <v>1485</v>
      </c>
      <c r="F606" s="1" t="s">
        <v>112</v>
      </c>
      <c r="G606" s="1">
        <v>2550273</v>
      </c>
    </row>
    <row r="607" spans="1:7" x14ac:dyDescent="0.25">
      <c r="A607" s="1" t="str">
        <f t="shared" si="9"/>
        <v>19 Testo + Cromolyn 10</v>
      </c>
      <c r="B60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07" s="1" t="s">
        <v>1486</v>
      </c>
      <c r="D607" s="1" t="s">
        <v>1487</v>
      </c>
      <c r="E607" s="1" t="s">
        <v>1488</v>
      </c>
      <c r="F607" s="1" t="s">
        <v>112</v>
      </c>
      <c r="G607" s="1">
        <v>2175578</v>
      </c>
    </row>
    <row r="608" spans="1:7" x14ac:dyDescent="0.25">
      <c r="A608" s="1" t="str">
        <f t="shared" si="9"/>
        <v>19 Testo + Cromolyn 10</v>
      </c>
      <c r="B60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8" s="1" t="s">
        <v>1489</v>
      </c>
      <c r="D608" s="1" t="s">
        <v>1490</v>
      </c>
      <c r="E608" s="1" t="s">
        <v>1491</v>
      </c>
      <c r="F608" s="1" t="s">
        <v>112</v>
      </c>
      <c r="G608" s="1">
        <v>1407154</v>
      </c>
    </row>
    <row r="609" spans="1:9" x14ac:dyDescent="0.25">
      <c r="A609" s="1" t="str">
        <f t="shared" si="9"/>
        <v>19 Testo + Cromolyn 10</v>
      </c>
      <c r="B60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09" s="1" t="s">
        <v>1492</v>
      </c>
      <c r="D609" s="1" t="s">
        <v>1493</v>
      </c>
      <c r="E609" s="1" t="s">
        <v>1494</v>
      </c>
      <c r="F609" s="1" t="s">
        <v>112</v>
      </c>
      <c r="G609" s="1">
        <v>1175455</v>
      </c>
    </row>
    <row r="610" spans="1:9" x14ac:dyDescent="0.25">
      <c r="A610" s="1" t="str">
        <f t="shared" si="9"/>
        <v>19 Testo + Cromolyn 10</v>
      </c>
      <c r="B61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10" s="1" t="s">
        <v>1495</v>
      </c>
      <c r="D610" s="1" t="s">
        <v>1496</v>
      </c>
      <c r="E610" s="1" t="s">
        <v>1497</v>
      </c>
      <c r="F610" s="1" t="s">
        <v>112</v>
      </c>
      <c r="G610" s="1">
        <v>1524886</v>
      </c>
    </row>
    <row r="611" spans="1:9" x14ac:dyDescent="0.25">
      <c r="A611" s="1" t="str">
        <f t="shared" si="9"/>
        <v>19 Testo + Cromolyn 10</v>
      </c>
      <c r="B61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1" s="1" t="s">
        <v>1498</v>
      </c>
      <c r="D611" s="1" t="s">
        <v>1499</v>
      </c>
      <c r="E611" s="1" t="s">
        <v>1500</v>
      </c>
      <c r="F611" s="1" t="s">
        <v>112</v>
      </c>
      <c r="G611" s="1">
        <v>3673145</v>
      </c>
    </row>
    <row r="612" spans="1:9" x14ac:dyDescent="0.25">
      <c r="A612" s="1" t="str">
        <f t="shared" si="9"/>
        <v>19 Testo + Cromolyn 10</v>
      </c>
      <c r="B61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2" s="1" t="s">
        <v>1501</v>
      </c>
      <c r="D612" s="1" t="s">
        <v>1502</v>
      </c>
      <c r="E612" s="1" t="s">
        <v>1503</v>
      </c>
      <c r="F612" s="1" t="s">
        <v>112</v>
      </c>
      <c r="G612" s="1">
        <v>3421763</v>
      </c>
    </row>
    <row r="613" spans="1:9" x14ac:dyDescent="0.25">
      <c r="A613" s="1" t="str">
        <f t="shared" si="9"/>
        <v>19 Testo + Cromolyn 10</v>
      </c>
      <c r="B61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13" s="1" t="s">
        <v>1504</v>
      </c>
      <c r="D613" s="1" t="s">
        <v>1026</v>
      </c>
      <c r="E613" s="1" t="s">
        <v>1505</v>
      </c>
      <c r="F613" s="1" t="s">
        <v>112</v>
      </c>
      <c r="G613" s="1">
        <v>3431756</v>
      </c>
    </row>
    <row r="614" spans="1:9" x14ac:dyDescent="0.25">
      <c r="A614" s="1" t="str">
        <f t="shared" si="9"/>
        <v>19 Testo + Cromolyn 10</v>
      </c>
      <c r="B61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4" s="1" t="s">
        <v>1506</v>
      </c>
      <c r="D614" s="1" t="s">
        <v>1507</v>
      </c>
      <c r="E614" s="1" t="s">
        <v>1508</v>
      </c>
      <c r="F614" s="1" t="s">
        <v>112</v>
      </c>
      <c r="G614" s="1">
        <v>3408871</v>
      </c>
    </row>
    <row r="615" spans="1:9" x14ac:dyDescent="0.25">
      <c r="A615" s="1" t="str">
        <f t="shared" si="9"/>
        <v>19 Testo + Cromolyn 10</v>
      </c>
      <c r="B61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5" s="1" t="s">
        <v>1509</v>
      </c>
      <c r="D615" s="1" t="s">
        <v>1510</v>
      </c>
      <c r="E615" s="1" t="s">
        <v>1511</v>
      </c>
      <c r="F615" s="1" t="s">
        <v>112</v>
      </c>
      <c r="G615" s="1">
        <v>3134388</v>
      </c>
    </row>
    <row r="616" spans="1:9" x14ac:dyDescent="0.25">
      <c r="A616" s="1" t="str">
        <f t="shared" si="9"/>
        <v>19 Testo + Cromolyn 10</v>
      </c>
      <c r="B61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16" s="1" t="s">
        <v>1512</v>
      </c>
      <c r="D616" s="1" t="s">
        <v>1513</v>
      </c>
      <c r="E616" s="1" t="s">
        <v>1514</v>
      </c>
      <c r="F616" s="1" t="s">
        <v>112</v>
      </c>
      <c r="G616" s="1">
        <v>3212840</v>
      </c>
    </row>
    <row r="617" spans="1:9" x14ac:dyDescent="0.25">
      <c r="A617" s="1" t="str">
        <f t="shared" si="9"/>
        <v>19 Testo + Cromolyn 10</v>
      </c>
      <c r="B61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7" s="1" t="s">
        <v>1515</v>
      </c>
      <c r="D617" s="1" t="s">
        <v>1516</v>
      </c>
      <c r="E617" s="1" t="s">
        <v>1517</v>
      </c>
      <c r="F617" s="1" t="s">
        <v>112</v>
      </c>
      <c r="G617" s="1">
        <v>3994025</v>
      </c>
    </row>
    <row r="618" spans="1:9" x14ac:dyDescent="0.25">
      <c r="A618" s="1" t="str">
        <f t="shared" si="9"/>
        <v>19 Testo + Cromolyn 10</v>
      </c>
      <c r="B61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8" s="1" t="s">
        <v>1518</v>
      </c>
      <c r="D618" s="1" t="s">
        <v>1519</v>
      </c>
      <c r="E618" s="1" t="s">
        <v>1520</v>
      </c>
      <c r="F618" s="1" t="s">
        <v>112</v>
      </c>
      <c r="G618" s="1">
        <v>3430350</v>
      </c>
    </row>
    <row r="619" spans="1:9" x14ac:dyDescent="0.25">
      <c r="A619" s="1" t="str">
        <f t="shared" si="9"/>
        <v>19 Testo + Cromolyn 10</v>
      </c>
      <c r="B61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19" s="1" t="s">
        <v>1521</v>
      </c>
      <c r="D619" s="1" t="s">
        <v>1522</v>
      </c>
      <c r="E619" s="1" t="s">
        <v>1523</v>
      </c>
      <c r="F619" s="1" t="s">
        <v>112</v>
      </c>
      <c r="G619" s="1">
        <v>3558139</v>
      </c>
    </row>
    <row r="620" spans="1:9" x14ac:dyDescent="0.25">
      <c r="A620" s="1" t="str">
        <f t="shared" si="9"/>
        <v/>
      </c>
      <c r="B6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0" s="1" t="s">
        <v>112</v>
      </c>
    </row>
    <row r="621" spans="1:9" x14ac:dyDescent="0.25">
      <c r="A621" s="1" t="str">
        <f t="shared" si="9"/>
        <v/>
      </c>
      <c r="B6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1" s="1" t="s">
        <v>235</v>
      </c>
      <c r="D621" s="1" t="s">
        <v>112</v>
      </c>
      <c r="E621" s="1" t="s">
        <v>236</v>
      </c>
      <c r="F621" s="1" t="s">
        <v>237</v>
      </c>
      <c r="G621" s="1" t="s">
        <v>238</v>
      </c>
      <c r="H621" s="1" t="s">
        <v>239</v>
      </c>
      <c r="I621" s="1" t="s">
        <v>240</v>
      </c>
    </row>
    <row r="622" spans="1:9" x14ac:dyDescent="0.25">
      <c r="A622" s="1" t="str">
        <f t="shared" si="9"/>
        <v>19 Testo + Cromolyn 10</v>
      </c>
      <c r="B62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22" s="1" t="s">
        <v>1524</v>
      </c>
      <c r="D622" s="1" t="s">
        <v>112</v>
      </c>
      <c r="E622" s="1" t="s">
        <v>1525</v>
      </c>
      <c r="F622" s="1" t="s">
        <v>1526</v>
      </c>
      <c r="G622" s="1" t="s">
        <v>1527</v>
      </c>
      <c r="H622" s="1" t="s">
        <v>1528</v>
      </c>
      <c r="I622" s="1">
        <v>24</v>
      </c>
    </row>
    <row r="623" spans="1:9" x14ac:dyDescent="0.25">
      <c r="A623" s="1" t="str">
        <f t="shared" si="9"/>
        <v/>
      </c>
      <c r="B6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3" s="1" t="s">
        <v>112</v>
      </c>
    </row>
    <row r="624" spans="1:9" x14ac:dyDescent="0.25">
      <c r="A624" s="1" t="str">
        <f t="shared" si="9"/>
        <v/>
      </c>
      <c r="B6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4" s="1" t="s">
        <v>112</v>
      </c>
    </row>
    <row r="625" spans="1:7" x14ac:dyDescent="0.25">
      <c r="A625" s="1" t="str">
        <f t="shared" si="9"/>
        <v/>
      </c>
      <c r="B6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5" s="1" t="s">
        <v>112</v>
      </c>
    </row>
    <row r="626" spans="1:7" x14ac:dyDescent="0.25">
      <c r="A626" s="1" t="str">
        <f t="shared" si="9"/>
        <v/>
      </c>
      <c r="B6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6" s="1" t="s">
        <v>112</v>
      </c>
    </row>
    <row r="627" spans="1:7" x14ac:dyDescent="0.25">
      <c r="A627" s="1" t="str">
        <f t="shared" si="9"/>
        <v/>
      </c>
      <c r="B6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7" s="1" t="s">
        <v>112</v>
      </c>
    </row>
    <row r="628" spans="1:7" x14ac:dyDescent="0.25">
      <c r="A628" s="1" t="str">
        <f t="shared" si="9"/>
        <v/>
      </c>
      <c r="B6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28" s="1" t="s">
        <v>246</v>
      </c>
      <c r="D628" s="1" t="s">
        <v>110</v>
      </c>
      <c r="E628" s="1" t="s">
        <v>111</v>
      </c>
      <c r="F628" s="1" t="s">
        <v>112</v>
      </c>
      <c r="G628" s="1" t="s">
        <v>113</v>
      </c>
    </row>
    <row r="629" spans="1:7" x14ac:dyDescent="0.25">
      <c r="A629" s="1" t="str">
        <f t="shared" si="9"/>
        <v>20 Testo + Cromolyn 100</v>
      </c>
      <c r="B62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29" s="1" t="s">
        <v>1529</v>
      </c>
      <c r="D629" s="1" t="s">
        <v>1530</v>
      </c>
      <c r="E629" s="1" t="s">
        <v>1531</v>
      </c>
      <c r="F629" s="1" t="s">
        <v>112</v>
      </c>
      <c r="G629" s="1">
        <v>3081784</v>
      </c>
    </row>
    <row r="630" spans="1:7" x14ac:dyDescent="0.25">
      <c r="A630" s="1" t="str">
        <f t="shared" si="9"/>
        <v>20 Testo + Cromolyn 100</v>
      </c>
      <c r="B63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0" s="1" t="s">
        <v>1532</v>
      </c>
      <c r="D630" s="1" t="s">
        <v>1533</v>
      </c>
      <c r="E630" s="1" t="s">
        <v>1534</v>
      </c>
      <c r="F630" s="1" t="s">
        <v>112</v>
      </c>
      <c r="G630" s="1">
        <v>3314911</v>
      </c>
    </row>
    <row r="631" spans="1:7" x14ac:dyDescent="0.25">
      <c r="A631" s="1" t="str">
        <f t="shared" si="9"/>
        <v>20 Testo + Cromolyn 100</v>
      </c>
      <c r="B63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31" s="1" t="s">
        <v>1535</v>
      </c>
      <c r="D631" s="1" t="s">
        <v>1536</v>
      </c>
      <c r="E631" s="1" t="s">
        <v>1537</v>
      </c>
      <c r="F631" s="1" t="s">
        <v>112</v>
      </c>
      <c r="G631" s="1">
        <v>2971017</v>
      </c>
    </row>
    <row r="632" spans="1:7" x14ac:dyDescent="0.25">
      <c r="A632" s="1" t="str">
        <f t="shared" si="9"/>
        <v>20 Testo + Cromolyn 100</v>
      </c>
      <c r="B63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2" s="1" t="s">
        <v>1538</v>
      </c>
      <c r="D632" s="1" t="s">
        <v>1539</v>
      </c>
      <c r="E632" s="1" t="s">
        <v>1540</v>
      </c>
      <c r="F632" s="1" t="s">
        <v>112</v>
      </c>
      <c r="G632" s="1">
        <v>4459890</v>
      </c>
    </row>
    <row r="633" spans="1:7" x14ac:dyDescent="0.25">
      <c r="A633" s="1" t="str">
        <f t="shared" si="9"/>
        <v>20 Testo + Cromolyn 100</v>
      </c>
      <c r="B63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3" s="1" t="s">
        <v>1541</v>
      </c>
      <c r="D633" s="1" t="s">
        <v>1542</v>
      </c>
      <c r="E633" s="1" t="s">
        <v>1543</v>
      </c>
      <c r="F633" s="1" t="s">
        <v>112</v>
      </c>
      <c r="G633" s="1">
        <v>4740992</v>
      </c>
    </row>
    <row r="634" spans="1:7" x14ac:dyDescent="0.25">
      <c r="A634" s="1" t="str">
        <f t="shared" si="9"/>
        <v>20 Testo + Cromolyn 100</v>
      </c>
      <c r="B63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34" s="1" t="s">
        <v>1544</v>
      </c>
      <c r="D634" s="1" t="s">
        <v>1545</v>
      </c>
      <c r="E634" s="1" t="s">
        <v>1546</v>
      </c>
      <c r="F634" s="1" t="s">
        <v>112</v>
      </c>
      <c r="G634" s="1">
        <v>4768570</v>
      </c>
    </row>
    <row r="635" spans="1:7" x14ac:dyDescent="0.25">
      <c r="A635" s="1" t="str">
        <f t="shared" si="9"/>
        <v>20 Testo + Cromolyn 100</v>
      </c>
      <c r="B63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5" s="1" t="s">
        <v>1547</v>
      </c>
      <c r="D635" s="1" t="s">
        <v>1548</v>
      </c>
      <c r="E635" s="1" t="s">
        <v>1549</v>
      </c>
      <c r="F635" s="1" t="s">
        <v>112</v>
      </c>
      <c r="G635" s="1">
        <v>5756861</v>
      </c>
    </row>
    <row r="636" spans="1:7" x14ac:dyDescent="0.25">
      <c r="A636" s="1" t="str">
        <f t="shared" si="9"/>
        <v>20 Testo + Cromolyn 100</v>
      </c>
      <c r="B63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6" s="1" t="s">
        <v>1550</v>
      </c>
      <c r="D636" s="1" t="s">
        <v>1551</v>
      </c>
      <c r="E636" s="1" t="s">
        <v>1552</v>
      </c>
      <c r="F636" s="1" t="s">
        <v>112</v>
      </c>
      <c r="G636" s="1">
        <v>4636606</v>
      </c>
    </row>
    <row r="637" spans="1:7" x14ac:dyDescent="0.25">
      <c r="A637" s="1" t="str">
        <f t="shared" si="9"/>
        <v>20 Testo + Cromolyn 100</v>
      </c>
      <c r="B63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37" s="1" t="s">
        <v>1553</v>
      </c>
      <c r="D637" s="1" t="s">
        <v>1554</v>
      </c>
      <c r="E637" s="1" t="s">
        <v>1555</v>
      </c>
      <c r="F637" s="1" t="s">
        <v>112</v>
      </c>
      <c r="G637" s="1">
        <v>5260196</v>
      </c>
    </row>
    <row r="638" spans="1:7" x14ac:dyDescent="0.25">
      <c r="A638" s="1" t="str">
        <f t="shared" si="9"/>
        <v>20 Testo + Cromolyn 100</v>
      </c>
      <c r="B63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8" s="1" t="s">
        <v>1556</v>
      </c>
      <c r="D638" s="1" t="s">
        <v>1557</v>
      </c>
      <c r="E638" s="1" t="s">
        <v>1558</v>
      </c>
      <c r="F638" s="1" t="s">
        <v>112</v>
      </c>
      <c r="G638" s="1">
        <v>2271658</v>
      </c>
    </row>
    <row r="639" spans="1:7" x14ac:dyDescent="0.25">
      <c r="A639" s="1" t="str">
        <f t="shared" si="9"/>
        <v>20 Testo + Cromolyn 100</v>
      </c>
      <c r="B63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39" s="1" t="s">
        <v>1559</v>
      </c>
      <c r="D639" s="1" t="s">
        <v>1560</v>
      </c>
      <c r="E639" s="1" t="s">
        <v>1561</v>
      </c>
      <c r="F639" s="1" t="s">
        <v>112</v>
      </c>
      <c r="G639" s="1">
        <v>2275422</v>
      </c>
    </row>
    <row r="640" spans="1:7" x14ac:dyDescent="0.25">
      <c r="A640" s="1" t="str">
        <f t="shared" si="9"/>
        <v>20 Testo + Cromolyn 100</v>
      </c>
      <c r="B64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40" s="1" t="s">
        <v>1562</v>
      </c>
      <c r="D640" s="1" t="s">
        <v>1563</v>
      </c>
      <c r="E640" s="1" t="s">
        <v>1407</v>
      </c>
      <c r="F640" s="1" t="s">
        <v>112</v>
      </c>
      <c r="G640" s="1">
        <v>2303692</v>
      </c>
    </row>
    <row r="641" spans="1:9" x14ac:dyDescent="0.25">
      <c r="A641" s="1" t="str">
        <f t="shared" si="9"/>
        <v>20 Testo + Cromolyn 100</v>
      </c>
      <c r="B64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1" s="1" t="s">
        <v>1564</v>
      </c>
    </row>
    <row r="642" spans="1:9" x14ac:dyDescent="0.25">
      <c r="A642" s="1" t="str">
        <f t="shared" ref="A642:A705" si="10">IFERROR(LEFT(RIGHT(C642,LEN(C642)-SEARCH("@",C642)),SEARCH("/",RIGHT(C642,LEN(C642)-SEARCH("@",C642)-1))),"")</f>
        <v>20 Testo + Cromolyn 100</v>
      </c>
      <c r="B64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2" s="1" t="s">
        <v>1565</v>
      </c>
    </row>
    <row r="643" spans="1:9" x14ac:dyDescent="0.25">
      <c r="A643" s="1" t="str">
        <f t="shared" si="10"/>
        <v>20 Testo + Cromolyn 100</v>
      </c>
      <c r="B64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43" s="1" t="s">
        <v>1566</v>
      </c>
      <c r="D643" s="1" t="s">
        <v>968</v>
      </c>
      <c r="E643" s="1" t="s">
        <v>1567</v>
      </c>
      <c r="F643" s="1" t="s">
        <v>112</v>
      </c>
      <c r="G643" s="1">
        <v>110248</v>
      </c>
    </row>
    <row r="644" spans="1:9" x14ac:dyDescent="0.25">
      <c r="A644" s="1" t="str">
        <f t="shared" si="10"/>
        <v>20 Testo + Cromolyn 100</v>
      </c>
      <c r="B64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4" s="1" t="s">
        <v>1568</v>
      </c>
      <c r="D644" s="1" t="s">
        <v>547</v>
      </c>
      <c r="E644" s="1" t="s">
        <v>1569</v>
      </c>
      <c r="F644" s="1" t="s">
        <v>112</v>
      </c>
      <c r="G644" s="1">
        <v>3312683</v>
      </c>
    </row>
    <row r="645" spans="1:9" x14ac:dyDescent="0.25">
      <c r="A645" s="1" t="str">
        <f t="shared" si="10"/>
        <v>20 Testo + Cromolyn 100</v>
      </c>
      <c r="B64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5" s="1" t="s">
        <v>1570</v>
      </c>
      <c r="D645" s="1" t="s">
        <v>1571</v>
      </c>
      <c r="E645" s="1" t="s">
        <v>1572</v>
      </c>
      <c r="F645" s="1" t="s">
        <v>112</v>
      </c>
      <c r="G645" s="1">
        <v>3832947</v>
      </c>
    </row>
    <row r="646" spans="1:9" x14ac:dyDescent="0.25">
      <c r="A646" s="1" t="str">
        <f t="shared" si="10"/>
        <v>20 Testo + Cromolyn 100</v>
      </c>
      <c r="B64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46" s="1" t="s">
        <v>1573</v>
      </c>
      <c r="D646" s="1" t="s">
        <v>1574</v>
      </c>
      <c r="E646" s="1" t="s">
        <v>1575</v>
      </c>
      <c r="F646" s="1" t="s">
        <v>112</v>
      </c>
      <c r="G646" s="1">
        <v>3649828</v>
      </c>
    </row>
    <row r="647" spans="1:9" x14ac:dyDescent="0.25">
      <c r="A647" s="1" t="str">
        <f t="shared" si="10"/>
        <v>20 Testo + Cromolyn 100</v>
      </c>
      <c r="B64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7" s="1" t="s">
        <v>1576</v>
      </c>
      <c r="D647" s="1" t="s">
        <v>1577</v>
      </c>
      <c r="E647" s="1" t="s">
        <v>1578</v>
      </c>
      <c r="F647" s="1" t="s">
        <v>112</v>
      </c>
      <c r="G647" s="1">
        <v>3560908</v>
      </c>
    </row>
    <row r="648" spans="1:9" x14ac:dyDescent="0.25">
      <c r="A648" s="1" t="str">
        <f t="shared" si="10"/>
        <v>20 Testo + Cromolyn 100</v>
      </c>
      <c r="B64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8" s="1" t="s">
        <v>1579</v>
      </c>
      <c r="D648" s="1" t="s">
        <v>1580</v>
      </c>
      <c r="E648" s="1" t="s">
        <v>1581</v>
      </c>
      <c r="F648" s="1" t="s">
        <v>112</v>
      </c>
      <c r="G648" s="1">
        <v>4374041</v>
      </c>
    </row>
    <row r="649" spans="1:9" x14ac:dyDescent="0.25">
      <c r="A649" s="1" t="str">
        <f t="shared" si="10"/>
        <v>20 Testo + Cromolyn 100</v>
      </c>
      <c r="B64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49" s="1" t="s">
        <v>1582</v>
      </c>
      <c r="D649" s="1" t="s">
        <v>1583</v>
      </c>
      <c r="E649" s="1" t="s">
        <v>1584</v>
      </c>
      <c r="F649" s="1" t="s">
        <v>112</v>
      </c>
      <c r="G649" s="1">
        <v>4296497</v>
      </c>
    </row>
    <row r="650" spans="1:9" x14ac:dyDescent="0.25">
      <c r="A650" s="1" t="str">
        <f t="shared" si="10"/>
        <v>20 Testo + Cromolyn 100</v>
      </c>
      <c r="B65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0" s="1" t="s">
        <v>1585</v>
      </c>
      <c r="D650" s="1" t="s">
        <v>1586</v>
      </c>
      <c r="E650" s="1" t="s">
        <v>1587</v>
      </c>
      <c r="F650" s="1" t="s">
        <v>112</v>
      </c>
      <c r="G650" s="1">
        <v>5463106</v>
      </c>
    </row>
    <row r="651" spans="1:9" x14ac:dyDescent="0.25">
      <c r="A651" s="1" t="str">
        <f t="shared" si="10"/>
        <v>20 Testo + Cromolyn 100</v>
      </c>
      <c r="B65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1" s="1" t="s">
        <v>1588</v>
      </c>
      <c r="D651" s="1" t="s">
        <v>1589</v>
      </c>
      <c r="E651" s="1" t="s">
        <v>1590</v>
      </c>
      <c r="F651" s="1" t="s">
        <v>112</v>
      </c>
      <c r="G651" s="1">
        <v>4928847</v>
      </c>
    </row>
    <row r="652" spans="1:9" x14ac:dyDescent="0.25">
      <c r="A652" s="1" t="str">
        <f t="shared" si="10"/>
        <v>20 Testo + Cromolyn 100</v>
      </c>
      <c r="B65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52" s="1" t="s">
        <v>1591</v>
      </c>
      <c r="D652" s="1" t="s">
        <v>1583</v>
      </c>
      <c r="E652" s="1" t="s">
        <v>1592</v>
      </c>
      <c r="F652" s="1" t="s">
        <v>112</v>
      </c>
      <c r="G652" s="1">
        <v>4269893</v>
      </c>
    </row>
    <row r="653" spans="1:9" x14ac:dyDescent="0.25">
      <c r="A653" s="1" t="str">
        <f t="shared" si="10"/>
        <v/>
      </c>
      <c r="B6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3" s="1" t="s">
        <v>112</v>
      </c>
    </row>
    <row r="654" spans="1:9" x14ac:dyDescent="0.25">
      <c r="A654" s="1" t="str">
        <f t="shared" si="10"/>
        <v/>
      </c>
      <c r="B6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4" s="1" t="s">
        <v>235</v>
      </c>
      <c r="D654" s="1" t="s">
        <v>112</v>
      </c>
      <c r="E654" s="1" t="s">
        <v>236</v>
      </c>
      <c r="F654" s="1" t="s">
        <v>237</v>
      </c>
      <c r="G654" s="1" t="s">
        <v>238</v>
      </c>
      <c r="H654" s="1" t="s">
        <v>239</v>
      </c>
      <c r="I654" s="1" t="s">
        <v>240</v>
      </c>
    </row>
    <row r="655" spans="1:9" x14ac:dyDescent="0.25">
      <c r="A655" s="1" t="str">
        <f t="shared" si="10"/>
        <v>20 Testo + Cromolyn 100</v>
      </c>
      <c r="B65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55" s="1" t="s">
        <v>1593</v>
      </c>
      <c r="D655" s="1" t="s">
        <v>112</v>
      </c>
      <c r="E655" s="1" t="s">
        <v>1594</v>
      </c>
      <c r="F655" s="1" t="s">
        <v>1595</v>
      </c>
      <c r="G655" s="1" t="s">
        <v>1596</v>
      </c>
      <c r="H655" s="1" t="s">
        <v>1597</v>
      </c>
      <c r="I655" s="1">
        <v>24</v>
      </c>
    </row>
    <row r="656" spans="1:9" x14ac:dyDescent="0.25">
      <c r="A656" s="1" t="str">
        <f t="shared" si="10"/>
        <v/>
      </c>
      <c r="B6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6" s="1" t="s">
        <v>112</v>
      </c>
    </row>
    <row r="657" spans="1:7" x14ac:dyDescent="0.25">
      <c r="A657" s="1" t="str">
        <f t="shared" si="10"/>
        <v/>
      </c>
      <c r="B6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7" s="1" t="s">
        <v>112</v>
      </c>
    </row>
    <row r="658" spans="1:7" x14ac:dyDescent="0.25">
      <c r="A658" s="1" t="str">
        <f t="shared" si="10"/>
        <v/>
      </c>
      <c r="B6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8" s="1" t="s">
        <v>112</v>
      </c>
    </row>
    <row r="659" spans="1:7" x14ac:dyDescent="0.25">
      <c r="A659" s="1" t="str">
        <f t="shared" si="10"/>
        <v/>
      </c>
      <c r="B6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59" s="1" t="s">
        <v>112</v>
      </c>
    </row>
    <row r="660" spans="1:7" x14ac:dyDescent="0.25">
      <c r="A660" s="1" t="str">
        <f t="shared" si="10"/>
        <v/>
      </c>
      <c r="B6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0" s="1" t="s">
        <v>112</v>
      </c>
    </row>
    <row r="661" spans="1:7" x14ac:dyDescent="0.25">
      <c r="A661" s="1" t="str">
        <f t="shared" si="10"/>
        <v/>
      </c>
      <c r="B6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61" s="1" t="s">
        <v>246</v>
      </c>
      <c r="D661" s="1" t="s">
        <v>110</v>
      </c>
      <c r="E661" s="1" t="s">
        <v>111</v>
      </c>
      <c r="F661" s="1" t="s">
        <v>112</v>
      </c>
      <c r="G661" s="1" t="s">
        <v>113</v>
      </c>
    </row>
    <row r="662" spans="1:7" x14ac:dyDescent="0.25">
      <c r="A662" s="1" t="str">
        <f t="shared" si="10"/>
        <v>21 Testo + Cromolyn 1000</v>
      </c>
      <c r="B66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2" s="1" t="s">
        <v>1598</v>
      </c>
      <c r="D662" s="1" t="s">
        <v>1599</v>
      </c>
      <c r="E662" s="1" t="s">
        <v>1600</v>
      </c>
      <c r="F662" s="1" t="s">
        <v>112</v>
      </c>
      <c r="G662" s="1">
        <v>5121591</v>
      </c>
    </row>
    <row r="663" spans="1:7" x14ac:dyDescent="0.25">
      <c r="A663" s="1" t="str">
        <f t="shared" si="10"/>
        <v>21 Testo + Cromolyn 1000</v>
      </c>
      <c r="B66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3" s="1" t="s">
        <v>1601</v>
      </c>
      <c r="D663" s="1" t="s">
        <v>1602</v>
      </c>
      <c r="E663" s="1" t="s">
        <v>1603</v>
      </c>
      <c r="F663" s="1" t="s">
        <v>112</v>
      </c>
      <c r="G663" s="1">
        <v>5117611</v>
      </c>
    </row>
    <row r="664" spans="1:7" x14ac:dyDescent="0.25">
      <c r="A664" s="1" t="str">
        <f t="shared" si="10"/>
        <v>21 Testo + Cromolyn 1000</v>
      </c>
      <c r="B66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A</v>
      </c>
      <c r="C664" s="1" t="s">
        <v>1604</v>
      </c>
      <c r="D664" s="1" t="s">
        <v>1605</v>
      </c>
      <c r="E664" s="1" t="s">
        <v>1606</v>
      </c>
      <c r="F664" s="1" t="s">
        <v>112</v>
      </c>
      <c r="G664" s="1">
        <v>4325417</v>
      </c>
    </row>
    <row r="665" spans="1:7" x14ac:dyDescent="0.25">
      <c r="A665" s="1" t="str">
        <f t="shared" si="10"/>
        <v>21 Testo + Cromolyn 1000</v>
      </c>
      <c r="B66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5" s="1" t="s">
        <v>1607</v>
      </c>
      <c r="D665" s="1" t="s">
        <v>1143</v>
      </c>
      <c r="E665" s="1" t="s">
        <v>1608</v>
      </c>
      <c r="F665" s="1" t="s">
        <v>112</v>
      </c>
      <c r="G665" s="1">
        <v>4074618</v>
      </c>
    </row>
    <row r="666" spans="1:7" x14ac:dyDescent="0.25">
      <c r="A666" s="1" t="str">
        <f t="shared" si="10"/>
        <v>21 Testo + Cromolyn 1000</v>
      </c>
      <c r="B66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6" s="1" t="s">
        <v>1609</v>
      </c>
      <c r="D666" s="1" t="s">
        <v>1339</v>
      </c>
      <c r="E666" s="1" t="s">
        <v>1610</v>
      </c>
      <c r="F666" s="1" t="s">
        <v>112</v>
      </c>
      <c r="G666" s="1">
        <v>4567066</v>
      </c>
    </row>
    <row r="667" spans="1:7" x14ac:dyDescent="0.25">
      <c r="A667" s="1" t="str">
        <f t="shared" si="10"/>
        <v>21 Testo + Cromolyn 1000</v>
      </c>
      <c r="B66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B</v>
      </c>
      <c r="C667" s="1" t="s">
        <v>1611</v>
      </c>
      <c r="D667" s="1" t="s">
        <v>1612</v>
      </c>
      <c r="E667" s="1" t="s">
        <v>1613</v>
      </c>
      <c r="F667" s="1" t="s">
        <v>112</v>
      </c>
      <c r="G667" s="1">
        <v>3860893</v>
      </c>
    </row>
    <row r="668" spans="1:7" x14ac:dyDescent="0.25">
      <c r="A668" s="1" t="str">
        <f t="shared" si="10"/>
        <v>21 Testo + Cromolyn 1000</v>
      </c>
      <c r="B66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8" s="1" t="s">
        <v>1614</v>
      </c>
      <c r="D668" s="1" t="s">
        <v>1615</v>
      </c>
      <c r="E668" s="1" t="s">
        <v>1616</v>
      </c>
      <c r="F668" s="1" t="s">
        <v>112</v>
      </c>
      <c r="G668" s="1">
        <v>2687103</v>
      </c>
    </row>
    <row r="669" spans="1:7" x14ac:dyDescent="0.25">
      <c r="A669" s="1" t="str">
        <f t="shared" si="10"/>
        <v>21 Testo + Cromolyn 1000</v>
      </c>
      <c r="B66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69" s="1" t="s">
        <v>1617</v>
      </c>
      <c r="D669" s="1" t="s">
        <v>1129</v>
      </c>
      <c r="E669" s="1" t="s">
        <v>1618</v>
      </c>
      <c r="F669" s="1" t="s">
        <v>112</v>
      </c>
      <c r="G669" s="1">
        <v>2150444</v>
      </c>
    </row>
    <row r="670" spans="1:7" x14ac:dyDescent="0.25">
      <c r="A670" s="1" t="str">
        <f t="shared" si="10"/>
        <v>21 Testo + Cromolyn 1000</v>
      </c>
      <c r="B67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C</v>
      </c>
      <c r="C670" s="1" t="s">
        <v>1619</v>
      </c>
      <c r="D670" s="1" t="s">
        <v>1620</v>
      </c>
      <c r="E670" s="1" t="s">
        <v>1621</v>
      </c>
      <c r="F670" s="1" t="s">
        <v>112</v>
      </c>
      <c r="G670" s="1">
        <v>2483198</v>
      </c>
    </row>
    <row r="671" spans="1:7" x14ac:dyDescent="0.25">
      <c r="A671" s="1" t="str">
        <f t="shared" si="10"/>
        <v>21 Testo + Cromolyn 1000</v>
      </c>
      <c r="B67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1" s="1" t="s">
        <v>1622</v>
      </c>
      <c r="D671" s="1" t="s">
        <v>1623</v>
      </c>
      <c r="E671" s="1" t="s">
        <v>1624</v>
      </c>
      <c r="F671" s="1" t="s">
        <v>112</v>
      </c>
      <c r="G671" s="1">
        <v>4452730</v>
      </c>
    </row>
    <row r="672" spans="1:7" x14ac:dyDescent="0.25">
      <c r="A672" s="1" t="str">
        <f t="shared" si="10"/>
        <v>21 Testo + Cromolyn 1000</v>
      </c>
      <c r="B67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2" s="1" t="s">
        <v>1625</v>
      </c>
      <c r="D672" s="1" t="s">
        <v>1626</v>
      </c>
      <c r="E672" s="1" t="s">
        <v>1627</v>
      </c>
      <c r="F672" s="1" t="s">
        <v>112</v>
      </c>
      <c r="G672" s="1">
        <v>4487122</v>
      </c>
    </row>
    <row r="673" spans="1:9" x14ac:dyDescent="0.25">
      <c r="A673" s="1" t="str">
        <f t="shared" si="10"/>
        <v>21 Testo + Cromolyn 1000</v>
      </c>
      <c r="B67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D</v>
      </c>
      <c r="C673" s="1" t="s">
        <v>1628</v>
      </c>
    </row>
    <row r="674" spans="1:9" x14ac:dyDescent="0.25">
      <c r="A674" s="1" t="str">
        <f t="shared" si="10"/>
        <v>21 Testo + Cromolyn 1000</v>
      </c>
      <c r="B67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4" s="1" t="s">
        <v>1629</v>
      </c>
      <c r="D674" s="1" t="s">
        <v>1630</v>
      </c>
      <c r="E674" s="1" t="s">
        <v>1631</v>
      </c>
      <c r="F674" s="1" t="s">
        <v>112</v>
      </c>
      <c r="G674" s="1">
        <v>5865097</v>
      </c>
    </row>
    <row r="675" spans="1:9" x14ac:dyDescent="0.25">
      <c r="A675" s="1" t="str">
        <f t="shared" si="10"/>
        <v>21 Testo + Cromolyn 1000</v>
      </c>
      <c r="B67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5" s="1" t="s">
        <v>1632</v>
      </c>
      <c r="D675" s="1" t="s">
        <v>1633</v>
      </c>
      <c r="E675" s="1" t="s">
        <v>1634</v>
      </c>
      <c r="F675" s="1" t="s">
        <v>112</v>
      </c>
      <c r="G675" s="1">
        <v>5540368</v>
      </c>
    </row>
    <row r="676" spans="1:9" x14ac:dyDescent="0.25">
      <c r="A676" s="1" t="str">
        <f t="shared" si="10"/>
        <v>21 Testo + Cromolyn 1000</v>
      </c>
      <c r="B676"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E</v>
      </c>
      <c r="C676" s="1" t="s">
        <v>1635</v>
      </c>
      <c r="D676" s="1" t="s">
        <v>1636</v>
      </c>
      <c r="E676" s="1" t="s">
        <v>1637</v>
      </c>
      <c r="F676" s="1" t="s">
        <v>112</v>
      </c>
      <c r="G676" s="1">
        <v>5735578</v>
      </c>
    </row>
    <row r="677" spans="1:9" x14ac:dyDescent="0.25">
      <c r="A677" s="1" t="str">
        <f t="shared" si="10"/>
        <v>21 Testo + Cromolyn 1000</v>
      </c>
      <c r="B677"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7" s="1" t="s">
        <v>1638</v>
      </c>
      <c r="D677" s="1" t="s">
        <v>1639</v>
      </c>
      <c r="E677" s="1" t="s">
        <v>1640</v>
      </c>
      <c r="F677" s="1" t="s">
        <v>112</v>
      </c>
      <c r="G677" s="1">
        <v>4054480</v>
      </c>
    </row>
    <row r="678" spans="1:9" x14ac:dyDescent="0.25">
      <c r="A678" s="1" t="str">
        <f t="shared" si="10"/>
        <v>21 Testo + Cromolyn 1000</v>
      </c>
      <c r="B67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8" s="1" t="s">
        <v>1641</v>
      </c>
      <c r="D678" s="1" t="s">
        <v>1642</v>
      </c>
      <c r="E678" s="1" t="s">
        <v>1643</v>
      </c>
      <c r="F678" s="1" t="s">
        <v>112</v>
      </c>
      <c r="G678" s="1">
        <v>4249950</v>
      </c>
    </row>
    <row r="679" spans="1:9" x14ac:dyDescent="0.25">
      <c r="A679" s="1" t="str">
        <f t="shared" si="10"/>
        <v>21 Testo + Cromolyn 1000</v>
      </c>
      <c r="B679"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F</v>
      </c>
      <c r="C679" s="1" t="s">
        <v>1644</v>
      </c>
      <c r="D679" s="1" t="s">
        <v>1645</v>
      </c>
      <c r="E679" s="1" t="s">
        <v>1646</v>
      </c>
      <c r="F679" s="1" t="s">
        <v>112</v>
      </c>
      <c r="G679" s="1">
        <v>3702130</v>
      </c>
    </row>
    <row r="680" spans="1:9" x14ac:dyDescent="0.25">
      <c r="A680" s="1" t="str">
        <f t="shared" si="10"/>
        <v>21 Testo + Cromolyn 1000</v>
      </c>
      <c r="B680"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0" s="1" t="s">
        <v>1647</v>
      </c>
      <c r="D680" s="1" t="s">
        <v>1648</v>
      </c>
      <c r="E680" s="1" t="s">
        <v>1649</v>
      </c>
      <c r="F680" s="1" t="s">
        <v>112</v>
      </c>
      <c r="G680" s="1">
        <v>5274947</v>
      </c>
    </row>
    <row r="681" spans="1:9" x14ac:dyDescent="0.25">
      <c r="A681" s="1" t="str">
        <f t="shared" si="10"/>
        <v>21 Testo + Cromolyn 1000</v>
      </c>
      <c r="B681"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1" s="1" t="s">
        <v>1650</v>
      </c>
      <c r="D681" s="1" t="s">
        <v>1651</v>
      </c>
      <c r="E681" s="1" t="s">
        <v>1652</v>
      </c>
      <c r="F681" s="1" t="s">
        <v>112</v>
      </c>
      <c r="G681" s="1">
        <v>5120596</v>
      </c>
    </row>
    <row r="682" spans="1:9" x14ac:dyDescent="0.25">
      <c r="A682" s="1" t="str">
        <f t="shared" si="10"/>
        <v>21 Testo + Cromolyn 1000</v>
      </c>
      <c r="B682"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G</v>
      </c>
      <c r="C682" s="1" t="s">
        <v>1653</v>
      </c>
      <c r="D682" s="1" t="s">
        <v>1654</v>
      </c>
      <c r="E682" s="1" t="s">
        <v>1655</v>
      </c>
      <c r="F682" s="1" t="s">
        <v>112</v>
      </c>
      <c r="G682" s="1">
        <v>5590030</v>
      </c>
    </row>
    <row r="683" spans="1:9" x14ac:dyDescent="0.25">
      <c r="A683" s="1" t="str">
        <f t="shared" si="10"/>
        <v>21 Testo + Cromolyn 1000</v>
      </c>
      <c r="B683"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3" s="1" t="s">
        <v>1656</v>
      </c>
      <c r="D683" s="1" t="s">
        <v>1657</v>
      </c>
      <c r="E683" s="1" t="s">
        <v>1658</v>
      </c>
      <c r="F683" s="1" t="s">
        <v>112</v>
      </c>
      <c r="G683" s="1">
        <v>2488606</v>
      </c>
    </row>
    <row r="684" spans="1:9" x14ac:dyDescent="0.25">
      <c r="A684" s="1" t="str">
        <f t="shared" si="10"/>
        <v>21 Testo + Cromolyn 1000</v>
      </c>
      <c r="B684"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4" s="1" t="s">
        <v>1659</v>
      </c>
      <c r="D684" s="1" t="s">
        <v>1660</v>
      </c>
      <c r="E684" s="1" t="s">
        <v>1661</v>
      </c>
      <c r="F684" s="1" t="s">
        <v>112</v>
      </c>
      <c r="G684" s="1">
        <v>2626259</v>
      </c>
    </row>
    <row r="685" spans="1:9" x14ac:dyDescent="0.25">
      <c r="A685" s="1" t="str">
        <f t="shared" si="10"/>
        <v>21 Testo + Cromolyn 1000</v>
      </c>
      <c r="B685"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H</v>
      </c>
      <c r="C685" s="1" t="s">
        <v>1662</v>
      </c>
      <c r="D685" s="1" t="s">
        <v>1663</v>
      </c>
      <c r="E685" s="1" t="s">
        <v>1664</v>
      </c>
      <c r="F685" s="1" t="s">
        <v>112</v>
      </c>
      <c r="G685" s="1">
        <v>2531779</v>
      </c>
    </row>
    <row r="686" spans="1:9" x14ac:dyDescent="0.25">
      <c r="A686" s="1" t="str">
        <f t="shared" si="10"/>
        <v/>
      </c>
      <c r="B6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6" s="1" t="s">
        <v>112</v>
      </c>
    </row>
    <row r="687" spans="1:9" x14ac:dyDescent="0.25">
      <c r="A687" s="1" t="str">
        <f t="shared" si="10"/>
        <v/>
      </c>
      <c r="B6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7" s="1" t="s">
        <v>235</v>
      </c>
      <c r="D687" s="1" t="s">
        <v>112</v>
      </c>
      <c r="E687" s="1" t="s">
        <v>236</v>
      </c>
      <c r="F687" s="1" t="s">
        <v>237</v>
      </c>
      <c r="G687" s="1" t="s">
        <v>238</v>
      </c>
      <c r="H687" s="1" t="s">
        <v>239</v>
      </c>
      <c r="I687" s="1" t="s">
        <v>240</v>
      </c>
    </row>
    <row r="688" spans="1:9" x14ac:dyDescent="0.25">
      <c r="A688" s="1" t="str">
        <f t="shared" si="10"/>
        <v>21 Testo + Cromolyn 1000</v>
      </c>
      <c r="B688" s="1" t="str">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 xml:space="preserve"> </v>
      </c>
      <c r="C688" s="1" t="s">
        <v>1665</v>
      </c>
      <c r="D688" s="1" t="s">
        <v>112</v>
      </c>
      <c r="E688" s="1" t="s">
        <v>1666</v>
      </c>
      <c r="F688" s="1" t="s">
        <v>1667</v>
      </c>
      <c r="G688" s="1" t="s">
        <v>1668</v>
      </c>
      <c r="H688" s="1" t="s">
        <v>1669</v>
      </c>
      <c r="I688" s="1">
        <v>24</v>
      </c>
    </row>
    <row r="689" spans="1:4" x14ac:dyDescent="0.25">
      <c r="A689" s="1" t="str">
        <f t="shared" si="10"/>
        <v/>
      </c>
      <c r="B6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89" s="1" t="s">
        <v>112</v>
      </c>
    </row>
    <row r="690" spans="1:4" x14ac:dyDescent="0.25">
      <c r="A690" s="1" t="str">
        <f t="shared" si="10"/>
        <v/>
      </c>
      <c r="B6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0" s="1" t="s">
        <v>112</v>
      </c>
    </row>
    <row r="691" spans="1:4" x14ac:dyDescent="0.25">
      <c r="A691" s="1" t="str">
        <f t="shared" si="10"/>
        <v/>
      </c>
      <c r="B6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1" s="1" t="s">
        <v>112</v>
      </c>
    </row>
    <row r="692" spans="1:4" x14ac:dyDescent="0.25">
      <c r="A692" s="1" t="str">
        <f t="shared" si="10"/>
        <v/>
      </c>
      <c r="B6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2" s="1" t="s">
        <v>112</v>
      </c>
    </row>
    <row r="693" spans="1:4" x14ac:dyDescent="0.25">
      <c r="A693" s="1" t="str">
        <f t="shared" si="10"/>
        <v/>
      </c>
      <c r="B6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3" s="1" t="s">
        <v>112</v>
      </c>
    </row>
    <row r="694" spans="1:4" x14ac:dyDescent="0.25">
      <c r="A694" s="1" t="str">
        <f t="shared" si="10"/>
        <v/>
      </c>
      <c r="B6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C694" s="1" t="s">
        <v>112</v>
      </c>
    </row>
    <row r="695" spans="1:4" x14ac:dyDescent="0.25">
      <c r="A695" s="1" t="str">
        <f t="shared" si="10"/>
        <v/>
      </c>
      <c r="B6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D695" s="1" t="s">
        <v>1670</v>
      </c>
    </row>
    <row r="696" spans="1:4" x14ac:dyDescent="0.25">
      <c r="A696" s="1" t="str">
        <f t="shared" si="10"/>
        <v/>
      </c>
      <c r="B6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c r="D696" s="1">
        <v>504</v>
      </c>
    </row>
    <row r="697" spans="1:4" x14ac:dyDescent="0.25">
      <c r="A697" s="1" t="str">
        <f t="shared" si="10"/>
        <v/>
      </c>
      <c r="B6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8" spans="1:4" x14ac:dyDescent="0.25">
      <c r="A698" s="1" t="str">
        <f t="shared" si="10"/>
        <v/>
      </c>
      <c r="B6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699" spans="1:4" x14ac:dyDescent="0.25">
      <c r="A699" s="1" t="str">
        <f t="shared" si="10"/>
        <v/>
      </c>
      <c r="B6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0" spans="1:4" x14ac:dyDescent="0.25">
      <c r="A700" s="1" t="str">
        <f t="shared" si="10"/>
        <v/>
      </c>
      <c r="B7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1" spans="1:4" x14ac:dyDescent="0.25">
      <c r="A701" s="1" t="str">
        <f t="shared" si="10"/>
        <v/>
      </c>
      <c r="B7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2" spans="1:4" x14ac:dyDescent="0.25">
      <c r="A702" s="1" t="str">
        <f t="shared" si="10"/>
        <v/>
      </c>
      <c r="B7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3" spans="1:4" x14ac:dyDescent="0.25">
      <c r="A703" s="1" t="str">
        <f t="shared" si="10"/>
        <v/>
      </c>
      <c r="B7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4" spans="1:4" x14ac:dyDescent="0.25">
      <c r="A704" s="1" t="str">
        <f t="shared" si="10"/>
        <v/>
      </c>
      <c r="B7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5" spans="1:2" x14ac:dyDescent="0.25">
      <c r="A705" s="1" t="str">
        <f t="shared" si="10"/>
        <v/>
      </c>
      <c r="B7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6" spans="1:2" x14ac:dyDescent="0.25">
      <c r="A706" s="1" t="str">
        <f t="shared" ref="A706:A769" si="11">IFERROR(LEFT(RIGHT(C706,LEN(C706)-SEARCH("@",C706)),SEARCH("/",RIGHT(C706,LEN(C706)-SEARCH("@",C706)-1))),"")</f>
        <v/>
      </c>
      <c r="B7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7" spans="1:2" x14ac:dyDescent="0.25">
      <c r="A707" s="1" t="str">
        <f t="shared" si="11"/>
        <v/>
      </c>
      <c r="B7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8" spans="1:2" x14ac:dyDescent="0.25">
      <c r="A708" s="1" t="str">
        <f t="shared" si="11"/>
        <v/>
      </c>
      <c r="B7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09" spans="1:2" x14ac:dyDescent="0.25">
      <c r="A709" s="1" t="str">
        <f t="shared" si="11"/>
        <v/>
      </c>
      <c r="B7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0" spans="1:2" x14ac:dyDescent="0.25">
      <c r="A710" s="1" t="str">
        <f t="shared" si="11"/>
        <v/>
      </c>
      <c r="B7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1" spans="1:2" x14ac:dyDescent="0.25">
      <c r="A711" s="1" t="str">
        <f t="shared" si="11"/>
        <v/>
      </c>
      <c r="B7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2" spans="1:2" x14ac:dyDescent="0.25">
      <c r="A712" s="1" t="str">
        <f t="shared" si="11"/>
        <v/>
      </c>
      <c r="B7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3" spans="1:2" x14ac:dyDescent="0.25">
      <c r="A713" s="1" t="str">
        <f t="shared" si="11"/>
        <v/>
      </c>
      <c r="B7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4" spans="1:2" x14ac:dyDescent="0.25">
      <c r="A714" s="1" t="str">
        <f t="shared" si="11"/>
        <v/>
      </c>
      <c r="B7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5" spans="1:2" x14ac:dyDescent="0.25">
      <c r="A715" s="1" t="str">
        <f t="shared" si="11"/>
        <v/>
      </c>
      <c r="B7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6" spans="1:2" x14ac:dyDescent="0.25">
      <c r="A716" s="1" t="str">
        <f t="shared" si="11"/>
        <v/>
      </c>
      <c r="B7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7" spans="1:2" x14ac:dyDescent="0.25">
      <c r="A717" s="1" t="str">
        <f t="shared" si="11"/>
        <v/>
      </c>
      <c r="B7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8" spans="1:2" x14ac:dyDescent="0.25">
      <c r="A718" s="1" t="str">
        <f t="shared" si="11"/>
        <v/>
      </c>
      <c r="B7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19" spans="1:2" x14ac:dyDescent="0.25">
      <c r="A719" s="1" t="str">
        <f t="shared" si="11"/>
        <v/>
      </c>
      <c r="B7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0" spans="1:2" x14ac:dyDescent="0.25">
      <c r="A720" s="1" t="str">
        <f t="shared" si="11"/>
        <v/>
      </c>
      <c r="B7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1" spans="1:2" x14ac:dyDescent="0.25">
      <c r="A721" s="1" t="str">
        <f t="shared" si="11"/>
        <v/>
      </c>
      <c r="B7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2" spans="1:2" x14ac:dyDescent="0.25">
      <c r="A722" s="1" t="str">
        <f t="shared" si="11"/>
        <v/>
      </c>
      <c r="B7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3" spans="1:2" x14ac:dyDescent="0.25">
      <c r="A723" s="1" t="str">
        <f t="shared" si="11"/>
        <v/>
      </c>
      <c r="B7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4" spans="1:2" x14ac:dyDescent="0.25">
      <c r="A724" s="1" t="str">
        <f t="shared" si="11"/>
        <v/>
      </c>
      <c r="B7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5" spans="1:2" x14ac:dyDescent="0.25">
      <c r="A725" s="1" t="str">
        <f t="shared" si="11"/>
        <v/>
      </c>
      <c r="B7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6" spans="1:2" x14ac:dyDescent="0.25">
      <c r="A726" s="1" t="str">
        <f t="shared" si="11"/>
        <v/>
      </c>
      <c r="B7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7" spans="1:2" x14ac:dyDescent="0.25">
      <c r="A727" s="1" t="str">
        <f t="shared" si="11"/>
        <v/>
      </c>
      <c r="B7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8" spans="1:2" x14ac:dyDescent="0.25">
      <c r="A728" s="1" t="str">
        <f t="shared" si="11"/>
        <v/>
      </c>
      <c r="B7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29" spans="1:2" x14ac:dyDescent="0.25">
      <c r="A729" s="1" t="str">
        <f t="shared" si="11"/>
        <v/>
      </c>
      <c r="B7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0" spans="1:2" x14ac:dyDescent="0.25">
      <c r="A730" s="1" t="str">
        <f t="shared" si="11"/>
        <v/>
      </c>
      <c r="B7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1" spans="1:2" x14ac:dyDescent="0.25">
      <c r="A731" s="1" t="str">
        <f t="shared" si="11"/>
        <v/>
      </c>
      <c r="B7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2" spans="1:2" x14ac:dyDescent="0.25">
      <c r="A732" s="1" t="str">
        <f t="shared" si="11"/>
        <v/>
      </c>
      <c r="B7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3" spans="1:2" x14ac:dyDescent="0.25">
      <c r="A733" s="1" t="str">
        <f t="shared" si="11"/>
        <v/>
      </c>
      <c r="B7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4" spans="1:2" x14ac:dyDescent="0.25">
      <c r="A734" s="1" t="str">
        <f t="shared" si="11"/>
        <v/>
      </c>
      <c r="B7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5" spans="1:2" x14ac:dyDescent="0.25">
      <c r="A735" s="1" t="str">
        <f t="shared" si="11"/>
        <v/>
      </c>
      <c r="B7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6" spans="1:2" x14ac:dyDescent="0.25">
      <c r="A736" s="1" t="str">
        <f t="shared" si="11"/>
        <v/>
      </c>
      <c r="B7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7" spans="1:2" x14ac:dyDescent="0.25">
      <c r="A737" s="1" t="str">
        <f t="shared" si="11"/>
        <v/>
      </c>
      <c r="B7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8" spans="1:2" x14ac:dyDescent="0.25">
      <c r="A738" s="1" t="str">
        <f t="shared" si="11"/>
        <v/>
      </c>
      <c r="B7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39" spans="1:2" x14ac:dyDescent="0.25">
      <c r="A739" s="1" t="str">
        <f t="shared" si="11"/>
        <v/>
      </c>
      <c r="B7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0" spans="1:2" x14ac:dyDescent="0.25">
      <c r="A740" s="1" t="str">
        <f t="shared" si="11"/>
        <v/>
      </c>
      <c r="B7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1" spans="1:2" x14ac:dyDescent="0.25">
      <c r="A741" s="1" t="str">
        <f t="shared" si="11"/>
        <v/>
      </c>
      <c r="B7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2" spans="1:2" x14ac:dyDescent="0.25">
      <c r="A742" s="1" t="str">
        <f t="shared" si="11"/>
        <v/>
      </c>
      <c r="B7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3" spans="1:2" x14ac:dyDescent="0.25">
      <c r="A743" s="1" t="str">
        <f t="shared" si="11"/>
        <v/>
      </c>
      <c r="B7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4" spans="1:2" x14ac:dyDescent="0.25">
      <c r="A744" s="1" t="str">
        <f t="shared" si="11"/>
        <v/>
      </c>
      <c r="B7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5" spans="1:2" x14ac:dyDescent="0.25">
      <c r="A745" s="1" t="str">
        <f t="shared" si="11"/>
        <v/>
      </c>
      <c r="B7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6" spans="1:2" x14ac:dyDescent="0.25">
      <c r="A746" s="1" t="str">
        <f t="shared" si="11"/>
        <v/>
      </c>
      <c r="B7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7" spans="1:2" x14ac:dyDescent="0.25">
      <c r="A747" s="1" t="str">
        <f t="shared" si="11"/>
        <v/>
      </c>
      <c r="B7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8" spans="1:2" x14ac:dyDescent="0.25">
      <c r="A748" s="1" t="str">
        <f t="shared" si="11"/>
        <v/>
      </c>
      <c r="B7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49" spans="1:2" x14ac:dyDescent="0.25">
      <c r="A749" s="1" t="str">
        <f t="shared" si="11"/>
        <v/>
      </c>
      <c r="B7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0" spans="1:2" x14ac:dyDescent="0.25">
      <c r="A750" s="1" t="str">
        <f t="shared" si="11"/>
        <v/>
      </c>
      <c r="B7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1" spans="1:2" x14ac:dyDescent="0.25">
      <c r="A751" s="1" t="str">
        <f t="shared" si="11"/>
        <v/>
      </c>
      <c r="B7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2" spans="1:2" x14ac:dyDescent="0.25">
      <c r="A752" s="1" t="str">
        <f t="shared" si="11"/>
        <v/>
      </c>
      <c r="B7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3" spans="1:2" x14ac:dyDescent="0.25">
      <c r="A753" s="1" t="str">
        <f t="shared" si="11"/>
        <v/>
      </c>
      <c r="B7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4" spans="1:2" x14ac:dyDescent="0.25">
      <c r="A754" s="1" t="str">
        <f t="shared" si="11"/>
        <v/>
      </c>
      <c r="B7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5" spans="1:2" x14ac:dyDescent="0.25">
      <c r="A755" s="1" t="str">
        <f t="shared" si="11"/>
        <v/>
      </c>
      <c r="B7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6" spans="1:2" x14ac:dyDescent="0.25">
      <c r="A756" s="1" t="str">
        <f t="shared" si="11"/>
        <v/>
      </c>
      <c r="B7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7" spans="1:2" x14ac:dyDescent="0.25">
      <c r="A757" s="1" t="str">
        <f t="shared" si="11"/>
        <v/>
      </c>
      <c r="B7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8" spans="1:2" x14ac:dyDescent="0.25">
      <c r="A758" s="1" t="str">
        <f t="shared" si="11"/>
        <v/>
      </c>
      <c r="B7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59" spans="1:2" x14ac:dyDescent="0.25">
      <c r="A759" s="1" t="str">
        <f t="shared" si="11"/>
        <v/>
      </c>
      <c r="B7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0" spans="1:2" x14ac:dyDescent="0.25">
      <c r="A760" s="1" t="str">
        <f t="shared" si="11"/>
        <v/>
      </c>
      <c r="B7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1" spans="1:2" x14ac:dyDescent="0.25">
      <c r="A761" s="1" t="str">
        <f t="shared" si="11"/>
        <v/>
      </c>
      <c r="B7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2" spans="1:2" x14ac:dyDescent="0.25">
      <c r="A762" s="1" t="str">
        <f t="shared" si="11"/>
        <v/>
      </c>
      <c r="B7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3" spans="1:2" x14ac:dyDescent="0.25">
      <c r="A763" s="1" t="str">
        <f t="shared" si="11"/>
        <v/>
      </c>
      <c r="B7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4" spans="1:2" x14ac:dyDescent="0.25">
      <c r="A764" s="1" t="str">
        <f t="shared" si="11"/>
        <v/>
      </c>
      <c r="B7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5" spans="1:2" x14ac:dyDescent="0.25">
      <c r="A765" s="1" t="str">
        <f t="shared" si="11"/>
        <v/>
      </c>
      <c r="B7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6" spans="1:2" x14ac:dyDescent="0.25">
      <c r="A766" s="1" t="str">
        <f t="shared" si="11"/>
        <v/>
      </c>
      <c r="B7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7" spans="1:2" x14ac:dyDescent="0.25">
      <c r="A767" s="1" t="str">
        <f t="shared" si="11"/>
        <v/>
      </c>
      <c r="B7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8" spans="1:2" x14ac:dyDescent="0.25">
      <c r="A768" s="1" t="str">
        <f t="shared" si="11"/>
        <v/>
      </c>
      <c r="B7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69" spans="1:2" x14ac:dyDescent="0.25">
      <c r="A769" s="1" t="str">
        <f t="shared" si="11"/>
        <v/>
      </c>
      <c r="B7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0" spans="1:2" x14ac:dyDescent="0.25">
      <c r="A770" s="1" t="str">
        <f t="shared" ref="A770:A833" si="12">IFERROR(LEFT(RIGHT(C770,LEN(C770)-SEARCH("@",C770)),SEARCH("/",RIGHT(C770,LEN(C770)-SEARCH("@",C770)-1))),"")</f>
        <v/>
      </c>
      <c r="B7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1" spans="1:2" x14ac:dyDescent="0.25">
      <c r="A771" s="1" t="str">
        <f t="shared" si="12"/>
        <v/>
      </c>
      <c r="B7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2" spans="1:2" x14ac:dyDescent="0.25">
      <c r="A772" s="1" t="str">
        <f t="shared" si="12"/>
        <v/>
      </c>
      <c r="B7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3" spans="1:2" x14ac:dyDescent="0.25">
      <c r="A773" s="1" t="str">
        <f t="shared" si="12"/>
        <v/>
      </c>
      <c r="B7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4" spans="1:2" x14ac:dyDescent="0.25">
      <c r="A774" s="1" t="str">
        <f t="shared" si="12"/>
        <v/>
      </c>
      <c r="B7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5" spans="1:2" x14ac:dyDescent="0.25">
      <c r="A775" s="1" t="str">
        <f t="shared" si="12"/>
        <v/>
      </c>
      <c r="B7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6" spans="1:2" x14ac:dyDescent="0.25">
      <c r="A776" s="1" t="str">
        <f t="shared" si="12"/>
        <v/>
      </c>
      <c r="B7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7" spans="1:2" x14ac:dyDescent="0.25">
      <c r="A777" s="1" t="str">
        <f t="shared" si="12"/>
        <v/>
      </c>
      <c r="B7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8" spans="1:2" x14ac:dyDescent="0.25">
      <c r="A778" s="1" t="str">
        <f t="shared" si="12"/>
        <v/>
      </c>
      <c r="B7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79" spans="1:2" x14ac:dyDescent="0.25">
      <c r="A779" s="1" t="str">
        <f t="shared" si="12"/>
        <v/>
      </c>
      <c r="B7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0" spans="1:2" x14ac:dyDescent="0.25">
      <c r="A780" s="1" t="str">
        <f t="shared" si="12"/>
        <v/>
      </c>
      <c r="B7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1" spans="1:2" x14ac:dyDescent="0.25">
      <c r="A781" s="1" t="str">
        <f t="shared" si="12"/>
        <v/>
      </c>
      <c r="B7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2" spans="1:2" x14ac:dyDescent="0.25">
      <c r="A782" s="1" t="str">
        <f t="shared" si="12"/>
        <v/>
      </c>
      <c r="B7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3" spans="1:2" x14ac:dyDescent="0.25">
      <c r="A783" s="1" t="str">
        <f t="shared" si="12"/>
        <v/>
      </c>
      <c r="B7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4" spans="1:2" x14ac:dyDescent="0.25">
      <c r="A784" s="1" t="str">
        <f t="shared" si="12"/>
        <v/>
      </c>
      <c r="B7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5" spans="1:2" x14ac:dyDescent="0.25">
      <c r="A785" s="1" t="str">
        <f t="shared" si="12"/>
        <v/>
      </c>
      <c r="B7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6" spans="1:2" x14ac:dyDescent="0.25">
      <c r="A786" s="1" t="str">
        <f t="shared" si="12"/>
        <v/>
      </c>
      <c r="B7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7" spans="1:2" x14ac:dyDescent="0.25">
      <c r="A787" s="1" t="str">
        <f t="shared" si="12"/>
        <v/>
      </c>
      <c r="B7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8" spans="1:2" x14ac:dyDescent="0.25">
      <c r="A788" s="1" t="str">
        <f t="shared" si="12"/>
        <v/>
      </c>
      <c r="B7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89" spans="1:2" x14ac:dyDescent="0.25">
      <c r="A789" s="1" t="str">
        <f t="shared" si="12"/>
        <v/>
      </c>
      <c r="B7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0" spans="1:2" x14ac:dyDescent="0.25">
      <c r="A790" s="1" t="str">
        <f t="shared" si="12"/>
        <v/>
      </c>
      <c r="B7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1" spans="1:2" x14ac:dyDescent="0.25">
      <c r="A791" s="1" t="str">
        <f t="shared" si="12"/>
        <v/>
      </c>
      <c r="B7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2" spans="1:2" x14ac:dyDescent="0.25">
      <c r="A792" s="1" t="str">
        <f t="shared" si="12"/>
        <v/>
      </c>
      <c r="B7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3" spans="1:2" x14ac:dyDescent="0.25">
      <c r="A793" s="1" t="str">
        <f t="shared" si="12"/>
        <v/>
      </c>
      <c r="B7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4" spans="1:2" x14ac:dyDescent="0.25">
      <c r="A794" s="1" t="str">
        <f t="shared" si="12"/>
        <v/>
      </c>
      <c r="B7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5" spans="1:2" x14ac:dyDescent="0.25">
      <c r="A795" s="1" t="str">
        <f t="shared" si="12"/>
        <v/>
      </c>
      <c r="B7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6" spans="1:2" x14ac:dyDescent="0.25">
      <c r="A796" s="1" t="str">
        <f t="shared" si="12"/>
        <v/>
      </c>
      <c r="B7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7" spans="1:2" x14ac:dyDescent="0.25">
      <c r="A797" s="1" t="str">
        <f t="shared" si="12"/>
        <v/>
      </c>
      <c r="B7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8" spans="1:2" x14ac:dyDescent="0.25">
      <c r="A798" s="1" t="str">
        <f t="shared" si="12"/>
        <v/>
      </c>
      <c r="B7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799" spans="1:2" x14ac:dyDescent="0.25">
      <c r="A799" s="1" t="str">
        <f t="shared" si="12"/>
        <v/>
      </c>
      <c r="B7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0" spans="1:2" x14ac:dyDescent="0.25">
      <c r="A800" s="1" t="str">
        <f t="shared" si="12"/>
        <v/>
      </c>
      <c r="B8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1" spans="1:2" x14ac:dyDescent="0.25">
      <c r="A801" s="1" t="str">
        <f t="shared" si="12"/>
        <v/>
      </c>
      <c r="B8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2" spans="1:2" x14ac:dyDescent="0.25">
      <c r="A802" s="1" t="str">
        <f t="shared" si="12"/>
        <v/>
      </c>
      <c r="B8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3" spans="1:2" x14ac:dyDescent="0.25">
      <c r="A803" s="1" t="str">
        <f t="shared" si="12"/>
        <v/>
      </c>
      <c r="B8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4" spans="1:2" x14ac:dyDescent="0.25">
      <c r="A804" s="1" t="str">
        <f t="shared" si="12"/>
        <v/>
      </c>
      <c r="B8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5" spans="1:2" x14ac:dyDescent="0.25">
      <c r="A805" s="1" t="str">
        <f t="shared" si="12"/>
        <v/>
      </c>
      <c r="B8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6" spans="1:2" x14ac:dyDescent="0.25">
      <c r="A806" s="1" t="str">
        <f t="shared" si="12"/>
        <v/>
      </c>
      <c r="B8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7" spans="1:2" x14ac:dyDescent="0.25">
      <c r="A807" s="1" t="str">
        <f t="shared" si="12"/>
        <v/>
      </c>
      <c r="B8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8" spans="1:2" x14ac:dyDescent="0.25">
      <c r="A808" s="1" t="str">
        <f t="shared" si="12"/>
        <v/>
      </c>
      <c r="B8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09" spans="1:2" x14ac:dyDescent="0.25">
      <c r="A809" s="1" t="str">
        <f t="shared" si="12"/>
        <v/>
      </c>
      <c r="B8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0" spans="1:2" x14ac:dyDescent="0.25">
      <c r="A810" s="1" t="str">
        <f t="shared" si="12"/>
        <v/>
      </c>
      <c r="B8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1" spans="1:2" x14ac:dyDescent="0.25">
      <c r="A811" s="1" t="str">
        <f t="shared" si="12"/>
        <v/>
      </c>
      <c r="B8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2" spans="1:2" x14ac:dyDescent="0.25">
      <c r="A812" s="1" t="str">
        <f t="shared" si="12"/>
        <v/>
      </c>
      <c r="B8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3" spans="1:2" x14ac:dyDescent="0.25">
      <c r="A813" s="1" t="str">
        <f t="shared" si="12"/>
        <v/>
      </c>
      <c r="B8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4" spans="1:2" x14ac:dyDescent="0.25">
      <c r="A814" s="1" t="str">
        <f t="shared" si="12"/>
        <v/>
      </c>
      <c r="B8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5" spans="1:2" x14ac:dyDescent="0.25">
      <c r="A815" s="1" t="str">
        <f t="shared" si="12"/>
        <v/>
      </c>
      <c r="B8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6" spans="1:2" x14ac:dyDescent="0.25">
      <c r="A816" s="1" t="str">
        <f t="shared" si="12"/>
        <v/>
      </c>
      <c r="B8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7" spans="1:2" x14ac:dyDescent="0.25">
      <c r="A817" s="1" t="str">
        <f t="shared" si="12"/>
        <v/>
      </c>
      <c r="B8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8" spans="1:2" x14ac:dyDescent="0.25">
      <c r="A818" s="1" t="str">
        <f t="shared" si="12"/>
        <v/>
      </c>
      <c r="B8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19" spans="1:2" x14ac:dyDescent="0.25">
      <c r="A819" s="1" t="str">
        <f t="shared" si="12"/>
        <v/>
      </c>
      <c r="B8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0" spans="1:2" x14ac:dyDescent="0.25">
      <c r="A820" s="1" t="str">
        <f t="shared" si="12"/>
        <v/>
      </c>
      <c r="B8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1" spans="1:2" x14ac:dyDescent="0.25">
      <c r="A821" s="1" t="str">
        <f t="shared" si="12"/>
        <v/>
      </c>
      <c r="B8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2" spans="1:2" x14ac:dyDescent="0.25">
      <c r="A822" s="1" t="str">
        <f t="shared" si="12"/>
        <v/>
      </c>
      <c r="B8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3" spans="1:2" x14ac:dyDescent="0.25">
      <c r="A823" s="1" t="str">
        <f t="shared" si="12"/>
        <v/>
      </c>
      <c r="B8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4" spans="1:2" x14ac:dyDescent="0.25">
      <c r="A824" s="1" t="str">
        <f t="shared" si="12"/>
        <v/>
      </c>
      <c r="B8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5" spans="1:2" x14ac:dyDescent="0.25">
      <c r="A825" s="1" t="str">
        <f t="shared" si="12"/>
        <v/>
      </c>
      <c r="B8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6" spans="1:2" x14ac:dyDescent="0.25">
      <c r="A826" s="1" t="str">
        <f t="shared" si="12"/>
        <v/>
      </c>
      <c r="B8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7" spans="1:2" x14ac:dyDescent="0.25">
      <c r="A827" s="1" t="str">
        <f t="shared" si="12"/>
        <v/>
      </c>
      <c r="B8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8" spans="1:2" x14ac:dyDescent="0.25">
      <c r="A828" s="1" t="str">
        <f t="shared" si="12"/>
        <v/>
      </c>
      <c r="B8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29" spans="1:2" x14ac:dyDescent="0.25">
      <c r="A829" s="1" t="str">
        <f t="shared" si="12"/>
        <v/>
      </c>
      <c r="B8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0" spans="1:2" x14ac:dyDescent="0.25">
      <c r="A830" s="1" t="str">
        <f t="shared" si="12"/>
        <v/>
      </c>
      <c r="B8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1" spans="1:2" x14ac:dyDescent="0.25">
      <c r="A831" s="1" t="str">
        <f t="shared" si="12"/>
        <v/>
      </c>
      <c r="B8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2" spans="1:2" x14ac:dyDescent="0.25">
      <c r="A832" s="1" t="str">
        <f t="shared" si="12"/>
        <v/>
      </c>
      <c r="B8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3" spans="1:2" x14ac:dyDescent="0.25">
      <c r="A833" s="1" t="str">
        <f t="shared" si="12"/>
        <v/>
      </c>
      <c r="B8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4" spans="1:2" x14ac:dyDescent="0.25">
      <c r="A834" s="1" t="str">
        <f t="shared" ref="A834:A897" si="13">IFERROR(LEFT(RIGHT(C834,LEN(C834)-SEARCH("@",C834)),SEARCH("/",RIGHT(C834,LEN(C834)-SEARCH("@",C834)-1))),"")</f>
        <v/>
      </c>
      <c r="B8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5" spans="1:2" x14ac:dyDescent="0.25">
      <c r="A835" s="1" t="str">
        <f t="shared" si="13"/>
        <v/>
      </c>
      <c r="B8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6" spans="1:2" x14ac:dyDescent="0.25">
      <c r="A836" s="1" t="str">
        <f t="shared" si="13"/>
        <v/>
      </c>
      <c r="B8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7" spans="1:2" x14ac:dyDescent="0.25">
      <c r="A837" s="1" t="str">
        <f t="shared" si="13"/>
        <v/>
      </c>
      <c r="B8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8" spans="1:2" x14ac:dyDescent="0.25">
      <c r="A838" s="1" t="str">
        <f t="shared" si="13"/>
        <v/>
      </c>
      <c r="B8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39" spans="1:2" x14ac:dyDescent="0.25">
      <c r="A839" s="1" t="str">
        <f t="shared" si="13"/>
        <v/>
      </c>
      <c r="B8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0" spans="1:2" x14ac:dyDescent="0.25">
      <c r="A840" s="1" t="str">
        <f t="shared" si="13"/>
        <v/>
      </c>
      <c r="B8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1" spans="1:2" x14ac:dyDescent="0.25">
      <c r="A841" s="1" t="str">
        <f t="shared" si="13"/>
        <v/>
      </c>
      <c r="B8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2" spans="1:2" x14ac:dyDescent="0.25">
      <c r="A842" s="1" t="str">
        <f t="shared" si="13"/>
        <v/>
      </c>
      <c r="B8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3" spans="1:2" x14ac:dyDescent="0.25">
      <c r="A843" s="1" t="str">
        <f t="shared" si="13"/>
        <v/>
      </c>
      <c r="B8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4" spans="1:2" x14ac:dyDescent="0.25">
      <c r="A844" s="1" t="str">
        <f t="shared" si="13"/>
        <v/>
      </c>
      <c r="B8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5" spans="1:2" x14ac:dyDescent="0.25">
      <c r="A845" s="1" t="str">
        <f t="shared" si="13"/>
        <v/>
      </c>
      <c r="B8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6" spans="1:2" x14ac:dyDescent="0.25">
      <c r="A846" s="1" t="str">
        <f t="shared" si="13"/>
        <v/>
      </c>
      <c r="B8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7" spans="1:2" x14ac:dyDescent="0.25">
      <c r="A847" s="1" t="str">
        <f t="shared" si="13"/>
        <v/>
      </c>
      <c r="B8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8" spans="1:2" x14ac:dyDescent="0.25">
      <c r="A848" s="1" t="str">
        <f t="shared" si="13"/>
        <v/>
      </c>
      <c r="B8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49" spans="1:2" x14ac:dyDescent="0.25">
      <c r="A849" s="1" t="str">
        <f t="shared" si="13"/>
        <v/>
      </c>
      <c r="B8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0" spans="1:2" x14ac:dyDescent="0.25">
      <c r="A850" s="1" t="str">
        <f t="shared" si="13"/>
        <v/>
      </c>
      <c r="B8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1" spans="1:2" x14ac:dyDescent="0.25">
      <c r="A851" s="1" t="str">
        <f t="shared" si="13"/>
        <v/>
      </c>
      <c r="B8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2" spans="1:2" x14ac:dyDescent="0.25">
      <c r="A852" s="1" t="str">
        <f t="shared" si="13"/>
        <v/>
      </c>
      <c r="B8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3" spans="1:2" x14ac:dyDescent="0.25">
      <c r="A853" s="1" t="str">
        <f t="shared" si="13"/>
        <v/>
      </c>
      <c r="B8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4" spans="1:2" x14ac:dyDescent="0.25">
      <c r="A854" s="1" t="str">
        <f t="shared" si="13"/>
        <v/>
      </c>
      <c r="B8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5" spans="1:2" x14ac:dyDescent="0.25">
      <c r="A855" s="1" t="str">
        <f t="shared" si="13"/>
        <v/>
      </c>
      <c r="B8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6" spans="1:2" x14ac:dyDescent="0.25">
      <c r="A856" s="1" t="str">
        <f t="shared" si="13"/>
        <v/>
      </c>
      <c r="B8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7" spans="1:2" x14ac:dyDescent="0.25">
      <c r="A857" s="1" t="str">
        <f t="shared" si="13"/>
        <v/>
      </c>
      <c r="B8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8" spans="1:2" x14ac:dyDescent="0.25">
      <c r="A858" s="1" t="str">
        <f t="shared" si="13"/>
        <v/>
      </c>
      <c r="B8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59" spans="1:2" x14ac:dyDescent="0.25">
      <c r="A859" s="1" t="str">
        <f t="shared" si="13"/>
        <v/>
      </c>
      <c r="B8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0" spans="1:2" x14ac:dyDescent="0.25">
      <c r="A860" s="1" t="str">
        <f t="shared" si="13"/>
        <v/>
      </c>
      <c r="B8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1" spans="1:2" x14ac:dyDescent="0.25">
      <c r="A861" s="1" t="str">
        <f t="shared" si="13"/>
        <v/>
      </c>
      <c r="B8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2" spans="1:2" x14ac:dyDescent="0.25">
      <c r="A862" s="1" t="str">
        <f t="shared" si="13"/>
        <v/>
      </c>
      <c r="B8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3" spans="1:2" x14ac:dyDescent="0.25">
      <c r="A863" s="1" t="str">
        <f t="shared" si="13"/>
        <v/>
      </c>
      <c r="B8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4" spans="1:2" x14ac:dyDescent="0.25">
      <c r="A864" s="1" t="str">
        <f t="shared" si="13"/>
        <v/>
      </c>
      <c r="B8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5" spans="1:2" x14ac:dyDescent="0.25">
      <c r="A865" s="1" t="str">
        <f t="shared" si="13"/>
        <v/>
      </c>
      <c r="B8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6" spans="1:2" x14ac:dyDescent="0.25">
      <c r="A866" s="1" t="str">
        <f t="shared" si="13"/>
        <v/>
      </c>
      <c r="B8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7" spans="1:2" x14ac:dyDescent="0.25">
      <c r="A867" s="1" t="str">
        <f t="shared" si="13"/>
        <v/>
      </c>
      <c r="B8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8" spans="1:2" x14ac:dyDescent="0.25">
      <c r="A868" s="1" t="str">
        <f t="shared" si="13"/>
        <v/>
      </c>
      <c r="B8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69" spans="1:2" x14ac:dyDescent="0.25">
      <c r="A869" s="1" t="str">
        <f t="shared" si="13"/>
        <v/>
      </c>
      <c r="B8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0" spans="1:2" x14ac:dyDescent="0.25">
      <c r="A870" s="1" t="str">
        <f t="shared" si="13"/>
        <v/>
      </c>
      <c r="B8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1" spans="1:2" x14ac:dyDescent="0.25">
      <c r="A871" s="1" t="str">
        <f t="shared" si="13"/>
        <v/>
      </c>
      <c r="B8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2" spans="1:2" x14ac:dyDescent="0.25">
      <c r="A872" s="1" t="str">
        <f t="shared" si="13"/>
        <v/>
      </c>
      <c r="B8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3" spans="1:2" x14ac:dyDescent="0.25">
      <c r="A873" s="1" t="str">
        <f t="shared" si="13"/>
        <v/>
      </c>
      <c r="B8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4" spans="1:2" x14ac:dyDescent="0.25">
      <c r="A874" s="1" t="str">
        <f t="shared" si="13"/>
        <v/>
      </c>
      <c r="B8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5" spans="1:2" x14ac:dyDescent="0.25">
      <c r="A875" s="1" t="str">
        <f t="shared" si="13"/>
        <v/>
      </c>
      <c r="B8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6" spans="1:2" x14ac:dyDescent="0.25">
      <c r="A876" s="1" t="str">
        <f t="shared" si="13"/>
        <v/>
      </c>
      <c r="B8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7" spans="1:2" x14ac:dyDescent="0.25">
      <c r="A877" s="1" t="str">
        <f t="shared" si="13"/>
        <v/>
      </c>
      <c r="B8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8" spans="1:2" x14ac:dyDescent="0.25">
      <c r="A878" s="1" t="str">
        <f t="shared" si="13"/>
        <v/>
      </c>
      <c r="B8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79" spans="1:2" x14ac:dyDescent="0.25">
      <c r="A879" s="1" t="str">
        <f t="shared" si="13"/>
        <v/>
      </c>
      <c r="B8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0" spans="1:2" x14ac:dyDescent="0.25">
      <c r="A880" s="1" t="str">
        <f t="shared" si="13"/>
        <v/>
      </c>
      <c r="B8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1" spans="1:2" x14ac:dyDescent="0.25">
      <c r="A881" s="1" t="str">
        <f t="shared" si="13"/>
        <v/>
      </c>
      <c r="B8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2" spans="1:2" x14ac:dyDescent="0.25">
      <c r="A882" s="1" t="str">
        <f t="shared" si="13"/>
        <v/>
      </c>
      <c r="B8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3" spans="1:2" x14ac:dyDescent="0.25">
      <c r="A883" s="1" t="str">
        <f t="shared" si="13"/>
        <v/>
      </c>
      <c r="B8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4" spans="1:2" x14ac:dyDescent="0.25">
      <c r="A884" s="1" t="str">
        <f t="shared" si="13"/>
        <v/>
      </c>
      <c r="B8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5" spans="1:2" x14ac:dyDescent="0.25">
      <c r="A885" s="1" t="str">
        <f t="shared" si="13"/>
        <v/>
      </c>
      <c r="B8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6" spans="1:2" x14ac:dyDescent="0.25">
      <c r="A886" s="1" t="str">
        <f t="shared" si="13"/>
        <v/>
      </c>
      <c r="B8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7" spans="1:2" x14ac:dyDescent="0.25">
      <c r="A887" s="1" t="str">
        <f t="shared" si="13"/>
        <v/>
      </c>
      <c r="B8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8" spans="1:2" x14ac:dyDescent="0.25">
      <c r="A888" s="1" t="str">
        <f t="shared" si="13"/>
        <v/>
      </c>
      <c r="B8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89" spans="1:2" x14ac:dyDescent="0.25">
      <c r="A889" s="1" t="str">
        <f t="shared" si="13"/>
        <v/>
      </c>
      <c r="B8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0" spans="1:2" x14ac:dyDescent="0.25">
      <c r="A890" s="1" t="str">
        <f t="shared" si="13"/>
        <v/>
      </c>
      <c r="B8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1" spans="1:2" x14ac:dyDescent="0.25">
      <c r="A891" s="1" t="str">
        <f t="shared" si="13"/>
        <v/>
      </c>
      <c r="B8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2" spans="1:2" x14ac:dyDescent="0.25">
      <c r="A892" s="1" t="str">
        <f t="shared" si="13"/>
        <v/>
      </c>
      <c r="B8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3" spans="1:2" x14ac:dyDescent="0.25">
      <c r="A893" s="1" t="str">
        <f t="shared" si="13"/>
        <v/>
      </c>
      <c r="B8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4" spans="1:2" x14ac:dyDescent="0.25">
      <c r="A894" s="1" t="str">
        <f t="shared" si="13"/>
        <v/>
      </c>
      <c r="B8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5" spans="1:2" x14ac:dyDescent="0.25">
      <c r="A895" s="1" t="str">
        <f t="shared" si="13"/>
        <v/>
      </c>
      <c r="B8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6" spans="1:2" x14ac:dyDescent="0.25">
      <c r="A896" s="1" t="str">
        <f t="shared" si="13"/>
        <v/>
      </c>
      <c r="B8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7" spans="1:2" x14ac:dyDescent="0.25">
      <c r="A897" s="1" t="str">
        <f t="shared" si="13"/>
        <v/>
      </c>
      <c r="B8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8" spans="1:2" x14ac:dyDescent="0.25">
      <c r="A898" s="1" t="str">
        <f t="shared" ref="A898:A961" si="14">IFERROR(LEFT(RIGHT(C898,LEN(C898)-SEARCH("@",C898)),SEARCH("/",RIGHT(C898,LEN(C898)-SEARCH("@",C898)-1))),"")</f>
        <v/>
      </c>
      <c r="B8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899" spans="1:2" x14ac:dyDescent="0.25">
      <c r="A899" s="1" t="str">
        <f t="shared" si="14"/>
        <v/>
      </c>
      <c r="B8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0" spans="1:2" x14ac:dyDescent="0.25">
      <c r="A900" s="1" t="str">
        <f t="shared" si="14"/>
        <v/>
      </c>
      <c r="B9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1" spans="1:2" x14ac:dyDescent="0.25">
      <c r="A901" s="1" t="str">
        <f t="shared" si="14"/>
        <v/>
      </c>
      <c r="B9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2" spans="1:2" x14ac:dyDescent="0.25">
      <c r="A902" s="1" t="str">
        <f t="shared" si="14"/>
        <v/>
      </c>
      <c r="B9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3" spans="1:2" x14ac:dyDescent="0.25">
      <c r="A903" s="1" t="str">
        <f t="shared" si="14"/>
        <v/>
      </c>
      <c r="B9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4" spans="1:2" x14ac:dyDescent="0.25">
      <c r="A904" s="1" t="str">
        <f t="shared" si="14"/>
        <v/>
      </c>
      <c r="B9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5" spans="1:2" x14ac:dyDescent="0.25">
      <c r="A905" s="1" t="str">
        <f t="shared" si="14"/>
        <v/>
      </c>
      <c r="B9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6" spans="1:2" x14ac:dyDescent="0.25">
      <c r="A906" s="1" t="str">
        <f t="shared" si="14"/>
        <v/>
      </c>
      <c r="B9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7" spans="1:2" x14ac:dyDescent="0.25">
      <c r="A907" s="1" t="str">
        <f t="shared" si="14"/>
        <v/>
      </c>
      <c r="B9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8" spans="1:2" x14ac:dyDescent="0.25">
      <c r="A908" s="1" t="str">
        <f t="shared" si="14"/>
        <v/>
      </c>
      <c r="B9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09" spans="1:2" x14ac:dyDescent="0.25">
      <c r="A909" s="1" t="str">
        <f t="shared" si="14"/>
        <v/>
      </c>
      <c r="B9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0" spans="1:2" x14ac:dyDescent="0.25">
      <c r="A910" s="1" t="str">
        <f t="shared" si="14"/>
        <v/>
      </c>
      <c r="B9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1" spans="1:2" x14ac:dyDescent="0.25">
      <c r="A911" s="1" t="str">
        <f t="shared" si="14"/>
        <v/>
      </c>
      <c r="B9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2" spans="1:2" x14ac:dyDescent="0.25">
      <c r="A912" s="1" t="str">
        <f t="shared" si="14"/>
        <v/>
      </c>
      <c r="B9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3" spans="1:2" x14ac:dyDescent="0.25">
      <c r="A913" s="1" t="str">
        <f t="shared" si="14"/>
        <v/>
      </c>
      <c r="B9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4" spans="1:2" x14ac:dyDescent="0.25">
      <c r="A914" s="1" t="str">
        <f t="shared" si="14"/>
        <v/>
      </c>
      <c r="B9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5" spans="1:2" x14ac:dyDescent="0.25">
      <c r="A915" s="1" t="str">
        <f t="shared" si="14"/>
        <v/>
      </c>
      <c r="B9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6" spans="1:2" x14ac:dyDescent="0.25">
      <c r="A916" s="1" t="str">
        <f t="shared" si="14"/>
        <v/>
      </c>
      <c r="B9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7" spans="1:2" x14ac:dyDescent="0.25">
      <c r="A917" s="1" t="str">
        <f t="shared" si="14"/>
        <v/>
      </c>
      <c r="B9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8" spans="1:2" x14ac:dyDescent="0.25">
      <c r="A918" s="1" t="str">
        <f t="shared" si="14"/>
        <v/>
      </c>
      <c r="B9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19" spans="1:2" x14ac:dyDescent="0.25">
      <c r="A919" s="1" t="str">
        <f t="shared" si="14"/>
        <v/>
      </c>
      <c r="B9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0" spans="1:2" x14ac:dyDescent="0.25">
      <c r="A920" s="1" t="str">
        <f t="shared" si="14"/>
        <v/>
      </c>
      <c r="B9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1" spans="1:2" x14ac:dyDescent="0.25">
      <c r="A921" s="1" t="str">
        <f t="shared" si="14"/>
        <v/>
      </c>
      <c r="B9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2" spans="1:2" x14ac:dyDescent="0.25">
      <c r="A922" s="1" t="str">
        <f t="shared" si="14"/>
        <v/>
      </c>
      <c r="B9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3" spans="1:2" x14ac:dyDescent="0.25">
      <c r="A923" s="1" t="str">
        <f t="shared" si="14"/>
        <v/>
      </c>
      <c r="B9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4" spans="1:2" x14ac:dyDescent="0.25">
      <c r="A924" s="1" t="str">
        <f t="shared" si="14"/>
        <v/>
      </c>
      <c r="B9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5" spans="1:2" x14ac:dyDescent="0.25">
      <c r="A925" s="1" t="str">
        <f t="shared" si="14"/>
        <v/>
      </c>
      <c r="B9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6" spans="1:2" x14ac:dyDescent="0.25">
      <c r="A926" s="1" t="str">
        <f t="shared" si="14"/>
        <v/>
      </c>
      <c r="B9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7" spans="1:2" x14ac:dyDescent="0.25">
      <c r="A927" s="1" t="str">
        <f t="shared" si="14"/>
        <v/>
      </c>
      <c r="B9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8" spans="1:2" x14ac:dyDescent="0.25">
      <c r="A928" s="1" t="str">
        <f t="shared" si="14"/>
        <v/>
      </c>
      <c r="B9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29" spans="1:2" x14ac:dyDescent="0.25">
      <c r="A929" s="1" t="str">
        <f t="shared" si="14"/>
        <v/>
      </c>
      <c r="B9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0" spans="1:2" x14ac:dyDescent="0.25">
      <c r="A930" s="1" t="str">
        <f t="shared" si="14"/>
        <v/>
      </c>
      <c r="B9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1" spans="1:2" x14ac:dyDescent="0.25">
      <c r="A931" s="1" t="str">
        <f t="shared" si="14"/>
        <v/>
      </c>
      <c r="B9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2" spans="1:2" x14ac:dyDescent="0.25">
      <c r="A932" s="1" t="str">
        <f t="shared" si="14"/>
        <v/>
      </c>
      <c r="B9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3" spans="1:2" x14ac:dyDescent="0.25">
      <c r="A933" s="1" t="str">
        <f t="shared" si="14"/>
        <v/>
      </c>
      <c r="B9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4" spans="1:2" x14ac:dyDescent="0.25">
      <c r="A934" s="1" t="str">
        <f t="shared" si="14"/>
        <v/>
      </c>
      <c r="B9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5" spans="1:2" x14ac:dyDescent="0.25">
      <c r="A935" s="1" t="str">
        <f t="shared" si="14"/>
        <v/>
      </c>
      <c r="B9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6" spans="1:2" x14ac:dyDescent="0.25">
      <c r="A936" s="1" t="str">
        <f t="shared" si="14"/>
        <v/>
      </c>
      <c r="B9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7" spans="1:2" x14ac:dyDescent="0.25">
      <c r="A937" s="1" t="str">
        <f t="shared" si="14"/>
        <v/>
      </c>
      <c r="B9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8" spans="1:2" x14ac:dyDescent="0.25">
      <c r="A938" s="1" t="str">
        <f t="shared" si="14"/>
        <v/>
      </c>
      <c r="B9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39" spans="1:2" x14ac:dyDescent="0.25">
      <c r="A939" s="1" t="str">
        <f t="shared" si="14"/>
        <v/>
      </c>
      <c r="B9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0" spans="1:2" x14ac:dyDescent="0.25">
      <c r="A940" s="1" t="str">
        <f t="shared" si="14"/>
        <v/>
      </c>
      <c r="B9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1" spans="1:2" x14ac:dyDescent="0.25">
      <c r="A941" s="1" t="str">
        <f t="shared" si="14"/>
        <v/>
      </c>
      <c r="B9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2" spans="1:2" x14ac:dyDescent="0.25">
      <c r="A942" s="1" t="str">
        <f t="shared" si="14"/>
        <v/>
      </c>
      <c r="B9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3" spans="1:2" x14ac:dyDescent="0.25">
      <c r="A943" s="1" t="str">
        <f t="shared" si="14"/>
        <v/>
      </c>
      <c r="B9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4" spans="1:2" x14ac:dyDescent="0.25">
      <c r="A944" s="1" t="str">
        <f t="shared" si="14"/>
        <v/>
      </c>
      <c r="B9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5" spans="1:2" x14ac:dyDescent="0.25">
      <c r="A945" s="1" t="str">
        <f t="shared" si="14"/>
        <v/>
      </c>
      <c r="B9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6" spans="1:2" x14ac:dyDescent="0.25">
      <c r="A946" s="1" t="str">
        <f t="shared" si="14"/>
        <v/>
      </c>
      <c r="B9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7" spans="1:2" x14ac:dyDescent="0.25">
      <c r="A947" s="1" t="str">
        <f t="shared" si="14"/>
        <v/>
      </c>
      <c r="B9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8" spans="1:2" x14ac:dyDescent="0.25">
      <c r="A948" s="1" t="str">
        <f t="shared" si="14"/>
        <v/>
      </c>
      <c r="B9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49" spans="1:2" x14ac:dyDescent="0.25">
      <c r="A949" s="1" t="str">
        <f t="shared" si="14"/>
        <v/>
      </c>
      <c r="B9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0" spans="1:2" x14ac:dyDescent="0.25">
      <c r="A950" s="1" t="str">
        <f t="shared" si="14"/>
        <v/>
      </c>
      <c r="B9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1" spans="1:2" x14ac:dyDescent="0.25">
      <c r="A951" s="1" t="str">
        <f t="shared" si="14"/>
        <v/>
      </c>
      <c r="B9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2" spans="1:2" x14ac:dyDescent="0.25">
      <c r="A952" s="1" t="str">
        <f t="shared" si="14"/>
        <v/>
      </c>
      <c r="B9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3" spans="1:2" x14ac:dyDescent="0.25">
      <c r="A953" s="1" t="str">
        <f t="shared" si="14"/>
        <v/>
      </c>
      <c r="B9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4" spans="1:2" x14ac:dyDescent="0.25">
      <c r="A954" s="1" t="str">
        <f t="shared" si="14"/>
        <v/>
      </c>
      <c r="B9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5" spans="1:2" x14ac:dyDescent="0.25">
      <c r="A955" s="1" t="str">
        <f t="shared" si="14"/>
        <v/>
      </c>
      <c r="B9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6" spans="1:2" x14ac:dyDescent="0.25">
      <c r="A956" s="1" t="str">
        <f t="shared" si="14"/>
        <v/>
      </c>
      <c r="B9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7" spans="1:2" x14ac:dyDescent="0.25">
      <c r="A957" s="1" t="str">
        <f t="shared" si="14"/>
        <v/>
      </c>
      <c r="B9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8" spans="1:2" x14ac:dyDescent="0.25">
      <c r="A958" s="1" t="str">
        <f t="shared" si="14"/>
        <v/>
      </c>
      <c r="B9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59" spans="1:2" x14ac:dyDescent="0.25">
      <c r="A959" s="1" t="str">
        <f t="shared" si="14"/>
        <v/>
      </c>
      <c r="B9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0" spans="1:2" x14ac:dyDescent="0.25">
      <c r="A960" s="1" t="str">
        <f t="shared" si="14"/>
        <v/>
      </c>
      <c r="B9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1" spans="1:2" x14ac:dyDescent="0.25">
      <c r="A961" s="1" t="str">
        <f t="shared" si="14"/>
        <v/>
      </c>
      <c r="B9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2" spans="1:2" x14ac:dyDescent="0.25">
      <c r="A962" s="1" t="str">
        <f t="shared" ref="A962:A1025" si="15">IFERROR(LEFT(RIGHT(C962,LEN(C962)-SEARCH("@",C962)),SEARCH("/",RIGHT(C962,LEN(C962)-SEARCH("@",C962)-1))),"")</f>
        <v/>
      </c>
      <c r="B9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3" spans="1:2" x14ac:dyDescent="0.25">
      <c r="A963" s="1" t="str">
        <f t="shared" si="15"/>
        <v/>
      </c>
      <c r="B9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4" spans="1:2" x14ac:dyDescent="0.25">
      <c r="A964" s="1" t="str">
        <f t="shared" si="15"/>
        <v/>
      </c>
      <c r="B9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5" spans="1:2" x14ac:dyDescent="0.25">
      <c r="A965" s="1" t="str">
        <f t="shared" si="15"/>
        <v/>
      </c>
      <c r="B9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6" spans="1:2" x14ac:dyDescent="0.25">
      <c r="A966" s="1" t="str">
        <f t="shared" si="15"/>
        <v/>
      </c>
      <c r="B9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7" spans="1:2" x14ac:dyDescent="0.25">
      <c r="A967" s="1" t="str">
        <f t="shared" si="15"/>
        <v/>
      </c>
      <c r="B9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8" spans="1:2" x14ac:dyDescent="0.25">
      <c r="A968" s="1" t="str">
        <f t="shared" si="15"/>
        <v/>
      </c>
      <c r="B9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69" spans="1:2" x14ac:dyDescent="0.25">
      <c r="A969" s="1" t="str">
        <f t="shared" si="15"/>
        <v/>
      </c>
      <c r="B9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0" spans="1:2" x14ac:dyDescent="0.25">
      <c r="A970" s="1" t="str">
        <f t="shared" si="15"/>
        <v/>
      </c>
      <c r="B9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1" spans="1:2" x14ac:dyDescent="0.25">
      <c r="A971" s="1" t="str">
        <f t="shared" si="15"/>
        <v/>
      </c>
      <c r="B9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2" spans="1:2" x14ac:dyDescent="0.25">
      <c r="A972" s="1" t="str">
        <f t="shared" si="15"/>
        <v/>
      </c>
      <c r="B9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3" spans="1:2" x14ac:dyDescent="0.25">
      <c r="A973" s="1" t="str">
        <f t="shared" si="15"/>
        <v/>
      </c>
      <c r="B9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4" spans="1:2" x14ac:dyDescent="0.25">
      <c r="A974" s="1" t="str">
        <f t="shared" si="15"/>
        <v/>
      </c>
      <c r="B9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5" spans="1:2" x14ac:dyDescent="0.25">
      <c r="A975" s="1" t="str">
        <f t="shared" si="15"/>
        <v/>
      </c>
      <c r="B9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6" spans="1:2" x14ac:dyDescent="0.25">
      <c r="A976" s="1" t="str">
        <f t="shared" si="15"/>
        <v/>
      </c>
      <c r="B9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7" spans="1:2" x14ac:dyDescent="0.25">
      <c r="A977" s="1" t="str">
        <f t="shared" si="15"/>
        <v/>
      </c>
      <c r="B9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8" spans="1:2" x14ac:dyDescent="0.25">
      <c r="A978" s="1" t="str">
        <f t="shared" si="15"/>
        <v/>
      </c>
      <c r="B9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79" spans="1:2" x14ac:dyDescent="0.25">
      <c r="A979" s="1" t="str">
        <f t="shared" si="15"/>
        <v/>
      </c>
      <c r="B9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0" spans="1:2" x14ac:dyDescent="0.25">
      <c r="A980" s="1" t="str">
        <f t="shared" si="15"/>
        <v/>
      </c>
      <c r="B9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1" spans="1:2" x14ac:dyDescent="0.25">
      <c r="A981" s="1" t="str">
        <f t="shared" si="15"/>
        <v/>
      </c>
      <c r="B9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2" spans="1:2" x14ac:dyDescent="0.25">
      <c r="A982" s="1" t="str">
        <f t="shared" si="15"/>
        <v/>
      </c>
      <c r="B9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3" spans="1:2" x14ac:dyDescent="0.25">
      <c r="A983" s="1" t="str">
        <f t="shared" si="15"/>
        <v/>
      </c>
      <c r="B9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4" spans="1:2" x14ac:dyDescent="0.25">
      <c r="A984" s="1" t="str">
        <f t="shared" si="15"/>
        <v/>
      </c>
      <c r="B9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5" spans="1:2" x14ac:dyDescent="0.25">
      <c r="A985" s="1" t="str">
        <f t="shared" si="15"/>
        <v/>
      </c>
      <c r="B9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6" spans="1:2" x14ac:dyDescent="0.25">
      <c r="A986" s="1" t="str">
        <f t="shared" si="15"/>
        <v/>
      </c>
      <c r="B9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7" spans="1:2" x14ac:dyDescent="0.25">
      <c r="A987" s="1" t="str">
        <f t="shared" si="15"/>
        <v/>
      </c>
      <c r="B9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8" spans="1:2" x14ac:dyDescent="0.25">
      <c r="A988" s="1" t="str">
        <f t="shared" si="15"/>
        <v/>
      </c>
      <c r="B9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89" spans="1:2" x14ac:dyDescent="0.25">
      <c r="A989" s="1" t="str">
        <f t="shared" si="15"/>
        <v/>
      </c>
      <c r="B9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0" spans="1:2" x14ac:dyDescent="0.25">
      <c r="A990" s="1" t="str">
        <f t="shared" si="15"/>
        <v/>
      </c>
      <c r="B9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1" spans="1:2" x14ac:dyDescent="0.25">
      <c r="A991" s="1" t="str">
        <f t="shared" si="15"/>
        <v/>
      </c>
      <c r="B9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2" spans="1:2" x14ac:dyDescent="0.25">
      <c r="A992" s="1" t="str">
        <f t="shared" si="15"/>
        <v/>
      </c>
      <c r="B9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3" spans="1:2" x14ac:dyDescent="0.25">
      <c r="A993" s="1" t="str">
        <f t="shared" si="15"/>
        <v/>
      </c>
      <c r="B9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4" spans="1:2" x14ac:dyDescent="0.25">
      <c r="A994" s="1" t="str">
        <f t="shared" si="15"/>
        <v/>
      </c>
      <c r="B9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5" spans="1:2" x14ac:dyDescent="0.25">
      <c r="A995" s="1" t="str">
        <f t="shared" si="15"/>
        <v/>
      </c>
      <c r="B9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6" spans="1:2" x14ac:dyDescent="0.25">
      <c r="A996" s="1" t="str">
        <f t="shared" si="15"/>
        <v/>
      </c>
      <c r="B9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7" spans="1:2" x14ac:dyDescent="0.25">
      <c r="A997" s="1" t="str">
        <f t="shared" si="15"/>
        <v/>
      </c>
      <c r="B9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8" spans="1:2" x14ac:dyDescent="0.25">
      <c r="A998" s="1" t="str">
        <f t="shared" si="15"/>
        <v/>
      </c>
      <c r="B9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999" spans="1:2" x14ac:dyDescent="0.25">
      <c r="A999" s="1" t="str">
        <f t="shared" si="15"/>
        <v/>
      </c>
      <c r="B9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0" spans="1:2" x14ac:dyDescent="0.25">
      <c r="A1000" s="1" t="str">
        <f t="shared" si="15"/>
        <v/>
      </c>
      <c r="B10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1" spans="1:2" x14ac:dyDescent="0.25">
      <c r="A1001" s="1" t="str">
        <f t="shared" si="15"/>
        <v/>
      </c>
      <c r="B10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2" spans="1:2" x14ac:dyDescent="0.25">
      <c r="A1002" s="1" t="str">
        <f t="shared" si="15"/>
        <v/>
      </c>
      <c r="B10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3" spans="1:2" x14ac:dyDescent="0.25">
      <c r="A1003" s="1" t="str">
        <f t="shared" si="15"/>
        <v/>
      </c>
      <c r="B10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4" spans="1:2" x14ac:dyDescent="0.25">
      <c r="A1004" s="1" t="str">
        <f t="shared" si="15"/>
        <v/>
      </c>
      <c r="B10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5" spans="1:2" x14ac:dyDescent="0.25">
      <c r="A1005" s="1" t="str">
        <f t="shared" si="15"/>
        <v/>
      </c>
      <c r="B10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6" spans="1:2" x14ac:dyDescent="0.25">
      <c r="A1006" s="1" t="str">
        <f t="shared" si="15"/>
        <v/>
      </c>
      <c r="B10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7" spans="1:2" x14ac:dyDescent="0.25">
      <c r="A1007" s="1" t="str">
        <f t="shared" si="15"/>
        <v/>
      </c>
      <c r="B10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8" spans="1:2" x14ac:dyDescent="0.25">
      <c r="A1008" s="1" t="str">
        <f t="shared" si="15"/>
        <v/>
      </c>
      <c r="B10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09" spans="1:2" x14ac:dyDescent="0.25">
      <c r="A1009" s="1" t="str">
        <f t="shared" si="15"/>
        <v/>
      </c>
      <c r="B10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0" spans="1:2" x14ac:dyDescent="0.25">
      <c r="A1010" s="1" t="str">
        <f t="shared" si="15"/>
        <v/>
      </c>
      <c r="B10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1" spans="1:2" x14ac:dyDescent="0.25">
      <c r="A1011" s="1" t="str">
        <f t="shared" si="15"/>
        <v/>
      </c>
      <c r="B10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2" spans="1:2" x14ac:dyDescent="0.25">
      <c r="A1012" s="1" t="str">
        <f t="shared" si="15"/>
        <v/>
      </c>
      <c r="B10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3" spans="1:2" x14ac:dyDescent="0.25">
      <c r="A1013" s="1" t="str">
        <f t="shared" si="15"/>
        <v/>
      </c>
      <c r="B10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4" spans="1:2" x14ac:dyDescent="0.25">
      <c r="A1014" s="1" t="str">
        <f t="shared" si="15"/>
        <v/>
      </c>
      <c r="B10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5" spans="1:2" x14ac:dyDescent="0.25">
      <c r="A1015" s="1" t="str">
        <f t="shared" si="15"/>
        <v/>
      </c>
      <c r="B10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6" spans="1:2" x14ac:dyDescent="0.25">
      <c r="A1016" s="1" t="str">
        <f t="shared" si="15"/>
        <v/>
      </c>
      <c r="B10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7" spans="1:2" x14ac:dyDescent="0.25">
      <c r="A1017" s="1" t="str">
        <f t="shared" si="15"/>
        <v/>
      </c>
      <c r="B10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8" spans="1:2" x14ac:dyDescent="0.25">
      <c r="A1018" s="1" t="str">
        <f t="shared" si="15"/>
        <v/>
      </c>
      <c r="B10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19" spans="1:2" x14ac:dyDescent="0.25">
      <c r="A1019" s="1" t="str">
        <f t="shared" si="15"/>
        <v/>
      </c>
      <c r="B10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0" spans="1:2" x14ac:dyDescent="0.25">
      <c r="A1020" s="1" t="str">
        <f t="shared" si="15"/>
        <v/>
      </c>
      <c r="B10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1" spans="1:2" x14ac:dyDescent="0.25">
      <c r="A1021" s="1" t="str">
        <f t="shared" si="15"/>
        <v/>
      </c>
      <c r="B10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2" spans="1:2" x14ac:dyDescent="0.25">
      <c r="A1022" s="1" t="str">
        <f t="shared" si="15"/>
        <v/>
      </c>
      <c r="B10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3" spans="1:2" x14ac:dyDescent="0.25">
      <c r="A1023" s="1" t="str">
        <f t="shared" si="15"/>
        <v/>
      </c>
      <c r="B10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4" spans="1:2" x14ac:dyDescent="0.25">
      <c r="A1024" s="1" t="str">
        <f t="shared" si="15"/>
        <v/>
      </c>
      <c r="B10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5" spans="1:2" x14ac:dyDescent="0.25">
      <c r="A1025" s="1" t="str">
        <f t="shared" si="15"/>
        <v/>
      </c>
      <c r="B10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6" spans="1:2" x14ac:dyDescent="0.25">
      <c r="A1026" s="1" t="str">
        <f t="shared" ref="A1026:A1089" si="16">IFERROR(LEFT(RIGHT(C1026,LEN(C1026)-SEARCH("@",C1026)),SEARCH("/",RIGHT(C1026,LEN(C1026)-SEARCH("@",C1026)-1))),"")</f>
        <v/>
      </c>
      <c r="B10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7" spans="1:2" x14ac:dyDescent="0.25">
      <c r="A1027" s="1" t="str">
        <f t="shared" si="16"/>
        <v/>
      </c>
      <c r="B10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8" spans="1:2" x14ac:dyDescent="0.25">
      <c r="A1028" s="1" t="str">
        <f t="shared" si="16"/>
        <v/>
      </c>
      <c r="B10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29" spans="1:2" x14ac:dyDescent="0.25">
      <c r="A1029" s="1" t="str">
        <f t="shared" si="16"/>
        <v/>
      </c>
      <c r="B10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0" spans="1:2" x14ac:dyDescent="0.25">
      <c r="A1030" s="1" t="str">
        <f t="shared" si="16"/>
        <v/>
      </c>
      <c r="B10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1" spans="1:2" x14ac:dyDescent="0.25">
      <c r="A1031" s="1" t="str">
        <f t="shared" si="16"/>
        <v/>
      </c>
      <c r="B10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2" spans="1:2" x14ac:dyDescent="0.25">
      <c r="A1032" s="1" t="str">
        <f t="shared" si="16"/>
        <v/>
      </c>
      <c r="B10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3" spans="1:2" x14ac:dyDescent="0.25">
      <c r="A1033" s="1" t="str">
        <f t="shared" si="16"/>
        <v/>
      </c>
      <c r="B10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4" spans="1:2" x14ac:dyDescent="0.25">
      <c r="A1034" s="1" t="str">
        <f t="shared" si="16"/>
        <v/>
      </c>
      <c r="B10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5" spans="1:2" x14ac:dyDescent="0.25">
      <c r="A1035" s="1" t="str">
        <f t="shared" si="16"/>
        <v/>
      </c>
      <c r="B10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6" spans="1:2" x14ac:dyDescent="0.25">
      <c r="A1036" s="1" t="str">
        <f t="shared" si="16"/>
        <v/>
      </c>
      <c r="B10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7" spans="1:2" x14ac:dyDescent="0.25">
      <c r="A1037" s="1" t="str">
        <f t="shared" si="16"/>
        <v/>
      </c>
      <c r="B10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8" spans="1:2" x14ac:dyDescent="0.25">
      <c r="A1038" s="1" t="str">
        <f t="shared" si="16"/>
        <v/>
      </c>
      <c r="B10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39" spans="1:2" x14ac:dyDescent="0.25">
      <c r="A1039" s="1" t="str">
        <f t="shared" si="16"/>
        <v/>
      </c>
      <c r="B10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0" spans="1:2" x14ac:dyDescent="0.25">
      <c r="A1040" s="1" t="str">
        <f t="shared" si="16"/>
        <v/>
      </c>
      <c r="B10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1" spans="1:2" x14ac:dyDescent="0.25">
      <c r="A1041" s="1" t="str">
        <f t="shared" si="16"/>
        <v/>
      </c>
      <c r="B10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2" spans="1:2" x14ac:dyDescent="0.25">
      <c r="A1042" s="1" t="str">
        <f t="shared" si="16"/>
        <v/>
      </c>
      <c r="B10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3" spans="1:2" x14ac:dyDescent="0.25">
      <c r="A1043" s="1" t="str">
        <f t="shared" si="16"/>
        <v/>
      </c>
      <c r="B10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4" spans="1:2" x14ac:dyDescent="0.25">
      <c r="A1044" s="1" t="str">
        <f t="shared" si="16"/>
        <v/>
      </c>
      <c r="B10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5" spans="1:2" x14ac:dyDescent="0.25">
      <c r="A1045" s="1" t="str">
        <f t="shared" si="16"/>
        <v/>
      </c>
      <c r="B10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6" spans="1:2" x14ac:dyDescent="0.25">
      <c r="A1046" s="1" t="str">
        <f t="shared" si="16"/>
        <v/>
      </c>
      <c r="B10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7" spans="1:2" x14ac:dyDescent="0.25">
      <c r="A1047" s="1" t="str">
        <f t="shared" si="16"/>
        <v/>
      </c>
      <c r="B10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8" spans="1:2" x14ac:dyDescent="0.25">
      <c r="A1048" s="1" t="str">
        <f t="shared" si="16"/>
        <v/>
      </c>
      <c r="B10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49" spans="1:2" x14ac:dyDescent="0.25">
      <c r="A1049" s="1" t="str">
        <f t="shared" si="16"/>
        <v/>
      </c>
      <c r="B10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0" spans="1:2" x14ac:dyDescent="0.25">
      <c r="A1050" s="1" t="str">
        <f t="shared" si="16"/>
        <v/>
      </c>
      <c r="B10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1" spans="1:2" x14ac:dyDescent="0.25">
      <c r="A1051" s="1" t="str">
        <f t="shared" si="16"/>
        <v/>
      </c>
      <c r="B10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2" spans="1:2" x14ac:dyDescent="0.25">
      <c r="A1052" s="1" t="str">
        <f t="shared" si="16"/>
        <v/>
      </c>
      <c r="B10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3" spans="1:2" x14ac:dyDescent="0.25">
      <c r="A1053" s="1" t="str">
        <f t="shared" si="16"/>
        <v/>
      </c>
      <c r="B10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4" spans="1:2" x14ac:dyDescent="0.25">
      <c r="A1054" s="1" t="str">
        <f t="shared" si="16"/>
        <v/>
      </c>
      <c r="B10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5" spans="1:2" x14ac:dyDescent="0.25">
      <c r="A1055" s="1" t="str">
        <f t="shared" si="16"/>
        <v/>
      </c>
      <c r="B10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6" spans="1:2" x14ac:dyDescent="0.25">
      <c r="A1056" s="1" t="str">
        <f t="shared" si="16"/>
        <v/>
      </c>
      <c r="B10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7" spans="1:2" x14ac:dyDescent="0.25">
      <c r="A1057" s="1" t="str">
        <f t="shared" si="16"/>
        <v/>
      </c>
      <c r="B10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8" spans="1:2" x14ac:dyDescent="0.25">
      <c r="A1058" s="1" t="str">
        <f t="shared" si="16"/>
        <v/>
      </c>
      <c r="B10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59" spans="1:2" x14ac:dyDescent="0.25">
      <c r="A1059" s="1" t="str">
        <f t="shared" si="16"/>
        <v/>
      </c>
      <c r="B10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0" spans="1:2" x14ac:dyDescent="0.25">
      <c r="A1060" s="1" t="str">
        <f t="shared" si="16"/>
        <v/>
      </c>
      <c r="B10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1" spans="1:2" x14ac:dyDescent="0.25">
      <c r="A1061" s="1" t="str">
        <f t="shared" si="16"/>
        <v/>
      </c>
      <c r="B10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2" spans="1:2" x14ac:dyDescent="0.25">
      <c r="A1062" s="1" t="str">
        <f t="shared" si="16"/>
        <v/>
      </c>
      <c r="B10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3" spans="1:2" x14ac:dyDescent="0.25">
      <c r="A1063" s="1" t="str">
        <f t="shared" si="16"/>
        <v/>
      </c>
      <c r="B10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4" spans="1:2" x14ac:dyDescent="0.25">
      <c r="A1064" s="1" t="str">
        <f t="shared" si="16"/>
        <v/>
      </c>
      <c r="B10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5" spans="1:2" x14ac:dyDescent="0.25">
      <c r="A1065" s="1" t="str">
        <f t="shared" si="16"/>
        <v/>
      </c>
      <c r="B10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6" spans="1:2" x14ac:dyDescent="0.25">
      <c r="A1066" s="1" t="str">
        <f t="shared" si="16"/>
        <v/>
      </c>
      <c r="B10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7" spans="1:2" x14ac:dyDescent="0.25">
      <c r="A1067" s="1" t="str">
        <f t="shared" si="16"/>
        <v/>
      </c>
      <c r="B10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8" spans="1:2" x14ac:dyDescent="0.25">
      <c r="A1068" s="1" t="str">
        <f t="shared" si="16"/>
        <v/>
      </c>
      <c r="B10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69" spans="1:2" x14ac:dyDescent="0.25">
      <c r="A1069" s="1" t="str">
        <f t="shared" si="16"/>
        <v/>
      </c>
      <c r="B10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0" spans="1:2" x14ac:dyDescent="0.25">
      <c r="A1070" s="1" t="str">
        <f t="shared" si="16"/>
        <v/>
      </c>
      <c r="B10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1" spans="1:2" x14ac:dyDescent="0.25">
      <c r="A1071" s="1" t="str">
        <f t="shared" si="16"/>
        <v/>
      </c>
      <c r="B10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2" spans="1:2" x14ac:dyDescent="0.25">
      <c r="A1072" s="1" t="str">
        <f t="shared" si="16"/>
        <v/>
      </c>
      <c r="B10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3" spans="1:2" x14ac:dyDescent="0.25">
      <c r="A1073" s="1" t="str">
        <f t="shared" si="16"/>
        <v/>
      </c>
      <c r="B10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4" spans="1:2" x14ac:dyDescent="0.25">
      <c r="A1074" s="1" t="str">
        <f t="shared" si="16"/>
        <v/>
      </c>
      <c r="B10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5" spans="1:2" x14ac:dyDescent="0.25">
      <c r="A1075" s="1" t="str">
        <f t="shared" si="16"/>
        <v/>
      </c>
      <c r="B10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6" spans="1:2" x14ac:dyDescent="0.25">
      <c r="A1076" s="1" t="str">
        <f t="shared" si="16"/>
        <v/>
      </c>
      <c r="B10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7" spans="1:2" x14ac:dyDescent="0.25">
      <c r="A1077" s="1" t="str">
        <f t="shared" si="16"/>
        <v/>
      </c>
      <c r="B10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8" spans="1:2" x14ac:dyDescent="0.25">
      <c r="A1078" s="1" t="str">
        <f t="shared" si="16"/>
        <v/>
      </c>
      <c r="B10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79" spans="1:2" x14ac:dyDescent="0.25">
      <c r="A1079" s="1" t="str">
        <f t="shared" si="16"/>
        <v/>
      </c>
      <c r="B10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0" spans="1:2" x14ac:dyDescent="0.25">
      <c r="A1080" s="1" t="str">
        <f t="shared" si="16"/>
        <v/>
      </c>
      <c r="B10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1" spans="1:2" x14ac:dyDescent="0.25">
      <c r="A1081" s="1" t="str">
        <f t="shared" si="16"/>
        <v/>
      </c>
      <c r="B10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2" spans="1:2" x14ac:dyDescent="0.25">
      <c r="A1082" s="1" t="str">
        <f t="shared" si="16"/>
        <v/>
      </c>
      <c r="B10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3" spans="1:2" x14ac:dyDescent="0.25">
      <c r="A1083" s="1" t="str">
        <f t="shared" si="16"/>
        <v/>
      </c>
      <c r="B10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4" spans="1:2" x14ac:dyDescent="0.25">
      <c r="A1084" s="1" t="str">
        <f t="shared" si="16"/>
        <v/>
      </c>
      <c r="B10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5" spans="1:2" x14ac:dyDescent="0.25">
      <c r="A1085" s="1" t="str">
        <f t="shared" si="16"/>
        <v/>
      </c>
      <c r="B10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6" spans="1:2" x14ac:dyDescent="0.25">
      <c r="A1086" s="1" t="str">
        <f t="shared" si="16"/>
        <v/>
      </c>
      <c r="B10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7" spans="1:2" x14ac:dyDescent="0.25">
      <c r="A1087" s="1" t="str">
        <f t="shared" si="16"/>
        <v/>
      </c>
      <c r="B10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8" spans="1:2" x14ac:dyDescent="0.25">
      <c r="A1088" s="1" t="str">
        <f t="shared" si="16"/>
        <v/>
      </c>
      <c r="B10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89" spans="1:2" x14ac:dyDescent="0.25">
      <c r="A1089" s="1" t="str">
        <f t="shared" si="16"/>
        <v/>
      </c>
      <c r="B10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0" spans="1:2" x14ac:dyDescent="0.25">
      <c r="A1090" s="1" t="str">
        <f t="shared" ref="A1090:A1153" si="17">IFERROR(LEFT(RIGHT(C1090,LEN(C1090)-SEARCH("@",C1090)),SEARCH("/",RIGHT(C1090,LEN(C1090)-SEARCH("@",C1090)-1))),"")</f>
        <v/>
      </c>
      <c r="B10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1" spans="1:2" x14ac:dyDescent="0.25">
      <c r="A1091" s="1" t="str">
        <f t="shared" si="17"/>
        <v/>
      </c>
      <c r="B10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2" spans="1:2" x14ac:dyDescent="0.25">
      <c r="A1092" s="1" t="str">
        <f t="shared" si="17"/>
        <v/>
      </c>
      <c r="B10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3" spans="1:2" x14ac:dyDescent="0.25">
      <c r="A1093" s="1" t="str">
        <f t="shared" si="17"/>
        <v/>
      </c>
      <c r="B10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4" spans="1:2" x14ac:dyDescent="0.25">
      <c r="A1094" s="1" t="str">
        <f t="shared" si="17"/>
        <v/>
      </c>
      <c r="B10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5" spans="1:2" x14ac:dyDescent="0.25">
      <c r="A1095" s="1" t="str">
        <f t="shared" si="17"/>
        <v/>
      </c>
      <c r="B10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6" spans="1:2" x14ac:dyDescent="0.25">
      <c r="A1096" s="1" t="str">
        <f t="shared" si="17"/>
        <v/>
      </c>
      <c r="B10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7" spans="1:2" x14ac:dyDescent="0.25">
      <c r="A1097" s="1" t="str">
        <f t="shared" si="17"/>
        <v/>
      </c>
      <c r="B10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8" spans="1:2" x14ac:dyDescent="0.25">
      <c r="A1098" s="1" t="str">
        <f t="shared" si="17"/>
        <v/>
      </c>
      <c r="B10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099" spans="1:2" x14ac:dyDescent="0.25">
      <c r="A1099" s="1" t="str">
        <f t="shared" si="17"/>
        <v/>
      </c>
      <c r="B10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0" spans="1:2" x14ac:dyDescent="0.25">
      <c r="A1100" s="1" t="str">
        <f t="shared" si="17"/>
        <v/>
      </c>
      <c r="B11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1" spans="1:2" x14ac:dyDescent="0.25">
      <c r="A1101" s="1" t="str">
        <f t="shared" si="17"/>
        <v/>
      </c>
      <c r="B11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2" spans="1:2" x14ac:dyDescent="0.25">
      <c r="A1102" s="1" t="str">
        <f t="shared" si="17"/>
        <v/>
      </c>
      <c r="B11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3" spans="1:2" x14ac:dyDescent="0.25">
      <c r="A1103" s="1" t="str">
        <f t="shared" si="17"/>
        <v/>
      </c>
      <c r="B11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4" spans="1:2" x14ac:dyDescent="0.25">
      <c r="A1104" s="1" t="str">
        <f t="shared" si="17"/>
        <v/>
      </c>
      <c r="B11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5" spans="1:2" x14ac:dyDescent="0.25">
      <c r="A1105" s="1" t="str">
        <f t="shared" si="17"/>
        <v/>
      </c>
      <c r="B11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6" spans="1:2" x14ac:dyDescent="0.25">
      <c r="A1106" s="1" t="str">
        <f t="shared" si="17"/>
        <v/>
      </c>
      <c r="B11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7" spans="1:2" x14ac:dyDescent="0.25">
      <c r="A1107" s="1" t="str">
        <f t="shared" si="17"/>
        <v/>
      </c>
      <c r="B11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8" spans="1:2" x14ac:dyDescent="0.25">
      <c r="A1108" s="1" t="str">
        <f t="shared" si="17"/>
        <v/>
      </c>
      <c r="B11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09" spans="1:2" x14ac:dyDescent="0.25">
      <c r="A1109" s="1" t="str">
        <f t="shared" si="17"/>
        <v/>
      </c>
      <c r="B11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0" spans="1:2" x14ac:dyDescent="0.25">
      <c r="A1110" s="1" t="str">
        <f t="shared" si="17"/>
        <v/>
      </c>
      <c r="B11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1" spans="1:2" x14ac:dyDescent="0.25">
      <c r="A1111" s="1" t="str">
        <f t="shared" si="17"/>
        <v/>
      </c>
      <c r="B11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2" spans="1:2" x14ac:dyDescent="0.25">
      <c r="A1112" s="1" t="str">
        <f t="shared" si="17"/>
        <v/>
      </c>
      <c r="B11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3" spans="1:2" x14ac:dyDescent="0.25">
      <c r="A1113" s="1" t="str">
        <f t="shared" si="17"/>
        <v/>
      </c>
      <c r="B11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4" spans="1:2" x14ac:dyDescent="0.25">
      <c r="A1114" s="1" t="str">
        <f t="shared" si="17"/>
        <v/>
      </c>
      <c r="B11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5" spans="1:2" x14ac:dyDescent="0.25">
      <c r="A1115" s="1" t="str">
        <f t="shared" si="17"/>
        <v/>
      </c>
      <c r="B11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6" spans="1:2" x14ac:dyDescent="0.25">
      <c r="A1116" s="1" t="str">
        <f t="shared" si="17"/>
        <v/>
      </c>
      <c r="B11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7" spans="1:2" x14ac:dyDescent="0.25">
      <c r="A1117" s="1" t="str">
        <f t="shared" si="17"/>
        <v/>
      </c>
      <c r="B11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8" spans="1:2" x14ac:dyDescent="0.25">
      <c r="A1118" s="1" t="str">
        <f t="shared" si="17"/>
        <v/>
      </c>
      <c r="B11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19" spans="1:2" x14ac:dyDescent="0.25">
      <c r="A1119" s="1" t="str">
        <f t="shared" si="17"/>
        <v/>
      </c>
      <c r="B11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0" spans="1:2" x14ac:dyDescent="0.25">
      <c r="A1120" s="1" t="str">
        <f t="shared" si="17"/>
        <v/>
      </c>
      <c r="B11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1" spans="1:2" x14ac:dyDescent="0.25">
      <c r="A1121" s="1" t="str">
        <f t="shared" si="17"/>
        <v/>
      </c>
      <c r="B11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2" spans="1:2" x14ac:dyDescent="0.25">
      <c r="A1122" s="1" t="str">
        <f t="shared" si="17"/>
        <v/>
      </c>
      <c r="B11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3" spans="1:2" x14ac:dyDescent="0.25">
      <c r="A1123" s="1" t="str">
        <f t="shared" si="17"/>
        <v/>
      </c>
      <c r="B11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4" spans="1:2" x14ac:dyDescent="0.25">
      <c r="A1124" s="1" t="str">
        <f t="shared" si="17"/>
        <v/>
      </c>
      <c r="B11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5" spans="1:2" x14ac:dyDescent="0.25">
      <c r="A1125" s="1" t="str">
        <f t="shared" si="17"/>
        <v/>
      </c>
      <c r="B11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6" spans="1:2" x14ac:dyDescent="0.25">
      <c r="A1126" s="1" t="str">
        <f t="shared" si="17"/>
        <v/>
      </c>
      <c r="B11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7" spans="1:2" x14ac:dyDescent="0.25">
      <c r="A1127" s="1" t="str">
        <f t="shared" si="17"/>
        <v/>
      </c>
      <c r="B11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8" spans="1:2" x14ac:dyDescent="0.25">
      <c r="A1128" s="1" t="str">
        <f t="shared" si="17"/>
        <v/>
      </c>
      <c r="B11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29" spans="1:2" x14ac:dyDescent="0.25">
      <c r="A1129" s="1" t="str">
        <f t="shared" si="17"/>
        <v/>
      </c>
      <c r="B11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0" spans="1:2" x14ac:dyDescent="0.25">
      <c r="A1130" s="1" t="str">
        <f t="shared" si="17"/>
        <v/>
      </c>
      <c r="B11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1" spans="1:2" x14ac:dyDescent="0.25">
      <c r="A1131" s="1" t="str">
        <f t="shared" si="17"/>
        <v/>
      </c>
      <c r="B11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2" spans="1:2" x14ac:dyDescent="0.25">
      <c r="A1132" s="1" t="str">
        <f t="shared" si="17"/>
        <v/>
      </c>
      <c r="B11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3" spans="1:2" x14ac:dyDescent="0.25">
      <c r="A1133" s="1" t="str">
        <f t="shared" si="17"/>
        <v/>
      </c>
      <c r="B11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4" spans="1:2" x14ac:dyDescent="0.25">
      <c r="A1134" s="1" t="str">
        <f t="shared" si="17"/>
        <v/>
      </c>
      <c r="B11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5" spans="1:2" x14ac:dyDescent="0.25">
      <c r="A1135" s="1" t="str">
        <f t="shared" si="17"/>
        <v/>
      </c>
      <c r="B11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6" spans="1:2" x14ac:dyDescent="0.25">
      <c r="A1136" s="1" t="str">
        <f t="shared" si="17"/>
        <v/>
      </c>
      <c r="B11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7" spans="1:2" x14ac:dyDescent="0.25">
      <c r="A1137" s="1" t="str">
        <f t="shared" si="17"/>
        <v/>
      </c>
      <c r="B11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8" spans="1:2" x14ac:dyDescent="0.25">
      <c r="A1138" s="1" t="str">
        <f t="shared" si="17"/>
        <v/>
      </c>
      <c r="B11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39" spans="1:2" x14ac:dyDescent="0.25">
      <c r="A1139" s="1" t="str">
        <f t="shared" si="17"/>
        <v/>
      </c>
      <c r="B11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0" spans="1:2" x14ac:dyDescent="0.25">
      <c r="A1140" s="1" t="str">
        <f t="shared" si="17"/>
        <v/>
      </c>
      <c r="B11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1" spans="1:2" x14ac:dyDescent="0.25">
      <c r="A1141" s="1" t="str">
        <f t="shared" si="17"/>
        <v/>
      </c>
      <c r="B11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2" spans="1:2" x14ac:dyDescent="0.25">
      <c r="A1142" s="1" t="str">
        <f t="shared" si="17"/>
        <v/>
      </c>
      <c r="B11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3" spans="1:2" x14ac:dyDescent="0.25">
      <c r="A1143" s="1" t="str">
        <f t="shared" si="17"/>
        <v/>
      </c>
      <c r="B11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4" spans="1:2" x14ac:dyDescent="0.25">
      <c r="A1144" s="1" t="str">
        <f t="shared" si="17"/>
        <v/>
      </c>
      <c r="B11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5" spans="1:2" x14ac:dyDescent="0.25">
      <c r="A1145" s="1" t="str">
        <f t="shared" si="17"/>
        <v/>
      </c>
      <c r="B11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6" spans="1:2" x14ac:dyDescent="0.25">
      <c r="A1146" s="1" t="str">
        <f t="shared" si="17"/>
        <v/>
      </c>
      <c r="B11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7" spans="1:2" x14ac:dyDescent="0.25">
      <c r="A1147" s="1" t="str">
        <f t="shared" si="17"/>
        <v/>
      </c>
      <c r="B11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8" spans="1:2" x14ac:dyDescent="0.25">
      <c r="A1148" s="1" t="str">
        <f t="shared" si="17"/>
        <v/>
      </c>
      <c r="B11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49" spans="1:2" x14ac:dyDescent="0.25">
      <c r="A1149" s="1" t="str">
        <f t="shared" si="17"/>
        <v/>
      </c>
      <c r="B11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0" spans="1:2" x14ac:dyDescent="0.25">
      <c r="A1150" s="1" t="str">
        <f t="shared" si="17"/>
        <v/>
      </c>
      <c r="B11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1" spans="1:2" x14ac:dyDescent="0.25">
      <c r="A1151" s="1" t="str">
        <f t="shared" si="17"/>
        <v/>
      </c>
      <c r="B11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2" spans="1:2" x14ac:dyDescent="0.25">
      <c r="A1152" s="1" t="str">
        <f t="shared" si="17"/>
        <v/>
      </c>
      <c r="B11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3" spans="1:2" x14ac:dyDescent="0.25">
      <c r="A1153" s="1" t="str">
        <f t="shared" si="17"/>
        <v/>
      </c>
      <c r="B11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4" spans="1:2" x14ac:dyDescent="0.25">
      <c r="A1154" s="1" t="str">
        <f t="shared" ref="A1154:A1217" si="18">IFERROR(LEFT(RIGHT(C1154,LEN(C1154)-SEARCH("@",C1154)),SEARCH("/",RIGHT(C1154,LEN(C1154)-SEARCH("@",C1154)-1))),"")</f>
        <v/>
      </c>
      <c r="B11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5" spans="1:2" x14ac:dyDescent="0.25">
      <c r="A1155" s="1" t="str">
        <f t="shared" si="18"/>
        <v/>
      </c>
      <c r="B11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6" spans="1:2" x14ac:dyDescent="0.25">
      <c r="A1156" s="1" t="str">
        <f t="shared" si="18"/>
        <v/>
      </c>
      <c r="B11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7" spans="1:2" x14ac:dyDescent="0.25">
      <c r="A1157" s="1" t="str">
        <f t="shared" si="18"/>
        <v/>
      </c>
      <c r="B11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8" spans="1:2" x14ac:dyDescent="0.25">
      <c r="A1158" s="1" t="str">
        <f t="shared" si="18"/>
        <v/>
      </c>
      <c r="B11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59" spans="1:2" x14ac:dyDescent="0.25">
      <c r="A1159" s="1" t="str">
        <f t="shared" si="18"/>
        <v/>
      </c>
      <c r="B11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0" spans="1:2" x14ac:dyDescent="0.25">
      <c r="A1160" s="1" t="str">
        <f t="shared" si="18"/>
        <v/>
      </c>
      <c r="B11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1" spans="1:2" x14ac:dyDescent="0.25">
      <c r="A1161" s="1" t="str">
        <f t="shared" si="18"/>
        <v/>
      </c>
      <c r="B11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2" spans="1:2" x14ac:dyDescent="0.25">
      <c r="A1162" s="1" t="str">
        <f t="shared" si="18"/>
        <v/>
      </c>
      <c r="B11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3" spans="1:2" x14ac:dyDescent="0.25">
      <c r="A1163" s="1" t="str">
        <f t="shared" si="18"/>
        <v/>
      </c>
      <c r="B11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4" spans="1:2" x14ac:dyDescent="0.25">
      <c r="A1164" s="1" t="str">
        <f t="shared" si="18"/>
        <v/>
      </c>
      <c r="B11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5" spans="1:2" x14ac:dyDescent="0.25">
      <c r="A1165" s="1" t="str">
        <f t="shared" si="18"/>
        <v/>
      </c>
      <c r="B11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6" spans="1:2" x14ac:dyDescent="0.25">
      <c r="A1166" s="1" t="str">
        <f t="shared" si="18"/>
        <v/>
      </c>
      <c r="B11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7" spans="1:2" x14ac:dyDescent="0.25">
      <c r="A1167" s="1" t="str">
        <f t="shared" si="18"/>
        <v/>
      </c>
      <c r="B11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8" spans="1:2" x14ac:dyDescent="0.25">
      <c r="A1168" s="1" t="str">
        <f t="shared" si="18"/>
        <v/>
      </c>
      <c r="B11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69" spans="1:2" x14ac:dyDescent="0.25">
      <c r="A1169" s="1" t="str">
        <f t="shared" si="18"/>
        <v/>
      </c>
      <c r="B11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0" spans="1:2" x14ac:dyDescent="0.25">
      <c r="A1170" s="1" t="str">
        <f t="shared" si="18"/>
        <v/>
      </c>
      <c r="B11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1" spans="1:2" x14ac:dyDescent="0.25">
      <c r="A1171" s="1" t="str">
        <f t="shared" si="18"/>
        <v/>
      </c>
      <c r="B11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2" spans="1:2" x14ac:dyDescent="0.25">
      <c r="A1172" s="1" t="str">
        <f t="shared" si="18"/>
        <v/>
      </c>
      <c r="B11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3" spans="1:2" x14ac:dyDescent="0.25">
      <c r="A1173" s="1" t="str">
        <f t="shared" si="18"/>
        <v/>
      </c>
      <c r="B11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4" spans="1:2" x14ac:dyDescent="0.25">
      <c r="A1174" s="1" t="str">
        <f t="shared" si="18"/>
        <v/>
      </c>
      <c r="B11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5" spans="1:2" x14ac:dyDescent="0.25">
      <c r="A1175" s="1" t="str">
        <f t="shared" si="18"/>
        <v/>
      </c>
      <c r="B11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6" spans="1:2" x14ac:dyDescent="0.25">
      <c r="A1176" s="1" t="str">
        <f t="shared" si="18"/>
        <v/>
      </c>
      <c r="B11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7" spans="1:2" x14ac:dyDescent="0.25">
      <c r="A1177" s="1" t="str">
        <f t="shared" si="18"/>
        <v/>
      </c>
      <c r="B11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8" spans="1:2" x14ac:dyDescent="0.25">
      <c r="A1178" s="1" t="str">
        <f t="shared" si="18"/>
        <v/>
      </c>
      <c r="B11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79" spans="1:2" x14ac:dyDescent="0.25">
      <c r="A1179" s="1" t="str">
        <f t="shared" si="18"/>
        <v/>
      </c>
      <c r="B11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0" spans="1:2" x14ac:dyDescent="0.25">
      <c r="A1180" s="1" t="str">
        <f t="shared" si="18"/>
        <v/>
      </c>
      <c r="B11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1" spans="1:2" x14ac:dyDescent="0.25">
      <c r="A1181" s="1" t="str">
        <f t="shared" si="18"/>
        <v/>
      </c>
      <c r="B11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2" spans="1:2" x14ac:dyDescent="0.25">
      <c r="A1182" s="1" t="str">
        <f t="shared" si="18"/>
        <v/>
      </c>
      <c r="B11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3" spans="1:2" x14ac:dyDescent="0.25">
      <c r="A1183" s="1" t="str">
        <f t="shared" si="18"/>
        <v/>
      </c>
      <c r="B11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4" spans="1:2" x14ac:dyDescent="0.25">
      <c r="A1184" s="1" t="str">
        <f t="shared" si="18"/>
        <v/>
      </c>
      <c r="B11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5" spans="1:2" x14ac:dyDescent="0.25">
      <c r="A1185" s="1" t="str">
        <f t="shared" si="18"/>
        <v/>
      </c>
      <c r="B11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6" spans="1:2" x14ac:dyDescent="0.25">
      <c r="A1186" s="1" t="str">
        <f t="shared" si="18"/>
        <v/>
      </c>
      <c r="B11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7" spans="1:2" x14ac:dyDescent="0.25">
      <c r="A1187" s="1" t="str">
        <f t="shared" si="18"/>
        <v/>
      </c>
      <c r="B11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8" spans="1:2" x14ac:dyDescent="0.25">
      <c r="A1188" s="1" t="str">
        <f t="shared" si="18"/>
        <v/>
      </c>
      <c r="B11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89" spans="1:2" x14ac:dyDescent="0.25">
      <c r="A1189" s="1" t="str">
        <f t="shared" si="18"/>
        <v/>
      </c>
      <c r="B11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0" spans="1:2" x14ac:dyDescent="0.25">
      <c r="A1190" s="1" t="str">
        <f t="shared" si="18"/>
        <v/>
      </c>
      <c r="B11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1" spans="1:2" x14ac:dyDescent="0.25">
      <c r="A1191" s="1" t="str">
        <f t="shared" si="18"/>
        <v/>
      </c>
      <c r="B11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2" spans="1:2" x14ac:dyDescent="0.25">
      <c r="A1192" s="1" t="str">
        <f t="shared" si="18"/>
        <v/>
      </c>
      <c r="B11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3" spans="1:2" x14ac:dyDescent="0.25">
      <c r="A1193" s="1" t="str">
        <f t="shared" si="18"/>
        <v/>
      </c>
      <c r="B11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4" spans="1:2" x14ac:dyDescent="0.25">
      <c r="A1194" s="1" t="str">
        <f t="shared" si="18"/>
        <v/>
      </c>
      <c r="B11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5" spans="1:2" x14ac:dyDescent="0.25">
      <c r="A1195" s="1" t="str">
        <f t="shared" si="18"/>
        <v/>
      </c>
      <c r="B11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6" spans="1:2" x14ac:dyDescent="0.25">
      <c r="A1196" s="1" t="str">
        <f t="shared" si="18"/>
        <v/>
      </c>
      <c r="B11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7" spans="1:2" x14ac:dyDescent="0.25">
      <c r="A1197" s="1" t="str">
        <f t="shared" si="18"/>
        <v/>
      </c>
      <c r="B11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8" spans="1:2" x14ac:dyDescent="0.25">
      <c r="A1198" s="1" t="str">
        <f t="shared" si="18"/>
        <v/>
      </c>
      <c r="B11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199" spans="1:2" x14ac:dyDescent="0.25">
      <c r="A1199" s="1" t="str">
        <f t="shared" si="18"/>
        <v/>
      </c>
      <c r="B11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0" spans="1:2" x14ac:dyDescent="0.25">
      <c r="A1200" s="1" t="str">
        <f t="shared" si="18"/>
        <v/>
      </c>
      <c r="B12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1" spans="1:2" x14ac:dyDescent="0.25">
      <c r="A1201" s="1" t="str">
        <f t="shared" si="18"/>
        <v/>
      </c>
      <c r="B12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2" spans="1:2" x14ac:dyDescent="0.25">
      <c r="A1202" s="1" t="str">
        <f t="shared" si="18"/>
        <v/>
      </c>
      <c r="B12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3" spans="1:2" x14ac:dyDescent="0.25">
      <c r="A1203" s="1" t="str">
        <f t="shared" si="18"/>
        <v/>
      </c>
      <c r="B12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4" spans="1:2" x14ac:dyDescent="0.25">
      <c r="A1204" s="1" t="str">
        <f t="shared" si="18"/>
        <v/>
      </c>
      <c r="B12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5" spans="1:2" x14ac:dyDescent="0.25">
      <c r="A1205" s="1" t="str">
        <f t="shared" si="18"/>
        <v/>
      </c>
      <c r="B12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6" spans="1:2" x14ac:dyDescent="0.25">
      <c r="A1206" s="1" t="str">
        <f t="shared" si="18"/>
        <v/>
      </c>
      <c r="B12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7" spans="1:2" x14ac:dyDescent="0.25">
      <c r="A1207" s="1" t="str">
        <f t="shared" si="18"/>
        <v/>
      </c>
      <c r="B12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8" spans="1:2" x14ac:dyDescent="0.25">
      <c r="A1208" s="1" t="str">
        <f t="shared" si="18"/>
        <v/>
      </c>
      <c r="B12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09" spans="1:2" x14ac:dyDescent="0.25">
      <c r="A1209" s="1" t="str">
        <f t="shared" si="18"/>
        <v/>
      </c>
      <c r="B12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0" spans="1:2" x14ac:dyDescent="0.25">
      <c r="A1210" s="1" t="str">
        <f t="shared" si="18"/>
        <v/>
      </c>
      <c r="B12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1" spans="1:2" x14ac:dyDescent="0.25">
      <c r="A1211" s="1" t="str">
        <f t="shared" si="18"/>
        <v/>
      </c>
      <c r="B12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2" spans="1:2" x14ac:dyDescent="0.25">
      <c r="A1212" s="1" t="str">
        <f t="shared" si="18"/>
        <v/>
      </c>
      <c r="B12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3" spans="1:2" x14ac:dyDescent="0.25">
      <c r="A1213" s="1" t="str">
        <f t="shared" si="18"/>
        <v/>
      </c>
      <c r="B12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4" spans="1:2" x14ac:dyDescent="0.25">
      <c r="A1214" s="1" t="str">
        <f t="shared" si="18"/>
        <v/>
      </c>
      <c r="B12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5" spans="1:2" x14ac:dyDescent="0.25">
      <c r="A1215" s="1" t="str">
        <f t="shared" si="18"/>
        <v/>
      </c>
      <c r="B12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6" spans="1:2" x14ac:dyDescent="0.25">
      <c r="A1216" s="1" t="str">
        <f t="shared" si="18"/>
        <v/>
      </c>
      <c r="B12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7" spans="1:2" x14ac:dyDescent="0.25">
      <c r="A1217" s="1" t="str">
        <f t="shared" si="18"/>
        <v/>
      </c>
      <c r="B12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8" spans="1:2" x14ac:dyDescent="0.25">
      <c r="A1218" s="1" t="str">
        <f t="shared" ref="A1218:A1281" si="19">IFERROR(LEFT(RIGHT(C1218,LEN(C1218)-SEARCH("@",C1218)),SEARCH("/",RIGHT(C1218,LEN(C1218)-SEARCH("@",C1218)-1))),"")</f>
        <v/>
      </c>
      <c r="B12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19" spans="1:2" x14ac:dyDescent="0.25">
      <c r="A1219" s="1" t="str">
        <f t="shared" si="19"/>
        <v/>
      </c>
      <c r="B12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0" spans="1:2" x14ac:dyDescent="0.25">
      <c r="A1220" s="1" t="str">
        <f t="shared" si="19"/>
        <v/>
      </c>
      <c r="B12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1" spans="1:2" x14ac:dyDescent="0.25">
      <c r="A1221" s="1" t="str">
        <f t="shared" si="19"/>
        <v/>
      </c>
      <c r="B12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2" spans="1:2" x14ac:dyDescent="0.25">
      <c r="A1222" s="1" t="str">
        <f t="shared" si="19"/>
        <v/>
      </c>
      <c r="B12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3" spans="1:2" x14ac:dyDescent="0.25">
      <c r="A1223" s="1" t="str">
        <f t="shared" si="19"/>
        <v/>
      </c>
      <c r="B12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4" spans="1:2" x14ac:dyDescent="0.25">
      <c r="A1224" s="1" t="str">
        <f t="shared" si="19"/>
        <v/>
      </c>
      <c r="B12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5" spans="1:2" x14ac:dyDescent="0.25">
      <c r="A1225" s="1" t="str">
        <f t="shared" si="19"/>
        <v/>
      </c>
      <c r="B12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6" spans="1:2" x14ac:dyDescent="0.25">
      <c r="A1226" s="1" t="str">
        <f t="shared" si="19"/>
        <v/>
      </c>
      <c r="B12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7" spans="1:2" x14ac:dyDescent="0.25">
      <c r="A1227" s="1" t="str">
        <f t="shared" si="19"/>
        <v/>
      </c>
      <c r="B12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8" spans="1:2" x14ac:dyDescent="0.25">
      <c r="A1228" s="1" t="str">
        <f t="shared" si="19"/>
        <v/>
      </c>
      <c r="B12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29" spans="1:2" x14ac:dyDescent="0.25">
      <c r="A1229" s="1" t="str">
        <f t="shared" si="19"/>
        <v/>
      </c>
      <c r="B12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0" spans="1:2" x14ac:dyDescent="0.25">
      <c r="A1230" s="1" t="str">
        <f t="shared" si="19"/>
        <v/>
      </c>
      <c r="B12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1" spans="1:2" x14ac:dyDescent="0.25">
      <c r="A1231" s="1" t="str">
        <f t="shared" si="19"/>
        <v/>
      </c>
      <c r="B12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2" spans="1:2" x14ac:dyDescent="0.25">
      <c r="A1232" s="1" t="str">
        <f t="shared" si="19"/>
        <v/>
      </c>
      <c r="B12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3" spans="1:2" x14ac:dyDescent="0.25">
      <c r="A1233" s="1" t="str">
        <f t="shared" si="19"/>
        <v/>
      </c>
      <c r="B12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4" spans="1:2" x14ac:dyDescent="0.25">
      <c r="A1234" s="1" t="str">
        <f t="shared" si="19"/>
        <v/>
      </c>
      <c r="B12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5" spans="1:2" x14ac:dyDescent="0.25">
      <c r="A1235" s="1" t="str">
        <f t="shared" si="19"/>
        <v/>
      </c>
      <c r="B12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6" spans="1:2" x14ac:dyDescent="0.25">
      <c r="A1236" s="1" t="str">
        <f t="shared" si="19"/>
        <v/>
      </c>
      <c r="B12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7" spans="1:2" x14ac:dyDescent="0.25">
      <c r="A1237" s="1" t="str">
        <f t="shared" si="19"/>
        <v/>
      </c>
      <c r="B12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8" spans="1:2" x14ac:dyDescent="0.25">
      <c r="A1238" s="1" t="str">
        <f t="shared" si="19"/>
        <v/>
      </c>
      <c r="B12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39" spans="1:2" x14ac:dyDescent="0.25">
      <c r="A1239" s="1" t="str">
        <f t="shared" si="19"/>
        <v/>
      </c>
      <c r="B12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0" spans="1:2" x14ac:dyDescent="0.25">
      <c r="A1240" s="1" t="str">
        <f t="shared" si="19"/>
        <v/>
      </c>
      <c r="B12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1" spans="1:2" x14ac:dyDescent="0.25">
      <c r="A1241" s="1" t="str">
        <f t="shared" si="19"/>
        <v/>
      </c>
      <c r="B12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2" spans="1:2" x14ac:dyDescent="0.25">
      <c r="A1242" s="1" t="str">
        <f t="shared" si="19"/>
        <v/>
      </c>
      <c r="B12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3" spans="1:2" x14ac:dyDescent="0.25">
      <c r="A1243" s="1" t="str">
        <f t="shared" si="19"/>
        <v/>
      </c>
      <c r="B12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4" spans="1:2" x14ac:dyDescent="0.25">
      <c r="A1244" s="1" t="str">
        <f t="shared" si="19"/>
        <v/>
      </c>
      <c r="B12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5" spans="1:2" x14ac:dyDescent="0.25">
      <c r="A1245" s="1" t="str">
        <f t="shared" si="19"/>
        <v/>
      </c>
      <c r="B12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6" spans="1:2" x14ac:dyDescent="0.25">
      <c r="A1246" s="1" t="str">
        <f t="shared" si="19"/>
        <v/>
      </c>
      <c r="B12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7" spans="1:2" x14ac:dyDescent="0.25">
      <c r="A1247" s="1" t="str">
        <f t="shared" si="19"/>
        <v/>
      </c>
      <c r="B12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8" spans="1:2" x14ac:dyDescent="0.25">
      <c r="A1248" s="1" t="str">
        <f t="shared" si="19"/>
        <v/>
      </c>
      <c r="B12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49" spans="1:2" x14ac:dyDescent="0.25">
      <c r="A1249" s="1" t="str">
        <f t="shared" si="19"/>
        <v/>
      </c>
      <c r="B12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0" spans="1:2" x14ac:dyDescent="0.25">
      <c r="A1250" s="1" t="str">
        <f t="shared" si="19"/>
        <v/>
      </c>
      <c r="B12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1" spans="1:2" x14ac:dyDescent="0.25">
      <c r="A1251" s="1" t="str">
        <f t="shared" si="19"/>
        <v/>
      </c>
      <c r="B12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2" spans="1:2" x14ac:dyDescent="0.25">
      <c r="A1252" s="1" t="str">
        <f t="shared" si="19"/>
        <v/>
      </c>
      <c r="B12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3" spans="1:2" x14ac:dyDescent="0.25">
      <c r="A1253" s="1" t="str">
        <f t="shared" si="19"/>
        <v/>
      </c>
      <c r="B12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4" spans="1:2" x14ac:dyDescent="0.25">
      <c r="A1254" s="1" t="str">
        <f t="shared" si="19"/>
        <v/>
      </c>
      <c r="B12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5" spans="1:2" x14ac:dyDescent="0.25">
      <c r="A1255" s="1" t="str">
        <f t="shared" si="19"/>
        <v/>
      </c>
      <c r="B12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6" spans="1:2" x14ac:dyDescent="0.25">
      <c r="A1256" s="1" t="str">
        <f t="shared" si="19"/>
        <v/>
      </c>
      <c r="B12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7" spans="1:2" x14ac:dyDescent="0.25">
      <c r="A1257" s="1" t="str">
        <f t="shared" si="19"/>
        <v/>
      </c>
      <c r="B12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8" spans="1:2" x14ac:dyDescent="0.25">
      <c r="A1258" s="1" t="str">
        <f t="shared" si="19"/>
        <v/>
      </c>
      <c r="B12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59" spans="1:2" x14ac:dyDescent="0.25">
      <c r="A1259" s="1" t="str">
        <f t="shared" si="19"/>
        <v/>
      </c>
      <c r="B12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0" spans="1:2" x14ac:dyDescent="0.25">
      <c r="A1260" s="1" t="str">
        <f t="shared" si="19"/>
        <v/>
      </c>
      <c r="B12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1" spans="1:2" x14ac:dyDescent="0.25">
      <c r="A1261" s="1" t="str">
        <f t="shared" si="19"/>
        <v/>
      </c>
      <c r="B12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2" spans="1:2" x14ac:dyDescent="0.25">
      <c r="A1262" s="1" t="str">
        <f t="shared" si="19"/>
        <v/>
      </c>
      <c r="B12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3" spans="1:2" x14ac:dyDescent="0.25">
      <c r="A1263" s="1" t="str">
        <f t="shared" si="19"/>
        <v/>
      </c>
      <c r="B12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4" spans="1:2" x14ac:dyDescent="0.25">
      <c r="A1264" s="1" t="str">
        <f t="shared" si="19"/>
        <v/>
      </c>
      <c r="B12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5" spans="1:2" x14ac:dyDescent="0.25">
      <c r="A1265" s="1" t="str">
        <f t="shared" si="19"/>
        <v/>
      </c>
      <c r="B12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6" spans="1:2" x14ac:dyDescent="0.25">
      <c r="A1266" s="1" t="str">
        <f t="shared" si="19"/>
        <v/>
      </c>
      <c r="B12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7" spans="1:2" x14ac:dyDescent="0.25">
      <c r="A1267" s="1" t="str">
        <f t="shared" si="19"/>
        <v/>
      </c>
      <c r="B12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8" spans="1:2" x14ac:dyDescent="0.25">
      <c r="A1268" s="1" t="str">
        <f t="shared" si="19"/>
        <v/>
      </c>
      <c r="B12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69" spans="1:2" x14ac:dyDescent="0.25">
      <c r="A1269" s="1" t="str">
        <f t="shared" si="19"/>
        <v/>
      </c>
      <c r="B12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0" spans="1:2" x14ac:dyDescent="0.25">
      <c r="A1270" s="1" t="str">
        <f t="shared" si="19"/>
        <v/>
      </c>
      <c r="B12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1" spans="1:2" x14ac:dyDescent="0.25">
      <c r="A1271" s="1" t="str">
        <f t="shared" si="19"/>
        <v/>
      </c>
      <c r="B12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2" spans="1:2" x14ac:dyDescent="0.25">
      <c r="A1272" s="1" t="str">
        <f t="shared" si="19"/>
        <v/>
      </c>
      <c r="B12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3" spans="1:2" x14ac:dyDescent="0.25">
      <c r="A1273" s="1" t="str">
        <f t="shared" si="19"/>
        <v/>
      </c>
      <c r="B12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4" spans="1:2" x14ac:dyDescent="0.25">
      <c r="A1274" s="1" t="str">
        <f t="shared" si="19"/>
        <v/>
      </c>
      <c r="B12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5" spans="1:2" x14ac:dyDescent="0.25">
      <c r="A1275" s="1" t="str">
        <f t="shared" si="19"/>
        <v/>
      </c>
      <c r="B12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6" spans="1:2" x14ac:dyDescent="0.25">
      <c r="A1276" s="1" t="str">
        <f t="shared" si="19"/>
        <v/>
      </c>
      <c r="B12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7" spans="1:2" x14ac:dyDescent="0.25">
      <c r="A1277" s="1" t="str">
        <f t="shared" si="19"/>
        <v/>
      </c>
      <c r="B12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8" spans="1:2" x14ac:dyDescent="0.25">
      <c r="A1278" s="1" t="str">
        <f t="shared" si="19"/>
        <v/>
      </c>
      <c r="B12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79" spans="1:2" x14ac:dyDescent="0.25">
      <c r="A1279" s="1" t="str">
        <f t="shared" si="19"/>
        <v/>
      </c>
      <c r="B12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0" spans="1:2" x14ac:dyDescent="0.25">
      <c r="A1280" s="1" t="str">
        <f t="shared" si="19"/>
        <v/>
      </c>
      <c r="B12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1" spans="1:2" x14ac:dyDescent="0.25">
      <c r="A1281" s="1" t="str">
        <f t="shared" si="19"/>
        <v/>
      </c>
      <c r="B12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2" spans="1:2" x14ac:dyDescent="0.25">
      <c r="A1282" s="1" t="str">
        <f t="shared" ref="A1282:A1345" si="20">IFERROR(LEFT(RIGHT(C1282,LEN(C1282)-SEARCH("@",C1282)),SEARCH("/",RIGHT(C1282,LEN(C1282)-SEARCH("@",C1282)-1))),"")</f>
        <v/>
      </c>
      <c r="B12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3" spans="1:2" x14ac:dyDescent="0.25">
      <c r="A1283" s="1" t="str">
        <f t="shared" si="20"/>
        <v/>
      </c>
      <c r="B12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4" spans="1:2" x14ac:dyDescent="0.25">
      <c r="A1284" s="1" t="str">
        <f t="shared" si="20"/>
        <v/>
      </c>
      <c r="B12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5" spans="1:2" x14ac:dyDescent="0.25">
      <c r="A1285" s="1" t="str">
        <f t="shared" si="20"/>
        <v/>
      </c>
      <c r="B12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6" spans="1:2" x14ac:dyDescent="0.25">
      <c r="A1286" s="1" t="str">
        <f t="shared" si="20"/>
        <v/>
      </c>
      <c r="B12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7" spans="1:2" x14ac:dyDescent="0.25">
      <c r="A1287" s="1" t="str">
        <f t="shared" si="20"/>
        <v/>
      </c>
      <c r="B12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8" spans="1:2" x14ac:dyDescent="0.25">
      <c r="A1288" s="1" t="str">
        <f t="shared" si="20"/>
        <v/>
      </c>
      <c r="B12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89" spans="1:2" x14ac:dyDescent="0.25">
      <c r="A1289" s="1" t="str">
        <f t="shared" si="20"/>
        <v/>
      </c>
      <c r="B12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0" spans="1:2" x14ac:dyDescent="0.25">
      <c r="A1290" s="1" t="str">
        <f t="shared" si="20"/>
        <v/>
      </c>
      <c r="B12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1" spans="1:2" x14ac:dyDescent="0.25">
      <c r="A1291" s="1" t="str">
        <f t="shared" si="20"/>
        <v/>
      </c>
      <c r="B12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2" spans="1:2" x14ac:dyDescent="0.25">
      <c r="A1292" s="1" t="str">
        <f t="shared" si="20"/>
        <v/>
      </c>
      <c r="B12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3" spans="1:2" x14ac:dyDescent="0.25">
      <c r="A1293" s="1" t="str">
        <f t="shared" si="20"/>
        <v/>
      </c>
      <c r="B12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4" spans="1:2" x14ac:dyDescent="0.25">
      <c r="A1294" s="1" t="str">
        <f t="shared" si="20"/>
        <v/>
      </c>
      <c r="B12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5" spans="1:2" x14ac:dyDescent="0.25">
      <c r="A1295" s="1" t="str">
        <f t="shared" si="20"/>
        <v/>
      </c>
      <c r="B12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6" spans="1:2" x14ac:dyDescent="0.25">
      <c r="A1296" s="1" t="str">
        <f t="shared" si="20"/>
        <v/>
      </c>
      <c r="B12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7" spans="1:2" x14ac:dyDescent="0.25">
      <c r="A1297" s="1" t="str">
        <f t="shared" si="20"/>
        <v/>
      </c>
      <c r="B12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8" spans="1:2" x14ac:dyDescent="0.25">
      <c r="A1298" s="1" t="str">
        <f t="shared" si="20"/>
        <v/>
      </c>
      <c r="B12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299" spans="1:2" x14ac:dyDescent="0.25">
      <c r="A1299" s="1" t="str">
        <f t="shared" si="20"/>
        <v/>
      </c>
      <c r="B12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0" spans="1:2" x14ac:dyDescent="0.25">
      <c r="A1300" s="1" t="str">
        <f t="shared" si="20"/>
        <v/>
      </c>
      <c r="B13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1" spans="1:2" x14ac:dyDescent="0.25">
      <c r="A1301" s="1" t="str">
        <f t="shared" si="20"/>
        <v/>
      </c>
      <c r="B13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2" spans="1:2" x14ac:dyDescent="0.25">
      <c r="A1302" s="1" t="str">
        <f t="shared" si="20"/>
        <v/>
      </c>
      <c r="B13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3" spans="1:2" x14ac:dyDescent="0.25">
      <c r="A1303" s="1" t="str">
        <f t="shared" si="20"/>
        <v/>
      </c>
      <c r="B13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4" spans="1:2" x14ac:dyDescent="0.25">
      <c r="A1304" s="1" t="str">
        <f t="shared" si="20"/>
        <v/>
      </c>
      <c r="B13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5" spans="1:2" x14ac:dyDescent="0.25">
      <c r="A1305" s="1" t="str">
        <f t="shared" si="20"/>
        <v/>
      </c>
      <c r="B13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6" spans="1:2" x14ac:dyDescent="0.25">
      <c r="A1306" s="1" t="str">
        <f t="shared" si="20"/>
        <v/>
      </c>
      <c r="B13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7" spans="1:2" x14ac:dyDescent="0.25">
      <c r="A1307" s="1" t="str">
        <f t="shared" si="20"/>
        <v/>
      </c>
      <c r="B13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8" spans="1:2" x14ac:dyDescent="0.25">
      <c r="A1308" s="1" t="str">
        <f t="shared" si="20"/>
        <v/>
      </c>
      <c r="B13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09" spans="1:2" x14ac:dyDescent="0.25">
      <c r="A1309" s="1" t="str">
        <f t="shared" si="20"/>
        <v/>
      </c>
      <c r="B13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0" spans="1:2" x14ac:dyDescent="0.25">
      <c r="A1310" s="1" t="str">
        <f t="shared" si="20"/>
        <v/>
      </c>
      <c r="B13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1" spans="1:2" x14ac:dyDescent="0.25">
      <c r="A1311" s="1" t="str">
        <f t="shared" si="20"/>
        <v/>
      </c>
      <c r="B13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2" spans="1:2" x14ac:dyDescent="0.25">
      <c r="A1312" s="1" t="str">
        <f t="shared" si="20"/>
        <v/>
      </c>
      <c r="B13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3" spans="1:2" x14ac:dyDescent="0.25">
      <c r="A1313" s="1" t="str">
        <f t="shared" si="20"/>
        <v/>
      </c>
      <c r="B13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4" spans="1:2" x14ac:dyDescent="0.25">
      <c r="A1314" s="1" t="str">
        <f t="shared" si="20"/>
        <v/>
      </c>
      <c r="B13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5" spans="1:2" x14ac:dyDescent="0.25">
      <c r="A1315" s="1" t="str">
        <f t="shared" si="20"/>
        <v/>
      </c>
      <c r="B13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6" spans="1:2" x14ac:dyDescent="0.25">
      <c r="A1316" s="1" t="str">
        <f t="shared" si="20"/>
        <v/>
      </c>
      <c r="B13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7" spans="1:2" x14ac:dyDescent="0.25">
      <c r="A1317" s="1" t="str">
        <f t="shared" si="20"/>
        <v/>
      </c>
      <c r="B13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8" spans="1:2" x14ac:dyDescent="0.25">
      <c r="A1318" s="1" t="str">
        <f t="shared" si="20"/>
        <v/>
      </c>
      <c r="B13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19" spans="1:2" x14ac:dyDescent="0.25">
      <c r="A1319" s="1" t="str">
        <f t="shared" si="20"/>
        <v/>
      </c>
      <c r="B13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0" spans="1:2" x14ac:dyDescent="0.25">
      <c r="A1320" s="1" t="str">
        <f t="shared" si="20"/>
        <v/>
      </c>
      <c r="B13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1" spans="1:2" x14ac:dyDescent="0.25">
      <c r="A1321" s="1" t="str">
        <f t="shared" si="20"/>
        <v/>
      </c>
      <c r="B13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2" spans="1:2" x14ac:dyDescent="0.25">
      <c r="A1322" s="1" t="str">
        <f t="shared" si="20"/>
        <v/>
      </c>
      <c r="B13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3" spans="1:2" x14ac:dyDescent="0.25">
      <c r="A1323" s="1" t="str">
        <f t="shared" si="20"/>
        <v/>
      </c>
      <c r="B13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4" spans="1:2" x14ac:dyDescent="0.25">
      <c r="A1324" s="1" t="str">
        <f t="shared" si="20"/>
        <v/>
      </c>
      <c r="B13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5" spans="1:2" x14ac:dyDescent="0.25">
      <c r="A1325" s="1" t="str">
        <f t="shared" si="20"/>
        <v/>
      </c>
      <c r="B13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6" spans="1:2" x14ac:dyDescent="0.25">
      <c r="A1326" s="1" t="str">
        <f t="shared" si="20"/>
        <v/>
      </c>
      <c r="B13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7" spans="1:2" x14ac:dyDescent="0.25">
      <c r="A1327" s="1" t="str">
        <f t="shared" si="20"/>
        <v/>
      </c>
      <c r="B13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8" spans="1:2" x14ac:dyDescent="0.25">
      <c r="A1328" s="1" t="str">
        <f t="shared" si="20"/>
        <v/>
      </c>
      <c r="B13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29" spans="1:2" x14ac:dyDescent="0.25">
      <c r="A1329" s="1" t="str">
        <f t="shared" si="20"/>
        <v/>
      </c>
      <c r="B13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0" spans="1:2" x14ac:dyDescent="0.25">
      <c r="A1330" s="1" t="str">
        <f t="shared" si="20"/>
        <v/>
      </c>
      <c r="B13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1" spans="1:2" x14ac:dyDescent="0.25">
      <c r="A1331" s="1" t="str">
        <f t="shared" si="20"/>
        <v/>
      </c>
      <c r="B13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2" spans="1:2" x14ac:dyDescent="0.25">
      <c r="A1332" s="1" t="str">
        <f t="shared" si="20"/>
        <v/>
      </c>
      <c r="B13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3" spans="1:2" x14ac:dyDescent="0.25">
      <c r="A1333" s="1" t="str">
        <f t="shared" si="20"/>
        <v/>
      </c>
      <c r="B13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4" spans="1:2" x14ac:dyDescent="0.25">
      <c r="A1334" s="1" t="str">
        <f t="shared" si="20"/>
        <v/>
      </c>
      <c r="B13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5" spans="1:2" x14ac:dyDescent="0.25">
      <c r="A1335" s="1" t="str">
        <f t="shared" si="20"/>
        <v/>
      </c>
      <c r="B13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6" spans="1:2" x14ac:dyDescent="0.25">
      <c r="A1336" s="1" t="str">
        <f t="shared" si="20"/>
        <v/>
      </c>
      <c r="B13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7" spans="1:2" x14ac:dyDescent="0.25">
      <c r="A1337" s="1" t="str">
        <f t="shared" si="20"/>
        <v/>
      </c>
      <c r="B13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8" spans="1:2" x14ac:dyDescent="0.25">
      <c r="A1338" s="1" t="str">
        <f t="shared" si="20"/>
        <v/>
      </c>
      <c r="B13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39" spans="1:2" x14ac:dyDescent="0.25">
      <c r="A1339" s="1" t="str">
        <f t="shared" si="20"/>
        <v/>
      </c>
      <c r="B13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0" spans="1:2" x14ac:dyDescent="0.25">
      <c r="A1340" s="1" t="str">
        <f t="shared" si="20"/>
        <v/>
      </c>
      <c r="B13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1" spans="1:2" x14ac:dyDescent="0.25">
      <c r="A1341" s="1" t="str">
        <f t="shared" si="20"/>
        <v/>
      </c>
      <c r="B13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2" spans="1:2" x14ac:dyDescent="0.25">
      <c r="A1342" s="1" t="str">
        <f t="shared" si="20"/>
        <v/>
      </c>
      <c r="B13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3" spans="1:2" x14ac:dyDescent="0.25">
      <c r="A1343" s="1" t="str">
        <f t="shared" si="20"/>
        <v/>
      </c>
      <c r="B13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4" spans="1:2" x14ac:dyDescent="0.25">
      <c r="A1344" s="1" t="str">
        <f t="shared" si="20"/>
        <v/>
      </c>
      <c r="B13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5" spans="1:2" x14ac:dyDescent="0.25">
      <c r="A1345" s="1" t="str">
        <f t="shared" si="20"/>
        <v/>
      </c>
      <c r="B13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6" spans="1:2" x14ac:dyDescent="0.25">
      <c r="A1346" s="1" t="str">
        <f t="shared" ref="A1346:A1409" si="21">IFERROR(LEFT(RIGHT(C1346,LEN(C1346)-SEARCH("@",C1346)),SEARCH("/",RIGHT(C1346,LEN(C1346)-SEARCH("@",C1346)-1))),"")</f>
        <v/>
      </c>
      <c r="B13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7" spans="1:2" x14ac:dyDescent="0.25">
      <c r="A1347" s="1" t="str">
        <f t="shared" si="21"/>
        <v/>
      </c>
      <c r="B13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8" spans="1:2" x14ac:dyDescent="0.25">
      <c r="A1348" s="1" t="str">
        <f t="shared" si="21"/>
        <v/>
      </c>
      <c r="B13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49" spans="1:2" x14ac:dyDescent="0.25">
      <c r="A1349" s="1" t="str">
        <f t="shared" si="21"/>
        <v/>
      </c>
      <c r="B13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0" spans="1:2" x14ac:dyDescent="0.25">
      <c r="A1350" s="1" t="str">
        <f t="shared" si="21"/>
        <v/>
      </c>
      <c r="B13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1" spans="1:2" x14ac:dyDescent="0.25">
      <c r="A1351" s="1" t="str">
        <f t="shared" si="21"/>
        <v/>
      </c>
      <c r="B13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2" spans="1:2" x14ac:dyDescent="0.25">
      <c r="A1352" s="1" t="str">
        <f t="shared" si="21"/>
        <v/>
      </c>
      <c r="B13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3" spans="1:2" x14ac:dyDescent="0.25">
      <c r="A1353" s="1" t="str">
        <f t="shared" si="21"/>
        <v/>
      </c>
      <c r="B13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4" spans="1:2" x14ac:dyDescent="0.25">
      <c r="A1354" s="1" t="str">
        <f t="shared" si="21"/>
        <v/>
      </c>
      <c r="B13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5" spans="1:2" x14ac:dyDescent="0.25">
      <c r="A1355" s="1" t="str">
        <f t="shared" si="21"/>
        <v/>
      </c>
      <c r="B13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6" spans="1:2" x14ac:dyDescent="0.25">
      <c r="A1356" s="1" t="str">
        <f t="shared" si="21"/>
        <v/>
      </c>
      <c r="B13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7" spans="1:2" x14ac:dyDescent="0.25">
      <c r="A1357" s="1" t="str">
        <f t="shared" si="21"/>
        <v/>
      </c>
      <c r="B13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8" spans="1:2" x14ac:dyDescent="0.25">
      <c r="A1358" s="1" t="str">
        <f t="shared" si="21"/>
        <v/>
      </c>
      <c r="B13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59" spans="1:2" x14ac:dyDescent="0.25">
      <c r="A1359" s="1" t="str">
        <f t="shared" si="21"/>
        <v/>
      </c>
      <c r="B13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0" spans="1:2" x14ac:dyDescent="0.25">
      <c r="A1360" s="1" t="str">
        <f t="shared" si="21"/>
        <v/>
      </c>
      <c r="B13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1" spans="1:2" x14ac:dyDescent="0.25">
      <c r="A1361" s="1" t="str">
        <f t="shared" si="21"/>
        <v/>
      </c>
      <c r="B13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2" spans="1:2" x14ac:dyDescent="0.25">
      <c r="A1362" s="1" t="str">
        <f t="shared" si="21"/>
        <v/>
      </c>
      <c r="B13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3" spans="1:2" x14ac:dyDescent="0.25">
      <c r="A1363" s="1" t="str">
        <f t="shared" si="21"/>
        <v/>
      </c>
      <c r="B13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4" spans="1:2" x14ac:dyDescent="0.25">
      <c r="A1364" s="1" t="str">
        <f t="shared" si="21"/>
        <v/>
      </c>
      <c r="B13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5" spans="1:2" x14ac:dyDescent="0.25">
      <c r="A1365" s="1" t="str">
        <f t="shared" si="21"/>
        <v/>
      </c>
      <c r="B13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6" spans="1:2" x14ac:dyDescent="0.25">
      <c r="A1366" s="1" t="str">
        <f t="shared" si="21"/>
        <v/>
      </c>
      <c r="B13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7" spans="1:2" x14ac:dyDescent="0.25">
      <c r="A1367" s="1" t="str">
        <f t="shared" si="21"/>
        <v/>
      </c>
      <c r="B13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8" spans="1:2" x14ac:dyDescent="0.25">
      <c r="A1368" s="1" t="str">
        <f t="shared" si="21"/>
        <v/>
      </c>
      <c r="B13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69" spans="1:2" x14ac:dyDescent="0.25">
      <c r="A1369" s="1" t="str">
        <f t="shared" si="21"/>
        <v/>
      </c>
      <c r="B13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0" spans="1:2" x14ac:dyDescent="0.25">
      <c r="A1370" s="1" t="str">
        <f t="shared" si="21"/>
        <v/>
      </c>
      <c r="B13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1" spans="1:2" x14ac:dyDescent="0.25">
      <c r="A1371" s="1" t="str">
        <f t="shared" si="21"/>
        <v/>
      </c>
      <c r="B13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2" spans="1:2" x14ac:dyDescent="0.25">
      <c r="A1372" s="1" t="str">
        <f t="shared" si="21"/>
        <v/>
      </c>
      <c r="B13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3" spans="1:2" x14ac:dyDescent="0.25">
      <c r="A1373" s="1" t="str">
        <f t="shared" si="21"/>
        <v/>
      </c>
      <c r="B13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4" spans="1:2" x14ac:dyDescent="0.25">
      <c r="A1374" s="1" t="str">
        <f t="shared" si="21"/>
        <v/>
      </c>
      <c r="B13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5" spans="1:2" x14ac:dyDescent="0.25">
      <c r="A1375" s="1" t="str">
        <f t="shared" si="21"/>
        <v/>
      </c>
      <c r="B13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6" spans="1:2" x14ac:dyDescent="0.25">
      <c r="A1376" s="1" t="str">
        <f t="shared" si="21"/>
        <v/>
      </c>
      <c r="B13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7" spans="1:2" x14ac:dyDescent="0.25">
      <c r="A1377" s="1" t="str">
        <f t="shared" si="21"/>
        <v/>
      </c>
      <c r="B13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8" spans="1:2" x14ac:dyDescent="0.25">
      <c r="A1378" s="1" t="str">
        <f t="shared" si="21"/>
        <v/>
      </c>
      <c r="B13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79" spans="1:2" x14ac:dyDescent="0.25">
      <c r="A1379" s="1" t="str">
        <f t="shared" si="21"/>
        <v/>
      </c>
      <c r="B13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0" spans="1:2" x14ac:dyDescent="0.25">
      <c r="A1380" s="1" t="str">
        <f t="shared" si="21"/>
        <v/>
      </c>
      <c r="B13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1" spans="1:2" x14ac:dyDescent="0.25">
      <c r="A1381" s="1" t="str">
        <f t="shared" si="21"/>
        <v/>
      </c>
      <c r="B13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2" spans="1:2" x14ac:dyDescent="0.25">
      <c r="A1382" s="1" t="str">
        <f t="shared" si="21"/>
        <v/>
      </c>
      <c r="B13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3" spans="1:2" x14ac:dyDescent="0.25">
      <c r="A1383" s="1" t="str">
        <f t="shared" si="21"/>
        <v/>
      </c>
      <c r="B13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4" spans="1:2" x14ac:dyDescent="0.25">
      <c r="A1384" s="1" t="str">
        <f t="shared" si="21"/>
        <v/>
      </c>
      <c r="B13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5" spans="1:2" x14ac:dyDescent="0.25">
      <c r="A1385" s="1" t="str">
        <f t="shared" si="21"/>
        <v/>
      </c>
      <c r="B13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6" spans="1:2" x14ac:dyDescent="0.25">
      <c r="A1386" s="1" t="str">
        <f t="shared" si="21"/>
        <v/>
      </c>
      <c r="B13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7" spans="1:2" x14ac:dyDescent="0.25">
      <c r="A1387" s="1" t="str">
        <f t="shared" si="21"/>
        <v/>
      </c>
      <c r="B13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8" spans="1:2" x14ac:dyDescent="0.25">
      <c r="A1388" s="1" t="str">
        <f t="shared" si="21"/>
        <v/>
      </c>
      <c r="B13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89" spans="1:2" x14ac:dyDescent="0.25">
      <c r="A1389" s="1" t="str">
        <f t="shared" si="21"/>
        <v/>
      </c>
      <c r="B13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0" spans="1:2" x14ac:dyDescent="0.25">
      <c r="A1390" s="1" t="str">
        <f t="shared" si="21"/>
        <v/>
      </c>
      <c r="B13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1" spans="1:2" x14ac:dyDescent="0.25">
      <c r="A1391" s="1" t="str">
        <f t="shared" si="21"/>
        <v/>
      </c>
      <c r="B13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2" spans="1:2" x14ac:dyDescent="0.25">
      <c r="A1392" s="1" t="str">
        <f t="shared" si="21"/>
        <v/>
      </c>
      <c r="B13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3" spans="1:2" x14ac:dyDescent="0.25">
      <c r="A1393" s="1" t="str">
        <f t="shared" si="21"/>
        <v/>
      </c>
      <c r="B13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4" spans="1:2" x14ac:dyDescent="0.25">
      <c r="A1394" s="1" t="str">
        <f t="shared" si="21"/>
        <v/>
      </c>
      <c r="B13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5" spans="1:2" x14ac:dyDescent="0.25">
      <c r="A1395" s="1" t="str">
        <f t="shared" si="21"/>
        <v/>
      </c>
      <c r="B13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6" spans="1:2" x14ac:dyDescent="0.25">
      <c r="A1396" s="1" t="str">
        <f t="shared" si="21"/>
        <v/>
      </c>
      <c r="B13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7" spans="1:2" x14ac:dyDescent="0.25">
      <c r="A1397" s="1" t="str">
        <f t="shared" si="21"/>
        <v/>
      </c>
      <c r="B13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8" spans="1:2" x14ac:dyDescent="0.25">
      <c r="A1398" s="1" t="str">
        <f t="shared" si="21"/>
        <v/>
      </c>
      <c r="B13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399" spans="1:2" x14ac:dyDescent="0.25">
      <c r="A1399" s="1" t="str">
        <f t="shared" si="21"/>
        <v/>
      </c>
      <c r="B13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0" spans="1:2" x14ac:dyDescent="0.25">
      <c r="A1400" s="1" t="str">
        <f t="shared" si="21"/>
        <v/>
      </c>
      <c r="B14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1" spans="1:2" x14ac:dyDescent="0.25">
      <c r="A1401" s="1" t="str">
        <f t="shared" si="21"/>
        <v/>
      </c>
      <c r="B14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2" spans="1:2" x14ac:dyDescent="0.25">
      <c r="A1402" s="1" t="str">
        <f t="shared" si="21"/>
        <v/>
      </c>
      <c r="B14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3" spans="1:2" x14ac:dyDescent="0.25">
      <c r="A1403" s="1" t="str">
        <f t="shared" si="21"/>
        <v/>
      </c>
      <c r="B14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4" spans="1:2" x14ac:dyDescent="0.25">
      <c r="A1404" s="1" t="str">
        <f t="shared" si="21"/>
        <v/>
      </c>
      <c r="B14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5" spans="1:2" x14ac:dyDescent="0.25">
      <c r="A1405" s="1" t="str">
        <f t="shared" si="21"/>
        <v/>
      </c>
      <c r="B14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6" spans="1:2" x14ac:dyDescent="0.25">
      <c r="A1406" s="1" t="str">
        <f t="shared" si="21"/>
        <v/>
      </c>
      <c r="B14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7" spans="1:2" x14ac:dyDescent="0.25">
      <c r="A1407" s="1" t="str">
        <f t="shared" si="21"/>
        <v/>
      </c>
      <c r="B14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8" spans="1:2" x14ac:dyDescent="0.25">
      <c r="A1408" s="1" t="str">
        <f t="shared" si="21"/>
        <v/>
      </c>
      <c r="B14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09" spans="1:2" x14ac:dyDescent="0.25">
      <c r="A1409" s="1" t="str">
        <f t="shared" si="21"/>
        <v/>
      </c>
      <c r="B14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0" spans="1:2" x14ac:dyDescent="0.25">
      <c r="A1410" s="1" t="str">
        <f t="shared" ref="A1410:A1473" si="22">IFERROR(LEFT(RIGHT(C1410,LEN(C1410)-SEARCH("@",C1410)),SEARCH("/",RIGHT(C1410,LEN(C1410)-SEARCH("@",C1410)-1))),"")</f>
        <v/>
      </c>
      <c r="B14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1" spans="1:2" x14ac:dyDescent="0.25">
      <c r="A1411" s="1" t="str">
        <f t="shared" si="22"/>
        <v/>
      </c>
      <c r="B14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2" spans="1:2" x14ac:dyDescent="0.25">
      <c r="A1412" s="1" t="str">
        <f t="shared" si="22"/>
        <v/>
      </c>
      <c r="B14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3" spans="1:2" x14ac:dyDescent="0.25">
      <c r="A1413" s="1" t="str">
        <f t="shared" si="22"/>
        <v/>
      </c>
      <c r="B14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4" spans="1:2" x14ac:dyDescent="0.25">
      <c r="A1414" s="1" t="str">
        <f t="shared" si="22"/>
        <v/>
      </c>
      <c r="B14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5" spans="1:2" x14ac:dyDescent="0.25">
      <c r="A1415" s="1" t="str">
        <f t="shared" si="22"/>
        <v/>
      </c>
      <c r="B14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6" spans="1:2" x14ac:dyDescent="0.25">
      <c r="A1416" s="1" t="str">
        <f t="shared" si="22"/>
        <v/>
      </c>
      <c r="B14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7" spans="1:2" x14ac:dyDescent="0.25">
      <c r="A1417" s="1" t="str">
        <f t="shared" si="22"/>
        <v/>
      </c>
      <c r="B14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8" spans="1:2" x14ac:dyDescent="0.25">
      <c r="A1418" s="1" t="str">
        <f t="shared" si="22"/>
        <v/>
      </c>
      <c r="B14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19" spans="1:2" x14ac:dyDescent="0.25">
      <c r="A1419" s="1" t="str">
        <f t="shared" si="22"/>
        <v/>
      </c>
      <c r="B14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0" spans="1:2" x14ac:dyDescent="0.25">
      <c r="A1420" s="1" t="str">
        <f t="shared" si="22"/>
        <v/>
      </c>
      <c r="B14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1" spans="1:2" x14ac:dyDescent="0.25">
      <c r="A1421" s="1" t="str">
        <f t="shared" si="22"/>
        <v/>
      </c>
      <c r="B14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2" spans="1:2" x14ac:dyDescent="0.25">
      <c r="A1422" s="1" t="str">
        <f t="shared" si="22"/>
        <v/>
      </c>
      <c r="B14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3" spans="1:2" x14ac:dyDescent="0.25">
      <c r="A1423" s="1" t="str">
        <f t="shared" si="22"/>
        <v/>
      </c>
      <c r="B14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4" spans="1:2" x14ac:dyDescent="0.25">
      <c r="A1424" s="1" t="str">
        <f t="shared" si="22"/>
        <v/>
      </c>
      <c r="B14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5" spans="1:2" x14ac:dyDescent="0.25">
      <c r="A1425" s="1" t="str">
        <f t="shared" si="22"/>
        <v/>
      </c>
      <c r="B14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6" spans="1:2" x14ac:dyDescent="0.25">
      <c r="A1426" s="1" t="str">
        <f t="shared" si="22"/>
        <v/>
      </c>
      <c r="B14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7" spans="1:2" x14ac:dyDescent="0.25">
      <c r="A1427" s="1" t="str">
        <f t="shared" si="22"/>
        <v/>
      </c>
      <c r="B14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8" spans="1:2" x14ac:dyDescent="0.25">
      <c r="A1428" s="1" t="str">
        <f t="shared" si="22"/>
        <v/>
      </c>
      <c r="B14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29" spans="1:2" x14ac:dyDescent="0.25">
      <c r="A1429" s="1" t="str">
        <f t="shared" si="22"/>
        <v/>
      </c>
      <c r="B14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0" spans="1:2" x14ac:dyDescent="0.25">
      <c r="A1430" s="1" t="str">
        <f t="shared" si="22"/>
        <v/>
      </c>
      <c r="B14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1" spans="1:2" x14ac:dyDescent="0.25">
      <c r="A1431" s="1" t="str">
        <f t="shared" si="22"/>
        <v/>
      </c>
      <c r="B14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2" spans="1:2" x14ac:dyDescent="0.25">
      <c r="A1432" s="1" t="str">
        <f t="shared" si="22"/>
        <v/>
      </c>
      <c r="B14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3" spans="1:2" x14ac:dyDescent="0.25">
      <c r="A1433" s="1" t="str">
        <f t="shared" si="22"/>
        <v/>
      </c>
      <c r="B14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4" spans="1:2" x14ac:dyDescent="0.25">
      <c r="A1434" s="1" t="str">
        <f t="shared" si="22"/>
        <v/>
      </c>
      <c r="B14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5" spans="1:2" x14ac:dyDescent="0.25">
      <c r="A1435" s="1" t="str">
        <f t="shared" si="22"/>
        <v/>
      </c>
      <c r="B14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6" spans="1:2" x14ac:dyDescent="0.25">
      <c r="A1436" s="1" t="str">
        <f t="shared" si="22"/>
        <v/>
      </c>
      <c r="B14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7" spans="1:2" x14ac:dyDescent="0.25">
      <c r="A1437" s="1" t="str">
        <f t="shared" si="22"/>
        <v/>
      </c>
      <c r="B14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8" spans="1:2" x14ac:dyDescent="0.25">
      <c r="A1438" s="1" t="str">
        <f t="shared" si="22"/>
        <v/>
      </c>
      <c r="B14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39" spans="1:2" x14ac:dyDescent="0.25">
      <c r="A1439" s="1" t="str">
        <f t="shared" si="22"/>
        <v/>
      </c>
      <c r="B14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0" spans="1:2" x14ac:dyDescent="0.25">
      <c r="A1440" s="1" t="str">
        <f t="shared" si="22"/>
        <v/>
      </c>
      <c r="B14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1" spans="1:2" x14ac:dyDescent="0.25">
      <c r="A1441" s="1" t="str">
        <f t="shared" si="22"/>
        <v/>
      </c>
      <c r="B14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2" spans="1:2" x14ac:dyDescent="0.25">
      <c r="A1442" s="1" t="str">
        <f t="shared" si="22"/>
        <v/>
      </c>
      <c r="B14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3" spans="1:2" x14ac:dyDescent="0.25">
      <c r="A1443" s="1" t="str">
        <f t="shared" si="22"/>
        <v/>
      </c>
      <c r="B14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4" spans="1:2" x14ac:dyDescent="0.25">
      <c r="A1444" s="1" t="str">
        <f t="shared" si="22"/>
        <v/>
      </c>
      <c r="B14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5" spans="1:2" x14ac:dyDescent="0.25">
      <c r="A1445" s="1" t="str">
        <f t="shared" si="22"/>
        <v/>
      </c>
      <c r="B14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6" spans="1:2" x14ac:dyDescent="0.25">
      <c r="A1446" s="1" t="str">
        <f t="shared" si="22"/>
        <v/>
      </c>
      <c r="B14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7" spans="1:2" x14ac:dyDescent="0.25">
      <c r="A1447" s="1" t="str">
        <f t="shared" si="22"/>
        <v/>
      </c>
      <c r="B14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8" spans="1:2" x14ac:dyDescent="0.25">
      <c r="A1448" s="1" t="str">
        <f t="shared" si="22"/>
        <v/>
      </c>
      <c r="B14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49" spans="1:2" x14ac:dyDescent="0.25">
      <c r="A1449" s="1" t="str">
        <f t="shared" si="22"/>
        <v/>
      </c>
      <c r="B14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0" spans="1:2" x14ac:dyDescent="0.25">
      <c r="A1450" s="1" t="str">
        <f t="shared" si="22"/>
        <v/>
      </c>
      <c r="B14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1" spans="1:2" x14ac:dyDescent="0.25">
      <c r="A1451" s="1" t="str">
        <f t="shared" si="22"/>
        <v/>
      </c>
      <c r="B14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2" spans="1:2" x14ac:dyDescent="0.25">
      <c r="A1452" s="1" t="str">
        <f t="shared" si="22"/>
        <v/>
      </c>
      <c r="B14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3" spans="1:2" x14ac:dyDescent="0.25">
      <c r="A1453" s="1" t="str">
        <f t="shared" si="22"/>
        <v/>
      </c>
      <c r="B14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4" spans="1:2" x14ac:dyDescent="0.25">
      <c r="A1454" s="1" t="str">
        <f t="shared" si="22"/>
        <v/>
      </c>
      <c r="B14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5" spans="1:2" x14ac:dyDescent="0.25">
      <c r="A1455" s="1" t="str">
        <f t="shared" si="22"/>
        <v/>
      </c>
      <c r="B14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6" spans="1:2" x14ac:dyDescent="0.25">
      <c r="A1456" s="1" t="str">
        <f t="shared" si="22"/>
        <v/>
      </c>
      <c r="B14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7" spans="1:2" x14ac:dyDescent="0.25">
      <c r="A1457" s="1" t="str">
        <f t="shared" si="22"/>
        <v/>
      </c>
      <c r="B14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8" spans="1:2" x14ac:dyDescent="0.25">
      <c r="A1458" s="1" t="str">
        <f t="shared" si="22"/>
        <v/>
      </c>
      <c r="B145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59" spans="1:2" x14ac:dyDescent="0.25">
      <c r="A1459" s="1" t="str">
        <f t="shared" si="22"/>
        <v/>
      </c>
      <c r="B145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0" spans="1:2" x14ac:dyDescent="0.25">
      <c r="A1460" s="1" t="str">
        <f t="shared" si="22"/>
        <v/>
      </c>
      <c r="B146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1" spans="1:2" x14ac:dyDescent="0.25">
      <c r="A1461" s="1" t="str">
        <f t="shared" si="22"/>
        <v/>
      </c>
      <c r="B146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2" spans="1:2" x14ac:dyDescent="0.25">
      <c r="A1462" s="1" t="str">
        <f t="shared" si="22"/>
        <v/>
      </c>
      <c r="B146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3" spans="1:2" x14ac:dyDescent="0.25">
      <c r="A1463" s="1" t="str">
        <f t="shared" si="22"/>
        <v/>
      </c>
      <c r="B146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4" spans="1:2" x14ac:dyDescent="0.25">
      <c r="A1464" s="1" t="str">
        <f t="shared" si="22"/>
        <v/>
      </c>
      <c r="B146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5" spans="1:2" x14ac:dyDescent="0.25">
      <c r="A1465" s="1" t="str">
        <f t="shared" si="22"/>
        <v/>
      </c>
      <c r="B146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6" spans="1:2" x14ac:dyDescent="0.25">
      <c r="A1466" s="1" t="str">
        <f t="shared" si="22"/>
        <v/>
      </c>
      <c r="B146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7" spans="1:2" x14ac:dyDescent="0.25">
      <c r="A1467" s="1" t="str">
        <f t="shared" si="22"/>
        <v/>
      </c>
      <c r="B146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8" spans="1:2" x14ac:dyDescent="0.25">
      <c r="A1468" s="1" t="str">
        <f t="shared" si="22"/>
        <v/>
      </c>
      <c r="B146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69" spans="1:2" x14ac:dyDescent="0.25">
      <c r="A1469" s="1" t="str">
        <f t="shared" si="22"/>
        <v/>
      </c>
      <c r="B146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0" spans="1:2" x14ac:dyDescent="0.25">
      <c r="A1470" s="1" t="str">
        <f t="shared" si="22"/>
        <v/>
      </c>
      <c r="B147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1" spans="1:2" x14ac:dyDescent="0.25">
      <c r="A1471" s="1" t="str">
        <f t="shared" si="22"/>
        <v/>
      </c>
      <c r="B147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2" spans="1:2" x14ac:dyDescent="0.25">
      <c r="A1472" s="1" t="str">
        <f t="shared" si="22"/>
        <v/>
      </c>
      <c r="B147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3" spans="1:2" x14ac:dyDescent="0.25">
      <c r="A1473" s="1" t="str">
        <f t="shared" si="22"/>
        <v/>
      </c>
      <c r="B147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4" spans="1:2" x14ac:dyDescent="0.25">
      <c r="A1474" s="1" t="str">
        <f t="shared" ref="A1474:A1537" si="23">IFERROR(LEFT(RIGHT(C1474,LEN(C1474)-SEARCH("@",C1474)),SEARCH("/",RIGHT(C1474,LEN(C1474)-SEARCH("@",C1474)-1))),"")</f>
        <v/>
      </c>
      <c r="B147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5" spans="1:2" x14ac:dyDescent="0.25">
      <c r="A1475" s="1" t="str">
        <f t="shared" si="23"/>
        <v/>
      </c>
      <c r="B147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6" spans="1:2" x14ac:dyDescent="0.25">
      <c r="A1476" s="1" t="str">
        <f t="shared" si="23"/>
        <v/>
      </c>
      <c r="B147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7" spans="1:2" x14ac:dyDescent="0.25">
      <c r="A1477" s="1" t="str">
        <f t="shared" si="23"/>
        <v/>
      </c>
      <c r="B147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8" spans="1:2" x14ac:dyDescent="0.25">
      <c r="A1478" s="1" t="str">
        <f t="shared" si="23"/>
        <v/>
      </c>
      <c r="B147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79" spans="1:2" x14ac:dyDescent="0.25">
      <c r="A1479" s="1" t="str">
        <f t="shared" si="23"/>
        <v/>
      </c>
      <c r="B147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0" spans="1:2" x14ac:dyDescent="0.25">
      <c r="A1480" s="1" t="str">
        <f t="shared" si="23"/>
        <v/>
      </c>
      <c r="B148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1" spans="1:2" x14ac:dyDescent="0.25">
      <c r="A1481" s="1" t="str">
        <f t="shared" si="23"/>
        <v/>
      </c>
      <c r="B148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2" spans="1:2" x14ac:dyDescent="0.25">
      <c r="A1482" s="1" t="str">
        <f t="shared" si="23"/>
        <v/>
      </c>
      <c r="B148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3" spans="1:2" x14ac:dyDescent="0.25">
      <c r="A1483" s="1" t="str">
        <f t="shared" si="23"/>
        <v/>
      </c>
      <c r="B148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4" spans="1:2" x14ac:dyDescent="0.25">
      <c r="A1484" s="1" t="str">
        <f t="shared" si="23"/>
        <v/>
      </c>
      <c r="B148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5" spans="1:2" x14ac:dyDescent="0.25">
      <c r="A1485" s="1" t="str">
        <f t="shared" si="23"/>
        <v/>
      </c>
      <c r="B148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6" spans="1:2" x14ac:dyDescent="0.25">
      <c r="A1486" s="1" t="str">
        <f t="shared" si="23"/>
        <v/>
      </c>
      <c r="B148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7" spans="1:2" x14ac:dyDescent="0.25">
      <c r="A1487" s="1" t="str">
        <f t="shared" si="23"/>
        <v/>
      </c>
      <c r="B148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8" spans="1:2" x14ac:dyDescent="0.25">
      <c r="A1488" s="1" t="str">
        <f t="shared" si="23"/>
        <v/>
      </c>
      <c r="B148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89" spans="1:2" x14ac:dyDescent="0.25">
      <c r="A1489" s="1" t="str">
        <f t="shared" si="23"/>
        <v/>
      </c>
      <c r="B148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0" spans="1:2" x14ac:dyDescent="0.25">
      <c r="A1490" s="1" t="str">
        <f t="shared" si="23"/>
        <v/>
      </c>
      <c r="B149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1" spans="1:2" x14ac:dyDescent="0.25">
      <c r="A1491" s="1" t="str">
        <f t="shared" si="23"/>
        <v/>
      </c>
      <c r="B149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2" spans="1:2" x14ac:dyDescent="0.25">
      <c r="A1492" s="1" t="str">
        <f t="shared" si="23"/>
        <v/>
      </c>
      <c r="B149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3" spans="1:2" x14ac:dyDescent="0.25">
      <c r="A1493" s="1" t="str">
        <f t="shared" si="23"/>
        <v/>
      </c>
      <c r="B149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4" spans="1:2" x14ac:dyDescent="0.25">
      <c r="A1494" s="1" t="str">
        <f t="shared" si="23"/>
        <v/>
      </c>
      <c r="B149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5" spans="1:2" x14ac:dyDescent="0.25">
      <c r="A1495" s="1" t="str">
        <f t="shared" si="23"/>
        <v/>
      </c>
      <c r="B149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6" spans="1:2" x14ac:dyDescent="0.25">
      <c r="A1496" s="1" t="str">
        <f t="shared" si="23"/>
        <v/>
      </c>
      <c r="B149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7" spans="1:2" x14ac:dyDescent="0.25">
      <c r="A1497" s="1" t="str">
        <f t="shared" si="23"/>
        <v/>
      </c>
      <c r="B149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8" spans="1:2" x14ac:dyDescent="0.25">
      <c r="A1498" s="1" t="str">
        <f t="shared" si="23"/>
        <v/>
      </c>
      <c r="B149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499" spans="1:2" x14ac:dyDescent="0.25">
      <c r="A1499" s="1" t="str">
        <f t="shared" si="23"/>
        <v/>
      </c>
      <c r="B149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0" spans="1:2" x14ac:dyDescent="0.25">
      <c r="A1500" s="1" t="str">
        <f t="shared" si="23"/>
        <v/>
      </c>
      <c r="B150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1" spans="1:2" x14ac:dyDescent="0.25">
      <c r="A1501" s="1" t="str">
        <f t="shared" si="23"/>
        <v/>
      </c>
      <c r="B150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2" spans="1:2" x14ac:dyDescent="0.25">
      <c r="A1502" s="1" t="str">
        <f t="shared" si="23"/>
        <v/>
      </c>
      <c r="B150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3" spans="1:2" x14ac:dyDescent="0.25">
      <c r="A1503" s="1" t="str">
        <f t="shared" si="23"/>
        <v/>
      </c>
      <c r="B150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4" spans="1:2" x14ac:dyDescent="0.25">
      <c r="A1504" s="1" t="str">
        <f t="shared" si="23"/>
        <v/>
      </c>
      <c r="B150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5" spans="1:2" x14ac:dyDescent="0.25">
      <c r="A1505" s="1" t="str">
        <f t="shared" si="23"/>
        <v/>
      </c>
      <c r="B150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6" spans="1:2" x14ac:dyDescent="0.25">
      <c r="A1506" s="1" t="str">
        <f t="shared" si="23"/>
        <v/>
      </c>
      <c r="B150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7" spans="1:2" x14ac:dyDescent="0.25">
      <c r="A1507" s="1" t="str">
        <f t="shared" si="23"/>
        <v/>
      </c>
      <c r="B150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8" spans="1:2" x14ac:dyDescent="0.25">
      <c r="A1508" s="1" t="str">
        <f t="shared" si="23"/>
        <v/>
      </c>
      <c r="B150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09" spans="1:2" x14ac:dyDescent="0.25">
      <c r="A1509" s="1" t="str">
        <f t="shared" si="23"/>
        <v/>
      </c>
      <c r="B150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0" spans="1:2" x14ac:dyDescent="0.25">
      <c r="A1510" s="1" t="str">
        <f t="shared" si="23"/>
        <v/>
      </c>
      <c r="B151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1" spans="1:2" x14ac:dyDescent="0.25">
      <c r="A1511" s="1" t="str">
        <f t="shared" si="23"/>
        <v/>
      </c>
      <c r="B151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2" spans="1:2" x14ac:dyDescent="0.25">
      <c r="A1512" s="1" t="str">
        <f t="shared" si="23"/>
        <v/>
      </c>
      <c r="B151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3" spans="1:2" x14ac:dyDescent="0.25">
      <c r="A1513" s="1" t="str">
        <f t="shared" si="23"/>
        <v/>
      </c>
      <c r="B151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4" spans="1:2" x14ac:dyDescent="0.25">
      <c r="A1514" s="1" t="str">
        <f t="shared" si="23"/>
        <v/>
      </c>
      <c r="B151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5" spans="1:2" x14ac:dyDescent="0.25">
      <c r="A1515" s="1" t="str">
        <f t="shared" si="23"/>
        <v/>
      </c>
      <c r="B151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6" spans="1:2" x14ac:dyDescent="0.25">
      <c r="A1516" s="1" t="str">
        <f t="shared" si="23"/>
        <v/>
      </c>
      <c r="B151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7" spans="1:2" x14ac:dyDescent="0.25">
      <c r="A1517" s="1" t="str">
        <f t="shared" si="23"/>
        <v/>
      </c>
      <c r="B151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8" spans="1:2" x14ac:dyDescent="0.25">
      <c r="A1518" s="1" t="str">
        <f t="shared" si="23"/>
        <v/>
      </c>
      <c r="B151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19" spans="1:2" x14ac:dyDescent="0.25">
      <c r="A1519" s="1" t="str">
        <f t="shared" si="23"/>
        <v/>
      </c>
      <c r="B151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0" spans="1:2" x14ac:dyDescent="0.25">
      <c r="A1520" s="1" t="str">
        <f t="shared" si="23"/>
        <v/>
      </c>
      <c r="B152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1" spans="1:2" x14ac:dyDescent="0.25">
      <c r="A1521" s="1" t="str">
        <f t="shared" si="23"/>
        <v/>
      </c>
      <c r="B152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2" spans="1:2" x14ac:dyDescent="0.25">
      <c r="A1522" s="1" t="str">
        <f t="shared" si="23"/>
        <v/>
      </c>
      <c r="B152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3" spans="1:2" x14ac:dyDescent="0.25">
      <c r="A1523" s="1" t="str">
        <f t="shared" si="23"/>
        <v/>
      </c>
      <c r="B152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4" spans="1:2" x14ac:dyDescent="0.25">
      <c r="A1524" s="1" t="str">
        <f t="shared" si="23"/>
        <v/>
      </c>
      <c r="B152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5" spans="1:2" x14ac:dyDescent="0.25">
      <c r="A1525" s="1" t="str">
        <f t="shared" si="23"/>
        <v/>
      </c>
      <c r="B152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6" spans="1:2" x14ac:dyDescent="0.25">
      <c r="A1526" s="1" t="str">
        <f t="shared" si="23"/>
        <v/>
      </c>
      <c r="B152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7" spans="1:2" x14ac:dyDescent="0.25">
      <c r="A1527" s="1" t="str">
        <f t="shared" si="23"/>
        <v/>
      </c>
      <c r="B152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8" spans="1:2" x14ac:dyDescent="0.25">
      <c r="A1528" s="1" t="str">
        <f t="shared" si="23"/>
        <v/>
      </c>
      <c r="B152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29" spans="1:2" x14ac:dyDescent="0.25">
      <c r="A1529" s="1" t="str">
        <f t="shared" si="23"/>
        <v/>
      </c>
      <c r="B152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0" spans="1:2" x14ac:dyDescent="0.25">
      <c r="A1530" s="1" t="str">
        <f t="shared" si="23"/>
        <v/>
      </c>
      <c r="B153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1" spans="1:2" x14ac:dyDescent="0.25">
      <c r="A1531" s="1" t="str">
        <f t="shared" si="23"/>
        <v/>
      </c>
      <c r="B153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2" spans="1:2" x14ac:dyDescent="0.25">
      <c r="A1532" s="1" t="str">
        <f t="shared" si="23"/>
        <v/>
      </c>
      <c r="B153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3" spans="1:2" x14ac:dyDescent="0.25">
      <c r="A1533" s="1" t="str">
        <f t="shared" si="23"/>
        <v/>
      </c>
      <c r="B153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4" spans="1:2" x14ac:dyDescent="0.25">
      <c r="A1534" s="1" t="str">
        <f t="shared" si="23"/>
        <v/>
      </c>
      <c r="B153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5" spans="1:2" x14ac:dyDescent="0.25">
      <c r="A1535" s="1" t="str">
        <f t="shared" si="23"/>
        <v/>
      </c>
      <c r="B153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6" spans="1:2" x14ac:dyDescent="0.25">
      <c r="A1536" s="1" t="str">
        <f t="shared" si="23"/>
        <v/>
      </c>
      <c r="B153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7" spans="1:2" x14ac:dyDescent="0.25">
      <c r="A1537" s="1" t="str">
        <f t="shared" si="23"/>
        <v/>
      </c>
      <c r="B153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8" spans="1:2" x14ac:dyDescent="0.25">
      <c r="A1538" s="1" t="str">
        <f t="shared" ref="A1538:A1557" si="24">IFERROR(LEFT(RIGHT(C1538,LEN(C1538)-SEARCH("@",C1538)),SEARCH("/",RIGHT(C1538,LEN(C1538)-SEARCH("@",C1538)-1))),"")</f>
        <v/>
      </c>
      <c r="B153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39" spans="1:2" x14ac:dyDescent="0.25">
      <c r="A1539" s="1" t="str">
        <f t="shared" si="24"/>
        <v/>
      </c>
      <c r="B153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0" spans="1:2" x14ac:dyDescent="0.25">
      <c r="A1540" s="1" t="str">
        <f t="shared" si="24"/>
        <v/>
      </c>
      <c r="B154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1" spans="1:2" x14ac:dyDescent="0.25">
      <c r="A1541" s="1" t="str">
        <f t="shared" si="24"/>
        <v/>
      </c>
      <c r="B154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2" spans="1:2" x14ac:dyDescent="0.25">
      <c r="A1542" s="1" t="str">
        <f t="shared" si="24"/>
        <v/>
      </c>
      <c r="B154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3" spans="1:2" x14ac:dyDescent="0.25">
      <c r="A1543" s="1" t="str">
        <f t="shared" si="24"/>
        <v/>
      </c>
      <c r="B154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4" spans="1:2" x14ac:dyDescent="0.25">
      <c r="A1544" s="1" t="str">
        <f t="shared" si="24"/>
        <v/>
      </c>
      <c r="B154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5" spans="1:2" x14ac:dyDescent="0.25">
      <c r="A1545" s="1" t="str">
        <f t="shared" si="24"/>
        <v/>
      </c>
      <c r="B154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6" spans="1:2" x14ac:dyDescent="0.25">
      <c r="A1546" s="1" t="str">
        <f t="shared" si="24"/>
        <v/>
      </c>
      <c r="B154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7" spans="1:2" x14ac:dyDescent="0.25">
      <c r="A1547" s="1" t="str">
        <f t="shared" si="24"/>
        <v/>
      </c>
      <c r="B154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8" spans="1:2" x14ac:dyDescent="0.25">
      <c r="A1548" s="1" t="str">
        <f t="shared" si="24"/>
        <v/>
      </c>
      <c r="B1548"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49" spans="1:2" x14ac:dyDescent="0.25">
      <c r="A1549" s="1" t="str">
        <f t="shared" si="24"/>
        <v/>
      </c>
      <c r="B1549"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0" spans="1:2" x14ac:dyDescent="0.25">
      <c r="A1550" s="1" t="str">
        <f t="shared" si="24"/>
        <v/>
      </c>
      <c r="B1550"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1" spans="1:2" x14ac:dyDescent="0.25">
      <c r="A1551" s="1" t="str">
        <f t="shared" si="24"/>
        <v/>
      </c>
      <c r="B1551"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2" spans="1:2" x14ac:dyDescent="0.25">
      <c r="A1552" s="1" t="str">
        <f t="shared" si="24"/>
        <v/>
      </c>
      <c r="B1552"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3" spans="1:2" x14ac:dyDescent="0.25">
      <c r="A1553" s="1" t="str">
        <f t="shared" si="24"/>
        <v/>
      </c>
      <c r="B1553"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4" spans="1:2" x14ac:dyDescent="0.25">
      <c r="A1554" s="1" t="str">
        <f t="shared" si="24"/>
        <v/>
      </c>
      <c r="B1554"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5" spans="1:2" x14ac:dyDescent="0.25">
      <c r="A1555" s="1" t="str">
        <f t="shared" si="24"/>
        <v/>
      </c>
      <c r="B1555"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6" spans="1:2" x14ac:dyDescent="0.25">
      <c r="A1556" s="1" t="str">
        <f t="shared" si="24"/>
        <v/>
      </c>
      <c r="B1556"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row r="1557" spans="1:2" x14ac:dyDescent="0.25">
      <c r="A1557" s="1" t="str">
        <f t="shared" si="24"/>
        <v/>
      </c>
      <c r="B1557" s="1" t="e">
        <f>LEFT(RIGHT(RIGHT(Tableau4[[#This Row],[file name]],LEN(Tableau4[[#This Row],[file name]])-SEARCH("@",Tableau4[[#This Row],[file name]])),LEN(RIGHT(Tableau4[[#This Row],[file name]],LEN(Tableau4[[#This Row],[file name]])-SEARCH("@",Tableau4[[#This Row],[file name]])))-SEARCH("/",RIGHT(Tableau4[[#This Row],[file name]],LEN(Tableau4[[#This Row],[file name]])-SEARCH("@",Tableau4[[#This Row],[file name]])))),1)</f>
        <v>#VALUE!</v>
      </c>
    </row>
  </sheetData>
  <conditionalFormatting sqref="A1:J2 A1558:XFD1048576 AI18:XFD38 C39:XFD1557 C3:J10 EO1:XFD10 C19:K38 K5 C11:K13 C14:J18 M15:XFD17 K1:L4 A3:B1557 AH11:XFD14">
    <cfRule type="containsText" dxfId="5" priority="1" operator="containsText" text="ERREUR">
      <formula>NOT(ISERROR(SEARCH("ERREUR",A1)))</formula>
    </cfRule>
    <cfRule type="containsText" dxfId="4" priority="2" operator="containsText" text="OK">
      <formula>NOT(ISERROR(SEARCH("OK",A1)))</formula>
    </cfRule>
  </conditionalFormatting>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4"/>
  <sheetViews>
    <sheetView showGridLines="0" zoomScale="85" zoomScaleNormal="85" zoomScaleSheetLayoutView="40" zoomScalePageLayoutView="30" workbookViewId="0">
      <pane xSplit="1" topLeftCell="M1" activePane="topRight" state="frozen"/>
      <selection pane="topRight" activeCell="P5" sqref="P5:V12"/>
    </sheetView>
  </sheetViews>
  <sheetFormatPr baseColWidth="10" defaultColWidth="9.140625" defaultRowHeight="15" x14ac:dyDescent="0.25"/>
  <cols>
    <col min="1" max="1" width="29.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8.28515625" bestFit="1" customWidth="1"/>
    <col min="15" max="15" width="14.85546875" customWidth="1"/>
    <col min="16" max="16" width="17.7109375" customWidth="1"/>
    <col min="17" max="18" width="25.85546875" bestFit="1" customWidth="1"/>
    <col min="19" max="22" width="25.85546875" style="1" customWidth="1"/>
  </cols>
  <sheetData>
    <row r="1" spans="1:22" s="1" customFormat="1" ht="27" thickBot="1" x14ac:dyDescent="0.45">
      <c r="A1" s="214" t="s">
        <v>40</v>
      </c>
      <c r="B1" s="215"/>
      <c r="C1" s="215"/>
      <c r="D1" s="215"/>
      <c r="E1" s="215"/>
      <c r="F1" s="215"/>
      <c r="G1" s="215"/>
      <c r="H1" s="215"/>
      <c r="I1" s="215"/>
      <c r="J1" s="215"/>
      <c r="K1" s="215"/>
      <c r="L1" s="215"/>
      <c r="M1" s="215"/>
      <c r="N1" s="215"/>
      <c r="O1" s="215"/>
      <c r="P1" s="215"/>
      <c r="Q1" s="215"/>
      <c r="R1" s="215"/>
      <c r="S1" s="215"/>
      <c r="T1" s="215"/>
      <c r="U1" s="215"/>
      <c r="V1" s="215"/>
    </row>
    <row r="2" spans="1:22" ht="15.75" thickBot="1" x14ac:dyDescent="0.3">
      <c r="A2"/>
      <c r="B2"/>
      <c r="C2"/>
      <c r="D2"/>
      <c r="E2"/>
      <c r="F2"/>
      <c r="G2"/>
      <c r="H2"/>
      <c r="I2"/>
      <c r="J2"/>
      <c r="K2"/>
      <c r="L2"/>
      <c r="M2"/>
      <c r="S2"/>
      <c r="T2"/>
      <c r="U2"/>
      <c r="V2"/>
    </row>
    <row r="3" spans="1:22" ht="15.75" thickBot="1" x14ac:dyDescent="0.3">
      <c r="A3" s="51" t="s">
        <v>17</v>
      </c>
      <c r="B3" s="222" t="s">
        <v>6</v>
      </c>
      <c r="C3" s="223"/>
      <c r="D3" s="223"/>
      <c r="E3" s="223"/>
      <c r="F3" s="223"/>
      <c r="G3" s="223"/>
      <c r="H3" s="223"/>
      <c r="I3" s="223"/>
      <c r="J3" s="223"/>
      <c r="K3" s="223"/>
      <c r="L3" s="223"/>
      <c r="M3" s="223"/>
      <c r="O3" s="222" t="s">
        <v>3</v>
      </c>
      <c r="P3" s="223"/>
      <c r="Q3" s="223"/>
      <c r="R3" s="223"/>
      <c r="S3" s="223"/>
      <c r="T3" s="223"/>
      <c r="U3" s="223"/>
      <c r="V3" s="223"/>
    </row>
    <row r="4" spans="1:22" x14ac:dyDescent="0.25">
      <c r="A4" s="34" t="s">
        <v>41</v>
      </c>
      <c r="B4" s="35" t="str">
        <f>'Page de garde'!A7</f>
        <v>Témoin solvant</v>
      </c>
      <c r="C4" s="35" t="str">
        <f>'Page de garde'!A8</f>
        <v>EE2-33,8ng/L</v>
      </c>
      <c r="D4" s="35" t="str">
        <f>'Page de garde'!A9</f>
        <v>EE2-50,6ng/L</v>
      </c>
      <c r="E4" s="35" t="str">
        <f>'Page de garde'!A10</f>
        <v>EE2-76ng/L</v>
      </c>
      <c r="F4" s="35" t="str">
        <f>'Page de garde'!A11</f>
        <v>EE2-114ng/L</v>
      </c>
      <c r="G4" s="35" t="str">
        <f>'Page de garde'!A12</f>
        <v>EE2-170,9ng/L</v>
      </c>
      <c r="H4" s="35" t="str">
        <f>'Page de garde'!A13</f>
        <v>EE2-488ng/L</v>
      </c>
      <c r="I4" s="35" t="str">
        <f>'Page de garde'!A14</f>
        <v>Cromolyn-0,1µg/L</v>
      </c>
      <c r="J4" s="35" t="str">
        <f>'Page de garde'!A15</f>
        <v>Cromolyn-1µg/L</v>
      </c>
      <c r="K4" s="35" t="str">
        <f>'Page de garde'!A16</f>
        <v>Cromolyn-10µg/L</v>
      </c>
      <c r="L4" s="35" t="str">
        <f>'Page de garde'!A17</f>
        <v>Cromolyn-100µg/L</v>
      </c>
      <c r="M4" s="35" t="str">
        <f>'Page de garde'!A18</f>
        <v>Cromolyn-1000µg/L</v>
      </c>
      <c r="N4" s="3"/>
      <c r="O4" s="36" t="str">
        <f>'Page de garde'!A35</f>
        <v>Testo -30µg/L</v>
      </c>
      <c r="P4" s="36" t="str">
        <f>'Page de garde'!A36</f>
        <v>Testo 30µg/L + EE2 -64ng/L</v>
      </c>
      <c r="Q4" s="36" t="str">
        <f>'Page de garde'!A37</f>
        <v>Testo 30µg/L + FAD-10mg/L</v>
      </c>
      <c r="R4" s="36" t="str">
        <f>'Page de garde'!A38</f>
        <v>Cromolyn-0,1µg/L + Testostérone</v>
      </c>
      <c r="S4" s="36" t="str">
        <f>'Page de garde'!A39</f>
        <v>Cromolyn-1µg/L + Testostérone</v>
      </c>
      <c r="T4" s="36" t="str">
        <f>'Page de garde'!A40</f>
        <v>Cromolyn-10µg/L + Testostérone</v>
      </c>
      <c r="U4" s="36" t="str">
        <f>'Page de garde'!A41</f>
        <v>Cromolyn-100µg/L + Testostérone</v>
      </c>
      <c r="V4" s="36" t="str">
        <f>'Page de garde'!A42</f>
        <v>Cromolyn-1000µg/L + Testostérone</v>
      </c>
    </row>
    <row r="5" spans="1:22" ht="16.5" x14ac:dyDescent="0.25">
      <c r="A5" s="218" t="s">
        <v>33</v>
      </c>
      <c r="B5" s="73">
        <v>96202.333333333328</v>
      </c>
      <c r="C5" s="13">
        <v>241281.5</v>
      </c>
      <c r="D5" s="32">
        <v>92020.666666666672</v>
      </c>
      <c r="E5" s="32">
        <v>390636</v>
      </c>
      <c r="F5" s="32">
        <v>2164914.5</v>
      </c>
      <c r="G5" s="32">
        <v>3827821</v>
      </c>
      <c r="H5" s="32">
        <v>6953895.666666667</v>
      </c>
      <c r="I5" s="32">
        <v>698613</v>
      </c>
      <c r="J5" s="16">
        <v>775842.66666666663</v>
      </c>
      <c r="K5" s="13">
        <v>153067.66666666666</v>
      </c>
      <c r="L5" s="13">
        <v>106304</v>
      </c>
      <c r="M5" s="13">
        <v>128734</v>
      </c>
      <c r="N5" s="3"/>
      <c r="O5" s="32">
        <v>3145635.6666666665</v>
      </c>
      <c r="P5" s="13">
        <v>4850503.666666667</v>
      </c>
      <c r="Q5" s="13">
        <v>180234.66666666666</v>
      </c>
      <c r="R5" s="4">
        <v>2773731.3333333335</v>
      </c>
      <c r="S5" s="32">
        <v>330656.33333333331</v>
      </c>
      <c r="T5" s="32">
        <v>1989943</v>
      </c>
      <c r="U5" s="32">
        <v>3122570.6666666665</v>
      </c>
      <c r="V5" s="32">
        <v>4854873</v>
      </c>
    </row>
    <row r="6" spans="1:22" ht="16.5" x14ac:dyDescent="0.25">
      <c r="A6" s="219"/>
      <c r="B6" s="73">
        <v>708173.5</v>
      </c>
      <c r="C6" s="13">
        <v>661427.66666666663</v>
      </c>
      <c r="D6" s="32">
        <v>609703.66666666663</v>
      </c>
      <c r="E6" s="32">
        <v>862946.33333333337</v>
      </c>
      <c r="F6" s="32">
        <v>3685935.6666666665</v>
      </c>
      <c r="G6" s="32">
        <v>3503610</v>
      </c>
      <c r="H6" s="32">
        <v>6708173</v>
      </c>
      <c r="I6" s="32">
        <v>94205.333333333328</v>
      </c>
      <c r="J6" s="16">
        <v>254216.33333333334</v>
      </c>
      <c r="K6" s="13">
        <v>288369.66666666669</v>
      </c>
      <c r="L6" s="13">
        <v>897489.5</v>
      </c>
      <c r="M6" s="13">
        <v>116916.66666666667</v>
      </c>
      <c r="N6" s="3"/>
      <c r="O6" s="32">
        <v>4288992</v>
      </c>
      <c r="P6" s="13">
        <v>5390418.5</v>
      </c>
      <c r="Q6" s="13">
        <v>329906.66666666669</v>
      </c>
      <c r="R6" s="4">
        <v>4528056</v>
      </c>
      <c r="S6" s="32">
        <v>4415887</v>
      </c>
      <c r="T6" s="32">
        <v>3267347</v>
      </c>
      <c r="U6" s="32">
        <v>4656484</v>
      </c>
      <c r="V6" s="32">
        <v>4167525.6666666665</v>
      </c>
    </row>
    <row r="7" spans="1:22" ht="16.5" x14ac:dyDescent="0.25">
      <c r="A7" s="219"/>
      <c r="B7" s="73">
        <v>561663</v>
      </c>
      <c r="C7" s="13">
        <v>1471878.3333333333</v>
      </c>
      <c r="D7" s="32">
        <v>181438.66666666666</v>
      </c>
      <c r="E7" s="32">
        <v>131430.33333333334</v>
      </c>
      <c r="F7" s="32">
        <v>2020102.6666666667</v>
      </c>
      <c r="G7" s="32">
        <v>4290635.666666667</v>
      </c>
      <c r="H7" s="32">
        <v>3747732.6666666665</v>
      </c>
      <c r="I7" s="32">
        <v>302068.66666666669</v>
      </c>
      <c r="J7" s="16">
        <v>244857.66666666666</v>
      </c>
      <c r="K7" s="13">
        <v>361176</v>
      </c>
      <c r="L7" s="13">
        <v>51702.666666666664</v>
      </c>
      <c r="M7" s="13">
        <v>548757.66666666663</v>
      </c>
      <c r="N7" s="3"/>
      <c r="O7" s="32">
        <v>4334501</v>
      </c>
      <c r="P7" s="13">
        <v>5012966.333333333</v>
      </c>
      <c r="Q7" s="13">
        <v>483925.66666666669</v>
      </c>
      <c r="R7" s="4">
        <v>2731719</v>
      </c>
      <c r="S7" s="32">
        <v>2161266.3333333335</v>
      </c>
      <c r="T7" s="32">
        <v>29726.666666666668</v>
      </c>
      <c r="U7" s="32">
        <v>5217887.666666667</v>
      </c>
      <c r="V7" s="32">
        <v>2440248.3333333335</v>
      </c>
    </row>
    <row r="8" spans="1:22" ht="16.5" x14ac:dyDescent="0.25">
      <c r="A8" s="219"/>
      <c r="B8" s="73">
        <v>261635</v>
      </c>
      <c r="C8" s="13">
        <v>476391.33333333331</v>
      </c>
      <c r="D8" s="32">
        <v>313337.66666666669</v>
      </c>
      <c r="E8" s="32">
        <v>535065.66666666663</v>
      </c>
      <c r="F8" s="32">
        <v>1278889.3333333333</v>
      </c>
      <c r="G8" s="32">
        <v>4463739.666666667</v>
      </c>
      <c r="H8" s="32">
        <v>5449125.666666667</v>
      </c>
      <c r="I8" s="32">
        <v>74089.333333333328</v>
      </c>
      <c r="J8" s="16">
        <v>317188</v>
      </c>
      <c r="K8" s="13">
        <v>298846</v>
      </c>
      <c r="L8" s="13">
        <v>516651.66666666669</v>
      </c>
      <c r="M8" s="13">
        <v>545823.33333333337</v>
      </c>
      <c r="N8" s="3"/>
      <c r="O8" s="32">
        <v>2938194</v>
      </c>
      <c r="P8" s="13">
        <v>5586973</v>
      </c>
      <c r="Q8" s="13">
        <v>195404.66666666666</v>
      </c>
      <c r="R8" s="4">
        <v>4618876.333333333</v>
      </c>
      <c r="S8" s="32">
        <v>3492557.3333333335</v>
      </c>
      <c r="T8" s="32">
        <v>2531245.6666666665</v>
      </c>
      <c r="U8" s="32">
        <v>2283590.6666666665</v>
      </c>
      <c r="V8" s="32">
        <v>4469926</v>
      </c>
    </row>
    <row r="9" spans="1:22" ht="16.5" x14ac:dyDescent="0.25">
      <c r="A9" s="219"/>
      <c r="B9" s="73">
        <v>583380</v>
      </c>
      <c r="C9" s="13">
        <v>606004.5</v>
      </c>
      <c r="D9" s="32">
        <v>660158.66666666663</v>
      </c>
      <c r="E9" s="32">
        <v>309740</v>
      </c>
      <c r="F9" s="32">
        <v>2187114</v>
      </c>
      <c r="G9" s="32">
        <v>899666.66666666663</v>
      </c>
      <c r="H9" s="32">
        <v>5730566.666666667</v>
      </c>
      <c r="I9" s="32">
        <v>152620.33333333334</v>
      </c>
      <c r="J9" s="16">
        <v>170580.66666666666</v>
      </c>
      <c r="K9" s="13">
        <v>451913.66666666669</v>
      </c>
      <c r="L9" s="13">
        <v>292904.66666666669</v>
      </c>
      <c r="M9" s="13">
        <v>272111.33333333331</v>
      </c>
      <c r="N9" s="3"/>
      <c r="O9" s="32">
        <v>310944</v>
      </c>
      <c r="P9" s="13">
        <v>3408237</v>
      </c>
      <c r="Q9" s="13">
        <v>577417.33333333337</v>
      </c>
      <c r="R9" s="4">
        <v>4783307</v>
      </c>
      <c r="S9" s="32">
        <v>3070443</v>
      </c>
      <c r="T9" s="32">
        <v>1369165</v>
      </c>
      <c r="U9" s="32">
        <v>110248</v>
      </c>
      <c r="V9" s="32">
        <v>5713681</v>
      </c>
    </row>
    <row r="10" spans="1:22" ht="16.5" x14ac:dyDescent="0.25">
      <c r="A10" s="219"/>
      <c r="B10" s="73">
        <v>477231</v>
      </c>
      <c r="C10" s="13">
        <v>402013.33333333331</v>
      </c>
      <c r="D10" s="32">
        <v>147357</v>
      </c>
      <c r="E10" s="32">
        <v>438358.33333333331</v>
      </c>
      <c r="F10" s="32">
        <v>2852060</v>
      </c>
      <c r="G10" s="32">
        <v>5256216</v>
      </c>
      <c r="H10" s="32">
        <v>8508191.333333334</v>
      </c>
      <c r="I10" s="32">
        <v>331781.33333333331</v>
      </c>
      <c r="J10" s="16">
        <v>90787.666666666672</v>
      </c>
      <c r="K10" s="13">
        <v>65160.5</v>
      </c>
      <c r="L10" s="13">
        <v>815396.66666666663</v>
      </c>
      <c r="M10" s="13">
        <v>161121</v>
      </c>
      <c r="N10" s="3"/>
      <c r="O10" s="32">
        <v>2596575</v>
      </c>
      <c r="P10" s="13">
        <v>5629569.333333333</v>
      </c>
      <c r="Q10" s="13">
        <v>533739.66666666663</v>
      </c>
      <c r="R10" s="4">
        <v>1912284.6666666667</v>
      </c>
      <c r="S10" s="32">
        <v>3840344.6666666665</v>
      </c>
      <c r="T10" s="32">
        <v>3508888</v>
      </c>
      <c r="U10" s="32">
        <v>3598486</v>
      </c>
      <c r="V10" s="32">
        <v>4002186.6666666665</v>
      </c>
    </row>
    <row r="11" spans="1:22" ht="16.5" x14ac:dyDescent="0.25">
      <c r="A11" s="219"/>
      <c r="B11" s="73">
        <v>228011.5</v>
      </c>
      <c r="C11" s="13">
        <v>94270</v>
      </c>
      <c r="D11" s="32">
        <v>207070</v>
      </c>
      <c r="E11" s="32">
        <v>100600.66666666667</v>
      </c>
      <c r="F11" s="32">
        <v>1397846</v>
      </c>
      <c r="G11" s="32">
        <v>2472657.6666666665</v>
      </c>
      <c r="H11" s="32">
        <v>4634500.333333333</v>
      </c>
      <c r="I11" s="32">
        <v>337844.66666666669</v>
      </c>
      <c r="J11" s="16">
        <v>105359</v>
      </c>
      <c r="K11" s="13">
        <v>13497</v>
      </c>
      <c r="L11" s="13">
        <v>454689</v>
      </c>
      <c r="M11" s="13">
        <v>598225</v>
      </c>
      <c r="N11" s="3"/>
      <c r="O11" s="32">
        <v>4034177.3333333335</v>
      </c>
      <c r="P11" s="13">
        <v>5404351.666666667</v>
      </c>
      <c r="Q11" s="13">
        <v>65776.666666666672</v>
      </c>
      <c r="R11" s="4">
        <v>3039887</v>
      </c>
      <c r="S11" s="32">
        <v>1941218</v>
      </c>
      <c r="T11" s="32">
        <v>3252033</v>
      </c>
      <c r="U11" s="32">
        <v>4077148.6666666665</v>
      </c>
      <c r="V11" s="32">
        <v>5328524.333333333</v>
      </c>
    </row>
    <row r="12" spans="1:22" ht="16.5" x14ac:dyDescent="0.25">
      <c r="A12" s="219"/>
      <c r="B12" s="73">
        <v>376028.33333333331</v>
      </c>
      <c r="C12" s="13">
        <v>87702</v>
      </c>
      <c r="D12" s="32"/>
      <c r="E12" s="32">
        <v>224085.66666666666</v>
      </c>
      <c r="F12" s="32">
        <v>1733679.5</v>
      </c>
      <c r="G12" s="32">
        <v>2877165.3333333335</v>
      </c>
      <c r="H12" s="32">
        <v>3886048.6666666665</v>
      </c>
      <c r="I12" s="32">
        <v>161669</v>
      </c>
      <c r="J12" s="16">
        <v>114018.33333333333</v>
      </c>
      <c r="K12" s="13">
        <v>428308</v>
      </c>
      <c r="L12" s="13">
        <v>479433.66666666669</v>
      </c>
      <c r="M12" s="13">
        <v>648608.66666666663</v>
      </c>
      <c r="N12" s="3"/>
      <c r="O12" s="32">
        <v>3914787.3333333335</v>
      </c>
      <c r="P12" s="13">
        <v>3595378.6666666665</v>
      </c>
      <c r="Q12" s="13">
        <v>400398.33333333331</v>
      </c>
      <c r="R12" s="4">
        <v>6362909.333333333</v>
      </c>
      <c r="S12" s="32">
        <v>5179379</v>
      </c>
      <c r="T12" s="32">
        <v>3660838</v>
      </c>
      <c r="U12" s="32">
        <v>4887282</v>
      </c>
      <c r="V12" s="32">
        <v>2548881.3333333335</v>
      </c>
    </row>
    <row r="13" spans="1:22" ht="16.5" x14ac:dyDescent="0.25">
      <c r="A13" s="219"/>
      <c r="B13" s="14"/>
      <c r="C13" s="13"/>
      <c r="D13" s="16"/>
      <c r="E13" s="16"/>
      <c r="F13" s="16"/>
      <c r="G13" s="16"/>
      <c r="H13" s="16"/>
      <c r="I13" s="32"/>
      <c r="J13" s="16"/>
      <c r="K13" s="13"/>
      <c r="L13" s="13"/>
      <c r="M13" s="13"/>
      <c r="N13" s="3"/>
      <c r="O13" s="32">
        <v>4723309.5</v>
      </c>
      <c r="P13" s="13"/>
      <c r="Q13" s="13"/>
      <c r="R13" s="4"/>
      <c r="S13" s="32"/>
      <c r="T13" s="32"/>
      <c r="U13" s="32"/>
      <c r="V13" s="32"/>
    </row>
    <row r="14" spans="1:22" ht="16.5" x14ac:dyDescent="0.25">
      <c r="A14" s="219"/>
      <c r="B14" s="14"/>
      <c r="C14" s="16"/>
      <c r="D14" s="16"/>
      <c r="E14" s="16"/>
      <c r="F14" s="16"/>
      <c r="G14" s="16"/>
      <c r="H14" s="16"/>
      <c r="I14" s="32"/>
      <c r="J14" s="16"/>
      <c r="K14" s="13"/>
      <c r="L14" s="13"/>
      <c r="M14" s="13"/>
      <c r="N14" s="3"/>
      <c r="O14" s="32">
        <v>3433680.6666666665</v>
      </c>
      <c r="P14" s="13"/>
      <c r="Q14" s="13"/>
      <c r="R14" s="4"/>
      <c r="S14" s="32"/>
      <c r="T14" s="32"/>
      <c r="U14" s="32"/>
      <c r="V14" s="32"/>
    </row>
    <row r="15" spans="1:22" ht="16.5" x14ac:dyDescent="0.25">
      <c r="A15" s="219"/>
      <c r="B15" s="14"/>
      <c r="C15" s="16"/>
      <c r="D15" s="16"/>
      <c r="E15" s="16"/>
      <c r="F15" s="16"/>
      <c r="G15" s="16"/>
      <c r="H15" s="16"/>
      <c r="I15" s="32"/>
      <c r="J15" s="16"/>
      <c r="K15" s="13"/>
      <c r="L15" s="13"/>
      <c r="M15" s="13"/>
      <c r="N15" s="3"/>
      <c r="O15" s="32"/>
      <c r="P15" s="13"/>
      <c r="Q15" s="13"/>
      <c r="R15" s="4"/>
      <c r="S15" s="32"/>
      <c r="T15" s="32"/>
      <c r="U15" s="32"/>
      <c r="V15" s="32"/>
    </row>
    <row r="16" spans="1:22" ht="16.5" x14ac:dyDescent="0.25">
      <c r="A16" s="219"/>
      <c r="B16" s="14"/>
      <c r="C16" s="16"/>
      <c r="D16" s="16"/>
      <c r="E16" s="16"/>
      <c r="F16" s="16"/>
      <c r="G16" s="16"/>
      <c r="H16" s="16"/>
      <c r="I16" s="32"/>
      <c r="J16" s="16"/>
      <c r="K16" s="13"/>
      <c r="L16" s="13"/>
      <c r="M16" s="13"/>
      <c r="N16" s="3"/>
      <c r="O16" s="32">
        <v>4382721.333333333</v>
      </c>
      <c r="P16" s="13"/>
      <c r="Q16" s="13"/>
      <c r="R16" s="4"/>
      <c r="S16" s="32"/>
      <c r="T16" s="32"/>
      <c r="U16" s="32"/>
      <c r="V16" s="32"/>
    </row>
    <row r="17" spans="1:22" s="1" customFormat="1" ht="16.5" x14ac:dyDescent="0.25">
      <c r="A17" s="219"/>
      <c r="B17" s="14"/>
      <c r="C17" s="32"/>
      <c r="D17" s="32"/>
      <c r="E17" s="32"/>
      <c r="F17" s="32"/>
      <c r="G17" s="32"/>
      <c r="H17" s="32"/>
      <c r="I17" s="32"/>
      <c r="J17" s="32"/>
      <c r="K17" s="13"/>
      <c r="L17" s="13"/>
      <c r="M17" s="13"/>
      <c r="N17" s="3"/>
      <c r="O17" s="32">
        <v>2573928.6666666665</v>
      </c>
      <c r="P17" s="13"/>
      <c r="Q17" s="13"/>
      <c r="R17" s="32"/>
      <c r="S17" s="32"/>
      <c r="T17" s="32"/>
      <c r="U17" s="32"/>
      <c r="V17" s="32"/>
    </row>
    <row r="18" spans="1:22" s="1" customFormat="1" ht="16.5" x14ac:dyDescent="0.25">
      <c r="A18" s="219"/>
      <c r="B18" s="14"/>
      <c r="C18" s="32"/>
      <c r="D18" s="32"/>
      <c r="E18" s="32"/>
      <c r="F18" s="32"/>
      <c r="G18" s="32"/>
      <c r="H18" s="32"/>
      <c r="I18" s="32"/>
      <c r="J18" s="32"/>
      <c r="K18" s="13"/>
      <c r="L18" s="13"/>
      <c r="M18" s="13"/>
      <c r="N18" s="3"/>
      <c r="O18" s="32">
        <v>3886640</v>
      </c>
      <c r="P18" s="13"/>
      <c r="Q18" s="13"/>
      <c r="R18" s="32"/>
      <c r="S18" s="32"/>
      <c r="T18" s="32"/>
      <c r="U18" s="32"/>
      <c r="V18" s="32"/>
    </row>
    <row r="19" spans="1:22" s="1" customFormat="1" ht="16.5" x14ac:dyDescent="0.25">
      <c r="A19" s="219"/>
      <c r="B19" s="14"/>
      <c r="C19" s="32"/>
      <c r="D19" s="32"/>
      <c r="E19" s="32"/>
      <c r="F19" s="32"/>
      <c r="G19" s="32"/>
      <c r="H19" s="32"/>
      <c r="I19" s="32"/>
      <c r="J19" s="32"/>
      <c r="K19" s="13"/>
      <c r="L19" s="13"/>
      <c r="M19" s="13"/>
      <c r="N19" s="3"/>
      <c r="O19" s="32">
        <v>4232148.666666667</v>
      </c>
      <c r="P19" s="13"/>
      <c r="Q19" s="13"/>
      <c r="R19" s="32"/>
      <c r="S19" s="32"/>
      <c r="T19" s="32"/>
      <c r="U19" s="32"/>
      <c r="V19" s="32"/>
    </row>
    <row r="20" spans="1:22" ht="16.5" x14ac:dyDescent="0.25">
      <c r="A20" s="219"/>
      <c r="B20" s="14"/>
      <c r="C20" s="16"/>
      <c r="D20" s="16"/>
      <c r="E20" s="16"/>
      <c r="F20" s="16"/>
      <c r="G20" s="16"/>
      <c r="H20" s="16"/>
      <c r="I20" s="32"/>
      <c r="J20" s="16"/>
      <c r="K20" s="13"/>
      <c r="L20" s="13"/>
      <c r="M20" s="13"/>
      <c r="N20" s="3"/>
      <c r="O20" s="32">
        <v>4933519.333333333</v>
      </c>
      <c r="P20" s="13"/>
      <c r="Q20" s="13"/>
      <c r="R20" s="4"/>
      <c r="S20" s="32"/>
      <c r="T20" s="32"/>
      <c r="U20" s="32"/>
      <c r="V20" s="32"/>
    </row>
    <row r="21" spans="1:22" s="1" customFormat="1" ht="16.5" x14ac:dyDescent="0.25">
      <c r="A21" s="66"/>
      <c r="B21" s="67"/>
      <c r="C21" s="7"/>
      <c r="D21" s="7"/>
      <c r="E21" s="7"/>
      <c r="F21" s="7"/>
      <c r="G21" s="7"/>
      <c r="H21" s="7"/>
      <c r="I21" s="7"/>
      <c r="J21" s="7"/>
      <c r="K21" s="33"/>
      <c r="L21" s="33"/>
      <c r="M21" s="33"/>
      <c r="N21" s="3"/>
      <c r="O21" s="7"/>
      <c r="P21" s="33"/>
      <c r="Q21" s="33"/>
      <c r="R21" s="7"/>
      <c r="S21" s="7"/>
      <c r="T21" s="7"/>
      <c r="U21" s="7"/>
      <c r="V21" s="7"/>
    </row>
    <row r="22" spans="1:22" s="69" customFormat="1" x14ac:dyDescent="0.25">
      <c r="A22" s="68" t="str">
        <f t="shared" ref="A22:M22" si="0">A4</f>
        <v>Noms des groupes</v>
      </c>
      <c r="B22" s="68" t="str">
        <f t="shared" si="0"/>
        <v>Témoin solvant</v>
      </c>
      <c r="C22" s="68" t="str">
        <f t="shared" si="0"/>
        <v>EE2-33,8ng/L</v>
      </c>
      <c r="D22" s="68" t="str">
        <f t="shared" si="0"/>
        <v>EE2-50,6ng/L</v>
      </c>
      <c r="E22" s="68" t="str">
        <f t="shared" si="0"/>
        <v>EE2-76ng/L</v>
      </c>
      <c r="F22" s="68" t="str">
        <f t="shared" si="0"/>
        <v>EE2-114ng/L</v>
      </c>
      <c r="G22" s="68" t="str">
        <f t="shared" si="0"/>
        <v>EE2-170,9ng/L</v>
      </c>
      <c r="H22" s="68" t="str">
        <f t="shared" si="0"/>
        <v>EE2-488ng/L</v>
      </c>
      <c r="I22" s="68" t="str">
        <f t="shared" si="0"/>
        <v>Cromolyn-0,1µg/L</v>
      </c>
      <c r="J22" s="68" t="str">
        <f t="shared" si="0"/>
        <v>Cromolyn-1µg/L</v>
      </c>
      <c r="K22" s="68" t="str">
        <f t="shared" si="0"/>
        <v>Cromolyn-10µg/L</v>
      </c>
      <c r="L22" s="68" t="str">
        <f t="shared" si="0"/>
        <v>Cromolyn-100µg/L</v>
      </c>
      <c r="M22" s="68" t="str">
        <f t="shared" si="0"/>
        <v>Cromolyn-1000µg/L</v>
      </c>
      <c r="N22" s="68" t="s">
        <v>47</v>
      </c>
      <c r="O22" s="68" t="str">
        <f t="shared" ref="O22:V22" si="1">O4</f>
        <v>Testo -30µg/L</v>
      </c>
      <c r="P22" s="68" t="str">
        <f t="shared" si="1"/>
        <v>Testo 30µg/L + EE2 -64ng/L</v>
      </c>
      <c r="Q22" s="68" t="str">
        <f t="shared" si="1"/>
        <v>Testo 30µg/L + FAD-10mg/L</v>
      </c>
      <c r="R22" s="68" t="str">
        <f t="shared" si="1"/>
        <v>Cromolyn-0,1µg/L + Testostérone</v>
      </c>
      <c r="S22" s="68" t="str">
        <f t="shared" si="1"/>
        <v>Cromolyn-1µg/L + Testostérone</v>
      </c>
      <c r="T22" s="68" t="str">
        <f t="shared" si="1"/>
        <v>Cromolyn-10µg/L + Testostérone</v>
      </c>
      <c r="U22" s="68" t="str">
        <f t="shared" si="1"/>
        <v>Cromolyn-100µg/L + Testostérone</v>
      </c>
      <c r="V22" s="68" t="str">
        <f t="shared" si="1"/>
        <v>Cromolyn-1000µg/L + Testostérone</v>
      </c>
    </row>
    <row r="23" spans="1:22" x14ac:dyDescent="0.25">
      <c r="A23" s="5" t="s">
        <v>0</v>
      </c>
      <c r="B23" s="5">
        <f t="shared" ref="B23:M23" si="2">AVERAGE(B5:B20)</f>
        <v>411540.58333333337</v>
      </c>
      <c r="C23" s="5">
        <f t="shared" si="2"/>
        <v>505121.08333333337</v>
      </c>
      <c r="D23" s="5">
        <f t="shared" si="2"/>
        <v>315869.47619047615</v>
      </c>
      <c r="E23" s="5">
        <f t="shared" si="2"/>
        <v>374107.875</v>
      </c>
      <c r="F23" s="5">
        <f t="shared" si="2"/>
        <v>2165067.708333333</v>
      </c>
      <c r="G23" s="5">
        <f t="shared" si="2"/>
        <v>3448939.0000000005</v>
      </c>
      <c r="H23" s="5">
        <f t="shared" si="2"/>
        <v>5702279.2500000009</v>
      </c>
      <c r="I23" s="5">
        <f t="shared" si="2"/>
        <v>269111.45833333331</v>
      </c>
      <c r="J23" s="5">
        <f t="shared" si="2"/>
        <v>259106.29166666669</v>
      </c>
      <c r="K23" s="5">
        <f t="shared" si="2"/>
        <v>257542.31250000003</v>
      </c>
      <c r="L23" s="5">
        <f t="shared" si="2"/>
        <v>451821.47916666669</v>
      </c>
      <c r="M23" s="5">
        <f t="shared" si="2"/>
        <v>377537.20833333331</v>
      </c>
      <c r="N23" s="5" t="s">
        <v>0</v>
      </c>
      <c r="O23" s="5">
        <f t="shared" ref="O23:V23" si="3">AVERAGE(O5:O20)</f>
        <v>3581983.6333333328</v>
      </c>
      <c r="P23" s="5">
        <f t="shared" si="3"/>
        <v>4859799.770833333</v>
      </c>
      <c r="Q23" s="5">
        <f t="shared" si="3"/>
        <v>345850.45833333331</v>
      </c>
      <c r="R23" s="5">
        <f t="shared" si="3"/>
        <v>3843846.3333333335</v>
      </c>
      <c r="S23" s="5">
        <f t="shared" si="3"/>
        <v>3053968.9583333335</v>
      </c>
      <c r="T23" s="5">
        <f t="shared" si="3"/>
        <v>2451148.291666667</v>
      </c>
      <c r="U23" s="5">
        <f t="shared" si="3"/>
        <v>3494212.2083333335</v>
      </c>
      <c r="V23" s="5">
        <f t="shared" si="3"/>
        <v>4190730.7916666665</v>
      </c>
    </row>
    <row r="24" spans="1:22" x14ac:dyDescent="0.25">
      <c r="A24" s="3" t="s">
        <v>1</v>
      </c>
      <c r="B24" s="3">
        <f t="shared" ref="B24:M24" si="4">STDEV(B5:B20)</f>
        <v>207442.17209863564</v>
      </c>
      <c r="C24" s="3">
        <f t="shared" si="4"/>
        <v>446147.64186067501</v>
      </c>
      <c r="D24" s="3">
        <f t="shared" si="4"/>
        <v>228507.36711560487</v>
      </c>
      <c r="E24" s="3">
        <f t="shared" si="4"/>
        <v>247738.40405928041</v>
      </c>
      <c r="F24" s="3">
        <f t="shared" si="4"/>
        <v>789804.2912730705</v>
      </c>
      <c r="G24" s="3">
        <f t="shared" si="4"/>
        <v>1359091.2989329183</v>
      </c>
      <c r="H24" s="3">
        <f t="shared" si="4"/>
        <v>1637746.4097256085</v>
      </c>
      <c r="I24" s="3">
        <f t="shared" si="4"/>
        <v>202819.1893196592</v>
      </c>
      <c r="J24" s="3">
        <f t="shared" si="4"/>
        <v>224077.02510190956</v>
      </c>
      <c r="K24" s="3">
        <f t="shared" si="4"/>
        <v>163803.55519201391</v>
      </c>
      <c r="L24" s="3">
        <f t="shared" si="4"/>
        <v>302492.61062190041</v>
      </c>
      <c r="M24" s="3">
        <f t="shared" si="4"/>
        <v>229158.77081732219</v>
      </c>
      <c r="N24" s="3" t="s">
        <v>1</v>
      </c>
      <c r="O24" s="3">
        <f t="shared" ref="O24:V24" si="5">STDEV(O5:O20)</f>
        <v>1164386.066461436</v>
      </c>
      <c r="P24" s="3">
        <f t="shared" si="5"/>
        <v>880645.92425255082</v>
      </c>
      <c r="Q24" s="3">
        <f t="shared" si="5"/>
        <v>185057.46828622179</v>
      </c>
      <c r="R24" s="3">
        <f t="shared" si="5"/>
        <v>1466596.3273416855</v>
      </c>
      <c r="S24" s="3">
        <f t="shared" si="5"/>
        <v>1541556.3023990409</v>
      </c>
      <c r="T24" s="3">
        <f t="shared" si="5"/>
        <v>1261680.0346344626</v>
      </c>
      <c r="U24" s="3">
        <f t="shared" si="5"/>
        <v>1676228.7562016973</v>
      </c>
      <c r="V24" s="3">
        <f t="shared" si="5"/>
        <v>1190973.9209947679</v>
      </c>
    </row>
    <row r="25" spans="1:22" ht="15.75" thickBot="1" x14ac:dyDescent="0.3"/>
    <row r="26" spans="1:22" ht="15.75" thickBot="1" x14ac:dyDescent="0.3">
      <c r="B26" s="222" t="s">
        <v>6</v>
      </c>
      <c r="C26" s="223"/>
      <c r="D26" s="223"/>
      <c r="E26" s="223"/>
      <c r="F26" s="223"/>
      <c r="G26" s="223"/>
      <c r="H26" s="223"/>
      <c r="I26" s="223"/>
      <c r="J26" s="223"/>
      <c r="K26" s="223"/>
      <c r="L26" s="223"/>
      <c r="M26" s="223"/>
      <c r="N26" s="1"/>
      <c r="O26" s="222" t="s">
        <v>3</v>
      </c>
      <c r="P26" s="223"/>
      <c r="Q26" s="223"/>
      <c r="R26" s="223"/>
      <c r="S26" s="223"/>
      <c r="T26" s="223"/>
      <c r="U26" s="223"/>
      <c r="V26" s="223"/>
    </row>
    <row r="27" spans="1:22" s="1" customFormat="1" x14ac:dyDescent="0.25">
      <c r="A27" s="34" t="s">
        <v>41</v>
      </c>
      <c r="B27" s="35" t="str">
        <f t="shared" ref="B27:M27" si="6">B4</f>
        <v>Témoin solvant</v>
      </c>
      <c r="C27" s="35" t="str">
        <f t="shared" si="6"/>
        <v>EE2-33,8ng/L</v>
      </c>
      <c r="D27" s="35" t="str">
        <f t="shared" si="6"/>
        <v>EE2-50,6ng/L</v>
      </c>
      <c r="E27" s="35" t="str">
        <f t="shared" si="6"/>
        <v>EE2-76ng/L</v>
      </c>
      <c r="F27" s="35" t="str">
        <f t="shared" si="6"/>
        <v>EE2-114ng/L</v>
      </c>
      <c r="G27" s="35" t="str">
        <f t="shared" si="6"/>
        <v>EE2-170,9ng/L</v>
      </c>
      <c r="H27" s="35" t="str">
        <f t="shared" si="6"/>
        <v>EE2-488ng/L</v>
      </c>
      <c r="I27" s="35" t="str">
        <f t="shared" si="6"/>
        <v>Cromolyn-0,1µg/L</v>
      </c>
      <c r="J27" s="35" t="str">
        <f t="shared" si="6"/>
        <v>Cromolyn-1µg/L</v>
      </c>
      <c r="K27" s="35" t="str">
        <f t="shared" si="6"/>
        <v>Cromolyn-10µg/L</v>
      </c>
      <c r="L27" s="35" t="str">
        <f t="shared" si="6"/>
        <v>Cromolyn-100µg/L</v>
      </c>
      <c r="M27" s="35" t="str">
        <f t="shared" si="6"/>
        <v>Cromolyn-1000µg/L</v>
      </c>
      <c r="N27" s="3"/>
      <c r="O27" s="36" t="str">
        <f t="shared" ref="O27:V27" si="7">O4</f>
        <v>Testo -30µg/L</v>
      </c>
      <c r="P27" s="36" t="str">
        <f t="shared" si="7"/>
        <v>Testo 30µg/L + EE2 -64ng/L</v>
      </c>
      <c r="Q27" s="36" t="str">
        <f t="shared" si="7"/>
        <v>Testo 30µg/L + FAD-10mg/L</v>
      </c>
      <c r="R27" s="36" t="str">
        <f t="shared" si="7"/>
        <v>Cromolyn-0,1µg/L + Testostérone</v>
      </c>
      <c r="S27" s="36" t="str">
        <f t="shared" si="7"/>
        <v>Cromolyn-1µg/L + Testostérone</v>
      </c>
      <c r="T27" s="36" t="str">
        <f t="shared" si="7"/>
        <v>Cromolyn-10µg/L + Testostérone</v>
      </c>
      <c r="U27" s="36" t="str">
        <f t="shared" si="7"/>
        <v>Cromolyn-100µg/L + Testostérone</v>
      </c>
      <c r="V27" s="36" t="str">
        <f t="shared" si="7"/>
        <v>Cromolyn-1000µg/L + Testostérone</v>
      </c>
    </row>
    <row r="28" spans="1:22" x14ac:dyDescent="0.25">
      <c r="A28" s="220" t="s">
        <v>34</v>
      </c>
      <c r="B28" s="11">
        <f t="shared" ref="B28:M28" si="8">IF(B5="","",(B5/$O$23))</f>
        <v>2.6857278865847045E-2</v>
      </c>
      <c r="C28" s="11">
        <f t="shared" si="8"/>
        <v>6.7359743845470207E-2</v>
      </c>
      <c r="D28" s="11">
        <f t="shared" si="8"/>
        <v>2.5689862402032755E-2</v>
      </c>
      <c r="E28" s="11">
        <f t="shared" si="8"/>
        <v>0.10905577467323066</v>
      </c>
      <c r="F28" s="11">
        <f t="shared" si="8"/>
        <v>0.60438983580317684</v>
      </c>
      <c r="G28" s="11">
        <f t="shared" si="8"/>
        <v>1.0686316275649466</v>
      </c>
      <c r="H28" s="11">
        <f t="shared" si="8"/>
        <v>1.9413532775401015</v>
      </c>
      <c r="I28" s="11">
        <f t="shared" si="8"/>
        <v>0.19503522950211882</v>
      </c>
      <c r="J28" s="11">
        <f t="shared" si="8"/>
        <v>0.21659581563880032</v>
      </c>
      <c r="K28" s="11">
        <f t="shared" si="8"/>
        <v>4.2732653840806219E-2</v>
      </c>
      <c r="L28" s="11">
        <f t="shared" si="8"/>
        <v>2.9677410865519591E-2</v>
      </c>
      <c r="M28" s="11">
        <f t="shared" si="8"/>
        <v>3.5939304356955519E-2</v>
      </c>
      <c r="N28" s="6"/>
      <c r="O28" s="11">
        <f t="shared" ref="O28:V37" si="9">IF(O5="","",(O5/$O$23))</f>
        <v>0.87818259061652704</v>
      </c>
      <c r="P28" s="11">
        <f t="shared" si="9"/>
        <v>1.3541389808509179</v>
      </c>
      <c r="Q28" s="11">
        <f t="shared" si="9"/>
        <v>5.0316998935850343E-2</v>
      </c>
      <c r="R28" s="11">
        <f t="shared" si="9"/>
        <v>0.77435622751635702</v>
      </c>
      <c r="S28" s="11">
        <f t="shared" si="9"/>
        <v>9.231095593410911E-2</v>
      </c>
      <c r="T28" s="11">
        <f t="shared" si="9"/>
        <v>0.55554218100884867</v>
      </c>
      <c r="U28" s="11">
        <f t="shared" si="9"/>
        <v>0.87174342104987668</v>
      </c>
      <c r="V28" s="11">
        <f t="shared" si="9"/>
        <v>1.3553587891416852</v>
      </c>
    </row>
    <row r="29" spans="1:22" x14ac:dyDescent="0.25">
      <c r="A29" s="221"/>
      <c r="B29" s="11">
        <f t="shared" ref="B29:M29" si="10">IF(B6="","",(B6/$O$23))</f>
        <v>0.19770428134005341</v>
      </c>
      <c r="C29" s="11">
        <f t="shared" si="10"/>
        <v>0.18465401698420195</v>
      </c>
      <c r="D29" s="11">
        <f t="shared" si="10"/>
        <v>0.17021397333948363</v>
      </c>
      <c r="E29" s="11">
        <f t="shared" si="10"/>
        <v>0.24091297495133729</v>
      </c>
      <c r="F29" s="11">
        <f t="shared" si="10"/>
        <v>1.0290208007557526</v>
      </c>
      <c r="G29" s="11">
        <f t="shared" si="10"/>
        <v>0.97812004705884159</v>
      </c>
      <c r="H29" s="11">
        <f t="shared" si="10"/>
        <v>1.8727536713386623</v>
      </c>
      <c r="I29" s="11">
        <f t="shared" si="10"/>
        <v>2.6299766547416482E-2</v>
      </c>
      <c r="J29" s="11">
        <f t="shared" si="10"/>
        <v>7.0970824927182583E-2</v>
      </c>
      <c r="K29" s="11">
        <f t="shared" si="10"/>
        <v>8.050557908281529E-2</v>
      </c>
      <c r="L29" s="11">
        <f t="shared" si="10"/>
        <v>0.25055656079723948</v>
      </c>
      <c r="M29" s="11">
        <f t="shared" si="10"/>
        <v>3.2640201250128557E-2</v>
      </c>
      <c r="N29" s="6"/>
      <c r="O29" s="11">
        <f t="shared" si="9"/>
        <v>1.1973790053330693</v>
      </c>
      <c r="P29" s="11">
        <f t="shared" si="9"/>
        <v>1.5048696621161746</v>
      </c>
      <c r="Q29" s="11">
        <f t="shared" si="9"/>
        <v>9.2101667801218062E-2</v>
      </c>
      <c r="R29" s="11">
        <f t="shared" si="9"/>
        <v>1.2641196787898967</v>
      </c>
      <c r="S29" s="11">
        <f t="shared" si="9"/>
        <v>1.2328049070092069</v>
      </c>
      <c r="T29" s="11">
        <f t="shared" si="9"/>
        <v>0.91216134255740933</v>
      </c>
      <c r="U29" s="11">
        <f t="shared" si="9"/>
        <v>1.2999735556208434</v>
      </c>
      <c r="V29" s="11">
        <f t="shared" si="9"/>
        <v>1.1634686512479786</v>
      </c>
    </row>
    <row r="30" spans="1:22" x14ac:dyDescent="0.25">
      <c r="A30" s="221"/>
      <c r="B30" s="11">
        <f t="shared" ref="B30:M30" si="11">IF(B7="","",(B7/$O$23))</f>
        <v>0.15680222398931679</v>
      </c>
      <c r="C30" s="11">
        <f t="shared" si="11"/>
        <v>0.41091151830965472</v>
      </c>
      <c r="D30" s="11">
        <f t="shared" si="11"/>
        <v>5.0653125541453951E-2</v>
      </c>
      <c r="E30" s="11">
        <f t="shared" si="11"/>
        <v>3.6692053003890057E-2</v>
      </c>
      <c r="F30" s="11">
        <f t="shared" si="11"/>
        <v>0.56396200358592752</v>
      </c>
      <c r="G30" s="11">
        <f t="shared" si="11"/>
        <v>1.1978378758458688</v>
      </c>
      <c r="H30" s="11">
        <f t="shared" si="11"/>
        <v>1.0462729733857243</v>
      </c>
      <c r="I30" s="11">
        <f t="shared" si="11"/>
        <v>8.4329996333781895E-2</v>
      </c>
      <c r="J30" s="11">
        <f t="shared" si="11"/>
        <v>6.8358119894257108E-2</v>
      </c>
      <c r="K30" s="11">
        <f t="shared" si="11"/>
        <v>0.10083128148296305</v>
      </c>
      <c r="L30" s="11">
        <f t="shared" si="11"/>
        <v>1.443408791305756E-2</v>
      </c>
      <c r="M30" s="11">
        <f t="shared" si="11"/>
        <v>0.15319937856779153</v>
      </c>
      <c r="N30" s="6"/>
      <c r="O30" s="11">
        <f t="shared" si="9"/>
        <v>1.2100839768400582</v>
      </c>
      <c r="P30" s="11">
        <f t="shared" si="9"/>
        <v>1.3994944830801341</v>
      </c>
      <c r="Q30" s="11">
        <f t="shared" si="9"/>
        <v>0.13509991005077088</v>
      </c>
      <c r="R30" s="11">
        <f t="shared" si="9"/>
        <v>0.76262743765188812</v>
      </c>
      <c r="S30" s="11">
        <f t="shared" si="9"/>
        <v>0.60337135916003504</v>
      </c>
      <c r="T30" s="11">
        <f t="shared" si="9"/>
        <v>8.2989398360269837E-3</v>
      </c>
      <c r="U30" s="11">
        <f t="shared" si="9"/>
        <v>1.4567033802471592</v>
      </c>
      <c r="V30" s="11">
        <f t="shared" si="9"/>
        <v>0.68125613713719846</v>
      </c>
    </row>
    <row r="31" spans="1:22" x14ac:dyDescent="0.25">
      <c r="A31" s="221"/>
      <c r="B31" s="11">
        <f t="shared" ref="B31:M31" si="12">IF(B8="","",(B8/$O$23))</f>
        <v>7.3041930612208553E-2</v>
      </c>
      <c r="C31" s="11">
        <f t="shared" si="12"/>
        <v>0.13299651313314675</v>
      </c>
      <c r="D31" s="11">
        <f t="shared" si="12"/>
        <v>8.7476018525266125E-2</v>
      </c>
      <c r="E31" s="11">
        <f t="shared" si="12"/>
        <v>0.14937691554127611</v>
      </c>
      <c r="F31" s="11">
        <f t="shared" si="12"/>
        <v>0.35703382936544037</v>
      </c>
      <c r="G31" s="11">
        <f t="shared" si="12"/>
        <v>1.2461641714741134</v>
      </c>
      <c r="H31" s="11">
        <f t="shared" si="12"/>
        <v>1.5212592307675632</v>
      </c>
      <c r="I31" s="11">
        <f t="shared" si="12"/>
        <v>2.0683883824557586E-2</v>
      </c>
      <c r="J31" s="11">
        <f t="shared" si="12"/>
        <v>8.8550935031724384E-2</v>
      </c>
      <c r="K31" s="11">
        <f t="shared" si="12"/>
        <v>8.3430308619779764E-2</v>
      </c>
      <c r="L31" s="11">
        <f t="shared" si="12"/>
        <v>0.14423618853497649</v>
      </c>
      <c r="M31" s="11">
        <f t="shared" si="12"/>
        <v>0.15238018628951677</v>
      </c>
      <c r="N31" s="6"/>
      <c r="O31" s="11">
        <f t="shared" si="9"/>
        <v>0.82027007958876874</v>
      </c>
      <c r="P31" s="11">
        <f t="shared" si="9"/>
        <v>1.5597427492433455</v>
      </c>
      <c r="Q31" s="11">
        <f t="shared" si="9"/>
        <v>5.4552082496487124E-2</v>
      </c>
      <c r="R31" s="11">
        <f t="shared" si="9"/>
        <v>1.289474438227705</v>
      </c>
      <c r="S31" s="11">
        <f t="shared" si="9"/>
        <v>0.97503441970872973</v>
      </c>
      <c r="T31" s="11">
        <f t="shared" si="9"/>
        <v>0.70666031053612954</v>
      </c>
      <c r="U31" s="11">
        <f t="shared" si="9"/>
        <v>0.63752124532785648</v>
      </c>
      <c r="V31" s="11">
        <f t="shared" si="9"/>
        <v>1.2478912405974236</v>
      </c>
    </row>
    <row r="32" spans="1:22" x14ac:dyDescent="0.25">
      <c r="A32" s="221"/>
      <c r="B32" s="11">
        <f t="shared" ref="B32:M32" si="13">IF(B9="","",(B9/$O$23))</f>
        <v>0.16286506576165355</v>
      </c>
      <c r="C32" s="11">
        <f t="shared" si="13"/>
        <v>0.16918125877534024</v>
      </c>
      <c r="D32" s="11">
        <f t="shared" si="13"/>
        <v>0.18429974400869448</v>
      </c>
      <c r="E32" s="11">
        <f t="shared" si="13"/>
        <v>8.6471640215664877E-2</v>
      </c>
      <c r="F32" s="11">
        <f t="shared" si="13"/>
        <v>0.6105873794751846</v>
      </c>
      <c r="G32" s="11">
        <f t="shared" si="13"/>
        <v>0.25116437113071122</v>
      </c>
      <c r="H32" s="11">
        <f t="shared" si="13"/>
        <v>1.5998304998769353</v>
      </c>
      <c r="I32" s="11">
        <f t="shared" si="13"/>
        <v>4.2607769592544864E-2</v>
      </c>
      <c r="J32" s="11">
        <f t="shared" si="13"/>
        <v>4.7621844242746361E-2</v>
      </c>
      <c r="K32" s="11">
        <f t="shared" si="13"/>
        <v>0.126162962460586</v>
      </c>
      <c r="L32" s="11">
        <f t="shared" si="13"/>
        <v>8.177163735226077E-2</v>
      </c>
      <c r="M32" s="11">
        <f t="shared" si="13"/>
        <v>7.5966660149173026E-2</v>
      </c>
      <c r="N32" s="6"/>
      <c r="O32" s="11">
        <f t="shared" si="9"/>
        <v>8.6807766821268478E-2</v>
      </c>
      <c r="P32" s="11">
        <f t="shared" si="9"/>
        <v>0.9514942972613063</v>
      </c>
      <c r="Q32" s="11">
        <f t="shared" si="9"/>
        <v>0.16120043876247381</v>
      </c>
      <c r="R32" s="11">
        <f t="shared" si="9"/>
        <v>1.3353793567026258</v>
      </c>
      <c r="S32" s="11">
        <f t="shared" si="9"/>
        <v>0.85719068379514007</v>
      </c>
      <c r="T32" s="11">
        <f t="shared" si="9"/>
        <v>0.38223653152928522</v>
      </c>
      <c r="U32" s="11">
        <f t="shared" si="9"/>
        <v>3.0778476756300837E-2</v>
      </c>
      <c r="V32" s="11">
        <f t="shared" si="9"/>
        <v>1.595116445209144</v>
      </c>
    </row>
    <row r="33" spans="1:22" x14ac:dyDescent="0.25">
      <c r="A33" s="221"/>
      <c r="B33" s="11">
        <f t="shared" ref="B33:M33" si="14">IF(B10="","",(B10/$O$23))</f>
        <v>0.13323092700898162</v>
      </c>
      <c r="C33" s="11">
        <f t="shared" si="14"/>
        <v>0.11223204081455464</v>
      </c>
      <c r="D33" s="11">
        <f t="shared" si="14"/>
        <v>4.1138378921869077E-2</v>
      </c>
      <c r="E33" s="11">
        <f t="shared" si="14"/>
        <v>0.12237865334002225</v>
      </c>
      <c r="F33" s="11">
        <f t="shared" si="14"/>
        <v>0.79622362689187431</v>
      </c>
      <c r="G33" s="11">
        <f t="shared" si="14"/>
        <v>1.4674036897004621</v>
      </c>
      <c r="H33" s="11">
        <f t="shared" si="14"/>
        <v>2.3752736484213792</v>
      </c>
      <c r="I33" s="11">
        <f t="shared" si="14"/>
        <v>9.26250277209065E-2</v>
      </c>
      <c r="J33" s="11">
        <f t="shared" si="14"/>
        <v>2.534563972370282E-2</v>
      </c>
      <c r="K33" s="11">
        <f t="shared" si="14"/>
        <v>1.8191177478765516E-2</v>
      </c>
      <c r="L33" s="11">
        <f t="shared" si="14"/>
        <v>0.22763830048767486</v>
      </c>
      <c r="M33" s="11">
        <f t="shared" si="14"/>
        <v>4.4980942542739523E-2</v>
      </c>
      <c r="N33" s="6"/>
      <c r="O33" s="11">
        <f t="shared" si="9"/>
        <v>0.72489862204749145</v>
      </c>
      <c r="P33" s="11">
        <f t="shared" si="9"/>
        <v>1.5716345772620273</v>
      </c>
      <c r="Q33" s="11">
        <f t="shared" si="9"/>
        <v>0.14900672959523759</v>
      </c>
      <c r="R33" s="11">
        <f t="shared" si="9"/>
        <v>0.53386192188910908</v>
      </c>
      <c r="S33" s="11">
        <f t="shared" si="9"/>
        <v>1.0721279212247286</v>
      </c>
      <c r="T33" s="11">
        <f t="shared" si="9"/>
        <v>0.97959353229503421</v>
      </c>
      <c r="U33" s="11">
        <f t="shared" si="9"/>
        <v>1.004607046920343</v>
      </c>
      <c r="V33" s="11">
        <f t="shared" si="9"/>
        <v>1.11731014888594</v>
      </c>
    </row>
    <row r="34" spans="1:22" x14ac:dyDescent="0.25">
      <c r="A34" s="221"/>
      <c r="B34" s="11">
        <f t="shared" ref="B34:M34" si="15">IF(B11="","",(B11/$O$23))</f>
        <v>6.3655092635869021E-2</v>
      </c>
      <c r="C34" s="11">
        <f t="shared" si="15"/>
        <v>2.6317819859013131E-2</v>
      </c>
      <c r="D34" s="11">
        <f t="shared" si="15"/>
        <v>5.7808751015231245E-2</v>
      </c>
      <c r="E34" s="11">
        <f t="shared" si="15"/>
        <v>2.8085183229340834E-2</v>
      </c>
      <c r="F34" s="11">
        <f t="shared" si="15"/>
        <v>0.39024354745562823</v>
      </c>
      <c r="G34" s="11">
        <f t="shared" si="15"/>
        <v>0.69030401022956478</v>
      </c>
      <c r="H34" s="11">
        <f t="shared" si="15"/>
        <v>1.293836267202747</v>
      </c>
      <c r="I34" s="11">
        <f t="shared" si="15"/>
        <v>9.4317758328860427E-2</v>
      </c>
      <c r="J34" s="11">
        <f t="shared" si="15"/>
        <v>2.9413590564609786E-2</v>
      </c>
      <c r="K34" s="11">
        <f t="shared" si="15"/>
        <v>3.7680239168038638E-3</v>
      </c>
      <c r="L34" s="11">
        <f t="shared" si="15"/>
        <v>0.12693776592632675</v>
      </c>
      <c r="M34" s="11">
        <f t="shared" si="15"/>
        <v>0.16700941747277109</v>
      </c>
      <c r="N34" s="6"/>
      <c r="O34" s="11">
        <f t="shared" si="9"/>
        <v>1.1262411407444641</v>
      </c>
      <c r="P34" s="11">
        <f t="shared" si="9"/>
        <v>1.5087594528279487</v>
      </c>
      <c r="Q34" s="11">
        <f t="shared" si="9"/>
        <v>1.8363195759623287E-2</v>
      </c>
      <c r="R34" s="11">
        <f t="shared" si="9"/>
        <v>0.84866021489080146</v>
      </c>
      <c r="S34" s="11">
        <f t="shared" si="9"/>
        <v>0.5419393829540019</v>
      </c>
      <c r="T34" s="11">
        <f t="shared" si="9"/>
        <v>0.90788605780806253</v>
      </c>
      <c r="U34" s="11">
        <f t="shared" si="9"/>
        <v>1.1382376593587451</v>
      </c>
      <c r="V34" s="11">
        <f t="shared" si="9"/>
        <v>1.4875903629896543</v>
      </c>
    </row>
    <row r="35" spans="1:22" x14ac:dyDescent="0.25">
      <c r="A35" s="221"/>
      <c r="B35" s="11">
        <f t="shared" ref="B35:M35" si="16">IF(B12="","",(B12/$O$23))</f>
        <v>0.10497768047683896</v>
      </c>
      <c r="C35" s="11">
        <f t="shared" si="16"/>
        <v>2.4484198973959582E-2</v>
      </c>
      <c r="D35" s="11" t="str">
        <f t="shared" si="16"/>
        <v/>
      </c>
      <c r="E35" s="11">
        <f t="shared" si="16"/>
        <v>6.2559098422830139E-2</v>
      </c>
      <c r="F35" s="11">
        <f t="shared" si="16"/>
        <v>0.4839998384880021</v>
      </c>
      <c r="G35" s="11">
        <f t="shared" si="16"/>
        <v>0.8032324063568913</v>
      </c>
      <c r="H35" s="11">
        <f t="shared" si="16"/>
        <v>1.0848873318414289</v>
      </c>
      <c r="I35" s="11">
        <f t="shared" si="16"/>
        <v>4.5133930399775049E-2</v>
      </c>
      <c r="J35" s="11">
        <f t="shared" si="16"/>
        <v>3.1831059269031278E-2</v>
      </c>
      <c r="K35" s="11">
        <f t="shared" si="16"/>
        <v>0.11957285231965839</v>
      </c>
      <c r="L35" s="11">
        <f t="shared" si="16"/>
        <v>0.13384585630295409</v>
      </c>
      <c r="M35" s="11">
        <f t="shared" si="16"/>
        <v>0.18107527366424131</v>
      </c>
      <c r="N35" s="6"/>
      <c r="O35" s="11">
        <f t="shared" si="9"/>
        <v>1.0929104468549173</v>
      </c>
      <c r="P35" s="11">
        <f t="shared" si="9"/>
        <v>1.0037395573806318</v>
      </c>
      <c r="Q35" s="11">
        <f t="shared" si="9"/>
        <v>0.11178117331617439</v>
      </c>
      <c r="R35" s="11">
        <f t="shared" si="9"/>
        <v>1.7763647142664687</v>
      </c>
      <c r="S35" s="11">
        <f t="shared" si="9"/>
        <v>1.4459527262496614</v>
      </c>
      <c r="T35" s="11">
        <f t="shared" si="9"/>
        <v>1.0220141616318015</v>
      </c>
      <c r="U35" s="11">
        <f t="shared" si="9"/>
        <v>1.3644065691757443</v>
      </c>
      <c r="V35" s="11">
        <f t="shared" si="9"/>
        <v>0.71158374639511912</v>
      </c>
    </row>
    <row r="36" spans="1:22" s="1" customFormat="1" x14ac:dyDescent="0.25">
      <c r="A36" s="221"/>
      <c r="B36" s="11" t="str">
        <f t="shared" ref="B36:M36" si="17">IF(B13="","",(B13/$O$23))</f>
        <v/>
      </c>
      <c r="C36" s="11" t="str">
        <f t="shared" si="17"/>
        <v/>
      </c>
      <c r="D36" s="11" t="str">
        <f t="shared" si="17"/>
        <v/>
      </c>
      <c r="E36" s="11" t="str">
        <f t="shared" si="17"/>
        <v/>
      </c>
      <c r="F36" s="11" t="str">
        <f t="shared" si="17"/>
        <v/>
      </c>
      <c r="G36" s="11" t="str">
        <f t="shared" si="17"/>
        <v/>
      </c>
      <c r="H36" s="11" t="str">
        <f t="shared" si="17"/>
        <v/>
      </c>
      <c r="I36" s="11" t="str">
        <f t="shared" si="17"/>
        <v/>
      </c>
      <c r="J36" s="11" t="str">
        <f t="shared" si="17"/>
        <v/>
      </c>
      <c r="K36" s="11" t="str">
        <f t="shared" si="17"/>
        <v/>
      </c>
      <c r="L36" s="11" t="str">
        <f t="shared" si="17"/>
        <v/>
      </c>
      <c r="M36" s="11" t="str">
        <f t="shared" si="17"/>
        <v/>
      </c>
      <c r="N36" s="6"/>
      <c r="O36" s="11">
        <f t="shared" si="9"/>
        <v>1.3186295593440691</v>
      </c>
      <c r="P36" s="11" t="str">
        <f t="shared" si="9"/>
        <v/>
      </c>
      <c r="Q36" s="11" t="str">
        <f t="shared" si="9"/>
        <v/>
      </c>
      <c r="R36" s="11" t="str">
        <f t="shared" si="9"/>
        <v/>
      </c>
      <c r="S36" s="11" t="str">
        <f t="shared" si="9"/>
        <v/>
      </c>
      <c r="T36" s="11" t="str">
        <f t="shared" si="9"/>
        <v/>
      </c>
      <c r="U36" s="11" t="str">
        <f t="shared" si="9"/>
        <v/>
      </c>
      <c r="V36" s="11" t="str">
        <f t="shared" si="9"/>
        <v/>
      </c>
    </row>
    <row r="37" spans="1:22" s="1" customFormat="1" x14ac:dyDescent="0.25">
      <c r="A37" s="221"/>
      <c r="B37" s="11" t="str">
        <f t="shared" ref="B37:M37" si="18">IF(B14="","",(B14/$O$23))</f>
        <v/>
      </c>
      <c r="C37" s="11" t="str">
        <f t="shared" si="18"/>
        <v/>
      </c>
      <c r="D37" s="11" t="str">
        <f t="shared" si="18"/>
        <v/>
      </c>
      <c r="E37" s="11" t="str">
        <f t="shared" si="18"/>
        <v/>
      </c>
      <c r="F37" s="11" t="str">
        <f t="shared" si="18"/>
        <v/>
      </c>
      <c r="G37" s="11" t="str">
        <f t="shared" si="18"/>
        <v/>
      </c>
      <c r="H37" s="11" t="str">
        <f t="shared" si="18"/>
        <v/>
      </c>
      <c r="I37" s="11" t="str">
        <f t="shared" si="18"/>
        <v/>
      </c>
      <c r="J37" s="11" t="str">
        <f t="shared" si="18"/>
        <v/>
      </c>
      <c r="K37" s="11" t="str">
        <f t="shared" si="18"/>
        <v/>
      </c>
      <c r="L37" s="11" t="str">
        <f t="shared" si="18"/>
        <v/>
      </c>
      <c r="M37" s="11" t="str">
        <f t="shared" si="18"/>
        <v/>
      </c>
      <c r="N37" s="6"/>
      <c r="O37" s="11">
        <f t="shared" si="9"/>
        <v>0.95859753090813038</v>
      </c>
      <c r="P37" s="11" t="str">
        <f t="shared" si="9"/>
        <v/>
      </c>
      <c r="Q37" s="11" t="str">
        <f t="shared" si="9"/>
        <v/>
      </c>
      <c r="R37" s="11" t="str">
        <f t="shared" si="9"/>
        <v/>
      </c>
      <c r="S37" s="11" t="str">
        <f t="shared" si="9"/>
        <v/>
      </c>
      <c r="T37" s="11" t="str">
        <f t="shared" si="9"/>
        <v/>
      </c>
      <c r="U37" s="11" t="str">
        <f t="shared" si="9"/>
        <v/>
      </c>
      <c r="V37" s="11" t="str">
        <f t="shared" si="9"/>
        <v/>
      </c>
    </row>
    <row r="38" spans="1:22" s="1" customFormat="1" x14ac:dyDescent="0.25">
      <c r="A38" s="221"/>
      <c r="B38" s="11" t="str">
        <f t="shared" ref="B38:M38" si="19">IF(B15="","",(B15/$O$23))</f>
        <v/>
      </c>
      <c r="C38" s="11" t="str">
        <f t="shared" si="19"/>
        <v/>
      </c>
      <c r="D38" s="11" t="str">
        <f t="shared" si="19"/>
        <v/>
      </c>
      <c r="E38" s="11" t="str">
        <f t="shared" si="19"/>
        <v/>
      </c>
      <c r="F38" s="11" t="str">
        <f t="shared" si="19"/>
        <v/>
      </c>
      <c r="G38" s="11" t="str">
        <f t="shared" si="19"/>
        <v/>
      </c>
      <c r="H38" s="11" t="str">
        <f t="shared" si="19"/>
        <v/>
      </c>
      <c r="I38" s="11" t="str">
        <f t="shared" si="19"/>
        <v/>
      </c>
      <c r="J38" s="11" t="str">
        <f t="shared" si="19"/>
        <v/>
      </c>
      <c r="K38" s="11" t="str">
        <f t="shared" si="19"/>
        <v/>
      </c>
      <c r="L38" s="11" t="str">
        <f t="shared" si="19"/>
        <v/>
      </c>
      <c r="M38" s="11" t="str">
        <f t="shared" si="19"/>
        <v/>
      </c>
      <c r="N38" s="6"/>
      <c r="O38" s="11" t="str">
        <f t="shared" ref="O38:R38" si="20">IF(O15="","",(O15/$O$23))</f>
        <v/>
      </c>
      <c r="P38" s="11" t="str">
        <f t="shared" si="20"/>
        <v/>
      </c>
      <c r="Q38" s="11" t="str">
        <f t="shared" si="20"/>
        <v/>
      </c>
      <c r="R38" s="11" t="str">
        <f t="shared" si="20"/>
        <v/>
      </c>
      <c r="S38" s="11" t="str">
        <f t="shared" ref="S38:V43" si="21">IF(S15="","",(S15/$O$23))</f>
        <v/>
      </c>
      <c r="T38" s="11" t="str">
        <f t="shared" si="21"/>
        <v/>
      </c>
      <c r="U38" s="11" t="str">
        <f t="shared" si="21"/>
        <v/>
      </c>
      <c r="V38" s="11" t="str">
        <f t="shared" si="21"/>
        <v/>
      </c>
    </row>
    <row r="39" spans="1:22" s="1" customFormat="1" x14ac:dyDescent="0.25">
      <c r="A39" s="221"/>
      <c r="B39" s="11" t="str">
        <f t="shared" ref="B39:M39" si="22">IF(B16="","",(B16/$O$23))</f>
        <v/>
      </c>
      <c r="C39" s="11" t="str">
        <f t="shared" si="22"/>
        <v/>
      </c>
      <c r="D39" s="11" t="str">
        <f t="shared" si="22"/>
        <v/>
      </c>
      <c r="E39" s="11" t="str">
        <f t="shared" si="22"/>
        <v/>
      </c>
      <c r="F39" s="11" t="str">
        <f t="shared" si="22"/>
        <v/>
      </c>
      <c r="G39" s="11" t="str">
        <f t="shared" si="22"/>
        <v/>
      </c>
      <c r="H39" s="11" t="str">
        <f t="shared" si="22"/>
        <v/>
      </c>
      <c r="I39" s="11" t="str">
        <f t="shared" si="22"/>
        <v/>
      </c>
      <c r="J39" s="11" t="str">
        <f t="shared" si="22"/>
        <v/>
      </c>
      <c r="K39" s="11" t="str">
        <f t="shared" si="22"/>
        <v/>
      </c>
      <c r="L39" s="11" t="str">
        <f t="shared" si="22"/>
        <v/>
      </c>
      <c r="M39" s="11" t="str">
        <f t="shared" si="22"/>
        <v/>
      </c>
      <c r="N39" s="6"/>
      <c r="O39" s="11">
        <f t="shared" ref="O39:R39" si="23">IF(O16="","",(O16/$O$23))</f>
        <v>1.2235458846178053</v>
      </c>
      <c r="P39" s="11" t="str">
        <f t="shared" si="23"/>
        <v/>
      </c>
      <c r="Q39" s="11" t="str">
        <f t="shared" si="23"/>
        <v/>
      </c>
      <c r="R39" s="11" t="str">
        <f t="shared" si="23"/>
        <v/>
      </c>
      <c r="S39" s="11" t="str">
        <f t="shared" si="21"/>
        <v/>
      </c>
      <c r="T39" s="11" t="str">
        <f t="shared" si="21"/>
        <v/>
      </c>
      <c r="U39" s="11" t="str">
        <f t="shared" si="21"/>
        <v/>
      </c>
      <c r="V39" s="11" t="str">
        <f t="shared" si="21"/>
        <v/>
      </c>
    </row>
    <row r="40" spans="1:22" s="1" customFormat="1" x14ac:dyDescent="0.25">
      <c r="A40" s="221"/>
      <c r="B40" s="11" t="str">
        <f t="shared" ref="B40:M40" si="24">IF(B17="","",(B17/$O$23))</f>
        <v/>
      </c>
      <c r="C40" s="11" t="str">
        <f t="shared" si="24"/>
        <v/>
      </c>
      <c r="D40" s="11" t="str">
        <f t="shared" si="24"/>
        <v/>
      </c>
      <c r="E40" s="11" t="str">
        <f t="shared" si="24"/>
        <v/>
      </c>
      <c r="F40" s="11" t="str">
        <f t="shared" si="24"/>
        <v/>
      </c>
      <c r="G40" s="11" t="str">
        <f t="shared" si="24"/>
        <v/>
      </c>
      <c r="H40" s="11" t="str">
        <f t="shared" si="24"/>
        <v/>
      </c>
      <c r="I40" s="11" t="str">
        <f t="shared" si="24"/>
        <v/>
      </c>
      <c r="J40" s="11" t="str">
        <f t="shared" si="24"/>
        <v/>
      </c>
      <c r="K40" s="11" t="str">
        <f t="shared" si="24"/>
        <v/>
      </c>
      <c r="L40" s="11" t="str">
        <f t="shared" si="24"/>
        <v/>
      </c>
      <c r="M40" s="11" t="str">
        <f t="shared" si="24"/>
        <v/>
      </c>
      <c r="N40" s="6"/>
      <c r="O40" s="11">
        <f t="shared" ref="O40:R40" si="25">IF(O17="","",(O17/$O$23))</f>
        <v>0.71857633371468321</v>
      </c>
      <c r="P40" s="11" t="str">
        <f t="shared" si="25"/>
        <v/>
      </c>
      <c r="Q40" s="11" t="str">
        <f t="shared" si="25"/>
        <v/>
      </c>
      <c r="R40" s="11" t="str">
        <f t="shared" si="25"/>
        <v/>
      </c>
      <c r="S40" s="11" t="str">
        <f t="shared" si="21"/>
        <v/>
      </c>
      <c r="T40" s="11" t="str">
        <f t="shared" si="21"/>
        <v/>
      </c>
      <c r="U40" s="11" t="str">
        <f t="shared" si="21"/>
        <v/>
      </c>
      <c r="V40" s="11" t="str">
        <f t="shared" si="21"/>
        <v/>
      </c>
    </row>
    <row r="41" spans="1:22" s="1" customFormat="1" x14ac:dyDescent="0.25">
      <c r="A41" s="221"/>
      <c r="B41" s="11" t="str">
        <f t="shared" ref="B41:M41" si="26">IF(B18="","",(B18/$O$23))</f>
        <v/>
      </c>
      <c r="C41" s="11" t="str">
        <f t="shared" si="26"/>
        <v/>
      </c>
      <c r="D41" s="11" t="str">
        <f t="shared" si="26"/>
        <v/>
      </c>
      <c r="E41" s="11" t="str">
        <f t="shared" si="26"/>
        <v/>
      </c>
      <c r="F41" s="11" t="str">
        <f t="shared" si="26"/>
        <v/>
      </c>
      <c r="G41" s="11" t="str">
        <f t="shared" si="26"/>
        <v/>
      </c>
      <c r="H41" s="11" t="str">
        <f t="shared" si="26"/>
        <v/>
      </c>
      <c r="I41" s="11" t="str">
        <f t="shared" si="26"/>
        <v/>
      </c>
      <c r="J41" s="11" t="str">
        <f t="shared" si="26"/>
        <v/>
      </c>
      <c r="K41" s="11" t="str">
        <f t="shared" si="26"/>
        <v/>
      </c>
      <c r="L41" s="11" t="str">
        <f t="shared" si="26"/>
        <v/>
      </c>
      <c r="M41" s="11" t="str">
        <f t="shared" si="26"/>
        <v/>
      </c>
      <c r="N41" s="6"/>
      <c r="O41" s="11">
        <f t="shared" ref="O41:R41" si="27">IF(O18="","",(O18/$O$23))</f>
        <v>1.0850524172784004</v>
      </c>
      <c r="P41" s="11" t="str">
        <f t="shared" si="27"/>
        <v/>
      </c>
      <c r="Q41" s="11" t="str">
        <f t="shared" si="27"/>
        <v/>
      </c>
      <c r="R41" s="11" t="str">
        <f t="shared" si="27"/>
        <v/>
      </c>
      <c r="S41" s="11" t="str">
        <f t="shared" si="21"/>
        <v/>
      </c>
      <c r="T41" s="11" t="str">
        <f t="shared" si="21"/>
        <v/>
      </c>
      <c r="U41" s="11" t="str">
        <f t="shared" si="21"/>
        <v/>
      </c>
      <c r="V41" s="11" t="str">
        <f t="shared" si="21"/>
        <v/>
      </c>
    </row>
    <row r="42" spans="1:22" s="1" customFormat="1" x14ac:dyDescent="0.25">
      <c r="A42" s="221"/>
      <c r="B42" s="11" t="str">
        <f t="shared" ref="B42:M42" si="28">IF(B19="","",(B19/$O$23))</f>
        <v/>
      </c>
      <c r="C42" s="11" t="str">
        <f t="shared" si="28"/>
        <v/>
      </c>
      <c r="D42" s="11" t="str">
        <f t="shared" si="28"/>
        <v/>
      </c>
      <c r="E42" s="11" t="str">
        <f t="shared" si="28"/>
        <v/>
      </c>
      <c r="F42" s="11" t="str">
        <f t="shared" si="28"/>
        <v/>
      </c>
      <c r="G42" s="11" t="str">
        <f t="shared" si="28"/>
        <v/>
      </c>
      <c r="H42" s="11" t="str">
        <f t="shared" si="28"/>
        <v/>
      </c>
      <c r="I42" s="11" t="str">
        <f t="shared" si="28"/>
        <v/>
      </c>
      <c r="J42" s="11" t="str">
        <f t="shared" si="28"/>
        <v/>
      </c>
      <c r="K42" s="11" t="str">
        <f t="shared" si="28"/>
        <v/>
      </c>
      <c r="L42" s="11" t="str">
        <f t="shared" si="28"/>
        <v/>
      </c>
      <c r="M42" s="11" t="str">
        <f t="shared" si="28"/>
        <v/>
      </c>
      <c r="N42" s="6"/>
      <c r="O42" s="11">
        <f t="shared" ref="O42:R42" si="29">IF(O19="","",(O19/$O$23))</f>
        <v>1.1815097722063854</v>
      </c>
      <c r="P42" s="11" t="str">
        <f t="shared" si="29"/>
        <v/>
      </c>
      <c r="Q42" s="11" t="str">
        <f t="shared" si="29"/>
        <v/>
      </c>
      <c r="R42" s="11" t="str">
        <f t="shared" si="29"/>
        <v/>
      </c>
      <c r="S42" s="11" t="str">
        <f t="shared" si="21"/>
        <v/>
      </c>
      <c r="T42" s="11" t="str">
        <f t="shared" si="21"/>
        <v/>
      </c>
      <c r="U42" s="11" t="str">
        <f t="shared" si="21"/>
        <v/>
      </c>
      <c r="V42" s="11" t="str">
        <f t="shared" si="21"/>
        <v/>
      </c>
    </row>
    <row r="43" spans="1:22" s="1" customFormat="1" x14ac:dyDescent="0.25">
      <c r="A43" s="221"/>
      <c r="B43" s="11" t="str">
        <f t="shared" ref="B43:M43" si="30">IF(B20="","",(B20/$O$23))</f>
        <v/>
      </c>
      <c r="C43" s="11" t="str">
        <f t="shared" si="30"/>
        <v/>
      </c>
      <c r="D43" s="11" t="str">
        <f t="shared" si="30"/>
        <v/>
      </c>
      <c r="E43" s="11" t="str">
        <f t="shared" si="30"/>
        <v/>
      </c>
      <c r="F43" s="11" t="str">
        <f t="shared" si="30"/>
        <v/>
      </c>
      <c r="G43" s="11" t="str">
        <f t="shared" si="30"/>
        <v/>
      </c>
      <c r="H43" s="11" t="str">
        <f t="shared" si="30"/>
        <v/>
      </c>
      <c r="I43" s="11" t="str">
        <f t="shared" si="30"/>
        <v/>
      </c>
      <c r="J43" s="11" t="str">
        <f t="shared" si="30"/>
        <v/>
      </c>
      <c r="K43" s="11" t="str">
        <f t="shared" si="30"/>
        <v/>
      </c>
      <c r="L43" s="11" t="str">
        <f t="shared" si="30"/>
        <v/>
      </c>
      <c r="M43" s="11" t="str">
        <f t="shared" si="30"/>
        <v/>
      </c>
      <c r="N43" s="6"/>
      <c r="O43" s="11">
        <f t="shared" ref="O43:R43" si="31">IF(O20="","",(O20/$O$23))</f>
        <v>1.3773148730839633</v>
      </c>
      <c r="P43" s="11" t="str">
        <f t="shared" si="31"/>
        <v/>
      </c>
      <c r="Q43" s="11" t="str">
        <f t="shared" si="31"/>
        <v/>
      </c>
      <c r="R43" s="11" t="str">
        <f t="shared" si="31"/>
        <v/>
      </c>
      <c r="S43" s="11" t="str">
        <f t="shared" si="21"/>
        <v/>
      </c>
      <c r="T43" s="11" t="str">
        <f t="shared" si="21"/>
        <v/>
      </c>
      <c r="U43" s="11" t="str">
        <f t="shared" si="21"/>
        <v/>
      </c>
      <c r="V43" s="11" t="str">
        <f t="shared" si="21"/>
        <v/>
      </c>
    </row>
    <row r="44" spans="1:22" x14ac:dyDescent="0.25">
      <c r="A44" s="7"/>
      <c r="B44" s="3"/>
      <c r="C44" s="3"/>
      <c r="D44" s="3"/>
      <c r="E44" s="3"/>
      <c r="F44" s="3"/>
      <c r="G44" s="3"/>
      <c r="H44" s="3"/>
      <c r="I44" s="3"/>
      <c r="J44" s="3"/>
      <c r="N44" s="7"/>
      <c r="O44" s="3"/>
      <c r="P44" s="3"/>
      <c r="Q44" s="3"/>
      <c r="R44" s="3"/>
      <c r="S44" s="3"/>
      <c r="T44" s="3"/>
      <c r="U44" s="3"/>
      <c r="V44" s="3"/>
    </row>
    <row r="45" spans="1:22" s="69" customFormat="1" x14ac:dyDescent="0.25">
      <c r="A45" s="70" t="str">
        <f t="shared" ref="A45:M45" si="32">A4</f>
        <v>Noms des groupes</v>
      </c>
      <c r="B45" s="70" t="str">
        <f t="shared" si="32"/>
        <v>Témoin solvant</v>
      </c>
      <c r="C45" s="70" t="str">
        <f t="shared" si="32"/>
        <v>EE2-33,8ng/L</v>
      </c>
      <c r="D45" s="70" t="str">
        <f t="shared" si="32"/>
        <v>EE2-50,6ng/L</v>
      </c>
      <c r="E45" s="70" t="str">
        <f t="shared" si="32"/>
        <v>EE2-76ng/L</v>
      </c>
      <c r="F45" s="70" t="str">
        <f t="shared" si="32"/>
        <v>EE2-114ng/L</v>
      </c>
      <c r="G45" s="70" t="str">
        <f t="shared" si="32"/>
        <v>EE2-170,9ng/L</v>
      </c>
      <c r="H45" s="70" t="str">
        <f t="shared" si="32"/>
        <v>EE2-488ng/L</v>
      </c>
      <c r="I45" s="70" t="str">
        <f t="shared" si="32"/>
        <v>Cromolyn-0,1µg/L</v>
      </c>
      <c r="J45" s="70" t="str">
        <f t="shared" si="32"/>
        <v>Cromolyn-1µg/L</v>
      </c>
      <c r="K45" s="70" t="str">
        <f t="shared" si="32"/>
        <v>Cromolyn-10µg/L</v>
      </c>
      <c r="L45" s="70" t="str">
        <f t="shared" si="32"/>
        <v>Cromolyn-100µg/L</v>
      </c>
      <c r="M45" s="70" t="str">
        <f t="shared" si="32"/>
        <v>Cromolyn-1000µg/L</v>
      </c>
      <c r="N45" s="70" t="str">
        <f>N22</f>
        <v>Nom des groupes</v>
      </c>
      <c r="O45" s="70" t="str">
        <f t="shared" ref="O45:V45" si="33">O4</f>
        <v>Testo -30µg/L</v>
      </c>
      <c r="P45" s="70" t="str">
        <f t="shared" si="33"/>
        <v>Testo 30µg/L + EE2 -64ng/L</v>
      </c>
      <c r="Q45" s="70" t="str">
        <f t="shared" si="33"/>
        <v>Testo 30µg/L + FAD-10mg/L</v>
      </c>
      <c r="R45" s="70" t="str">
        <f t="shared" si="33"/>
        <v>Cromolyn-0,1µg/L + Testostérone</v>
      </c>
      <c r="S45" s="70" t="str">
        <f t="shared" si="33"/>
        <v>Cromolyn-1µg/L + Testostérone</v>
      </c>
      <c r="T45" s="70" t="str">
        <f t="shared" si="33"/>
        <v>Cromolyn-10µg/L + Testostérone</v>
      </c>
      <c r="U45" s="70" t="str">
        <f t="shared" si="33"/>
        <v>Cromolyn-100µg/L + Testostérone</v>
      </c>
      <c r="V45" s="70" t="str">
        <f t="shared" si="33"/>
        <v>Cromolyn-1000µg/L + Testostérone</v>
      </c>
    </row>
    <row r="46" spans="1:22" x14ac:dyDescent="0.25">
      <c r="A46" s="8" t="s">
        <v>0</v>
      </c>
      <c r="B46" s="10">
        <f t="shared" ref="B46:H46" si="34">AVERAGE(B28:B43)</f>
        <v>0.11489181008634612</v>
      </c>
      <c r="C46" s="10">
        <f t="shared" si="34"/>
        <v>0.14101713883691763</v>
      </c>
      <c r="D46" s="10">
        <f t="shared" si="34"/>
        <v>8.818283625057588E-2</v>
      </c>
      <c r="E46" s="10">
        <f t="shared" si="34"/>
        <v>0.10444153667219903</v>
      </c>
      <c r="F46" s="10">
        <f t="shared" si="34"/>
        <v>0.60443260772762331</v>
      </c>
      <c r="G46" s="10">
        <f t="shared" si="34"/>
        <v>0.96285727492017503</v>
      </c>
      <c r="H46" s="10">
        <f t="shared" si="34"/>
        <v>1.5919333625468177</v>
      </c>
      <c r="I46" s="10">
        <f>AVERAGE(I28:I43)</f>
        <v>7.5129170281245217E-2</v>
      </c>
      <c r="J46" s="9">
        <f>AVERAGE(J28:J43)</f>
        <v>7.2335978661506831E-2</v>
      </c>
      <c r="K46" s="9">
        <f>AVERAGE(K28:K43)</f>
        <v>7.1899354900272272E-2</v>
      </c>
      <c r="L46" s="9">
        <f t="shared" ref="L46:M46" si="35">AVERAGE(L28:L43)</f>
        <v>0.12613722602250121</v>
      </c>
      <c r="M46" s="9">
        <f t="shared" si="35"/>
        <v>0.10539892053666466</v>
      </c>
      <c r="N46" s="8" t="s">
        <v>0</v>
      </c>
      <c r="O46" s="10">
        <f>AVERAGE(O28:O43)</f>
        <v>1.0000000000000002</v>
      </c>
      <c r="P46" s="10">
        <f>AVERAGE(P28:P43)</f>
        <v>1.3567342200028107</v>
      </c>
      <c r="Q46" s="10">
        <f>AVERAGE(Q28:Q43)</f>
        <v>9.655277458972944E-2</v>
      </c>
      <c r="R46" s="10">
        <f>AVERAGE(R28:R43)</f>
        <v>1.0731054987418565</v>
      </c>
      <c r="S46" s="10">
        <f t="shared" ref="S46:V46" si="36">AVERAGE(S28:S43)</f>
        <v>0.85259154450445163</v>
      </c>
      <c r="T46" s="10">
        <f t="shared" si="36"/>
        <v>0.68429913215032478</v>
      </c>
      <c r="U46" s="10">
        <f t="shared" si="36"/>
        <v>0.97549641930710862</v>
      </c>
      <c r="V46" s="10">
        <f t="shared" si="36"/>
        <v>1.169946940200518</v>
      </c>
    </row>
    <row r="47" spans="1:22" x14ac:dyDescent="0.25">
      <c r="A47" s="8" t="s">
        <v>1</v>
      </c>
      <c r="B47" s="8">
        <f t="shared" ref="B47:K47" si="37">STDEV(B28:B43)</f>
        <v>5.7912652131688669E-2</v>
      </c>
      <c r="C47" s="8">
        <f t="shared" si="37"/>
        <v>0.12455323293744304</v>
      </c>
      <c r="D47" s="8">
        <f t="shared" si="37"/>
        <v>6.3793526298990877E-2</v>
      </c>
      <c r="E47" s="8">
        <f t="shared" si="37"/>
        <v>6.9162349529983555E-2</v>
      </c>
      <c r="F47" s="8">
        <f t="shared" si="37"/>
        <v>0.220493551093669</v>
      </c>
      <c r="G47" s="8">
        <f t="shared" si="37"/>
        <v>0.37942420682368505</v>
      </c>
      <c r="H47" s="8">
        <f t="shared" si="37"/>
        <v>0.45721772553202705</v>
      </c>
      <c r="I47" s="8">
        <f>STDEV(I28:I43)</f>
        <v>5.6622031276820486E-2</v>
      </c>
      <c r="J47" s="8">
        <f t="shared" si="37"/>
        <v>6.2556685914666607E-2</v>
      </c>
      <c r="K47" s="8">
        <f t="shared" si="37"/>
        <v>4.5729844678151436E-2</v>
      </c>
      <c r="L47" s="8">
        <f t="shared" ref="L47:M47" si="38">STDEV(L28:L43)</f>
        <v>8.4448350854246026E-2</v>
      </c>
      <c r="M47" s="8">
        <f t="shared" si="38"/>
        <v>6.397538187634623E-2</v>
      </c>
      <c r="N47" s="8" t="s">
        <v>1</v>
      </c>
      <c r="O47" s="8">
        <f>STDEV(O28:O43)</f>
        <v>0.32506738881380026</v>
      </c>
      <c r="P47" s="8">
        <f>STDEV(P28:P43)</f>
        <v>0.24585425685852061</v>
      </c>
      <c r="Q47" s="8">
        <f>STDEV(Q28:Q43)</f>
        <v>5.1663404199870762E-2</v>
      </c>
      <c r="R47" s="8">
        <f>STDEV(R28:R43)</f>
        <v>0.40943691470105886</v>
      </c>
      <c r="S47" s="8">
        <f t="shared" ref="S47:V47" si="39">STDEV(S28:S43)</f>
        <v>0.43036385986065889</v>
      </c>
      <c r="T47" s="8">
        <f t="shared" si="39"/>
        <v>0.35222942475043223</v>
      </c>
      <c r="U47" s="8">
        <f t="shared" si="39"/>
        <v>0.46796103159238284</v>
      </c>
      <c r="V47" s="8">
        <f t="shared" si="39"/>
        <v>0.3324900510185933</v>
      </c>
    </row>
    <row r="48" spans="1:22" x14ac:dyDescent="0.25">
      <c r="A48" s="8" t="s">
        <v>2</v>
      </c>
      <c r="B48" s="8">
        <f t="shared" ref="B48:K48" si="40" xml:space="preserve"> B47/SQRT(COUNT(B28:B43))</f>
        <v>2.0475214519407311E-2</v>
      </c>
      <c r="C48" s="8">
        <f t="shared" si="40"/>
        <v>4.4036217814386804E-2</v>
      </c>
      <c r="D48" s="8">
        <f t="shared" si="40"/>
        <v>2.4111686548998364E-2</v>
      </c>
      <c r="E48" s="8">
        <f t="shared" si="40"/>
        <v>2.4452583177722798E-2</v>
      </c>
      <c r="F48" s="8">
        <f t="shared" si="40"/>
        <v>7.7956242593117911E-2</v>
      </c>
      <c r="G48" s="8">
        <f t="shared" si="40"/>
        <v>0.13414671479567741</v>
      </c>
      <c r="H48" s="8">
        <f t="shared" si="40"/>
        <v>0.161650877101193</v>
      </c>
      <c r="I48" s="8">
        <f xml:space="preserve"> I47/SQRT(COUNT(I28:I43))</f>
        <v>2.0018911140198277E-2</v>
      </c>
      <c r="J48" s="8">
        <f t="shared" si="40"/>
        <v>2.2117128409408868E-2</v>
      </c>
      <c r="K48" s="8">
        <f t="shared" si="40"/>
        <v>1.6167941637264215E-2</v>
      </c>
      <c r="L48" s="8">
        <f t="shared" ref="L48:M48" si="41" xml:space="preserve"> L47/SQRT(COUNT(L28:L43))</f>
        <v>2.9857000774529067E-2</v>
      </c>
      <c r="M48" s="8">
        <f t="shared" si="41"/>
        <v>2.2618713176881685E-2</v>
      </c>
      <c r="N48" s="8" t="s">
        <v>2</v>
      </c>
      <c r="O48" s="8">
        <f xml:space="preserve"> O47/SQRT(COUNT(O28:O43))</f>
        <v>8.3932038884731969E-2</v>
      </c>
      <c r="P48" s="8">
        <f xml:space="preserve"> P47/SQRT(COUNT(P28:P43))</f>
        <v>8.6922606104119587E-2</v>
      </c>
      <c r="Q48" s="8">
        <f xml:space="preserve"> Q47/SQRT(COUNT(Q28:Q43))</f>
        <v>1.8265771724455086E-2</v>
      </c>
      <c r="R48" s="8">
        <f xml:space="preserve"> R47/SQRT(COUNT(R28:R43))</f>
        <v>0.14475780942660837</v>
      </c>
      <c r="S48" s="8">
        <f t="shared" ref="S48:V48" si="42" xml:space="preserve"> S47/SQRT(COUNT(S28:S43))</f>
        <v>0.15215660184254445</v>
      </c>
      <c r="T48" s="8">
        <f t="shared" si="42"/>
        <v>0.12453190738723369</v>
      </c>
      <c r="U48" s="8">
        <f t="shared" si="42"/>
        <v>0.16544920938501304</v>
      </c>
      <c r="V48" s="8">
        <f t="shared" si="42"/>
        <v>0.11755298487615423</v>
      </c>
    </row>
    <row r="49" spans="1:22" s="1" customFormat="1"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6" t="s">
        <v>38</v>
      </c>
      <c r="B50" s="217"/>
      <c r="C50" s="217"/>
      <c r="D50" s="217"/>
      <c r="E50" s="217"/>
      <c r="F50" s="217"/>
      <c r="G50" s="217"/>
      <c r="H50" s="217"/>
      <c r="I50" s="217"/>
      <c r="J50" s="217"/>
      <c r="K50" s="217"/>
      <c r="L50" s="217"/>
      <c r="M50" s="217"/>
      <c r="N50" s="217"/>
      <c r="O50" s="217"/>
      <c r="P50" s="217"/>
      <c r="Q50" s="217"/>
      <c r="R50" s="217"/>
      <c r="S50" s="217"/>
      <c r="T50" s="217"/>
      <c r="U50" s="217"/>
      <c r="V50" s="217"/>
    </row>
    <row r="51" spans="1:22" ht="15.75" thickBot="1" x14ac:dyDescent="0.3">
      <c r="A51"/>
      <c r="B51"/>
      <c r="C51"/>
      <c r="D51"/>
      <c r="E51"/>
      <c r="F51"/>
      <c r="G51"/>
      <c r="H51"/>
      <c r="I51"/>
      <c r="J51"/>
      <c r="K51"/>
      <c r="L51"/>
      <c r="M51"/>
      <c r="S51"/>
      <c r="T51"/>
      <c r="U51"/>
      <c r="V51"/>
    </row>
    <row r="52" spans="1:22" x14ac:dyDescent="0.25">
      <c r="A52" s="45" t="str">
        <f t="shared" ref="A52:H52" si="43">A27</f>
        <v>Noms des groupes</v>
      </c>
      <c r="B52" s="46" t="str">
        <f t="shared" si="43"/>
        <v>Témoin solvant</v>
      </c>
      <c r="C52" s="46" t="str">
        <f t="shared" si="43"/>
        <v>EE2-33,8ng/L</v>
      </c>
      <c r="D52" s="46" t="str">
        <f t="shared" si="43"/>
        <v>EE2-50,6ng/L</v>
      </c>
      <c r="E52" s="46" t="str">
        <f t="shared" si="43"/>
        <v>EE2-76ng/L</v>
      </c>
      <c r="F52" s="46" t="str">
        <f t="shared" si="43"/>
        <v>EE2-114ng/L</v>
      </c>
      <c r="G52" s="46" t="str">
        <f t="shared" si="43"/>
        <v>EE2-170,9ng/L</v>
      </c>
      <c r="H52" s="46" t="str">
        <f t="shared" si="43"/>
        <v>EE2-488ng/L</v>
      </c>
      <c r="I52" s="46" t="str">
        <f>I4</f>
        <v>Cromolyn-0,1µg/L</v>
      </c>
      <c r="J52" s="46" t="str">
        <f>J4</f>
        <v>Cromolyn-1µg/L</v>
      </c>
      <c r="K52" s="46" t="str">
        <f>K27</f>
        <v>Cromolyn-10µg/L</v>
      </c>
      <c r="L52" s="46" t="str">
        <f t="shared" ref="L52:M52" si="44">L27</f>
        <v>Cromolyn-100µg/L</v>
      </c>
      <c r="M52" s="46" t="str">
        <f t="shared" si="44"/>
        <v>Cromolyn-1000µg/L</v>
      </c>
      <c r="N52" s="47"/>
      <c r="O52" s="46" t="str">
        <f>O27</f>
        <v>Testo -30µg/L</v>
      </c>
      <c r="P52" s="46" t="str">
        <f>P27</f>
        <v>Testo 30µg/L + EE2 -64ng/L</v>
      </c>
      <c r="Q52" s="46" t="str">
        <f>Q27</f>
        <v>Testo 30µg/L + FAD-10mg/L</v>
      </c>
      <c r="R52" s="46" t="str">
        <f>R27</f>
        <v>Cromolyn-0,1µg/L + Testostérone</v>
      </c>
      <c r="S52" s="46" t="str">
        <f t="shared" ref="S52:V52" si="45">S27</f>
        <v>Cromolyn-1µg/L + Testostérone</v>
      </c>
      <c r="T52" s="46" t="str">
        <f t="shared" si="45"/>
        <v>Cromolyn-10µg/L + Testostérone</v>
      </c>
      <c r="U52" s="46" t="str">
        <f t="shared" si="45"/>
        <v>Cromolyn-100µg/L + Testostérone</v>
      </c>
      <c r="V52" s="46" t="str">
        <f t="shared" si="45"/>
        <v>Cromolyn-1000µg/L + Testostérone</v>
      </c>
    </row>
    <row r="53" spans="1:22" s="3" customFormat="1" x14ac:dyDescent="0.25">
      <c r="A53" s="61" t="s">
        <v>32</v>
      </c>
      <c r="B53" s="142">
        <f t="shared" ref="B53:M53" si="46">B46</f>
        <v>0.11489181008634612</v>
      </c>
      <c r="C53" s="142">
        <f t="shared" si="46"/>
        <v>0.14101713883691763</v>
      </c>
      <c r="D53" s="142">
        <f t="shared" si="46"/>
        <v>8.818283625057588E-2</v>
      </c>
      <c r="E53" s="142">
        <f t="shared" si="46"/>
        <v>0.10444153667219903</v>
      </c>
      <c r="F53" s="142">
        <f t="shared" si="46"/>
        <v>0.60443260772762331</v>
      </c>
      <c r="G53" s="142">
        <f t="shared" si="46"/>
        <v>0.96285727492017503</v>
      </c>
      <c r="H53" s="142">
        <f t="shared" si="46"/>
        <v>1.5919333625468177</v>
      </c>
      <c r="I53" s="142">
        <f t="shared" si="46"/>
        <v>7.5129170281245217E-2</v>
      </c>
      <c r="J53" s="142">
        <f t="shared" si="46"/>
        <v>7.2335978661506831E-2</v>
      </c>
      <c r="K53" s="142">
        <f t="shared" si="46"/>
        <v>7.1899354900272272E-2</v>
      </c>
      <c r="L53" s="142">
        <f t="shared" si="46"/>
        <v>0.12613722602250121</v>
      </c>
      <c r="M53" s="142">
        <f t="shared" si="46"/>
        <v>0.10539892053666466</v>
      </c>
      <c r="N53" s="142"/>
      <c r="O53" s="142">
        <f t="shared" ref="O53:V53" si="47">O46</f>
        <v>1.0000000000000002</v>
      </c>
      <c r="P53" s="142">
        <f t="shared" si="47"/>
        <v>1.3567342200028107</v>
      </c>
      <c r="Q53" s="142">
        <f t="shared" si="47"/>
        <v>9.655277458972944E-2</v>
      </c>
      <c r="R53" s="142">
        <f t="shared" si="47"/>
        <v>1.0731054987418565</v>
      </c>
      <c r="S53" s="142">
        <f t="shared" si="47"/>
        <v>0.85259154450445163</v>
      </c>
      <c r="T53" s="142">
        <f t="shared" si="47"/>
        <v>0.68429913215032478</v>
      </c>
      <c r="U53" s="142">
        <f t="shared" si="47"/>
        <v>0.97549641930710862</v>
      </c>
      <c r="V53" s="142">
        <f t="shared" si="47"/>
        <v>1.169946940200518</v>
      </c>
    </row>
    <row r="54" spans="1:22" s="3" customFormat="1" x14ac:dyDescent="0.25">
      <c r="A54" s="61" t="s">
        <v>2</v>
      </c>
      <c r="B54" s="142">
        <f t="shared" ref="B54:M54" si="48">B48</f>
        <v>2.0475214519407311E-2</v>
      </c>
      <c r="C54" s="142">
        <f t="shared" si="48"/>
        <v>4.4036217814386804E-2</v>
      </c>
      <c r="D54" s="142">
        <f t="shared" si="48"/>
        <v>2.4111686548998364E-2</v>
      </c>
      <c r="E54" s="142">
        <f t="shared" si="48"/>
        <v>2.4452583177722798E-2</v>
      </c>
      <c r="F54" s="142">
        <f t="shared" si="48"/>
        <v>7.7956242593117911E-2</v>
      </c>
      <c r="G54" s="142">
        <f t="shared" si="48"/>
        <v>0.13414671479567741</v>
      </c>
      <c r="H54" s="142">
        <f t="shared" si="48"/>
        <v>0.161650877101193</v>
      </c>
      <c r="I54" s="142">
        <f t="shared" si="48"/>
        <v>2.0018911140198277E-2</v>
      </c>
      <c r="J54" s="142">
        <f t="shared" si="48"/>
        <v>2.2117128409408868E-2</v>
      </c>
      <c r="K54" s="142">
        <f t="shared" si="48"/>
        <v>1.6167941637264215E-2</v>
      </c>
      <c r="L54" s="142">
        <f t="shared" si="48"/>
        <v>2.9857000774529067E-2</v>
      </c>
      <c r="M54" s="142">
        <f t="shared" si="48"/>
        <v>2.2618713176881685E-2</v>
      </c>
      <c r="N54" s="142"/>
      <c r="O54" s="142">
        <f t="shared" ref="O54:V54" si="49">O48</f>
        <v>8.3932038884731969E-2</v>
      </c>
      <c r="P54" s="142">
        <f t="shared" si="49"/>
        <v>8.6922606104119587E-2</v>
      </c>
      <c r="Q54" s="142">
        <f t="shared" si="49"/>
        <v>1.8265771724455086E-2</v>
      </c>
      <c r="R54" s="142">
        <f t="shared" si="49"/>
        <v>0.14475780942660837</v>
      </c>
      <c r="S54" s="142">
        <f t="shared" si="49"/>
        <v>0.15215660184254445</v>
      </c>
      <c r="T54" s="142">
        <f t="shared" si="49"/>
        <v>0.12453190738723369</v>
      </c>
      <c r="U54" s="142">
        <f t="shared" si="49"/>
        <v>0.16544920938501304</v>
      </c>
      <c r="V54" s="142">
        <f t="shared" si="49"/>
        <v>0.11755298487615423</v>
      </c>
    </row>
    <row r="55" spans="1:22" s="3" customFormat="1" x14ac:dyDescent="0.25">
      <c r="A55" s="61" t="s">
        <v>79</v>
      </c>
      <c r="B55" s="142">
        <f t="shared" ref="B55:M55" si="50">(B53*100/$B$53)-100</f>
        <v>0</v>
      </c>
      <c r="C55" s="142">
        <f t="shared" si="50"/>
        <v>22.739069678628269</v>
      </c>
      <c r="D55" s="142">
        <f t="shared" si="50"/>
        <v>-23.247065056854183</v>
      </c>
      <c r="E55" s="142">
        <f t="shared" si="50"/>
        <v>-9.0957513910636862</v>
      </c>
      <c r="F55" s="142">
        <f t="shared" si="50"/>
        <v>426.08850645956943</v>
      </c>
      <c r="G55" s="142">
        <f t="shared" si="50"/>
        <v>738.05562310885909</v>
      </c>
      <c r="H55" s="142">
        <f t="shared" si="50"/>
        <v>1285.5934216289322</v>
      </c>
      <c r="I55" s="142">
        <f t="shared" si="50"/>
        <v>-34.608767827069286</v>
      </c>
      <c r="J55" s="142">
        <f t="shared" si="50"/>
        <v>-37.039917286407757</v>
      </c>
      <c r="K55" s="142">
        <f t="shared" si="50"/>
        <v>-37.419947647933462</v>
      </c>
      <c r="L55" s="142">
        <f t="shared" si="50"/>
        <v>9.7878307667915436</v>
      </c>
      <c r="M55" s="142">
        <f t="shared" si="50"/>
        <v>-8.2624597371624162</v>
      </c>
      <c r="N55" s="142"/>
      <c r="O55" s="142">
        <f t="shared" ref="O55:V55" si="51">(O53*100/$B$53)-100</f>
        <v>770.38405892331002</v>
      </c>
      <c r="P55" s="142">
        <f t="shared" si="51"/>
        <v>1080.8798372861972</v>
      </c>
      <c r="Q55" s="142">
        <f t="shared" si="51"/>
        <v>-15.962004152283896</v>
      </c>
      <c r="R55" s="142">
        <f t="shared" si="51"/>
        <v>834.01391964785967</v>
      </c>
      <c r="S55" s="142">
        <f t="shared" si="51"/>
        <v>642.08208910947837</v>
      </c>
      <c r="T55" s="142">
        <f t="shared" si="51"/>
        <v>495.60305615869811</v>
      </c>
      <c r="U55" s="142">
        <f t="shared" si="51"/>
        <v>749.05653290167618</v>
      </c>
      <c r="V55" s="142">
        <f t="shared" si="51"/>
        <v>918.30316653663374</v>
      </c>
    </row>
    <row r="56" spans="1:22" s="3" customFormat="1" x14ac:dyDescent="0.25">
      <c r="A56" s="61" t="s">
        <v>81</v>
      </c>
      <c r="B56" s="142">
        <f>[1]!SWTEST(B28:B43)</f>
        <v>0.90884300872864221</v>
      </c>
      <c r="C56" s="142">
        <f>[1]!SWTEST(C28:C43)</f>
        <v>8.4456485553720984E-2</v>
      </c>
      <c r="D56" s="142">
        <f>[1]!SWTEST(D28:D43)</f>
        <v>9.7476069715917935E-2</v>
      </c>
      <c r="E56" s="142">
        <f>[1]!SWTEST(E28:E43)</f>
        <v>0.48789464676845218</v>
      </c>
      <c r="F56" s="142">
        <f>[1]!SWTEST(F28:F43)</f>
        <v>0.42736036777645658</v>
      </c>
      <c r="G56" s="142">
        <f>[1]!SWTEST(G28:G43)</f>
        <v>0.85254652558428778</v>
      </c>
      <c r="H56" s="142">
        <f>[1]!SWTEST(H28:H43)</f>
        <v>0.74021186645049686</v>
      </c>
      <c r="I56" s="142">
        <f>[1]!SWTEST(I28:I43)</f>
        <v>9.1617166497115599E-2</v>
      </c>
      <c r="J56" s="142">
        <f>[1]!SWTEST(J28:J43)</f>
        <v>6.4500967171310375E-3</v>
      </c>
      <c r="K56" s="142">
        <f>[1]!SWTEST(K28:K43)</f>
        <v>0.48533522218288927</v>
      </c>
      <c r="L56" s="142">
        <f>[1]!SWTEST(L28:L43)</f>
        <v>0.62734878149086304</v>
      </c>
      <c r="M56" s="142">
        <f>[1]!SWTEST(M28:M43)</f>
        <v>6.4641022930735259E-2</v>
      </c>
      <c r="N56" s="142"/>
      <c r="O56" s="142">
        <f>[1]!SWTEST(O28:O43)</f>
        <v>2.1033403465644085E-2</v>
      </c>
      <c r="P56" s="142">
        <f>[1]!SWTEST(P28:P43)</f>
        <v>3.3492764066062608E-2</v>
      </c>
      <c r="Q56" s="142">
        <f>[1]!SWTEST(Q28:Q43)</f>
        <v>0.6581181212050875</v>
      </c>
      <c r="R56" s="142">
        <f>[1]!SWTEST(R28:R43)</f>
        <v>0.54832972736721575</v>
      </c>
      <c r="S56" s="142">
        <f>[1]!SWTEST(S28:S43)</f>
        <v>0.95481553957955489</v>
      </c>
      <c r="T56" s="142">
        <f>[1]!SWTEST(T28:T43)</f>
        <v>0.20488327798146089</v>
      </c>
      <c r="U56" s="142">
        <f>[1]!SWTEST(U28:U43)</f>
        <v>0.29497290472829252</v>
      </c>
      <c r="V56" s="142">
        <f>[1]!SWTEST(V28:V43)</f>
        <v>0.44931668143767067</v>
      </c>
    </row>
    <row r="57" spans="1:22" s="3" customFormat="1" x14ac:dyDescent="0.25">
      <c r="A57" s="61" t="s">
        <v>85</v>
      </c>
      <c r="B57" s="142" t="str">
        <f t="shared" ref="B57:M57" si="52">IF(B56&gt;0.05,"Oui","Non")</f>
        <v>Oui</v>
      </c>
      <c r="C57" s="142" t="str">
        <f t="shared" si="52"/>
        <v>Oui</v>
      </c>
      <c r="D57" s="142" t="str">
        <f t="shared" si="52"/>
        <v>Oui</v>
      </c>
      <c r="E57" s="142" t="str">
        <f t="shared" si="52"/>
        <v>Oui</v>
      </c>
      <c r="F57" s="142" t="str">
        <f t="shared" si="52"/>
        <v>Oui</v>
      </c>
      <c r="G57" s="142" t="str">
        <f t="shared" si="52"/>
        <v>Oui</v>
      </c>
      <c r="H57" s="142" t="str">
        <f t="shared" si="52"/>
        <v>Oui</v>
      </c>
      <c r="I57" s="142" t="str">
        <f t="shared" si="52"/>
        <v>Oui</v>
      </c>
      <c r="J57" s="142" t="str">
        <f t="shared" si="52"/>
        <v>Non</v>
      </c>
      <c r="K57" s="142" t="str">
        <f t="shared" si="52"/>
        <v>Oui</v>
      </c>
      <c r="L57" s="142" t="str">
        <f t="shared" si="52"/>
        <v>Oui</v>
      </c>
      <c r="M57" s="142" t="str">
        <f t="shared" si="52"/>
        <v>Oui</v>
      </c>
      <c r="N57" s="142"/>
      <c r="O57" s="142" t="str">
        <f t="shared" ref="O57:V57" si="53">IF(O56&gt;0.05,"Oui","Non")</f>
        <v>Non</v>
      </c>
      <c r="P57" s="142" t="str">
        <f t="shared" si="53"/>
        <v>Non</v>
      </c>
      <c r="Q57" s="142" t="str">
        <f t="shared" si="53"/>
        <v>Oui</v>
      </c>
      <c r="R57" s="142" t="str">
        <f t="shared" si="53"/>
        <v>Oui</v>
      </c>
      <c r="S57" s="142" t="str">
        <f t="shared" si="53"/>
        <v>Oui</v>
      </c>
      <c r="T57" s="142" t="str">
        <f t="shared" si="53"/>
        <v>Oui</v>
      </c>
      <c r="U57" s="142" t="str">
        <f t="shared" si="53"/>
        <v>Oui</v>
      </c>
      <c r="V57" s="142" t="str">
        <f t="shared" si="53"/>
        <v>Oui</v>
      </c>
    </row>
    <row r="58" spans="1:22" s="3" customFormat="1" x14ac:dyDescent="0.2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25">
      <c r="A59" s="61" t="s">
        <v>82</v>
      </c>
      <c r="B59" s="151"/>
      <c r="C59" s="151" t="str">
        <f t="shared" ref="C59:M59" si="54">IF($B57="Non",IF(C$57="Non","Mann Withney",IF(C$57="Oui","Mann Withney","")),IF($B$57="Oui",IF(C$57="Oui","T-Test Welch",IF(C$57="Non","Mann Withney",""))))</f>
        <v>T-Test Welch</v>
      </c>
      <c r="D59" s="151" t="str">
        <f t="shared" si="54"/>
        <v>T-Test Welch</v>
      </c>
      <c r="E59" s="151" t="str">
        <f t="shared" si="54"/>
        <v>T-Test Welch</v>
      </c>
      <c r="F59" s="151" t="str">
        <f t="shared" si="54"/>
        <v>T-Test Welch</v>
      </c>
      <c r="G59" s="151" t="str">
        <f t="shared" si="54"/>
        <v>T-Test Welch</v>
      </c>
      <c r="H59" s="151" t="str">
        <f t="shared" si="54"/>
        <v>T-Test Welch</v>
      </c>
      <c r="I59" s="151" t="str">
        <f t="shared" si="54"/>
        <v>T-Test Welch</v>
      </c>
      <c r="J59" s="151" t="str">
        <f t="shared" si="54"/>
        <v>Mann Withney</v>
      </c>
      <c r="K59" s="151" t="str">
        <f t="shared" si="54"/>
        <v>T-Test Welch</v>
      </c>
      <c r="L59" s="151" t="str">
        <f t="shared" si="54"/>
        <v>T-Test Welch</v>
      </c>
      <c r="M59" s="151" t="str">
        <f t="shared" si="54"/>
        <v>T-Test Welch</v>
      </c>
      <c r="N59" s="151"/>
      <c r="O59" s="151" t="str">
        <f>IF($B57="Non",IF(O$57="Non","Mann Withney",IF(O$57="Oui","Mann Withney","")),IF($B$57="Oui",IF(O$57="Oui","T-Test Welch",IF(O$57="Non","Mann Withney",""))))</f>
        <v>Mann Withney</v>
      </c>
      <c r="P59" s="151" t="str">
        <f t="shared" ref="P59:V59" si="55">IF($O57="Non",IF(P$57="Non","Mann Withney",IF(P$57="Oui","Mann Withney","")),IF($O$57="Oui",IF(P$57="Oui","T-Test Welch",IF(P$57="Non","Mann Withney",""))))</f>
        <v>Mann Withney</v>
      </c>
      <c r="Q59" s="151" t="str">
        <f t="shared" si="55"/>
        <v>Mann Withney</v>
      </c>
      <c r="R59" s="151" t="str">
        <f t="shared" si="55"/>
        <v>Mann Withney</v>
      </c>
      <c r="S59" s="151" t="str">
        <f t="shared" si="55"/>
        <v>Mann Withney</v>
      </c>
      <c r="T59" s="151" t="str">
        <f t="shared" si="55"/>
        <v>Mann Withney</v>
      </c>
      <c r="U59" s="151" t="str">
        <f t="shared" si="55"/>
        <v>Mann Withney</v>
      </c>
      <c r="V59" s="151" t="str">
        <f t="shared" si="55"/>
        <v>Mann Withney</v>
      </c>
    </row>
    <row r="60" spans="1:22" s="3" customFormat="1" x14ac:dyDescent="0.25">
      <c r="A60" s="61" t="s">
        <v>83</v>
      </c>
      <c r="B60" s="152"/>
      <c r="C60" s="152">
        <f>IF(C59="Mann Withney",[1]!MTEST($B28:$B43,C28:C43,2), IF(C59="T-Test Welch",_xlfn.T.TEST($B28:$B43,C28:C43,2,3),""))</f>
        <v>0.60249687045501943</v>
      </c>
      <c r="D60" s="152">
        <f>IF(D59="Mann Withney",[1]!MTEST($B28:$B43,D28:D43,2), IF(D59="T-Test Welch",_xlfn.T.TEST($B28:$B43,D28:D43,2,3),""))</f>
        <v>0.41460013292658426</v>
      </c>
      <c r="E60" s="152">
        <f>IF(E59="Mann Withney",[1]!MTEST($B28:$B43,E28:E43,2), IF(E59="T-Test Welch",_xlfn.T.TEST($B28:$B43,E28:E43,2,3),""))</f>
        <v>0.74816010989654069</v>
      </c>
      <c r="F60" s="152">
        <f>IF(F59="Mann Withney",[1]!MTEST($B28:$B43,F28:F43,2), IF(F59="T-Test Welch",_xlfn.T.TEST($B28:$B43,F28:F43,2,3),""))</f>
        <v>3.0384077402769192E-4</v>
      </c>
      <c r="G60" s="152">
        <f>IF(G59="Mann Withney",[1]!MTEST($B28:$B43,G28:G43,2), IF(G59="T-Test Welch",_xlfn.T.TEST($B28:$B43,G28:G43,2,3),""))</f>
        <v>3.532803304197561E-4</v>
      </c>
      <c r="H60" s="152">
        <f>IF(H59="Mann Withney",[1]!MTEST($B28:$B43,H28:H43,2), IF(H59="T-Test Welch",_xlfn.T.TEST($B28:$B43,H28:H43,2,3),""))</f>
        <v>3.3524588449572909E-5</v>
      </c>
      <c r="I60" s="152">
        <f>IF(I59="Mann Withney",[1]!MTEST($B28:$B43,I28:I43,2), IF(I59="T-Test Welch",_xlfn.T.TEST($B28:$B43,I28:I43,2,3),""))</f>
        <v>0.18666912434601191</v>
      </c>
      <c r="J60" s="152">
        <f>IF(J59="Mann Withney",[1]!MTEST($B28:$B43,J28:J43,2), IF(J59="T-Test Welch",_xlfn.T.TEST($B28:$B43,J28:J43,2,3),""))</f>
        <v>0.14148212148279327</v>
      </c>
      <c r="K60" s="152">
        <f>IF(K59="Mann Withney",[1]!MTEST($B28:$B43,K28:K43,2), IF(K59="T-Test Welch",_xlfn.T.TEST($B28:$B43,K28:K43,2,3),""))</f>
        <v>0.12280566347212238</v>
      </c>
      <c r="L60" s="152">
        <f>IF(L59="Mann Withney",[1]!MTEST($B28:$B43,L28:L43,2), IF(L59="T-Test Welch",_xlfn.T.TEST($B28:$B43,L28:L43,2,3),""))</f>
        <v>0.76125306479601162</v>
      </c>
      <c r="M60" s="152">
        <f>IF(M59="Mann Withney",[1]!MTEST($B28:$B43,M28:M43,2), IF(M59="T-Test Welch",_xlfn.T.TEST($B28:$B43,M28:M43,2,3),""))</f>
        <v>0.76032081046683631</v>
      </c>
      <c r="N60" s="152"/>
      <c r="O60" s="152">
        <f>IF(O59="Mann Withney",[1]!MTEST($B28:$B43,O28:O43,2), IF(O59="T-Test Welch",_xlfn.T.TEST($B28:$B43,O28:O43,2,3),""))</f>
        <v>3.8488780126577637E-4</v>
      </c>
      <c r="P60" s="152">
        <f>IF(P59="Mann Withney",[1]!MTEST($O28:$O43,P28:P43,2), IF(P59="T-Test Welch",_xlfn.T.TEST($O28:$O43,P28:P43,2,3),""))</f>
        <v>9.8232745075192973E-3</v>
      </c>
      <c r="Q60" s="152">
        <f>IF(Q59="Mann Withney",[1]!MTEST($O28:$O43,Q28:Q43,2), IF(Q59="T-Test Welch",_xlfn.T.TEST($O28:$O43,Q28:Q43,2,3),""))</f>
        <v>3.8488780126577637E-4</v>
      </c>
      <c r="R60" s="152">
        <f>IF(R59="Mann Withney",[1]!MTEST($O28:$O43,R28:R43,2), IF(R59="T-Test Welch",_xlfn.T.TEST($O28:$O43,R28:R43,2,3),""))</f>
        <v>0.69853535830333868</v>
      </c>
      <c r="S60" s="152">
        <f>IF(S59="Mann Withney",[1]!MTEST($O28:$O43,S28:S43,2), IF(S59="T-Test Welch",_xlfn.T.TEST($O28:$O43,S28:S43,2,3),""))</f>
        <v>0.40138716571176625</v>
      </c>
      <c r="T60" s="152">
        <f>IF(T59="Mann Withney",[1]!MTEST($O28:$O43,T28:T43,2), IF(T59="T-Test Welch",_xlfn.T.TEST($O28:$O43,T28:T43,2,3),""))</f>
        <v>2.3868442164574288E-2</v>
      </c>
      <c r="U60" s="152">
        <f>IF(U59="Mann Withney",[1]!MTEST($O28:$O43,U28:U43,2), IF(U59="T-Test Welch",_xlfn.T.TEST($O28:$O43,U28:U43,2,3),""))</f>
        <v>0.89727896126008311</v>
      </c>
      <c r="V60" s="152">
        <f>IF(V59="Mann Withney",[1]!MTEST($O28:$O43,V28:V43,2), IF(V59="T-Test Welch",_xlfn.T.TEST($O28:$O43,V28:V43,2,3),""))</f>
        <v>0.30169958247834794</v>
      </c>
    </row>
    <row r="61" spans="1:22" s="3" customFormat="1" ht="15.75" thickBot="1" x14ac:dyDescent="0.3">
      <c r="A61" s="62" t="s">
        <v>84</v>
      </c>
      <c r="B61" s="143"/>
      <c r="C61" s="143" t="str">
        <f t="shared" ref="C61:M61" si="56">IF(C60&gt;0.05,"NS",IF(C60&gt;0.01,"*",IF(C60&gt;0.001,"**","***")))</f>
        <v>NS</v>
      </c>
      <c r="D61" s="143" t="str">
        <f t="shared" si="56"/>
        <v>NS</v>
      </c>
      <c r="E61" s="143" t="str">
        <f t="shared" si="56"/>
        <v>NS</v>
      </c>
      <c r="F61" s="143" t="str">
        <f t="shared" si="56"/>
        <v>***</v>
      </c>
      <c r="G61" s="143" t="str">
        <f t="shared" si="56"/>
        <v>***</v>
      </c>
      <c r="H61" s="143" t="str">
        <f t="shared" si="56"/>
        <v>***</v>
      </c>
      <c r="I61" s="143" t="str">
        <f t="shared" si="56"/>
        <v>NS</v>
      </c>
      <c r="J61" s="143" t="str">
        <f t="shared" si="56"/>
        <v>NS</v>
      </c>
      <c r="K61" s="143" t="str">
        <f t="shared" si="56"/>
        <v>NS</v>
      </c>
      <c r="L61" s="143" t="str">
        <f t="shared" si="56"/>
        <v>NS</v>
      </c>
      <c r="M61" s="143" t="str">
        <f t="shared" si="56"/>
        <v>NS</v>
      </c>
      <c r="N61" s="143"/>
      <c r="O61" s="143" t="str">
        <f>IF(O60&gt;0.05,"NS",IF(O60&gt;0.01,"*",IF(O60&gt;0.001,"**","***")))</f>
        <v>***</v>
      </c>
      <c r="P61" s="143" t="str">
        <f>IF(P60&gt;0.05,"NS",IF(P60&gt;0.01,"*",IF(P60&gt;0.001,"**","***")))</f>
        <v>**</v>
      </c>
      <c r="Q61" s="143" t="str">
        <f t="shared" ref="Q61" si="57">IF(Q60&gt;0.05,"NS",IF(Q60&gt;0.01,"*",IF(Q60&gt;0.001,"**","***")))</f>
        <v>***</v>
      </c>
      <c r="R61" s="143" t="str">
        <f t="shared" ref="R61" si="58">IF(R60&gt;0.05,"NS",IF(R60&gt;0.01,"*",IF(R60&gt;0.001,"**","***")))</f>
        <v>NS</v>
      </c>
      <c r="S61" s="143" t="str">
        <f t="shared" ref="S61" si="59">IF(S60&gt;0.05,"NS",IF(S60&gt;0.01,"*",IF(S60&gt;0.001,"**","***")))</f>
        <v>NS</v>
      </c>
      <c r="T61" s="143" t="str">
        <f t="shared" ref="T61" si="60">IF(T60&gt;0.05,"NS",IF(T60&gt;0.01,"*",IF(T60&gt;0.001,"**","***")))</f>
        <v>*</v>
      </c>
      <c r="U61" s="143" t="str">
        <f t="shared" ref="U61" si="61">IF(U60&gt;0.05,"NS",IF(U60&gt;0.01,"*",IF(U60&gt;0.001,"**","***")))</f>
        <v>NS</v>
      </c>
      <c r="V61" s="143" t="str">
        <f t="shared" ref="V61" si="62">IF(V60&gt;0.05,"NS",IF(V60&gt;0.01,"*",IF(V60&gt;0.001,"**","***")))</f>
        <v>NS</v>
      </c>
    </row>
    <row r="63" spans="1:22" x14ac:dyDescent="0.25">
      <c r="A63" s="2" t="s">
        <v>39</v>
      </c>
    </row>
    <row r="64" spans="1:22" x14ac:dyDescent="0.25">
      <c r="A64" s="1" t="s">
        <v>23</v>
      </c>
      <c r="B64" s="1">
        <f>B46+(3*B47)</f>
        <v>0.28862976648141214</v>
      </c>
    </row>
    <row r="65" spans="1:22" x14ac:dyDescent="0.25">
      <c r="A65" s="1" t="s">
        <v>24</v>
      </c>
      <c r="B65" s="1">
        <f>B46+(10*B47)</f>
        <v>0.69401833140323277</v>
      </c>
    </row>
    <row r="66" spans="1:22" ht="15.75" thickBot="1" x14ac:dyDescent="0.3"/>
    <row r="67" spans="1:22" s="1" customFormat="1" ht="27" thickBot="1" x14ac:dyDescent="0.45">
      <c r="A67" s="216" t="s">
        <v>52</v>
      </c>
      <c r="B67" s="217"/>
      <c r="C67" s="217"/>
      <c r="D67" s="217"/>
      <c r="E67" s="217"/>
      <c r="F67" s="217"/>
      <c r="G67" s="217"/>
      <c r="H67" s="217"/>
      <c r="I67" s="217"/>
      <c r="J67" s="217"/>
      <c r="K67" s="217"/>
      <c r="L67" s="217"/>
      <c r="M67" s="217"/>
      <c r="N67" s="217"/>
      <c r="O67" s="217"/>
      <c r="P67" s="217"/>
      <c r="Q67" s="217"/>
      <c r="R67" s="217"/>
      <c r="S67" s="217"/>
      <c r="T67" s="217"/>
      <c r="U67" s="217"/>
      <c r="V67" s="217"/>
    </row>
    <row r="68" spans="1:22" ht="16.5" x14ac:dyDescent="0.25">
      <c r="A68" s="12"/>
      <c r="B68" s="12"/>
      <c r="C68" s="12"/>
      <c r="D68" s="12"/>
      <c r="E68" s="12"/>
      <c r="F68" s="12"/>
      <c r="N68" s="12"/>
      <c r="O68" s="12"/>
      <c r="P68" s="12"/>
      <c r="Q68" s="12"/>
      <c r="R68" s="12"/>
      <c r="S68" s="12"/>
      <c r="T68" s="12"/>
      <c r="U68" s="12"/>
      <c r="V68" s="12"/>
    </row>
    <row r="69" spans="1:22" ht="16.5" x14ac:dyDescent="0.25">
      <c r="A69" s="12"/>
      <c r="B69" s="12"/>
      <c r="C69" s="12"/>
      <c r="D69" s="12"/>
      <c r="E69" s="12"/>
      <c r="F69" s="12"/>
      <c r="N69" s="12"/>
      <c r="O69" s="12"/>
      <c r="P69" s="12"/>
      <c r="Q69" s="12"/>
      <c r="R69" s="12"/>
      <c r="S69" s="12"/>
      <c r="T69" s="12"/>
      <c r="U69" s="12"/>
      <c r="V69" s="12"/>
    </row>
    <row r="70" spans="1:22" ht="16.5" x14ac:dyDescent="0.25">
      <c r="A70" s="12"/>
      <c r="B70" s="12"/>
      <c r="C70" s="12"/>
      <c r="D70" s="12"/>
      <c r="E70" s="12"/>
      <c r="F70" s="12"/>
      <c r="N70" s="12"/>
      <c r="O70" s="12"/>
      <c r="P70" s="12"/>
      <c r="Q70" s="12"/>
      <c r="R70" s="12"/>
      <c r="S70" s="12"/>
      <c r="T70" s="12"/>
      <c r="U70" s="12"/>
      <c r="V70" s="12"/>
    </row>
    <row r="71" spans="1:22" ht="16.5" x14ac:dyDescent="0.25">
      <c r="A71" s="12"/>
      <c r="B71" s="12"/>
      <c r="C71" s="12"/>
      <c r="D71" s="12"/>
      <c r="E71" s="12"/>
      <c r="F71" s="12"/>
      <c r="N71" s="12"/>
      <c r="O71" s="12"/>
      <c r="P71" s="12"/>
      <c r="Q71" s="12"/>
      <c r="R71" s="12"/>
      <c r="S71" s="12"/>
      <c r="T71" s="12"/>
      <c r="U71" s="12"/>
      <c r="V71" s="12"/>
    </row>
    <row r="72" spans="1:22" ht="16.5" x14ac:dyDescent="0.25">
      <c r="A72" s="12"/>
      <c r="B72" s="12"/>
      <c r="C72" s="12"/>
      <c r="D72" s="12"/>
      <c r="E72" s="12"/>
      <c r="F72" s="12"/>
      <c r="N72" s="12"/>
      <c r="O72" s="12"/>
      <c r="P72" s="12"/>
      <c r="Q72" s="12"/>
      <c r="R72" s="12"/>
      <c r="S72" s="12"/>
      <c r="T72" s="12"/>
      <c r="U72" s="12"/>
      <c r="V72" s="12"/>
    </row>
    <row r="73" spans="1:22" ht="16.5" x14ac:dyDescent="0.25">
      <c r="A73" s="12"/>
      <c r="B73" s="12"/>
      <c r="C73" s="12"/>
      <c r="D73" s="12"/>
      <c r="E73" s="12"/>
      <c r="F73" s="12"/>
      <c r="N73" s="12"/>
      <c r="O73" s="12"/>
      <c r="P73" s="12"/>
      <c r="Q73" s="12"/>
      <c r="R73" s="12"/>
      <c r="S73" s="12"/>
      <c r="T73" s="12"/>
      <c r="U73" s="12"/>
      <c r="V73" s="12"/>
    </row>
    <row r="74" spans="1:22" ht="16.5" x14ac:dyDescent="0.25">
      <c r="A74" s="12"/>
      <c r="B74" s="12"/>
      <c r="C74" s="12"/>
      <c r="D74" s="12"/>
      <c r="E74" s="12"/>
      <c r="F74" s="12"/>
      <c r="N74" s="12"/>
      <c r="O74" s="12"/>
      <c r="P74" s="12"/>
      <c r="Q74" s="12"/>
      <c r="R74" s="12"/>
      <c r="S74" s="12"/>
      <c r="T74" s="12"/>
      <c r="U74" s="12"/>
      <c r="V74" s="12"/>
    </row>
  </sheetData>
  <protectedRanges>
    <protectedRange sqref="O51:V51" name="Plage2"/>
    <protectedRange sqref="R5:V21" name="Plage1"/>
    <protectedRange sqref="B51:J51" name="Plage2_1"/>
    <protectedRange sqref="O5:O21 J5:J12 B13:J21" name="Plage1_1"/>
    <protectedRange sqref="B5:I12" name="Plage1_1_1"/>
  </protectedRanges>
  <mergeCells count="9">
    <mergeCell ref="A1:V1"/>
    <mergeCell ref="A67:V67"/>
    <mergeCell ref="A50:V50"/>
    <mergeCell ref="A5:A20"/>
    <mergeCell ref="A28:A43"/>
    <mergeCell ref="B3:M3"/>
    <mergeCell ref="B26:M26"/>
    <mergeCell ref="O26:V26"/>
    <mergeCell ref="O3:V3"/>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N1531"/>
  <sheetViews>
    <sheetView showGridLines="0" topLeftCell="K1" zoomScale="80" zoomScaleNormal="80" workbookViewId="0">
      <selection activeCell="Z5" sqref="Z5:AF12"/>
    </sheetView>
  </sheetViews>
  <sheetFormatPr baseColWidth="10"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TS</v>
      </c>
      <c r="B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 s="1" t="s">
        <v>1699</v>
      </c>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TS</v>
      </c>
      <c r="B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 s="1" t="s">
        <v>1700</v>
      </c>
      <c r="D3" s="1" t="s">
        <v>762</v>
      </c>
      <c r="E3" s="1" t="s">
        <v>1701</v>
      </c>
      <c r="F3" s="1" t="s">
        <v>112</v>
      </c>
      <c r="G3" s="1">
        <v>599948</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TS</v>
      </c>
      <c r="B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 s="1" t="s">
        <v>1702</v>
      </c>
      <c r="D4" s="1" t="s">
        <v>1703</v>
      </c>
      <c r="E4" s="1" t="s">
        <v>1704</v>
      </c>
      <c r="F4" s="1" t="s">
        <v>112</v>
      </c>
      <c r="G4" s="1">
        <v>790270</v>
      </c>
      <c r="K4" s="119" t="s">
        <v>100</v>
      </c>
      <c r="L4" s="1" t="s">
        <v>1671</v>
      </c>
      <c r="M4" s="1" t="s">
        <v>1672</v>
      </c>
      <c r="N4" s="1" t="s">
        <v>1673</v>
      </c>
      <c r="O4" s="1" t="s">
        <v>1674</v>
      </c>
      <c r="P4" s="1" t="s">
        <v>1675</v>
      </c>
      <c r="Q4" s="1" t="s">
        <v>1676</v>
      </c>
      <c r="R4" s="1" t="s">
        <v>1677</v>
      </c>
      <c r="S4" s="1" t="s">
        <v>1678</v>
      </c>
      <c r="T4" s="1" t="s">
        <v>1679</v>
      </c>
      <c r="U4" s="1" t="s">
        <v>1680</v>
      </c>
      <c r="V4" s="1" t="s">
        <v>1681</v>
      </c>
      <c r="W4" s="1" t="s">
        <v>1682</v>
      </c>
      <c r="X4" s="1" t="s">
        <v>1683</v>
      </c>
      <c r="Y4" s="1" t="s">
        <v>1684</v>
      </c>
      <c r="Z4" s="1" t="s">
        <v>1685</v>
      </c>
      <c r="AA4" s="1" t="s">
        <v>1686</v>
      </c>
      <c r="AB4" s="1" t="s">
        <v>1687</v>
      </c>
      <c r="AC4" s="1" t="s">
        <v>1688</v>
      </c>
      <c r="AD4" s="1" t="s">
        <v>1689</v>
      </c>
      <c r="AE4" s="1" t="s">
        <v>1690</v>
      </c>
      <c r="AF4" s="1" t="s">
        <v>1691</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TS</v>
      </c>
      <c r="B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 s="1" t="s">
        <v>1705</v>
      </c>
      <c r="K5" s="146" t="s">
        <v>164</v>
      </c>
      <c r="L5" s="44">
        <v>695109</v>
      </c>
      <c r="M5" s="44">
        <v>51984</v>
      </c>
      <c r="N5" s="44">
        <v>217034.33333333334</v>
      </c>
      <c r="O5" s="44">
        <v>2062670</v>
      </c>
      <c r="P5" s="44">
        <v>3705958</v>
      </c>
      <c r="Q5" s="44">
        <v>1072677</v>
      </c>
      <c r="R5" s="44">
        <v>5750653.5</v>
      </c>
      <c r="S5" s="44">
        <v>325108</v>
      </c>
      <c r="T5" s="44">
        <v>259140.66666666666</v>
      </c>
      <c r="U5" s="44">
        <v>149974.66666666666</v>
      </c>
      <c r="V5" s="44">
        <v>358313.66666666669</v>
      </c>
      <c r="W5" s="44">
        <v>164495.33333333334</v>
      </c>
      <c r="X5" s="44">
        <v>4701005.333333333</v>
      </c>
      <c r="Y5" s="44">
        <v>3794893</v>
      </c>
      <c r="Z5" s="44">
        <v>2971407</v>
      </c>
      <c r="AA5" s="44">
        <v>181172</v>
      </c>
      <c r="AB5" s="44">
        <v>325753.33333333331</v>
      </c>
      <c r="AC5" s="44">
        <v>2391733</v>
      </c>
      <c r="AD5" s="44">
        <v>1184517.6666666667</v>
      </c>
      <c r="AE5" s="44">
        <v>5677577</v>
      </c>
      <c r="AF5" s="44">
        <v>1345098.3333333333</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TS</v>
      </c>
      <c r="B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 s="1" t="s">
        <v>1706</v>
      </c>
      <c r="D6" s="1" t="s">
        <v>1707</v>
      </c>
      <c r="E6" s="1" t="s">
        <v>1708</v>
      </c>
      <c r="F6" s="1" t="s">
        <v>112</v>
      </c>
      <c r="G6" s="1">
        <v>580244</v>
      </c>
      <c r="K6" s="146" t="s">
        <v>1692</v>
      </c>
      <c r="L6" s="44">
        <v>697175</v>
      </c>
      <c r="M6" s="44">
        <v>96606.666666666672</v>
      </c>
      <c r="N6" s="44">
        <v>51219.666666666664</v>
      </c>
      <c r="O6" s="44">
        <v>553393.66666666663</v>
      </c>
      <c r="P6" s="44">
        <v>2792538.5</v>
      </c>
      <c r="Q6" s="44">
        <v>2327694</v>
      </c>
      <c r="R6" s="44">
        <v>10286615.333333334</v>
      </c>
      <c r="S6" s="44">
        <v>584905</v>
      </c>
      <c r="T6" s="44">
        <v>284505.33333333331</v>
      </c>
      <c r="U6" s="44">
        <v>270481.66666666669</v>
      </c>
      <c r="V6" s="44">
        <v>516716.5</v>
      </c>
      <c r="W6" s="44">
        <v>1096874</v>
      </c>
      <c r="X6" s="44">
        <v>3436565</v>
      </c>
      <c r="Y6" s="44">
        <v>2208808.6666666665</v>
      </c>
      <c r="Z6" s="44">
        <v>5602676.333333333</v>
      </c>
      <c r="AA6" s="44">
        <v>696937</v>
      </c>
      <c r="AB6" s="44">
        <v>1635991.6666666667</v>
      </c>
      <c r="AC6" s="44">
        <v>2192586.3333333335</v>
      </c>
      <c r="AD6" s="44">
        <v>1086628.3333333333</v>
      </c>
      <c r="AE6" s="44">
        <v>1262349.6666666667</v>
      </c>
      <c r="AF6" s="44">
        <v>260128</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TS</v>
      </c>
      <c r="B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 s="1" t="s">
        <v>1709</v>
      </c>
      <c r="D7" s="1" t="s">
        <v>1710</v>
      </c>
      <c r="E7" s="1" t="s">
        <v>1711</v>
      </c>
      <c r="F7" s="1" t="s">
        <v>112</v>
      </c>
      <c r="G7" s="1">
        <v>814106</v>
      </c>
      <c r="K7" s="146" t="s">
        <v>1693</v>
      </c>
      <c r="L7" s="44">
        <v>110687.66666666667</v>
      </c>
      <c r="M7" s="44">
        <v>190444</v>
      </c>
      <c r="N7" s="44">
        <v>913387</v>
      </c>
      <c r="O7" s="44">
        <v>434580.66666666669</v>
      </c>
      <c r="P7" s="44">
        <v>2802686.3333333335</v>
      </c>
      <c r="Q7" s="44">
        <v>3651912</v>
      </c>
      <c r="R7" s="44">
        <v>6103826.5</v>
      </c>
      <c r="S7" s="44">
        <v>524575</v>
      </c>
      <c r="T7" s="44">
        <v>240668.33333333334</v>
      </c>
      <c r="U7" s="44">
        <v>16525.333333333332</v>
      </c>
      <c r="V7" s="44">
        <v>330021.33333333331</v>
      </c>
      <c r="W7" s="44">
        <v>331572</v>
      </c>
      <c r="X7" s="44">
        <v>2840625.3333333335</v>
      </c>
      <c r="Y7" s="44">
        <v>3526898.6666666665</v>
      </c>
      <c r="Z7" s="44">
        <v>2742180.6666666665</v>
      </c>
      <c r="AA7" s="44">
        <v>190912.66666666666</v>
      </c>
      <c r="AB7" s="44">
        <v>1055531.3333333333</v>
      </c>
      <c r="AC7" s="44">
        <v>3273526</v>
      </c>
      <c r="AD7" s="44">
        <v>865037</v>
      </c>
      <c r="AE7" s="44">
        <v>833075.33333333337</v>
      </c>
      <c r="AF7" s="44">
        <v>325955.33333333331</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TS</v>
      </c>
      <c r="B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8" s="1" t="s">
        <v>1712</v>
      </c>
      <c r="D8" s="1" t="s">
        <v>1713</v>
      </c>
      <c r="E8" s="1" t="s">
        <v>1714</v>
      </c>
      <c r="F8" s="1" t="s">
        <v>112</v>
      </c>
      <c r="G8" s="1">
        <v>143623</v>
      </c>
      <c r="K8" s="146" t="s">
        <v>1694</v>
      </c>
      <c r="L8" s="44">
        <v>953950.66666666663</v>
      </c>
      <c r="M8" s="44">
        <v>496168.33333333331</v>
      </c>
      <c r="N8" s="44">
        <v>113189</v>
      </c>
      <c r="O8" s="44">
        <v>307324.66666666669</v>
      </c>
      <c r="P8" s="44">
        <v>1399721</v>
      </c>
      <c r="Q8" s="44">
        <v>3440948.3333333335</v>
      </c>
      <c r="R8" s="44">
        <v>6616173.666666667</v>
      </c>
      <c r="S8" s="44">
        <v>387340.66666666669</v>
      </c>
      <c r="T8" s="44">
        <v>108070.33333333333</v>
      </c>
      <c r="U8" s="44">
        <v>415207.33333333331</v>
      </c>
      <c r="V8" s="44">
        <v>82150.333333333328</v>
      </c>
      <c r="W8" s="44">
        <v>393325.33333333331</v>
      </c>
      <c r="X8" s="44">
        <v>3771770.3333333335</v>
      </c>
      <c r="Y8" s="44">
        <v>3963447.6666666665</v>
      </c>
      <c r="Z8" s="44">
        <v>3258514.6666666665</v>
      </c>
      <c r="AA8" s="44">
        <v>148604.66666666666</v>
      </c>
      <c r="AB8" s="44">
        <v>485749.66666666669</v>
      </c>
      <c r="AC8" s="44">
        <v>1182679</v>
      </c>
      <c r="AD8" s="44">
        <v>1052784.6666666667</v>
      </c>
      <c r="AE8" s="44">
        <v>1637974.3333333333</v>
      </c>
      <c r="AF8" s="44">
        <v>187077</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TS</v>
      </c>
      <c r="B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9" s="1" t="s">
        <v>1715</v>
      </c>
      <c r="D9" s="1" t="s">
        <v>1716</v>
      </c>
      <c r="E9" s="1" t="s">
        <v>1717</v>
      </c>
      <c r="F9" s="1" t="s">
        <v>112</v>
      </c>
      <c r="G9" s="1">
        <v>105165</v>
      </c>
      <c r="K9" s="146" t="s">
        <v>1695</v>
      </c>
      <c r="L9" s="44">
        <v>251735.66666666666</v>
      </c>
      <c r="M9" s="44">
        <v>826737.5</v>
      </c>
      <c r="N9" s="44">
        <v>144127</v>
      </c>
      <c r="O9" s="44">
        <v>1920915</v>
      </c>
      <c r="P9" s="44">
        <v>2389714</v>
      </c>
      <c r="Q9" s="44">
        <v>2642596.3333333335</v>
      </c>
      <c r="R9" s="44">
        <v>4089859.6666666665</v>
      </c>
      <c r="S9" s="44">
        <v>181251.33333333334</v>
      </c>
      <c r="T9" s="44">
        <v>272536.66666666669</v>
      </c>
      <c r="U9" s="44">
        <v>377744.66666666669</v>
      </c>
      <c r="V9" s="44">
        <v>684882</v>
      </c>
      <c r="W9" s="44">
        <v>601130.66666666663</v>
      </c>
      <c r="X9" s="44">
        <v>2252926.6666666665</v>
      </c>
      <c r="Y9" s="44">
        <v>5060112</v>
      </c>
      <c r="Z9" s="44">
        <v>18977</v>
      </c>
      <c r="AA9" s="44">
        <v>35862.333333333336</v>
      </c>
      <c r="AB9" s="44">
        <v>4141562.3333333335</v>
      </c>
      <c r="AC9" s="44">
        <v>204900</v>
      </c>
      <c r="AD9" s="44">
        <v>1989294</v>
      </c>
      <c r="AE9" s="44">
        <v>2201072.6666666665</v>
      </c>
      <c r="AF9" s="44">
        <v>1305493.6666666667</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TS</v>
      </c>
      <c r="B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 s="1" t="s">
        <v>1718</v>
      </c>
      <c r="D10" s="1" t="s">
        <v>1719</v>
      </c>
      <c r="E10" s="1" t="s">
        <v>1720</v>
      </c>
      <c r="F10" s="1" t="s">
        <v>112</v>
      </c>
      <c r="G10" s="1">
        <v>83275</v>
      </c>
      <c r="K10" s="146" t="s">
        <v>1696</v>
      </c>
      <c r="L10" s="44">
        <v>19604</v>
      </c>
      <c r="M10" s="44">
        <v>322465.66666666669</v>
      </c>
      <c r="N10" s="44">
        <v>959898.66666666663</v>
      </c>
      <c r="O10" s="44">
        <v>287973</v>
      </c>
      <c r="P10" s="44">
        <v>620677</v>
      </c>
      <c r="Q10" s="44">
        <v>2417796.6666666665</v>
      </c>
      <c r="R10" s="44">
        <v>6734100</v>
      </c>
      <c r="S10" s="44">
        <v>539212</v>
      </c>
      <c r="T10" s="44">
        <v>410549.66666666669</v>
      </c>
      <c r="U10" s="44">
        <v>200718.33333333334</v>
      </c>
      <c r="V10" s="44">
        <v>770075</v>
      </c>
      <c r="W10" s="44">
        <v>58152</v>
      </c>
      <c r="X10" s="44">
        <v>4206726</v>
      </c>
      <c r="Y10" s="44">
        <v>2042539.6666666667</v>
      </c>
      <c r="Z10" s="44">
        <v>6295251</v>
      </c>
      <c r="AA10" s="44">
        <v>875621.33333333337</v>
      </c>
      <c r="AB10" s="44">
        <v>2042777.6666666667</v>
      </c>
      <c r="AC10" s="44">
        <v>1239609.3333333333</v>
      </c>
      <c r="AD10" s="44">
        <v>1024406.3333333334</v>
      </c>
      <c r="AE10" s="44">
        <v>1844143.3333333333</v>
      </c>
      <c r="AF10" s="44">
        <v>1782988.3333333333</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TS</v>
      </c>
      <c r="B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 s="1" t="s">
        <v>1721</v>
      </c>
      <c r="D11" s="1" t="s">
        <v>1722</v>
      </c>
      <c r="E11" s="1" t="s">
        <v>1723</v>
      </c>
      <c r="F11" s="1" t="s">
        <v>112</v>
      </c>
      <c r="G11" s="1">
        <v>887864</v>
      </c>
      <c r="K11" s="146" t="s">
        <v>1697</v>
      </c>
      <c r="L11" s="44">
        <v>377665</v>
      </c>
      <c r="M11" s="44">
        <v>154120</v>
      </c>
      <c r="N11" s="44">
        <v>29784.666666666668</v>
      </c>
      <c r="O11" s="44">
        <v>666222.33333333337</v>
      </c>
      <c r="P11" s="44">
        <v>611239</v>
      </c>
      <c r="Q11" s="44">
        <v>4535745.666666667</v>
      </c>
      <c r="R11" s="44">
        <v>5381247</v>
      </c>
      <c r="S11" s="44">
        <v>621001.33333333337</v>
      </c>
      <c r="T11" s="44">
        <v>280806.66666666669</v>
      </c>
      <c r="U11" s="44">
        <v>659762.33333333337</v>
      </c>
      <c r="V11" s="44">
        <v>226768</v>
      </c>
      <c r="W11" s="44">
        <v>233415.66666666666</v>
      </c>
      <c r="X11" s="44">
        <v>3482355.3333333335</v>
      </c>
      <c r="Y11" s="44">
        <v>1794048.3333333333</v>
      </c>
      <c r="Z11" s="44">
        <v>6332620.333333333</v>
      </c>
      <c r="AA11" s="44">
        <v>100723.33333333333</v>
      </c>
      <c r="AB11" s="44">
        <v>354845.66666666669</v>
      </c>
      <c r="AC11" s="44">
        <v>1575370.3333333333</v>
      </c>
      <c r="AD11" s="44">
        <v>554655.66666666663</v>
      </c>
      <c r="AE11" s="44">
        <v>604497.66666666663</v>
      </c>
      <c r="AF11" s="44">
        <v>1444646.3333333333</v>
      </c>
      <c r="AG11"/>
    </row>
    <row r="12" spans="1:144" x14ac:dyDescent="0.25">
      <c r="A12" s="1" t="str">
        <f t="shared" si="0"/>
        <v>01 TS</v>
      </c>
      <c r="B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2" s="1" t="s">
        <v>1724</v>
      </c>
      <c r="D12" s="1" t="s">
        <v>1725</v>
      </c>
      <c r="E12" s="1" t="s">
        <v>1726</v>
      </c>
      <c r="F12" s="1" t="s">
        <v>112</v>
      </c>
      <c r="G12" s="1">
        <v>1047666</v>
      </c>
      <c r="K12" s="146" t="s">
        <v>1698</v>
      </c>
      <c r="L12" s="44">
        <v>854099.66666666663</v>
      </c>
      <c r="M12" s="44">
        <v>79410.333333333328</v>
      </c>
      <c r="N12" s="44">
        <v>27643</v>
      </c>
      <c r="O12" s="44">
        <v>215210</v>
      </c>
      <c r="P12" s="44">
        <v>1398019.3333333333</v>
      </c>
      <c r="Q12" s="44">
        <v>4561031.333333333</v>
      </c>
      <c r="R12" s="44">
        <v>5954068.333333333</v>
      </c>
      <c r="S12" s="44">
        <v>505418.33333333331</v>
      </c>
      <c r="T12" s="44">
        <v>549449.66666666663</v>
      </c>
      <c r="U12" s="44">
        <v>481979</v>
      </c>
      <c r="V12" s="44">
        <v>238044</v>
      </c>
      <c r="W12" s="44">
        <v>386937</v>
      </c>
      <c r="X12" s="44">
        <v>3640873.6666666665</v>
      </c>
      <c r="Y12" s="44">
        <v>3325675.6666666665</v>
      </c>
      <c r="Z12" s="44">
        <v>5722080.333333333</v>
      </c>
      <c r="AA12" s="44">
        <v>16099.666666666666</v>
      </c>
      <c r="AB12" s="44">
        <v>1210048.6666666667</v>
      </c>
      <c r="AC12" s="44">
        <v>145060.5</v>
      </c>
      <c r="AD12" s="44">
        <v>130990.66666666667</v>
      </c>
      <c r="AE12" s="44">
        <v>385776.33333333331</v>
      </c>
      <c r="AF12" s="44">
        <v>1825613.3333333333</v>
      </c>
      <c r="AG12"/>
    </row>
    <row r="13" spans="1:144" x14ac:dyDescent="0.25">
      <c r="A13" s="1" t="str">
        <f t="shared" si="0"/>
        <v>01 TS</v>
      </c>
      <c r="B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3" s="1" t="s">
        <v>1727</v>
      </c>
      <c r="D13" s="1" t="s">
        <v>1728</v>
      </c>
      <c r="E13" s="1" t="s">
        <v>1729</v>
      </c>
      <c r="F13" s="1" t="s">
        <v>112</v>
      </c>
      <c r="G13" s="1">
        <v>926322</v>
      </c>
      <c r="K13"/>
      <c r="L13"/>
      <c r="M13"/>
      <c r="N13"/>
      <c r="O13"/>
      <c r="P13"/>
      <c r="Q13"/>
      <c r="R13"/>
      <c r="S13"/>
      <c r="T13"/>
      <c r="U13"/>
      <c r="V13"/>
      <c r="W13"/>
      <c r="X13"/>
      <c r="Y13"/>
      <c r="Z13"/>
      <c r="AA13"/>
      <c r="AB13"/>
      <c r="AC13"/>
      <c r="AD13"/>
      <c r="AE13"/>
      <c r="AF13"/>
      <c r="AG13"/>
    </row>
    <row r="14" spans="1:144" x14ac:dyDescent="0.25">
      <c r="A14" s="1" t="str">
        <f t="shared" si="0"/>
        <v>01 TS</v>
      </c>
      <c r="B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 s="1" t="s">
        <v>1730</v>
      </c>
      <c r="D14" s="1" t="s">
        <v>233</v>
      </c>
      <c r="E14" s="1" t="s">
        <v>1731</v>
      </c>
      <c r="F14" s="1" t="s">
        <v>112</v>
      </c>
      <c r="G14" s="1">
        <v>124480</v>
      </c>
      <c r="K14"/>
      <c r="L14"/>
      <c r="M14"/>
      <c r="N14"/>
      <c r="O14"/>
      <c r="P14"/>
      <c r="Q14"/>
      <c r="R14"/>
      <c r="S14"/>
      <c r="T14"/>
      <c r="U14"/>
      <c r="V14"/>
      <c r="W14"/>
      <c r="X14"/>
      <c r="Y14"/>
      <c r="Z14"/>
      <c r="AA14"/>
      <c r="AB14"/>
      <c r="AC14"/>
      <c r="AD14"/>
      <c r="AE14"/>
      <c r="AF14"/>
      <c r="AG14"/>
    </row>
    <row r="15" spans="1:144" x14ac:dyDescent="0.25">
      <c r="A15" s="1" t="str">
        <f t="shared" si="0"/>
        <v>01 TS</v>
      </c>
      <c r="B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5" s="1" t="s">
        <v>1732</v>
      </c>
      <c r="D15" s="1" t="s">
        <v>1713</v>
      </c>
      <c r="E15" s="1" t="s">
        <v>1733</v>
      </c>
      <c r="F15" s="1" t="s">
        <v>112</v>
      </c>
      <c r="G15" s="1">
        <v>149181</v>
      </c>
    </row>
    <row r="16" spans="1:144" x14ac:dyDescent="0.25">
      <c r="A16" s="1" t="str">
        <f t="shared" si="0"/>
        <v>01 TS</v>
      </c>
      <c r="B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6" s="1" t="s">
        <v>1734</v>
      </c>
      <c r="D16" s="1" t="s">
        <v>1735</v>
      </c>
      <c r="E16" s="1" t="s">
        <v>1736</v>
      </c>
      <c r="F16" s="1" t="s">
        <v>112</v>
      </c>
      <c r="G16" s="1">
        <v>481546</v>
      </c>
    </row>
    <row r="17" spans="1:9" x14ac:dyDescent="0.25">
      <c r="A17" s="1" t="str">
        <f t="shared" si="0"/>
        <v>01 TS</v>
      </c>
      <c r="B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7" s="1" t="s">
        <v>1737</v>
      </c>
      <c r="D17" s="1" t="s">
        <v>1738</v>
      </c>
      <c r="E17" s="1" t="s">
        <v>1739</v>
      </c>
      <c r="F17" s="1" t="s">
        <v>112</v>
      </c>
      <c r="G17" s="1">
        <v>26280</v>
      </c>
    </row>
    <row r="18" spans="1:9" x14ac:dyDescent="0.25">
      <c r="A18" s="1" t="str">
        <f t="shared" si="0"/>
        <v>01 TS</v>
      </c>
      <c r="B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 s="1" t="s">
        <v>1740</v>
      </c>
      <c r="D18" s="1" t="s">
        <v>1741</v>
      </c>
      <c r="E18" s="1" t="s">
        <v>1742</v>
      </c>
      <c r="F18" s="1" t="s">
        <v>112</v>
      </c>
      <c r="G18" s="1">
        <v>18948</v>
      </c>
    </row>
    <row r="19" spans="1:9" x14ac:dyDescent="0.25">
      <c r="A19" s="1" t="str">
        <f t="shared" si="0"/>
        <v>01 TS</v>
      </c>
      <c r="B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9" s="1" t="s">
        <v>1743</v>
      </c>
      <c r="D19" s="1" t="s">
        <v>1744</v>
      </c>
      <c r="E19" s="1" t="s">
        <v>1745</v>
      </c>
      <c r="F19" s="1" t="s">
        <v>112</v>
      </c>
      <c r="G19" s="1">
        <v>13584</v>
      </c>
    </row>
    <row r="20" spans="1:9" x14ac:dyDescent="0.25">
      <c r="A20" s="1" t="str">
        <f t="shared" si="0"/>
        <v>01 TS</v>
      </c>
      <c r="B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0" s="1" t="s">
        <v>1746</v>
      </c>
      <c r="D20" s="1" t="s">
        <v>1747</v>
      </c>
      <c r="E20" s="1" t="s">
        <v>1748</v>
      </c>
      <c r="F20" s="1" t="s">
        <v>112</v>
      </c>
      <c r="G20" s="1">
        <v>473478</v>
      </c>
    </row>
    <row r="21" spans="1:9" x14ac:dyDescent="0.25">
      <c r="A21" s="1" t="str">
        <f t="shared" si="0"/>
        <v>01 TS</v>
      </c>
      <c r="B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 s="1" t="s">
        <v>1749</v>
      </c>
      <c r="D21" s="1" t="s">
        <v>1750</v>
      </c>
      <c r="E21" s="1" t="s">
        <v>1751</v>
      </c>
      <c r="F21" s="1" t="s">
        <v>112</v>
      </c>
      <c r="G21" s="1">
        <v>551865</v>
      </c>
    </row>
    <row r="22" spans="1:9" x14ac:dyDescent="0.25">
      <c r="A22" s="1" t="str">
        <f t="shared" si="0"/>
        <v>01 TS</v>
      </c>
      <c r="B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 s="1" t="s">
        <v>1752</v>
      </c>
      <c r="D22" s="1" t="s">
        <v>790</v>
      </c>
      <c r="E22" s="1" t="s">
        <v>1753</v>
      </c>
      <c r="F22" s="1" t="s">
        <v>112</v>
      </c>
      <c r="G22" s="1">
        <v>107652</v>
      </c>
    </row>
    <row r="23" spans="1:9" x14ac:dyDescent="0.25">
      <c r="A23" s="1" t="str">
        <f t="shared" si="0"/>
        <v>01 TS</v>
      </c>
      <c r="B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3" s="1" t="s">
        <v>1754</v>
      </c>
      <c r="D23" s="1" t="s">
        <v>1755</v>
      </c>
      <c r="E23" s="1" t="s">
        <v>1756</v>
      </c>
      <c r="F23" s="1" t="s">
        <v>112</v>
      </c>
      <c r="G23" s="1">
        <v>723390</v>
      </c>
    </row>
    <row r="24" spans="1:9" x14ac:dyDescent="0.25">
      <c r="A24" s="1" t="str">
        <f t="shared" si="0"/>
        <v>01 TS</v>
      </c>
      <c r="B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4" s="1" t="s">
        <v>1757</v>
      </c>
      <c r="D24" s="1" t="s">
        <v>1758</v>
      </c>
      <c r="E24" s="1" t="s">
        <v>1759</v>
      </c>
      <c r="F24" s="1" t="s">
        <v>112</v>
      </c>
      <c r="G24" s="1">
        <v>1179132</v>
      </c>
    </row>
    <row r="25" spans="1:9" x14ac:dyDescent="0.25">
      <c r="A25" s="1" t="str">
        <f t="shared" si="0"/>
        <v>01 TS</v>
      </c>
      <c r="B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 s="1" t="s">
        <v>1760</v>
      </c>
      <c r="D25" s="1" t="s">
        <v>211</v>
      </c>
      <c r="E25" s="1" t="s">
        <v>1761</v>
      </c>
      <c r="F25" s="1" t="s">
        <v>112</v>
      </c>
      <c r="G25" s="1">
        <v>659777</v>
      </c>
    </row>
    <row r="26" spans="1:9" x14ac:dyDescent="0.25">
      <c r="A26" s="1" t="str">
        <f t="shared" si="0"/>
        <v/>
      </c>
      <c r="B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 s="1" t="s">
        <v>112</v>
      </c>
    </row>
    <row r="27" spans="1:9" x14ac:dyDescent="0.25">
      <c r="A27" s="1" t="str">
        <f t="shared" si="0"/>
        <v/>
      </c>
      <c r="B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7" s="1" t="s">
        <v>235</v>
      </c>
      <c r="D27" s="1" t="s">
        <v>112</v>
      </c>
      <c r="E27" s="1" t="s">
        <v>236</v>
      </c>
      <c r="F27" s="1" t="s">
        <v>237</v>
      </c>
      <c r="G27" s="1" t="s">
        <v>238</v>
      </c>
      <c r="H27" s="1" t="s">
        <v>239</v>
      </c>
      <c r="I27" s="1" t="s">
        <v>240</v>
      </c>
    </row>
    <row r="28" spans="1:9" x14ac:dyDescent="0.25">
      <c r="A28" s="1" t="str">
        <f t="shared" si="0"/>
        <v>01 TS</v>
      </c>
      <c r="B2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8" s="1" t="s">
        <v>1762</v>
      </c>
      <c r="D28" s="1" t="s">
        <v>112</v>
      </c>
      <c r="E28" s="1" t="s">
        <v>1763</v>
      </c>
      <c r="F28" s="1" t="s">
        <v>1764</v>
      </c>
      <c r="G28" s="1" t="s">
        <v>1765</v>
      </c>
      <c r="H28" s="1" t="s">
        <v>1766</v>
      </c>
      <c r="I28" s="1">
        <v>24</v>
      </c>
    </row>
    <row r="29" spans="1:9" x14ac:dyDescent="0.25">
      <c r="A29" s="1" t="str">
        <f t="shared" si="0"/>
        <v/>
      </c>
      <c r="B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 s="1" t="s">
        <v>112</v>
      </c>
    </row>
    <row r="30" spans="1:9" x14ac:dyDescent="0.25">
      <c r="A30" s="1" t="str">
        <f t="shared" si="0"/>
        <v/>
      </c>
      <c r="B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0" s="1" t="s">
        <v>112</v>
      </c>
    </row>
    <row r="31" spans="1:9" x14ac:dyDescent="0.25">
      <c r="A31" s="1" t="str">
        <f t="shared" si="0"/>
        <v/>
      </c>
      <c r="B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1" s="1" t="s">
        <v>112</v>
      </c>
    </row>
    <row r="32" spans="1:9" x14ac:dyDescent="0.25">
      <c r="A32" s="1" t="str">
        <f t="shared" si="0"/>
        <v/>
      </c>
      <c r="B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 s="1" t="s">
        <v>112</v>
      </c>
    </row>
    <row r="33" spans="1:7" x14ac:dyDescent="0.25">
      <c r="A33" s="1" t="str">
        <f t="shared" si="0"/>
        <v/>
      </c>
      <c r="B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 s="1" t="s">
        <v>112</v>
      </c>
    </row>
    <row r="34" spans="1:7" x14ac:dyDescent="0.25">
      <c r="A34" s="1" t="str">
        <f t="shared" si="0"/>
        <v/>
      </c>
      <c r="B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4" s="1" t="s">
        <v>246</v>
      </c>
      <c r="D34" s="1" t="s">
        <v>110</v>
      </c>
      <c r="E34" s="1" t="s">
        <v>111</v>
      </c>
      <c r="F34" s="1" t="s">
        <v>112</v>
      </c>
      <c r="G34" s="1" t="s">
        <v>113</v>
      </c>
    </row>
    <row r="35" spans="1:7" x14ac:dyDescent="0.25">
      <c r="A35" s="1" t="str">
        <f t="shared" si="0"/>
        <v>02 EE2 34</v>
      </c>
      <c r="B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5" s="1" t="s">
        <v>1767</v>
      </c>
      <c r="D35" s="1" t="s">
        <v>1768</v>
      </c>
      <c r="E35" s="1" t="s">
        <v>1769</v>
      </c>
      <c r="F35" s="1" t="s">
        <v>112</v>
      </c>
      <c r="G35" s="1">
        <v>91819</v>
      </c>
    </row>
    <row r="36" spans="1:7" x14ac:dyDescent="0.25">
      <c r="A36" s="1" t="str">
        <f t="shared" si="0"/>
        <v>02 EE2 34</v>
      </c>
      <c r="B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 s="1" t="s">
        <v>1770</v>
      </c>
      <c r="D36" s="1" t="s">
        <v>1771</v>
      </c>
      <c r="E36" s="1" t="s">
        <v>1772</v>
      </c>
      <c r="F36" s="1" t="s">
        <v>112</v>
      </c>
      <c r="G36" s="1">
        <v>15098</v>
      </c>
    </row>
    <row r="37" spans="1:7" x14ac:dyDescent="0.25">
      <c r="A37" s="1" t="str">
        <f t="shared" si="0"/>
        <v>02 EE2 34</v>
      </c>
      <c r="B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7" s="1" t="s">
        <v>1773</v>
      </c>
      <c r="D37" s="1" t="s">
        <v>1774</v>
      </c>
      <c r="E37" s="1" t="s">
        <v>1775</v>
      </c>
      <c r="F37" s="1" t="s">
        <v>112</v>
      </c>
      <c r="G37" s="1">
        <v>49035</v>
      </c>
    </row>
    <row r="38" spans="1:7" x14ac:dyDescent="0.25">
      <c r="A38" s="1" t="str">
        <f t="shared" si="0"/>
        <v>02 EE2 34</v>
      </c>
      <c r="B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8" s="1" t="s">
        <v>1776</v>
      </c>
      <c r="D38" s="1" t="s">
        <v>1777</v>
      </c>
      <c r="E38" s="1" t="s">
        <v>1778</v>
      </c>
      <c r="F38" s="1" t="s">
        <v>112</v>
      </c>
      <c r="G38" s="1">
        <v>138172</v>
      </c>
    </row>
    <row r="39" spans="1:7" x14ac:dyDescent="0.25">
      <c r="A39" s="1" t="str">
        <f t="shared" si="0"/>
        <v>02 EE2 34</v>
      </c>
      <c r="B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9" s="1" t="s">
        <v>1779</v>
      </c>
      <c r="D39" s="1" t="s">
        <v>1780</v>
      </c>
      <c r="E39" s="1" t="s">
        <v>1781</v>
      </c>
      <c r="F39" s="1" t="s">
        <v>112</v>
      </c>
      <c r="G39" s="1">
        <v>40989</v>
      </c>
    </row>
    <row r="40" spans="1:7" x14ac:dyDescent="0.25">
      <c r="A40" s="1" t="str">
        <f t="shared" si="0"/>
        <v>02 EE2 34</v>
      </c>
      <c r="B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 s="1" t="s">
        <v>1782</v>
      </c>
      <c r="D40" s="1" t="s">
        <v>790</v>
      </c>
      <c r="E40" s="1" t="s">
        <v>443</v>
      </c>
      <c r="F40" s="1" t="s">
        <v>112</v>
      </c>
      <c r="G40" s="1">
        <v>110659</v>
      </c>
    </row>
    <row r="41" spans="1:7" x14ac:dyDescent="0.25">
      <c r="A41" s="1" t="str">
        <f t="shared" si="0"/>
        <v>02 EE2 34</v>
      </c>
      <c r="B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1" s="1" t="s">
        <v>1783</v>
      </c>
      <c r="D41" s="1" t="s">
        <v>776</v>
      </c>
      <c r="E41" s="1" t="s">
        <v>1784</v>
      </c>
      <c r="F41" s="1" t="s">
        <v>112</v>
      </c>
      <c r="G41" s="1">
        <v>294859</v>
      </c>
    </row>
    <row r="42" spans="1:7" x14ac:dyDescent="0.25">
      <c r="A42" s="1" t="str">
        <f t="shared" si="0"/>
        <v>02 EE2 34</v>
      </c>
      <c r="B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2" s="1" t="s">
        <v>1785</v>
      </c>
      <c r="D42" s="1" t="s">
        <v>1786</v>
      </c>
      <c r="E42" s="1" t="s">
        <v>1787</v>
      </c>
      <c r="F42" s="1" t="s">
        <v>112</v>
      </c>
      <c r="G42" s="1">
        <v>141870</v>
      </c>
    </row>
    <row r="43" spans="1:7" x14ac:dyDescent="0.25">
      <c r="A43" s="1" t="str">
        <f t="shared" si="0"/>
        <v>02 EE2 34</v>
      </c>
      <c r="B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 s="1" t="s">
        <v>1788</v>
      </c>
      <c r="D43" s="1" t="s">
        <v>1789</v>
      </c>
      <c r="E43" s="1" t="s">
        <v>1790</v>
      </c>
      <c r="F43" s="1" t="s">
        <v>112</v>
      </c>
      <c r="G43" s="1">
        <v>134603</v>
      </c>
    </row>
    <row r="44" spans="1:7" x14ac:dyDescent="0.25">
      <c r="A44" s="1" t="str">
        <f t="shared" si="0"/>
        <v>02 EE2 34</v>
      </c>
      <c r="B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 s="1" t="s">
        <v>1791</v>
      </c>
      <c r="D44" s="1" t="s">
        <v>1792</v>
      </c>
      <c r="E44" s="1" t="s">
        <v>1793</v>
      </c>
      <c r="F44" s="1" t="s">
        <v>112</v>
      </c>
      <c r="G44" s="1">
        <v>581239</v>
      </c>
    </row>
    <row r="45" spans="1:7" x14ac:dyDescent="0.25">
      <c r="A45" s="1" t="str">
        <f t="shared" si="0"/>
        <v>02 EE2 34</v>
      </c>
      <c r="B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5" s="1" t="s">
        <v>1794</v>
      </c>
      <c r="D45" s="1" t="s">
        <v>684</v>
      </c>
      <c r="E45" s="1" t="s">
        <v>1795</v>
      </c>
      <c r="F45" s="1" t="s">
        <v>112</v>
      </c>
      <c r="G45" s="1">
        <v>655797</v>
      </c>
    </row>
    <row r="46" spans="1:7" x14ac:dyDescent="0.25">
      <c r="A46" s="1" t="str">
        <f t="shared" si="0"/>
        <v>02 EE2 34</v>
      </c>
      <c r="B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6" s="1" t="s">
        <v>1796</v>
      </c>
      <c r="D46" s="1" t="s">
        <v>793</v>
      </c>
      <c r="E46" s="1" t="s">
        <v>1797</v>
      </c>
      <c r="F46" s="1" t="s">
        <v>112</v>
      </c>
      <c r="G46" s="1">
        <v>251469</v>
      </c>
    </row>
    <row r="47" spans="1:7" x14ac:dyDescent="0.25">
      <c r="A47" s="1" t="str">
        <f t="shared" si="0"/>
        <v>02 EE2 34</v>
      </c>
      <c r="B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 s="1" t="s">
        <v>1798</v>
      </c>
      <c r="D47" s="1" t="s">
        <v>1799</v>
      </c>
      <c r="E47" s="1" t="s">
        <v>1800</v>
      </c>
      <c r="F47" s="1" t="s">
        <v>112</v>
      </c>
      <c r="G47" s="1">
        <v>810991</v>
      </c>
    </row>
    <row r="48" spans="1:7" x14ac:dyDescent="0.25">
      <c r="A48" s="1" t="str">
        <f t="shared" si="0"/>
        <v>02 EE2 34</v>
      </c>
      <c r="B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8" s="1" t="s">
        <v>1801</v>
      </c>
    </row>
    <row r="49" spans="1:9" x14ac:dyDescent="0.25">
      <c r="A49" s="1" t="str">
        <f t="shared" si="0"/>
        <v>02 EE2 34</v>
      </c>
      <c r="B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9" s="1" t="s">
        <v>1802</v>
      </c>
      <c r="D49" s="1" t="s">
        <v>1803</v>
      </c>
      <c r="E49" s="1" t="s">
        <v>1804</v>
      </c>
      <c r="F49" s="1" t="s">
        <v>112</v>
      </c>
      <c r="G49" s="1">
        <v>842484</v>
      </c>
    </row>
    <row r="50" spans="1:9" x14ac:dyDescent="0.25">
      <c r="A50" s="1" t="str">
        <f t="shared" si="0"/>
        <v>02 EE2 34</v>
      </c>
      <c r="B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0" s="1" t="s">
        <v>1805</v>
      </c>
      <c r="D50" s="1" t="s">
        <v>1806</v>
      </c>
      <c r="E50" s="1" t="s">
        <v>1807</v>
      </c>
      <c r="F50" s="1" t="s">
        <v>112</v>
      </c>
      <c r="G50" s="1">
        <v>180653</v>
      </c>
    </row>
    <row r="51" spans="1:9" x14ac:dyDescent="0.25">
      <c r="A51" s="1" t="str">
        <f t="shared" si="0"/>
        <v>02 EE2 34</v>
      </c>
      <c r="B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 s="1" t="s">
        <v>1808</v>
      </c>
      <c r="D51" s="1" t="s">
        <v>1382</v>
      </c>
      <c r="E51" s="1" t="s">
        <v>1809</v>
      </c>
      <c r="F51" s="1" t="s">
        <v>112</v>
      </c>
      <c r="G51" s="1">
        <v>426066</v>
      </c>
    </row>
    <row r="52" spans="1:9" x14ac:dyDescent="0.25">
      <c r="A52" s="1" t="str">
        <f t="shared" si="0"/>
        <v>02 EE2 34</v>
      </c>
      <c r="B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2" s="1" t="s">
        <v>1810</v>
      </c>
      <c r="D52" s="1" t="s">
        <v>1247</v>
      </c>
      <c r="E52" s="1" t="s">
        <v>1811</v>
      </c>
      <c r="F52" s="1" t="s">
        <v>112</v>
      </c>
      <c r="G52" s="1">
        <v>360678</v>
      </c>
    </row>
    <row r="53" spans="1:9" x14ac:dyDescent="0.25">
      <c r="A53" s="1" t="str">
        <f t="shared" si="0"/>
        <v>02 EE2 34</v>
      </c>
      <c r="B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3" s="1" t="s">
        <v>1812</v>
      </c>
      <c r="D53" s="1" t="s">
        <v>968</v>
      </c>
      <c r="E53" s="1" t="s">
        <v>1813</v>
      </c>
      <c r="F53" s="1" t="s">
        <v>112</v>
      </c>
      <c r="G53" s="1">
        <v>109685</v>
      </c>
    </row>
    <row r="54" spans="1:9" x14ac:dyDescent="0.25">
      <c r="A54" s="1" t="str">
        <f t="shared" si="0"/>
        <v>02 EE2 34</v>
      </c>
      <c r="B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 s="1" t="s">
        <v>1814</v>
      </c>
      <c r="D54" s="1" t="s">
        <v>1815</v>
      </c>
      <c r="E54" s="1" t="s">
        <v>1816</v>
      </c>
      <c r="F54" s="1" t="s">
        <v>112</v>
      </c>
      <c r="G54" s="1">
        <v>254930</v>
      </c>
    </row>
    <row r="55" spans="1:9" x14ac:dyDescent="0.25">
      <c r="A55" s="1" t="str">
        <f t="shared" si="0"/>
        <v>02 EE2 34</v>
      </c>
      <c r="B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 s="1" t="s">
        <v>1817</v>
      </c>
      <c r="D55" s="1" t="s">
        <v>409</v>
      </c>
      <c r="E55" s="1" t="s">
        <v>1818</v>
      </c>
      <c r="F55" s="1" t="s">
        <v>112</v>
      </c>
      <c r="G55" s="1">
        <v>97745</v>
      </c>
    </row>
    <row r="56" spans="1:9" x14ac:dyDescent="0.25">
      <c r="A56" s="1" t="str">
        <f t="shared" si="0"/>
        <v>02 EE2 34</v>
      </c>
      <c r="B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6" s="1" t="s">
        <v>1819</v>
      </c>
      <c r="D56" s="1" t="s">
        <v>409</v>
      </c>
      <c r="E56" s="1" t="s">
        <v>1820</v>
      </c>
      <c r="F56" s="1" t="s">
        <v>112</v>
      </c>
      <c r="G56" s="1">
        <v>93268</v>
      </c>
    </row>
    <row r="57" spans="1:9" x14ac:dyDescent="0.25">
      <c r="A57" s="1" t="str">
        <f t="shared" si="0"/>
        <v>02 EE2 34</v>
      </c>
      <c r="B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7" s="1" t="s">
        <v>1821</v>
      </c>
      <c r="D57" s="1" t="s">
        <v>1822</v>
      </c>
      <c r="E57" s="1" t="s">
        <v>1823</v>
      </c>
      <c r="F57" s="1" t="s">
        <v>112</v>
      </c>
      <c r="G57" s="1">
        <v>56627</v>
      </c>
    </row>
    <row r="58" spans="1:9" x14ac:dyDescent="0.25">
      <c r="A58" s="1" t="str">
        <f t="shared" si="0"/>
        <v>02 EE2 34</v>
      </c>
      <c r="B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 s="1" t="s">
        <v>1824</v>
      </c>
      <c r="D58" s="1" t="s">
        <v>1825</v>
      </c>
      <c r="E58" s="1" t="s">
        <v>1826</v>
      </c>
      <c r="F58" s="1" t="s">
        <v>112</v>
      </c>
      <c r="G58" s="1">
        <v>88336</v>
      </c>
    </row>
    <row r="59" spans="1:9" x14ac:dyDescent="0.25">
      <c r="A59" s="1" t="str">
        <f t="shared" si="0"/>
        <v/>
      </c>
      <c r="B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 s="1" t="s">
        <v>112</v>
      </c>
    </row>
    <row r="60" spans="1:9" x14ac:dyDescent="0.25">
      <c r="A60" s="1" t="str">
        <f t="shared" si="0"/>
        <v/>
      </c>
      <c r="B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0" s="1" t="s">
        <v>235</v>
      </c>
      <c r="D60" s="1" t="s">
        <v>112</v>
      </c>
      <c r="E60" s="1" t="s">
        <v>236</v>
      </c>
      <c r="F60" s="1" t="s">
        <v>237</v>
      </c>
      <c r="G60" s="1" t="s">
        <v>238</v>
      </c>
      <c r="H60" s="1" t="s">
        <v>239</v>
      </c>
      <c r="I60" s="1" t="s">
        <v>240</v>
      </c>
    </row>
    <row r="61" spans="1:9" x14ac:dyDescent="0.25">
      <c r="A61" s="1" t="str">
        <f t="shared" si="0"/>
        <v>02 EE2 34</v>
      </c>
      <c r="B6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1" s="1" t="s">
        <v>1827</v>
      </c>
      <c r="D61" s="1" t="s">
        <v>112</v>
      </c>
      <c r="E61" s="1" t="s">
        <v>1828</v>
      </c>
      <c r="F61" s="1" t="s">
        <v>1829</v>
      </c>
      <c r="G61" s="1" t="s">
        <v>1830</v>
      </c>
      <c r="H61" s="1" t="s">
        <v>1831</v>
      </c>
      <c r="I61" s="1">
        <v>24</v>
      </c>
    </row>
    <row r="62" spans="1:9" x14ac:dyDescent="0.25">
      <c r="A62" s="1" t="str">
        <f t="shared" si="0"/>
        <v/>
      </c>
      <c r="B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 s="1" t="s">
        <v>112</v>
      </c>
    </row>
    <row r="63" spans="1:9" x14ac:dyDescent="0.25">
      <c r="A63" s="1" t="str">
        <f t="shared" si="0"/>
        <v/>
      </c>
      <c r="B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3" s="1" t="s">
        <v>112</v>
      </c>
    </row>
    <row r="64" spans="1:9" x14ac:dyDescent="0.25">
      <c r="A64" s="1" t="str">
        <f t="shared" si="0"/>
        <v/>
      </c>
      <c r="B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4" s="1" t="s">
        <v>112</v>
      </c>
    </row>
    <row r="65" spans="1:7" x14ac:dyDescent="0.25">
      <c r="A65" s="1" t="str">
        <f t="shared" si="0"/>
        <v/>
      </c>
      <c r="B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 s="1" t="s">
        <v>112</v>
      </c>
    </row>
    <row r="66" spans="1:7" x14ac:dyDescent="0.25">
      <c r="A66" s="1" t="str">
        <f t="shared" ref="A66:A129" si="1">IFERROR(LEFT(RIGHT(C66,LEN(C66)-SEARCH("@",C66)),SEARCH("/",RIGHT(C66,LEN(C66)-SEARCH("@",C66)-1))),"")</f>
        <v/>
      </c>
      <c r="B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 s="1" t="s">
        <v>112</v>
      </c>
    </row>
    <row r="67" spans="1:7" x14ac:dyDescent="0.25">
      <c r="A67" s="1" t="str">
        <f t="shared" si="1"/>
        <v/>
      </c>
      <c r="B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7" s="1" t="s">
        <v>246</v>
      </c>
      <c r="D67" s="1" t="s">
        <v>110</v>
      </c>
      <c r="E67" s="1" t="s">
        <v>111</v>
      </c>
      <c r="F67" s="1" t="s">
        <v>112</v>
      </c>
      <c r="G67" s="1" t="s">
        <v>113</v>
      </c>
    </row>
    <row r="68" spans="1:7" x14ac:dyDescent="0.25">
      <c r="A68" s="1" t="str">
        <f t="shared" si="1"/>
        <v>03 EE2 51</v>
      </c>
      <c r="B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8" s="1" t="s">
        <v>1832</v>
      </c>
      <c r="D68" s="1" t="s">
        <v>306</v>
      </c>
      <c r="E68" s="1" t="s">
        <v>1833</v>
      </c>
      <c r="F68" s="1" t="s">
        <v>112</v>
      </c>
      <c r="G68" s="1">
        <v>72439</v>
      </c>
    </row>
    <row r="69" spans="1:7" x14ac:dyDescent="0.25">
      <c r="A69" s="1" t="str">
        <f t="shared" si="1"/>
        <v>03 EE2 51</v>
      </c>
      <c r="B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9" s="1" t="s">
        <v>1834</v>
      </c>
      <c r="D69" s="1" t="s">
        <v>337</v>
      </c>
      <c r="E69" s="1" t="s">
        <v>1835</v>
      </c>
      <c r="F69" s="1" t="s">
        <v>112</v>
      </c>
      <c r="G69" s="1">
        <v>201504</v>
      </c>
    </row>
    <row r="70" spans="1:7" x14ac:dyDescent="0.25">
      <c r="A70" s="1" t="str">
        <f t="shared" si="1"/>
        <v>03 EE2 51</v>
      </c>
      <c r="B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70" s="1" t="s">
        <v>1836</v>
      </c>
      <c r="D70" s="1" t="s">
        <v>1837</v>
      </c>
      <c r="E70" s="1" t="s">
        <v>1838</v>
      </c>
      <c r="F70" s="1" t="s">
        <v>112</v>
      </c>
      <c r="G70" s="1">
        <v>377160</v>
      </c>
    </row>
    <row r="71" spans="1:7" x14ac:dyDescent="0.25">
      <c r="A71" s="1" t="str">
        <f t="shared" si="1"/>
        <v>03 EE2 51</v>
      </c>
      <c r="B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1" s="1" t="s">
        <v>1839</v>
      </c>
      <c r="D71" s="1" t="s">
        <v>306</v>
      </c>
      <c r="E71" s="1" t="s">
        <v>1840</v>
      </c>
      <c r="F71" s="1" t="s">
        <v>112</v>
      </c>
      <c r="G71" s="1">
        <v>72525</v>
      </c>
    </row>
    <row r="72" spans="1:7" x14ac:dyDescent="0.25">
      <c r="A72" s="1" t="str">
        <f t="shared" si="1"/>
        <v>03 EE2 51</v>
      </c>
      <c r="B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2" s="1" t="s">
        <v>1841</v>
      </c>
      <c r="D72" s="1" t="s">
        <v>1842</v>
      </c>
      <c r="E72" s="1" t="s">
        <v>1843</v>
      </c>
      <c r="F72" s="1" t="s">
        <v>112</v>
      </c>
      <c r="G72" s="1">
        <v>53621</v>
      </c>
    </row>
    <row r="73" spans="1:7" x14ac:dyDescent="0.25">
      <c r="A73" s="1" t="str">
        <f t="shared" si="1"/>
        <v>03 EE2 51</v>
      </c>
      <c r="B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73" s="1" t="s">
        <v>1844</v>
      </c>
      <c r="D73" s="1" t="s">
        <v>1845</v>
      </c>
      <c r="E73" s="1" t="s">
        <v>1846</v>
      </c>
      <c r="F73" s="1" t="s">
        <v>112</v>
      </c>
      <c r="G73" s="1">
        <v>27513</v>
      </c>
    </row>
    <row r="74" spans="1:7" x14ac:dyDescent="0.25">
      <c r="A74" s="1" t="str">
        <f t="shared" si="1"/>
        <v>03 EE2 51</v>
      </c>
      <c r="B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4" s="1" t="s">
        <v>1847</v>
      </c>
      <c r="D74" s="1" t="s">
        <v>1848</v>
      </c>
      <c r="E74" s="1" t="s">
        <v>1849</v>
      </c>
      <c r="F74" s="1" t="s">
        <v>112</v>
      </c>
      <c r="G74" s="1">
        <v>913387</v>
      </c>
    </row>
    <row r="75" spans="1:7" x14ac:dyDescent="0.25">
      <c r="A75" s="1" t="str">
        <f t="shared" si="1"/>
        <v>03 EE2 51</v>
      </c>
      <c r="B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5" s="1" t="s">
        <v>1850</v>
      </c>
    </row>
    <row r="76" spans="1:7" x14ac:dyDescent="0.25">
      <c r="A76" s="1" t="str">
        <f t="shared" si="1"/>
        <v>03 EE2 51</v>
      </c>
      <c r="B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76" s="1" t="s">
        <v>1851</v>
      </c>
    </row>
    <row r="77" spans="1:7" x14ac:dyDescent="0.25">
      <c r="A77" s="1" t="str">
        <f t="shared" si="1"/>
        <v>03 EE2 51</v>
      </c>
      <c r="B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7" s="1" t="s">
        <v>1852</v>
      </c>
      <c r="D77" s="1" t="s">
        <v>823</v>
      </c>
      <c r="E77" s="1" t="s">
        <v>1853</v>
      </c>
      <c r="F77" s="1" t="s">
        <v>112</v>
      </c>
      <c r="G77" s="1">
        <v>175656</v>
      </c>
    </row>
    <row r="78" spans="1:7" x14ac:dyDescent="0.25">
      <c r="A78" s="1" t="str">
        <f t="shared" si="1"/>
        <v>03 EE2 51</v>
      </c>
      <c r="B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8" s="1" t="s">
        <v>1854</v>
      </c>
      <c r="D78" s="1" t="s">
        <v>1855</v>
      </c>
      <c r="E78" s="1" t="s">
        <v>1856</v>
      </c>
      <c r="F78" s="1" t="s">
        <v>112</v>
      </c>
      <c r="G78" s="1">
        <v>16114</v>
      </c>
    </row>
    <row r="79" spans="1:7" x14ac:dyDescent="0.25">
      <c r="A79" s="1" t="str">
        <f t="shared" si="1"/>
        <v>03 EE2 51</v>
      </c>
      <c r="B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79" s="1" t="s">
        <v>1857</v>
      </c>
      <c r="D79" s="1" t="s">
        <v>1713</v>
      </c>
      <c r="E79" s="1" t="s">
        <v>1858</v>
      </c>
      <c r="F79" s="1" t="s">
        <v>112</v>
      </c>
      <c r="G79" s="1">
        <v>147797</v>
      </c>
    </row>
    <row r="80" spans="1:7" x14ac:dyDescent="0.25">
      <c r="A80" s="1" t="str">
        <f t="shared" si="1"/>
        <v>03 EE2 51</v>
      </c>
      <c r="B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0" s="1" t="s">
        <v>1859</v>
      </c>
      <c r="D80" s="1" t="s">
        <v>1385</v>
      </c>
      <c r="E80" s="1" t="s">
        <v>1860</v>
      </c>
      <c r="F80" s="1" t="s">
        <v>112</v>
      </c>
      <c r="G80" s="1">
        <v>149441</v>
      </c>
    </row>
    <row r="81" spans="1:9" x14ac:dyDescent="0.25">
      <c r="A81" s="1" t="str">
        <f t="shared" si="1"/>
        <v>03 EE2 51</v>
      </c>
      <c r="B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1" s="1" t="s">
        <v>1861</v>
      </c>
      <c r="D81" s="1" t="s">
        <v>888</v>
      </c>
      <c r="E81" s="1" t="s">
        <v>1862</v>
      </c>
      <c r="F81" s="1" t="s">
        <v>112</v>
      </c>
      <c r="G81" s="1">
        <v>167177</v>
      </c>
    </row>
    <row r="82" spans="1:9" x14ac:dyDescent="0.25">
      <c r="A82" s="1" t="str">
        <f t="shared" si="1"/>
        <v>03 EE2 51</v>
      </c>
      <c r="B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82" s="1" t="s">
        <v>1863</v>
      </c>
      <c r="D82" s="1" t="s">
        <v>1864</v>
      </c>
      <c r="E82" s="1" t="s">
        <v>1865</v>
      </c>
      <c r="F82" s="1" t="s">
        <v>112</v>
      </c>
      <c r="G82" s="1">
        <v>115763</v>
      </c>
    </row>
    <row r="83" spans="1:9" x14ac:dyDescent="0.25">
      <c r="A83" s="1" t="str">
        <f t="shared" si="1"/>
        <v>03 EE2 51</v>
      </c>
      <c r="B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3" s="1" t="s">
        <v>1866</v>
      </c>
      <c r="D83" s="1" t="s">
        <v>1867</v>
      </c>
      <c r="E83" s="1" t="s">
        <v>1868</v>
      </c>
      <c r="F83" s="1" t="s">
        <v>112</v>
      </c>
      <c r="G83" s="1">
        <v>1064645</v>
      </c>
    </row>
    <row r="84" spans="1:9" x14ac:dyDescent="0.25">
      <c r="A84" s="1" t="str">
        <f t="shared" si="1"/>
        <v>03 EE2 51</v>
      </c>
      <c r="B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4" s="1" t="s">
        <v>1869</v>
      </c>
      <c r="D84" s="1" t="s">
        <v>1870</v>
      </c>
      <c r="E84" s="1" t="s">
        <v>1871</v>
      </c>
      <c r="F84" s="1" t="s">
        <v>112</v>
      </c>
      <c r="G84" s="1">
        <v>1085583</v>
      </c>
    </row>
    <row r="85" spans="1:9" x14ac:dyDescent="0.25">
      <c r="A85" s="1" t="str">
        <f t="shared" si="1"/>
        <v>03 EE2 51</v>
      </c>
      <c r="B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85" s="1" t="s">
        <v>1872</v>
      </c>
      <c r="D85" s="1" t="s">
        <v>1873</v>
      </c>
      <c r="E85" s="1" t="s">
        <v>1874</v>
      </c>
      <c r="F85" s="1" t="s">
        <v>112</v>
      </c>
      <c r="G85" s="1">
        <v>729468</v>
      </c>
    </row>
    <row r="86" spans="1:9" x14ac:dyDescent="0.25">
      <c r="A86" s="1" t="str">
        <f t="shared" si="1"/>
        <v>03 EE2 51</v>
      </c>
      <c r="B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6" s="1" t="s">
        <v>1875</v>
      </c>
      <c r="D86" s="1" t="s">
        <v>1876</v>
      </c>
      <c r="E86" s="1" t="s">
        <v>1877</v>
      </c>
      <c r="F86" s="1" t="s">
        <v>112</v>
      </c>
      <c r="G86" s="1">
        <v>9366</v>
      </c>
    </row>
    <row r="87" spans="1:9" x14ac:dyDescent="0.25">
      <c r="A87" s="1" t="str">
        <f t="shared" si="1"/>
        <v>03 EE2 51</v>
      </c>
      <c r="B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7" s="1" t="s">
        <v>1878</v>
      </c>
      <c r="D87" s="1" t="s">
        <v>1845</v>
      </c>
      <c r="E87" s="1" t="s">
        <v>1879</v>
      </c>
      <c r="F87" s="1" t="s">
        <v>112</v>
      </c>
      <c r="G87" s="1">
        <v>29006</v>
      </c>
    </row>
    <row r="88" spans="1:9" x14ac:dyDescent="0.25">
      <c r="A88" s="1" t="str">
        <f t="shared" si="1"/>
        <v>03 EE2 51</v>
      </c>
      <c r="B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88" s="1" t="s">
        <v>1880</v>
      </c>
      <c r="D88" s="1" t="s">
        <v>1881</v>
      </c>
      <c r="E88" s="1" t="s">
        <v>1882</v>
      </c>
      <c r="F88" s="1" t="s">
        <v>112</v>
      </c>
      <c r="G88" s="1">
        <v>50982</v>
      </c>
    </row>
    <row r="89" spans="1:9" x14ac:dyDescent="0.25">
      <c r="A89" s="1" t="str">
        <f t="shared" si="1"/>
        <v>03 EE2 51</v>
      </c>
      <c r="B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89" s="1" t="s">
        <v>1883</v>
      </c>
    </row>
    <row r="90" spans="1:9" x14ac:dyDescent="0.25">
      <c r="A90" s="1" t="str">
        <f t="shared" si="1"/>
        <v>03 EE2 51</v>
      </c>
      <c r="B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0" s="1" t="s">
        <v>1884</v>
      </c>
      <c r="D90" s="1" t="s">
        <v>1885</v>
      </c>
      <c r="E90" s="1" t="s">
        <v>1886</v>
      </c>
      <c r="F90" s="1" t="s">
        <v>112</v>
      </c>
      <c r="G90" s="1">
        <v>33115</v>
      </c>
    </row>
    <row r="91" spans="1:9" x14ac:dyDescent="0.25">
      <c r="A91" s="1" t="str">
        <f t="shared" si="1"/>
        <v>03 EE2 51</v>
      </c>
      <c r="B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91" s="1" t="s">
        <v>1887</v>
      </c>
      <c r="D91" s="1" t="s">
        <v>319</v>
      </c>
      <c r="E91" s="1" t="s">
        <v>1888</v>
      </c>
      <c r="F91" s="1" t="s">
        <v>112</v>
      </c>
      <c r="G91" s="1">
        <v>22171</v>
      </c>
    </row>
    <row r="92" spans="1:9" x14ac:dyDescent="0.25">
      <c r="A92" s="1" t="str">
        <f t="shared" si="1"/>
        <v/>
      </c>
      <c r="B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2" s="1" t="s">
        <v>112</v>
      </c>
    </row>
    <row r="93" spans="1:9" x14ac:dyDescent="0.25">
      <c r="A93" s="1" t="str">
        <f t="shared" si="1"/>
        <v/>
      </c>
      <c r="B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3" s="1" t="s">
        <v>235</v>
      </c>
      <c r="D93" s="1" t="s">
        <v>112</v>
      </c>
      <c r="E93" s="1" t="s">
        <v>236</v>
      </c>
      <c r="F93" s="1" t="s">
        <v>237</v>
      </c>
      <c r="G93" s="1" t="s">
        <v>238</v>
      </c>
      <c r="H93" s="1" t="s">
        <v>239</v>
      </c>
      <c r="I93" s="1" t="s">
        <v>240</v>
      </c>
    </row>
    <row r="94" spans="1:9" x14ac:dyDescent="0.25">
      <c r="A94" s="1" t="str">
        <f t="shared" si="1"/>
        <v>03 EE2 51</v>
      </c>
      <c r="B9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94" s="1" t="s">
        <v>1889</v>
      </c>
      <c r="D94" s="1" t="s">
        <v>112</v>
      </c>
      <c r="E94" s="1" t="s">
        <v>1890</v>
      </c>
      <c r="F94" s="1" t="s">
        <v>1891</v>
      </c>
      <c r="G94" s="1" t="s">
        <v>1892</v>
      </c>
      <c r="H94" s="1" t="s">
        <v>1893</v>
      </c>
      <c r="I94" s="1">
        <v>24</v>
      </c>
    </row>
    <row r="95" spans="1:9" x14ac:dyDescent="0.25">
      <c r="A95" s="1" t="str">
        <f t="shared" si="1"/>
        <v/>
      </c>
      <c r="B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5" s="1" t="s">
        <v>112</v>
      </c>
    </row>
    <row r="96" spans="1:9" x14ac:dyDescent="0.25">
      <c r="A96" s="1" t="str">
        <f t="shared" si="1"/>
        <v/>
      </c>
      <c r="B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6" s="1" t="s">
        <v>112</v>
      </c>
    </row>
    <row r="97" spans="1:7" x14ac:dyDescent="0.25">
      <c r="A97" s="1" t="str">
        <f t="shared" si="1"/>
        <v/>
      </c>
      <c r="B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7" s="1" t="s">
        <v>112</v>
      </c>
    </row>
    <row r="98" spans="1:7" x14ac:dyDescent="0.25">
      <c r="A98" s="1" t="str">
        <f t="shared" si="1"/>
        <v/>
      </c>
      <c r="B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8" s="1" t="s">
        <v>112</v>
      </c>
    </row>
    <row r="99" spans="1:7" x14ac:dyDescent="0.25">
      <c r="A99" s="1" t="str">
        <f t="shared" si="1"/>
        <v/>
      </c>
      <c r="B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99" s="1" t="s">
        <v>112</v>
      </c>
    </row>
    <row r="100" spans="1:7" x14ac:dyDescent="0.25">
      <c r="A100" s="1" t="str">
        <f t="shared" si="1"/>
        <v/>
      </c>
      <c r="B1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00" s="1" t="s">
        <v>246</v>
      </c>
      <c r="D100" s="1" t="s">
        <v>110</v>
      </c>
      <c r="E100" s="1" t="s">
        <v>111</v>
      </c>
      <c r="F100" s="1" t="s">
        <v>112</v>
      </c>
      <c r="G100" s="1" t="s">
        <v>113</v>
      </c>
    </row>
    <row r="101" spans="1:7" x14ac:dyDescent="0.25">
      <c r="A101" s="1" t="str">
        <f t="shared" si="1"/>
        <v>04 EE2 76</v>
      </c>
      <c r="B1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1" s="1" t="s">
        <v>1894</v>
      </c>
      <c r="D101" s="1" t="s">
        <v>1895</v>
      </c>
      <c r="E101" s="1" t="s">
        <v>1896</v>
      </c>
      <c r="F101" s="1" t="s">
        <v>112</v>
      </c>
      <c r="G101" s="1">
        <v>1747782</v>
      </c>
    </row>
    <row r="102" spans="1:7" x14ac:dyDescent="0.25">
      <c r="A102" s="1" t="str">
        <f t="shared" si="1"/>
        <v>04 EE2 76</v>
      </c>
      <c r="B1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2" s="1" t="s">
        <v>1897</v>
      </c>
      <c r="D102" s="1" t="s">
        <v>1898</v>
      </c>
      <c r="E102" s="1" t="s">
        <v>1899</v>
      </c>
      <c r="F102" s="1" t="s">
        <v>112</v>
      </c>
      <c r="G102" s="1">
        <v>1976713</v>
      </c>
    </row>
    <row r="103" spans="1:7" x14ac:dyDescent="0.25">
      <c r="A103" s="1" t="str">
        <f t="shared" si="1"/>
        <v>04 EE2 76</v>
      </c>
      <c r="B1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03" s="1" t="s">
        <v>1900</v>
      </c>
      <c r="D103" s="1" t="s">
        <v>1901</v>
      </c>
      <c r="E103" s="1" t="s">
        <v>1902</v>
      </c>
      <c r="F103" s="1" t="s">
        <v>112</v>
      </c>
      <c r="G103" s="1">
        <v>2463515</v>
      </c>
    </row>
    <row r="104" spans="1:7" x14ac:dyDescent="0.25">
      <c r="A104" s="1" t="str">
        <f t="shared" si="1"/>
        <v>04 EE2 76</v>
      </c>
      <c r="B1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4" s="1" t="s">
        <v>1903</v>
      </c>
      <c r="D104" s="1" t="s">
        <v>1904</v>
      </c>
      <c r="E104" s="1" t="s">
        <v>1905</v>
      </c>
      <c r="F104" s="1" t="s">
        <v>112</v>
      </c>
      <c r="G104" s="1">
        <v>730182</v>
      </c>
    </row>
    <row r="105" spans="1:7" x14ac:dyDescent="0.25">
      <c r="A105" s="1" t="str">
        <f t="shared" si="1"/>
        <v>04 EE2 76</v>
      </c>
      <c r="B1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5" s="1" t="s">
        <v>1906</v>
      </c>
      <c r="D105" s="1" t="s">
        <v>208</v>
      </c>
      <c r="E105" s="1" t="s">
        <v>1907</v>
      </c>
      <c r="F105" s="1" t="s">
        <v>112</v>
      </c>
      <c r="G105" s="1">
        <v>412547</v>
      </c>
    </row>
    <row r="106" spans="1:7" x14ac:dyDescent="0.25">
      <c r="A106" s="1" t="str">
        <f t="shared" si="1"/>
        <v>04 EE2 76</v>
      </c>
      <c r="B1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06" s="1" t="s">
        <v>1908</v>
      </c>
      <c r="D106" s="1" t="s">
        <v>334</v>
      </c>
      <c r="E106" s="1" t="s">
        <v>1909</v>
      </c>
      <c r="F106" s="1" t="s">
        <v>112</v>
      </c>
      <c r="G106" s="1">
        <v>517452</v>
      </c>
    </row>
    <row r="107" spans="1:7" x14ac:dyDescent="0.25">
      <c r="A107" s="1" t="str">
        <f t="shared" si="1"/>
        <v>04 EE2 76</v>
      </c>
      <c r="B1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7" s="1" t="s">
        <v>1910</v>
      </c>
      <c r="D107" s="1" t="s">
        <v>1004</v>
      </c>
      <c r="E107" s="1" t="s">
        <v>1911</v>
      </c>
      <c r="F107" s="1" t="s">
        <v>112</v>
      </c>
      <c r="G107" s="1">
        <v>222680</v>
      </c>
    </row>
    <row r="108" spans="1:7" x14ac:dyDescent="0.25">
      <c r="A108" s="1" t="str">
        <f t="shared" si="1"/>
        <v>04 EE2 76</v>
      </c>
      <c r="B1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8" s="1" t="s">
        <v>1912</v>
      </c>
      <c r="D108" s="1" t="s">
        <v>1913</v>
      </c>
      <c r="E108" s="1" t="s">
        <v>1914</v>
      </c>
      <c r="F108" s="1" t="s">
        <v>112</v>
      </c>
      <c r="G108" s="1">
        <v>282962</v>
      </c>
    </row>
    <row r="109" spans="1:7" x14ac:dyDescent="0.25">
      <c r="A109" s="1" t="str">
        <f t="shared" si="1"/>
        <v>04 EE2 76</v>
      </c>
      <c r="B1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09" s="1" t="s">
        <v>1915</v>
      </c>
      <c r="D109" s="1" t="s">
        <v>1916</v>
      </c>
      <c r="E109" s="1" t="s">
        <v>1917</v>
      </c>
      <c r="F109" s="1" t="s">
        <v>112</v>
      </c>
      <c r="G109" s="1">
        <v>798100</v>
      </c>
    </row>
    <row r="110" spans="1:7" x14ac:dyDescent="0.25">
      <c r="A110" s="1" t="str">
        <f t="shared" si="1"/>
        <v>04 EE2 76</v>
      </c>
      <c r="B1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0" s="1" t="s">
        <v>1918</v>
      </c>
      <c r="D110" s="1" t="s">
        <v>433</v>
      </c>
      <c r="E110" s="1" t="s">
        <v>1919</v>
      </c>
      <c r="F110" s="1" t="s">
        <v>112</v>
      </c>
      <c r="G110" s="1">
        <v>469131</v>
      </c>
    </row>
    <row r="111" spans="1:7" x14ac:dyDescent="0.25">
      <c r="A111" s="1" t="str">
        <f t="shared" si="1"/>
        <v>04 EE2 76</v>
      </c>
      <c r="B1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1" s="1" t="s">
        <v>1920</v>
      </c>
      <c r="D111" s="1" t="s">
        <v>1921</v>
      </c>
      <c r="E111" s="1" t="s">
        <v>1922</v>
      </c>
      <c r="F111" s="1" t="s">
        <v>112</v>
      </c>
      <c r="G111" s="1">
        <v>235636</v>
      </c>
    </row>
    <row r="112" spans="1:7" x14ac:dyDescent="0.25">
      <c r="A112" s="1" t="str">
        <f t="shared" si="1"/>
        <v>04 EE2 76</v>
      </c>
      <c r="B1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12" s="1" t="s">
        <v>1923</v>
      </c>
      <c r="D112" s="1" t="s">
        <v>773</v>
      </c>
      <c r="E112" s="1" t="s">
        <v>1924</v>
      </c>
      <c r="F112" s="1" t="s">
        <v>112</v>
      </c>
      <c r="G112" s="1">
        <v>217207</v>
      </c>
    </row>
    <row r="113" spans="1:9" x14ac:dyDescent="0.25">
      <c r="A113" s="1" t="str">
        <f t="shared" si="1"/>
        <v>04 EE2 76</v>
      </c>
      <c r="B1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3" s="1" t="s">
        <v>1925</v>
      </c>
      <c r="D113" s="1" t="s">
        <v>1926</v>
      </c>
      <c r="E113" s="1" t="s">
        <v>1927</v>
      </c>
      <c r="F113" s="1" t="s">
        <v>112</v>
      </c>
      <c r="G113" s="1">
        <v>1307873</v>
      </c>
    </row>
    <row r="114" spans="1:9" x14ac:dyDescent="0.25">
      <c r="A114" s="1" t="str">
        <f t="shared" si="1"/>
        <v>04 EE2 76</v>
      </c>
      <c r="B1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4" s="1" t="s">
        <v>1928</v>
      </c>
      <c r="D114" s="1" t="s">
        <v>1929</v>
      </c>
      <c r="E114" s="1" t="s">
        <v>1930</v>
      </c>
      <c r="F114" s="1" t="s">
        <v>112</v>
      </c>
      <c r="G114" s="1">
        <v>2653253</v>
      </c>
    </row>
    <row r="115" spans="1:9" x14ac:dyDescent="0.25">
      <c r="A115" s="1" t="str">
        <f t="shared" si="1"/>
        <v>04 EE2 76</v>
      </c>
      <c r="B1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15" s="1" t="s">
        <v>1931</v>
      </c>
      <c r="D115" s="1" t="s">
        <v>1932</v>
      </c>
      <c r="E115" s="1" t="s">
        <v>1933</v>
      </c>
      <c r="F115" s="1" t="s">
        <v>112</v>
      </c>
      <c r="G115" s="1">
        <v>1801619</v>
      </c>
    </row>
    <row r="116" spans="1:9" x14ac:dyDescent="0.25">
      <c r="A116" s="1" t="str">
        <f t="shared" si="1"/>
        <v>04 EE2 76</v>
      </c>
      <c r="B1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6" s="1" t="s">
        <v>1934</v>
      </c>
      <c r="D116" s="1" t="s">
        <v>1935</v>
      </c>
      <c r="E116" s="1" t="s">
        <v>1936</v>
      </c>
      <c r="F116" s="1" t="s">
        <v>112</v>
      </c>
      <c r="G116" s="1">
        <v>401126</v>
      </c>
    </row>
    <row r="117" spans="1:9" x14ac:dyDescent="0.25">
      <c r="A117" s="1" t="str">
        <f t="shared" si="1"/>
        <v>04 EE2 76</v>
      </c>
      <c r="B1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7" s="1" t="s">
        <v>1937</v>
      </c>
      <c r="D117" s="1" t="s">
        <v>1938</v>
      </c>
      <c r="E117" s="1" t="s">
        <v>1939</v>
      </c>
      <c r="F117" s="1" t="s">
        <v>112</v>
      </c>
      <c r="G117" s="1">
        <v>281751</v>
      </c>
    </row>
    <row r="118" spans="1:9" x14ac:dyDescent="0.25">
      <c r="A118" s="1" t="str">
        <f t="shared" si="1"/>
        <v>04 EE2 76</v>
      </c>
      <c r="B1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18" s="1" t="s">
        <v>1940</v>
      </c>
      <c r="D118" s="1" t="s">
        <v>377</v>
      </c>
      <c r="E118" s="1" t="s">
        <v>1941</v>
      </c>
      <c r="F118" s="1" t="s">
        <v>112</v>
      </c>
      <c r="G118" s="1">
        <v>181042</v>
      </c>
    </row>
    <row r="119" spans="1:9" x14ac:dyDescent="0.25">
      <c r="A119" s="1" t="str">
        <f t="shared" si="1"/>
        <v>04 EE2 76</v>
      </c>
      <c r="B1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19" s="1" t="s">
        <v>1942</v>
      </c>
      <c r="D119" s="1" t="s">
        <v>762</v>
      </c>
      <c r="E119" s="1" t="s">
        <v>1943</v>
      </c>
      <c r="F119" s="1" t="s">
        <v>112</v>
      </c>
      <c r="G119" s="1">
        <v>566184</v>
      </c>
    </row>
    <row r="120" spans="1:9" x14ac:dyDescent="0.25">
      <c r="A120" s="1" t="str">
        <f t="shared" si="1"/>
        <v>04 EE2 76</v>
      </c>
      <c r="B1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0" s="1" t="s">
        <v>1944</v>
      </c>
      <c r="D120" s="1" t="s">
        <v>1710</v>
      </c>
      <c r="E120" s="1" t="s">
        <v>1945</v>
      </c>
      <c r="F120" s="1" t="s">
        <v>112</v>
      </c>
      <c r="G120" s="1">
        <v>771949</v>
      </c>
    </row>
    <row r="121" spans="1:9" x14ac:dyDescent="0.25">
      <c r="A121" s="1" t="str">
        <f t="shared" si="1"/>
        <v>04 EE2 76</v>
      </c>
      <c r="B1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21" s="1" t="s">
        <v>1946</v>
      </c>
      <c r="D121" s="1" t="s">
        <v>211</v>
      </c>
      <c r="E121" s="1" t="s">
        <v>1947</v>
      </c>
      <c r="F121" s="1" t="s">
        <v>112</v>
      </c>
      <c r="G121" s="1">
        <v>660534</v>
      </c>
    </row>
    <row r="122" spans="1:9" x14ac:dyDescent="0.25">
      <c r="A122" s="1" t="str">
        <f t="shared" si="1"/>
        <v>04 EE2 76</v>
      </c>
      <c r="B1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2" s="1" t="s">
        <v>1948</v>
      </c>
      <c r="D122" s="1" t="s">
        <v>1949</v>
      </c>
      <c r="E122" s="1" t="s">
        <v>1950</v>
      </c>
      <c r="F122" s="1" t="s">
        <v>112</v>
      </c>
      <c r="G122" s="1">
        <v>293950</v>
      </c>
    </row>
    <row r="123" spans="1:9" x14ac:dyDescent="0.25">
      <c r="A123" s="1" t="str">
        <f t="shared" si="1"/>
        <v>04 EE2 76</v>
      </c>
      <c r="B1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3" s="1" t="s">
        <v>1951</v>
      </c>
      <c r="D123" s="1" t="s">
        <v>406</v>
      </c>
      <c r="E123" s="1" t="s">
        <v>1952</v>
      </c>
      <c r="F123" s="1" t="s">
        <v>112</v>
      </c>
      <c r="G123" s="1">
        <v>164495</v>
      </c>
    </row>
    <row r="124" spans="1:9" x14ac:dyDescent="0.25">
      <c r="A124" s="1" t="str">
        <f t="shared" si="1"/>
        <v>04 EE2 76</v>
      </c>
      <c r="B1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24" s="1" t="s">
        <v>1953</v>
      </c>
      <c r="D124" s="1" t="s">
        <v>377</v>
      </c>
      <c r="E124" s="1" t="s">
        <v>1954</v>
      </c>
      <c r="F124" s="1" t="s">
        <v>112</v>
      </c>
      <c r="G124" s="1">
        <v>187185</v>
      </c>
    </row>
    <row r="125" spans="1:9" x14ac:dyDescent="0.25">
      <c r="A125" s="1" t="str">
        <f t="shared" si="1"/>
        <v/>
      </c>
      <c r="B1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5" s="1" t="s">
        <v>112</v>
      </c>
    </row>
    <row r="126" spans="1:9" x14ac:dyDescent="0.25">
      <c r="A126" s="1" t="str">
        <f t="shared" si="1"/>
        <v/>
      </c>
      <c r="B1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6" s="1" t="s">
        <v>235</v>
      </c>
      <c r="D126" s="1" t="s">
        <v>112</v>
      </c>
      <c r="E126" s="1" t="s">
        <v>236</v>
      </c>
      <c r="F126" s="1" t="s">
        <v>237</v>
      </c>
      <c r="G126" s="1" t="s">
        <v>238</v>
      </c>
      <c r="H126" s="1" t="s">
        <v>239</v>
      </c>
      <c r="I126" s="1" t="s">
        <v>240</v>
      </c>
    </row>
    <row r="127" spans="1:9" x14ac:dyDescent="0.25">
      <c r="A127" s="1" t="str">
        <f t="shared" si="1"/>
        <v>04 EE2 76</v>
      </c>
      <c r="B12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27" s="1" t="s">
        <v>1955</v>
      </c>
      <c r="D127" s="1" t="s">
        <v>112</v>
      </c>
      <c r="E127" s="1" t="s">
        <v>1956</v>
      </c>
      <c r="F127" s="1" t="s">
        <v>1957</v>
      </c>
      <c r="G127" s="1" t="s">
        <v>1958</v>
      </c>
      <c r="H127" s="1" t="s">
        <v>1959</v>
      </c>
      <c r="I127" s="1">
        <v>24</v>
      </c>
    </row>
    <row r="128" spans="1:9" x14ac:dyDescent="0.25">
      <c r="A128" s="1" t="str">
        <f t="shared" si="1"/>
        <v/>
      </c>
      <c r="B1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8" s="1" t="s">
        <v>112</v>
      </c>
    </row>
    <row r="129" spans="1:7" x14ac:dyDescent="0.25">
      <c r="A129" s="1" t="str">
        <f t="shared" si="1"/>
        <v/>
      </c>
      <c r="B1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29" s="1" t="s">
        <v>112</v>
      </c>
    </row>
    <row r="130" spans="1:7" x14ac:dyDescent="0.25">
      <c r="A130" s="1" t="str">
        <f t="shared" ref="A130:A193" si="2">IFERROR(LEFT(RIGHT(C130,LEN(C130)-SEARCH("@",C130)),SEARCH("/",RIGHT(C130,LEN(C130)-SEARCH("@",C130)-1))),"")</f>
        <v/>
      </c>
      <c r="B1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0" s="1" t="s">
        <v>112</v>
      </c>
    </row>
    <row r="131" spans="1:7" x14ac:dyDescent="0.25">
      <c r="A131" s="1" t="str">
        <f t="shared" si="2"/>
        <v/>
      </c>
      <c r="B1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1" s="1" t="s">
        <v>112</v>
      </c>
    </row>
    <row r="132" spans="1:7" x14ac:dyDescent="0.25">
      <c r="A132" s="1" t="str">
        <f t="shared" si="2"/>
        <v/>
      </c>
      <c r="B1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2" s="1" t="s">
        <v>112</v>
      </c>
    </row>
    <row r="133" spans="1:7" x14ac:dyDescent="0.25">
      <c r="A133" s="1" t="str">
        <f t="shared" si="2"/>
        <v/>
      </c>
      <c r="B1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33" s="1" t="s">
        <v>246</v>
      </c>
      <c r="D133" s="1" t="s">
        <v>110</v>
      </c>
      <c r="E133" s="1" t="s">
        <v>111</v>
      </c>
      <c r="F133" s="1" t="s">
        <v>112</v>
      </c>
      <c r="G133" s="1" t="s">
        <v>113</v>
      </c>
    </row>
    <row r="134" spans="1:7" x14ac:dyDescent="0.25">
      <c r="A134" s="1" t="str">
        <f t="shared" si="2"/>
        <v>05 EE2 114</v>
      </c>
      <c r="B1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4" s="1" t="s">
        <v>1960</v>
      </c>
    </row>
    <row r="135" spans="1:7" x14ac:dyDescent="0.25">
      <c r="A135" s="1" t="str">
        <f t="shared" si="2"/>
        <v>05 EE2 114</v>
      </c>
      <c r="B1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5" s="1" t="s">
        <v>1961</v>
      </c>
      <c r="D135" s="1" t="s">
        <v>1962</v>
      </c>
      <c r="E135" s="1" t="s">
        <v>1963</v>
      </c>
      <c r="F135" s="1" t="s">
        <v>112</v>
      </c>
      <c r="G135" s="1">
        <v>3444604</v>
      </c>
    </row>
    <row r="136" spans="1:7" x14ac:dyDescent="0.25">
      <c r="A136" s="1" t="str">
        <f t="shared" si="2"/>
        <v>05 EE2 114</v>
      </c>
      <c r="B1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36" s="1" t="s">
        <v>1964</v>
      </c>
      <c r="D136" s="1" t="s">
        <v>1965</v>
      </c>
      <c r="E136" s="1" t="s">
        <v>1966</v>
      </c>
      <c r="F136" s="1" t="s">
        <v>112</v>
      </c>
      <c r="G136" s="1">
        <v>3967312</v>
      </c>
    </row>
    <row r="137" spans="1:7" x14ac:dyDescent="0.25">
      <c r="A137" s="1" t="str">
        <f t="shared" si="2"/>
        <v>05 EE2 114</v>
      </c>
      <c r="B1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7" s="1" t="s">
        <v>1967</v>
      </c>
    </row>
    <row r="138" spans="1:7" x14ac:dyDescent="0.25">
      <c r="A138" s="1" t="str">
        <f t="shared" si="2"/>
        <v>05 EE2 114</v>
      </c>
      <c r="B1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8" s="1" t="s">
        <v>1968</v>
      </c>
      <c r="D138" s="1" t="s">
        <v>1969</v>
      </c>
      <c r="E138" s="1" t="s">
        <v>1970</v>
      </c>
      <c r="F138" s="1" t="s">
        <v>112</v>
      </c>
      <c r="G138" s="1">
        <v>2920166</v>
      </c>
    </row>
    <row r="139" spans="1:7" x14ac:dyDescent="0.25">
      <c r="A139" s="1" t="str">
        <f t="shared" si="2"/>
        <v>05 EE2 114</v>
      </c>
      <c r="B1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39" s="1" t="s">
        <v>1971</v>
      </c>
      <c r="D139" s="1" t="s">
        <v>1972</v>
      </c>
      <c r="E139" s="1" t="s">
        <v>1973</v>
      </c>
      <c r="F139" s="1" t="s">
        <v>112</v>
      </c>
      <c r="G139" s="1">
        <v>2664911</v>
      </c>
    </row>
    <row r="140" spans="1:7" x14ac:dyDescent="0.25">
      <c r="A140" s="1" t="str">
        <f t="shared" si="2"/>
        <v>05 EE2 114</v>
      </c>
      <c r="B1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0" s="1" t="s">
        <v>1974</v>
      </c>
      <c r="D140" s="1" t="s">
        <v>1055</v>
      </c>
      <c r="E140" s="1" t="s">
        <v>1975</v>
      </c>
      <c r="F140" s="1" t="s">
        <v>112</v>
      </c>
      <c r="G140" s="1">
        <v>2749311</v>
      </c>
    </row>
    <row r="141" spans="1:7" x14ac:dyDescent="0.25">
      <c r="A141" s="1" t="str">
        <f t="shared" si="2"/>
        <v>05 EE2 114</v>
      </c>
      <c r="B1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1" s="1" t="s">
        <v>1976</v>
      </c>
      <c r="D141" s="1" t="s">
        <v>1977</v>
      </c>
      <c r="E141" s="1" t="s">
        <v>1978</v>
      </c>
      <c r="F141" s="1" t="s">
        <v>112</v>
      </c>
      <c r="G141" s="1">
        <v>2876387</v>
      </c>
    </row>
    <row r="142" spans="1:7" x14ac:dyDescent="0.25">
      <c r="A142" s="1" t="str">
        <f t="shared" si="2"/>
        <v>05 EE2 114</v>
      </c>
      <c r="B1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42" s="1" t="s">
        <v>1979</v>
      </c>
      <c r="D142" s="1" t="s">
        <v>1980</v>
      </c>
      <c r="E142" s="1" t="s">
        <v>1981</v>
      </c>
      <c r="F142" s="1" t="s">
        <v>112</v>
      </c>
      <c r="G142" s="1">
        <v>2782361</v>
      </c>
    </row>
    <row r="143" spans="1:7" x14ac:dyDescent="0.25">
      <c r="A143" s="1" t="str">
        <f t="shared" si="2"/>
        <v>05 EE2 114</v>
      </c>
      <c r="B1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3" s="1" t="s">
        <v>1982</v>
      </c>
      <c r="D143" s="1" t="s">
        <v>1983</v>
      </c>
      <c r="E143" s="1" t="s">
        <v>1984</v>
      </c>
      <c r="F143" s="1" t="s">
        <v>112</v>
      </c>
      <c r="G143" s="1">
        <v>1360693</v>
      </c>
    </row>
    <row r="144" spans="1:7" x14ac:dyDescent="0.25">
      <c r="A144" s="1" t="str">
        <f t="shared" si="2"/>
        <v>05 EE2 114</v>
      </c>
      <c r="B1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4" s="1" t="s">
        <v>1985</v>
      </c>
      <c r="D144" s="1" t="s">
        <v>1986</v>
      </c>
      <c r="E144" s="1" t="s">
        <v>1987</v>
      </c>
      <c r="F144" s="1" t="s">
        <v>112</v>
      </c>
      <c r="G144" s="1">
        <v>1666973</v>
      </c>
    </row>
    <row r="145" spans="1:9" x14ac:dyDescent="0.25">
      <c r="A145" s="1" t="str">
        <f t="shared" si="2"/>
        <v>05 EE2 114</v>
      </c>
      <c r="B1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45" s="1" t="s">
        <v>1988</v>
      </c>
      <c r="D145" s="1" t="s">
        <v>1989</v>
      </c>
      <c r="E145" s="1" t="s">
        <v>1990</v>
      </c>
      <c r="F145" s="1" t="s">
        <v>112</v>
      </c>
      <c r="G145" s="1">
        <v>1171497</v>
      </c>
    </row>
    <row r="146" spans="1:9" x14ac:dyDescent="0.25">
      <c r="A146" s="1" t="str">
        <f t="shared" si="2"/>
        <v>05 EE2 114</v>
      </c>
      <c r="B1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6" s="1" t="s">
        <v>1991</v>
      </c>
      <c r="D146" s="1" t="s">
        <v>1992</v>
      </c>
      <c r="E146" s="1" t="s">
        <v>1993</v>
      </c>
      <c r="F146" s="1" t="s">
        <v>112</v>
      </c>
      <c r="G146" s="1">
        <v>2366765</v>
      </c>
    </row>
    <row r="147" spans="1:9" x14ac:dyDescent="0.25">
      <c r="A147" s="1" t="str">
        <f t="shared" si="2"/>
        <v>05 EE2 114</v>
      </c>
      <c r="B1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7" s="1" t="s">
        <v>1994</v>
      </c>
      <c r="D147" s="1" t="s">
        <v>1995</v>
      </c>
      <c r="E147" s="1" t="s">
        <v>1996</v>
      </c>
      <c r="F147" s="1" t="s">
        <v>112</v>
      </c>
      <c r="G147" s="1">
        <v>2381862</v>
      </c>
    </row>
    <row r="148" spans="1:9" x14ac:dyDescent="0.25">
      <c r="A148" s="1" t="str">
        <f t="shared" si="2"/>
        <v>05 EE2 114</v>
      </c>
      <c r="B1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48" s="1" t="s">
        <v>1997</v>
      </c>
      <c r="D148" s="1" t="s">
        <v>1998</v>
      </c>
      <c r="E148" s="1" t="s">
        <v>1999</v>
      </c>
      <c r="F148" s="1" t="s">
        <v>112</v>
      </c>
      <c r="G148" s="1">
        <v>2420515</v>
      </c>
    </row>
    <row r="149" spans="1:9" x14ac:dyDescent="0.25">
      <c r="A149" s="1" t="str">
        <f t="shared" si="2"/>
        <v>05 EE2 114</v>
      </c>
      <c r="B1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49" s="1" t="s">
        <v>2000</v>
      </c>
      <c r="D149" s="1" t="s">
        <v>2001</v>
      </c>
      <c r="E149" s="1" t="s">
        <v>2002</v>
      </c>
      <c r="F149" s="1" t="s">
        <v>112</v>
      </c>
      <c r="G149" s="1">
        <v>246494</v>
      </c>
    </row>
    <row r="150" spans="1:9" x14ac:dyDescent="0.25">
      <c r="A150" s="1" t="str">
        <f t="shared" si="2"/>
        <v>05 EE2 114</v>
      </c>
      <c r="B1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0" s="1" t="s">
        <v>2003</v>
      </c>
      <c r="D150" s="1" t="s">
        <v>1007</v>
      </c>
      <c r="E150" s="1" t="s">
        <v>2004</v>
      </c>
      <c r="F150" s="1" t="s">
        <v>112</v>
      </c>
      <c r="G150" s="1">
        <v>798511</v>
      </c>
    </row>
    <row r="151" spans="1:9" x14ac:dyDescent="0.25">
      <c r="A151" s="1" t="str">
        <f t="shared" si="2"/>
        <v>05 EE2 114</v>
      </c>
      <c r="B1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51" s="1" t="s">
        <v>2005</v>
      </c>
      <c r="D151" s="1" t="s">
        <v>2006</v>
      </c>
      <c r="E151" s="1" t="s">
        <v>2007</v>
      </c>
      <c r="F151" s="1" t="s">
        <v>112</v>
      </c>
      <c r="G151" s="1">
        <v>817026</v>
      </c>
    </row>
    <row r="152" spans="1:9" x14ac:dyDescent="0.25">
      <c r="A152" s="1" t="str">
        <f t="shared" si="2"/>
        <v>05 EE2 114</v>
      </c>
      <c r="B1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2" s="1" t="s">
        <v>2008</v>
      </c>
      <c r="D152" s="1" t="s">
        <v>2009</v>
      </c>
      <c r="E152" s="1" t="s">
        <v>2010</v>
      </c>
      <c r="F152" s="1" t="s">
        <v>112</v>
      </c>
      <c r="G152" s="1">
        <v>747832</v>
      </c>
    </row>
    <row r="153" spans="1:9" x14ac:dyDescent="0.25">
      <c r="A153" s="1" t="str">
        <f t="shared" si="2"/>
        <v>05 EE2 114</v>
      </c>
      <c r="B1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3" s="1" t="s">
        <v>2011</v>
      </c>
      <c r="D153" s="1" t="s">
        <v>147</v>
      </c>
      <c r="E153" s="1" t="s">
        <v>2012</v>
      </c>
      <c r="F153" s="1" t="s">
        <v>112</v>
      </c>
      <c r="G153" s="1">
        <v>313460</v>
      </c>
    </row>
    <row r="154" spans="1:9" x14ac:dyDescent="0.25">
      <c r="A154" s="1" t="str">
        <f t="shared" si="2"/>
        <v>05 EE2 114</v>
      </c>
      <c r="B1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54" s="1" t="s">
        <v>2013</v>
      </c>
      <c r="D154" s="1" t="s">
        <v>1255</v>
      </c>
      <c r="E154" s="1" t="s">
        <v>2014</v>
      </c>
      <c r="F154" s="1" t="s">
        <v>112</v>
      </c>
      <c r="G154" s="1">
        <v>772425</v>
      </c>
    </row>
    <row r="155" spans="1:9" x14ac:dyDescent="0.25">
      <c r="A155" s="1" t="str">
        <f t="shared" si="2"/>
        <v>05 EE2 114</v>
      </c>
      <c r="B1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5" s="1" t="s">
        <v>2015</v>
      </c>
      <c r="D155" s="1" t="s">
        <v>2016</v>
      </c>
      <c r="E155" s="1" t="s">
        <v>2017</v>
      </c>
      <c r="F155" s="1" t="s">
        <v>112</v>
      </c>
      <c r="G155" s="1">
        <v>1357665</v>
      </c>
    </row>
    <row r="156" spans="1:9" x14ac:dyDescent="0.25">
      <c r="A156" s="1" t="str">
        <f t="shared" si="2"/>
        <v>05 EE2 114</v>
      </c>
      <c r="B1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6" s="1" t="s">
        <v>2018</v>
      </c>
      <c r="D156" s="1" t="s">
        <v>2019</v>
      </c>
      <c r="E156" s="1" t="s">
        <v>2020</v>
      </c>
      <c r="F156" s="1" t="s">
        <v>112</v>
      </c>
      <c r="G156" s="1">
        <v>1425194</v>
      </c>
    </row>
    <row r="157" spans="1:9" x14ac:dyDescent="0.25">
      <c r="A157" s="1" t="str">
        <f t="shared" si="2"/>
        <v>05 EE2 114</v>
      </c>
      <c r="B1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57" s="1" t="s">
        <v>2021</v>
      </c>
      <c r="D157" s="1" t="s">
        <v>2022</v>
      </c>
      <c r="E157" s="1" t="s">
        <v>2023</v>
      </c>
      <c r="F157" s="1" t="s">
        <v>112</v>
      </c>
      <c r="G157" s="1">
        <v>1411199</v>
      </c>
    </row>
    <row r="158" spans="1:9" x14ac:dyDescent="0.25">
      <c r="A158" s="1" t="str">
        <f t="shared" si="2"/>
        <v/>
      </c>
      <c r="B1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8" s="1" t="s">
        <v>112</v>
      </c>
    </row>
    <row r="159" spans="1:9" x14ac:dyDescent="0.25">
      <c r="A159" s="1" t="str">
        <f t="shared" si="2"/>
        <v/>
      </c>
      <c r="B1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59" s="1" t="s">
        <v>235</v>
      </c>
      <c r="D159" s="1" t="s">
        <v>112</v>
      </c>
      <c r="E159" s="1" t="s">
        <v>236</v>
      </c>
      <c r="F159" s="1" t="s">
        <v>237</v>
      </c>
      <c r="G159" s="1" t="s">
        <v>238</v>
      </c>
      <c r="H159" s="1" t="s">
        <v>239</v>
      </c>
      <c r="I159" s="1" t="s">
        <v>240</v>
      </c>
    </row>
    <row r="160" spans="1:9" x14ac:dyDescent="0.25">
      <c r="A160" s="1" t="str">
        <f t="shared" si="2"/>
        <v>05 EE2 114</v>
      </c>
      <c r="B16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60" s="1" t="s">
        <v>2024</v>
      </c>
      <c r="D160" s="1" t="s">
        <v>112</v>
      </c>
      <c r="E160" s="1" t="s">
        <v>2025</v>
      </c>
      <c r="F160" s="1" t="s">
        <v>2026</v>
      </c>
      <c r="G160" s="1" t="s">
        <v>2027</v>
      </c>
      <c r="H160" s="1" t="s">
        <v>2028</v>
      </c>
      <c r="I160" s="1">
        <v>24</v>
      </c>
    </row>
    <row r="161" spans="1:7" x14ac:dyDescent="0.25">
      <c r="A161" s="1" t="str">
        <f t="shared" si="2"/>
        <v/>
      </c>
      <c r="B1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1" s="1" t="s">
        <v>112</v>
      </c>
    </row>
    <row r="162" spans="1:7" x14ac:dyDescent="0.25">
      <c r="A162" s="1" t="str">
        <f t="shared" si="2"/>
        <v/>
      </c>
      <c r="B1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2" s="1" t="s">
        <v>112</v>
      </c>
    </row>
    <row r="163" spans="1:7" x14ac:dyDescent="0.25">
      <c r="A163" s="1" t="str">
        <f t="shared" si="2"/>
        <v/>
      </c>
      <c r="B1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3" s="1" t="s">
        <v>112</v>
      </c>
    </row>
    <row r="164" spans="1:7" x14ac:dyDescent="0.25">
      <c r="A164" s="1" t="str">
        <f t="shared" si="2"/>
        <v/>
      </c>
      <c r="B1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4" s="1" t="s">
        <v>112</v>
      </c>
    </row>
    <row r="165" spans="1:7" x14ac:dyDescent="0.25">
      <c r="A165" s="1" t="str">
        <f t="shared" si="2"/>
        <v/>
      </c>
      <c r="B1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5" s="1" t="s">
        <v>112</v>
      </c>
    </row>
    <row r="166" spans="1:7" x14ac:dyDescent="0.25">
      <c r="A166" s="1" t="str">
        <f t="shared" si="2"/>
        <v/>
      </c>
      <c r="B1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66" s="1" t="s">
        <v>246</v>
      </c>
      <c r="D166" s="1" t="s">
        <v>110</v>
      </c>
      <c r="E166" s="1" t="s">
        <v>111</v>
      </c>
      <c r="F166" s="1" t="s">
        <v>112</v>
      </c>
      <c r="G166" s="1" t="s">
        <v>113</v>
      </c>
    </row>
    <row r="167" spans="1:7" x14ac:dyDescent="0.25">
      <c r="A167" s="1" t="str">
        <f t="shared" si="2"/>
        <v>06 EE2 171</v>
      </c>
      <c r="B1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7" s="1" t="s">
        <v>2029</v>
      </c>
      <c r="D167" s="1" t="s">
        <v>2030</v>
      </c>
      <c r="E167" s="1" t="s">
        <v>2031</v>
      </c>
      <c r="F167" s="1" t="s">
        <v>112</v>
      </c>
      <c r="G167" s="1">
        <v>1041869</v>
      </c>
    </row>
    <row r="168" spans="1:7" x14ac:dyDescent="0.25">
      <c r="A168" s="1" t="str">
        <f t="shared" si="2"/>
        <v>06 EE2 171</v>
      </c>
      <c r="B1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8" s="1" t="s">
        <v>2032</v>
      </c>
      <c r="D168" s="1" t="s">
        <v>2033</v>
      </c>
      <c r="E168" s="1" t="s">
        <v>2034</v>
      </c>
      <c r="F168" s="1" t="s">
        <v>112</v>
      </c>
      <c r="G168" s="1">
        <v>986475</v>
      </c>
    </row>
    <row r="169" spans="1:7" x14ac:dyDescent="0.25">
      <c r="A169" s="1" t="str">
        <f t="shared" si="2"/>
        <v>06 EE2 171</v>
      </c>
      <c r="B1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169" s="1" t="s">
        <v>2035</v>
      </c>
      <c r="D169" s="1" t="s">
        <v>2036</v>
      </c>
      <c r="E169" s="1" t="s">
        <v>2037</v>
      </c>
      <c r="F169" s="1" t="s">
        <v>112</v>
      </c>
      <c r="G169" s="1">
        <v>1189687</v>
      </c>
    </row>
    <row r="170" spans="1:7" x14ac:dyDescent="0.25">
      <c r="A170" s="1" t="str">
        <f t="shared" si="2"/>
        <v>06 EE2 171</v>
      </c>
      <c r="B1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0" s="1" t="s">
        <v>2038</v>
      </c>
      <c r="D170" s="1" t="s">
        <v>2039</v>
      </c>
      <c r="E170" s="1" t="s">
        <v>2040</v>
      </c>
      <c r="F170" s="1" t="s">
        <v>112</v>
      </c>
      <c r="G170" s="1">
        <v>2196840</v>
      </c>
    </row>
    <row r="171" spans="1:7" x14ac:dyDescent="0.25">
      <c r="A171" s="1" t="str">
        <f t="shared" si="2"/>
        <v>06 EE2 171</v>
      </c>
      <c r="B1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1" s="1" t="s">
        <v>2041</v>
      </c>
      <c r="D171" s="1" t="s">
        <v>2042</v>
      </c>
      <c r="E171" s="1" t="s">
        <v>2043</v>
      </c>
      <c r="F171" s="1" t="s">
        <v>112</v>
      </c>
      <c r="G171" s="1">
        <v>2091135</v>
      </c>
    </row>
    <row r="172" spans="1:7" x14ac:dyDescent="0.25">
      <c r="A172" s="1" t="str">
        <f t="shared" si="2"/>
        <v>06 EE2 171</v>
      </c>
      <c r="B1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172" s="1" t="s">
        <v>2044</v>
      </c>
      <c r="D172" s="1" t="s">
        <v>2045</v>
      </c>
      <c r="E172" s="1" t="s">
        <v>2046</v>
      </c>
      <c r="F172" s="1" t="s">
        <v>112</v>
      </c>
      <c r="G172" s="1">
        <v>2695107</v>
      </c>
    </row>
    <row r="173" spans="1:7" x14ac:dyDescent="0.25">
      <c r="A173" s="1" t="str">
        <f t="shared" si="2"/>
        <v>06 EE2 171</v>
      </c>
      <c r="B1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3" s="1" t="s">
        <v>2047</v>
      </c>
      <c r="D173" s="1" t="s">
        <v>2048</v>
      </c>
      <c r="E173" s="1" t="s">
        <v>2049</v>
      </c>
      <c r="F173" s="1" t="s">
        <v>112</v>
      </c>
      <c r="G173" s="1">
        <v>3796155</v>
      </c>
    </row>
    <row r="174" spans="1:7" x14ac:dyDescent="0.25">
      <c r="A174" s="1" t="str">
        <f t="shared" si="2"/>
        <v>06 EE2 171</v>
      </c>
      <c r="B1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4" s="1" t="s">
        <v>2050</v>
      </c>
      <c r="D174" s="1" t="s">
        <v>2051</v>
      </c>
      <c r="E174" s="1" t="s">
        <v>2052</v>
      </c>
      <c r="F174" s="1" t="s">
        <v>112</v>
      </c>
      <c r="G174" s="1">
        <v>3822932</v>
      </c>
    </row>
    <row r="175" spans="1:7" x14ac:dyDescent="0.25">
      <c r="A175" s="1" t="str">
        <f t="shared" si="2"/>
        <v>06 EE2 171</v>
      </c>
      <c r="B1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175" s="1" t="s">
        <v>2053</v>
      </c>
      <c r="D175" s="1" t="s">
        <v>2054</v>
      </c>
      <c r="E175" s="1" t="s">
        <v>2055</v>
      </c>
      <c r="F175" s="1" t="s">
        <v>112</v>
      </c>
      <c r="G175" s="1">
        <v>3336649</v>
      </c>
    </row>
    <row r="176" spans="1:7" x14ac:dyDescent="0.25">
      <c r="A176" s="1" t="str">
        <f t="shared" si="2"/>
        <v>06 EE2 171</v>
      </c>
      <c r="B1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6" s="1" t="s">
        <v>2056</v>
      </c>
      <c r="D176" s="1" t="s">
        <v>2057</v>
      </c>
      <c r="E176" s="1" t="s">
        <v>2058</v>
      </c>
      <c r="F176" s="1" t="s">
        <v>112</v>
      </c>
      <c r="G176" s="1">
        <v>3640765</v>
      </c>
    </row>
    <row r="177" spans="1:9" x14ac:dyDescent="0.25">
      <c r="A177" s="1" t="str">
        <f t="shared" si="2"/>
        <v>06 EE2 171</v>
      </c>
      <c r="B1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7" s="1" t="s">
        <v>2059</v>
      </c>
      <c r="D177" s="1" t="s">
        <v>2060</v>
      </c>
      <c r="E177" s="1" t="s">
        <v>2061</v>
      </c>
      <c r="F177" s="1" t="s">
        <v>112</v>
      </c>
      <c r="G177" s="1">
        <v>3111720</v>
      </c>
    </row>
    <row r="178" spans="1:9" x14ac:dyDescent="0.25">
      <c r="A178" s="1" t="str">
        <f t="shared" si="2"/>
        <v>06 EE2 171</v>
      </c>
      <c r="B1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178" s="1" t="s">
        <v>2062</v>
      </c>
      <c r="D178" s="1" t="s">
        <v>1519</v>
      </c>
      <c r="E178" s="1" t="s">
        <v>2063</v>
      </c>
      <c r="F178" s="1" t="s">
        <v>112</v>
      </c>
      <c r="G178" s="1">
        <v>3570360</v>
      </c>
    </row>
    <row r="179" spans="1:9" x14ac:dyDescent="0.25">
      <c r="A179" s="1" t="str">
        <f t="shared" si="2"/>
        <v>06 EE2 171</v>
      </c>
      <c r="B1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79" s="1" t="s">
        <v>2064</v>
      </c>
      <c r="D179" s="1" t="s">
        <v>2065</v>
      </c>
      <c r="E179" s="1" t="s">
        <v>2066</v>
      </c>
      <c r="F179" s="1" t="s">
        <v>112</v>
      </c>
      <c r="G179" s="1">
        <v>2547829</v>
      </c>
    </row>
    <row r="180" spans="1:9" x14ac:dyDescent="0.25">
      <c r="A180" s="1" t="str">
        <f t="shared" si="2"/>
        <v>06 EE2 171</v>
      </c>
      <c r="B1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0" s="1" t="s">
        <v>2067</v>
      </c>
      <c r="D180" s="1" t="s">
        <v>2068</v>
      </c>
      <c r="E180" s="1" t="s">
        <v>2069</v>
      </c>
      <c r="F180" s="1" t="s">
        <v>112</v>
      </c>
      <c r="G180" s="1">
        <v>2445865</v>
      </c>
    </row>
    <row r="181" spans="1:9" x14ac:dyDescent="0.25">
      <c r="A181" s="1" t="str">
        <f t="shared" si="2"/>
        <v>06 EE2 171</v>
      </c>
      <c r="B1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181" s="1" t="s">
        <v>2070</v>
      </c>
      <c r="D181" s="1" t="s">
        <v>1977</v>
      </c>
      <c r="E181" s="1" t="s">
        <v>2071</v>
      </c>
      <c r="F181" s="1" t="s">
        <v>112</v>
      </c>
      <c r="G181" s="1">
        <v>2934095</v>
      </c>
    </row>
    <row r="182" spans="1:9" x14ac:dyDescent="0.25">
      <c r="A182" s="1" t="str">
        <f t="shared" si="2"/>
        <v>06 EE2 171</v>
      </c>
      <c r="B1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2" s="1" t="s">
        <v>2072</v>
      </c>
      <c r="D182" s="1" t="s">
        <v>2073</v>
      </c>
      <c r="E182" s="1" t="s">
        <v>2074</v>
      </c>
      <c r="F182" s="1" t="s">
        <v>112</v>
      </c>
      <c r="G182" s="1">
        <v>2107119</v>
      </c>
    </row>
    <row r="183" spans="1:9" x14ac:dyDescent="0.25">
      <c r="A183" s="1" t="str">
        <f t="shared" si="2"/>
        <v>06 EE2 171</v>
      </c>
      <c r="B1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3" s="1" t="s">
        <v>2075</v>
      </c>
      <c r="D183" s="1" t="s">
        <v>2076</v>
      </c>
      <c r="E183" s="1" t="s">
        <v>2077</v>
      </c>
      <c r="F183" s="1" t="s">
        <v>112</v>
      </c>
      <c r="G183" s="1">
        <v>2639756</v>
      </c>
    </row>
    <row r="184" spans="1:9" x14ac:dyDescent="0.25">
      <c r="A184" s="1" t="str">
        <f t="shared" si="2"/>
        <v>06 EE2 171</v>
      </c>
      <c r="B1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184" s="1" t="s">
        <v>2078</v>
      </c>
      <c r="D184" s="1" t="s">
        <v>2079</v>
      </c>
      <c r="E184" s="1" t="s">
        <v>2080</v>
      </c>
      <c r="F184" s="1" t="s">
        <v>112</v>
      </c>
      <c r="G184" s="1">
        <v>2506515</v>
      </c>
    </row>
    <row r="185" spans="1:9" x14ac:dyDescent="0.25">
      <c r="A185" s="1" t="str">
        <f t="shared" si="2"/>
        <v>06 EE2 171</v>
      </c>
      <c r="B1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5" s="1" t="s">
        <v>2081</v>
      </c>
      <c r="D185" s="1" t="s">
        <v>2082</v>
      </c>
      <c r="E185" s="1" t="s">
        <v>2083</v>
      </c>
      <c r="F185" s="1" t="s">
        <v>112</v>
      </c>
      <c r="G185" s="1">
        <v>4239438</v>
      </c>
    </row>
    <row r="186" spans="1:9" x14ac:dyDescent="0.25">
      <c r="A186" s="1" t="str">
        <f t="shared" si="2"/>
        <v>06 EE2 171</v>
      </c>
      <c r="B1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6" s="1" t="s">
        <v>2084</v>
      </c>
      <c r="D186" s="1" t="s">
        <v>2085</v>
      </c>
      <c r="E186" s="1" t="s">
        <v>2086</v>
      </c>
      <c r="F186" s="1" t="s">
        <v>112</v>
      </c>
      <c r="G186" s="1">
        <v>4667428</v>
      </c>
    </row>
    <row r="187" spans="1:9" x14ac:dyDescent="0.25">
      <c r="A187" s="1" t="str">
        <f t="shared" si="2"/>
        <v>06 EE2 171</v>
      </c>
      <c r="B1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187" s="1" t="s">
        <v>2087</v>
      </c>
      <c r="D187" s="1" t="s">
        <v>647</v>
      </c>
      <c r="E187" s="1" t="s">
        <v>2088</v>
      </c>
      <c r="F187" s="1" t="s">
        <v>112</v>
      </c>
      <c r="G187" s="1">
        <v>4700371</v>
      </c>
    </row>
    <row r="188" spans="1:9" x14ac:dyDescent="0.25">
      <c r="A188" s="1" t="str">
        <f t="shared" si="2"/>
        <v>06 EE2 171</v>
      </c>
      <c r="B1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8" s="1" t="s">
        <v>2089</v>
      </c>
      <c r="D188" s="1" t="s">
        <v>2090</v>
      </c>
      <c r="E188" s="1" t="s">
        <v>2091</v>
      </c>
      <c r="F188" s="1" t="s">
        <v>112</v>
      </c>
      <c r="G188" s="1">
        <v>5246937</v>
      </c>
    </row>
    <row r="189" spans="1:9" x14ac:dyDescent="0.25">
      <c r="A189" s="1" t="str">
        <f t="shared" si="2"/>
        <v>06 EE2 171</v>
      </c>
      <c r="B1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89" s="1" t="s">
        <v>2092</v>
      </c>
      <c r="D189" s="1" t="s">
        <v>1090</v>
      </c>
      <c r="E189" s="1" t="s">
        <v>2093</v>
      </c>
      <c r="F189" s="1" t="s">
        <v>112</v>
      </c>
      <c r="G189" s="1">
        <v>3819753</v>
      </c>
    </row>
    <row r="190" spans="1:9" x14ac:dyDescent="0.25">
      <c r="A190" s="1" t="str">
        <f t="shared" si="2"/>
        <v>06 EE2 171</v>
      </c>
      <c r="B1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190" s="1" t="s">
        <v>2094</v>
      </c>
      <c r="D190" s="1" t="s">
        <v>2095</v>
      </c>
      <c r="E190" s="1" t="s">
        <v>2096</v>
      </c>
      <c r="F190" s="1" t="s">
        <v>112</v>
      </c>
      <c r="G190" s="1">
        <v>4616404</v>
      </c>
    </row>
    <row r="191" spans="1:9" x14ac:dyDescent="0.25">
      <c r="A191" s="1" t="str">
        <f t="shared" si="2"/>
        <v/>
      </c>
      <c r="B1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1" s="1" t="s">
        <v>112</v>
      </c>
    </row>
    <row r="192" spans="1:9" x14ac:dyDescent="0.25">
      <c r="A192" s="1" t="str">
        <f t="shared" si="2"/>
        <v/>
      </c>
      <c r="B1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2" s="1" t="s">
        <v>235</v>
      </c>
      <c r="D192" s="1" t="s">
        <v>112</v>
      </c>
      <c r="E192" s="1" t="s">
        <v>236</v>
      </c>
      <c r="F192" s="1" t="s">
        <v>237</v>
      </c>
      <c r="G192" s="1" t="s">
        <v>238</v>
      </c>
      <c r="H192" s="1" t="s">
        <v>239</v>
      </c>
      <c r="I192" s="1" t="s">
        <v>240</v>
      </c>
    </row>
    <row r="193" spans="1:9" x14ac:dyDescent="0.25">
      <c r="A193" s="1" t="str">
        <f t="shared" si="2"/>
        <v>06 EE2 171</v>
      </c>
      <c r="B19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193" s="1" t="s">
        <v>2097</v>
      </c>
      <c r="D193" s="1" t="s">
        <v>112</v>
      </c>
      <c r="E193" s="1" t="s">
        <v>2098</v>
      </c>
      <c r="F193" s="1" t="s">
        <v>2099</v>
      </c>
      <c r="G193" s="1" t="s">
        <v>2100</v>
      </c>
      <c r="H193" s="1" t="s">
        <v>2101</v>
      </c>
      <c r="I193" s="1">
        <v>24</v>
      </c>
    </row>
    <row r="194" spans="1:9" x14ac:dyDescent="0.25">
      <c r="A194" s="1" t="str">
        <f t="shared" ref="A194:A257" si="3">IFERROR(LEFT(RIGHT(C194,LEN(C194)-SEARCH("@",C194)),SEARCH("/",RIGHT(C194,LEN(C194)-SEARCH("@",C194)-1))),"")</f>
        <v/>
      </c>
      <c r="B1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4" s="1" t="s">
        <v>112</v>
      </c>
    </row>
    <row r="195" spans="1:9" x14ac:dyDescent="0.25">
      <c r="A195" s="1" t="str">
        <f t="shared" si="3"/>
        <v/>
      </c>
      <c r="B1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5" s="1" t="s">
        <v>112</v>
      </c>
    </row>
    <row r="196" spans="1:9" x14ac:dyDescent="0.25">
      <c r="A196" s="1" t="str">
        <f t="shared" si="3"/>
        <v/>
      </c>
      <c r="B1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6" s="1" t="s">
        <v>112</v>
      </c>
    </row>
    <row r="197" spans="1:9" x14ac:dyDescent="0.25">
      <c r="A197" s="1" t="str">
        <f t="shared" si="3"/>
        <v/>
      </c>
      <c r="B1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7" s="1" t="s">
        <v>112</v>
      </c>
    </row>
    <row r="198" spans="1:9" x14ac:dyDescent="0.25">
      <c r="A198" s="1" t="str">
        <f t="shared" si="3"/>
        <v/>
      </c>
      <c r="B1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8" s="1" t="s">
        <v>112</v>
      </c>
    </row>
    <row r="199" spans="1:9" x14ac:dyDescent="0.25">
      <c r="A199" s="1" t="str">
        <f t="shared" si="3"/>
        <v/>
      </c>
      <c r="B1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199" s="1" t="s">
        <v>246</v>
      </c>
      <c r="D199" s="1" t="s">
        <v>110</v>
      </c>
      <c r="E199" s="1" t="s">
        <v>111</v>
      </c>
      <c r="F199" s="1" t="s">
        <v>112</v>
      </c>
      <c r="G199" s="1" t="s">
        <v>113</v>
      </c>
    </row>
    <row r="200" spans="1:9" x14ac:dyDescent="0.25">
      <c r="A200" s="1" t="str">
        <f t="shared" si="3"/>
        <v>07 EE2 488</v>
      </c>
      <c r="B2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0" s="1" t="s">
        <v>2102</v>
      </c>
      <c r="D200" s="1" t="s">
        <v>2103</v>
      </c>
      <c r="E200" s="1" t="s">
        <v>2104</v>
      </c>
      <c r="F200" s="1" t="s">
        <v>112</v>
      </c>
      <c r="G200" s="1">
        <v>5810720</v>
      </c>
    </row>
    <row r="201" spans="1:9" x14ac:dyDescent="0.25">
      <c r="A201" s="1" t="str">
        <f t="shared" si="3"/>
        <v>07 EE2 488</v>
      </c>
      <c r="B2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1" s="1" t="s">
        <v>2105</v>
      </c>
    </row>
    <row r="202" spans="1:9" x14ac:dyDescent="0.25">
      <c r="A202" s="1" t="str">
        <f t="shared" si="3"/>
        <v>07 EE2 488</v>
      </c>
      <c r="B2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02" s="1" t="s">
        <v>2106</v>
      </c>
      <c r="D202" s="1" t="s">
        <v>2107</v>
      </c>
      <c r="E202" s="1" t="s">
        <v>2108</v>
      </c>
      <c r="F202" s="1" t="s">
        <v>112</v>
      </c>
      <c r="G202" s="1">
        <v>5690587</v>
      </c>
    </row>
    <row r="203" spans="1:9" x14ac:dyDescent="0.25">
      <c r="A203" s="1" t="str">
        <f t="shared" si="3"/>
        <v>07 EE2 488</v>
      </c>
      <c r="B2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3" s="1" t="s">
        <v>2109</v>
      </c>
      <c r="D203" s="1" t="s">
        <v>2110</v>
      </c>
      <c r="E203" s="1" t="s">
        <v>2111</v>
      </c>
      <c r="F203" s="1" t="s">
        <v>112</v>
      </c>
      <c r="G203" s="1">
        <v>10036725</v>
      </c>
    </row>
    <row r="204" spans="1:9" x14ac:dyDescent="0.25">
      <c r="A204" s="1" t="str">
        <f t="shared" si="3"/>
        <v>07 EE2 488</v>
      </c>
      <c r="B2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4" s="1" t="s">
        <v>2112</v>
      </c>
      <c r="D204" s="1" t="s">
        <v>2113</v>
      </c>
      <c r="E204" s="1" t="s">
        <v>2114</v>
      </c>
      <c r="F204" s="1" t="s">
        <v>112</v>
      </c>
      <c r="G204" s="1">
        <v>10526361</v>
      </c>
    </row>
    <row r="205" spans="1:9" x14ac:dyDescent="0.25">
      <c r="A205" s="1" t="str">
        <f t="shared" si="3"/>
        <v>07 EE2 488</v>
      </c>
      <c r="B2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05" s="1" t="s">
        <v>2115</v>
      </c>
      <c r="D205" s="1" t="s">
        <v>2116</v>
      </c>
      <c r="E205" s="1" t="s">
        <v>2117</v>
      </c>
      <c r="F205" s="1" t="s">
        <v>112</v>
      </c>
      <c r="G205" s="1">
        <v>10296760</v>
      </c>
    </row>
    <row r="206" spans="1:9" x14ac:dyDescent="0.25">
      <c r="A206" s="1" t="str">
        <f t="shared" si="3"/>
        <v>07 EE2 488</v>
      </c>
      <c r="B2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6" s="1" t="s">
        <v>2118</v>
      </c>
      <c r="D206" s="1" t="s">
        <v>2119</v>
      </c>
      <c r="E206" s="1" t="s">
        <v>2120</v>
      </c>
      <c r="F206" s="1" t="s">
        <v>112</v>
      </c>
      <c r="G206" s="1">
        <v>6079363</v>
      </c>
    </row>
    <row r="207" spans="1:9" x14ac:dyDescent="0.25">
      <c r="A207" s="1" t="str">
        <f t="shared" si="3"/>
        <v>07 EE2 488</v>
      </c>
      <c r="B2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7" s="1" t="s">
        <v>2121</v>
      </c>
    </row>
    <row r="208" spans="1:9" x14ac:dyDescent="0.25">
      <c r="A208" s="1" t="str">
        <f t="shared" si="3"/>
        <v>07 EE2 488</v>
      </c>
      <c r="B2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08" s="1" t="s">
        <v>2122</v>
      </c>
      <c r="D208" s="1" t="s">
        <v>2123</v>
      </c>
      <c r="E208" s="1" t="s">
        <v>2124</v>
      </c>
      <c r="F208" s="1" t="s">
        <v>112</v>
      </c>
      <c r="G208" s="1">
        <v>6128290</v>
      </c>
    </row>
    <row r="209" spans="1:7" x14ac:dyDescent="0.25">
      <c r="A209" s="1" t="str">
        <f t="shared" si="3"/>
        <v>07 EE2 488</v>
      </c>
      <c r="B2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09" s="1" t="s">
        <v>2125</v>
      </c>
      <c r="D209" s="1" t="s">
        <v>2126</v>
      </c>
      <c r="E209" s="1" t="s">
        <v>2127</v>
      </c>
      <c r="F209" s="1" t="s">
        <v>112</v>
      </c>
      <c r="G209" s="1">
        <v>7018576</v>
      </c>
    </row>
    <row r="210" spans="1:7" x14ac:dyDescent="0.25">
      <c r="A210" s="1" t="str">
        <f t="shared" si="3"/>
        <v>07 EE2 488</v>
      </c>
      <c r="B2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0" s="1" t="s">
        <v>2128</v>
      </c>
      <c r="D210" s="1" t="s">
        <v>2129</v>
      </c>
      <c r="E210" s="1" t="s">
        <v>2130</v>
      </c>
      <c r="F210" s="1" t="s">
        <v>112</v>
      </c>
      <c r="G210" s="1">
        <v>7042953</v>
      </c>
    </row>
    <row r="211" spans="1:7" x14ac:dyDescent="0.25">
      <c r="A211" s="1" t="str">
        <f t="shared" si="3"/>
        <v>07 EE2 488</v>
      </c>
      <c r="B2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11" s="1" t="s">
        <v>2131</v>
      </c>
      <c r="D211" s="1" t="s">
        <v>2132</v>
      </c>
      <c r="E211" s="1" t="s">
        <v>2133</v>
      </c>
      <c r="F211" s="1" t="s">
        <v>112</v>
      </c>
      <c r="G211" s="1">
        <v>5786992</v>
      </c>
    </row>
    <row r="212" spans="1:7" x14ac:dyDescent="0.25">
      <c r="A212" s="1" t="str">
        <f t="shared" si="3"/>
        <v>07 EE2 488</v>
      </c>
      <c r="B2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2" s="1" t="s">
        <v>2134</v>
      </c>
      <c r="D212" s="1" t="s">
        <v>2135</v>
      </c>
      <c r="E212" s="1" t="s">
        <v>2136</v>
      </c>
      <c r="F212" s="1" t="s">
        <v>112</v>
      </c>
      <c r="G212" s="1">
        <v>4048878</v>
      </c>
    </row>
    <row r="213" spans="1:7" x14ac:dyDescent="0.25">
      <c r="A213" s="1" t="str">
        <f t="shared" si="3"/>
        <v>07 EE2 488</v>
      </c>
      <c r="B2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3" s="1" t="s">
        <v>2137</v>
      </c>
      <c r="D213" s="1" t="s">
        <v>2138</v>
      </c>
      <c r="E213" s="1" t="s">
        <v>2139</v>
      </c>
      <c r="F213" s="1" t="s">
        <v>112</v>
      </c>
      <c r="G213" s="1">
        <v>3805975</v>
      </c>
    </row>
    <row r="214" spans="1:7" x14ac:dyDescent="0.25">
      <c r="A214" s="1" t="str">
        <f t="shared" si="3"/>
        <v>07 EE2 488</v>
      </c>
      <c r="B2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14" s="1" t="s">
        <v>2140</v>
      </c>
      <c r="D214" s="1" t="s">
        <v>2141</v>
      </c>
      <c r="E214" s="1" t="s">
        <v>2142</v>
      </c>
      <c r="F214" s="1" t="s">
        <v>112</v>
      </c>
      <c r="G214" s="1">
        <v>4414726</v>
      </c>
    </row>
    <row r="215" spans="1:7" x14ac:dyDescent="0.25">
      <c r="A215" s="1" t="str">
        <f t="shared" si="3"/>
        <v>07 EE2 488</v>
      </c>
      <c r="B2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5" s="1" t="s">
        <v>2143</v>
      </c>
      <c r="D215" s="1" t="s">
        <v>2144</v>
      </c>
      <c r="E215" s="1" t="s">
        <v>2145</v>
      </c>
      <c r="F215" s="1" t="s">
        <v>112</v>
      </c>
      <c r="G215" s="1">
        <v>6772947</v>
      </c>
    </row>
    <row r="216" spans="1:7" x14ac:dyDescent="0.25">
      <c r="A216" s="1" t="str">
        <f t="shared" si="3"/>
        <v>07 EE2 488</v>
      </c>
      <c r="B2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6" s="1" t="s">
        <v>2146</v>
      </c>
      <c r="D216" s="1" t="s">
        <v>2147</v>
      </c>
      <c r="E216" s="1" t="s">
        <v>2148</v>
      </c>
      <c r="F216" s="1" t="s">
        <v>112</v>
      </c>
      <c r="G216" s="1">
        <v>6547218</v>
      </c>
    </row>
    <row r="217" spans="1:7" x14ac:dyDescent="0.25">
      <c r="A217" s="1" t="str">
        <f t="shared" si="3"/>
        <v>07 EE2 488</v>
      </c>
      <c r="B2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17" s="1" t="s">
        <v>2149</v>
      </c>
      <c r="D217" s="1" t="s">
        <v>2150</v>
      </c>
      <c r="E217" s="1" t="s">
        <v>2151</v>
      </c>
      <c r="F217" s="1" t="s">
        <v>112</v>
      </c>
      <c r="G217" s="1">
        <v>6882135</v>
      </c>
    </row>
    <row r="218" spans="1:7" x14ac:dyDescent="0.25">
      <c r="A218" s="1" t="str">
        <f t="shared" si="3"/>
        <v>07 EE2 488</v>
      </c>
      <c r="B2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8" s="1" t="s">
        <v>2152</v>
      </c>
      <c r="D218" s="1" t="s">
        <v>2153</v>
      </c>
      <c r="E218" s="1" t="s">
        <v>2154</v>
      </c>
      <c r="F218" s="1" t="s">
        <v>112</v>
      </c>
      <c r="G218" s="1">
        <v>5365641</v>
      </c>
    </row>
    <row r="219" spans="1:7" x14ac:dyDescent="0.25">
      <c r="A219" s="1" t="str">
        <f t="shared" si="3"/>
        <v>07 EE2 488</v>
      </c>
      <c r="B2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19" s="1" t="s">
        <v>2155</v>
      </c>
    </row>
    <row r="220" spans="1:7" x14ac:dyDescent="0.25">
      <c r="A220" s="1" t="str">
        <f t="shared" si="3"/>
        <v>07 EE2 488</v>
      </c>
      <c r="B2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20" s="1" t="s">
        <v>2156</v>
      </c>
      <c r="D220" s="1" t="s">
        <v>2157</v>
      </c>
      <c r="E220" s="1" t="s">
        <v>2158</v>
      </c>
      <c r="F220" s="1" t="s">
        <v>112</v>
      </c>
      <c r="G220" s="1">
        <v>5396853</v>
      </c>
    </row>
    <row r="221" spans="1:7" x14ac:dyDescent="0.25">
      <c r="A221" s="1" t="str">
        <f t="shared" si="3"/>
        <v>07 EE2 488</v>
      </c>
      <c r="B2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1" s="1" t="s">
        <v>2159</v>
      </c>
      <c r="D221" s="1" t="s">
        <v>620</v>
      </c>
      <c r="E221" s="1" t="s">
        <v>2160</v>
      </c>
      <c r="F221" s="1" t="s">
        <v>112</v>
      </c>
      <c r="G221" s="1">
        <v>5884326</v>
      </c>
    </row>
    <row r="222" spans="1:7" x14ac:dyDescent="0.25">
      <c r="A222" s="1" t="str">
        <f t="shared" si="3"/>
        <v>07 EE2 488</v>
      </c>
      <c r="B2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2" s="1" t="s">
        <v>2161</v>
      </c>
      <c r="D222" s="1" t="s">
        <v>2162</v>
      </c>
      <c r="E222" s="1" t="s">
        <v>2163</v>
      </c>
      <c r="F222" s="1" t="s">
        <v>112</v>
      </c>
      <c r="G222" s="1">
        <v>5744900</v>
      </c>
    </row>
    <row r="223" spans="1:7" x14ac:dyDescent="0.25">
      <c r="A223" s="1" t="str">
        <f t="shared" si="3"/>
        <v>07 EE2 488</v>
      </c>
      <c r="B2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23" s="1" t="s">
        <v>2164</v>
      </c>
      <c r="D223" s="1" t="s">
        <v>2165</v>
      </c>
      <c r="E223" s="1" t="s">
        <v>2166</v>
      </c>
      <c r="F223" s="1" t="s">
        <v>112</v>
      </c>
      <c r="G223" s="1">
        <v>6232979</v>
      </c>
    </row>
    <row r="224" spans="1:7" x14ac:dyDescent="0.25">
      <c r="A224" s="1" t="str">
        <f t="shared" si="3"/>
        <v/>
      </c>
      <c r="B2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4" s="1" t="s">
        <v>112</v>
      </c>
    </row>
    <row r="225" spans="1:9" x14ac:dyDescent="0.25">
      <c r="A225" s="1" t="str">
        <f t="shared" si="3"/>
        <v/>
      </c>
      <c r="B2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5" s="1" t="s">
        <v>235</v>
      </c>
      <c r="D225" s="1" t="s">
        <v>112</v>
      </c>
      <c r="E225" s="1" t="s">
        <v>236</v>
      </c>
      <c r="F225" s="1" t="s">
        <v>237</v>
      </c>
      <c r="G225" s="1" t="s">
        <v>238</v>
      </c>
      <c r="H225" s="1" t="s">
        <v>239</v>
      </c>
      <c r="I225" s="1" t="s">
        <v>240</v>
      </c>
    </row>
    <row r="226" spans="1:9" x14ac:dyDescent="0.25">
      <c r="A226" s="1" t="str">
        <f t="shared" si="3"/>
        <v>07 EE2 488</v>
      </c>
      <c r="B22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26" s="1" t="s">
        <v>2167</v>
      </c>
      <c r="D226" s="1" t="s">
        <v>112</v>
      </c>
      <c r="E226" s="1" t="s">
        <v>2168</v>
      </c>
      <c r="F226" s="1" t="s">
        <v>2169</v>
      </c>
      <c r="G226" s="1" t="s">
        <v>2170</v>
      </c>
      <c r="H226" s="1" t="s">
        <v>2171</v>
      </c>
      <c r="I226" s="1">
        <v>24</v>
      </c>
    </row>
    <row r="227" spans="1:9" x14ac:dyDescent="0.25">
      <c r="A227" s="1" t="str">
        <f t="shared" si="3"/>
        <v/>
      </c>
      <c r="B2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7" s="1" t="s">
        <v>112</v>
      </c>
    </row>
    <row r="228" spans="1:9" x14ac:dyDescent="0.25">
      <c r="A228" s="1" t="str">
        <f t="shared" si="3"/>
        <v/>
      </c>
      <c r="B2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8" s="1" t="s">
        <v>112</v>
      </c>
    </row>
    <row r="229" spans="1:9" x14ac:dyDescent="0.25">
      <c r="A229" s="1" t="str">
        <f t="shared" si="3"/>
        <v/>
      </c>
      <c r="B2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29" s="1" t="s">
        <v>112</v>
      </c>
    </row>
    <row r="230" spans="1:9" x14ac:dyDescent="0.25">
      <c r="A230" s="1" t="str">
        <f t="shared" si="3"/>
        <v/>
      </c>
      <c r="B2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0" s="1" t="s">
        <v>112</v>
      </c>
    </row>
    <row r="231" spans="1:9" x14ac:dyDescent="0.25">
      <c r="A231" s="1" t="str">
        <f t="shared" si="3"/>
        <v/>
      </c>
      <c r="B2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1" s="1" t="s">
        <v>112</v>
      </c>
    </row>
    <row r="232" spans="1:9" x14ac:dyDescent="0.25">
      <c r="A232" s="1" t="str">
        <f t="shared" si="3"/>
        <v/>
      </c>
      <c r="B2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32" s="1" t="s">
        <v>246</v>
      </c>
      <c r="D232" s="1" t="s">
        <v>110</v>
      </c>
      <c r="E232" s="1" t="s">
        <v>111</v>
      </c>
      <c r="F232" s="1" t="s">
        <v>112</v>
      </c>
      <c r="G232" s="1" t="s">
        <v>113</v>
      </c>
    </row>
    <row r="233" spans="1:9" x14ac:dyDescent="0.25">
      <c r="A233" s="1" t="str">
        <f t="shared" si="3"/>
        <v>08 Cromolyn 0.1</v>
      </c>
      <c r="B2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3" s="1" t="s">
        <v>2172</v>
      </c>
      <c r="D233" s="1" t="s">
        <v>1786</v>
      </c>
      <c r="E233" s="1" t="s">
        <v>2173</v>
      </c>
      <c r="F233" s="1" t="s">
        <v>112</v>
      </c>
      <c r="G233" s="1">
        <v>140032</v>
      </c>
    </row>
    <row r="234" spans="1:9" x14ac:dyDescent="0.25">
      <c r="A234" s="1" t="str">
        <f t="shared" si="3"/>
        <v>08 Cromolyn 0.1</v>
      </c>
      <c r="B2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4" s="1" t="s">
        <v>2174</v>
      </c>
      <c r="D234" s="1" t="s">
        <v>1276</v>
      </c>
      <c r="E234" s="1" t="s">
        <v>2175</v>
      </c>
      <c r="F234" s="1" t="s">
        <v>112</v>
      </c>
      <c r="G234" s="1">
        <v>510184</v>
      </c>
    </row>
    <row r="235" spans="1:9" x14ac:dyDescent="0.25">
      <c r="A235" s="1" t="str">
        <f t="shared" si="3"/>
        <v>08 Cromolyn 0.1</v>
      </c>
      <c r="B2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35" s="1" t="s">
        <v>2176</v>
      </c>
    </row>
    <row r="236" spans="1:9" x14ac:dyDescent="0.25">
      <c r="A236" s="1" t="str">
        <f t="shared" si="3"/>
        <v>08 Cromolyn 0.1</v>
      </c>
      <c r="B2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6" s="1" t="s">
        <v>2177</v>
      </c>
    </row>
    <row r="237" spans="1:9" x14ac:dyDescent="0.25">
      <c r="A237" s="1" t="str">
        <f t="shared" si="3"/>
        <v>08 Cromolyn 0.1</v>
      </c>
      <c r="B2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7" s="1" t="s">
        <v>2178</v>
      </c>
      <c r="D237" s="1" t="s">
        <v>2179</v>
      </c>
      <c r="E237" s="1" t="s">
        <v>2180</v>
      </c>
      <c r="F237" s="1" t="s">
        <v>112</v>
      </c>
      <c r="G237" s="1">
        <v>487884</v>
      </c>
    </row>
    <row r="238" spans="1:9" x14ac:dyDescent="0.25">
      <c r="A238" s="1" t="str">
        <f t="shared" si="3"/>
        <v>08 Cromolyn 0.1</v>
      </c>
      <c r="B2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38" s="1" t="s">
        <v>2181</v>
      </c>
      <c r="D238" s="1" t="s">
        <v>2182</v>
      </c>
      <c r="E238" s="1" t="s">
        <v>2183</v>
      </c>
      <c r="F238" s="1" t="s">
        <v>112</v>
      </c>
      <c r="G238" s="1">
        <v>681926</v>
      </c>
    </row>
    <row r="239" spans="1:9" x14ac:dyDescent="0.25">
      <c r="A239" s="1" t="str">
        <f t="shared" si="3"/>
        <v>08 Cromolyn 0.1</v>
      </c>
      <c r="B2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39" s="1" t="s">
        <v>2184</v>
      </c>
      <c r="D239" s="1" t="s">
        <v>276</v>
      </c>
      <c r="E239" s="1" t="s">
        <v>2185</v>
      </c>
      <c r="F239" s="1" t="s">
        <v>112</v>
      </c>
      <c r="G239" s="1">
        <v>414796</v>
      </c>
    </row>
    <row r="240" spans="1:9" x14ac:dyDescent="0.25">
      <c r="A240" s="1" t="str">
        <f t="shared" si="3"/>
        <v>08 Cromolyn 0.1</v>
      </c>
      <c r="B2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0" s="1" t="s">
        <v>2186</v>
      </c>
      <c r="D240" s="1" t="s">
        <v>2187</v>
      </c>
      <c r="E240" s="1" t="s">
        <v>2188</v>
      </c>
      <c r="F240" s="1" t="s">
        <v>112</v>
      </c>
      <c r="G240" s="1">
        <v>584288</v>
      </c>
    </row>
    <row r="241" spans="1:7" x14ac:dyDescent="0.25">
      <c r="A241" s="1" t="str">
        <f t="shared" si="3"/>
        <v>08 Cromolyn 0.1</v>
      </c>
      <c r="B2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41" s="1" t="s">
        <v>2189</v>
      </c>
      <c r="D241" s="1" t="s">
        <v>2190</v>
      </c>
      <c r="E241" s="1" t="s">
        <v>2191</v>
      </c>
      <c r="F241" s="1" t="s">
        <v>112</v>
      </c>
      <c r="G241" s="1">
        <v>574641</v>
      </c>
    </row>
    <row r="242" spans="1:7" x14ac:dyDescent="0.25">
      <c r="A242" s="1" t="str">
        <f t="shared" si="3"/>
        <v>08 Cromolyn 0.1</v>
      </c>
      <c r="B2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2" s="1" t="s">
        <v>2192</v>
      </c>
      <c r="D242" s="1" t="s">
        <v>684</v>
      </c>
      <c r="E242" s="1" t="s">
        <v>2193</v>
      </c>
      <c r="F242" s="1" t="s">
        <v>112</v>
      </c>
      <c r="G242" s="1">
        <v>601246</v>
      </c>
    </row>
    <row r="243" spans="1:7" x14ac:dyDescent="0.25">
      <c r="A243" s="1" t="str">
        <f t="shared" si="3"/>
        <v>08 Cromolyn 0.1</v>
      </c>
      <c r="B2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3" s="1" t="s">
        <v>2194</v>
      </c>
      <c r="D243" s="1" t="s">
        <v>2195</v>
      </c>
      <c r="E243" s="1" t="s">
        <v>2196</v>
      </c>
      <c r="F243" s="1" t="s">
        <v>112</v>
      </c>
      <c r="G243" s="1">
        <v>351983</v>
      </c>
    </row>
    <row r="244" spans="1:7" x14ac:dyDescent="0.25">
      <c r="A244" s="1" t="str">
        <f t="shared" si="3"/>
        <v>08 Cromolyn 0.1</v>
      </c>
      <c r="B2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44" s="1" t="s">
        <v>2197</v>
      </c>
      <c r="D244" s="1" t="s">
        <v>2198</v>
      </c>
      <c r="E244" s="1" t="s">
        <v>2199</v>
      </c>
      <c r="F244" s="1" t="s">
        <v>112</v>
      </c>
      <c r="G244" s="1">
        <v>208793</v>
      </c>
    </row>
    <row r="245" spans="1:7" x14ac:dyDescent="0.25">
      <c r="A245" s="1" t="str">
        <f t="shared" si="3"/>
        <v>08 Cromolyn 0.1</v>
      </c>
      <c r="B2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5" s="1" t="s">
        <v>2200</v>
      </c>
      <c r="D245" s="1" t="s">
        <v>1777</v>
      </c>
      <c r="E245" s="1" t="s">
        <v>2201</v>
      </c>
      <c r="F245" s="1" t="s">
        <v>112</v>
      </c>
      <c r="G245" s="1">
        <v>134949</v>
      </c>
    </row>
    <row r="246" spans="1:7" x14ac:dyDescent="0.25">
      <c r="A246" s="1" t="str">
        <f t="shared" si="3"/>
        <v>08 Cromolyn 0.1</v>
      </c>
      <c r="B2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6" s="1" t="s">
        <v>2202</v>
      </c>
      <c r="D246" s="1" t="s">
        <v>2203</v>
      </c>
      <c r="E246" s="1" t="s">
        <v>2204</v>
      </c>
      <c r="F246" s="1" t="s">
        <v>112</v>
      </c>
      <c r="G246" s="1">
        <v>243055</v>
      </c>
    </row>
    <row r="247" spans="1:7" x14ac:dyDescent="0.25">
      <c r="A247" s="1" t="str">
        <f t="shared" si="3"/>
        <v>08 Cromolyn 0.1</v>
      </c>
      <c r="B2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47" s="1" t="s">
        <v>2205</v>
      </c>
      <c r="D247" s="1" t="s">
        <v>852</v>
      </c>
      <c r="E247" s="1" t="s">
        <v>2206</v>
      </c>
      <c r="F247" s="1" t="s">
        <v>112</v>
      </c>
      <c r="G247" s="1">
        <v>165750</v>
      </c>
    </row>
    <row r="248" spans="1:7" x14ac:dyDescent="0.25">
      <c r="A248" s="1" t="str">
        <f t="shared" si="3"/>
        <v>08 Cromolyn 0.1</v>
      </c>
      <c r="B2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8" s="1" t="s">
        <v>2207</v>
      </c>
    </row>
    <row r="249" spans="1:7" x14ac:dyDescent="0.25">
      <c r="A249" s="1" t="str">
        <f t="shared" si="3"/>
        <v>08 Cromolyn 0.1</v>
      </c>
      <c r="B2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49" s="1" t="s">
        <v>2208</v>
      </c>
      <c r="D249" s="1" t="s">
        <v>1276</v>
      </c>
      <c r="E249" s="1" t="s">
        <v>2209</v>
      </c>
      <c r="F249" s="1" t="s">
        <v>112</v>
      </c>
      <c r="G249" s="1">
        <v>539212</v>
      </c>
    </row>
    <row r="250" spans="1:7" x14ac:dyDescent="0.25">
      <c r="A250" s="1" t="str">
        <f t="shared" si="3"/>
        <v>08 Cromolyn 0.1</v>
      </c>
      <c r="B2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50" s="1" t="s">
        <v>2210</v>
      </c>
    </row>
    <row r="251" spans="1:7" x14ac:dyDescent="0.25">
      <c r="A251" s="1" t="str">
        <f t="shared" si="3"/>
        <v>08 Cromolyn 0.1</v>
      </c>
      <c r="B2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1" s="1" t="s">
        <v>2211</v>
      </c>
      <c r="D251" s="1" t="s">
        <v>2212</v>
      </c>
      <c r="E251" s="1" t="s">
        <v>2213</v>
      </c>
      <c r="F251" s="1" t="s">
        <v>112</v>
      </c>
      <c r="G251" s="1">
        <v>631095</v>
      </c>
    </row>
    <row r="252" spans="1:7" x14ac:dyDescent="0.25">
      <c r="A252" s="1" t="str">
        <f t="shared" si="3"/>
        <v>08 Cromolyn 0.1</v>
      </c>
      <c r="B2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2" s="1" t="s">
        <v>2214</v>
      </c>
      <c r="D252" s="1" t="s">
        <v>2215</v>
      </c>
      <c r="E252" s="1" t="s">
        <v>2216</v>
      </c>
      <c r="F252" s="1" t="s">
        <v>112</v>
      </c>
      <c r="G252" s="1">
        <v>607043</v>
      </c>
    </row>
    <row r="253" spans="1:7" x14ac:dyDescent="0.25">
      <c r="A253" s="1" t="str">
        <f t="shared" si="3"/>
        <v>08 Cromolyn 0.1</v>
      </c>
      <c r="B2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53" s="1" t="s">
        <v>2217</v>
      </c>
      <c r="D253" s="1" t="s">
        <v>2218</v>
      </c>
      <c r="E253" s="1" t="s">
        <v>2219</v>
      </c>
      <c r="F253" s="1" t="s">
        <v>112</v>
      </c>
      <c r="G253" s="1">
        <v>624866</v>
      </c>
    </row>
    <row r="254" spans="1:7" x14ac:dyDescent="0.25">
      <c r="A254" s="1" t="str">
        <f t="shared" si="3"/>
        <v>08 Cromolyn 0.1</v>
      </c>
      <c r="B2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4" s="1" t="s">
        <v>2220</v>
      </c>
      <c r="D254" s="1" t="s">
        <v>2221</v>
      </c>
      <c r="E254" s="1" t="s">
        <v>2222</v>
      </c>
      <c r="F254" s="1" t="s">
        <v>112</v>
      </c>
      <c r="G254" s="1">
        <v>570488</v>
      </c>
    </row>
    <row r="255" spans="1:7" x14ac:dyDescent="0.25">
      <c r="A255" s="1" t="str">
        <f t="shared" si="3"/>
        <v>08 Cromolyn 0.1</v>
      </c>
      <c r="B2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5" s="1" t="s">
        <v>2223</v>
      </c>
      <c r="D255" s="1" t="s">
        <v>2224</v>
      </c>
      <c r="E255" s="1" t="s">
        <v>2225</v>
      </c>
      <c r="F255" s="1" t="s">
        <v>112</v>
      </c>
      <c r="G255" s="1">
        <v>411271</v>
      </c>
    </row>
    <row r="256" spans="1:7" x14ac:dyDescent="0.25">
      <c r="A256" s="1" t="str">
        <f t="shared" si="3"/>
        <v>08 Cromolyn 0.1</v>
      </c>
      <c r="B2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56" s="1" t="s">
        <v>2226</v>
      </c>
      <c r="D256" s="1" t="s">
        <v>2227</v>
      </c>
      <c r="E256" s="1" t="s">
        <v>2228</v>
      </c>
      <c r="F256" s="1" t="s">
        <v>112</v>
      </c>
      <c r="G256" s="1">
        <v>534496</v>
      </c>
    </row>
    <row r="257" spans="1:9" x14ac:dyDescent="0.25">
      <c r="A257" s="1" t="str">
        <f t="shared" si="3"/>
        <v/>
      </c>
      <c r="B2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7" s="1" t="s">
        <v>112</v>
      </c>
    </row>
    <row r="258" spans="1:9" x14ac:dyDescent="0.25">
      <c r="A258" s="1" t="str">
        <f t="shared" ref="A258:A321" si="4">IFERROR(LEFT(RIGHT(C258,LEN(C258)-SEARCH("@",C258)),SEARCH("/",RIGHT(C258,LEN(C258)-SEARCH("@",C258)-1))),"")</f>
        <v/>
      </c>
      <c r="B2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58" s="1" t="s">
        <v>235</v>
      </c>
      <c r="D258" s="1" t="s">
        <v>112</v>
      </c>
      <c r="E258" s="1" t="s">
        <v>236</v>
      </c>
      <c r="F258" s="1" t="s">
        <v>237</v>
      </c>
      <c r="G258" s="1" t="s">
        <v>238</v>
      </c>
      <c r="H258" s="1" t="s">
        <v>239</v>
      </c>
      <c r="I258" s="1" t="s">
        <v>240</v>
      </c>
    </row>
    <row r="259" spans="1:9" x14ac:dyDescent="0.25">
      <c r="A259" s="1" t="str">
        <f t="shared" si="4"/>
        <v>08 Cromolyn 0.1</v>
      </c>
      <c r="B25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59" s="1" t="s">
        <v>2229</v>
      </c>
      <c r="D259" s="1" t="s">
        <v>112</v>
      </c>
      <c r="E259" s="1" t="s">
        <v>2230</v>
      </c>
      <c r="F259" s="1" t="s">
        <v>2231</v>
      </c>
      <c r="G259" s="1" t="s">
        <v>2232</v>
      </c>
      <c r="H259" s="1" t="s">
        <v>2233</v>
      </c>
      <c r="I259" s="1">
        <v>24</v>
      </c>
    </row>
    <row r="260" spans="1:9" x14ac:dyDescent="0.25">
      <c r="A260" s="1" t="str">
        <f t="shared" si="4"/>
        <v/>
      </c>
      <c r="B2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0" s="1" t="s">
        <v>112</v>
      </c>
    </row>
    <row r="261" spans="1:9" x14ac:dyDescent="0.25">
      <c r="A261" s="1" t="str">
        <f t="shared" si="4"/>
        <v/>
      </c>
      <c r="B2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1" s="1" t="s">
        <v>112</v>
      </c>
    </row>
    <row r="262" spans="1:9" x14ac:dyDescent="0.25">
      <c r="A262" s="1" t="str">
        <f t="shared" si="4"/>
        <v/>
      </c>
      <c r="B2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2" s="1" t="s">
        <v>112</v>
      </c>
    </row>
    <row r="263" spans="1:9" x14ac:dyDescent="0.25">
      <c r="A263" s="1" t="str">
        <f t="shared" si="4"/>
        <v/>
      </c>
      <c r="B2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3" s="1" t="s">
        <v>112</v>
      </c>
    </row>
    <row r="264" spans="1:9" x14ac:dyDescent="0.25">
      <c r="A264" s="1" t="str">
        <f t="shared" si="4"/>
        <v/>
      </c>
      <c r="B2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4" s="1" t="s">
        <v>112</v>
      </c>
    </row>
    <row r="265" spans="1:9" x14ac:dyDescent="0.25">
      <c r="A265" s="1" t="str">
        <f t="shared" si="4"/>
        <v/>
      </c>
      <c r="B2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65" s="1" t="s">
        <v>246</v>
      </c>
      <c r="D265" s="1" t="s">
        <v>110</v>
      </c>
      <c r="E265" s="1" t="s">
        <v>111</v>
      </c>
      <c r="F265" s="1" t="s">
        <v>112</v>
      </c>
      <c r="G265" s="1" t="s">
        <v>113</v>
      </c>
    </row>
    <row r="266" spans="1:9" x14ac:dyDescent="0.25">
      <c r="A266" s="1" t="str">
        <f t="shared" si="4"/>
        <v>09 Cromolyn 1</v>
      </c>
      <c r="B2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6" s="1" t="s">
        <v>2234</v>
      </c>
      <c r="D266" s="1" t="s">
        <v>349</v>
      </c>
      <c r="E266" s="1" t="s">
        <v>2235</v>
      </c>
      <c r="F266" s="1" t="s">
        <v>112</v>
      </c>
      <c r="G266" s="1">
        <v>427883</v>
      </c>
    </row>
    <row r="267" spans="1:9" x14ac:dyDescent="0.25">
      <c r="A267" s="1" t="str">
        <f t="shared" si="4"/>
        <v>09 Cromolyn 1</v>
      </c>
      <c r="B2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7" s="1" t="s">
        <v>2236</v>
      </c>
      <c r="D267" s="1" t="s">
        <v>2237</v>
      </c>
      <c r="E267" s="1" t="s">
        <v>2238</v>
      </c>
      <c r="F267" s="1" t="s">
        <v>112</v>
      </c>
      <c r="G267" s="1">
        <v>123528</v>
      </c>
    </row>
    <row r="268" spans="1:9" x14ac:dyDescent="0.25">
      <c r="A268" s="1" t="str">
        <f t="shared" si="4"/>
        <v>09 Cromolyn 1</v>
      </c>
      <c r="B2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68" s="1" t="s">
        <v>2239</v>
      </c>
      <c r="D268" s="1" t="s">
        <v>957</v>
      </c>
      <c r="E268" s="1" t="s">
        <v>2240</v>
      </c>
      <c r="F268" s="1" t="s">
        <v>112</v>
      </c>
      <c r="G268" s="1">
        <v>226011</v>
      </c>
    </row>
    <row r="269" spans="1:9" x14ac:dyDescent="0.25">
      <c r="A269" s="1" t="str">
        <f t="shared" si="4"/>
        <v>09 Cromolyn 1</v>
      </c>
      <c r="B2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69" s="1" t="s">
        <v>2241</v>
      </c>
      <c r="D269" s="1" t="s">
        <v>2242</v>
      </c>
      <c r="E269" s="1" t="s">
        <v>2243</v>
      </c>
      <c r="F269" s="1" t="s">
        <v>112</v>
      </c>
      <c r="G269" s="1">
        <v>385510</v>
      </c>
    </row>
    <row r="270" spans="1:9" x14ac:dyDescent="0.25">
      <c r="A270" s="1" t="str">
        <f t="shared" si="4"/>
        <v>09 Cromolyn 1</v>
      </c>
      <c r="B2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0" s="1" t="s">
        <v>2244</v>
      </c>
      <c r="D270" s="1" t="s">
        <v>1789</v>
      </c>
      <c r="E270" s="1" t="s">
        <v>2245</v>
      </c>
      <c r="F270" s="1" t="s">
        <v>112</v>
      </c>
      <c r="G270" s="1">
        <v>135836</v>
      </c>
    </row>
    <row r="271" spans="1:9" x14ac:dyDescent="0.25">
      <c r="A271" s="1" t="str">
        <f t="shared" si="4"/>
        <v>09 Cromolyn 1</v>
      </c>
      <c r="B2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271" s="1" t="s">
        <v>2246</v>
      </c>
      <c r="D271" s="1" t="s">
        <v>255</v>
      </c>
      <c r="E271" s="1" t="s">
        <v>2247</v>
      </c>
      <c r="F271" s="1" t="s">
        <v>112</v>
      </c>
      <c r="G271" s="1">
        <v>332170</v>
      </c>
    </row>
    <row r="272" spans="1:9" x14ac:dyDescent="0.25">
      <c r="A272" s="1" t="str">
        <f t="shared" si="4"/>
        <v>09 Cromolyn 1</v>
      </c>
      <c r="B2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2" s="1" t="s">
        <v>2248</v>
      </c>
      <c r="D272" s="1" t="s">
        <v>2249</v>
      </c>
      <c r="E272" s="1" t="s">
        <v>2250</v>
      </c>
      <c r="F272" s="1" t="s">
        <v>112</v>
      </c>
      <c r="G272" s="1">
        <v>262738</v>
      </c>
    </row>
    <row r="273" spans="1:7" x14ac:dyDescent="0.25">
      <c r="A273" s="1" t="str">
        <f t="shared" si="4"/>
        <v>09 Cromolyn 1</v>
      </c>
      <c r="B2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3" s="1" t="s">
        <v>2251</v>
      </c>
      <c r="D273" s="1" t="s">
        <v>1250</v>
      </c>
      <c r="E273" s="1" t="s">
        <v>2252</v>
      </c>
      <c r="F273" s="1" t="s">
        <v>112</v>
      </c>
      <c r="G273" s="1">
        <v>237215</v>
      </c>
    </row>
    <row r="274" spans="1:7" x14ac:dyDescent="0.25">
      <c r="A274" s="1" t="str">
        <f t="shared" si="4"/>
        <v>09 Cromolyn 1</v>
      </c>
      <c r="B2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274" s="1" t="s">
        <v>2253</v>
      </c>
      <c r="D274" s="1" t="s">
        <v>1004</v>
      </c>
      <c r="E274" s="1" t="s">
        <v>2254</v>
      </c>
      <c r="F274" s="1" t="s">
        <v>112</v>
      </c>
      <c r="G274" s="1">
        <v>222052</v>
      </c>
    </row>
    <row r="275" spans="1:7" x14ac:dyDescent="0.25">
      <c r="A275" s="1" t="str">
        <f t="shared" si="4"/>
        <v>09 Cromolyn 1</v>
      </c>
      <c r="B2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5" s="1" t="s">
        <v>2255</v>
      </c>
      <c r="D275" s="1" t="s">
        <v>2256</v>
      </c>
      <c r="E275" s="1" t="s">
        <v>2257</v>
      </c>
      <c r="F275" s="1" t="s">
        <v>112</v>
      </c>
      <c r="G275" s="1">
        <v>100968</v>
      </c>
    </row>
    <row r="276" spans="1:7" x14ac:dyDescent="0.25">
      <c r="A276" s="1" t="str">
        <f t="shared" si="4"/>
        <v>09 Cromolyn 1</v>
      </c>
      <c r="B2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6" s="1" t="s">
        <v>2258</v>
      </c>
      <c r="D276" s="1" t="s">
        <v>826</v>
      </c>
      <c r="E276" s="1">
        <v>67</v>
      </c>
      <c r="F276" s="1" t="s">
        <v>112</v>
      </c>
      <c r="G276" s="1">
        <v>153616</v>
      </c>
    </row>
    <row r="277" spans="1:7" x14ac:dyDescent="0.25">
      <c r="A277" s="1" t="str">
        <f t="shared" si="4"/>
        <v>09 Cromolyn 1</v>
      </c>
      <c r="B2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277" s="1" t="s">
        <v>2259</v>
      </c>
      <c r="D277" s="1" t="s">
        <v>306</v>
      </c>
      <c r="E277" s="1" t="s">
        <v>2260</v>
      </c>
      <c r="F277" s="1" t="s">
        <v>112</v>
      </c>
      <c r="G277" s="1">
        <v>69627</v>
      </c>
    </row>
    <row r="278" spans="1:7" x14ac:dyDescent="0.25">
      <c r="A278" s="1" t="str">
        <f t="shared" si="4"/>
        <v>09 Cromolyn 1</v>
      </c>
      <c r="B2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8" s="1" t="s">
        <v>2261</v>
      </c>
      <c r="D278" s="1" t="s">
        <v>2262</v>
      </c>
      <c r="E278" s="1" t="s">
        <v>2263</v>
      </c>
      <c r="F278" s="1" t="s">
        <v>112</v>
      </c>
      <c r="G278" s="1">
        <v>453233</v>
      </c>
    </row>
    <row r="279" spans="1:7" x14ac:dyDescent="0.25">
      <c r="A279" s="1" t="str">
        <f t="shared" si="4"/>
        <v>09 Cromolyn 1</v>
      </c>
      <c r="B2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79" s="1" t="s">
        <v>2264</v>
      </c>
      <c r="D279" s="1" t="s">
        <v>2265</v>
      </c>
      <c r="E279" s="1" t="s">
        <v>2266</v>
      </c>
      <c r="F279" s="1" t="s">
        <v>112</v>
      </c>
      <c r="G279" s="1">
        <v>51522</v>
      </c>
    </row>
    <row r="280" spans="1:7" x14ac:dyDescent="0.25">
      <c r="A280" s="1" t="str">
        <f t="shared" si="4"/>
        <v>09 Cromolyn 1</v>
      </c>
      <c r="B2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280" s="1" t="s">
        <v>2267</v>
      </c>
      <c r="D280" s="1" t="s">
        <v>2268</v>
      </c>
      <c r="E280" s="1" t="s">
        <v>2269</v>
      </c>
      <c r="F280" s="1" t="s">
        <v>112</v>
      </c>
      <c r="G280" s="1">
        <v>312855</v>
      </c>
    </row>
    <row r="281" spans="1:7" x14ac:dyDescent="0.25">
      <c r="A281" s="1" t="str">
        <f t="shared" si="4"/>
        <v>09 Cromolyn 1</v>
      </c>
      <c r="B2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1" s="1" t="s">
        <v>2270</v>
      </c>
      <c r="D281" s="1" t="s">
        <v>192</v>
      </c>
      <c r="E281" s="1" t="s">
        <v>2271</v>
      </c>
      <c r="F281" s="1" t="s">
        <v>112</v>
      </c>
      <c r="G281" s="1">
        <v>515700</v>
      </c>
    </row>
    <row r="282" spans="1:7" x14ac:dyDescent="0.25">
      <c r="A282" s="1" t="str">
        <f t="shared" si="4"/>
        <v>09 Cromolyn 1</v>
      </c>
      <c r="B2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2" s="1" t="s">
        <v>2272</v>
      </c>
      <c r="D282" s="1" t="s">
        <v>1792</v>
      </c>
      <c r="E282" s="1" t="s">
        <v>2273</v>
      </c>
      <c r="F282" s="1" t="s">
        <v>112</v>
      </c>
      <c r="G282" s="1">
        <v>481481</v>
      </c>
    </row>
    <row r="283" spans="1:7" x14ac:dyDescent="0.25">
      <c r="A283" s="1" t="str">
        <f t="shared" si="4"/>
        <v>09 Cromolyn 1</v>
      </c>
      <c r="B2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283" s="1" t="s">
        <v>2274</v>
      </c>
      <c r="D283" s="1" t="s">
        <v>957</v>
      </c>
      <c r="E283" s="1" t="s">
        <v>2275</v>
      </c>
      <c r="F283" s="1" t="s">
        <v>112</v>
      </c>
      <c r="G283" s="1">
        <v>234468</v>
      </c>
    </row>
    <row r="284" spans="1:7" x14ac:dyDescent="0.25">
      <c r="A284" s="1" t="str">
        <f t="shared" si="4"/>
        <v>09 Cromolyn 1</v>
      </c>
      <c r="B2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4" s="1" t="s">
        <v>2276</v>
      </c>
      <c r="D284" s="1" t="s">
        <v>2277</v>
      </c>
      <c r="E284" s="1" t="s">
        <v>2278</v>
      </c>
      <c r="F284" s="1" t="s">
        <v>112</v>
      </c>
      <c r="G284" s="1">
        <v>642516</v>
      </c>
    </row>
    <row r="285" spans="1:7" x14ac:dyDescent="0.25">
      <c r="A285" s="1" t="str">
        <f t="shared" si="4"/>
        <v>09 Cromolyn 1</v>
      </c>
      <c r="B2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5" s="1" t="s">
        <v>2279</v>
      </c>
      <c r="D285" s="1" t="s">
        <v>442</v>
      </c>
      <c r="E285" s="1" t="s">
        <v>2280</v>
      </c>
      <c r="F285" s="1" t="s">
        <v>112</v>
      </c>
      <c r="G285" s="1">
        <v>77392</v>
      </c>
    </row>
    <row r="286" spans="1:7" x14ac:dyDescent="0.25">
      <c r="A286" s="1" t="str">
        <f t="shared" si="4"/>
        <v>09 Cromolyn 1</v>
      </c>
      <c r="B2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286" s="1" t="s">
        <v>2281</v>
      </c>
      <c r="D286" s="1" t="s">
        <v>2237</v>
      </c>
      <c r="E286" s="1" t="s">
        <v>2282</v>
      </c>
      <c r="F286" s="1" t="s">
        <v>112</v>
      </c>
      <c r="G286" s="1">
        <v>122512</v>
      </c>
    </row>
    <row r="287" spans="1:7" x14ac:dyDescent="0.25">
      <c r="A287" s="1" t="str">
        <f t="shared" si="4"/>
        <v>09 Cromolyn 1</v>
      </c>
      <c r="B2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7" s="1" t="s">
        <v>2283</v>
      </c>
      <c r="D287" s="1" t="s">
        <v>977</v>
      </c>
      <c r="E287" s="1" t="s">
        <v>2284</v>
      </c>
      <c r="F287" s="1" t="s">
        <v>112</v>
      </c>
      <c r="G287" s="1">
        <v>514921</v>
      </c>
    </row>
    <row r="288" spans="1:7" x14ac:dyDescent="0.25">
      <c r="A288" s="1" t="str">
        <f t="shared" si="4"/>
        <v>09 Cromolyn 1</v>
      </c>
      <c r="B2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8" s="1" t="s">
        <v>2285</v>
      </c>
      <c r="D288" s="1" t="s">
        <v>990</v>
      </c>
      <c r="E288" s="1" t="s">
        <v>2286</v>
      </c>
      <c r="F288" s="1" t="s">
        <v>112</v>
      </c>
      <c r="G288" s="1">
        <v>253156</v>
      </c>
    </row>
    <row r="289" spans="1:9" x14ac:dyDescent="0.25">
      <c r="A289" s="1" t="str">
        <f t="shared" si="4"/>
        <v>09 Cromolyn 1</v>
      </c>
      <c r="B2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289" s="1" t="s">
        <v>2287</v>
      </c>
      <c r="D289" s="1" t="s">
        <v>2288</v>
      </c>
      <c r="E289" s="1" t="s">
        <v>2289</v>
      </c>
      <c r="F289" s="1" t="s">
        <v>112</v>
      </c>
      <c r="G289" s="1">
        <v>880272</v>
      </c>
    </row>
    <row r="290" spans="1:9" x14ac:dyDescent="0.25">
      <c r="A290" s="1" t="str">
        <f t="shared" si="4"/>
        <v/>
      </c>
      <c r="B2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0" s="1" t="s">
        <v>112</v>
      </c>
    </row>
    <row r="291" spans="1:9" x14ac:dyDescent="0.25">
      <c r="A291" s="1" t="str">
        <f t="shared" si="4"/>
        <v/>
      </c>
      <c r="B2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1" s="1" t="s">
        <v>235</v>
      </c>
      <c r="D291" s="1" t="s">
        <v>112</v>
      </c>
      <c r="E291" s="1" t="s">
        <v>236</v>
      </c>
      <c r="F291" s="1" t="s">
        <v>237</v>
      </c>
      <c r="G291" s="1" t="s">
        <v>238</v>
      </c>
      <c r="H291" s="1" t="s">
        <v>239</v>
      </c>
      <c r="I291" s="1" t="s">
        <v>240</v>
      </c>
    </row>
    <row r="292" spans="1:9" x14ac:dyDescent="0.25">
      <c r="A292" s="1" t="str">
        <f t="shared" si="4"/>
        <v>09 Cromolyn 1</v>
      </c>
      <c r="B29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292" s="1" t="s">
        <v>2290</v>
      </c>
      <c r="D292" s="1" t="s">
        <v>112</v>
      </c>
      <c r="E292" s="1" t="s">
        <v>2291</v>
      </c>
      <c r="F292" s="1" t="s">
        <v>2292</v>
      </c>
      <c r="G292" s="1" t="s">
        <v>2293</v>
      </c>
      <c r="H292" s="1" t="s">
        <v>2294</v>
      </c>
      <c r="I292" s="1">
        <v>24</v>
      </c>
    </row>
    <row r="293" spans="1:9" x14ac:dyDescent="0.25">
      <c r="A293" s="1" t="str">
        <f t="shared" si="4"/>
        <v/>
      </c>
      <c r="B2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3" s="1" t="s">
        <v>112</v>
      </c>
    </row>
    <row r="294" spans="1:9" x14ac:dyDescent="0.25">
      <c r="A294" s="1" t="str">
        <f t="shared" si="4"/>
        <v/>
      </c>
      <c r="B2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4" s="1" t="s">
        <v>112</v>
      </c>
    </row>
    <row r="295" spans="1:9" x14ac:dyDescent="0.25">
      <c r="A295" s="1" t="str">
        <f t="shared" si="4"/>
        <v/>
      </c>
      <c r="B2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5" s="1" t="s">
        <v>112</v>
      </c>
    </row>
    <row r="296" spans="1:9" x14ac:dyDescent="0.25">
      <c r="A296" s="1" t="str">
        <f t="shared" si="4"/>
        <v/>
      </c>
      <c r="B2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6" s="1" t="s">
        <v>112</v>
      </c>
    </row>
    <row r="297" spans="1:9" x14ac:dyDescent="0.25">
      <c r="A297" s="1" t="str">
        <f t="shared" si="4"/>
        <v/>
      </c>
      <c r="B2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7" s="1" t="s">
        <v>112</v>
      </c>
    </row>
    <row r="298" spans="1:9" x14ac:dyDescent="0.25">
      <c r="A298" s="1" t="str">
        <f t="shared" si="4"/>
        <v/>
      </c>
      <c r="B2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298" s="1" t="s">
        <v>246</v>
      </c>
      <c r="D298" s="1" t="s">
        <v>110</v>
      </c>
      <c r="E298" s="1" t="s">
        <v>111</v>
      </c>
      <c r="F298" s="1" t="s">
        <v>112</v>
      </c>
      <c r="G298" s="1" t="s">
        <v>113</v>
      </c>
    </row>
    <row r="299" spans="1:9" x14ac:dyDescent="0.25">
      <c r="A299" s="1" t="str">
        <f t="shared" si="4"/>
        <v>10 Cromolyn 10</v>
      </c>
      <c r="B2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299" s="1" t="s">
        <v>2295</v>
      </c>
      <c r="D299" s="1" t="s">
        <v>2296</v>
      </c>
      <c r="E299" s="1" t="s">
        <v>2297</v>
      </c>
      <c r="F299" s="1" t="s">
        <v>112</v>
      </c>
      <c r="G299" s="1">
        <v>351443</v>
      </c>
    </row>
    <row r="300" spans="1:9" x14ac:dyDescent="0.25">
      <c r="A300" s="1" t="str">
        <f t="shared" si="4"/>
        <v>10 Cromolyn 10</v>
      </c>
      <c r="B3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0" s="1" t="s">
        <v>2298</v>
      </c>
      <c r="D300" s="1" t="s">
        <v>799</v>
      </c>
      <c r="E300" s="1" t="s">
        <v>2299</v>
      </c>
      <c r="F300" s="1" t="s">
        <v>112</v>
      </c>
      <c r="G300" s="1">
        <v>58920</v>
      </c>
    </row>
    <row r="301" spans="1:9" x14ac:dyDescent="0.25">
      <c r="A301" s="1" t="str">
        <f t="shared" si="4"/>
        <v>10 Cromolyn 10</v>
      </c>
      <c r="B3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01" s="1" t="s">
        <v>2300</v>
      </c>
      <c r="D301" s="1" t="s">
        <v>1780</v>
      </c>
      <c r="E301" s="1" t="s">
        <v>2301</v>
      </c>
      <c r="F301" s="1" t="s">
        <v>112</v>
      </c>
      <c r="G301" s="1">
        <v>39561</v>
      </c>
    </row>
    <row r="302" spans="1:9" x14ac:dyDescent="0.25">
      <c r="A302" s="1" t="str">
        <f t="shared" si="4"/>
        <v>10 Cromolyn 10</v>
      </c>
      <c r="B3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2" s="1" t="s">
        <v>2302</v>
      </c>
      <c r="D302" s="1" t="s">
        <v>2303</v>
      </c>
      <c r="E302" s="1" t="s">
        <v>2304</v>
      </c>
      <c r="F302" s="1" t="s">
        <v>112</v>
      </c>
      <c r="G302" s="1">
        <v>160169</v>
      </c>
    </row>
    <row r="303" spans="1:9" x14ac:dyDescent="0.25">
      <c r="A303" s="1" t="str">
        <f t="shared" si="4"/>
        <v>10 Cromolyn 10</v>
      </c>
      <c r="B3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3" s="1" t="s">
        <v>2305</v>
      </c>
      <c r="D303" s="1" t="s">
        <v>2306</v>
      </c>
      <c r="E303" s="1" t="s">
        <v>2307</v>
      </c>
      <c r="F303" s="1" t="s">
        <v>112</v>
      </c>
      <c r="G303" s="1">
        <v>533285</v>
      </c>
    </row>
    <row r="304" spans="1:9" x14ac:dyDescent="0.25">
      <c r="A304" s="1" t="str">
        <f t="shared" si="4"/>
        <v>10 Cromolyn 10</v>
      </c>
      <c r="B3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04" s="1" t="s">
        <v>2308</v>
      </c>
      <c r="D304" s="1" t="s">
        <v>311</v>
      </c>
      <c r="E304" s="1" t="s">
        <v>2309</v>
      </c>
      <c r="F304" s="1" t="s">
        <v>112</v>
      </c>
      <c r="G304" s="1">
        <v>117991</v>
      </c>
    </row>
    <row r="305" spans="1:7" x14ac:dyDescent="0.25">
      <c r="A305" s="1" t="str">
        <f t="shared" si="4"/>
        <v>10 Cromolyn 10</v>
      </c>
      <c r="B3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5" s="1" t="s">
        <v>2310</v>
      </c>
      <c r="D305" s="1" t="s">
        <v>1771</v>
      </c>
      <c r="E305" s="1" t="s">
        <v>808</v>
      </c>
      <c r="F305" s="1" t="s">
        <v>112</v>
      </c>
      <c r="G305" s="1">
        <v>14860</v>
      </c>
    </row>
    <row r="306" spans="1:7" x14ac:dyDescent="0.25">
      <c r="A306" s="1" t="str">
        <f t="shared" si="4"/>
        <v>10 Cromolyn 10</v>
      </c>
      <c r="B3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6" s="1" t="s">
        <v>2311</v>
      </c>
      <c r="D306" s="1" t="s">
        <v>2312</v>
      </c>
      <c r="E306" s="1" t="s">
        <v>2313</v>
      </c>
      <c r="F306" s="1" t="s">
        <v>112</v>
      </c>
      <c r="G306" s="1">
        <v>29287</v>
      </c>
    </row>
    <row r="307" spans="1:7" x14ac:dyDescent="0.25">
      <c r="A307" s="1" t="str">
        <f t="shared" si="4"/>
        <v>10 Cromolyn 10</v>
      </c>
      <c r="B3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07" s="1" t="s">
        <v>2314</v>
      </c>
      <c r="D307" s="1" t="s">
        <v>1478</v>
      </c>
      <c r="E307" s="1" t="s">
        <v>2315</v>
      </c>
      <c r="F307" s="1" t="s">
        <v>112</v>
      </c>
      <c r="G307" s="1">
        <v>5429</v>
      </c>
    </row>
    <row r="308" spans="1:7" x14ac:dyDescent="0.25">
      <c r="A308" s="1" t="str">
        <f t="shared" si="4"/>
        <v>10 Cromolyn 10</v>
      </c>
      <c r="B3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8" s="1" t="s">
        <v>2316</v>
      </c>
      <c r="D308" s="1" t="s">
        <v>2317</v>
      </c>
      <c r="E308" s="1" t="s">
        <v>2318</v>
      </c>
      <c r="F308" s="1" t="s">
        <v>112</v>
      </c>
      <c r="G308" s="1">
        <v>675437</v>
      </c>
    </row>
    <row r="309" spans="1:7" x14ac:dyDescent="0.25">
      <c r="A309" s="1" t="str">
        <f t="shared" si="4"/>
        <v>10 Cromolyn 10</v>
      </c>
      <c r="B3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09" s="1" t="s">
        <v>2319</v>
      </c>
      <c r="D309" s="1" t="s">
        <v>2265</v>
      </c>
      <c r="E309" s="1" t="s">
        <v>2320</v>
      </c>
      <c r="F309" s="1" t="s">
        <v>112</v>
      </c>
      <c r="G309" s="1">
        <v>51284</v>
      </c>
    </row>
    <row r="310" spans="1:7" x14ac:dyDescent="0.25">
      <c r="A310" s="1" t="str">
        <f t="shared" si="4"/>
        <v>10 Cromolyn 10</v>
      </c>
      <c r="B3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10" s="1" t="s">
        <v>2321</v>
      </c>
      <c r="D310" s="1" t="s">
        <v>2322</v>
      </c>
      <c r="E310" s="1" t="s">
        <v>2323</v>
      </c>
      <c r="F310" s="1" t="s">
        <v>112</v>
      </c>
      <c r="G310" s="1">
        <v>518901</v>
      </c>
    </row>
    <row r="311" spans="1:7" x14ac:dyDescent="0.25">
      <c r="A311" s="1" t="str">
        <f t="shared" si="4"/>
        <v>10 Cromolyn 10</v>
      </c>
      <c r="B3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1" s="1" t="s">
        <v>2324</v>
      </c>
      <c r="D311" s="1" t="s">
        <v>1815</v>
      </c>
      <c r="E311" s="1" t="s">
        <v>2325</v>
      </c>
      <c r="F311" s="1" t="s">
        <v>112</v>
      </c>
      <c r="G311" s="1">
        <v>256812</v>
      </c>
    </row>
    <row r="312" spans="1:7" x14ac:dyDescent="0.25">
      <c r="A312" s="1" t="str">
        <f t="shared" si="4"/>
        <v>10 Cromolyn 10</v>
      </c>
      <c r="B3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2" s="1" t="s">
        <v>2326</v>
      </c>
      <c r="D312" s="1" t="s">
        <v>863</v>
      </c>
      <c r="E312" s="1" t="s">
        <v>2327</v>
      </c>
      <c r="F312" s="1" t="s">
        <v>112</v>
      </c>
      <c r="G312" s="1">
        <v>64479</v>
      </c>
    </row>
    <row r="313" spans="1:7" x14ac:dyDescent="0.25">
      <c r="A313" s="1" t="str">
        <f t="shared" si="4"/>
        <v>10 Cromolyn 10</v>
      </c>
      <c r="B3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13" s="1" t="s">
        <v>2328</v>
      </c>
      <c r="D313" s="1" t="s">
        <v>2329</v>
      </c>
      <c r="E313" s="1" t="s">
        <v>2330</v>
      </c>
      <c r="F313" s="1" t="s">
        <v>112</v>
      </c>
      <c r="G313" s="1">
        <v>811943</v>
      </c>
    </row>
    <row r="314" spans="1:7" x14ac:dyDescent="0.25">
      <c r="A314" s="1" t="str">
        <f t="shared" si="4"/>
        <v>10 Cromolyn 10</v>
      </c>
      <c r="B3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4" s="1" t="s">
        <v>2331</v>
      </c>
      <c r="D314" s="1" t="s">
        <v>2332</v>
      </c>
      <c r="E314" s="1" t="s">
        <v>2333</v>
      </c>
      <c r="F314" s="1" t="s">
        <v>112</v>
      </c>
      <c r="G314" s="1">
        <v>517993</v>
      </c>
    </row>
    <row r="315" spans="1:7" x14ac:dyDescent="0.25">
      <c r="A315" s="1" t="str">
        <f t="shared" si="4"/>
        <v>10 Cromolyn 10</v>
      </c>
      <c r="B3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5" s="1" t="s">
        <v>2334</v>
      </c>
      <c r="D315" s="1" t="s">
        <v>1881</v>
      </c>
      <c r="E315" s="1" t="s">
        <v>2335</v>
      </c>
      <c r="F315" s="1" t="s">
        <v>112</v>
      </c>
      <c r="G315" s="1">
        <v>50225</v>
      </c>
    </row>
    <row r="316" spans="1:7" x14ac:dyDescent="0.25">
      <c r="A316" s="1" t="str">
        <f t="shared" si="4"/>
        <v>10 Cromolyn 10</v>
      </c>
      <c r="B3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16" s="1" t="s">
        <v>2336</v>
      </c>
      <c r="D316" s="1" t="s">
        <v>2337</v>
      </c>
      <c r="E316" s="1" t="s">
        <v>2338</v>
      </c>
      <c r="F316" s="1" t="s">
        <v>112</v>
      </c>
      <c r="G316" s="1">
        <v>33937</v>
      </c>
    </row>
    <row r="317" spans="1:7" x14ac:dyDescent="0.25">
      <c r="A317" s="1" t="str">
        <f t="shared" si="4"/>
        <v>10 Cromolyn 10</v>
      </c>
      <c r="B3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7" s="1" t="s">
        <v>2339</v>
      </c>
      <c r="D317" s="1" t="s">
        <v>436</v>
      </c>
      <c r="E317" s="1" t="s">
        <v>2340</v>
      </c>
      <c r="F317" s="1" t="s">
        <v>112</v>
      </c>
      <c r="G317" s="1">
        <v>669251</v>
      </c>
    </row>
    <row r="318" spans="1:7" x14ac:dyDescent="0.25">
      <c r="A318" s="1" t="str">
        <f t="shared" si="4"/>
        <v>10 Cromolyn 10</v>
      </c>
      <c r="B3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8" s="1" t="s">
        <v>2341</v>
      </c>
      <c r="D318" s="1" t="s">
        <v>2182</v>
      </c>
      <c r="E318" s="1" t="s">
        <v>2342</v>
      </c>
      <c r="F318" s="1" t="s">
        <v>112</v>
      </c>
      <c r="G318" s="1">
        <v>634599</v>
      </c>
    </row>
    <row r="319" spans="1:7" x14ac:dyDescent="0.25">
      <c r="A319" s="1" t="str">
        <f t="shared" si="4"/>
        <v>10 Cromolyn 10</v>
      </c>
      <c r="B3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19" s="1" t="s">
        <v>2343</v>
      </c>
      <c r="D319" s="1" t="s">
        <v>359</v>
      </c>
      <c r="E319" s="1" t="s">
        <v>2344</v>
      </c>
      <c r="F319" s="1" t="s">
        <v>112</v>
      </c>
      <c r="G319" s="1">
        <v>675437</v>
      </c>
    </row>
    <row r="320" spans="1:7" x14ac:dyDescent="0.25">
      <c r="A320" s="1" t="str">
        <f t="shared" si="4"/>
        <v>10 Cromolyn 10</v>
      </c>
      <c r="B3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0" s="1" t="s">
        <v>2345</v>
      </c>
    </row>
    <row r="321" spans="1:9" x14ac:dyDescent="0.25">
      <c r="A321" s="1" t="str">
        <f t="shared" si="4"/>
        <v>10 Cromolyn 10</v>
      </c>
      <c r="B3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1" s="1" t="s">
        <v>2346</v>
      </c>
      <c r="D321" s="1" t="s">
        <v>1707</v>
      </c>
      <c r="E321" s="1" t="s">
        <v>2347</v>
      </c>
      <c r="F321" s="1" t="s">
        <v>112</v>
      </c>
      <c r="G321" s="1">
        <v>525736</v>
      </c>
    </row>
    <row r="322" spans="1:9" x14ac:dyDescent="0.25">
      <c r="A322" s="1" t="str">
        <f t="shared" ref="A322:A385" si="5">IFERROR(LEFT(RIGHT(C322,LEN(C322)-SEARCH("@",C322)),SEARCH("/",RIGHT(C322,LEN(C322)-SEARCH("@",C322)-1))),"")</f>
        <v>10 Cromolyn 10</v>
      </c>
      <c r="B3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22" s="1" t="s">
        <v>2348</v>
      </c>
      <c r="D322" s="1" t="s">
        <v>2349</v>
      </c>
      <c r="E322" s="1" t="s">
        <v>2350</v>
      </c>
      <c r="F322" s="1" t="s">
        <v>112</v>
      </c>
      <c r="G322" s="1">
        <v>438222</v>
      </c>
    </row>
    <row r="323" spans="1:9" x14ac:dyDescent="0.25">
      <c r="A323" s="1" t="str">
        <f t="shared" si="5"/>
        <v/>
      </c>
      <c r="B3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3" s="1" t="s">
        <v>112</v>
      </c>
    </row>
    <row r="324" spans="1:9" x14ac:dyDescent="0.25">
      <c r="A324" s="1" t="str">
        <f t="shared" si="5"/>
        <v/>
      </c>
      <c r="B3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4" s="1" t="s">
        <v>235</v>
      </c>
      <c r="D324" s="1" t="s">
        <v>112</v>
      </c>
      <c r="E324" s="1" t="s">
        <v>236</v>
      </c>
      <c r="F324" s="1" t="s">
        <v>237</v>
      </c>
      <c r="G324" s="1" t="s">
        <v>238</v>
      </c>
      <c r="H324" s="1" t="s">
        <v>239</v>
      </c>
      <c r="I324" s="1" t="s">
        <v>240</v>
      </c>
    </row>
    <row r="325" spans="1:9" x14ac:dyDescent="0.25">
      <c r="A325" s="1" t="str">
        <f t="shared" si="5"/>
        <v>10 Cromolyn 10</v>
      </c>
      <c r="B32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25" s="1" t="s">
        <v>2351</v>
      </c>
      <c r="D325" s="1" t="s">
        <v>112</v>
      </c>
      <c r="E325" s="1" t="s">
        <v>2352</v>
      </c>
      <c r="F325" s="1" t="s">
        <v>2353</v>
      </c>
      <c r="G325" s="1" t="s">
        <v>2354</v>
      </c>
      <c r="H325" s="1" t="s">
        <v>2355</v>
      </c>
      <c r="I325" s="1">
        <v>24</v>
      </c>
    </row>
    <row r="326" spans="1:9" x14ac:dyDescent="0.25">
      <c r="A326" s="1" t="str">
        <f t="shared" si="5"/>
        <v/>
      </c>
      <c r="B3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6" s="1" t="s">
        <v>112</v>
      </c>
    </row>
    <row r="327" spans="1:9" x14ac:dyDescent="0.25">
      <c r="A327" s="1" t="str">
        <f t="shared" si="5"/>
        <v/>
      </c>
      <c r="B3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7" s="1" t="s">
        <v>112</v>
      </c>
    </row>
    <row r="328" spans="1:9" x14ac:dyDescent="0.25">
      <c r="A328" s="1" t="str">
        <f t="shared" si="5"/>
        <v/>
      </c>
      <c r="B3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8" s="1" t="s">
        <v>112</v>
      </c>
    </row>
    <row r="329" spans="1:9" x14ac:dyDescent="0.25">
      <c r="A329" s="1" t="str">
        <f t="shared" si="5"/>
        <v/>
      </c>
      <c r="B3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29" s="1" t="s">
        <v>112</v>
      </c>
    </row>
    <row r="330" spans="1:9" x14ac:dyDescent="0.25">
      <c r="A330" s="1" t="str">
        <f t="shared" si="5"/>
        <v/>
      </c>
      <c r="B3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0" s="1" t="s">
        <v>112</v>
      </c>
    </row>
    <row r="331" spans="1:9" x14ac:dyDescent="0.25">
      <c r="A331" s="1" t="str">
        <f t="shared" si="5"/>
        <v/>
      </c>
      <c r="B3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31" s="1" t="s">
        <v>246</v>
      </c>
      <c r="D331" s="1" t="s">
        <v>110</v>
      </c>
      <c r="E331" s="1" t="s">
        <v>111</v>
      </c>
      <c r="F331" s="1" t="s">
        <v>112</v>
      </c>
      <c r="G331" s="1" t="s">
        <v>113</v>
      </c>
    </row>
    <row r="332" spans="1:9" x14ac:dyDescent="0.25">
      <c r="A332" s="1" t="str">
        <f t="shared" si="5"/>
        <v>11 Cromolyn 100</v>
      </c>
      <c r="B3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2" s="1" t="s">
        <v>2356</v>
      </c>
      <c r="D332" s="1" t="s">
        <v>371</v>
      </c>
      <c r="E332" s="1" t="s">
        <v>2357</v>
      </c>
      <c r="F332" s="1" t="s">
        <v>112</v>
      </c>
      <c r="G332" s="1">
        <v>351983</v>
      </c>
    </row>
    <row r="333" spans="1:9" x14ac:dyDescent="0.25">
      <c r="A333" s="1" t="str">
        <f t="shared" si="5"/>
        <v>11 Cromolyn 100</v>
      </c>
      <c r="B3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3" s="1" t="s">
        <v>2358</v>
      </c>
      <c r="D333" s="1" t="s">
        <v>2359</v>
      </c>
      <c r="E333" s="1" t="s">
        <v>2360</v>
      </c>
      <c r="F333" s="1" t="s">
        <v>112</v>
      </c>
      <c r="G333" s="1">
        <v>343375</v>
      </c>
    </row>
    <row r="334" spans="1:9" x14ac:dyDescent="0.25">
      <c r="A334" s="1" t="str">
        <f t="shared" si="5"/>
        <v>11 Cromolyn 100</v>
      </c>
      <c r="B3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34" s="1" t="s">
        <v>2361</v>
      </c>
      <c r="D334" s="1" t="s">
        <v>2362</v>
      </c>
      <c r="E334" s="1" t="s">
        <v>2363</v>
      </c>
      <c r="F334" s="1" t="s">
        <v>112</v>
      </c>
      <c r="G334" s="1">
        <v>379583</v>
      </c>
    </row>
    <row r="335" spans="1:9" x14ac:dyDescent="0.25">
      <c r="A335" s="1" t="str">
        <f t="shared" si="5"/>
        <v>11 Cromolyn 100</v>
      </c>
      <c r="B3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5" s="1" t="s">
        <v>2364</v>
      </c>
      <c r="D335" s="1" t="s">
        <v>2365</v>
      </c>
      <c r="E335" s="1" t="s">
        <v>2366</v>
      </c>
      <c r="F335" s="1" t="s">
        <v>112</v>
      </c>
      <c r="G335" s="1">
        <v>906855</v>
      </c>
    </row>
    <row r="336" spans="1:9" x14ac:dyDescent="0.25">
      <c r="A336" s="1" t="str">
        <f t="shared" si="5"/>
        <v>11 Cromolyn 100</v>
      </c>
      <c r="B3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6" s="1" t="s">
        <v>2367</v>
      </c>
      <c r="D336" s="1" t="s">
        <v>2368</v>
      </c>
      <c r="E336" s="1" t="s">
        <v>2369</v>
      </c>
      <c r="F336" s="1" t="s">
        <v>112</v>
      </c>
      <c r="G336" s="1">
        <v>126578</v>
      </c>
    </row>
    <row r="337" spans="1:7" x14ac:dyDescent="0.25">
      <c r="A337" s="1" t="str">
        <f t="shared" si="5"/>
        <v>11 Cromolyn 100</v>
      </c>
      <c r="B3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37" s="1" t="s">
        <v>2370</v>
      </c>
    </row>
    <row r="338" spans="1:7" x14ac:dyDescent="0.25">
      <c r="A338" s="1" t="str">
        <f t="shared" si="5"/>
        <v>11 Cromolyn 100</v>
      </c>
      <c r="B3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8" s="1" t="s">
        <v>2371</v>
      </c>
      <c r="D338" s="1" t="s">
        <v>2349</v>
      </c>
      <c r="E338" s="1" t="s">
        <v>2372</v>
      </c>
      <c r="F338" s="1" t="s">
        <v>112</v>
      </c>
      <c r="G338" s="1">
        <v>410881</v>
      </c>
    </row>
    <row r="339" spans="1:7" x14ac:dyDescent="0.25">
      <c r="A339" s="1" t="str">
        <f t="shared" si="5"/>
        <v>11 Cromolyn 100</v>
      </c>
      <c r="B3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39" s="1" t="s">
        <v>2373</v>
      </c>
      <c r="D339" s="1" t="s">
        <v>915</v>
      </c>
      <c r="E339" s="1" t="s">
        <v>2374</v>
      </c>
      <c r="F339" s="1" t="s">
        <v>112</v>
      </c>
      <c r="G339" s="1">
        <v>466470</v>
      </c>
    </row>
    <row r="340" spans="1:7" x14ac:dyDescent="0.25">
      <c r="A340" s="1" t="str">
        <f t="shared" si="5"/>
        <v>11 Cromolyn 100</v>
      </c>
      <c r="B3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40" s="1" t="s">
        <v>2375</v>
      </c>
      <c r="D340" s="1" t="s">
        <v>2376</v>
      </c>
      <c r="E340" s="1" t="s">
        <v>2377</v>
      </c>
      <c r="F340" s="1" t="s">
        <v>112</v>
      </c>
      <c r="G340" s="1">
        <v>112713</v>
      </c>
    </row>
    <row r="341" spans="1:7" x14ac:dyDescent="0.25">
      <c r="A341" s="1" t="str">
        <f t="shared" si="5"/>
        <v>11 Cromolyn 100</v>
      </c>
      <c r="B3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1" s="1" t="s">
        <v>2378</v>
      </c>
      <c r="D341" s="1" t="s">
        <v>2379</v>
      </c>
      <c r="E341" s="1" t="s">
        <v>2380</v>
      </c>
      <c r="F341" s="1" t="s">
        <v>112</v>
      </c>
      <c r="G341" s="1">
        <v>83405</v>
      </c>
    </row>
    <row r="342" spans="1:7" x14ac:dyDescent="0.25">
      <c r="A342" s="1" t="str">
        <f t="shared" si="5"/>
        <v>11 Cromolyn 100</v>
      </c>
      <c r="B3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2" s="1" t="s">
        <v>2381</v>
      </c>
      <c r="D342" s="1" t="s">
        <v>439</v>
      </c>
      <c r="E342" s="1">
        <v>65</v>
      </c>
      <c r="F342" s="1" t="s">
        <v>112</v>
      </c>
      <c r="G342" s="1">
        <v>77327</v>
      </c>
    </row>
    <row r="343" spans="1:7" x14ac:dyDescent="0.25">
      <c r="A343" s="1" t="str">
        <f t="shared" si="5"/>
        <v>11 Cromolyn 100</v>
      </c>
      <c r="B3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43" s="1" t="s">
        <v>2382</v>
      </c>
      <c r="D343" s="1" t="s">
        <v>1825</v>
      </c>
      <c r="E343" s="1" t="s">
        <v>2383</v>
      </c>
      <c r="F343" s="1" t="s">
        <v>112</v>
      </c>
      <c r="G343" s="1">
        <v>85719</v>
      </c>
    </row>
    <row r="344" spans="1:7" x14ac:dyDescent="0.25">
      <c r="A344" s="1" t="str">
        <f t="shared" si="5"/>
        <v>11 Cromolyn 100</v>
      </c>
      <c r="B3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4" s="1" t="s">
        <v>2384</v>
      </c>
      <c r="D344" s="1" t="s">
        <v>2385</v>
      </c>
      <c r="E344" s="1" t="s">
        <v>2386</v>
      </c>
      <c r="F344" s="1" t="s">
        <v>112</v>
      </c>
      <c r="G344" s="1">
        <v>862968</v>
      </c>
    </row>
    <row r="345" spans="1:7" x14ac:dyDescent="0.25">
      <c r="A345" s="1" t="str">
        <f t="shared" si="5"/>
        <v>11 Cromolyn 100</v>
      </c>
      <c r="B3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5" s="1" t="s">
        <v>2387</v>
      </c>
      <c r="D345" s="1" t="s">
        <v>1282</v>
      </c>
      <c r="E345" s="1" t="s">
        <v>2388</v>
      </c>
      <c r="F345" s="1" t="s">
        <v>112</v>
      </c>
      <c r="G345" s="1">
        <v>415662</v>
      </c>
    </row>
    <row r="346" spans="1:7" x14ac:dyDescent="0.25">
      <c r="A346" s="1" t="str">
        <f t="shared" si="5"/>
        <v>11 Cromolyn 100</v>
      </c>
      <c r="B3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46" s="1" t="s">
        <v>2389</v>
      </c>
      <c r="D346" s="1" t="s">
        <v>2390</v>
      </c>
      <c r="E346" s="1" t="s">
        <v>2391</v>
      </c>
      <c r="F346" s="1" t="s">
        <v>112</v>
      </c>
      <c r="G346" s="1">
        <v>776016</v>
      </c>
    </row>
    <row r="347" spans="1:7" x14ac:dyDescent="0.25">
      <c r="A347" s="1" t="str">
        <f t="shared" si="5"/>
        <v>11 Cromolyn 100</v>
      </c>
      <c r="B3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7" s="1" t="s">
        <v>2392</v>
      </c>
      <c r="D347" s="1" t="s">
        <v>2393</v>
      </c>
      <c r="E347" s="1" t="s">
        <v>2394</v>
      </c>
      <c r="F347" s="1" t="s">
        <v>112</v>
      </c>
      <c r="G347" s="1">
        <v>751942</v>
      </c>
    </row>
    <row r="348" spans="1:7" x14ac:dyDescent="0.25">
      <c r="A348" s="1" t="str">
        <f t="shared" si="5"/>
        <v>11 Cromolyn 100</v>
      </c>
      <c r="B3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8" s="1" t="s">
        <v>2395</v>
      </c>
      <c r="D348" s="1" t="s">
        <v>1799</v>
      </c>
      <c r="E348" s="1" t="s">
        <v>2396</v>
      </c>
      <c r="F348" s="1" t="s">
        <v>112</v>
      </c>
      <c r="G348" s="1">
        <v>794315</v>
      </c>
    </row>
    <row r="349" spans="1:7" x14ac:dyDescent="0.25">
      <c r="A349" s="1" t="str">
        <f t="shared" si="5"/>
        <v>11 Cromolyn 100</v>
      </c>
      <c r="B3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49" s="1" t="s">
        <v>2397</v>
      </c>
      <c r="D349" s="1" t="s">
        <v>2385</v>
      </c>
      <c r="E349" s="1" t="s">
        <v>2398</v>
      </c>
      <c r="F349" s="1" t="s">
        <v>112</v>
      </c>
      <c r="G349" s="1">
        <v>763968</v>
      </c>
    </row>
    <row r="350" spans="1:7" x14ac:dyDescent="0.25">
      <c r="A350" s="1" t="str">
        <f t="shared" si="5"/>
        <v>11 Cromolyn 100</v>
      </c>
      <c r="B3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0" s="1" t="s">
        <v>2399</v>
      </c>
      <c r="D350" s="1" t="s">
        <v>915</v>
      </c>
      <c r="E350" s="1" t="s">
        <v>2400</v>
      </c>
      <c r="F350" s="1" t="s">
        <v>112</v>
      </c>
      <c r="G350" s="1">
        <v>449318</v>
      </c>
    </row>
    <row r="351" spans="1:7" x14ac:dyDescent="0.25">
      <c r="A351" s="1" t="str">
        <f t="shared" si="5"/>
        <v>11 Cromolyn 100</v>
      </c>
      <c r="B3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1" s="1" t="s">
        <v>2401</v>
      </c>
      <c r="D351" s="1" t="s">
        <v>248</v>
      </c>
      <c r="E351" s="1" t="s">
        <v>2402</v>
      </c>
      <c r="F351" s="1" t="s">
        <v>112</v>
      </c>
      <c r="G351" s="1">
        <v>169600</v>
      </c>
    </row>
    <row r="352" spans="1:7" x14ac:dyDescent="0.25">
      <c r="A352" s="1" t="str">
        <f t="shared" si="5"/>
        <v>11 Cromolyn 100</v>
      </c>
      <c r="B3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52" s="1" t="s">
        <v>2403</v>
      </c>
      <c r="D352" s="1" t="s">
        <v>201</v>
      </c>
      <c r="E352" s="1" t="s">
        <v>2404</v>
      </c>
      <c r="F352" s="1" t="s">
        <v>112</v>
      </c>
      <c r="G352" s="1">
        <v>61386</v>
      </c>
    </row>
    <row r="353" spans="1:9" x14ac:dyDescent="0.25">
      <c r="A353" s="1" t="str">
        <f t="shared" si="5"/>
        <v>11 Cromolyn 100</v>
      </c>
      <c r="B3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3" s="1" t="s">
        <v>2405</v>
      </c>
      <c r="D353" s="1" t="s">
        <v>2406</v>
      </c>
      <c r="E353" s="1" t="s">
        <v>2407</v>
      </c>
      <c r="F353" s="1" t="s">
        <v>112</v>
      </c>
      <c r="G353" s="1">
        <v>513883</v>
      </c>
    </row>
    <row r="354" spans="1:9" x14ac:dyDescent="0.25">
      <c r="A354" s="1" t="str">
        <f t="shared" si="5"/>
        <v>11 Cromolyn 100</v>
      </c>
      <c r="B3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4" s="1" t="s">
        <v>2408</v>
      </c>
      <c r="D354" s="1" t="s">
        <v>1845</v>
      </c>
      <c r="E354" s="1" t="s">
        <v>1846</v>
      </c>
      <c r="F354" s="1" t="s">
        <v>112</v>
      </c>
      <c r="G354" s="1">
        <v>27513</v>
      </c>
    </row>
    <row r="355" spans="1:9" x14ac:dyDescent="0.25">
      <c r="A355" s="1" t="str">
        <f t="shared" si="5"/>
        <v>11 Cromolyn 100</v>
      </c>
      <c r="B3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55" s="1" t="s">
        <v>2409</v>
      </c>
      <c r="D355" s="1" t="s">
        <v>2410</v>
      </c>
      <c r="E355" s="1">
        <v>66</v>
      </c>
      <c r="F355" s="1" t="s">
        <v>112</v>
      </c>
      <c r="G355" s="1">
        <v>172736</v>
      </c>
    </row>
    <row r="356" spans="1:9" x14ac:dyDescent="0.25">
      <c r="A356" s="1" t="str">
        <f t="shared" si="5"/>
        <v/>
      </c>
      <c r="B3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6" s="1" t="s">
        <v>112</v>
      </c>
    </row>
    <row r="357" spans="1:9" x14ac:dyDescent="0.25">
      <c r="A357" s="1" t="str">
        <f t="shared" si="5"/>
        <v/>
      </c>
      <c r="B3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7" s="1" t="s">
        <v>235</v>
      </c>
      <c r="D357" s="1" t="s">
        <v>112</v>
      </c>
      <c r="E357" s="1" t="s">
        <v>236</v>
      </c>
      <c r="F357" s="1" t="s">
        <v>237</v>
      </c>
      <c r="G357" s="1" t="s">
        <v>238</v>
      </c>
      <c r="H357" s="1" t="s">
        <v>239</v>
      </c>
      <c r="I357" s="1" t="s">
        <v>240</v>
      </c>
    </row>
    <row r="358" spans="1:9" x14ac:dyDescent="0.25">
      <c r="A358" s="1" t="str">
        <f t="shared" si="5"/>
        <v>11 Cromolyn 100</v>
      </c>
      <c r="B35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58" s="1" t="s">
        <v>2411</v>
      </c>
      <c r="D358" s="1" t="s">
        <v>112</v>
      </c>
      <c r="E358" s="1" t="s">
        <v>2412</v>
      </c>
      <c r="F358" s="1" t="s">
        <v>2413</v>
      </c>
      <c r="G358" s="1" t="s">
        <v>2414</v>
      </c>
      <c r="H358" s="1" t="s">
        <v>2415</v>
      </c>
      <c r="I358" s="1">
        <v>24</v>
      </c>
    </row>
    <row r="359" spans="1:9" x14ac:dyDescent="0.25">
      <c r="A359" s="1" t="str">
        <f t="shared" si="5"/>
        <v/>
      </c>
      <c r="B3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59" s="1" t="s">
        <v>112</v>
      </c>
    </row>
    <row r="360" spans="1:9" x14ac:dyDescent="0.25">
      <c r="A360" s="1" t="str">
        <f t="shared" si="5"/>
        <v/>
      </c>
      <c r="B3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0" s="1" t="s">
        <v>112</v>
      </c>
    </row>
    <row r="361" spans="1:9" x14ac:dyDescent="0.25">
      <c r="A361" s="1" t="str">
        <f t="shared" si="5"/>
        <v/>
      </c>
      <c r="B3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1" s="1" t="s">
        <v>112</v>
      </c>
    </row>
    <row r="362" spans="1:9" x14ac:dyDescent="0.25">
      <c r="A362" s="1" t="str">
        <f t="shared" si="5"/>
        <v/>
      </c>
      <c r="B3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2" s="1" t="s">
        <v>112</v>
      </c>
    </row>
    <row r="363" spans="1:9" x14ac:dyDescent="0.25">
      <c r="A363" s="1" t="str">
        <f t="shared" si="5"/>
        <v/>
      </c>
      <c r="B3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3" s="1" t="s">
        <v>112</v>
      </c>
    </row>
    <row r="364" spans="1:9" x14ac:dyDescent="0.25">
      <c r="A364" s="1" t="str">
        <f t="shared" si="5"/>
        <v/>
      </c>
      <c r="B3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64" s="1" t="s">
        <v>246</v>
      </c>
      <c r="D364" s="1" t="s">
        <v>110</v>
      </c>
      <c r="E364" s="1" t="s">
        <v>111</v>
      </c>
      <c r="F364" s="1" t="s">
        <v>112</v>
      </c>
      <c r="G364" s="1" t="s">
        <v>113</v>
      </c>
    </row>
    <row r="365" spans="1:9" x14ac:dyDescent="0.25">
      <c r="A365" s="1" t="str">
        <f t="shared" si="5"/>
        <v>12 Cromolyn 1000</v>
      </c>
      <c r="B3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5" s="1" t="s">
        <v>2416</v>
      </c>
      <c r="D365" s="1" t="s">
        <v>2417</v>
      </c>
      <c r="E365" s="1" t="s">
        <v>2418</v>
      </c>
      <c r="F365" s="1" t="s">
        <v>112</v>
      </c>
      <c r="G365" s="1">
        <v>448669</v>
      </c>
    </row>
    <row r="366" spans="1:9" x14ac:dyDescent="0.25">
      <c r="A366" s="1" t="str">
        <f t="shared" si="5"/>
        <v>12 Cromolyn 1000</v>
      </c>
      <c r="B3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6" s="1" t="s">
        <v>2419</v>
      </c>
      <c r="D366" s="1" t="s">
        <v>802</v>
      </c>
      <c r="E366" s="1">
        <v>63</v>
      </c>
      <c r="F366" s="1" t="s">
        <v>112</v>
      </c>
      <c r="G366" s="1">
        <v>24528</v>
      </c>
    </row>
    <row r="367" spans="1:9" x14ac:dyDescent="0.25">
      <c r="A367" s="1" t="str">
        <f t="shared" si="5"/>
        <v>12 Cromolyn 1000</v>
      </c>
      <c r="B3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67" s="1" t="s">
        <v>2420</v>
      </c>
      <c r="D367" s="1" t="s">
        <v>871</v>
      </c>
      <c r="E367" s="1" t="s">
        <v>2421</v>
      </c>
      <c r="F367" s="1" t="s">
        <v>112</v>
      </c>
      <c r="G367" s="1">
        <v>20289</v>
      </c>
    </row>
    <row r="368" spans="1:9" x14ac:dyDescent="0.25">
      <c r="A368" s="1" t="str">
        <f t="shared" si="5"/>
        <v>12 Cromolyn 1000</v>
      </c>
      <c r="B3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8" s="1" t="s">
        <v>2422</v>
      </c>
      <c r="D368" s="1" t="s">
        <v>2423</v>
      </c>
      <c r="E368" s="1" t="s">
        <v>2424</v>
      </c>
      <c r="F368" s="1" t="s">
        <v>112</v>
      </c>
      <c r="G368" s="1">
        <v>1096874</v>
      </c>
    </row>
    <row r="369" spans="1:7" x14ac:dyDescent="0.25">
      <c r="A369" s="1" t="str">
        <f t="shared" si="5"/>
        <v>12 Cromolyn 1000</v>
      </c>
      <c r="B3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69" s="1" t="s">
        <v>2425</v>
      </c>
    </row>
    <row r="370" spans="1:7" x14ac:dyDescent="0.25">
      <c r="A370" s="1" t="str">
        <f t="shared" si="5"/>
        <v>12 Cromolyn 1000</v>
      </c>
      <c r="B3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370" s="1" t="s">
        <v>2426</v>
      </c>
    </row>
    <row r="371" spans="1:7" x14ac:dyDescent="0.25">
      <c r="A371" s="1" t="str">
        <f t="shared" si="5"/>
        <v>12 Cromolyn 1000</v>
      </c>
      <c r="B3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1" s="1" t="s">
        <v>2427</v>
      </c>
      <c r="D371" s="1" t="s">
        <v>2428</v>
      </c>
      <c r="E371" s="1" t="s">
        <v>2429</v>
      </c>
      <c r="F371" s="1" t="s">
        <v>112</v>
      </c>
      <c r="G371" s="1">
        <v>519572</v>
      </c>
    </row>
    <row r="372" spans="1:7" x14ac:dyDescent="0.25">
      <c r="A372" s="1" t="str">
        <f t="shared" si="5"/>
        <v>12 Cromolyn 1000</v>
      </c>
      <c r="B3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2" s="1" t="s">
        <v>2430</v>
      </c>
      <c r="D372" s="1" t="s">
        <v>699</v>
      </c>
      <c r="E372" s="1" t="s">
        <v>2431</v>
      </c>
      <c r="F372" s="1" t="s">
        <v>112</v>
      </c>
      <c r="G372" s="1">
        <v>251058</v>
      </c>
    </row>
    <row r="373" spans="1:7" x14ac:dyDescent="0.25">
      <c r="A373" s="1" t="str">
        <f t="shared" si="5"/>
        <v>12 Cromolyn 1000</v>
      </c>
      <c r="B3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373" s="1" t="s">
        <v>2432</v>
      </c>
      <c r="D373" s="1" t="s">
        <v>957</v>
      </c>
      <c r="E373" s="1" t="s">
        <v>2433</v>
      </c>
      <c r="F373" s="1" t="s">
        <v>112</v>
      </c>
      <c r="G373" s="1">
        <v>224086</v>
      </c>
    </row>
    <row r="374" spans="1:7" x14ac:dyDescent="0.25">
      <c r="A374" s="1" t="str">
        <f t="shared" si="5"/>
        <v>12 Cromolyn 1000</v>
      </c>
      <c r="B3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4" s="1" t="s">
        <v>2434</v>
      </c>
      <c r="D374" s="1" t="s">
        <v>340</v>
      </c>
      <c r="E374" s="1">
        <v>63</v>
      </c>
      <c r="F374" s="1" t="s">
        <v>112</v>
      </c>
      <c r="G374" s="1">
        <v>148532</v>
      </c>
    </row>
    <row r="375" spans="1:7" x14ac:dyDescent="0.25">
      <c r="A375" s="1" t="str">
        <f t="shared" si="5"/>
        <v>12 Cromolyn 1000</v>
      </c>
      <c r="B3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5" s="1" t="s">
        <v>2435</v>
      </c>
      <c r="D375" s="1" t="s">
        <v>2436</v>
      </c>
      <c r="E375" s="1" t="s">
        <v>2437</v>
      </c>
      <c r="F375" s="1" t="s">
        <v>112</v>
      </c>
      <c r="G375" s="1">
        <v>534713</v>
      </c>
    </row>
    <row r="376" spans="1:7" x14ac:dyDescent="0.25">
      <c r="A376" s="1" t="str">
        <f t="shared" si="5"/>
        <v>12 Cromolyn 1000</v>
      </c>
      <c r="B3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376" s="1" t="s">
        <v>2438</v>
      </c>
      <c r="D376" s="1" t="s">
        <v>1298</v>
      </c>
      <c r="E376" s="1" t="s">
        <v>2439</v>
      </c>
      <c r="F376" s="1" t="s">
        <v>112</v>
      </c>
      <c r="G376" s="1">
        <v>496731</v>
      </c>
    </row>
    <row r="377" spans="1:7" x14ac:dyDescent="0.25">
      <c r="A377" s="1" t="str">
        <f t="shared" si="5"/>
        <v>12 Cromolyn 1000</v>
      </c>
      <c r="B3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7" s="1" t="s">
        <v>2440</v>
      </c>
      <c r="D377" s="1" t="s">
        <v>2179</v>
      </c>
      <c r="E377" s="1" t="s">
        <v>2441</v>
      </c>
      <c r="F377" s="1" t="s">
        <v>112</v>
      </c>
      <c r="G377" s="1">
        <v>479794</v>
      </c>
    </row>
    <row r="378" spans="1:7" x14ac:dyDescent="0.25">
      <c r="A378" s="1" t="str">
        <f t="shared" si="5"/>
        <v>12 Cromolyn 1000</v>
      </c>
      <c r="B3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8" s="1" t="s">
        <v>2442</v>
      </c>
      <c r="D378" s="1" t="s">
        <v>2443</v>
      </c>
      <c r="E378" s="1" t="s">
        <v>2444</v>
      </c>
      <c r="F378" s="1" t="s">
        <v>112</v>
      </c>
      <c r="G378" s="1">
        <v>567828</v>
      </c>
    </row>
    <row r="379" spans="1:7" x14ac:dyDescent="0.25">
      <c r="A379" s="1" t="str">
        <f t="shared" si="5"/>
        <v>12 Cromolyn 1000</v>
      </c>
      <c r="B3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379" s="1" t="s">
        <v>2445</v>
      </c>
      <c r="D379" s="1" t="s">
        <v>356</v>
      </c>
      <c r="E379" s="1" t="s">
        <v>2446</v>
      </c>
      <c r="F379" s="1" t="s">
        <v>112</v>
      </c>
      <c r="G379" s="1">
        <v>755770</v>
      </c>
    </row>
    <row r="380" spans="1:7" x14ac:dyDescent="0.25">
      <c r="A380" s="1" t="str">
        <f t="shared" si="5"/>
        <v>12 Cromolyn 1000</v>
      </c>
      <c r="B3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0" s="1" t="s">
        <v>2447</v>
      </c>
      <c r="D380" s="1" t="s">
        <v>2448</v>
      </c>
      <c r="E380" s="1" t="s">
        <v>2449</v>
      </c>
      <c r="F380" s="1" t="s">
        <v>112</v>
      </c>
      <c r="G380" s="1">
        <v>54875</v>
      </c>
    </row>
    <row r="381" spans="1:7" x14ac:dyDescent="0.25">
      <c r="A381" s="1" t="str">
        <f t="shared" si="5"/>
        <v>12 Cromolyn 1000</v>
      </c>
      <c r="B3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1" s="1" t="s">
        <v>2450</v>
      </c>
    </row>
    <row r="382" spans="1:7" x14ac:dyDescent="0.25">
      <c r="A382" s="1" t="str">
        <f t="shared" si="5"/>
        <v>12 Cromolyn 1000</v>
      </c>
      <c r="B3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382" s="1" t="s">
        <v>2451</v>
      </c>
      <c r="D382" s="1" t="s">
        <v>767</v>
      </c>
      <c r="E382" s="1" t="s">
        <v>2452</v>
      </c>
      <c r="F382" s="1" t="s">
        <v>112</v>
      </c>
      <c r="G382" s="1">
        <v>61429</v>
      </c>
    </row>
    <row r="383" spans="1:7" x14ac:dyDescent="0.25">
      <c r="A383" s="1" t="str">
        <f t="shared" si="5"/>
        <v>12 Cromolyn 1000</v>
      </c>
      <c r="B3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3" s="1" t="s">
        <v>2453</v>
      </c>
      <c r="D383" s="1" t="s">
        <v>279</v>
      </c>
      <c r="E383" s="1" t="s">
        <v>2454</v>
      </c>
      <c r="F383" s="1" t="s">
        <v>112</v>
      </c>
      <c r="G383" s="1">
        <v>349496</v>
      </c>
    </row>
    <row r="384" spans="1:7" x14ac:dyDescent="0.25">
      <c r="A384" s="1" t="str">
        <f t="shared" si="5"/>
        <v>12 Cromolyn 1000</v>
      </c>
      <c r="B3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4" s="1" t="s">
        <v>2455</v>
      </c>
      <c r="D384" s="1" t="s">
        <v>2456</v>
      </c>
      <c r="E384" s="1" t="s">
        <v>2457</v>
      </c>
      <c r="F384" s="1" t="s">
        <v>112</v>
      </c>
      <c r="G384" s="1">
        <v>198779</v>
      </c>
    </row>
    <row r="385" spans="1:9" x14ac:dyDescent="0.25">
      <c r="A385" s="1" t="str">
        <f t="shared" si="5"/>
        <v>12 Cromolyn 1000</v>
      </c>
      <c r="B3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385" s="1" t="s">
        <v>2458</v>
      </c>
      <c r="D385" s="1" t="s">
        <v>1385</v>
      </c>
      <c r="E385" s="1" t="s">
        <v>2459</v>
      </c>
      <c r="F385" s="1" t="s">
        <v>112</v>
      </c>
      <c r="G385" s="1">
        <v>151972</v>
      </c>
    </row>
    <row r="386" spans="1:9" x14ac:dyDescent="0.25">
      <c r="A386" s="1" t="str">
        <f t="shared" ref="A386:A449" si="6">IFERROR(LEFT(RIGHT(C386,LEN(C386)-SEARCH("@",C386)),SEARCH("/",RIGHT(C386,LEN(C386)-SEARCH("@",C386)-1))),"")</f>
        <v>12 Cromolyn 1000</v>
      </c>
      <c r="B3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6" s="1" t="s">
        <v>2460</v>
      </c>
      <c r="D386" s="1" t="s">
        <v>852</v>
      </c>
      <c r="E386" s="1" t="s">
        <v>2461</v>
      </c>
      <c r="F386" s="1" t="s">
        <v>112</v>
      </c>
      <c r="G386" s="1">
        <v>158569</v>
      </c>
    </row>
    <row r="387" spans="1:9" x14ac:dyDescent="0.25">
      <c r="A387" s="1" t="str">
        <f t="shared" si="6"/>
        <v>12 Cromolyn 1000</v>
      </c>
      <c r="B3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7" s="1" t="s">
        <v>2462</v>
      </c>
      <c r="D387" s="1" t="s">
        <v>2224</v>
      </c>
      <c r="E387" s="1" t="s">
        <v>2463</v>
      </c>
      <c r="F387" s="1" t="s">
        <v>112</v>
      </c>
      <c r="G387" s="1">
        <v>389316</v>
      </c>
    </row>
    <row r="388" spans="1:9" x14ac:dyDescent="0.25">
      <c r="A388" s="1" t="str">
        <f t="shared" si="6"/>
        <v>12 Cromolyn 1000</v>
      </c>
      <c r="B3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388" s="1" t="s">
        <v>2464</v>
      </c>
      <c r="D388" s="1" t="s">
        <v>286</v>
      </c>
      <c r="E388" s="1" t="s">
        <v>2465</v>
      </c>
      <c r="F388" s="1" t="s">
        <v>112</v>
      </c>
      <c r="G388" s="1">
        <v>612926</v>
      </c>
    </row>
    <row r="389" spans="1:9" x14ac:dyDescent="0.25">
      <c r="A389" s="1" t="str">
        <f t="shared" si="6"/>
        <v/>
      </c>
      <c r="B3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89" s="1" t="s">
        <v>112</v>
      </c>
    </row>
    <row r="390" spans="1:9" x14ac:dyDescent="0.25">
      <c r="A390" s="1" t="str">
        <f t="shared" si="6"/>
        <v/>
      </c>
      <c r="B3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0" s="1" t="s">
        <v>235</v>
      </c>
      <c r="D390" s="1" t="s">
        <v>112</v>
      </c>
      <c r="E390" s="1" t="s">
        <v>236</v>
      </c>
      <c r="F390" s="1" t="s">
        <v>237</v>
      </c>
      <c r="G390" s="1" t="s">
        <v>238</v>
      </c>
      <c r="H390" s="1" t="s">
        <v>239</v>
      </c>
      <c r="I390" s="1" t="s">
        <v>240</v>
      </c>
    </row>
    <row r="391" spans="1:9" x14ac:dyDescent="0.25">
      <c r="A391" s="1" t="str">
        <f t="shared" si="6"/>
        <v>12 Cromolyn 1000</v>
      </c>
      <c r="B39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391" s="1" t="s">
        <v>2466</v>
      </c>
      <c r="D391" s="1" t="s">
        <v>112</v>
      </c>
      <c r="E391" s="1" t="s">
        <v>2467</v>
      </c>
      <c r="F391" s="1" t="s">
        <v>2468</v>
      </c>
      <c r="G391" s="1" t="s">
        <v>2469</v>
      </c>
      <c r="H391" s="1" t="s">
        <v>2470</v>
      </c>
      <c r="I391" s="1">
        <v>24</v>
      </c>
    </row>
    <row r="392" spans="1:9" x14ac:dyDescent="0.25">
      <c r="A392" s="1" t="str">
        <f t="shared" si="6"/>
        <v/>
      </c>
      <c r="B3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2" s="1" t="s">
        <v>112</v>
      </c>
    </row>
    <row r="393" spans="1:9" x14ac:dyDescent="0.25">
      <c r="A393" s="1" t="str">
        <f t="shared" si="6"/>
        <v/>
      </c>
      <c r="B3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3" s="1" t="s">
        <v>112</v>
      </c>
    </row>
    <row r="394" spans="1:9" x14ac:dyDescent="0.25">
      <c r="A394" s="1" t="str">
        <f t="shared" si="6"/>
        <v/>
      </c>
      <c r="B3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4" s="1" t="s">
        <v>112</v>
      </c>
    </row>
    <row r="395" spans="1:9" x14ac:dyDescent="0.25">
      <c r="A395" s="1" t="str">
        <f t="shared" si="6"/>
        <v/>
      </c>
      <c r="B3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5" s="1" t="s">
        <v>112</v>
      </c>
    </row>
    <row r="396" spans="1:9" x14ac:dyDescent="0.25">
      <c r="A396" s="1" t="str">
        <f t="shared" si="6"/>
        <v/>
      </c>
      <c r="B3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6" s="1" t="s">
        <v>112</v>
      </c>
    </row>
    <row r="397" spans="1:9" x14ac:dyDescent="0.25">
      <c r="A397" s="1" t="str">
        <f t="shared" si="6"/>
        <v/>
      </c>
      <c r="B3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397" s="1" t="s">
        <v>246</v>
      </c>
      <c r="D397" s="1" t="s">
        <v>110</v>
      </c>
      <c r="E397" s="1" t="s">
        <v>111</v>
      </c>
      <c r="F397" s="1" t="s">
        <v>112</v>
      </c>
      <c r="G397" s="1" t="s">
        <v>113</v>
      </c>
    </row>
    <row r="398" spans="1:9" x14ac:dyDescent="0.25">
      <c r="A398" s="1" t="str">
        <f t="shared" si="6"/>
        <v>13 Testo 30</v>
      </c>
      <c r="B3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8" s="1" t="s">
        <v>2471</v>
      </c>
      <c r="D398" s="1" t="s">
        <v>2472</v>
      </c>
      <c r="E398" s="1" t="s">
        <v>2473</v>
      </c>
      <c r="F398" s="1" t="s">
        <v>112</v>
      </c>
      <c r="G398" s="1">
        <v>4784554</v>
      </c>
    </row>
    <row r="399" spans="1:9" x14ac:dyDescent="0.25">
      <c r="A399" s="1" t="str">
        <f t="shared" si="6"/>
        <v>13 Testo 30</v>
      </c>
      <c r="B3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399" s="1" t="s">
        <v>2474</v>
      </c>
      <c r="D399" s="1" t="s">
        <v>2475</v>
      </c>
      <c r="E399" s="1" t="s">
        <v>2476</v>
      </c>
      <c r="F399" s="1" t="s">
        <v>112</v>
      </c>
      <c r="G399" s="1">
        <v>4872199</v>
      </c>
    </row>
    <row r="400" spans="1:9" x14ac:dyDescent="0.25">
      <c r="A400" s="1" t="str">
        <f t="shared" si="6"/>
        <v>13 Testo 30</v>
      </c>
      <c r="B4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00" s="1" t="s">
        <v>2477</v>
      </c>
      <c r="D400" s="1" t="s">
        <v>2478</v>
      </c>
      <c r="E400" s="1" t="s">
        <v>2479</v>
      </c>
      <c r="F400" s="1" t="s">
        <v>112</v>
      </c>
      <c r="G400" s="1">
        <v>4446263</v>
      </c>
    </row>
    <row r="401" spans="1:7" x14ac:dyDescent="0.25">
      <c r="A401" s="1" t="str">
        <f t="shared" si="6"/>
        <v>13 Testo 30</v>
      </c>
      <c r="B4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1" s="1" t="s">
        <v>2480</v>
      </c>
      <c r="D401" s="1" t="s">
        <v>2481</v>
      </c>
      <c r="E401" s="1" t="s">
        <v>2482</v>
      </c>
      <c r="F401" s="1" t="s">
        <v>112</v>
      </c>
      <c r="G401" s="1">
        <v>3610246</v>
      </c>
    </row>
    <row r="402" spans="1:7" x14ac:dyDescent="0.25">
      <c r="A402" s="1" t="str">
        <f t="shared" si="6"/>
        <v>13 Testo 30</v>
      </c>
      <c r="B4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2" s="1" t="s">
        <v>2483</v>
      </c>
      <c r="D402" s="1" t="s">
        <v>2484</v>
      </c>
      <c r="E402" s="1" t="s">
        <v>2485</v>
      </c>
      <c r="F402" s="1" t="s">
        <v>112</v>
      </c>
      <c r="G402" s="1">
        <v>3262199</v>
      </c>
    </row>
    <row r="403" spans="1:7" x14ac:dyDescent="0.25">
      <c r="A403" s="1" t="str">
        <f t="shared" si="6"/>
        <v>13 Testo 30</v>
      </c>
      <c r="B4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03" s="1" t="s">
        <v>2486</v>
      </c>
      <c r="D403" s="1" t="s">
        <v>2487</v>
      </c>
      <c r="E403" s="1" t="s">
        <v>2488</v>
      </c>
      <c r="F403" s="1" t="s">
        <v>112</v>
      </c>
      <c r="G403" s="1">
        <v>3437250</v>
      </c>
    </row>
    <row r="404" spans="1:7" x14ac:dyDescent="0.25">
      <c r="A404" s="1" t="str">
        <f t="shared" si="6"/>
        <v>13 Testo 30</v>
      </c>
      <c r="B4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4" s="1" t="s">
        <v>2489</v>
      </c>
      <c r="D404" s="1" t="s">
        <v>2490</v>
      </c>
      <c r="E404" s="1" t="s">
        <v>2491</v>
      </c>
      <c r="F404" s="1" t="s">
        <v>112</v>
      </c>
      <c r="G404" s="1">
        <v>2923086</v>
      </c>
    </row>
    <row r="405" spans="1:7" x14ac:dyDescent="0.25">
      <c r="A405" s="1" t="str">
        <f t="shared" si="6"/>
        <v>13 Testo 30</v>
      </c>
      <c r="B4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5" s="1" t="s">
        <v>2492</v>
      </c>
      <c r="D405" s="1" t="s">
        <v>2493</v>
      </c>
      <c r="E405" s="1" t="s">
        <v>2494</v>
      </c>
      <c r="F405" s="1" t="s">
        <v>112</v>
      </c>
      <c r="G405" s="1">
        <v>3262567</v>
      </c>
    </row>
    <row r="406" spans="1:7" x14ac:dyDescent="0.25">
      <c r="A406" s="1" t="str">
        <f t="shared" si="6"/>
        <v>13 Testo 30</v>
      </c>
      <c r="B4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06" s="1" t="s">
        <v>2495</v>
      </c>
      <c r="D406" s="1" t="s">
        <v>2496</v>
      </c>
      <c r="E406" s="1" t="s">
        <v>2497</v>
      </c>
      <c r="F406" s="1" t="s">
        <v>112</v>
      </c>
      <c r="G406" s="1">
        <v>2336223</v>
      </c>
    </row>
    <row r="407" spans="1:7" x14ac:dyDescent="0.25">
      <c r="A407" s="1" t="str">
        <f t="shared" si="6"/>
        <v>13 Testo 30</v>
      </c>
      <c r="B4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7" s="1" t="s">
        <v>2498</v>
      </c>
      <c r="D407" s="1" t="s">
        <v>2499</v>
      </c>
      <c r="E407" s="1" t="s">
        <v>2500</v>
      </c>
      <c r="F407" s="1" t="s">
        <v>112</v>
      </c>
      <c r="G407" s="1">
        <v>3749564</v>
      </c>
    </row>
    <row r="408" spans="1:7" x14ac:dyDescent="0.25">
      <c r="A408" s="1" t="str">
        <f t="shared" si="6"/>
        <v>13 Testo 30</v>
      </c>
      <c r="B4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8" s="1" t="s">
        <v>2501</v>
      </c>
      <c r="D408" s="1" t="s">
        <v>2502</v>
      </c>
      <c r="E408" s="1" t="s">
        <v>2503</v>
      </c>
      <c r="F408" s="1" t="s">
        <v>112</v>
      </c>
      <c r="G408" s="1">
        <v>3625516</v>
      </c>
    </row>
    <row r="409" spans="1:7" x14ac:dyDescent="0.25">
      <c r="A409" s="1" t="str">
        <f t="shared" si="6"/>
        <v>13 Testo 30</v>
      </c>
      <c r="B4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09" s="1" t="s">
        <v>2504</v>
      </c>
      <c r="D409" s="1" t="s">
        <v>2505</v>
      </c>
      <c r="E409" s="1" t="s">
        <v>2506</v>
      </c>
      <c r="F409" s="1" t="s">
        <v>112</v>
      </c>
      <c r="G409" s="1">
        <v>3940231</v>
      </c>
    </row>
    <row r="410" spans="1:7" x14ac:dyDescent="0.25">
      <c r="A410" s="1" t="str">
        <f t="shared" si="6"/>
        <v>13 Testo 30</v>
      </c>
      <c r="B4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0" s="1" t="s">
        <v>2507</v>
      </c>
      <c r="D410" s="1" t="s">
        <v>2508</v>
      </c>
      <c r="E410" s="1" t="s">
        <v>2509</v>
      </c>
      <c r="F410" s="1" t="s">
        <v>112</v>
      </c>
      <c r="G410" s="1">
        <v>2348596</v>
      </c>
    </row>
    <row r="411" spans="1:7" x14ac:dyDescent="0.25">
      <c r="A411" s="1" t="str">
        <f t="shared" si="6"/>
        <v>13 Testo 30</v>
      </c>
      <c r="B4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1" s="1" t="s">
        <v>2510</v>
      </c>
      <c r="D411" s="1" t="s">
        <v>2511</v>
      </c>
      <c r="E411" s="1" t="s">
        <v>2512</v>
      </c>
      <c r="F411" s="1" t="s">
        <v>112</v>
      </c>
      <c r="G411" s="1">
        <v>2107163</v>
      </c>
    </row>
    <row r="412" spans="1:7" x14ac:dyDescent="0.25">
      <c r="A412" s="1" t="str">
        <f t="shared" si="6"/>
        <v>13 Testo 30</v>
      </c>
      <c r="B4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12" s="1" t="s">
        <v>2513</v>
      </c>
      <c r="D412" s="1" t="s">
        <v>1657</v>
      </c>
      <c r="E412" s="1" t="s">
        <v>2514</v>
      </c>
      <c r="F412" s="1" t="s">
        <v>112</v>
      </c>
      <c r="G412" s="1">
        <v>2303021</v>
      </c>
    </row>
    <row r="413" spans="1:7" x14ac:dyDescent="0.25">
      <c r="A413" s="1" t="str">
        <f t="shared" si="6"/>
        <v>13 Testo 30</v>
      </c>
      <c r="B4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3" s="1" t="s">
        <v>2515</v>
      </c>
      <c r="D413" s="1" t="s">
        <v>2516</v>
      </c>
      <c r="E413" s="1" t="s">
        <v>2517</v>
      </c>
      <c r="F413" s="1" t="s">
        <v>112</v>
      </c>
      <c r="G413" s="1">
        <v>4502803</v>
      </c>
    </row>
    <row r="414" spans="1:7" x14ac:dyDescent="0.25">
      <c r="A414" s="1" t="str">
        <f t="shared" si="6"/>
        <v>13 Testo 30</v>
      </c>
      <c r="B4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4" s="1" t="s">
        <v>2518</v>
      </c>
      <c r="D414" s="1" t="s">
        <v>565</v>
      </c>
      <c r="E414" s="1" t="s">
        <v>2519</v>
      </c>
      <c r="F414" s="1" t="s">
        <v>112</v>
      </c>
      <c r="G414" s="1">
        <v>4053118</v>
      </c>
    </row>
    <row r="415" spans="1:7" x14ac:dyDescent="0.25">
      <c r="A415" s="1" t="str">
        <f t="shared" si="6"/>
        <v>13 Testo 30</v>
      </c>
      <c r="B4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15" s="1" t="s">
        <v>2520</v>
      </c>
      <c r="D415" s="1" t="s">
        <v>2521</v>
      </c>
      <c r="E415" s="1" t="s">
        <v>2522</v>
      </c>
      <c r="F415" s="1" t="s">
        <v>112</v>
      </c>
      <c r="G415" s="1">
        <v>4064257</v>
      </c>
    </row>
    <row r="416" spans="1:7" x14ac:dyDescent="0.25">
      <c r="A416" s="1" t="str">
        <f t="shared" si="6"/>
        <v>13 Testo 30</v>
      </c>
      <c r="B4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6" s="1" t="s">
        <v>2523</v>
      </c>
      <c r="D416" s="1" t="s">
        <v>2524</v>
      </c>
      <c r="E416" s="1" t="s">
        <v>2525</v>
      </c>
      <c r="F416" s="1" t="s">
        <v>112</v>
      </c>
      <c r="G416" s="1">
        <v>3514858</v>
      </c>
    </row>
    <row r="417" spans="1:9" x14ac:dyDescent="0.25">
      <c r="A417" s="1" t="str">
        <f t="shared" si="6"/>
        <v>13 Testo 30</v>
      </c>
      <c r="B4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7" s="1" t="s">
        <v>2526</v>
      </c>
      <c r="D417" s="1" t="s">
        <v>2527</v>
      </c>
      <c r="E417" s="1" t="s">
        <v>2528</v>
      </c>
      <c r="F417" s="1" t="s">
        <v>112</v>
      </c>
      <c r="G417" s="1">
        <v>3405454</v>
      </c>
    </row>
    <row r="418" spans="1:9" x14ac:dyDescent="0.25">
      <c r="A418" s="1" t="str">
        <f t="shared" si="6"/>
        <v>13 Testo 30</v>
      </c>
      <c r="B4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18" s="1" t="s">
        <v>2529</v>
      </c>
      <c r="D418" s="1" t="s">
        <v>2530</v>
      </c>
      <c r="E418" s="1" t="s">
        <v>2531</v>
      </c>
      <c r="F418" s="1" t="s">
        <v>112</v>
      </c>
      <c r="G418" s="1">
        <v>3526754</v>
      </c>
    </row>
    <row r="419" spans="1:9" x14ac:dyDescent="0.25">
      <c r="A419" s="1" t="str">
        <f t="shared" si="6"/>
        <v>13 Testo 30</v>
      </c>
      <c r="B4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19" s="1" t="s">
        <v>2532</v>
      </c>
      <c r="D419" s="1" t="s">
        <v>2533</v>
      </c>
      <c r="E419" s="1" t="s">
        <v>2534</v>
      </c>
      <c r="F419" s="1" t="s">
        <v>112</v>
      </c>
      <c r="G419" s="1">
        <v>3503870</v>
      </c>
    </row>
    <row r="420" spans="1:9" x14ac:dyDescent="0.25">
      <c r="A420" s="1" t="str">
        <f t="shared" si="6"/>
        <v>13 Testo 30</v>
      </c>
      <c r="B4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0" s="1" t="s">
        <v>2535</v>
      </c>
      <c r="D420" s="1" t="s">
        <v>2536</v>
      </c>
      <c r="E420" s="1" t="s">
        <v>2537</v>
      </c>
      <c r="F420" s="1" t="s">
        <v>112</v>
      </c>
      <c r="G420" s="1">
        <v>3565320</v>
      </c>
    </row>
    <row r="421" spans="1:9" x14ac:dyDescent="0.25">
      <c r="A421" s="1" t="str">
        <f t="shared" si="6"/>
        <v>13 Testo 30</v>
      </c>
      <c r="B42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21" s="1" t="s">
        <v>2538</v>
      </c>
      <c r="D421" s="1" t="s">
        <v>2539</v>
      </c>
      <c r="E421" s="1" t="s">
        <v>2540</v>
      </c>
      <c r="F421" s="1" t="s">
        <v>112</v>
      </c>
      <c r="G421" s="1">
        <v>3853431</v>
      </c>
    </row>
    <row r="422" spans="1:9" x14ac:dyDescent="0.25">
      <c r="A422" s="1" t="str">
        <f t="shared" si="6"/>
        <v/>
      </c>
      <c r="B4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2" s="1" t="s">
        <v>112</v>
      </c>
    </row>
    <row r="423" spans="1:9" x14ac:dyDescent="0.25">
      <c r="A423" s="1" t="str">
        <f t="shared" si="6"/>
        <v/>
      </c>
      <c r="B4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3" s="1" t="s">
        <v>235</v>
      </c>
      <c r="D423" s="1" t="s">
        <v>112</v>
      </c>
      <c r="E423" s="1" t="s">
        <v>236</v>
      </c>
      <c r="F423" s="1" t="s">
        <v>237</v>
      </c>
      <c r="G423" s="1" t="s">
        <v>238</v>
      </c>
      <c r="H423" s="1" t="s">
        <v>239</v>
      </c>
      <c r="I423" s="1" t="s">
        <v>240</v>
      </c>
    </row>
    <row r="424" spans="1:9" x14ac:dyDescent="0.25">
      <c r="A424" s="1" t="str">
        <f t="shared" si="6"/>
        <v>13 Testo 30</v>
      </c>
      <c r="B42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24" s="1" t="s">
        <v>2541</v>
      </c>
      <c r="D424" s="1" t="s">
        <v>112</v>
      </c>
      <c r="E424" s="1" t="s">
        <v>2542</v>
      </c>
      <c r="F424" s="1" t="s">
        <v>2543</v>
      </c>
      <c r="G424" s="1" t="s">
        <v>2544</v>
      </c>
      <c r="H424" s="1" t="s">
        <v>2545</v>
      </c>
      <c r="I424" s="1">
        <v>24</v>
      </c>
    </row>
    <row r="425" spans="1:9" x14ac:dyDescent="0.25">
      <c r="A425" s="1" t="str">
        <f t="shared" si="6"/>
        <v/>
      </c>
      <c r="B4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5" s="1" t="s">
        <v>112</v>
      </c>
    </row>
    <row r="426" spans="1:9" x14ac:dyDescent="0.25">
      <c r="A426" s="1" t="str">
        <f t="shared" si="6"/>
        <v/>
      </c>
      <c r="B4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6" s="1" t="s">
        <v>112</v>
      </c>
    </row>
    <row r="427" spans="1:9" x14ac:dyDescent="0.25">
      <c r="A427" s="1" t="str">
        <f t="shared" si="6"/>
        <v/>
      </c>
      <c r="B4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7" s="1" t="s">
        <v>112</v>
      </c>
    </row>
    <row r="428" spans="1:9" x14ac:dyDescent="0.25">
      <c r="A428" s="1" t="str">
        <f t="shared" si="6"/>
        <v/>
      </c>
      <c r="B4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8" s="1" t="s">
        <v>112</v>
      </c>
    </row>
    <row r="429" spans="1:9" x14ac:dyDescent="0.25">
      <c r="A429" s="1" t="str">
        <f t="shared" si="6"/>
        <v/>
      </c>
      <c r="B4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29" s="1" t="s">
        <v>112</v>
      </c>
    </row>
    <row r="430" spans="1:9" x14ac:dyDescent="0.25">
      <c r="A430" s="1" t="str">
        <f t="shared" si="6"/>
        <v/>
      </c>
      <c r="B4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30" s="1" t="s">
        <v>246</v>
      </c>
      <c r="D430" s="1" t="s">
        <v>110</v>
      </c>
      <c r="E430" s="1" t="s">
        <v>111</v>
      </c>
      <c r="F430" s="1" t="s">
        <v>112</v>
      </c>
      <c r="G430" s="1" t="s">
        <v>113</v>
      </c>
    </row>
    <row r="431" spans="1:9" x14ac:dyDescent="0.25">
      <c r="A431" s="1" t="str">
        <f t="shared" si="6"/>
        <v>14 Testo 30</v>
      </c>
      <c r="B4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1" s="1" t="s">
        <v>2546</v>
      </c>
      <c r="D431" s="1" t="s">
        <v>2547</v>
      </c>
      <c r="E431" s="1" t="s">
        <v>2548</v>
      </c>
      <c r="F431" s="1" t="s">
        <v>112</v>
      </c>
      <c r="G431" s="1">
        <v>3996361</v>
      </c>
    </row>
    <row r="432" spans="1:9" x14ac:dyDescent="0.25">
      <c r="A432" s="1" t="str">
        <f t="shared" si="6"/>
        <v>14 Testo 30</v>
      </c>
      <c r="B4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2" s="1" t="s">
        <v>2549</v>
      </c>
      <c r="D432" s="1" t="s">
        <v>2550</v>
      </c>
      <c r="E432" s="1" t="s">
        <v>2551</v>
      </c>
      <c r="F432" s="1" t="s">
        <v>112</v>
      </c>
      <c r="G432" s="1">
        <v>3566791</v>
      </c>
    </row>
    <row r="433" spans="1:7" x14ac:dyDescent="0.25">
      <c r="A433" s="1" t="str">
        <f t="shared" si="6"/>
        <v>14 Testo 30</v>
      </c>
      <c r="B4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33" s="1" t="s">
        <v>2552</v>
      </c>
      <c r="D433" s="1" t="s">
        <v>2553</v>
      </c>
      <c r="E433" s="1" t="s">
        <v>2554</v>
      </c>
      <c r="F433" s="1" t="s">
        <v>112</v>
      </c>
      <c r="G433" s="1">
        <v>3821527</v>
      </c>
    </row>
    <row r="434" spans="1:7" x14ac:dyDescent="0.25">
      <c r="A434" s="1" t="str">
        <f t="shared" si="6"/>
        <v>14 Testo 30</v>
      </c>
      <c r="B4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4" s="1" t="s">
        <v>2555</v>
      </c>
      <c r="D434" s="1" t="s">
        <v>2556</v>
      </c>
      <c r="E434" s="1" t="s">
        <v>2557</v>
      </c>
      <c r="F434" s="1" t="s">
        <v>112</v>
      </c>
      <c r="G434" s="1">
        <v>1995228</v>
      </c>
    </row>
    <row r="435" spans="1:7" x14ac:dyDescent="0.25">
      <c r="A435" s="1" t="str">
        <f t="shared" si="6"/>
        <v>14 Testo 30</v>
      </c>
      <c r="B4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5" s="1" t="s">
        <v>2558</v>
      </c>
      <c r="D435" s="1" t="s">
        <v>1484</v>
      </c>
      <c r="E435" s="1" t="s">
        <v>2559</v>
      </c>
      <c r="F435" s="1" t="s">
        <v>112</v>
      </c>
      <c r="G435" s="1">
        <v>2432087</v>
      </c>
    </row>
    <row r="436" spans="1:7" x14ac:dyDescent="0.25">
      <c r="A436" s="1" t="str">
        <f t="shared" si="6"/>
        <v>14 Testo 30</v>
      </c>
      <c r="B4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36" s="1" t="s">
        <v>2560</v>
      </c>
      <c r="D436" s="1" t="s">
        <v>2561</v>
      </c>
      <c r="E436" s="1" t="s">
        <v>2562</v>
      </c>
      <c r="F436" s="1" t="s">
        <v>112</v>
      </c>
      <c r="G436" s="1">
        <v>2199111</v>
      </c>
    </row>
    <row r="437" spans="1:7" x14ac:dyDescent="0.25">
      <c r="A437" s="1" t="str">
        <f t="shared" si="6"/>
        <v>14 Testo 30</v>
      </c>
      <c r="B4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7" s="1" t="s">
        <v>2563</v>
      </c>
      <c r="D437" s="1" t="s">
        <v>2564</v>
      </c>
      <c r="E437" s="1" t="s">
        <v>2565</v>
      </c>
      <c r="F437" s="1" t="s">
        <v>112</v>
      </c>
      <c r="G437" s="1">
        <v>3637975</v>
      </c>
    </row>
    <row r="438" spans="1:7" x14ac:dyDescent="0.25">
      <c r="A438" s="1" t="str">
        <f t="shared" si="6"/>
        <v>14 Testo 30</v>
      </c>
      <c r="B4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8" s="1" t="s">
        <v>2566</v>
      </c>
      <c r="D438" s="1" t="s">
        <v>2567</v>
      </c>
      <c r="E438" s="1" t="s">
        <v>2568</v>
      </c>
      <c r="F438" s="1" t="s">
        <v>112</v>
      </c>
      <c r="G438" s="1">
        <v>3642691</v>
      </c>
    </row>
    <row r="439" spans="1:7" x14ac:dyDescent="0.25">
      <c r="A439" s="1" t="str">
        <f t="shared" si="6"/>
        <v>14 Testo 30</v>
      </c>
      <c r="B4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39" s="1" t="s">
        <v>2569</v>
      </c>
      <c r="D439" s="1" t="s">
        <v>2570</v>
      </c>
      <c r="E439" s="1">
        <v>78</v>
      </c>
      <c r="F439" s="1" t="s">
        <v>112</v>
      </c>
      <c r="G439" s="1">
        <v>3300030</v>
      </c>
    </row>
    <row r="440" spans="1:7" x14ac:dyDescent="0.25">
      <c r="A440" s="1" t="str">
        <f t="shared" si="6"/>
        <v>14 Testo 30</v>
      </c>
      <c r="B4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0" s="1" t="s">
        <v>2571</v>
      </c>
      <c r="D440" s="1" t="s">
        <v>2502</v>
      </c>
      <c r="E440" s="1" t="s">
        <v>2572</v>
      </c>
      <c r="F440" s="1" t="s">
        <v>112</v>
      </c>
      <c r="G440" s="1">
        <v>3684912</v>
      </c>
    </row>
    <row r="441" spans="1:7" x14ac:dyDescent="0.25">
      <c r="A441" s="1" t="str">
        <f t="shared" si="6"/>
        <v>14 Testo 30</v>
      </c>
      <c r="B4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1" s="1" t="s">
        <v>2573</v>
      </c>
      <c r="D441" s="1" t="s">
        <v>2547</v>
      </c>
      <c r="E441" s="1" t="s">
        <v>2574</v>
      </c>
      <c r="F441" s="1" t="s">
        <v>112</v>
      </c>
      <c r="G441" s="1">
        <v>4194859</v>
      </c>
    </row>
    <row r="442" spans="1:7" x14ac:dyDescent="0.25">
      <c r="A442" s="1" t="str">
        <f t="shared" si="6"/>
        <v>14 Testo 30</v>
      </c>
      <c r="B4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42" s="1" t="s">
        <v>2575</v>
      </c>
      <c r="D442" s="1" t="s">
        <v>2576</v>
      </c>
      <c r="E442" s="1" t="s">
        <v>2577</v>
      </c>
      <c r="F442" s="1" t="s">
        <v>112</v>
      </c>
      <c r="G442" s="1">
        <v>4010572</v>
      </c>
    </row>
    <row r="443" spans="1:7" x14ac:dyDescent="0.25">
      <c r="A443" s="1" t="str">
        <f t="shared" si="6"/>
        <v>14 Testo 30</v>
      </c>
      <c r="B4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3" s="1" t="s">
        <v>2578</v>
      </c>
      <c r="D443" s="1" t="s">
        <v>2579</v>
      </c>
      <c r="E443" s="1" t="s">
        <v>2580</v>
      </c>
      <c r="F443" s="1" t="s">
        <v>112</v>
      </c>
      <c r="G443" s="1">
        <v>5252906</v>
      </c>
    </row>
    <row r="444" spans="1:7" x14ac:dyDescent="0.25">
      <c r="A444" s="1" t="str">
        <f t="shared" si="6"/>
        <v>14 Testo 30</v>
      </c>
      <c r="B4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4" s="1" t="s">
        <v>2581</v>
      </c>
      <c r="D444" s="1" t="s">
        <v>2582</v>
      </c>
      <c r="E444" s="1" t="s">
        <v>2583</v>
      </c>
      <c r="F444" s="1" t="s">
        <v>112</v>
      </c>
      <c r="G444" s="1">
        <v>5191651</v>
      </c>
    </row>
    <row r="445" spans="1:7" x14ac:dyDescent="0.25">
      <c r="A445" s="1" t="str">
        <f t="shared" si="6"/>
        <v>14 Testo 30</v>
      </c>
      <c r="B4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45" s="1" t="s">
        <v>2584</v>
      </c>
      <c r="D445" s="1" t="s">
        <v>2585</v>
      </c>
      <c r="E445" s="1" t="s">
        <v>2586</v>
      </c>
      <c r="F445" s="1" t="s">
        <v>112</v>
      </c>
      <c r="G445" s="1">
        <v>4735779</v>
      </c>
    </row>
    <row r="446" spans="1:7" x14ac:dyDescent="0.25">
      <c r="A446" s="1" t="str">
        <f t="shared" si="6"/>
        <v>14 Testo 30</v>
      </c>
      <c r="B4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6" s="1" t="s">
        <v>2587</v>
      </c>
      <c r="D446" s="1" t="s">
        <v>2588</v>
      </c>
      <c r="E446" s="1" t="s">
        <v>2589</v>
      </c>
      <c r="F446" s="1" t="s">
        <v>112</v>
      </c>
      <c r="G446" s="1">
        <v>2112224</v>
      </c>
    </row>
    <row r="447" spans="1:7" x14ac:dyDescent="0.25">
      <c r="A447" s="1" t="str">
        <f t="shared" si="6"/>
        <v>14 Testo 30</v>
      </c>
      <c r="B4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7" s="1" t="s">
        <v>2590</v>
      </c>
      <c r="D447" s="1" t="s">
        <v>2591</v>
      </c>
      <c r="E447" s="1" t="s">
        <v>2592</v>
      </c>
      <c r="F447" s="1" t="s">
        <v>112</v>
      </c>
      <c r="G447" s="1">
        <v>2206552</v>
      </c>
    </row>
    <row r="448" spans="1:7" x14ac:dyDescent="0.25">
      <c r="A448" s="1" t="str">
        <f t="shared" si="6"/>
        <v>14 Testo 30</v>
      </c>
      <c r="B4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48" s="1" t="s">
        <v>2593</v>
      </c>
      <c r="D448" s="1" t="s">
        <v>2594</v>
      </c>
      <c r="E448" s="1" t="s">
        <v>2595</v>
      </c>
      <c r="F448" s="1" t="s">
        <v>112</v>
      </c>
      <c r="G448" s="1">
        <v>1808843</v>
      </c>
    </row>
    <row r="449" spans="1:9" x14ac:dyDescent="0.25">
      <c r="A449" s="1" t="str">
        <f t="shared" si="6"/>
        <v>14 Testo 30</v>
      </c>
      <c r="B4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49" s="1" t="s">
        <v>2596</v>
      </c>
      <c r="D449" s="1" t="s">
        <v>2597</v>
      </c>
      <c r="E449" s="1" t="s">
        <v>2598</v>
      </c>
      <c r="F449" s="1" t="s">
        <v>112</v>
      </c>
      <c r="G449" s="1">
        <v>1818598</v>
      </c>
    </row>
    <row r="450" spans="1:9" x14ac:dyDescent="0.25">
      <c r="A450" s="1" t="str">
        <f t="shared" ref="A450:A513" si="7">IFERROR(LEFT(RIGHT(C450,LEN(C450)-SEARCH("@",C450)),SEARCH("/",RIGHT(C450,LEN(C450)-SEARCH("@",C450)-1))),"")</f>
        <v>14 Testo 30</v>
      </c>
      <c r="B4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0" s="1" t="s">
        <v>2599</v>
      </c>
      <c r="D450" s="1" t="s">
        <v>2600</v>
      </c>
      <c r="E450" s="1" t="s">
        <v>2601</v>
      </c>
      <c r="F450" s="1" t="s">
        <v>112</v>
      </c>
      <c r="G450" s="1">
        <v>1644218</v>
      </c>
    </row>
    <row r="451" spans="1:9" x14ac:dyDescent="0.25">
      <c r="A451" s="1" t="str">
        <f t="shared" si="7"/>
        <v>14 Testo 30</v>
      </c>
      <c r="B4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51" s="1" t="s">
        <v>2602</v>
      </c>
      <c r="D451" s="1" t="s">
        <v>1438</v>
      </c>
      <c r="E451" s="1" t="s">
        <v>2603</v>
      </c>
      <c r="F451" s="1" t="s">
        <v>112</v>
      </c>
      <c r="G451" s="1">
        <v>1919329</v>
      </c>
    </row>
    <row r="452" spans="1:9" x14ac:dyDescent="0.25">
      <c r="A452" s="1" t="str">
        <f t="shared" si="7"/>
        <v>14 Testo 30</v>
      </c>
      <c r="B4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2" s="1" t="s">
        <v>2604</v>
      </c>
      <c r="D452" s="1" t="s">
        <v>2536</v>
      </c>
      <c r="E452" s="1" t="s">
        <v>2605</v>
      </c>
      <c r="F452" s="1" t="s">
        <v>112</v>
      </c>
      <c r="G452" s="1">
        <v>3710760</v>
      </c>
    </row>
    <row r="453" spans="1:9" x14ac:dyDescent="0.25">
      <c r="A453" s="1" t="str">
        <f t="shared" si="7"/>
        <v>14 Testo 30</v>
      </c>
      <c r="B4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3" s="1" t="s">
        <v>2606</v>
      </c>
      <c r="D453" s="1" t="s">
        <v>2607</v>
      </c>
      <c r="E453" s="1" t="s">
        <v>2608</v>
      </c>
      <c r="F453" s="1" t="s">
        <v>112</v>
      </c>
      <c r="G453" s="1">
        <v>2929380</v>
      </c>
    </row>
    <row r="454" spans="1:9" x14ac:dyDescent="0.25">
      <c r="A454" s="1" t="str">
        <f t="shared" si="7"/>
        <v>14 Testo 30</v>
      </c>
      <c r="B45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54" s="1" t="s">
        <v>2609</v>
      </c>
      <c r="D454" s="1" t="s">
        <v>1519</v>
      </c>
      <c r="E454" s="1" t="s">
        <v>2610</v>
      </c>
      <c r="F454" s="1" t="s">
        <v>112</v>
      </c>
      <c r="G454" s="1">
        <v>3336887</v>
      </c>
    </row>
    <row r="455" spans="1:9" x14ac:dyDescent="0.25">
      <c r="A455" s="1" t="str">
        <f t="shared" si="7"/>
        <v/>
      </c>
      <c r="B4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5" s="1" t="s">
        <v>112</v>
      </c>
    </row>
    <row r="456" spans="1:9" x14ac:dyDescent="0.25">
      <c r="A456" s="1" t="str">
        <f t="shared" si="7"/>
        <v/>
      </c>
      <c r="B4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6" s="1" t="s">
        <v>235</v>
      </c>
      <c r="D456" s="1" t="s">
        <v>112</v>
      </c>
      <c r="E456" s="1" t="s">
        <v>236</v>
      </c>
      <c r="F456" s="1" t="s">
        <v>237</v>
      </c>
      <c r="G456" s="1" t="s">
        <v>238</v>
      </c>
      <c r="H456" s="1" t="s">
        <v>239</v>
      </c>
      <c r="I456" s="1" t="s">
        <v>240</v>
      </c>
    </row>
    <row r="457" spans="1:9" x14ac:dyDescent="0.25">
      <c r="A457" s="1" t="str">
        <f t="shared" si="7"/>
        <v>14 Testo 30</v>
      </c>
      <c r="B45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57" s="1" t="s">
        <v>2611</v>
      </c>
      <c r="D457" s="1" t="s">
        <v>112</v>
      </c>
      <c r="E457" s="1" t="s">
        <v>2612</v>
      </c>
      <c r="F457" s="1" t="s">
        <v>2613</v>
      </c>
      <c r="G457" s="1" t="s">
        <v>2614</v>
      </c>
      <c r="H457" s="1" t="s">
        <v>2615</v>
      </c>
      <c r="I457" s="1">
        <v>24</v>
      </c>
    </row>
    <row r="458" spans="1:9" x14ac:dyDescent="0.25">
      <c r="A458" s="1" t="str">
        <f t="shared" si="7"/>
        <v/>
      </c>
      <c r="B4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8" s="1" t="s">
        <v>112</v>
      </c>
    </row>
    <row r="459" spans="1:9" x14ac:dyDescent="0.25">
      <c r="A459" s="1" t="str">
        <f t="shared" si="7"/>
        <v/>
      </c>
      <c r="B4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59" s="1" t="s">
        <v>112</v>
      </c>
    </row>
    <row r="460" spans="1:9" x14ac:dyDescent="0.25">
      <c r="A460" s="1" t="str">
        <f t="shared" si="7"/>
        <v/>
      </c>
      <c r="B4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0" s="1" t="s">
        <v>112</v>
      </c>
    </row>
    <row r="461" spans="1:9" x14ac:dyDescent="0.25">
      <c r="A461" s="1" t="str">
        <f t="shared" si="7"/>
        <v/>
      </c>
      <c r="B4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1" s="1" t="s">
        <v>112</v>
      </c>
    </row>
    <row r="462" spans="1:9" x14ac:dyDescent="0.25">
      <c r="A462" s="1" t="str">
        <f t="shared" si="7"/>
        <v/>
      </c>
      <c r="B4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2" s="1" t="s">
        <v>112</v>
      </c>
    </row>
    <row r="463" spans="1:9" x14ac:dyDescent="0.25">
      <c r="A463" s="1" t="str">
        <f t="shared" si="7"/>
        <v/>
      </c>
      <c r="B4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63" s="1" t="s">
        <v>246</v>
      </c>
      <c r="D463" s="1" t="s">
        <v>110</v>
      </c>
      <c r="E463" s="1" t="s">
        <v>111</v>
      </c>
      <c r="F463" s="1" t="s">
        <v>112</v>
      </c>
      <c r="G463" s="1" t="s">
        <v>113</v>
      </c>
    </row>
    <row r="464" spans="1:9" x14ac:dyDescent="0.25">
      <c r="A464" s="1" t="str">
        <f t="shared" si="7"/>
        <v>15 Testo + EE2</v>
      </c>
      <c r="B4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4" s="1" t="s">
        <v>2616</v>
      </c>
      <c r="D464" s="1" t="s">
        <v>2617</v>
      </c>
      <c r="E464" s="1" t="s">
        <v>2618</v>
      </c>
      <c r="F464" s="1" t="s">
        <v>112</v>
      </c>
      <c r="G464" s="1">
        <v>2971407</v>
      </c>
    </row>
    <row r="465" spans="1:7" x14ac:dyDescent="0.25">
      <c r="A465" s="1" t="str">
        <f t="shared" si="7"/>
        <v>15 Testo + EE2</v>
      </c>
      <c r="B4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5" s="1" t="s">
        <v>2619</v>
      </c>
    </row>
    <row r="466" spans="1:7" x14ac:dyDescent="0.25">
      <c r="A466" s="1" t="str">
        <f t="shared" si="7"/>
        <v>15 Testo + EE2</v>
      </c>
      <c r="B4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66" s="1" t="s">
        <v>2620</v>
      </c>
    </row>
    <row r="467" spans="1:7" x14ac:dyDescent="0.25">
      <c r="A467" s="1" t="str">
        <f t="shared" si="7"/>
        <v>15 Testo + EE2</v>
      </c>
      <c r="B4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7" s="1" t="s">
        <v>2621</v>
      </c>
      <c r="D467" s="1" t="s">
        <v>2622</v>
      </c>
      <c r="E467" s="1" t="s">
        <v>2623</v>
      </c>
      <c r="F467" s="1" t="s">
        <v>112</v>
      </c>
      <c r="G467" s="1">
        <v>5986398</v>
      </c>
    </row>
    <row r="468" spans="1:7" x14ac:dyDescent="0.25">
      <c r="A468" s="1" t="str">
        <f t="shared" si="7"/>
        <v>15 Testo + EE2</v>
      </c>
      <c r="B4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8" s="1" t="s">
        <v>2624</v>
      </c>
      <c r="D468" s="1" t="s">
        <v>2625</v>
      </c>
      <c r="E468" s="1" t="s">
        <v>2626</v>
      </c>
      <c r="F468" s="1" t="s">
        <v>112</v>
      </c>
      <c r="G468" s="1">
        <v>5440221</v>
      </c>
    </row>
    <row r="469" spans="1:7" x14ac:dyDescent="0.25">
      <c r="A469" s="1" t="str">
        <f t="shared" si="7"/>
        <v>15 Testo + EE2</v>
      </c>
      <c r="B4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469" s="1" t="s">
        <v>2627</v>
      </c>
      <c r="D469" s="1" t="s">
        <v>2628</v>
      </c>
      <c r="E469" s="1" t="s">
        <v>2629</v>
      </c>
      <c r="F469" s="1" t="s">
        <v>112</v>
      </c>
      <c r="G469" s="1">
        <v>5381410</v>
      </c>
    </row>
    <row r="470" spans="1:7" x14ac:dyDescent="0.25">
      <c r="A470" s="1" t="str">
        <f t="shared" si="7"/>
        <v>15 Testo + EE2</v>
      </c>
      <c r="B4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0" s="1" t="s">
        <v>2630</v>
      </c>
      <c r="D470" s="1" t="s">
        <v>2631</v>
      </c>
      <c r="E470" s="1" t="s">
        <v>2632</v>
      </c>
      <c r="F470" s="1" t="s">
        <v>112</v>
      </c>
      <c r="G470" s="1">
        <v>3208622</v>
      </c>
    </row>
    <row r="471" spans="1:7" x14ac:dyDescent="0.25">
      <c r="A471" s="1" t="str">
        <f t="shared" si="7"/>
        <v>15 Testo + EE2</v>
      </c>
      <c r="B4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1" s="1" t="s">
        <v>2633</v>
      </c>
      <c r="D471" s="1" t="s">
        <v>2634</v>
      </c>
      <c r="E471" s="1" t="s">
        <v>2635</v>
      </c>
      <c r="F471" s="1" t="s">
        <v>112</v>
      </c>
      <c r="G471" s="1">
        <v>2383247</v>
      </c>
    </row>
    <row r="472" spans="1:7" x14ac:dyDescent="0.25">
      <c r="A472" s="1" t="str">
        <f t="shared" si="7"/>
        <v>15 Testo + EE2</v>
      </c>
      <c r="B4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472" s="1" t="s">
        <v>2636</v>
      </c>
      <c r="D472" s="1" t="s">
        <v>2637</v>
      </c>
      <c r="E472" s="1" t="s">
        <v>2638</v>
      </c>
      <c r="F472" s="1" t="s">
        <v>112</v>
      </c>
      <c r="G472" s="1">
        <v>2634673</v>
      </c>
    </row>
    <row r="473" spans="1:7" x14ac:dyDescent="0.25">
      <c r="A473" s="1" t="str">
        <f t="shared" si="7"/>
        <v>15 Testo + EE2</v>
      </c>
      <c r="B4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3" s="1" t="s">
        <v>2639</v>
      </c>
      <c r="D473" s="1" t="s">
        <v>2640</v>
      </c>
      <c r="E473" s="1" t="s">
        <v>2641</v>
      </c>
      <c r="F473" s="1" t="s">
        <v>112</v>
      </c>
      <c r="G473" s="1">
        <v>3163372</v>
      </c>
    </row>
    <row r="474" spans="1:7" x14ac:dyDescent="0.25">
      <c r="A474" s="1" t="str">
        <f t="shared" si="7"/>
        <v>15 Testo + EE2</v>
      </c>
      <c r="B4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4" s="1" t="s">
        <v>2642</v>
      </c>
      <c r="D474" s="1" t="s">
        <v>2643</v>
      </c>
      <c r="E474" s="1" t="s">
        <v>2644</v>
      </c>
      <c r="F474" s="1" t="s">
        <v>112</v>
      </c>
      <c r="G474" s="1">
        <v>3471641</v>
      </c>
    </row>
    <row r="475" spans="1:7" x14ac:dyDescent="0.25">
      <c r="A475" s="1" t="str">
        <f t="shared" si="7"/>
        <v>15 Testo + EE2</v>
      </c>
      <c r="B4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475" s="1" t="s">
        <v>2645</v>
      </c>
      <c r="D475" s="1" t="s">
        <v>2646</v>
      </c>
      <c r="E475" s="1" t="s">
        <v>2647</v>
      </c>
      <c r="F475" s="1" t="s">
        <v>112</v>
      </c>
      <c r="G475" s="1">
        <v>3140531</v>
      </c>
    </row>
    <row r="476" spans="1:7" x14ac:dyDescent="0.25">
      <c r="A476" s="1" t="str">
        <f t="shared" si="7"/>
        <v>15 Testo + EE2</v>
      </c>
      <c r="B4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6" s="1" t="s">
        <v>2648</v>
      </c>
      <c r="D476" s="1" t="s">
        <v>871</v>
      </c>
      <c r="E476" s="1" t="s">
        <v>2649</v>
      </c>
      <c r="F476" s="1" t="s">
        <v>112</v>
      </c>
      <c r="G476" s="1">
        <v>21111</v>
      </c>
    </row>
    <row r="477" spans="1:7" x14ac:dyDescent="0.25">
      <c r="A477" s="1" t="str">
        <f t="shared" si="7"/>
        <v>15 Testo + EE2</v>
      </c>
      <c r="B4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7" s="1" t="s">
        <v>2650</v>
      </c>
      <c r="D477" s="1" t="s">
        <v>319</v>
      </c>
      <c r="E477" s="1" t="s">
        <v>2651</v>
      </c>
      <c r="F477" s="1" t="s">
        <v>112</v>
      </c>
      <c r="G477" s="1">
        <v>21825</v>
      </c>
    </row>
    <row r="478" spans="1:7" x14ac:dyDescent="0.25">
      <c r="A478" s="1" t="str">
        <f t="shared" si="7"/>
        <v>15 Testo + EE2</v>
      </c>
      <c r="B4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478" s="1" t="s">
        <v>2652</v>
      </c>
      <c r="D478" s="1" t="s">
        <v>1744</v>
      </c>
      <c r="E478" s="1" t="s">
        <v>2653</v>
      </c>
      <c r="F478" s="1" t="s">
        <v>112</v>
      </c>
      <c r="G478" s="1">
        <v>13995</v>
      </c>
    </row>
    <row r="479" spans="1:7" x14ac:dyDescent="0.25">
      <c r="A479" s="1" t="str">
        <f t="shared" si="7"/>
        <v>15 Testo + EE2</v>
      </c>
      <c r="B4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79" s="1" t="s">
        <v>2654</v>
      </c>
      <c r="D479" s="1" t="s">
        <v>2655</v>
      </c>
      <c r="E479" s="1" t="s">
        <v>2656</v>
      </c>
      <c r="F479" s="1" t="s">
        <v>112</v>
      </c>
      <c r="G479" s="1">
        <v>6066039</v>
      </c>
    </row>
    <row r="480" spans="1:7" x14ac:dyDescent="0.25">
      <c r="A480" s="1" t="str">
        <f t="shared" si="7"/>
        <v>15 Testo + EE2</v>
      </c>
      <c r="B4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0" s="1" t="s">
        <v>2657</v>
      </c>
      <c r="D480" s="1" t="s">
        <v>2658</v>
      </c>
      <c r="E480" s="1" t="s">
        <v>2659</v>
      </c>
      <c r="F480" s="1" t="s">
        <v>112</v>
      </c>
      <c r="G480" s="1">
        <v>6107698</v>
      </c>
    </row>
    <row r="481" spans="1:9" x14ac:dyDescent="0.25">
      <c r="A481" s="1" t="str">
        <f t="shared" si="7"/>
        <v>15 Testo + EE2</v>
      </c>
      <c r="B4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481" s="1" t="s">
        <v>2660</v>
      </c>
      <c r="D481" s="1" t="s">
        <v>2661</v>
      </c>
      <c r="E481" s="1" t="s">
        <v>2662</v>
      </c>
      <c r="F481" s="1" t="s">
        <v>112</v>
      </c>
      <c r="G481" s="1">
        <v>6712016</v>
      </c>
    </row>
    <row r="482" spans="1:9" x14ac:dyDescent="0.25">
      <c r="A482" s="1" t="str">
        <f t="shared" si="7"/>
        <v>15 Testo + EE2</v>
      </c>
      <c r="B4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2" s="1" t="s">
        <v>2663</v>
      </c>
      <c r="D482" s="1" t="s">
        <v>2664</v>
      </c>
      <c r="E482" s="1" t="s">
        <v>2665</v>
      </c>
      <c r="F482" s="1" t="s">
        <v>112</v>
      </c>
      <c r="G482" s="1">
        <v>6322613</v>
      </c>
    </row>
    <row r="483" spans="1:9" x14ac:dyDescent="0.25">
      <c r="A483" s="1" t="str">
        <f t="shared" si="7"/>
        <v>15 Testo + EE2</v>
      </c>
      <c r="B4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3" s="1" t="s">
        <v>2666</v>
      </c>
      <c r="D483" s="1" t="s">
        <v>2667</v>
      </c>
      <c r="E483" s="1" t="s">
        <v>2668</v>
      </c>
      <c r="F483" s="1" t="s">
        <v>112</v>
      </c>
      <c r="G483" s="1">
        <v>6405672</v>
      </c>
    </row>
    <row r="484" spans="1:9" x14ac:dyDescent="0.25">
      <c r="A484" s="1" t="str">
        <f t="shared" si="7"/>
        <v>15 Testo + EE2</v>
      </c>
      <c r="B4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484" s="1" t="s">
        <v>2669</v>
      </c>
      <c r="D484" s="1" t="s">
        <v>2670</v>
      </c>
      <c r="E484" s="1" t="s">
        <v>2671</v>
      </c>
      <c r="F484" s="1" t="s">
        <v>112</v>
      </c>
      <c r="G484" s="1">
        <v>6269576</v>
      </c>
    </row>
    <row r="485" spans="1:9" x14ac:dyDescent="0.25">
      <c r="A485" s="1" t="str">
        <f t="shared" si="7"/>
        <v>15 Testo + EE2</v>
      </c>
      <c r="B4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5" s="1" t="s">
        <v>2672</v>
      </c>
      <c r="D485" s="1" t="s">
        <v>2673</v>
      </c>
      <c r="E485" s="1" t="s">
        <v>2674</v>
      </c>
      <c r="F485" s="1" t="s">
        <v>112</v>
      </c>
      <c r="G485" s="1">
        <v>5531564</v>
      </c>
    </row>
    <row r="486" spans="1:9" x14ac:dyDescent="0.25">
      <c r="A486" s="1" t="str">
        <f t="shared" si="7"/>
        <v>15 Testo + EE2</v>
      </c>
      <c r="B4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6" s="1" t="s">
        <v>2675</v>
      </c>
      <c r="D486" s="1" t="s">
        <v>2676</v>
      </c>
      <c r="E486" s="1" t="s">
        <v>2677</v>
      </c>
      <c r="F486" s="1" t="s">
        <v>112</v>
      </c>
      <c r="G486" s="1">
        <v>5565480</v>
      </c>
    </row>
    <row r="487" spans="1:9" x14ac:dyDescent="0.25">
      <c r="A487" s="1" t="str">
        <f t="shared" si="7"/>
        <v>15 Testo + EE2</v>
      </c>
      <c r="B48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487" s="1" t="s">
        <v>2678</v>
      </c>
      <c r="D487" s="1" t="s">
        <v>2679</v>
      </c>
      <c r="E487" s="1" t="s">
        <v>2680</v>
      </c>
      <c r="F487" s="1" t="s">
        <v>112</v>
      </c>
      <c r="G487" s="1">
        <v>6069197</v>
      </c>
    </row>
    <row r="488" spans="1:9" x14ac:dyDescent="0.25">
      <c r="A488" s="1" t="str">
        <f t="shared" si="7"/>
        <v/>
      </c>
      <c r="B4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8" s="1" t="s">
        <v>112</v>
      </c>
    </row>
    <row r="489" spans="1:9" x14ac:dyDescent="0.25">
      <c r="A489" s="1" t="str">
        <f t="shared" si="7"/>
        <v/>
      </c>
      <c r="B4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89" s="1" t="s">
        <v>235</v>
      </c>
      <c r="D489" s="1" t="s">
        <v>112</v>
      </c>
      <c r="E489" s="1" t="s">
        <v>236</v>
      </c>
      <c r="F489" s="1" t="s">
        <v>237</v>
      </c>
      <c r="G489" s="1" t="s">
        <v>238</v>
      </c>
      <c r="H489" s="1" t="s">
        <v>239</v>
      </c>
      <c r="I489" s="1" t="s">
        <v>240</v>
      </c>
    </row>
    <row r="490" spans="1:9" x14ac:dyDescent="0.25">
      <c r="A490" s="1" t="str">
        <f t="shared" si="7"/>
        <v>15 Testo + EE2</v>
      </c>
      <c r="B49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490" s="1" t="s">
        <v>2681</v>
      </c>
      <c r="D490" s="1" t="s">
        <v>112</v>
      </c>
      <c r="E490" s="1" t="s">
        <v>2682</v>
      </c>
      <c r="F490" s="1" t="s">
        <v>2683</v>
      </c>
      <c r="G490" s="1" t="s">
        <v>2684</v>
      </c>
      <c r="H490" s="1" t="s">
        <v>2685</v>
      </c>
      <c r="I490" s="1">
        <v>24</v>
      </c>
    </row>
    <row r="491" spans="1:9" x14ac:dyDescent="0.25">
      <c r="A491" s="1" t="str">
        <f t="shared" si="7"/>
        <v/>
      </c>
      <c r="B4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1" s="1" t="s">
        <v>112</v>
      </c>
    </row>
    <row r="492" spans="1:9" x14ac:dyDescent="0.25">
      <c r="A492" s="1" t="str">
        <f t="shared" si="7"/>
        <v/>
      </c>
      <c r="B4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2" s="1" t="s">
        <v>112</v>
      </c>
    </row>
    <row r="493" spans="1:9" x14ac:dyDescent="0.25">
      <c r="A493" s="1" t="str">
        <f t="shared" si="7"/>
        <v/>
      </c>
      <c r="B4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3" s="1" t="s">
        <v>112</v>
      </c>
    </row>
    <row r="494" spans="1:9" x14ac:dyDescent="0.25">
      <c r="A494" s="1" t="str">
        <f t="shared" si="7"/>
        <v/>
      </c>
      <c r="B4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4" s="1" t="s">
        <v>112</v>
      </c>
    </row>
    <row r="495" spans="1:9" x14ac:dyDescent="0.25">
      <c r="A495" s="1" t="str">
        <f t="shared" si="7"/>
        <v/>
      </c>
      <c r="B4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5" s="1" t="s">
        <v>112</v>
      </c>
    </row>
    <row r="496" spans="1:9" x14ac:dyDescent="0.25">
      <c r="A496" s="1" t="str">
        <f t="shared" si="7"/>
        <v/>
      </c>
      <c r="B4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496" s="1" t="s">
        <v>246</v>
      </c>
      <c r="D496" s="1" t="s">
        <v>110</v>
      </c>
      <c r="E496" s="1" t="s">
        <v>111</v>
      </c>
      <c r="F496" s="1" t="s">
        <v>112</v>
      </c>
      <c r="G496" s="1" t="s">
        <v>113</v>
      </c>
    </row>
    <row r="497" spans="1:7" x14ac:dyDescent="0.25">
      <c r="A497" s="1" t="str">
        <f t="shared" si="7"/>
        <v>16 Testo + FAD</v>
      </c>
      <c r="B4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7" s="1" t="s">
        <v>2686</v>
      </c>
      <c r="D497" s="1" t="s">
        <v>2249</v>
      </c>
      <c r="E497" s="1" t="s">
        <v>2687</v>
      </c>
      <c r="F497" s="1" t="s">
        <v>112</v>
      </c>
      <c r="G497" s="1">
        <v>272255</v>
      </c>
    </row>
    <row r="498" spans="1:7" x14ac:dyDescent="0.25">
      <c r="A498" s="1" t="str">
        <f t="shared" si="7"/>
        <v>16 Testo + FAD</v>
      </c>
      <c r="B4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8" s="1" t="s">
        <v>2688</v>
      </c>
      <c r="D498" s="1" t="s">
        <v>221</v>
      </c>
      <c r="E498" s="1" t="s">
        <v>2689</v>
      </c>
      <c r="F498" s="1" t="s">
        <v>112</v>
      </c>
      <c r="G498" s="1">
        <v>184698</v>
      </c>
    </row>
    <row r="499" spans="1:7" x14ac:dyDescent="0.25">
      <c r="A499" s="1" t="str">
        <f t="shared" si="7"/>
        <v>16 Testo + FAD</v>
      </c>
      <c r="B4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499" s="1" t="s">
        <v>2690</v>
      </c>
      <c r="D499" s="1" t="s">
        <v>1825</v>
      </c>
      <c r="E499" s="1" t="s">
        <v>2691</v>
      </c>
      <c r="F499" s="1" t="s">
        <v>112</v>
      </c>
      <c r="G499" s="1">
        <v>86563</v>
      </c>
    </row>
    <row r="500" spans="1:7" x14ac:dyDescent="0.25">
      <c r="A500" s="1" t="str">
        <f t="shared" si="7"/>
        <v>16 Testo + FAD</v>
      </c>
      <c r="B5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0" s="1" t="s">
        <v>2692</v>
      </c>
      <c r="D500" s="1" t="s">
        <v>2693</v>
      </c>
      <c r="E500" s="1" t="s">
        <v>2694</v>
      </c>
      <c r="F500" s="1" t="s">
        <v>112</v>
      </c>
      <c r="G500" s="1">
        <v>600749</v>
      </c>
    </row>
    <row r="501" spans="1:7" x14ac:dyDescent="0.25">
      <c r="A501" s="1" t="str">
        <f t="shared" si="7"/>
        <v>16 Testo + FAD</v>
      </c>
      <c r="B5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1" s="1" t="s">
        <v>2695</v>
      </c>
      <c r="D501" s="1" t="s">
        <v>2696</v>
      </c>
      <c r="E501" s="1" t="s">
        <v>2697</v>
      </c>
      <c r="F501" s="1" t="s">
        <v>112</v>
      </c>
      <c r="G501" s="1">
        <v>835866</v>
      </c>
    </row>
    <row r="502" spans="1:7" x14ac:dyDescent="0.25">
      <c r="A502" s="1" t="str">
        <f t="shared" si="7"/>
        <v>16 Testo + FAD</v>
      </c>
      <c r="B5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02" s="1" t="s">
        <v>2698</v>
      </c>
      <c r="D502" s="1" t="s">
        <v>294</v>
      </c>
      <c r="E502" s="1" t="s">
        <v>2699</v>
      </c>
      <c r="F502" s="1" t="s">
        <v>112</v>
      </c>
      <c r="G502" s="1">
        <v>654196</v>
      </c>
    </row>
    <row r="503" spans="1:7" x14ac:dyDescent="0.25">
      <c r="A503" s="1" t="str">
        <f t="shared" si="7"/>
        <v>16 Testo + FAD</v>
      </c>
      <c r="B5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3" s="1" t="s">
        <v>2700</v>
      </c>
      <c r="D503" s="1" t="s">
        <v>2701</v>
      </c>
      <c r="E503" s="1" t="s">
        <v>2702</v>
      </c>
      <c r="F503" s="1" t="s">
        <v>112</v>
      </c>
      <c r="G503" s="1">
        <v>373592</v>
      </c>
    </row>
    <row r="504" spans="1:7" x14ac:dyDescent="0.25">
      <c r="A504" s="1" t="str">
        <f t="shared" si="7"/>
        <v>16 Testo + FAD</v>
      </c>
      <c r="B5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4" s="1" t="s">
        <v>2703</v>
      </c>
      <c r="D504" s="1" t="s">
        <v>176</v>
      </c>
      <c r="E504" s="1" t="s">
        <v>2704</v>
      </c>
      <c r="F504" s="1" t="s">
        <v>112</v>
      </c>
      <c r="G504" s="1">
        <v>106570</v>
      </c>
    </row>
    <row r="505" spans="1:7" x14ac:dyDescent="0.25">
      <c r="A505" s="1" t="str">
        <f t="shared" si="7"/>
        <v>16 Testo + FAD</v>
      </c>
      <c r="B5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05" s="1" t="s">
        <v>2705</v>
      </c>
      <c r="D505" s="1" t="s">
        <v>303</v>
      </c>
      <c r="E505" s="1" t="s">
        <v>2706</v>
      </c>
      <c r="F505" s="1" t="s">
        <v>112</v>
      </c>
      <c r="G505" s="1">
        <v>92576</v>
      </c>
    </row>
    <row r="506" spans="1:7" x14ac:dyDescent="0.25">
      <c r="A506" s="1" t="str">
        <f t="shared" si="7"/>
        <v>16 Testo + FAD</v>
      </c>
      <c r="B5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6" s="1" t="s">
        <v>2707</v>
      </c>
      <c r="D506" s="1" t="s">
        <v>2203</v>
      </c>
      <c r="E506" s="1" t="s">
        <v>2708</v>
      </c>
      <c r="F506" s="1" t="s">
        <v>112</v>
      </c>
      <c r="G506" s="1">
        <v>241303</v>
      </c>
    </row>
    <row r="507" spans="1:7" x14ac:dyDescent="0.25">
      <c r="A507" s="1" t="str">
        <f t="shared" si="7"/>
        <v>16 Testo + FAD</v>
      </c>
      <c r="B5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7" s="1" t="s">
        <v>2709</v>
      </c>
      <c r="D507" s="1" t="s">
        <v>2710</v>
      </c>
      <c r="E507" s="1" t="s">
        <v>2711</v>
      </c>
      <c r="F507" s="1" t="s">
        <v>112</v>
      </c>
      <c r="G507" s="1">
        <v>158331</v>
      </c>
    </row>
    <row r="508" spans="1:7" x14ac:dyDescent="0.25">
      <c r="A508" s="1" t="str">
        <f t="shared" si="7"/>
        <v>16 Testo + FAD</v>
      </c>
      <c r="B5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08" s="1" t="s">
        <v>2712</v>
      </c>
      <c r="D508" s="1" t="s">
        <v>807</v>
      </c>
      <c r="E508" s="1" t="s">
        <v>2713</v>
      </c>
      <c r="F508" s="1" t="s">
        <v>112</v>
      </c>
      <c r="G508" s="1">
        <v>46180</v>
      </c>
    </row>
    <row r="509" spans="1:7" x14ac:dyDescent="0.25">
      <c r="A509" s="1" t="str">
        <f t="shared" si="7"/>
        <v>16 Testo + FAD</v>
      </c>
      <c r="B5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09" s="1" t="s">
        <v>2714</v>
      </c>
      <c r="D509" s="1" t="s">
        <v>325</v>
      </c>
      <c r="E509" s="1" t="s">
        <v>893</v>
      </c>
      <c r="F509" s="1" t="s">
        <v>112</v>
      </c>
      <c r="G509" s="1">
        <v>18061</v>
      </c>
    </row>
    <row r="510" spans="1:7" x14ac:dyDescent="0.25">
      <c r="A510" s="1" t="str">
        <f t="shared" si="7"/>
        <v>16 Testo + FAD</v>
      </c>
      <c r="B5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0" s="1" t="s">
        <v>2715</v>
      </c>
      <c r="D510" s="1" t="s">
        <v>1780</v>
      </c>
      <c r="E510" s="1" t="s">
        <v>2716</v>
      </c>
      <c r="F510" s="1" t="s">
        <v>112</v>
      </c>
      <c r="G510" s="1">
        <v>41356</v>
      </c>
    </row>
    <row r="511" spans="1:7" x14ac:dyDescent="0.25">
      <c r="A511" s="1" t="str">
        <f t="shared" si="7"/>
        <v>16 Testo + FAD</v>
      </c>
      <c r="B5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11" s="1" t="s">
        <v>2717</v>
      </c>
      <c r="D511" s="1" t="s">
        <v>1473</v>
      </c>
      <c r="E511" s="1" t="s">
        <v>2718</v>
      </c>
      <c r="F511" s="1" t="s">
        <v>112</v>
      </c>
      <c r="G511" s="1">
        <v>48170</v>
      </c>
    </row>
    <row r="512" spans="1:7" x14ac:dyDescent="0.25">
      <c r="A512" s="1" t="str">
        <f t="shared" si="7"/>
        <v>16 Testo + FAD</v>
      </c>
      <c r="B5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2" s="1" t="s">
        <v>2719</v>
      </c>
      <c r="D512" s="1" t="s">
        <v>2720</v>
      </c>
      <c r="E512" s="1" t="s">
        <v>2721</v>
      </c>
      <c r="F512" s="1" t="s">
        <v>112</v>
      </c>
      <c r="G512" s="1">
        <v>861000</v>
      </c>
    </row>
    <row r="513" spans="1:9" x14ac:dyDescent="0.25">
      <c r="A513" s="1" t="str">
        <f t="shared" si="7"/>
        <v>16 Testo + FAD</v>
      </c>
      <c r="B5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3" s="1" t="s">
        <v>2722</v>
      </c>
      <c r="D513" s="1" t="s">
        <v>1710</v>
      </c>
      <c r="E513" s="1" t="s">
        <v>2723</v>
      </c>
      <c r="F513" s="1" t="s">
        <v>112</v>
      </c>
      <c r="G513" s="1">
        <v>856046</v>
      </c>
    </row>
    <row r="514" spans="1:9" x14ac:dyDescent="0.25">
      <c r="A514" s="1" t="str">
        <f t="shared" ref="A514:A577" si="8">IFERROR(LEFT(RIGHT(C514,LEN(C514)-SEARCH("@",C514)),SEARCH("/",RIGHT(C514,LEN(C514)-SEARCH("@",C514)-1))),"")</f>
        <v>16 Testo + FAD</v>
      </c>
      <c r="B5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14" s="1" t="s">
        <v>2724</v>
      </c>
      <c r="D514" s="1" t="s">
        <v>2725</v>
      </c>
      <c r="E514" s="1" t="s">
        <v>2726</v>
      </c>
      <c r="F514" s="1" t="s">
        <v>112</v>
      </c>
      <c r="G514" s="1">
        <v>909818</v>
      </c>
    </row>
    <row r="515" spans="1:9" x14ac:dyDescent="0.25">
      <c r="A515" s="1" t="str">
        <f t="shared" si="8"/>
        <v>16 Testo + FAD</v>
      </c>
      <c r="B5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5" s="1" t="s">
        <v>2727</v>
      </c>
      <c r="D515" s="1" t="s">
        <v>1777</v>
      </c>
      <c r="E515" s="1" t="s">
        <v>2728</v>
      </c>
      <c r="F515" s="1" t="s">
        <v>112</v>
      </c>
      <c r="G515" s="1">
        <v>139340</v>
      </c>
    </row>
    <row r="516" spans="1:9" x14ac:dyDescent="0.25">
      <c r="A516" s="1" t="str">
        <f t="shared" si="8"/>
        <v>16 Testo + FAD</v>
      </c>
      <c r="B5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6" s="1" t="s">
        <v>2729</v>
      </c>
      <c r="D516" s="1" t="s">
        <v>1881</v>
      </c>
      <c r="E516" s="1" t="s">
        <v>2730</v>
      </c>
      <c r="F516" s="1" t="s">
        <v>112</v>
      </c>
      <c r="G516" s="1">
        <v>51025</v>
      </c>
    </row>
    <row r="517" spans="1:9" x14ac:dyDescent="0.25">
      <c r="A517" s="1" t="str">
        <f t="shared" si="8"/>
        <v>16 Testo + FAD</v>
      </c>
      <c r="B5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17" s="1" t="s">
        <v>2731</v>
      </c>
      <c r="D517" s="1" t="s">
        <v>311</v>
      </c>
      <c r="E517" s="1" t="s">
        <v>2732</v>
      </c>
      <c r="F517" s="1" t="s">
        <v>112</v>
      </c>
      <c r="G517" s="1">
        <v>111805</v>
      </c>
    </row>
    <row r="518" spans="1:9" x14ac:dyDescent="0.25">
      <c r="A518" s="1" t="str">
        <f t="shared" si="8"/>
        <v>16 Testo + FAD</v>
      </c>
      <c r="B5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8" s="1" t="s">
        <v>2733</v>
      </c>
      <c r="D518" s="1" t="s">
        <v>325</v>
      </c>
      <c r="E518" s="1" t="s">
        <v>2734</v>
      </c>
      <c r="F518" s="1" t="s">
        <v>112</v>
      </c>
      <c r="G518" s="1">
        <v>18169</v>
      </c>
    </row>
    <row r="519" spans="1:9" x14ac:dyDescent="0.25">
      <c r="A519" s="1" t="str">
        <f t="shared" si="8"/>
        <v>16 Testo + FAD</v>
      </c>
      <c r="B5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19" s="1" t="s">
        <v>2735</v>
      </c>
      <c r="D519" s="1" t="s">
        <v>1771</v>
      </c>
      <c r="E519" s="1" t="s">
        <v>2736</v>
      </c>
      <c r="F519" s="1" t="s">
        <v>112</v>
      </c>
      <c r="G519" s="1">
        <v>14946</v>
      </c>
    </row>
    <row r="520" spans="1:9" x14ac:dyDescent="0.25">
      <c r="A520" s="1" t="str">
        <f t="shared" si="8"/>
        <v>16 Testo + FAD</v>
      </c>
      <c r="B52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20" s="1" t="s">
        <v>2737</v>
      </c>
      <c r="D520" s="1" t="s">
        <v>1771</v>
      </c>
      <c r="E520" s="1" t="s">
        <v>2738</v>
      </c>
      <c r="F520" s="1" t="s">
        <v>112</v>
      </c>
      <c r="G520" s="1">
        <v>15184</v>
      </c>
    </row>
    <row r="521" spans="1:9" x14ac:dyDescent="0.25">
      <c r="A521" s="1" t="str">
        <f t="shared" si="8"/>
        <v/>
      </c>
      <c r="B5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1" s="1" t="s">
        <v>112</v>
      </c>
    </row>
    <row r="522" spans="1:9" x14ac:dyDescent="0.25">
      <c r="A522" s="1" t="str">
        <f t="shared" si="8"/>
        <v/>
      </c>
      <c r="B5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2" s="1" t="s">
        <v>235</v>
      </c>
      <c r="D522" s="1" t="s">
        <v>112</v>
      </c>
      <c r="E522" s="1" t="s">
        <v>236</v>
      </c>
      <c r="F522" s="1" t="s">
        <v>237</v>
      </c>
      <c r="G522" s="1" t="s">
        <v>238</v>
      </c>
      <c r="H522" s="1" t="s">
        <v>239</v>
      </c>
      <c r="I522" s="1" t="s">
        <v>240</v>
      </c>
    </row>
    <row r="523" spans="1:9" x14ac:dyDescent="0.25">
      <c r="A523" s="1" t="str">
        <f t="shared" si="8"/>
        <v>16 Testo + FAD</v>
      </c>
      <c r="B52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23" s="1" t="s">
        <v>2739</v>
      </c>
      <c r="D523" s="1" t="s">
        <v>112</v>
      </c>
      <c r="E523" s="1" t="s">
        <v>2740</v>
      </c>
      <c r="F523" s="1" t="s">
        <v>2741</v>
      </c>
      <c r="G523" s="1" t="s">
        <v>2742</v>
      </c>
      <c r="H523" s="1" t="s">
        <v>2743</v>
      </c>
      <c r="I523" s="1">
        <v>24</v>
      </c>
    </row>
    <row r="524" spans="1:9" x14ac:dyDescent="0.25">
      <c r="A524" s="1" t="str">
        <f t="shared" si="8"/>
        <v/>
      </c>
      <c r="B5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4" s="1" t="s">
        <v>112</v>
      </c>
    </row>
    <row r="525" spans="1:9" x14ac:dyDescent="0.25">
      <c r="A525" s="1" t="str">
        <f t="shared" si="8"/>
        <v/>
      </c>
      <c r="B5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5" s="1" t="s">
        <v>112</v>
      </c>
    </row>
    <row r="526" spans="1:9" x14ac:dyDescent="0.25">
      <c r="A526" s="1" t="str">
        <f t="shared" si="8"/>
        <v/>
      </c>
      <c r="B5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6" s="1" t="s">
        <v>112</v>
      </c>
    </row>
    <row r="527" spans="1:9" x14ac:dyDescent="0.25">
      <c r="A527" s="1" t="str">
        <f t="shared" si="8"/>
        <v/>
      </c>
      <c r="B5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7" s="1" t="s">
        <v>112</v>
      </c>
    </row>
    <row r="528" spans="1:9" x14ac:dyDescent="0.25">
      <c r="A528" s="1" t="str">
        <f t="shared" si="8"/>
        <v/>
      </c>
      <c r="B5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8" s="1" t="s">
        <v>112</v>
      </c>
    </row>
    <row r="529" spans="1:7" x14ac:dyDescent="0.25">
      <c r="A529" s="1" t="str">
        <f t="shared" si="8"/>
        <v/>
      </c>
      <c r="B5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29" s="1" t="s">
        <v>246</v>
      </c>
      <c r="D529" s="1" t="s">
        <v>110</v>
      </c>
      <c r="E529" s="1" t="s">
        <v>111</v>
      </c>
      <c r="F529" s="1" t="s">
        <v>112</v>
      </c>
      <c r="G529" s="1" t="s">
        <v>113</v>
      </c>
    </row>
    <row r="530" spans="1:7" x14ac:dyDescent="0.25">
      <c r="A530" s="1" t="str">
        <f t="shared" si="8"/>
        <v>17 Testo + Cromolyn 0.1</v>
      </c>
      <c r="B5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0" s="1" t="s">
        <v>2744</v>
      </c>
      <c r="D530" s="1" t="s">
        <v>2745</v>
      </c>
      <c r="E530" s="1" t="s">
        <v>2746</v>
      </c>
      <c r="F530" s="1" t="s">
        <v>112</v>
      </c>
      <c r="G530" s="1">
        <v>377312</v>
      </c>
    </row>
    <row r="531" spans="1:7" x14ac:dyDescent="0.25">
      <c r="A531" s="1" t="str">
        <f t="shared" si="8"/>
        <v>17 Testo + Cromolyn 0.1</v>
      </c>
      <c r="B5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1" s="1" t="s">
        <v>2747</v>
      </c>
      <c r="D531" s="1" t="s">
        <v>1938</v>
      </c>
      <c r="E531" s="1" t="s">
        <v>2748</v>
      </c>
      <c r="F531" s="1" t="s">
        <v>112</v>
      </c>
      <c r="G531" s="1">
        <v>291484</v>
      </c>
    </row>
    <row r="532" spans="1:7" x14ac:dyDescent="0.25">
      <c r="A532" s="1" t="str">
        <f t="shared" si="8"/>
        <v>17 Testo + Cromolyn 0.1</v>
      </c>
      <c r="B5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32" s="1" t="s">
        <v>2749</v>
      </c>
      <c r="D532" s="1" t="s">
        <v>2750</v>
      </c>
      <c r="E532" s="1" t="s">
        <v>2751</v>
      </c>
      <c r="F532" s="1" t="s">
        <v>112</v>
      </c>
      <c r="G532" s="1">
        <v>308464</v>
      </c>
    </row>
    <row r="533" spans="1:7" x14ac:dyDescent="0.25">
      <c r="A533" s="1" t="str">
        <f t="shared" si="8"/>
        <v>17 Testo + Cromolyn 0.1</v>
      </c>
      <c r="B5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3" s="1" t="s">
        <v>2752</v>
      </c>
      <c r="D533" s="1" t="s">
        <v>2753</v>
      </c>
      <c r="E533" s="1" t="s">
        <v>2754</v>
      </c>
      <c r="F533" s="1" t="s">
        <v>112</v>
      </c>
      <c r="G533" s="1">
        <v>1559213</v>
      </c>
    </row>
    <row r="534" spans="1:7" x14ac:dyDescent="0.25">
      <c r="A534" s="1" t="str">
        <f t="shared" si="8"/>
        <v>17 Testo + Cromolyn 0.1</v>
      </c>
      <c r="B5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4" s="1" t="s">
        <v>2755</v>
      </c>
      <c r="D534" s="1" t="s">
        <v>1309</v>
      </c>
      <c r="E534" s="1" t="s">
        <v>2756</v>
      </c>
      <c r="F534" s="1" t="s">
        <v>112</v>
      </c>
      <c r="G534" s="1">
        <v>1601477</v>
      </c>
    </row>
    <row r="535" spans="1:7" x14ac:dyDescent="0.25">
      <c r="A535" s="1" t="str">
        <f t="shared" si="8"/>
        <v>17 Testo + Cromolyn 0.1</v>
      </c>
      <c r="B5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35" s="1" t="s">
        <v>2757</v>
      </c>
      <c r="D535" s="1" t="s">
        <v>2758</v>
      </c>
      <c r="E535" s="1" t="s">
        <v>2759</v>
      </c>
      <c r="F535" s="1" t="s">
        <v>112</v>
      </c>
      <c r="G535" s="1">
        <v>1747285</v>
      </c>
    </row>
    <row r="536" spans="1:7" x14ac:dyDescent="0.25">
      <c r="A536" s="1" t="str">
        <f t="shared" si="8"/>
        <v>17 Testo + Cromolyn 0.1</v>
      </c>
      <c r="B5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6" s="1" t="s">
        <v>2760</v>
      </c>
      <c r="D536" s="1" t="s">
        <v>2761</v>
      </c>
      <c r="E536" s="1" t="s">
        <v>2762</v>
      </c>
      <c r="F536" s="1" t="s">
        <v>112</v>
      </c>
      <c r="G536" s="1">
        <v>1110846</v>
      </c>
    </row>
    <row r="537" spans="1:7" x14ac:dyDescent="0.25">
      <c r="A537" s="1" t="str">
        <f t="shared" si="8"/>
        <v>17 Testo + Cromolyn 0.1</v>
      </c>
      <c r="B5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7" s="1" t="s">
        <v>2763</v>
      </c>
      <c r="D537" s="1" t="s">
        <v>2764</v>
      </c>
      <c r="E537" s="1" t="s">
        <v>2765</v>
      </c>
      <c r="F537" s="1" t="s">
        <v>112</v>
      </c>
      <c r="G537" s="1">
        <v>919162</v>
      </c>
    </row>
    <row r="538" spans="1:7" x14ac:dyDescent="0.25">
      <c r="A538" s="1" t="str">
        <f t="shared" si="8"/>
        <v>17 Testo + Cromolyn 0.1</v>
      </c>
      <c r="B5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38" s="1" t="s">
        <v>2766</v>
      </c>
      <c r="D538" s="1" t="s">
        <v>2767</v>
      </c>
      <c r="E538" s="1" t="s">
        <v>2768</v>
      </c>
      <c r="F538" s="1" t="s">
        <v>112</v>
      </c>
      <c r="G538" s="1">
        <v>1136586</v>
      </c>
    </row>
    <row r="539" spans="1:7" x14ac:dyDescent="0.25">
      <c r="A539" s="1" t="str">
        <f t="shared" si="8"/>
        <v>17 Testo + Cromolyn 0.1</v>
      </c>
      <c r="B5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39" s="1" t="s">
        <v>2769</v>
      </c>
      <c r="D539" s="1" t="s">
        <v>2406</v>
      </c>
      <c r="E539" s="1" t="s">
        <v>2770</v>
      </c>
      <c r="F539" s="1" t="s">
        <v>112</v>
      </c>
      <c r="G539" s="1">
        <v>441855</v>
      </c>
    </row>
    <row r="540" spans="1:7" x14ac:dyDescent="0.25">
      <c r="A540" s="1" t="str">
        <f t="shared" si="8"/>
        <v>17 Testo + Cromolyn 0.1</v>
      </c>
      <c r="B5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0" s="1" t="s">
        <v>2771</v>
      </c>
      <c r="D540" s="1" t="s">
        <v>921</v>
      </c>
      <c r="E540" s="1" t="s">
        <v>2772</v>
      </c>
      <c r="F540" s="1" t="s">
        <v>112</v>
      </c>
      <c r="G540" s="1">
        <v>510660</v>
      </c>
    </row>
    <row r="541" spans="1:7" x14ac:dyDescent="0.25">
      <c r="A541" s="1" t="str">
        <f t="shared" si="8"/>
        <v>17 Testo + Cromolyn 0.1</v>
      </c>
      <c r="B5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41" s="1" t="s">
        <v>2773</v>
      </c>
      <c r="D541" s="1" t="s">
        <v>2774</v>
      </c>
      <c r="E541" s="1" t="s">
        <v>2775</v>
      </c>
      <c r="F541" s="1" t="s">
        <v>112</v>
      </c>
      <c r="G541" s="1">
        <v>504734</v>
      </c>
    </row>
    <row r="542" spans="1:7" x14ac:dyDescent="0.25">
      <c r="A542" s="1" t="str">
        <f t="shared" si="8"/>
        <v>17 Testo + Cromolyn 0.1</v>
      </c>
      <c r="B5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2" s="1" t="s">
        <v>2776</v>
      </c>
      <c r="D542" s="1" t="s">
        <v>2777</v>
      </c>
      <c r="E542" s="1" t="s">
        <v>2778</v>
      </c>
      <c r="F542" s="1" t="s">
        <v>112</v>
      </c>
      <c r="G542" s="1">
        <v>4384553</v>
      </c>
    </row>
    <row r="543" spans="1:7" x14ac:dyDescent="0.25">
      <c r="A543" s="1" t="str">
        <f t="shared" si="8"/>
        <v>17 Testo + Cromolyn 0.1</v>
      </c>
      <c r="B5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3" s="1" t="s">
        <v>2779</v>
      </c>
      <c r="D543" s="1" t="s">
        <v>2780</v>
      </c>
      <c r="E543" s="1" t="s">
        <v>2781</v>
      </c>
      <c r="F543" s="1" t="s">
        <v>112</v>
      </c>
      <c r="G543" s="1">
        <v>4340622</v>
      </c>
    </row>
    <row r="544" spans="1:7" x14ac:dyDescent="0.25">
      <c r="A544" s="1" t="str">
        <f t="shared" si="8"/>
        <v>17 Testo + Cromolyn 0.1</v>
      </c>
      <c r="B5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44" s="1" t="s">
        <v>2782</v>
      </c>
      <c r="D544" s="1" t="s">
        <v>2783</v>
      </c>
      <c r="E544" s="1" t="s">
        <v>2784</v>
      </c>
      <c r="F544" s="1" t="s">
        <v>112</v>
      </c>
      <c r="G544" s="1">
        <v>3699512</v>
      </c>
    </row>
    <row r="545" spans="1:9" x14ac:dyDescent="0.25">
      <c r="A545" s="1" t="str">
        <f t="shared" si="8"/>
        <v>17 Testo + Cromolyn 0.1</v>
      </c>
      <c r="B5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5" s="1" t="s">
        <v>2785</v>
      </c>
      <c r="D545" s="1" t="s">
        <v>2786</v>
      </c>
      <c r="E545" s="1" t="s">
        <v>2787</v>
      </c>
      <c r="F545" s="1" t="s">
        <v>112</v>
      </c>
      <c r="G545" s="1">
        <v>2242652</v>
      </c>
    </row>
    <row r="546" spans="1:9" x14ac:dyDescent="0.25">
      <c r="A546" s="1" t="str">
        <f t="shared" si="8"/>
        <v>17 Testo + Cromolyn 0.1</v>
      </c>
      <c r="B5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6" s="1" t="s">
        <v>2788</v>
      </c>
      <c r="D546" s="1" t="s">
        <v>2789</v>
      </c>
      <c r="E546" s="1" t="s">
        <v>2790</v>
      </c>
      <c r="F546" s="1" t="s">
        <v>112</v>
      </c>
      <c r="G546" s="1">
        <v>2029836</v>
      </c>
    </row>
    <row r="547" spans="1:9" x14ac:dyDescent="0.25">
      <c r="A547" s="1" t="str">
        <f t="shared" si="8"/>
        <v>17 Testo + Cromolyn 0.1</v>
      </c>
      <c r="B5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47" s="1" t="s">
        <v>2791</v>
      </c>
      <c r="D547" s="1" t="s">
        <v>2792</v>
      </c>
      <c r="E547" s="1" t="s">
        <v>2793</v>
      </c>
      <c r="F547" s="1" t="s">
        <v>112</v>
      </c>
      <c r="G547" s="1">
        <v>1855845</v>
      </c>
    </row>
    <row r="548" spans="1:9" x14ac:dyDescent="0.25">
      <c r="A548" s="1" t="str">
        <f t="shared" si="8"/>
        <v>17 Testo + Cromolyn 0.1</v>
      </c>
      <c r="B5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8" s="1" t="s">
        <v>2794</v>
      </c>
      <c r="D548" s="1" t="s">
        <v>258</v>
      </c>
      <c r="E548" s="1" t="s">
        <v>2795</v>
      </c>
      <c r="F548" s="1" t="s">
        <v>112</v>
      </c>
      <c r="G548" s="1">
        <v>398574</v>
      </c>
    </row>
    <row r="549" spans="1:9" x14ac:dyDescent="0.25">
      <c r="A549" s="1" t="str">
        <f t="shared" si="8"/>
        <v>17 Testo + Cromolyn 0.1</v>
      </c>
      <c r="B5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49" s="1" t="s">
        <v>2796</v>
      </c>
      <c r="D549" s="1" t="s">
        <v>839</v>
      </c>
      <c r="E549" s="1" t="s">
        <v>2797</v>
      </c>
      <c r="F549" s="1" t="s">
        <v>112</v>
      </c>
      <c r="G549" s="1">
        <v>305890</v>
      </c>
    </row>
    <row r="550" spans="1:9" x14ac:dyDescent="0.25">
      <c r="A550" s="1" t="str">
        <f t="shared" si="8"/>
        <v>17 Testo + Cromolyn 0.1</v>
      </c>
      <c r="B5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50" s="1" t="s">
        <v>2798</v>
      </c>
      <c r="D550" s="1" t="s">
        <v>860</v>
      </c>
      <c r="E550" s="1" t="s">
        <v>2799</v>
      </c>
      <c r="F550" s="1" t="s">
        <v>112</v>
      </c>
      <c r="G550" s="1">
        <v>360073</v>
      </c>
    </row>
    <row r="551" spans="1:9" x14ac:dyDescent="0.25">
      <c r="A551" s="1" t="str">
        <f t="shared" si="8"/>
        <v>17 Testo + Cromolyn 0.1</v>
      </c>
      <c r="B5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1" s="1" t="s">
        <v>2800</v>
      </c>
      <c r="D551" s="1" t="s">
        <v>2801</v>
      </c>
      <c r="E551" s="1" t="s">
        <v>2802</v>
      </c>
      <c r="F551" s="1" t="s">
        <v>112</v>
      </c>
      <c r="G551" s="1">
        <v>1477106</v>
      </c>
    </row>
    <row r="552" spans="1:9" x14ac:dyDescent="0.25">
      <c r="A552" s="1" t="str">
        <f t="shared" si="8"/>
        <v>17 Testo + Cromolyn 0.1</v>
      </c>
      <c r="B5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2" s="1" t="s">
        <v>2803</v>
      </c>
      <c r="D552" s="1" t="s">
        <v>2804</v>
      </c>
      <c r="E552" s="1" t="s">
        <v>2805</v>
      </c>
      <c r="F552" s="1" t="s">
        <v>112</v>
      </c>
      <c r="G552" s="1">
        <v>975876</v>
      </c>
    </row>
    <row r="553" spans="1:9" x14ac:dyDescent="0.25">
      <c r="A553" s="1" t="str">
        <f t="shared" si="8"/>
        <v>17 Testo + Cromolyn 0.1</v>
      </c>
      <c r="B55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53" s="1" t="s">
        <v>2806</v>
      </c>
      <c r="D553" s="1" t="s">
        <v>2807</v>
      </c>
      <c r="E553" s="1" t="s">
        <v>2808</v>
      </c>
      <c r="F553" s="1" t="s">
        <v>112</v>
      </c>
      <c r="G553" s="1">
        <v>1177164</v>
      </c>
    </row>
    <row r="554" spans="1:9" x14ac:dyDescent="0.25">
      <c r="A554" s="1" t="str">
        <f t="shared" si="8"/>
        <v/>
      </c>
      <c r="B5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4" s="1" t="s">
        <v>112</v>
      </c>
    </row>
    <row r="555" spans="1:9" x14ac:dyDescent="0.25">
      <c r="A555" s="1" t="str">
        <f t="shared" si="8"/>
        <v/>
      </c>
      <c r="B5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5" s="1" t="s">
        <v>235</v>
      </c>
      <c r="D555" s="1" t="s">
        <v>112</v>
      </c>
      <c r="E555" s="1" t="s">
        <v>236</v>
      </c>
      <c r="F555" s="1" t="s">
        <v>237</v>
      </c>
      <c r="G555" s="1" t="s">
        <v>238</v>
      </c>
      <c r="H555" s="1" t="s">
        <v>239</v>
      </c>
      <c r="I555" s="1" t="s">
        <v>240</v>
      </c>
    </row>
    <row r="556" spans="1:9" x14ac:dyDescent="0.25">
      <c r="A556" s="1" t="str">
        <f t="shared" si="8"/>
        <v>17 Testo + Cromolyn 0.1</v>
      </c>
      <c r="B55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56" s="1" t="s">
        <v>2809</v>
      </c>
      <c r="D556" s="1" t="s">
        <v>112</v>
      </c>
      <c r="E556" s="1" t="s">
        <v>2810</v>
      </c>
      <c r="F556" s="1" t="s">
        <v>2811</v>
      </c>
      <c r="G556" s="1" t="s">
        <v>2812</v>
      </c>
      <c r="H556" s="1" t="s">
        <v>2813</v>
      </c>
      <c r="I556" s="1">
        <v>24</v>
      </c>
    </row>
    <row r="557" spans="1:9" x14ac:dyDescent="0.25">
      <c r="A557" s="1" t="str">
        <f t="shared" si="8"/>
        <v/>
      </c>
      <c r="B5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7" s="1" t="s">
        <v>112</v>
      </c>
    </row>
    <row r="558" spans="1:9" x14ac:dyDescent="0.25">
      <c r="A558" s="1" t="str">
        <f t="shared" si="8"/>
        <v/>
      </c>
      <c r="B5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8" s="1" t="s">
        <v>112</v>
      </c>
    </row>
    <row r="559" spans="1:9" x14ac:dyDescent="0.25">
      <c r="A559" s="1" t="str">
        <f t="shared" si="8"/>
        <v/>
      </c>
      <c r="B5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59" s="1" t="s">
        <v>112</v>
      </c>
    </row>
    <row r="560" spans="1:9" x14ac:dyDescent="0.25">
      <c r="A560" s="1" t="str">
        <f t="shared" si="8"/>
        <v/>
      </c>
      <c r="B5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0" s="1" t="s">
        <v>112</v>
      </c>
    </row>
    <row r="561" spans="1:7" x14ac:dyDescent="0.25">
      <c r="A561" s="1" t="str">
        <f t="shared" si="8"/>
        <v/>
      </c>
      <c r="B5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1" s="1" t="s">
        <v>112</v>
      </c>
    </row>
    <row r="562" spans="1:7" x14ac:dyDescent="0.25">
      <c r="A562" s="1" t="str">
        <f t="shared" si="8"/>
        <v/>
      </c>
      <c r="B5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62" s="1" t="s">
        <v>246</v>
      </c>
      <c r="D562" s="1" t="s">
        <v>110</v>
      </c>
      <c r="E562" s="1" t="s">
        <v>111</v>
      </c>
      <c r="F562" s="1" t="s">
        <v>112</v>
      </c>
      <c r="G562" s="1" t="s">
        <v>113</v>
      </c>
    </row>
    <row r="563" spans="1:7" x14ac:dyDescent="0.25">
      <c r="A563" s="1" t="str">
        <f t="shared" si="8"/>
        <v>18 Testo + Cromolyn 1</v>
      </c>
      <c r="B5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3" s="1" t="s">
        <v>2814</v>
      </c>
      <c r="D563" s="1" t="s">
        <v>2815</v>
      </c>
      <c r="E563" s="1" t="s">
        <v>2816</v>
      </c>
      <c r="F563" s="1" t="s">
        <v>112</v>
      </c>
      <c r="G563" s="1">
        <v>2573763</v>
      </c>
    </row>
    <row r="564" spans="1:7" x14ac:dyDescent="0.25">
      <c r="A564" s="1" t="str">
        <f t="shared" si="8"/>
        <v>18 Testo + Cromolyn 1</v>
      </c>
      <c r="B5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4" s="1" t="s">
        <v>2817</v>
      </c>
      <c r="D564" s="1" t="s">
        <v>2818</v>
      </c>
      <c r="E564" s="1" t="s">
        <v>2819</v>
      </c>
      <c r="F564" s="1" t="s">
        <v>112</v>
      </c>
      <c r="G564" s="1">
        <v>2401221</v>
      </c>
    </row>
    <row r="565" spans="1:7" x14ac:dyDescent="0.25">
      <c r="A565" s="1" t="str">
        <f t="shared" si="8"/>
        <v>18 Testo + Cromolyn 1</v>
      </c>
      <c r="B5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65" s="1" t="s">
        <v>2820</v>
      </c>
      <c r="D565" s="1" t="s">
        <v>2821</v>
      </c>
      <c r="E565" s="1" t="s">
        <v>2822</v>
      </c>
      <c r="F565" s="1" t="s">
        <v>112</v>
      </c>
      <c r="G565" s="1">
        <v>2200215</v>
      </c>
    </row>
    <row r="566" spans="1:7" x14ac:dyDescent="0.25">
      <c r="A566" s="1" t="str">
        <f t="shared" si="8"/>
        <v>18 Testo + Cromolyn 1</v>
      </c>
      <c r="B5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6" s="1" t="s">
        <v>2823</v>
      </c>
      <c r="D566" s="1" t="s">
        <v>2824</v>
      </c>
      <c r="E566" s="1" t="s">
        <v>2825</v>
      </c>
      <c r="F566" s="1" t="s">
        <v>112</v>
      </c>
      <c r="G566" s="1">
        <v>2212781</v>
      </c>
    </row>
    <row r="567" spans="1:7" x14ac:dyDescent="0.25">
      <c r="A567" s="1" t="str">
        <f t="shared" si="8"/>
        <v>18 Testo + Cromolyn 1</v>
      </c>
      <c r="B5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7" s="1" t="s">
        <v>2826</v>
      </c>
      <c r="D567" s="1" t="s">
        <v>2827</v>
      </c>
      <c r="E567" s="1" t="s">
        <v>2828</v>
      </c>
      <c r="F567" s="1" t="s">
        <v>112</v>
      </c>
      <c r="G567" s="1">
        <v>2286107</v>
      </c>
    </row>
    <row r="568" spans="1:7" x14ac:dyDescent="0.25">
      <c r="A568" s="1" t="str">
        <f t="shared" si="8"/>
        <v>18 Testo + Cromolyn 1</v>
      </c>
      <c r="B5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68" s="1" t="s">
        <v>2829</v>
      </c>
      <c r="D568" s="1" t="s">
        <v>2830</v>
      </c>
      <c r="E568" s="1" t="s">
        <v>2831</v>
      </c>
      <c r="F568" s="1" t="s">
        <v>112</v>
      </c>
      <c r="G568" s="1">
        <v>2078871</v>
      </c>
    </row>
    <row r="569" spans="1:7" x14ac:dyDescent="0.25">
      <c r="A569" s="1" t="str">
        <f t="shared" si="8"/>
        <v>18 Testo + Cromolyn 1</v>
      </c>
      <c r="B5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69" s="1" t="s">
        <v>2832</v>
      </c>
      <c r="D569" s="1" t="s">
        <v>2564</v>
      </c>
      <c r="E569" s="1" t="s">
        <v>2833</v>
      </c>
      <c r="F569" s="1" t="s">
        <v>112</v>
      </c>
      <c r="G569" s="1">
        <v>3272841</v>
      </c>
    </row>
    <row r="570" spans="1:7" x14ac:dyDescent="0.25">
      <c r="A570" s="1" t="str">
        <f t="shared" si="8"/>
        <v>18 Testo + Cromolyn 1</v>
      </c>
      <c r="B5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0" s="1" t="s">
        <v>2834</v>
      </c>
      <c r="D570" s="1" t="s">
        <v>2835</v>
      </c>
      <c r="E570" s="1" t="s">
        <v>2836</v>
      </c>
      <c r="F570" s="1" t="s">
        <v>112</v>
      </c>
      <c r="G570" s="1">
        <v>3315863</v>
      </c>
    </row>
    <row r="571" spans="1:7" x14ac:dyDescent="0.25">
      <c r="A571" s="1" t="str">
        <f t="shared" si="8"/>
        <v>18 Testo + Cromolyn 1</v>
      </c>
      <c r="B5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571" s="1" t="s">
        <v>2837</v>
      </c>
      <c r="D571" s="1" t="s">
        <v>2838</v>
      </c>
      <c r="E571" s="1" t="s">
        <v>2839</v>
      </c>
      <c r="F571" s="1" t="s">
        <v>112</v>
      </c>
      <c r="G571" s="1">
        <v>3231874</v>
      </c>
    </row>
    <row r="572" spans="1:7" x14ac:dyDescent="0.25">
      <c r="A572" s="1" t="str">
        <f t="shared" si="8"/>
        <v>18 Testo + Cromolyn 1</v>
      </c>
      <c r="B5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2" s="1" t="s">
        <v>2840</v>
      </c>
      <c r="D572" s="1" t="s">
        <v>2841</v>
      </c>
      <c r="E572" s="1" t="s">
        <v>2842</v>
      </c>
      <c r="F572" s="1" t="s">
        <v>112</v>
      </c>
      <c r="G572" s="1">
        <v>1182679</v>
      </c>
    </row>
    <row r="573" spans="1:7" x14ac:dyDescent="0.25">
      <c r="A573" s="1" t="str">
        <f t="shared" si="8"/>
        <v>18 Testo + Cromolyn 1</v>
      </c>
      <c r="B5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3" s="1" t="s">
        <v>2843</v>
      </c>
    </row>
    <row r="574" spans="1:7" x14ac:dyDescent="0.25">
      <c r="A574" s="1" t="str">
        <f t="shared" si="8"/>
        <v>18 Testo + Cromolyn 1</v>
      </c>
      <c r="B5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574" s="1" t="s">
        <v>2844</v>
      </c>
    </row>
    <row r="575" spans="1:7" x14ac:dyDescent="0.25">
      <c r="A575" s="1" t="str">
        <f t="shared" si="8"/>
        <v>18 Testo + Cromolyn 1</v>
      </c>
      <c r="B5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5" s="1" t="s">
        <v>2845</v>
      </c>
      <c r="D575" s="1" t="s">
        <v>842</v>
      </c>
      <c r="E575" s="1" t="s">
        <v>2846</v>
      </c>
      <c r="F575" s="1" t="s">
        <v>112</v>
      </c>
      <c r="G575" s="1">
        <v>257115</v>
      </c>
    </row>
    <row r="576" spans="1:7" x14ac:dyDescent="0.25">
      <c r="A576" s="1" t="str">
        <f t="shared" si="8"/>
        <v>18 Testo + Cromolyn 1</v>
      </c>
      <c r="B5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6" s="1" t="s">
        <v>2847</v>
      </c>
      <c r="D576" s="1" t="s">
        <v>1713</v>
      </c>
      <c r="E576" s="1" t="s">
        <v>2848</v>
      </c>
      <c r="F576" s="1" t="s">
        <v>112</v>
      </c>
      <c r="G576" s="1">
        <v>144617</v>
      </c>
    </row>
    <row r="577" spans="1:9" x14ac:dyDescent="0.25">
      <c r="A577" s="1" t="str">
        <f t="shared" si="8"/>
        <v>18 Testo + Cromolyn 1</v>
      </c>
      <c r="B5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577" s="1" t="s">
        <v>2849</v>
      </c>
      <c r="D577" s="1" t="s">
        <v>2850</v>
      </c>
      <c r="E577" s="1" t="s">
        <v>2851</v>
      </c>
      <c r="F577" s="1" t="s">
        <v>112</v>
      </c>
      <c r="G577" s="1">
        <v>212968</v>
      </c>
    </row>
    <row r="578" spans="1:9" x14ac:dyDescent="0.25">
      <c r="A578" s="1" t="str">
        <f t="shared" ref="A578:A641" si="9">IFERROR(LEFT(RIGHT(C578,LEN(C578)-SEARCH("@",C578)),SEARCH("/",RIGHT(C578,LEN(C578)-SEARCH("@",C578)-1))),"")</f>
        <v>18 Testo + Cromolyn 1</v>
      </c>
      <c r="B5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8" s="1" t="s">
        <v>2852</v>
      </c>
      <c r="D578" s="1" t="s">
        <v>486</v>
      </c>
      <c r="E578" s="1" t="s">
        <v>2853</v>
      </c>
      <c r="F578" s="1" t="s">
        <v>112</v>
      </c>
      <c r="G578" s="1">
        <v>1429109</v>
      </c>
    </row>
    <row r="579" spans="1:9" x14ac:dyDescent="0.25">
      <c r="A579" s="1" t="str">
        <f t="shared" si="9"/>
        <v>18 Testo + Cromolyn 1</v>
      </c>
      <c r="B5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79" s="1" t="s">
        <v>2854</v>
      </c>
      <c r="D579" s="1" t="s">
        <v>2855</v>
      </c>
      <c r="E579" s="1" t="s">
        <v>2856</v>
      </c>
      <c r="F579" s="1" t="s">
        <v>112</v>
      </c>
      <c r="G579" s="1">
        <v>1160595</v>
      </c>
    </row>
    <row r="580" spans="1:9" x14ac:dyDescent="0.25">
      <c r="A580" s="1" t="str">
        <f t="shared" si="9"/>
        <v>18 Testo + Cromolyn 1</v>
      </c>
      <c r="B5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580" s="1" t="s">
        <v>2857</v>
      </c>
      <c r="D580" s="1" t="s">
        <v>2767</v>
      </c>
      <c r="E580" s="1" t="s">
        <v>2858</v>
      </c>
      <c r="F580" s="1" t="s">
        <v>112</v>
      </c>
      <c r="G580" s="1">
        <v>1129124</v>
      </c>
    </row>
    <row r="581" spans="1:9" x14ac:dyDescent="0.25">
      <c r="A581" s="1" t="str">
        <f t="shared" si="9"/>
        <v>18 Testo + Cromolyn 1</v>
      </c>
      <c r="B5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1" s="1" t="s">
        <v>2859</v>
      </c>
      <c r="D581" s="1" t="s">
        <v>2860</v>
      </c>
      <c r="E581" s="1" t="s">
        <v>2861</v>
      </c>
      <c r="F581" s="1" t="s">
        <v>112</v>
      </c>
      <c r="G581" s="1">
        <v>1597844</v>
      </c>
    </row>
    <row r="582" spans="1:9" x14ac:dyDescent="0.25">
      <c r="A582" s="1" t="str">
        <f t="shared" si="9"/>
        <v>18 Testo + Cromolyn 1</v>
      </c>
      <c r="B5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2" s="1" t="s">
        <v>2862</v>
      </c>
      <c r="D582" s="1" t="s">
        <v>2863</v>
      </c>
      <c r="E582" s="1" t="s">
        <v>2864</v>
      </c>
      <c r="F582" s="1" t="s">
        <v>112</v>
      </c>
      <c r="G582" s="1">
        <v>1356151</v>
      </c>
    </row>
    <row r="583" spans="1:9" x14ac:dyDescent="0.25">
      <c r="A583" s="1" t="str">
        <f t="shared" si="9"/>
        <v>18 Testo + Cromolyn 1</v>
      </c>
      <c r="B5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583" s="1" t="s">
        <v>2865</v>
      </c>
      <c r="D583" s="1" t="s">
        <v>2866</v>
      </c>
      <c r="E583" s="1" t="s">
        <v>2867</v>
      </c>
      <c r="F583" s="1" t="s">
        <v>112</v>
      </c>
      <c r="G583" s="1">
        <v>1772116</v>
      </c>
    </row>
    <row r="584" spans="1:9" x14ac:dyDescent="0.25">
      <c r="A584" s="1" t="str">
        <f t="shared" si="9"/>
        <v>18 Testo + Cromolyn 1</v>
      </c>
      <c r="B5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4" s="1" t="s">
        <v>2868</v>
      </c>
      <c r="D584" s="1" t="s">
        <v>1789</v>
      </c>
      <c r="E584" s="1" t="s">
        <v>2869</v>
      </c>
      <c r="F584" s="1" t="s">
        <v>112</v>
      </c>
      <c r="G584" s="1">
        <v>133110</v>
      </c>
    </row>
    <row r="585" spans="1:9" x14ac:dyDescent="0.25">
      <c r="A585" s="1" t="str">
        <f t="shared" si="9"/>
        <v>18 Testo + Cromolyn 1</v>
      </c>
      <c r="B5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5" s="1" t="s">
        <v>2870</v>
      </c>
    </row>
    <row r="586" spans="1:9" x14ac:dyDescent="0.25">
      <c r="A586" s="1" t="str">
        <f t="shared" si="9"/>
        <v>18 Testo + Cromolyn 1</v>
      </c>
      <c r="B58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586" s="1" t="s">
        <v>2871</v>
      </c>
      <c r="D586" s="1" t="s">
        <v>852</v>
      </c>
      <c r="E586" s="1" t="s">
        <v>2872</v>
      </c>
      <c r="F586" s="1" t="s">
        <v>112</v>
      </c>
      <c r="G586" s="1">
        <v>157011</v>
      </c>
    </row>
    <row r="587" spans="1:9" x14ac:dyDescent="0.25">
      <c r="A587" s="1" t="str">
        <f t="shared" si="9"/>
        <v/>
      </c>
      <c r="B5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7" s="1" t="s">
        <v>112</v>
      </c>
    </row>
    <row r="588" spans="1:9" x14ac:dyDescent="0.25">
      <c r="A588" s="1" t="str">
        <f t="shared" si="9"/>
        <v/>
      </c>
      <c r="B5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88" s="1" t="s">
        <v>235</v>
      </c>
      <c r="D588" s="1" t="s">
        <v>112</v>
      </c>
      <c r="E588" s="1" t="s">
        <v>236</v>
      </c>
      <c r="F588" s="1" t="s">
        <v>237</v>
      </c>
      <c r="G588" s="1" t="s">
        <v>238</v>
      </c>
      <c r="H588" s="1" t="s">
        <v>239</v>
      </c>
      <c r="I588" s="1" t="s">
        <v>240</v>
      </c>
    </row>
    <row r="589" spans="1:9" x14ac:dyDescent="0.25">
      <c r="A589" s="1" t="str">
        <f t="shared" si="9"/>
        <v>18 Testo + Cromolyn 1</v>
      </c>
      <c r="B58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589" s="1" t="s">
        <v>2873</v>
      </c>
      <c r="D589" s="1" t="s">
        <v>112</v>
      </c>
      <c r="E589" s="1" t="s">
        <v>2874</v>
      </c>
      <c r="F589" s="1" t="s">
        <v>2875</v>
      </c>
      <c r="G589" s="1" t="s">
        <v>2876</v>
      </c>
      <c r="H589" s="1" t="s">
        <v>2877</v>
      </c>
      <c r="I589" s="1">
        <v>24</v>
      </c>
    </row>
    <row r="590" spans="1:9" x14ac:dyDescent="0.25">
      <c r="A590" s="1" t="str">
        <f t="shared" si="9"/>
        <v/>
      </c>
      <c r="B5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0" s="1" t="s">
        <v>112</v>
      </c>
    </row>
    <row r="591" spans="1:9" x14ac:dyDescent="0.25">
      <c r="A591" s="1" t="str">
        <f t="shared" si="9"/>
        <v/>
      </c>
      <c r="B5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1" s="1" t="s">
        <v>112</v>
      </c>
    </row>
    <row r="592" spans="1:9" x14ac:dyDescent="0.25">
      <c r="A592" s="1" t="str">
        <f t="shared" si="9"/>
        <v/>
      </c>
      <c r="B5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2" s="1" t="s">
        <v>112</v>
      </c>
    </row>
    <row r="593" spans="1:7" x14ac:dyDescent="0.25">
      <c r="A593" s="1" t="str">
        <f t="shared" si="9"/>
        <v/>
      </c>
      <c r="B5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3" s="1" t="s">
        <v>112</v>
      </c>
    </row>
    <row r="594" spans="1:7" x14ac:dyDescent="0.25">
      <c r="A594" s="1" t="str">
        <f t="shared" si="9"/>
        <v/>
      </c>
      <c r="B5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4" s="1" t="s">
        <v>112</v>
      </c>
    </row>
    <row r="595" spans="1:7" x14ac:dyDescent="0.25">
      <c r="A595" s="1" t="str">
        <f t="shared" si="9"/>
        <v/>
      </c>
      <c r="B5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595" s="1" t="s">
        <v>246</v>
      </c>
      <c r="D595" s="1" t="s">
        <v>110</v>
      </c>
      <c r="E595" s="1" t="s">
        <v>111</v>
      </c>
      <c r="F595" s="1" t="s">
        <v>112</v>
      </c>
      <c r="G595" s="1" t="s">
        <v>113</v>
      </c>
    </row>
    <row r="596" spans="1:7" x14ac:dyDescent="0.25">
      <c r="A596" s="1" t="str">
        <f t="shared" si="9"/>
        <v>19 Testo + Cromolyn 10</v>
      </c>
      <c r="B59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6" s="1" t="s">
        <v>2878</v>
      </c>
      <c r="D596" s="1" t="s">
        <v>2879</v>
      </c>
      <c r="E596" s="1" t="s">
        <v>2880</v>
      </c>
      <c r="F596" s="1" t="s">
        <v>112</v>
      </c>
      <c r="G596" s="1">
        <v>1024327</v>
      </c>
    </row>
    <row r="597" spans="1:7" x14ac:dyDescent="0.25">
      <c r="A597" s="1" t="str">
        <f t="shared" si="9"/>
        <v>19 Testo + Cromolyn 10</v>
      </c>
      <c r="B59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7" s="1" t="s">
        <v>2881</v>
      </c>
      <c r="D597" s="1" t="s">
        <v>2882</v>
      </c>
      <c r="E597" s="1" t="s">
        <v>2883</v>
      </c>
      <c r="F597" s="1" t="s">
        <v>112</v>
      </c>
      <c r="G597" s="1">
        <v>1265197</v>
      </c>
    </row>
    <row r="598" spans="1:7" x14ac:dyDescent="0.25">
      <c r="A598" s="1" t="str">
        <f t="shared" si="9"/>
        <v>19 Testo + Cromolyn 10</v>
      </c>
      <c r="B59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598" s="1" t="s">
        <v>2884</v>
      </c>
      <c r="D598" s="1" t="s">
        <v>2885</v>
      </c>
      <c r="E598" s="1" t="s">
        <v>2886</v>
      </c>
      <c r="F598" s="1" t="s">
        <v>112</v>
      </c>
      <c r="G598" s="1">
        <v>1264029</v>
      </c>
    </row>
    <row r="599" spans="1:7" x14ac:dyDescent="0.25">
      <c r="A599" s="1" t="str">
        <f t="shared" si="9"/>
        <v>19 Testo + Cromolyn 10</v>
      </c>
      <c r="B59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599" s="1" t="s">
        <v>2887</v>
      </c>
      <c r="D599" s="1" t="s">
        <v>2888</v>
      </c>
      <c r="E599" s="1" t="s">
        <v>2889</v>
      </c>
      <c r="F599" s="1" t="s">
        <v>112</v>
      </c>
      <c r="G599" s="1">
        <v>1207446</v>
      </c>
    </row>
    <row r="600" spans="1:7" x14ac:dyDescent="0.25">
      <c r="A600" s="1" t="str">
        <f t="shared" si="9"/>
        <v>19 Testo + Cromolyn 10</v>
      </c>
      <c r="B60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0" s="1" t="s">
        <v>2890</v>
      </c>
      <c r="D600" s="1" t="s">
        <v>2804</v>
      </c>
      <c r="E600" s="1" t="s">
        <v>2891</v>
      </c>
      <c r="F600" s="1" t="s">
        <v>112</v>
      </c>
      <c r="G600" s="1">
        <v>985220</v>
      </c>
    </row>
    <row r="601" spans="1:7" x14ac:dyDescent="0.25">
      <c r="A601" s="1" t="str">
        <f t="shared" si="9"/>
        <v>19 Testo + Cromolyn 10</v>
      </c>
      <c r="B60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01" s="1" t="s">
        <v>2892</v>
      </c>
      <c r="D601" s="1" t="s">
        <v>2893</v>
      </c>
      <c r="E601" s="1" t="s">
        <v>2894</v>
      </c>
      <c r="F601" s="1" t="s">
        <v>112</v>
      </c>
      <c r="G601" s="1">
        <v>1067219</v>
      </c>
    </row>
    <row r="602" spans="1:7" x14ac:dyDescent="0.25">
      <c r="A602" s="1" t="str">
        <f t="shared" si="9"/>
        <v>19 Testo + Cromolyn 10</v>
      </c>
      <c r="B60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2" s="1" t="s">
        <v>2895</v>
      </c>
      <c r="D602" s="1" t="s">
        <v>2896</v>
      </c>
      <c r="E602" s="1" t="s">
        <v>2897</v>
      </c>
      <c r="F602" s="1" t="s">
        <v>112</v>
      </c>
      <c r="G602" s="1">
        <v>833789</v>
      </c>
    </row>
    <row r="603" spans="1:7" x14ac:dyDescent="0.25">
      <c r="A603" s="1" t="str">
        <f t="shared" si="9"/>
        <v>19 Testo + Cromolyn 10</v>
      </c>
      <c r="B60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3" s="1" t="s">
        <v>2898</v>
      </c>
      <c r="D603" s="1" t="s">
        <v>2899</v>
      </c>
      <c r="E603" s="1" t="s">
        <v>2900</v>
      </c>
      <c r="F603" s="1" t="s">
        <v>112</v>
      </c>
      <c r="G603" s="1">
        <v>865455</v>
      </c>
    </row>
    <row r="604" spans="1:7" x14ac:dyDescent="0.25">
      <c r="A604" s="1" t="str">
        <f t="shared" si="9"/>
        <v>19 Testo + Cromolyn 10</v>
      </c>
      <c r="B60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04" s="1" t="s">
        <v>2901</v>
      </c>
      <c r="D604" s="1" t="s">
        <v>2902</v>
      </c>
      <c r="E604" s="1" t="s">
        <v>2903</v>
      </c>
      <c r="F604" s="1" t="s">
        <v>112</v>
      </c>
      <c r="G604" s="1">
        <v>895867</v>
      </c>
    </row>
    <row r="605" spans="1:7" x14ac:dyDescent="0.25">
      <c r="A605" s="1" t="str">
        <f t="shared" si="9"/>
        <v>19 Testo + Cromolyn 10</v>
      </c>
      <c r="B60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5" s="1" t="s">
        <v>2904</v>
      </c>
      <c r="D605" s="1" t="s">
        <v>2905</v>
      </c>
      <c r="E605" s="1" t="s">
        <v>2906</v>
      </c>
      <c r="F605" s="1" t="s">
        <v>112</v>
      </c>
      <c r="G605" s="1">
        <v>946503</v>
      </c>
    </row>
    <row r="606" spans="1:7" x14ac:dyDescent="0.25">
      <c r="A606" s="1" t="str">
        <f t="shared" si="9"/>
        <v>19 Testo + Cromolyn 10</v>
      </c>
      <c r="B60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6" s="1" t="s">
        <v>2907</v>
      </c>
      <c r="D606" s="1" t="s">
        <v>2908</v>
      </c>
      <c r="E606" s="1" t="s">
        <v>2909</v>
      </c>
      <c r="F606" s="1" t="s">
        <v>112</v>
      </c>
      <c r="G606" s="1">
        <v>1208505</v>
      </c>
    </row>
    <row r="607" spans="1:7" x14ac:dyDescent="0.25">
      <c r="A607" s="1" t="str">
        <f t="shared" si="9"/>
        <v>19 Testo + Cromolyn 10</v>
      </c>
      <c r="B60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07" s="1" t="s">
        <v>2910</v>
      </c>
      <c r="D607" s="1" t="s">
        <v>2911</v>
      </c>
      <c r="E607" s="1" t="s">
        <v>2912</v>
      </c>
      <c r="F607" s="1" t="s">
        <v>112</v>
      </c>
      <c r="G607" s="1">
        <v>1003346</v>
      </c>
    </row>
    <row r="608" spans="1:7" x14ac:dyDescent="0.25">
      <c r="A608" s="1" t="str">
        <f t="shared" si="9"/>
        <v>19 Testo + Cromolyn 10</v>
      </c>
      <c r="B60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8" s="1" t="s">
        <v>2913</v>
      </c>
      <c r="D608" s="1" t="s">
        <v>2914</v>
      </c>
      <c r="E608" s="1" t="s">
        <v>2915</v>
      </c>
      <c r="F608" s="1" t="s">
        <v>112</v>
      </c>
      <c r="G608" s="1">
        <v>2124185</v>
      </c>
    </row>
    <row r="609" spans="1:9" x14ac:dyDescent="0.25">
      <c r="A609" s="1" t="str">
        <f t="shared" si="9"/>
        <v>19 Testo + Cromolyn 10</v>
      </c>
      <c r="B60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09" s="1" t="s">
        <v>2916</v>
      </c>
      <c r="D609" s="1" t="s">
        <v>2917</v>
      </c>
      <c r="E609" s="1" t="s">
        <v>2918</v>
      </c>
      <c r="F609" s="1" t="s">
        <v>112</v>
      </c>
      <c r="G609" s="1">
        <v>1878080</v>
      </c>
    </row>
    <row r="610" spans="1:9" x14ac:dyDescent="0.25">
      <c r="A610" s="1" t="str">
        <f t="shared" si="9"/>
        <v>19 Testo + Cromolyn 10</v>
      </c>
      <c r="B61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10" s="1" t="s">
        <v>2919</v>
      </c>
      <c r="D610" s="1" t="s">
        <v>2920</v>
      </c>
      <c r="E610" s="1" t="s">
        <v>2921</v>
      </c>
      <c r="F610" s="1" t="s">
        <v>112</v>
      </c>
      <c r="G610" s="1">
        <v>1965617</v>
      </c>
    </row>
    <row r="611" spans="1:9" x14ac:dyDescent="0.25">
      <c r="A611" s="1" t="str">
        <f t="shared" si="9"/>
        <v>19 Testo + Cromolyn 10</v>
      </c>
      <c r="B61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1" s="1" t="s">
        <v>2922</v>
      </c>
      <c r="D611" s="1" t="s">
        <v>2923</v>
      </c>
      <c r="E611" s="1" t="s">
        <v>2924</v>
      </c>
      <c r="F611" s="1" t="s">
        <v>112</v>
      </c>
      <c r="G611" s="1">
        <v>907655</v>
      </c>
    </row>
    <row r="612" spans="1:9" x14ac:dyDescent="0.25">
      <c r="A612" s="1" t="str">
        <f t="shared" si="9"/>
        <v>19 Testo + Cromolyn 10</v>
      </c>
      <c r="B61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2" s="1" t="s">
        <v>2925</v>
      </c>
      <c r="D612" s="1" t="s">
        <v>2761</v>
      </c>
      <c r="E612" s="1" t="s">
        <v>2926</v>
      </c>
      <c r="F612" s="1" t="s">
        <v>112</v>
      </c>
      <c r="G612" s="1">
        <v>1090839</v>
      </c>
    </row>
    <row r="613" spans="1:9" x14ac:dyDescent="0.25">
      <c r="A613" s="1" t="str">
        <f t="shared" si="9"/>
        <v>19 Testo + Cromolyn 10</v>
      </c>
      <c r="B61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13" s="1" t="s">
        <v>2927</v>
      </c>
      <c r="D613" s="1" t="s">
        <v>2893</v>
      </c>
      <c r="E613" s="1" t="s">
        <v>2928</v>
      </c>
      <c r="F613" s="1" t="s">
        <v>112</v>
      </c>
      <c r="G613" s="1">
        <v>1074725</v>
      </c>
    </row>
    <row r="614" spans="1:9" x14ac:dyDescent="0.25">
      <c r="A614" s="1" t="str">
        <f t="shared" si="9"/>
        <v>19 Testo + Cromolyn 10</v>
      </c>
      <c r="B61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4" s="1" t="s">
        <v>2929</v>
      </c>
      <c r="D614" s="1" t="s">
        <v>2436</v>
      </c>
      <c r="E614" s="1" t="s">
        <v>2930</v>
      </c>
      <c r="F614" s="1" t="s">
        <v>112</v>
      </c>
      <c r="G614" s="1">
        <v>527813</v>
      </c>
    </row>
    <row r="615" spans="1:9" x14ac:dyDescent="0.25">
      <c r="A615" s="1" t="str">
        <f t="shared" si="9"/>
        <v>19 Testo + Cromolyn 10</v>
      </c>
      <c r="B61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5" s="1" t="s">
        <v>2931</v>
      </c>
      <c r="D615" s="1" t="s">
        <v>2932</v>
      </c>
      <c r="E615" s="1" t="s">
        <v>2933</v>
      </c>
      <c r="F615" s="1" t="s">
        <v>112</v>
      </c>
      <c r="G615" s="1">
        <v>636503</v>
      </c>
    </row>
    <row r="616" spans="1:9" x14ac:dyDescent="0.25">
      <c r="A616" s="1" t="str">
        <f t="shared" si="9"/>
        <v>19 Testo + Cromolyn 10</v>
      </c>
      <c r="B61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16" s="1" t="s">
        <v>2934</v>
      </c>
      <c r="D616" s="1" t="s">
        <v>2428</v>
      </c>
      <c r="E616" s="1" t="s">
        <v>2935</v>
      </c>
      <c r="F616" s="1" t="s">
        <v>112</v>
      </c>
      <c r="G616" s="1">
        <v>499651</v>
      </c>
    </row>
    <row r="617" spans="1:9" x14ac:dyDescent="0.25">
      <c r="A617" s="1" t="str">
        <f t="shared" si="9"/>
        <v>19 Testo + Cromolyn 10</v>
      </c>
      <c r="B61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7" s="1" t="s">
        <v>2936</v>
      </c>
      <c r="D617" s="1" t="s">
        <v>1777</v>
      </c>
      <c r="E617" s="1" t="s">
        <v>2937</v>
      </c>
      <c r="F617" s="1" t="s">
        <v>112</v>
      </c>
      <c r="G617" s="1">
        <v>134213</v>
      </c>
    </row>
    <row r="618" spans="1:9" x14ac:dyDescent="0.25">
      <c r="A618" s="1" t="str">
        <f t="shared" si="9"/>
        <v>19 Testo + Cromolyn 10</v>
      </c>
      <c r="B61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8" s="1" t="s">
        <v>2938</v>
      </c>
      <c r="D618" s="1" t="s">
        <v>2939</v>
      </c>
      <c r="E618" s="1" t="s">
        <v>2940</v>
      </c>
      <c r="F618" s="1" t="s">
        <v>112</v>
      </c>
      <c r="G618" s="1">
        <v>94285</v>
      </c>
    </row>
    <row r="619" spans="1:9" x14ac:dyDescent="0.25">
      <c r="A619" s="1" t="str">
        <f t="shared" si="9"/>
        <v>19 Testo + Cromolyn 10</v>
      </c>
      <c r="B61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19" s="1" t="s">
        <v>2941</v>
      </c>
      <c r="D619" s="1" t="s">
        <v>2942</v>
      </c>
      <c r="E619" s="1" t="s">
        <v>2943</v>
      </c>
      <c r="F619" s="1" t="s">
        <v>112</v>
      </c>
      <c r="G619" s="1">
        <v>164474</v>
      </c>
    </row>
    <row r="620" spans="1:9" x14ac:dyDescent="0.25">
      <c r="A620" s="1" t="str">
        <f t="shared" si="9"/>
        <v/>
      </c>
      <c r="B6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0" s="1" t="s">
        <v>112</v>
      </c>
    </row>
    <row r="621" spans="1:9" x14ac:dyDescent="0.25">
      <c r="A621" s="1" t="str">
        <f t="shared" si="9"/>
        <v/>
      </c>
      <c r="B6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1" s="1" t="s">
        <v>235</v>
      </c>
      <c r="D621" s="1" t="s">
        <v>112</v>
      </c>
      <c r="E621" s="1" t="s">
        <v>236</v>
      </c>
      <c r="F621" s="1" t="s">
        <v>237</v>
      </c>
      <c r="G621" s="1" t="s">
        <v>238</v>
      </c>
      <c r="H621" s="1" t="s">
        <v>239</v>
      </c>
      <c r="I621" s="1" t="s">
        <v>240</v>
      </c>
    </row>
    <row r="622" spans="1:9" x14ac:dyDescent="0.25">
      <c r="A622" s="1" t="str">
        <f t="shared" si="9"/>
        <v>19 Testo + Cromolyn 10</v>
      </c>
      <c r="B62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22" s="1" t="s">
        <v>2944</v>
      </c>
      <c r="D622" s="1" t="s">
        <v>112</v>
      </c>
      <c r="E622" s="1" t="s">
        <v>2945</v>
      </c>
      <c r="F622" s="1" t="s">
        <v>2946</v>
      </c>
      <c r="G622" s="1" t="s">
        <v>2947</v>
      </c>
      <c r="H622" s="1" t="s">
        <v>2948</v>
      </c>
      <c r="I622" s="1">
        <v>24</v>
      </c>
    </row>
    <row r="623" spans="1:9" x14ac:dyDescent="0.25">
      <c r="A623" s="1" t="str">
        <f t="shared" si="9"/>
        <v/>
      </c>
      <c r="B6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3" s="1" t="s">
        <v>112</v>
      </c>
    </row>
    <row r="624" spans="1:9" x14ac:dyDescent="0.25">
      <c r="A624" s="1" t="str">
        <f t="shared" si="9"/>
        <v/>
      </c>
      <c r="B6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4" s="1" t="s">
        <v>112</v>
      </c>
    </row>
    <row r="625" spans="1:7" x14ac:dyDescent="0.25">
      <c r="A625" s="1" t="str">
        <f t="shared" si="9"/>
        <v/>
      </c>
      <c r="B6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5" s="1" t="s">
        <v>112</v>
      </c>
    </row>
    <row r="626" spans="1:7" x14ac:dyDescent="0.25">
      <c r="A626" s="1" t="str">
        <f t="shared" si="9"/>
        <v/>
      </c>
      <c r="B6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6" s="1" t="s">
        <v>112</v>
      </c>
    </row>
    <row r="627" spans="1:7" x14ac:dyDescent="0.25">
      <c r="A627" s="1" t="str">
        <f t="shared" si="9"/>
        <v/>
      </c>
      <c r="B6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7" s="1" t="s">
        <v>112</v>
      </c>
    </row>
    <row r="628" spans="1:7" x14ac:dyDescent="0.25">
      <c r="A628" s="1" t="str">
        <f t="shared" si="9"/>
        <v/>
      </c>
      <c r="B6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28" s="1" t="s">
        <v>246</v>
      </c>
      <c r="D628" s="1" t="s">
        <v>110</v>
      </c>
      <c r="E628" s="1" t="s">
        <v>111</v>
      </c>
      <c r="F628" s="1" t="s">
        <v>112</v>
      </c>
      <c r="G628" s="1" t="s">
        <v>113</v>
      </c>
    </row>
    <row r="629" spans="1:7" x14ac:dyDescent="0.25">
      <c r="A629" s="1" t="str">
        <f t="shared" si="9"/>
        <v>20 Testo + Cromolyn 100</v>
      </c>
      <c r="B62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29" s="1" t="s">
        <v>2949</v>
      </c>
      <c r="D629" s="1" t="s">
        <v>2950</v>
      </c>
      <c r="E629" s="1" t="s">
        <v>2951</v>
      </c>
      <c r="F629" s="1" t="s">
        <v>112</v>
      </c>
      <c r="G629" s="1">
        <v>5354545</v>
      </c>
    </row>
    <row r="630" spans="1:7" x14ac:dyDescent="0.25">
      <c r="A630" s="1" t="str">
        <f t="shared" si="9"/>
        <v>20 Testo + Cromolyn 100</v>
      </c>
      <c r="B63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0" s="1" t="s">
        <v>2952</v>
      </c>
      <c r="D630" s="1" t="s">
        <v>2953</v>
      </c>
      <c r="E630" s="1" t="s">
        <v>2954</v>
      </c>
      <c r="F630" s="1" t="s">
        <v>112</v>
      </c>
      <c r="G630" s="1">
        <v>6000609</v>
      </c>
    </row>
    <row r="631" spans="1:7" x14ac:dyDescent="0.25">
      <c r="A631" s="1" t="str">
        <f t="shared" si="9"/>
        <v>20 Testo + Cromolyn 100</v>
      </c>
      <c r="B63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31" s="1" t="s">
        <v>2955</v>
      </c>
    </row>
    <row r="632" spans="1:7" x14ac:dyDescent="0.25">
      <c r="A632" s="1" t="str">
        <f t="shared" si="9"/>
        <v>20 Testo + Cromolyn 100</v>
      </c>
      <c r="B63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2" s="1" t="s">
        <v>2956</v>
      </c>
      <c r="D632" s="1" t="s">
        <v>2957</v>
      </c>
      <c r="E632" s="1" t="s">
        <v>2958</v>
      </c>
      <c r="F632" s="1" t="s">
        <v>112</v>
      </c>
      <c r="G632" s="1">
        <v>1475873</v>
      </c>
    </row>
    <row r="633" spans="1:7" x14ac:dyDescent="0.25">
      <c r="A633" s="1" t="str">
        <f t="shared" si="9"/>
        <v>20 Testo + Cromolyn 100</v>
      </c>
      <c r="B63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3" s="1" t="s">
        <v>2959</v>
      </c>
      <c r="D633" s="1" t="s">
        <v>2960</v>
      </c>
      <c r="E633" s="1" t="s">
        <v>2961</v>
      </c>
      <c r="F633" s="1" t="s">
        <v>112</v>
      </c>
      <c r="G633" s="1">
        <v>1294376</v>
      </c>
    </row>
    <row r="634" spans="1:7" x14ac:dyDescent="0.25">
      <c r="A634" s="1" t="str">
        <f t="shared" si="9"/>
        <v>20 Testo + Cromolyn 100</v>
      </c>
      <c r="B63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34" s="1" t="s">
        <v>2962</v>
      </c>
      <c r="D634" s="1" t="s">
        <v>2963</v>
      </c>
      <c r="E634" s="1" t="s">
        <v>2964</v>
      </c>
      <c r="F634" s="1" t="s">
        <v>112</v>
      </c>
      <c r="G634" s="1">
        <v>1016800</v>
      </c>
    </row>
    <row r="635" spans="1:7" x14ac:dyDescent="0.25">
      <c r="A635" s="1" t="str">
        <f t="shared" si="9"/>
        <v>20 Testo + Cromolyn 100</v>
      </c>
      <c r="B63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5" s="1" t="s">
        <v>2965</v>
      </c>
      <c r="D635" s="1" t="s">
        <v>2966</v>
      </c>
      <c r="E635" s="1" t="s">
        <v>2967</v>
      </c>
      <c r="F635" s="1" t="s">
        <v>112</v>
      </c>
      <c r="G635" s="1">
        <v>646842</v>
      </c>
    </row>
    <row r="636" spans="1:7" x14ac:dyDescent="0.25">
      <c r="A636" s="1" t="str">
        <f t="shared" si="9"/>
        <v>20 Testo + Cromolyn 100</v>
      </c>
      <c r="B63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6" s="1" t="s">
        <v>2968</v>
      </c>
      <c r="D636" s="1" t="s">
        <v>2969</v>
      </c>
      <c r="E636" s="1" t="s">
        <v>2970</v>
      </c>
      <c r="F636" s="1" t="s">
        <v>112</v>
      </c>
      <c r="G636" s="1">
        <v>887929</v>
      </c>
    </row>
    <row r="637" spans="1:7" x14ac:dyDescent="0.25">
      <c r="A637" s="1" t="str">
        <f t="shared" si="9"/>
        <v>20 Testo + Cromolyn 100</v>
      </c>
      <c r="B63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37" s="1" t="s">
        <v>2971</v>
      </c>
      <c r="D637" s="1" t="s">
        <v>2972</v>
      </c>
      <c r="E637" s="1" t="s">
        <v>2973</v>
      </c>
      <c r="F637" s="1" t="s">
        <v>112</v>
      </c>
      <c r="G637" s="1">
        <v>964455</v>
      </c>
    </row>
    <row r="638" spans="1:7" x14ac:dyDescent="0.25">
      <c r="A638" s="1" t="str">
        <f t="shared" si="9"/>
        <v>20 Testo + Cromolyn 100</v>
      </c>
      <c r="B63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8" s="1" t="s">
        <v>2974</v>
      </c>
      <c r="D638" s="1" t="s">
        <v>2975</v>
      </c>
      <c r="E638" s="1" t="s">
        <v>2976</v>
      </c>
      <c r="F638" s="1" t="s">
        <v>112</v>
      </c>
      <c r="G638" s="1">
        <v>1868736</v>
      </c>
    </row>
    <row r="639" spans="1:7" x14ac:dyDescent="0.25">
      <c r="A639" s="1" t="str">
        <f t="shared" si="9"/>
        <v>20 Testo + Cromolyn 100</v>
      </c>
      <c r="B63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39" s="1" t="s">
        <v>2977</v>
      </c>
      <c r="D639" s="1" t="s">
        <v>2978</v>
      </c>
      <c r="E639" s="1" t="s">
        <v>2979</v>
      </c>
      <c r="F639" s="1" t="s">
        <v>112</v>
      </c>
      <c r="G639" s="1">
        <v>1587267</v>
      </c>
    </row>
    <row r="640" spans="1:7" x14ac:dyDescent="0.25">
      <c r="A640" s="1" t="str">
        <f t="shared" si="9"/>
        <v>20 Testo + Cromolyn 100</v>
      </c>
      <c r="B64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40" s="1" t="s">
        <v>2980</v>
      </c>
      <c r="D640" s="1" t="s">
        <v>2981</v>
      </c>
      <c r="E640" s="1" t="s">
        <v>2982</v>
      </c>
      <c r="F640" s="1" t="s">
        <v>112</v>
      </c>
      <c r="G640" s="1">
        <v>1457920</v>
      </c>
    </row>
    <row r="641" spans="1:9" x14ac:dyDescent="0.25">
      <c r="A641" s="1" t="str">
        <f t="shared" si="9"/>
        <v>20 Testo + Cromolyn 100</v>
      </c>
      <c r="B64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1" s="1" t="s">
        <v>2983</v>
      </c>
      <c r="D641" s="1" t="s">
        <v>2984</v>
      </c>
      <c r="E641" s="1" t="s">
        <v>2985</v>
      </c>
      <c r="F641" s="1" t="s">
        <v>112</v>
      </c>
      <c r="G641" s="1">
        <v>2471064</v>
      </c>
    </row>
    <row r="642" spans="1:9" x14ac:dyDescent="0.25">
      <c r="A642" s="1" t="str">
        <f t="shared" ref="A642:A705" si="10">IFERROR(LEFT(RIGHT(C642,LEN(C642)-SEARCH("@",C642)),SEARCH("/",RIGHT(C642,LEN(C642)-SEARCH("@",C642)-1))),"")</f>
        <v>20 Testo + Cromolyn 100</v>
      </c>
      <c r="B64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2" s="1" t="s">
        <v>2986</v>
      </c>
      <c r="D642" s="1" t="s">
        <v>2987</v>
      </c>
      <c r="E642" s="1" t="s">
        <v>2988</v>
      </c>
      <c r="F642" s="1" t="s">
        <v>112</v>
      </c>
      <c r="G642" s="1">
        <v>2258875</v>
      </c>
    </row>
    <row r="643" spans="1:9" x14ac:dyDescent="0.25">
      <c r="A643" s="1" t="str">
        <f t="shared" si="10"/>
        <v>20 Testo + Cromolyn 100</v>
      </c>
      <c r="B64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43" s="1" t="s">
        <v>2989</v>
      </c>
      <c r="D643" s="1" t="s">
        <v>2990</v>
      </c>
      <c r="E643" s="1" t="s">
        <v>2991</v>
      </c>
      <c r="F643" s="1" t="s">
        <v>112</v>
      </c>
      <c r="G643" s="1">
        <v>1873279</v>
      </c>
    </row>
    <row r="644" spans="1:9" x14ac:dyDescent="0.25">
      <c r="A644" s="1" t="str">
        <f t="shared" si="10"/>
        <v>20 Testo + Cromolyn 100</v>
      </c>
      <c r="B64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4" s="1" t="s">
        <v>2992</v>
      </c>
      <c r="D644" s="1" t="s">
        <v>2993</v>
      </c>
      <c r="E644" s="1" t="s">
        <v>2994</v>
      </c>
      <c r="F644" s="1" t="s">
        <v>112</v>
      </c>
      <c r="G644" s="1">
        <v>1736837</v>
      </c>
    </row>
    <row r="645" spans="1:9" x14ac:dyDescent="0.25">
      <c r="A645" s="1" t="str">
        <f t="shared" si="10"/>
        <v>20 Testo + Cromolyn 100</v>
      </c>
      <c r="B64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5" s="1" t="s">
        <v>2995</v>
      </c>
      <c r="D645" s="1" t="s">
        <v>2996</v>
      </c>
      <c r="E645" s="1" t="s">
        <v>2997</v>
      </c>
      <c r="F645" s="1" t="s">
        <v>112</v>
      </c>
      <c r="G645" s="1">
        <v>1815765</v>
      </c>
    </row>
    <row r="646" spans="1:9" x14ac:dyDescent="0.25">
      <c r="A646" s="1" t="str">
        <f t="shared" si="10"/>
        <v>20 Testo + Cromolyn 100</v>
      </c>
      <c r="B64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46" s="1" t="s">
        <v>2998</v>
      </c>
      <c r="D646" s="1" t="s">
        <v>2999</v>
      </c>
      <c r="E646" s="1" t="s">
        <v>3000</v>
      </c>
      <c r="F646" s="1" t="s">
        <v>112</v>
      </c>
      <c r="G646" s="1">
        <v>1979828</v>
      </c>
    </row>
    <row r="647" spans="1:9" x14ac:dyDescent="0.25">
      <c r="A647" s="1" t="str">
        <f t="shared" si="10"/>
        <v>20 Testo + Cromolyn 100</v>
      </c>
      <c r="B64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7" s="1" t="s">
        <v>3001</v>
      </c>
      <c r="D647" s="1" t="s">
        <v>3002</v>
      </c>
      <c r="E647" s="1" t="s">
        <v>3003</v>
      </c>
      <c r="F647" s="1" t="s">
        <v>112</v>
      </c>
      <c r="G647" s="1">
        <v>738596</v>
      </c>
    </row>
    <row r="648" spans="1:9" x14ac:dyDescent="0.25">
      <c r="A648" s="1" t="str">
        <f t="shared" si="10"/>
        <v>20 Testo + Cromolyn 100</v>
      </c>
      <c r="B64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8" s="1" t="s">
        <v>3004</v>
      </c>
      <c r="D648" s="1" t="s">
        <v>349</v>
      </c>
      <c r="E648" s="1" t="s">
        <v>3005</v>
      </c>
      <c r="F648" s="1" t="s">
        <v>112</v>
      </c>
      <c r="G648" s="1">
        <v>433333</v>
      </c>
    </row>
    <row r="649" spans="1:9" x14ac:dyDescent="0.25">
      <c r="A649" s="1" t="str">
        <f t="shared" si="10"/>
        <v>20 Testo + Cromolyn 100</v>
      </c>
      <c r="B64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49" s="1" t="s">
        <v>3006</v>
      </c>
      <c r="D649" s="1" t="s">
        <v>2212</v>
      </c>
      <c r="E649" s="1" t="s">
        <v>3007</v>
      </c>
      <c r="F649" s="1" t="s">
        <v>112</v>
      </c>
      <c r="G649" s="1">
        <v>641564</v>
      </c>
    </row>
    <row r="650" spans="1:9" x14ac:dyDescent="0.25">
      <c r="A650" s="1" t="str">
        <f t="shared" si="10"/>
        <v>20 Testo + Cromolyn 100</v>
      </c>
      <c r="B65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0" s="1" t="s">
        <v>3008</v>
      </c>
      <c r="D650" s="1" t="s">
        <v>3009</v>
      </c>
      <c r="E650" s="1" t="s">
        <v>3010</v>
      </c>
      <c r="F650" s="1" t="s">
        <v>112</v>
      </c>
      <c r="G650" s="1">
        <v>440796</v>
      </c>
    </row>
    <row r="651" spans="1:9" x14ac:dyDescent="0.25">
      <c r="A651" s="1" t="str">
        <f t="shared" si="10"/>
        <v>20 Testo + Cromolyn 100</v>
      </c>
      <c r="B65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1" s="1" t="s">
        <v>3011</v>
      </c>
      <c r="D651" s="1" t="s">
        <v>3012</v>
      </c>
      <c r="E651" s="1" t="s">
        <v>3013</v>
      </c>
      <c r="F651" s="1" t="s">
        <v>112</v>
      </c>
      <c r="G651" s="1">
        <v>323691</v>
      </c>
    </row>
    <row r="652" spans="1:9" x14ac:dyDescent="0.25">
      <c r="A652" s="1" t="str">
        <f t="shared" si="10"/>
        <v>20 Testo + Cromolyn 100</v>
      </c>
      <c r="B65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52" s="1" t="s">
        <v>3014</v>
      </c>
      <c r="D652" s="1" t="s">
        <v>3015</v>
      </c>
      <c r="E652" s="1" t="s">
        <v>3016</v>
      </c>
      <c r="F652" s="1" t="s">
        <v>112</v>
      </c>
      <c r="G652" s="1">
        <v>392842</v>
      </c>
    </row>
    <row r="653" spans="1:9" x14ac:dyDescent="0.25">
      <c r="A653" s="1" t="str">
        <f t="shared" si="10"/>
        <v/>
      </c>
      <c r="B6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3" s="1" t="s">
        <v>112</v>
      </c>
    </row>
    <row r="654" spans="1:9" x14ac:dyDescent="0.25">
      <c r="A654" s="1" t="str">
        <f t="shared" si="10"/>
        <v/>
      </c>
      <c r="B6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4" s="1" t="s">
        <v>235</v>
      </c>
      <c r="D654" s="1" t="s">
        <v>112</v>
      </c>
      <c r="E654" s="1" t="s">
        <v>236</v>
      </c>
      <c r="F654" s="1" t="s">
        <v>237</v>
      </c>
      <c r="G654" s="1" t="s">
        <v>238</v>
      </c>
      <c r="H654" s="1" t="s">
        <v>239</v>
      </c>
      <c r="I654" s="1" t="s">
        <v>240</v>
      </c>
    </row>
    <row r="655" spans="1:9" x14ac:dyDescent="0.25">
      <c r="A655" s="1" t="str">
        <f t="shared" si="10"/>
        <v>20 Testo + Cromolyn 100</v>
      </c>
      <c r="B65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55" s="1" t="s">
        <v>3017</v>
      </c>
      <c r="D655" s="1" t="s">
        <v>112</v>
      </c>
      <c r="E655" s="1" t="s">
        <v>3018</v>
      </c>
      <c r="F655" s="1" t="s">
        <v>3019</v>
      </c>
      <c r="G655" s="1" t="s">
        <v>3020</v>
      </c>
      <c r="H655" s="1" t="s">
        <v>3021</v>
      </c>
      <c r="I655" s="1">
        <v>24</v>
      </c>
    </row>
    <row r="656" spans="1:9" x14ac:dyDescent="0.25">
      <c r="A656" s="1" t="str">
        <f t="shared" si="10"/>
        <v/>
      </c>
      <c r="B6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6" s="1" t="s">
        <v>112</v>
      </c>
    </row>
    <row r="657" spans="1:7" x14ac:dyDescent="0.25">
      <c r="A657" s="1" t="str">
        <f t="shared" si="10"/>
        <v/>
      </c>
      <c r="B6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7" s="1" t="s">
        <v>112</v>
      </c>
    </row>
    <row r="658" spans="1:7" x14ac:dyDescent="0.25">
      <c r="A658" s="1" t="str">
        <f t="shared" si="10"/>
        <v/>
      </c>
      <c r="B6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8" s="1" t="s">
        <v>112</v>
      </c>
    </row>
    <row r="659" spans="1:7" x14ac:dyDescent="0.25">
      <c r="A659" s="1" t="str">
        <f t="shared" si="10"/>
        <v/>
      </c>
      <c r="B6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59" s="1" t="s">
        <v>112</v>
      </c>
    </row>
    <row r="660" spans="1:7" x14ac:dyDescent="0.25">
      <c r="A660" s="1" t="str">
        <f t="shared" si="10"/>
        <v/>
      </c>
      <c r="B6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0" s="1" t="s">
        <v>112</v>
      </c>
    </row>
    <row r="661" spans="1:7" x14ac:dyDescent="0.25">
      <c r="A661" s="1" t="str">
        <f t="shared" si="10"/>
        <v/>
      </c>
      <c r="B6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61" s="1" t="s">
        <v>246</v>
      </c>
      <c r="D661" s="1" t="s">
        <v>110</v>
      </c>
      <c r="E661" s="1" t="s">
        <v>111</v>
      </c>
      <c r="F661" s="1" t="s">
        <v>112</v>
      </c>
      <c r="G661" s="1" t="s">
        <v>113</v>
      </c>
    </row>
    <row r="662" spans="1:7" x14ac:dyDescent="0.25">
      <c r="A662" s="1" t="str">
        <f t="shared" si="10"/>
        <v>21 Testo + Cromolyn 1000</v>
      </c>
      <c r="B66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2" s="1" t="s">
        <v>3022</v>
      </c>
      <c r="D662" s="1" t="s">
        <v>3023</v>
      </c>
      <c r="E662" s="1" t="s">
        <v>3024</v>
      </c>
      <c r="F662" s="1" t="s">
        <v>112</v>
      </c>
      <c r="G662" s="1">
        <v>1417667</v>
      </c>
    </row>
    <row r="663" spans="1:7" x14ac:dyDescent="0.25">
      <c r="A663" s="1" t="str">
        <f t="shared" si="10"/>
        <v>21 Testo + Cromolyn 1000</v>
      </c>
      <c r="B66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3" s="1" t="s">
        <v>3025</v>
      </c>
      <c r="D663" s="1" t="s">
        <v>3026</v>
      </c>
      <c r="E663" s="1" t="s">
        <v>3027</v>
      </c>
      <c r="F663" s="1" t="s">
        <v>112</v>
      </c>
      <c r="G663" s="1">
        <v>1316525</v>
      </c>
    </row>
    <row r="664" spans="1:7" x14ac:dyDescent="0.25">
      <c r="A664" s="1" t="str">
        <f t="shared" si="10"/>
        <v>21 Testo + Cromolyn 1000</v>
      </c>
      <c r="B66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A</v>
      </c>
      <c r="C664" s="1" t="s">
        <v>3028</v>
      </c>
      <c r="D664" s="1" t="s">
        <v>3029</v>
      </c>
      <c r="E664" s="1" t="s">
        <v>3030</v>
      </c>
      <c r="F664" s="1" t="s">
        <v>112</v>
      </c>
      <c r="G664" s="1">
        <v>1301103</v>
      </c>
    </row>
    <row r="665" spans="1:7" x14ac:dyDescent="0.25">
      <c r="A665" s="1" t="str">
        <f t="shared" si="10"/>
        <v>21 Testo + Cromolyn 1000</v>
      </c>
      <c r="B66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5" s="1" t="s">
        <v>3031</v>
      </c>
      <c r="D665" s="1" t="s">
        <v>3032</v>
      </c>
      <c r="E665" s="1" t="s">
        <v>3033</v>
      </c>
      <c r="F665" s="1" t="s">
        <v>112</v>
      </c>
      <c r="G665" s="1">
        <v>158525</v>
      </c>
    </row>
    <row r="666" spans="1:7" x14ac:dyDescent="0.25">
      <c r="A666" s="1" t="str">
        <f t="shared" si="10"/>
        <v>21 Testo + Cromolyn 1000</v>
      </c>
      <c r="B66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6" s="1" t="s">
        <v>3034</v>
      </c>
      <c r="D666" s="1" t="s">
        <v>224</v>
      </c>
      <c r="E666" s="1" t="s">
        <v>3035</v>
      </c>
      <c r="F666" s="1" t="s">
        <v>112</v>
      </c>
      <c r="G666" s="1">
        <v>264663</v>
      </c>
    </row>
    <row r="667" spans="1:7" x14ac:dyDescent="0.25">
      <c r="A667" s="1" t="str">
        <f t="shared" si="10"/>
        <v>21 Testo + Cromolyn 1000</v>
      </c>
      <c r="B66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B</v>
      </c>
      <c r="C667" s="1" t="s">
        <v>3036</v>
      </c>
      <c r="D667" s="1" t="s">
        <v>3037</v>
      </c>
      <c r="E667" s="1" t="s">
        <v>3038</v>
      </c>
      <c r="F667" s="1" t="s">
        <v>112</v>
      </c>
      <c r="G667" s="1">
        <v>357196</v>
      </c>
    </row>
    <row r="668" spans="1:7" x14ac:dyDescent="0.25">
      <c r="A668" s="1" t="str">
        <f t="shared" si="10"/>
        <v>21 Testo + Cromolyn 1000</v>
      </c>
      <c r="B66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8" s="1" t="s">
        <v>3039</v>
      </c>
      <c r="D668" s="1" t="s">
        <v>3040</v>
      </c>
      <c r="E668" s="1" t="s">
        <v>3041</v>
      </c>
      <c r="F668" s="1" t="s">
        <v>112</v>
      </c>
      <c r="G668" s="1">
        <v>355855</v>
      </c>
    </row>
    <row r="669" spans="1:7" x14ac:dyDescent="0.25">
      <c r="A669" s="1" t="str">
        <f t="shared" si="10"/>
        <v>21 Testo + Cromolyn 1000</v>
      </c>
      <c r="B66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69" s="1" t="s">
        <v>3042</v>
      </c>
      <c r="D669" s="1" t="s">
        <v>2249</v>
      </c>
      <c r="E669" s="1" t="s">
        <v>3043</v>
      </c>
      <c r="F669" s="1" t="s">
        <v>112</v>
      </c>
      <c r="G669" s="1">
        <v>265961</v>
      </c>
    </row>
    <row r="670" spans="1:7" x14ac:dyDescent="0.25">
      <c r="A670" s="1" t="str">
        <f t="shared" si="10"/>
        <v>21 Testo + Cromolyn 1000</v>
      </c>
      <c r="B67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C</v>
      </c>
      <c r="C670" s="1" t="s">
        <v>3044</v>
      </c>
      <c r="D670" s="1" t="s">
        <v>3040</v>
      </c>
      <c r="E670" s="1" t="s">
        <v>3045</v>
      </c>
      <c r="F670" s="1" t="s">
        <v>112</v>
      </c>
      <c r="G670" s="1">
        <v>356050</v>
      </c>
    </row>
    <row r="671" spans="1:7" x14ac:dyDescent="0.25">
      <c r="A671" s="1" t="str">
        <f t="shared" si="10"/>
        <v>21 Testo + Cromolyn 1000</v>
      </c>
      <c r="B67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1" s="1" t="s">
        <v>3046</v>
      </c>
      <c r="D671" s="1" t="s">
        <v>3047</v>
      </c>
      <c r="E671" s="1" t="s">
        <v>738</v>
      </c>
      <c r="F671" s="1" t="s">
        <v>112</v>
      </c>
      <c r="G671" s="1">
        <v>123615</v>
      </c>
    </row>
    <row r="672" spans="1:7" x14ac:dyDescent="0.25">
      <c r="A672" s="1" t="str">
        <f t="shared" si="10"/>
        <v>21 Testo + Cromolyn 1000</v>
      </c>
      <c r="B67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2" s="1" t="s">
        <v>3048</v>
      </c>
      <c r="D672" s="1" t="s">
        <v>1239</v>
      </c>
      <c r="E672" s="1" t="s">
        <v>3049</v>
      </c>
      <c r="F672" s="1" t="s">
        <v>112</v>
      </c>
      <c r="G672" s="1">
        <v>193328</v>
      </c>
    </row>
    <row r="673" spans="1:9" x14ac:dyDescent="0.25">
      <c r="A673" s="1" t="str">
        <f t="shared" si="10"/>
        <v>21 Testo + Cromolyn 1000</v>
      </c>
      <c r="B67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D</v>
      </c>
      <c r="C673" s="1" t="s">
        <v>3050</v>
      </c>
      <c r="D673" s="1" t="s">
        <v>1921</v>
      </c>
      <c r="E673" s="1" t="s">
        <v>3051</v>
      </c>
      <c r="F673" s="1" t="s">
        <v>112</v>
      </c>
      <c r="G673" s="1">
        <v>244288</v>
      </c>
    </row>
    <row r="674" spans="1:9" x14ac:dyDescent="0.25">
      <c r="A674" s="1" t="str">
        <f t="shared" si="10"/>
        <v>21 Testo + Cromolyn 1000</v>
      </c>
      <c r="B67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4" s="1" t="s">
        <v>3052</v>
      </c>
      <c r="D674" s="1" t="s">
        <v>3053</v>
      </c>
      <c r="E674" s="1" t="s">
        <v>3054</v>
      </c>
      <c r="F674" s="1" t="s">
        <v>112</v>
      </c>
      <c r="G674" s="1">
        <v>1340772</v>
      </c>
    </row>
    <row r="675" spans="1:9" x14ac:dyDescent="0.25">
      <c r="A675" s="1" t="str">
        <f t="shared" si="10"/>
        <v>21 Testo + Cromolyn 1000</v>
      </c>
      <c r="B67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5" s="1" t="s">
        <v>3055</v>
      </c>
      <c r="D675" s="1" t="s">
        <v>3056</v>
      </c>
      <c r="E675" s="1" t="s">
        <v>3057</v>
      </c>
      <c r="F675" s="1" t="s">
        <v>112</v>
      </c>
      <c r="G675" s="1">
        <v>1461705</v>
      </c>
    </row>
    <row r="676" spans="1:9" x14ac:dyDescent="0.25">
      <c r="A676" s="1" t="str">
        <f t="shared" si="10"/>
        <v>21 Testo + Cromolyn 1000</v>
      </c>
      <c r="B676"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E</v>
      </c>
      <c r="C676" s="1" t="s">
        <v>3058</v>
      </c>
      <c r="D676" s="1" t="s">
        <v>3059</v>
      </c>
      <c r="E676" s="1" t="s">
        <v>3060</v>
      </c>
      <c r="F676" s="1" t="s">
        <v>112</v>
      </c>
      <c r="G676" s="1">
        <v>1114004</v>
      </c>
    </row>
    <row r="677" spans="1:9" x14ac:dyDescent="0.25">
      <c r="A677" s="1" t="str">
        <f t="shared" si="10"/>
        <v>21 Testo + Cromolyn 1000</v>
      </c>
      <c r="B677"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7" s="1" t="s">
        <v>3061</v>
      </c>
      <c r="D677" s="1" t="s">
        <v>3062</v>
      </c>
      <c r="E677" s="1" t="s">
        <v>3063</v>
      </c>
      <c r="F677" s="1" t="s">
        <v>112</v>
      </c>
      <c r="G677" s="1">
        <v>1650599</v>
      </c>
    </row>
    <row r="678" spans="1:9" x14ac:dyDescent="0.25">
      <c r="A678" s="1" t="str">
        <f t="shared" si="10"/>
        <v>21 Testo + Cromolyn 1000</v>
      </c>
      <c r="B67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8" s="1" t="s">
        <v>3064</v>
      </c>
      <c r="D678" s="1" t="s">
        <v>1461</v>
      </c>
      <c r="E678" s="1" t="s">
        <v>3065</v>
      </c>
      <c r="F678" s="1" t="s">
        <v>112</v>
      </c>
      <c r="G678" s="1">
        <v>1951298</v>
      </c>
    </row>
    <row r="679" spans="1:9" x14ac:dyDescent="0.25">
      <c r="A679" s="1" t="str">
        <f t="shared" si="10"/>
        <v>21 Testo + Cromolyn 1000</v>
      </c>
      <c r="B679"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F</v>
      </c>
      <c r="C679" s="1" t="s">
        <v>3066</v>
      </c>
      <c r="D679" s="1" t="s">
        <v>3067</v>
      </c>
      <c r="E679" s="1" t="s">
        <v>3068</v>
      </c>
      <c r="F679" s="1" t="s">
        <v>112</v>
      </c>
      <c r="G679" s="1">
        <v>1747068</v>
      </c>
    </row>
    <row r="680" spans="1:9" x14ac:dyDescent="0.25">
      <c r="A680" s="1" t="str">
        <f t="shared" si="10"/>
        <v>21 Testo + Cromolyn 1000</v>
      </c>
      <c r="B680"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0" s="1" t="s">
        <v>3069</v>
      </c>
      <c r="D680" s="1" t="s">
        <v>3070</v>
      </c>
      <c r="E680" s="1" t="s">
        <v>3071</v>
      </c>
      <c r="F680" s="1" t="s">
        <v>112</v>
      </c>
      <c r="G680" s="1">
        <v>1500358</v>
      </c>
    </row>
    <row r="681" spans="1:9" x14ac:dyDescent="0.25">
      <c r="A681" s="1" t="str">
        <f t="shared" si="10"/>
        <v>21 Testo + Cromolyn 1000</v>
      </c>
      <c r="B681"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1" s="1" t="s">
        <v>3072</v>
      </c>
      <c r="D681" s="1" t="s">
        <v>3073</v>
      </c>
      <c r="E681" s="1" t="s">
        <v>3074</v>
      </c>
      <c r="F681" s="1" t="s">
        <v>112</v>
      </c>
      <c r="G681" s="1">
        <v>1379360</v>
      </c>
    </row>
    <row r="682" spans="1:9" x14ac:dyDescent="0.25">
      <c r="A682" s="1" t="str">
        <f t="shared" si="10"/>
        <v>21 Testo + Cromolyn 1000</v>
      </c>
      <c r="B682"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G</v>
      </c>
      <c r="C682" s="1" t="s">
        <v>3075</v>
      </c>
      <c r="D682" s="1" t="s">
        <v>3076</v>
      </c>
      <c r="E682" s="1" t="s">
        <v>3077</v>
      </c>
      <c r="F682" s="1" t="s">
        <v>112</v>
      </c>
      <c r="G682" s="1">
        <v>1454221</v>
      </c>
    </row>
    <row r="683" spans="1:9" x14ac:dyDescent="0.25">
      <c r="A683" s="1" t="str">
        <f t="shared" si="10"/>
        <v>21 Testo + Cromolyn 1000</v>
      </c>
      <c r="B683"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3" s="1" t="s">
        <v>3078</v>
      </c>
      <c r="D683" s="1" t="s">
        <v>3079</v>
      </c>
      <c r="E683" s="1" t="s">
        <v>3080</v>
      </c>
      <c r="F683" s="1" t="s">
        <v>112</v>
      </c>
      <c r="G683" s="1">
        <v>1768914</v>
      </c>
    </row>
    <row r="684" spans="1:9" x14ac:dyDescent="0.25">
      <c r="A684" s="1" t="str">
        <f t="shared" si="10"/>
        <v>21 Testo + Cromolyn 1000</v>
      </c>
      <c r="B684"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4" s="1" t="s">
        <v>3081</v>
      </c>
      <c r="D684" s="1" t="s">
        <v>3082</v>
      </c>
      <c r="E684" s="1" t="s">
        <v>3083</v>
      </c>
      <c r="F684" s="1" t="s">
        <v>112</v>
      </c>
      <c r="G684" s="1">
        <v>1860041</v>
      </c>
    </row>
    <row r="685" spans="1:9" x14ac:dyDescent="0.25">
      <c r="A685" s="1" t="str">
        <f t="shared" si="10"/>
        <v>21 Testo + Cromolyn 1000</v>
      </c>
      <c r="B685"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H</v>
      </c>
      <c r="C685" s="1" t="s">
        <v>3084</v>
      </c>
      <c r="D685" s="1" t="s">
        <v>3085</v>
      </c>
      <c r="E685" s="1" t="s">
        <v>3086</v>
      </c>
      <c r="F685" s="1" t="s">
        <v>112</v>
      </c>
      <c r="G685" s="1">
        <v>1847885</v>
      </c>
    </row>
    <row r="686" spans="1:9" x14ac:dyDescent="0.25">
      <c r="A686" s="1" t="str">
        <f t="shared" si="10"/>
        <v/>
      </c>
      <c r="B6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6" s="1" t="s">
        <v>112</v>
      </c>
    </row>
    <row r="687" spans="1:9" x14ac:dyDescent="0.25">
      <c r="A687" s="1" t="str">
        <f t="shared" si="10"/>
        <v/>
      </c>
      <c r="B6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7" s="1" t="s">
        <v>235</v>
      </c>
      <c r="D687" s="1" t="s">
        <v>112</v>
      </c>
      <c r="E687" s="1" t="s">
        <v>236</v>
      </c>
      <c r="F687" s="1" t="s">
        <v>237</v>
      </c>
      <c r="G687" s="1" t="s">
        <v>238</v>
      </c>
      <c r="H687" s="1" t="s">
        <v>239</v>
      </c>
      <c r="I687" s="1" t="s">
        <v>240</v>
      </c>
    </row>
    <row r="688" spans="1:9" x14ac:dyDescent="0.25">
      <c r="A688" s="1" t="str">
        <f t="shared" si="10"/>
        <v>21 Testo + Cromolyn 1000</v>
      </c>
      <c r="B688" s="1" t="str">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 xml:space="preserve"> </v>
      </c>
      <c r="C688" s="1" t="s">
        <v>3087</v>
      </c>
      <c r="D688" s="1" t="s">
        <v>112</v>
      </c>
      <c r="E688" s="1" t="s">
        <v>3088</v>
      </c>
      <c r="F688" s="1" t="s">
        <v>3089</v>
      </c>
      <c r="G688" s="1" t="s">
        <v>3090</v>
      </c>
      <c r="H688" s="1" t="s">
        <v>3091</v>
      </c>
      <c r="I688" s="1">
        <v>24</v>
      </c>
    </row>
    <row r="689" spans="1:4" x14ac:dyDescent="0.25">
      <c r="A689" s="1" t="str">
        <f t="shared" si="10"/>
        <v/>
      </c>
      <c r="B6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89" s="1" t="s">
        <v>112</v>
      </c>
    </row>
    <row r="690" spans="1:4" x14ac:dyDescent="0.25">
      <c r="A690" s="1" t="str">
        <f t="shared" si="10"/>
        <v/>
      </c>
      <c r="B6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0" s="1" t="s">
        <v>112</v>
      </c>
    </row>
    <row r="691" spans="1:4" x14ac:dyDescent="0.25">
      <c r="A691" s="1" t="str">
        <f t="shared" si="10"/>
        <v/>
      </c>
      <c r="B6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1" s="1" t="s">
        <v>112</v>
      </c>
    </row>
    <row r="692" spans="1:4" x14ac:dyDescent="0.25">
      <c r="A692" s="1" t="str">
        <f t="shared" si="10"/>
        <v/>
      </c>
      <c r="B6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2" s="1" t="s">
        <v>112</v>
      </c>
    </row>
    <row r="693" spans="1:4" x14ac:dyDescent="0.25">
      <c r="A693" s="1" t="str">
        <f t="shared" si="10"/>
        <v/>
      </c>
      <c r="B6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3" s="1" t="s">
        <v>112</v>
      </c>
    </row>
    <row r="694" spans="1:4" x14ac:dyDescent="0.25">
      <c r="A694" s="1" t="str">
        <f t="shared" si="10"/>
        <v/>
      </c>
      <c r="B6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C694" s="1" t="s">
        <v>112</v>
      </c>
    </row>
    <row r="695" spans="1:4" x14ac:dyDescent="0.25">
      <c r="A695" s="1" t="str">
        <f t="shared" si="10"/>
        <v/>
      </c>
      <c r="B6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D695" s="1" t="s">
        <v>1670</v>
      </c>
    </row>
    <row r="696" spans="1:4" x14ac:dyDescent="0.25">
      <c r="A696" s="1" t="str">
        <f t="shared" si="10"/>
        <v/>
      </c>
      <c r="B6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c r="D696" s="1">
        <v>504</v>
      </c>
    </row>
    <row r="697" spans="1:4" x14ac:dyDescent="0.25">
      <c r="A697" s="1" t="str">
        <f t="shared" si="10"/>
        <v/>
      </c>
      <c r="B6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8" spans="1:4" x14ac:dyDescent="0.25">
      <c r="A698" s="1" t="str">
        <f t="shared" si="10"/>
        <v/>
      </c>
      <c r="B6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699" spans="1:4" x14ac:dyDescent="0.25">
      <c r="A699" s="1" t="str">
        <f t="shared" si="10"/>
        <v/>
      </c>
      <c r="B6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0" spans="1:4" x14ac:dyDescent="0.25">
      <c r="A700" s="1" t="str">
        <f t="shared" si="10"/>
        <v/>
      </c>
      <c r="B7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1" spans="1:4" x14ac:dyDescent="0.25">
      <c r="A701" s="1" t="str">
        <f t="shared" si="10"/>
        <v/>
      </c>
      <c r="B7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2" spans="1:4" x14ac:dyDescent="0.25">
      <c r="A702" s="1" t="str">
        <f t="shared" si="10"/>
        <v/>
      </c>
      <c r="B7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3" spans="1:4" x14ac:dyDescent="0.25">
      <c r="A703" s="1" t="str">
        <f t="shared" si="10"/>
        <v/>
      </c>
      <c r="B7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4" spans="1:4" x14ac:dyDescent="0.25">
      <c r="A704" s="1" t="str">
        <f t="shared" si="10"/>
        <v/>
      </c>
      <c r="B7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5" spans="1:2" x14ac:dyDescent="0.25">
      <c r="A705" s="1" t="str">
        <f t="shared" si="10"/>
        <v/>
      </c>
      <c r="B7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6" spans="1:2" x14ac:dyDescent="0.25">
      <c r="A706" s="1" t="str">
        <f t="shared" ref="A706:A769" si="11">IFERROR(LEFT(RIGHT(C706,LEN(C706)-SEARCH("@",C706)),SEARCH("/",RIGHT(C706,LEN(C706)-SEARCH("@",C706)-1))),"")</f>
        <v/>
      </c>
      <c r="B7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7" spans="1:2" x14ac:dyDescent="0.25">
      <c r="A707" s="1" t="str">
        <f t="shared" si="11"/>
        <v/>
      </c>
      <c r="B7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8" spans="1:2" x14ac:dyDescent="0.25">
      <c r="A708" s="1" t="str">
        <f t="shared" si="11"/>
        <v/>
      </c>
      <c r="B7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09" spans="1:2" x14ac:dyDescent="0.25">
      <c r="A709" s="1" t="str">
        <f t="shared" si="11"/>
        <v/>
      </c>
      <c r="B7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0" spans="1:2" x14ac:dyDescent="0.25">
      <c r="A710" s="1" t="str">
        <f t="shared" si="11"/>
        <v/>
      </c>
      <c r="B7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1" spans="1:2" x14ac:dyDescent="0.25">
      <c r="A711" s="1" t="str">
        <f t="shared" si="11"/>
        <v/>
      </c>
      <c r="B7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2" spans="1:2" x14ac:dyDescent="0.25">
      <c r="A712" s="1" t="str">
        <f t="shared" si="11"/>
        <v/>
      </c>
      <c r="B7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3" spans="1:2" x14ac:dyDescent="0.25">
      <c r="A713" s="1" t="str">
        <f t="shared" si="11"/>
        <v/>
      </c>
      <c r="B7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4" spans="1:2" x14ac:dyDescent="0.25">
      <c r="A714" s="1" t="str">
        <f t="shared" si="11"/>
        <v/>
      </c>
      <c r="B7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5" spans="1:2" x14ac:dyDescent="0.25">
      <c r="A715" s="1" t="str">
        <f t="shared" si="11"/>
        <v/>
      </c>
      <c r="B7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6" spans="1:2" x14ac:dyDescent="0.25">
      <c r="A716" s="1" t="str">
        <f t="shared" si="11"/>
        <v/>
      </c>
      <c r="B7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7" spans="1:2" x14ac:dyDescent="0.25">
      <c r="A717" s="1" t="str">
        <f t="shared" si="11"/>
        <v/>
      </c>
      <c r="B7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8" spans="1:2" x14ac:dyDescent="0.25">
      <c r="A718" s="1" t="str">
        <f t="shared" si="11"/>
        <v/>
      </c>
      <c r="B7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19" spans="1:2" x14ac:dyDescent="0.25">
      <c r="A719" s="1" t="str">
        <f t="shared" si="11"/>
        <v/>
      </c>
      <c r="B7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0" spans="1:2" x14ac:dyDescent="0.25">
      <c r="A720" s="1" t="str">
        <f t="shared" si="11"/>
        <v/>
      </c>
      <c r="B7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1" spans="1:2" x14ac:dyDescent="0.25">
      <c r="A721" s="1" t="str">
        <f t="shared" si="11"/>
        <v/>
      </c>
      <c r="B7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2" spans="1:2" x14ac:dyDescent="0.25">
      <c r="A722" s="1" t="str">
        <f t="shared" si="11"/>
        <v/>
      </c>
      <c r="B7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3" spans="1:2" x14ac:dyDescent="0.25">
      <c r="A723" s="1" t="str">
        <f t="shared" si="11"/>
        <v/>
      </c>
      <c r="B7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4" spans="1:2" x14ac:dyDescent="0.25">
      <c r="A724" s="1" t="str">
        <f t="shared" si="11"/>
        <v/>
      </c>
      <c r="B7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5" spans="1:2" x14ac:dyDescent="0.25">
      <c r="A725" s="1" t="str">
        <f t="shared" si="11"/>
        <v/>
      </c>
      <c r="B7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6" spans="1:2" x14ac:dyDescent="0.25">
      <c r="A726" s="1" t="str">
        <f t="shared" si="11"/>
        <v/>
      </c>
      <c r="B7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7" spans="1:2" x14ac:dyDescent="0.25">
      <c r="A727" s="1" t="str">
        <f t="shared" si="11"/>
        <v/>
      </c>
      <c r="B7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8" spans="1:2" x14ac:dyDescent="0.25">
      <c r="A728" s="1" t="str">
        <f t="shared" si="11"/>
        <v/>
      </c>
      <c r="B7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29" spans="1:2" x14ac:dyDescent="0.25">
      <c r="A729" s="1" t="str">
        <f t="shared" si="11"/>
        <v/>
      </c>
      <c r="B7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0" spans="1:2" x14ac:dyDescent="0.25">
      <c r="A730" s="1" t="str">
        <f t="shared" si="11"/>
        <v/>
      </c>
      <c r="B7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1" spans="1:2" x14ac:dyDescent="0.25">
      <c r="A731" s="1" t="str">
        <f t="shared" si="11"/>
        <v/>
      </c>
      <c r="B7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2" spans="1:2" x14ac:dyDescent="0.25">
      <c r="A732" s="1" t="str">
        <f t="shared" si="11"/>
        <v/>
      </c>
      <c r="B7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3" spans="1:2" x14ac:dyDescent="0.25">
      <c r="A733" s="1" t="str">
        <f t="shared" si="11"/>
        <v/>
      </c>
      <c r="B7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4" spans="1:2" x14ac:dyDescent="0.25">
      <c r="A734" s="1" t="str">
        <f t="shared" si="11"/>
        <v/>
      </c>
      <c r="B7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5" spans="1:2" x14ac:dyDescent="0.25">
      <c r="A735" s="1" t="str">
        <f t="shared" si="11"/>
        <v/>
      </c>
      <c r="B7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6" spans="1:2" x14ac:dyDescent="0.25">
      <c r="A736" s="1" t="str">
        <f t="shared" si="11"/>
        <v/>
      </c>
      <c r="B7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7" spans="1:2" x14ac:dyDescent="0.25">
      <c r="A737" s="1" t="str">
        <f t="shared" si="11"/>
        <v/>
      </c>
      <c r="B7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8" spans="1:2" x14ac:dyDescent="0.25">
      <c r="A738" s="1" t="str">
        <f t="shared" si="11"/>
        <v/>
      </c>
      <c r="B7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39" spans="1:2" x14ac:dyDescent="0.25">
      <c r="A739" s="1" t="str">
        <f t="shared" si="11"/>
        <v/>
      </c>
      <c r="B7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0" spans="1:2" x14ac:dyDescent="0.25">
      <c r="A740" s="1" t="str">
        <f t="shared" si="11"/>
        <v/>
      </c>
      <c r="B7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1" spans="1:2" x14ac:dyDescent="0.25">
      <c r="A741" s="1" t="str">
        <f t="shared" si="11"/>
        <v/>
      </c>
      <c r="B7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2" spans="1:2" x14ac:dyDescent="0.25">
      <c r="A742" s="1" t="str">
        <f t="shared" si="11"/>
        <v/>
      </c>
      <c r="B7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3" spans="1:2" x14ac:dyDescent="0.25">
      <c r="A743" s="1" t="str">
        <f t="shared" si="11"/>
        <v/>
      </c>
      <c r="B7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4" spans="1:2" x14ac:dyDescent="0.25">
      <c r="A744" s="1" t="str">
        <f t="shared" si="11"/>
        <v/>
      </c>
      <c r="B7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5" spans="1:2" x14ac:dyDescent="0.25">
      <c r="A745" s="1" t="str">
        <f t="shared" si="11"/>
        <v/>
      </c>
      <c r="B7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6" spans="1:2" x14ac:dyDescent="0.25">
      <c r="A746" s="1" t="str">
        <f t="shared" si="11"/>
        <v/>
      </c>
      <c r="B7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7" spans="1:2" x14ac:dyDescent="0.25">
      <c r="A747" s="1" t="str">
        <f t="shared" si="11"/>
        <v/>
      </c>
      <c r="B7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8" spans="1:2" x14ac:dyDescent="0.25">
      <c r="A748" s="1" t="str">
        <f t="shared" si="11"/>
        <v/>
      </c>
      <c r="B7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49" spans="1:2" x14ac:dyDescent="0.25">
      <c r="A749" s="1" t="str">
        <f t="shared" si="11"/>
        <v/>
      </c>
      <c r="B7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0" spans="1:2" x14ac:dyDescent="0.25">
      <c r="A750" s="1" t="str">
        <f t="shared" si="11"/>
        <v/>
      </c>
      <c r="B7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1" spans="1:2" x14ac:dyDescent="0.25">
      <c r="A751" s="1" t="str">
        <f t="shared" si="11"/>
        <v/>
      </c>
      <c r="B7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2" spans="1:2" x14ac:dyDescent="0.25">
      <c r="A752" s="1" t="str">
        <f t="shared" si="11"/>
        <v/>
      </c>
      <c r="B7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3" spans="1:2" x14ac:dyDescent="0.25">
      <c r="A753" s="1" t="str">
        <f t="shared" si="11"/>
        <v/>
      </c>
      <c r="B7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4" spans="1:2" x14ac:dyDescent="0.25">
      <c r="A754" s="1" t="str">
        <f t="shared" si="11"/>
        <v/>
      </c>
      <c r="B7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5" spans="1:2" x14ac:dyDescent="0.25">
      <c r="A755" s="1" t="str">
        <f t="shared" si="11"/>
        <v/>
      </c>
      <c r="B7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6" spans="1:2" x14ac:dyDescent="0.25">
      <c r="A756" s="1" t="str">
        <f t="shared" si="11"/>
        <v/>
      </c>
      <c r="B7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7" spans="1:2" x14ac:dyDescent="0.25">
      <c r="A757" s="1" t="str">
        <f t="shared" si="11"/>
        <v/>
      </c>
      <c r="B7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8" spans="1:2" x14ac:dyDescent="0.25">
      <c r="A758" s="1" t="str">
        <f t="shared" si="11"/>
        <v/>
      </c>
      <c r="B7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59" spans="1:2" x14ac:dyDescent="0.25">
      <c r="A759" s="1" t="str">
        <f t="shared" si="11"/>
        <v/>
      </c>
      <c r="B7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0" spans="1:2" x14ac:dyDescent="0.25">
      <c r="A760" s="1" t="str">
        <f t="shared" si="11"/>
        <v/>
      </c>
      <c r="B7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1" spans="1:2" x14ac:dyDescent="0.25">
      <c r="A761" s="1" t="str">
        <f t="shared" si="11"/>
        <v/>
      </c>
      <c r="B7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2" spans="1:2" x14ac:dyDescent="0.25">
      <c r="A762" s="1" t="str">
        <f t="shared" si="11"/>
        <v/>
      </c>
      <c r="B7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3" spans="1:2" x14ac:dyDescent="0.25">
      <c r="A763" s="1" t="str">
        <f t="shared" si="11"/>
        <v/>
      </c>
      <c r="B7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4" spans="1:2" x14ac:dyDescent="0.25">
      <c r="A764" s="1" t="str">
        <f t="shared" si="11"/>
        <v/>
      </c>
      <c r="B7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5" spans="1:2" x14ac:dyDescent="0.25">
      <c r="A765" s="1" t="str">
        <f t="shared" si="11"/>
        <v/>
      </c>
      <c r="B7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6" spans="1:2" x14ac:dyDescent="0.25">
      <c r="A766" s="1" t="str">
        <f t="shared" si="11"/>
        <v/>
      </c>
      <c r="B7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7" spans="1:2" x14ac:dyDescent="0.25">
      <c r="A767" s="1" t="str">
        <f t="shared" si="11"/>
        <v/>
      </c>
      <c r="B7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8" spans="1:2" x14ac:dyDescent="0.25">
      <c r="A768" s="1" t="str">
        <f t="shared" si="11"/>
        <v/>
      </c>
      <c r="B7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69" spans="1:2" x14ac:dyDescent="0.25">
      <c r="A769" s="1" t="str">
        <f t="shared" si="11"/>
        <v/>
      </c>
      <c r="B7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0" spans="1:2" x14ac:dyDescent="0.25">
      <c r="A770" s="1" t="str">
        <f t="shared" ref="A770:A833" si="12">IFERROR(LEFT(RIGHT(C770,LEN(C770)-SEARCH("@",C770)),SEARCH("/",RIGHT(C770,LEN(C770)-SEARCH("@",C770)-1))),"")</f>
        <v/>
      </c>
      <c r="B7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1" spans="1:2" x14ac:dyDescent="0.25">
      <c r="A771" s="1" t="str">
        <f t="shared" si="12"/>
        <v/>
      </c>
      <c r="B7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2" spans="1:2" x14ac:dyDescent="0.25">
      <c r="A772" s="1" t="str">
        <f t="shared" si="12"/>
        <v/>
      </c>
      <c r="B7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3" spans="1:2" x14ac:dyDescent="0.25">
      <c r="A773" s="1" t="str">
        <f t="shared" si="12"/>
        <v/>
      </c>
      <c r="B7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4" spans="1:2" x14ac:dyDescent="0.25">
      <c r="A774" s="1" t="str">
        <f t="shared" si="12"/>
        <v/>
      </c>
      <c r="B7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5" spans="1:2" x14ac:dyDescent="0.25">
      <c r="A775" s="1" t="str">
        <f t="shared" si="12"/>
        <v/>
      </c>
      <c r="B7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6" spans="1:2" x14ac:dyDescent="0.25">
      <c r="A776" s="1" t="str">
        <f t="shared" si="12"/>
        <v/>
      </c>
      <c r="B7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7" spans="1:2" x14ac:dyDescent="0.25">
      <c r="A777" s="1" t="str">
        <f t="shared" si="12"/>
        <v/>
      </c>
      <c r="B7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8" spans="1:2" x14ac:dyDescent="0.25">
      <c r="A778" s="1" t="str">
        <f t="shared" si="12"/>
        <v/>
      </c>
      <c r="B7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79" spans="1:2" x14ac:dyDescent="0.25">
      <c r="A779" s="1" t="str">
        <f t="shared" si="12"/>
        <v/>
      </c>
      <c r="B7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0" spans="1:2" x14ac:dyDescent="0.25">
      <c r="A780" s="1" t="str">
        <f t="shared" si="12"/>
        <v/>
      </c>
      <c r="B7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1" spans="1:2" x14ac:dyDescent="0.25">
      <c r="A781" s="1" t="str">
        <f t="shared" si="12"/>
        <v/>
      </c>
      <c r="B7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2" spans="1:2" x14ac:dyDescent="0.25">
      <c r="A782" s="1" t="str">
        <f t="shared" si="12"/>
        <v/>
      </c>
      <c r="B7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3" spans="1:2" x14ac:dyDescent="0.25">
      <c r="A783" s="1" t="str">
        <f t="shared" si="12"/>
        <v/>
      </c>
      <c r="B7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4" spans="1:2" x14ac:dyDescent="0.25">
      <c r="A784" s="1" t="str">
        <f t="shared" si="12"/>
        <v/>
      </c>
      <c r="B7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5" spans="1:2" x14ac:dyDescent="0.25">
      <c r="A785" s="1" t="str">
        <f t="shared" si="12"/>
        <v/>
      </c>
      <c r="B7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6" spans="1:2" x14ac:dyDescent="0.25">
      <c r="A786" s="1" t="str">
        <f t="shared" si="12"/>
        <v/>
      </c>
      <c r="B7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7" spans="1:2" x14ac:dyDescent="0.25">
      <c r="A787" s="1" t="str">
        <f t="shared" si="12"/>
        <v/>
      </c>
      <c r="B7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8" spans="1:2" x14ac:dyDescent="0.25">
      <c r="A788" s="1" t="str">
        <f t="shared" si="12"/>
        <v/>
      </c>
      <c r="B7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89" spans="1:2" x14ac:dyDescent="0.25">
      <c r="A789" s="1" t="str">
        <f t="shared" si="12"/>
        <v/>
      </c>
      <c r="B7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0" spans="1:2" x14ac:dyDescent="0.25">
      <c r="A790" s="1" t="str">
        <f t="shared" si="12"/>
        <v/>
      </c>
      <c r="B7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1" spans="1:2" x14ac:dyDescent="0.25">
      <c r="A791" s="1" t="str">
        <f t="shared" si="12"/>
        <v/>
      </c>
      <c r="B7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2" spans="1:2" x14ac:dyDescent="0.25">
      <c r="A792" s="1" t="str">
        <f t="shared" si="12"/>
        <v/>
      </c>
      <c r="B7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3" spans="1:2" x14ac:dyDescent="0.25">
      <c r="A793" s="1" t="str">
        <f t="shared" si="12"/>
        <v/>
      </c>
      <c r="B7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4" spans="1:2" x14ac:dyDescent="0.25">
      <c r="A794" s="1" t="str">
        <f t="shared" si="12"/>
        <v/>
      </c>
      <c r="B7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5" spans="1:2" x14ac:dyDescent="0.25">
      <c r="A795" s="1" t="str">
        <f t="shared" si="12"/>
        <v/>
      </c>
      <c r="B7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6" spans="1:2" x14ac:dyDescent="0.25">
      <c r="A796" s="1" t="str">
        <f t="shared" si="12"/>
        <v/>
      </c>
      <c r="B7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7" spans="1:2" x14ac:dyDescent="0.25">
      <c r="A797" s="1" t="str">
        <f t="shared" si="12"/>
        <v/>
      </c>
      <c r="B7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8" spans="1:2" x14ac:dyDescent="0.25">
      <c r="A798" s="1" t="str">
        <f t="shared" si="12"/>
        <v/>
      </c>
      <c r="B7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799" spans="1:2" x14ac:dyDescent="0.25">
      <c r="A799" s="1" t="str">
        <f t="shared" si="12"/>
        <v/>
      </c>
      <c r="B7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0" spans="1:2" x14ac:dyDescent="0.25">
      <c r="A800" s="1" t="str">
        <f t="shared" si="12"/>
        <v/>
      </c>
      <c r="B8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1" spans="1:2" x14ac:dyDescent="0.25">
      <c r="A801" s="1" t="str">
        <f t="shared" si="12"/>
        <v/>
      </c>
      <c r="B8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2" spans="1:2" x14ac:dyDescent="0.25">
      <c r="A802" s="1" t="str">
        <f t="shared" si="12"/>
        <v/>
      </c>
      <c r="B8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3" spans="1:2" x14ac:dyDescent="0.25">
      <c r="A803" s="1" t="str">
        <f t="shared" si="12"/>
        <v/>
      </c>
      <c r="B8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4" spans="1:2" x14ac:dyDescent="0.25">
      <c r="A804" s="1" t="str">
        <f t="shared" si="12"/>
        <v/>
      </c>
      <c r="B8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5" spans="1:2" x14ac:dyDescent="0.25">
      <c r="A805" s="1" t="str">
        <f t="shared" si="12"/>
        <v/>
      </c>
      <c r="B8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6" spans="1:2" x14ac:dyDescent="0.25">
      <c r="A806" s="1" t="str">
        <f t="shared" si="12"/>
        <v/>
      </c>
      <c r="B8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7" spans="1:2" x14ac:dyDescent="0.25">
      <c r="A807" s="1" t="str">
        <f t="shared" si="12"/>
        <v/>
      </c>
      <c r="B8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8" spans="1:2" x14ac:dyDescent="0.25">
      <c r="A808" s="1" t="str">
        <f t="shared" si="12"/>
        <v/>
      </c>
      <c r="B8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09" spans="1:2" x14ac:dyDescent="0.25">
      <c r="A809" s="1" t="str">
        <f t="shared" si="12"/>
        <v/>
      </c>
      <c r="B8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0" spans="1:2" x14ac:dyDescent="0.25">
      <c r="A810" s="1" t="str">
        <f t="shared" si="12"/>
        <v/>
      </c>
      <c r="B8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1" spans="1:2" x14ac:dyDescent="0.25">
      <c r="A811" s="1" t="str">
        <f t="shared" si="12"/>
        <v/>
      </c>
      <c r="B8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2" spans="1:2" x14ac:dyDescent="0.25">
      <c r="A812" s="1" t="str">
        <f t="shared" si="12"/>
        <v/>
      </c>
      <c r="B8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3" spans="1:2" x14ac:dyDescent="0.25">
      <c r="A813" s="1" t="str">
        <f t="shared" si="12"/>
        <v/>
      </c>
      <c r="B8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4" spans="1:2" x14ac:dyDescent="0.25">
      <c r="A814" s="1" t="str">
        <f t="shared" si="12"/>
        <v/>
      </c>
      <c r="B8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5" spans="1:2" x14ac:dyDescent="0.25">
      <c r="A815" s="1" t="str">
        <f t="shared" si="12"/>
        <v/>
      </c>
      <c r="B8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6" spans="1:2" x14ac:dyDescent="0.25">
      <c r="A816" s="1" t="str">
        <f t="shared" si="12"/>
        <v/>
      </c>
      <c r="B8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7" spans="1:2" x14ac:dyDescent="0.25">
      <c r="A817" s="1" t="str">
        <f t="shared" si="12"/>
        <v/>
      </c>
      <c r="B8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8" spans="1:2" x14ac:dyDescent="0.25">
      <c r="A818" s="1" t="str">
        <f t="shared" si="12"/>
        <v/>
      </c>
      <c r="B8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19" spans="1:2" x14ac:dyDescent="0.25">
      <c r="A819" s="1" t="str">
        <f t="shared" si="12"/>
        <v/>
      </c>
      <c r="B8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0" spans="1:2" x14ac:dyDescent="0.25">
      <c r="A820" s="1" t="str">
        <f t="shared" si="12"/>
        <v/>
      </c>
      <c r="B8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1" spans="1:2" x14ac:dyDescent="0.25">
      <c r="A821" s="1" t="str">
        <f t="shared" si="12"/>
        <v/>
      </c>
      <c r="B8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2" spans="1:2" x14ac:dyDescent="0.25">
      <c r="A822" s="1" t="str">
        <f t="shared" si="12"/>
        <v/>
      </c>
      <c r="B8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3" spans="1:2" x14ac:dyDescent="0.25">
      <c r="A823" s="1" t="str">
        <f t="shared" si="12"/>
        <v/>
      </c>
      <c r="B8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4" spans="1:2" x14ac:dyDescent="0.25">
      <c r="A824" s="1" t="str">
        <f t="shared" si="12"/>
        <v/>
      </c>
      <c r="B8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5" spans="1:2" x14ac:dyDescent="0.25">
      <c r="A825" s="1" t="str">
        <f t="shared" si="12"/>
        <v/>
      </c>
      <c r="B8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6" spans="1:2" x14ac:dyDescent="0.25">
      <c r="A826" s="1" t="str">
        <f t="shared" si="12"/>
        <v/>
      </c>
      <c r="B8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7" spans="1:2" x14ac:dyDescent="0.25">
      <c r="A827" s="1" t="str">
        <f t="shared" si="12"/>
        <v/>
      </c>
      <c r="B8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8" spans="1:2" x14ac:dyDescent="0.25">
      <c r="A828" s="1" t="str">
        <f t="shared" si="12"/>
        <v/>
      </c>
      <c r="B8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29" spans="1:2" x14ac:dyDescent="0.25">
      <c r="A829" s="1" t="str">
        <f t="shared" si="12"/>
        <v/>
      </c>
      <c r="B8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0" spans="1:2" x14ac:dyDescent="0.25">
      <c r="A830" s="1" t="str">
        <f t="shared" si="12"/>
        <v/>
      </c>
      <c r="B8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1" spans="1:2" x14ac:dyDescent="0.25">
      <c r="A831" s="1" t="str">
        <f t="shared" si="12"/>
        <v/>
      </c>
      <c r="B8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2" spans="1:2" x14ac:dyDescent="0.25">
      <c r="A832" s="1" t="str">
        <f t="shared" si="12"/>
        <v/>
      </c>
      <c r="B8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3" spans="1:2" x14ac:dyDescent="0.25">
      <c r="A833" s="1" t="str">
        <f t="shared" si="12"/>
        <v/>
      </c>
      <c r="B8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4" spans="1:2" x14ac:dyDescent="0.25">
      <c r="A834" s="1" t="str">
        <f t="shared" ref="A834:A897" si="13">IFERROR(LEFT(RIGHT(C834,LEN(C834)-SEARCH("@",C834)),SEARCH("/",RIGHT(C834,LEN(C834)-SEARCH("@",C834)-1))),"")</f>
        <v/>
      </c>
      <c r="B8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5" spans="1:2" x14ac:dyDescent="0.25">
      <c r="A835" s="1" t="str">
        <f t="shared" si="13"/>
        <v/>
      </c>
      <c r="B8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6" spans="1:2" x14ac:dyDescent="0.25">
      <c r="A836" s="1" t="str">
        <f t="shared" si="13"/>
        <v/>
      </c>
      <c r="B8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7" spans="1:2" x14ac:dyDescent="0.25">
      <c r="A837" s="1" t="str">
        <f t="shared" si="13"/>
        <v/>
      </c>
      <c r="B8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8" spans="1:2" x14ac:dyDescent="0.25">
      <c r="A838" s="1" t="str">
        <f t="shared" si="13"/>
        <v/>
      </c>
      <c r="B8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39" spans="1:2" x14ac:dyDescent="0.25">
      <c r="A839" s="1" t="str">
        <f t="shared" si="13"/>
        <v/>
      </c>
      <c r="B8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0" spans="1:2" x14ac:dyDescent="0.25">
      <c r="A840" s="1" t="str">
        <f t="shared" si="13"/>
        <v/>
      </c>
      <c r="B8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1" spans="1:2" x14ac:dyDescent="0.25">
      <c r="A841" s="1" t="str">
        <f t="shared" si="13"/>
        <v/>
      </c>
      <c r="B8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2" spans="1:2" x14ac:dyDescent="0.25">
      <c r="A842" s="1" t="str">
        <f t="shared" si="13"/>
        <v/>
      </c>
      <c r="B8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3" spans="1:2" x14ac:dyDescent="0.25">
      <c r="A843" s="1" t="str">
        <f t="shared" si="13"/>
        <v/>
      </c>
      <c r="B8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4" spans="1:2" x14ac:dyDescent="0.25">
      <c r="A844" s="1" t="str">
        <f t="shared" si="13"/>
        <v/>
      </c>
      <c r="B8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5" spans="1:2" x14ac:dyDescent="0.25">
      <c r="A845" s="1" t="str">
        <f t="shared" si="13"/>
        <v/>
      </c>
      <c r="B8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6" spans="1:2" x14ac:dyDescent="0.25">
      <c r="A846" s="1" t="str">
        <f t="shared" si="13"/>
        <v/>
      </c>
      <c r="B8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7" spans="1:2" x14ac:dyDescent="0.25">
      <c r="A847" s="1" t="str">
        <f t="shared" si="13"/>
        <v/>
      </c>
      <c r="B8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8" spans="1:2" x14ac:dyDescent="0.25">
      <c r="A848" s="1" t="str">
        <f t="shared" si="13"/>
        <v/>
      </c>
      <c r="B8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49" spans="1:2" x14ac:dyDescent="0.25">
      <c r="A849" s="1" t="str">
        <f t="shared" si="13"/>
        <v/>
      </c>
      <c r="B8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0" spans="1:2" x14ac:dyDescent="0.25">
      <c r="A850" s="1" t="str">
        <f t="shared" si="13"/>
        <v/>
      </c>
      <c r="B8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1" spans="1:2" x14ac:dyDescent="0.25">
      <c r="A851" s="1" t="str">
        <f t="shared" si="13"/>
        <v/>
      </c>
      <c r="B8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2" spans="1:2" x14ac:dyDescent="0.25">
      <c r="A852" s="1" t="str">
        <f t="shared" si="13"/>
        <v/>
      </c>
      <c r="B8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3" spans="1:2" x14ac:dyDescent="0.25">
      <c r="A853" s="1" t="str">
        <f t="shared" si="13"/>
        <v/>
      </c>
      <c r="B8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4" spans="1:2" x14ac:dyDescent="0.25">
      <c r="A854" s="1" t="str">
        <f t="shared" si="13"/>
        <v/>
      </c>
      <c r="B8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5" spans="1:2" x14ac:dyDescent="0.25">
      <c r="A855" s="1" t="str">
        <f t="shared" si="13"/>
        <v/>
      </c>
      <c r="B8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6" spans="1:2" x14ac:dyDescent="0.25">
      <c r="A856" s="1" t="str">
        <f t="shared" si="13"/>
        <v/>
      </c>
      <c r="B8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7" spans="1:2" x14ac:dyDescent="0.25">
      <c r="A857" s="1" t="str">
        <f t="shared" si="13"/>
        <v/>
      </c>
      <c r="B8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8" spans="1:2" x14ac:dyDescent="0.25">
      <c r="A858" s="1" t="str">
        <f t="shared" si="13"/>
        <v/>
      </c>
      <c r="B8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59" spans="1:2" x14ac:dyDescent="0.25">
      <c r="A859" s="1" t="str">
        <f t="shared" si="13"/>
        <v/>
      </c>
      <c r="B8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0" spans="1:2" x14ac:dyDescent="0.25">
      <c r="A860" s="1" t="str">
        <f t="shared" si="13"/>
        <v/>
      </c>
      <c r="B8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1" spans="1:2" x14ac:dyDescent="0.25">
      <c r="A861" s="1" t="str">
        <f t="shared" si="13"/>
        <v/>
      </c>
      <c r="B8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2" spans="1:2" x14ac:dyDescent="0.25">
      <c r="A862" s="1" t="str">
        <f t="shared" si="13"/>
        <v/>
      </c>
      <c r="B8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3" spans="1:2" x14ac:dyDescent="0.25">
      <c r="A863" s="1" t="str">
        <f t="shared" si="13"/>
        <v/>
      </c>
      <c r="B8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4" spans="1:2" x14ac:dyDescent="0.25">
      <c r="A864" s="1" t="str">
        <f t="shared" si="13"/>
        <v/>
      </c>
      <c r="B8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5" spans="1:2" x14ac:dyDescent="0.25">
      <c r="A865" s="1" t="str">
        <f t="shared" si="13"/>
        <v/>
      </c>
      <c r="B8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6" spans="1:2" x14ac:dyDescent="0.25">
      <c r="A866" s="1" t="str">
        <f t="shared" si="13"/>
        <v/>
      </c>
      <c r="B8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7" spans="1:2" x14ac:dyDescent="0.25">
      <c r="A867" s="1" t="str">
        <f t="shared" si="13"/>
        <v/>
      </c>
      <c r="B8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8" spans="1:2" x14ac:dyDescent="0.25">
      <c r="A868" s="1" t="str">
        <f t="shared" si="13"/>
        <v/>
      </c>
      <c r="B8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69" spans="1:2" x14ac:dyDescent="0.25">
      <c r="A869" s="1" t="str">
        <f t="shared" si="13"/>
        <v/>
      </c>
      <c r="B8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0" spans="1:2" x14ac:dyDescent="0.25">
      <c r="A870" s="1" t="str">
        <f t="shared" si="13"/>
        <v/>
      </c>
      <c r="B8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1" spans="1:2" x14ac:dyDescent="0.25">
      <c r="A871" s="1" t="str">
        <f t="shared" si="13"/>
        <v/>
      </c>
      <c r="B8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2" spans="1:2" x14ac:dyDescent="0.25">
      <c r="A872" s="1" t="str">
        <f t="shared" si="13"/>
        <v/>
      </c>
      <c r="B8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3" spans="1:2" x14ac:dyDescent="0.25">
      <c r="A873" s="1" t="str">
        <f t="shared" si="13"/>
        <v/>
      </c>
      <c r="B8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4" spans="1:2" x14ac:dyDescent="0.25">
      <c r="A874" s="1" t="str">
        <f t="shared" si="13"/>
        <v/>
      </c>
      <c r="B8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5" spans="1:2" x14ac:dyDescent="0.25">
      <c r="A875" s="1" t="str">
        <f t="shared" si="13"/>
        <v/>
      </c>
      <c r="B8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6" spans="1:2" x14ac:dyDescent="0.25">
      <c r="A876" s="1" t="str">
        <f t="shared" si="13"/>
        <v/>
      </c>
      <c r="B8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7" spans="1:2" x14ac:dyDescent="0.25">
      <c r="A877" s="1" t="str">
        <f t="shared" si="13"/>
        <v/>
      </c>
      <c r="B8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8" spans="1:2" x14ac:dyDescent="0.25">
      <c r="A878" s="1" t="str">
        <f t="shared" si="13"/>
        <v/>
      </c>
      <c r="B8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79" spans="1:2" x14ac:dyDescent="0.25">
      <c r="A879" s="1" t="str">
        <f t="shared" si="13"/>
        <v/>
      </c>
      <c r="B8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0" spans="1:2" x14ac:dyDescent="0.25">
      <c r="A880" s="1" t="str">
        <f t="shared" si="13"/>
        <v/>
      </c>
      <c r="B8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1" spans="1:2" x14ac:dyDescent="0.25">
      <c r="A881" s="1" t="str">
        <f t="shared" si="13"/>
        <v/>
      </c>
      <c r="B8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2" spans="1:2" x14ac:dyDescent="0.25">
      <c r="A882" s="1" t="str">
        <f t="shared" si="13"/>
        <v/>
      </c>
      <c r="B8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3" spans="1:2" x14ac:dyDescent="0.25">
      <c r="A883" s="1" t="str">
        <f t="shared" si="13"/>
        <v/>
      </c>
      <c r="B8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4" spans="1:2" x14ac:dyDescent="0.25">
      <c r="A884" s="1" t="str">
        <f t="shared" si="13"/>
        <v/>
      </c>
      <c r="B8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5" spans="1:2" x14ac:dyDescent="0.25">
      <c r="A885" s="1" t="str">
        <f t="shared" si="13"/>
        <v/>
      </c>
      <c r="B8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6" spans="1:2" x14ac:dyDescent="0.25">
      <c r="A886" s="1" t="str">
        <f t="shared" si="13"/>
        <v/>
      </c>
      <c r="B8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7" spans="1:2" x14ac:dyDescent="0.25">
      <c r="A887" s="1" t="str">
        <f t="shared" si="13"/>
        <v/>
      </c>
      <c r="B8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8" spans="1:2" x14ac:dyDescent="0.25">
      <c r="A888" s="1" t="str">
        <f t="shared" si="13"/>
        <v/>
      </c>
      <c r="B8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89" spans="1:2" x14ac:dyDescent="0.25">
      <c r="A889" s="1" t="str">
        <f t="shared" si="13"/>
        <v/>
      </c>
      <c r="B8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0" spans="1:2" x14ac:dyDescent="0.25">
      <c r="A890" s="1" t="str">
        <f t="shared" si="13"/>
        <v/>
      </c>
      <c r="B8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1" spans="1:2" x14ac:dyDescent="0.25">
      <c r="A891" s="1" t="str">
        <f t="shared" si="13"/>
        <v/>
      </c>
      <c r="B8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2" spans="1:2" x14ac:dyDescent="0.25">
      <c r="A892" s="1" t="str">
        <f t="shared" si="13"/>
        <v/>
      </c>
      <c r="B8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3" spans="1:2" x14ac:dyDescent="0.25">
      <c r="A893" s="1" t="str">
        <f t="shared" si="13"/>
        <v/>
      </c>
      <c r="B8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4" spans="1:2" x14ac:dyDescent="0.25">
      <c r="A894" s="1" t="str">
        <f t="shared" si="13"/>
        <v/>
      </c>
      <c r="B8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5" spans="1:2" x14ac:dyDescent="0.25">
      <c r="A895" s="1" t="str">
        <f t="shared" si="13"/>
        <v/>
      </c>
      <c r="B8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6" spans="1:2" x14ac:dyDescent="0.25">
      <c r="A896" s="1" t="str">
        <f t="shared" si="13"/>
        <v/>
      </c>
      <c r="B8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7" spans="1:2" x14ac:dyDescent="0.25">
      <c r="A897" s="1" t="str">
        <f t="shared" si="13"/>
        <v/>
      </c>
      <c r="B8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8" spans="1:2" x14ac:dyDescent="0.25">
      <c r="A898" s="1" t="str">
        <f t="shared" ref="A898:A961" si="14">IFERROR(LEFT(RIGHT(C898,LEN(C898)-SEARCH("@",C898)),SEARCH("/",RIGHT(C898,LEN(C898)-SEARCH("@",C898)-1))),"")</f>
        <v/>
      </c>
      <c r="B8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899" spans="1:2" x14ac:dyDescent="0.25">
      <c r="A899" s="1" t="str">
        <f t="shared" si="14"/>
        <v/>
      </c>
      <c r="B8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0" spans="1:2" x14ac:dyDescent="0.25">
      <c r="A900" s="1" t="str">
        <f t="shared" si="14"/>
        <v/>
      </c>
      <c r="B9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1" spans="1:2" x14ac:dyDescent="0.25">
      <c r="A901" s="1" t="str">
        <f t="shared" si="14"/>
        <v/>
      </c>
      <c r="B9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2" spans="1:2" x14ac:dyDescent="0.25">
      <c r="A902" s="1" t="str">
        <f t="shared" si="14"/>
        <v/>
      </c>
      <c r="B9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3" spans="1:2" x14ac:dyDescent="0.25">
      <c r="A903" s="1" t="str">
        <f t="shared" si="14"/>
        <v/>
      </c>
      <c r="B9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4" spans="1:2" x14ac:dyDescent="0.25">
      <c r="A904" s="1" t="str">
        <f t="shared" si="14"/>
        <v/>
      </c>
      <c r="B9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5" spans="1:2" x14ac:dyDescent="0.25">
      <c r="A905" s="1" t="str">
        <f t="shared" si="14"/>
        <v/>
      </c>
      <c r="B9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6" spans="1:2" x14ac:dyDescent="0.25">
      <c r="A906" s="1" t="str">
        <f t="shared" si="14"/>
        <v/>
      </c>
      <c r="B9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7" spans="1:2" x14ac:dyDescent="0.25">
      <c r="A907" s="1" t="str">
        <f t="shared" si="14"/>
        <v/>
      </c>
      <c r="B9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8" spans="1:2" x14ac:dyDescent="0.25">
      <c r="A908" s="1" t="str">
        <f t="shared" si="14"/>
        <v/>
      </c>
      <c r="B9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09" spans="1:2" x14ac:dyDescent="0.25">
      <c r="A909" s="1" t="str">
        <f t="shared" si="14"/>
        <v/>
      </c>
      <c r="B9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0" spans="1:2" x14ac:dyDescent="0.25">
      <c r="A910" s="1" t="str">
        <f t="shared" si="14"/>
        <v/>
      </c>
      <c r="B9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1" spans="1:2" x14ac:dyDescent="0.25">
      <c r="A911" s="1" t="str">
        <f t="shared" si="14"/>
        <v/>
      </c>
      <c r="B91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2" spans="1:2" x14ac:dyDescent="0.25">
      <c r="A912" s="1" t="str">
        <f t="shared" si="14"/>
        <v/>
      </c>
      <c r="B91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3" spans="1:2" x14ac:dyDescent="0.25">
      <c r="A913" s="1" t="str">
        <f t="shared" si="14"/>
        <v/>
      </c>
      <c r="B91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4" spans="1:2" x14ac:dyDescent="0.25">
      <c r="A914" s="1" t="str">
        <f t="shared" si="14"/>
        <v/>
      </c>
      <c r="B91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5" spans="1:2" x14ac:dyDescent="0.25">
      <c r="A915" s="1" t="str">
        <f t="shared" si="14"/>
        <v/>
      </c>
      <c r="B91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6" spans="1:2" x14ac:dyDescent="0.25">
      <c r="A916" s="1" t="str">
        <f t="shared" si="14"/>
        <v/>
      </c>
      <c r="B91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7" spans="1:2" x14ac:dyDescent="0.25">
      <c r="A917" s="1" t="str">
        <f t="shared" si="14"/>
        <v/>
      </c>
      <c r="B91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8" spans="1:2" x14ac:dyDescent="0.25">
      <c r="A918" s="1" t="str">
        <f t="shared" si="14"/>
        <v/>
      </c>
      <c r="B91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19" spans="1:2" x14ac:dyDescent="0.25">
      <c r="A919" s="1" t="str">
        <f t="shared" si="14"/>
        <v/>
      </c>
      <c r="B91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0" spans="1:2" x14ac:dyDescent="0.25">
      <c r="A920" s="1" t="str">
        <f t="shared" si="14"/>
        <v/>
      </c>
      <c r="B92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1" spans="1:2" x14ac:dyDescent="0.25">
      <c r="A921" s="1" t="str">
        <f t="shared" si="14"/>
        <v/>
      </c>
      <c r="B92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2" spans="1:2" x14ac:dyDescent="0.25">
      <c r="A922" s="1" t="str">
        <f t="shared" si="14"/>
        <v/>
      </c>
      <c r="B92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3" spans="1:2" x14ac:dyDescent="0.25">
      <c r="A923" s="1" t="str">
        <f t="shared" si="14"/>
        <v/>
      </c>
      <c r="B92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4" spans="1:2" x14ac:dyDescent="0.25">
      <c r="A924" s="1" t="str">
        <f t="shared" si="14"/>
        <v/>
      </c>
      <c r="B92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5" spans="1:2" x14ac:dyDescent="0.25">
      <c r="A925" s="1" t="str">
        <f t="shared" si="14"/>
        <v/>
      </c>
      <c r="B92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6" spans="1:2" x14ac:dyDescent="0.25">
      <c r="A926" s="1" t="str">
        <f t="shared" si="14"/>
        <v/>
      </c>
      <c r="B92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7" spans="1:2" x14ac:dyDescent="0.25">
      <c r="A927" s="1" t="str">
        <f t="shared" si="14"/>
        <v/>
      </c>
      <c r="B92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8" spans="1:2" x14ac:dyDescent="0.25">
      <c r="A928" s="1" t="str">
        <f t="shared" si="14"/>
        <v/>
      </c>
      <c r="B92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29" spans="1:2" x14ac:dyDescent="0.25">
      <c r="A929" s="1" t="str">
        <f t="shared" si="14"/>
        <v/>
      </c>
      <c r="B92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0" spans="1:2" x14ac:dyDescent="0.25">
      <c r="A930" s="1" t="str">
        <f t="shared" si="14"/>
        <v/>
      </c>
      <c r="B93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1" spans="1:2" x14ac:dyDescent="0.25">
      <c r="A931" s="1" t="str">
        <f t="shared" si="14"/>
        <v/>
      </c>
      <c r="B93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2" spans="1:2" x14ac:dyDescent="0.25">
      <c r="A932" s="1" t="str">
        <f t="shared" si="14"/>
        <v/>
      </c>
      <c r="B93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3" spans="1:2" x14ac:dyDescent="0.25">
      <c r="A933" s="1" t="str">
        <f t="shared" si="14"/>
        <v/>
      </c>
      <c r="B93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4" spans="1:2" x14ac:dyDescent="0.25">
      <c r="A934" s="1" t="str">
        <f t="shared" si="14"/>
        <v/>
      </c>
      <c r="B93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5" spans="1:2" x14ac:dyDescent="0.25">
      <c r="A935" s="1" t="str">
        <f t="shared" si="14"/>
        <v/>
      </c>
      <c r="B93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6" spans="1:2" x14ac:dyDescent="0.25">
      <c r="A936" s="1" t="str">
        <f t="shared" si="14"/>
        <v/>
      </c>
      <c r="B93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7" spans="1:2" x14ac:dyDescent="0.25">
      <c r="A937" s="1" t="str">
        <f t="shared" si="14"/>
        <v/>
      </c>
      <c r="B93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8" spans="1:2" x14ac:dyDescent="0.25">
      <c r="A938" s="1" t="str">
        <f t="shared" si="14"/>
        <v/>
      </c>
      <c r="B93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39" spans="1:2" x14ac:dyDescent="0.25">
      <c r="A939" s="1" t="str">
        <f t="shared" si="14"/>
        <v/>
      </c>
      <c r="B93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0" spans="1:2" x14ac:dyDescent="0.25">
      <c r="A940" s="1" t="str">
        <f t="shared" si="14"/>
        <v/>
      </c>
      <c r="B94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1" spans="1:2" x14ac:dyDescent="0.25">
      <c r="A941" s="1" t="str">
        <f t="shared" si="14"/>
        <v/>
      </c>
      <c r="B94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2" spans="1:2" x14ac:dyDescent="0.25">
      <c r="A942" s="1" t="str">
        <f t="shared" si="14"/>
        <v/>
      </c>
      <c r="B94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3" spans="1:2" x14ac:dyDescent="0.25">
      <c r="A943" s="1" t="str">
        <f t="shared" si="14"/>
        <v/>
      </c>
      <c r="B94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4" spans="1:2" x14ac:dyDescent="0.25">
      <c r="A944" s="1" t="str">
        <f t="shared" si="14"/>
        <v/>
      </c>
      <c r="B94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5" spans="1:2" x14ac:dyDescent="0.25">
      <c r="A945" s="1" t="str">
        <f t="shared" si="14"/>
        <v/>
      </c>
      <c r="B94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6" spans="1:2" x14ac:dyDescent="0.25">
      <c r="A946" s="1" t="str">
        <f t="shared" si="14"/>
        <v/>
      </c>
      <c r="B94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7" spans="1:2" x14ac:dyDescent="0.25">
      <c r="A947" s="1" t="str">
        <f t="shared" si="14"/>
        <v/>
      </c>
      <c r="B94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8" spans="1:2" x14ac:dyDescent="0.25">
      <c r="A948" s="1" t="str">
        <f t="shared" si="14"/>
        <v/>
      </c>
      <c r="B94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49" spans="1:2" x14ac:dyDescent="0.25">
      <c r="A949" s="1" t="str">
        <f t="shared" si="14"/>
        <v/>
      </c>
      <c r="B94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0" spans="1:2" x14ac:dyDescent="0.25">
      <c r="A950" s="1" t="str">
        <f t="shared" si="14"/>
        <v/>
      </c>
      <c r="B95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1" spans="1:2" x14ac:dyDescent="0.25">
      <c r="A951" s="1" t="str">
        <f t="shared" si="14"/>
        <v/>
      </c>
      <c r="B95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2" spans="1:2" x14ac:dyDescent="0.25">
      <c r="A952" s="1" t="str">
        <f t="shared" si="14"/>
        <v/>
      </c>
      <c r="B95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3" spans="1:2" x14ac:dyDescent="0.25">
      <c r="A953" s="1" t="str">
        <f t="shared" si="14"/>
        <v/>
      </c>
      <c r="B95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4" spans="1:2" x14ac:dyDescent="0.25">
      <c r="A954" s="1" t="str">
        <f t="shared" si="14"/>
        <v/>
      </c>
      <c r="B95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5" spans="1:2" x14ac:dyDescent="0.25">
      <c r="A955" s="1" t="str">
        <f t="shared" si="14"/>
        <v/>
      </c>
      <c r="B95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6" spans="1:2" x14ac:dyDescent="0.25">
      <c r="A956" s="1" t="str">
        <f t="shared" si="14"/>
        <v/>
      </c>
      <c r="B95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7" spans="1:2" x14ac:dyDescent="0.25">
      <c r="A957" s="1" t="str">
        <f t="shared" si="14"/>
        <v/>
      </c>
      <c r="B95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8" spans="1:2" x14ac:dyDescent="0.25">
      <c r="A958" s="1" t="str">
        <f t="shared" si="14"/>
        <v/>
      </c>
      <c r="B95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59" spans="1:2" x14ac:dyDescent="0.25">
      <c r="A959" s="1" t="str">
        <f t="shared" si="14"/>
        <v/>
      </c>
      <c r="B95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0" spans="1:2" x14ac:dyDescent="0.25">
      <c r="A960" s="1" t="str">
        <f t="shared" si="14"/>
        <v/>
      </c>
      <c r="B96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1" spans="1:2" x14ac:dyDescent="0.25">
      <c r="A961" s="1" t="str">
        <f t="shared" si="14"/>
        <v/>
      </c>
      <c r="B96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2" spans="1:2" x14ac:dyDescent="0.25">
      <c r="A962" s="1" t="str">
        <f t="shared" ref="A962:A1025" si="15">IFERROR(LEFT(RIGHT(C962,LEN(C962)-SEARCH("@",C962)),SEARCH("/",RIGHT(C962,LEN(C962)-SEARCH("@",C962)-1))),"")</f>
        <v/>
      </c>
      <c r="B96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3" spans="1:2" x14ac:dyDescent="0.25">
      <c r="A963" s="1" t="str">
        <f t="shared" si="15"/>
        <v/>
      </c>
      <c r="B96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4" spans="1:2" x14ac:dyDescent="0.25">
      <c r="A964" s="1" t="str">
        <f t="shared" si="15"/>
        <v/>
      </c>
      <c r="B96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5" spans="1:2" x14ac:dyDescent="0.25">
      <c r="A965" s="1" t="str">
        <f t="shared" si="15"/>
        <v/>
      </c>
      <c r="B96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6" spans="1:2" x14ac:dyDescent="0.25">
      <c r="A966" s="1" t="str">
        <f t="shared" si="15"/>
        <v/>
      </c>
      <c r="B96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7" spans="1:2" x14ac:dyDescent="0.25">
      <c r="A967" s="1" t="str">
        <f t="shared" si="15"/>
        <v/>
      </c>
      <c r="B96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8" spans="1:2" x14ac:dyDescent="0.25">
      <c r="A968" s="1" t="str">
        <f t="shared" si="15"/>
        <v/>
      </c>
      <c r="B96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69" spans="1:2" x14ac:dyDescent="0.25">
      <c r="A969" s="1" t="str">
        <f t="shared" si="15"/>
        <v/>
      </c>
      <c r="B96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0" spans="1:2" x14ac:dyDescent="0.25">
      <c r="A970" s="1" t="str">
        <f t="shared" si="15"/>
        <v/>
      </c>
      <c r="B97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1" spans="1:2" x14ac:dyDescent="0.25">
      <c r="A971" s="1" t="str">
        <f t="shared" si="15"/>
        <v/>
      </c>
      <c r="B97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2" spans="1:2" x14ac:dyDescent="0.25">
      <c r="A972" s="1" t="str">
        <f t="shared" si="15"/>
        <v/>
      </c>
      <c r="B97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3" spans="1:2" x14ac:dyDescent="0.25">
      <c r="A973" s="1" t="str">
        <f t="shared" si="15"/>
        <v/>
      </c>
      <c r="B97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4" spans="1:2" x14ac:dyDescent="0.25">
      <c r="A974" s="1" t="str">
        <f t="shared" si="15"/>
        <v/>
      </c>
      <c r="B97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5" spans="1:2" x14ac:dyDescent="0.25">
      <c r="A975" s="1" t="str">
        <f t="shared" si="15"/>
        <v/>
      </c>
      <c r="B97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6" spans="1:2" x14ac:dyDescent="0.25">
      <c r="A976" s="1" t="str">
        <f t="shared" si="15"/>
        <v/>
      </c>
      <c r="B97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7" spans="1:2" x14ac:dyDescent="0.25">
      <c r="A977" s="1" t="str">
        <f t="shared" si="15"/>
        <v/>
      </c>
      <c r="B97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8" spans="1:2" x14ac:dyDescent="0.25">
      <c r="A978" s="1" t="str">
        <f t="shared" si="15"/>
        <v/>
      </c>
      <c r="B97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79" spans="1:2" x14ac:dyDescent="0.25">
      <c r="A979" s="1" t="str">
        <f t="shared" si="15"/>
        <v/>
      </c>
      <c r="B97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0" spans="1:2" x14ac:dyDescent="0.25">
      <c r="A980" s="1" t="str">
        <f t="shared" si="15"/>
        <v/>
      </c>
      <c r="B98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1" spans="1:2" x14ac:dyDescent="0.25">
      <c r="A981" s="1" t="str">
        <f t="shared" si="15"/>
        <v/>
      </c>
      <c r="B98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2" spans="1:2" x14ac:dyDescent="0.25">
      <c r="A982" s="1" t="str">
        <f t="shared" si="15"/>
        <v/>
      </c>
      <c r="B98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3" spans="1:2" x14ac:dyDescent="0.25">
      <c r="A983" s="1" t="str">
        <f t="shared" si="15"/>
        <v/>
      </c>
      <c r="B98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4" spans="1:2" x14ac:dyDescent="0.25">
      <c r="A984" s="1" t="str">
        <f t="shared" si="15"/>
        <v/>
      </c>
      <c r="B98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5" spans="1:2" x14ac:dyDescent="0.25">
      <c r="A985" s="1" t="str">
        <f t="shared" si="15"/>
        <v/>
      </c>
      <c r="B98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6" spans="1:2" x14ac:dyDescent="0.25">
      <c r="A986" s="1" t="str">
        <f t="shared" si="15"/>
        <v/>
      </c>
      <c r="B98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7" spans="1:2" x14ac:dyDescent="0.25">
      <c r="A987" s="1" t="str">
        <f t="shared" si="15"/>
        <v/>
      </c>
      <c r="B98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8" spans="1:2" x14ac:dyDescent="0.25">
      <c r="A988" s="1" t="str">
        <f t="shared" si="15"/>
        <v/>
      </c>
      <c r="B98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89" spans="1:2" x14ac:dyDescent="0.25">
      <c r="A989" s="1" t="str">
        <f t="shared" si="15"/>
        <v/>
      </c>
      <c r="B98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0" spans="1:2" x14ac:dyDescent="0.25">
      <c r="A990" s="1" t="str">
        <f t="shared" si="15"/>
        <v/>
      </c>
      <c r="B99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1" spans="1:2" x14ac:dyDescent="0.25">
      <c r="A991" s="1" t="str">
        <f t="shared" si="15"/>
        <v/>
      </c>
      <c r="B99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2" spans="1:2" x14ac:dyDescent="0.25">
      <c r="A992" s="1" t="str">
        <f t="shared" si="15"/>
        <v/>
      </c>
      <c r="B99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3" spans="1:2" x14ac:dyDescent="0.25">
      <c r="A993" s="1" t="str">
        <f t="shared" si="15"/>
        <v/>
      </c>
      <c r="B99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4" spans="1:2" x14ac:dyDescent="0.25">
      <c r="A994" s="1" t="str">
        <f t="shared" si="15"/>
        <v/>
      </c>
      <c r="B99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5" spans="1:2" x14ac:dyDescent="0.25">
      <c r="A995" s="1" t="str">
        <f t="shared" si="15"/>
        <v/>
      </c>
      <c r="B99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6" spans="1:2" x14ac:dyDescent="0.25">
      <c r="A996" s="1" t="str">
        <f t="shared" si="15"/>
        <v/>
      </c>
      <c r="B99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7" spans="1:2" x14ac:dyDescent="0.25">
      <c r="A997" s="1" t="str">
        <f t="shared" si="15"/>
        <v/>
      </c>
      <c r="B99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8" spans="1:2" x14ac:dyDescent="0.25">
      <c r="A998" s="1" t="str">
        <f t="shared" si="15"/>
        <v/>
      </c>
      <c r="B99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999" spans="1:2" x14ac:dyDescent="0.25">
      <c r="A999" s="1" t="str">
        <f t="shared" si="15"/>
        <v/>
      </c>
      <c r="B99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0" spans="1:2" x14ac:dyDescent="0.25">
      <c r="A1000" s="1" t="str">
        <f t="shared" si="15"/>
        <v/>
      </c>
      <c r="B100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1" spans="1:2" x14ac:dyDescent="0.25">
      <c r="A1001" s="1" t="str">
        <f t="shared" si="15"/>
        <v/>
      </c>
      <c r="B1001"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2" spans="1:2" x14ac:dyDescent="0.25">
      <c r="A1002" s="1" t="str">
        <f t="shared" si="15"/>
        <v/>
      </c>
      <c r="B1002"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3" spans="1:2" x14ac:dyDescent="0.25">
      <c r="A1003" s="1" t="str">
        <f t="shared" si="15"/>
        <v/>
      </c>
      <c r="B1003"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4" spans="1:2" x14ac:dyDescent="0.25">
      <c r="A1004" s="1" t="str">
        <f t="shared" si="15"/>
        <v/>
      </c>
      <c r="B1004"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5" spans="1:2" x14ac:dyDescent="0.25">
      <c r="A1005" s="1" t="str">
        <f t="shared" si="15"/>
        <v/>
      </c>
      <c r="B1005"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6" spans="1:2" x14ac:dyDescent="0.25">
      <c r="A1006" s="1" t="str">
        <f t="shared" si="15"/>
        <v/>
      </c>
      <c r="B1006"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7" spans="1:2" x14ac:dyDescent="0.25">
      <c r="A1007" s="1" t="str">
        <f t="shared" si="15"/>
        <v/>
      </c>
      <c r="B1007"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8" spans="1:2" x14ac:dyDescent="0.25">
      <c r="A1008" s="1" t="str">
        <f t="shared" si="15"/>
        <v/>
      </c>
      <c r="B1008"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09" spans="1:2" x14ac:dyDescent="0.25">
      <c r="A1009" s="1" t="str">
        <f t="shared" si="15"/>
        <v/>
      </c>
      <c r="B1009"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0" spans="1:2" x14ac:dyDescent="0.25">
      <c r="A1010" s="1" t="str">
        <f t="shared" si="15"/>
        <v/>
      </c>
      <c r="B1010" s="1"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1" spans="1:2" x14ac:dyDescent="0.25">
      <c r="A1011" s="1" t="str">
        <f t="shared" si="15"/>
        <v/>
      </c>
      <c r="B10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2" spans="1:2" x14ac:dyDescent="0.25">
      <c r="A1012" s="1" t="str">
        <f t="shared" si="15"/>
        <v/>
      </c>
      <c r="B10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3" spans="1:2" x14ac:dyDescent="0.25">
      <c r="A1013" s="1" t="str">
        <f t="shared" si="15"/>
        <v/>
      </c>
      <c r="B10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4" spans="1:2" x14ac:dyDescent="0.25">
      <c r="A1014" s="1" t="str">
        <f t="shared" si="15"/>
        <v/>
      </c>
      <c r="B10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5" spans="1:2" x14ac:dyDescent="0.25">
      <c r="A1015" s="1" t="str">
        <f t="shared" si="15"/>
        <v/>
      </c>
      <c r="B10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6" spans="1:2" x14ac:dyDescent="0.25">
      <c r="A1016" s="1" t="str">
        <f t="shared" si="15"/>
        <v/>
      </c>
      <c r="B10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7" spans="1:2" x14ac:dyDescent="0.25">
      <c r="A1017" s="1" t="str">
        <f t="shared" si="15"/>
        <v/>
      </c>
      <c r="B10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8" spans="1:2" x14ac:dyDescent="0.25">
      <c r="A1018" s="1" t="str">
        <f t="shared" si="15"/>
        <v/>
      </c>
      <c r="B10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19" spans="1:2" x14ac:dyDescent="0.25">
      <c r="A1019" s="1" t="str">
        <f t="shared" si="15"/>
        <v/>
      </c>
      <c r="B10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0" spans="1:2" x14ac:dyDescent="0.25">
      <c r="A1020" s="1" t="str">
        <f t="shared" si="15"/>
        <v/>
      </c>
      <c r="B10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1" spans="1:2" x14ac:dyDescent="0.25">
      <c r="A1021" s="1" t="str">
        <f t="shared" si="15"/>
        <v/>
      </c>
      <c r="B10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2" spans="1:2" x14ac:dyDescent="0.25">
      <c r="A1022" s="1" t="str">
        <f t="shared" si="15"/>
        <v/>
      </c>
      <c r="B10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3" spans="1:2" x14ac:dyDescent="0.25">
      <c r="A1023" s="1" t="str">
        <f t="shared" si="15"/>
        <v/>
      </c>
      <c r="B10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4" spans="1:2" x14ac:dyDescent="0.25">
      <c r="A1024" s="1" t="str">
        <f t="shared" si="15"/>
        <v/>
      </c>
      <c r="B10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5" spans="1:2" x14ac:dyDescent="0.25">
      <c r="A1025" s="1" t="str">
        <f t="shared" si="15"/>
        <v/>
      </c>
      <c r="B10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6" spans="1:2" x14ac:dyDescent="0.25">
      <c r="A1026" s="1" t="str">
        <f t="shared" ref="A1026:A1089" si="16">IFERROR(LEFT(RIGHT(C1026,LEN(C1026)-SEARCH("@",C1026)),SEARCH("/",RIGHT(C1026,LEN(C1026)-SEARCH("@",C1026)-1))),"")</f>
        <v/>
      </c>
      <c r="B10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7" spans="1:2" x14ac:dyDescent="0.25">
      <c r="A1027" s="1" t="str">
        <f t="shared" si="16"/>
        <v/>
      </c>
      <c r="B10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8" spans="1:2" x14ac:dyDescent="0.25">
      <c r="A1028" s="1" t="str">
        <f t="shared" si="16"/>
        <v/>
      </c>
      <c r="B10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29" spans="1:2" x14ac:dyDescent="0.25">
      <c r="A1029" s="1" t="str">
        <f t="shared" si="16"/>
        <v/>
      </c>
      <c r="B10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0" spans="1:2" x14ac:dyDescent="0.25">
      <c r="A1030" s="1" t="str">
        <f t="shared" si="16"/>
        <v/>
      </c>
      <c r="B10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1" spans="1:2" x14ac:dyDescent="0.25">
      <c r="A1031" s="1" t="str">
        <f t="shared" si="16"/>
        <v/>
      </c>
      <c r="B10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2" spans="1:2" x14ac:dyDescent="0.25">
      <c r="A1032" s="1" t="str">
        <f t="shared" si="16"/>
        <v/>
      </c>
      <c r="B10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3" spans="1:2" x14ac:dyDescent="0.25">
      <c r="A1033" s="1" t="str">
        <f t="shared" si="16"/>
        <v/>
      </c>
      <c r="B10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4" spans="1:2" x14ac:dyDescent="0.25">
      <c r="A1034" s="1" t="str">
        <f t="shared" si="16"/>
        <v/>
      </c>
      <c r="B10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5" spans="1:2" x14ac:dyDescent="0.25">
      <c r="A1035" s="1" t="str">
        <f t="shared" si="16"/>
        <v/>
      </c>
      <c r="B10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6" spans="1:2" x14ac:dyDescent="0.25">
      <c r="A1036" s="1" t="str">
        <f t="shared" si="16"/>
        <v/>
      </c>
      <c r="B10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7" spans="1:2" x14ac:dyDescent="0.25">
      <c r="A1037" s="1" t="str">
        <f t="shared" si="16"/>
        <v/>
      </c>
      <c r="B10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8" spans="1:2" x14ac:dyDescent="0.25">
      <c r="A1038" s="1" t="str">
        <f t="shared" si="16"/>
        <v/>
      </c>
      <c r="B10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39" spans="1:2" x14ac:dyDescent="0.25">
      <c r="A1039" s="1" t="str">
        <f t="shared" si="16"/>
        <v/>
      </c>
      <c r="B10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0" spans="1:2" x14ac:dyDescent="0.25">
      <c r="A1040" s="1" t="str">
        <f t="shared" si="16"/>
        <v/>
      </c>
      <c r="B10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1" spans="1:2" x14ac:dyDescent="0.25">
      <c r="A1041" s="1" t="str">
        <f t="shared" si="16"/>
        <v/>
      </c>
      <c r="B10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2" spans="1:2" x14ac:dyDescent="0.25">
      <c r="A1042" s="1" t="str">
        <f t="shared" si="16"/>
        <v/>
      </c>
      <c r="B10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3" spans="1:2" x14ac:dyDescent="0.25">
      <c r="A1043" s="1" t="str">
        <f t="shared" si="16"/>
        <v/>
      </c>
      <c r="B10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4" spans="1:2" x14ac:dyDescent="0.25">
      <c r="A1044" s="1" t="str">
        <f t="shared" si="16"/>
        <v/>
      </c>
      <c r="B10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5" spans="1:2" x14ac:dyDescent="0.25">
      <c r="A1045" s="1" t="str">
        <f t="shared" si="16"/>
        <v/>
      </c>
      <c r="B10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6" spans="1:2" x14ac:dyDescent="0.25">
      <c r="A1046" s="1" t="str">
        <f t="shared" si="16"/>
        <v/>
      </c>
      <c r="B10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7" spans="1:2" x14ac:dyDescent="0.25">
      <c r="A1047" s="1" t="str">
        <f t="shared" si="16"/>
        <v/>
      </c>
      <c r="B10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8" spans="1:2" x14ac:dyDescent="0.25">
      <c r="A1048" s="1" t="str">
        <f t="shared" si="16"/>
        <v/>
      </c>
      <c r="B10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49" spans="1:2" x14ac:dyDescent="0.25">
      <c r="A1049" s="1" t="str">
        <f t="shared" si="16"/>
        <v/>
      </c>
      <c r="B10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0" spans="1:2" x14ac:dyDescent="0.25">
      <c r="A1050" s="1" t="str">
        <f t="shared" si="16"/>
        <v/>
      </c>
      <c r="B10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1" spans="1:2" x14ac:dyDescent="0.25">
      <c r="A1051" s="1" t="str">
        <f t="shared" si="16"/>
        <v/>
      </c>
      <c r="B10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2" spans="1:2" x14ac:dyDescent="0.25">
      <c r="A1052" s="1" t="str">
        <f t="shared" si="16"/>
        <v/>
      </c>
      <c r="B10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3" spans="1:2" x14ac:dyDescent="0.25">
      <c r="A1053" s="1" t="str">
        <f t="shared" si="16"/>
        <v/>
      </c>
      <c r="B10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4" spans="1:2" x14ac:dyDescent="0.25">
      <c r="A1054" s="1" t="str">
        <f t="shared" si="16"/>
        <v/>
      </c>
      <c r="B10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5" spans="1:2" x14ac:dyDescent="0.25">
      <c r="A1055" s="1" t="str">
        <f t="shared" si="16"/>
        <v/>
      </c>
      <c r="B10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6" spans="1:2" x14ac:dyDescent="0.25">
      <c r="A1056" s="1" t="str">
        <f t="shared" si="16"/>
        <v/>
      </c>
      <c r="B10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7" spans="1:2" x14ac:dyDescent="0.25">
      <c r="A1057" s="1" t="str">
        <f t="shared" si="16"/>
        <v/>
      </c>
      <c r="B10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8" spans="1:2" x14ac:dyDescent="0.25">
      <c r="A1058" s="1" t="str">
        <f t="shared" si="16"/>
        <v/>
      </c>
      <c r="B10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59" spans="1:2" x14ac:dyDescent="0.25">
      <c r="A1059" s="1" t="str">
        <f t="shared" si="16"/>
        <v/>
      </c>
      <c r="B10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0" spans="1:2" x14ac:dyDescent="0.25">
      <c r="A1060" s="1" t="str">
        <f t="shared" si="16"/>
        <v/>
      </c>
      <c r="B10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1" spans="1:2" x14ac:dyDescent="0.25">
      <c r="A1061" s="1" t="str">
        <f t="shared" si="16"/>
        <v/>
      </c>
      <c r="B10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2" spans="1:2" x14ac:dyDescent="0.25">
      <c r="A1062" s="1" t="str">
        <f t="shared" si="16"/>
        <v/>
      </c>
      <c r="B10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3" spans="1:2" x14ac:dyDescent="0.25">
      <c r="A1063" s="1" t="str">
        <f t="shared" si="16"/>
        <v/>
      </c>
      <c r="B10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4" spans="1:2" x14ac:dyDescent="0.25">
      <c r="A1064" s="1" t="str">
        <f t="shared" si="16"/>
        <v/>
      </c>
      <c r="B10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5" spans="1:2" x14ac:dyDescent="0.25">
      <c r="A1065" s="1" t="str">
        <f t="shared" si="16"/>
        <v/>
      </c>
      <c r="B10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6" spans="1:2" x14ac:dyDescent="0.25">
      <c r="A1066" s="1" t="str">
        <f t="shared" si="16"/>
        <v/>
      </c>
      <c r="B10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7" spans="1:2" x14ac:dyDescent="0.25">
      <c r="A1067" s="1" t="str">
        <f t="shared" si="16"/>
        <v/>
      </c>
      <c r="B10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8" spans="1:2" x14ac:dyDescent="0.25">
      <c r="A1068" s="1" t="str">
        <f t="shared" si="16"/>
        <v/>
      </c>
      <c r="B10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69" spans="1:2" x14ac:dyDescent="0.25">
      <c r="A1069" s="1" t="str">
        <f t="shared" si="16"/>
        <v/>
      </c>
      <c r="B10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0" spans="1:2" x14ac:dyDescent="0.25">
      <c r="A1070" s="1" t="str">
        <f t="shared" si="16"/>
        <v/>
      </c>
      <c r="B10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1" spans="1:2" x14ac:dyDescent="0.25">
      <c r="A1071" s="1" t="str">
        <f t="shared" si="16"/>
        <v/>
      </c>
      <c r="B10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2" spans="1:2" x14ac:dyDescent="0.25">
      <c r="A1072" s="1" t="str">
        <f t="shared" si="16"/>
        <v/>
      </c>
      <c r="B10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3" spans="1:2" x14ac:dyDescent="0.25">
      <c r="A1073" s="1" t="str">
        <f t="shared" si="16"/>
        <v/>
      </c>
      <c r="B10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4" spans="1:2" x14ac:dyDescent="0.25">
      <c r="A1074" s="1" t="str">
        <f t="shared" si="16"/>
        <v/>
      </c>
      <c r="B10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5" spans="1:2" x14ac:dyDescent="0.25">
      <c r="A1075" s="1" t="str">
        <f t="shared" si="16"/>
        <v/>
      </c>
      <c r="B10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6" spans="1:2" x14ac:dyDescent="0.25">
      <c r="A1076" s="1" t="str">
        <f t="shared" si="16"/>
        <v/>
      </c>
      <c r="B10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7" spans="1:2" x14ac:dyDescent="0.25">
      <c r="A1077" s="1" t="str">
        <f t="shared" si="16"/>
        <v/>
      </c>
      <c r="B10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8" spans="1:2" x14ac:dyDescent="0.25">
      <c r="A1078" s="1" t="str">
        <f t="shared" si="16"/>
        <v/>
      </c>
      <c r="B10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79" spans="1:2" x14ac:dyDescent="0.25">
      <c r="A1079" s="1" t="str">
        <f t="shared" si="16"/>
        <v/>
      </c>
      <c r="B10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0" spans="1:2" x14ac:dyDescent="0.25">
      <c r="A1080" s="1" t="str">
        <f t="shared" si="16"/>
        <v/>
      </c>
      <c r="B10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1" spans="1:2" x14ac:dyDescent="0.25">
      <c r="A1081" s="1" t="str">
        <f t="shared" si="16"/>
        <v/>
      </c>
      <c r="B10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2" spans="1:2" x14ac:dyDescent="0.25">
      <c r="A1082" s="1" t="str">
        <f t="shared" si="16"/>
        <v/>
      </c>
      <c r="B10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3" spans="1:2" x14ac:dyDescent="0.25">
      <c r="A1083" s="1" t="str">
        <f t="shared" si="16"/>
        <v/>
      </c>
      <c r="B10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4" spans="1:2" x14ac:dyDescent="0.25">
      <c r="A1084" s="1" t="str">
        <f t="shared" si="16"/>
        <v/>
      </c>
      <c r="B10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5" spans="1:2" x14ac:dyDescent="0.25">
      <c r="A1085" s="1" t="str">
        <f t="shared" si="16"/>
        <v/>
      </c>
      <c r="B10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6" spans="1:2" x14ac:dyDescent="0.25">
      <c r="A1086" s="1" t="str">
        <f t="shared" si="16"/>
        <v/>
      </c>
      <c r="B10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7" spans="1:2" x14ac:dyDescent="0.25">
      <c r="A1087" s="1" t="str">
        <f t="shared" si="16"/>
        <v/>
      </c>
      <c r="B10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8" spans="1:2" x14ac:dyDescent="0.25">
      <c r="A1088" s="1" t="str">
        <f t="shared" si="16"/>
        <v/>
      </c>
      <c r="B10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89" spans="1:2" x14ac:dyDescent="0.25">
      <c r="A1089" s="1" t="str">
        <f t="shared" si="16"/>
        <v/>
      </c>
      <c r="B10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0" spans="1:2" x14ac:dyDescent="0.25">
      <c r="A1090" s="1" t="str">
        <f t="shared" ref="A1090:A1153" si="17">IFERROR(LEFT(RIGHT(C1090,LEN(C1090)-SEARCH("@",C1090)),SEARCH("/",RIGHT(C1090,LEN(C1090)-SEARCH("@",C1090)-1))),"")</f>
        <v/>
      </c>
      <c r="B10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1" spans="1:2" x14ac:dyDescent="0.25">
      <c r="A1091" s="1" t="str">
        <f t="shared" si="17"/>
        <v/>
      </c>
      <c r="B10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2" spans="1:2" x14ac:dyDescent="0.25">
      <c r="A1092" s="1" t="str">
        <f t="shared" si="17"/>
        <v/>
      </c>
      <c r="B10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3" spans="1:2" x14ac:dyDescent="0.25">
      <c r="A1093" s="1" t="str">
        <f t="shared" si="17"/>
        <v/>
      </c>
      <c r="B10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4" spans="1:2" x14ac:dyDescent="0.25">
      <c r="A1094" s="1" t="str">
        <f t="shared" si="17"/>
        <v/>
      </c>
      <c r="B10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5" spans="1:2" x14ac:dyDescent="0.25">
      <c r="A1095" s="1" t="str">
        <f t="shared" si="17"/>
        <v/>
      </c>
      <c r="B10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6" spans="1:2" x14ac:dyDescent="0.25">
      <c r="A1096" s="1" t="str">
        <f t="shared" si="17"/>
        <v/>
      </c>
      <c r="B10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7" spans="1:2" x14ac:dyDescent="0.25">
      <c r="A1097" s="1" t="str">
        <f t="shared" si="17"/>
        <v/>
      </c>
      <c r="B10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8" spans="1:2" x14ac:dyDescent="0.25">
      <c r="A1098" s="1" t="str">
        <f t="shared" si="17"/>
        <v/>
      </c>
      <c r="B10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099" spans="1:2" x14ac:dyDescent="0.25">
      <c r="A1099" s="1" t="str">
        <f t="shared" si="17"/>
        <v/>
      </c>
      <c r="B10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0" spans="1:2" x14ac:dyDescent="0.25">
      <c r="A1100" s="1" t="str">
        <f t="shared" si="17"/>
        <v/>
      </c>
      <c r="B11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1" spans="1:2" x14ac:dyDescent="0.25">
      <c r="A1101" s="1" t="str">
        <f t="shared" si="17"/>
        <v/>
      </c>
      <c r="B11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2" spans="1:2" x14ac:dyDescent="0.25">
      <c r="A1102" s="1" t="str">
        <f t="shared" si="17"/>
        <v/>
      </c>
      <c r="B11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3" spans="1:2" x14ac:dyDescent="0.25">
      <c r="A1103" s="1" t="str">
        <f t="shared" si="17"/>
        <v/>
      </c>
      <c r="B11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4" spans="1:2" x14ac:dyDescent="0.25">
      <c r="A1104" s="1" t="str">
        <f t="shared" si="17"/>
        <v/>
      </c>
      <c r="B11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5" spans="1:2" x14ac:dyDescent="0.25">
      <c r="A1105" s="1" t="str">
        <f t="shared" si="17"/>
        <v/>
      </c>
      <c r="B11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6" spans="1:2" x14ac:dyDescent="0.25">
      <c r="A1106" s="1" t="str">
        <f t="shared" si="17"/>
        <v/>
      </c>
      <c r="B11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7" spans="1:2" x14ac:dyDescent="0.25">
      <c r="A1107" s="1" t="str">
        <f t="shared" si="17"/>
        <v/>
      </c>
      <c r="B11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8" spans="1:2" x14ac:dyDescent="0.25">
      <c r="A1108" s="1" t="str">
        <f t="shared" si="17"/>
        <v/>
      </c>
      <c r="B11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09" spans="1:2" x14ac:dyDescent="0.25">
      <c r="A1109" s="1" t="str">
        <f t="shared" si="17"/>
        <v/>
      </c>
      <c r="B11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0" spans="1:2" x14ac:dyDescent="0.25">
      <c r="A1110" s="1" t="str">
        <f t="shared" si="17"/>
        <v/>
      </c>
      <c r="B11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1" spans="1:2" x14ac:dyDescent="0.25">
      <c r="A1111" s="1" t="str">
        <f t="shared" si="17"/>
        <v/>
      </c>
      <c r="B11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2" spans="1:2" x14ac:dyDescent="0.25">
      <c r="A1112" s="1" t="str">
        <f t="shared" si="17"/>
        <v/>
      </c>
      <c r="B11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3" spans="1:2" x14ac:dyDescent="0.25">
      <c r="A1113" s="1" t="str">
        <f t="shared" si="17"/>
        <v/>
      </c>
      <c r="B11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4" spans="1:2" x14ac:dyDescent="0.25">
      <c r="A1114" s="1" t="str">
        <f t="shared" si="17"/>
        <v/>
      </c>
      <c r="B11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5" spans="1:2" x14ac:dyDescent="0.25">
      <c r="A1115" s="1" t="str">
        <f t="shared" si="17"/>
        <v/>
      </c>
      <c r="B11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6" spans="1:2" x14ac:dyDescent="0.25">
      <c r="A1116" s="1" t="str">
        <f t="shared" si="17"/>
        <v/>
      </c>
      <c r="B11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7" spans="1:2" x14ac:dyDescent="0.25">
      <c r="A1117" s="1" t="str">
        <f t="shared" si="17"/>
        <v/>
      </c>
      <c r="B11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8" spans="1:2" x14ac:dyDescent="0.25">
      <c r="A1118" s="1" t="str">
        <f t="shared" si="17"/>
        <v/>
      </c>
      <c r="B11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19" spans="1:2" x14ac:dyDescent="0.25">
      <c r="A1119" s="1" t="str">
        <f t="shared" si="17"/>
        <v/>
      </c>
      <c r="B11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0" spans="1:2" x14ac:dyDescent="0.25">
      <c r="A1120" s="1" t="str">
        <f t="shared" si="17"/>
        <v/>
      </c>
      <c r="B11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1" spans="1:2" x14ac:dyDescent="0.25">
      <c r="A1121" s="1" t="str">
        <f t="shared" si="17"/>
        <v/>
      </c>
      <c r="B11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2" spans="1:2" x14ac:dyDescent="0.25">
      <c r="A1122" s="1" t="str">
        <f t="shared" si="17"/>
        <v/>
      </c>
      <c r="B11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3" spans="1:2" x14ac:dyDescent="0.25">
      <c r="A1123" s="1" t="str">
        <f t="shared" si="17"/>
        <v/>
      </c>
      <c r="B11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4" spans="1:2" x14ac:dyDescent="0.25">
      <c r="A1124" s="1" t="str">
        <f t="shared" si="17"/>
        <v/>
      </c>
      <c r="B11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5" spans="1:2" x14ac:dyDescent="0.25">
      <c r="A1125" s="1" t="str">
        <f t="shared" si="17"/>
        <v/>
      </c>
      <c r="B11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6" spans="1:2" x14ac:dyDescent="0.25">
      <c r="A1126" s="1" t="str">
        <f t="shared" si="17"/>
        <v/>
      </c>
      <c r="B11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7" spans="1:2" x14ac:dyDescent="0.25">
      <c r="A1127" s="1" t="str">
        <f t="shared" si="17"/>
        <v/>
      </c>
      <c r="B11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8" spans="1:2" x14ac:dyDescent="0.25">
      <c r="A1128" s="1" t="str">
        <f t="shared" si="17"/>
        <v/>
      </c>
      <c r="B11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29" spans="1:2" x14ac:dyDescent="0.25">
      <c r="A1129" s="1" t="str">
        <f t="shared" si="17"/>
        <v/>
      </c>
      <c r="B11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0" spans="1:2" x14ac:dyDescent="0.25">
      <c r="A1130" s="1" t="str">
        <f t="shared" si="17"/>
        <v/>
      </c>
      <c r="B11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1" spans="1:2" x14ac:dyDescent="0.25">
      <c r="A1131" s="1" t="str">
        <f t="shared" si="17"/>
        <v/>
      </c>
      <c r="B11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2" spans="1:2" x14ac:dyDescent="0.25">
      <c r="A1132" s="1" t="str">
        <f t="shared" si="17"/>
        <v/>
      </c>
      <c r="B11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3" spans="1:2" x14ac:dyDescent="0.25">
      <c r="A1133" s="1" t="str">
        <f t="shared" si="17"/>
        <v/>
      </c>
      <c r="B11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4" spans="1:2" x14ac:dyDescent="0.25">
      <c r="A1134" s="1" t="str">
        <f t="shared" si="17"/>
        <v/>
      </c>
      <c r="B11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5" spans="1:2" x14ac:dyDescent="0.25">
      <c r="A1135" s="1" t="str">
        <f t="shared" si="17"/>
        <v/>
      </c>
      <c r="B11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6" spans="1:2" x14ac:dyDescent="0.25">
      <c r="A1136" s="1" t="str">
        <f t="shared" si="17"/>
        <v/>
      </c>
      <c r="B11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7" spans="1:2" x14ac:dyDescent="0.25">
      <c r="A1137" s="1" t="str">
        <f t="shared" si="17"/>
        <v/>
      </c>
      <c r="B11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8" spans="1:2" x14ac:dyDescent="0.25">
      <c r="A1138" s="1" t="str">
        <f t="shared" si="17"/>
        <v/>
      </c>
      <c r="B11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39" spans="1:2" x14ac:dyDescent="0.25">
      <c r="A1139" s="1" t="str">
        <f t="shared" si="17"/>
        <v/>
      </c>
      <c r="B11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0" spans="1:2" x14ac:dyDescent="0.25">
      <c r="A1140" s="1" t="str">
        <f t="shared" si="17"/>
        <v/>
      </c>
      <c r="B11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1" spans="1:2" x14ac:dyDescent="0.25">
      <c r="A1141" s="1" t="str">
        <f t="shared" si="17"/>
        <v/>
      </c>
      <c r="B11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2" spans="1:2" x14ac:dyDescent="0.25">
      <c r="A1142" s="1" t="str">
        <f t="shared" si="17"/>
        <v/>
      </c>
      <c r="B11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3" spans="1:2" x14ac:dyDescent="0.25">
      <c r="A1143" s="1" t="str">
        <f t="shared" si="17"/>
        <v/>
      </c>
      <c r="B11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4" spans="1:2" x14ac:dyDescent="0.25">
      <c r="A1144" s="1" t="str">
        <f t="shared" si="17"/>
        <v/>
      </c>
      <c r="B11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5" spans="1:2" x14ac:dyDescent="0.25">
      <c r="A1145" s="1" t="str">
        <f t="shared" si="17"/>
        <v/>
      </c>
      <c r="B11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6" spans="1:2" x14ac:dyDescent="0.25">
      <c r="A1146" s="1" t="str">
        <f t="shared" si="17"/>
        <v/>
      </c>
      <c r="B11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7" spans="1:2" x14ac:dyDescent="0.25">
      <c r="A1147" s="1" t="str">
        <f t="shared" si="17"/>
        <v/>
      </c>
      <c r="B11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8" spans="1:2" x14ac:dyDescent="0.25">
      <c r="A1148" s="1" t="str">
        <f t="shared" si="17"/>
        <v/>
      </c>
      <c r="B11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49" spans="1:2" x14ac:dyDescent="0.25">
      <c r="A1149" s="1" t="str">
        <f t="shared" si="17"/>
        <v/>
      </c>
      <c r="B11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0" spans="1:2" x14ac:dyDescent="0.25">
      <c r="A1150" s="1" t="str">
        <f t="shared" si="17"/>
        <v/>
      </c>
      <c r="B11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1" spans="1:2" x14ac:dyDescent="0.25">
      <c r="A1151" s="1" t="str">
        <f t="shared" si="17"/>
        <v/>
      </c>
      <c r="B11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2" spans="1:2" x14ac:dyDescent="0.25">
      <c r="A1152" s="1" t="str">
        <f t="shared" si="17"/>
        <v/>
      </c>
      <c r="B11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3" spans="1:2" x14ac:dyDescent="0.25">
      <c r="A1153" s="1" t="str">
        <f t="shared" si="17"/>
        <v/>
      </c>
      <c r="B11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4" spans="1:2" x14ac:dyDescent="0.25">
      <c r="A1154" s="1" t="str">
        <f t="shared" ref="A1154:A1217" si="18">IFERROR(LEFT(RIGHT(C1154,LEN(C1154)-SEARCH("@",C1154)),SEARCH("/",RIGHT(C1154,LEN(C1154)-SEARCH("@",C1154)-1))),"")</f>
        <v/>
      </c>
      <c r="B11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5" spans="1:2" x14ac:dyDescent="0.25">
      <c r="A1155" s="1" t="str">
        <f t="shared" si="18"/>
        <v/>
      </c>
      <c r="B11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6" spans="1:2" x14ac:dyDescent="0.25">
      <c r="A1156" s="1" t="str">
        <f t="shared" si="18"/>
        <v/>
      </c>
      <c r="B11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7" spans="1:2" x14ac:dyDescent="0.25">
      <c r="A1157" s="1" t="str">
        <f t="shared" si="18"/>
        <v/>
      </c>
      <c r="B11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8" spans="1:2" x14ac:dyDescent="0.25">
      <c r="A1158" s="1" t="str">
        <f t="shared" si="18"/>
        <v/>
      </c>
      <c r="B11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59" spans="1:2" x14ac:dyDescent="0.25">
      <c r="A1159" s="1" t="str">
        <f t="shared" si="18"/>
        <v/>
      </c>
      <c r="B11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0" spans="1:2" x14ac:dyDescent="0.25">
      <c r="A1160" s="1" t="str">
        <f t="shared" si="18"/>
        <v/>
      </c>
      <c r="B11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1" spans="1:2" x14ac:dyDescent="0.25">
      <c r="A1161" s="1" t="str">
        <f t="shared" si="18"/>
        <v/>
      </c>
      <c r="B11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2" spans="1:2" x14ac:dyDescent="0.25">
      <c r="A1162" s="1" t="str">
        <f t="shared" si="18"/>
        <v/>
      </c>
      <c r="B11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3" spans="1:2" x14ac:dyDescent="0.25">
      <c r="A1163" s="1" t="str">
        <f t="shared" si="18"/>
        <v/>
      </c>
      <c r="B11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4" spans="1:2" x14ac:dyDescent="0.25">
      <c r="A1164" s="1" t="str">
        <f t="shared" si="18"/>
        <v/>
      </c>
      <c r="B11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5" spans="1:2" x14ac:dyDescent="0.25">
      <c r="A1165" s="1" t="str">
        <f t="shared" si="18"/>
        <v/>
      </c>
      <c r="B11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6" spans="1:2" x14ac:dyDescent="0.25">
      <c r="A1166" s="1" t="str">
        <f t="shared" si="18"/>
        <v/>
      </c>
      <c r="B11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7" spans="1:2" x14ac:dyDescent="0.25">
      <c r="A1167" s="1" t="str">
        <f t="shared" si="18"/>
        <v/>
      </c>
      <c r="B11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8" spans="1:2" x14ac:dyDescent="0.25">
      <c r="A1168" s="1" t="str">
        <f t="shared" si="18"/>
        <v/>
      </c>
      <c r="B11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69" spans="1:2" x14ac:dyDescent="0.25">
      <c r="A1169" s="1" t="str">
        <f t="shared" si="18"/>
        <v/>
      </c>
      <c r="B11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0" spans="1:2" x14ac:dyDescent="0.25">
      <c r="A1170" s="1" t="str">
        <f t="shared" si="18"/>
        <v/>
      </c>
      <c r="B11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1" spans="1:2" x14ac:dyDescent="0.25">
      <c r="A1171" s="1" t="str">
        <f t="shared" si="18"/>
        <v/>
      </c>
      <c r="B11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2" spans="1:2" x14ac:dyDescent="0.25">
      <c r="A1172" s="1" t="str">
        <f t="shared" si="18"/>
        <v/>
      </c>
      <c r="B11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3" spans="1:2" x14ac:dyDescent="0.25">
      <c r="A1173" s="1" t="str">
        <f t="shared" si="18"/>
        <v/>
      </c>
      <c r="B11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4" spans="1:2" x14ac:dyDescent="0.25">
      <c r="A1174" s="1" t="str">
        <f t="shared" si="18"/>
        <v/>
      </c>
      <c r="B11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5" spans="1:2" x14ac:dyDescent="0.25">
      <c r="A1175" s="1" t="str">
        <f t="shared" si="18"/>
        <v/>
      </c>
      <c r="B11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6" spans="1:2" x14ac:dyDescent="0.25">
      <c r="A1176" s="1" t="str">
        <f t="shared" si="18"/>
        <v/>
      </c>
      <c r="B11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7" spans="1:2" x14ac:dyDescent="0.25">
      <c r="A1177" s="1" t="str">
        <f t="shared" si="18"/>
        <v/>
      </c>
      <c r="B11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8" spans="1:2" x14ac:dyDescent="0.25">
      <c r="A1178" s="1" t="str">
        <f t="shared" si="18"/>
        <v/>
      </c>
      <c r="B11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79" spans="1:2" x14ac:dyDescent="0.25">
      <c r="A1179" s="1" t="str">
        <f t="shared" si="18"/>
        <v/>
      </c>
      <c r="B11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0" spans="1:2" x14ac:dyDescent="0.25">
      <c r="A1180" s="1" t="str">
        <f t="shared" si="18"/>
        <v/>
      </c>
      <c r="B11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1" spans="1:2" x14ac:dyDescent="0.25">
      <c r="A1181" s="1" t="str">
        <f t="shared" si="18"/>
        <v/>
      </c>
      <c r="B11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2" spans="1:2" x14ac:dyDescent="0.25">
      <c r="A1182" s="1" t="str">
        <f t="shared" si="18"/>
        <v/>
      </c>
      <c r="B11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3" spans="1:2" x14ac:dyDescent="0.25">
      <c r="A1183" s="1" t="str">
        <f t="shared" si="18"/>
        <v/>
      </c>
      <c r="B11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4" spans="1:2" x14ac:dyDescent="0.25">
      <c r="A1184" s="1" t="str">
        <f t="shared" si="18"/>
        <v/>
      </c>
      <c r="B11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5" spans="1:2" x14ac:dyDescent="0.25">
      <c r="A1185" s="1" t="str">
        <f t="shared" si="18"/>
        <v/>
      </c>
      <c r="B11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6" spans="1:2" x14ac:dyDescent="0.25">
      <c r="A1186" s="1" t="str">
        <f t="shared" si="18"/>
        <v/>
      </c>
      <c r="B11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7" spans="1:2" x14ac:dyDescent="0.25">
      <c r="A1187" s="1" t="str">
        <f t="shared" si="18"/>
        <v/>
      </c>
      <c r="B11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8" spans="1:2" x14ac:dyDescent="0.25">
      <c r="A1188" s="1" t="str">
        <f t="shared" si="18"/>
        <v/>
      </c>
      <c r="B11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89" spans="1:2" x14ac:dyDescent="0.25">
      <c r="A1189" s="1" t="str">
        <f t="shared" si="18"/>
        <v/>
      </c>
      <c r="B11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0" spans="1:2" x14ac:dyDescent="0.25">
      <c r="A1190" s="1" t="str">
        <f t="shared" si="18"/>
        <v/>
      </c>
      <c r="B11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1" spans="1:2" x14ac:dyDescent="0.25">
      <c r="A1191" s="1" t="str">
        <f t="shared" si="18"/>
        <v/>
      </c>
      <c r="B11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2" spans="1:2" x14ac:dyDescent="0.25">
      <c r="A1192" s="1" t="str">
        <f t="shared" si="18"/>
        <v/>
      </c>
      <c r="B11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3" spans="1:2" x14ac:dyDescent="0.25">
      <c r="A1193" s="1" t="str">
        <f t="shared" si="18"/>
        <v/>
      </c>
      <c r="B11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4" spans="1:2" x14ac:dyDescent="0.25">
      <c r="A1194" s="1" t="str">
        <f t="shared" si="18"/>
        <v/>
      </c>
      <c r="B11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5" spans="1:2" x14ac:dyDescent="0.25">
      <c r="A1195" s="1" t="str">
        <f t="shared" si="18"/>
        <v/>
      </c>
      <c r="B11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6" spans="1:2" x14ac:dyDescent="0.25">
      <c r="A1196" s="1" t="str">
        <f t="shared" si="18"/>
        <v/>
      </c>
      <c r="B11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7" spans="1:2" x14ac:dyDescent="0.25">
      <c r="A1197" s="1" t="str">
        <f t="shared" si="18"/>
        <v/>
      </c>
      <c r="B11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8" spans="1:2" x14ac:dyDescent="0.25">
      <c r="A1198" s="1" t="str">
        <f t="shared" si="18"/>
        <v/>
      </c>
      <c r="B11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199" spans="1:2" x14ac:dyDescent="0.25">
      <c r="A1199" s="1" t="str">
        <f t="shared" si="18"/>
        <v/>
      </c>
      <c r="B11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0" spans="1:2" x14ac:dyDescent="0.25">
      <c r="A1200" s="1" t="str">
        <f t="shared" si="18"/>
        <v/>
      </c>
      <c r="B12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1" spans="1:2" x14ac:dyDescent="0.25">
      <c r="A1201" s="1" t="str">
        <f t="shared" si="18"/>
        <v/>
      </c>
      <c r="B12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2" spans="1:2" x14ac:dyDescent="0.25">
      <c r="A1202" s="1" t="str">
        <f t="shared" si="18"/>
        <v/>
      </c>
      <c r="B12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3" spans="1:2" x14ac:dyDescent="0.25">
      <c r="A1203" s="1" t="str">
        <f t="shared" si="18"/>
        <v/>
      </c>
      <c r="B12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4" spans="1:2" x14ac:dyDescent="0.25">
      <c r="A1204" s="1" t="str">
        <f t="shared" si="18"/>
        <v/>
      </c>
      <c r="B12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5" spans="1:2" x14ac:dyDescent="0.25">
      <c r="A1205" s="1" t="str">
        <f t="shared" si="18"/>
        <v/>
      </c>
      <c r="B12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6" spans="1:2" x14ac:dyDescent="0.25">
      <c r="A1206" s="1" t="str">
        <f t="shared" si="18"/>
        <v/>
      </c>
      <c r="B12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7" spans="1:2" x14ac:dyDescent="0.25">
      <c r="A1207" s="1" t="str">
        <f t="shared" si="18"/>
        <v/>
      </c>
      <c r="B12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8" spans="1:2" x14ac:dyDescent="0.25">
      <c r="A1208" s="1" t="str">
        <f t="shared" si="18"/>
        <v/>
      </c>
      <c r="B12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09" spans="1:2" x14ac:dyDescent="0.25">
      <c r="A1209" s="1" t="str">
        <f t="shared" si="18"/>
        <v/>
      </c>
      <c r="B12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0" spans="1:2" x14ac:dyDescent="0.25">
      <c r="A1210" s="1" t="str">
        <f t="shared" si="18"/>
        <v/>
      </c>
      <c r="B12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1" spans="1:2" x14ac:dyDescent="0.25">
      <c r="A1211" s="1" t="str">
        <f t="shared" si="18"/>
        <v/>
      </c>
      <c r="B12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2" spans="1:2" x14ac:dyDescent="0.25">
      <c r="A1212" s="1" t="str">
        <f t="shared" si="18"/>
        <v/>
      </c>
      <c r="B12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3" spans="1:2" x14ac:dyDescent="0.25">
      <c r="A1213" s="1" t="str">
        <f t="shared" si="18"/>
        <v/>
      </c>
      <c r="B12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4" spans="1:2" x14ac:dyDescent="0.25">
      <c r="A1214" s="1" t="str">
        <f t="shared" si="18"/>
        <v/>
      </c>
      <c r="B12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5" spans="1:2" x14ac:dyDescent="0.25">
      <c r="A1215" s="1" t="str">
        <f t="shared" si="18"/>
        <v/>
      </c>
      <c r="B12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6" spans="1:2" x14ac:dyDescent="0.25">
      <c r="A1216" s="1" t="str">
        <f t="shared" si="18"/>
        <v/>
      </c>
      <c r="B12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7" spans="1:2" x14ac:dyDescent="0.25">
      <c r="A1217" s="1" t="str">
        <f t="shared" si="18"/>
        <v/>
      </c>
      <c r="B12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8" spans="1:2" x14ac:dyDescent="0.25">
      <c r="A1218" s="1" t="str">
        <f t="shared" ref="A1218:A1281" si="19">IFERROR(LEFT(RIGHT(C1218,LEN(C1218)-SEARCH("@",C1218)),SEARCH("/",RIGHT(C1218,LEN(C1218)-SEARCH("@",C1218)-1))),"")</f>
        <v/>
      </c>
      <c r="B12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19" spans="1:2" x14ac:dyDescent="0.25">
      <c r="A1219" s="1" t="str">
        <f t="shared" si="19"/>
        <v/>
      </c>
      <c r="B12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0" spans="1:2" x14ac:dyDescent="0.25">
      <c r="A1220" s="1" t="str">
        <f t="shared" si="19"/>
        <v/>
      </c>
      <c r="B12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1" spans="1:2" x14ac:dyDescent="0.25">
      <c r="A1221" s="1" t="str">
        <f t="shared" si="19"/>
        <v/>
      </c>
      <c r="B12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2" spans="1:2" x14ac:dyDescent="0.25">
      <c r="A1222" s="1" t="str">
        <f t="shared" si="19"/>
        <v/>
      </c>
      <c r="B12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3" spans="1:2" x14ac:dyDescent="0.25">
      <c r="A1223" s="1" t="str">
        <f t="shared" si="19"/>
        <v/>
      </c>
      <c r="B12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4" spans="1:2" x14ac:dyDescent="0.25">
      <c r="A1224" s="1" t="str">
        <f t="shared" si="19"/>
        <v/>
      </c>
      <c r="B12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5" spans="1:2" x14ac:dyDescent="0.25">
      <c r="A1225" s="1" t="str">
        <f t="shared" si="19"/>
        <v/>
      </c>
      <c r="B12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6" spans="1:2" x14ac:dyDescent="0.25">
      <c r="A1226" s="1" t="str">
        <f t="shared" si="19"/>
        <v/>
      </c>
      <c r="B12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7" spans="1:2" x14ac:dyDescent="0.25">
      <c r="A1227" s="1" t="str">
        <f t="shared" si="19"/>
        <v/>
      </c>
      <c r="B12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8" spans="1:2" x14ac:dyDescent="0.25">
      <c r="A1228" s="1" t="str">
        <f t="shared" si="19"/>
        <v/>
      </c>
      <c r="B12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29" spans="1:2" x14ac:dyDescent="0.25">
      <c r="A1229" s="1" t="str">
        <f t="shared" si="19"/>
        <v/>
      </c>
      <c r="B12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0" spans="1:2" x14ac:dyDescent="0.25">
      <c r="A1230" s="1" t="str">
        <f t="shared" si="19"/>
        <v/>
      </c>
      <c r="B12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1" spans="1:2" x14ac:dyDescent="0.25">
      <c r="A1231" s="1" t="str">
        <f t="shared" si="19"/>
        <v/>
      </c>
      <c r="B12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2" spans="1:2" x14ac:dyDescent="0.25">
      <c r="A1232" s="1" t="str">
        <f t="shared" si="19"/>
        <v/>
      </c>
      <c r="B12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3" spans="1:2" x14ac:dyDescent="0.25">
      <c r="A1233" s="1" t="str">
        <f t="shared" si="19"/>
        <v/>
      </c>
      <c r="B12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4" spans="1:2" x14ac:dyDescent="0.25">
      <c r="A1234" s="1" t="str">
        <f t="shared" si="19"/>
        <v/>
      </c>
      <c r="B12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5" spans="1:2" x14ac:dyDescent="0.25">
      <c r="A1235" s="1" t="str">
        <f t="shared" si="19"/>
        <v/>
      </c>
      <c r="B12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6" spans="1:2" x14ac:dyDescent="0.25">
      <c r="A1236" s="1" t="str">
        <f t="shared" si="19"/>
        <v/>
      </c>
      <c r="B12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7" spans="1:2" x14ac:dyDescent="0.25">
      <c r="A1237" s="1" t="str">
        <f t="shared" si="19"/>
        <v/>
      </c>
      <c r="B12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8" spans="1:2" x14ac:dyDescent="0.25">
      <c r="A1238" s="1" t="str">
        <f t="shared" si="19"/>
        <v/>
      </c>
      <c r="B12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39" spans="1:2" x14ac:dyDescent="0.25">
      <c r="A1239" s="1" t="str">
        <f t="shared" si="19"/>
        <v/>
      </c>
      <c r="B12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0" spans="1:2" x14ac:dyDescent="0.25">
      <c r="A1240" s="1" t="str">
        <f t="shared" si="19"/>
        <v/>
      </c>
      <c r="B12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1" spans="1:2" x14ac:dyDescent="0.25">
      <c r="A1241" s="1" t="str">
        <f t="shared" si="19"/>
        <v/>
      </c>
      <c r="B12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2" spans="1:2" x14ac:dyDescent="0.25">
      <c r="A1242" s="1" t="str">
        <f t="shared" si="19"/>
        <v/>
      </c>
      <c r="B12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3" spans="1:2" x14ac:dyDescent="0.25">
      <c r="A1243" s="1" t="str">
        <f t="shared" si="19"/>
        <v/>
      </c>
      <c r="B12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4" spans="1:2" x14ac:dyDescent="0.25">
      <c r="A1244" s="1" t="str">
        <f t="shared" si="19"/>
        <v/>
      </c>
      <c r="B12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5" spans="1:2" x14ac:dyDescent="0.25">
      <c r="A1245" s="1" t="str">
        <f t="shared" si="19"/>
        <v/>
      </c>
      <c r="B12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6" spans="1:2" x14ac:dyDescent="0.25">
      <c r="A1246" s="1" t="str">
        <f t="shared" si="19"/>
        <v/>
      </c>
      <c r="B12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7" spans="1:2" x14ac:dyDescent="0.25">
      <c r="A1247" s="1" t="str">
        <f t="shared" si="19"/>
        <v/>
      </c>
      <c r="B12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8" spans="1:2" x14ac:dyDescent="0.25">
      <c r="A1248" s="1" t="str">
        <f t="shared" si="19"/>
        <v/>
      </c>
      <c r="B12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49" spans="1:2" x14ac:dyDescent="0.25">
      <c r="A1249" s="1" t="str">
        <f t="shared" si="19"/>
        <v/>
      </c>
      <c r="B12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0" spans="1:2" x14ac:dyDescent="0.25">
      <c r="A1250" s="1" t="str">
        <f t="shared" si="19"/>
        <v/>
      </c>
      <c r="B12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1" spans="1:2" x14ac:dyDescent="0.25">
      <c r="A1251" s="1" t="str">
        <f t="shared" si="19"/>
        <v/>
      </c>
      <c r="B12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2" spans="1:2" x14ac:dyDescent="0.25">
      <c r="A1252" s="1" t="str">
        <f t="shared" si="19"/>
        <v/>
      </c>
      <c r="B12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3" spans="1:2" x14ac:dyDescent="0.25">
      <c r="A1253" s="1" t="str">
        <f t="shared" si="19"/>
        <v/>
      </c>
      <c r="B12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4" spans="1:2" x14ac:dyDescent="0.25">
      <c r="A1254" s="1" t="str">
        <f t="shared" si="19"/>
        <v/>
      </c>
      <c r="B12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5" spans="1:2" x14ac:dyDescent="0.25">
      <c r="A1255" s="1" t="str">
        <f t="shared" si="19"/>
        <v/>
      </c>
      <c r="B12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6" spans="1:2" x14ac:dyDescent="0.25">
      <c r="A1256" s="1" t="str">
        <f t="shared" si="19"/>
        <v/>
      </c>
      <c r="B12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7" spans="1:2" x14ac:dyDescent="0.25">
      <c r="A1257" s="1" t="str">
        <f t="shared" si="19"/>
        <v/>
      </c>
      <c r="B12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8" spans="1:2" x14ac:dyDescent="0.25">
      <c r="A1258" s="1" t="str">
        <f t="shared" si="19"/>
        <v/>
      </c>
      <c r="B12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59" spans="1:2" x14ac:dyDescent="0.25">
      <c r="A1259" s="1" t="str">
        <f t="shared" si="19"/>
        <v/>
      </c>
      <c r="B12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0" spans="1:2" x14ac:dyDescent="0.25">
      <c r="A1260" s="1" t="str">
        <f t="shared" si="19"/>
        <v/>
      </c>
      <c r="B12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1" spans="1:2" x14ac:dyDescent="0.25">
      <c r="A1261" s="1" t="str">
        <f t="shared" si="19"/>
        <v/>
      </c>
      <c r="B12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2" spans="1:2" x14ac:dyDescent="0.25">
      <c r="A1262" s="1" t="str">
        <f t="shared" si="19"/>
        <v/>
      </c>
      <c r="B12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3" spans="1:2" x14ac:dyDescent="0.25">
      <c r="A1263" s="1" t="str">
        <f t="shared" si="19"/>
        <v/>
      </c>
      <c r="B12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4" spans="1:2" x14ac:dyDescent="0.25">
      <c r="A1264" s="1" t="str">
        <f t="shared" si="19"/>
        <v/>
      </c>
      <c r="B12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5" spans="1:2" x14ac:dyDescent="0.25">
      <c r="A1265" s="1" t="str">
        <f t="shared" si="19"/>
        <v/>
      </c>
      <c r="B12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6" spans="1:2" x14ac:dyDescent="0.25">
      <c r="A1266" s="1" t="str">
        <f t="shared" si="19"/>
        <v/>
      </c>
      <c r="B12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7" spans="1:2" x14ac:dyDescent="0.25">
      <c r="A1267" s="1" t="str">
        <f t="shared" si="19"/>
        <v/>
      </c>
      <c r="B12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8" spans="1:2" x14ac:dyDescent="0.25">
      <c r="A1268" s="1" t="str">
        <f t="shared" si="19"/>
        <v/>
      </c>
      <c r="B12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69" spans="1:2" x14ac:dyDescent="0.25">
      <c r="A1269" s="1" t="str">
        <f t="shared" si="19"/>
        <v/>
      </c>
      <c r="B12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0" spans="1:2" x14ac:dyDescent="0.25">
      <c r="A1270" s="1" t="str">
        <f t="shared" si="19"/>
        <v/>
      </c>
      <c r="B12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1" spans="1:2" x14ac:dyDescent="0.25">
      <c r="A1271" s="1" t="str">
        <f t="shared" si="19"/>
        <v/>
      </c>
      <c r="B12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2" spans="1:2" x14ac:dyDescent="0.25">
      <c r="A1272" s="1" t="str">
        <f t="shared" si="19"/>
        <v/>
      </c>
      <c r="B12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3" spans="1:2" x14ac:dyDescent="0.25">
      <c r="A1273" s="1" t="str">
        <f t="shared" si="19"/>
        <v/>
      </c>
      <c r="B12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4" spans="1:2" x14ac:dyDescent="0.25">
      <c r="A1274" s="1" t="str">
        <f t="shared" si="19"/>
        <v/>
      </c>
      <c r="B12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5" spans="1:2" x14ac:dyDescent="0.25">
      <c r="A1275" s="1" t="str">
        <f t="shared" si="19"/>
        <v/>
      </c>
      <c r="B12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6" spans="1:2" x14ac:dyDescent="0.25">
      <c r="A1276" s="1" t="str">
        <f t="shared" si="19"/>
        <v/>
      </c>
      <c r="B12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7" spans="1:2" x14ac:dyDescent="0.25">
      <c r="A1277" s="1" t="str">
        <f t="shared" si="19"/>
        <v/>
      </c>
      <c r="B12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8" spans="1:2" x14ac:dyDescent="0.25">
      <c r="A1278" s="1" t="str">
        <f t="shared" si="19"/>
        <v/>
      </c>
      <c r="B12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79" spans="1:2" x14ac:dyDescent="0.25">
      <c r="A1279" s="1" t="str">
        <f t="shared" si="19"/>
        <v/>
      </c>
      <c r="B12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0" spans="1:2" x14ac:dyDescent="0.25">
      <c r="A1280" s="1" t="str">
        <f t="shared" si="19"/>
        <v/>
      </c>
      <c r="B12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1" spans="1:2" x14ac:dyDescent="0.25">
      <c r="A1281" s="1" t="str">
        <f t="shared" si="19"/>
        <v/>
      </c>
      <c r="B12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2" spans="1:2" x14ac:dyDescent="0.25">
      <c r="A1282" s="1" t="str">
        <f t="shared" ref="A1282:A1345" si="20">IFERROR(LEFT(RIGHT(C1282,LEN(C1282)-SEARCH("@",C1282)),SEARCH("/",RIGHT(C1282,LEN(C1282)-SEARCH("@",C1282)-1))),"")</f>
        <v/>
      </c>
      <c r="B12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3" spans="1:2" x14ac:dyDescent="0.25">
      <c r="A1283" s="1" t="str">
        <f t="shared" si="20"/>
        <v/>
      </c>
      <c r="B12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4" spans="1:2" x14ac:dyDescent="0.25">
      <c r="A1284" s="1" t="str">
        <f t="shared" si="20"/>
        <v/>
      </c>
      <c r="B12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5" spans="1:2" x14ac:dyDescent="0.25">
      <c r="A1285" s="1" t="str">
        <f t="shared" si="20"/>
        <v/>
      </c>
      <c r="B12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6" spans="1:2" x14ac:dyDescent="0.25">
      <c r="A1286" s="1" t="str">
        <f t="shared" si="20"/>
        <v/>
      </c>
      <c r="B12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7" spans="1:2" x14ac:dyDescent="0.25">
      <c r="A1287" s="1" t="str">
        <f t="shared" si="20"/>
        <v/>
      </c>
      <c r="B12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8" spans="1:2" x14ac:dyDescent="0.25">
      <c r="A1288" s="1" t="str">
        <f t="shared" si="20"/>
        <v/>
      </c>
      <c r="B12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89" spans="1:2" x14ac:dyDescent="0.25">
      <c r="A1289" s="1" t="str">
        <f t="shared" si="20"/>
        <v/>
      </c>
      <c r="B12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0" spans="1:2" x14ac:dyDescent="0.25">
      <c r="A1290" s="1" t="str">
        <f t="shared" si="20"/>
        <v/>
      </c>
      <c r="B12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1" spans="1:2" x14ac:dyDescent="0.25">
      <c r="A1291" s="1" t="str">
        <f t="shared" si="20"/>
        <v/>
      </c>
      <c r="B12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2" spans="1:2" x14ac:dyDescent="0.25">
      <c r="A1292" s="1" t="str">
        <f t="shared" si="20"/>
        <v/>
      </c>
      <c r="B12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3" spans="1:2" x14ac:dyDescent="0.25">
      <c r="A1293" s="1" t="str">
        <f t="shared" si="20"/>
        <v/>
      </c>
      <c r="B12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4" spans="1:2" x14ac:dyDescent="0.25">
      <c r="A1294" s="1" t="str">
        <f t="shared" si="20"/>
        <v/>
      </c>
      <c r="B12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5" spans="1:2" x14ac:dyDescent="0.25">
      <c r="A1295" s="1" t="str">
        <f t="shared" si="20"/>
        <v/>
      </c>
      <c r="B12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6" spans="1:2" x14ac:dyDescent="0.25">
      <c r="A1296" s="1" t="str">
        <f t="shared" si="20"/>
        <v/>
      </c>
      <c r="B12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7" spans="1:2" x14ac:dyDescent="0.25">
      <c r="A1297" s="1" t="str">
        <f t="shared" si="20"/>
        <v/>
      </c>
      <c r="B12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8" spans="1:2" x14ac:dyDescent="0.25">
      <c r="A1298" s="1" t="str">
        <f t="shared" si="20"/>
        <v/>
      </c>
      <c r="B12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299" spans="1:2" x14ac:dyDescent="0.25">
      <c r="A1299" s="1" t="str">
        <f t="shared" si="20"/>
        <v/>
      </c>
      <c r="B12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0" spans="1:2" x14ac:dyDescent="0.25">
      <c r="A1300" s="1" t="str">
        <f t="shared" si="20"/>
        <v/>
      </c>
      <c r="B13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1" spans="1:2" x14ac:dyDescent="0.25">
      <c r="A1301" s="1" t="str">
        <f t="shared" si="20"/>
        <v/>
      </c>
      <c r="B13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2" spans="1:2" x14ac:dyDescent="0.25">
      <c r="A1302" s="1" t="str">
        <f t="shared" si="20"/>
        <v/>
      </c>
      <c r="B13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3" spans="1:2" x14ac:dyDescent="0.25">
      <c r="A1303" s="1" t="str">
        <f t="shared" si="20"/>
        <v/>
      </c>
      <c r="B13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4" spans="1:2" x14ac:dyDescent="0.25">
      <c r="A1304" s="1" t="str">
        <f t="shared" si="20"/>
        <v/>
      </c>
      <c r="B13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5" spans="1:2" x14ac:dyDescent="0.25">
      <c r="A1305" s="1" t="str">
        <f t="shared" si="20"/>
        <v/>
      </c>
      <c r="B13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6" spans="1:2" x14ac:dyDescent="0.25">
      <c r="A1306" s="1" t="str">
        <f t="shared" si="20"/>
        <v/>
      </c>
      <c r="B13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7" spans="1:2" x14ac:dyDescent="0.25">
      <c r="A1307" s="1" t="str">
        <f t="shared" si="20"/>
        <v/>
      </c>
      <c r="B13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8" spans="1:2" x14ac:dyDescent="0.25">
      <c r="A1308" s="1" t="str">
        <f t="shared" si="20"/>
        <v/>
      </c>
      <c r="B13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09" spans="1:2" x14ac:dyDescent="0.25">
      <c r="A1309" s="1" t="str">
        <f t="shared" si="20"/>
        <v/>
      </c>
      <c r="B13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0" spans="1:2" x14ac:dyDescent="0.25">
      <c r="A1310" s="1" t="str">
        <f t="shared" si="20"/>
        <v/>
      </c>
      <c r="B13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1" spans="1:2" x14ac:dyDescent="0.25">
      <c r="A1311" s="1" t="str">
        <f t="shared" si="20"/>
        <v/>
      </c>
      <c r="B13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2" spans="1:2" x14ac:dyDescent="0.25">
      <c r="A1312" s="1" t="str">
        <f t="shared" si="20"/>
        <v/>
      </c>
      <c r="B13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3" spans="1:2" x14ac:dyDescent="0.25">
      <c r="A1313" s="1" t="str">
        <f t="shared" si="20"/>
        <v/>
      </c>
      <c r="B13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4" spans="1:2" x14ac:dyDescent="0.25">
      <c r="A1314" s="1" t="str">
        <f t="shared" si="20"/>
        <v/>
      </c>
      <c r="B13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5" spans="1:2" x14ac:dyDescent="0.25">
      <c r="A1315" s="1" t="str">
        <f t="shared" si="20"/>
        <v/>
      </c>
      <c r="B13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6" spans="1:2" x14ac:dyDescent="0.25">
      <c r="A1316" s="1" t="str">
        <f t="shared" si="20"/>
        <v/>
      </c>
      <c r="B13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7" spans="1:2" x14ac:dyDescent="0.25">
      <c r="A1317" s="1" t="str">
        <f t="shared" si="20"/>
        <v/>
      </c>
      <c r="B13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8" spans="1:2" x14ac:dyDescent="0.25">
      <c r="A1318" s="1" t="str">
        <f t="shared" si="20"/>
        <v/>
      </c>
      <c r="B13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19" spans="1:2" x14ac:dyDescent="0.25">
      <c r="A1319" s="1" t="str">
        <f t="shared" si="20"/>
        <v/>
      </c>
      <c r="B13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0" spans="1:2" x14ac:dyDescent="0.25">
      <c r="A1320" s="1" t="str">
        <f t="shared" si="20"/>
        <v/>
      </c>
      <c r="B13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1" spans="1:2" x14ac:dyDescent="0.25">
      <c r="A1321" s="1" t="str">
        <f t="shared" si="20"/>
        <v/>
      </c>
      <c r="B13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2" spans="1:2" x14ac:dyDescent="0.25">
      <c r="A1322" s="1" t="str">
        <f t="shared" si="20"/>
        <v/>
      </c>
      <c r="B13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3" spans="1:2" x14ac:dyDescent="0.25">
      <c r="A1323" s="1" t="str">
        <f t="shared" si="20"/>
        <v/>
      </c>
      <c r="B13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4" spans="1:2" x14ac:dyDescent="0.25">
      <c r="A1324" s="1" t="str">
        <f t="shared" si="20"/>
        <v/>
      </c>
      <c r="B13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5" spans="1:2" x14ac:dyDescent="0.25">
      <c r="A1325" s="1" t="str">
        <f t="shared" si="20"/>
        <v/>
      </c>
      <c r="B13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6" spans="1:2" x14ac:dyDescent="0.25">
      <c r="A1326" s="1" t="str">
        <f t="shared" si="20"/>
        <v/>
      </c>
      <c r="B13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7" spans="1:2" x14ac:dyDescent="0.25">
      <c r="A1327" s="1" t="str">
        <f t="shared" si="20"/>
        <v/>
      </c>
      <c r="B13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8" spans="1:2" x14ac:dyDescent="0.25">
      <c r="A1328" s="1" t="str">
        <f t="shared" si="20"/>
        <v/>
      </c>
      <c r="B13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29" spans="1:2" x14ac:dyDescent="0.25">
      <c r="A1329" s="1" t="str">
        <f t="shared" si="20"/>
        <v/>
      </c>
      <c r="B13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0" spans="1:2" x14ac:dyDescent="0.25">
      <c r="A1330" s="1" t="str">
        <f t="shared" si="20"/>
        <v/>
      </c>
      <c r="B13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1" spans="1:2" x14ac:dyDescent="0.25">
      <c r="A1331" s="1" t="str">
        <f t="shared" si="20"/>
        <v/>
      </c>
      <c r="B13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2" spans="1:2" x14ac:dyDescent="0.25">
      <c r="A1332" s="1" t="str">
        <f t="shared" si="20"/>
        <v/>
      </c>
      <c r="B13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3" spans="1:2" x14ac:dyDescent="0.25">
      <c r="A1333" s="1" t="str">
        <f t="shared" si="20"/>
        <v/>
      </c>
      <c r="B13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4" spans="1:2" x14ac:dyDescent="0.25">
      <c r="A1334" s="1" t="str">
        <f t="shared" si="20"/>
        <v/>
      </c>
      <c r="B13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5" spans="1:2" x14ac:dyDescent="0.25">
      <c r="A1335" s="1" t="str">
        <f t="shared" si="20"/>
        <v/>
      </c>
      <c r="B13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6" spans="1:2" x14ac:dyDescent="0.25">
      <c r="A1336" s="1" t="str">
        <f t="shared" si="20"/>
        <v/>
      </c>
      <c r="B13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7" spans="1:2" x14ac:dyDescent="0.25">
      <c r="A1337" s="1" t="str">
        <f t="shared" si="20"/>
        <v/>
      </c>
      <c r="B13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8" spans="1:2" x14ac:dyDescent="0.25">
      <c r="A1338" s="1" t="str">
        <f t="shared" si="20"/>
        <v/>
      </c>
      <c r="B13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39" spans="1:2" x14ac:dyDescent="0.25">
      <c r="A1339" s="1" t="str">
        <f t="shared" si="20"/>
        <v/>
      </c>
      <c r="B13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0" spans="1:2" x14ac:dyDescent="0.25">
      <c r="A1340" s="1" t="str">
        <f t="shared" si="20"/>
        <v/>
      </c>
      <c r="B13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1" spans="1:2" x14ac:dyDescent="0.25">
      <c r="A1341" s="1" t="str">
        <f t="shared" si="20"/>
        <v/>
      </c>
      <c r="B13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2" spans="1:2" x14ac:dyDescent="0.25">
      <c r="A1342" s="1" t="str">
        <f t="shared" si="20"/>
        <v/>
      </c>
      <c r="B13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3" spans="1:2" x14ac:dyDescent="0.25">
      <c r="A1343" s="1" t="str">
        <f t="shared" si="20"/>
        <v/>
      </c>
      <c r="B13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4" spans="1:2" x14ac:dyDescent="0.25">
      <c r="A1344" s="1" t="str">
        <f t="shared" si="20"/>
        <v/>
      </c>
      <c r="B13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5" spans="1:2" x14ac:dyDescent="0.25">
      <c r="A1345" s="1" t="str">
        <f t="shared" si="20"/>
        <v/>
      </c>
      <c r="B13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6" spans="1:2" x14ac:dyDescent="0.25">
      <c r="A1346" s="1" t="str">
        <f t="shared" ref="A1346:A1409" si="21">IFERROR(LEFT(RIGHT(C1346,LEN(C1346)-SEARCH("@",C1346)),SEARCH("/",RIGHT(C1346,LEN(C1346)-SEARCH("@",C1346)-1))),"")</f>
        <v/>
      </c>
      <c r="B13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7" spans="1:2" x14ac:dyDescent="0.25">
      <c r="A1347" s="1" t="str">
        <f t="shared" si="21"/>
        <v/>
      </c>
      <c r="B13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8" spans="1:2" x14ac:dyDescent="0.25">
      <c r="A1348" s="1" t="str">
        <f t="shared" si="21"/>
        <v/>
      </c>
      <c r="B13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49" spans="1:2" x14ac:dyDescent="0.25">
      <c r="A1349" s="1" t="str">
        <f t="shared" si="21"/>
        <v/>
      </c>
      <c r="B13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0" spans="1:2" x14ac:dyDescent="0.25">
      <c r="A1350" s="1" t="str">
        <f t="shared" si="21"/>
        <v/>
      </c>
      <c r="B13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1" spans="1:2" x14ac:dyDescent="0.25">
      <c r="A1351" s="1" t="str">
        <f t="shared" si="21"/>
        <v/>
      </c>
      <c r="B13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2" spans="1:2" x14ac:dyDescent="0.25">
      <c r="A1352" s="1" t="str">
        <f t="shared" si="21"/>
        <v/>
      </c>
      <c r="B13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3" spans="1:2" x14ac:dyDescent="0.25">
      <c r="A1353" s="1" t="str">
        <f t="shared" si="21"/>
        <v/>
      </c>
      <c r="B13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4" spans="1:2" x14ac:dyDescent="0.25">
      <c r="A1354" s="1" t="str">
        <f t="shared" si="21"/>
        <v/>
      </c>
      <c r="B13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5" spans="1:2" x14ac:dyDescent="0.25">
      <c r="A1355" s="1" t="str">
        <f t="shared" si="21"/>
        <v/>
      </c>
      <c r="B13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6" spans="1:2" x14ac:dyDescent="0.25">
      <c r="A1356" s="1" t="str">
        <f t="shared" si="21"/>
        <v/>
      </c>
      <c r="B13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7" spans="1:2" x14ac:dyDescent="0.25">
      <c r="A1357" s="1" t="str">
        <f t="shared" si="21"/>
        <v/>
      </c>
      <c r="B13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8" spans="1:2" x14ac:dyDescent="0.25">
      <c r="A1358" s="1" t="str">
        <f t="shared" si="21"/>
        <v/>
      </c>
      <c r="B13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59" spans="1:2" x14ac:dyDescent="0.25">
      <c r="A1359" s="1" t="str">
        <f t="shared" si="21"/>
        <v/>
      </c>
      <c r="B13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0" spans="1:2" x14ac:dyDescent="0.25">
      <c r="A1360" s="1" t="str">
        <f t="shared" si="21"/>
        <v/>
      </c>
      <c r="B13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1" spans="1:2" x14ac:dyDescent="0.25">
      <c r="A1361" s="1" t="str">
        <f t="shared" si="21"/>
        <v/>
      </c>
      <c r="B13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2" spans="1:2" x14ac:dyDescent="0.25">
      <c r="A1362" s="1" t="str">
        <f t="shared" si="21"/>
        <v/>
      </c>
      <c r="B13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3" spans="1:2" x14ac:dyDescent="0.25">
      <c r="A1363" s="1" t="str">
        <f t="shared" si="21"/>
        <v/>
      </c>
      <c r="B13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4" spans="1:2" x14ac:dyDescent="0.25">
      <c r="A1364" s="1" t="str">
        <f t="shared" si="21"/>
        <v/>
      </c>
      <c r="B13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5" spans="1:2" x14ac:dyDescent="0.25">
      <c r="A1365" s="1" t="str">
        <f t="shared" si="21"/>
        <v/>
      </c>
      <c r="B13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6" spans="1:2" x14ac:dyDescent="0.25">
      <c r="A1366" s="1" t="str">
        <f t="shared" si="21"/>
        <v/>
      </c>
      <c r="B13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7" spans="1:2" x14ac:dyDescent="0.25">
      <c r="A1367" s="1" t="str">
        <f t="shared" si="21"/>
        <v/>
      </c>
      <c r="B13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8" spans="1:2" x14ac:dyDescent="0.25">
      <c r="A1368" s="1" t="str">
        <f t="shared" si="21"/>
        <v/>
      </c>
      <c r="B13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69" spans="1:2" x14ac:dyDescent="0.25">
      <c r="A1369" s="1" t="str">
        <f t="shared" si="21"/>
        <v/>
      </c>
      <c r="B13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0" spans="1:2" x14ac:dyDescent="0.25">
      <c r="A1370" s="1" t="str">
        <f t="shared" si="21"/>
        <v/>
      </c>
      <c r="B13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1" spans="1:2" x14ac:dyDescent="0.25">
      <c r="A1371" s="1" t="str">
        <f t="shared" si="21"/>
        <v/>
      </c>
      <c r="B13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2" spans="1:2" x14ac:dyDescent="0.25">
      <c r="A1372" s="1" t="str">
        <f t="shared" si="21"/>
        <v/>
      </c>
      <c r="B13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3" spans="1:2" x14ac:dyDescent="0.25">
      <c r="A1373" s="1" t="str">
        <f t="shared" si="21"/>
        <v/>
      </c>
      <c r="B13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4" spans="1:2" x14ac:dyDescent="0.25">
      <c r="A1374" s="1" t="str">
        <f t="shared" si="21"/>
        <v/>
      </c>
      <c r="B13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5" spans="1:2" x14ac:dyDescent="0.25">
      <c r="A1375" s="1" t="str">
        <f t="shared" si="21"/>
        <v/>
      </c>
      <c r="B13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6" spans="1:2" x14ac:dyDescent="0.25">
      <c r="A1376" s="1" t="str">
        <f t="shared" si="21"/>
        <v/>
      </c>
      <c r="B13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7" spans="1:2" x14ac:dyDescent="0.25">
      <c r="A1377" s="1" t="str">
        <f t="shared" si="21"/>
        <v/>
      </c>
      <c r="B13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8" spans="1:2" x14ac:dyDescent="0.25">
      <c r="A1378" s="1" t="str">
        <f t="shared" si="21"/>
        <v/>
      </c>
      <c r="B13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79" spans="1:2" x14ac:dyDescent="0.25">
      <c r="A1379" s="1" t="str">
        <f t="shared" si="21"/>
        <v/>
      </c>
      <c r="B13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0" spans="1:2" x14ac:dyDescent="0.25">
      <c r="A1380" s="1" t="str">
        <f t="shared" si="21"/>
        <v/>
      </c>
      <c r="B13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1" spans="1:2" x14ac:dyDescent="0.25">
      <c r="A1381" s="1" t="str">
        <f t="shared" si="21"/>
        <v/>
      </c>
      <c r="B13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2" spans="1:2" x14ac:dyDescent="0.25">
      <c r="A1382" s="1" t="str">
        <f t="shared" si="21"/>
        <v/>
      </c>
      <c r="B13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3" spans="1:2" x14ac:dyDescent="0.25">
      <c r="A1383" s="1" t="str">
        <f t="shared" si="21"/>
        <v/>
      </c>
      <c r="B13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4" spans="1:2" x14ac:dyDescent="0.25">
      <c r="A1384" s="1" t="str">
        <f t="shared" si="21"/>
        <v/>
      </c>
      <c r="B13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5" spans="1:2" x14ac:dyDescent="0.25">
      <c r="A1385" s="1" t="str">
        <f t="shared" si="21"/>
        <v/>
      </c>
      <c r="B13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6" spans="1:2" x14ac:dyDescent="0.25">
      <c r="A1386" s="1" t="str">
        <f t="shared" si="21"/>
        <v/>
      </c>
      <c r="B13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7" spans="1:2" x14ac:dyDescent="0.25">
      <c r="A1387" s="1" t="str">
        <f t="shared" si="21"/>
        <v/>
      </c>
      <c r="B13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8" spans="1:2" x14ac:dyDescent="0.25">
      <c r="A1388" s="1" t="str">
        <f t="shared" si="21"/>
        <v/>
      </c>
      <c r="B13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89" spans="1:2" x14ac:dyDescent="0.25">
      <c r="A1389" s="1" t="str">
        <f t="shared" si="21"/>
        <v/>
      </c>
      <c r="B13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0" spans="1:2" x14ac:dyDescent="0.25">
      <c r="A1390" s="1" t="str">
        <f t="shared" si="21"/>
        <v/>
      </c>
      <c r="B13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1" spans="1:2" x14ac:dyDescent="0.25">
      <c r="A1391" s="1" t="str">
        <f t="shared" si="21"/>
        <v/>
      </c>
      <c r="B13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2" spans="1:2" x14ac:dyDescent="0.25">
      <c r="A1392" s="1" t="str">
        <f t="shared" si="21"/>
        <v/>
      </c>
      <c r="B13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3" spans="1:2" x14ac:dyDescent="0.25">
      <c r="A1393" s="1" t="str">
        <f t="shared" si="21"/>
        <v/>
      </c>
      <c r="B13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4" spans="1:2" x14ac:dyDescent="0.25">
      <c r="A1394" s="1" t="str">
        <f t="shared" si="21"/>
        <v/>
      </c>
      <c r="B13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5" spans="1:2" x14ac:dyDescent="0.25">
      <c r="A1395" s="1" t="str">
        <f t="shared" si="21"/>
        <v/>
      </c>
      <c r="B13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6" spans="1:2" x14ac:dyDescent="0.25">
      <c r="A1396" s="1" t="str">
        <f t="shared" si="21"/>
        <v/>
      </c>
      <c r="B13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7" spans="1:2" x14ac:dyDescent="0.25">
      <c r="A1397" s="1" t="str">
        <f t="shared" si="21"/>
        <v/>
      </c>
      <c r="B13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8" spans="1:2" x14ac:dyDescent="0.25">
      <c r="A1398" s="1" t="str">
        <f t="shared" si="21"/>
        <v/>
      </c>
      <c r="B13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399" spans="1:2" x14ac:dyDescent="0.25">
      <c r="A1399" s="1" t="str">
        <f t="shared" si="21"/>
        <v/>
      </c>
      <c r="B13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0" spans="1:2" x14ac:dyDescent="0.25">
      <c r="A1400" s="1" t="str">
        <f t="shared" si="21"/>
        <v/>
      </c>
      <c r="B14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1" spans="1:2" x14ac:dyDescent="0.25">
      <c r="A1401" s="1" t="str">
        <f t="shared" si="21"/>
        <v/>
      </c>
      <c r="B14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2" spans="1:2" x14ac:dyDescent="0.25">
      <c r="A1402" s="1" t="str">
        <f t="shared" si="21"/>
        <v/>
      </c>
      <c r="B14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3" spans="1:2" x14ac:dyDescent="0.25">
      <c r="A1403" s="1" t="str">
        <f t="shared" si="21"/>
        <v/>
      </c>
      <c r="B14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4" spans="1:2" x14ac:dyDescent="0.25">
      <c r="A1404" s="1" t="str">
        <f t="shared" si="21"/>
        <v/>
      </c>
      <c r="B14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5" spans="1:2" x14ac:dyDescent="0.25">
      <c r="A1405" s="1" t="str">
        <f t="shared" si="21"/>
        <v/>
      </c>
      <c r="B14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6" spans="1:2" x14ac:dyDescent="0.25">
      <c r="A1406" s="1" t="str">
        <f t="shared" si="21"/>
        <v/>
      </c>
      <c r="B14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7" spans="1:2" x14ac:dyDescent="0.25">
      <c r="A1407" s="1" t="str">
        <f t="shared" si="21"/>
        <v/>
      </c>
      <c r="B14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8" spans="1:2" x14ac:dyDescent="0.25">
      <c r="A1408" s="1" t="str">
        <f t="shared" si="21"/>
        <v/>
      </c>
      <c r="B14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09" spans="1:2" x14ac:dyDescent="0.25">
      <c r="A1409" s="1" t="str">
        <f t="shared" si="21"/>
        <v/>
      </c>
      <c r="B14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0" spans="1:2" x14ac:dyDescent="0.25">
      <c r="A1410" s="1" t="str">
        <f t="shared" ref="A1410:A1473" si="22">IFERROR(LEFT(RIGHT(C1410,LEN(C1410)-SEARCH("@",C1410)),SEARCH("/",RIGHT(C1410,LEN(C1410)-SEARCH("@",C1410)-1))),"")</f>
        <v/>
      </c>
      <c r="B14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1" spans="1:2" x14ac:dyDescent="0.25">
      <c r="A1411" s="1" t="str">
        <f t="shared" si="22"/>
        <v/>
      </c>
      <c r="B14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2" spans="1:2" x14ac:dyDescent="0.25">
      <c r="A1412" s="1" t="str">
        <f t="shared" si="22"/>
        <v/>
      </c>
      <c r="B14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3" spans="1:2" x14ac:dyDescent="0.25">
      <c r="A1413" s="1" t="str">
        <f t="shared" si="22"/>
        <v/>
      </c>
      <c r="B14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4" spans="1:2" x14ac:dyDescent="0.25">
      <c r="A1414" s="1" t="str">
        <f t="shared" si="22"/>
        <v/>
      </c>
      <c r="B14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5" spans="1:2" x14ac:dyDescent="0.25">
      <c r="A1415" s="1" t="str">
        <f t="shared" si="22"/>
        <v/>
      </c>
      <c r="B14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6" spans="1:2" x14ac:dyDescent="0.25">
      <c r="A1416" s="1" t="str">
        <f t="shared" si="22"/>
        <v/>
      </c>
      <c r="B14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7" spans="1:2" x14ac:dyDescent="0.25">
      <c r="A1417" s="1" t="str">
        <f t="shared" si="22"/>
        <v/>
      </c>
      <c r="B14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8" spans="1:2" x14ac:dyDescent="0.25">
      <c r="A1418" s="1" t="str">
        <f t="shared" si="22"/>
        <v/>
      </c>
      <c r="B14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19" spans="1:2" x14ac:dyDescent="0.25">
      <c r="A1419" s="1" t="str">
        <f t="shared" si="22"/>
        <v/>
      </c>
      <c r="B14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0" spans="1:2" x14ac:dyDescent="0.25">
      <c r="A1420" s="1" t="str">
        <f t="shared" si="22"/>
        <v/>
      </c>
      <c r="B14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1" spans="1:2" x14ac:dyDescent="0.25">
      <c r="A1421" s="1" t="str">
        <f t="shared" si="22"/>
        <v/>
      </c>
      <c r="B14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2" spans="1:2" x14ac:dyDescent="0.25">
      <c r="A1422" s="1" t="str">
        <f t="shared" si="22"/>
        <v/>
      </c>
      <c r="B14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3" spans="1:2" x14ac:dyDescent="0.25">
      <c r="A1423" s="1" t="str">
        <f t="shared" si="22"/>
        <v/>
      </c>
      <c r="B14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4" spans="1:2" x14ac:dyDescent="0.25">
      <c r="A1424" s="1" t="str">
        <f t="shared" si="22"/>
        <v/>
      </c>
      <c r="B14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5" spans="1:2" x14ac:dyDescent="0.25">
      <c r="A1425" s="1" t="str">
        <f t="shared" si="22"/>
        <v/>
      </c>
      <c r="B14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6" spans="1:2" x14ac:dyDescent="0.25">
      <c r="A1426" s="1" t="str">
        <f t="shared" si="22"/>
        <v/>
      </c>
      <c r="B14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7" spans="1:2" x14ac:dyDescent="0.25">
      <c r="A1427" s="1" t="str">
        <f t="shared" si="22"/>
        <v/>
      </c>
      <c r="B14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8" spans="1:2" x14ac:dyDescent="0.25">
      <c r="A1428" s="1" t="str">
        <f t="shared" si="22"/>
        <v/>
      </c>
      <c r="B14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29" spans="1:2" x14ac:dyDescent="0.25">
      <c r="A1429" s="1" t="str">
        <f t="shared" si="22"/>
        <v/>
      </c>
      <c r="B14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0" spans="1:2" x14ac:dyDescent="0.25">
      <c r="A1430" s="1" t="str">
        <f t="shared" si="22"/>
        <v/>
      </c>
      <c r="B14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1" spans="1:2" x14ac:dyDescent="0.25">
      <c r="A1431" s="1" t="str">
        <f t="shared" si="22"/>
        <v/>
      </c>
      <c r="B14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2" spans="1:2" x14ac:dyDescent="0.25">
      <c r="A1432" s="1" t="str">
        <f t="shared" si="22"/>
        <v/>
      </c>
      <c r="B143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3" spans="1:2" x14ac:dyDescent="0.25">
      <c r="A1433" s="1" t="str">
        <f t="shared" si="22"/>
        <v/>
      </c>
      <c r="B143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4" spans="1:2" x14ac:dyDescent="0.25">
      <c r="A1434" s="1" t="str">
        <f t="shared" si="22"/>
        <v/>
      </c>
      <c r="B143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5" spans="1:2" x14ac:dyDescent="0.25">
      <c r="A1435" s="1" t="str">
        <f t="shared" si="22"/>
        <v/>
      </c>
      <c r="B143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6" spans="1:2" x14ac:dyDescent="0.25">
      <c r="A1436" s="1" t="str">
        <f t="shared" si="22"/>
        <v/>
      </c>
      <c r="B143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7" spans="1:2" x14ac:dyDescent="0.25">
      <c r="A1437" s="1" t="str">
        <f t="shared" si="22"/>
        <v/>
      </c>
      <c r="B143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8" spans="1:2" x14ac:dyDescent="0.25">
      <c r="A1438" s="1" t="str">
        <f t="shared" si="22"/>
        <v/>
      </c>
      <c r="B143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39" spans="1:2" x14ac:dyDescent="0.25">
      <c r="A1439" s="1" t="str">
        <f t="shared" si="22"/>
        <v/>
      </c>
      <c r="B143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0" spans="1:2" x14ac:dyDescent="0.25">
      <c r="A1440" s="1" t="str">
        <f t="shared" si="22"/>
        <v/>
      </c>
      <c r="B144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1" spans="1:2" x14ac:dyDescent="0.25">
      <c r="A1441" s="1" t="str">
        <f t="shared" si="22"/>
        <v/>
      </c>
      <c r="B144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2" spans="1:2" x14ac:dyDescent="0.25">
      <c r="A1442" s="1" t="str">
        <f t="shared" si="22"/>
        <v/>
      </c>
      <c r="B144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3" spans="1:2" x14ac:dyDescent="0.25">
      <c r="A1443" s="1" t="str">
        <f t="shared" si="22"/>
        <v/>
      </c>
      <c r="B144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4" spans="1:2" x14ac:dyDescent="0.25">
      <c r="A1444" s="1" t="str">
        <f t="shared" si="22"/>
        <v/>
      </c>
      <c r="B144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5" spans="1:2" x14ac:dyDescent="0.25">
      <c r="A1445" s="1" t="str">
        <f t="shared" si="22"/>
        <v/>
      </c>
      <c r="B144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6" spans="1:2" x14ac:dyDescent="0.25">
      <c r="A1446" s="1" t="str">
        <f t="shared" si="22"/>
        <v/>
      </c>
      <c r="B144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7" spans="1:2" x14ac:dyDescent="0.25">
      <c r="A1447" s="1" t="str">
        <f t="shared" si="22"/>
        <v/>
      </c>
      <c r="B144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8" spans="1:2" x14ac:dyDescent="0.25">
      <c r="A1448" s="1" t="str">
        <f t="shared" si="22"/>
        <v/>
      </c>
      <c r="B144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49" spans="1:2" x14ac:dyDescent="0.25">
      <c r="A1449" s="1" t="str">
        <f t="shared" si="22"/>
        <v/>
      </c>
      <c r="B144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0" spans="1:2" x14ac:dyDescent="0.25">
      <c r="A1450" s="1" t="str">
        <f t="shared" si="22"/>
        <v/>
      </c>
      <c r="B145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1" spans="1:2" x14ac:dyDescent="0.25">
      <c r="A1451" s="1" t="str">
        <f t="shared" si="22"/>
        <v/>
      </c>
      <c r="B145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2" spans="1:2" x14ac:dyDescent="0.25">
      <c r="A1452" s="1" t="str">
        <f t="shared" si="22"/>
        <v/>
      </c>
      <c r="B145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3" spans="1:2" x14ac:dyDescent="0.25">
      <c r="A1453" s="1" t="str">
        <f t="shared" si="22"/>
        <v/>
      </c>
      <c r="B145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4" spans="1:2" x14ac:dyDescent="0.25">
      <c r="A1454" s="1" t="str">
        <f t="shared" si="22"/>
        <v/>
      </c>
      <c r="B145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5" spans="1:2" x14ac:dyDescent="0.25">
      <c r="A1455" s="1" t="str">
        <f t="shared" si="22"/>
        <v/>
      </c>
      <c r="B145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6" spans="1:2" x14ac:dyDescent="0.25">
      <c r="A1456" s="1" t="str">
        <f t="shared" si="22"/>
        <v/>
      </c>
      <c r="B145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7" spans="1:2" x14ac:dyDescent="0.25">
      <c r="A1457" s="1" t="str">
        <f t="shared" si="22"/>
        <v/>
      </c>
      <c r="B145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8" spans="1:2" x14ac:dyDescent="0.25">
      <c r="A1458" s="1" t="str">
        <f t="shared" si="22"/>
        <v/>
      </c>
      <c r="B145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59" spans="1:2" x14ac:dyDescent="0.25">
      <c r="A1459" s="1" t="str">
        <f t="shared" si="22"/>
        <v/>
      </c>
      <c r="B145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0" spans="1:2" x14ac:dyDescent="0.25">
      <c r="A1460" s="1" t="str">
        <f t="shared" si="22"/>
        <v/>
      </c>
      <c r="B146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1" spans="1:2" x14ac:dyDescent="0.25">
      <c r="A1461" s="1" t="str">
        <f t="shared" si="22"/>
        <v/>
      </c>
      <c r="B146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2" spans="1:2" x14ac:dyDescent="0.25">
      <c r="A1462" s="1" t="str">
        <f t="shared" si="22"/>
        <v/>
      </c>
      <c r="B146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3" spans="1:2" x14ac:dyDescent="0.25">
      <c r="A1463" s="1" t="str">
        <f t="shared" si="22"/>
        <v/>
      </c>
      <c r="B146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4" spans="1:2" x14ac:dyDescent="0.25">
      <c r="A1464" s="1" t="str">
        <f t="shared" si="22"/>
        <v/>
      </c>
      <c r="B146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5" spans="1:2" x14ac:dyDescent="0.25">
      <c r="A1465" s="1" t="str">
        <f t="shared" si="22"/>
        <v/>
      </c>
      <c r="B146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6" spans="1:2" x14ac:dyDescent="0.25">
      <c r="A1466" s="1" t="str">
        <f t="shared" si="22"/>
        <v/>
      </c>
      <c r="B146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7" spans="1:2" x14ac:dyDescent="0.25">
      <c r="A1467" s="1" t="str">
        <f t="shared" si="22"/>
        <v/>
      </c>
      <c r="B146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8" spans="1:2" x14ac:dyDescent="0.25">
      <c r="A1468" s="1" t="str">
        <f t="shared" si="22"/>
        <v/>
      </c>
      <c r="B146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69" spans="1:2" x14ac:dyDescent="0.25">
      <c r="A1469" s="1" t="str">
        <f t="shared" si="22"/>
        <v/>
      </c>
      <c r="B146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0" spans="1:2" x14ac:dyDescent="0.25">
      <c r="A1470" s="1" t="str">
        <f t="shared" si="22"/>
        <v/>
      </c>
      <c r="B147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1" spans="1:2" x14ac:dyDescent="0.25">
      <c r="A1471" s="1" t="str">
        <f t="shared" si="22"/>
        <v/>
      </c>
      <c r="B147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2" spans="1:2" x14ac:dyDescent="0.25">
      <c r="A1472" s="1" t="str">
        <f t="shared" si="22"/>
        <v/>
      </c>
      <c r="B147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3" spans="1:2" x14ac:dyDescent="0.25">
      <c r="A1473" s="1" t="str">
        <f t="shared" si="22"/>
        <v/>
      </c>
      <c r="B147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4" spans="1:2" x14ac:dyDescent="0.25">
      <c r="A1474" s="1" t="str">
        <f t="shared" ref="A1474:A1531" si="23">IFERROR(LEFT(RIGHT(C1474,LEN(C1474)-SEARCH("@",C1474)),SEARCH("/",RIGHT(C1474,LEN(C1474)-SEARCH("@",C1474)-1))),"")</f>
        <v/>
      </c>
      <c r="B147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5" spans="1:2" x14ac:dyDescent="0.25">
      <c r="A1475" s="1" t="str">
        <f t="shared" si="23"/>
        <v/>
      </c>
      <c r="B147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6" spans="1:2" x14ac:dyDescent="0.25">
      <c r="A1476" s="1" t="str">
        <f t="shared" si="23"/>
        <v/>
      </c>
      <c r="B147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7" spans="1:2" x14ac:dyDescent="0.25">
      <c r="A1477" s="1" t="str">
        <f t="shared" si="23"/>
        <v/>
      </c>
      <c r="B147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8" spans="1:2" x14ac:dyDescent="0.25">
      <c r="A1478" s="1" t="str">
        <f t="shared" si="23"/>
        <v/>
      </c>
      <c r="B147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79" spans="1:2" x14ac:dyDescent="0.25">
      <c r="A1479" s="1" t="str">
        <f t="shared" si="23"/>
        <v/>
      </c>
      <c r="B147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0" spans="1:2" x14ac:dyDescent="0.25">
      <c r="A1480" s="1" t="str">
        <f t="shared" si="23"/>
        <v/>
      </c>
      <c r="B148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1" spans="1:2" x14ac:dyDescent="0.25">
      <c r="A1481" s="1" t="str">
        <f t="shared" si="23"/>
        <v/>
      </c>
      <c r="B148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2" spans="1:2" x14ac:dyDescent="0.25">
      <c r="A1482" s="1" t="str">
        <f t="shared" si="23"/>
        <v/>
      </c>
      <c r="B148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3" spans="1:2" x14ac:dyDescent="0.25">
      <c r="A1483" s="1" t="str">
        <f t="shared" si="23"/>
        <v/>
      </c>
      <c r="B148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4" spans="1:2" x14ac:dyDescent="0.25">
      <c r="A1484" s="1" t="str">
        <f t="shared" si="23"/>
        <v/>
      </c>
      <c r="B148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5" spans="1:2" x14ac:dyDescent="0.25">
      <c r="A1485" s="1" t="str">
        <f t="shared" si="23"/>
        <v/>
      </c>
      <c r="B148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6" spans="1:2" x14ac:dyDescent="0.25">
      <c r="A1486" s="1" t="str">
        <f t="shared" si="23"/>
        <v/>
      </c>
      <c r="B148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7" spans="1:2" x14ac:dyDescent="0.25">
      <c r="A1487" s="1" t="str">
        <f t="shared" si="23"/>
        <v/>
      </c>
      <c r="B148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8" spans="1:2" x14ac:dyDescent="0.25">
      <c r="A1488" s="1" t="str">
        <f t="shared" si="23"/>
        <v/>
      </c>
      <c r="B148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89" spans="1:2" x14ac:dyDescent="0.25">
      <c r="A1489" s="1" t="str">
        <f t="shared" si="23"/>
        <v/>
      </c>
      <c r="B148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0" spans="1:2" x14ac:dyDescent="0.25">
      <c r="A1490" s="1" t="str">
        <f t="shared" si="23"/>
        <v/>
      </c>
      <c r="B149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1" spans="1:2" x14ac:dyDescent="0.25">
      <c r="A1491" s="1" t="str">
        <f t="shared" si="23"/>
        <v/>
      </c>
      <c r="B149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2" spans="1:2" x14ac:dyDescent="0.25">
      <c r="A1492" s="1" t="str">
        <f t="shared" si="23"/>
        <v/>
      </c>
      <c r="B149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3" spans="1:2" x14ac:dyDescent="0.25">
      <c r="A1493" s="1" t="str">
        <f t="shared" si="23"/>
        <v/>
      </c>
      <c r="B149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4" spans="1:2" x14ac:dyDescent="0.25">
      <c r="A1494" s="1" t="str">
        <f t="shared" si="23"/>
        <v/>
      </c>
      <c r="B149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5" spans="1:2" x14ac:dyDescent="0.25">
      <c r="A1495" s="1" t="str">
        <f t="shared" si="23"/>
        <v/>
      </c>
      <c r="B149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6" spans="1:2" x14ac:dyDescent="0.25">
      <c r="A1496" s="1" t="str">
        <f t="shared" si="23"/>
        <v/>
      </c>
      <c r="B149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7" spans="1:2" x14ac:dyDescent="0.25">
      <c r="A1497" s="1" t="str">
        <f t="shared" si="23"/>
        <v/>
      </c>
      <c r="B149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8" spans="1:2" x14ac:dyDescent="0.25">
      <c r="A1498" s="1" t="str">
        <f t="shared" si="23"/>
        <v/>
      </c>
      <c r="B149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499" spans="1:2" x14ac:dyDescent="0.25">
      <c r="A1499" s="1" t="str">
        <f t="shared" si="23"/>
        <v/>
      </c>
      <c r="B149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0" spans="1:2" x14ac:dyDescent="0.25">
      <c r="A1500" s="1" t="str">
        <f t="shared" si="23"/>
        <v/>
      </c>
      <c r="B150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1" spans="1:2" x14ac:dyDescent="0.25">
      <c r="A1501" s="1" t="str">
        <f t="shared" si="23"/>
        <v/>
      </c>
      <c r="B150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2" spans="1:2" x14ac:dyDescent="0.25">
      <c r="A1502" s="1" t="str">
        <f t="shared" si="23"/>
        <v/>
      </c>
      <c r="B150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3" spans="1:2" x14ac:dyDescent="0.25">
      <c r="A1503" s="1" t="str">
        <f t="shared" si="23"/>
        <v/>
      </c>
      <c r="B150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4" spans="1:2" x14ac:dyDescent="0.25">
      <c r="A1504" s="1" t="str">
        <f t="shared" si="23"/>
        <v/>
      </c>
      <c r="B150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5" spans="1:2" x14ac:dyDescent="0.25">
      <c r="A1505" s="1" t="str">
        <f t="shared" si="23"/>
        <v/>
      </c>
      <c r="B150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6" spans="1:2" x14ac:dyDescent="0.25">
      <c r="A1506" s="1" t="str">
        <f t="shared" si="23"/>
        <v/>
      </c>
      <c r="B150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7" spans="1:2" x14ac:dyDescent="0.25">
      <c r="A1507" s="1" t="str">
        <f t="shared" si="23"/>
        <v/>
      </c>
      <c r="B150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8" spans="1:2" x14ac:dyDescent="0.25">
      <c r="A1508" s="1" t="str">
        <f t="shared" si="23"/>
        <v/>
      </c>
      <c r="B150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09" spans="1:2" x14ac:dyDescent="0.25">
      <c r="A1509" s="1" t="str">
        <f t="shared" si="23"/>
        <v/>
      </c>
      <c r="B150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0" spans="1:2" x14ac:dyDescent="0.25">
      <c r="A1510" s="1" t="str">
        <f t="shared" si="23"/>
        <v/>
      </c>
      <c r="B151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1" spans="1:2" x14ac:dyDescent="0.25">
      <c r="A1511" s="1" t="str">
        <f t="shared" si="23"/>
        <v/>
      </c>
      <c r="B151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2" spans="1:2" x14ac:dyDescent="0.25">
      <c r="A1512" s="1" t="str">
        <f t="shared" si="23"/>
        <v/>
      </c>
      <c r="B151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3" spans="1:2" x14ac:dyDescent="0.25">
      <c r="A1513" s="1" t="str">
        <f t="shared" si="23"/>
        <v/>
      </c>
      <c r="B151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4" spans="1:2" x14ac:dyDescent="0.25">
      <c r="A1514" s="1" t="str">
        <f t="shared" si="23"/>
        <v/>
      </c>
      <c r="B151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5" spans="1:2" x14ac:dyDescent="0.25">
      <c r="A1515" s="1" t="str">
        <f t="shared" si="23"/>
        <v/>
      </c>
      <c r="B151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6" spans="1:2" x14ac:dyDescent="0.25">
      <c r="A1516" s="1" t="str">
        <f t="shared" si="23"/>
        <v/>
      </c>
      <c r="B151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7" spans="1:2" x14ac:dyDescent="0.25">
      <c r="A1517" s="1" t="str">
        <f t="shared" si="23"/>
        <v/>
      </c>
      <c r="B151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8" spans="1:2" x14ac:dyDescent="0.25">
      <c r="A1518" s="1" t="str">
        <f t="shared" si="23"/>
        <v/>
      </c>
      <c r="B151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19" spans="1:2" x14ac:dyDescent="0.25">
      <c r="A1519" s="1" t="str">
        <f t="shared" si="23"/>
        <v/>
      </c>
      <c r="B151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0" spans="1:2" x14ac:dyDescent="0.25">
      <c r="A1520" s="1" t="str">
        <f t="shared" si="23"/>
        <v/>
      </c>
      <c r="B152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1" spans="1:2" x14ac:dyDescent="0.25">
      <c r="A1521" s="1" t="str">
        <f t="shared" si="23"/>
        <v/>
      </c>
      <c r="B152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2" spans="1:2" x14ac:dyDescent="0.25">
      <c r="A1522" s="1" t="str">
        <f t="shared" si="23"/>
        <v/>
      </c>
      <c r="B1522"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3" spans="1:2" x14ac:dyDescent="0.25">
      <c r="A1523" s="1" t="str">
        <f t="shared" si="23"/>
        <v/>
      </c>
      <c r="B1523"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4" spans="1:2" x14ac:dyDescent="0.25">
      <c r="A1524" s="1" t="str">
        <f t="shared" si="23"/>
        <v/>
      </c>
      <c r="B1524"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5" spans="1:2" x14ac:dyDescent="0.25">
      <c r="A1525" s="1" t="str">
        <f t="shared" si="23"/>
        <v/>
      </c>
      <c r="B1525"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6" spans="1:2" x14ac:dyDescent="0.25">
      <c r="A1526" s="1" t="str">
        <f t="shared" si="23"/>
        <v/>
      </c>
      <c r="B1526"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7" spans="1:2" x14ac:dyDescent="0.25">
      <c r="A1527" s="1" t="str">
        <f t="shared" si="23"/>
        <v/>
      </c>
      <c r="B1527"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8" spans="1:2" x14ac:dyDescent="0.25">
      <c r="A1528" s="1" t="str">
        <f t="shared" si="23"/>
        <v/>
      </c>
      <c r="B1528"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29" spans="1:2" x14ac:dyDescent="0.25">
      <c r="A1529" s="1" t="str">
        <f t="shared" si="23"/>
        <v/>
      </c>
      <c r="B1529"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0" spans="1:2" x14ac:dyDescent="0.25">
      <c r="A1530" s="1" t="str">
        <f t="shared" si="23"/>
        <v/>
      </c>
      <c r="B1530"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row r="1531" spans="1:2" x14ac:dyDescent="0.25">
      <c r="A1531" s="1" t="str">
        <f t="shared" si="23"/>
        <v/>
      </c>
      <c r="B1531" s="44" t="e">
        <f>LEFT(RIGHT(RIGHT(Tableau46[[#This Row],[file name]],LEN(Tableau46[[#This Row],[file name]])-SEARCH("@",Tableau46[[#This Row],[file name]])),LEN(RIGHT(Tableau46[[#This Row],[file name]],LEN(Tableau46[[#This Row],[file name]])-SEARCH("@",Tableau46[[#This Row],[file name]])))-SEARCH("/",RIGHT(Tableau46[[#This Row],[file name]],LEN(Tableau46[[#This Row],[file name]])-SEARCH("@",Tableau46[[#This Row],[file name]])))),1)</f>
        <v>#VALUE!</v>
      </c>
    </row>
  </sheetData>
  <conditionalFormatting sqref="A1:J2 EO1:XFD10 B11:K13 K1:L4 A1532:XFD1048576 M15:XFD19 B14:J19 K5:K6 B3:J10 B20:XFD1531 A3:A1531 AH11:XFD14">
    <cfRule type="containsText" dxfId="3" priority="1" operator="containsText" text="ERREUR">
      <formula>NOT(ISERROR(SEARCH("ERREUR",A1)))</formula>
    </cfRule>
    <cfRule type="containsText" dxfId="2" priority="2" operator="containsText" text="OK">
      <formula>NOT(ISERROR(SEARCH("OK",A1)))</formula>
    </cfRule>
  </conditionalFormatting>
  <pageMargins left="0.7" right="0.7" top="0.75" bottom="0.75" header="0.3" footer="0.3"/>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74"/>
  <sheetViews>
    <sheetView showGridLines="0" topLeftCell="L1" zoomScale="70" zoomScaleNormal="70" zoomScaleSheetLayoutView="40" zoomScalePageLayoutView="30" workbookViewId="0">
      <selection activeCell="P5" sqref="P5:V12"/>
    </sheetView>
  </sheetViews>
  <sheetFormatPr baseColWidth="10"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x14ac:dyDescent="0.45">
      <c r="A1" s="214" t="s">
        <v>43</v>
      </c>
      <c r="B1" s="215"/>
      <c r="C1" s="215"/>
      <c r="D1" s="215"/>
      <c r="E1" s="215"/>
      <c r="F1" s="215"/>
      <c r="G1" s="215"/>
      <c r="H1" s="215"/>
      <c r="I1" s="215"/>
      <c r="J1" s="215"/>
      <c r="K1" s="215"/>
      <c r="L1" s="215"/>
      <c r="M1" s="215"/>
      <c r="N1" s="215"/>
      <c r="O1" s="215"/>
      <c r="P1" s="215"/>
      <c r="Q1" s="215"/>
      <c r="R1" s="215"/>
      <c r="S1" s="215"/>
      <c r="T1" s="215"/>
      <c r="U1" s="215"/>
      <c r="V1" s="215"/>
    </row>
    <row r="2" spans="1:22" customFormat="1" ht="15.75" thickBot="1" x14ac:dyDescent="0.3"/>
    <row r="3" spans="1:22" ht="15.75" thickBot="1" x14ac:dyDescent="0.3">
      <c r="A3" s="51" t="s">
        <v>18</v>
      </c>
      <c r="B3" s="222" t="s">
        <v>6</v>
      </c>
      <c r="C3" s="223"/>
      <c r="D3" s="223"/>
      <c r="E3" s="223"/>
      <c r="F3" s="223"/>
      <c r="G3" s="223"/>
      <c r="H3" s="223"/>
      <c r="I3" s="223"/>
      <c r="J3" s="223"/>
      <c r="K3" s="223"/>
      <c r="L3" s="223"/>
      <c r="M3" s="223"/>
      <c r="O3" s="222" t="s">
        <v>3</v>
      </c>
      <c r="P3" s="223"/>
      <c r="Q3" s="223"/>
      <c r="R3" s="223"/>
      <c r="S3" s="223"/>
      <c r="T3" s="223"/>
      <c r="U3" s="223"/>
      <c r="V3" s="223"/>
    </row>
    <row r="4" spans="1:22" x14ac:dyDescent="0.25">
      <c r="A4" s="34" t="s">
        <v>41</v>
      </c>
      <c r="B4" s="35" t="str">
        <f>'Page de garde'!A7</f>
        <v>Témoin solvant</v>
      </c>
      <c r="C4" s="35" t="str">
        <f>'Page de garde'!A8</f>
        <v>EE2-33,8ng/L</v>
      </c>
      <c r="D4" s="35" t="str">
        <f>'Page de garde'!A9</f>
        <v>EE2-50,6ng/L</v>
      </c>
      <c r="E4" s="35" t="str">
        <f>'Page de garde'!A10</f>
        <v>EE2-76ng/L</v>
      </c>
      <c r="F4" s="35" t="str">
        <f>'Page de garde'!A11</f>
        <v>EE2-114ng/L</v>
      </c>
      <c r="G4" s="35" t="str">
        <f>'Page de garde'!A12</f>
        <v>EE2-170,9ng/L</v>
      </c>
      <c r="H4" s="35" t="str">
        <f>'Page de garde'!A13</f>
        <v>EE2-488ng/L</v>
      </c>
      <c r="I4" s="35" t="str">
        <f>'Page de garde'!A14</f>
        <v>Cromolyn-0,1µg/L</v>
      </c>
      <c r="J4" s="35" t="str">
        <f>'Page de garde'!A15</f>
        <v>Cromolyn-1µg/L</v>
      </c>
      <c r="K4" s="35" t="str">
        <f>'Page de garde'!A16</f>
        <v>Cromolyn-10µg/L</v>
      </c>
      <c r="L4" s="35" t="str">
        <f>'Page de garde'!A17</f>
        <v>Cromolyn-100µg/L</v>
      </c>
      <c r="M4" s="35" t="str">
        <f>'Page de garde'!A18</f>
        <v>Cromolyn-1000µg/L</v>
      </c>
      <c r="N4" s="3"/>
      <c r="O4" s="36" t="str">
        <f>'Page de garde'!A35</f>
        <v>Testo -30µg/L</v>
      </c>
      <c r="P4" s="36" t="str">
        <f>'Page de garde'!A36</f>
        <v>Testo 30µg/L + EE2 -64ng/L</v>
      </c>
      <c r="Q4" s="36" t="str">
        <f>'Page de garde'!A37</f>
        <v>Testo 30µg/L + FAD-10mg/L</v>
      </c>
      <c r="R4" s="36" t="str">
        <f>'Page de garde'!A38</f>
        <v>Cromolyn-0,1µg/L + Testostérone</v>
      </c>
      <c r="S4" s="36" t="str">
        <f>'Page de garde'!A39</f>
        <v>Cromolyn-1µg/L + Testostérone</v>
      </c>
      <c r="T4" s="36" t="str">
        <f>'Page de garde'!A40</f>
        <v>Cromolyn-10µg/L + Testostérone</v>
      </c>
      <c r="U4" s="36" t="str">
        <f>'Page de garde'!A41</f>
        <v>Cromolyn-100µg/L + Testostérone</v>
      </c>
      <c r="V4" s="36" t="str">
        <f>'Page de garde'!A42</f>
        <v>Cromolyn-1000µg/L + Testostérone</v>
      </c>
    </row>
    <row r="5" spans="1:22" x14ac:dyDescent="0.25">
      <c r="A5" s="224" t="s">
        <v>33</v>
      </c>
      <c r="B5" s="32">
        <v>695109</v>
      </c>
      <c r="C5" s="32">
        <v>51984</v>
      </c>
      <c r="D5" s="32">
        <v>217034.33333333334</v>
      </c>
      <c r="E5" s="32">
        <v>2062670</v>
      </c>
      <c r="F5" s="32">
        <v>3705958</v>
      </c>
      <c r="G5" s="32">
        <v>1072677</v>
      </c>
      <c r="H5" s="32">
        <v>5750653.5</v>
      </c>
      <c r="I5" s="32">
        <v>325108</v>
      </c>
      <c r="J5" s="32">
        <v>259140.66666666666</v>
      </c>
      <c r="K5" s="13">
        <v>149974.66666666666</v>
      </c>
      <c r="L5" s="13">
        <v>358313.66666666669</v>
      </c>
      <c r="M5" s="13">
        <v>164495.33333333334</v>
      </c>
      <c r="N5" s="3"/>
      <c r="O5" s="32">
        <v>4701005.333333333</v>
      </c>
      <c r="P5" s="13">
        <v>2971407</v>
      </c>
      <c r="Q5" s="13">
        <v>181172</v>
      </c>
      <c r="R5" s="32">
        <v>325753.33333333331</v>
      </c>
      <c r="S5" s="32">
        <v>2391733</v>
      </c>
      <c r="T5" s="32">
        <v>1184517.6666666667</v>
      </c>
      <c r="U5" s="32">
        <v>5677577</v>
      </c>
      <c r="V5" s="32">
        <v>1345098.3333333333</v>
      </c>
    </row>
    <row r="6" spans="1:22" ht="16.5" x14ac:dyDescent="0.25">
      <c r="A6" s="224"/>
      <c r="B6" s="14">
        <v>697175</v>
      </c>
      <c r="C6" s="13">
        <v>96606.666666666672</v>
      </c>
      <c r="D6" s="32">
        <v>51219.666666666664</v>
      </c>
      <c r="E6" s="32">
        <v>553393.66666666663</v>
      </c>
      <c r="F6" s="32">
        <v>2792538.5</v>
      </c>
      <c r="G6" s="32">
        <v>2327694</v>
      </c>
      <c r="H6" s="32">
        <v>10286615.333333334</v>
      </c>
      <c r="I6" s="32">
        <v>584905</v>
      </c>
      <c r="J6" s="32">
        <v>284505.33333333331</v>
      </c>
      <c r="K6" s="13">
        <v>270481.66666666669</v>
      </c>
      <c r="L6" s="13">
        <v>516716.5</v>
      </c>
      <c r="M6" s="13">
        <v>1096874</v>
      </c>
      <c r="N6" s="3"/>
      <c r="O6" s="32">
        <v>3436565</v>
      </c>
      <c r="P6" s="13">
        <v>5602676.333333333</v>
      </c>
      <c r="Q6" s="13">
        <v>696937</v>
      </c>
      <c r="R6" s="32">
        <v>1635991.6666666667</v>
      </c>
      <c r="S6" s="32">
        <v>2192586.3333333335</v>
      </c>
      <c r="T6" s="32">
        <v>1086628.3333333333</v>
      </c>
      <c r="U6" s="32">
        <v>1262349.6666666667</v>
      </c>
      <c r="V6" s="32">
        <v>260128</v>
      </c>
    </row>
    <row r="7" spans="1:22" ht="16.5" x14ac:dyDescent="0.25">
      <c r="A7" s="224"/>
      <c r="B7" s="14">
        <v>110687.66666666667</v>
      </c>
      <c r="C7" s="13">
        <v>190444</v>
      </c>
      <c r="D7" s="32">
        <v>913387</v>
      </c>
      <c r="E7" s="32">
        <v>434580.66666666669</v>
      </c>
      <c r="F7" s="32">
        <v>2802686.3333333335</v>
      </c>
      <c r="G7" s="32">
        <v>3651912</v>
      </c>
      <c r="H7" s="32">
        <v>6103826.5</v>
      </c>
      <c r="I7" s="32">
        <v>524575</v>
      </c>
      <c r="J7" s="32">
        <v>240668.33333333334</v>
      </c>
      <c r="K7" s="13">
        <v>16525.333333333332</v>
      </c>
      <c r="L7" s="13">
        <v>330021.33333333331</v>
      </c>
      <c r="M7" s="13">
        <v>331572</v>
      </c>
      <c r="N7" s="3"/>
      <c r="O7" s="32">
        <v>2840625.3333333335</v>
      </c>
      <c r="P7" s="13">
        <v>2742180.6666666665</v>
      </c>
      <c r="Q7" s="13">
        <v>190912.66666666666</v>
      </c>
      <c r="R7" s="32">
        <v>1055531.3333333333</v>
      </c>
      <c r="S7" s="32">
        <v>3273526</v>
      </c>
      <c r="T7" s="32">
        <v>865037</v>
      </c>
      <c r="U7" s="32">
        <v>833075.33333333337</v>
      </c>
      <c r="V7" s="32">
        <v>325955.33333333331</v>
      </c>
    </row>
    <row r="8" spans="1:22" ht="16.5" x14ac:dyDescent="0.25">
      <c r="A8" s="224"/>
      <c r="B8" s="14">
        <v>953950.66666666663</v>
      </c>
      <c r="C8" s="13">
        <v>496168.33333333331</v>
      </c>
      <c r="D8" s="32">
        <v>113189</v>
      </c>
      <c r="E8" s="32">
        <v>307324.66666666669</v>
      </c>
      <c r="F8" s="32">
        <v>1399721</v>
      </c>
      <c r="G8" s="32">
        <v>3440948.3333333335</v>
      </c>
      <c r="H8" s="32">
        <v>6616173.666666667</v>
      </c>
      <c r="I8" s="32">
        <v>387340.66666666669</v>
      </c>
      <c r="J8" s="32">
        <v>108070.33333333333</v>
      </c>
      <c r="K8" s="13">
        <v>415207.33333333331</v>
      </c>
      <c r="L8" s="13">
        <v>82150.333333333328</v>
      </c>
      <c r="M8" s="13">
        <v>393325.33333333331</v>
      </c>
      <c r="N8" s="3"/>
      <c r="O8" s="32">
        <v>3771770.3333333335</v>
      </c>
      <c r="P8" s="13">
        <v>3258514.6666666665</v>
      </c>
      <c r="Q8" s="13">
        <v>148604.66666666666</v>
      </c>
      <c r="R8" s="32">
        <v>485749.66666666669</v>
      </c>
      <c r="S8" s="32">
        <v>1182679</v>
      </c>
      <c r="T8" s="32">
        <v>1052784.6666666667</v>
      </c>
      <c r="U8" s="32">
        <v>1637974.3333333333</v>
      </c>
      <c r="V8" s="32">
        <v>187077</v>
      </c>
    </row>
    <row r="9" spans="1:22" ht="16.5" x14ac:dyDescent="0.25">
      <c r="A9" s="224"/>
      <c r="B9" s="14">
        <v>251735.66666666666</v>
      </c>
      <c r="C9" s="13">
        <v>826737.5</v>
      </c>
      <c r="D9" s="32">
        <v>144127</v>
      </c>
      <c r="E9" s="32">
        <v>1920915</v>
      </c>
      <c r="F9" s="32">
        <v>2389714</v>
      </c>
      <c r="G9" s="32">
        <v>2642596.3333333335</v>
      </c>
      <c r="H9" s="32">
        <v>4089859.6666666665</v>
      </c>
      <c r="I9" s="32">
        <v>181251.33333333334</v>
      </c>
      <c r="J9" s="32">
        <v>272536.66666666669</v>
      </c>
      <c r="K9" s="13">
        <v>377744.66666666669</v>
      </c>
      <c r="L9" s="13">
        <v>684882</v>
      </c>
      <c r="M9" s="13">
        <v>601130.66666666663</v>
      </c>
      <c r="N9" s="3"/>
      <c r="O9" s="32">
        <v>2252926.6666666665</v>
      </c>
      <c r="P9" s="13">
        <v>18977</v>
      </c>
      <c r="Q9" s="13">
        <v>35862.333333333336</v>
      </c>
      <c r="R9" s="32">
        <v>4141562.3333333335</v>
      </c>
      <c r="S9" s="32">
        <v>204900</v>
      </c>
      <c r="T9" s="32">
        <v>1989294</v>
      </c>
      <c r="U9" s="32">
        <v>2201072.6666666665</v>
      </c>
      <c r="V9" s="32">
        <v>1305493.6666666667</v>
      </c>
    </row>
    <row r="10" spans="1:22" ht="16.5" x14ac:dyDescent="0.25">
      <c r="A10" s="224"/>
      <c r="B10" s="14">
        <v>19604</v>
      </c>
      <c r="C10" s="13">
        <v>322465.66666666669</v>
      </c>
      <c r="D10" s="32">
        <v>959898.66666666663</v>
      </c>
      <c r="E10" s="32">
        <v>287973</v>
      </c>
      <c r="F10" s="32">
        <v>620677</v>
      </c>
      <c r="G10" s="32">
        <v>2417796.6666666665</v>
      </c>
      <c r="H10" s="32">
        <v>6734100</v>
      </c>
      <c r="I10" s="32">
        <v>539212</v>
      </c>
      <c r="J10" s="32">
        <v>410549.66666666669</v>
      </c>
      <c r="K10" s="13">
        <v>200718.33333333334</v>
      </c>
      <c r="L10" s="13">
        <v>770075</v>
      </c>
      <c r="M10" s="13">
        <v>58152</v>
      </c>
      <c r="N10" s="3"/>
      <c r="O10" s="32">
        <v>4206726</v>
      </c>
      <c r="P10" s="13">
        <v>6295251</v>
      </c>
      <c r="Q10" s="13">
        <v>875621.33333333337</v>
      </c>
      <c r="R10" s="32">
        <v>2042777.6666666667</v>
      </c>
      <c r="S10" s="32">
        <v>1239609.3333333333</v>
      </c>
      <c r="T10" s="32">
        <v>1024406.3333333334</v>
      </c>
      <c r="U10" s="32">
        <v>1844143.3333333333</v>
      </c>
      <c r="V10" s="32">
        <v>1782988.3333333333</v>
      </c>
    </row>
    <row r="11" spans="1:22" ht="16.5" x14ac:dyDescent="0.25">
      <c r="A11" s="224"/>
      <c r="B11" s="14">
        <v>377665</v>
      </c>
      <c r="C11" s="13">
        <v>154120</v>
      </c>
      <c r="D11" s="32">
        <v>29784.666666666668</v>
      </c>
      <c r="E11" s="32">
        <v>666222.33333333337</v>
      </c>
      <c r="F11" s="32">
        <v>611239</v>
      </c>
      <c r="G11" s="32">
        <v>4535745.666666667</v>
      </c>
      <c r="H11" s="32">
        <v>5381247</v>
      </c>
      <c r="I11" s="32">
        <v>621001.33333333337</v>
      </c>
      <c r="J11" s="32">
        <v>280806.66666666669</v>
      </c>
      <c r="K11" s="13">
        <v>659762.33333333337</v>
      </c>
      <c r="L11" s="13">
        <v>226768</v>
      </c>
      <c r="M11" s="13">
        <v>233415.66666666666</v>
      </c>
      <c r="N11" s="3"/>
      <c r="O11" s="32">
        <v>3482355.3333333335</v>
      </c>
      <c r="P11" s="13">
        <v>6332620.333333333</v>
      </c>
      <c r="Q11" s="13">
        <v>100723.33333333333</v>
      </c>
      <c r="R11" s="32">
        <v>354845.66666666669</v>
      </c>
      <c r="S11" s="32">
        <v>1575370.3333333333</v>
      </c>
      <c r="T11" s="32">
        <v>554655.66666666663</v>
      </c>
      <c r="U11" s="32">
        <v>604497.66666666663</v>
      </c>
      <c r="V11" s="32">
        <v>1444646.3333333333</v>
      </c>
    </row>
    <row r="12" spans="1:22" ht="16.5" x14ac:dyDescent="0.25">
      <c r="A12" s="224"/>
      <c r="B12" s="14">
        <v>854099.66666666663</v>
      </c>
      <c r="C12" s="13">
        <v>79410.333333333328</v>
      </c>
      <c r="D12" s="32">
        <v>27643</v>
      </c>
      <c r="E12" s="32">
        <v>215210</v>
      </c>
      <c r="F12" s="32">
        <v>1398019.3333333333</v>
      </c>
      <c r="G12" s="32">
        <v>4561031.333333333</v>
      </c>
      <c r="H12" s="32">
        <v>5954068.333333333</v>
      </c>
      <c r="I12" s="32">
        <v>505418.33333333331</v>
      </c>
      <c r="J12" s="32">
        <v>549449.66666666663</v>
      </c>
      <c r="K12" s="13">
        <v>481979</v>
      </c>
      <c r="L12" s="13">
        <v>238044</v>
      </c>
      <c r="M12" s="13">
        <v>386937</v>
      </c>
      <c r="N12" s="3"/>
      <c r="O12" s="32">
        <v>3640873.6666666665</v>
      </c>
      <c r="P12" s="13">
        <v>5722080.333333333</v>
      </c>
      <c r="Q12" s="13">
        <v>16099.666666666666</v>
      </c>
      <c r="R12" s="32">
        <v>1210048.6666666667</v>
      </c>
      <c r="S12" s="32">
        <v>145060.5</v>
      </c>
      <c r="T12" s="32">
        <v>130990.66666666667</v>
      </c>
      <c r="U12" s="32">
        <v>385776.33333333331</v>
      </c>
      <c r="V12" s="32">
        <v>1825613.3333333333</v>
      </c>
    </row>
    <row r="13" spans="1:22" ht="16.5" x14ac:dyDescent="0.25">
      <c r="A13" s="224"/>
      <c r="B13" s="14"/>
      <c r="C13" s="13"/>
      <c r="D13" s="32"/>
      <c r="E13" s="32"/>
      <c r="F13" s="32"/>
      <c r="G13" s="32"/>
      <c r="H13" s="32"/>
      <c r="I13" s="32"/>
      <c r="J13" s="32"/>
      <c r="K13" s="13"/>
      <c r="L13" s="13"/>
      <c r="M13" s="13"/>
      <c r="N13" s="3"/>
      <c r="O13" s="32">
        <v>3794893</v>
      </c>
      <c r="P13" s="13"/>
      <c r="Q13" s="13"/>
      <c r="R13" s="32"/>
      <c r="S13" s="32"/>
      <c r="T13" s="32"/>
      <c r="U13" s="32"/>
      <c r="V13" s="32"/>
    </row>
    <row r="14" spans="1:22" ht="16.5" x14ac:dyDescent="0.25">
      <c r="A14" s="224"/>
      <c r="B14" s="14"/>
      <c r="C14" s="32"/>
      <c r="D14" s="32"/>
      <c r="E14" s="32"/>
      <c r="F14" s="32"/>
      <c r="G14" s="32"/>
      <c r="H14" s="32"/>
      <c r="I14" s="32"/>
      <c r="J14" s="32"/>
      <c r="K14" s="13"/>
      <c r="L14" s="13"/>
      <c r="M14" s="13"/>
      <c r="N14" s="3"/>
      <c r="O14" s="32">
        <v>2208808.6666666665</v>
      </c>
      <c r="P14" s="13"/>
      <c r="Q14" s="13"/>
      <c r="R14" s="32"/>
      <c r="S14" s="32"/>
      <c r="T14" s="32"/>
      <c r="U14" s="32"/>
      <c r="V14" s="32"/>
    </row>
    <row r="15" spans="1:22" ht="16.5" x14ac:dyDescent="0.25">
      <c r="A15" s="224"/>
      <c r="B15" s="14"/>
      <c r="C15" s="32"/>
      <c r="D15" s="32"/>
      <c r="E15" s="32"/>
      <c r="F15" s="32"/>
      <c r="G15" s="32"/>
      <c r="H15" s="32"/>
      <c r="I15" s="32"/>
      <c r="J15" s="32"/>
      <c r="K15" s="13"/>
      <c r="L15" s="13"/>
      <c r="M15" s="13"/>
      <c r="N15" s="3"/>
      <c r="O15" s="32">
        <v>3526898.6666666665</v>
      </c>
      <c r="P15" s="13"/>
      <c r="Q15" s="13"/>
      <c r="R15" s="32"/>
      <c r="S15" s="32"/>
      <c r="T15" s="32"/>
      <c r="U15" s="32"/>
      <c r="V15" s="32"/>
    </row>
    <row r="16" spans="1:22" ht="16.5" x14ac:dyDescent="0.25">
      <c r="A16" s="224"/>
      <c r="B16" s="14"/>
      <c r="C16" s="32"/>
      <c r="D16" s="32"/>
      <c r="E16" s="32"/>
      <c r="F16" s="32"/>
      <c r="G16" s="32"/>
      <c r="H16" s="32"/>
      <c r="I16" s="32"/>
      <c r="J16" s="32"/>
      <c r="K16" s="13"/>
      <c r="L16" s="13"/>
      <c r="M16" s="13"/>
      <c r="N16" s="3"/>
      <c r="O16" s="32">
        <v>3963447.6666666665</v>
      </c>
      <c r="P16" s="13"/>
      <c r="Q16" s="13"/>
      <c r="R16" s="32"/>
      <c r="S16" s="32"/>
      <c r="T16" s="32"/>
      <c r="U16" s="32"/>
      <c r="V16" s="32"/>
    </row>
    <row r="17" spans="1:22" ht="16.5" x14ac:dyDescent="0.25">
      <c r="A17" s="224"/>
      <c r="B17" s="14"/>
      <c r="C17" s="32"/>
      <c r="D17" s="32"/>
      <c r="E17" s="32"/>
      <c r="F17" s="32"/>
      <c r="G17" s="32"/>
      <c r="H17" s="32"/>
      <c r="I17" s="32"/>
      <c r="J17" s="32"/>
      <c r="K17" s="13"/>
      <c r="L17" s="13"/>
      <c r="M17" s="13"/>
      <c r="N17" s="3"/>
      <c r="O17" s="32">
        <v>5060112</v>
      </c>
      <c r="P17" s="13"/>
      <c r="Q17" s="13"/>
      <c r="R17" s="32"/>
      <c r="S17" s="32"/>
      <c r="T17" s="32"/>
      <c r="U17" s="32"/>
      <c r="V17" s="32"/>
    </row>
    <row r="18" spans="1:22" ht="16.5" x14ac:dyDescent="0.25">
      <c r="A18" s="224"/>
      <c r="B18" s="14"/>
      <c r="C18" s="32"/>
      <c r="D18" s="32"/>
      <c r="E18" s="32"/>
      <c r="F18" s="32"/>
      <c r="G18" s="32"/>
      <c r="H18" s="32"/>
      <c r="I18" s="32"/>
      <c r="J18" s="32"/>
      <c r="K18" s="13"/>
      <c r="L18" s="13"/>
      <c r="M18" s="13"/>
      <c r="N18" s="3"/>
      <c r="O18" s="32">
        <v>2042539.6666666667</v>
      </c>
      <c r="P18" s="13"/>
      <c r="Q18" s="13"/>
      <c r="R18" s="32"/>
      <c r="S18" s="32"/>
      <c r="T18" s="32"/>
      <c r="U18" s="32"/>
      <c r="V18" s="32"/>
    </row>
    <row r="19" spans="1:22" ht="16.5" x14ac:dyDescent="0.25">
      <c r="A19" s="224"/>
      <c r="B19" s="14"/>
      <c r="C19" s="32"/>
      <c r="D19" s="32"/>
      <c r="E19" s="32"/>
      <c r="F19" s="32"/>
      <c r="G19" s="32"/>
      <c r="H19" s="32"/>
      <c r="I19" s="32"/>
      <c r="J19" s="32"/>
      <c r="K19" s="13"/>
      <c r="L19" s="13"/>
      <c r="M19" s="13"/>
      <c r="N19" s="3"/>
      <c r="O19" s="32">
        <v>1794048.3333333333</v>
      </c>
      <c r="P19" s="13"/>
      <c r="Q19" s="13"/>
      <c r="R19" s="32"/>
      <c r="S19" s="32"/>
      <c r="T19" s="32"/>
      <c r="U19" s="32"/>
      <c r="V19" s="32"/>
    </row>
    <row r="20" spans="1:22" ht="16.5" x14ac:dyDescent="0.25">
      <c r="A20" s="224"/>
      <c r="B20" s="14"/>
      <c r="C20" s="32"/>
      <c r="D20" s="32"/>
      <c r="E20" s="32"/>
      <c r="F20" s="32"/>
      <c r="G20" s="32"/>
      <c r="H20" s="32"/>
      <c r="I20" s="32"/>
      <c r="J20" s="32"/>
      <c r="K20" s="13"/>
      <c r="L20" s="13"/>
      <c r="M20" s="13"/>
      <c r="N20" s="3"/>
      <c r="O20" s="32">
        <v>3325675.6666666665</v>
      </c>
      <c r="P20" s="13"/>
      <c r="Q20" s="13"/>
      <c r="R20" s="32"/>
      <c r="S20" s="32"/>
      <c r="T20" s="32"/>
      <c r="U20" s="32"/>
      <c r="V20" s="32"/>
    </row>
    <row r="21" spans="1:22" x14ac:dyDescent="0.25">
      <c r="A21" s="3"/>
      <c r="B21" s="7"/>
      <c r="C21" s="7"/>
      <c r="D21" s="7"/>
      <c r="E21" s="7"/>
      <c r="F21" s="7"/>
      <c r="G21" s="7"/>
      <c r="H21" s="7"/>
      <c r="I21" s="7"/>
      <c r="J21" s="7"/>
      <c r="N21" s="3"/>
      <c r="O21" s="7"/>
      <c r="R21" s="7"/>
      <c r="S21" s="7"/>
      <c r="T21" s="7"/>
      <c r="U21" s="7"/>
      <c r="V21" s="7"/>
    </row>
    <row r="22" spans="1:22" x14ac:dyDescent="0.2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Cromolyn-0,1µg/L</v>
      </c>
      <c r="J22" s="3" t="str">
        <f t="shared" si="0"/>
        <v>Cromolyn-1µg/L</v>
      </c>
      <c r="K22" s="3" t="str">
        <f t="shared" si="0"/>
        <v>Cromolyn-10µg/L</v>
      </c>
      <c r="L22" s="3" t="str">
        <f t="shared" si="0"/>
        <v>Cromolyn-100µg/L</v>
      </c>
      <c r="M22" s="3" t="str">
        <f t="shared" si="0"/>
        <v>Cromolyn-1000µg/L</v>
      </c>
      <c r="N22" s="3" t="s">
        <v>41</v>
      </c>
      <c r="O22" s="3" t="str">
        <f t="shared" si="0"/>
        <v>Testo -30µg/L</v>
      </c>
      <c r="P22" s="3" t="str">
        <f t="shared" si="0"/>
        <v>Testo 30µg/L + EE2 -64ng/L</v>
      </c>
      <c r="Q22" s="3" t="str">
        <f t="shared" si="0"/>
        <v>Testo 30µg/L + FAD-10mg/L</v>
      </c>
      <c r="R22" s="3" t="str">
        <f t="shared" si="0"/>
        <v>Cromolyn-0,1µg/L + Testostérone</v>
      </c>
      <c r="S22" s="3" t="str">
        <f t="shared" si="0"/>
        <v>Cromolyn-1µg/L + Testostérone</v>
      </c>
      <c r="T22" s="3" t="str">
        <f t="shared" si="0"/>
        <v>Cromolyn-10µg/L + Testostérone</v>
      </c>
      <c r="U22" s="3" t="str">
        <f t="shared" si="0"/>
        <v>Cromolyn-100µg/L + Testostérone</v>
      </c>
      <c r="V22" s="3" t="str">
        <f t="shared" si="0"/>
        <v>Cromolyn-1000µg/L + Testostérone</v>
      </c>
    </row>
    <row r="23" spans="1:22" x14ac:dyDescent="0.25">
      <c r="A23" s="5" t="s">
        <v>0</v>
      </c>
      <c r="B23" s="5">
        <f t="shared" ref="B23:J23" si="1">AVERAGE(B5:B20)</f>
        <v>495003.33333333331</v>
      </c>
      <c r="C23" s="5">
        <f t="shared" si="1"/>
        <v>277242.06250000006</v>
      </c>
      <c r="D23" s="5">
        <f t="shared" si="1"/>
        <v>307035.41666666663</v>
      </c>
      <c r="E23" s="5">
        <f t="shared" si="1"/>
        <v>806036.16666666663</v>
      </c>
      <c r="F23" s="5">
        <f t="shared" si="1"/>
        <v>1965069.1458333335</v>
      </c>
      <c r="G23" s="5">
        <f t="shared" si="1"/>
        <v>3081300.1666666665</v>
      </c>
      <c r="H23" s="5">
        <f t="shared" si="1"/>
        <v>6364568.0000000009</v>
      </c>
      <c r="I23" s="5">
        <f t="shared" si="1"/>
        <v>458601.45833333337</v>
      </c>
      <c r="J23" s="5">
        <f t="shared" si="1"/>
        <v>300715.91666666669</v>
      </c>
      <c r="K23" s="5"/>
      <c r="L23" s="5">
        <f>AVERAGE(L5:L20)</f>
        <v>400871.35416666663</v>
      </c>
      <c r="M23" s="5"/>
      <c r="N23" s="5" t="s">
        <v>0</v>
      </c>
      <c r="O23" s="5">
        <f>AVERAGE(O5:O20)</f>
        <v>3378079.458333333</v>
      </c>
      <c r="P23" s="5">
        <f>AVERAGE(P5:P20)</f>
        <v>4117963.416666666</v>
      </c>
      <c r="Q23" s="5">
        <f>AVERAGE(Q5:Q20)</f>
        <v>280741.625</v>
      </c>
      <c r="R23" s="5">
        <f>AVERAGE(R5:R20)</f>
        <v>1406532.5416666665</v>
      </c>
      <c r="S23" s="5">
        <f>AVERAGE(S5:S20)</f>
        <v>1525683.0625000002</v>
      </c>
      <c r="T23" s="5">
        <f t="shared" ref="T23:V23" si="2">AVERAGE(T5:T20)</f>
        <v>986039.29166666674</v>
      </c>
      <c r="U23" s="5">
        <f t="shared" si="2"/>
        <v>1805808.2916666667</v>
      </c>
      <c r="V23" s="5">
        <f t="shared" si="2"/>
        <v>1059625.0416666665</v>
      </c>
    </row>
    <row r="24" spans="1:22" x14ac:dyDescent="0.25">
      <c r="A24" s="3" t="s">
        <v>1</v>
      </c>
      <c r="B24" s="3">
        <f t="shared" ref="B24:J24" si="3">STDEV(B5:B20)</f>
        <v>351963.67343321547</v>
      </c>
      <c r="C24" s="3">
        <f t="shared" si="3"/>
        <v>266490.36493178445</v>
      </c>
      <c r="D24" s="3">
        <f t="shared" si="3"/>
        <v>393968.49857795716</v>
      </c>
      <c r="E24" s="3">
        <f t="shared" si="3"/>
        <v>747339.74846762337</v>
      </c>
      <c r="F24" s="3">
        <f t="shared" si="3"/>
        <v>1126228.577472575</v>
      </c>
      <c r="G24" s="3">
        <f t="shared" si="3"/>
        <v>1194938.6077597307</v>
      </c>
      <c r="H24" s="3">
        <f t="shared" si="3"/>
        <v>1786333.8316096603</v>
      </c>
      <c r="I24" s="3">
        <f t="shared" si="3"/>
        <v>148896.12253151054</v>
      </c>
      <c r="J24" s="3">
        <f t="shared" si="3"/>
        <v>129742.43543092441</v>
      </c>
      <c r="K24" s="3"/>
      <c r="L24" s="3">
        <f>STDEV(L5:L20)</f>
        <v>237737.00156502874</v>
      </c>
      <c r="M24" s="3"/>
      <c r="N24" s="3" t="s">
        <v>1</v>
      </c>
      <c r="O24" s="3">
        <f>STDEV(O5:O20)</f>
        <v>940230.20578567847</v>
      </c>
      <c r="P24" s="3">
        <f>STDEV(P5:P20)</f>
        <v>2241509.746195361</v>
      </c>
      <c r="Q24" s="3">
        <f>STDEV(Q5:Q20)</f>
        <v>321814.45502158423</v>
      </c>
      <c r="R24" s="3">
        <f>STDEV(R5:R20)</f>
        <v>1266131.6313270838</v>
      </c>
      <c r="S24" s="3">
        <f>STDEV(S5:S20)</f>
        <v>1075858.6437701888</v>
      </c>
      <c r="T24" s="3">
        <f t="shared" ref="T24:V24" si="4">STDEV(T5:T20)</f>
        <v>533693.37679317582</v>
      </c>
      <c r="U24" s="3">
        <f t="shared" si="4"/>
        <v>1685130.7425200588</v>
      </c>
      <c r="V24" s="3">
        <f t="shared" si="4"/>
        <v>690650.53560582828</v>
      </c>
    </row>
    <row r="25" spans="1:22" ht="15.75" thickBot="1" x14ac:dyDescent="0.3"/>
    <row r="26" spans="1:22" ht="15.75" thickBot="1" x14ac:dyDescent="0.3">
      <c r="B26" s="222" t="s">
        <v>6</v>
      </c>
      <c r="C26" s="223"/>
      <c r="D26" s="223"/>
      <c r="E26" s="223"/>
      <c r="F26" s="223"/>
      <c r="G26" s="223"/>
      <c r="H26" s="223"/>
      <c r="I26" s="223"/>
      <c r="J26" s="223"/>
      <c r="K26" s="223"/>
      <c r="L26" s="223"/>
      <c r="M26" s="223"/>
      <c r="O26" s="222" t="s">
        <v>3</v>
      </c>
      <c r="P26" s="223"/>
      <c r="Q26" s="223"/>
      <c r="R26" s="223"/>
      <c r="S26" s="223"/>
      <c r="T26" s="223"/>
      <c r="U26" s="223"/>
      <c r="V26" s="223"/>
    </row>
    <row r="27" spans="1:22" x14ac:dyDescent="0.2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Cromolyn-0,1µg/L</v>
      </c>
      <c r="J27" s="35" t="str">
        <f t="shared" si="5"/>
        <v>Cromolyn-1µg/L</v>
      </c>
      <c r="K27" s="35" t="str">
        <f t="shared" si="5"/>
        <v>Cromolyn-10µg/L</v>
      </c>
      <c r="L27" s="35" t="str">
        <f t="shared" si="5"/>
        <v>Cromolyn-100µg/L</v>
      </c>
      <c r="M27" s="35" t="str">
        <f t="shared" si="5"/>
        <v>Cromolyn-1000µg/L</v>
      </c>
      <c r="N27" s="3"/>
      <c r="O27" s="36" t="str">
        <f>O4</f>
        <v>Testo -30µg/L</v>
      </c>
      <c r="P27" s="36" t="str">
        <f t="shared" ref="P27:R27" si="6">P4</f>
        <v>Testo 30µg/L + EE2 -64ng/L</v>
      </c>
      <c r="Q27" s="36" t="str">
        <f t="shared" si="6"/>
        <v>Testo 30µg/L + FAD-10mg/L</v>
      </c>
      <c r="R27" s="36" t="str">
        <f t="shared" si="6"/>
        <v>Cromolyn-0,1µg/L + Testostérone</v>
      </c>
      <c r="S27" s="36" t="str">
        <f t="shared" ref="S27:V27" si="7">S4</f>
        <v>Cromolyn-1µg/L + Testostérone</v>
      </c>
      <c r="T27" s="36" t="str">
        <f t="shared" si="7"/>
        <v>Cromolyn-10µg/L + Testostérone</v>
      </c>
      <c r="U27" s="36" t="str">
        <f t="shared" si="7"/>
        <v>Cromolyn-100µg/L + Testostérone</v>
      </c>
      <c r="V27" s="36" t="str">
        <f t="shared" si="7"/>
        <v>Cromolyn-1000µg/L + Testostérone</v>
      </c>
    </row>
    <row r="28" spans="1:22" x14ac:dyDescent="0.25">
      <c r="A28" s="225" t="s">
        <v>34</v>
      </c>
      <c r="B28" s="11">
        <f t="shared" ref="B28:M28" si="8">IF(B5="","",(B5/$O$23))</f>
        <v>0.20577047063983239</v>
      </c>
      <c r="C28" s="11">
        <f t="shared" si="8"/>
        <v>1.538862559072181E-2</v>
      </c>
      <c r="D28" s="11">
        <f t="shared" si="8"/>
        <v>6.4247847337615058E-2</v>
      </c>
      <c r="E28" s="11">
        <f t="shared" si="8"/>
        <v>0.61060434647611106</v>
      </c>
      <c r="F28" s="11">
        <f t="shared" si="8"/>
        <v>1.097060636290786</v>
      </c>
      <c r="G28" s="11">
        <f t="shared" si="8"/>
        <v>0.31754048808823293</v>
      </c>
      <c r="H28" s="11">
        <f t="shared" si="8"/>
        <v>1.7023440599698743</v>
      </c>
      <c r="I28" s="11">
        <f t="shared" si="8"/>
        <v>9.6240483390050521E-2</v>
      </c>
      <c r="J28" s="11">
        <f t="shared" si="8"/>
        <v>7.6712424874257015E-2</v>
      </c>
      <c r="K28" s="11">
        <f t="shared" si="8"/>
        <v>4.439642954421822E-2</v>
      </c>
      <c r="L28" s="11">
        <f t="shared" si="8"/>
        <v>0.10607023046268144</v>
      </c>
      <c r="M28" s="11">
        <f t="shared" si="8"/>
        <v>4.8694927210057859E-2</v>
      </c>
      <c r="N28" s="6"/>
      <c r="O28" s="11">
        <f t="shared" ref="O28:S37" si="9">IF(O5="","",(O5/$O$23))</f>
        <v>1.3916207097309372</v>
      </c>
      <c r="P28" s="11">
        <f t="shared" si="9"/>
        <v>0.87961430056651901</v>
      </c>
      <c r="Q28" s="11">
        <f t="shared" si="9"/>
        <v>5.3631657346919277E-2</v>
      </c>
      <c r="R28" s="11">
        <f t="shared" si="9"/>
        <v>9.6431518959608054E-2</v>
      </c>
      <c r="S28" s="11">
        <f t="shared" si="9"/>
        <v>0.70801561345748398</v>
      </c>
      <c r="T28" s="11">
        <f t="shared" ref="T28:V43" si="10">IF(T5="","",(T5/$O$23))</f>
        <v>0.35064825480780154</v>
      </c>
      <c r="U28" s="11">
        <f t="shared" si="10"/>
        <v>1.6807115019139267</v>
      </c>
      <c r="V28" s="11">
        <f t="shared" si="10"/>
        <v>0.39818433814963428</v>
      </c>
    </row>
    <row r="29" spans="1:22" x14ac:dyDescent="0.25">
      <c r="A29" s="225"/>
      <c r="B29" s="11">
        <f t="shared" ref="B29:M29" si="11">IF(B6="","",(B6/$O$23))</f>
        <v>0.20638206075352952</v>
      </c>
      <c r="C29" s="11">
        <f t="shared" si="11"/>
        <v>2.8598103703081686E-2</v>
      </c>
      <c r="D29" s="11">
        <f t="shared" si="11"/>
        <v>1.5162362904257223E-2</v>
      </c>
      <c r="E29" s="11">
        <f t="shared" si="11"/>
        <v>0.16381902009483768</v>
      </c>
      <c r="F29" s="11">
        <f t="shared" si="11"/>
        <v>0.82666453955401464</v>
      </c>
      <c r="G29" s="11">
        <f t="shared" si="11"/>
        <v>0.68905839211622066</v>
      </c>
      <c r="H29" s="11">
        <f t="shared" si="11"/>
        <v>3.0451075707995674</v>
      </c>
      <c r="I29" s="11">
        <f t="shared" si="11"/>
        <v>0.17314720012198254</v>
      </c>
      <c r="J29" s="11">
        <f t="shared" si="11"/>
        <v>8.4221030571525315E-2</v>
      </c>
      <c r="K29" s="11">
        <f t="shared" si="11"/>
        <v>8.0069657923356297E-2</v>
      </c>
      <c r="L29" s="11">
        <f t="shared" si="11"/>
        <v>0.15296161809495626</v>
      </c>
      <c r="M29" s="11">
        <f t="shared" si="11"/>
        <v>0.32470343386806316</v>
      </c>
      <c r="N29" s="6"/>
      <c r="O29" s="11">
        <f t="shared" si="9"/>
        <v>1.0173132522156605</v>
      </c>
      <c r="P29" s="11">
        <f t="shared" si="9"/>
        <v>1.6585389427451671</v>
      </c>
      <c r="Q29" s="11">
        <f t="shared" si="9"/>
        <v>0.20631160651971542</v>
      </c>
      <c r="R29" s="11">
        <f t="shared" si="9"/>
        <v>0.4842963840388253</v>
      </c>
      <c r="S29" s="11">
        <f t="shared" si="9"/>
        <v>0.64906298397584328</v>
      </c>
      <c r="T29" s="11">
        <f t="shared" si="10"/>
        <v>0.32167044817514467</v>
      </c>
      <c r="U29" s="11">
        <f t="shared" si="10"/>
        <v>0.37368856542216478</v>
      </c>
      <c r="V29" s="11">
        <f t="shared" si="10"/>
        <v>7.7004701401648265E-2</v>
      </c>
    </row>
    <row r="30" spans="1:22" x14ac:dyDescent="0.25">
      <c r="A30" s="225"/>
      <c r="B30" s="11">
        <f t="shared" ref="B30:M30" si="12">IF(B7="","",(B7/$O$23))</f>
        <v>3.2766448519620503E-2</v>
      </c>
      <c r="C30" s="11">
        <f t="shared" si="12"/>
        <v>5.6376412203743932E-2</v>
      </c>
      <c r="D30" s="11">
        <f t="shared" si="12"/>
        <v>0.27038647588551518</v>
      </c>
      <c r="E30" s="11">
        <f t="shared" si="12"/>
        <v>0.12864726008578817</v>
      </c>
      <c r="F30" s="11">
        <f t="shared" si="12"/>
        <v>0.82966856401776723</v>
      </c>
      <c r="G30" s="11">
        <f t="shared" si="12"/>
        <v>1.081061604691137</v>
      </c>
      <c r="H30" s="11">
        <f t="shared" si="12"/>
        <v>1.8068925184523303</v>
      </c>
      <c r="I30" s="11">
        <f t="shared" si="12"/>
        <v>0.15528793992868756</v>
      </c>
      <c r="J30" s="11">
        <f t="shared" si="12"/>
        <v>7.1244130371069955E-2</v>
      </c>
      <c r="K30" s="11">
        <f t="shared" si="12"/>
        <v>4.8919315063969968E-3</v>
      </c>
      <c r="L30" s="11">
        <f t="shared" si="12"/>
        <v>9.7694958749181784E-2</v>
      </c>
      <c r="M30" s="11">
        <f t="shared" si="12"/>
        <v>9.8153996698345874E-2</v>
      </c>
      <c r="N30" s="6"/>
      <c r="O30" s="11">
        <f t="shared" si="9"/>
        <v>0.84089950173488015</v>
      </c>
      <c r="P30" s="11">
        <f t="shared" si="9"/>
        <v>0.8117573018899904</v>
      </c>
      <c r="Q30" s="11">
        <f t="shared" si="9"/>
        <v>5.651514981262714E-2</v>
      </c>
      <c r="R30" s="11">
        <f t="shared" si="9"/>
        <v>0.31246492166709078</v>
      </c>
      <c r="S30" s="11">
        <f t="shared" si="9"/>
        <v>0.96904943781727459</v>
      </c>
      <c r="T30" s="11">
        <f t="shared" si="10"/>
        <v>0.25607360947832453</v>
      </c>
      <c r="U30" s="11">
        <f t="shared" si="10"/>
        <v>0.24661211898915891</v>
      </c>
      <c r="V30" s="11">
        <f t="shared" si="10"/>
        <v>9.6491316250492287E-2</v>
      </c>
    </row>
    <row r="31" spans="1:22" x14ac:dyDescent="0.25">
      <c r="A31" s="225"/>
      <c r="B31" s="11">
        <f t="shared" ref="B31:M31" si="13">IF(B8="","",(B8/$O$23))</f>
        <v>0.28239438368253306</v>
      </c>
      <c r="C31" s="11">
        <f t="shared" si="13"/>
        <v>0.14687882255384585</v>
      </c>
      <c r="D31" s="11">
        <f t="shared" si="13"/>
        <v>3.3506908702450967E-2</v>
      </c>
      <c r="E31" s="11">
        <f t="shared" si="13"/>
        <v>9.097615093349333E-2</v>
      </c>
      <c r="F31" s="11">
        <f t="shared" si="13"/>
        <v>0.41435407818695602</v>
      </c>
      <c r="G31" s="11">
        <f t="shared" si="13"/>
        <v>1.0186108336927688</v>
      </c>
      <c r="H31" s="11">
        <f t="shared" si="13"/>
        <v>1.9585606994368734</v>
      </c>
      <c r="I31" s="11">
        <f t="shared" si="13"/>
        <v>0.11466298275226826</v>
      </c>
      <c r="J31" s="11">
        <f t="shared" si="13"/>
        <v>3.1991649298460482E-2</v>
      </c>
      <c r="K31" s="11">
        <f t="shared" si="13"/>
        <v>0.12291224598316201</v>
      </c>
      <c r="L31" s="11">
        <f t="shared" si="13"/>
        <v>2.4318650388959299E-2</v>
      </c>
      <c r="M31" s="11">
        <f t="shared" si="13"/>
        <v>0.11643460083896044</v>
      </c>
      <c r="N31" s="6"/>
      <c r="O31" s="11">
        <f t="shared" si="9"/>
        <v>1.1165428107467426</v>
      </c>
      <c r="P31" s="11">
        <f t="shared" si="9"/>
        <v>0.96460568996631679</v>
      </c>
      <c r="Q31" s="11">
        <f t="shared" si="9"/>
        <v>4.399087366049844E-2</v>
      </c>
      <c r="R31" s="11">
        <f t="shared" si="9"/>
        <v>0.14379462432962559</v>
      </c>
      <c r="S31" s="11">
        <f t="shared" si="9"/>
        <v>0.3501039613151985</v>
      </c>
      <c r="T31" s="11">
        <f t="shared" si="10"/>
        <v>0.31165183639170124</v>
      </c>
      <c r="U31" s="11">
        <f t="shared" si="10"/>
        <v>0.48488330530314766</v>
      </c>
      <c r="V31" s="11">
        <f t="shared" si="10"/>
        <v>5.5379692013609268E-2</v>
      </c>
    </row>
    <row r="32" spans="1:22" x14ac:dyDescent="0.25">
      <c r="A32" s="225"/>
      <c r="B32" s="11">
        <f t="shared" ref="B32:M32" si="14">IF(B9="","",(B9/$O$23))</f>
        <v>7.4520350918822753E-2</v>
      </c>
      <c r="C32" s="11">
        <f t="shared" si="14"/>
        <v>0.24473595431881681</v>
      </c>
      <c r="D32" s="11">
        <f t="shared" si="14"/>
        <v>4.2665367045898017E-2</v>
      </c>
      <c r="E32" s="11">
        <f t="shared" si="14"/>
        <v>0.56864115355881395</v>
      </c>
      <c r="F32" s="11">
        <f t="shared" si="14"/>
        <v>0.70741793657483421</v>
      </c>
      <c r="G32" s="11">
        <f t="shared" si="14"/>
        <v>0.78227773086105257</v>
      </c>
      <c r="H32" s="11">
        <f t="shared" si="14"/>
        <v>1.2107055849670598</v>
      </c>
      <c r="I32" s="11">
        <f t="shared" si="14"/>
        <v>5.3655142091523979E-2</v>
      </c>
      <c r="J32" s="11">
        <f t="shared" si="14"/>
        <v>8.0677991748935959E-2</v>
      </c>
      <c r="K32" s="11">
        <f t="shared" si="14"/>
        <v>0.11182231540907485</v>
      </c>
      <c r="L32" s="11">
        <f t="shared" si="14"/>
        <v>0.20274301076917389</v>
      </c>
      <c r="M32" s="11">
        <f t="shared" si="14"/>
        <v>0.17795042244602818</v>
      </c>
      <c r="N32" s="6"/>
      <c r="O32" s="11">
        <f t="shared" si="9"/>
        <v>0.66692530310646059</v>
      </c>
      <c r="P32" s="11">
        <f t="shared" si="9"/>
        <v>5.6176890550001498E-3</v>
      </c>
      <c r="Q32" s="11">
        <f t="shared" si="9"/>
        <v>1.0616189990695775E-2</v>
      </c>
      <c r="R32" s="11">
        <f t="shared" si="9"/>
        <v>1.2260109285222929</v>
      </c>
      <c r="S32" s="11">
        <f t="shared" si="9"/>
        <v>6.0655766842468817E-2</v>
      </c>
      <c r="T32" s="11">
        <f t="shared" si="10"/>
        <v>0.58888312857551084</v>
      </c>
      <c r="U32" s="11">
        <f t="shared" si="10"/>
        <v>0.65157516092076329</v>
      </c>
      <c r="V32" s="11">
        <f t="shared" si="10"/>
        <v>0.38646031947122034</v>
      </c>
    </row>
    <row r="33" spans="1:22" x14ac:dyDescent="0.25">
      <c r="A33" s="225"/>
      <c r="B33" s="11">
        <f t="shared" ref="B33:M33" si="15">IF(B10="","",(B10/$O$23))</f>
        <v>5.8032974776952599E-3</v>
      </c>
      <c r="C33" s="11">
        <f t="shared" si="15"/>
        <v>9.5458283514078104E-2</v>
      </c>
      <c r="D33" s="11">
        <f t="shared" si="15"/>
        <v>0.28415514747550036</v>
      </c>
      <c r="E33" s="11">
        <f t="shared" si="15"/>
        <v>8.5247550731704605E-2</v>
      </c>
      <c r="F33" s="11">
        <f t="shared" si="15"/>
        <v>0.18373664907995615</v>
      </c>
      <c r="G33" s="11">
        <f t="shared" si="15"/>
        <v>0.71573114146330707</v>
      </c>
      <c r="H33" s="11">
        <f t="shared" si="15"/>
        <v>1.9934699828885762</v>
      </c>
      <c r="I33" s="11">
        <f t="shared" si="15"/>
        <v>0.15962087530825425</v>
      </c>
      <c r="J33" s="11">
        <f t="shared" si="15"/>
        <v>0.12153345465391228</v>
      </c>
      <c r="K33" s="11">
        <f t="shared" si="15"/>
        <v>5.9417883980847262E-2</v>
      </c>
      <c r="L33" s="11">
        <f t="shared" si="15"/>
        <v>0.22796237018650159</v>
      </c>
      <c r="M33" s="11">
        <f t="shared" si="15"/>
        <v>1.7214515146038296E-2</v>
      </c>
      <c r="N33" s="6"/>
      <c r="O33" s="11">
        <f t="shared" si="9"/>
        <v>1.2453010806547169</v>
      </c>
      <c r="P33" s="11">
        <f t="shared" si="9"/>
        <v>1.8635591843378168</v>
      </c>
      <c r="Q33" s="11">
        <f t="shared" si="9"/>
        <v>0.25920684937510169</v>
      </c>
      <c r="R33" s="11">
        <f t="shared" si="9"/>
        <v>0.60471569477957943</v>
      </c>
      <c r="S33" s="11">
        <f t="shared" si="9"/>
        <v>0.36695683112940397</v>
      </c>
      <c r="T33" s="11">
        <f t="shared" si="10"/>
        <v>0.30325110642564695</v>
      </c>
      <c r="U33" s="11">
        <f t="shared" si="10"/>
        <v>0.54591472938389418</v>
      </c>
      <c r="V33" s="11">
        <f t="shared" si="10"/>
        <v>0.52781124758178977</v>
      </c>
    </row>
    <row r="34" spans="1:22" x14ac:dyDescent="0.25">
      <c r="A34" s="225"/>
      <c r="B34" s="11">
        <f t="shared" ref="B34:M34" si="16">IF(B11="","",(B11/$O$23))</f>
        <v>0.11179873198907264</v>
      </c>
      <c r="C34" s="11">
        <f t="shared" si="16"/>
        <v>4.5623556787512419E-2</v>
      </c>
      <c r="D34" s="11">
        <f t="shared" si="16"/>
        <v>8.8170414681014459E-3</v>
      </c>
      <c r="E34" s="11">
        <f t="shared" si="16"/>
        <v>0.19721926069259252</v>
      </c>
      <c r="F34" s="11">
        <f t="shared" si="16"/>
        <v>0.18094275387517714</v>
      </c>
      <c r="G34" s="11">
        <f t="shared" si="16"/>
        <v>1.3426995198344149</v>
      </c>
      <c r="H34" s="11">
        <f t="shared" si="16"/>
        <v>1.5929900602915315</v>
      </c>
      <c r="I34" s="11">
        <f t="shared" si="16"/>
        <v>0.18383266024172243</v>
      </c>
      <c r="J34" s="11">
        <f t="shared" si="16"/>
        <v>8.3126128360879431E-2</v>
      </c>
      <c r="K34" s="11">
        <f t="shared" si="16"/>
        <v>0.19530693148906716</v>
      </c>
      <c r="L34" s="11">
        <f t="shared" si="16"/>
        <v>6.7129267619975438E-2</v>
      </c>
      <c r="M34" s="11">
        <f t="shared" si="16"/>
        <v>6.9097151072292598E-2</v>
      </c>
      <c r="N34" s="6"/>
      <c r="O34" s="11">
        <f t="shared" si="9"/>
        <v>1.0308683902454585</v>
      </c>
      <c r="P34" s="11">
        <f t="shared" si="9"/>
        <v>1.8746214858006043</v>
      </c>
      <c r="Q34" s="11">
        <f t="shared" si="9"/>
        <v>2.9816744862190988E-2</v>
      </c>
      <c r="R34" s="11">
        <f t="shared" si="9"/>
        <v>0.10504361162710465</v>
      </c>
      <c r="S34" s="11">
        <f t="shared" si="9"/>
        <v>0.46635088154811638</v>
      </c>
      <c r="T34" s="11">
        <f t="shared" si="10"/>
        <v>0.16419260514976786</v>
      </c>
      <c r="U34" s="11">
        <f t="shared" si="10"/>
        <v>0.17894714263616282</v>
      </c>
      <c r="V34" s="11">
        <f t="shared" si="10"/>
        <v>0.42765315356024475</v>
      </c>
    </row>
    <row r="35" spans="1:22" x14ac:dyDescent="0.25">
      <c r="A35" s="225"/>
      <c r="B35" s="11">
        <f t="shared" ref="B35:M35" si="17">IF(B12="","",(B12/$O$23))</f>
        <v>0.25283587233559623</v>
      </c>
      <c r="C35" s="11">
        <f t="shared" si="17"/>
        <v>2.3507538621519747E-2</v>
      </c>
      <c r="D35" s="11">
        <f t="shared" si="17"/>
        <v>8.1830520391721114E-3</v>
      </c>
      <c r="E35" s="11">
        <f t="shared" si="17"/>
        <v>6.3707796887104512E-2</v>
      </c>
      <c r="F35" s="11">
        <f t="shared" si="17"/>
        <v>0.41385034028272499</v>
      </c>
      <c r="G35" s="11">
        <f t="shared" si="17"/>
        <v>1.350184739462476</v>
      </c>
      <c r="H35" s="11">
        <f t="shared" si="17"/>
        <v>1.7625601785787874</v>
      </c>
      <c r="I35" s="11">
        <f t="shared" si="17"/>
        <v>0.14961706483443557</v>
      </c>
      <c r="J35" s="11">
        <f t="shared" si="17"/>
        <v>0.16265149279163271</v>
      </c>
      <c r="K35" s="11">
        <f t="shared" si="17"/>
        <v>0.14267840823311995</v>
      </c>
      <c r="L35" s="11">
        <f t="shared" si="17"/>
        <v>7.046725896656246E-2</v>
      </c>
      <c r="M35" s="11">
        <f t="shared" si="17"/>
        <v>0.1145434868458973</v>
      </c>
      <c r="N35" s="6"/>
      <c r="O35" s="11">
        <f t="shared" si="9"/>
        <v>1.0777939689029665</v>
      </c>
      <c r="P35" s="11">
        <f t="shared" si="9"/>
        <v>1.693885654233982</v>
      </c>
      <c r="Q35" s="11">
        <f t="shared" si="9"/>
        <v>4.7659230237911193E-3</v>
      </c>
      <c r="R35" s="11">
        <f t="shared" si="9"/>
        <v>0.3582060995284217</v>
      </c>
      <c r="S35" s="11">
        <f t="shared" si="9"/>
        <v>4.2941707496593207E-2</v>
      </c>
      <c r="T35" s="11">
        <f t="shared" si="10"/>
        <v>3.87766683058706E-2</v>
      </c>
      <c r="U35" s="11">
        <f t="shared" si="10"/>
        <v>0.11419989911180671</v>
      </c>
      <c r="V35" s="11">
        <f t="shared" si="10"/>
        <v>0.54042936403693975</v>
      </c>
    </row>
    <row r="36" spans="1:22" x14ac:dyDescent="0.25">
      <c r="A36" s="225"/>
      <c r="B36" s="11" t="str">
        <f t="shared" ref="B36:M36" si="18">IF(B13="","",(B13/$O$23))</f>
        <v/>
      </c>
      <c r="C36" s="11" t="str">
        <f t="shared" si="18"/>
        <v/>
      </c>
      <c r="D36" s="11" t="str">
        <f t="shared" si="18"/>
        <v/>
      </c>
      <c r="E36" s="11" t="str">
        <f t="shared" si="18"/>
        <v/>
      </c>
      <c r="F36" s="11" t="str">
        <f t="shared" si="18"/>
        <v/>
      </c>
      <c r="G36" s="11" t="str">
        <f t="shared" si="18"/>
        <v/>
      </c>
      <c r="H36" s="11" t="str">
        <f t="shared" si="18"/>
        <v/>
      </c>
      <c r="I36" s="11" t="str">
        <f t="shared" si="18"/>
        <v/>
      </c>
      <c r="J36" s="11" t="str">
        <f t="shared" si="18"/>
        <v/>
      </c>
      <c r="K36" s="11" t="str">
        <f t="shared" si="18"/>
        <v/>
      </c>
      <c r="L36" s="11" t="str">
        <f t="shared" si="18"/>
        <v/>
      </c>
      <c r="M36" s="11" t="str">
        <f t="shared" si="18"/>
        <v/>
      </c>
      <c r="N36" s="6"/>
      <c r="O36" s="11">
        <f t="shared" si="9"/>
        <v>1.1233877257204343</v>
      </c>
      <c r="P36" s="11" t="str">
        <f t="shared" si="9"/>
        <v/>
      </c>
      <c r="Q36" s="11" t="str">
        <f t="shared" si="9"/>
        <v/>
      </c>
      <c r="R36" s="11" t="str">
        <f t="shared" si="9"/>
        <v/>
      </c>
      <c r="S36" s="11" t="str">
        <f t="shared" si="9"/>
        <v/>
      </c>
      <c r="T36" s="11" t="str">
        <f t="shared" si="10"/>
        <v/>
      </c>
      <c r="U36" s="11" t="str">
        <f t="shared" si="10"/>
        <v/>
      </c>
      <c r="V36" s="11" t="str">
        <f t="shared" si="10"/>
        <v/>
      </c>
    </row>
    <row r="37" spans="1:22" x14ac:dyDescent="0.25">
      <c r="A37" s="225"/>
      <c r="B37" s="11" t="str">
        <f t="shared" ref="B37:M37" si="19">IF(B14="","",(B14/$O$23))</f>
        <v/>
      </c>
      <c r="C37" s="11" t="str">
        <f t="shared" si="19"/>
        <v/>
      </c>
      <c r="D37" s="11" t="str">
        <f t="shared" si="19"/>
        <v/>
      </c>
      <c r="E37" s="11" t="str">
        <f t="shared" si="19"/>
        <v/>
      </c>
      <c r="F37" s="11" t="str">
        <f t="shared" si="19"/>
        <v/>
      </c>
      <c r="G37" s="11" t="str">
        <f t="shared" si="19"/>
        <v/>
      </c>
      <c r="H37" s="11" t="str">
        <f t="shared" si="19"/>
        <v/>
      </c>
      <c r="I37" s="11" t="str">
        <f t="shared" si="19"/>
        <v/>
      </c>
      <c r="J37" s="11" t="str">
        <f t="shared" si="19"/>
        <v/>
      </c>
      <c r="K37" s="11" t="str">
        <f t="shared" si="19"/>
        <v/>
      </c>
      <c r="L37" s="11" t="str">
        <f t="shared" si="19"/>
        <v/>
      </c>
      <c r="M37" s="11" t="str">
        <f t="shared" si="19"/>
        <v/>
      </c>
      <c r="N37" s="6"/>
      <c r="O37" s="11">
        <f t="shared" si="9"/>
        <v>0.65386521954591381</v>
      </c>
      <c r="P37" s="11" t="str">
        <f t="shared" si="9"/>
        <v/>
      </c>
      <c r="Q37" s="11" t="str">
        <f t="shared" si="9"/>
        <v/>
      </c>
      <c r="R37" s="11" t="str">
        <f t="shared" si="9"/>
        <v/>
      </c>
      <c r="S37" s="11" t="str">
        <f t="shared" si="9"/>
        <v/>
      </c>
      <c r="T37" s="11" t="str">
        <f t="shared" si="10"/>
        <v/>
      </c>
      <c r="U37" s="11" t="str">
        <f t="shared" si="10"/>
        <v/>
      </c>
      <c r="V37" s="11" t="str">
        <f t="shared" si="10"/>
        <v/>
      </c>
    </row>
    <row r="38" spans="1:22" x14ac:dyDescent="0.25">
      <c r="A38" s="225"/>
      <c r="B38" s="11" t="str">
        <f t="shared" ref="B38:M38" si="20">IF(B15="","",(B15/$O$23))</f>
        <v/>
      </c>
      <c r="C38" s="11" t="str">
        <f t="shared" si="20"/>
        <v/>
      </c>
      <c r="D38" s="11" t="str">
        <f t="shared" si="20"/>
        <v/>
      </c>
      <c r="E38" s="11" t="str">
        <f t="shared" si="20"/>
        <v/>
      </c>
      <c r="F38" s="11" t="str">
        <f t="shared" si="20"/>
        <v/>
      </c>
      <c r="G38" s="11" t="str">
        <f t="shared" si="20"/>
        <v/>
      </c>
      <c r="H38" s="11" t="str">
        <f t="shared" si="20"/>
        <v/>
      </c>
      <c r="I38" s="11" t="str">
        <f t="shared" si="20"/>
        <v/>
      </c>
      <c r="J38" s="11" t="str">
        <f t="shared" si="20"/>
        <v/>
      </c>
      <c r="K38" s="11" t="str">
        <f t="shared" si="20"/>
        <v/>
      </c>
      <c r="L38" s="11" t="str">
        <f t="shared" si="20"/>
        <v/>
      </c>
      <c r="M38" s="11" t="str">
        <f t="shared" si="20"/>
        <v/>
      </c>
      <c r="N38" s="6"/>
      <c r="O38" s="11">
        <f t="shared" ref="O38:S43" si="21">IF(O15="","",(O15/$O$23))</f>
        <v>1.0440543836132137</v>
      </c>
      <c r="P38" s="11" t="str">
        <f t="shared" si="21"/>
        <v/>
      </c>
      <c r="Q38" s="11" t="str">
        <f t="shared" si="21"/>
        <v/>
      </c>
      <c r="R38" s="11" t="str">
        <f t="shared" si="21"/>
        <v/>
      </c>
      <c r="S38" s="11" t="str">
        <f t="shared" si="21"/>
        <v/>
      </c>
      <c r="T38" s="11" t="str">
        <f t="shared" si="10"/>
        <v/>
      </c>
      <c r="U38" s="11" t="str">
        <f t="shared" si="10"/>
        <v/>
      </c>
      <c r="V38" s="11" t="str">
        <f t="shared" si="10"/>
        <v/>
      </c>
    </row>
    <row r="39" spans="1:22" x14ac:dyDescent="0.25">
      <c r="A39" s="225"/>
      <c r="B39" s="11" t="str">
        <f t="shared" ref="B39:M39" si="22">IF(B16="","",(B16/$O$23))</f>
        <v/>
      </c>
      <c r="C39" s="11" t="str">
        <f t="shared" si="22"/>
        <v/>
      </c>
      <c r="D39" s="11" t="str">
        <f t="shared" si="22"/>
        <v/>
      </c>
      <c r="E39" s="11" t="str">
        <f t="shared" si="22"/>
        <v/>
      </c>
      <c r="F39" s="11" t="str">
        <f t="shared" si="22"/>
        <v/>
      </c>
      <c r="G39" s="11" t="str">
        <f t="shared" si="22"/>
        <v/>
      </c>
      <c r="H39" s="11" t="str">
        <f t="shared" si="22"/>
        <v/>
      </c>
      <c r="I39" s="11" t="str">
        <f t="shared" si="22"/>
        <v/>
      </c>
      <c r="J39" s="11" t="str">
        <f t="shared" si="22"/>
        <v/>
      </c>
      <c r="K39" s="11" t="str">
        <f t="shared" si="22"/>
        <v/>
      </c>
      <c r="L39" s="11" t="str">
        <f t="shared" si="22"/>
        <v/>
      </c>
      <c r="M39" s="11" t="str">
        <f t="shared" si="22"/>
        <v/>
      </c>
      <c r="N39" s="6"/>
      <c r="O39" s="11">
        <f t="shared" si="21"/>
        <v>1.1732843219212317</v>
      </c>
      <c r="P39" s="11" t="str">
        <f t="shared" si="21"/>
        <v/>
      </c>
      <c r="Q39" s="11" t="str">
        <f t="shared" si="21"/>
        <v/>
      </c>
      <c r="R39" s="11" t="str">
        <f t="shared" si="21"/>
        <v/>
      </c>
      <c r="S39" s="11" t="str">
        <f t="shared" si="21"/>
        <v/>
      </c>
      <c r="T39" s="11" t="str">
        <f t="shared" si="10"/>
        <v/>
      </c>
      <c r="U39" s="11" t="str">
        <f t="shared" si="10"/>
        <v/>
      </c>
      <c r="V39" s="11" t="str">
        <f t="shared" si="10"/>
        <v/>
      </c>
    </row>
    <row r="40" spans="1:22" x14ac:dyDescent="0.25">
      <c r="A40" s="225"/>
      <c r="B40" s="11" t="str">
        <f t="shared" ref="B40:M40" si="23">IF(B17="","",(B17/$O$23))</f>
        <v/>
      </c>
      <c r="C40" s="11" t="str">
        <f t="shared" si="23"/>
        <v/>
      </c>
      <c r="D40" s="11" t="str">
        <f t="shared" si="23"/>
        <v/>
      </c>
      <c r="E40" s="11" t="str">
        <f t="shared" si="23"/>
        <v/>
      </c>
      <c r="F40" s="11" t="str">
        <f t="shared" si="23"/>
        <v/>
      </c>
      <c r="G40" s="11" t="str">
        <f t="shared" si="23"/>
        <v/>
      </c>
      <c r="H40" s="11" t="str">
        <f t="shared" si="23"/>
        <v/>
      </c>
      <c r="I40" s="11" t="str">
        <f t="shared" si="23"/>
        <v/>
      </c>
      <c r="J40" s="11" t="str">
        <f t="shared" si="23"/>
        <v/>
      </c>
      <c r="K40" s="11" t="str">
        <f t="shared" si="23"/>
        <v/>
      </c>
      <c r="L40" s="11" t="str">
        <f t="shared" si="23"/>
        <v/>
      </c>
      <c r="M40" s="11" t="str">
        <f t="shared" si="23"/>
        <v/>
      </c>
      <c r="N40" s="6"/>
      <c r="O40" s="11">
        <f t="shared" si="21"/>
        <v>1.4979256889642683</v>
      </c>
      <c r="P40" s="11" t="str">
        <f t="shared" si="21"/>
        <v/>
      </c>
      <c r="Q40" s="11" t="str">
        <f t="shared" si="21"/>
        <v/>
      </c>
      <c r="R40" s="11" t="str">
        <f t="shared" si="21"/>
        <v/>
      </c>
      <c r="S40" s="11" t="str">
        <f t="shared" si="21"/>
        <v/>
      </c>
      <c r="T40" s="11" t="str">
        <f t="shared" si="10"/>
        <v/>
      </c>
      <c r="U40" s="11" t="str">
        <f t="shared" si="10"/>
        <v/>
      </c>
      <c r="V40" s="11" t="str">
        <f t="shared" si="10"/>
        <v/>
      </c>
    </row>
    <row r="41" spans="1:22" x14ac:dyDescent="0.25">
      <c r="A41" s="225"/>
      <c r="B41" s="11" t="str">
        <f t="shared" ref="B41:M41" si="24">IF(B18="","",(B18/$O$23))</f>
        <v/>
      </c>
      <c r="C41" s="11" t="str">
        <f t="shared" si="24"/>
        <v/>
      </c>
      <c r="D41" s="11" t="str">
        <f t="shared" si="24"/>
        <v/>
      </c>
      <c r="E41" s="11" t="str">
        <f t="shared" si="24"/>
        <v/>
      </c>
      <c r="F41" s="11" t="str">
        <f t="shared" si="24"/>
        <v/>
      </c>
      <c r="G41" s="11" t="str">
        <f t="shared" si="24"/>
        <v/>
      </c>
      <c r="H41" s="11" t="str">
        <f t="shared" si="24"/>
        <v/>
      </c>
      <c r="I41" s="11" t="str">
        <f t="shared" si="24"/>
        <v/>
      </c>
      <c r="J41" s="11" t="str">
        <f t="shared" si="24"/>
        <v/>
      </c>
      <c r="K41" s="11" t="str">
        <f t="shared" si="24"/>
        <v/>
      </c>
      <c r="L41" s="11" t="str">
        <f t="shared" si="24"/>
        <v/>
      </c>
      <c r="M41" s="11" t="str">
        <f t="shared" si="24"/>
        <v/>
      </c>
      <c r="N41" s="6"/>
      <c r="O41" s="11">
        <f t="shared" si="21"/>
        <v>0.60464524054576529</v>
      </c>
      <c r="P41" s="11" t="str">
        <f t="shared" si="21"/>
        <v/>
      </c>
      <c r="Q41" s="11" t="str">
        <f t="shared" si="21"/>
        <v/>
      </c>
      <c r="R41" s="11" t="str">
        <f t="shared" si="21"/>
        <v/>
      </c>
      <c r="S41" s="11" t="str">
        <f t="shared" si="21"/>
        <v/>
      </c>
      <c r="T41" s="11" t="str">
        <f t="shared" si="10"/>
        <v/>
      </c>
      <c r="U41" s="11" t="str">
        <f t="shared" si="10"/>
        <v/>
      </c>
      <c r="V41" s="11" t="str">
        <f t="shared" si="10"/>
        <v/>
      </c>
    </row>
    <row r="42" spans="1:22" x14ac:dyDescent="0.25">
      <c r="A42" s="225"/>
      <c r="B42" s="11" t="str">
        <f t="shared" ref="B42:M42" si="25">IF(B19="","",(B19/$O$23))</f>
        <v/>
      </c>
      <c r="C42" s="11" t="str">
        <f t="shared" si="25"/>
        <v/>
      </c>
      <c r="D42" s="11" t="str">
        <f t="shared" si="25"/>
        <v/>
      </c>
      <c r="E42" s="11" t="str">
        <f t="shared" si="25"/>
        <v/>
      </c>
      <c r="F42" s="11" t="str">
        <f t="shared" si="25"/>
        <v/>
      </c>
      <c r="G42" s="11" t="str">
        <f t="shared" si="25"/>
        <v/>
      </c>
      <c r="H42" s="11" t="str">
        <f t="shared" si="25"/>
        <v/>
      </c>
      <c r="I42" s="11" t="str">
        <f t="shared" si="25"/>
        <v/>
      </c>
      <c r="J42" s="11" t="str">
        <f t="shared" si="25"/>
        <v/>
      </c>
      <c r="K42" s="11" t="str">
        <f t="shared" si="25"/>
        <v/>
      </c>
      <c r="L42" s="11" t="str">
        <f t="shared" si="25"/>
        <v/>
      </c>
      <c r="M42" s="11" t="str">
        <f t="shared" si="25"/>
        <v/>
      </c>
      <c r="N42" s="6"/>
      <c r="O42" s="11">
        <f t="shared" si="21"/>
        <v>0.53108529727079767</v>
      </c>
      <c r="P42" s="11" t="str">
        <f t="shared" si="21"/>
        <v/>
      </c>
      <c r="Q42" s="11" t="str">
        <f t="shared" si="21"/>
        <v/>
      </c>
      <c r="R42" s="11" t="str">
        <f t="shared" si="21"/>
        <v/>
      </c>
      <c r="S42" s="11" t="str">
        <f t="shared" si="21"/>
        <v/>
      </c>
      <c r="T42" s="11" t="str">
        <f t="shared" si="10"/>
        <v/>
      </c>
      <c r="U42" s="11" t="str">
        <f t="shared" si="10"/>
        <v/>
      </c>
      <c r="V42" s="11" t="str">
        <f t="shared" si="10"/>
        <v/>
      </c>
    </row>
    <row r="43" spans="1:22" x14ac:dyDescent="0.25">
      <c r="A43" s="225"/>
      <c r="B43" s="11" t="str">
        <f t="shared" ref="B43:M43" si="26">IF(B20="","",(B20/$O$23))</f>
        <v/>
      </c>
      <c r="C43" s="11" t="str">
        <f t="shared" si="26"/>
        <v/>
      </c>
      <c r="D43" s="11" t="str">
        <f t="shared" si="26"/>
        <v/>
      </c>
      <c r="E43" s="11" t="str">
        <f t="shared" si="26"/>
        <v/>
      </c>
      <c r="F43" s="11" t="str">
        <f t="shared" si="26"/>
        <v/>
      </c>
      <c r="G43" s="11" t="str">
        <f t="shared" si="26"/>
        <v/>
      </c>
      <c r="H43" s="11" t="str">
        <f t="shared" si="26"/>
        <v/>
      </c>
      <c r="I43" s="11" t="str">
        <f t="shared" si="26"/>
        <v/>
      </c>
      <c r="J43" s="11" t="str">
        <f t="shared" si="26"/>
        <v/>
      </c>
      <c r="K43" s="11" t="str">
        <f t="shared" si="26"/>
        <v/>
      </c>
      <c r="L43" s="11" t="str">
        <f t="shared" si="26"/>
        <v/>
      </c>
      <c r="M43" s="11" t="str">
        <f t="shared" si="26"/>
        <v/>
      </c>
      <c r="N43" s="6"/>
      <c r="O43" s="11">
        <f t="shared" si="21"/>
        <v>0.98448710508055326</v>
      </c>
      <c r="P43" s="11" t="str">
        <f t="shared" si="21"/>
        <v/>
      </c>
      <c r="Q43" s="11" t="str">
        <f t="shared" si="21"/>
        <v/>
      </c>
      <c r="R43" s="11" t="str">
        <f t="shared" si="21"/>
        <v/>
      </c>
      <c r="S43" s="11" t="str">
        <f t="shared" si="21"/>
        <v/>
      </c>
      <c r="T43" s="11" t="str">
        <f t="shared" si="10"/>
        <v/>
      </c>
      <c r="U43" s="11" t="str">
        <f t="shared" si="10"/>
        <v/>
      </c>
      <c r="V43" s="11" t="str">
        <f t="shared" si="10"/>
        <v/>
      </c>
    </row>
    <row r="44" spans="1:22" x14ac:dyDescent="0.25">
      <c r="A44" s="7"/>
      <c r="B44" s="3"/>
      <c r="C44" s="3"/>
      <c r="D44" s="3"/>
      <c r="E44" s="3"/>
      <c r="F44" s="3"/>
      <c r="G44" s="3"/>
      <c r="H44" s="3"/>
      <c r="I44" s="3"/>
      <c r="J44" s="3"/>
      <c r="K44" s="3"/>
      <c r="L44" s="3"/>
      <c r="M44" s="3"/>
      <c r="N44" s="7"/>
      <c r="O44" s="3"/>
      <c r="P44" s="3"/>
      <c r="Q44" s="3"/>
      <c r="R44" s="3"/>
      <c r="S44" s="3"/>
      <c r="T44" s="3"/>
      <c r="U44" s="3"/>
      <c r="V44" s="3"/>
    </row>
    <row r="45" spans="1:22" x14ac:dyDescent="0.25">
      <c r="A45" s="7" t="str">
        <f>A4</f>
        <v>Noms des groupes</v>
      </c>
      <c r="B45" s="7" t="str">
        <f t="shared" ref="B45:R45" si="27">B4</f>
        <v>Témoin solvant</v>
      </c>
      <c r="C45" s="7" t="str">
        <f t="shared" si="27"/>
        <v>EE2-33,8ng/L</v>
      </c>
      <c r="D45" s="7" t="str">
        <f t="shared" si="27"/>
        <v>EE2-50,6ng/L</v>
      </c>
      <c r="E45" s="7" t="str">
        <f t="shared" si="27"/>
        <v>EE2-76ng/L</v>
      </c>
      <c r="F45" s="7" t="str">
        <f t="shared" si="27"/>
        <v>EE2-114ng/L</v>
      </c>
      <c r="G45" s="7" t="str">
        <f t="shared" si="27"/>
        <v>EE2-170,9ng/L</v>
      </c>
      <c r="H45" s="7" t="str">
        <f t="shared" si="27"/>
        <v>EE2-488ng/L</v>
      </c>
      <c r="I45" s="7" t="str">
        <f t="shared" si="27"/>
        <v>Cromolyn-0,1µg/L</v>
      </c>
      <c r="J45" s="7" t="str">
        <f t="shared" si="27"/>
        <v>Cromolyn-1µg/L</v>
      </c>
      <c r="K45" s="7" t="str">
        <f t="shared" ref="K45:M45" si="28">K4</f>
        <v>Cromolyn-10µg/L</v>
      </c>
      <c r="L45" s="7" t="str">
        <f t="shared" si="28"/>
        <v>Cromolyn-100µg/L</v>
      </c>
      <c r="M45" s="7" t="str">
        <f t="shared" si="28"/>
        <v>Cromolyn-1000µg/L</v>
      </c>
      <c r="N45" s="7"/>
      <c r="O45" s="7" t="str">
        <f t="shared" si="27"/>
        <v>Testo -30µg/L</v>
      </c>
      <c r="P45" s="7" t="str">
        <f t="shared" si="27"/>
        <v>Testo 30µg/L + EE2 -64ng/L</v>
      </c>
      <c r="Q45" s="7" t="str">
        <f t="shared" si="27"/>
        <v>Testo 30µg/L + FAD-10mg/L</v>
      </c>
      <c r="R45" s="7" t="str">
        <f t="shared" si="27"/>
        <v>Cromolyn-0,1µg/L + Testostérone</v>
      </c>
      <c r="S45" s="7" t="str">
        <f t="shared" ref="S45:V45" si="29">S4</f>
        <v>Cromolyn-1µg/L + Testostérone</v>
      </c>
      <c r="T45" s="7" t="str">
        <f t="shared" si="29"/>
        <v>Cromolyn-10µg/L + Testostérone</v>
      </c>
      <c r="U45" s="7" t="str">
        <f t="shared" si="29"/>
        <v>Cromolyn-100µg/L + Testostérone</v>
      </c>
      <c r="V45" s="7" t="str">
        <f t="shared" si="29"/>
        <v>Cromolyn-1000µg/L + Testostérone</v>
      </c>
    </row>
    <row r="46" spans="1:22" x14ac:dyDescent="0.25">
      <c r="A46" s="8" t="s">
        <v>0</v>
      </c>
      <c r="B46" s="10">
        <f t="shared" ref="B46:H46" si="30">AVERAGE(B28:B43)</f>
        <v>0.1465339520395878</v>
      </c>
      <c r="C46" s="10">
        <f t="shared" si="30"/>
        <v>8.2070912161665052E-2</v>
      </c>
      <c r="D46" s="10">
        <f t="shared" si="30"/>
        <v>9.0890525357313803E-2</v>
      </c>
      <c r="E46" s="10">
        <f t="shared" si="30"/>
        <v>0.23860781743255571</v>
      </c>
      <c r="F46" s="10">
        <f t="shared" si="30"/>
        <v>0.58171193723277703</v>
      </c>
      <c r="G46" s="10">
        <f t="shared" si="30"/>
        <v>0.91214555627620131</v>
      </c>
      <c r="H46" s="10">
        <f t="shared" si="30"/>
        <v>1.8840788319230755</v>
      </c>
      <c r="I46" s="10">
        <f>AVERAGE(I28:I43)</f>
        <v>0.13575804358361562</v>
      </c>
      <c r="J46" s="9">
        <f>AVERAGE(J28:J43)</f>
        <v>8.9019787833834144E-2</v>
      </c>
      <c r="K46" s="9">
        <f t="shared" ref="K46:M46" si="31">AVERAGE(K28:K43)</f>
        <v>9.5186975508655333E-2</v>
      </c>
      <c r="L46" s="9">
        <f t="shared" si="31"/>
        <v>0.11866842065474902</v>
      </c>
      <c r="M46" s="9">
        <f t="shared" si="31"/>
        <v>0.12084906676571047</v>
      </c>
      <c r="N46" s="8" t="s">
        <v>0</v>
      </c>
      <c r="O46" s="10">
        <f t="shared" ref="O46:R46" si="32">AVERAGE(O28:O43)</f>
        <v>1</v>
      </c>
      <c r="P46" s="10">
        <f t="shared" si="32"/>
        <v>1.2190250310744246</v>
      </c>
      <c r="Q46" s="10">
        <f t="shared" si="32"/>
        <v>8.3106874323942467E-2</v>
      </c>
      <c r="R46" s="10">
        <f t="shared" si="32"/>
        <v>0.41637047293156854</v>
      </c>
      <c r="S46" s="10">
        <f t="shared" ref="S46:V46" si="33">AVERAGE(S28:S43)</f>
        <v>0.45164214794779783</v>
      </c>
      <c r="T46" s="10">
        <f t="shared" si="33"/>
        <v>0.291893457163721</v>
      </c>
      <c r="U46" s="10">
        <f t="shared" si="33"/>
        <v>0.53456655296012801</v>
      </c>
      <c r="V46" s="10">
        <f t="shared" si="33"/>
        <v>0.31367676655819732</v>
      </c>
    </row>
    <row r="47" spans="1:22" x14ac:dyDescent="0.25">
      <c r="A47" s="8" t="s">
        <v>1</v>
      </c>
      <c r="B47" s="8">
        <f t="shared" ref="B47:J47" si="34">STDEV(B28:B43)</f>
        <v>0.10419046614340631</v>
      </c>
      <c r="C47" s="8">
        <f t="shared" si="34"/>
        <v>7.88881280676757E-2</v>
      </c>
      <c r="D47" s="8">
        <f t="shared" si="34"/>
        <v>0.11662499459747232</v>
      </c>
      <c r="E47" s="8">
        <f t="shared" si="34"/>
        <v>0.22123214023992907</v>
      </c>
      <c r="F47" s="8">
        <f t="shared" si="34"/>
        <v>0.33339315766960398</v>
      </c>
      <c r="G47" s="8">
        <f t="shared" si="34"/>
        <v>0.35373312632180803</v>
      </c>
      <c r="H47" s="8">
        <f t="shared" si="34"/>
        <v>0.52880160269853316</v>
      </c>
      <c r="I47" s="8">
        <f t="shared" si="34"/>
        <v>4.407715223044896E-2</v>
      </c>
      <c r="J47" s="8">
        <f t="shared" si="34"/>
        <v>3.8407159165799051E-2</v>
      </c>
      <c r="K47" s="8">
        <f t="shared" ref="K47:M47" si="35">STDEV(K28:K43)</f>
        <v>6.0433792172761701E-2</v>
      </c>
      <c r="L47" s="8">
        <f t="shared" si="35"/>
        <v>7.0376379388755614E-2</v>
      </c>
      <c r="M47" s="8">
        <f t="shared" si="35"/>
        <v>9.5630302118181576E-2</v>
      </c>
      <c r="N47" s="8" t="s">
        <v>1</v>
      </c>
      <c r="O47" s="8">
        <f t="shared" ref="O47:R47" si="36">STDEV(O28:O43)</f>
        <v>0.27833276788864103</v>
      </c>
      <c r="P47" s="8">
        <f t="shared" si="36"/>
        <v>0.6635455956093077</v>
      </c>
      <c r="Q47" s="8">
        <f t="shared" si="36"/>
        <v>9.5265507810275193E-2</v>
      </c>
      <c r="R47" s="8">
        <f t="shared" si="36"/>
        <v>0.3748081260207432</v>
      </c>
      <c r="S47" s="8">
        <f t="shared" ref="S47:V47" si="37">STDEV(S28:S43)</f>
        <v>0.31848233797940123</v>
      </c>
      <c r="T47" s="8">
        <f t="shared" si="37"/>
        <v>0.15798721829251705</v>
      </c>
      <c r="U47" s="8">
        <f t="shared" si="37"/>
        <v>0.4988428375664864</v>
      </c>
      <c r="V47" s="8">
        <f t="shared" si="37"/>
        <v>0.20445064840084584</v>
      </c>
    </row>
    <row r="48" spans="1:22" x14ac:dyDescent="0.25">
      <c r="A48" s="8" t="s">
        <v>2</v>
      </c>
      <c r="B48" s="8">
        <f t="shared" ref="B48:J48" si="38" xml:space="preserve"> B47/SQRT(COUNT(B28:B43))</f>
        <v>3.6836892572494992E-2</v>
      </c>
      <c r="C48" s="8">
        <f t="shared" si="38"/>
        <v>2.7891165155883149E-2</v>
      </c>
      <c r="D48" s="8">
        <f t="shared" si="38"/>
        <v>4.1233162267858572E-2</v>
      </c>
      <c r="E48" s="8">
        <f t="shared" si="38"/>
        <v>7.8217373290033559E-2</v>
      </c>
      <c r="F48" s="8">
        <f t="shared" si="38"/>
        <v>0.1178722812946864</v>
      </c>
      <c r="G48" s="8">
        <f t="shared" si="38"/>
        <v>0.12506354617623403</v>
      </c>
      <c r="H48" s="8">
        <f t="shared" si="38"/>
        <v>0.18695959958522365</v>
      </c>
      <c r="I48" s="8">
        <f t="shared" si="38"/>
        <v>1.5583626618771107E-2</v>
      </c>
      <c r="J48" s="8">
        <f t="shared" si="38"/>
        <v>1.3578981346123786E-2</v>
      </c>
      <c r="K48" s="8">
        <f t="shared" ref="K48:M48" si="39" xml:space="preserve"> K47/SQRT(COUNT(K28:K43))</f>
        <v>2.1366572129089146E-2</v>
      </c>
      <c r="L48" s="8">
        <f t="shared" si="39"/>
        <v>2.4881807550573135E-2</v>
      </c>
      <c r="M48" s="8">
        <f t="shared" si="39"/>
        <v>3.3810417557342223E-2</v>
      </c>
      <c r="N48" s="8" t="s">
        <v>2</v>
      </c>
      <c r="O48" s="8">
        <f t="shared" ref="O48:R48" si="40" xml:space="preserve"> O47/SQRT(COUNT(O28:O43))</f>
        <v>6.9583191972160258E-2</v>
      </c>
      <c r="P48" s="8">
        <f t="shared" si="40"/>
        <v>0.23459879514090404</v>
      </c>
      <c r="Q48" s="8">
        <f t="shared" si="40"/>
        <v>3.3681443292912797E-2</v>
      </c>
      <c r="R48" s="8">
        <f t="shared" si="40"/>
        <v>0.13251468377654479</v>
      </c>
      <c r="S48" s="8">
        <f t="shared" ref="S48:V48" si="41" xml:space="preserve"> S47/SQRT(COUNT(S28:S43))</f>
        <v>0.11260051043669027</v>
      </c>
      <c r="T48" s="8">
        <f t="shared" si="41"/>
        <v>5.5856916697719083E-2</v>
      </c>
      <c r="U48" s="8">
        <f t="shared" si="41"/>
        <v>0.17636757659480098</v>
      </c>
      <c r="V48" s="8">
        <f t="shared" si="41"/>
        <v>7.2284219951112325E-2</v>
      </c>
    </row>
    <row r="49" spans="1:22"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6" t="s">
        <v>44</v>
      </c>
      <c r="B50" s="217"/>
      <c r="C50" s="217"/>
      <c r="D50" s="217"/>
      <c r="E50" s="217"/>
      <c r="F50" s="217"/>
      <c r="G50" s="217"/>
      <c r="H50" s="217"/>
      <c r="I50" s="217"/>
      <c r="J50" s="217"/>
      <c r="K50" s="217"/>
      <c r="L50" s="217"/>
      <c r="M50" s="217"/>
      <c r="N50" s="217"/>
      <c r="O50" s="217"/>
      <c r="P50" s="217"/>
      <c r="Q50" s="217"/>
      <c r="R50" s="217"/>
      <c r="S50" s="217"/>
      <c r="T50" s="217"/>
      <c r="U50" s="217"/>
      <c r="V50" s="217"/>
    </row>
    <row r="51" spans="1:22" customFormat="1" ht="15.75" thickBot="1" x14ac:dyDescent="0.3"/>
    <row r="52" spans="1:22" x14ac:dyDescent="0.25">
      <c r="A52" s="45" t="str">
        <f t="shared" ref="A52:H52" si="42">A27</f>
        <v>Noms des groupes</v>
      </c>
      <c r="B52" s="46" t="str">
        <f t="shared" si="42"/>
        <v>Témoin solvant</v>
      </c>
      <c r="C52" s="46" t="str">
        <f t="shared" si="42"/>
        <v>EE2-33,8ng/L</v>
      </c>
      <c r="D52" s="46" t="str">
        <f t="shared" si="42"/>
        <v>EE2-50,6ng/L</v>
      </c>
      <c r="E52" s="46" t="str">
        <f t="shared" si="42"/>
        <v>EE2-76ng/L</v>
      </c>
      <c r="F52" s="46" t="str">
        <f t="shared" si="42"/>
        <v>EE2-114ng/L</v>
      </c>
      <c r="G52" s="46" t="str">
        <f t="shared" si="42"/>
        <v>EE2-170,9ng/L</v>
      </c>
      <c r="H52" s="46" t="str">
        <f t="shared" si="42"/>
        <v>EE2-488ng/L</v>
      </c>
      <c r="I52" s="46" t="str">
        <f>I4</f>
        <v>Cromolyn-0,1µg/L</v>
      </c>
      <c r="J52" s="46" t="str">
        <f>J4</f>
        <v>Cromolyn-1µg/L</v>
      </c>
      <c r="K52" s="46" t="str">
        <f t="shared" ref="K52:M52" si="43">K4</f>
        <v>Cromolyn-10µg/L</v>
      </c>
      <c r="L52" s="46" t="str">
        <f t="shared" si="43"/>
        <v>Cromolyn-100µg/L</v>
      </c>
      <c r="M52" s="46" t="str">
        <f t="shared" si="43"/>
        <v>Cromolyn-1000µg/L</v>
      </c>
      <c r="N52" s="47"/>
      <c r="O52" s="46" t="str">
        <f>O27</f>
        <v>Testo -30µg/L</v>
      </c>
      <c r="P52" s="46" t="str">
        <f>P27</f>
        <v>Testo 30µg/L + EE2 -64ng/L</v>
      </c>
      <c r="Q52" s="46" t="str">
        <f>Q27</f>
        <v>Testo 30µg/L + FAD-10mg/L</v>
      </c>
      <c r="R52" s="46" t="str">
        <f>R27</f>
        <v>Cromolyn-0,1µg/L + Testostérone</v>
      </c>
      <c r="S52" s="46" t="str">
        <f t="shared" ref="S52:V52" si="44">S27</f>
        <v>Cromolyn-1µg/L + Testostérone</v>
      </c>
      <c r="T52" s="46" t="str">
        <f t="shared" si="44"/>
        <v>Cromolyn-10µg/L + Testostérone</v>
      </c>
      <c r="U52" s="46" t="str">
        <f t="shared" si="44"/>
        <v>Cromolyn-100µg/L + Testostérone</v>
      </c>
      <c r="V52" s="46" t="str">
        <f t="shared" si="44"/>
        <v>Cromolyn-1000µg/L + Testostérone</v>
      </c>
    </row>
    <row r="53" spans="1:22" s="3" customFormat="1" x14ac:dyDescent="0.25">
      <c r="A53" s="61" t="s">
        <v>32</v>
      </c>
      <c r="B53" s="142">
        <f t="shared" ref="B53" si="45">B46</f>
        <v>0.1465339520395878</v>
      </c>
      <c r="C53" s="142">
        <f t="shared" ref="C53:V53" si="46">C46</f>
        <v>8.2070912161665052E-2</v>
      </c>
      <c r="D53" s="142">
        <f t="shared" si="46"/>
        <v>9.0890525357313803E-2</v>
      </c>
      <c r="E53" s="142">
        <f t="shared" si="46"/>
        <v>0.23860781743255571</v>
      </c>
      <c r="F53" s="142">
        <f t="shared" si="46"/>
        <v>0.58171193723277703</v>
      </c>
      <c r="G53" s="142">
        <f t="shared" si="46"/>
        <v>0.91214555627620131</v>
      </c>
      <c r="H53" s="142">
        <f t="shared" si="46"/>
        <v>1.8840788319230755</v>
      </c>
      <c r="I53" s="142">
        <f t="shared" si="46"/>
        <v>0.13575804358361562</v>
      </c>
      <c r="J53" s="142">
        <f t="shared" si="46"/>
        <v>8.9019787833834144E-2</v>
      </c>
      <c r="K53" s="142">
        <f t="shared" si="46"/>
        <v>9.5186975508655333E-2</v>
      </c>
      <c r="L53" s="142">
        <f t="shared" si="46"/>
        <v>0.11866842065474902</v>
      </c>
      <c r="M53" s="142">
        <f t="shared" si="46"/>
        <v>0.12084906676571047</v>
      </c>
      <c r="N53" s="142"/>
      <c r="O53" s="142">
        <f t="shared" si="46"/>
        <v>1</v>
      </c>
      <c r="P53" s="142">
        <f t="shared" si="46"/>
        <v>1.2190250310744246</v>
      </c>
      <c r="Q53" s="142">
        <f t="shared" si="46"/>
        <v>8.3106874323942467E-2</v>
      </c>
      <c r="R53" s="142">
        <f t="shared" si="46"/>
        <v>0.41637047293156854</v>
      </c>
      <c r="S53" s="142">
        <f t="shared" si="46"/>
        <v>0.45164214794779783</v>
      </c>
      <c r="T53" s="142">
        <f t="shared" si="46"/>
        <v>0.291893457163721</v>
      </c>
      <c r="U53" s="142">
        <f t="shared" si="46"/>
        <v>0.53456655296012801</v>
      </c>
      <c r="V53" s="142">
        <f t="shared" si="46"/>
        <v>0.31367676655819732</v>
      </c>
    </row>
    <row r="54" spans="1:22" s="3" customFormat="1" x14ac:dyDescent="0.25">
      <c r="A54" s="61" t="s">
        <v>2</v>
      </c>
      <c r="B54" s="142">
        <f t="shared" ref="B54" si="47">B48</f>
        <v>3.6836892572494992E-2</v>
      </c>
      <c r="C54" s="142">
        <f t="shared" ref="C54:V54" si="48">C48</f>
        <v>2.7891165155883149E-2</v>
      </c>
      <c r="D54" s="142">
        <f t="shared" si="48"/>
        <v>4.1233162267858572E-2</v>
      </c>
      <c r="E54" s="142">
        <f t="shared" si="48"/>
        <v>7.8217373290033559E-2</v>
      </c>
      <c r="F54" s="142">
        <f t="shared" si="48"/>
        <v>0.1178722812946864</v>
      </c>
      <c r="G54" s="142">
        <f t="shared" si="48"/>
        <v>0.12506354617623403</v>
      </c>
      <c r="H54" s="142">
        <f t="shared" si="48"/>
        <v>0.18695959958522365</v>
      </c>
      <c r="I54" s="142">
        <f t="shared" si="48"/>
        <v>1.5583626618771107E-2</v>
      </c>
      <c r="J54" s="142">
        <f t="shared" si="48"/>
        <v>1.3578981346123786E-2</v>
      </c>
      <c r="K54" s="142">
        <f t="shared" si="48"/>
        <v>2.1366572129089146E-2</v>
      </c>
      <c r="L54" s="142">
        <f t="shared" si="48"/>
        <v>2.4881807550573135E-2</v>
      </c>
      <c r="M54" s="142">
        <f t="shared" si="48"/>
        <v>3.3810417557342223E-2</v>
      </c>
      <c r="N54" s="142"/>
      <c r="O54" s="142">
        <f t="shared" si="48"/>
        <v>6.9583191972160258E-2</v>
      </c>
      <c r="P54" s="142">
        <f t="shared" si="48"/>
        <v>0.23459879514090404</v>
      </c>
      <c r="Q54" s="142">
        <f t="shared" si="48"/>
        <v>3.3681443292912797E-2</v>
      </c>
      <c r="R54" s="142">
        <f t="shared" si="48"/>
        <v>0.13251468377654479</v>
      </c>
      <c r="S54" s="142">
        <f t="shared" si="48"/>
        <v>0.11260051043669027</v>
      </c>
      <c r="T54" s="142">
        <f t="shared" si="48"/>
        <v>5.5856916697719083E-2</v>
      </c>
      <c r="U54" s="142">
        <f t="shared" si="48"/>
        <v>0.17636757659480098</v>
      </c>
      <c r="V54" s="142">
        <f t="shared" si="48"/>
        <v>7.2284219951112325E-2</v>
      </c>
    </row>
    <row r="55" spans="1:22" s="3" customFormat="1" x14ac:dyDescent="0.25">
      <c r="A55" s="61" t="s">
        <v>79</v>
      </c>
      <c r="B55" s="142">
        <f>(B53*100/$B53)-100</f>
        <v>0</v>
      </c>
      <c r="C55" s="142">
        <f t="shared" ref="C55:V55" si="49">(C53*100/$B53)-100</f>
        <v>-43.991879684311883</v>
      </c>
      <c r="D55" s="142">
        <f t="shared" si="49"/>
        <v>-37.97306078746945</v>
      </c>
      <c r="E55" s="142">
        <f t="shared" si="49"/>
        <v>62.834492697018874</v>
      </c>
      <c r="F55" s="142">
        <f t="shared" si="49"/>
        <v>296.98099255223866</v>
      </c>
      <c r="G55" s="142">
        <f t="shared" si="49"/>
        <v>522.48069036572144</v>
      </c>
      <c r="H55" s="142">
        <f t="shared" si="49"/>
        <v>1185.7626547969376</v>
      </c>
      <c r="I55" s="142">
        <f t="shared" si="49"/>
        <v>-7.3538646204402767</v>
      </c>
      <c r="J55" s="142">
        <f t="shared" si="49"/>
        <v>-39.249718857112072</v>
      </c>
      <c r="K55" s="142">
        <f t="shared" si="49"/>
        <v>-35.041009824849667</v>
      </c>
      <c r="L55" s="142">
        <f t="shared" si="49"/>
        <v>-19.016433391020939</v>
      </c>
      <c r="M55" s="142">
        <f t="shared" si="49"/>
        <v>-17.52828263782736</v>
      </c>
      <c r="N55" s="142"/>
      <c r="O55" s="142">
        <f t="shared" si="49"/>
        <v>582.43569908620134</v>
      </c>
      <c r="P55" s="142">
        <f t="shared" si="49"/>
        <v>731.90619928485319</v>
      </c>
      <c r="Q55" s="142">
        <f t="shared" si="49"/>
        <v>-43.284902121871248</v>
      </c>
      <c r="R55" s="142">
        <f t="shared" si="49"/>
        <v>184.14607477390723</v>
      </c>
      <c r="S55" s="142">
        <f t="shared" si="49"/>
        <v>208.21672497154896</v>
      </c>
      <c r="T55" s="142">
        <f t="shared" si="49"/>
        <v>99.198515498212089</v>
      </c>
      <c r="U55" s="142">
        <f t="shared" si="49"/>
        <v>264.80729927744579</v>
      </c>
      <c r="V55" s="142">
        <f t="shared" si="49"/>
        <v>114.06422347324258</v>
      </c>
    </row>
    <row r="56" spans="1:22" s="3" customFormat="1" x14ac:dyDescent="0.25">
      <c r="A56" s="61" t="s">
        <v>81</v>
      </c>
      <c r="B56" s="142">
        <f>[1]!SWTEST(B28:B43)</f>
        <v>0.48619738019507319</v>
      </c>
      <c r="C56" s="142">
        <f>[1]!SWTEST(C28:C43)</f>
        <v>5.8817913469765615E-2</v>
      </c>
      <c r="D56" s="142">
        <f>[1]!SWTEST(D28:D43)</f>
        <v>2.4752229453326446E-3</v>
      </c>
      <c r="E56" s="142">
        <f>[1]!SWTEST(E28:E43)</f>
        <v>6.7610722487733144E-3</v>
      </c>
      <c r="F56" s="142">
        <f>[1]!SWTEST(F28:F43)</f>
        <v>0.45510140665625376</v>
      </c>
      <c r="G56" s="142">
        <f>[1]!SWTEST(G28:G43)</f>
        <v>0.64200865847862953</v>
      </c>
      <c r="H56" s="142">
        <f>[1]!SWTEST(H28:H43)</f>
        <v>7.9374232911983422E-2</v>
      </c>
      <c r="I56" s="142">
        <f>[1]!SWTEST(I28:I43)</f>
        <v>0.35849854558612604</v>
      </c>
      <c r="J56" s="142">
        <f>[1]!SWTEST(J28:J43)</f>
        <v>0.29072071979909797</v>
      </c>
      <c r="K56" s="142">
        <f>[1]!SWTEST(K28:K43)</f>
        <v>0.99705654959507983</v>
      </c>
      <c r="L56" s="142">
        <f>[1]!SWTEST(L28:L43)</f>
        <v>0.66345871718344385</v>
      </c>
      <c r="M56" s="142">
        <f>[1]!SWTEST(M28:M43)</f>
        <v>0.15459438842116513</v>
      </c>
      <c r="N56" s="142"/>
      <c r="O56" s="142">
        <f>[1]!SWTEST(O28:O43)</f>
        <v>0.56009589563414197</v>
      </c>
      <c r="P56" s="142">
        <f>[1]!SWTEST(P28:P43)</f>
        <v>0.18159843330042613</v>
      </c>
      <c r="Q56" s="142">
        <f>[1]!SWTEST(Q28:Q43)</f>
        <v>1.3315957745693274E-2</v>
      </c>
      <c r="R56" s="142">
        <f>[1]!SWTEST(R28:R43)</f>
        <v>6.0117620452072584E-2</v>
      </c>
      <c r="S56" s="142">
        <f>[1]!SWTEST(S28:S43)</f>
        <v>0.75282591191025627</v>
      </c>
      <c r="T56" s="142">
        <f>[1]!SWTEST(T28:T43)</f>
        <v>0.545339072214161</v>
      </c>
      <c r="U56" s="142">
        <f>[1]!SWTEST(U28:U43)</f>
        <v>1.2628671122236312E-2</v>
      </c>
      <c r="V56" s="142">
        <f>[1]!SWTEST(V28:V43)</f>
        <v>6.9298016826959352E-2</v>
      </c>
    </row>
    <row r="57" spans="1:22" s="3" customFormat="1" x14ac:dyDescent="0.25">
      <c r="A57" s="61" t="s">
        <v>85</v>
      </c>
      <c r="B57" s="142" t="str">
        <f>IF(B56&gt;0.05,"Oui","Non")</f>
        <v>Oui</v>
      </c>
      <c r="C57" s="142" t="str">
        <f t="shared" ref="C57:V57" si="50">IF(C56&gt;0.05,"Oui","Non")</f>
        <v>Oui</v>
      </c>
      <c r="D57" s="142" t="str">
        <f t="shared" si="50"/>
        <v>Non</v>
      </c>
      <c r="E57" s="142" t="str">
        <f t="shared" si="50"/>
        <v>Non</v>
      </c>
      <c r="F57" s="142" t="str">
        <f t="shared" si="50"/>
        <v>Oui</v>
      </c>
      <c r="G57" s="142" t="str">
        <f t="shared" si="50"/>
        <v>Oui</v>
      </c>
      <c r="H57" s="142" t="str">
        <f t="shared" si="50"/>
        <v>Oui</v>
      </c>
      <c r="I57" s="142" t="str">
        <f t="shared" si="50"/>
        <v>Oui</v>
      </c>
      <c r="J57" s="142" t="str">
        <f t="shared" si="50"/>
        <v>Oui</v>
      </c>
      <c r="K57" s="142" t="str">
        <f t="shared" si="50"/>
        <v>Oui</v>
      </c>
      <c r="L57" s="142" t="str">
        <f t="shared" si="50"/>
        <v>Oui</v>
      </c>
      <c r="M57" s="142" t="str">
        <f t="shared" si="50"/>
        <v>Oui</v>
      </c>
      <c r="N57" s="142"/>
      <c r="O57" s="142" t="str">
        <f t="shared" si="50"/>
        <v>Oui</v>
      </c>
      <c r="P57" s="142" t="str">
        <f t="shared" si="50"/>
        <v>Oui</v>
      </c>
      <c r="Q57" s="142" t="str">
        <f t="shared" si="50"/>
        <v>Non</v>
      </c>
      <c r="R57" s="142" t="str">
        <f t="shared" si="50"/>
        <v>Oui</v>
      </c>
      <c r="S57" s="142" t="str">
        <f t="shared" si="50"/>
        <v>Oui</v>
      </c>
      <c r="T57" s="142" t="str">
        <f t="shared" si="50"/>
        <v>Oui</v>
      </c>
      <c r="U57" s="142" t="str">
        <f t="shared" si="50"/>
        <v>Non</v>
      </c>
      <c r="V57" s="142" t="str">
        <f t="shared" si="50"/>
        <v>Oui</v>
      </c>
    </row>
    <row r="58" spans="1:22" s="3" customFormat="1" x14ac:dyDescent="0.2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25">
      <c r="A59" s="61" t="s">
        <v>82</v>
      </c>
      <c r="B59" s="151"/>
      <c r="C59" s="151" t="str">
        <f t="shared" ref="C59:O59" si="51">IF($B57="Non",IF(C57="Non","MW",IF(C57="Oui","MW","")),IF($B57="Oui",IF(C57="Oui","T-Test Welch",IF(C57="Non","MW",""))))</f>
        <v>T-Test Welch</v>
      </c>
      <c r="D59" s="151" t="str">
        <f t="shared" si="51"/>
        <v>MW</v>
      </c>
      <c r="E59" s="151" t="str">
        <f t="shared" si="51"/>
        <v>MW</v>
      </c>
      <c r="F59" s="151" t="str">
        <f t="shared" si="51"/>
        <v>T-Test Welch</v>
      </c>
      <c r="G59" s="151" t="str">
        <f t="shared" si="51"/>
        <v>T-Test Welch</v>
      </c>
      <c r="H59" s="151" t="str">
        <f t="shared" si="51"/>
        <v>T-Test Welch</v>
      </c>
      <c r="I59" s="151" t="str">
        <f t="shared" si="51"/>
        <v>T-Test Welch</v>
      </c>
      <c r="J59" s="151" t="str">
        <f t="shared" si="51"/>
        <v>T-Test Welch</v>
      </c>
      <c r="K59" s="151" t="str">
        <f t="shared" si="51"/>
        <v>T-Test Welch</v>
      </c>
      <c r="L59" s="151" t="str">
        <f t="shared" si="51"/>
        <v>T-Test Welch</v>
      </c>
      <c r="M59" s="151" t="str">
        <f t="shared" si="51"/>
        <v>T-Test Welch</v>
      </c>
      <c r="N59" s="151"/>
      <c r="O59" s="151" t="str">
        <f t="shared" si="51"/>
        <v>T-Test Welch</v>
      </c>
      <c r="P59" s="151" t="str">
        <f t="shared" ref="P59:V59" si="52">IF($O57="Non",IF(P57="Non","MW",IF(P57="Oui","MW","")),IF($O57="Oui",IF(P57="Oui","T-Test Welch",IF(P57="Non","MW",""))))</f>
        <v>T-Test Welch</v>
      </c>
      <c r="Q59" s="151" t="str">
        <f t="shared" si="52"/>
        <v>MW</v>
      </c>
      <c r="R59" s="151" t="str">
        <f t="shared" si="52"/>
        <v>T-Test Welch</v>
      </c>
      <c r="S59" s="151" t="str">
        <f t="shared" si="52"/>
        <v>T-Test Welch</v>
      </c>
      <c r="T59" s="151" t="str">
        <f t="shared" si="52"/>
        <v>T-Test Welch</v>
      </c>
      <c r="U59" s="151" t="str">
        <f t="shared" si="52"/>
        <v>MW</v>
      </c>
      <c r="V59" s="151" t="str">
        <f t="shared" si="52"/>
        <v>T-Test Welch</v>
      </c>
    </row>
    <row r="60" spans="1:22" s="3" customFormat="1" x14ac:dyDescent="0.25">
      <c r="A60" s="61" t="s">
        <v>83</v>
      </c>
      <c r="B60" s="152"/>
      <c r="C60" s="152">
        <f>IF(C59="MW",[1]!MTEST($B28:$B43,C28:C43,2), IF(C59="T-Test Welch",_xlfn.T.TEST($B28:$B43,C28:C43,2,3),""))</f>
        <v>0.18627397696768716</v>
      </c>
      <c r="D60" s="152">
        <f>IF(D59="MW",[1]!MTEST($B28:$B43,D28:D43,2), IF(D59="T-Test Welch",_xlfn.T.TEST($B28:$B43,D28:D43,2,3),""))</f>
        <v>0.40081416938293457</v>
      </c>
      <c r="E60" s="152">
        <f>IF(E59="MW",[1]!MTEST($B28:$B43,E28:E43,2), IF(E59="T-Test Welch",_xlfn.T.TEST($B28:$B43,E28:E43,2,3),""))</f>
        <v>0.67442407223529366</v>
      </c>
      <c r="F60" s="152">
        <f>IF(F59="MW",[1]!MTEST($B28:$B43,F28:F43,2), IF(F59="T-Test Welch",_xlfn.T.TEST($B28:$B43,F28:F43,2,3),""))</f>
        <v>7.2814049127068207E-3</v>
      </c>
      <c r="G60" s="152">
        <f>IF(G59="MW",[1]!MTEST($B28:$B43,G28:G43,2), IF(G59="T-Test Welch",_xlfn.T.TEST($B28:$B43,G28:G43,2,3),""))</f>
        <v>3.3874661291801719E-4</v>
      </c>
      <c r="H60" s="152">
        <f>IF(H59="MW",[1]!MTEST($B28:$B43,H28:H43,2), IF(H59="T-Test Welch",_xlfn.T.TEST($B28:$B43,H28:H43,2,3),""))</f>
        <v>2.4575123117111518E-5</v>
      </c>
      <c r="I60" s="152">
        <f>IF(I59="MW",[1]!MTEST($B28:$B43,I28:I43,2), IF(I59="T-Test Welch",_xlfn.T.TEST($B28:$B43,I28:I43,2,3),""))</f>
        <v>0.79341520387510545</v>
      </c>
      <c r="J60" s="152">
        <f>IF(J59="MW",[1]!MTEST($B28:$B43,J28:J43,2), IF(J59="T-Test Welch",_xlfn.T.TEST($B28:$B43,J28:J43,2,3),""))</f>
        <v>0.17746565303593748</v>
      </c>
      <c r="K60" s="152">
        <f>IF(K59="MW",[1]!MTEST($B28:$B43,K28:K43,2), IF(K59="T-Test Welch",_xlfn.T.TEST($B28:$B43,K28:K43,2,3),""))</f>
        <v>0.25270150971275329</v>
      </c>
      <c r="L60" s="152">
        <f>IF(L59="MW",[1]!MTEST($B28:$B43,L28:L43,2), IF(L59="T-Test Welch",_xlfn.T.TEST($B28:$B43,L28:L43,2,3),""))</f>
        <v>0.54222676448755647</v>
      </c>
      <c r="M60" s="152">
        <f>IF(M59="MW",[1]!MTEST($B28:$B43,M28:M43,2), IF(M59="T-Test Welch",_xlfn.T.TEST($B28:$B43,M28:M43,2,3),""))</f>
        <v>0.61553964015836571</v>
      </c>
      <c r="N60" s="152"/>
      <c r="O60" s="152">
        <f>IF(O59="MW",[1]!MTEST($B28:$B43,O28:O43,2), IF(O59="T-Test Welch",_xlfn.T.TEST($B28:$B43,O28:O43,2,3),""))</f>
        <v>4.5247013225174021E-10</v>
      </c>
      <c r="P60" s="152">
        <f>IF(P59="MW",[1]!MTEST($O28:$O43,P28:P43,2), IF(P59="T-Test Welch",_xlfn.T.TEST($O28:$O43,P28:P43,2,3),""))</f>
        <v>0.39609288892700811</v>
      </c>
      <c r="Q60" s="152">
        <f>IF(Q59="MW",[1]!MTEST($O28:$O43,Q28:Q43,2), IF(Q59="T-Test Welch",_xlfn.T.TEST($O28:$O43,Q28:Q43,2,3),""))</f>
        <v>8.884941911446731E-5</v>
      </c>
      <c r="R60" s="152">
        <f>IF(R59="MW",[1]!MTEST($O28:$O43,R28:R43,2), IF(R59="T-Test Welch",_xlfn.T.TEST($O28:$O43,R28:R43,2,3),""))</f>
        <v>2.4784228985462852E-3</v>
      </c>
      <c r="S60" s="152">
        <f>IF(S59="MW",[1]!MTEST($O28:$O43,S28:S43,2), IF(S59="T-Test Welch",_xlfn.T.TEST($O28:$O43,S28:S43,2,3),""))</f>
        <v>1.2505255238352592E-3</v>
      </c>
      <c r="T60" s="152">
        <f>IF(T59="MW",[1]!MTEST($O28:$O43,T28:T43,2), IF(T59="T-Test Welch",_xlfn.T.TEST($O28:$O43,T28:T43,2,3),""))</f>
        <v>8.0333286547358872E-8</v>
      </c>
      <c r="U60" s="152">
        <f>IF(U59="MW",[1]!MTEST($O28:$O43,U28:U43,2), IF(U59="T-Test Welch",_xlfn.T.TEST($O28:$O43,U28:U43,2,3),""))</f>
        <v>5.8570990852842009E-3</v>
      </c>
      <c r="V60" s="152">
        <f>IF(V59="MW",[1]!MTEST($O28:$O43,V28:V43,2), IF(V59="T-Test Welch",_xlfn.T.TEST($O28:$O43,V28:V43,2,3),""))</f>
        <v>1.7961814568771076E-6</v>
      </c>
    </row>
    <row r="61" spans="1:22" s="3" customFormat="1" ht="15.75" thickBot="1" x14ac:dyDescent="0.3">
      <c r="A61" s="62" t="s">
        <v>84</v>
      </c>
      <c r="B61" s="143"/>
      <c r="C61" s="143" t="str">
        <f t="shared" ref="C61:O61" si="53">IF(C60&gt;0.05,"NS",IF(C60&gt;0.01,"*",IF(C60&gt;0.001,"**","***")))</f>
        <v>NS</v>
      </c>
      <c r="D61" s="143" t="str">
        <f t="shared" si="53"/>
        <v>NS</v>
      </c>
      <c r="E61" s="143" t="str">
        <f t="shared" si="53"/>
        <v>NS</v>
      </c>
      <c r="F61" s="143" t="str">
        <f t="shared" si="53"/>
        <v>**</v>
      </c>
      <c r="G61" s="143" t="str">
        <f t="shared" si="53"/>
        <v>***</v>
      </c>
      <c r="H61" s="143" t="str">
        <f t="shared" si="53"/>
        <v>***</v>
      </c>
      <c r="I61" s="143" t="str">
        <f t="shared" si="53"/>
        <v>NS</v>
      </c>
      <c r="J61" s="143" t="str">
        <f t="shared" si="53"/>
        <v>NS</v>
      </c>
      <c r="K61" s="143" t="str">
        <f t="shared" si="53"/>
        <v>NS</v>
      </c>
      <c r="L61" s="143" t="str">
        <f t="shared" si="53"/>
        <v>NS</v>
      </c>
      <c r="M61" s="143" t="str">
        <f t="shared" si="53"/>
        <v>NS</v>
      </c>
      <c r="N61" s="143"/>
      <c r="O61" s="143" t="str">
        <f t="shared" si="53"/>
        <v>***</v>
      </c>
      <c r="P61" s="143" t="str">
        <f>IF(P60&gt;0.05,"NS",IF(P60&gt;0.01,"*",IF(P60&gt;0.001,"**","***")))</f>
        <v>NS</v>
      </c>
      <c r="Q61" s="143" t="str">
        <f t="shared" ref="Q61:V61" si="54">IF(Q60&gt;0.05,"NS",IF(Q60&gt;0.01,"*",IF(Q60&gt;0.001,"**","***")))</f>
        <v>***</v>
      </c>
      <c r="R61" s="143" t="str">
        <f t="shared" si="54"/>
        <v>**</v>
      </c>
      <c r="S61" s="143" t="str">
        <f t="shared" si="54"/>
        <v>**</v>
      </c>
      <c r="T61" s="143" t="str">
        <f t="shared" si="54"/>
        <v>***</v>
      </c>
      <c r="U61" s="143" t="str">
        <f t="shared" si="54"/>
        <v>**</v>
      </c>
      <c r="V61" s="143" t="str">
        <f t="shared" si="54"/>
        <v>***</v>
      </c>
    </row>
    <row r="63" spans="1:22" x14ac:dyDescent="0.25">
      <c r="A63" s="2" t="s">
        <v>39</v>
      </c>
    </row>
    <row r="64" spans="1:22" x14ac:dyDescent="0.25">
      <c r="A64" s="1" t="s">
        <v>23</v>
      </c>
      <c r="B64" s="1">
        <f>B46+(3*B47)</f>
        <v>0.45910535046980672</v>
      </c>
    </row>
    <row r="65" spans="1:22" x14ac:dyDescent="0.25">
      <c r="A65" s="1" t="s">
        <v>24</v>
      </c>
      <c r="B65" s="1">
        <f>B46+(10*B47)</f>
        <v>1.1884386134736509</v>
      </c>
    </row>
    <row r="66" spans="1:22" ht="15.75" thickBot="1" x14ac:dyDescent="0.3"/>
    <row r="67" spans="1:22" ht="27" thickBot="1" x14ac:dyDescent="0.45">
      <c r="A67" s="216" t="s">
        <v>45</v>
      </c>
      <c r="B67" s="217"/>
      <c r="C67" s="217"/>
      <c r="D67" s="217"/>
      <c r="E67" s="217"/>
      <c r="F67" s="217"/>
      <c r="G67" s="217"/>
      <c r="H67" s="217"/>
      <c r="I67" s="217"/>
      <c r="J67" s="217"/>
      <c r="K67" s="217"/>
      <c r="L67" s="217"/>
      <c r="M67" s="217"/>
      <c r="N67" s="217"/>
      <c r="O67" s="217"/>
      <c r="P67" s="217"/>
      <c r="Q67" s="217"/>
      <c r="R67" s="217"/>
      <c r="S67" s="217"/>
      <c r="T67" s="217"/>
      <c r="U67" s="217"/>
      <c r="V67" s="217"/>
    </row>
    <row r="68" spans="1:22" ht="16.5" x14ac:dyDescent="0.25">
      <c r="A68" s="12"/>
      <c r="B68" s="12"/>
      <c r="C68" s="12"/>
      <c r="D68" s="12"/>
      <c r="E68" s="12"/>
      <c r="F68" s="12"/>
      <c r="N68" s="12"/>
      <c r="O68" s="12"/>
      <c r="P68" s="12"/>
      <c r="Q68" s="12"/>
      <c r="R68" s="12"/>
      <c r="S68" s="12"/>
      <c r="T68" s="12"/>
      <c r="U68" s="12"/>
      <c r="V68" s="12"/>
    </row>
    <row r="69" spans="1:22" ht="16.5" x14ac:dyDescent="0.25">
      <c r="A69" s="12"/>
      <c r="B69" s="12"/>
      <c r="C69" s="12"/>
      <c r="D69" s="12"/>
      <c r="E69" s="12"/>
      <c r="F69" s="12"/>
      <c r="N69" s="12"/>
      <c r="O69" s="12"/>
      <c r="P69" s="12"/>
      <c r="Q69" s="12"/>
      <c r="R69" s="12"/>
      <c r="S69" s="12"/>
      <c r="T69" s="12"/>
      <c r="U69" s="12"/>
      <c r="V69" s="12"/>
    </row>
    <row r="70" spans="1:22" ht="16.5" x14ac:dyDescent="0.25">
      <c r="A70" s="12"/>
      <c r="B70" s="12"/>
      <c r="C70" s="12"/>
      <c r="D70" s="12"/>
      <c r="E70" s="12"/>
      <c r="F70" s="12"/>
      <c r="N70" s="12"/>
      <c r="O70" s="12"/>
      <c r="P70" s="12"/>
      <c r="Q70" s="12"/>
      <c r="R70" s="12"/>
      <c r="S70" s="12"/>
      <c r="T70" s="12"/>
      <c r="U70" s="12"/>
      <c r="V70" s="12"/>
    </row>
    <row r="71" spans="1:22" ht="16.5" x14ac:dyDescent="0.25">
      <c r="A71" s="12"/>
      <c r="B71" s="12"/>
      <c r="C71" s="12"/>
      <c r="D71" s="12"/>
      <c r="E71" s="12"/>
      <c r="F71" s="12"/>
      <c r="N71" s="12"/>
      <c r="O71" s="12"/>
      <c r="P71" s="12"/>
      <c r="Q71" s="12"/>
      <c r="R71" s="12"/>
      <c r="S71" s="12"/>
      <c r="T71" s="12"/>
      <c r="U71" s="12"/>
      <c r="V71" s="12"/>
    </row>
    <row r="72" spans="1:22" ht="16.5" x14ac:dyDescent="0.25">
      <c r="A72" s="12"/>
      <c r="B72" s="12"/>
      <c r="C72" s="12"/>
      <c r="D72" s="12"/>
      <c r="E72" s="12"/>
      <c r="F72" s="12"/>
      <c r="N72" s="12"/>
      <c r="O72" s="12"/>
      <c r="P72" s="12"/>
      <c r="Q72" s="12"/>
      <c r="R72" s="12"/>
      <c r="S72" s="12"/>
      <c r="T72" s="12"/>
      <c r="U72" s="12"/>
      <c r="V72" s="12"/>
    </row>
    <row r="73" spans="1:22" ht="16.5" x14ac:dyDescent="0.25">
      <c r="A73" s="12"/>
      <c r="B73" s="12"/>
      <c r="C73" s="12"/>
      <c r="D73" s="12"/>
      <c r="E73" s="12"/>
      <c r="F73" s="12"/>
      <c r="N73" s="12"/>
      <c r="O73" s="12"/>
      <c r="P73" s="12"/>
      <c r="Q73" s="12"/>
      <c r="R73" s="12"/>
      <c r="S73" s="12"/>
      <c r="T73" s="12"/>
      <c r="U73" s="12"/>
      <c r="V73" s="12"/>
    </row>
    <row r="74" spans="1:22" ht="16.5" x14ac:dyDescent="0.2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1:V1"/>
    <mergeCell ref="A67:V67"/>
    <mergeCell ref="A5:A20"/>
    <mergeCell ref="B3:M3"/>
    <mergeCell ref="O3:V3"/>
    <mergeCell ref="B26:M26"/>
    <mergeCell ref="O26:V26"/>
    <mergeCell ref="A28:A43"/>
    <mergeCell ref="A50:V50"/>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N1711"/>
  <sheetViews>
    <sheetView showGridLines="0" topLeftCell="L1" zoomScale="80" zoomScaleNormal="80" workbookViewId="0">
      <selection activeCell="Z5" sqref="Z5:AF12"/>
    </sheetView>
  </sheetViews>
  <sheetFormatPr baseColWidth="10" defaultColWidth="11.42578125" defaultRowHeight="15" x14ac:dyDescent="0.25"/>
  <cols>
    <col min="1" max="2" width="15" style="1" customWidth="1"/>
    <col min="3" max="3" width="25.42578125" style="1" customWidth="1"/>
    <col min="4" max="4" width="14" style="1" customWidth="1"/>
    <col min="5" max="5" width="21.140625" style="1" customWidth="1"/>
    <col min="6" max="6" width="11.42578125" style="1"/>
    <col min="7" max="7" width="21.42578125" style="1" customWidth="1"/>
    <col min="8" max="8" width="12.28515625" style="1" customWidth="1"/>
    <col min="9" max="9" width="17.140625" style="1" customWidth="1"/>
    <col min="10" max="10" width="11.42578125" style="1"/>
    <col min="11" max="11" width="37.42578125" style="1" bestFit="1" customWidth="1"/>
    <col min="12" max="12" width="38.42578125" style="1" bestFit="1" customWidth="1"/>
    <col min="13" max="14" width="12.85546875" style="1" customWidth="1"/>
    <col min="15" max="25" width="12.28515625" style="1" customWidth="1"/>
    <col min="26" max="16384" width="11.42578125" style="1"/>
  </cols>
  <sheetData>
    <row r="1" spans="1:144" x14ac:dyDescent="0.25">
      <c r="A1" s="1" t="s">
        <v>107</v>
      </c>
      <c r="B1" s="1" t="s">
        <v>108</v>
      </c>
      <c r="C1" s="1" t="s">
        <v>109</v>
      </c>
      <c r="D1" s="1" t="s">
        <v>110</v>
      </c>
      <c r="E1" s="1" t="s">
        <v>111</v>
      </c>
      <c r="F1" s="1" t="s">
        <v>112</v>
      </c>
      <c r="G1" s="1" t="s">
        <v>113</v>
      </c>
      <c r="H1" s="1" t="s">
        <v>117</v>
      </c>
      <c r="I1" s="1" t="s">
        <v>118</v>
      </c>
      <c r="K1" s="119" t="s">
        <v>112</v>
      </c>
      <c r="L1" s="1" t="s">
        <v>119</v>
      </c>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row>
    <row r="2" spans="1:144" x14ac:dyDescent="0.25">
      <c r="A2" s="1" t="str">
        <f t="shared" ref="A2:A65" si="0">IFERROR(LEFT(RIGHT(C2,LEN(C2)-SEARCH("@",C2)),SEARCH("/",RIGHT(C2,LEN(C2)-SEARCH("@",C2)-1))),"")</f>
        <v>01 TS</v>
      </c>
      <c r="B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 s="1" t="s">
        <v>3092</v>
      </c>
      <c r="D2" s="1" t="s">
        <v>1473</v>
      </c>
      <c r="E2" s="1" t="s">
        <v>3093</v>
      </c>
      <c r="F2" s="1" t="s">
        <v>112</v>
      </c>
      <c r="G2" s="1">
        <v>47283</v>
      </c>
      <c r="K2" s="156" t="s">
        <v>120</v>
      </c>
      <c r="L2" s="156" t="s">
        <v>121</v>
      </c>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row>
    <row r="3" spans="1:144" x14ac:dyDescent="0.25">
      <c r="A3" s="1" t="str">
        <f t="shared" si="0"/>
        <v>01 TS</v>
      </c>
      <c r="B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 s="1" t="s">
        <v>3094</v>
      </c>
      <c r="D3" s="1" t="s">
        <v>3095</v>
      </c>
      <c r="E3" s="1" t="s">
        <v>3096</v>
      </c>
      <c r="F3" s="1" t="s">
        <v>112</v>
      </c>
      <c r="G3" s="1">
        <v>163198</v>
      </c>
      <c r="K3" s="119" t="s">
        <v>154</v>
      </c>
      <c r="L3" s="119" t="s">
        <v>114</v>
      </c>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row>
    <row r="4" spans="1:144" x14ac:dyDescent="0.25">
      <c r="A4" s="1" t="str">
        <f t="shared" si="0"/>
        <v>01 TS</v>
      </c>
      <c r="B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 s="1" t="s">
        <v>3097</v>
      </c>
      <c r="D4" s="1" t="s">
        <v>962</v>
      </c>
      <c r="E4" s="1" t="s">
        <v>3098</v>
      </c>
      <c r="F4" s="1" t="s">
        <v>112</v>
      </c>
      <c r="G4" s="1">
        <v>70297</v>
      </c>
      <c r="K4" s="119" t="s">
        <v>100</v>
      </c>
      <c r="L4" s="1" t="s">
        <v>1671</v>
      </c>
      <c r="M4" s="1" t="s">
        <v>1672</v>
      </c>
      <c r="N4" s="1" t="s">
        <v>1673</v>
      </c>
      <c r="O4" s="1" t="s">
        <v>1674</v>
      </c>
      <c r="P4" s="1" t="s">
        <v>1675</v>
      </c>
      <c r="Q4" s="1" t="s">
        <v>1676</v>
      </c>
      <c r="R4" s="1" t="s">
        <v>1677</v>
      </c>
      <c r="S4" s="1" t="s">
        <v>1678</v>
      </c>
      <c r="T4" s="1" t="s">
        <v>1679</v>
      </c>
      <c r="U4" s="1" t="s">
        <v>1680</v>
      </c>
      <c r="V4" s="1" t="s">
        <v>1681</v>
      </c>
      <c r="W4" s="1" t="s">
        <v>1682</v>
      </c>
      <c r="X4" s="1" t="s">
        <v>1683</v>
      </c>
      <c r="Y4" s="1" t="s">
        <v>1684</v>
      </c>
      <c r="Z4" s="1" t="s">
        <v>1685</v>
      </c>
      <c r="AA4" s="1" t="s">
        <v>1686</v>
      </c>
      <c r="AB4" s="1" t="s">
        <v>1687</v>
      </c>
      <c r="AC4" s="1" t="s">
        <v>1688</v>
      </c>
      <c r="AD4" s="1" t="s">
        <v>1689</v>
      </c>
      <c r="AE4" s="1" t="s">
        <v>1690</v>
      </c>
      <c r="AF4" s="1" t="s">
        <v>1691</v>
      </c>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row>
    <row r="5" spans="1:144" x14ac:dyDescent="0.25">
      <c r="A5" s="1" t="str">
        <f t="shared" si="0"/>
        <v>01 TS</v>
      </c>
      <c r="B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 s="1" t="s">
        <v>3099</v>
      </c>
      <c r="D5" s="1" t="s">
        <v>1774</v>
      </c>
      <c r="E5" s="1" t="s">
        <v>3100</v>
      </c>
      <c r="F5" s="1" t="s">
        <v>112</v>
      </c>
      <c r="G5" s="1">
        <v>49770</v>
      </c>
      <c r="K5" s="146" t="s">
        <v>164</v>
      </c>
      <c r="L5" s="44">
        <v>93592.666666666672</v>
      </c>
      <c r="M5" s="44">
        <v>524027.33333333331</v>
      </c>
      <c r="N5" s="44">
        <v>99735.333333333328</v>
      </c>
      <c r="O5" s="44">
        <v>173262.66666666666</v>
      </c>
      <c r="P5" s="44">
        <v>1303720.3333333333</v>
      </c>
      <c r="Q5" s="44">
        <v>3142658</v>
      </c>
      <c r="R5" s="44">
        <v>3047349</v>
      </c>
      <c r="S5" s="44">
        <v>547380.33333333337</v>
      </c>
      <c r="T5" s="44">
        <v>135684.33333333334</v>
      </c>
      <c r="U5" s="44">
        <v>251887.33333333334</v>
      </c>
      <c r="V5" s="44">
        <v>299257</v>
      </c>
      <c r="W5" s="44">
        <v>529463.66666666663</v>
      </c>
      <c r="X5" s="44">
        <v>2893488.6666666665</v>
      </c>
      <c r="Y5" s="44">
        <v>21536.333333333332</v>
      </c>
      <c r="Z5" s="44">
        <v>3944730.3333333335</v>
      </c>
      <c r="AA5" s="44">
        <v>52813</v>
      </c>
      <c r="AB5" s="44">
        <v>1506385.3333333333</v>
      </c>
      <c r="AC5" s="44">
        <v>4864462.333333333</v>
      </c>
      <c r="AD5" s="44">
        <v>2317138.3333333335</v>
      </c>
      <c r="AE5" s="44">
        <v>4009522.5</v>
      </c>
      <c r="AF5" s="44">
        <v>1479593</v>
      </c>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row>
    <row r="6" spans="1:144" x14ac:dyDescent="0.25">
      <c r="A6" s="1" t="str">
        <f t="shared" si="0"/>
        <v>01 TS</v>
      </c>
      <c r="B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 s="1" t="s">
        <v>3101</v>
      </c>
      <c r="D6" s="1" t="s">
        <v>3102</v>
      </c>
      <c r="E6" s="1" t="s">
        <v>3103</v>
      </c>
      <c r="F6" s="1" t="s">
        <v>112</v>
      </c>
      <c r="G6" s="1">
        <v>345927</v>
      </c>
      <c r="K6" s="146" t="s">
        <v>1692</v>
      </c>
      <c r="L6" s="44">
        <v>256862</v>
      </c>
      <c r="M6" s="44">
        <v>99699.666666666672</v>
      </c>
      <c r="N6" s="44">
        <v>192470</v>
      </c>
      <c r="O6" s="44">
        <v>336251</v>
      </c>
      <c r="P6" s="44">
        <v>599638.33333333337</v>
      </c>
      <c r="Q6" s="44">
        <v>620684</v>
      </c>
      <c r="R6" s="44">
        <v>6090416</v>
      </c>
      <c r="S6" s="44">
        <v>104227.33333333333</v>
      </c>
      <c r="T6" s="44">
        <v>266329</v>
      </c>
      <c r="U6" s="44">
        <v>54118</v>
      </c>
      <c r="V6" s="44">
        <v>118842</v>
      </c>
      <c r="W6" s="44">
        <v>276379.33333333331</v>
      </c>
      <c r="X6" s="44">
        <v>434674.5</v>
      </c>
      <c r="Y6" s="44">
        <v>4335626</v>
      </c>
      <c r="Z6" s="44">
        <v>2183545</v>
      </c>
      <c r="AA6" s="44">
        <v>429634.66666666669</v>
      </c>
      <c r="AB6" s="44">
        <v>2018790</v>
      </c>
      <c r="AC6" s="44">
        <v>71930</v>
      </c>
      <c r="AD6" s="44">
        <v>2427393.5</v>
      </c>
      <c r="AE6" s="44">
        <v>1158872.3333333333</v>
      </c>
      <c r="AF6" s="44">
        <v>3197598</v>
      </c>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row>
    <row r="7" spans="1:144" x14ac:dyDescent="0.25">
      <c r="A7" s="1" t="str">
        <f t="shared" si="0"/>
        <v>01 TS</v>
      </c>
      <c r="B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 s="1" t="s">
        <v>3104</v>
      </c>
      <c r="D7" s="1" t="s">
        <v>3105</v>
      </c>
      <c r="E7" s="1" t="s">
        <v>3106</v>
      </c>
      <c r="F7" s="1" t="s">
        <v>112</v>
      </c>
      <c r="G7" s="1">
        <v>374889</v>
      </c>
      <c r="K7" s="146" t="s">
        <v>1693</v>
      </c>
      <c r="L7" s="44">
        <v>550135</v>
      </c>
      <c r="M7" s="44">
        <v>196471.66666666666</v>
      </c>
      <c r="N7" s="44">
        <v>631744.33333333337</v>
      </c>
      <c r="O7" s="44">
        <v>393238.33333333331</v>
      </c>
      <c r="P7" s="44">
        <v>1377824</v>
      </c>
      <c r="Q7" s="44">
        <v>2059303</v>
      </c>
      <c r="R7" s="44">
        <v>7653882.333333333</v>
      </c>
      <c r="S7" s="44">
        <v>173125.66666666666</v>
      </c>
      <c r="T7" s="44">
        <v>84587.333333333328</v>
      </c>
      <c r="U7" s="44">
        <v>40015</v>
      </c>
      <c r="V7" s="44">
        <v>133478.33333333334</v>
      </c>
      <c r="W7" s="44">
        <v>203234.66666666666</v>
      </c>
      <c r="X7" s="44">
        <v>958233.33333333337</v>
      </c>
      <c r="Y7" s="44">
        <v>4299561.666666667</v>
      </c>
      <c r="Z7" s="44">
        <v>3404163.3333333335</v>
      </c>
      <c r="AA7" s="44">
        <v>68422.666666666672</v>
      </c>
      <c r="AB7" s="44">
        <v>4680396</v>
      </c>
      <c r="AC7" s="44">
        <v>3187114.6666666665</v>
      </c>
      <c r="AD7" s="44">
        <v>4699859</v>
      </c>
      <c r="AE7" s="44">
        <v>475785.33333333331</v>
      </c>
      <c r="AF7" s="44">
        <v>339841.66666666669</v>
      </c>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row>
    <row r="8" spans="1:144" x14ac:dyDescent="0.25">
      <c r="A8" s="1" t="str">
        <f t="shared" si="0"/>
        <v>01 TS</v>
      </c>
      <c r="B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8" s="1" t="s">
        <v>3107</v>
      </c>
      <c r="K8" s="146" t="s">
        <v>1694</v>
      </c>
      <c r="L8" s="44">
        <v>112360</v>
      </c>
      <c r="M8" s="44">
        <v>35054.666666666664</v>
      </c>
      <c r="N8" s="44">
        <v>224028</v>
      </c>
      <c r="O8" s="44">
        <v>213083.33333333334</v>
      </c>
      <c r="P8" s="44">
        <v>925053</v>
      </c>
      <c r="Q8" s="44">
        <v>2659136</v>
      </c>
      <c r="R8" s="44">
        <v>3297650.6666666665</v>
      </c>
      <c r="S8" s="44">
        <v>31860.666666666668</v>
      </c>
      <c r="T8" s="44">
        <v>91581</v>
      </c>
      <c r="U8" s="44">
        <v>98228.666666666672</v>
      </c>
      <c r="V8" s="44">
        <v>83606.666666666672</v>
      </c>
      <c r="W8" s="44">
        <v>706129.33333333337</v>
      </c>
      <c r="X8" s="44">
        <v>1152145.3333333333</v>
      </c>
      <c r="Y8" s="44">
        <v>1363692.6666666667</v>
      </c>
      <c r="Z8" s="44">
        <v>2437667.3333333335</v>
      </c>
      <c r="AA8" s="44">
        <v>419850.66666666669</v>
      </c>
      <c r="AB8" s="44">
        <v>225607</v>
      </c>
      <c r="AC8" s="44">
        <v>1072597.6666666667</v>
      </c>
      <c r="AD8" s="44">
        <v>2281968.3333333335</v>
      </c>
      <c r="AE8" s="44">
        <v>1508483</v>
      </c>
      <c r="AF8" s="44">
        <v>1590302</v>
      </c>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row>
    <row r="9" spans="1:144" x14ac:dyDescent="0.25">
      <c r="A9" s="1" t="str">
        <f t="shared" si="0"/>
        <v>01 TS</v>
      </c>
      <c r="B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9" s="1" t="s">
        <v>3108</v>
      </c>
      <c r="D9" s="1" t="s">
        <v>3109</v>
      </c>
      <c r="E9" s="1" t="s">
        <v>3110</v>
      </c>
      <c r="F9" s="1" t="s">
        <v>112</v>
      </c>
      <c r="G9" s="1">
        <v>607108</v>
      </c>
      <c r="K9" s="146" t="s">
        <v>1695</v>
      </c>
      <c r="L9" s="44">
        <v>54327</v>
      </c>
      <c r="M9" s="44">
        <v>13814.333333333334</v>
      </c>
      <c r="N9" s="44">
        <v>57117.333333333336</v>
      </c>
      <c r="O9" s="44">
        <v>22747.333333333332</v>
      </c>
      <c r="P9" s="44">
        <v>561317.66666666663</v>
      </c>
      <c r="Q9" s="44">
        <v>1816846.3333333333</v>
      </c>
      <c r="R9" s="44">
        <v>3064819</v>
      </c>
      <c r="S9" s="44">
        <v>380484</v>
      </c>
      <c r="T9" s="44">
        <v>85243.666666666672</v>
      </c>
      <c r="U9" s="44">
        <v>74115</v>
      </c>
      <c r="V9" s="44">
        <v>359417</v>
      </c>
      <c r="W9" s="44">
        <v>100456.33333333333</v>
      </c>
      <c r="X9" s="44">
        <v>860704</v>
      </c>
      <c r="Y9" s="44">
        <v>4530684.5</v>
      </c>
      <c r="Z9" s="44">
        <v>3543986.3333333335</v>
      </c>
      <c r="AA9" s="44">
        <v>211936.66666666666</v>
      </c>
      <c r="AB9" s="44">
        <v>2848506</v>
      </c>
      <c r="AC9" s="44">
        <v>1052784.3333333333</v>
      </c>
      <c r="AD9" s="44">
        <v>2160285.6666666665</v>
      </c>
      <c r="AE9" s="44">
        <v>900380.33333333337</v>
      </c>
      <c r="AF9" s="44">
        <v>2717933</v>
      </c>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row>
    <row r="10" spans="1:144" x14ac:dyDescent="0.25">
      <c r="A10" s="1" t="str">
        <f t="shared" si="0"/>
        <v>01 TS</v>
      </c>
      <c r="B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 s="1" t="s">
        <v>3111</v>
      </c>
      <c r="D10" s="1" t="s">
        <v>3112</v>
      </c>
      <c r="E10" s="1" t="s">
        <v>3113</v>
      </c>
      <c r="F10" s="1" t="s">
        <v>112</v>
      </c>
      <c r="G10" s="1">
        <v>493162</v>
      </c>
      <c r="K10" s="146" t="s">
        <v>1696</v>
      </c>
      <c r="L10" s="44">
        <v>98459</v>
      </c>
      <c r="M10" s="44">
        <v>215488</v>
      </c>
      <c r="N10" s="44">
        <v>71645</v>
      </c>
      <c r="O10" s="44">
        <v>142930.33333333334</v>
      </c>
      <c r="P10" s="44">
        <v>1686540.6666666667</v>
      </c>
      <c r="Q10" s="44">
        <v>3563078.3333333335</v>
      </c>
      <c r="R10" s="44">
        <v>4562999.5</v>
      </c>
      <c r="S10" s="44">
        <v>47939.333333333336</v>
      </c>
      <c r="T10" s="44">
        <v>251415</v>
      </c>
      <c r="U10" s="44">
        <v>34406</v>
      </c>
      <c r="V10" s="44">
        <v>692611</v>
      </c>
      <c r="W10" s="44">
        <v>36936.333333333336</v>
      </c>
      <c r="X10" s="44">
        <v>253841.33333333334</v>
      </c>
      <c r="Y10" s="44">
        <v>873884</v>
      </c>
      <c r="Z10" s="44">
        <v>2158757.3333333335</v>
      </c>
      <c r="AA10" s="44">
        <v>501193.33333333331</v>
      </c>
      <c r="AB10" s="44">
        <v>291492</v>
      </c>
      <c r="AC10" s="44">
        <v>1923741</v>
      </c>
      <c r="AD10" s="44">
        <v>5733320.666666667</v>
      </c>
      <c r="AE10" s="44">
        <v>232164.5</v>
      </c>
      <c r="AF10" s="44">
        <v>589133.33333333337</v>
      </c>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row>
    <row r="11" spans="1:144" x14ac:dyDescent="0.25">
      <c r="A11" s="1" t="str">
        <f t="shared" si="0"/>
        <v>01 TS</v>
      </c>
      <c r="B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 s="1" t="s">
        <v>3114</v>
      </c>
      <c r="D11" s="1" t="s">
        <v>248</v>
      </c>
      <c r="E11" s="1" t="s">
        <v>3115</v>
      </c>
      <c r="F11" s="1" t="s">
        <v>112</v>
      </c>
      <c r="G11" s="1">
        <v>173039</v>
      </c>
      <c r="K11" s="146" t="s">
        <v>1697</v>
      </c>
      <c r="L11" s="44">
        <v>61558.666666666664</v>
      </c>
      <c r="M11" s="44">
        <v>129801</v>
      </c>
      <c r="N11" s="44">
        <v>343461</v>
      </c>
      <c r="O11" s="44">
        <v>561656.33333333337</v>
      </c>
      <c r="P11" s="44">
        <v>2366743</v>
      </c>
      <c r="Q11" s="44">
        <v>1568953.3333333333</v>
      </c>
      <c r="R11" s="44">
        <v>4037782</v>
      </c>
      <c r="S11" s="44">
        <v>365037</v>
      </c>
      <c r="T11" s="44">
        <v>134328.66666666666</v>
      </c>
      <c r="U11" s="44">
        <v>20527</v>
      </c>
      <c r="V11" s="44">
        <v>126030.33333333333</v>
      </c>
      <c r="W11" s="44">
        <v>1039179.6666666666</v>
      </c>
      <c r="X11" s="44">
        <v>1550019.5</v>
      </c>
      <c r="Y11" s="44">
        <v>1200250</v>
      </c>
      <c r="Z11" s="44">
        <v>2856343</v>
      </c>
      <c r="AA11" s="44">
        <v>495930</v>
      </c>
      <c r="AB11" s="44">
        <v>21334.333333333332</v>
      </c>
      <c r="AC11" s="44">
        <v>560874</v>
      </c>
      <c r="AD11" s="44">
        <v>2705323</v>
      </c>
      <c r="AE11" s="44">
        <v>1455958.6666666667</v>
      </c>
      <c r="AF11" s="44">
        <v>1604275</v>
      </c>
      <c r="AG11"/>
    </row>
    <row r="12" spans="1:144" x14ac:dyDescent="0.25">
      <c r="A12" s="1" t="str">
        <f t="shared" si="0"/>
        <v>01 TS</v>
      </c>
      <c r="B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2" s="1" t="s">
        <v>3116</v>
      </c>
      <c r="D12" s="1" t="s">
        <v>3117</v>
      </c>
      <c r="E12" s="1" t="s">
        <v>3118</v>
      </c>
      <c r="F12" s="1" t="s">
        <v>112</v>
      </c>
      <c r="G12" s="1">
        <v>36490</v>
      </c>
      <c r="K12" s="146" t="s">
        <v>1698</v>
      </c>
      <c r="L12" s="44">
        <v>82474.666666666672</v>
      </c>
      <c r="M12" s="44">
        <v>244728</v>
      </c>
      <c r="N12" s="44">
        <v>68858.5</v>
      </c>
      <c r="O12" s="44">
        <v>1028956</v>
      </c>
      <c r="P12" s="44">
        <v>1296459.6666666667</v>
      </c>
      <c r="Q12" s="44">
        <v>2500841.3333333335</v>
      </c>
      <c r="R12" s="44">
        <v>5594218.666666667</v>
      </c>
      <c r="S12" s="44">
        <v>272616</v>
      </c>
      <c r="T12" s="44">
        <v>460580</v>
      </c>
      <c r="U12" s="44">
        <v>283106.33333333331</v>
      </c>
      <c r="V12" s="44">
        <v>87817.333333333328</v>
      </c>
      <c r="W12" s="44">
        <v>847877.33333333337</v>
      </c>
      <c r="X12" s="44">
        <v>3200027.6666666665</v>
      </c>
      <c r="Y12" s="44">
        <v>3706145.6666666665</v>
      </c>
      <c r="Z12" s="44">
        <v>5336917</v>
      </c>
      <c r="AA12" s="44">
        <v>145122.33333333334</v>
      </c>
      <c r="AB12" s="44">
        <v>3306086.3333333335</v>
      </c>
      <c r="AC12" s="44">
        <v>1380809.3333333333</v>
      </c>
      <c r="AD12" s="44">
        <v>4150683</v>
      </c>
      <c r="AE12" s="44">
        <v>4814072.333333333</v>
      </c>
      <c r="AF12" s="44">
        <v>4098468.3333333335</v>
      </c>
      <c r="AG12"/>
    </row>
    <row r="13" spans="1:144" x14ac:dyDescent="0.25">
      <c r="A13" s="1" t="str">
        <f t="shared" si="0"/>
        <v>01 TS</v>
      </c>
      <c r="B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3" s="1" t="s">
        <v>3119</v>
      </c>
      <c r="D13" s="1" t="s">
        <v>2368</v>
      </c>
      <c r="E13" s="1" t="s">
        <v>3120</v>
      </c>
      <c r="F13" s="1" t="s">
        <v>112</v>
      </c>
      <c r="G13" s="1">
        <v>127551</v>
      </c>
      <c r="K13"/>
      <c r="L13"/>
      <c r="M13"/>
      <c r="N13"/>
      <c r="O13"/>
      <c r="P13"/>
      <c r="Q13"/>
      <c r="R13"/>
      <c r="S13"/>
      <c r="T13"/>
      <c r="U13"/>
      <c r="V13"/>
      <c r="W13"/>
      <c r="X13"/>
      <c r="Y13"/>
      <c r="Z13"/>
      <c r="AA13"/>
      <c r="AB13"/>
      <c r="AC13"/>
      <c r="AD13"/>
      <c r="AE13"/>
      <c r="AF13"/>
      <c r="AG13"/>
    </row>
    <row r="14" spans="1:144" x14ac:dyDescent="0.25">
      <c r="A14" s="1" t="str">
        <f t="shared" si="0"/>
        <v>01 TS</v>
      </c>
      <c r="B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 s="1" t="s">
        <v>3121</v>
      </c>
      <c r="D14" s="1" t="s">
        <v>3122</v>
      </c>
      <c r="E14" s="1" t="s">
        <v>3123</v>
      </c>
      <c r="F14" s="1" t="s">
        <v>112</v>
      </c>
      <c r="G14" s="1">
        <v>68545</v>
      </c>
      <c r="K14"/>
      <c r="L14"/>
      <c r="M14"/>
      <c r="N14"/>
      <c r="O14"/>
      <c r="P14"/>
      <c r="Q14"/>
      <c r="R14"/>
      <c r="S14"/>
      <c r="T14"/>
      <c r="U14"/>
      <c r="V14"/>
      <c r="W14"/>
      <c r="X14"/>
      <c r="Y14"/>
      <c r="Z14"/>
      <c r="AA14"/>
      <c r="AB14"/>
      <c r="AC14"/>
      <c r="AD14"/>
      <c r="AE14"/>
      <c r="AF14"/>
      <c r="AG14"/>
    </row>
    <row r="15" spans="1:144" x14ac:dyDescent="0.25">
      <c r="A15" s="1" t="str">
        <f t="shared" si="0"/>
        <v>01 TS</v>
      </c>
      <c r="B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5" s="1" t="s">
        <v>3124</v>
      </c>
      <c r="D15" s="1" t="s">
        <v>3117</v>
      </c>
      <c r="E15" s="1" t="s">
        <v>803</v>
      </c>
      <c r="F15" s="1" t="s">
        <v>112</v>
      </c>
      <c r="G15" s="1">
        <v>37052</v>
      </c>
    </row>
    <row r="16" spans="1:144" x14ac:dyDescent="0.25">
      <c r="A16" s="1" t="str">
        <f t="shared" si="0"/>
        <v>01 TS</v>
      </c>
      <c r="B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6" s="1" t="s">
        <v>3125</v>
      </c>
      <c r="D16" s="1" t="s">
        <v>3126</v>
      </c>
      <c r="E16" s="1" t="s">
        <v>3127</v>
      </c>
      <c r="F16" s="1" t="s">
        <v>112</v>
      </c>
      <c r="G16" s="1">
        <v>57384</v>
      </c>
    </row>
    <row r="17" spans="1:9" x14ac:dyDescent="0.25">
      <c r="A17" s="1" t="str">
        <f t="shared" si="0"/>
        <v>01 TS</v>
      </c>
      <c r="B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7" s="1" t="s">
        <v>3128</v>
      </c>
      <c r="D17" s="1" t="s">
        <v>403</v>
      </c>
      <c r="E17" s="1" t="s">
        <v>3129</v>
      </c>
      <c r="F17" s="1" t="s">
        <v>112</v>
      </c>
      <c r="G17" s="1">
        <v>124047</v>
      </c>
    </row>
    <row r="18" spans="1:9" x14ac:dyDescent="0.25">
      <c r="A18" s="1" t="str">
        <f t="shared" si="0"/>
        <v>01 TS</v>
      </c>
      <c r="B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 s="1" t="s">
        <v>3130</v>
      </c>
      <c r="D18" s="1" t="s">
        <v>297</v>
      </c>
      <c r="E18" s="1" t="s">
        <v>3131</v>
      </c>
      <c r="F18" s="1" t="s">
        <v>112</v>
      </c>
      <c r="G18" s="1">
        <v>72871</v>
      </c>
    </row>
    <row r="19" spans="1:9" x14ac:dyDescent="0.25">
      <c r="A19" s="1" t="str">
        <f t="shared" si="0"/>
        <v>01 TS</v>
      </c>
      <c r="B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9" s="1" t="s">
        <v>3132</v>
      </c>
    </row>
    <row r="20" spans="1:9" x14ac:dyDescent="0.25">
      <c r="A20" s="1" t="str">
        <f t="shared" si="0"/>
        <v>01 TS</v>
      </c>
      <c r="B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0" s="1" t="s">
        <v>3133</v>
      </c>
      <c r="D20" s="1" t="s">
        <v>3134</v>
      </c>
      <c r="E20" s="1" t="s">
        <v>3135</v>
      </c>
      <c r="F20" s="1" t="s">
        <v>112</v>
      </c>
      <c r="G20" s="1">
        <v>43865</v>
      </c>
    </row>
    <row r="21" spans="1:9" x14ac:dyDescent="0.25">
      <c r="A21" s="1" t="str">
        <f t="shared" si="0"/>
        <v>01 TS</v>
      </c>
      <c r="B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 s="1" t="s">
        <v>3136</v>
      </c>
      <c r="D21" s="1" t="s">
        <v>3137</v>
      </c>
      <c r="E21" s="1" t="s">
        <v>3138</v>
      </c>
      <c r="F21" s="1" t="s">
        <v>112</v>
      </c>
      <c r="G21" s="1">
        <v>70081</v>
      </c>
    </row>
    <row r="22" spans="1:9" x14ac:dyDescent="0.25">
      <c r="A22" s="1" t="str">
        <f t="shared" si="0"/>
        <v>01 TS</v>
      </c>
      <c r="B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 s="1" t="s">
        <v>3139</v>
      </c>
      <c r="D22" s="1" t="s">
        <v>3122</v>
      </c>
      <c r="E22" s="1" t="s">
        <v>3140</v>
      </c>
      <c r="F22" s="1" t="s">
        <v>112</v>
      </c>
      <c r="G22" s="1">
        <v>70730</v>
      </c>
    </row>
    <row r="23" spans="1:9" x14ac:dyDescent="0.25">
      <c r="A23" s="1" t="str">
        <f t="shared" si="0"/>
        <v>01 TS</v>
      </c>
      <c r="B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3" s="1" t="s">
        <v>3141</v>
      </c>
      <c r="D23" s="1" t="s">
        <v>3142</v>
      </c>
      <c r="E23" s="1" t="s">
        <v>3143</v>
      </c>
      <c r="F23" s="1" t="s">
        <v>112</v>
      </c>
      <c r="G23" s="1">
        <v>78300</v>
      </c>
    </row>
    <row r="24" spans="1:9" x14ac:dyDescent="0.25">
      <c r="A24" s="1" t="str">
        <f t="shared" si="0"/>
        <v>01 TS</v>
      </c>
      <c r="B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4" s="1" t="s">
        <v>3144</v>
      </c>
      <c r="D24" s="1" t="s">
        <v>2379</v>
      </c>
      <c r="E24" s="1" t="s">
        <v>3145</v>
      </c>
      <c r="F24" s="1" t="s">
        <v>112</v>
      </c>
      <c r="G24" s="1">
        <v>84659</v>
      </c>
    </row>
    <row r="25" spans="1:9" x14ac:dyDescent="0.25">
      <c r="A25" s="1" t="str">
        <f t="shared" si="0"/>
        <v>01 TS</v>
      </c>
      <c r="B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 s="1" t="s">
        <v>3146</v>
      </c>
      <c r="D25" s="1" t="s">
        <v>1825</v>
      </c>
      <c r="E25" s="1" t="s">
        <v>3147</v>
      </c>
      <c r="F25" s="1" t="s">
        <v>112</v>
      </c>
      <c r="G25" s="1">
        <v>84465</v>
      </c>
    </row>
    <row r="26" spans="1:9" x14ac:dyDescent="0.25">
      <c r="A26" s="1" t="str">
        <f t="shared" si="0"/>
        <v/>
      </c>
      <c r="B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 s="1" t="s">
        <v>112</v>
      </c>
    </row>
    <row r="27" spans="1:9" x14ac:dyDescent="0.25">
      <c r="A27" s="1" t="str">
        <f t="shared" si="0"/>
        <v/>
      </c>
      <c r="B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7" s="1" t="s">
        <v>235</v>
      </c>
      <c r="D27" s="1" t="s">
        <v>112</v>
      </c>
      <c r="E27" s="1" t="s">
        <v>236</v>
      </c>
      <c r="F27" s="1" t="s">
        <v>237</v>
      </c>
      <c r="G27" s="1" t="s">
        <v>238</v>
      </c>
      <c r="H27" s="1" t="s">
        <v>239</v>
      </c>
      <c r="I27" s="1" t="s">
        <v>240</v>
      </c>
    </row>
    <row r="28" spans="1:9" x14ac:dyDescent="0.25">
      <c r="A28" s="1" t="str">
        <f t="shared" si="0"/>
        <v>01 TS</v>
      </c>
      <c r="B2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8" s="1" t="s">
        <v>3148</v>
      </c>
      <c r="D28" s="1" t="s">
        <v>112</v>
      </c>
      <c r="E28" s="1" t="s">
        <v>3149</v>
      </c>
      <c r="F28" s="1" t="s">
        <v>3150</v>
      </c>
      <c r="G28" s="1" t="s">
        <v>3151</v>
      </c>
      <c r="H28" s="1" t="s">
        <v>3152</v>
      </c>
      <c r="I28" s="1">
        <v>24</v>
      </c>
    </row>
    <row r="29" spans="1:9" x14ac:dyDescent="0.25">
      <c r="A29" s="1" t="str">
        <f t="shared" si="0"/>
        <v/>
      </c>
      <c r="B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 s="1" t="s">
        <v>112</v>
      </c>
    </row>
    <row r="30" spans="1:9" x14ac:dyDescent="0.25">
      <c r="A30" s="1" t="str">
        <f t="shared" si="0"/>
        <v/>
      </c>
      <c r="B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0" s="1" t="s">
        <v>112</v>
      </c>
    </row>
    <row r="31" spans="1:9" x14ac:dyDescent="0.25">
      <c r="A31" s="1" t="str">
        <f t="shared" si="0"/>
        <v/>
      </c>
      <c r="B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1" s="1" t="s">
        <v>112</v>
      </c>
    </row>
    <row r="32" spans="1:9" x14ac:dyDescent="0.25">
      <c r="A32" s="1" t="str">
        <f t="shared" si="0"/>
        <v/>
      </c>
      <c r="B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 s="1" t="s">
        <v>112</v>
      </c>
    </row>
    <row r="33" spans="1:7" x14ac:dyDescent="0.25">
      <c r="A33" s="1" t="str">
        <f t="shared" si="0"/>
        <v/>
      </c>
      <c r="B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 s="1" t="s">
        <v>112</v>
      </c>
    </row>
    <row r="34" spans="1:7" x14ac:dyDescent="0.25">
      <c r="A34" s="1" t="str">
        <f t="shared" si="0"/>
        <v/>
      </c>
      <c r="B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4" s="1" t="s">
        <v>246</v>
      </c>
      <c r="D34" s="1" t="s">
        <v>110</v>
      </c>
      <c r="E34" s="1" t="s">
        <v>111</v>
      </c>
      <c r="F34" s="1" t="s">
        <v>112</v>
      </c>
      <c r="G34" s="1" t="s">
        <v>113</v>
      </c>
    </row>
    <row r="35" spans="1:7" x14ac:dyDescent="0.25">
      <c r="A35" s="1" t="str">
        <f t="shared" si="0"/>
        <v>02 EE2 34</v>
      </c>
      <c r="B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5" s="1" t="s">
        <v>3153</v>
      </c>
      <c r="D35" s="1" t="s">
        <v>2428</v>
      </c>
      <c r="E35" s="1" t="s">
        <v>3154</v>
      </c>
      <c r="F35" s="1" t="s">
        <v>112</v>
      </c>
      <c r="G35" s="1">
        <v>554872</v>
      </c>
    </row>
    <row r="36" spans="1:7" x14ac:dyDescent="0.25">
      <c r="A36" s="1" t="str">
        <f t="shared" si="0"/>
        <v>02 EE2 34</v>
      </c>
      <c r="B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 s="1" t="s">
        <v>3155</v>
      </c>
      <c r="D36" s="1" t="s">
        <v>3156</v>
      </c>
      <c r="E36" s="1" t="s">
        <v>3157</v>
      </c>
      <c r="F36" s="1" t="s">
        <v>112</v>
      </c>
      <c r="G36" s="1">
        <v>427774</v>
      </c>
    </row>
    <row r="37" spans="1:7" x14ac:dyDescent="0.25">
      <c r="A37" s="1" t="str">
        <f t="shared" si="0"/>
        <v>02 EE2 34</v>
      </c>
      <c r="B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7" s="1" t="s">
        <v>3158</v>
      </c>
      <c r="D37" s="1" t="s">
        <v>731</v>
      </c>
      <c r="E37" s="1" t="s">
        <v>3159</v>
      </c>
      <c r="F37" s="1" t="s">
        <v>112</v>
      </c>
      <c r="G37" s="1">
        <v>589436</v>
      </c>
    </row>
    <row r="38" spans="1:7" x14ac:dyDescent="0.25">
      <c r="A38" s="1" t="str">
        <f t="shared" si="0"/>
        <v>02 EE2 34</v>
      </c>
      <c r="B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8" s="1" t="s">
        <v>3160</v>
      </c>
      <c r="D38" s="1" t="s">
        <v>3161</v>
      </c>
      <c r="E38" s="1" t="s">
        <v>3162</v>
      </c>
      <c r="F38" s="1" t="s">
        <v>112</v>
      </c>
      <c r="G38" s="1">
        <v>137869</v>
      </c>
    </row>
    <row r="39" spans="1:7" x14ac:dyDescent="0.25">
      <c r="A39" s="1" t="str">
        <f t="shared" si="0"/>
        <v>02 EE2 34</v>
      </c>
      <c r="B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9" s="1" t="s">
        <v>3163</v>
      </c>
      <c r="D39" s="1" t="s">
        <v>303</v>
      </c>
      <c r="E39" s="1" t="s">
        <v>3164</v>
      </c>
      <c r="F39" s="1" t="s">
        <v>112</v>
      </c>
      <c r="G39" s="1">
        <v>90262</v>
      </c>
    </row>
    <row r="40" spans="1:7" x14ac:dyDescent="0.25">
      <c r="A40" s="1" t="str">
        <f t="shared" si="0"/>
        <v>02 EE2 34</v>
      </c>
      <c r="B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 s="1" t="s">
        <v>3165</v>
      </c>
      <c r="D40" s="1" t="s">
        <v>3137</v>
      </c>
      <c r="E40" s="1" t="s">
        <v>3166</v>
      </c>
      <c r="F40" s="1" t="s">
        <v>112</v>
      </c>
      <c r="G40" s="1">
        <v>70968</v>
      </c>
    </row>
    <row r="41" spans="1:7" x14ac:dyDescent="0.25">
      <c r="A41" s="1" t="str">
        <f t="shared" si="0"/>
        <v>02 EE2 34</v>
      </c>
      <c r="B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1" s="1" t="s">
        <v>3167</v>
      </c>
      <c r="D41" s="1" t="s">
        <v>322</v>
      </c>
      <c r="E41" s="1" t="s">
        <v>3168</v>
      </c>
      <c r="F41" s="1" t="s">
        <v>112</v>
      </c>
      <c r="G41" s="1">
        <v>236198</v>
      </c>
    </row>
    <row r="42" spans="1:7" x14ac:dyDescent="0.25">
      <c r="A42" s="1" t="str">
        <f t="shared" si="0"/>
        <v>02 EE2 34</v>
      </c>
      <c r="B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2" s="1" t="s">
        <v>3169</v>
      </c>
      <c r="D42" s="1" t="s">
        <v>1385</v>
      </c>
      <c r="E42" s="1" t="s">
        <v>3170</v>
      </c>
      <c r="F42" s="1" t="s">
        <v>112</v>
      </c>
      <c r="G42" s="1">
        <v>154719</v>
      </c>
    </row>
    <row r="43" spans="1:7" x14ac:dyDescent="0.25">
      <c r="A43" s="1" t="str">
        <f t="shared" si="0"/>
        <v>02 EE2 34</v>
      </c>
      <c r="B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 s="1" t="s">
        <v>3171</v>
      </c>
      <c r="D43" s="1" t="s">
        <v>745</v>
      </c>
      <c r="E43" s="1" t="s">
        <v>3172</v>
      </c>
      <c r="F43" s="1" t="s">
        <v>112</v>
      </c>
      <c r="G43" s="1">
        <v>198498</v>
      </c>
    </row>
    <row r="44" spans="1:7" x14ac:dyDescent="0.25">
      <c r="A44" s="1" t="str">
        <f t="shared" si="0"/>
        <v>02 EE2 34</v>
      </c>
      <c r="B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 s="1" t="s">
        <v>3173</v>
      </c>
      <c r="D44" s="1" t="s">
        <v>1741</v>
      </c>
      <c r="E44" s="1" t="s">
        <v>1877</v>
      </c>
      <c r="F44" s="1" t="s">
        <v>112</v>
      </c>
      <c r="G44" s="1">
        <v>18731</v>
      </c>
    </row>
    <row r="45" spans="1:7" x14ac:dyDescent="0.25">
      <c r="A45" s="1" t="str">
        <f t="shared" si="0"/>
        <v>02 EE2 34</v>
      </c>
      <c r="B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5" s="1" t="s">
        <v>3174</v>
      </c>
      <c r="D45" s="1" t="s">
        <v>871</v>
      </c>
      <c r="E45" s="1">
        <v>63</v>
      </c>
      <c r="F45" s="1" t="s">
        <v>112</v>
      </c>
      <c r="G45" s="1">
        <v>20440</v>
      </c>
    </row>
    <row r="46" spans="1:7" x14ac:dyDescent="0.25">
      <c r="A46" s="1" t="str">
        <f t="shared" si="0"/>
        <v>02 EE2 34</v>
      </c>
      <c r="B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6" s="1" t="s">
        <v>3175</v>
      </c>
      <c r="D46" s="1" t="s">
        <v>863</v>
      </c>
      <c r="E46" s="1" t="s">
        <v>3176</v>
      </c>
      <c r="F46" s="1" t="s">
        <v>112</v>
      </c>
      <c r="G46" s="1">
        <v>65993</v>
      </c>
    </row>
    <row r="47" spans="1:7" x14ac:dyDescent="0.25">
      <c r="A47" s="1" t="str">
        <f t="shared" si="0"/>
        <v>02 EE2 34</v>
      </c>
      <c r="B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 s="1" t="s">
        <v>3177</v>
      </c>
      <c r="D47" s="1" t="s">
        <v>1855</v>
      </c>
      <c r="E47" s="1" t="s">
        <v>3178</v>
      </c>
      <c r="F47" s="1" t="s">
        <v>112</v>
      </c>
      <c r="G47" s="1">
        <v>16720</v>
      </c>
    </row>
    <row r="48" spans="1:7" x14ac:dyDescent="0.25">
      <c r="A48" s="1" t="str">
        <f t="shared" si="0"/>
        <v>02 EE2 34</v>
      </c>
      <c r="B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8" s="1" t="s">
        <v>3179</v>
      </c>
      <c r="D48" s="1" t="s">
        <v>1771</v>
      </c>
      <c r="E48" s="1" t="s">
        <v>3180</v>
      </c>
      <c r="F48" s="1" t="s">
        <v>112</v>
      </c>
      <c r="G48" s="1">
        <v>15076</v>
      </c>
    </row>
    <row r="49" spans="1:9" x14ac:dyDescent="0.25">
      <c r="A49" s="1" t="str">
        <f t="shared" si="0"/>
        <v>02 EE2 34</v>
      </c>
      <c r="B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9" s="1" t="s">
        <v>3181</v>
      </c>
      <c r="D49" s="1" t="s">
        <v>1876</v>
      </c>
      <c r="E49" s="1" t="s">
        <v>3182</v>
      </c>
      <c r="F49" s="1" t="s">
        <v>112</v>
      </c>
      <c r="G49" s="1">
        <v>9647</v>
      </c>
    </row>
    <row r="50" spans="1:9" x14ac:dyDescent="0.25">
      <c r="A50" s="1" t="str">
        <f t="shared" si="0"/>
        <v>02 EE2 34</v>
      </c>
      <c r="B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0" s="1" t="s">
        <v>3183</v>
      </c>
      <c r="D50" s="1" t="s">
        <v>224</v>
      </c>
      <c r="E50" s="1" t="s">
        <v>3184</v>
      </c>
      <c r="F50" s="1" t="s">
        <v>112</v>
      </c>
      <c r="G50" s="1">
        <v>273294</v>
      </c>
    </row>
    <row r="51" spans="1:9" x14ac:dyDescent="0.25">
      <c r="A51" s="1" t="str">
        <f t="shared" si="0"/>
        <v>02 EE2 34</v>
      </c>
      <c r="B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 s="1" t="s">
        <v>3185</v>
      </c>
      <c r="D51" s="1" t="s">
        <v>2710</v>
      </c>
      <c r="E51" s="1" t="s">
        <v>3186</v>
      </c>
      <c r="F51" s="1" t="s">
        <v>112</v>
      </c>
      <c r="G51" s="1">
        <v>157682</v>
      </c>
    </row>
    <row r="52" spans="1:9" x14ac:dyDescent="0.25">
      <c r="A52" s="1" t="str">
        <f t="shared" si="0"/>
        <v>02 EE2 34</v>
      </c>
      <c r="B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2" s="1" t="s">
        <v>3187</v>
      </c>
    </row>
    <row r="53" spans="1:9" x14ac:dyDescent="0.25">
      <c r="A53" s="1" t="str">
        <f t="shared" si="0"/>
        <v>02 EE2 34</v>
      </c>
      <c r="B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3" s="1" t="s">
        <v>3188</v>
      </c>
      <c r="D53" s="1" t="s">
        <v>790</v>
      </c>
      <c r="E53" s="1" t="s">
        <v>3189</v>
      </c>
      <c r="F53" s="1" t="s">
        <v>112</v>
      </c>
      <c r="G53" s="1">
        <v>106203</v>
      </c>
    </row>
    <row r="54" spans="1:9" x14ac:dyDescent="0.25">
      <c r="A54" s="1" t="str">
        <f t="shared" si="0"/>
        <v>02 EE2 34</v>
      </c>
      <c r="B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 s="1" t="s">
        <v>3190</v>
      </c>
      <c r="D54" s="1" t="s">
        <v>2368</v>
      </c>
      <c r="E54" s="1" t="s">
        <v>3191</v>
      </c>
      <c r="F54" s="1" t="s">
        <v>112</v>
      </c>
      <c r="G54" s="1">
        <v>138193</v>
      </c>
    </row>
    <row r="55" spans="1:9" x14ac:dyDescent="0.25">
      <c r="A55" s="1" t="str">
        <f t="shared" si="0"/>
        <v>02 EE2 34</v>
      </c>
      <c r="B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 s="1" t="s">
        <v>3192</v>
      </c>
      <c r="D55" s="1" t="s">
        <v>368</v>
      </c>
      <c r="E55" s="1" t="s">
        <v>3193</v>
      </c>
      <c r="F55" s="1" t="s">
        <v>112</v>
      </c>
      <c r="G55" s="1">
        <v>145007</v>
      </c>
    </row>
    <row r="56" spans="1:9" x14ac:dyDescent="0.25">
      <c r="A56" s="1" t="str">
        <f t="shared" si="0"/>
        <v>02 EE2 34</v>
      </c>
      <c r="B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6" s="1" t="s">
        <v>3194</v>
      </c>
      <c r="D56" s="1" t="s">
        <v>823</v>
      </c>
      <c r="E56" s="1" t="s">
        <v>3195</v>
      </c>
      <c r="F56" s="1" t="s">
        <v>112</v>
      </c>
      <c r="G56" s="1">
        <v>181778</v>
      </c>
    </row>
    <row r="57" spans="1:9" x14ac:dyDescent="0.25">
      <c r="A57" s="1" t="str">
        <f t="shared" si="0"/>
        <v>02 EE2 34</v>
      </c>
      <c r="B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7" s="1" t="s">
        <v>3196</v>
      </c>
      <c r="D57" s="1" t="s">
        <v>2195</v>
      </c>
      <c r="E57" s="1" t="s">
        <v>3197</v>
      </c>
      <c r="F57" s="1" t="s">
        <v>112</v>
      </c>
      <c r="G57" s="1">
        <v>355055</v>
      </c>
    </row>
    <row r="58" spans="1:9" x14ac:dyDescent="0.25">
      <c r="A58" s="1" t="str">
        <f t="shared" si="0"/>
        <v>02 EE2 34</v>
      </c>
      <c r="B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 s="1" t="s">
        <v>3198</v>
      </c>
      <c r="D58" s="1" t="s">
        <v>1239</v>
      </c>
      <c r="E58" s="1" t="s">
        <v>3199</v>
      </c>
      <c r="F58" s="1" t="s">
        <v>112</v>
      </c>
      <c r="G58" s="1">
        <v>197351</v>
      </c>
    </row>
    <row r="59" spans="1:9" x14ac:dyDescent="0.25">
      <c r="A59" s="1" t="str">
        <f t="shared" si="0"/>
        <v/>
      </c>
      <c r="B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 s="1" t="s">
        <v>112</v>
      </c>
    </row>
    <row r="60" spans="1:9" x14ac:dyDescent="0.25">
      <c r="A60" s="1" t="str">
        <f t="shared" si="0"/>
        <v/>
      </c>
      <c r="B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0" s="1" t="s">
        <v>235</v>
      </c>
      <c r="D60" s="1" t="s">
        <v>112</v>
      </c>
      <c r="E60" s="1" t="s">
        <v>236</v>
      </c>
      <c r="F60" s="1" t="s">
        <v>237</v>
      </c>
      <c r="G60" s="1" t="s">
        <v>238</v>
      </c>
      <c r="H60" s="1" t="s">
        <v>239</v>
      </c>
      <c r="I60" s="1" t="s">
        <v>240</v>
      </c>
    </row>
    <row r="61" spans="1:9" x14ac:dyDescent="0.25">
      <c r="A61" s="1" t="str">
        <f t="shared" si="0"/>
        <v>02 EE2 34</v>
      </c>
      <c r="B6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1" s="1" t="s">
        <v>3200</v>
      </c>
      <c r="D61" s="1" t="s">
        <v>112</v>
      </c>
      <c r="E61" s="1" t="s">
        <v>3201</v>
      </c>
      <c r="F61" s="1" t="s">
        <v>3202</v>
      </c>
      <c r="G61" s="1" t="s">
        <v>3203</v>
      </c>
      <c r="H61" s="1" t="s">
        <v>3204</v>
      </c>
      <c r="I61" s="1">
        <v>24</v>
      </c>
    </row>
    <row r="62" spans="1:9" x14ac:dyDescent="0.25">
      <c r="A62" s="1" t="str">
        <f t="shared" si="0"/>
        <v/>
      </c>
      <c r="B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 s="1" t="s">
        <v>112</v>
      </c>
    </row>
    <row r="63" spans="1:9" x14ac:dyDescent="0.25">
      <c r="A63" s="1" t="str">
        <f t="shared" si="0"/>
        <v/>
      </c>
      <c r="B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3" s="1" t="s">
        <v>112</v>
      </c>
    </row>
    <row r="64" spans="1:9" x14ac:dyDescent="0.25">
      <c r="A64" s="1" t="str">
        <f t="shared" si="0"/>
        <v/>
      </c>
      <c r="B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4" s="1" t="s">
        <v>112</v>
      </c>
    </row>
    <row r="65" spans="1:7" x14ac:dyDescent="0.25">
      <c r="A65" s="1" t="str">
        <f t="shared" si="0"/>
        <v/>
      </c>
      <c r="B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 s="1" t="s">
        <v>112</v>
      </c>
    </row>
    <row r="66" spans="1:7" x14ac:dyDescent="0.25">
      <c r="A66" s="1" t="str">
        <f t="shared" ref="A66:A129" si="1">IFERROR(LEFT(RIGHT(C66,LEN(C66)-SEARCH("@",C66)),SEARCH("/",RIGHT(C66,LEN(C66)-SEARCH("@",C66)-1))),"")</f>
        <v/>
      </c>
      <c r="B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 s="1" t="s">
        <v>112</v>
      </c>
    </row>
    <row r="67" spans="1:7" x14ac:dyDescent="0.25">
      <c r="A67" s="1" t="str">
        <f t="shared" si="1"/>
        <v/>
      </c>
      <c r="B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7" s="1" t="s">
        <v>246</v>
      </c>
      <c r="D67" s="1" t="s">
        <v>110</v>
      </c>
      <c r="E67" s="1" t="s">
        <v>111</v>
      </c>
      <c r="F67" s="1" t="s">
        <v>112</v>
      </c>
      <c r="G67" s="1" t="s">
        <v>113</v>
      </c>
    </row>
    <row r="68" spans="1:7" x14ac:dyDescent="0.25">
      <c r="A68" s="1" t="str">
        <f t="shared" si="1"/>
        <v>03 EE2 51</v>
      </c>
      <c r="B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8" s="1" t="s">
        <v>3205</v>
      </c>
      <c r="D68" s="1" t="s">
        <v>812</v>
      </c>
      <c r="E68" s="1" t="s">
        <v>3206</v>
      </c>
      <c r="F68" s="1" t="s">
        <v>112</v>
      </c>
      <c r="G68" s="1">
        <v>62878</v>
      </c>
    </row>
    <row r="69" spans="1:7" x14ac:dyDescent="0.25">
      <c r="A69" s="1" t="str">
        <f t="shared" si="1"/>
        <v>03 EE2 51</v>
      </c>
      <c r="B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9" s="1" t="s">
        <v>3207</v>
      </c>
      <c r="D69" s="1" t="s">
        <v>3126</v>
      </c>
      <c r="E69" s="1" t="s">
        <v>3208</v>
      </c>
      <c r="F69" s="1" t="s">
        <v>112</v>
      </c>
      <c r="G69" s="1">
        <v>58552</v>
      </c>
    </row>
    <row r="70" spans="1:7" x14ac:dyDescent="0.25">
      <c r="A70" s="1" t="str">
        <f t="shared" si="1"/>
        <v>03 EE2 51</v>
      </c>
      <c r="B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70" s="1" t="s">
        <v>3209</v>
      </c>
      <c r="D70" s="1" t="s">
        <v>3210</v>
      </c>
      <c r="E70" s="1" t="s">
        <v>3211</v>
      </c>
      <c r="F70" s="1" t="s">
        <v>112</v>
      </c>
      <c r="G70" s="1">
        <v>177776</v>
      </c>
    </row>
    <row r="71" spans="1:7" x14ac:dyDescent="0.25">
      <c r="A71" s="1" t="str">
        <f t="shared" si="1"/>
        <v>03 EE2 51</v>
      </c>
      <c r="B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1" s="1" t="s">
        <v>3212</v>
      </c>
      <c r="D71" s="1" t="s">
        <v>224</v>
      </c>
      <c r="E71" s="1" t="s">
        <v>3213</v>
      </c>
      <c r="F71" s="1" t="s">
        <v>112</v>
      </c>
      <c r="G71" s="1">
        <v>268989</v>
      </c>
    </row>
    <row r="72" spans="1:7" x14ac:dyDescent="0.25">
      <c r="A72" s="1" t="str">
        <f t="shared" si="1"/>
        <v>03 EE2 51</v>
      </c>
      <c r="B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2" s="1" t="s">
        <v>3214</v>
      </c>
      <c r="D72" s="1" t="s">
        <v>424</v>
      </c>
      <c r="E72" s="1" t="s">
        <v>3215</v>
      </c>
      <c r="F72" s="1" t="s">
        <v>112</v>
      </c>
      <c r="G72" s="1">
        <v>217402</v>
      </c>
    </row>
    <row r="73" spans="1:7" x14ac:dyDescent="0.25">
      <c r="A73" s="1" t="str">
        <f t="shared" si="1"/>
        <v>03 EE2 51</v>
      </c>
      <c r="B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73" s="1" t="s">
        <v>3216</v>
      </c>
      <c r="D73" s="1" t="s">
        <v>362</v>
      </c>
      <c r="E73" s="1" t="s">
        <v>3217</v>
      </c>
      <c r="F73" s="1" t="s">
        <v>112</v>
      </c>
      <c r="G73" s="1">
        <v>91019</v>
      </c>
    </row>
    <row r="74" spans="1:7" x14ac:dyDescent="0.25">
      <c r="A74" s="1" t="str">
        <f t="shared" si="1"/>
        <v>03 EE2 51</v>
      </c>
      <c r="B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4" s="1" t="s">
        <v>3218</v>
      </c>
      <c r="D74" s="1" t="s">
        <v>2296</v>
      </c>
      <c r="E74" s="1" t="s">
        <v>3219</v>
      </c>
      <c r="F74" s="1" t="s">
        <v>112</v>
      </c>
      <c r="G74" s="1">
        <v>351897</v>
      </c>
    </row>
    <row r="75" spans="1:7" x14ac:dyDescent="0.25">
      <c r="A75" s="1" t="str">
        <f t="shared" si="1"/>
        <v>03 EE2 51</v>
      </c>
      <c r="B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5" s="1" t="s">
        <v>3220</v>
      </c>
      <c r="D75" s="1" t="s">
        <v>1007</v>
      </c>
      <c r="E75" s="1" t="s">
        <v>3221</v>
      </c>
      <c r="F75" s="1" t="s">
        <v>112</v>
      </c>
      <c r="G75" s="1">
        <v>890935</v>
      </c>
    </row>
    <row r="76" spans="1:7" x14ac:dyDescent="0.25">
      <c r="A76" s="1" t="str">
        <f t="shared" si="1"/>
        <v>03 EE2 51</v>
      </c>
      <c r="B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76" s="1" t="s">
        <v>3222</v>
      </c>
      <c r="D76" s="1" t="s">
        <v>2932</v>
      </c>
      <c r="E76" s="1" t="s">
        <v>3223</v>
      </c>
      <c r="F76" s="1" t="s">
        <v>112</v>
      </c>
      <c r="G76" s="1">
        <v>652401</v>
      </c>
    </row>
    <row r="77" spans="1:7" x14ac:dyDescent="0.25">
      <c r="A77" s="1" t="str">
        <f t="shared" si="1"/>
        <v>03 EE2 51</v>
      </c>
      <c r="B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7" s="1" t="s">
        <v>3224</v>
      </c>
      <c r="D77" s="1" t="s">
        <v>421</v>
      </c>
      <c r="E77" s="1" t="s">
        <v>3225</v>
      </c>
      <c r="F77" s="1" t="s">
        <v>112</v>
      </c>
      <c r="G77" s="1">
        <v>246970</v>
      </c>
    </row>
    <row r="78" spans="1:7" x14ac:dyDescent="0.25">
      <c r="A78" s="1" t="str">
        <f t="shared" si="1"/>
        <v>03 EE2 51</v>
      </c>
      <c r="B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8" s="1" t="s">
        <v>3226</v>
      </c>
      <c r="D78" s="1" t="s">
        <v>2203</v>
      </c>
      <c r="E78" s="1" t="s">
        <v>3227</v>
      </c>
      <c r="F78" s="1" t="s">
        <v>112</v>
      </c>
      <c r="G78" s="1">
        <v>245218</v>
      </c>
    </row>
    <row r="79" spans="1:7" x14ac:dyDescent="0.25">
      <c r="A79" s="1" t="str">
        <f t="shared" si="1"/>
        <v>03 EE2 51</v>
      </c>
      <c r="B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79" s="1" t="s">
        <v>3228</v>
      </c>
      <c r="D79" s="1" t="s">
        <v>1806</v>
      </c>
      <c r="E79" s="1" t="s">
        <v>3229</v>
      </c>
      <c r="F79" s="1" t="s">
        <v>112</v>
      </c>
      <c r="G79" s="1">
        <v>179896</v>
      </c>
    </row>
    <row r="80" spans="1:7" x14ac:dyDescent="0.25">
      <c r="A80" s="1" t="str">
        <f t="shared" si="1"/>
        <v>03 EE2 51</v>
      </c>
      <c r="B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0" s="1" t="s">
        <v>3230</v>
      </c>
      <c r="D80" s="1" t="s">
        <v>1842</v>
      </c>
      <c r="E80" s="1" t="s">
        <v>3231</v>
      </c>
      <c r="F80" s="1" t="s">
        <v>112</v>
      </c>
      <c r="G80" s="1">
        <v>53923</v>
      </c>
    </row>
    <row r="81" spans="1:9" x14ac:dyDescent="0.25">
      <c r="A81" s="1" t="str">
        <f t="shared" si="1"/>
        <v>03 EE2 51</v>
      </c>
      <c r="B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1" s="1" t="s">
        <v>3232</v>
      </c>
      <c r="D81" s="1" t="s">
        <v>303</v>
      </c>
      <c r="E81" s="1" t="s">
        <v>3233</v>
      </c>
      <c r="F81" s="1" t="s">
        <v>112</v>
      </c>
      <c r="G81" s="1">
        <v>93593</v>
      </c>
    </row>
    <row r="82" spans="1:9" x14ac:dyDescent="0.25">
      <c r="A82" s="1" t="str">
        <f t="shared" si="1"/>
        <v>03 EE2 51</v>
      </c>
      <c r="B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82" s="1" t="s">
        <v>3234</v>
      </c>
      <c r="D82" s="1" t="s">
        <v>710</v>
      </c>
      <c r="E82" s="1" t="s">
        <v>3235</v>
      </c>
      <c r="F82" s="1" t="s">
        <v>112</v>
      </c>
      <c r="G82" s="1">
        <v>23836</v>
      </c>
    </row>
    <row r="83" spans="1:9" x14ac:dyDescent="0.25">
      <c r="A83" s="1" t="str">
        <f t="shared" si="1"/>
        <v>03 EE2 51</v>
      </c>
      <c r="B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3" s="1" t="s">
        <v>3236</v>
      </c>
      <c r="D83" s="1" t="s">
        <v>767</v>
      </c>
      <c r="E83" s="1">
        <v>65</v>
      </c>
      <c r="F83" s="1" t="s">
        <v>112</v>
      </c>
      <c r="G83" s="1">
        <v>61861</v>
      </c>
    </row>
    <row r="84" spans="1:9" x14ac:dyDescent="0.25">
      <c r="A84" s="1" t="str">
        <f t="shared" si="1"/>
        <v>03 EE2 51</v>
      </c>
      <c r="B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4" s="1" t="s">
        <v>3237</v>
      </c>
      <c r="D84" s="1" t="s">
        <v>3047</v>
      </c>
      <c r="E84" s="1" t="s">
        <v>3238</v>
      </c>
      <c r="F84" s="1" t="s">
        <v>112</v>
      </c>
      <c r="G84" s="1">
        <v>119721</v>
      </c>
    </row>
    <row r="85" spans="1:9" x14ac:dyDescent="0.25">
      <c r="A85" s="1" t="str">
        <f t="shared" si="1"/>
        <v>03 EE2 51</v>
      </c>
      <c r="B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85" s="1" t="s">
        <v>3239</v>
      </c>
      <c r="D85" s="1" t="s">
        <v>1885</v>
      </c>
      <c r="E85" s="1" t="s">
        <v>3240</v>
      </c>
      <c r="F85" s="1" t="s">
        <v>112</v>
      </c>
      <c r="G85" s="1">
        <v>33353</v>
      </c>
    </row>
    <row r="86" spans="1:9" x14ac:dyDescent="0.25">
      <c r="A86" s="1" t="str">
        <f t="shared" si="1"/>
        <v>03 EE2 51</v>
      </c>
      <c r="B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6" s="1" t="s">
        <v>3241</v>
      </c>
      <c r="D86" s="1" t="s">
        <v>2296</v>
      </c>
      <c r="E86" s="1" t="s">
        <v>3242</v>
      </c>
      <c r="F86" s="1" t="s">
        <v>112</v>
      </c>
      <c r="G86" s="1">
        <v>353086</v>
      </c>
    </row>
    <row r="87" spans="1:9" x14ac:dyDescent="0.25">
      <c r="A87" s="1" t="str">
        <f t="shared" si="1"/>
        <v>03 EE2 51</v>
      </c>
      <c r="B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7" s="1" t="s">
        <v>3243</v>
      </c>
      <c r="D87" s="1" t="s">
        <v>147</v>
      </c>
      <c r="E87" s="1" t="s">
        <v>3244</v>
      </c>
      <c r="F87" s="1" t="s">
        <v>112</v>
      </c>
      <c r="G87" s="1">
        <v>347701</v>
      </c>
    </row>
    <row r="88" spans="1:9" x14ac:dyDescent="0.25">
      <c r="A88" s="1" t="str">
        <f t="shared" si="1"/>
        <v>03 EE2 51</v>
      </c>
      <c r="B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88" s="1" t="s">
        <v>3245</v>
      </c>
      <c r="D88" s="1" t="s">
        <v>779</v>
      </c>
      <c r="E88" s="1" t="s">
        <v>3246</v>
      </c>
      <c r="F88" s="1" t="s">
        <v>112</v>
      </c>
      <c r="G88" s="1">
        <v>329596</v>
      </c>
    </row>
    <row r="89" spans="1:9" x14ac:dyDescent="0.25">
      <c r="A89" s="1" t="str">
        <f t="shared" si="1"/>
        <v>03 EE2 51</v>
      </c>
      <c r="B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89" s="1" t="s">
        <v>3247</v>
      </c>
      <c r="D89" s="1" t="s">
        <v>3248</v>
      </c>
      <c r="E89" s="1" t="s">
        <v>3182</v>
      </c>
      <c r="F89" s="1" t="s">
        <v>112</v>
      </c>
      <c r="G89" s="1">
        <v>106116</v>
      </c>
    </row>
    <row r="90" spans="1:9" x14ac:dyDescent="0.25">
      <c r="A90" s="1" t="str">
        <f t="shared" si="1"/>
        <v>03 EE2 51</v>
      </c>
      <c r="B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0" s="1" t="s">
        <v>3249</v>
      </c>
      <c r="D90" s="1" t="s">
        <v>1285</v>
      </c>
      <c r="E90" s="1" t="s">
        <v>3250</v>
      </c>
      <c r="F90" s="1" t="s">
        <v>112</v>
      </c>
      <c r="G90" s="1">
        <v>31601</v>
      </c>
    </row>
    <row r="91" spans="1:9" x14ac:dyDescent="0.25">
      <c r="A91" s="1" t="str">
        <f t="shared" si="1"/>
        <v>03 EE2 51</v>
      </c>
      <c r="B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91" s="1" t="s">
        <v>3251</v>
      </c>
    </row>
    <row r="92" spans="1:9" x14ac:dyDescent="0.25">
      <c r="A92" s="1" t="str">
        <f t="shared" si="1"/>
        <v/>
      </c>
      <c r="B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2" s="1" t="s">
        <v>112</v>
      </c>
    </row>
    <row r="93" spans="1:9" x14ac:dyDescent="0.25">
      <c r="A93" s="1" t="str">
        <f t="shared" si="1"/>
        <v/>
      </c>
      <c r="B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3" s="1" t="s">
        <v>235</v>
      </c>
      <c r="D93" s="1" t="s">
        <v>112</v>
      </c>
      <c r="E93" s="1" t="s">
        <v>236</v>
      </c>
      <c r="F93" s="1" t="s">
        <v>237</v>
      </c>
      <c r="G93" s="1" t="s">
        <v>238</v>
      </c>
      <c r="H93" s="1" t="s">
        <v>239</v>
      </c>
      <c r="I93" s="1" t="s">
        <v>240</v>
      </c>
    </row>
    <row r="94" spans="1:9" x14ac:dyDescent="0.25">
      <c r="A94" s="1" t="str">
        <f t="shared" si="1"/>
        <v>03 EE2 51</v>
      </c>
      <c r="B9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94" s="1" t="s">
        <v>3252</v>
      </c>
      <c r="D94" s="1" t="s">
        <v>112</v>
      </c>
      <c r="E94" s="1" t="s">
        <v>3253</v>
      </c>
      <c r="F94" s="1" t="s">
        <v>3254</v>
      </c>
      <c r="G94" s="1" t="s">
        <v>3255</v>
      </c>
      <c r="H94" s="1" t="s">
        <v>3256</v>
      </c>
      <c r="I94" s="1">
        <v>24</v>
      </c>
    </row>
    <row r="95" spans="1:9" x14ac:dyDescent="0.25">
      <c r="A95" s="1" t="str">
        <f t="shared" si="1"/>
        <v/>
      </c>
      <c r="B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5" s="1" t="s">
        <v>112</v>
      </c>
    </row>
    <row r="96" spans="1:9" x14ac:dyDescent="0.25">
      <c r="A96" s="1" t="str">
        <f t="shared" si="1"/>
        <v/>
      </c>
      <c r="B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6" s="1" t="s">
        <v>112</v>
      </c>
    </row>
    <row r="97" spans="1:7" x14ac:dyDescent="0.25">
      <c r="A97" s="1" t="str">
        <f t="shared" si="1"/>
        <v/>
      </c>
      <c r="B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7" s="1" t="s">
        <v>112</v>
      </c>
    </row>
    <row r="98" spans="1:7" x14ac:dyDescent="0.25">
      <c r="A98" s="1" t="str">
        <f t="shared" si="1"/>
        <v/>
      </c>
      <c r="B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8" s="1" t="s">
        <v>112</v>
      </c>
    </row>
    <row r="99" spans="1:7" x14ac:dyDescent="0.25">
      <c r="A99" s="1" t="str">
        <f t="shared" si="1"/>
        <v/>
      </c>
      <c r="B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99" s="1" t="s">
        <v>112</v>
      </c>
    </row>
    <row r="100" spans="1:7" x14ac:dyDescent="0.25">
      <c r="A100" s="1" t="str">
        <f t="shared" si="1"/>
        <v/>
      </c>
      <c r="B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00" s="1" t="s">
        <v>246</v>
      </c>
      <c r="D100" s="1" t="s">
        <v>110</v>
      </c>
      <c r="E100" s="1" t="s">
        <v>111</v>
      </c>
      <c r="F100" s="1" t="s">
        <v>112</v>
      </c>
      <c r="G100" s="1" t="s">
        <v>113</v>
      </c>
    </row>
    <row r="101" spans="1:7" x14ac:dyDescent="0.25">
      <c r="A101" s="1" t="str">
        <f t="shared" si="1"/>
        <v>04 EE2 76</v>
      </c>
      <c r="B1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1" s="1" t="s">
        <v>3257</v>
      </c>
      <c r="D101" s="1" t="s">
        <v>3258</v>
      </c>
      <c r="E101" s="1" t="s">
        <v>3259</v>
      </c>
      <c r="F101" s="1" t="s">
        <v>112</v>
      </c>
      <c r="G101" s="1">
        <v>151712</v>
      </c>
    </row>
    <row r="102" spans="1:7" x14ac:dyDescent="0.25">
      <c r="A102" s="1" t="str">
        <f t="shared" si="1"/>
        <v>04 EE2 76</v>
      </c>
      <c r="B1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2" s="1" t="s">
        <v>3260</v>
      </c>
      <c r="D102" s="1" t="s">
        <v>725</v>
      </c>
      <c r="E102" s="1" t="s">
        <v>3261</v>
      </c>
      <c r="F102" s="1" t="s">
        <v>112</v>
      </c>
      <c r="G102" s="1">
        <v>241671</v>
      </c>
    </row>
    <row r="103" spans="1:7" x14ac:dyDescent="0.25">
      <c r="A103" s="1" t="str">
        <f t="shared" si="1"/>
        <v>04 EE2 76</v>
      </c>
      <c r="B1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03" s="1" t="s">
        <v>3262</v>
      </c>
      <c r="D103" s="1" t="s">
        <v>403</v>
      </c>
      <c r="E103" s="1" t="s">
        <v>3263</v>
      </c>
      <c r="F103" s="1" t="s">
        <v>112</v>
      </c>
      <c r="G103" s="1">
        <v>126405</v>
      </c>
    </row>
    <row r="104" spans="1:7" x14ac:dyDescent="0.25">
      <c r="A104" s="1" t="str">
        <f t="shared" si="1"/>
        <v>04 EE2 76</v>
      </c>
      <c r="B1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4" s="1" t="s">
        <v>3264</v>
      </c>
      <c r="D104" s="1" t="s">
        <v>3265</v>
      </c>
      <c r="E104" s="1" t="s">
        <v>3266</v>
      </c>
      <c r="F104" s="1" t="s">
        <v>112</v>
      </c>
      <c r="G104" s="1">
        <v>397904</v>
      </c>
    </row>
    <row r="105" spans="1:7" x14ac:dyDescent="0.25">
      <c r="A105" s="1" t="str">
        <f t="shared" si="1"/>
        <v>04 EE2 76</v>
      </c>
      <c r="B1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5" s="1" t="s">
        <v>3267</v>
      </c>
      <c r="D105" s="1" t="s">
        <v>2237</v>
      </c>
      <c r="E105" s="1" t="s">
        <v>3268</v>
      </c>
      <c r="F105" s="1" t="s">
        <v>112</v>
      </c>
      <c r="G105" s="1">
        <v>121300</v>
      </c>
    </row>
    <row r="106" spans="1:7" x14ac:dyDescent="0.25">
      <c r="A106" s="1" t="str">
        <f t="shared" si="1"/>
        <v>04 EE2 76</v>
      </c>
      <c r="B1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06" s="1" t="s">
        <v>3269</v>
      </c>
      <c r="D106" s="1" t="s">
        <v>1298</v>
      </c>
      <c r="E106" s="1" t="s">
        <v>3270</v>
      </c>
      <c r="F106" s="1" t="s">
        <v>112</v>
      </c>
      <c r="G106" s="1">
        <v>489549</v>
      </c>
    </row>
    <row r="107" spans="1:7" x14ac:dyDescent="0.25">
      <c r="A107" s="1" t="str">
        <f t="shared" si="1"/>
        <v>04 EE2 76</v>
      </c>
      <c r="B1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7" s="1" t="s">
        <v>3271</v>
      </c>
      <c r="D107" s="1" t="s">
        <v>1244</v>
      </c>
      <c r="E107" s="1" t="s">
        <v>3272</v>
      </c>
      <c r="F107" s="1" t="s">
        <v>112</v>
      </c>
      <c r="G107" s="1">
        <v>231764</v>
      </c>
    </row>
    <row r="108" spans="1:7" x14ac:dyDescent="0.25">
      <c r="A108" s="1" t="str">
        <f t="shared" si="1"/>
        <v>04 EE2 76</v>
      </c>
      <c r="B1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8" s="1" t="s">
        <v>3273</v>
      </c>
      <c r="D108" s="1" t="s">
        <v>195</v>
      </c>
      <c r="E108" s="1" t="s">
        <v>3274</v>
      </c>
      <c r="F108" s="1" t="s">
        <v>112</v>
      </c>
      <c r="G108" s="1">
        <v>500191</v>
      </c>
    </row>
    <row r="109" spans="1:7" x14ac:dyDescent="0.25">
      <c r="A109" s="1" t="str">
        <f t="shared" si="1"/>
        <v>04 EE2 76</v>
      </c>
      <c r="B1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09" s="1" t="s">
        <v>3275</v>
      </c>
      <c r="D109" s="1" t="s">
        <v>2417</v>
      </c>
      <c r="E109" s="1" t="s">
        <v>3276</v>
      </c>
      <c r="F109" s="1" t="s">
        <v>112</v>
      </c>
      <c r="G109" s="1">
        <v>447760</v>
      </c>
    </row>
    <row r="110" spans="1:7" x14ac:dyDescent="0.25">
      <c r="A110" s="1" t="str">
        <f t="shared" si="1"/>
        <v>04 EE2 76</v>
      </c>
      <c r="B1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0" s="1" t="s">
        <v>3277</v>
      </c>
      <c r="D110" s="1" t="s">
        <v>3278</v>
      </c>
      <c r="E110" s="1" t="s">
        <v>3279</v>
      </c>
      <c r="F110" s="1" t="s">
        <v>112</v>
      </c>
      <c r="G110" s="1">
        <v>243855</v>
      </c>
    </row>
    <row r="111" spans="1:7" x14ac:dyDescent="0.25">
      <c r="A111" s="1" t="str">
        <f t="shared" si="1"/>
        <v>04 EE2 76</v>
      </c>
      <c r="B1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1" s="1" t="s">
        <v>3280</v>
      </c>
      <c r="D111" s="1" t="s">
        <v>445</v>
      </c>
      <c r="E111" s="1" t="s">
        <v>3281</v>
      </c>
      <c r="F111" s="1" t="s">
        <v>112</v>
      </c>
      <c r="G111" s="1">
        <v>124718</v>
      </c>
    </row>
    <row r="112" spans="1:7" x14ac:dyDescent="0.25">
      <c r="A112" s="1" t="str">
        <f t="shared" si="1"/>
        <v>04 EE2 76</v>
      </c>
      <c r="B1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12" s="1" t="s">
        <v>3282</v>
      </c>
      <c r="D112" s="1" t="s">
        <v>734</v>
      </c>
      <c r="E112" s="1" t="s">
        <v>3283</v>
      </c>
      <c r="F112" s="1" t="s">
        <v>112</v>
      </c>
      <c r="G112" s="1">
        <v>270677</v>
      </c>
    </row>
    <row r="113" spans="1:9" x14ac:dyDescent="0.25">
      <c r="A113" s="1" t="str">
        <f t="shared" si="1"/>
        <v>04 EE2 76</v>
      </c>
      <c r="B1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3" s="1" t="s">
        <v>3284</v>
      </c>
      <c r="D113" s="1" t="s">
        <v>1285</v>
      </c>
      <c r="E113" s="1" t="s">
        <v>3285</v>
      </c>
      <c r="F113" s="1" t="s">
        <v>112</v>
      </c>
      <c r="G113" s="1">
        <v>31471</v>
      </c>
    </row>
    <row r="114" spans="1:9" x14ac:dyDescent="0.25">
      <c r="A114" s="1" t="str">
        <f t="shared" si="1"/>
        <v>04 EE2 76</v>
      </c>
      <c r="B1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4" s="1" t="s">
        <v>3286</v>
      </c>
      <c r="D114" s="1" t="s">
        <v>802</v>
      </c>
      <c r="E114" s="1" t="s">
        <v>3287</v>
      </c>
      <c r="F114" s="1" t="s">
        <v>112</v>
      </c>
      <c r="G114" s="1">
        <v>24399</v>
      </c>
    </row>
    <row r="115" spans="1:9" x14ac:dyDescent="0.25">
      <c r="A115" s="1" t="str">
        <f t="shared" si="1"/>
        <v>04 EE2 76</v>
      </c>
      <c r="B1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15" s="1" t="s">
        <v>3288</v>
      </c>
      <c r="D115" s="1" t="s">
        <v>3289</v>
      </c>
      <c r="E115" s="1" t="s">
        <v>3290</v>
      </c>
      <c r="F115" s="1" t="s">
        <v>112</v>
      </c>
      <c r="G115" s="1">
        <v>12372</v>
      </c>
    </row>
    <row r="116" spans="1:9" x14ac:dyDescent="0.25">
      <c r="A116" s="1" t="str">
        <f t="shared" si="1"/>
        <v>04 EE2 76</v>
      </c>
      <c r="B1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6" s="1" t="s">
        <v>3291</v>
      </c>
      <c r="D116" s="1" t="s">
        <v>176</v>
      </c>
      <c r="E116" s="1" t="s">
        <v>3292</v>
      </c>
      <c r="F116" s="1" t="s">
        <v>112</v>
      </c>
      <c r="G116" s="1">
        <v>102569</v>
      </c>
    </row>
    <row r="117" spans="1:9" x14ac:dyDescent="0.25">
      <c r="A117" s="1" t="str">
        <f t="shared" si="1"/>
        <v>04 EE2 76</v>
      </c>
      <c r="B1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7" s="1" t="s">
        <v>3293</v>
      </c>
      <c r="D117" s="1" t="s">
        <v>3294</v>
      </c>
      <c r="E117" s="1" t="s">
        <v>3295</v>
      </c>
      <c r="F117" s="1" t="s">
        <v>112</v>
      </c>
      <c r="G117" s="1">
        <v>237150</v>
      </c>
    </row>
    <row r="118" spans="1:9" x14ac:dyDescent="0.25">
      <c r="A118" s="1" t="str">
        <f t="shared" si="1"/>
        <v>04 EE2 76</v>
      </c>
      <c r="B1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18" s="1" t="s">
        <v>3296</v>
      </c>
      <c r="D118" s="1" t="s">
        <v>3297</v>
      </c>
      <c r="E118" s="1" t="s">
        <v>3298</v>
      </c>
      <c r="F118" s="1" t="s">
        <v>112</v>
      </c>
      <c r="G118" s="1">
        <v>89072</v>
      </c>
    </row>
    <row r="119" spans="1:9" x14ac:dyDescent="0.25">
      <c r="A119" s="1" t="str">
        <f t="shared" si="1"/>
        <v>04 EE2 76</v>
      </c>
      <c r="B1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19" s="1" t="s">
        <v>3299</v>
      </c>
      <c r="D119" s="1" t="s">
        <v>418</v>
      </c>
      <c r="E119" s="1" t="s">
        <v>3300</v>
      </c>
      <c r="F119" s="1" t="s">
        <v>112</v>
      </c>
      <c r="G119" s="1">
        <v>563848</v>
      </c>
    </row>
    <row r="120" spans="1:9" x14ac:dyDescent="0.25">
      <c r="A120" s="1" t="str">
        <f t="shared" si="1"/>
        <v>04 EE2 76</v>
      </c>
      <c r="B1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0" s="1" t="s">
        <v>3301</v>
      </c>
      <c r="D120" s="1" t="s">
        <v>294</v>
      </c>
      <c r="E120" s="1" t="s">
        <v>3302</v>
      </c>
      <c r="F120" s="1" t="s">
        <v>112</v>
      </c>
      <c r="G120" s="1">
        <v>584656</v>
      </c>
    </row>
    <row r="121" spans="1:9" x14ac:dyDescent="0.25">
      <c r="A121" s="1" t="str">
        <f t="shared" si="1"/>
        <v>04 EE2 76</v>
      </c>
      <c r="B1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21" s="1" t="s">
        <v>3303</v>
      </c>
      <c r="D121" s="1" t="s">
        <v>3304</v>
      </c>
      <c r="E121" s="1" t="s">
        <v>3305</v>
      </c>
      <c r="F121" s="1" t="s">
        <v>112</v>
      </c>
      <c r="G121" s="1">
        <v>536465</v>
      </c>
    </row>
    <row r="122" spans="1:9" x14ac:dyDescent="0.25">
      <c r="A122" s="1" t="str">
        <f t="shared" si="1"/>
        <v>04 EE2 76</v>
      </c>
      <c r="B1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2" s="1" t="s">
        <v>3306</v>
      </c>
    </row>
    <row r="123" spans="1:9" x14ac:dyDescent="0.25">
      <c r="A123" s="1" t="str">
        <f t="shared" si="1"/>
        <v>04 EE2 76</v>
      </c>
      <c r="B1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3" s="1" t="s">
        <v>3307</v>
      </c>
      <c r="D123" s="1" t="s">
        <v>753</v>
      </c>
      <c r="E123" s="1" t="s">
        <v>3308</v>
      </c>
      <c r="F123" s="1" t="s">
        <v>112</v>
      </c>
      <c r="G123" s="1">
        <v>1093954</v>
      </c>
    </row>
    <row r="124" spans="1:9" x14ac:dyDescent="0.25">
      <c r="A124" s="1" t="str">
        <f t="shared" si="1"/>
        <v>04 EE2 76</v>
      </c>
      <c r="B1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24" s="1" t="s">
        <v>3309</v>
      </c>
      <c r="D124" s="1" t="s">
        <v>3310</v>
      </c>
      <c r="E124" s="1" t="s">
        <v>3311</v>
      </c>
      <c r="F124" s="1" t="s">
        <v>112</v>
      </c>
      <c r="G124" s="1">
        <v>963958</v>
      </c>
    </row>
    <row r="125" spans="1:9" x14ac:dyDescent="0.25">
      <c r="A125" s="1" t="str">
        <f t="shared" si="1"/>
        <v/>
      </c>
      <c r="B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5" s="1" t="s">
        <v>112</v>
      </c>
    </row>
    <row r="126" spans="1:9" x14ac:dyDescent="0.25">
      <c r="A126" s="1" t="str">
        <f t="shared" si="1"/>
        <v/>
      </c>
      <c r="B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6" s="1" t="s">
        <v>235</v>
      </c>
      <c r="D126" s="1" t="s">
        <v>112</v>
      </c>
      <c r="E126" s="1" t="s">
        <v>236</v>
      </c>
      <c r="F126" s="1" t="s">
        <v>237</v>
      </c>
      <c r="G126" s="1" t="s">
        <v>238</v>
      </c>
      <c r="H126" s="1" t="s">
        <v>239</v>
      </c>
      <c r="I126" s="1" t="s">
        <v>240</v>
      </c>
    </row>
    <row r="127" spans="1:9" x14ac:dyDescent="0.25">
      <c r="A127" s="1" t="str">
        <f t="shared" si="1"/>
        <v>04 EE2 76</v>
      </c>
      <c r="B12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27" s="1" t="s">
        <v>3312</v>
      </c>
      <c r="D127" s="1" t="s">
        <v>112</v>
      </c>
      <c r="E127" s="1" t="s">
        <v>3313</v>
      </c>
      <c r="F127" s="1" t="s">
        <v>3314</v>
      </c>
      <c r="G127" s="1">
        <v>370484</v>
      </c>
      <c r="H127" s="1" t="s">
        <v>3315</v>
      </c>
      <c r="I127" s="1">
        <v>24</v>
      </c>
    </row>
    <row r="128" spans="1:9" x14ac:dyDescent="0.25">
      <c r="A128" s="1" t="str">
        <f t="shared" si="1"/>
        <v/>
      </c>
      <c r="B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8" s="1" t="s">
        <v>112</v>
      </c>
    </row>
    <row r="129" spans="1:7" x14ac:dyDescent="0.25">
      <c r="A129" s="1" t="str">
        <f t="shared" si="1"/>
        <v/>
      </c>
      <c r="B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29" s="1" t="s">
        <v>112</v>
      </c>
    </row>
    <row r="130" spans="1:7" x14ac:dyDescent="0.25">
      <c r="A130" s="1" t="str">
        <f t="shared" ref="A130:A193" si="2">IFERROR(LEFT(RIGHT(C130,LEN(C130)-SEARCH("@",C130)),SEARCH("/",RIGHT(C130,LEN(C130)-SEARCH("@",C130)-1))),"")</f>
        <v/>
      </c>
      <c r="B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0" s="1" t="s">
        <v>112</v>
      </c>
    </row>
    <row r="131" spans="1:7" x14ac:dyDescent="0.25">
      <c r="A131" s="1" t="str">
        <f t="shared" si="2"/>
        <v/>
      </c>
      <c r="B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1" s="1" t="s">
        <v>112</v>
      </c>
    </row>
    <row r="132" spans="1:7" x14ac:dyDescent="0.25">
      <c r="A132" s="1" t="str">
        <f t="shared" si="2"/>
        <v/>
      </c>
      <c r="B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2" s="1" t="s">
        <v>112</v>
      </c>
    </row>
    <row r="133" spans="1:7" x14ac:dyDescent="0.25">
      <c r="A133" s="1" t="str">
        <f t="shared" si="2"/>
        <v/>
      </c>
      <c r="B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33" s="1" t="s">
        <v>246</v>
      </c>
      <c r="D133" s="1" t="s">
        <v>110</v>
      </c>
      <c r="E133" s="1" t="s">
        <v>111</v>
      </c>
      <c r="F133" s="1" t="s">
        <v>112</v>
      </c>
      <c r="G133" s="1" t="s">
        <v>113</v>
      </c>
    </row>
    <row r="134" spans="1:7" x14ac:dyDescent="0.25">
      <c r="A134" s="1" t="str">
        <f t="shared" si="2"/>
        <v>05 EE2 114</v>
      </c>
      <c r="B1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4" s="1" t="s">
        <v>3316</v>
      </c>
      <c r="D134" s="1" t="s">
        <v>3317</v>
      </c>
      <c r="E134" s="1" t="s">
        <v>3318</v>
      </c>
      <c r="F134" s="1" t="s">
        <v>112</v>
      </c>
      <c r="G134" s="1">
        <v>1395647</v>
      </c>
    </row>
    <row r="135" spans="1:7" x14ac:dyDescent="0.25">
      <c r="A135" s="1" t="str">
        <f t="shared" si="2"/>
        <v>05 EE2 114</v>
      </c>
      <c r="B1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5" s="1" t="s">
        <v>3319</v>
      </c>
      <c r="D135" s="1" t="s">
        <v>3320</v>
      </c>
      <c r="E135" s="1" t="s">
        <v>3321</v>
      </c>
      <c r="F135" s="1" t="s">
        <v>112</v>
      </c>
      <c r="G135" s="1">
        <v>1307030</v>
      </c>
    </row>
    <row r="136" spans="1:7" x14ac:dyDescent="0.25">
      <c r="A136" s="1" t="str">
        <f t="shared" si="2"/>
        <v>05 EE2 114</v>
      </c>
      <c r="B1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36" s="1" t="s">
        <v>3322</v>
      </c>
      <c r="D136" s="1" t="s">
        <v>3323</v>
      </c>
      <c r="E136" s="1" t="s">
        <v>3324</v>
      </c>
      <c r="F136" s="1" t="s">
        <v>112</v>
      </c>
      <c r="G136" s="1">
        <v>1208484</v>
      </c>
    </row>
    <row r="137" spans="1:7" x14ac:dyDescent="0.25">
      <c r="A137" s="1" t="str">
        <f t="shared" si="2"/>
        <v>05 EE2 114</v>
      </c>
      <c r="B1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7" s="1" t="s">
        <v>3325</v>
      </c>
      <c r="D137" s="1" t="s">
        <v>3326</v>
      </c>
      <c r="E137" s="1" t="s">
        <v>3327</v>
      </c>
      <c r="F137" s="1" t="s">
        <v>112</v>
      </c>
      <c r="G137" s="1">
        <v>678270</v>
      </c>
    </row>
    <row r="138" spans="1:7" x14ac:dyDescent="0.25">
      <c r="A138" s="1" t="str">
        <f t="shared" si="2"/>
        <v>05 EE2 114</v>
      </c>
      <c r="B1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8" s="1" t="s">
        <v>3328</v>
      </c>
      <c r="D138" s="1" t="s">
        <v>3329</v>
      </c>
      <c r="E138" s="1" t="s">
        <v>3330</v>
      </c>
      <c r="F138" s="1" t="s">
        <v>112</v>
      </c>
      <c r="G138" s="1">
        <v>533912</v>
      </c>
    </row>
    <row r="139" spans="1:7" x14ac:dyDescent="0.25">
      <c r="A139" s="1" t="str">
        <f t="shared" si="2"/>
        <v>05 EE2 114</v>
      </c>
      <c r="B1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39" s="1" t="s">
        <v>3331</v>
      </c>
      <c r="D139" s="1" t="s">
        <v>3332</v>
      </c>
      <c r="E139" s="1" t="s">
        <v>3333</v>
      </c>
      <c r="F139" s="1" t="s">
        <v>112</v>
      </c>
      <c r="G139" s="1">
        <v>586733</v>
      </c>
    </row>
    <row r="140" spans="1:7" x14ac:dyDescent="0.25">
      <c r="A140" s="1" t="str">
        <f t="shared" si="2"/>
        <v>05 EE2 114</v>
      </c>
      <c r="B1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0" s="1" t="s">
        <v>3334</v>
      </c>
    </row>
    <row r="141" spans="1:7" x14ac:dyDescent="0.25">
      <c r="A141" s="1" t="str">
        <f t="shared" si="2"/>
        <v>05 EE2 114</v>
      </c>
      <c r="B1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1" s="1" t="s">
        <v>3335</v>
      </c>
      <c r="D141" s="1" t="s">
        <v>2753</v>
      </c>
      <c r="E141" s="1" t="s">
        <v>3336</v>
      </c>
      <c r="F141" s="1" t="s">
        <v>112</v>
      </c>
      <c r="G141" s="1">
        <v>1592544</v>
      </c>
    </row>
    <row r="142" spans="1:7" x14ac:dyDescent="0.25">
      <c r="A142" s="1" t="str">
        <f t="shared" si="2"/>
        <v>05 EE2 114</v>
      </c>
      <c r="B1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42" s="1" t="s">
        <v>3337</v>
      </c>
      <c r="D142" s="1" t="s">
        <v>3338</v>
      </c>
      <c r="E142" s="1" t="s">
        <v>3339</v>
      </c>
      <c r="F142" s="1" t="s">
        <v>112</v>
      </c>
      <c r="G142" s="1">
        <v>1163104</v>
      </c>
    </row>
    <row r="143" spans="1:7" x14ac:dyDescent="0.25">
      <c r="A143" s="1" t="str">
        <f t="shared" si="2"/>
        <v>05 EE2 114</v>
      </c>
      <c r="B1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3" s="1" t="s">
        <v>3340</v>
      </c>
      <c r="D143" s="1" t="s">
        <v>3341</v>
      </c>
      <c r="E143" s="1" t="s">
        <v>3342</v>
      </c>
      <c r="F143" s="1" t="s">
        <v>112</v>
      </c>
      <c r="G143" s="1">
        <v>975725</v>
      </c>
    </row>
    <row r="144" spans="1:7" x14ac:dyDescent="0.25">
      <c r="A144" s="1" t="str">
        <f t="shared" si="2"/>
        <v>05 EE2 114</v>
      </c>
      <c r="B1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4" s="1" t="s">
        <v>3343</v>
      </c>
      <c r="D144" s="1" t="s">
        <v>3344</v>
      </c>
      <c r="E144" s="1" t="s">
        <v>3345</v>
      </c>
      <c r="F144" s="1" t="s">
        <v>112</v>
      </c>
      <c r="G144" s="1">
        <v>898765</v>
      </c>
    </row>
    <row r="145" spans="1:9" x14ac:dyDescent="0.25">
      <c r="A145" s="1" t="str">
        <f t="shared" si="2"/>
        <v>05 EE2 114</v>
      </c>
      <c r="B1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45" s="1" t="s">
        <v>3346</v>
      </c>
      <c r="D145" s="1" t="s">
        <v>3347</v>
      </c>
      <c r="E145" s="1" t="s">
        <v>3348</v>
      </c>
      <c r="F145" s="1" t="s">
        <v>112</v>
      </c>
      <c r="G145" s="1">
        <v>900669</v>
      </c>
    </row>
    <row r="146" spans="1:9" x14ac:dyDescent="0.25">
      <c r="A146" s="1" t="str">
        <f t="shared" si="2"/>
        <v>05 EE2 114</v>
      </c>
      <c r="B1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6" s="1" t="s">
        <v>3349</v>
      </c>
      <c r="D146" s="1" t="s">
        <v>286</v>
      </c>
      <c r="E146" s="1" t="s">
        <v>3350</v>
      </c>
      <c r="F146" s="1" t="s">
        <v>112</v>
      </c>
      <c r="G146" s="1">
        <v>581909</v>
      </c>
    </row>
    <row r="147" spans="1:9" x14ac:dyDescent="0.25">
      <c r="A147" s="1" t="str">
        <f t="shared" si="2"/>
        <v>05 EE2 114</v>
      </c>
      <c r="B1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7" s="1" t="s">
        <v>3351</v>
      </c>
      <c r="D147" s="1" t="s">
        <v>2218</v>
      </c>
      <c r="E147" s="1" t="s">
        <v>3352</v>
      </c>
      <c r="F147" s="1" t="s">
        <v>112</v>
      </c>
      <c r="G147" s="1">
        <v>650606</v>
      </c>
    </row>
    <row r="148" spans="1:9" x14ac:dyDescent="0.25">
      <c r="A148" s="1" t="str">
        <f t="shared" si="2"/>
        <v>05 EE2 114</v>
      </c>
      <c r="B1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48" s="1" t="s">
        <v>3353</v>
      </c>
      <c r="D148" s="1" t="s">
        <v>3354</v>
      </c>
      <c r="E148" s="1" t="s">
        <v>3355</v>
      </c>
      <c r="F148" s="1" t="s">
        <v>112</v>
      </c>
      <c r="G148" s="1">
        <v>451438</v>
      </c>
    </row>
    <row r="149" spans="1:9" x14ac:dyDescent="0.25">
      <c r="A149" s="1" t="str">
        <f t="shared" si="2"/>
        <v>05 EE2 114</v>
      </c>
      <c r="B1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49" s="1" t="s">
        <v>3356</v>
      </c>
      <c r="D149" s="1" t="s">
        <v>3357</v>
      </c>
      <c r="E149" s="1" t="s">
        <v>3358</v>
      </c>
      <c r="F149" s="1" t="s">
        <v>112</v>
      </c>
      <c r="G149" s="1">
        <v>1999987</v>
      </c>
    </row>
    <row r="150" spans="1:9" x14ac:dyDescent="0.25">
      <c r="A150" s="1" t="str">
        <f t="shared" si="2"/>
        <v>05 EE2 114</v>
      </c>
      <c r="B1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0" s="1" t="s">
        <v>3359</v>
      </c>
      <c r="D150" s="1" t="s">
        <v>3360</v>
      </c>
      <c r="E150" s="1" t="s">
        <v>3361</v>
      </c>
      <c r="F150" s="1" t="s">
        <v>112</v>
      </c>
      <c r="G150" s="1">
        <v>1615039</v>
      </c>
    </row>
    <row r="151" spans="1:9" x14ac:dyDescent="0.25">
      <c r="A151" s="1" t="str">
        <f t="shared" si="2"/>
        <v>05 EE2 114</v>
      </c>
      <c r="B1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51" s="1" t="s">
        <v>3362</v>
      </c>
      <c r="D151" s="1" t="s">
        <v>3363</v>
      </c>
      <c r="E151" s="1" t="s">
        <v>3364</v>
      </c>
      <c r="F151" s="1" t="s">
        <v>112</v>
      </c>
      <c r="G151" s="1">
        <v>1444596</v>
      </c>
    </row>
    <row r="152" spans="1:9" x14ac:dyDescent="0.25">
      <c r="A152" s="1" t="str">
        <f t="shared" si="2"/>
        <v>05 EE2 114</v>
      </c>
      <c r="B1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2" s="1" t="s">
        <v>3365</v>
      </c>
      <c r="D152" s="1" t="s">
        <v>3366</v>
      </c>
      <c r="E152" s="1" t="s">
        <v>3367</v>
      </c>
      <c r="F152" s="1" t="s">
        <v>112</v>
      </c>
      <c r="G152" s="1">
        <v>2178476</v>
      </c>
    </row>
    <row r="153" spans="1:9" x14ac:dyDescent="0.25">
      <c r="A153" s="1" t="str">
        <f t="shared" si="2"/>
        <v>05 EE2 114</v>
      </c>
      <c r="B1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3" s="1" t="s">
        <v>3368</v>
      </c>
      <c r="D153" s="1" t="s">
        <v>1484</v>
      </c>
      <c r="E153" s="1" t="s">
        <v>3369</v>
      </c>
      <c r="F153" s="1" t="s">
        <v>112</v>
      </c>
      <c r="G153" s="1">
        <v>2424300</v>
      </c>
    </row>
    <row r="154" spans="1:9" x14ac:dyDescent="0.25">
      <c r="A154" s="1" t="str">
        <f t="shared" si="2"/>
        <v>05 EE2 114</v>
      </c>
      <c r="B1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54" s="1" t="s">
        <v>3370</v>
      </c>
      <c r="D154" s="1" t="s">
        <v>1660</v>
      </c>
      <c r="E154" s="1" t="s">
        <v>3371</v>
      </c>
      <c r="F154" s="1" t="s">
        <v>112</v>
      </c>
      <c r="G154" s="1">
        <v>2497453</v>
      </c>
    </row>
    <row r="155" spans="1:9" x14ac:dyDescent="0.25">
      <c r="A155" s="1" t="str">
        <f t="shared" si="2"/>
        <v>05 EE2 114</v>
      </c>
      <c r="B1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5" s="1" t="s">
        <v>3372</v>
      </c>
      <c r="D155" s="1" t="s">
        <v>3373</v>
      </c>
      <c r="E155" s="1" t="s">
        <v>3374</v>
      </c>
      <c r="F155" s="1" t="s">
        <v>112</v>
      </c>
      <c r="G155" s="1">
        <v>1514309</v>
      </c>
    </row>
    <row r="156" spans="1:9" x14ac:dyDescent="0.25">
      <c r="A156" s="1" t="str">
        <f t="shared" si="2"/>
        <v>05 EE2 114</v>
      </c>
      <c r="B1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6" s="1" t="s">
        <v>3375</v>
      </c>
      <c r="D156" s="1" t="s">
        <v>3376</v>
      </c>
      <c r="E156" s="1" t="s">
        <v>3377</v>
      </c>
      <c r="F156" s="1" t="s">
        <v>112</v>
      </c>
      <c r="G156" s="1">
        <v>1180473</v>
      </c>
    </row>
    <row r="157" spans="1:9" x14ac:dyDescent="0.25">
      <c r="A157" s="1" t="str">
        <f t="shared" si="2"/>
        <v>05 EE2 114</v>
      </c>
      <c r="B1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57" s="1" t="s">
        <v>3378</v>
      </c>
      <c r="D157" s="1" t="s">
        <v>1989</v>
      </c>
      <c r="E157" s="1" t="s">
        <v>3379</v>
      </c>
      <c r="F157" s="1" t="s">
        <v>112</v>
      </c>
      <c r="G157" s="1">
        <v>1194597</v>
      </c>
    </row>
    <row r="158" spans="1:9" x14ac:dyDescent="0.25">
      <c r="A158" s="1" t="str">
        <f t="shared" si="2"/>
        <v/>
      </c>
      <c r="B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8" s="1" t="s">
        <v>112</v>
      </c>
    </row>
    <row r="159" spans="1:9" x14ac:dyDescent="0.25">
      <c r="A159" s="1" t="str">
        <f t="shared" si="2"/>
        <v/>
      </c>
      <c r="B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59" s="1" t="s">
        <v>235</v>
      </c>
      <c r="D159" s="1" t="s">
        <v>112</v>
      </c>
      <c r="E159" s="1" t="s">
        <v>236</v>
      </c>
      <c r="F159" s="1" t="s">
        <v>237</v>
      </c>
      <c r="G159" s="1" t="s">
        <v>238</v>
      </c>
      <c r="H159" s="1" t="s">
        <v>239</v>
      </c>
      <c r="I159" s="1" t="s">
        <v>240</v>
      </c>
    </row>
    <row r="160" spans="1:9" x14ac:dyDescent="0.25">
      <c r="A160" s="1" t="str">
        <f t="shared" si="2"/>
        <v>05 EE2 114</v>
      </c>
      <c r="B16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60" s="1" t="s">
        <v>3380</v>
      </c>
      <c r="D160" s="1" t="s">
        <v>112</v>
      </c>
      <c r="E160" s="1" t="s">
        <v>3381</v>
      </c>
      <c r="F160" s="1" t="s">
        <v>3382</v>
      </c>
      <c r="G160" s="1" t="s">
        <v>3383</v>
      </c>
      <c r="H160" s="1" t="s">
        <v>3384</v>
      </c>
      <c r="I160" s="1">
        <v>24</v>
      </c>
    </row>
    <row r="161" spans="1:7" x14ac:dyDescent="0.25">
      <c r="A161" s="1" t="str">
        <f t="shared" si="2"/>
        <v/>
      </c>
      <c r="B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1" s="1" t="s">
        <v>112</v>
      </c>
    </row>
    <row r="162" spans="1:7" x14ac:dyDescent="0.25">
      <c r="A162" s="1" t="str">
        <f t="shared" si="2"/>
        <v/>
      </c>
      <c r="B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2" s="1" t="s">
        <v>112</v>
      </c>
    </row>
    <row r="163" spans="1:7" x14ac:dyDescent="0.25">
      <c r="A163" s="1" t="str">
        <f t="shared" si="2"/>
        <v/>
      </c>
      <c r="B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3" s="1" t="s">
        <v>112</v>
      </c>
    </row>
    <row r="164" spans="1:7" x14ac:dyDescent="0.25">
      <c r="A164" s="1" t="str">
        <f t="shared" si="2"/>
        <v/>
      </c>
      <c r="B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4" s="1" t="s">
        <v>112</v>
      </c>
    </row>
    <row r="165" spans="1:7" x14ac:dyDescent="0.25">
      <c r="A165" s="1" t="str">
        <f t="shared" si="2"/>
        <v/>
      </c>
      <c r="B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5" s="1" t="s">
        <v>112</v>
      </c>
    </row>
    <row r="166" spans="1:7" x14ac:dyDescent="0.25">
      <c r="A166" s="1" t="str">
        <f t="shared" si="2"/>
        <v/>
      </c>
      <c r="B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66" s="1" t="s">
        <v>246</v>
      </c>
      <c r="D166" s="1" t="s">
        <v>110</v>
      </c>
      <c r="E166" s="1" t="s">
        <v>111</v>
      </c>
      <c r="F166" s="1" t="s">
        <v>112</v>
      </c>
      <c r="G166" s="1" t="s">
        <v>113</v>
      </c>
    </row>
    <row r="167" spans="1:7" x14ac:dyDescent="0.25">
      <c r="A167" s="1" t="str">
        <f t="shared" si="2"/>
        <v>06 EE2 171</v>
      </c>
      <c r="B1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7" s="1" t="s">
        <v>3385</v>
      </c>
      <c r="D167" s="1" t="s">
        <v>3386</v>
      </c>
      <c r="E167" s="1" t="s">
        <v>3387</v>
      </c>
      <c r="F167" s="1" t="s">
        <v>112</v>
      </c>
      <c r="G167" s="1">
        <v>2692100</v>
      </c>
    </row>
    <row r="168" spans="1:7" x14ac:dyDescent="0.25">
      <c r="A168" s="1" t="str">
        <f t="shared" si="2"/>
        <v>06 EE2 171</v>
      </c>
      <c r="B1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8" s="1" t="s">
        <v>3388</v>
      </c>
      <c r="D168" s="1" t="s">
        <v>3389</v>
      </c>
      <c r="E168" s="1" t="s">
        <v>3390</v>
      </c>
      <c r="F168" s="1" t="s">
        <v>112</v>
      </c>
      <c r="G168" s="1">
        <v>3445599</v>
      </c>
    </row>
    <row r="169" spans="1:7" x14ac:dyDescent="0.25">
      <c r="A169" s="1" t="str">
        <f t="shared" si="2"/>
        <v>06 EE2 171</v>
      </c>
      <c r="B1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169" s="1" t="s">
        <v>3391</v>
      </c>
      <c r="D169" s="1" t="s">
        <v>3392</v>
      </c>
      <c r="E169" s="1" t="s">
        <v>3393</v>
      </c>
      <c r="F169" s="1" t="s">
        <v>112</v>
      </c>
      <c r="G169" s="1">
        <v>3290275</v>
      </c>
    </row>
    <row r="170" spans="1:7" x14ac:dyDescent="0.25">
      <c r="A170" s="1" t="str">
        <f t="shared" si="2"/>
        <v>06 EE2 171</v>
      </c>
      <c r="B1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0" s="1" t="s">
        <v>3394</v>
      </c>
      <c r="D170" s="1" t="s">
        <v>909</v>
      </c>
      <c r="E170" s="1" t="s">
        <v>3395</v>
      </c>
      <c r="F170" s="1" t="s">
        <v>112</v>
      </c>
      <c r="G170" s="1">
        <v>523616</v>
      </c>
    </row>
    <row r="171" spans="1:7" x14ac:dyDescent="0.25">
      <c r="A171" s="1" t="str">
        <f t="shared" si="2"/>
        <v>06 EE2 171</v>
      </c>
      <c r="B1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1" s="1" t="s">
        <v>3396</v>
      </c>
      <c r="D171" s="1" t="s">
        <v>3397</v>
      </c>
      <c r="E171" s="1" t="s">
        <v>3398</v>
      </c>
      <c r="F171" s="1" t="s">
        <v>112</v>
      </c>
      <c r="G171" s="1">
        <v>765071</v>
      </c>
    </row>
    <row r="172" spans="1:7" x14ac:dyDescent="0.25">
      <c r="A172" s="1" t="str">
        <f t="shared" si="2"/>
        <v>06 EE2 171</v>
      </c>
      <c r="B1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172" s="1" t="s">
        <v>3399</v>
      </c>
      <c r="D172" s="1" t="s">
        <v>762</v>
      </c>
      <c r="E172" s="1" t="s">
        <v>3400</v>
      </c>
      <c r="F172" s="1" t="s">
        <v>112</v>
      </c>
      <c r="G172" s="1">
        <v>573365</v>
      </c>
    </row>
    <row r="173" spans="1:7" x14ac:dyDescent="0.25">
      <c r="A173" s="1" t="str">
        <f t="shared" si="2"/>
        <v>06 EE2 171</v>
      </c>
      <c r="B1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3" s="1" t="s">
        <v>3401</v>
      </c>
      <c r="D173" s="1" t="s">
        <v>483</v>
      </c>
      <c r="E173" s="1" t="s">
        <v>3402</v>
      </c>
      <c r="F173" s="1" t="s">
        <v>112</v>
      </c>
      <c r="G173" s="1">
        <v>2133205</v>
      </c>
    </row>
    <row r="174" spans="1:7" x14ac:dyDescent="0.25">
      <c r="A174" s="1" t="str">
        <f t="shared" si="2"/>
        <v>06 EE2 171</v>
      </c>
      <c r="B1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4" s="1" t="s">
        <v>3403</v>
      </c>
      <c r="D174" s="1" t="s">
        <v>3404</v>
      </c>
      <c r="E174" s="1" t="s">
        <v>3405</v>
      </c>
      <c r="F174" s="1" t="s">
        <v>112</v>
      </c>
      <c r="G174" s="1">
        <v>2100371</v>
      </c>
    </row>
    <row r="175" spans="1:7" x14ac:dyDescent="0.25">
      <c r="A175" s="1" t="str">
        <f t="shared" si="2"/>
        <v>06 EE2 171</v>
      </c>
      <c r="B1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175" s="1" t="s">
        <v>3406</v>
      </c>
      <c r="D175" s="1" t="s">
        <v>3407</v>
      </c>
      <c r="E175" s="1" t="s">
        <v>3408</v>
      </c>
      <c r="F175" s="1" t="s">
        <v>112</v>
      </c>
      <c r="G175" s="1">
        <v>1944333</v>
      </c>
    </row>
    <row r="176" spans="1:7" x14ac:dyDescent="0.25">
      <c r="A176" s="1" t="str">
        <f t="shared" si="2"/>
        <v>06 EE2 171</v>
      </c>
      <c r="B1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6" s="1" t="s">
        <v>3409</v>
      </c>
      <c r="D176" s="1" t="s">
        <v>3410</v>
      </c>
      <c r="E176" s="1" t="s">
        <v>3411</v>
      </c>
      <c r="F176" s="1" t="s">
        <v>112</v>
      </c>
      <c r="G176" s="1">
        <v>2640664</v>
      </c>
    </row>
    <row r="177" spans="1:9" x14ac:dyDescent="0.25">
      <c r="A177" s="1" t="str">
        <f t="shared" si="2"/>
        <v>06 EE2 171</v>
      </c>
      <c r="B1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7" s="1" t="s">
        <v>3412</v>
      </c>
      <c r="D177" s="1" t="s">
        <v>3413</v>
      </c>
      <c r="E177" s="1" t="s">
        <v>3414</v>
      </c>
      <c r="F177" s="1" t="s">
        <v>112</v>
      </c>
      <c r="G177" s="1">
        <v>2675683</v>
      </c>
    </row>
    <row r="178" spans="1:9" x14ac:dyDescent="0.25">
      <c r="A178" s="1" t="str">
        <f t="shared" si="2"/>
        <v>06 EE2 171</v>
      </c>
      <c r="B1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178" s="1" t="s">
        <v>3415</v>
      </c>
      <c r="D178" s="1" t="s">
        <v>3416</v>
      </c>
      <c r="E178" s="1" t="s">
        <v>3417</v>
      </c>
      <c r="F178" s="1" t="s">
        <v>112</v>
      </c>
      <c r="G178" s="1">
        <v>2661061</v>
      </c>
    </row>
    <row r="179" spans="1:9" x14ac:dyDescent="0.25">
      <c r="A179" s="1" t="str">
        <f t="shared" si="2"/>
        <v>06 EE2 171</v>
      </c>
      <c r="B1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79" s="1" t="s">
        <v>3418</v>
      </c>
      <c r="D179" s="1" t="s">
        <v>3419</v>
      </c>
      <c r="E179" s="1" t="s">
        <v>3420</v>
      </c>
      <c r="F179" s="1" t="s">
        <v>112</v>
      </c>
      <c r="G179" s="1">
        <v>1701927</v>
      </c>
    </row>
    <row r="180" spans="1:9" x14ac:dyDescent="0.25">
      <c r="A180" s="1" t="str">
        <f t="shared" si="2"/>
        <v>06 EE2 171</v>
      </c>
      <c r="B1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0" s="1" t="s">
        <v>3421</v>
      </c>
      <c r="D180" s="1" t="s">
        <v>3422</v>
      </c>
      <c r="E180" s="1" t="s">
        <v>3423</v>
      </c>
      <c r="F180" s="1" t="s">
        <v>112</v>
      </c>
      <c r="G180" s="1">
        <v>1889047</v>
      </c>
    </row>
    <row r="181" spans="1:9" x14ac:dyDescent="0.25">
      <c r="A181" s="1" t="str">
        <f t="shared" si="2"/>
        <v>06 EE2 171</v>
      </c>
      <c r="B1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181" s="1" t="s">
        <v>3424</v>
      </c>
      <c r="D181" s="1" t="s">
        <v>3425</v>
      </c>
      <c r="E181" s="1" t="s">
        <v>3426</v>
      </c>
      <c r="F181" s="1" t="s">
        <v>112</v>
      </c>
      <c r="G181" s="1">
        <v>1859565</v>
      </c>
    </row>
    <row r="182" spans="1:9" x14ac:dyDescent="0.25">
      <c r="A182" s="1" t="str">
        <f t="shared" si="2"/>
        <v>06 EE2 171</v>
      </c>
      <c r="B1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2" s="1" t="s">
        <v>3427</v>
      </c>
      <c r="D182" s="1" t="s">
        <v>3428</v>
      </c>
      <c r="E182" s="1" t="s">
        <v>3429</v>
      </c>
      <c r="F182" s="1" t="s">
        <v>112</v>
      </c>
      <c r="G182" s="1">
        <v>3467424</v>
      </c>
    </row>
    <row r="183" spans="1:9" x14ac:dyDescent="0.25">
      <c r="A183" s="1" t="str">
        <f t="shared" si="2"/>
        <v>06 EE2 171</v>
      </c>
      <c r="B1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3" s="1" t="s">
        <v>3430</v>
      </c>
      <c r="D183" s="1" t="s">
        <v>2499</v>
      </c>
      <c r="E183" s="1" t="s">
        <v>3431</v>
      </c>
      <c r="F183" s="1" t="s">
        <v>112</v>
      </c>
      <c r="G183" s="1">
        <v>3736456</v>
      </c>
    </row>
    <row r="184" spans="1:9" x14ac:dyDescent="0.25">
      <c r="A184" s="1" t="str">
        <f t="shared" si="2"/>
        <v>06 EE2 171</v>
      </c>
      <c r="B1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184" s="1" t="s">
        <v>3432</v>
      </c>
      <c r="D184" s="1" t="s">
        <v>3433</v>
      </c>
      <c r="E184" s="1" t="s">
        <v>3434</v>
      </c>
      <c r="F184" s="1" t="s">
        <v>112</v>
      </c>
      <c r="G184" s="1">
        <v>3485355</v>
      </c>
    </row>
    <row r="185" spans="1:9" x14ac:dyDescent="0.25">
      <c r="A185" s="1" t="str">
        <f t="shared" si="2"/>
        <v>06 EE2 171</v>
      </c>
      <c r="B1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5" s="1" t="s">
        <v>3435</v>
      </c>
      <c r="D185" s="1" t="s">
        <v>3082</v>
      </c>
      <c r="E185" s="1" t="s">
        <v>3436</v>
      </c>
      <c r="F185" s="1" t="s">
        <v>112</v>
      </c>
      <c r="G185" s="1">
        <v>1723730</v>
      </c>
    </row>
    <row r="186" spans="1:9" x14ac:dyDescent="0.25">
      <c r="A186" s="1" t="str">
        <f t="shared" si="2"/>
        <v>06 EE2 171</v>
      </c>
      <c r="B1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6" s="1" t="s">
        <v>3437</v>
      </c>
      <c r="D186" s="1" t="s">
        <v>3438</v>
      </c>
      <c r="E186" s="1" t="s">
        <v>3439</v>
      </c>
      <c r="F186" s="1" t="s">
        <v>112</v>
      </c>
      <c r="G186" s="1">
        <v>1508144</v>
      </c>
    </row>
    <row r="187" spans="1:9" x14ac:dyDescent="0.25">
      <c r="A187" s="1" t="str">
        <f t="shared" si="2"/>
        <v>06 EE2 171</v>
      </c>
      <c r="B1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187" s="1" t="s">
        <v>3440</v>
      </c>
      <c r="D187" s="1" t="s">
        <v>3441</v>
      </c>
      <c r="E187" s="1" t="s">
        <v>3442</v>
      </c>
      <c r="F187" s="1" t="s">
        <v>112</v>
      </c>
      <c r="G187" s="1">
        <v>1474986</v>
      </c>
    </row>
    <row r="188" spans="1:9" x14ac:dyDescent="0.25">
      <c r="A188" s="1" t="str">
        <f t="shared" si="2"/>
        <v>06 EE2 171</v>
      </c>
      <c r="B1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8" s="1" t="s">
        <v>3443</v>
      </c>
      <c r="D188" s="1" t="s">
        <v>3444</v>
      </c>
      <c r="E188" s="1" t="s">
        <v>3445</v>
      </c>
      <c r="F188" s="1" t="s">
        <v>112</v>
      </c>
      <c r="G188" s="1">
        <v>2728871</v>
      </c>
    </row>
    <row r="189" spans="1:9" x14ac:dyDescent="0.25">
      <c r="A189" s="1" t="str">
        <f t="shared" si="2"/>
        <v>06 EE2 171</v>
      </c>
      <c r="B1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89" s="1" t="s">
        <v>3446</v>
      </c>
      <c r="D189" s="1" t="s">
        <v>3447</v>
      </c>
      <c r="E189" s="1" t="s">
        <v>3448</v>
      </c>
      <c r="F189" s="1" t="s">
        <v>112</v>
      </c>
      <c r="G189" s="1">
        <v>2324651</v>
      </c>
    </row>
    <row r="190" spans="1:9" x14ac:dyDescent="0.25">
      <c r="A190" s="1" t="str">
        <f t="shared" si="2"/>
        <v>06 EE2 171</v>
      </c>
      <c r="B1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190" s="1" t="s">
        <v>3449</v>
      </c>
      <c r="D190" s="1" t="s">
        <v>3450</v>
      </c>
      <c r="E190" s="1" t="s">
        <v>3451</v>
      </c>
      <c r="F190" s="1" t="s">
        <v>112</v>
      </c>
      <c r="G190" s="1">
        <v>2449002</v>
      </c>
    </row>
    <row r="191" spans="1:9" x14ac:dyDescent="0.25">
      <c r="A191" s="1" t="str">
        <f t="shared" si="2"/>
        <v/>
      </c>
      <c r="B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1" s="1" t="s">
        <v>112</v>
      </c>
    </row>
    <row r="192" spans="1:9" x14ac:dyDescent="0.25">
      <c r="A192" s="1" t="str">
        <f t="shared" si="2"/>
        <v/>
      </c>
      <c r="B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2" s="1" t="s">
        <v>235</v>
      </c>
      <c r="D192" s="1" t="s">
        <v>112</v>
      </c>
      <c r="E192" s="1" t="s">
        <v>236</v>
      </c>
      <c r="F192" s="1" t="s">
        <v>237</v>
      </c>
      <c r="G192" s="1" t="s">
        <v>238</v>
      </c>
      <c r="H192" s="1" t="s">
        <v>239</v>
      </c>
      <c r="I192" s="1" t="s">
        <v>240</v>
      </c>
    </row>
    <row r="193" spans="1:9" x14ac:dyDescent="0.25">
      <c r="A193" s="1" t="str">
        <f t="shared" si="2"/>
        <v>06 EE2 171</v>
      </c>
      <c r="B19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193" s="1" t="s">
        <v>3452</v>
      </c>
      <c r="D193" s="1" t="s">
        <v>112</v>
      </c>
      <c r="E193" s="1" t="s">
        <v>3453</v>
      </c>
      <c r="F193" s="1" t="s">
        <v>3454</v>
      </c>
      <c r="G193" s="1" t="s">
        <v>3455</v>
      </c>
      <c r="H193" s="1" t="s">
        <v>3456</v>
      </c>
      <c r="I193" s="1">
        <v>24</v>
      </c>
    </row>
    <row r="194" spans="1:9" x14ac:dyDescent="0.25">
      <c r="A194" s="1" t="str">
        <f t="shared" ref="A194:A257" si="3">IFERROR(LEFT(RIGHT(C194,LEN(C194)-SEARCH("@",C194)),SEARCH("/",RIGHT(C194,LEN(C194)-SEARCH("@",C194)-1))),"")</f>
        <v/>
      </c>
      <c r="B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4" s="1" t="s">
        <v>112</v>
      </c>
    </row>
    <row r="195" spans="1:9" x14ac:dyDescent="0.25">
      <c r="A195" s="1" t="str">
        <f t="shared" si="3"/>
        <v/>
      </c>
      <c r="B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5" s="1" t="s">
        <v>112</v>
      </c>
    </row>
    <row r="196" spans="1:9" x14ac:dyDescent="0.25">
      <c r="A196" s="1" t="str">
        <f t="shared" si="3"/>
        <v/>
      </c>
      <c r="B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6" s="1" t="s">
        <v>112</v>
      </c>
    </row>
    <row r="197" spans="1:9" x14ac:dyDescent="0.25">
      <c r="A197" s="1" t="str">
        <f t="shared" si="3"/>
        <v/>
      </c>
      <c r="B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7" s="1" t="s">
        <v>112</v>
      </c>
    </row>
    <row r="198" spans="1:9" x14ac:dyDescent="0.25">
      <c r="A198" s="1" t="str">
        <f t="shared" si="3"/>
        <v/>
      </c>
      <c r="B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8" s="1" t="s">
        <v>112</v>
      </c>
    </row>
    <row r="199" spans="1:9" x14ac:dyDescent="0.25">
      <c r="A199" s="1" t="str">
        <f t="shared" si="3"/>
        <v/>
      </c>
      <c r="B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199" s="1" t="s">
        <v>246</v>
      </c>
      <c r="D199" s="1" t="s">
        <v>110</v>
      </c>
      <c r="E199" s="1" t="s">
        <v>111</v>
      </c>
      <c r="F199" s="1" t="s">
        <v>112</v>
      </c>
      <c r="G199" s="1" t="s">
        <v>113</v>
      </c>
    </row>
    <row r="200" spans="1:9" x14ac:dyDescent="0.25">
      <c r="A200" s="1" t="str">
        <f t="shared" si="3"/>
        <v>07 EE2 488</v>
      </c>
      <c r="B2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0" s="1" t="s">
        <v>3457</v>
      </c>
    </row>
    <row r="201" spans="1:9" x14ac:dyDescent="0.25">
      <c r="A201" s="1" t="str">
        <f t="shared" si="3"/>
        <v>07 EE2 488</v>
      </c>
      <c r="B2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1" s="1" t="s">
        <v>3458</v>
      </c>
      <c r="D201" s="1" t="s">
        <v>3459</v>
      </c>
      <c r="E201" s="1" t="s">
        <v>3460</v>
      </c>
      <c r="F201" s="1" t="s">
        <v>112</v>
      </c>
      <c r="G201" s="1">
        <v>2697226</v>
      </c>
    </row>
    <row r="202" spans="1:9" x14ac:dyDescent="0.25">
      <c r="A202" s="1" t="str">
        <f t="shared" si="3"/>
        <v>07 EE2 488</v>
      </c>
      <c r="B2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02" s="1" t="s">
        <v>3461</v>
      </c>
      <c r="D202" s="1" t="s">
        <v>3462</v>
      </c>
      <c r="E202" s="1" t="s">
        <v>3463</v>
      </c>
      <c r="F202" s="1" t="s">
        <v>112</v>
      </c>
      <c r="G202" s="1">
        <v>3397472</v>
      </c>
    </row>
    <row r="203" spans="1:9" x14ac:dyDescent="0.25">
      <c r="A203" s="1" t="str">
        <f t="shared" si="3"/>
        <v>07 EE2 488</v>
      </c>
      <c r="B2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3" s="1" t="s">
        <v>3464</v>
      </c>
      <c r="D203" s="1" t="s">
        <v>3465</v>
      </c>
      <c r="E203" s="1" t="s">
        <v>3466</v>
      </c>
      <c r="F203" s="1" t="s">
        <v>112</v>
      </c>
      <c r="G203" s="1">
        <v>6285388</v>
      </c>
    </row>
    <row r="204" spans="1:9" x14ac:dyDescent="0.25">
      <c r="A204" s="1" t="str">
        <f t="shared" si="3"/>
        <v>07 EE2 488</v>
      </c>
      <c r="B2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4" s="1" t="s">
        <v>3467</v>
      </c>
      <c r="D204" s="1" t="s">
        <v>3468</v>
      </c>
      <c r="E204" s="1" t="s">
        <v>3469</v>
      </c>
      <c r="F204" s="1" t="s">
        <v>112</v>
      </c>
      <c r="G204" s="1">
        <v>5838644</v>
      </c>
    </row>
    <row r="205" spans="1:9" x14ac:dyDescent="0.25">
      <c r="A205" s="1" t="str">
        <f t="shared" si="3"/>
        <v>07 EE2 488</v>
      </c>
      <c r="B2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05" s="1" t="s">
        <v>3470</v>
      </c>
      <c r="D205" s="1" t="s">
        <v>1222</v>
      </c>
      <c r="E205" s="1" t="s">
        <v>3471</v>
      </c>
      <c r="F205" s="1" t="s">
        <v>112</v>
      </c>
      <c r="G205" s="1">
        <v>6147216</v>
      </c>
    </row>
    <row r="206" spans="1:9" x14ac:dyDescent="0.25">
      <c r="A206" s="1" t="str">
        <f t="shared" si="3"/>
        <v>07 EE2 488</v>
      </c>
      <c r="B2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6" s="1" t="s">
        <v>3472</v>
      </c>
      <c r="D206" s="1" t="s">
        <v>2661</v>
      </c>
      <c r="E206" s="1" t="s">
        <v>3473</v>
      </c>
      <c r="F206" s="1" t="s">
        <v>112</v>
      </c>
      <c r="G206" s="1">
        <v>7674070</v>
      </c>
    </row>
    <row r="207" spans="1:9" x14ac:dyDescent="0.25">
      <c r="A207" s="1" t="str">
        <f t="shared" si="3"/>
        <v>07 EE2 488</v>
      </c>
      <c r="B2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7" s="1" t="s">
        <v>3474</v>
      </c>
      <c r="D207" s="1" t="s">
        <v>3475</v>
      </c>
      <c r="E207" s="1" t="s">
        <v>3476</v>
      </c>
      <c r="F207" s="1" t="s">
        <v>112</v>
      </c>
      <c r="G207" s="1">
        <v>7148204</v>
      </c>
    </row>
    <row r="208" spans="1:9" x14ac:dyDescent="0.25">
      <c r="A208" s="1" t="str">
        <f t="shared" si="3"/>
        <v>07 EE2 488</v>
      </c>
      <c r="B2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08" s="1" t="s">
        <v>3477</v>
      </c>
      <c r="D208" s="1" t="s">
        <v>3478</v>
      </c>
      <c r="E208" s="1" t="s">
        <v>3479</v>
      </c>
      <c r="F208" s="1" t="s">
        <v>112</v>
      </c>
      <c r="G208" s="1">
        <v>8139373</v>
      </c>
    </row>
    <row r="209" spans="1:7" x14ac:dyDescent="0.25">
      <c r="A209" s="1" t="str">
        <f t="shared" si="3"/>
        <v>07 EE2 488</v>
      </c>
      <c r="B2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09" s="1" t="s">
        <v>3480</v>
      </c>
      <c r="D209" s="1" t="s">
        <v>3481</v>
      </c>
      <c r="E209" s="1" t="s">
        <v>3482</v>
      </c>
      <c r="F209" s="1" t="s">
        <v>112</v>
      </c>
      <c r="G209" s="1">
        <v>3271478</v>
      </c>
    </row>
    <row r="210" spans="1:7" x14ac:dyDescent="0.25">
      <c r="A210" s="1" t="str">
        <f t="shared" si="3"/>
        <v>07 EE2 488</v>
      </c>
      <c r="B2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0" s="1" t="s">
        <v>3483</v>
      </c>
      <c r="D210" s="1" t="s">
        <v>1111</v>
      </c>
      <c r="E210" s="1" t="s">
        <v>3484</v>
      </c>
      <c r="F210" s="1" t="s">
        <v>112</v>
      </c>
      <c r="G210" s="1">
        <v>3361524</v>
      </c>
    </row>
    <row r="211" spans="1:7" x14ac:dyDescent="0.25">
      <c r="A211" s="1" t="str">
        <f t="shared" si="3"/>
        <v>07 EE2 488</v>
      </c>
      <c r="B2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11" s="1" t="s">
        <v>3485</v>
      </c>
      <c r="D211" s="1" t="s">
        <v>3486</v>
      </c>
      <c r="E211" s="1" t="s">
        <v>3487</v>
      </c>
      <c r="F211" s="1" t="s">
        <v>112</v>
      </c>
      <c r="G211" s="1">
        <v>3259950</v>
      </c>
    </row>
    <row r="212" spans="1:7" x14ac:dyDescent="0.25">
      <c r="A212" s="1" t="str">
        <f t="shared" si="3"/>
        <v>07 EE2 488</v>
      </c>
      <c r="B2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2" s="1" t="s">
        <v>3488</v>
      </c>
      <c r="D212" s="1" t="s">
        <v>3489</v>
      </c>
      <c r="E212" s="1" t="s">
        <v>3490</v>
      </c>
      <c r="F212" s="1" t="s">
        <v>112</v>
      </c>
      <c r="G212" s="1">
        <v>3235551</v>
      </c>
    </row>
    <row r="213" spans="1:7" x14ac:dyDescent="0.25">
      <c r="A213" s="1" t="str">
        <f t="shared" si="3"/>
        <v>07 EE2 488</v>
      </c>
      <c r="B2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3" s="1" t="s">
        <v>3491</v>
      </c>
      <c r="D213" s="1" t="s">
        <v>1563</v>
      </c>
      <c r="E213" s="1" t="s">
        <v>3492</v>
      </c>
      <c r="F213" s="1" t="s">
        <v>112</v>
      </c>
      <c r="G213" s="1">
        <v>3220410</v>
      </c>
    </row>
    <row r="214" spans="1:7" x14ac:dyDescent="0.25">
      <c r="A214" s="1" t="str">
        <f t="shared" si="3"/>
        <v>07 EE2 488</v>
      </c>
      <c r="B2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14" s="1" t="s">
        <v>3493</v>
      </c>
      <c r="D214" s="1" t="s">
        <v>3494</v>
      </c>
      <c r="E214" s="1" t="s">
        <v>3495</v>
      </c>
      <c r="F214" s="1" t="s">
        <v>112</v>
      </c>
      <c r="G214" s="1">
        <v>2738496</v>
      </c>
    </row>
    <row r="215" spans="1:7" x14ac:dyDescent="0.25">
      <c r="A215" s="1" t="str">
        <f t="shared" si="3"/>
        <v>07 EE2 488</v>
      </c>
      <c r="B2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5" s="1" t="s">
        <v>3496</v>
      </c>
      <c r="D215" s="1" t="s">
        <v>1170</v>
      </c>
      <c r="E215" s="1" t="s">
        <v>3497</v>
      </c>
      <c r="F215" s="1" t="s">
        <v>112</v>
      </c>
      <c r="G215" s="1">
        <v>4633210</v>
      </c>
    </row>
    <row r="216" spans="1:7" x14ac:dyDescent="0.25">
      <c r="A216" s="1" t="str">
        <f t="shared" si="3"/>
        <v>07 EE2 488</v>
      </c>
      <c r="B2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6" s="1" t="s">
        <v>3498</v>
      </c>
      <c r="D216" s="1" t="s">
        <v>2505</v>
      </c>
      <c r="E216" s="1" t="s">
        <v>3499</v>
      </c>
      <c r="F216" s="1" t="s">
        <v>112</v>
      </c>
      <c r="G216" s="1">
        <v>4492789</v>
      </c>
    </row>
    <row r="217" spans="1:7" x14ac:dyDescent="0.25">
      <c r="A217" s="1" t="str">
        <f t="shared" si="3"/>
        <v>07 EE2 488</v>
      </c>
      <c r="B2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17" s="1" t="s">
        <v>3500</v>
      </c>
    </row>
    <row r="218" spans="1:7" x14ac:dyDescent="0.25">
      <c r="A218" s="1" t="str">
        <f t="shared" si="3"/>
        <v>07 EE2 488</v>
      </c>
      <c r="B2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8" s="1" t="s">
        <v>3501</v>
      </c>
      <c r="D218" s="1" t="s">
        <v>3502</v>
      </c>
      <c r="E218" s="1" t="s">
        <v>3503</v>
      </c>
      <c r="F218" s="1" t="s">
        <v>112</v>
      </c>
      <c r="G218" s="1">
        <v>4003304</v>
      </c>
    </row>
    <row r="219" spans="1:7" x14ac:dyDescent="0.25">
      <c r="A219" s="1" t="str">
        <f t="shared" si="3"/>
        <v>07 EE2 488</v>
      </c>
      <c r="B2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19" s="1" t="s">
        <v>3504</v>
      </c>
      <c r="D219" s="1" t="s">
        <v>3505</v>
      </c>
      <c r="E219" s="1" t="s">
        <v>3506</v>
      </c>
      <c r="F219" s="1" t="s">
        <v>112</v>
      </c>
      <c r="G219" s="1">
        <v>4271536</v>
      </c>
    </row>
    <row r="220" spans="1:7" x14ac:dyDescent="0.25">
      <c r="A220" s="1" t="str">
        <f t="shared" si="3"/>
        <v>07 EE2 488</v>
      </c>
      <c r="B2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20" s="1" t="s">
        <v>3507</v>
      </c>
      <c r="D220" s="1" t="s">
        <v>3508</v>
      </c>
      <c r="E220" s="1" t="s">
        <v>3509</v>
      </c>
      <c r="F220" s="1" t="s">
        <v>112</v>
      </c>
      <c r="G220" s="1">
        <v>3838506</v>
      </c>
    </row>
    <row r="221" spans="1:7" x14ac:dyDescent="0.25">
      <c r="A221" s="1" t="str">
        <f t="shared" si="3"/>
        <v>07 EE2 488</v>
      </c>
      <c r="B2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1" s="1" t="s">
        <v>3510</v>
      </c>
      <c r="D221" s="1" t="s">
        <v>3511</v>
      </c>
      <c r="E221" s="1" t="s">
        <v>3512</v>
      </c>
      <c r="F221" s="1" t="s">
        <v>112</v>
      </c>
      <c r="G221" s="1">
        <v>5622085</v>
      </c>
    </row>
    <row r="222" spans="1:7" x14ac:dyDescent="0.25">
      <c r="A222" s="1" t="str">
        <f t="shared" si="3"/>
        <v>07 EE2 488</v>
      </c>
      <c r="B2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2" s="1" t="s">
        <v>3513</v>
      </c>
      <c r="D222" s="1" t="s">
        <v>3514</v>
      </c>
      <c r="E222" s="1" t="s">
        <v>3515</v>
      </c>
      <c r="F222" s="1" t="s">
        <v>112</v>
      </c>
      <c r="G222" s="1">
        <v>5467648</v>
      </c>
    </row>
    <row r="223" spans="1:7" x14ac:dyDescent="0.25">
      <c r="A223" s="1" t="str">
        <f t="shared" si="3"/>
        <v>07 EE2 488</v>
      </c>
      <c r="B2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23" s="1" t="s">
        <v>3516</v>
      </c>
      <c r="D223" s="1" t="s">
        <v>3517</v>
      </c>
      <c r="E223" s="1" t="s">
        <v>3518</v>
      </c>
      <c r="F223" s="1" t="s">
        <v>112</v>
      </c>
      <c r="G223" s="1">
        <v>5692923</v>
      </c>
    </row>
    <row r="224" spans="1:7" x14ac:dyDescent="0.25">
      <c r="A224" s="1" t="str">
        <f t="shared" si="3"/>
        <v/>
      </c>
      <c r="B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4" s="1" t="s">
        <v>112</v>
      </c>
    </row>
    <row r="225" spans="1:9" x14ac:dyDescent="0.25">
      <c r="A225" s="1" t="str">
        <f t="shared" si="3"/>
        <v/>
      </c>
      <c r="B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5" s="1" t="s">
        <v>235</v>
      </c>
      <c r="D225" s="1" t="s">
        <v>112</v>
      </c>
      <c r="E225" s="1" t="s">
        <v>236</v>
      </c>
      <c r="F225" s="1" t="s">
        <v>237</v>
      </c>
      <c r="G225" s="1" t="s">
        <v>238</v>
      </c>
      <c r="H225" s="1" t="s">
        <v>239</v>
      </c>
      <c r="I225" s="1" t="s">
        <v>240</v>
      </c>
    </row>
    <row r="226" spans="1:9" x14ac:dyDescent="0.25">
      <c r="A226" s="1" t="str">
        <f t="shared" si="3"/>
        <v>07 EE2 488</v>
      </c>
      <c r="B22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26" s="1" t="s">
        <v>3519</v>
      </c>
      <c r="D226" s="1" t="s">
        <v>112</v>
      </c>
      <c r="E226" s="1" t="s">
        <v>3520</v>
      </c>
      <c r="F226" s="1" t="s">
        <v>3521</v>
      </c>
      <c r="G226" s="1" t="s">
        <v>3522</v>
      </c>
      <c r="H226" s="1" t="s">
        <v>3523</v>
      </c>
      <c r="I226" s="1">
        <v>24</v>
      </c>
    </row>
    <row r="227" spans="1:9" x14ac:dyDescent="0.25">
      <c r="A227" s="1" t="str">
        <f t="shared" si="3"/>
        <v/>
      </c>
      <c r="B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7" s="1" t="s">
        <v>112</v>
      </c>
    </row>
    <row r="228" spans="1:9" x14ac:dyDescent="0.25">
      <c r="A228" s="1" t="str">
        <f t="shared" si="3"/>
        <v/>
      </c>
      <c r="B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8" s="1" t="s">
        <v>112</v>
      </c>
    </row>
    <row r="229" spans="1:9" x14ac:dyDescent="0.25">
      <c r="A229" s="1" t="str">
        <f t="shared" si="3"/>
        <v/>
      </c>
      <c r="B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29" s="1" t="s">
        <v>112</v>
      </c>
    </row>
    <row r="230" spans="1:9" x14ac:dyDescent="0.25">
      <c r="A230" s="1" t="str">
        <f t="shared" si="3"/>
        <v/>
      </c>
      <c r="B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0" s="1" t="s">
        <v>112</v>
      </c>
    </row>
    <row r="231" spans="1:9" x14ac:dyDescent="0.25">
      <c r="A231" s="1" t="str">
        <f t="shared" si="3"/>
        <v/>
      </c>
      <c r="B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1" s="1" t="s">
        <v>112</v>
      </c>
    </row>
    <row r="232" spans="1:9" x14ac:dyDescent="0.25">
      <c r="A232" s="1" t="str">
        <f t="shared" si="3"/>
        <v/>
      </c>
      <c r="B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32" s="1" t="s">
        <v>246</v>
      </c>
      <c r="D232" s="1" t="s">
        <v>110</v>
      </c>
      <c r="E232" s="1" t="s">
        <v>111</v>
      </c>
      <c r="F232" s="1" t="s">
        <v>112</v>
      </c>
      <c r="G232" s="1" t="s">
        <v>113</v>
      </c>
    </row>
    <row r="233" spans="1:9" x14ac:dyDescent="0.25">
      <c r="A233" s="1" t="str">
        <f t="shared" si="3"/>
        <v>08 Cromolyn 0.1</v>
      </c>
      <c r="B2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3" s="1" t="s">
        <v>3524</v>
      </c>
      <c r="D233" s="1" t="s">
        <v>1298</v>
      </c>
      <c r="E233" s="1" t="s">
        <v>3525</v>
      </c>
      <c r="F233" s="1" t="s">
        <v>112</v>
      </c>
      <c r="G233" s="1">
        <v>483363</v>
      </c>
    </row>
    <row r="234" spans="1:9" x14ac:dyDescent="0.25">
      <c r="A234" s="1" t="str">
        <f t="shared" si="3"/>
        <v>08 Cromolyn 0.1</v>
      </c>
      <c r="B2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4" s="1" t="s">
        <v>3526</v>
      </c>
      <c r="D234" s="1" t="s">
        <v>3002</v>
      </c>
      <c r="E234" s="1" t="s">
        <v>3527</v>
      </c>
      <c r="F234" s="1" t="s">
        <v>112</v>
      </c>
      <c r="G234" s="1">
        <v>746599</v>
      </c>
    </row>
    <row r="235" spans="1:9" x14ac:dyDescent="0.25">
      <c r="A235" s="1" t="str">
        <f t="shared" si="3"/>
        <v>08 Cromolyn 0.1</v>
      </c>
      <c r="B2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35" s="1" t="s">
        <v>3528</v>
      </c>
      <c r="D235" s="1" t="s">
        <v>3265</v>
      </c>
      <c r="E235" s="1" t="s">
        <v>3529</v>
      </c>
      <c r="F235" s="1" t="s">
        <v>112</v>
      </c>
      <c r="G235" s="1">
        <v>412179</v>
      </c>
    </row>
    <row r="236" spans="1:9" x14ac:dyDescent="0.25">
      <c r="A236" s="1" t="str">
        <f t="shared" si="3"/>
        <v>08 Cromolyn 0.1</v>
      </c>
      <c r="B2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6" s="1" t="s">
        <v>3530</v>
      </c>
      <c r="D236" s="1" t="s">
        <v>1842</v>
      </c>
      <c r="E236" s="1" t="s">
        <v>3531</v>
      </c>
      <c r="F236" s="1" t="s">
        <v>112</v>
      </c>
      <c r="G236" s="1">
        <v>54659</v>
      </c>
    </row>
    <row r="237" spans="1:9" x14ac:dyDescent="0.25">
      <c r="A237" s="1" t="str">
        <f t="shared" si="3"/>
        <v>08 Cromolyn 0.1</v>
      </c>
      <c r="B2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7" s="1" t="s">
        <v>3532</v>
      </c>
      <c r="D237" s="1" t="s">
        <v>2379</v>
      </c>
      <c r="E237" s="1" t="s">
        <v>3533</v>
      </c>
      <c r="F237" s="1" t="s">
        <v>112</v>
      </c>
      <c r="G237" s="1">
        <v>81545</v>
      </c>
    </row>
    <row r="238" spans="1:9" x14ac:dyDescent="0.25">
      <c r="A238" s="1" t="str">
        <f t="shared" si="3"/>
        <v>08 Cromolyn 0.1</v>
      </c>
      <c r="B2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38" s="1" t="s">
        <v>3534</v>
      </c>
      <c r="D238" s="1" t="s">
        <v>1806</v>
      </c>
      <c r="E238" s="1" t="s">
        <v>3535</v>
      </c>
      <c r="F238" s="1" t="s">
        <v>112</v>
      </c>
      <c r="G238" s="1">
        <v>176478</v>
      </c>
    </row>
    <row r="239" spans="1:9" x14ac:dyDescent="0.25">
      <c r="A239" s="1" t="str">
        <f t="shared" si="3"/>
        <v>08 Cromolyn 0.1</v>
      </c>
      <c r="B2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39" s="1" t="s">
        <v>3536</v>
      </c>
      <c r="D239" s="1" t="s">
        <v>279</v>
      </c>
      <c r="E239" s="1" t="s">
        <v>3537</v>
      </c>
      <c r="F239" s="1" t="s">
        <v>112</v>
      </c>
      <c r="G239" s="1">
        <v>354103</v>
      </c>
    </row>
    <row r="240" spans="1:9" x14ac:dyDescent="0.25">
      <c r="A240" s="1" t="str">
        <f t="shared" si="3"/>
        <v>08 Cromolyn 0.1</v>
      </c>
      <c r="B2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0" s="1" t="s">
        <v>3538</v>
      </c>
      <c r="D240" s="1" t="s">
        <v>1385</v>
      </c>
      <c r="E240" s="1" t="s">
        <v>3539</v>
      </c>
      <c r="F240" s="1" t="s">
        <v>112</v>
      </c>
      <c r="G240" s="1">
        <v>155908</v>
      </c>
    </row>
    <row r="241" spans="1:7" x14ac:dyDescent="0.25">
      <c r="A241" s="1" t="str">
        <f t="shared" si="3"/>
        <v>08 Cromolyn 0.1</v>
      </c>
      <c r="B2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41" s="1" t="s">
        <v>3540</v>
      </c>
      <c r="D241" s="1" t="s">
        <v>1876</v>
      </c>
      <c r="E241" s="1" t="s">
        <v>1877</v>
      </c>
      <c r="F241" s="1" t="s">
        <v>112</v>
      </c>
      <c r="G241" s="1">
        <v>9366</v>
      </c>
    </row>
    <row r="242" spans="1:7" x14ac:dyDescent="0.25">
      <c r="A242" s="1" t="str">
        <f t="shared" si="3"/>
        <v>08 Cromolyn 0.1</v>
      </c>
      <c r="B2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2" s="1" t="s">
        <v>3541</v>
      </c>
      <c r="D242" s="1" t="s">
        <v>802</v>
      </c>
      <c r="E242" s="1" t="s">
        <v>3542</v>
      </c>
      <c r="F242" s="1" t="s">
        <v>112</v>
      </c>
      <c r="G242" s="1">
        <v>25523</v>
      </c>
    </row>
    <row r="243" spans="1:7" x14ac:dyDescent="0.25">
      <c r="A243" s="1" t="str">
        <f t="shared" si="3"/>
        <v>08 Cromolyn 0.1</v>
      </c>
      <c r="B2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3" s="1" t="s">
        <v>3543</v>
      </c>
      <c r="D243" s="1" t="s">
        <v>1845</v>
      </c>
      <c r="E243" s="1" t="s">
        <v>3544</v>
      </c>
      <c r="F243" s="1" t="s">
        <v>112</v>
      </c>
      <c r="G243" s="1">
        <v>27102</v>
      </c>
    </row>
    <row r="244" spans="1:7" x14ac:dyDescent="0.25">
      <c r="A244" s="1" t="str">
        <f t="shared" si="3"/>
        <v>08 Cromolyn 0.1</v>
      </c>
      <c r="B2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44" s="1" t="s">
        <v>3545</v>
      </c>
      <c r="D244" s="1" t="s">
        <v>1290</v>
      </c>
      <c r="E244" s="1" t="s">
        <v>3546</v>
      </c>
      <c r="F244" s="1" t="s">
        <v>112</v>
      </c>
      <c r="G244" s="1">
        <v>42957</v>
      </c>
    </row>
    <row r="245" spans="1:7" x14ac:dyDescent="0.25">
      <c r="A245" s="1" t="str">
        <f t="shared" si="3"/>
        <v>08 Cromolyn 0.1</v>
      </c>
      <c r="B2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5" s="1" t="s">
        <v>3547</v>
      </c>
      <c r="D245" s="1" t="s">
        <v>1013</v>
      </c>
      <c r="E245" s="1" t="s">
        <v>3548</v>
      </c>
      <c r="F245" s="1" t="s">
        <v>112</v>
      </c>
      <c r="G245" s="1">
        <v>638514</v>
      </c>
    </row>
    <row r="246" spans="1:7" x14ac:dyDescent="0.25">
      <c r="A246" s="1" t="str">
        <f t="shared" si="3"/>
        <v>08 Cromolyn 0.1</v>
      </c>
      <c r="B2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6" s="1" t="s">
        <v>3549</v>
      </c>
      <c r="D246" s="1" t="s">
        <v>2448</v>
      </c>
      <c r="E246" s="1" t="s">
        <v>3550</v>
      </c>
      <c r="F246" s="1" t="s">
        <v>112</v>
      </c>
      <c r="G246" s="1">
        <v>55783</v>
      </c>
    </row>
    <row r="247" spans="1:7" x14ac:dyDescent="0.25">
      <c r="A247" s="1" t="str">
        <f t="shared" si="3"/>
        <v>08 Cromolyn 0.1</v>
      </c>
      <c r="B2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47" s="1" t="s">
        <v>3551</v>
      </c>
      <c r="D247" s="1" t="s">
        <v>3552</v>
      </c>
      <c r="E247" s="1" t="s">
        <v>3553</v>
      </c>
      <c r="F247" s="1" t="s">
        <v>112</v>
      </c>
      <c r="G247" s="1">
        <v>447155</v>
      </c>
    </row>
    <row r="248" spans="1:7" x14ac:dyDescent="0.25">
      <c r="A248" s="1" t="str">
        <f t="shared" si="3"/>
        <v>08 Cromolyn 0.1</v>
      </c>
      <c r="B2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8" s="1" t="s">
        <v>3554</v>
      </c>
      <c r="D248" s="1" t="s">
        <v>2337</v>
      </c>
      <c r="E248" s="1" t="s">
        <v>3555</v>
      </c>
      <c r="F248" s="1" t="s">
        <v>112</v>
      </c>
      <c r="G248" s="1">
        <v>34262</v>
      </c>
    </row>
    <row r="249" spans="1:7" x14ac:dyDescent="0.25">
      <c r="A249" s="1" t="str">
        <f t="shared" si="3"/>
        <v>08 Cromolyn 0.1</v>
      </c>
      <c r="B2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49" s="1" t="s">
        <v>3556</v>
      </c>
      <c r="D249" s="1" t="s">
        <v>767</v>
      </c>
      <c r="E249" s="1" t="s">
        <v>3557</v>
      </c>
      <c r="F249" s="1" t="s">
        <v>112</v>
      </c>
      <c r="G249" s="1">
        <v>61451</v>
      </c>
    </row>
    <row r="250" spans="1:7" x14ac:dyDescent="0.25">
      <c r="A250" s="1" t="str">
        <f t="shared" si="3"/>
        <v>08 Cromolyn 0.1</v>
      </c>
      <c r="B2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50" s="1" t="s">
        <v>3558</v>
      </c>
      <c r="D250" s="1" t="s">
        <v>1473</v>
      </c>
      <c r="E250" s="1" t="s">
        <v>3559</v>
      </c>
      <c r="F250" s="1" t="s">
        <v>112</v>
      </c>
      <c r="G250" s="1">
        <v>48105</v>
      </c>
    </row>
    <row r="251" spans="1:7" x14ac:dyDescent="0.25">
      <c r="A251" s="1" t="str">
        <f t="shared" si="3"/>
        <v>08 Cromolyn 0.1</v>
      </c>
      <c r="B2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1" s="1" t="s">
        <v>3560</v>
      </c>
      <c r="D251" s="1" t="s">
        <v>3009</v>
      </c>
      <c r="E251" s="1" t="s">
        <v>3561</v>
      </c>
      <c r="F251" s="1" t="s">
        <v>112</v>
      </c>
      <c r="G251" s="1">
        <v>426888</v>
      </c>
    </row>
    <row r="252" spans="1:7" x14ac:dyDescent="0.25">
      <c r="A252" s="1" t="str">
        <f t="shared" si="3"/>
        <v>08 Cromolyn 0.1</v>
      </c>
      <c r="B2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2" s="1" t="s">
        <v>3562</v>
      </c>
    </row>
    <row r="253" spans="1:7" x14ac:dyDescent="0.25">
      <c r="A253" s="1" t="str">
        <f t="shared" si="3"/>
        <v>08 Cromolyn 0.1</v>
      </c>
      <c r="B2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53" s="1" t="s">
        <v>3563</v>
      </c>
      <c r="D253" s="1" t="s">
        <v>252</v>
      </c>
      <c r="E253" s="1" t="s">
        <v>3564</v>
      </c>
      <c r="F253" s="1" t="s">
        <v>112</v>
      </c>
      <c r="G253" s="1">
        <v>303186</v>
      </c>
    </row>
    <row r="254" spans="1:7" x14ac:dyDescent="0.25">
      <c r="A254" s="1" t="str">
        <f t="shared" si="3"/>
        <v>08 Cromolyn 0.1</v>
      </c>
      <c r="B2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4" s="1" t="s">
        <v>3565</v>
      </c>
      <c r="D254" s="1" t="s">
        <v>198</v>
      </c>
      <c r="E254" s="1" t="s">
        <v>3566</v>
      </c>
      <c r="F254" s="1" t="s">
        <v>112</v>
      </c>
      <c r="G254" s="1">
        <v>289278</v>
      </c>
    </row>
    <row r="255" spans="1:7" x14ac:dyDescent="0.25">
      <c r="A255" s="1" t="str">
        <f t="shared" si="3"/>
        <v>08 Cromolyn 0.1</v>
      </c>
      <c r="B2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5" s="1" t="s">
        <v>3567</v>
      </c>
      <c r="D255" s="1" t="s">
        <v>826</v>
      </c>
      <c r="E255" s="1" t="s">
        <v>3568</v>
      </c>
      <c r="F255" s="1" t="s">
        <v>112</v>
      </c>
      <c r="G255" s="1">
        <v>146629</v>
      </c>
    </row>
    <row r="256" spans="1:7" x14ac:dyDescent="0.25">
      <c r="A256" s="1" t="str">
        <f t="shared" si="3"/>
        <v>08 Cromolyn 0.1</v>
      </c>
      <c r="B2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56" s="1" t="s">
        <v>3569</v>
      </c>
      <c r="D256" s="1" t="s">
        <v>857</v>
      </c>
      <c r="E256" s="1" t="s">
        <v>3570</v>
      </c>
      <c r="F256" s="1" t="s">
        <v>112</v>
      </c>
      <c r="G256" s="1">
        <v>381941</v>
      </c>
    </row>
    <row r="257" spans="1:9" x14ac:dyDescent="0.25">
      <c r="A257" s="1" t="str">
        <f t="shared" si="3"/>
        <v/>
      </c>
      <c r="B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7" s="1" t="s">
        <v>112</v>
      </c>
    </row>
    <row r="258" spans="1:9" x14ac:dyDescent="0.25">
      <c r="A258" s="1" t="str">
        <f t="shared" ref="A258:A321" si="4">IFERROR(LEFT(RIGHT(C258,LEN(C258)-SEARCH("@",C258)),SEARCH("/",RIGHT(C258,LEN(C258)-SEARCH("@",C258)-1))),"")</f>
        <v/>
      </c>
      <c r="B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58" s="1" t="s">
        <v>235</v>
      </c>
      <c r="D258" s="1" t="s">
        <v>112</v>
      </c>
      <c r="E258" s="1" t="s">
        <v>236</v>
      </c>
      <c r="F258" s="1" t="s">
        <v>237</v>
      </c>
      <c r="G258" s="1" t="s">
        <v>238</v>
      </c>
      <c r="H258" s="1" t="s">
        <v>239</v>
      </c>
      <c r="I258" s="1" t="s">
        <v>240</v>
      </c>
    </row>
    <row r="259" spans="1:9" x14ac:dyDescent="0.25">
      <c r="A259" s="1" t="str">
        <f t="shared" si="4"/>
        <v>08 Cromolyn 0.1</v>
      </c>
      <c r="B25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59" s="1" t="s">
        <v>3571</v>
      </c>
      <c r="D259" s="1" t="s">
        <v>112</v>
      </c>
      <c r="E259" s="1" t="s">
        <v>3572</v>
      </c>
      <c r="F259" s="1" t="s">
        <v>3573</v>
      </c>
      <c r="G259" s="1" t="s">
        <v>3574</v>
      </c>
      <c r="H259" s="1" t="s">
        <v>3575</v>
      </c>
      <c r="I259" s="1">
        <v>24</v>
      </c>
    </row>
    <row r="260" spans="1:9" x14ac:dyDescent="0.25">
      <c r="A260" s="1" t="str">
        <f t="shared" si="4"/>
        <v/>
      </c>
      <c r="B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0" s="1" t="s">
        <v>112</v>
      </c>
    </row>
    <row r="261" spans="1:9" x14ac:dyDescent="0.25">
      <c r="A261" s="1" t="str">
        <f t="shared" si="4"/>
        <v/>
      </c>
      <c r="B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1" s="1" t="s">
        <v>112</v>
      </c>
    </row>
    <row r="262" spans="1:9" x14ac:dyDescent="0.25">
      <c r="A262" s="1" t="str">
        <f t="shared" si="4"/>
        <v/>
      </c>
      <c r="B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2" s="1" t="s">
        <v>112</v>
      </c>
    </row>
    <row r="263" spans="1:9" x14ac:dyDescent="0.25">
      <c r="A263" s="1" t="str">
        <f t="shared" si="4"/>
        <v/>
      </c>
      <c r="B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3" s="1" t="s">
        <v>112</v>
      </c>
    </row>
    <row r="264" spans="1:9" x14ac:dyDescent="0.25">
      <c r="A264" s="1" t="str">
        <f t="shared" si="4"/>
        <v/>
      </c>
      <c r="B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4" s="1" t="s">
        <v>112</v>
      </c>
    </row>
    <row r="265" spans="1:9" x14ac:dyDescent="0.25">
      <c r="A265" s="1" t="str">
        <f t="shared" si="4"/>
        <v/>
      </c>
      <c r="B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65" s="1" t="s">
        <v>246</v>
      </c>
      <c r="D265" s="1" t="s">
        <v>110</v>
      </c>
      <c r="E265" s="1" t="s">
        <v>111</v>
      </c>
      <c r="F265" s="1" t="s">
        <v>112</v>
      </c>
      <c r="G265" s="1" t="s">
        <v>113</v>
      </c>
    </row>
    <row r="266" spans="1:9" x14ac:dyDescent="0.25">
      <c r="A266" s="1" t="str">
        <f t="shared" si="4"/>
        <v>09 Cromolyn 1</v>
      </c>
      <c r="B2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6" s="1" t="s">
        <v>3576</v>
      </c>
      <c r="D266" s="1" t="s">
        <v>1768</v>
      </c>
      <c r="E266" s="1" t="s">
        <v>3577</v>
      </c>
      <c r="F266" s="1" t="s">
        <v>112</v>
      </c>
      <c r="G266" s="1">
        <v>86195</v>
      </c>
    </row>
    <row r="267" spans="1:9" x14ac:dyDescent="0.25">
      <c r="A267" s="1" t="str">
        <f t="shared" si="4"/>
        <v>09 Cromolyn 1</v>
      </c>
      <c r="B2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7" s="1" t="s">
        <v>3578</v>
      </c>
      <c r="D267" s="1" t="s">
        <v>2850</v>
      </c>
      <c r="E267" s="1" t="s">
        <v>3579</v>
      </c>
      <c r="F267" s="1" t="s">
        <v>112</v>
      </c>
      <c r="G267" s="1">
        <v>217835</v>
      </c>
    </row>
    <row r="268" spans="1:9" x14ac:dyDescent="0.25">
      <c r="A268" s="1" t="str">
        <f t="shared" si="4"/>
        <v>09 Cromolyn 1</v>
      </c>
      <c r="B2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68" s="1" t="s">
        <v>3580</v>
      </c>
      <c r="D268" s="1" t="s">
        <v>2256</v>
      </c>
      <c r="E268" s="1" t="s">
        <v>3581</v>
      </c>
      <c r="F268" s="1" t="s">
        <v>112</v>
      </c>
      <c r="G268" s="1">
        <v>103023</v>
      </c>
    </row>
    <row r="269" spans="1:9" x14ac:dyDescent="0.25">
      <c r="A269" s="1" t="str">
        <f t="shared" si="4"/>
        <v>09 Cromolyn 1</v>
      </c>
      <c r="B2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69" s="1" t="s">
        <v>3582</v>
      </c>
      <c r="D269" s="1" t="s">
        <v>932</v>
      </c>
      <c r="E269" s="1" t="s">
        <v>3583</v>
      </c>
      <c r="F269" s="1" t="s">
        <v>112</v>
      </c>
      <c r="G269" s="1">
        <v>293539</v>
      </c>
    </row>
    <row r="270" spans="1:9" x14ac:dyDescent="0.25">
      <c r="A270" s="1" t="str">
        <f t="shared" si="4"/>
        <v>09 Cromolyn 1</v>
      </c>
      <c r="B2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0" s="1" t="s">
        <v>3584</v>
      </c>
      <c r="D270" s="1" t="s">
        <v>815</v>
      </c>
      <c r="E270" s="1" t="s">
        <v>3585</v>
      </c>
      <c r="F270" s="1" t="s">
        <v>112</v>
      </c>
      <c r="G270" s="1">
        <v>178144</v>
      </c>
    </row>
    <row r="271" spans="1:9" x14ac:dyDescent="0.25">
      <c r="A271" s="1" t="str">
        <f t="shared" si="4"/>
        <v>09 Cromolyn 1</v>
      </c>
      <c r="B2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271" s="1" t="s">
        <v>3586</v>
      </c>
      <c r="D271" s="1" t="s">
        <v>391</v>
      </c>
      <c r="E271" s="1" t="s">
        <v>3587</v>
      </c>
      <c r="F271" s="1" t="s">
        <v>112</v>
      </c>
      <c r="G271" s="1">
        <v>327304</v>
      </c>
    </row>
    <row r="272" spans="1:9" x14ac:dyDescent="0.25">
      <c r="A272" s="1" t="str">
        <f t="shared" si="4"/>
        <v>09 Cromolyn 1</v>
      </c>
      <c r="B2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2" s="1" t="s">
        <v>3588</v>
      </c>
      <c r="D272" s="1" t="s">
        <v>1825</v>
      </c>
      <c r="E272" s="1" t="s">
        <v>3589</v>
      </c>
      <c r="F272" s="1" t="s">
        <v>112</v>
      </c>
      <c r="G272" s="1">
        <v>83059</v>
      </c>
    </row>
    <row r="273" spans="1:7" x14ac:dyDescent="0.25">
      <c r="A273" s="1" t="str">
        <f t="shared" si="4"/>
        <v>09 Cromolyn 1</v>
      </c>
      <c r="B2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3" s="1" t="s">
        <v>3590</v>
      </c>
      <c r="D273" s="1" t="s">
        <v>362</v>
      </c>
      <c r="E273" s="1" t="s">
        <v>3591</v>
      </c>
      <c r="F273" s="1" t="s">
        <v>112</v>
      </c>
      <c r="G273" s="1">
        <v>91343</v>
      </c>
    </row>
    <row r="274" spans="1:7" x14ac:dyDescent="0.25">
      <c r="A274" s="1" t="str">
        <f t="shared" si="4"/>
        <v>09 Cromolyn 1</v>
      </c>
      <c r="B2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274" s="1" t="s">
        <v>3592</v>
      </c>
      <c r="D274" s="1" t="s">
        <v>3142</v>
      </c>
      <c r="E274" s="1" t="s">
        <v>3593</v>
      </c>
      <c r="F274" s="1" t="s">
        <v>112</v>
      </c>
      <c r="G274" s="1">
        <v>79360</v>
      </c>
    </row>
    <row r="275" spans="1:7" x14ac:dyDescent="0.25">
      <c r="A275" s="1" t="str">
        <f t="shared" si="4"/>
        <v>09 Cromolyn 1</v>
      </c>
      <c r="B2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5" s="1" t="s">
        <v>3594</v>
      </c>
      <c r="D275" s="1" t="s">
        <v>3126</v>
      </c>
      <c r="E275" s="1" t="s">
        <v>3595</v>
      </c>
      <c r="F275" s="1" t="s">
        <v>112</v>
      </c>
      <c r="G275" s="1">
        <v>57752</v>
      </c>
    </row>
    <row r="276" spans="1:7" x14ac:dyDescent="0.25">
      <c r="A276" s="1" t="str">
        <f t="shared" si="4"/>
        <v>09 Cromolyn 1</v>
      </c>
      <c r="B2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6" s="1" t="s">
        <v>3596</v>
      </c>
      <c r="D276" s="1" t="s">
        <v>1864</v>
      </c>
      <c r="E276" s="1" t="s">
        <v>3597</v>
      </c>
      <c r="F276" s="1" t="s">
        <v>112</v>
      </c>
      <c r="G276" s="1">
        <v>116866</v>
      </c>
    </row>
    <row r="277" spans="1:7" x14ac:dyDescent="0.25">
      <c r="A277" s="1" t="str">
        <f t="shared" si="4"/>
        <v>09 Cromolyn 1</v>
      </c>
      <c r="B2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277" s="1" t="s">
        <v>3598</v>
      </c>
      <c r="D277" s="1" t="s">
        <v>692</v>
      </c>
      <c r="E277" s="1" t="s">
        <v>3599</v>
      </c>
      <c r="F277" s="1" t="s">
        <v>112</v>
      </c>
      <c r="G277" s="1">
        <v>100125</v>
      </c>
    </row>
    <row r="278" spans="1:7" x14ac:dyDescent="0.25">
      <c r="A278" s="1" t="str">
        <f t="shared" si="4"/>
        <v>09 Cromolyn 1</v>
      </c>
      <c r="B2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8" s="1" t="s">
        <v>3600</v>
      </c>
      <c r="D278" s="1" t="s">
        <v>3601</v>
      </c>
      <c r="E278" s="1" t="s">
        <v>3602</v>
      </c>
      <c r="F278" s="1" t="s">
        <v>112</v>
      </c>
      <c r="G278" s="1">
        <v>187791</v>
      </c>
    </row>
    <row r="279" spans="1:7" x14ac:dyDescent="0.25">
      <c r="A279" s="1" t="str">
        <f t="shared" si="4"/>
        <v>09 Cromolyn 1</v>
      </c>
      <c r="B2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79" s="1" t="s">
        <v>3603</v>
      </c>
      <c r="D279" s="1" t="s">
        <v>3604</v>
      </c>
      <c r="E279" s="1" t="s">
        <v>3605</v>
      </c>
      <c r="F279" s="1" t="s">
        <v>112</v>
      </c>
      <c r="G279" s="1">
        <v>29871</v>
      </c>
    </row>
    <row r="280" spans="1:7" x14ac:dyDescent="0.25">
      <c r="A280" s="1" t="str">
        <f t="shared" si="4"/>
        <v>09 Cromolyn 1</v>
      </c>
      <c r="B2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280" s="1" t="s">
        <v>3606</v>
      </c>
      <c r="D280" s="1" t="s">
        <v>3607</v>
      </c>
      <c r="E280" s="1" t="s">
        <v>3608</v>
      </c>
      <c r="F280" s="1" t="s">
        <v>112</v>
      </c>
      <c r="G280" s="1">
        <v>38069</v>
      </c>
    </row>
    <row r="281" spans="1:7" x14ac:dyDescent="0.25">
      <c r="A281" s="1" t="str">
        <f t="shared" si="4"/>
        <v>09 Cromolyn 1</v>
      </c>
      <c r="B2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1" s="1" t="s">
        <v>3609</v>
      </c>
      <c r="D281" s="1" t="s">
        <v>3156</v>
      </c>
      <c r="E281" s="1" t="s">
        <v>3610</v>
      </c>
      <c r="F281" s="1" t="s">
        <v>112</v>
      </c>
      <c r="G281" s="1">
        <v>470299</v>
      </c>
    </row>
    <row r="282" spans="1:7" x14ac:dyDescent="0.25">
      <c r="A282" s="1" t="str">
        <f t="shared" si="4"/>
        <v>09 Cromolyn 1</v>
      </c>
      <c r="B2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2" s="1" t="s">
        <v>3611</v>
      </c>
      <c r="D282" s="1" t="s">
        <v>1285</v>
      </c>
      <c r="E282" s="1" t="s">
        <v>3612</v>
      </c>
      <c r="F282" s="1" t="s">
        <v>112</v>
      </c>
      <c r="G282" s="1">
        <v>32531</v>
      </c>
    </row>
    <row r="283" spans="1:7" x14ac:dyDescent="0.25">
      <c r="A283" s="1" t="str">
        <f t="shared" si="4"/>
        <v>09 Cromolyn 1</v>
      </c>
      <c r="B2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283" s="1" t="s">
        <v>3613</v>
      </c>
    </row>
    <row r="284" spans="1:7" x14ac:dyDescent="0.25">
      <c r="A284" s="1" t="str">
        <f t="shared" si="4"/>
        <v>09 Cromolyn 1</v>
      </c>
      <c r="B2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4" s="1" t="s">
        <v>3614</v>
      </c>
      <c r="D284" s="1" t="s">
        <v>802</v>
      </c>
      <c r="E284" s="1" t="s">
        <v>3615</v>
      </c>
      <c r="F284" s="1" t="s">
        <v>112</v>
      </c>
      <c r="G284" s="1">
        <v>25177</v>
      </c>
    </row>
    <row r="285" spans="1:7" x14ac:dyDescent="0.25">
      <c r="A285" s="1" t="str">
        <f t="shared" si="4"/>
        <v>09 Cromolyn 1</v>
      </c>
      <c r="B2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5" s="1" t="s">
        <v>3616</v>
      </c>
      <c r="D285" s="1" t="s">
        <v>3248</v>
      </c>
      <c r="E285" s="1" t="s">
        <v>726</v>
      </c>
      <c r="F285" s="1" t="s">
        <v>112</v>
      </c>
      <c r="G285" s="1">
        <v>108733</v>
      </c>
    </row>
    <row r="286" spans="1:7" x14ac:dyDescent="0.25">
      <c r="A286" s="1" t="str">
        <f t="shared" si="4"/>
        <v>09 Cromolyn 1</v>
      </c>
      <c r="B2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286" s="1" t="s">
        <v>3617</v>
      </c>
      <c r="D286" s="1" t="s">
        <v>3278</v>
      </c>
      <c r="E286" s="1" t="s">
        <v>3618</v>
      </c>
      <c r="F286" s="1" t="s">
        <v>112</v>
      </c>
      <c r="G286" s="1">
        <v>269076</v>
      </c>
    </row>
    <row r="287" spans="1:7" x14ac:dyDescent="0.25">
      <c r="A287" s="1" t="str">
        <f t="shared" si="4"/>
        <v>09 Cromolyn 1</v>
      </c>
      <c r="B2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7" s="1" t="s">
        <v>3619</v>
      </c>
      <c r="D287" s="1" t="s">
        <v>3620</v>
      </c>
      <c r="E287" s="1" t="s">
        <v>3621</v>
      </c>
      <c r="F287" s="1" t="s">
        <v>112</v>
      </c>
      <c r="G287" s="1">
        <v>408870</v>
      </c>
    </row>
    <row r="288" spans="1:7" x14ac:dyDescent="0.25">
      <c r="A288" s="1" t="str">
        <f t="shared" si="4"/>
        <v>09 Cromolyn 1</v>
      </c>
      <c r="B2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8" s="1" t="s">
        <v>3622</v>
      </c>
      <c r="D288" s="1" t="s">
        <v>784</v>
      </c>
      <c r="E288" s="1" t="s">
        <v>3623</v>
      </c>
      <c r="F288" s="1" t="s">
        <v>112</v>
      </c>
      <c r="G288" s="1">
        <v>456694</v>
      </c>
    </row>
    <row r="289" spans="1:9" x14ac:dyDescent="0.25">
      <c r="A289" s="1" t="str">
        <f t="shared" si="4"/>
        <v>09 Cromolyn 1</v>
      </c>
      <c r="B2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289" s="1" t="s">
        <v>3624</v>
      </c>
      <c r="D289" s="1" t="s">
        <v>2774</v>
      </c>
      <c r="E289" s="1" t="s">
        <v>3625</v>
      </c>
      <c r="F289" s="1" t="s">
        <v>112</v>
      </c>
      <c r="G289" s="1">
        <v>516176</v>
      </c>
    </row>
    <row r="290" spans="1:9" x14ac:dyDescent="0.25">
      <c r="A290" s="1" t="str">
        <f t="shared" si="4"/>
        <v/>
      </c>
      <c r="B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0" s="1" t="s">
        <v>112</v>
      </c>
    </row>
    <row r="291" spans="1:9" x14ac:dyDescent="0.25">
      <c r="A291" s="1" t="str">
        <f t="shared" si="4"/>
        <v/>
      </c>
      <c r="B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1" s="1" t="s">
        <v>235</v>
      </c>
      <c r="D291" s="1" t="s">
        <v>112</v>
      </c>
      <c r="E291" s="1" t="s">
        <v>236</v>
      </c>
      <c r="F291" s="1" t="s">
        <v>237</v>
      </c>
      <c r="G291" s="1" t="s">
        <v>238</v>
      </c>
      <c r="H291" s="1" t="s">
        <v>239</v>
      </c>
      <c r="I291" s="1" t="s">
        <v>240</v>
      </c>
    </row>
    <row r="292" spans="1:9" x14ac:dyDescent="0.25">
      <c r="A292" s="1" t="str">
        <f t="shared" si="4"/>
        <v>09 Cromolyn 1</v>
      </c>
      <c r="B29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292" s="1" t="s">
        <v>3626</v>
      </c>
      <c r="D292" s="1" t="s">
        <v>112</v>
      </c>
      <c r="E292" s="1" t="s">
        <v>3627</v>
      </c>
      <c r="F292" s="1" t="s">
        <v>3628</v>
      </c>
      <c r="G292" s="1" t="s">
        <v>3629</v>
      </c>
      <c r="H292" s="1" t="s">
        <v>3630</v>
      </c>
      <c r="I292" s="1">
        <v>24</v>
      </c>
    </row>
    <row r="293" spans="1:9" x14ac:dyDescent="0.25">
      <c r="A293" s="1" t="str">
        <f t="shared" si="4"/>
        <v/>
      </c>
      <c r="B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3" s="1" t="s">
        <v>112</v>
      </c>
    </row>
    <row r="294" spans="1:9" x14ac:dyDescent="0.25">
      <c r="A294" s="1" t="str">
        <f t="shared" si="4"/>
        <v/>
      </c>
      <c r="B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4" s="1" t="s">
        <v>112</v>
      </c>
    </row>
    <row r="295" spans="1:9" x14ac:dyDescent="0.25">
      <c r="A295" s="1" t="str">
        <f t="shared" si="4"/>
        <v/>
      </c>
      <c r="B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5" s="1" t="s">
        <v>112</v>
      </c>
    </row>
    <row r="296" spans="1:9" x14ac:dyDescent="0.25">
      <c r="A296" s="1" t="str">
        <f t="shared" si="4"/>
        <v/>
      </c>
      <c r="B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6" s="1" t="s">
        <v>112</v>
      </c>
    </row>
    <row r="297" spans="1:9" x14ac:dyDescent="0.25">
      <c r="A297" s="1" t="str">
        <f t="shared" si="4"/>
        <v/>
      </c>
      <c r="B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7" s="1" t="s">
        <v>112</v>
      </c>
    </row>
    <row r="298" spans="1:9" x14ac:dyDescent="0.25">
      <c r="A298" s="1" t="str">
        <f t="shared" si="4"/>
        <v/>
      </c>
      <c r="B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298" s="1" t="s">
        <v>246</v>
      </c>
      <c r="D298" s="1" t="s">
        <v>110</v>
      </c>
      <c r="E298" s="1" t="s">
        <v>111</v>
      </c>
      <c r="F298" s="1" t="s">
        <v>112</v>
      </c>
      <c r="G298" s="1" t="s">
        <v>113</v>
      </c>
    </row>
    <row r="299" spans="1:9" x14ac:dyDescent="0.25">
      <c r="A299" s="1" t="str">
        <f t="shared" si="4"/>
        <v>10 Cromolyn 10</v>
      </c>
      <c r="B2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299" s="1" t="s">
        <v>3631</v>
      </c>
      <c r="D299" s="1" t="s">
        <v>1741</v>
      </c>
      <c r="E299" s="1" t="s">
        <v>3632</v>
      </c>
      <c r="F299" s="1" t="s">
        <v>112</v>
      </c>
      <c r="G299" s="1">
        <v>19056</v>
      </c>
    </row>
    <row r="300" spans="1:9" x14ac:dyDescent="0.25">
      <c r="A300" s="1" t="str">
        <f t="shared" si="4"/>
        <v>10 Cromolyn 10</v>
      </c>
      <c r="B3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0" s="1" t="s">
        <v>3633</v>
      </c>
      <c r="D300" s="1" t="s">
        <v>3634</v>
      </c>
      <c r="E300" s="1" t="s">
        <v>3635</v>
      </c>
      <c r="F300" s="1" t="s">
        <v>112</v>
      </c>
      <c r="G300" s="1">
        <v>545852</v>
      </c>
    </row>
    <row r="301" spans="1:9" x14ac:dyDescent="0.25">
      <c r="A301" s="1" t="str">
        <f t="shared" si="4"/>
        <v>10 Cromolyn 10</v>
      </c>
      <c r="B3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01" s="1" t="s">
        <v>3636</v>
      </c>
      <c r="D301" s="1" t="s">
        <v>716</v>
      </c>
      <c r="E301" s="1" t="s">
        <v>3637</v>
      </c>
      <c r="F301" s="1" t="s">
        <v>112</v>
      </c>
      <c r="G301" s="1">
        <v>190754</v>
      </c>
    </row>
    <row r="302" spans="1:9" x14ac:dyDescent="0.25">
      <c r="A302" s="1" t="str">
        <f t="shared" si="4"/>
        <v>10 Cromolyn 10</v>
      </c>
      <c r="B3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2" s="1" t="s">
        <v>3638</v>
      </c>
      <c r="D302" s="1" t="s">
        <v>3142</v>
      </c>
      <c r="E302" s="1" t="s">
        <v>3639</v>
      </c>
      <c r="F302" s="1" t="s">
        <v>112</v>
      </c>
      <c r="G302" s="1">
        <v>80766</v>
      </c>
    </row>
    <row r="303" spans="1:9" x14ac:dyDescent="0.25">
      <c r="A303" s="1" t="str">
        <f t="shared" si="4"/>
        <v>10 Cromolyn 10</v>
      </c>
      <c r="B3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3" s="1" t="s">
        <v>3640</v>
      </c>
      <c r="D303" s="1" t="s">
        <v>802</v>
      </c>
      <c r="E303" s="1" t="s">
        <v>3641</v>
      </c>
      <c r="F303" s="1" t="s">
        <v>112</v>
      </c>
      <c r="G303" s="1">
        <v>24463</v>
      </c>
    </row>
    <row r="304" spans="1:9" x14ac:dyDescent="0.25">
      <c r="A304" s="1" t="str">
        <f t="shared" si="4"/>
        <v>10 Cromolyn 10</v>
      </c>
      <c r="B3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04" s="1" t="s">
        <v>3642</v>
      </c>
      <c r="D304" s="1" t="s">
        <v>3126</v>
      </c>
      <c r="E304" s="1" t="s">
        <v>3643</v>
      </c>
      <c r="F304" s="1" t="s">
        <v>112</v>
      </c>
      <c r="G304" s="1">
        <v>57125</v>
      </c>
    </row>
    <row r="305" spans="1:7" x14ac:dyDescent="0.25">
      <c r="A305" s="1" t="str">
        <f t="shared" si="4"/>
        <v>10 Cromolyn 10</v>
      </c>
      <c r="B3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5" s="1" t="s">
        <v>3644</v>
      </c>
    </row>
    <row r="306" spans="1:7" x14ac:dyDescent="0.25">
      <c r="A306" s="1" t="str">
        <f t="shared" si="4"/>
        <v>10 Cromolyn 10</v>
      </c>
      <c r="B3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6" s="1" t="s">
        <v>3645</v>
      </c>
      <c r="D306" s="1" t="s">
        <v>1780</v>
      </c>
      <c r="E306" s="1" t="s">
        <v>3646</v>
      </c>
      <c r="F306" s="1" t="s">
        <v>112</v>
      </c>
      <c r="G306" s="1">
        <v>40015</v>
      </c>
    </row>
    <row r="307" spans="1:7" x14ac:dyDescent="0.25">
      <c r="A307" s="1" t="str">
        <f t="shared" si="4"/>
        <v>10 Cromolyn 10</v>
      </c>
      <c r="B3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07" s="1" t="s">
        <v>3647</v>
      </c>
    </row>
    <row r="308" spans="1:7" x14ac:dyDescent="0.25">
      <c r="A308" s="1" t="str">
        <f t="shared" si="4"/>
        <v>10 Cromolyn 10</v>
      </c>
      <c r="B3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8" s="1" t="s">
        <v>3648</v>
      </c>
      <c r="D308" s="1" t="s">
        <v>3649</v>
      </c>
      <c r="E308" s="1" t="s">
        <v>3650</v>
      </c>
      <c r="F308" s="1" t="s">
        <v>112</v>
      </c>
      <c r="G308" s="1">
        <v>77478</v>
      </c>
    </row>
    <row r="309" spans="1:7" x14ac:dyDescent="0.25">
      <c r="A309" s="1" t="str">
        <f t="shared" si="4"/>
        <v>10 Cromolyn 10</v>
      </c>
      <c r="B3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09" s="1" t="s">
        <v>3651</v>
      </c>
      <c r="D309" s="1" t="s">
        <v>2256</v>
      </c>
      <c r="E309" s="1" t="s">
        <v>3652</v>
      </c>
      <c r="F309" s="1" t="s">
        <v>112</v>
      </c>
      <c r="G309" s="1">
        <v>101358</v>
      </c>
    </row>
    <row r="310" spans="1:7" x14ac:dyDescent="0.25">
      <c r="A310" s="1" t="str">
        <f t="shared" si="4"/>
        <v>10 Cromolyn 10</v>
      </c>
      <c r="B3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10" s="1" t="s">
        <v>3653</v>
      </c>
      <c r="D310" s="1" t="s">
        <v>719</v>
      </c>
      <c r="E310" s="1" t="s">
        <v>3654</v>
      </c>
      <c r="F310" s="1" t="s">
        <v>112</v>
      </c>
      <c r="G310" s="1">
        <v>115850</v>
      </c>
    </row>
    <row r="311" spans="1:7" x14ac:dyDescent="0.25">
      <c r="A311" s="1" t="str">
        <f t="shared" si="4"/>
        <v>10 Cromolyn 10</v>
      </c>
      <c r="B3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1" s="1" t="s">
        <v>3655</v>
      </c>
    </row>
    <row r="312" spans="1:7" x14ac:dyDescent="0.25">
      <c r="A312" s="1" t="str">
        <f t="shared" si="4"/>
        <v>10 Cromolyn 10</v>
      </c>
      <c r="B3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2" s="1" t="s">
        <v>3656</v>
      </c>
      <c r="D312" s="1" t="s">
        <v>984</v>
      </c>
      <c r="E312" s="1" t="s">
        <v>3657</v>
      </c>
      <c r="F312" s="1" t="s">
        <v>112</v>
      </c>
      <c r="G312" s="1">
        <v>99844</v>
      </c>
    </row>
    <row r="313" spans="1:7" x14ac:dyDescent="0.25">
      <c r="A313" s="1" t="str">
        <f t="shared" si="4"/>
        <v>10 Cromolyn 10</v>
      </c>
      <c r="B3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13" s="1" t="s">
        <v>3658</v>
      </c>
      <c r="D313" s="1" t="s">
        <v>1774</v>
      </c>
      <c r="E313" s="1" t="s">
        <v>3659</v>
      </c>
      <c r="F313" s="1" t="s">
        <v>112</v>
      </c>
      <c r="G313" s="1">
        <v>48386</v>
      </c>
    </row>
    <row r="314" spans="1:7" x14ac:dyDescent="0.25">
      <c r="A314" s="1" t="str">
        <f t="shared" si="4"/>
        <v>10 Cromolyn 10</v>
      </c>
      <c r="B3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4" s="1" t="s">
        <v>3660</v>
      </c>
      <c r="D314" s="1" t="s">
        <v>2337</v>
      </c>
      <c r="E314" s="1" t="s">
        <v>3661</v>
      </c>
      <c r="F314" s="1" t="s">
        <v>112</v>
      </c>
      <c r="G314" s="1">
        <v>35127</v>
      </c>
    </row>
    <row r="315" spans="1:7" x14ac:dyDescent="0.25">
      <c r="A315" s="1" t="str">
        <f t="shared" si="4"/>
        <v>10 Cromolyn 10</v>
      </c>
      <c r="B3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5" s="1" t="s">
        <v>3662</v>
      </c>
      <c r="D315" s="1" t="s">
        <v>2337</v>
      </c>
      <c r="E315" s="1" t="s">
        <v>3164</v>
      </c>
      <c r="F315" s="1" t="s">
        <v>112</v>
      </c>
      <c r="G315" s="1">
        <v>34716</v>
      </c>
    </row>
    <row r="316" spans="1:7" x14ac:dyDescent="0.25">
      <c r="A316" s="1" t="str">
        <f t="shared" si="4"/>
        <v>10 Cromolyn 10</v>
      </c>
      <c r="B3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16" s="1" t="s">
        <v>3663</v>
      </c>
      <c r="D316" s="1" t="s">
        <v>1885</v>
      </c>
      <c r="E316" s="1" t="s">
        <v>3664</v>
      </c>
      <c r="F316" s="1" t="s">
        <v>112</v>
      </c>
      <c r="G316" s="1">
        <v>33375</v>
      </c>
    </row>
    <row r="317" spans="1:7" x14ac:dyDescent="0.25">
      <c r="A317" s="1" t="str">
        <f t="shared" si="4"/>
        <v>10 Cromolyn 10</v>
      </c>
      <c r="B3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7" s="1" t="s">
        <v>3665</v>
      </c>
    </row>
    <row r="318" spans="1:7" x14ac:dyDescent="0.25">
      <c r="A318" s="1" t="str">
        <f t="shared" si="4"/>
        <v>10 Cromolyn 10</v>
      </c>
      <c r="B3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8" s="1" t="s">
        <v>3666</v>
      </c>
      <c r="D318" s="1" t="s">
        <v>325</v>
      </c>
      <c r="E318" s="1" t="s">
        <v>3667</v>
      </c>
      <c r="F318" s="1" t="s">
        <v>112</v>
      </c>
      <c r="G318" s="1">
        <v>17737</v>
      </c>
    </row>
    <row r="319" spans="1:7" x14ac:dyDescent="0.25">
      <c r="A319" s="1" t="str">
        <f t="shared" si="4"/>
        <v>10 Cromolyn 10</v>
      </c>
      <c r="B3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19" s="1" t="s">
        <v>3668</v>
      </c>
      <c r="D319" s="1" t="s">
        <v>710</v>
      </c>
      <c r="E319" s="1" t="s">
        <v>3669</v>
      </c>
      <c r="F319" s="1" t="s">
        <v>112</v>
      </c>
      <c r="G319" s="1">
        <v>23317</v>
      </c>
    </row>
    <row r="320" spans="1:7" x14ac:dyDescent="0.25">
      <c r="A320" s="1" t="str">
        <f t="shared" si="4"/>
        <v>10 Cromolyn 10</v>
      </c>
      <c r="B3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0" s="1" t="s">
        <v>3670</v>
      </c>
      <c r="D320" s="1" t="s">
        <v>3671</v>
      </c>
      <c r="E320" s="1" t="s">
        <v>3672</v>
      </c>
      <c r="F320" s="1" t="s">
        <v>112</v>
      </c>
      <c r="G320" s="1">
        <v>417781</v>
      </c>
    </row>
    <row r="321" spans="1:9" x14ac:dyDescent="0.25">
      <c r="A321" s="1" t="str">
        <f t="shared" si="4"/>
        <v>10 Cromolyn 10</v>
      </c>
      <c r="B3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1" s="1" t="s">
        <v>3673</v>
      </c>
      <c r="D321" s="1" t="s">
        <v>3037</v>
      </c>
      <c r="E321" s="1" t="s">
        <v>3674</v>
      </c>
      <c r="F321" s="1" t="s">
        <v>112</v>
      </c>
      <c r="G321" s="1">
        <v>340130</v>
      </c>
    </row>
    <row r="322" spans="1:9" x14ac:dyDescent="0.25">
      <c r="A322" s="1" t="str">
        <f t="shared" ref="A322:A385" si="5">IFERROR(LEFT(RIGHT(C322,LEN(C322)-SEARCH("@",C322)),SEARCH("/",RIGHT(C322,LEN(C322)-SEARCH("@",C322)-1))),"")</f>
        <v>10 Cromolyn 10</v>
      </c>
      <c r="B3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22" s="1" t="s">
        <v>3675</v>
      </c>
      <c r="D322" s="1" t="s">
        <v>303</v>
      </c>
      <c r="E322" s="1" t="s">
        <v>3676</v>
      </c>
      <c r="F322" s="1" t="s">
        <v>112</v>
      </c>
      <c r="G322" s="1">
        <v>91408</v>
      </c>
    </row>
    <row r="323" spans="1:9" x14ac:dyDescent="0.25">
      <c r="A323" s="1" t="str">
        <f t="shared" si="5"/>
        <v/>
      </c>
      <c r="B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3" s="1" t="s">
        <v>112</v>
      </c>
    </row>
    <row r="324" spans="1:9" x14ac:dyDescent="0.25">
      <c r="A324" s="1" t="str">
        <f t="shared" si="5"/>
        <v/>
      </c>
      <c r="B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4" s="1" t="s">
        <v>235</v>
      </c>
      <c r="D324" s="1" t="s">
        <v>112</v>
      </c>
      <c r="E324" s="1" t="s">
        <v>236</v>
      </c>
      <c r="F324" s="1" t="s">
        <v>237</v>
      </c>
      <c r="G324" s="1" t="s">
        <v>238</v>
      </c>
      <c r="H324" s="1" t="s">
        <v>239</v>
      </c>
      <c r="I324" s="1" t="s">
        <v>240</v>
      </c>
    </row>
    <row r="325" spans="1:9" x14ac:dyDescent="0.25">
      <c r="A325" s="1" t="str">
        <f t="shared" si="5"/>
        <v>10 Cromolyn 10</v>
      </c>
      <c r="B32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25" s="1" t="s">
        <v>3677</v>
      </c>
      <c r="D325" s="1" t="s">
        <v>112</v>
      </c>
      <c r="E325" s="1" t="s">
        <v>3678</v>
      </c>
      <c r="F325" s="1" t="s">
        <v>3679</v>
      </c>
      <c r="G325" s="1" t="s">
        <v>3680</v>
      </c>
      <c r="H325" s="1" t="s">
        <v>3681</v>
      </c>
      <c r="I325" s="1">
        <v>24</v>
      </c>
    </row>
    <row r="326" spans="1:9" x14ac:dyDescent="0.25">
      <c r="A326" s="1" t="str">
        <f t="shared" si="5"/>
        <v/>
      </c>
      <c r="B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6" s="1" t="s">
        <v>112</v>
      </c>
    </row>
    <row r="327" spans="1:9" x14ac:dyDescent="0.25">
      <c r="A327" s="1" t="str">
        <f t="shared" si="5"/>
        <v/>
      </c>
      <c r="B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7" s="1" t="s">
        <v>112</v>
      </c>
    </row>
    <row r="328" spans="1:9" x14ac:dyDescent="0.25">
      <c r="A328" s="1" t="str">
        <f t="shared" si="5"/>
        <v/>
      </c>
      <c r="B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8" s="1" t="s">
        <v>112</v>
      </c>
    </row>
    <row r="329" spans="1:9" x14ac:dyDescent="0.25">
      <c r="A329" s="1" t="str">
        <f t="shared" si="5"/>
        <v/>
      </c>
      <c r="B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29" s="1" t="s">
        <v>112</v>
      </c>
    </row>
    <row r="330" spans="1:9" x14ac:dyDescent="0.25">
      <c r="A330" s="1" t="str">
        <f t="shared" si="5"/>
        <v/>
      </c>
      <c r="B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0" s="1" t="s">
        <v>112</v>
      </c>
    </row>
    <row r="331" spans="1:9" x14ac:dyDescent="0.25">
      <c r="A331" s="1" t="str">
        <f t="shared" si="5"/>
        <v/>
      </c>
      <c r="B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31" s="1" t="s">
        <v>246</v>
      </c>
      <c r="D331" s="1" t="s">
        <v>110</v>
      </c>
      <c r="E331" s="1" t="s">
        <v>111</v>
      </c>
      <c r="F331" s="1" t="s">
        <v>112</v>
      </c>
      <c r="G331" s="1" t="s">
        <v>113</v>
      </c>
    </row>
    <row r="332" spans="1:9" x14ac:dyDescent="0.25">
      <c r="A332" s="1" t="str">
        <f t="shared" si="5"/>
        <v>11 Cromolyn 100</v>
      </c>
      <c r="B3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2" s="1" t="s">
        <v>3682</v>
      </c>
      <c r="D332" s="1" t="s">
        <v>3683</v>
      </c>
      <c r="E332" s="1" t="s">
        <v>3684</v>
      </c>
      <c r="F332" s="1" t="s">
        <v>112</v>
      </c>
      <c r="G332" s="1">
        <v>433896</v>
      </c>
    </row>
    <row r="333" spans="1:9" x14ac:dyDescent="0.25">
      <c r="A333" s="1" t="str">
        <f t="shared" si="5"/>
        <v>11 Cromolyn 100</v>
      </c>
      <c r="B3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3" s="1" t="s">
        <v>3685</v>
      </c>
      <c r="D333" s="1" t="s">
        <v>1250</v>
      </c>
      <c r="E333" s="1" t="s">
        <v>3686</v>
      </c>
      <c r="F333" s="1" t="s">
        <v>112</v>
      </c>
      <c r="G333" s="1">
        <v>250323</v>
      </c>
    </row>
    <row r="334" spans="1:9" x14ac:dyDescent="0.25">
      <c r="A334" s="1" t="str">
        <f t="shared" si="5"/>
        <v>11 Cromolyn 100</v>
      </c>
      <c r="B3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34" s="1" t="s">
        <v>3687</v>
      </c>
      <c r="D334" s="1" t="s">
        <v>742</v>
      </c>
      <c r="E334" s="1" t="s">
        <v>3688</v>
      </c>
      <c r="F334" s="1" t="s">
        <v>112</v>
      </c>
      <c r="G334" s="1">
        <v>213552</v>
      </c>
    </row>
    <row r="335" spans="1:9" x14ac:dyDescent="0.25">
      <c r="A335" s="1" t="str">
        <f t="shared" si="5"/>
        <v>11 Cromolyn 100</v>
      </c>
      <c r="B3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5" s="1" t="s">
        <v>3689</v>
      </c>
      <c r="D335" s="1" t="s">
        <v>3095</v>
      </c>
      <c r="E335" s="1" t="s">
        <v>3690</v>
      </c>
      <c r="F335" s="1" t="s">
        <v>112</v>
      </c>
      <c r="G335" s="1">
        <v>174510</v>
      </c>
    </row>
    <row r="336" spans="1:9" x14ac:dyDescent="0.25">
      <c r="A336" s="1" t="str">
        <f t="shared" si="5"/>
        <v>11 Cromolyn 100</v>
      </c>
      <c r="B3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6" s="1" t="s">
        <v>3691</v>
      </c>
      <c r="D336" s="1" t="s">
        <v>173</v>
      </c>
      <c r="E336" s="1" t="s">
        <v>3692</v>
      </c>
      <c r="F336" s="1" t="s">
        <v>112</v>
      </c>
      <c r="G336" s="1">
        <v>87385</v>
      </c>
    </row>
    <row r="337" spans="1:7" x14ac:dyDescent="0.25">
      <c r="A337" s="1" t="str">
        <f t="shared" si="5"/>
        <v>11 Cromolyn 100</v>
      </c>
      <c r="B3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37" s="1" t="s">
        <v>3693</v>
      </c>
      <c r="D337" s="1" t="s">
        <v>2939</v>
      </c>
      <c r="E337" s="1" t="s">
        <v>3694</v>
      </c>
      <c r="F337" s="1" t="s">
        <v>112</v>
      </c>
      <c r="G337" s="1">
        <v>94631</v>
      </c>
    </row>
    <row r="338" spans="1:7" x14ac:dyDescent="0.25">
      <c r="A338" s="1" t="str">
        <f t="shared" si="5"/>
        <v>11 Cromolyn 100</v>
      </c>
      <c r="B3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8" s="1" t="s">
        <v>3695</v>
      </c>
      <c r="D338" s="1" t="s">
        <v>1063</v>
      </c>
      <c r="E338" s="1" t="s">
        <v>3696</v>
      </c>
      <c r="F338" s="1" t="s">
        <v>112</v>
      </c>
      <c r="G338" s="1">
        <v>228693</v>
      </c>
    </row>
    <row r="339" spans="1:7" x14ac:dyDescent="0.25">
      <c r="A339" s="1" t="str">
        <f t="shared" si="5"/>
        <v>11 Cromolyn 100</v>
      </c>
      <c r="B3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39" s="1" t="s">
        <v>3697</v>
      </c>
      <c r="D339" s="1" t="s">
        <v>2368</v>
      </c>
      <c r="E339" s="1" t="s">
        <v>3698</v>
      </c>
      <c r="F339" s="1" t="s">
        <v>112</v>
      </c>
      <c r="G339" s="1">
        <v>130169</v>
      </c>
    </row>
    <row r="340" spans="1:7" x14ac:dyDescent="0.25">
      <c r="A340" s="1" t="str">
        <f t="shared" si="5"/>
        <v>11 Cromolyn 100</v>
      </c>
      <c r="B3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40" s="1" t="s">
        <v>3699</v>
      </c>
      <c r="D340" s="1" t="s">
        <v>1780</v>
      </c>
      <c r="E340" s="1" t="s">
        <v>3700</v>
      </c>
      <c r="F340" s="1" t="s">
        <v>112</v>
      </c>
      <c r="G340" s="1">
        <v>41573</v>
      </c>
    </row>
    <row r="341" spans="1:7" x14ac:dyDescent="0.25">
      <c r="A341" s="1" t="str">
        <f t="shared" si="5"/>
        <v>11 Cromolyn 100</v>
      </c>
      <c r="B3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1" s="1" t="s">
        <v>3701</v>
      </c>
      <c r="D341" s="1" t="s">
        <v>1290</v>
      </c>
      <c r="E341" s="1" t="s">
        <v>3702</v>
      </c>
      <c r="F341" s="1" t="s">
        <v>112</v>
      </c>
      <c r="G341" s="1">
        <v>43173</v>
      </c>
    </row>
    <row r="342" spans="1:7" x14ac:dyDescent="0.25">
      <c r="A342" s="1" t="str">
        <f t="shared" si="5"/>
        <v>11 Cromolyn 100</v>
      </c>
      <c r="B3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2" s="1" t="s">
        <v>3703</v>
      </c>
      <c r="D342" s="1" t="s">
        <v>2368</v>
      </c>
      <c r="E342" s="1" t="s">
        <v>3704</v>
      </c>
      <c r="F342" s="1" t="s">
        <v>112</v>
      </c>
      <c r="G342" s="1">
        <v>131640</v>
      </c>
    </row>
    <row r="343" spans="1:7" x14ac:dyDescent="0.25">
      <c r="A343" s="1" t="str">
        <f t="shared" si="5"/>
        <v>11 Cromolyn 100</v>
      </c>
      <c r="B3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43" s="1" t="s">
        <v>3705</v>
      </c>
      <c r="D343" s="1" t="s">
        <v>297</v>
      </c>
      <c r="E343" s="1" t="s">
        <v>3706</v>
      </c>
      <c r="F343" s="1" t="s">
        <v>112</v>
      </c>
      <c r="G343" s="1">
        <v>76007</v>
      </c>
    </row>
    <row r="344" spans="1:7" x14ac:dyDescent="0.25">
      <c r="A344" s="1" t="str">
        <f t="shared" si="5"/>
        <v>11 Cromolyn 100</v>
      </c>
      <c r="B3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4" s="1" t="s">
        <v>3707</v>
      </c>
      <c r="D344" s="1" t="s">
        <v>3037</v>
      </c>
      <c r="E344" s="1" t="s">
        <v>3708</v>
      </c>
      <c r="F344" s="1" t="s">
        <v>112</v>
      </c>
      <c r="G344" s="1">
        <v>330397</v>
      </c>
    </row>
    <row r="345" spans="1:7" x14ac:dyDescent="0.25">
      <c r="A345" s="1" t="str">
        <f t="shared" si="5"/>
        <v>11 Cromolyn 100</v>
      </c>
      <c r="B3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5" s="1" t="s">
        <v>3709</v>
      </c>
      <c r="D345" s="1" t="s">
        <v>1379</v>
      </c>
      <c r="E345" s="1" t="s">
        <v>3710</v>
      </c>
      <c r="F345" s="1" t="s">
        <v>112</v>
      </c>
      <c r="G345" s="1">
        <v>403722</v>
      </c>
    </row>
    <row r="346" spans="1:7" x14ac:dyDescent="0.25">
      <c r="A346" s="1" t="str">
        <f t="shared" si="5"/>
        <v>11 Cromolyn 100</v>
      </c>
      <c r="B3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46" s="1" t="s">
        <v>3711</v>
      </c>
      <c r="D346" s="1" t="s">
        <v>3712</v>
      </c>
      <c r="E346" s="1" t="s">
        <v>3713</v>
      </c>
      <c r="F346" s="1" t="s">
        <v>112</v>
      </c>
      <c r="G346" s="1">
        <v>344132</v>
      </c>
    </row>
    <row r="347" spans="1:7" x14ac:dyDescent="0.25">
      <c r="A347" s="1" t="str">
        <f t="shared" si="5"/>
        <v>11 Cromolyn 100</v>
      </c>
      <c r="B3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7" s="1" t="s">
        <v>3714</v>
      </c>
      <c r="D347" s="1" t="s">
        <v>3715</v>
      </c>
      <c r="E347" s="1" t="s">
        <v>3716</v>
      </c>
      <c r="F347" s="1" t="s">
        <v>112</v>
      </c>
      <c r="G347" s="1">
        <v>703729</v>
      </c>
    </row>
    <row r="348" spans="1:7" x14ac:dyDescent="0.25">
      <c r="A348" s="1" t="str">
        <f t="shared" si="5"/>
        <v>11 Cromolyn 100</v>
      </c>
      <c r="B3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8" s="1" t="s">
        <v>3717</v>
      </c>
      <c r="D348" s="1" t="s">
        <v>3552</v>
      </c>
      <c r="E348" s="1" t="s">
        <v>3718</v>
      </c>
      <c r="F348" s="1" t="s">
        <v>112</v>
      </c>
      <c r="G348" s="1">
        <v>453168</v>
      </c>
    </row>
    <row r="349" spans="1:7" x14ac:dyDescent="0.25">
      <c r="A349" s="1" t="str">
        <f t="shared" si="5"/>
        <v>11 Cromolyn 100</v>
      </c>
      <c r="B3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49" s="1" t="s">
        <v>3719</v>
      </c>
      <c r="D349" s="1" t="s">
        <v>3720</v>
      </c>
      <c r="E349" s="1" t="s">
        <v>3721</v>
      </c>
      <c r="F349" s="1" t="s">
        <v>112</v>
      </c>
      <c r="G349" s="1">
        <v>920936</v>
      </c>
    </row>
    <row r="350" spans="1:7" x14ac:dyDescent="0.25">
      <c r="A350" s="1" t="str">
        <f t="shared" si="5"/>
        <v>11 Cromolyn 100</v>
      </c>
      <c r="B3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0" s="1" t="s">
        <v>3722</v>
      </c>
      <c r="D350" s="1" t="s">
        <v>1780</v>
      </c>
      <c r="E350" s="1" t="s">
        <v>3723</v>
      </c>
      <c r="F350" s="1" t="s">
        <v>112</v>
      </c>
      <c r="G350" s="1">
        <v>39215</v>
      </c>
    </row>
    <row r="351" spans="1:7" x14ac:dyDescent="0.25">
      <c r="A351" s="1" t="str">
        <f t="shared" si="5"/>
        <v>11 Cromolyn 100</v>
      </c>
      <c r="B3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1" s="1" t="s">
        <v>3724</v>
      </c>
      <c r="D351" s="1" t="s">
        <v>3122</v>
      </c>
      <c r="E351" s="1" t="s">
        <v>3725</v>
      </c>
      <c r="F351" s="1" t="s">
        <v>112</v>
      </c>
      <c r="G351" s="1">
        <v>70146</v>
      </c>
    </row>
    <row r="352" spans="1:7" x14ac:dyDescent="0.25">
      <c r="A352" s="1" t="str">
        <f t="shared" si="5"/>
        <v>11 Cromolyn 100</v>
      </c>
      <c r="B3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52" s="1" t="s">
        <v>3726</v>
      </c>
      <c r="D352" s="1" t="s">
        <v>3727</v>
      </c>
      <c r="E352" s="1" t="s">
        <v>3728</v>
      </c>
      <c r="F352" s="1" t="s">
        <v>112</v>
      </c>
      <c r="G352" s="1">
        <v>268730</v>
      </c>
    </row>
    <row r="353" spans="1:9" x14ac:dyDescent="0.25">
      <c r="A353" s="1" t="str">
        <f t="shared" si="5"/>
        <v>11 Cromolyn 100</v>
      </c>
      <c r="B3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3" s="1" t="s">
        <v>3729</v>
      </c>
      <c r="D353" s="1" t="s">
        <v>2312</v>
      </c>
      <c r="E353" s="1" t="s">
        <v>3654</v>
      </c>
      <c r="F353" s="1" t="s">
        <v>112</v>
      </c>
      <c r="G353" s="1">
        <v>28962</v>
      </c>
    </row>
    <row r="354" spans="1:9" x14ac:dyDescent="0.25">
      <c r="A354" s="1" t="str">
        <f t="shared" si="5"/>
        <v>11 Cromolyn 100</v>
      </c>
      <c r="B3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4" s="1" t="s">
        <v>3730</v>
      </c>
      <c r="D354" s="1" t="s">
        <v>790</v>
      </c>
      <c r="E354" s="1" t="s">
        <v>3731</v>
      </c>
      <c r="F354" s="1" t="s">
        <v>112</v>
      </c>
      <c r="G354" s="1">
        <v>104754</v>
      </c>
    </row>
    <row r="355" spans="1:9" x14ac:dyDescent="0.25">
      <c r="A355" s="1" t="str">
        <f t="shared" si="5"/>
        <v>11 Cromolyn 100</v>
      </c>
      <c r="B3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55" s="1" t="s">
        <v>3732</v>
      </c>
      <c r="D355" s="1" t="s">
        <v>3733</v>
      </c>
      <c r="E355" s="1" t="s">
        <v>3734</v>
      </c>
      <c r="F355" s="1" t="s">
        <v>112</v>
      </c>
      <c r="G355" s="1">
        <v>129736</v>
      </c>
    </row>
    <row r="356" spans="1:9" x14ac:dyDescent="0.25">
      <c r="A356" s="1" t="str">
        <f t="shared" si="5"/>
        <v/>
      </c>
      <c r="B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6" s="1" t="s">
        <v>112</v>
      </c>
    </row>
    <row r="357" spans="1:9" x14ac:dyDescent="0.25">
      <c r="A357" s="1" t="str">
        <f t="shared" si="5"/>
        <v/>
      </c>
      <c r="B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7" s="1" t="s">
        <v>235</v>
      </c>
      <c r="D357" s="1" t="s">
        <v>112</v>
      </c>
      <c r="E357" s="1" t="s">
        <v>236</v>
      </c>
      <c r="F357" s="1" t="s">
        <v>237</v>
      </c>
      <c r="G357" s="1" t="s">
        <v>238</v>
      </c>
      <c r="H357" s="1" t="s">
        <v>239</v>
      </c>
      <c r="I357" s="1" t="s">
        <v>240</v>
      </c>
    </row>
    <row r="358" spans="1:9" x14ac:dyDescent="0.25">
      <c r="A358" s="1" t="str">
        <f t="shared" si="5"/>
        <v>11 Cromolyn 100</v>
      </c>
      <c r="B35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58" s="1" t="s">
        <v>3735</v>
      </c>
      <c r="D358" s="1" t="s">
        <v>112</v>
      </c>
      <c r="E358" s="1" t="s">
        <v>3736</v>
      </c>
      <c r="F358" s="1" t="s">
        <v>3737</v>
      </c>
      <c r="G358" s="1" t="s">
        <v>3738</v>
      </c>
      <c r="H358" s="1" t="s">
        <v>3739</v>
      </c>
      <c r="I358" s="1">
        <v>24</v>
      </c>
    </row>
    <row r="359" spans="1:9" x14ac:dyDescent="0.25">
      <c r="A359" s="1" t="str">
        <f t="shared" si="5"/>
        <v/>
      </c>
      <c r="B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59" s="1" t="s">
        <v>112</v>
      </c>
    </row>
    <row r="360" spans="1:9" x14ac:dyDescent="0.25">
      <c r="A360" s="1" t="str">
        <f t="shared" si="5"/>
        <v/>
      </c>
      <c r="B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0" s="1" t="s">
        <v>112</v>
      </c>
    </row>
    <row r="361" spans="1:9" x14ac:dyDescent="0.25">
      <c r="A361" s="1" t="str">
        <f t="shared" si="5"/>
        <v/>
      </c>
      <c r="B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1" s="1" t="s">
        <v>112</v>
      </c>
    </row>
    <row r="362" spans="1:9" x14ac:dyDescent="0.25">
      <c r="A362" s="1" t="str">
        <f t="shared" si="5"/>
        <v/>
      </c>
      <c r="B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2" s="1" t="s">
        <v>112</v>
      </c>
    </row>
    <row r="363" spans="1:9" x14ac:dyDescent="0.25">
      <c r="A363" s="1" t="str">
        <f t="shared" si="5"/>
        <v/>
      </c>
      <c r="B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3" s="1" t="s">
        <v>112</v>
      </c>
    </row>
    <row r="364" spans="1:9" x14ac:dyDescent="0.25">
      <c r="A364" s="1" t="str">
        <f t="shared" si="5"/>
        <v/>
      </c>
      <c r="B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64" s="1" t="s">
        <v>246</v>
      </c>
      <c r="D364" s="1" t="s">
        <v>110</v>
      </c>
      <c r="E364" s="1" t="s">
        <v>111</v>
      </c>
      <c r="F364" s="1" t="s">
        <v>112</v>
      </c>
      <c r="G364" s="1" t="s">
        <v>113</v>
      </c>
    </row>
    <row r="365" spans="1:9" x14ac:dyDescent="0.25">
      <c r="A365" s="1" t="str">
        <f t="shared" si="5"/>
        <v>12 Cromolyn 1000</v>
      </c>
      <c r="B3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5" s="1" t="s">
        <v>3740</v>
      </c>
      <c r="D365" s="1" t="s">
        <v>415</v>
      </c>
      <c r="E365" s="1" t="s">
        <v>3741</v>
      </c>
      <c r="F365" s="1" t="s">
        <v>112</v>
      </c>
      <c r="G365" s="1">
        <v>526428</v>
      </c>
    </row>
    <row r="366" spans="1:9" x14ac:dyDescent="0.25">
      <c r="A366" s="1" t="str">
        <f t="shared" si="5"/>
        <v>12 Cromolyn 1000</v>
      </c>
      <c r="B3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6" s="1" t="s">
        <v>3742</v>
      </c>
      <c r="D366" s="1" t="s">
        <v>2443</v>
      </c>
      <c r="E366" s="1" t="s">
        <v>3743</v>
      </c>
      <c r="F366" s="1" t="s">
        <v>112</v>
      </c>
      <c r="G366" s="1">
        <v>634686</v>
      </c>
    </row>
    <row r="367" spans="1:9" x14ac:dyDescent="0.25">
      <c r="A367" s="1" t="str">
        <f t="shared" si="5"/>
        <v>12 Cromolyn 1000</v>
      </c>
      <c r="B3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67" s="1" t="s">
        <v>3744</v>
      </c>
      <c r="D367" s="1" t="s">
        <v>3156</v>
      </c>
      <c r="E367" s="1" t="s">
        <v>3745</v>
      </c>
      <c r="F367" s="1" t="s">
        <v>112</v>
      </c>
      <c r="G367" s="1">
        <v>427277</v>
      </c>
    </row>
    <row r="368" spans="1:9" x14ac:dyDescent="0.25">
      <c r="A368" s="1" t="str">
        <f t="shared" si="5"/>
        <v>12 Cromolyn 1000</v>
      </c>
      <c r="B3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8" s="1" t="s">
        <v>3746</v>
      </c>
      <c r="D368" s="1" t="s">
        <v>3747</v>
      </c>
      <c r="E368" s="1" t="s">
        <v>3748</v>
      </c>
      <c r="F368" s="1" t="s">
        <v>112</v>
      </c>
      <c r="G368" s="1">
        <v>449231</v>
      </c>
    </row>
    <row r="369" spans="1:7" x14ac:dyDescent="0.25">
      <c r="A369" s="1" t="str">
        <f t="shared" si="5"/>
        <v>12 Cromolyn 1000</v>
      </c>
      <c r="B3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69" s="1" t="s">
        <v>3749</v>
      </c>
      <c r="D369" s="1" t="s">
        <v>3601</v>
      </c>
      <c r="E369" s="1" t="s">
        <v>3750</v>
      </c>
      <c r="F369" s="1" t="s">
        <v>112</v>
      </c>
      <c r="G369" s="1">
        <v>196421</v>
      </c>
    </row>
    <row r="370" spans="1:7" x14ac:dyDescent="0.25">
      <c r="A370" s="1" t="str">
        <f t="shared" si="5"/>
        <v>12 Cromolyn 1000</v>
      </c>
      <c r="B3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370" s="1" t="s">
        <v>3751</v>
      </c>
      <c r="D370" s="1" t="s">
        <v>3752</v>
      </c>
      <c r="E370" s="1" t="s">
        <v>3753</v>
      </c>
      <c r="F370" s="1" t="s">
        <v>112</v>
      </c>
      <c r="G370" s="1">
        <v>183486</v>
      </c>
    </row>
    <row r="371" spans="1:7" x14ac:dyDescent="0.25">
      <c r="A371" s="1" t="str">
        <f t="shared" si="5"/>
        <v>12 Cromolyn 1000</v>
      </c>
      <c r="B3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1" s="1" t="s">
        <v>3754</v>
      </c>
      <c r="D371" s="1" t="s">
        <v>3755</v>
      </c>
      <c r="E371" s="1" t="s">
        <v>3756</v>
      </c>
      <c r="F371" s="1" t="s">
        <v>112</v>
      </c>
      <c r="G371" s="1">
        <v>140876</v>
      </c>
    </row>
    <row r="372" spans="1:7" x14ac:dyDescent="0.25">
      <c r="A372" s="1" t="str">
        <f t="shared" si="5"/>
        <v>12 Cromolyn 1000</v>
      </c>
      <c r="B3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2" s="1" t="s">
        <v>3757</v>
      </c>
      <c r="D372" s="1" t="s">
        <v>962</v>
      </c>
      <c r="E372" s="1" t="s">
        <v>3758</v>
      </c>
      <c r="F372" s="1" t="s">
        <v>112</v>
      </c>
      <c r="G372" s="1">
        <v>72374</v>
      </c>
    </row>
    <row r="373" spans="1:7" x14ac:dyDescent="0.25">
      <c r="A373" s="1" t="str">
        <f t="shared" si="5"/>
        <v>12 Cromolyn 1000</v>
      </c>
      <c r="B3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373" s="1" t="s">
        <v>3759</v>
      </c>
      <c r="D373" s="1" t="s">
        <v>2242</v>
      </c>
      <c r="E373" s="1" t="s">
        <v>3760</v>
      </c>
      <c r="F373" s="1" t="s">
        <v>112</v>
      </c>
      <c r="G373" s="1">
        <v>396454</v>
      </c>
    </row>
    <row r="374" spans="1:7" x14ac:dyDescent="0.25">
      <c r="A374" s="1" t="str">
        <f t="shared" si="5"/>
        <v>12 Cromolyn 1000</v>
      </c>
      <c r="B3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4" s="1" t="s">
        <v>3761</v>
      </c>
      <c r="D374" s="1" t="s">
        <v>3762</v>
      </c>
      <c r="E374" s="1" t="s">
        <v>3763</v>
      </c>
      <c r="F374" s="1" t="s">
        <v>112</v>
      </c>
      <c r="G374" s="1">
        <v>989070</v>
      </c>
    </row>
    <row r="375" spans="1:7" x14ac:dyDescent="0.25">
      <c r="A375" s="1" t="str">
        <f t="shared" si="5"/>
        <v>12 Cromolyn 1000</v>
      </c>
      <c r="B3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5" s="1" t="s">
        <v>3764</v>
      </c>
      <c r="D375" s="1" t="s">
        <v>3634</v>
      </c>
      <c r="E375" s="1" t="s">
        <v>3765</v>
      </c>
      <c r="F375" s="1" t="s">
        <v>112</v>
      </c>
      <c r="G375" s="1">
        <v>595925</v>
      </c>
    </row>
    <row r="376" spans="1:7" x14ac:dyDescent="0.25">
      <c r="A376" s="1" t="str">
        <f t="shared" si="5"/>
        <v>12 Cromolyn 1000</v>
      </c>
      <c r="B3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376" s="1" t="s">
        <v>3766</v>
      </c>
      <c r="D376" s="1" t="s">
        <v>935</v>
      </c>
      <c r="E376" s="1" t="s">
        <v>3767</v>
      </c>
      <c r="F376" s="1" t="s">
        <v>112</v>
      </c>
      <c r="G376" s="1">
        <v>533393</v>
      </c>
    </row>
    <row r="377" spans="1:7" x14ac:dyDescent="0.25">
      <c r="A377" s="1" t="str">
        <f t="shared" si="5"/>
        <v>12 Cromolyn 1000</v>
      </c>
      <c r="B3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7" s="1" t="s">
        <v>3768</v>
      </c>
      <c r="D377" s="1" t="s">
        <v>904</v>
      </c>
      <c r="E377" s="1" t="s">
        <v>3769</v>
      </c>
      <c r="F377" s="1" t="s">
        <v>112</v>
      </c>
      <c r="G377" s="1">
        <v>40707</v>
      </c>
    </row>
    <row r="378" spans="1:7" x14ac:dyDescent="0.25">
      <c r="A378" s="1" t="str">
        <f t="shared" si="5"/>
        <v>12 Cromolyn 1000</v>
      </c>
      <c r="B3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8" s="1" t="s">
        <v>3770</v>
      </c>
      <c r="D378" s="1" t="s">
        <v>2850</v>
      </c>
      <c r="E378" s="1" t="s">
        <v>3771</v>
      </c>
      <c r="F378" s="1" t="s">
        <v>112</v>
      </c>
      <c r="G378" s="1">
        <v>217121</v>
      </c>
    </row>
    <row r="379" spans="1:7" x14ac:dyDescent="0.25">
      <c r="A379" s="1" t="str">
        <f t="shared" si="5"/>
        <v>12 Cromolyn 1000</v>
      </c>
      <c r="B3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379" s="1" t="s">
        <v>3772</v>
      </c>
      <c r="D379" s="1" t="s">
        <v>3134</v>
      </c>
      <c r="E379" s="1" t="s">
        <v>3773</v>
      </c>
      <c r="F379" s="1" t="s">
        <v>112</v>
      </c>
      <c r="G379" s="1">
        <v>43541</v>
      </c>
    </row>
    <row r="380" spans="1:7" x14ac:dyDescent="0.25">
      <c r="A380" s="1" t="str">
        <f t="shared" si="5"/>
        <v>12 Cromolyn 1000</v>
      </c>
      <c r="B3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0" s="1" t="s">
        <v>3774</v>
      </c>
      <c r="D380" s="1" t="s">
        <v>1845</v>
      </c>
      <c r="E380" s="1" t="s">
        <v>3775</v>
      </c>
      <c r="F380" s="1" t="s">
        <v>112</v>
      </c>
      <c r="G380" s="1">
        <v>28032</v>
      </c>
    </row>
    <row r="381" spans="1:7" x14ac:dyDescent="0.25">
      <c r="A381" s="1" t="str">
        <f t="shared" si="5"/>
        <v>12 Cromolyn 1000</v>
      </c>
      <c r="B3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1" s="1" t="s">
        <v>3776</v>
      </c>
      <c r="D381" s="1" t="s">
        <v>1771</v>
      </c>
      <c r="E381" s="1" t="s">
        <v>3777</v>
      </c>
      <c r="F381" s="1" t="s">
        <v>112</v>
      </c>
      <c r="G381" s="1">
        <v>15054</v>
      </c>
    </row>
    <row r="382" spans="1:7" x14ac:dyDescent="0.25">
      <c r="A382" s="1" t="str">
        <f t="shared" si="5"/>
        <v>12 Cromolyn 1000</v>
      </c>
      <c r="B3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382" s="1" t="s">
        <v>3778</v>
      </c>
      <c r="D382" s="1" t="s">
        <v>3137</v>
      </c>
      <c r="E382" s="1" t="s">
        <v>3779</v>
      </c>
      <c r="F382" s="1" t="s">
        <v>112</v>
      </c>
      <c r="G382" s="1">
        <v>67723</v>
      </c>
    </row>
    <row r="383" spans="1:7" x14ac:dyDescent="0.25">
      <c r="A383" s="1" t="str">
        <f t="shared" si="5"/>
        <v>12 Cromolyn 1000</v>
      </c>
      <c r="B3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3" s="1" t="s">
        <v>3780</v>
      </c>
      <c r="D383" s="1" t="s">
        <v>3781</v>
      </c>
      <c r="E383" s="1" t="s">
        <v>3782</v>
      </c>
      <c r="F383" s="1" t="s">
        <v>112</v>
      </c>
      <c r="G383" s="1">
        <v>881245</v>
      </c>
    </row>
    <row r="384" spans="1:7" x14ac:dyDescent="0.25">
      <c r="A384" s="1" t="str">
        <f t="shared" si="5"/>
        <v>12 Cromolyn 1000</v>
      </c>
      <c r="B3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4" s="1" t="s">
        <v>3783</v>
      </c>
      <c r="D384" s="1" t="s">
        <v>3720</v>
      </c>
      <c r="E384" s="1" t="s">
        <v>3784</v>
      </c>
      <c r="F384" s="1" t="s">
        <v>112</v>
      </c>
      <c r="G384" s="1">
        <v>1020369</v>
      </c>
    </row>
    <row r="385" spans="1:9" x14ac:dyDescent="0.25">
      <c r="A385" s="1" t="str">
        <f t="shared" si="5"/>
        <v>12 Cromolyn 1000</v>
      </c>
      <c r="B3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385" s="1" t="s">
        <v>3785</v>
      </c>
      <c r="D385" s="1" t="s">
        <v>3786</v>
      </c>
      <c r="E385" s="1" t="s">
        <v>3787</v>
      </c>
      <c r="F385" s="1" t="s">
        <v>112</v>
      </c>
      <c r="G385" s="1">
        <v>1215925</v>
      </c>
    </row>
    <row r="386" spans="1:9" x14ac:dyDescent="0.25">
      <c r="A386" s="1" t="str">
        <f t="shared" ref="A386:A449" si="6">IFERROR(LEFT(RIGHT(C386,LEN(C386)-SEARCH("@",C386)),SEARCH("/",RIGHT(C386,LEN(C386)-SEARCH("@",C386)-1))),"")</f>
        <v>12 Cromolyn 1000</v>
      </c>
      <c r="B3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6" s="1" t="s">
        <v>3788</v>
      </c>
      <c r="D386" s="1" t="s">
        <v>3789</v>
      </c>
      <c r="E386" s="1" t="s">
        <v>3790</v>
      </c>
      <c r="F386" s="1" t="s">
        <v>112</v>
      </c>
      <c r="G386" s="1">
        <v>1010527</v>
      </c>
    </row>
    <row r="387" spans="1:9" x14ac:dyDescent="0.25">
      <c r="A387" s="1" t="str">
        <f t="shared" si="6"/>
        <v>12 Cromolyn 1000</v>
      </c>
      <c r="B3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7" s="1" t="s">
        <v>3791</v>
      </c>
      <c r="D387" s="1" t="s">
        <v>3792</v>
      </c>
      <c r="E387" s="1" t="s">
        <v>3793</v>
      </c>
      <c r="F387" s="1" t="s">
        <v>112</v>
      </c>
      <c r="G387" s="1">
        <v>963417</v>
      </c>
    </row>
    <row r="388" spans="1:9" x14ac:dyDescent="0.25">
      <c r="A388" s="1" t="str">
        <f t="shared" si="6"/>
        <v>12 Cromolyn 1000</v>
      </c>
      <c r="B3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388" s="1" t="s">
        <v>3794</v>
      </c>
      <c r="D388" s="1" t="s">
        <v>3795</v>
      </c>
      <c r="E388" s="1" t="s">
        <v>3796</v>
      </c>
      <c r="F388" s="1" t="s">
        <v>112</v>
      </c>
      <c r="G388" s="1">
        <v>569688</v>
      </c>
    </row>
    <row r="389" spans="1:9" x14ac:dyDescent="0.25">
      <c r="A389" s="1" t="str">
        <f t="shared" si="6"/>
        <v/>
      </c>
      <c r="B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89" s="1" t="s">
        <v>112</v>
      </c>
    </row>
    <row r="390" spans="1:9" x14ac:dyDescent="0.25">
      <c r="A390" s="1" t="str">
        <f t="shared" si="6"/>
        <v/>
      </c>
      <c r="B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0" s="1" t="s">
        <v>235</v>
      </c>
      <c r="D390" s="1" t="s">
        <v>112</v>
      </c>
      <c r="E390" s="1" t="s">
        <v>236</v>
      </c>
      <c r="F390" s="1" t="s">
        <v>237</v>
      </c>
      <c r="G390" s="1" t="s">
        <v>238</v>
      </c>
      <c r="H390" s="1" t="s">
        <v>239</v>
      </c>
      <c r="I390" s="1" t="s">
        <v>240</v>
      </c>
    </row>
    <row r="391" spans="1:9" x14ac:dyDescent="0.25">
      <c r="A391" s="1" t="str">
        <f t="shared" si="6"/>
        <v>12 Cromolyn 1000</v>
      </c>
      <c r="B39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391" s="1" t="s">
        <v>3797</v>
      </c>
      <c r="D391" s="1" t="s">
        <v>112</v>
      </c>
      <c r="E391" s="1" t="s">
        <v>3798</v>
      </c>
      <c r="F391" s="1" t="s">
        <v>3799</v>
      </c>
      <c r="G391" s="1" t="s">
        <v>3800</v>
      </c>
      <c r="H391" s="1" t="s">
        <v>3801</v>
      </c>
      <c r="I391" s="1">
        <v>24</v>
      </c>
    </row>
    <row r="392" spans="1:9" x14ac:dyDescent="0.25">
      <c r="A392" s="1" t="str">
        <f t="shared" si="6"/>
        <v/>
      </c>
      <c r="B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2" s="1" t="s">
        <v>112</v>
      </c>
    </row>
    <row r="393" spans="1:9" x14ac:dyDescent="0.25">
      <c r="A393" s="1" t="str">
        <f t="shared" si="6"/>
        <v/>
      </c>
      <c r="B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3" s="1" t="s">
        <v>112</v>
      </c>
    </row>
    <row r="394" spans="1:9" x14ac:dyDescent="0.25">
      <c r="A394" s="1" t="str">
        <f t="shared" si="6"/>
        <v/>
      </c>
      <c r="B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4" s="1" t="s">
        <v>112</v>
      </c>
    </row>
    <row r="395" spans="1:9" x14ac:dyDescent="0.25">
      <c r="A395" s="1" t="str">
        <f t="shared" si="6"/>
        <v/>
      </c>
      <c r="B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5" s="1" t="s">
        <v>112</v>
      </c>
    </row>
    <row r="396" spans="1:9" x14ac:dyDescent="0.25">
      <c r="A396" s="1" t="str">
        <f t="shared" si="6"/>
        <v/>
      </c>
      <c r="B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6" s="1" t="s">
        <v>112</v>
      </c>
    </row>
    <row r="397" spans="1:9" x14ac:dyDescent="0.25">
      <c r="A397" s="1" t="str">
        <f t="shared" si="6"/>
        <v/>
      </c>
      <c r="B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397" s="1" t="s">
        <v>246</v>
      </c>
      <c r="D397" s="1" t="s">
        <v>110</v>
      </c>
      <c r="E397" s="1" t="s">
        <v>111</v>
      </c>
      <c r="F397" s="1" t="s">
        <v>112</v>
      </c>
      <c r="G397" s="1" t="s">
        <v>113</v>
      </c>
    </row>
    <row r="398" spans="1:9" x14ac:dyDescent="0.25">
      <c r="A398" s="1" t="str">
        <f t="shared" si="6"/>
        <v>13 Testo 30</v>
      </c>
      <c r="B3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8" s="1" t="s">
        <v>3802</v>
      </c>
      <c r="D398" s="1" t="s">
        <v>3803</v>
      </c>
      <c r="E398" s="1" t="s">
        <v>3804</v>
      </c>
      <c r="F398" s="1" t="s">
        <v>112</v>
      </c>
      <c r="G398" s="1">
        <v>3013672</v>
      </c>
    </row>
    <row r="399" spans="1:9" x14ac:dyDescent="0.25">
      <c r="A399" s="1" t="str">
        <f t="shared" si="6"/>
        <v>13 Testo 30</v>
      </c>
      <c r="B3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399" s="1" t="s">
        <v>3805</v>
      </c>
      <c r="D399" s="1" t="s">
        <v>3806</v>
      </c>
      <c r="E399" s="1" t="s">
        <v>3807</v>
      </c>
      <c r="F399" s="1" t="s">
        <v>112</v>
      </c>
      <c r="G399" s="1">
        <v>2752101</v>
      </c>
    </row>
    <row r="400" spans="1:9" x14ac:dyDescent="0.25">
      <c r="A400" s="1" t="str">
        <f t="shared" si="6"/>
        <v>13 Testo 30</v>
      </c>
      <c r="B4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00" s="1" t="s">
        <v>3808</v>
      </c>
      <c r="D400" s="1" t="s">
        <v>3809</v>
      </c>
      <c r="E400" s="1" t="s">
        <v>3810</v>
      </c>
      <c r="F400" s="1" t="s">
        <v>112</v>
      </c>
      <c r="G400" s="1">
        <v>2914693</v>
      </c>
    </row>
    <row r="401" spans="1:7" x14ac:dyDescent="0.25">
      <c r="A401" s="1" t="str">
        <f t="shared" si="6"/>
        <v>13 Testo 30</v>
      </c>
      <c r="B4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1" s="1" t="s">
        <v>3811</v>
      </c>
      <c r="D401" s="1" t="s">
        <v>857</v>
      </c>
      <c r="E401" s="1" t="s">
        <v>3812</v>
      </c>
      <c r="F401" s="1" t="s">
        <v>112</v>
      </c>
      <c r="G401" s="1">
        <v>359727</v>
      </c>
    </row>
    <row r="402" spans="1:7" x14ac:dyDescent="0.25">
      <c r="A402" s="1" t="str">
        <f t="shared" si="6"/>
        <v>13 Testo 30</v>
      </c>
      <c r="B4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2" s="1" t="s">
        <v>3813</v>
      </c>
      <c r="D402" s="1" t="s">
        <v>921</v>
      </c>
      <c r="E402" s="1" t="s">
        <v>3814</v>
      </c>
      <c r="F402" s="1" t="s">
        <v>112</v>
      </c>
      <c r="G402" s="1">
        <v>509622</v>
      </c>
    </row>
    <row r="403" spans="1:7" x14ac:dyDescent="0.25">
      <c r="A403" s="1" t="str">
        <f t="shared" si="6"/>
        <v>13 Testo 30</v>
      </c>
      <c r="B4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03" s="1" t="s">
        <v>3815</v>
      </c>
    </row>
    <row r="404" spans="1:7" x14ac:dyDescent="0.25">
      <c r="A404" s="1" t="str">
        <f t="shared" si="6"/>
        <v>13 Testo 30</v>
      </c>
      <c r="B4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4" s="1" t="s">
        <v>3816</v>
      </c>
      <c r="D404" s="1" t="s">
        <v>3817</v>
      </c>
      <c r="E404" s="1" t="s">
        <v>3818</v>
      </c>
      <c r="F404" s="1" t="s">
        <v>112</v>
      </c>
      <c r="G404" s="1">
        <v>965818</v>
      </c>
    </row>
    <row r="405" spans="1:7" x14ac:dyDescent="0.25">
      <c r="A405" s="1" t="str">
        <f t="shared" si="6"/>
        <v>13 Testo 30</v>
      </c>
      <c r="B4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5" s="1" t="s">
        <v>3819</v>
      </c>
      <c r="D405" s="1" t="s">
        <v>3820</v>
      </c>
      <c r="E405" s="1" t="s">
        <v>3821</v>
      </c>
      <c r="F405" s="1" t="s">
        <v>112</v>
      </c>
      <c r="G405" s="1">
        <v>965148</v>
      </c>
    </row>
    <row r="406" spans="1:7" x14ac:dyDescent="0.25">
      <c r="A406" s="1" t="str">
        <f t="shared" si="6"/>
        <v>13 Testo 30</v>
      </c>
      <c r="B4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06" s="1" t="s">
        <v>3822</v>
      </c>
      <c r="D406" s="1" t="s">
        <v>3823</v>
      </c>
      <c r="E406" s="1" t="s">
        <v>3824</v>
      </c>
      <c r="F406" s="1" t="s">
        <v>112</v>
      </c>
      <c r="G406" s="1">
        <v>943734</v>
      </c>
    </row>
    <row r="407" spans="1:7" x14ac:dyDescent="0.25">
      <c r="A407" s="1" t="str">
        <f t="shared" si="6"/>
        <v>13 Testo 30</v>
      </c>
      <c r="B4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7" s="1" t="s">
        <v>3825</v>
      </c>
      <c r="D407" s="1" t="s">
        <v>1493</v>
      </c>
      <c r="E407" s="1" t="s">
        <v>3826</v>
      </c>
      <c r="F407" s="1" t="s">
        <v>112</v>
      </c>
      <c r="G407" s="1">
        <v>1173941</v>
      </c>
    </row>
    <row r="408" spans="1:7" x14ac:dyDescent="0.25">
      <c r="A408" s="1" t="str">
        <f t="shared" si="6"/>
        <v>13 Testo 30</v>
      </c>
      <c r="B4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8" s="1" t="s">
        <v>3827</v>
      </c>
      <c r="D408" s="1" t="s">
        <v>3828</v>
      </c>
      <c r="E408" s="1" t="s">
        <v>3829</v>
      </c>
      <c r="F408" s="1" t="s">
        <v>112</v>
      </c>
      <c r="G408" s="1">
        <v>1106845</v>
      </c>
    </row>
    <row r="409" spans="1:7" x14ac:dyDescent="0.25">
      <c r="A409" s="1" t="str">
        <f t="shared" si="6"/>
        <v>13 Testo 30</v>
      </c>
      <c r="B4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09" s="1" t="s">
        <v>3830</v>
      </c>
      <c r="D409" s="1" t="s">
        <v>3831</v>
      </c>
      <c r="E409" s="1" t="s">
        <v>3832</v>
      </c>
      <c r="F409" s="1" t="s">
        <v>112</v>
      </c>
      <c r="G409" s="1">
        <v>1175650</v>
      </c>
    </row>
    <row r="410" spans="1:7" x14ac:dyDescent="0.25">
      <c r="A410" s="1" t="str">
        <f t="shared" si="6"/>
        <v>13 Testo 30</v>
      </c>
      <c r="B4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0" s="1" t="s">
        <v>3833</v>
      </c>
      <c r="D410" s="1" t="s">
        <v>3720</v>
      </c>
      <c r="E410" s="1" t="s">
        <v>3834</v>
      </c>
      <c r="F410" s="1" t="s">
        <v>112</v>
      </c>
      <c r="G410" s="1">
        <v>880250</v>
      </c>
    </row>
    <row r="411" spans="1:7" x14ac:dyDescent="0.25">
      <c r="A411" s="1" t="str">
        <f t="shared" si="6"/>
        <v>13 Testo 30</v>
      </c>
      <c r="B4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1" s="1" t="s">
        <v>3835</v>
      </c>
      <c r="D411" s="1" t="s">
        <v>3836</v>
      </c>
      <c r="E411" s="1" t="s">
        <v>3837</v>
      </c>
      <c r="F411" s="1" t="s">
        <v>112</v>
      </c>
      <c r="G411" s="1">
        <v>790616</v>
      </c>
    </row>
    <row r="412" spans="1:7" x14ac:dyDescent="0.25">
      <c r="A412" s="1" t="str">
        <f t="shared" si="6"/>
        <v>13 Testo 30</v>
      </c>
      <c r="B4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12" s="1" t="s">
        <v>3838</v>
      </c>
      <c r="D412" s="1" t="s">
        <v>3839</v>
      </c>
      <c r="E412" s="1" t="s">
        <v>3840</v>
      </c>
      <c r="F412" s="1" t="s">
        <v>112</v>
      </c>
      <c r="G412" s="1">
        <v>911246</v>
      </c>
    </row>
    <row r="413" spans="1:7" x14ac:dyDescent="0.25">
      <c r="A413" s="1" t="str">
        <f t="shared" si="6"/>
        <v>13 Testo 30</v>
      </c>
      <c r="B4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3" s="1" t="s">
        <v>3841</v>
      </c>
      <c r="D413" s="1" t="s">
        <v>3842</v>
      </c>
      <c r="E413" s="1" t="s">
        <v>3843</v>
      </c>
      <c r="F413" s="1" t="s">
        <v>112</v>
      </c>
      <c r="G413" s="1">
        <v>313828</v>
      </c>
    </row>
    <row r="414" spans="1:7" x14ac:dyDescent="0.25">
      <c r="A414" s="1" t="str">
        <f t="shared" si="6"/>
        <v>13 Testo 30</v>
      </c>
      <c r="B4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4" s="1" t="s">
        <v>3844</v>
      </c>
      <c r="D414" s="1" t="s">
        <v>3845</v>
      </c>
      <c r="E414" s="1" t="s">
        <v>3846</v>
      </c>
      <c r="F414" s="1" t="s">
        <v>112</v>
      </c>
      <c r="G414" s="1">
        <v>377853</v>
      </c>
    </row>
    <row r="415" spans="1:7" x14ac:dyDescent="0.25">
      <c r="A415" s="1" t="str">
        <f t="shared" si="6"/>
        <v>13 Testo 30</v>
      </c>
      <c r="B4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15" s="1" t="s">
        <v>3847</v>
      </c>
      <c r="D415" s="1" t="s">
        <v>962</v>
      </c>
      <c r="E415" s="1" t="s">
        <v>3848</v>
      </c>
      <c r="F415" s="1" t="s">
        <v>112</v>
      </c>
      <c r="G415" s="1">
        <v>69843</v>
      </c>
    </row>
    <row r="416" spans="1:7" x14ac:dyDescent="0.25">
      <c r="A416" s="1" t="str">
        <f t="shared" si="6"/>
        <v>13 Testo 30</v>
      </c>
      <c r="B4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6" s="1" t="s">
        <v>3849</v>
      </c>
      <c r="D416" s="1" t="s">
        <v>3056</v>
      </c>
      <c r="E416" s="1" t="s">
        <v>3850</v>
      </c>
      <c r="F416" s="1" t="s">
        <v>112</v>
      </c>
      <c r="G416" s="1">
        <v>1457833</v>
      </c>
    </row>
    <row r="417" spans="1:9" x14ac:dyDescent="0.25">
      <c r="A417" s="1" t="str">
        <f t="shared" si="6"/>
        <v>13 Testo 30</v>
      </c>
      <c r="B4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7" s="1" t="s">
        <v>3851</v>
      </c>
    </row>
    <row r="418" spans="1:9" x14ac:dyDescent="0.25">
      <c r="A418" s="1" t="str">
        <f t="shared" si="6"/>
        <v>13 Testo 30</v>
      </c>
      <c r="B4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18" s="1" t="s">
        <v>3852</v>
      </c>
      <c r="D418" s="1" t="s">
        <v>3853</v>
      </c>
      <c r="E418" s="1" t="s">
        <v>3854</v>
      </c>
      <c r="F418" s="1" t="s">
        <v>112</v>
      </c>
      <c r="G418" s="1">
        <v>1642206</v>
      </c>
    </row>
    <row r="419" spans="1:9" x14ac:dyDescent="0.25">
      <c r="A419" s="1" t="str">
        <f t="shared" si="6"/>
        <v>13 Testo 30</v>
      </c>
      <c r="B4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19" s="1" t="s">
        <v>3855</v>
      </c>
      <c r="D419" s="1" t="s">
        <v>1415</v>
      </c>
      <c r="E419" s="1" t="s">
        <v>3856</v>
      </c>
      <c r="F419" s="1" t="s">
        <v>112</v>
      </c>
      <c r="G419" s="1">
        <v>3103133</v>
      </c>
    </row>
    <row r="420" spans="1:9" x14ac:dyDescent="0.25">
      <c r="A420" s="1" t="str">
        <f t="shared" si="6"/>
        <v>13 Testo 30</v>
      </c>
      <c r="B4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0" s="1" t="s">
        <v>3857</v>
      </c>
      <c r="D420" s="1" t="s">
        <v>3858</v>
      </c>
      <c r="E420" s="1" t="s">
        <v>3859</v>
      </c>
      <c r="F420" s="1" t="s">
        <v>112</v>
      </c>
      <c r="G420" s="1">
        <v>3369332</v>
      </c>
    </row>
    <row r="421" spans="1:9" x14ac:dyDescent="0.25">
      <c r="A421" s="1" t="str">
        <f t="shared" si="6"/>
        <v>13 Testo 30</v>
      </c>
      <c r="B42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21" s="1" t="s">
        <v>3860</v>
      </c>
      <c r="D421" s="1" t="s">
        <v>3861</v>
      </c>
      <c r="E421" s="1" t="s">
        <v>3862</v>
      </c>
      <c r="F421" s="1" t="s">
        <v>112</v>
      </c>
      <c r="G421" s="1">
        <v>3127618</v>
      </c>
    </row>
    <row r="422" spans="1:9" x14ac:dyDescent="0.25">
      <c r="A422" s="1" t="str">
        <f t="shared" si="6"/>
        <v/>
      </c>
      <c r="B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2" s="1" t="s">
        <v>112</v>
      </c>
    </row>
    <row r="423" spans="1:9" x14ac:dyDescent="0.25">
      <c r="A423" s="1" t="str">
        <f t="shared" si="6"/>
        <v/>
      </c>
      <c r="B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3" s="1" t="s">
        <v>235</v>
      </c>
      <c r="D423" s="1" t="s">
        <v>112</v>
      </c>
      <c r="E423" s="1" t="s">
        <v>236</v>
      </c>
      <c r="F423" s="1" t="s">
        <v>237</v>
      </c>
      <c r="G423" s="1" t="s">
        <v>238</v>
      </c>
      <c r="H423" s="1" t="s">
        <v>239</v>
      </c>
      <c r="I423" s="1" t="s">
        <v>240</v>
      </c>
    </row>
    <row r="424" spans="1:9" x14ac:dyDescent="0.25">
      <c r="A424" s="1" t="str">
        <f t="shared" si="6"/>
        <v>13 Testo 30</v>
      </c>
      <c r="B42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24" s="1" t="s">
        <v>3863</v>
      </c>
      <c r="D424" s="1" t="s">
        <v>112</v>
      </c>
      <c r="E424" s="1" t="s">
        <v>3864</v>
      </c>
      <c r="F424" s="1" t="s">
        <v>3865</v>
      </c>
      <c r="G424" s="1" t="s">
        <v>3866</v>
      </c>
      <c r="H424" s="1" t="s">
        <v>3867</v>
      </c>
      <c r="I424" s="1">
        <v>24</v>
      </c>
    </row>
    <row r="425" spans="1:9" x14ac:dyDescent="0.25">
      <c r="A425" s="1" t="str">
        <f t="shared" si="6"/>
        <v/>
      </c>
      <c r="B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5" s="1" t="s">
        <v>112</v>
      </c>
    </row>
    <row r="426" spans="1:9" x14ac:dyDescent="0.25">
      <c r="A426" s="1" t="str">
        <f t="shared" si="6"/>
        <v/>
      </c>
      <c r="B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6" s="1" t="s">
        <v>112</v>
      </c>
    </row>
    <row r="427" spans="1:9" x14ac:dyDescent="0.25">
      <c r="A427" s="1" t="str">
        <f t="shared" si="6"/>
        <v/>
      </c>
      <c r="B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7" s="1" t="s">
        <v>112</v>
      </c>
    </row>
    <row r="428" spans="1:9" x14ac:dyDescent="0.25">
      <c r="A428" s="1" t="str">
        <f t="shared" si="6"/>
        <v/>
      </c>
      <c r="B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8" s="1" t="s">
        <v>112</v>
      </c>
    </row>
    <row r="429" spans="1:9" x14ac:dyDescent="0.25">
      <c r="A429" s="1" t="str">
        <f t="shared" si="6"/>
        <v/>
      </c>
      <c r="B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29" s="1" t="s">
        <v>112</v>
      </c>
    </row>
    <row r="430" spans="1:9" x14ac:dyDescent="0.25">
      <c r="A430" s="1" t="str">
        <f t="shared" si="6"/>
        <v/>
      </c>
      <c r="B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30" s="1" t="s">
        <v>246</v>
      </c>
      <c r="D430" s="1" t="s">
        <v>110</v>
      </c>
      <c r="E430" s="1" t="s">
        <v>111</v>
      </c>
      <c r="F430" s="1" t="s">
        <v>112</v>
      </c>
      <c r="G430" s="1" t="s">
        <v>113</v>
      </c>
    </row>
    <row r="431" spans="1:9" x14ac:dyDescent="0.25">
      <c r="A431" s="1" t="str">
        <f t="shared" si="6"/>
        <v>14 Testo 30</v>
      </c>
      <c r="B4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1" s="1" t="s">
        <v>3868</v>
      </c>
      <c r="D431" s="1" t="s">
        <v>1738</v>
      </c>
      <c r="E431" s="1" t="s">
        <v>3869</v>
      </c>
      <c r="F431" s="1" t="s">
        <v>112</v>
      </c>
      <c r="G431" s="1">
        <v>26605</v>
      </c>
    </row>
    <row r="432" spans="1:9" x14ac:dyDescent="0.25">
      <c r="A432" s="1" t="str">
        <f t="shared" si="6"/>
        <v>14 Testo 30</v>
      </c>
      <c r="B4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2" s="1" t="s">
        <v>3870</v>
      </c>
      <c r="D432" s="1" t="s">
        <v>319</v>
      </c>
      <c r="E432" s="1" t="s">
        <v>1888</v>
      </c>
      <c r="F432" s="1" t="s">
        <v>112</v>
      </c>
      <c r="G432" s="1">
        <v>22171</v>
      </c>
    </row>
    <row r="433" spans="1:7" x14ac:dyDescent="0.25">
      <c r="A433" s="1" t="str">
        <f t="shared" si="6"/>
        <v>14 Testo 30</v>
      </c>
      <c r="B4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33" s="1" t="s">
        <v>3871</v>
      </c>
      <c r="D433" s="1" t="s">
        <v>1771</v>
      </c>
      <c r="E433" s="1" t="s">
        <v>2711</v>
      </c>
      <c r="F433" s="1" t="s">
        <v>112</v>
      </c>
      <c r="G433" s="1">
        <v>15833</v>
      </c>
    </row>
    <row r="434" spans="1:7" x14ac:dyDescent="0.25">
      <c r="A434" s="1" t="str">
        <f t="shared" si="6"/>
        <v>14 Testo 30</v>
      </c>
      <c r="B4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4" s="1" t="s">
        <v>3872</v>
      </c>
    </row>
    <row r="435" spans="1:7" x14ac:dyDescent="0.25">
      <c r="A435" s="1" t="str">
        <f t="shared" si="6"/>
        <v>14 Testo 30</v>
      </c>
      <c r="B4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5" s="1" t="s">
        <v>3873</v>
      </c>
      <c r="D435" s="1" t="s">
        <v>3874</v>
      </c>
      <c r="E435" s="1" t="s">
        <v>3875</v>
      </c>
      <c r="F435" s="1" t="s">
        <v>112</v>
      </c>
      <c r="G435" s="1">
        <v>4481433</v>
      </c>
    </row>
    <row r="436" spans="1:7" x14ac:dyDescent="0.25">
      <c r="A436" s="1" t="str">
        <f t="shared" si="6"/>
        <v>14 Testo 30</v>
      </c>
      <c r="B4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36" s="1" t="s">
        <v>3876</v>
      </c>
      <c r="D436" s="1" t="s">
        <v>3877</v>
      </c>
      <c r="E436" s="1" t="s">
        <v>3878</v>
      </c>
      <c r="F436" s="1" t="s">
        <v>112</v>
      </c>
      <c r="G436" s="1">
        <v>4189819</v>
      </c>
    </row>
    <row r="437" spans="1:7" x14ac:dyDescent="0.25">
      <c r="A437" s="1" t="str">
        <f t="shared" si="6"/>
        <v>14 Testo 30</v>
      </c>
      <c r="B4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7" s="1" t="s">
        <v>3879</v>
      </c>
      <c r="D437" s="1" t="s">
        <v>3880</v>
      </c>
      <c r="E437" s="1" t="s">
        <v>3881</v>
      </c>
      <c r="F437" s="1" t="s">
        <v>112</v>
      </c>
      <c r="G437" s="1">
        <v>4283065</v>
      </c>
    </row>
    <row r="438" spans="1:7" x14ac:dyDescent="0.25">
      <c r="A438" s="1" t="str">
        <f t="shared" si="6"/>
        <v>14 Testo 30</v>
      </c>
      <c r="B4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8" s="1" t="s">
        <v>3882</v>
      </c>
      <c r="D438" s="1" t="s">
        <v>3883</v>
      </c>
      <c r="E438" s="1" t="s">
        <v>3884</v>
      </c>
      <c r="F438" s="1" t="s">
        <v>112</v>
      </c>
      <c r="G438" s="1">
        <v>4211254</v>
      </c>
    </row>
    <row r="439" spans="1:7" x14ac:dyDescent="0.25">
      <c r="A439" s="1" t="str">
        <f t="shared" si="6"/>
        <v>14 Testo 30</v>
      </c>
      <c r="B4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39" s="1" t="s">
        <v>3885</v>
      </c>
      <c r="D439" s="1" t="s">
        <v>3886</v>
      </c>
      <c r="E439" s="1" t="s">
        <v>3887</v>
      </c>
      <c r="F439" s="1" t="s">
        <v>112</v>
      </c>
      <c r="G439" s="1">
        <v>4404366</v>
      </c>
    </row>
    <row r="440" spans="1:7" x14ac:dyDescent="0.25">
      <c r="A440" s="1" t="str">
        <f t="shared" si="6"/>
        <v>14 Testo 30</v>
      </c>
      <c r="B4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0" s="1" t="s">
        <v>3888</v>
      </c>
      <c r="D440" s="1" t="s">
        <v>3889</v>
      </c>
      <c r="E440" s="1" t="s">
        <v>3890</v>
      </c>
      <c r="F440" s="1" t="s">
        <v>112</v>
      </c>
      <c r="G440" s="1">
        <v>1369345</v>
      </c>
    </row>
    <row r="441" spans="1:7" x14ac:dyDescent="0.25">
      <c r="A441" s="1" t="str">
        <f t="shared" si="6"/>
        <v>14 Testo 30</v>
      </c>
      <c r="B4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1" s="1" t="s">
        <v>3891</v>
      </c>
      <c r="D441" s="1" t="s">
        <v>3892</v>
      </c>
      <c r="E441" s="1" t="s">
        <v>3893</v>
      </c>
      <c r="F441" s="1" t="s">
        <v>112</v>
      </c>
      <c r="G441" s="1">
        <v>1569119</v>
      </c>
    </row>
    <row r="442" spans="1:7" x14ac:dyDescent="0.25">
      <c r="A442" s="1" t="str">
        <f t="shared" si="6"/>
        <v>14 Testo 30</v>
      </c>
      <c r="B4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42" s="1" t="s">
        <v>3894</v>
      </c>
      <c r="D442" s="1" t="s">
        <v>3895</v>
      </c>
      <c r="E442" s="1" t="s">
        <v>3896</v>
      </c>
      <c r="F442" s="1" t="s">
        <v>112</v>
      </c>
      <c r="G442" s="1">
        <v>1152614</v>
      </c>
    </row>
    <row r="443" spans="1:7" x14ac:dyDescent="0.25">
      <c r="A443" s="1" t="str">
        <f t="shared" si="6"/>
        <v>14 Testo 30</v>
      </c>
      <c r="B4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3" s="1" t="s">
        <v>3897</v>
      </c>
      <c r="D443" s="1" t="s">
        <v>3898</v>
      </c>
      <c r="E443" s="1" t="s">
        <v>3899</v>
      </c>
      <c r="F443" s="1" t="s">
        <v>112</v>
      </c>
      <c r="G443" s="1">
        <v>4718432</v>
      </c>
    </row>
    <row r="444" spans="1:7" x14ac:dyDescent="0.25">
      <c r="A444" s="1" t="str">
        <f t="shared" si="6"/>
        <v>14 Testo 30</v>
      </c>
      <c r="B4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4" s="1" t="s">
        <v>3900</v>
      </c>
      <c r="D444" s="1" t="s">
        <v>3901</v>
      </c>
      <c r="E444" s="1" t="s">
        <v>3902</v>
      </c>
      <c r="F444" s="1" t="s">
        <v>112</v>
      </c>
      <c r="G444" s="1">
        <v>4342937</v>
      </c>
    </row>
    <row r="445" spans="1:7" x14ac:dyDescent="0.25">
      <c r="A445" s="1" t="str">
        <f t="shared" si="6"/>
        <v>14 Testo 30</v>
      </c>
      <c r="B4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45" s="1" t="s">
        <v>3903</v>
      </c>
    </row>
    <row r="446" spans="1:7" x14ac:dyDescent="0.25">
      <c r="A446" s="1" t="str">
        <f t="shared" si="6"/>
        <v>14 Testo 30</v>
      </c>
      <c r="B4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6" s="1" t="s">
        <v>3904</v>
      </c>
      <c r="D446" s="1" t="s">
        <v>3905</v>
      </c>
      <c r="E446" s="1" t="s">
        <v>3906</v>
      </c>
      <c r="F446" s="1" t="s">
        <v>112</v>
      </c>
      <c r="G446" s="1">
        <v>831432</v>
      </c>
    </row>
    <row r="447" spans="1:7" x14ac:dyDescent="0.25">
      <c r="A447" s="1" t="str">
        <f t="shared" si="6"/>
        <v>14 Testo 30</v>
      </c>
      <c r="B4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7" s="1" t="s">
        <v>3907</v>
      </c>
      <c r="D447" s="1" t="s">
        <v>3347</v>
      </c>
      <c r="E447" s="1" t="s">
        <v>3908</v>
      </c>
      <c r="F447" s="1" t="s">
        <v>112</v>
      </c>
      <c r="G447" s="1">
        <v>914555</v>
      </c>
    </row>
    <row r="448" spans="1:7" x14ac:dyDescent="0.25">
      <c r="A448" s="1" t="str">
        <f t="shared" si="6"/>
        <v>14 Testo 30</v>
      </c>
      <c r="B4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48" s="1" t="s">
        <v>3909</v>
      </c>
      <c r="D448" s="1" t="s">
        <v>3910</v>
      </c>
      <c r="E448" s="1" t="s">
        <v>3911</v>
      </c>
      <c r="F448" s="1" t="s">
        <v>112</v>
      </c>
      <c r="G448" s="1">
        <v>875665</v>
      </c>
    </row>
    <row r="449" spans="1:9" x14ac:dyDescent="0.25">
      <c r="A449" s="1" t="str">
        <f t="shared" si="6"/>
        <v>14 Testo 30</v>
      </c>
      <c r="B4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49" s="1" t="s">
        <v>3912</v>
      </c>
      <c r="D449" s="1" t="s">
        <v>3913</v>
      </c>
      <c r="E449" s="1" t="s">
        <v>3914</v>
      </c>
      <c r="F449" s="1" t="s">
        <v>112</v>
      </c>
      <c r="G449" s="1">
        <v>1113788</v>
      </c>
    </row>
    <row r="450" spans="1:9" x14ac:dyDescent="0.25">
      <c r="A450" s="1" t="str">
        <f t="shared" ref="A450:A513" si="7">IFERROR(LEFT(RIGHT(C450,LEN(C450)-SEARCH("@",C450)),SEARCH("/",RIGHT(C450,LEN(C450)-SEARCH("@",C450)-1))),"")</f>
        <v>14 Testo 30</v>
      </c>
      <c r="B4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0" s="1" t="s">
        <v>3915</v>
      </c>
      <c r="D450" s="1" t="s">
        <v>3916</v>
      </c>
      <c r="E450" s="1" t="s">
        <v>3917</v>
      </c>
      <c r="F450" s="1" t="s">
        <v>112</v>
      </c>
      <c r="G450" s="1">
        <v>1398178</v>
      </c>
    </row>
    <row r="451" spans="1:9" x14ac:dyDescent="0.25">
      <c r="A451" s="1" t="str">
        <f t="shared" si="7"/>
        <v>14 Testo 30</v>
      </c>
      <c r="B4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51" s="1" t="s">
        <v>3918</v>
      </c>
      <c r="D451" s="1" t="s">
        <v>3919</v>
      </c>
      <c r="E451" s="1" t="s">
        <v>3920</v>
      </c>
      <c r="F451" s="1" t="s">
        <v>112</v>
      </c>
      <c r="G451" s="1">
        <v>1088784</v>
      </c>
    </row>
    <row r="452" spans="1:9" x14ac:dyDescent="0.25">
      <c r="A452" s="1" t="str">
        <f t="shared" si="7"/>
        <v>14 Testo 30</v>
      </c>
      <c r="B4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2" s="1" t="s">
        <v>3921</v>
      </c>
      <c r="D452" s="1" t="s">
        <v>3922</v>
      </c>
      <c r="E452" s="1" t="s">
        <v>3923</v>
      </c>
      <c r="F452" s="1" t="s">
        <v>112</v>
      </c>
      <c r="G452" s="1">
        <v>3716319</v>
      </c>
    </row>
    <row r="453" spans="1:9" x14ac:dyDescent="0.25">
      <c r="A453" s="1" t="str">
        <f t="shared" si="7"/>
        <v>14 Testo 30</v>
      </c>
      <c r="B4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3" s="1" t="s">
        <v>3924</v>
      </c>
      <c r="D453" s="1" t="s">
        <v>3925</v>
      </c>
      <c r="E453" s="1" t="s">
        <v>3926</v>
      </c>
      <c r="F453" s="1" t="s">
        <v>112</v>
      </c>
      <c r="G453" s="1">
        <v>3664169</v>
      </c>
    </row>
    <row r="454" spans="1:9" x14ac:dyDescent="0.25">
      <c r="A454" s="1" t="str">
        <f t="shared" si="7"/>
        <v>14 Testo 30</v>
      </c>
      <c r="B45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54" s="1" t="s">
        <v>3927</v>
      </c>
      <c r="D454" s="1" t="s">
        <v>3928</v>
      </c>
      <c r="E454" s="1" t="s">
        <v>3929</v>
      </c>
      <c r="F454" s="1" t="s">
        <v>112</v>
      </c>
      <c r="G454" s="1">
        <v>3737949</v>
      </c>
    </row>
    <row r="455" spans="1:9" x14ac:dyDescent="0.25">
      <c r="A455" s="1" t="str">
        <f t="shared" si="7"/>
        <v/>
      </c>
      <c r="B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5" s="1" t="s">
        <v>112</v>
      </c>
    </row>
    <row r="456" spans="1:9" x14ac:dyDescent="0.25">
      <c r="A456" s="1" t="str">
        <f t="shared" si="7"/>
        <v/>
      </c>
      <c r="B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6" s="1" t="s">
        <v>235</v>
      </c>
      <c r="D456" s="1" t="s">
        <v>112</v>
      </c>
      <c r="E456" s="1" t="s">
        <v>236</v>
      </c>
      <c r="F456" s="1" t="s">
        <v>237</v>
      </c>
      <c r="G456" s="1" t="s">
        <v>238</v>
      </c>
      <c r="H456" s="1" t="s">
        <v>239</v>
      </c>
      <c r="I456" s="1" t="s">
        <v>240</v>
      </c>
    </row>
    <row r="457" spans="1:9" x14ac:dyDescent="0.25">
      <c r="A457" s="1" t="str">
        <f t="shared" si="7"/>
        <v>14 Testo 30</v>
      </c>
      <c r="B45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57" s="1" t="s">
        <v>3930</v>
      </c>
      <c r="D457" s="1" t="s">
        <v>112</v>
      </c>
      <c r="E457" s="1" t="s">
        <v>3931</v>
      </c>
      <c r="F457" s="1" t="s">
        <v>3932</v>
      </c>
      <c r="G457" s="1" t="s">
        <v>3933</v>
      </c>
      <c r="H457" s="1" t="s">
        <v>3934</v>
      </c>
      <c r="I457" s="1">
        <v>24</v>
      </c>
    </row>
    <row r="458" spans="1:9" x14ac:dyDescent="0.25">
      <c r="A458" s="1" t="str">
        <f t="shared" si="7"/>
        <v/>
      </c>
      <c r="B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8" s="1" t="s">
        <v>112</v>
      </c>
    </row>
    <row r="459" spans="1:9" x14ac:dyDescent="0.25">
      <c r="A459" s="1" t="str">
        <f t="shared" si="7"/>
        <v/>
      </c>
      <c r="B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59" s="1" t="s">
        <v>112</v>
      </c>
    </row>
    <row r="460" spans="1:9" x14ac:dyDescent="0.25">
      <c r="A460" s="1" t="str">
        <f t="shared" si="7"/>
        <v/>
      </c>
      <c r="B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0" s="1" t="s">
        <v>112</v>
      </c>
    </row>
    <row r="461" spans="1:9" x14ac:dyDescent="0.25">
      <c r="A461" s="1" t="str">
        <f t="shared" si="7"/>
        <v/>
      </c>
      <c r="B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1" s="1" t="s">
        <v>112</v>
      </c>
    </row>
    <row r="462" spans="1:9" x14ac:dyDescent="0.25">
      <c r="A462" s="1" t="str">
        <f t="shared" si="7"/>
        <v/>
      </c>
      <c r="B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2" s="1" t="s">
        <v>112</v>
      </c>
    </row>
    <row r="463" spans="1:9" x14ac:dyDescent="0.25">
      <c r="A463" s="1" t="str">
        <f t="shared" si="7"/>
        <v/>
      </c>
      <c r="B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63" s="1" t="s">
        <v>246</v>
      </c>
      <c r="D463" s="1" t="s">
        <v>110</v>
      </c>
      <c r="E463" s="1" t="s">
        <v>111</v>
      </c>
      <c r="F463" s="1" t="s">
        <v>112</v>
      </c>
      <c r="G463" s="1" t="s">
        <v>113</v>
      </c>
    </row>
    <row r="464" spans="1:9" x14ac:dyDescent="0.25">
      <c r="A464" s="1" t="str">
        <f t="shared" si="7"/>
        <v>15 Testo + EE2</v>
      </c>
      <c r="B4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4" s="1" t="s">
        <v>3935</v>
      </c>
      <c r="D464" s="1" t="s">
        <v>3936</v>
      </c>
      <c r="E464" s="1" t="s">
        <v>3937</v>
      </c>
      <c r="F464" s="1" t="s">
        <v>112</v>
      </c>
      <c r="G464" s="1">
        <v>3970751</v>
      </c>
    </row>
    <row r="465" spans="1:7" x14ac:dyDescent="0.25">
      <c r="A465" s="1" t="str">
        <f t="shared" si="7"/>
        <v>15 Testo + EE2</v>
      </c>
      <c r="B4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5" s="1" t="s">
        <v>3938</v>
      </c>
      <c r="D465" s="1" t="s">
        <v>3939</v>
      </c>
      <c r="E465" s="1" t="s">
        <v>3940</v>
      </c>
      <c r="F465" s="1" t="s">
        <v>112</v>
      </c>
      <c r="G465" s="1">
        <v>3691185</v>
      </c>
    </row>
    <row r="466" spans="1:7" x14ac:dyDescent="0.25">
      <c r="A466" s="1" t="str">
        <f t="shared" si="7"/>
        <v>15 Testo + EE2</v>
      </c>
      <c r="B4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66" s="1" t="s">
        <v>3941</v>
      </c>
      <c r="D466" s="1" t="s">
        <v>3942</v>
      </c>
      <c r="E466" s="1" t="s">
        <v>3943</v>
      </c>
      <c r="F466" s="1" t="s">
        <v>112</v>
      </c>
      <c r="G466" s="1">
        <v>4172255</v>
      </c>
    </row>
    <row r="467" spans="1:7" x14ac:dyDescent="0.25">
      <c r="A467" s="1" t="str">
        <f t="shared" si="7"/>
        <v>15 Testo + EE2</v>
      </c>
      <c r="B4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7" s="1" t="s">
        <v>3944</v>
      </c>
      <c r="D467" s="1" t="s">
        <v>3945</v>
      </c>
      <c r="E467" s="1" t="s">
        <v>3946</v>
      </c>
      <c r="F467" s="1" t="s">
        <v>112</v>
      </c>
      <c r="G467" s="1">
        <v>2159053</v>
      </c>
    </row>
    <row r="468" spans="1:7" x14ac:dyDescent="0.25">
      <c r="A468" s="1" t="str">
        <f t="shared" si="7"/>
        <v>15 Testo + EE2</v>
      </c>
      <c r="B4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8" s="1" t="s">
        <v>3947</v>
      </c>
      <c r="D468" s="1" t="s">
        <v>3948</v>
      </c>
      <c r="E468" s="1" t="s">
        <v>3949</v>
      </c>
      <c r="F468" s="1" t="s">
        <v>112</v>
      </c>
      <c r="G468" s="1">
        <v>2158144</v>
      </c>
    </row>
    <row r="469" spans="1:7" x14ac:dyDescent="0.25">
      <c r="A469" s="1" t="str">
        <f t="shared" si="7"/>
        <v>15 Testo + EE2</v>
      </c>
      <c r="B4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469" s="1" t="s">
        <v>3950</v>
      </c>
      <c r="D469" s="1" t="s">
        <v>3951</v>
      </c>
      <c r="E469" s="1" t="s">
        <v>3952</v>
      </c>
      <c r="F469" s="1" t="s">
        <v>112</v>
      </c>
      <c r="G469" s="1">
        <v>2233438</v>
      </c>
    </row>
    <row r="470" spans="1:7" x14ac:dyDescent="0.25">
      <c r="A470" s="1" t="str">
        <f t="shared" si="7"/>
        <v>15 Testo + EE2</v>
      </c>
      <c r="B4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0" s="1" t="s">
        <v>3953</v>
      </c>
      <c r="D470" s="1" t="s">
        <v>1360</v>
      </c>
      <c r="E470" s="1" t="s">
        <v>3954</v>
      </c>
      <c r="F470" s="1" t="s">
        <v>112</v>
      </c>
      <c r="G470" s="1">
        <v>3481569</v>
      </c>
    </row>
    <row r="471" spans="1:7" x14ac:dyDescent="0.25">
      <c r="A471" s="1" t="str">
        <f t="shared" si="7"/>
        <v>15 Testo + EE2</v>
      </c>
      <c r="B4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1" s="1" t="s">
        <v>3955</v>
      </c>
      <c r="D471" s="1" t="s">
        <v>547</v>
      </c>
      <c r="E471" s="1" t="s">
        <v>3956</v>
      </c>
      <c r="F471" s="1" t="s">
        <v>112</v>
      </c>
      <c r="G471" s="1">
        <v>3488513</v>
      </c>
    </row>
    <row r="472" spans="1:7" x14ac:dyDescent="0.25">
      <c r="A472" s="1" t="str">
        <f t="shared" si="7"/>
        <v>15 Testo + EE2</v>
      </c>
      <c r="B4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472" s="1" t="s">
        <v>3957</v>
      </c>
      <c r="D472" s="1" t="s">
        <v>3958</v>
      </c>
      <c r="E472" s="1" t="s">
        <v>3959</v>
      </c>
      <c r="F472" s="1" t="s">
        <v>112</v>
      </c>
      <c r="G472" s="1">
        <v>3242408</v>
      </c>
    </row>
    <row r="473" spans="1:7" x14ac:dyDescent="0.25">
      <c r="A473" s="1" t="str">
        <f t="shared" si="7"/>
        <v>15 Testo + EE2</v>
      </c>
      <c r="B4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3" s="1" t="s">
        <v>3960</v>
      </c>
      <c r="D473" s="1" t="s">
        <v>3961</v>
      </c>
      <c r="E473" s="1" t="s">
        <v>3962</v>
      </c>
      <c r="F473" s="1" t="s">
        <v>112</v>
      </c>
      <c r="G473" s="1">
        <v>2426831</v>
      </c>
    </row>
    <row r="474" spans="1:7" x14ac:dyDescent="0.25">
      <c r="A474" s="1" t="str">
        <f t="shared" si="7"/>
        <v>15 Testo + EE2</v>
      </c>
      <c r="B4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4" s="1" t="s">
        <v>3963</v>
      </c>
      <c r="D474" s="1" t="s">
        <v>3964</v>
      </c>
      <c r="E474" s="1" t="s">
        <v>3965</v>
      </c>
      <c r="F474" s="1" t="s">
        <v>112</v>
      </c>
      <c r="G474" s="1">
        <v>2403838</v>
      </c>
    </row>
    <row r="475" spans="1:7" x14ac:dyDescent="0.25">
      <c r="A475" s="1" t="str">
        <f t="shared" si="7"/>
        <v>15 Testo + EE2</v>
      </c>
      <c r="B4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475" s="1" t="s">
        <v>3966</v>
      </c>
      <c r="D475" s="1" t="s">
        <v>3967</v>
      </c>
      <c r="E475" s="1" t="s">
        <v>3968</v>
      </c>
      <c r="F475" s="1" t="s">
        <v>112</v>
      </c>
      <c r="G475" s="1">
        <v>2482333</v>
      </c>
    </row>
    <row r="476" spans="1:7" x14ac:dyDescent="0.25">
      <c r="A476" s="1" t="str">
        <f t="shared" si="7"/>
        <v>15 Testo + EE2</v>
      </c>
      <c r="B4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6" s="1" t="s">
        <v>3969</v>
      </c>
      <c r="D476" s="1" t="s">
        <v>3970</v>
      </c>
      <c r="E476" s="1" t="s">
        <v>3971</v>
      </c>
      <c r="F476" s="1" t="s">
        <v>112</v>
      </c>
      <c r="G476" s="1">
        <v>3600080</v>
      </c>
    </row>
    <row r="477" spans="1:7" x14ac:dyDescent="0.25">
      <c r="A477" s="1" t="str">
        <f t="shared" si="7"/>
        <v>15 Testo + EE2</v>
      </c>
      <c r="B4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7" s="1" t="s">
        <v>3972</v>
      </c>
      <c r="D477" s="1" t="s">
        <v>3973</v>
      </c>
      <c r="E477" s="1" t="s">
        <v>3974</v>
      </c>
      <c r="F477" s="1" t="s">
        <v>112</v>
      </c>
      <c r="G477" s="1">
        <v>3441749</v>
      </c>
    </row>
    <row r="478" spans="1:7" x14ac:dyDescent="0.25">
      <c r="A478" s="1" t="str">
        <f t="shared" si="7"/>
        <v>15 Testo + EE2</v>
      </c>
      <c r="B4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478" s="1" t="s">
        <v>3975</v>
      </c>
      <c r="D478" s="1" t="s">
        <v>3976</v>
      </c>
      <c r="E478" s="1" t="s">
        <v>3977</v>
      </c>
      <c r="F478" s="1" t="s">
        <v>112</v>
      </c>
      <c r="G478" s="1">
        <v>3590130</v>
      </c>
    </row>
    <row r="479" spans="1:7" x14ac:dyDescent="0.25">
      <c r="A479" s="1" t="str">
        <f t="shared" si="7"/>
        <v>15 Testo + EE2</v>
      </c>
      <c r="B4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79" s="1" t="s">
        <v>3978</v>
      </c>
      <c r="D479" s="1" t="s">
        <v>464</v>
      </c>
      <c r="E479" s="1" t="s">
        <v>3979</v>
      </c>
      <c r="F479" s="1" t="s">
        <v>112</v>
      </c>
      <c r="G479" s="1">
        <v>2107206</v>
      </c>
    </row>
    <row r="480" spans="1:7" x14ac:dyDescent="0.25">
      <c r="A480" s="1" t="str">
        <f t="shared" si="7"/>
        <v>15 Testo + EE2</v>
      </c>
      <c r="B4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0" s="1" t="s">
        <v>3980</v>
      </c>
      <c r="D480" s="1" t="s">
        <v>3981</v>
      </c>
      <c r="E480" s="1" t="s">
        <v>3982</v>
      </c>
      <c r="F480" s="1" t="s">
        <v>112</v>
      </c>
      <c r="G480" s="1">
        <v>2333455</v>
      </c>
    </row>
    <row r="481" spans="1:9" x14ac:dyDescent="0.25">
      <c r="A481" s="1" t="str">
        <f t="shared" si="7"/>
        <v>15 Testo + EE2</v>
      </c>
      <c r="B4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481" s="1" t="s">
        <v>3983</v>
      </c>
      <c r="D481" s="1" t="s">
        <v>3984</v>
      </c>
      <c r="E481" s="1" t="s">
        <v>3985</v>
      </c>
      <c r="F481" s="1" t="s">
        <v>112</v>
      </c>
      <c r="G481" s="1">
        <v>2035611</v>
      </c>
    </row>
    <row r="482" spans="1:9" x14ac:dyDescent="0.25">
      <c r="A482" s="1" t="str">
        <f t="shared" si="7"/>
        <v>15 Testo + EE2</v>
      </c>
      <c r="B4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2" s="1" t="s">
        <v>3986</v>
      </c>
      <c r="D482" s="1" t="s">
        <v>3987</v>
      </c>
      <c r="E482" s="1" t="s">
        <v>3988</v>
      </c>
      <c r="F482" s="1" t="s">
        <v>112</v>
      </c>
      <c r="G482" s="1">
        <v>2829212</v>
      </c>
    </row>
    <row r="483" spans="1:9" x14ac:dyDescent="0.25">
      <c r="A483" s="1" t="str">
        <f t="shared" si="7"/>
        <v>15 Testo + EE2</v>
      </c>
      <c r="B4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3" s="1" t="s">
        <v>3989</v>
      </c>
      <c r="D483" s="1" t="s">
        <v>3990</v>
      </c>
      <c r="E483" s="1" t="s">
        <v>3991</v>
      </c>
      <c r="F483" s="1" t="s">
        <v>112</v>
      </c>
      <c r="G483" s="1">
        <v>2787380</v>
      </c>
    </row>
    <row r="484" spans="1:9" x14ac:dyDescent="0.25">
      <c r="A484" s="1" t="str">
        <f t="shared" si="7"/>
        <v>15 Testo + EE2</v>
      </c>
      <c r="B4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484" s="1" t="s">
        <v>3992</v>
      </c>
      <c r="D484" s="1" t="s">
        <v>3993</v>
      </c>
      <c r="E484" s="1" t="s">
        <v>3994</v>
      </c>
      <c r="F484" s="1" t="s">
        <v>112</v>
      </c>
      <c r="G484" s="1">
        <v>2952437</v>
      </c>
    </row>
    <row r="485" spans="1:9" x14ac:dyDescent="0.25">
      <c r="A485" s="1" t="str">
        <f t="shared" si="7"/>
        <v>15 Testo + EE2</v>
      </c>
      <c r="B4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5" s="1" t="s">
        <v>3995</v>
      </c>
      <c r="D485" s="1" t="s">
        <v>3996</v>
      </c>
      <c r="E485" s="1" t="s">
        <v>3997</v>
      </c>
      <c r="F485" s="1" t="s">
        <v>112</v>
      </c>
      <c r="G485" s="1">
        <v>5459256</v>
      </c>
    </row>
    <row r="486" spans="1:9" x14ac:dyDescent="0.25">
      <c r="A486" s="1" t="str">
        <f t="shared" si="7"/>
        <v>15 Testo + EE2</v>
      </c>
      <c r="B4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6" s="1" t="s">
        <v>3998</v>
      </c>
      <c r="D486" s="1" t="s">
        <v>3999</v>
      </c>
      <c r="E486" s="1" t="s">
        <v>4000</v>
      </c>
      <c r="F486" s="1" t="s">
        <v>112</v>
      </c>
      <c r="G486" s="1">
        <v>5441497</v>
      </c>
    </row>
    <row r="487" spans="1:9" x14ac:dyDescent="0.25">
      <c r="A487" s="1" t="str">
        <f t="shared" si="7"/>
        <v>15 Testo + EE2</v>
      </c>
      <c r="B48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487" s="1" t="s">
        <v>4001</v>
      </c>
      <c r="D487" s="1" t="s">
        <v>4002</v>
      </c>
      <c r="E487" s="1" t="s">
        <v>4003</v>
      </c>
      <c r="F487" s="1" t="s">
        <v>112</v>
      </c>
      <c r="G487" s="1">
        <v>5109998</v>
      </c>
    </row>
    <row r="488" spans="1:9" x14ac:dyDescent="0.25">
      <c r="A488" s="1" t="str">
        <f t="shared" si="7"/>
        <v/>
      </c>
      <c r="B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8" s="1" t="s">
        <v>112</v>
      </c>
    </row>
    <row r="489" spans="1:9" x14ac:dyDescent="0.25">
      <c r="A489" s="1" t="str">
        <f t="shared" si="7"/>
        <v/>
      </c>
      <c r="B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89" s="1" t="s">
        <v>235</v>
      </c>
      <c r="D489" s="1" t="s">
        <v>112</v>
      </c>
      <c r="E489" s="1" t="s">
        <v>236</v>
      </c>
      <c r="F489" s="1" t="s">
        <v>237</v>
      </c>
      <c r="G489" s="1" t="s">
        <v>238</v>
      </c>
      <c r="H489" s="1" t="s">
        <v>239</v>
      </c>
      <c r="I489" s="1" t="s">
        <v>240</v>
      </c>
    </row>
    <row r="490" spans="1:9" x14ac:dyDescent="0.25">
      <c r="A490" s="1" t="str">
        <f t="shared" si="7"/>
        <v>15 Testo + EE2</v>
      </c>
      <c r="B49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490" s="1" t="s">
        <v>4004</v>
      </c>
      <c r="D490" s="1" t="s">
        <v>112</v>
      </c>
      <c r="E490" s="1" t="s">
        <v>4005</v>
      </c>
      <c r="F490" s="1" t="s">
        <v>4006</v>
      </c>
      <c r="G490" s="1" t="s">
        <v>4007</v>
      </c>
      <c r="H490" s="1" t="s">
        <v>4008</v>
      </c>
      <c r="I490" s="1">
        <v>24</v>
      </c>
    </row>
    <row r="491" spans="1:9" x14ac:dyDescent="0.25">
      <c r="A491" s="1" t="str">
        <f t="shared" si="7"/>
        <v/>
      </c>
      <c r="B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1" s="1" t="s">
        <v>112</v>
      </c>
    </row>
    <row r="492" spans="1:9" x14ac:dyDescent="0.25">
      <c r="A492" s="1" t="str">
        <f t="shared" si="7"/>
        <v/>
      </c>
      <c r="B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2" s="1" t="s">
        <v>112</v>
      </c>
    </row>
    <row r="493" spans="1:9" x14ac:dyDescent="0.25">
      <c r="A493" s="1" t="str">
        <f t="shared" si="7"/>
        <v/>
      </c>
      <c r="B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3" s="1" t="s">
        <v>112</v>
      </c>
    </row>
    <row r="494" spans="1:9" x14ac:dyDescent="0.25">
      <c r="A494" s="1" t="str">
        <f t="shared" si="7"/>
        <v/>
      </c>
      <c r="B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4" s="1" t="s">
        <v>112</v>
      </c>
    </row>
    <row r="495" spans="1:9" x14ac:dyDescent="0.25">
      <c r="A495" s="1" t="str">
        <f t="shared" si="7"/>
        <v/>
      </c>
      <c r="B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5" s="1" t="s">
        <v>112</v>
      </c>
    </row>
    <row r="496" spans="1:9" x14ac:dyDescent="0.25">
      <c r="A496" s="1" t="str">
        <f t="shared" si="7"/>
        <v/>
      </c>
      <c r="B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496" s="1" t="s">
        <v>246</v>
      </c>
      <c r="D496" s="1" t="s">
        <v>110</v>
      </c>
      <c r="E496" s="1" t="s">
        <v>111</v>
      </c>
      <c r="F496" s="1" t="s">
        <v>112</v>
      </c>
      <c r="G496" s="1" t="s">
        <v>113</v>
      </c>
    </row>
    <row r="497" spans="1:7" x14ac:dyDescent="0.25">
      <c r="A497" s="1" t="str">
        <f t="shared" si="7"/>
        <v>16 Testo + FAD</v>
      </c>
      <c r="B4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7" s="1" t="s">
        <v>4009</v>
      </c>
      <c r="D497" s="1" t="s">
        <v>767</v>
      </c>
      <c r="E497" s="1" t="s">
        <v>4010</v>
      </c>
      <c r="F497" s="1" t="s">
        <v>112</v>
      </c>
      <c r="G497" s="1">
        <v>70860</v>
      </c>
    </row>
    <row r="498" spans="1:7" x14ac:dyDescent="0.25">
      <c r="A498" s="1" t="str">
        <f t="shared" si="7"/>
        <v>16 Testo + FAD</v>
      </c>
      <c r="B4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8" s="1" t="s">
        <v>4011</v>
      </c>
      <c r="D498" s="1" t="s">
        <v>971</v>
      </c>
      <c r="E498" s="1" t="s">
        <v>4012</v>
      </c>
      <c r="F498" s="1" t="s">
        <v>112</v>
      </c>
      <c r="G498" s="1">
        <v>36165</v>
      </c>
    </row>
    <row r="499" spans="1:7" x14ac:dyDescent="0.25">
      <c r="A499" s="1" t="str">
        <f t="shared" si="7"/>
        <v>16 Testo + FAD</v>
      </c>
      <c r="B4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499" s="1" t="s">
        <v>4013</v>
      </c>
      <c r="D499" s="1" t="s">
        <v>1881</v>
      </c>
      <c r="E499" s="1" t="s">
        <v>4014</v>
      </c>
      <c r="F499" s="1" t="s">
        <v>112</v>
      </c>
      <c r="G499" s="1">
        <v>51414</v>
      </c>
    </row>
    <row r="500" spans="1:7" x14ac:dyDescent="0.25">
      <c r="A500" s="1" t="str">
        <f t="shared" si="7"/>
        <v>16 Testo + FAD</v>
      </c>
      <c r="B5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0" s="1" t="s">
        <v>4015</v>
      </c>
      <c r="D500" s="1" t="s">
        <v>4016</v>
      </c>
      <c r="E500" s="1" t="s">
        <v>4017</v>
      </c>
      <c r="F500" s="1" t="s">
        <v>112</v>
      </c>
      <c r="G500" s="1">
        <v>472267</v>
      </c>
    </row>
    <row r="501" spans="1:7" x14ac:dyDescent="0.25">
      <c r="A501" s="1" t="str">
        <f t="shared" si="7"/>
        <v>16 Testo + FAD</v>
      </c>
      <c r="B5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1" s="1" t="s">
        <v>4018</v>
      </c>
      <c r="D501" s="1" t="s">
        <v>4019</v>
      </c>
      <c r="E501" s="1" t="s">
        <v>4020</v>
      </c>
      <c r="F501" s="1" t="s">
        <v>112</v>
      </c>
      <c r="G501" s="1">
        <v>451524</v>
      </c>
    </row>
    <row r="502" spans="1:7" x14ac:dyDescent="0.25">
      <c r="A502" s="1" t="str">
        <f t="shared" si="7"/>
        <v>16 Testo + FAD</v>
      </c>
      <c r="B5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02" s="1" t="s">
        <v>4021</v>
      </c>
      <c r="D502" s="1" t="s">
        <v>4022</v>
      </c>
      <c r="E502" s="1" t="s">
        <v>4023</v>
      </c>
      <c r="F502" s="1" t="s">
        <v>112</v>
      </c>
      <c r="G502" s="1">
        <v>365113</v>
      </c>
    </row>
    <row r="503" spans="1:7" x14ac:dyDescent="0.25">
      <c r="A503" s="1" t="str">
        <f t="shared" si="7"/>
        <v>16 Testo + FAD</v>
      </c>
      <c r="B5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3" s="1" t="s">
        <v>4024</v>
      </c>
      <c r="D503" s="1" t="s">
        <v>439</v>
      </c>
      <c r="E503" s="1" t="s">
        <v>4025</v>
      </c>
      <c r="F503" s="1" t="s">
        <v>112</v>
      </c>
      <c r="G503" s="1">
        <v>78452</v>
      </c>
    </row>
    <row r="504" spans="1:7" x14ac:dyDescent="0.25">
      <c r="A504" s="1" t="str">
        <f t="shared" si="7"/>
        <v>16 Testo + FAD</v>
      </c>
      <c r="B5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4" s="1" t="s">
        <v>4026</v>
      </c>
      <c r="D504" s="1" t="s">
        <v>1719</v>
      </c>
      <c r="E504" s="1" t="s">
        <v>4027</v>
      </c>
      <c r="F504" s="1" t="s">
        <v>112</v>
      </c>
      <c r="G504" s="1">
        <v>81869</v>
      </c>
    </row>
    <row r="505" spans="1:7" x14ac:dyDescent="0.25">
      <c r="A505" s="1" t="str">
        <f t="shared" si="7"/>
        <v>16 Testo + FAD</v>
      </c>
      <c r="B5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05" s="1" t="s">
        <v>4028</v>
      </c>
      <c r="D505" s="1" t="s">
        <v>807</v>
      </c>
      <c r="E505" s="1" t="s">
        <v>4029</v>
      </c>
      <c r="F505" s="1" t="s">
        <v>112</v>
      </c>
      <c r="G505" s="1">
        <v>44947</v>
      </c>
    </row>
    <row r="506" spans="1:7" x14ac:dyDescent="0.25">
      <c r="A506" s="1" t="str">
        <f t="shared" si="7"/>
        <v>16 Testo + FAD</v>
      </c>
      <c r="B5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6" s="1" t="s">
        <v>4030</v>
      </c>
      <c r="D506" s="1" t="s">
        <v>1293</v>
      </c>
      <c r="E506" s="1" t="s">
        <v>4031</v>
      </c>
      <c r="F506" s="1" t="s">
        <v>112</v>
      </c>
      <c r="G506" s="1">
        <v>253070</v>
      </c>
    </row>
    <row r="507" spans="1:7" x14ac:dyDescent="0.25">
      <c r="A507" s="1" t="str">
        <f t="shared" si="7"/>
        <v>16 Testo + FAD</v>
      </c>
      <c r="B5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7" s="1" t="s">
        <v>4032</v>
      </c>
      <c r="D507" s="1" t="s">
        <v>356</v>
      </c>
      <c r="E507" s="1" t="s">
        <v>4033</v>
      </c>
      <c r="F507" s="1" t="s">
        <v>112</v>
      </c>
      <c r="G507" s="1">
        <v>648248</v>
      </c>
    </row>
    <row r="508" spans="1:7" x14ac:dyDescent="0.25">
      <c r="A508" s="1" t="str">
        <f t="shared" si="7"/>
        <v>16 Testo + FAD</v>
      </c>
      <c r="B5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08" s="1" t="s">
        <v>4034</v>
      </c>
      <c r="D508" s="1" t="s">
        <v>4035</v>
      </c>
      <c r="E508" s="1" t="s">
        <v>4036</v>
      </c>
      <c r="F508" s="1" t="s">
        <v>112</v>
      </c>
      <c r="G508" s="1">
        <v>358234</v>
      </c>
    </row>
    <row r="509" spans="1:7" x14ac:dyDescent="0.25">
      <c r="A509" s="1" t="str">
        <f t="shared" si="7"/>
        <v>16 Testo + FAD</v>
      </c>
      <c r="B5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09" s="1" t="s">
        <v>4037</v>
      </c>
      <c r="D509" s="1" t="s">
        <v>716</v>
      </c>
      <c r="E509" s="1" t="s">
        <v>4038</v>
      </c>
      <c r="F509" s="1" t="s">
        <v>112</v>
      </c>
      <c r="G509" s="1">
        <v>188245</v>
      </c>
    </row>
    <row r="510" spans="1:7" x14ac:dyDescent="0.25">
      <c r="A510" s="1" t="str">
        <f t="shared" si="7"/>
        <v>16 Testo + FAD</v>
      </c>
      <c r="B5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0" s="1" t="s">
        <v>4039</v>
      </c>
      <c r="D510" s="1" t="s">
        <v>4040</v>
      </c>
      <c r="E510" s="1" t="s">
        <v>4041</v>
      </c>
      <c r="F510" s="1" t="s">
        <v>112</v>
      </c>
      <c r="G510" s="1">
        <v>219370</v>
      </c>
    </row>
    <row r="511" spans="1:7" x14ac:dyDescent="0.25">
      <c r="A511" s="1" t="str">
        <f t="shared" si="7"/>
        <v>16 Testo + FAD</v>
      </c>
      <c r="B5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11" s="1" t="s">
        <v>4042</v>
      </c>
      <c r="D511" s="1" t="s">
        <v>957</v>
      </c>
      <c r="E511" s="1" t="s">
        <v>4043</v>
      </c>
      <c r="F511" s="1" t="s">
        <v>112</v>
      </c>
      <c r="G511" s="1">
        <v>228195</v>
      </c>
    </row>
    <row r="512" spans="1:7" x14ac:dyDescent="0.25">
      <c r="A512" s="1" t="str">
        <f t="shared" si="7"/>
        <v>16 Testo + FAD</v>
      </c>
      <c r="B5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2" s="1" t="s">
        <v>4044</v>
      </c>
      <c r="D512" s="1" t="s">
        <v>2227</v>
      </c>
      <c r="E512" s="1" t="s">
        <v>4045</v>
      </c>
      <c r="F512" s="1" t="s">
        <v>112</v>
      </c>
      <c r="G512" s="1">
        <v>484423</v>
      </c>
    </row>
    <row r="513" spans="1:9" x14ac:dyDescent="0.25">
      <c r="A513" s="1" t="str">
        <f t="shared" si="7"/>
        <v>16 Testo + FAD</v>
      </c>
      <c r="B5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3" s="1" t="s">
        <v>4046</v>
      </c>
      <c r="D513" s="1" t="s">
        <v>684</v>
      </c>
      <c r="E513" s="1" t="s">
        <v>4047</v>
      </c>
      <c r="F513" s="1" t="s">
        <v>112</v>
      </c>
      <c r="G513" s="1">
        <v>602479</v>
      </c>
    </row>
    <row r="514" spans="1:9" x14ac:dyDescent="0.25">
      <c r="A514" s="1" t="str">
        <f t="shared" ref="A514:A577" si="8">IFERROR(LEFT(RIGHT(C514,LEN(C514)-SEARCH("@",C514)),SEARCH("/",RIGHT(C514,LEN(C514)-SEARCH("@",C514)-1))),"")</f>
        <v>16 Testo + FAD</v>
      </c>
      <c r="B5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14" s="1" t="s">
        <v>4048</v>
      </c>
      <c r="D514" s="1" t="s">
        <v>938</v>
      </c>
      <c r="E514" s="1" t="s">
        <v>4049</v>
      </c>
      <c r="F514" s="1" t="s">
        <v>112</v>
      </c>
      <c r="G514" s="1">
        <v>416678</v>
      </c>
    </row>
    <row r="515" spans="1:9" x14ac:dyDescent="0.25">
      <c r="A515" s="1" t="str">
        <f t="shared" si="8"/>
        <v>16 Testo + FAD</v>
      </c>
      <c r="B5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5" s="1" t="s">
        <v>4050</v>
      </c>
    </row>
    <row r="516" spans="1:9" x14ac:dyDescent="0.25">
      <c r="A516" s="1" t="str">
        <f t="shared" si="8"/>
        <v>16 Testo + FAD</v>
      </c>
      <c r="B5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6" s="1" t="s">
        <v>4051</v>
      </c>
    </row>
    <row r="517" spans="1:9" x14ac:dyDescent="0.25">
      <c r="A517" s="1" t="str">
        <f t="shared" si="8"/>
        <v>16 Testo + FAD</v>
      </c>
      <c r="B5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17" s="1" t="s">
        <v>4052</v>
      </c>
      <c r="D517" s="1" t="s">
        <v>2262</v>
      </c>
      <c r="E517" s="1" t="s">
        <v>4053</v>
      </c>
      <c r="F517" s="1" t="s">
        <v>112</v>
      </c>
      <c r="G517" s="1">
        <v>495930</v>
      </c>
    </row>
    <row r="518" spans="1:9" x14ac:dyDescent="0.25">
      <c r="A518" s="1" t="str">
        <f t="shared" si="8"/>
        <v>16 Testo + FAD</v>
      </c>
      <c r="B5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8" s="1" t="s">
        <v>4054</v>
      </c>
      <c r="D518" s="1" t="s">
        <v>4055</v>
      </c>
      <c r="E518" s="1" t="s">
        <v>4056</v>
      </c>
      <c r="F518" s="1" t="s">
        <v>112</v>
      </c>
      <c r="G518" s="1">
        <v>215109</v>
      </c>
    </row>
    <row r="519" spans="1:9" x14ac:dyDescent="0.25">
      <c r="A519" s="1" t="str">
        <f t="shared" si="8"/>
        <v>16 Testo + FAD</v>
      </c>
      <c r="B5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19" s="1" t="s">
        <v>4057</v>
      </c>
      <c r="D519" s="1" t="s">
        <v>1864</v>
      </c>
      <c r="E519" s="1" t="s">
        <v>4058</v>
      </c>
      <c r="F519" s="1" t="s">
        <v>112</v>
      </c>
      <c r="G519" s="1">
        <v>116088</v>
      </c>
    </row>
    <row r="520" spans="1:9" x14ac:dyDescent="0.25">
      <c r="A520" s="1" t="str">
        <f t="shared" si="8"/>
        <v>16 Testo + FAD</v>
      </c>
      <c r="B52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20" s="1" t="s">
        <v>4059</v>
      </c>
      <c r="D520" s="1" t="s">
        <v>1716</v>
      </c>
      <c r="E520" s="1" t="s">
        <v>4060</v>
      </c>
      <c r="F520" s="1" t="s">
        <v>112</v>
      </c>
      <c r="G520" s="1">
        <v>104170</v>
      </c>
    </row>
    <row r="521" spans="1:9" x14ac:dyDescent="0.25">
      <c r="A521" s="1" t="str">
        <f t="shared" si="8"/>
        <v/>
      </c>
      <c r="B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1" s="1" t="s">
        <v>112</v>
      </c>
    </row>
    <row r="522" spans="1:9" x14ac:dyDescent="0.25">
      <c r="A522" s="1" t="str">
        <f t="shared" si="8"/>
        <v/>
      </c>
      <c r="B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2" s="1" t="s">
        <v>235</v>
      </c>
      <c r="D522" s="1" t="s">
        <v>112</v>
      </c>
      <c r="E522" s="1" t="s">
        <v>236</v>
      </c>
      <c r="F522" s="1" t="s">
        <v>237</v>
      </c>
      <c r="G522" s="1" t="s">
        <v>238</v>
      </c>
      <c r="H522" s="1" t="s">
        <v>239</v>
      </c>
      <c r="I522" s="1" t="s">
        <v>240</v>
      </c>
    </row>
    <row r="523" spans="1:9" x14ac:dyDescent="0.25">
      <c r="A523" s="1" t="str">
        <f t="shared" si="8"/>
        <v>16 Testo + FAD</v>
      </c>
      <c r="B52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23" s="1" t="s">
        <v>4061</v>
      </c>
      <c r="D523" s="1" t="s">
        <v>112</v>
      </c>
      <c r="E523" s="1" t="s">
        <v>4062</v>
      </c>
      <c r="F523" s="1" t="s">
        <v>4063</v>
      </c>
      <c r="G523" s="1" t="s">
        <v>4064</v>
      </c>
      <c r="H523" s="1" t="s">
        <v>4065</v>
      </c>
      <c r="I523" s="1">
        <v>24</v>
      </c>
    </row>
    <row r="524" spans="1:9" x14ac:dyDescent="0.25">
      <c r="A524" s="1" t="str">
        <f t="shared" si="8"/>
        <v/>
      </c>
      <c r="B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4" s="1" t="s">
        <v>112</v>
      </c>
    </row>
    <row r="525" spans="1:9" x14ac:dyDescent="0.25">
      <c r="A525" s="1" t="str">
        <f t="shared" si="8"/>
        <v/>
      </c>
      <c r="B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5" s="1" t="s">
        <v>112</v>
      </c>
    </row>
    <row r="526" spans="1:9" x14ac:dyDescent="0.25">
      <c r="A526" s="1" t="str">
        <f t="shared" si="8"/>
        <v/>
      </c>
      <c r="B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6" s="1" t="s">
        <v>112</v>
      </c>
    </row>
    <row r="527" spans="1:9" x14ac:dyDescent="0.25">
      <c r="A527" s="1" t="str">
        <f t="shared" si="8"/>
        <v/>
      </c>
      <c r="B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7" s="1" t="s">
        <v>112</v>
      </c>
    </row>
    <row r="528" spans="1:9" x14ac:dyDescent="0.25">
      <c r="A528" s="1" t="str">
        <f t="shared" si="8"/>
        <v/>
      </c>
      <c r="B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8" s="1" t="s">
        <v>112</v>
      </c>
    </row>
    <row r="529" spans="1:7" x14ac:dyDescent="0.25">
      <c r="A529" s="1" t="str">
        <f t="shared" si="8"/>
        <v/>
      </c>
      <c r="B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29" s="1" t="s">
        <v>246</v>
      </c>
      <c r="D529" s="1" t="s">
        <v>110</v>
      </c>
      <c r="E529" s="1" t="s">
        <v>111</v>
      </c>
      <c r="F529" s="1" t="s">
        <v>112</v>
      </c>
      <c r="G529" s="1" t="s">
        <v>113</v>
      </c>
    </row>
    <row r="530" spans="1:7" x14ac:dyDescent="0.25">
      <c r="A530" s="1" t="str">
        <f t="shared" si="8"/>
        <v>17 Testo + Cromolyn 0.1</v>
      </c>
      <c r="B5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0" s="1" t="s">
        <v>4066</v>
      </c>
      <c r="D530" s="1" t="s">
        <v>4067</v>
      </c>
      <c r="E530" s="1" t="s">
        <v>4068</v>
      </c>
      <c r="F530" s="1" t="s">
        <v>112</v>
      </c>
      <c r="G530" s="1">
        <v>1590576</v>
      </c>
    </row>
    <row r="531" spans="1:7" x14ac:dyDescent="0.25">
      <c r="A531" s="1" t="str">
        <f t="shared" si="8"/>
        <v>17 Testo + Cromolyn 0.1</v>
      </c>
      <c r="B5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1" s="1" t="s">
        <v>4069</v>
      </c>
      <c r="D531" s="1" t="s">
        <v>4070</v>
      </c>
      <c r="E531" s="1" t="s">
        <v>4071</v>
      </c>
      <c r="F531" s="1" t="s">
        <v>112</v>
      </c>
      <c r="G531" s="1">
        <v>1479031</v>
      </c>
    </row>
    <row r="532" spans="1:7" x14ac:dyDescent="0.25">
      <c r="A532" s="1" t="str">
        <f t="shared" si="8"/>
        <v>17 Testo + Cromolyn 0.1</v>
      </c>
      <c r="B5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32" s="1" t="s">
        <v>4072</v>
      </c>
      <c r="D532" s="1" t="s">
        <v>4073</v>
      </c>
      <c r="E532" s="1" t="s">
        <v>4074</v>
      </c>
      <c r="F532" s="1" t="s">
        <v>112</v>
      </c>
      <c r="G532" s="1">
        <v>1449549</v>
      </c>
    </row>
    <row r="533" spans="1:7" x14ac:dyDescent="0.25">
      <c r="A533" s="1" t="str">
        <f t="shared" si="8"/>
        <v>17 Testo + Cromolyn 0.1</v>
      </c>
      <c r="B5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3" s="1" t="s">
        <v>4075</v>
      </c>
      <c r="D533" s="1" t="s">
        <v>4076</v>
      </c>
      <c r="E533" s="1" t="s">
        <v>4077</v>
      </c>
      <c r="F533" s="1" t="s">
        <v>112</v>
      </c>
      <c r="G533" s="1">
        <v>1918485</v>
      </c>
    </row>
    <row r="534" spans="1:7" x14ac:dyDescent="0.25">
      <c r="A534" s="1" t="str">
        <f t="shared" si="8"/>
        <v>17 Testo + Cromolyn 0.1</v>
      </c>
      <c r="B5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4" s="1" t="s">
        <v>4078</v>
      </c>
      <c r="D534" s="1" t="s">
        <v>4079</v>
      </c>
      <c r="E534" s="1" t="s">
        <v>4080</v>
      </c>
      <c r="F534" s="1" t="s">
        <v>112</v>
      </c>
      <c r="G534" s="1">
        <v>2136990</v>
      </c>
    </row>
    <row r="535" spans="1:7" x14ac:dyDescent="0.25">
      <c r="A535" s="1" t="str">
        <f t="shared" si="8"/>
        <v>17 Testo + Cromolyn 0.1</v>
      </c>
      <c r="B5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35" s="1" t="s">
        <v>4081</v>
      </c>
      <c r="D535" s="1" t="s">
        <v>4082</v>
      </c>
      <c r="E535" s="1" t="s">
        <v>4083</v>
      </c>
      <c r="F535" s="1" t="s">
        <v>112</v>
      </c>
      <c r="G535" s="1">
        <v>2000895</v>
      </c>
    </row>
    <row r="536" spans="1:7" x14ac:dyDescent="0.25">
      <c r="A536" s="1" t="str">
        <f t="shared" si="8"/>
        <v>17 Testo + Cromolyn 0.1</v>
      </c>
      <c r="B5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6" s="1" t="s">
        <v>4084</v>
      </c>
      <c r="D536" s="1" t="s">
        <v>4085</v>
      </c>
      <c r="E536" s="1" t="s">
        <v>4086</v>
      </c>
      <c r="F536" s="1" t="s">
        <v>112</v>
      </c>
      <c r="G536" s="1">
        <v>4630074</v>
      </c>
    </row>
    <row r="537" spans="1:7" x14ac:dyDescent="0.25">
      <c r="A537" s="1" t="str">
        <f t="shared" si="8"/>
        <v>17 Testo + Cromolyn 0.1</v>
      </c>
      <c r="B5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7" s="1" t="s">
        <v>4087</v>
      </c>
      <c r="D537" s="1" t="s">
        <v>4088</v>
      </c>
      <c r="E537" s="1">
        <v>78</v>
      </c>
      <c r="F537" s="1" t="s">
        <v>112</v>
      </c>
      <c r="G537" s="1">
        <v>4730718</v>
      </c>
    </row>
    <row r="538" spans="1:7" x14ac:dyDescent="0.25">
      <c r="A538" s="1" t="str">
        <f t="shared" si="8"/>
        <v>17 Testo + Cromolyn 0.1</v>
      </c>
      <c r="B5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38" s="1" t="s">
        <v>4089</v>
      </c>
    </row>
    <row r="539" spans="1:7" x14ac:dyDescent="0.25">
      <c r="A539" s="1" t="str">
        <f t="shared" si="8"/>
        <v>17 Testo + Cromolyn 0.1</v>
      </c>
      <c r="B5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39" s="1" t="s">
        <v>4090</v>
      </c>
      <c r="D539" s="1" t="s">
        <v>4091</v>
      </c>
      <c r="E539" s="1" t="s">
        <v>4092</v>
      </c>
      <c r="F539" s="1" t="s">
        <v>112</v>
      </c>
      <c r="G539" s="1">
        <v>279848</v>
      </c>
    </row>
    <row r="540" spans="1:7" x14ac:dyDescent="0.25">
      <c r="A540" s="1" t="str">
        <f t="shared" si="8"/>
        <v>17 Testo + Cromolyn 0.1</v>
      </c>
      <c r="B5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0" s="1" t="s">
        <v>4093</v>
      </c>
      <c r="D540" s="1" t="s">
        <v>2203</v>
      </c>
      <c r="E540" s="1" t="s">
        <v>4094</v>
      </c>
      <c r="F540" s="1" t="s">
        <v>112</v>
      </c>
      <c r="G540" s="1">
        <v>240719</v>
      </c>
    </row>
    <row r="541" spans="1:7" x14ac:dyDescent="0.25">
      <c r="A541" s="1" t="str">
        <f t="shared" si="8"/>
        <v>17 Testo + Cromolyn 0.1</v>
      </c>
      <c r="B5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41" s="1" t="s">
        <v>4095</v>
      </c>
      <c r="D541" s="1" t="s">
        <v>2710</v>
      </c>
      <c r="E541" s="1" t="s">
        <v>4096</v>
      </c>
      <c r="F541" s="1" t="s">
        <v>112</v>
      </c>
      <c r="G541" s="1">
        <v>156254</v>
      </c>
    </row>
    <row r="542" spans="1:7" x14ac:dyDescent="0.25">
      <c r="A542" s="1" t="str">
        <f t="shared" si="8"/>
        <v>17 Testo + Cromolyn 0.1</v>
      </c>
      <c r="B5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2" s="1" t="s">
        <v>4097</v>
      </c>
      <c r="D542" s="1" t="s">
        <v>4098</v>
      </c>
      <c r="E542" s="1" t="s">
        <v>4099</v>
      </c>
      <c r="F542" s="1" t="s">
        <v>112</v>
      </c>
      <c r="G542" s="1">
        <v>2847273</v>
      </c>
    </row>
    <row r="543" spans="1:7" x14ac:dyDescent="0.25">
      <c r="A543" s="1" t="str">
        <f t="shared" si="8"/>
        <v>17 Testo + Cromolyn 0.1</v>
      </c>
      <c r="B5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3" s="1" t="s">
        <v>4100</v>
      </c>
      <c r="D543" s="1" t="s">
        <v>4101</v>
      </c>
      <c r="E543" s="1" t="s">
        <v>4102</v>
      </c>
      <c r="F543" s="1" t="s">
        <v>112</v>
      </c>
      <c r="G543" s="1">
        <v>2849739</v>
      </c>
    </row>
    <row r="544" spans="1:7" x14ac:dyDescent="0.25">
      <c r="A544" s="1" t="str">
        <f t="shared" si="8"/>
        <v>17 Testo + Cromolyn 0.1</v>
      </c>
      <c r="B5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44" s="1" t="s">
        <v>4103</v>
      </c>
    </row>
    <row r="545" spans="1:9" x14ac:dyDescent="0.25">
      <c r="A545" s="1" t="str">
        <f t="shared" si="8"/>
        <v>17 Testo + Cromolyn 0.1</v>
      </c>
      <c r="B5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5" s="1" t="s">
        <v>4104</v>
      </c>
      <c r="D545" s="1" t="s">
        <v>3845</v>
      </c>
      <c r="E545" s="1" t="s">
        <v>4105</v>
      </c>
      <c r="F545" s="1" t="s">
        <v>112</v>
      </c>
      <c r="G545" s="1">
        <v>383801</v>
      </c>
    </row>
    <row r="546" spans="1:9" x14ac:dyDescent="0.25">
      <c r="A546" s="1" t="str">
        <f t="shared" si="8"/>
        <v>17 Testo + Cromolyn 0.1</v>
      </c>
      <c r="B5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6" s="1" t="s">
        <v>4106</v>
      </c>
      <c r="D546" s="1" t="s">
        <v>4107</v>
      </c>
      <c r="E546" s="1" t="s">
        <v>4108</v>
      </c>
      <c r="F546" s="1" t="s">
        <v>112</v>
      </c>
      <c r="G546" s="1">
        <v>207150</v>
      </c>
    </row>
    <row r="547" spans="1:9" x14ac:dyDescent="0.25">
      <c r="A547" s="1" t="str">
        <f t="shared" si="8"/>
        <v>17 Testo + Cromolyn 0.1</v>
      </c>
      <c r="B5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47" s="1" t="s">
        <v>4109</v>
      </c>
      <c r="D547" s="1" t="s">
        <v>1938</v>
      </c>
      <c r="E547" s="1" t="s">
        <v>4110</v>
      </c>
      <c r="F547" s="1" t="s">
        <v>112</v>
      </c>
      <c r="G547" s="1">
        <v>283525</v>
      </c>
    </row>
    <row r="548" spans="1:9" x14ac:dyDescent="0.25">
      <c r="A548" s="1" t="str">
        <f t="shared" si="8"/>
        <v>17 Testo + Cromolyn 0.1</v>
      </c>
      <c r="B5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8" s="1" t="s">
        <v>4111</v>
      </c>
      <c r="D548" s="1" t="s">
        <v>1744</v>
      </c>
      <c r="E548" s="1" t="s">
        <v>4112</v>
      </c>
      <c r="F548" s="1" t="s">
        <v>112</v>
      </c>
      <c r="G548" s="1">
        <v>14665</v>
      </c>
    </row>
    <row r="549" spans="1:9" x14ac:dyDescent="0.25">
      <c r="A549" s="1" t="str">
        <f t="shared" si="8"/>
        <v>17 Testo + Cromolyn 0.1</v>
      </c>
      <c r="B5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49" s="1" t="s">
        <v>4113</v>
      </c>
      <c r="D549" s="1" t="s">
        <v>871</v>
      </c>
      <c r="E549" s="1" t="s">
        <v>4114</v>
      </c>
      <c r="F549" s="1" t="s">
        <v>112</v>
      </c>
      <c r="G549" s="1">
        <v>21046</v>
      </c>
    </row>
    <row r="550" spans="1:9" x14ac:dyDescent="0.25">
      <c r="A550" s="1" t="str">
        <f t="shared" si="8"/>
        <v>17 Testo + Cromolyn 0.1</v>
      </c>
      <c r="B5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50" s="1" t="s">
        <v>4115</v>
      </c>
      <c r="D550" s="1" t="s">
        <v>1845</v>
      </c>
      <c r="E550" s="1" t="s">
        <v>3140</v>
      </c>
      <c r="F550" s="1" t="s">
        <v>112</v>
      </c>
      <c r="G550" s="1">
        <v>28292</v>
      </c>
    </row>
    <row r="551" spans="1:9" x14ac:dyDescent="0.25">
      <c r="A551" s="1" t="str">
        <f t="shared" si="8"/>
        <v>17 Testo + Cromolyn 0.1</v>
      </c>
      <c r="B5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1" s="1" t="s">
        <v>4116</v>
      </c>
      <c r="D551" s="1" t="s">
        <v>4117</v>
      </c>
      <c r="E551" s="1" t="s">
        <v>4118</v>
      </c>
      <c r="F551" s="1" t="s">
        <v>112</v>
      </c>
      <c r="G551" s="1">
        <v>3366217</v>
      </c>
    </row>
    <row r="552" spans="1:9" x14ac:dyDescent="0.25">
      <c r="A552" s="1" t="str">
        <f t="shared" si="8"/>
        <v>17 Testo + Cromolyn 0.1</v>
      </c>
      <c r="B5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2" s="1" t="s">
        <v>4119</v>
      </c>
      <c r="D552" s="1" t="s">
        <v>4120</v>
      </c>
      <c r="E552" s="1" t="s">
        <v>4121</v>
      </c>
      <c r="F552" s="1" t="s">
        <v>112</v>
      </c>
      <c r="G552" s="1">
        <v>3374675</v>
      </c>
    </row>
    <row r="553" spans="1:9" x14ac:dyDescent="0.25">
      <c r="A553" s="1" t="str">
        <f t="shared" si="8"/>
        <v>17 Testo + Cromolyn 0.1</v>
      </c>
      <c r="B55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53" s="1" t="s">
        <v>4122</v>
      </c>
      <c r="D553" s="1" t="s">
        <v>4123</v>
      </c>
      <c r="E553" s="1" t="s">
        <v>4124</v>
      </c>
      <c r="F553" s="1" t="s">
        <v>112</v>
      </c>
      <c r="G553" s="1">
        <v>3177367</v>
      </c>
    </row>
    <row r="554" spans="1:9" x14ac:dyDescent="0.25">
      <c r="A554" s="1" t="str">
        <f t="shared" si="8"/>
        <v/>
      </c>
      <c r="B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4" s="1" t="s">
        <v>112</v>
      </c>
    </row>
    <row r="555" spans="1:9" x14ac:dyDescent="0.25">
      <c r="A555" s="1" t="str">
        <f t="shared" si="8"/>
        <v/>
      </c>
      <c r="B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5" s="1" t="s">
        <v>235</v>
      </c>
      <c r="D555" s="1" t="s">
        <v>112</v>
      </c>
      <c r="E555" s="1" t="s">
        <v>236</v>
      </c>
      <c r="F555" s="1" t="s">
        <v>237</v>
      </c>
      <c r="G555" s="1" t="s">
        <v>238</v>
      </c>
      <c r="H555" s="1" t="s">
        <v>239</v>
      </c>
      <c r="I555" s="1" t="s">
        <v>240</v>
      </c>
    </row>
    <row r="556" spans="1:9" x14ac:dyDescent="0.25">
      <c r="A556" s="1" t="str">
        <f t="shared" si="8"/>
        <v>17 Testo + Cromolyn 0.1</v>
      </c>
      <c r="B55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56" s="1" t="s">
        <v>4125</v>
      </c>
      <c r="D556" s="1" t="s">
        <v>112</v>
      </c>
      <c r="E556" s="1" t="s">
        <v>4126</v>
      </c>
      <c r="F556" s="1" t="s">
        <v>4127</v>
      </c>
      <c r="G556" s="1" t="s">
        <v>4128</v>
      </c>
      <c r="H556" s="1" t="s">
        <v>4129</v>
      </c>
      <c r="I556" s="1">
        <v>24</v>
      </c>
    </row>
    <row r="557" spans="1:9" x14ac:dyDescent="0.25">
      <c r="A557" s="1" t="str">
        <f t="shared" si="8"/>
        <v/>
      </c>
      <c r="B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7" s="1" t="s">
        <v>112</v>
      </c>
    </row>
    <row r="558" spans="1:9" x14ac:dyDescent="0.25">
      <c r="A558" s="1" t="str">
        <f t="shared" si="8"/>
        <v/>
      </c>
      <c r="B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8" s="1" t="s">
        <v>112</v>
      </c>
    </row>
    <row r="559" spans="1:9" x14ac:dyDescent="0.25">
      <c r="A559" s="1" t="str">
        <f t="shared" si="8"/>
        <v/>
      </c>
      <c r="B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59" s="1" t="s">
        <v>112</v>
      </c>
    </row>
    <row r="560" spans="1:9" x14ac:dyDescent="0.25">
      <c r="A560" s="1" t="str">
        <f t="shared" si="8"/>
        <v/>
      </c>
      <c r="B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0" s="1" t="s">
        <v>112</v>
      </c>
    </row>
    <row r="561" spans="1:7" x14ac:dyDescent="0.25">
      <c r="A561" s="1" t="str">
        <f t="shared" si="8"/>
        <v/>
      </c>
      <c r="B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1" s="1" t="s">
        <v>112</v>
      </c>
    </row>
    <row r="562" spans="1:7" x14ac:dyDescent="0.25">
      <c r="A562" s="1" t="str">
        <f t="shared" si="8"/>
        <v/>
      </c>
      <c r="B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62" s="1" t="s">
        <v>246</v>
      </c>
      <c r="D562" s="1" t="s">
        <v>110</v>
      </c>
      <c r="E562" s="1" t="s">
        <v>111</v>
      </c>
      <c r="F562" s="1" t="s">
        <v>112</v>
      </c>
      <c r="G562" s="1" t="s">
        <v>113</v>
      </c>
    </row>
    <row r="563" spans="1:7" x14ac:dyDescent="0.25">
      <c r="A563" s="1" t="str">
        <f t="shared" si="8"/>
        <v>18 Testo + Cromolyn 1</v>
      </c>
      <c r="B5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3" s="1" t="s">
        <v>4130</v>
      </c>
      <c r="D563" s="1" t="s">
        <v>1339</v>
      </c>
      <c r="E563" s="1" t="s">
        <v>4131</v>
      </c>
      <c r="F563" s="1" t="s">
        <v>112</v>
      </c>
      <c r="G563" s="1">
        <v>5142334</v>
      </c>
    </row>
    <row r="564" spans="1:7" x14ac:dyDescent="0.25">
      <c r="A564" s="1" t="str">
        <f t="shared" si="8"/>
        <v>18 Testo + Cromolyn 1</v>
      </c>
      <c r="B5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4" s="1" t="s">
        <v>4132</v>
      </c>
      <c r="D564" s="1" t="s">
        <v>1216</v>
      </c>
      <c r="E564" s="1" t="s">
        <v>4133</v>
      </c>
      <c r="F564" s="1" t="s">
        <v>112</v>
      </c>
      <c r="G564" s="1">
        <v>4763855</v>
      </c>
    </row>
    <row r="565" spans="1:7" x14ac:dyDescent="0.25">
      <c r="A565" s="1" t="str">
        <f t="shared" si="8"/>
        <v>18 Testo + Cromolyn 1</v>
      </c>
      <c r="B5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65" s="1" t="s">
        <v>4134</v>
      </c>
      <c r="D565" s="1" t="s">
        <v>4135</v>
      </c>
      <c r="E565" s="1" t="s">
        <v>4136</v>
      </c>
      <c r="F565" s="1" t="s">
        <v>112</v>
      </c>
      <c r="G565" s="1">
        <v>4687198</v>
      </c>
    </row>
    <row r="566" spans="1:7" x14ac:dyDescent="0.25">
      <c r="A566" s="1" t="str">
        <f t="shared" si="8"/>
        <v>18 Testo + Cromolyn 1</v>
      </c>
      <c r="B5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6" s="1" t="s">
        <v>4137</v>
      </c>
    </row>
    <row r="567" spans="1:7" x14ac:dyDescent="0.25">
      <c r="A567" s="1" t="str">
        <f t="shared" si="8"/>
        <v>18 Testo + Cromolyn 1</v>
      </c>
      <c r="B5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7" s="1" t="s">
        <v>4138</v>
      </c>
      <c r="D567" s="1" t="s">
        <v>1473</v>
      </c>
      <c r="E567" s="1" t="s">
        <v>4139</v>
      </c>
      <c r="F567" s="1" t="s">
        <v>112</v>
      </c>
      <c r="G567" s="1">
        <v>48948</v>
      </c>
    </row>
    <row r="568" spans="1:7" x14ac:dyDescent="0.25">
      <c r="A568" s="1" t="str">
        <f t="shared" si="8"/>
        <v>18 Testo + Cromolyn 1</v>
      </c>
      <c r="B5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68" s="1" t="s">
        <v>4140</v>
      </c>
      <c r="D568" s="1" t="s">
        <v>179</v>
      </c>
      <c r="E568" s="1" t="s">
        <v>4141</v>
      </c>
      <c r="F568" s="1" t="s">
        <v>112</v>
      </c>
      <c r="G568" s="1">
        <v>94912</v>
      </c>
    </row>
    <row r="569" spans="1:7" x14ac:dyDescent="0.25">
      <c r="A569" s="1" t="str">
        <f t="shared" si="8"/>
        <v>18 Testo + Cromolyn 1</v>
      </c>
      <c r="B5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69" s="1" t="s">
        <v>4142</v>
      </c>
      <c r="D569" s="1" t="s">
        <v>4143</v>
      </c>
      <c r="E569" s="1" t="s">
        <v>4144</v>
      </c>
      <c r="F569" s="1" t="s">
        <v>112</v>
      </c>
      <c r="G569" s="1">
        <v>3238298</v>
      </c>
    </row>
    <row r="570" spans="1:7" x14ac:dyDescent="0.25">
      <c r="A570" s="1" t="str">
        <f t="shared" si="8"/>
        <v>18 Testo + Cromolyn 1</v>
      </c>
      <c r="B5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0" s="1" t="s">
        <v>4145</v>
      </c>
      <c r="D570" s="1" t="s">
        <v>4146</v>
      </c>
      <c r="E570" s="1" t="s">
        <v>4147</v>
      </c>
      <c r="F570" s="1" t="s">
        <v>112</v>
      </c>
      <c r="G570" s="1">
        <v>3264449</v>
      </c>
    </row>
    <row r="571" spans="1:7" x14ac:dyDescent="0.25">
      <c r="A571" s="1" t="str">
        <f t="shared" si="8"/>
        <v>18 Testo + Cromolyn 1</v>
      </c>
      <c r="B5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571" s="1" t="s">
        <v>4148</v>
      </c>
      <c r="D571" s="1" t="s">
        <v>4149</v>
      </c>
      <c r="E571" s="1" t="s">
        <v>4150</v>
      </c>
      <c r="F571" s="1" t="s">
        <v>112</v>
      </c>
      <c r="G571" s="1">
        <v>3058597</v>
      </c>
    </row>
    <row r="572" spans="1:7" x14ac:dyDescent="0.25">
      <c r="A572" s="1" t="str">
        <f t="shared" si="8"/>
        <v>18 Testo + Cromolyn 1</v>
      </c>
      <c r="B5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2" s="1" t="s">
        <v>4151</v>
      </c>
      <c r="D572" s="1" t="s">
        <v>4152</v>
      </c>
      <c r="E572" s="1" t="s">
        <v>4153</v>
      </c>
      <c r="F572" s="1" t="s">
        <v>112</v>
      </c>
      <c r="G572" s="1">
        <v>896083</v>
      </c>
    </row>
    <row r="573" spans="1:7" x14ac:dyDescent="0.25">
      <c r="A573" s="1" t="str">
        <f t="shared" si="8"/>
        <v>18 Testo + Cromolyn 1</v>
      </c>
      <c r="B5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3" s="1" t="s">
        <v>4154</v>
      </c>
      <c r="D573" s="1" t="s">
        <v>4155</v>
      </c>
      <c r="E573" s="1" t="s">
        <v>4156</v>
      </c>
      <c r="F573" s="1" t="s">
        <v>112</v>
      </c>
      <c r="G573" s="1">
        <v>890806</v>
      </c>
    </row>
    <row r="574" spans="1:7" x14ac:dyDescent="0.25">
      <c r="A574" s="1" t="str">
        <f t="shared" si="8"/>
        <v>18 Testo + Cromolyn 1</v>
      </c>
      <c r="B5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574" s="1" t="s">
        <v>4157</v>
      </c>
      <c r="D574" s="1" t="s">
        <v>1983</v>
      </c>
      <c r="E574" s="1" t="s">
        <v>4158</v>
      </c>
      <c r="F574" s="1" t="s">
        <v>112</v>
      </c>
      <c r="G574" s="1">
        <v>1430904</v>
      </c>
    </row>
    <row r="575" spans="1:7" x14ac:dyDescent="0.25">
      <c r="A575" s="1" t="str">
        <f t="shared" si="8"/>
        <v>18 Testo + Cromolyn 1</v>
      </c>
      <c r="B5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5" s="1" t="s">
        <v>4159</v>
      </c>
      <c r="D575" s="1" t="s">
        <v>4160</v>
      </c>
      <c r="E575" s="1" t="s">
        <v>4161</v>
      </c>
      <c r="F575" s="1" t="s">
        <v>112</v>
      </c>
      <c r="G575" s="1">
        <v>801647</v>
      </c>
    </row>
    <row r="576" spans="1:7" x14ac:dyDescent="0.25">
      <c r="A576" s="1" t="str">
        <f t="shared" si="8"/>
        <v>18 Testo + Cromolyn 1</v>
      </c>
      <c r="B5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6" s="1" t="s">
        <v>4162</v>
      </c>
      <c r="D576" s="1" t="s">
        <v>4163</v>
      </c>
      <c r="E576" s="1" t="s">
        <v>4164</v>
      </c>
      <c r="F576" s="1" t="s">
        <v>112</v>
      </c>
      <c r="G576" s="1">
        <v>1301254</v>
      </c>
    </row>
    <row r="577" spans="1:9" x14ac:dyDescent="0.25">
      <c r="A577" s="1" t="str">
        <f t="shared" si="8"/>
        <v>18 Testo + Cromolyn 1</v>
      </c>
      <c r="B5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577" s="1" t="s">
        <v>4165</v>
      </c>
      <c r="D577" s="1" t="s">
        <v>4166</v>
      </c>
      <c r="E577" s="1" t="s">
        <v>4167</v>
      </c>
      <c r="F577" s="1" t="s">
        <v>112</v>
      </c>
      <c r="G577" s="1">
        <v>1055452</v>
      </c>
    </row>
    <row r="578" spans="1:9" x14ac:dyDescent="0.25">
      <c r="A578" s="1" t="str">
        <f t="shared" ref="A578:A641" si="9">IFERROR(LEFT(RIGHT(C578,LEN(C578)-SEARCH("@",C578)),SEARCH("/",RIGHT(C578,LEN(C578)-SEARCH("@",C578)-1))),"")</f>
        <v>18 Testo + Cromolyn 1</v>
      </c>
      <c r="B5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8" s="1" t="s">
        <v>4168</v>
      </c>
    </row>
    <row r="579" spans="1:9" x14ac:dyDescent="0.25">
      <c r="A579" s="1" t="str">
        <f t="shared" si="9"/>
        <v>18 Testo + Cromolyn 1</v>
      </c>
      <c r="B5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79" s="1" t="s">
        <v>4169</v>
      </c>
      <c r="D579" s="1" t="s">
        <v>4170</v>
      </c>
      <c r="E579" s="1" t="s">
        <v>4171</v>
      </c>
      <c r="F579" s="1" t="s">
        <v>112</v>
      </c>
      <c r="G579" s="1">
        <v>1923741</v>
      </c>
    </row>
    <row r="580" spans="1:9" x14ac:dyDescent="0.25">
      <c r="A580" s="1" t="str">
        <f t="shared" si="9"/>
        <v>18 Testo + Cromolyn 1</v>
      </c>
      <c r="B5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580" s="1" t="s">
        <v>4172</v>
      </c>
    </row>
    <row r="581" spans="1:9" x14ac:dyDescent="0.25">
      <c r="A581" s="1" t="str">
        <f t="shared" si="9"/>
        <v>18 Testo + Cromolyn 1</v>
      </c>
      <c r="B5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1" s="1" t="s">
        <v>4173</v>
      </c>
      <c r="D581" s="1" t="s">
        <v>394</v>
      </c>
      <c r="E581" s="1" t="s">
        <v>4174</v>
      </c>
      <c r="F581" s="1" t="s">
        <v>112</v>
      </c>
      <c r="G581" s="1">
        <v>678162</v>
      </c>
    </row>
    <row r="582" spans="1:9" x14ac:dyDescent="0.25">
      <c r="A582" s="1" t="str">
        <f t="shared" si="9"/>
        <v>18 Testo + Cromolyn 1</v>
      </c>
      <c r="B5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2" s="1" t="s">
        <v>4175</v>
      </c>
      <c r="D582" s="1" t="s">
        <v>2406</v>
      </c>
      <c r="E582" s="1" t="s">
        <v>4176</v>
      </c>
      <c r="F582" s="1" t="s">
        <v>112</v>
      </c>
      <c r="G582" s="1">
        <v>443586</v>
      </c>
    </row>
    <row r="583" spans="1:9" x14ac:dyDescent="0.25">
      <c r="A583" s="1" t="str">
        <f t="shared" si="9"/>
        <v>18 Testo + Cromolyn 1</v>
      </c>
      <c r="B5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583" s="1" t="s">
        <v>4177</v>
      </c>
    </row>
    <row r="584" spans="1:9" x14ac:dyDescent="0.25">
      <c r="A584" s="1" t="str">
        <f t="shared" si="9"/>
        <v>18 Testo + Cromolyn 1</v>
      </c>
      <c r="B5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4" s="1" t="s">
        <v>4178</v>
      </c>
      <c r="D584" s="1" t="s">
        <v>159</v>
      </c>
      <c r="E584" s="1" t="s">
        <v>4179</v>
      </c>
      <c r="F584" s="1" t="s">
        <v>112</v>
      </c>
      <c r="G584" s="1">
        <v>1510935</v>
      </c>
    </row>
    <row r="585" spans="1:9" x14ac:dyDescent="0.25">
      <c r="A585" s="1" t="str">
        <f t="shared" si="9"/>
        <v>18 Testo + Cromolyn 1</v>
      </c>
      <c r="B5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5" s="1" t="s">
        <v>4180</v>
      </c>
      <c r="D585" s="1" t="s">
        <v>2888</v>
      </c>
      <c r="E585" s="1" t="s">
        <v>4181</v>
      </c>
      <c r="F585" s="1" t="s">
        <v>112</v>
      </c>
      <c r="G585" s="1">
        <v>1199161</v>
      </c>
    </row>
    <row r="586" spans="1:9" x14ac:dyDescent="0.25">
      <c r="A586" s="1" t="str">
        <f t="shared" si="9"/>
        <v>18 Testo + Cromolyn 1</v>
      </c>
      <c r="B58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586" s="1" t="s">
        <v>4182</v>
      </c>
      <c r="D586" s="1" t="s">
        <v>4183</v>
      </c>
      <c r="E586" s="1" t="s">
        <v>4184</v>
      </c>
      <c r="F586" s="1" t="s">
        <v>112</v>
      </c>
      <c r="G586" s="1">
        <v>1432332</v>
      </c>
    </row>
    <row r="587" spans="1:9" x14ac:dyDescent="0.25">
      <c r="A587" s="1" t="str">
        <f t="shared" si="9"/>
        <v/>
      </c>
      <c r="B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7" s="1" t="s">
        <v>112</v>
      </c>
    </row>
    <row r="588" spans="1:9" x14ac:dyDescent="0.25">
      <c r="A588" s="1" t="str">
        <f t="shared" si="9"/>
        <v/>
      </c>
      <c r="B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88" s="1" t="s">
        <v>235</v>
      </c>
      <c r="D588" s="1" t="s">
        <v>112</v>
      </c>
      <c r="E588" s="1" t="s">
        <v>236</v>
      </c>
      <c r="F588" s="1" t="s">
        <v>237</v>
      </c>
      <c r="G588" s="1" t="s">
        <v>238</v>
      </c>
      <c r="H588" s="1" t="s">
        <v>239</v>
      </c>
      <c r="I588" s="1" t="s">
        <v>240</v>
      </c>
    </row>
    <row r="589" spans="1:9" x14ac:dyDescent="0.25">
      <c r="A589" s="1" t="str">
        <f t="shared" si="9"/>
        <v>18 Testo + Cromolyn 1</v>
      </c>
      <c r="B58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589" s="1" t="s">
        <v>4185</v>
      </c>
      <c r="D589" s="1" t="s">
        <v>112</v>
      </c>
      <c r="E589" s="1" t="s">
        <v>4186</v>
      </c>
      <c r="F589" s="1" t="s">
        <v>4187</v>
      </c>
      <c r="G589" s="1" t="s">
        <v>4188</v>
      </c>
      <c r="H589" s="1" t="s">
        <v>4189</v>
      </c>
      <c r="I589" s="1">
        <v>24</v>
      </c>
    </row>
    <row r="590" spans="1:9" x14ac:dyDescent="0.25">
      <c r="A590" s="1" t="str">
        <f t="shared" si="9"/>
        <v/>
      </c>
      <c r="B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0" s="1" t="s">
        <v>112</v>
      </c>
    </row>
    <row r="591" spans="1:9" x14ac:dyDescent="0.25">
      <c r="A591" s="1" t="str">
        <f t="shared" si="9"/>
        <v/>
      </c>
      <c r="B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1" s="1" t="s">
        <v>112</v>
      </c>
    </row>
    <row r="592" spans="1:9" x14ac:dyDescent="0.25">
      <c r="A592" s="1" t="str">
        <f t="shared" si="9"/>
        <v/>
      </c>
      <c r="B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2" s="1" t="s">
        <v>112</v>
      </c>
    </row>
    <row r="593" spans="1:7" x14ac:dyDescent="0.25">
      <c r="A593" s="1" t="str">
        <f t="shared" si="9"/>
        <v/>
      </c>
      <c r="B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3" s="1" t="s">
        <v>112</v>
      </c>
    </row>
    <row r="594" spans="1:7" x14ac:dyDescent="0.25">
      <c r="A594" s="1" t="str">
        <f t="shared" si="9"/>
        <v/>
      </c>
      <c r="B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4" s="1" t="s">
        <v>112</v>
      </c>
    </row>
    <row r="595" spans="1:7" x14ac:dyDescent="0.25">
      <c r="A595" s="1" t="str">
        <f t="shared" si="9"/>
        <v/>
      </c>
      <c r="B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595" s="1" t="s">
        <v>246</v>
      </c>
      <c r="D595" s="1" t="s">
        <v>110</v>
      </c>
      <c r="E595" s="1" t="s">
        <v>111</v>
      </c>
      <c r="F595" s="1" t="s">
        <v>112</v>
      </c>
      <c r="G595" s="1" t="s">
        <v>113</v>
      </c>
    </row>
    <row r="596" spans="1:7" x14ac:dyDescent="0.25">
      <c r="A596" s="1" t="str">
        <f t="shared" si="9"/>
        <v>19 Testo + Cromolyn 10</v>
      </c>
      <c r="B59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6" s="1" t="s">
        <v>4190</v>
      </c>
      <c r="D596" s="1" t="s">
        <v>4191</v>
      </c>
      <c r="E596" s="1" t="s">
        <v>4192</v>
      </c>
      <c r="F596" s="1" t="s">
        <v>112</v>
      </c>
      <c r="G596" s="1">
        <v>2444178</v>
      </c>
    </row>
    <row r="597" spans="1:7" x14ac:dyDescent="0.25">
      <c r="A597" s="1" t="str">
        <f t="shared" si="9"/>
        <v>19 Testo + Cromolyn 10</v>
      </c>
      <c r="B59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7" s="1" t="s">
        <v>4193</v>
      </c>
      <c r="D597" s="1" t="s">
        <v>4194</v>
      </c>
      <c r="E597" s="1" t="s">
        <v>4195</v>
      </c>
      <c r="F597" s="1" t="s">
        <v>112</v>
      </c>
      <c r="G597" s="1">
        <v>2000830</v>
      </c>
    </row>
    <row r="598" spans="1:7" x14ac:dyDescent="0.25">
      <c r="A598" s="1" t="str">
        <f t="shared" si="9"/>
        <v>19 Testo + Cromolyn 10</v>
      </c>
      <c r="B59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598" s="1" t="s">
        <v>4196</v>
      </c>
      <c r="D598" s="1" t="s">
        <v>4197</v>
      </c>
      <c r="E598" s="1" t="s">
        <v>4198</v>
      </c>
      <c r="F598" s="1" t="s">
        <v>112</v>
      </c>
      <c r="G598" s="1">
        <v>2506407</v>
      </c>
    </row>
    <row r="599" spans="1:7" x14ac:dyDescent="0.25">
      <c r="A599" s="1" t="str">
        <f t="shared" si="9"/>
        <v>19 Testo + Cromolyn 10</v>
      </c>
      <c r="B59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599" s="1" t="s">
        <v>4199</v>
      </c>
      <c r="D599" s="1" t="s">
        <v>4200</v>
      </c>
      <c r="E599" s="1" t="s">
        <v>4201</v>
      </c>
      <c r="F599" s="1" t="s">
        <v>112</v>
      </c>
      <c r="G599" s="1">
        <v>2464316</v>
      </c>
    </row>
    <row r="600" spans="1:7" x14ac:dyDescent="0.25">
      <c r="A600" s="1" t="str">
        <f t="shared" si="9"/>
        <v>19 Testo + Cromolyn 10</v>
      </c>
      <c r="B60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0" s="1" t="s">
        <v>4202</v>
      </c>
      <c r="D600" s="1" t="s">
        <v>1487</v>
      </c>
      <c r="E600" s="1" t="s">
        <v>4203</v>
      </c>
      <c r="F600" s="1" t="s">
        <v>112</v>
      </c>
      <c r="G600" s="1">
        <v>2390471</v>
      </c>
    </row>
    <row r="601" spans="1:7" x14ac:dyDescent="0.25">
      <c r="A601" s="1" t="str">
        <f t="shared" si="9"/>
        <v>19 Testo + Cromolyn 10</v>
      </c>
      <c r="B60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01" s="1" t="s">
        <v>4204</v>
      </c>
    </row>
    <row r="602" spans="1:7" x14ac:dyDescent="0.25">
      <c r="A602" s="1" t="str">
        <f t="shared" si="9"/>
        <v>19 Testo + Cromolyn 10</v>
      </c>
      <c r="B60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2" s="1" t="s">
        <v>4205</v>
      </c>
      <c r="D602" s="1" t="s">
        <v>4206</v>
      </c>
      <c r="E602" s="1" t="s">
        <v>4207</v>
      </c>
      <c r="F602" s="1" t="s">
        <v>112</v>
      </c>
      <c r="G602" s="1">
        <v>4753970</v>
      </c>
    </row>
    <row r="603" spans="1:7" x14ac:dyDescent="0.25">
      <c r="A603" s="1" t="str">
        <f t="shared" si="9"/>
        <v>19 Testo + Cromolyn 10</v>
      </c>
      <c r="B60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3" s="1" t="s">
        <v>4208</v>
      </c>
      <c r="D603" s="1" t="s">
        <v>4209</v>
      </c>
      <c r="E603" s="1" t="s">
        <v>4210</v>
      </c>
      <c r="F603" s="1" t="s">
        <v>112</v>
      </c>
      <c r="G603" s="1">
        <v>4619670</v>
      </c>
    </row>
    <row r="604" spans="1:7" x14ac:dyDescent="0.25">
      <c r="A604" s="1" t="str">
        <f t="shared" si="9"/>
        <v>19 Testo + Cromolyn 10</v>
      </c>
      <c r="B60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04" s="1" t="s">
        <v>4211</v>
      </c>
      <c r="D604" s="1" t="s">
        <v>4212</v>
      </c>
      <c r="E604" s="1" t="s">
        <v>4213</v>
      </c>
      <c r="F604" s="1" t="s">
        <v>112</v>
      </c>
      <c r="G604" s="1">
        <v>4725937</v>
      </c>
    </row>
    <row r="605" spans="1:7" x14ac:dyDescent="0.25">
      <c r="A605" s="1" t="str">
        <f t="shared" si="9"/>
        <v>19 Testo + Cromolyn 10</v>
      </c>
      <c r="B60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5" s="1" t="s">
        <v>4214</v>
      </c>
      <c r="D605" s="1" t="s">
        <v>4215</v>
      </c>
      <c r="E605" s="1" t="s">
        <v>4216</v>
      </c>
      <c r="F605" s="1" t="s">
        <v>112</v>
      </c>
      <c r="G605" s="1">
        <v>2200907</v>
      </c>
    </row>
    <row r="606" spans="1:7" x14ac:dyDescent="0.25">
      <c r="A606" s="1" t="str">
        <f t="shared" si="9"/>
        <v>19 Testo + Cromolyn 10</v>
      </c>
      <c r="B60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6" s="1" t="s">
        <v>4217</v>
      </c>
      <c r="D606" s="1" t="s">
        <v>4218</v>
      </c>
      <c r="E606" s="1" t="s">
        <v>4219</v>
      </c>
      <c r="F606" s="1" t="s">
        <v>112</v>
      </c>
      <c r="G606" s="1">
        <v>2401740</v>
      </c>
    </row>
    <row r="607" spans="1:7" x14ac:dyDescent="0.25">
      <c r="A607" s="1" t="str">
        <f t="shared" si="9"/>
        <v>19 Testo + Cromolyn 10</v>
      </c>
      <c r="B60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07" s="1" t="s">
        <v>4220</v>
      </c>
      <c r="D607" s="1" t="s">
        <v>4221</v>
      </c>
      <c r="E607" s="1" t="s">
        <v>4222</v>
      </c>
      <c r="F607" s="1" t="s">
        <v>112</v>
      </c>
      <c r="G607" s="1">
        <v>2243258</v>
      </c>
    </row>
    <row r="608" spans="1:7" x14ac:dyDescent="0.25">
      <c r="A608" s="1" t="str">
        <f t="shared" si="9"/>
        <v>19 Testo + Cromolyn 10</v>
      </c>
      <c r="B60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8" s="1" t="s">
        <v>4223</v>
      </c>
      <c r="D608" s="1" t="s">
        <v>4224</v>
      </c>
      <c r="E608" s="1" t="s">
        <v>4225</v>
      </c>
      <c r="F608" s="1" t="s">
        <v>112</v>
      </c>
      <c r="G608" s="1">
        <v>2139305</v>
      </c>
    </row>
    <row r="609" spans="1:9" x14ac:dyDescent="0.25">
      <c r="A609" s="1" t="str">
        <f t="shared" si="9"/>
        <v>19 Testo + Cromolyn 10</v>
      </c>
      <c r="B60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09" s="1" t="s">
        <v>4226</v>
      </c>
      <c r="D609" s="1" t="s">
        <v>2830</v>
      </c>
      <c r="E609" s="1" t="s">
        <v>4227</v>
      </c>
      <c r="F609" s="1" t="s">
        <v>112</v>
      </c>
      <c r="G609" s="1">
        <v>2087133</v>
      </c>
    </row>
    <row r="610" spans="1:9" x14ac:dyDescent="0.25">
      <c r="A610" s="1" t="str">
        <f t="shared" si="9"/>
        <v>19 Testo + Cromolyn 10</v>
      </c>
      <c r="B61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10" s="1" t="s">
        <v>4228</v>
      </c>
      <c r="D610" s="1" t="s">
        <v>4229</v>
      </c>
      <c r="E610" s="1" t="s">
        <v>4230</v>
      </c>
      <c r="F610" s="1" t="s">
        <v>112</v>
      </c>
      <c r="G610" s="1">
        <v>2254419</v>
      </c>
    </row>
    <row r="611" spans="1:9" x14ac:dyDescent="0.25">
      <c r="A611" s="1" t="str">
        <f t="shared" si="9"/>
        <v>19 Testo + Cromolyn 10</v>
      </c>
      <c r="B61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1" s="1" t="s">
        <v>4231</v>
      </c>
      <c r="D611" s="1" t="s">
        <v>4232</v>
      </c>
      <c r="E611" s="1" t="s">
        <v>4233</v>
      </c>
      <c r="F611" s="1" t="s">
        <v>112</v>
      </c>
      <c r="G611" s="1">
        <v>5801808</v>
      </c>
    </row>
    <row r="612" spans="1:9" x14ac:dyDescent="0.25">
      <c r="A612" s="1" t="str">
        <f t="shared" si="9"/>
        <v>19 Testo + Cromolyn 10</v>
      </c>
      <c r="B61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2" s="1" t="s">
        <v>4234</v>
      </c>
      <c r="D612" s="1" t="s">
        <v>4235</v>
      </c>
      <c r="E612" s="1" t="s">
        <v>4236</v>
      </c>
      <c r="F612" s="1" t="s">
        <v>112</v>
      </c>
      <c r="G612" s="1">
        <v>5752752</v>
      </c>
    </row>
    <row r="613" spans="1:9" x14ac:dyDescent="0.25">
      <c r="A613" s="1" t="str">
        <f t="shared" si="9"/>
        <v>19 Testo + Cromolyn 10</v>
      </c>
      <c r="B61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13" s="1" t="s">
        <v>4237</v>
      </c>
      <c r="D613" s="1" t="s">
        <v>4238</v>
      </c>
      <c r="E613" s="1" t="s">
        <v>4239</v>
      </c>
      <c r="F613" s="1" t="s">
        <v>112</v>
      </c>
      <c r="G613" s="1">
        <v>5645402</v>
      </c>
    </row>
    <row r="614" spans="1:9" x14ac:dyDescent="0.25">
      <c r="A614" s="1" t="str">
        <f t="shared" si="9"/>
        <v>19 Testo + Cromolyn 10</v>
      </c>
      <c r="B61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4" s="1" t="s">
        <v>4240</v>
      </c>
      <c r="D614" s="1" t="s">
        <v>1327</v>
      </c>
      <c r="E614" s="1" t="s">
        <v>4241</v>
      </c>
      <c r="F614" s="1" t="s">
        <v>112</v>
      </c>
      <c r="G614" s="1">
        <v>2605451</v>
      </c>
    </row>
    <row r="615" spans="1:9" x14ac:dyDescent="0.25">
      <c r="A615" s="1" t="str">
        <f t="shared" si="9"/>
        <v>19 Testo + Cromolyn 10</v>
      </c>
      <c r="B61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5" s="1" t="s">
        <v>4242</v>
      </c>
      <c r="D615" s="1" t="s">
        <v>2607</v>
      </c>
      <c r="E615" s="1" t="s">
        <v>4243</v>
      </c>
      <c r="F615" s="1" t="s">
        <v>112</v>
      </c>
      <c r="G615" s="1">
        <v>2692597</v>
      </c>
    </row>
    <row r="616" spans="1:9" x14ac:dyDescent="0.25">
      <c r="A616" s="1" t="str">
        <f t="shared" si="9"/>
        <v>19 Testo + Cromolyn 10</v>
      </c>
      <c r="B61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16" s="1" t="s">
        <v>4244</v>
      </c>
      <c r="D616" s="1" t="s">
        <v>4245</v>
      </c>
      <c r="E616" s="1" t="s">
        <v>4246</v>
      </c>
      <c r="F616" s="1" t="s">
        <v>112</v>
      </c>
      <c r="G616" s="1">
        <v>2817921</v>
      </c>
    </row>
    <row r="617" spans="1:9" x14ac:dyDescent="0.25">
      <c r="A617" s="1" t="str">
        <f t="shared" si="9"/>
        <v>19 Testo + Cromolyn 10</v>
      </c>
      <c r="B61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7" s="1" t="s">
        <v>4247</v>
      </c>
      <c r="D617" s="1" t="s">
        <v>4248</v>
      </c>
      <c r="E617" s="1" t="s">
        <v>4249</v>
      </c>
      <c r="F617" s="1" t="s">
        <v>112</v>
      </c>
      <c r="G617" s="1">
        <v>4160251</v>
      </c>
    </row>
    <row r="618" spans="1:9" x14ac:dyDescent="0.25">
      <c r="A618" s="1" t="str">
        <f t="shared" si="9"/>
        <v>19 Testo + Cromolyn 10</v>
      </c>
      <c r="B61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8" s="1" t="s">
        <v>4250</v>
      </c>
      <c r="D618" s="1" t="s">
        <v>4251</v>
      </c>
      <c r="E618" s="1" t="s">
        <v>4252</v>
      </c>
      <c r="F618" s="1" t="s">
        <v>112</v>
      </c>
      <c r="G618" s="1">
        <v>3973498</v>
      </c>
    </row>
    <row r="619" spans="1:9" x14ac:dyDescent="0.25">
      <c r="A619" s="1" t="str">
        <f t="shared" si="9"/>
        <v>19 Testo + Cromolyn 10</v>
      </c>
      <c r="B61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19" s="1" t="s">
        <v>4253</v>
      </c>
      <c r="D619" s="1" t="s">
        <v>4254</v>
      </c>
      <c r="E619" s="1" t="s">
        <v>4255</v>
      </c>
      <c r="F619" s="1" t="s">
        <v>112</v>
      </c>
      <c r="G619" s="1">
        <v>4318300</v>
      </c>
    </row>
    <row r="620" spans="1:9" x14ac:dyDescent="0.25">
      <c r="A620" s="1" t="str">
        <f t="shared" si="9"/>
        <v/>
      </c>
      <c r="B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0" s="1" t="s">
        <v>112</v>
      </c>
    </row>
    <row r="621" spans="1:9" x14ac:dyDescent="0.25">
      <c r="A621" s="1" t="str">
        <f t="shared" si="9"/>
        <v/>
      </c>
      <c r="B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1" s="1" t="s">
        <v>235</v>
      </c>
      <c r="D621" s="1" t="s">
        <v>112</v>
      </c>
      <c r="E621" s="1" t="s">
        <v>236</v>
      </c>
      <c r="F621" s="1" t="s">
        <v>237</v>
      </c>
      <c r="G621" s="1" t="s">
        <v>238</v>
      </c>
      <c r="H621" s="1" t="s">
        <v>239</v>
      </c>
      <c r="I621" s="1" t="s">
        <v>240</v>
      </c>
    </row>
    <row r="622" spans="1:9" x14ac:dyDescent="0.25">
      <c r="A622" s="1" t="str">
        <f t="shared" si="9"/>
        <v>19 Testo + Cromolyn 10</v>
      </c>
      <c r="B62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22" s="1" t="s">
        <v>4256</v>
      </c>
      <c r="D622" s="1" t="s">
        <v>112</v>
      </c>
      <c r="E622" s="1" t="s">
        <v>4257</v>
      </c>
      <c r="F622" s="1" t="s">
        <v>4258</v>
      </c>
      <c r="G622" s="1" t="s">
        <v>4259</v>
      </c>
      <c r="H622" s="1" t="s">
        <v>4260</v>
      </c>
      <c r="I622" s="1">
        <v>24</v>
      </c>
    </row>
    <row r="623" spans="1:9" x14ac:dyDescent="0.25">
      <c r="A623" s="1" t="str">
        <f t="shared" si="9"/>
        <v/>
      </c>
      <c r="B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3" s="1" t="s">
        <v>112</v>
      </c>
    </row>
    <row r="624" spans="1:9" x14ac:dyDescent="0.25">
      <c r="A624" s="1" t="str">
        <f t="shared" si="9"/>
        <v/>
      </c>
      <c r="B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4" s="1" t="s">
        <v>112</v>
      </c>
    </row>
    <row r="625" spans="1:7" x14ac:dyDescent="0.25">
      <c r="A625" s="1" t="str">
        <f t="shared" si="9"/>
        <v/>
      </c>
      <c r="B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5" s="1" t="s">
        <v>112</v>
      </c>
    </row>
    <row r="626" spans="1:7" x14ac:dyDescent="0.25">
      <c r="A626" s="1" t="str">
        <f t="shared" si="9"/>
        <v/>
      </c>
      <c r="B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6" s="1" t="s">
        <v>112</v>
      </c>
    </row>
    <row r="627" spans="1:7" x14ac:dyDescent="0.25">
      <c r="A627" s="1" t="str">
        <f t="shared" si="9"/>
        <v/>
      </c>
      <c r="B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7" s="1" t="s">
        <v>112</v>
      </c>
    </row>
    <row r="628" spans="1:7" x14ac:dyDescent="0.25">
      <c r="A628" s="1" t="str">
        <f t="shared" si="9"/>
        <v/>
      </c>
      <c r="B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28" s="1" t="s">
        <v>246</v>
      </c>
      <c r="D628" s="1" t="s">
        <v>110</v>
      </c>
      <c r="E628" s="1" t="s">
        <v>111</v>
      </c>
      <c r="F628" s="1" t="s">
        <v>112</v>
      </c>
      <c r="G628" s="1" t="s">
        <v>113</v>
      </c>
    </row>
    <row r="629" spans="1:7" x14ac:dyDescent="0.25">
      <c r="A629" s="1" t="str">
        <f t="shared" si="9"/>
        <v>20 Testo + Cromolyn 100</v>
      </c>
      <c r="B62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29" s="1" t="s">
        <v>4261</v>
      </c>
      <c r="D629" s="1" t="s">
        <v>4262</v>
      </c>
      <c r="E629" s="1" t="s">
        <v>4263</v>
      </c>
      <c r="F629" s="1" t="s">
        <v>112</v>
      </c>
      <c r="G629" s="1">
        <v>3992554</v>
      </c>
    </row>
    <row r="630" spans="1:7" x14ac:dyDescent="0.25">
      <c r="A630" s="1" t="str">
        <f t="shared" si="9"/>
        <v>20 Testo + Cromolyn 100</v>
      </c>
      <c r="B63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0" s="1" t="s">
        <v>4264</v>
      </c>
    </row>
    <row r="631" spans="1:7" x14ac:dyDescent="0.25">
      <c r="A631" s="1" t="str">
        <f t="shared" si="9"/>
        <v>20 Testo + Cromolyn 100</v>
      </c>
      <c r="B63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31" s="1" t="s">
        <v>4265</v>
      </c>
      <c r="D631" s="1" t="s">
        <v>4266</v>
      </c>
      <c r="E631" s="1" t="s">
        <v>4267</v>
      </c>
      <c r="F631" s="1" t="s">
        <v>112</v>
      </c>
      <c r="G631" s="1">
        <v>4026491</v>
      </c>
    </row>
    <row r="632" spans="1:7" x14ac:dyDescent="0.25">
      <c r="A632" s="1" t="str">
        <f t="shared" si="9"/>
        <v>20 Testo + Cromolyn 100</v>
      </c>
      <c r="B63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2" s="1" t="s">
        <v>4268</v>
      </c>
      <c r="D632" s="1" t="s">
        <v>4269</v>
      </c>
      <c r="E632" s="1" t="s">
        <v>4270</v>
      </c>
      <c r="F632" s="1" t="s">
        <v>112</v>
      </c>
      <c r="G632" s="1">
        <v>1218996</v>
      </c>
    </row>
    <row r="633" spans="1:7" x14ac:dyDescent="0.25">
      <c r="A633" s="1" t="str">
        <f t="shared" si="9"/>
        <v>20 Testo + Cromolyn 100</v>
      </c>
      <c r="B63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3" s="1" t="s">
        <v>4271</v>
      </c>
      <c r="D633" s="1" t="s">
        <v>4272</v>
      </c>
      <c r="E633" s="1" t="s">
        <v>4273</v>
      </c>
      <c r="F633" s="1" t="s">
        <v>112</v>
      </c>
      <c r="G633" s="1">
        <v>1174655</v>
      </c>
    </row>
    <row r="634" spans="1:7" x14ac:dyDescent="0.25">
      <c r="A634" s="1" t="str">
        <f t="shared" si="9"/>
        <v>20 Testo + Cromolyn 100</v>
      </c>
      <c r="B63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34" s="1" t="s">
        <v>4274</v>
      </c>
      <c r="D634" s="1" t="s">
        <v>4275</v>
      </c>
      <c r="E634" s="1" t="s">
        <v>4276</v>
      </c>
      <c r="F634" s="1" t="s">
        <v>112</v>
      </c>
      <c r="G634" s="1">
        <v>1082966</v>
      </c>
    </row>
    <row r="635" spans="1:7" x14ac:dyDescent="0.25">
      <c r="A635" s="1" t="str">
        <f t="shared" si="9"/>
        <v>20 Testo + Cromolyn 100</v>
      </c>
      <c r="B63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5" s="1" t="s">
        <v>4277</v>
      </c>
      <c r="D635" s="1" t="s">
        <v>3747</v>
      </c>
      <c r="E635" s="1" t="s">
        <v>4278</v>
      </c>
      <c r="F635" s="1" t="s">
        <v>112</v>
      </c>
      <c r="G635" s="1">
        <v>429851</v>
      </c>
    </row>
    <row r="636" spans="1:7" x14ac:dyDescent="0.25">
      <c r="A636" s="1" t="str">
        <f t="shared" si="9"/>
        <v>20 Testo + Cromolyn 100</v>
      </c>
      <c r="B63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6" s="1" t="s">
        <v>4279</v>
      </c>
      <c r="D636" s="1" t="s">
        <v>4280</v>
      </c>
      <c r="E636" s="1" t="s">
        <v>4281</v>
      </c>
      <c r="F636" s="1" t="s">
        <v>112</v>
      </c>
      <c r="G636" s="1">
        <v>589306</v>
      </c>
    </row>
    <row r="637" spans="1:7" x14ac:dyDescent="0.25">
      <c r="A637" s="1" t="str">
        <f t="shared" si="9"/>
        <v>20 Testo + Cromolyn 100</v>
      </c>
      <c r="B63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37" s="1" t="s">
        <v>4282</v>
      </c>
      <c r="D637" s="1" t="s">
        <v>4283</v>
      </c>
      <c r="E637" s="1" t="s">
        <v>4284</v>
      </c>
      <c r="F637" s="1" t="s">
        <v>112</v>
      </c>
      <c r="G637" s="1">
        <v>408199</v>
      </c>
    </row>
    <row r="638" spans="1:7" x14ac:dyDescent="0.25">
      <c r="A638" s="1" t="str">
        <f t="shared" si="9"/>
        <v>20 Testo + Cromolyn 100</v>
      </c>
      <c r="B63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8" s="1" t="s">
        <v>4285</v>
      </c>
      <c r="D638" s="1" t="s">
        <v>2022</v>
      </c>
      <c r="E638" s="1" t="s">
        <v>4286</v>
      </c>
      <c r="F638" s="1" t="s">
        <v>112</v>
      </c>
      <c r="G638" s="1">
        <v>1442108</v>
      </c>
    </row>
    <row r="639" spans="1:7" x14ac:dyDescent="0.25">
      <c r="A639" s="1" t="str">
        <f t="shared" si="9"/>
        <v>20 Testo + Cromolyn 100</v>
      </c>
      <c r="B63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39" s="1" t="s">
        <v>4287</v>
      </c>
      <c r="D639" s="1" t="s">
        <v>3892</v>
      </c>
      <c r="E639" s="1" t="s">
        <v>4288</v>
      </c>
      <c r="F639" s="1" t="s">
        <v>112</v>
      </c>
      <c r="G639" s="1">
        <v>1617397</v>
      </c>
    </row>
    <row r="640" spans="1:7" x14ac:dyDescent="0.25">
      <c r="A640" s="1" t="str">
        <f t="shared" si="9"/>
        <v>20 Testo + Cromolyn 100</v>
      </c>
      <c r="B64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40" s="1" t="s">
        <v>4289</v>
      </c>
      <c r="D640" s="1" t="s">
        <v>4290</v>
      </c>
      <c r="E640" s="1" t="s">
        <v>4291</v>
      </c>
      <c r="F640" s="1" t="s">
        <v>112</v>
      </c>
      <c r="G640" s="1">
        <v>1465944</v>
      </c>
    </row>
    <row r="641" spans="1:9" x14ac:dyDescent="0.25">
      <c r="A641" s="1" t="str">
        <f t="shared" si="9"/>
        <v>20 Testo + Cromolyn 100</v>
      </c>
      <c r="B64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1" s="1" t="s">
        <v>4292</v>
      </c>
      <c r="D641" s="1" t="s">
        <v>4293</v>
      </c>
      <c r="E641" s="1" t="s">
        <v>4294</v>
      </c>
      <c r="F641" s="1" t="s">
        <v>112</v>
      </c>
      <c r="G641" s="1">
        <v>952083</v>
      </c>
    </row>
    <row r="642" spans="1:9" x14ac:dyDescent="0.25">
      <c r="A642" s="1" t="str">
        <f t="shared" ref="A642:A705" si="10">IFERROR(LEFT(RIGHT(C642,LEN(C642)-SEARCH("@",C642)),SEARCH("/",RIGHT(C642,LEN(C642)-SEARCH("@",C642)-1))),"")</f>
        <v>20 Testo + Cromolyn 100</v>
      </c>
      <c r="B64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2" s="1" t="s">
        <v>4295</v>
      </c>
      <c r="D642" s="1" t="s">
        <v>4296</v>
      </c>
      <c r="E642" s="1" t="s">
        <v>4297</v>
      </c>
      <c r="F642" s="1" t="s">
        <v>112</v>
      </c>
      <c r="G642" s="1">
        <v>922147</v>
      </c>
    </row>
    <row r="643" spans="1:9" x14ac:dyDescent="0.25">
      <c r="A643" s="1" t="str">
        <f t="shared" si="10"/>
        <v>20 Testo + Cromolyn 100</v>
      </c>
      <c r="B64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43" s="1" t="s">
        <v>4298</v>
      </c>
      <c r="D643" s="1" t="s">
        <v>4299</v>
      </c>
      <c r="E643" s="1" t="s">
        <v>4300</v>
      </c>
      <c r="F643" s="1" t="s">
        <v>112</v>
      </c>
      <c r="G643" s="1">
        <v>826911</v>
      </c>
    </row>
    <row r="644" spans="1:9" x14ac:dyDescent="0.25">
      <c r="A644" s="1" t="str">
        <f t="shared" si="10"/>
        <v>20 Testo + Cromolyn 100</v>
      </c>
      <c r="B64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4" s="1" t="s">
        <v>4301</v>
      </c>
    </row>
    <row r="645" spans="1:9" x14ac:dyDescent="0.25">
      <c r="A645" s="1" t="str">
        <f t="shared" si="10"/>
        <v>20 Testo + Cromolyn 100</v>
      </c>
      <c r="B64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5" s="1" t="s">
        <v>4302</v>
      </c>
      <c r="D645" s="1" t="s">
        <v>823</v>
      </c>
      <c r="E645" s="1" t="s">
        <v>4303</v>
      </c>
      <c r="F645" s="1" t="s">
        <v>112</v>
      </c>
      <c r="G645" s="1">
        <v>177560</v>
      </c>
    </row>
    <row r="646" spans="1:9" x14ac:dyDescent="0.25">
      <c r="A646" s="1" t="str">
        <f t="shared" si="10"/>
        <v>20 Testo + Cromolyn 100</v>
      </c>
      <c r="B64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46" s="1" t="s">
        <v>4304</v>
      </c>
      <c r="D646" s="1" t="s">
        <v>1938</v>
      </c>
      <c r="E646" s="1" t="s">
        <v>4305</v>
      </c>
      <c r="F646" s="1" t="s">
        <v>112</v>
      </c>
      <c r="G646" s="1">
        <v>286769</v>
      </c>
    </row>
    <row r="647" spans="1:9" x14ac:dyDescent="0.25">
      <c r="A647" s="1" t="str">
        <f t="shared" si="10"/>
        <v>20 Testo + Cromolyn 100</v>
      </c>
      <c r="B64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7" s="1" t="s">
        <v>4306</v>
      </c>
      <c r="D647" s="1" t="s">
        <v>4307</v>
      </c>
      <c r="E647" s="1" t="s">
        <v>4308</v>
      </c>
      <c r="F647" s="1" t="s">
        <v>112</v>
      </c>
      <c r="G647" s="1">
        <v>1314535</v>
      </c>
    </row>
    <row r="648" spans="1:9" x14ac:dyDescent="0.25">
      <c r="A648" s="1" t="str">
        <f t="shared" si="10"/>
        <v>20 Testo + Cromolyn 100</v>
      </c>
      <c r="B64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8" s="1" t="s">
        <v>4309</v>
      </c>
      <c r="D648" s="1" t="s">
        <v>3070</v>
      </c>
      <c r="E648" s="1" t="s">
        <v>4310</v>
      </c>
      <c r="F648" s="1" t="s">
        <v>112</v>
      </c>
      <c r="G648" s="1">
        <v>1546451</v>
      </c>
    </row>
    <row r="649" spans="1:9" x14ac:dyDescent="0.25">
      <c r="A649" s="1" t="str">
        <f t="shared" si="10"/>
        <v>20 Testo + Cromolyn 100</v>
      </c>
      <c r="B64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49" s="1" t="s">
        <v>4311</v>
      </c>
      <c r="D649" s="1" t="s">
        <v>4312</v>
      </c>
      <c r="E649" s="1" t="s">
        <v>4313</v>
      </c>
      <c r="F649" s="1" t="s">
        <v>112</v>
      </c>
      <c r="G649" s="1">
        <v>1506890</v>
      </c>
    </row>
    <row r="650" spans="1:9" x14ac:dyDescent="0.25">
      <c r="A650" s="1" t="str">
        <f t="shared" si="10"/>
        <v>20 Testo + Cromolyn 100</v>
      </c>
      <c r="B65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0" s="1" t="s">
        <v>4314</v>
      </c>
      <c r="D650" s="1" t="s">
        <v>4315</v>
      </c>
      <c r="E650" s="1" t="s">
        <v>4316</v>
      </c>
      <c r="F650" s="1" t="s">
        <v>112</v>
      </c>
      <c r="G650" s="1">
        <v>4942215</v>
      </c>
    </row>
    <row r="651" spans="1:9" x14ac:dyDescent="0.25">
      <c r="A651" s="1" t="str">
        <f t="shared" si="10"/>
        <v>20 Testo + Cromolyn 100</v>
      </c>
      <c r="B65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1" s="1" t="s">
        <v>4317</v>
      </c>
      <c r="D651" s="1" t="s">
        <v>4318</v>
      </c>
      <c r="E651" s="1" t="s">
        <v>4319</v>
      </c>
      <c r="F651" s="1" t="s">
        <v>112</v>
      </c>
      <c r="G651" s="1">
        <v>5062672</v>
      </c>
    </row>
    <row r="652" spans="1:9" x14ac:dyDescent="0.25">
      <c r="A652" s="1" t="str">
        <f t="shared" si="10"/>
        <v>20 Testo + Cromolyn 100</v>
      </c>
      <c r="B65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52" s="1" t="s">
        <v>4320</v>
      </c>
      <c r="D652" s="1" t="s">
        <v>4321</v>
      </c>
      <c r="E652" s="1" t="s">
        <v>4322</v>
      </c>
      <c r="F652" s="1" t="s">
        <v>112</v>
      </c>
      <c r="G652" s="1">
        <v>4437330</v>
      </c>
    </row>
    <row r="653" spans="1:9" x14ac:dyDescent="0.25">
      <c r="A653" s="1" t="str">
        <f t="shared" si="10"/>
        <v/>
      </c>
      <c r="B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3" s="1" t="s">
        <v>112</v>
      </c>
    </row>
    <row r="654" spans="1:9" x14ac:dyDescent="0.25">
      <c r="A654" s="1" t="str">
        <f t="shared" si="10"/>
        <v/>
      </c>
      <c r="B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4" s="1" t="s">
        <v>235</v>
      </c>
      <c r="D654" s="1" t="s">
        <v>112</v>
      </c>
      <c r="E654" s="1" t="s">
        <v>236</v>
      </c>
      <c r="F654" s="1" t="s">
        <v>237</v>
      </c>
      <c r="G654" s="1" t="s">
        <v>238</v>
      </c>
      <c r="H654" s="1" t="s">
        <v>239</v>
      </c>
      <c r="I654" s="1" t="s">
        <v>240</v>
      </c>
    </row>
    <row r="655" spans="1:9" x14ac:dyDescent="0.25">
      <c r="A655" s="1" t="str">
        <f t="shared" si="10"/>
        <v>20 Testo + Cromolyn 100</v>
      </c>
      <c r="B65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55" s="1" t="s">
        <v>4323</v>
      </c>
      <c r="D655" s="1" t="s">
        <v>112</v>
      </c>
      <c r="E655" s="1" t="s">
        <v>4324</v>
      </c>
      <c r="F655" s="1" t="s">
        <v>4325</v>
      </c>
      <c r="G655" s="1" t="s">
        <v>4326</v>
      </c>
      <c r="H655" s="1" t="s">
        <v>4327</v>
      </c>
      <c r="I655" s="1">
        <v>24</v>
      </c>
    </row>
    <row r="656" spans="1:9" x14ac:dyDescent="0.25">
      <c r="A656" s="1" t="str">
        <f t="shared" si="10"/>
        <v/>
      </c>
      <c r="B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6" s="1" t="s">
        <v>112</v>
      </c>
    </row>
    <row r="657" spans="1:7" x14ac:dyDescent="0.25">
      <c r="A657" s="1" t="str">
        <f t="shared" si="10"/>
        <v/>
      </c>
      <c r="B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7" s="1" t="s">
        <v>112</v>
      </c>
    </row>
    <row r="658" spans="1:7" x14ac:dyDescent="0.25">
      <c r="A658" s="1" t="str">
        <f t="shared" si="10"/>
        <v/>
      </c>
      <c r="B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8" s="1" t="s">
        <v>112</v>
      </c>
    </row>
    <row r="659" spans="1:7" x14ac:dyDescent="0.25">
      <c r="A659" s="1" t="str">
        <f t="shared" si="10"/>
        <v/>
      </c>
      <c r="B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59" s="1" t="s">
        <v>112</v>
      </c>
    </row>
    <row r="660" spans="1:7" x14ac:dyDescent="0.25">
      <c r="A660" s="1" t="str">
        <f t="shared" si="10"/>
        <v/>
      </c>
      <c r="B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0" s="1" t="s">
        <v>112</v>
      </c>
    </row>
    <row r="661" spans="1:7" x14ac:dyDescent="0.25">
      <c r="A661" s="1" t="str">
        <f t="shared" si="10"/>
        <v/>
      </c>
      <c r="B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61" s="1" t="s">
        <v>246</v>
      </c>
      <c r="D661" s="1" t="s">
        <v>110</v>
      </c>
      <c r="E661" s="1" t="s">
        <v>111</v>
      </c>
      <c r="F661" s="1" t="s">
        <v>112</v>
      </c>
      <c r="G661" s="1" t="s">
        <v>113</v>
      </c>
    </row>
    <row r="662" spans="1:7" x14ac:dyDescent="0.25">
      <c r="A662" s="1" t="str">
        <f t="shared" si="10"/>
        <v>21 Testo + Cromolyn 1000</v>
      </c>
      <c r="B66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2" s="1" t="s">
        <v>4328</v>
      </c>
    </row>
    <row r="663" spans="1:7" x14ac:dyDescent="0.25">
      <c r="A663" s="1" t="str">
        <f t="shared" si="10"/>
        <v>21 Testo + Cromolyn 1000</v>
      </c>
      <c r="B66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3" s="1" t="s">
        <v>4329</v>
      </c>
      <c r="D663" s="1" t="s">
        <v>4073</v>
      </c>
      <c r="E663" s="1" t="s">
        <v>4330</v>
      </c>
      <c r="F663" s="1" t="s">
        <v>112</v>
      </c>
      <c r="G663" s="1">
        <v>1572710</v>
      </c>
    </row>
    <row r="664" spans="1:7" x14ac:dyDescent="0.25">
      <c r="A664" s="1" t="str">
        <f t="shared" si="10"/>
        <v>21 Testo + Cromolyn 1000</v>
      </c>
      <c r="B66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A</v>
      </c>
      <c r="C664" s="1" t="s">
        <v>4331</v>
      </c>
      <c r="D664" s="1" t="s">
        <v>4332</v>
      </c>
      <c r="E664" s="1" t="s">
        <v>4333</v>
      </c>
      <c r="F664" s="1" t="s">
        <v>112</v>
      </c>
      <c r="G664" s="1">
        <v>1386476</v>
      </c>
    </row>
    <row r="665" spans="1:7" x14ac:dyDescent="0.25">
      <c r="A665" s="1" t="str">
        <f t="shared" si="10"/>
        <v>21 Testo + Cromolyn 1000</v>
      </c>
      <c r="B66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5" s="1" t="s">
        <v>4334</v>
      </c>
      <c r="D665" s="1" t="s">
        <v>4335</v>
      </c>
      <c r="E665" s="1" t="s">
        <v>4336</v>
      </c>
      <c r="F665" s="1" t="s">
        <v>112</v>
      </c>
      <c r="G665" s="1">
        <v>3143992</v>
      </c>
    </row>
    <row r="666" spans="1:7" x14ac:dyDescent="0.25">
      <c r="A666" s="1" t="str">
        <f t="shared" si="10"/>
        <v>21 Testo + Cromolyn 1000</v>
      </c>
      <c r="B66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6" s="1" t="s">
        <v>4337</v>
      </c>
      <c r="D666" s="1" t="s">
        <v>4338</v>
      </c>
      <c r="E666" s="1" t="s">
        <v>4339</v>
      </c>
      <c r="F666" s="1" t="s">
        <v>112</v>
      </c>
      <c r="G666" s="1">
        <v>3145636</v>
      </c>
    </row>
    <row r="667" spans="1:7" x14ac:dyDescent="0.25">
      <c r="A667" s="1" t="str">
        <f t="shared" si="10"/>
        <v>21 Testo + Cromolyn 1000</v>
      </c>
      <c r="B66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B</v>
      </c>
      <c r="C667" s="1" t="s">
        <v>4340</v>
      </c>
      <c r="D667" s="1" t="s">
        <v>4341</v>
      </c>
      <c r="E667" s="1" t="s">
        <v>4342</v>
      </c>
      <c r="F667" s="1" t="s">
        <v>112</v>
      </c>
      <c r="G667" s="1">
        <v>3303166</v>
      </c>
    </row>
    <row r="668" spans="1:7" x14ac:dyDescent="0.25">
      <c r="A668" s="1" t="str">
        <f t="shared" si="10"/>
        <v>21 Testo + Cromolyn 1000</v>
      </c>
      <c r="B66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8" s="1" t="s">
        <v>4343</v>
      </c>
      <c r="D668" s="1" t="s">
        <v>4344</v>
      </c>
      <c r="E668" s="1" t="s">
        <v>4345</v>
      </c>
      <c r="F668" s="1" t="s">
        <v>112</v>
      </c>
      <c r="G668" s="1">
        <v>307318</v>
      </c>
    </row>
    <row r="669" spans="1:7" x14ac:dyDescent="0.25">
      <c r="A669" s="1" t="str">
        <f t="shared" si="10"/>
        <v>21 Testo + Cromolyn 1000</v>
      </c>
      <c r="B66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69" s="1" t="s">
        <v>4346</v>
      </c>
      <c r="D669" s="1" t="s">
        <v>4347</v>
      </c>
      <c r="E669" s="1" t="s">
        <v>4348</v>
      </c>
      <c r="F669" s="1" t="s">
        <v>112</v>
      </c>
      <c r="G669" s="1">
        <v>379561</v>
      </c>
    </row>
    <row r="670" spans="1:7" x14ac:dyDescent="0.25">
      <c r="A670" s="1" t="str">
        <f t="shared" si="10"/>
        <v>21 Testo + Cromolyn 1000</v>
      </c>
      <c r="B67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C</v>
      </c>
      <c r="C670" s="1" t="s">
        <v>4349</v>
      </c>
      <c r="D670" s="1" t="s">
        <v>4350</v>
      </c>
      <c r="E670" s="1" t="s">
        <v>4351</v>
      </c>
      <c r="F670" s="1" t="s">
        <v>112</v>
      </c>
      <c r="G670" s="1">
        <v>332646</v>
      </c>
    </row>
    <row r="671" spans="1:7" x14ac:dyDescent="0.25">
      <c r="A671" s="1" t="str">
        <f t="shared" si="10"/>
        <v>21 Testo + Cromolyn 1000</v>
      </c>
      <c r="B67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1" s="1" t="s">
        <v>4352</v>
      </c>
      <c r="D671" s="1" t="s">
        <v>4353</v>
      </c>
      <c r="E671" s="1" t="s">
        <v>4354</v>
      </c>
      <c r="F671" s="1" t="s">
        <v>112</v>
      </c>
      <c r="G671" s="1">
        <v>1589062</v>
      </c>
    </row>
    <row r="672" spans="1:7" x14ac:dyDescent="0.25">
      <c r="A672" s="1" t="str">
        <f t="shared" si="10"/>
        <v>21 Testo + Cromolyn 1000</v>
      </c>
      <c r="B67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2" s="1" t="s">
        <v>4355</v>
      </c>
      <c r="D672" s="1" t="s">
        <v>264</v>
      </c>
      <c r="E672" s="1" t="s">
        <v>4356</v>
      </c>
      <c r="F672" s="1" t="s">
        <v>112</v>
      </c>
      <c r="G672" s="1">
        <v>1536739</v>
      </c>
    </row>
    <row r="673" spans="1:9" x14ac:dyDescent="0.25">
      <c r="A673" s="1" t="str">
        <f t="shared" si="10"/>
        <v>21 Testo + Cromolyn 1000</v>
      </c>
      <c r="B67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D</v>
      </c>
      <c r="C673" s="1" t="s">
        <v>4357</v>
      </c>
      <c r="D673" s="1" t="s">
        <v>3360</v>
      </c>
      <c r="E673" s="1" t="s">
        <v>4358</v>
      </c>
      <c r="F673" s="1" t="s">
        <v>112</v>
      </c>
      <c r="G673" s="1">
        <v>1645105</v>
      </c>
    </row>
    <row r="674" spans="1:9" x14ac:dyDescent="0.25">
      <c r="A674" s="1" t="str">
        <f t="shared" si="10"/>
        <v>21 Testo + Cromolyn 1000</v>
      </c>
      <c r="B67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4" s="1" t="s">
        <v>4359</v>
      </c>
      <c r="D674" s="1" t="s">
        <v>4360</v>
      </c>
      <c r="E674" s="1" t="s">
        <v>4361</v>
      </c>
      <c r="F674" s="1" t="s">
        <v>112</v>
      </c>
      <c r="G674" s="1">
        <v>2729260</v>
      </c>
    </row>
    <row r="675" spans="1:9" x14ac:dyDescent="0.25">
      <c r="A675" s="1" t="str">
        <f t="shared" si="10"/>
        <v>21 Testo + Cromolyn 1000</v>
      </c>
      <c r="B67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5" s="1" t="s">
        <v>4362</v>
      </c>
      <c r="D675" s="1" t="s">
        <v>4363</v>
      </c>
      <c r="E675" s="1" t="s">
        <v>4364</v>
      </c>
      <c r="F675" s="1" t="s">
        <v>112</v>
      </c>
      <c r="G675" s="1">
        <v>2760450</v>
      </c>
    </row>
    <row r="676" spans="1:9" x14ac:dyDescent="0.25">
      <c r="A676" s="1" t="str">
        <f t="shared" si="10"/>
        <v>21 Testo + Cromolyn 1000</v>
      </c>
      <c r="B676"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E</v>
      </c>
      <c r="C676" s="1" t="s">
        <v>4365</v>
      </c>
      <c r="D676" s="1" t="s">
        <v>4366</v>
      </c>
      <c r="E676" s="1" t="s">
        <v>4367</v>
      </c>
      <c r="F676" s="1" t="s">
        <v>112</v>
      </c>
      <c r="G676" s="1">
        <v>2664089</v>
      </c>
    </row>
    <row r="677" spans="1:9" x14ac:dyDescent="0.25">
      <c r="A677" s="1" t="str">
        <f t="shared" si="10"/>
        <v>21 Testo + Cromolyn 1000</v>
      </c>
      <c r="B677"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7" s="1" t="s">
        <v>4368</v>
      </c>
      <c r="D677" s="1" t="s">
        <v>4369</v>
      </c>
      <c r="E677" s="1" t="s">
        <v>4370</v>
      </c>
      <c r="F677" s="1" t="s">
        <v>112</v>
      </c>
      <c r="G677" s="1">
        <v>597439</v>
      </c>
    </row>
    <row r="678" spans="1:9" x14ac:dyDescent="0.25">
      <c r="A678" s="1" t="str">
        <f t="shared" si="10"/>
        <v>21 Testo + Cromolyn 1000</v>
      </c>
      <c r="B67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8" s="1" t="s">
        <v>4371</v>
      </c>
      <c r="D678" s="1" t="s">
        <v>227</v>
      </c>
      <c r="E678" s="1" t="s">
        <v>4372</v>
      </c>
      <c r="F678" s="1" t="s">
        <v>112</v>
      </c>
      <c r="G678" s="1">
        <v>653526</v>
      </c>
    </row>
    <row r="679" spans="1:9" x14ac:dyDescent="0.25">
      <c r="A679" s="1" t="str">
        <f t="shared" si="10"/>
        <v>21 Testo + Cromolyn 1000</v>
      </c>
      <c r="B679"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F</v>
      </c>
      <c r="C679" s="1" t="s">
        <v>4373</v>
      </c>
      <c r="D679" s="1" t="s">
        <v>731</v>
      </c>
      <c r="E679" s="1" t="s">
        <v>4374</v>
      </c>
      <c r="F679" s="1" t="s">
        <v>112</v>
      </c>
      <c r="G679" s="1">
        <v>516435</v>
      </c>
    </row>
    <row r="680" spans="1:9" x14ac:dyDescent="0.25">
      <c r="A680" s="1" t="str">
        <f t="shared" si="10"/>
        <v>21 Testo + Cromolyn 1000</v>
      </c>
      <c r="B680"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0" s="1" t="s">
        <v>4375</v>
      </c>
      <c r="D680" s="1" t="s">
        <v>4376</v>
      </c>
      <c r="E680" s="1" t="s">
        <v>4377</v>
      </c>
      <c r="F680" s="1" t="s">
        <v>112</v>
      </c>
      <c r="G680" s="1">
        <v>1557569</v>
      </c>
    </row>
    <row r="681" spans="1:9" x14ac:dyDescent="0.25">
      <c r="A681" s="1" t="str">
        <f t="shared" si="10"/>
        <v>21 Testo + Cromolyn 1000</v>
      </c>
      <c r="B681"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1" s="1" t="s">
        <v>4378</v>
      </c>
      <c r="D681" s="1" t="s">
        <v>4379</v>
      </c>
      <c r="E681" s="1" t="s">
        <v>4380</v>
      </c>
      <c r="F681" s="1" t="s">
        <v>112</v>
      </c>
      <c r="G681" s="1">
        <v>1634571</v>
      </c>
    </row>
    <row r="682" spans="1:9" x14ac:dyDescent="0.25">
      <c r="A682" s="1" t="str">
        <f t="shared" si="10"/>
        <v>21 Testo + Cromolyn 1000</v>
      </c>
      <c r="B682"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G</v>
      </c>
      <c r="C682" s="1" t="s">
        <v>4381</v>
      </c>
      <c r="D682" s="1" t="s">
        <v>4382</v>
      </c>
      <c r="E682" s="1" t="s">
        <v>4383</v>
      </c>
      <c r="F682" s="1" t="s">
        <v>112</v>
      </c>
      <c r="G682" s="1">
        <v>1620685</v>
      </c>
    </row>
    <row r="683" spans="1:9" x14ac:dyDescent="0.25">
      <c r="A683" s="1" t="str">
        <f t="shared" si="10"/>
        <v>21 Testo + Cromolyn 1000</v>
      </c>
      <c r="B683"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3" s="1" t="s">
        <v>4384</v>
      </c>
      <c r="D683" s="1" t="s">
        <v>4385</v>
      </c>
      <c r="E683" s="1" t="s">
        <v>4386</v>
      </c>
      <c r="F683" s="1" t="s">
        <v>112</v>
      </c>
      <c r="G683" s="1">
        <v>4468671</v>
      </c>
    </row>
    <row r="684" spans="1:9" x14ac:dyDescent="0.25">
      <c r="A684" s="1" t="str">
        <f t="shared" si="10"/>
        <v>21 Testo + Cromolyn 1000</v>
      </c>
      <c r="B684"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4" s="1" t="s">
        <v>4387</v>
      </c>
      <c r="D684" s="1" t="s">
        <v>4388</v>
      </c>
      <c r="E684" s="1" t="s">
        <v>4389</v>
      </c>
      <c r="F684" s="1" t="s">
        <v>112</v>
      </c>
      <c r="G684" s="1">
        <v>4120819</v>
      </c>
    </row>
    <row r="685" spans="1:9" x14ac:dyDescent="0.25">
      <c r="A685" s="1" t="str">
        <f t="shared" si="10"/>
        <v>21 Testo + Cromolyn 1000</v>
      </c>
      <c r="B685"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H</v>
      </c>
      <c r="C685" s="1" t="s">
        <v>4390</v>
      </c>
      <c r="D685" s="1" t="s">
        <v>1406</v>
      </c>
      <c r="E685" s="1" t="s">
        <v>4391</v>
      </c>
      <c r="F685" s="1" t="s">
        <v>112</v>
      </c>
      <c r="G685" s="1">
        <v>3705915</v>
      </c>
    </row>
    <row r="686" spans="1:9" x14ac:dyDescent="0.25">
      <c r="A686" s="1" t="str">
        <f t="shared" si="10"/>
        <v/>
      </c>
      <c r="B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6" s="1" t="s">
        <v>112</v>
      </c>
    </row>
    <row r="687" spans="1:9" x14ac:dyDescent="0.25">
      <c r="A687" s="1" t="str">
        <f t="shared" si="10"/>
        <v/>
      </c>
      <c r="B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7" s="1" t="s">
        <v>235</v>
      </c>
      <c r="D687" s="1" t="s">
        <v>112</v>
      </c>
      <c r="E687" s="1" t="s">
        <v>236</v>
      </c>
      <c r="F687" s="1" t="s">
        <v>237</v>
      </c>
      <c r="G687" s="1" t="s">
        <v>238</v>
      </c>
      <c r="H687" s="1" t="s">
        <v>239</v>
      </c>
      <c r="I687" s="1" t="s">
        <v>240</v>
      </c>
    </row>
    <row r="688" spans="1:9" x14ac:dyDescent="0.25">
      <c r="A688" s="1" t="str">
        <f t="shared" si="10"/>
        <v>21 Testo + Cromolyn 1000</v>
      </c>
      <c r="B688" s="1" t="str">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 xml:space="preserve"> </v>
      </c>
      <c r="C688" s="1" t="s">
        <v>4392</v>
      </c>
      <c r="D688" s="1" t="s">
        <v>112</v>
      </c>
      <c r="E688" s="1" t="s">
        <v>4393</v>
      </c>
      <c r="F688" s="1" t="s">
        <v>4394</v>
      </c>
      <c r="G688" s="1">
        <v>1932641</v>
      </c>
      <c r="H688" s="1" t="s">
        <v>4395</v>
      </c>
      <c r="I688" s="1">
        <v>24</v>
      </c>
    </row>
    <row r="689" spans="1:4" x14ac:dyDescent="0.25">
      <c r="A689" s="1" t="str">
        <f t="shared" si="10"/>
        <v/>
      </c>
      <c r="B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89" s="1" t="s">
        <v>112</v>
      </c>
    </row>
    <row r="690" spans="1:4" x14ac:dyDescent="0.25">
      <c r="A690" s="1" t="str">
        <f t="shared" si="10"/>
        <v/>
      </c>
      <c r="B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0" s="1" t="s">
        <v>112</v>
      </c>
    </row>
    <row r="691" spans="1:4" x14ac:dyDescent="0.25">
      <c r="A691" s="1" t="str">
        <f t="shared" si="10"/>
        <v/>
      </c>
      <c r="B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1" s="1" t="s">
        <v>112</v>
      </c>
    </row>
    <row r="692" spans="1:4" x14ac:dyDescent="0.25">
      <c r="A692" s="1" t="str">
        <f t="shared" si="10"/>
        <v/>
      </c>
      <c r="B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2" s="1" t="s">
        <v>112</v>
      </c>
    </row>
    <row r="693" spans="1:4" x14ac:dyDescent="0.25">
      <c r="A693" s="1" t="str">
        <f t="shared" si="10"/>
        <v/>
      </c>
      <c r="B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3" s="1" t="s">
        <v>112</v>
      </c>
    </row>
    <row r="694" spans="1:4" x14ac:dyDescent="0.25">
      <c r="A694" s="1" t="str">
        <f t="shared" si="10"/>
        <v/>
      </c>
      <c r="B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C694" s="1" t="s">
        <v>112</v>
      </c>
    </row>
    <row r="695" spans="1:4" x14ac:dyDescent="0.25">
      <c r="A695" s="1" t="str">
        <f t="shared" si="10"/>
        <v/>
      </c>
      <c r="B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D695" s="1" t="s">
        <v>1670</v>
      </c>
    </row>
    <row r="696" spans="1:4" x14ac:dyDescent="0.25">
      <c r="A696" s="1" t="str">
        <f t="shared" si="10"/>
        <v/>
      </c>
      <c r="B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c r="D696" s="1">
        <v>504</v>
      </c>
    </row>
    <row r="697" spans="1:4" x14ac:dyDescent="0.25">
      <c r="A697" s="1" t="str">
        <f t="shared" si="10"/>
        <v/>
      </c>
      <c r="B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8" spans="1:4" x14ac:dyDescent="0.25">
      <c r="A698" s="1" t="str">
        <f t="shared" si="10"/>
        <v/>
      </c>
      <c r="B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699" spans="1:4" x14ac:dyDescent="0.25">
      <c r="A699" s="1" t="str">
        <f t="shared" si="10"/>
        <v/>
      </c>
      <c r="B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0" spans="1:4" x14ac:dyDescent="0.25">
      <c r="A700" s="1" t="str">
        <f t="shared" si="10"/>
        <v/>
      </c>
      <c r="B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1" spans="1:4" x14ac:dyDescent="0.25">
      <c r="A701" s="1" t="str">
        <f t="shared" si="10"/>
        <v/>
      </c>
      <c r="B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2" spans="1:4" x14ac:dyDescent="0.25">
      <c r="A702" s="1" t="str">
        <f t="shared" si="10"/>
        <v/>
      </c>
      <c r="B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3" spans="1:4" x14ac:dyDescent="0.25">
      <c r="A703" s="1" t="str">
        <f t="shared" si="10"/>
        <v/>
      </c>
      <c r="B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4" spans="1:4" x14ac:dyDescent="0.25">
      <c r="A704" s="1" t="str">
        <f t="shared" si="10"/>
        <v/>
      </c>
      <c r="B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5" spans="1:2" x14ac:dyDescent="0.25">
      <c r="A705" s="1" t="str">
        <f t="shared" si="10"/>
        <v/>
      </c>
      <c r="B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6" spans="1:2" x14ac:dyDescent="0.25">
      <c r="A706" s="1" t="str">
        <f t="shared" ref="A706:A769" si="11">IFERROR(LEFT(RIGHT(C706,LEN(C706)-SEARCH("@",C706)),SEARCH("/",RIGHT(C706,LEN(C706)-SEARCH("@",C706)-1))),"")</f>
        <v/>
      </c>
      <c r="B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7" spans="1:2" x14ac:dyDescent="0.25">
      <c r="A707" s="1" t="str">
        <f t="shared" si="11"/>
        <v/>
      </c>
      <c r="B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8" spans="1:2" x14ac:dyDescent="0.25">
      <c r="A708" s="1" t="str">
        <f t="shared" si="11"/>
        <v/>
      </c>
      <c r="B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09" spans="1:2" x14ac:dyDescent="0.25">
      <c r="A709" s="1" t="str">
        <f t="shared" si="11"/>
        <v/>
      </c>
      <c r="B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0" spans="1:2" x14ac:dyDescent="0.25">
      <c r="A710" s="1" t="str">
        <f t="shared" si="11"/>
        <v/>
      </c>
      <c r="B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1" spans="1:2" x14ac:dyDescent="0.25">
      <c r="A711" s="1" t="str">
        <f t="shared" si="11"/>
        <v/>
      </c>
      <c r="B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2" spans="1:2" x14ac:dyDescent="0.25">
      <c r="A712" s="1" t="str">
        <f t="shared" si="11"/>
        <v/>
      </c>
      <c r="B7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3" spans="1:2" x14ac:dyDescent="0.25">
      <c r="A713" s="1" t="str">
        <f t="shared" si="11"/>
        <v/>
      </c>
      <c r="B7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4" spans="1:2" x14ac:dyDescent="0.25">
      <c r="A714" s="1" t="str">
        <f t="shared" si="11"/>
        <v/>
      </c>
      <c r="B7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5" spans="1:2" x14ac:dyDescent="0.25">
      <c r="A715" s="1" t="str">
        <f t="shared" si="11"/>
        <v/>
      </c>
      <c r="B7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6" spans="1:2" x14ac:dyDescent="0.25">
      <c r="A716" s="1" t="str">
        <f t="shared" si="11"/>
        <v/>
      </c>
      <c r="B7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7" spans="1:2" x14ac:dyDescent="0.25">
      <c r="A717" s="1" t="str">
        <f t="shared" si="11"/>
        <v/>
      </c>
      <c r="B7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8" spans="1:2" x14ac:dyDescent="0.25">
      <c r="A718" s="1" t="str">
        <f t="shared" si="11"/>
        <v/>
      </c>
      <c r="B7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19" spans="1:2" x14ac:dyDescent="0.25">
      <c r="A719" s="1" t="str">
        <f t="shared" si="11"/>
        <v/>
      </c>
      <c r="B7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0" spans="1:2" x14ac:dyDescent="0.25">
      <c r="A720" s="1" t="str">
        <f t="shared" si="11"/>
        <v/>
      </c>
      <c r="B7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1" spans="1:2" x14ac:dyDescent="0.25">
      <c r="A721" s="1" t="str">
        <f t="shared" si="11"/>
        <v/>
      </c>
      <c r="B7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2" spans="1:2" x14ac:dyDescent="0.25">
      <c r="A722" s="1" t="str">
        <f t="shared" si="11"/>
        <v/>
      </c>
      <c r="B7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3" spans="1:2" x14ac:dyDescent="0.25">
      <c r="A723" s="1" t="str">
        <f t="shared" si="11"/>
        <v/>
      </c>
      <c r="B7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4" spans="1:2" x14ac:dyDescent="0.25">
      <c r="A724" s="1" t="str">
        <f t="shared" si="11"/>
        <v/>
      </c>
      <c r="B7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5" spans="1:2" x14ac:dyDescent="0.25">
      <c r="A725" s="1" t="str">
        <f t="shared" si="11"/>
        <v/>
      </c>
      <c r="B7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6" spans="1:2" x14ac:dyDescent="0.25">
      <c r="A726" s="1" t="str">
        <f t="shared" si="11"/>
        <v/>
      </c>
      <c r="B7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7" spans="1:2" x14ac:dyDescent="0.25">
      <c r="A727" s="1" t="str">
        <f t="shared" si="11"/>
        <v/>
      </c>
      <c r="B7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8" spans="1:2" x14ac:dyDescent="0.25">
      <c r="A728" s="1" t="str">
        <f t="shared" si="11"/>
        <v/>
      </c>
      <c r="B7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29" spans="1:2" x14ac:dyDescent="0.25">
      <c r="A729" s="1" t="str">
        <f t="shared" si="11"/>
        <v/>
      </c>
      <c r="B7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0" spans="1:2" x14ac:dyDescent="0.25">
      <c r="A730" s="1" t="str">
        <f t="shared" si="11"/>
        <v/>
      </c>
      <c r="B7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1" spans="1:2" x14ac:dyDescent="0.25">
      <c r="A731" s="1" t="str">
        <f t="shared" si="11"/>
        <v/>
      </c>
      <c r="B7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2" spans="1:2" x14ac:dyDescent="0.25">
      <c r="A732" s="1" t="str">
        <f t="shared" si="11"/>
        <v/>
      </c>
      <c r="B7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3" spans="1:2" x14ac:dyDescent="0.25">
      <c r="A733" s="1" t="str">
        <f t="shared" si="11"/>
        <v/>
      </c>
      <c r="B7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4" spans="1:2" x14ac:dyDescent="0.25">
      <c r="A734" s="1" t="str">
        <f t="shared" si="11"/>
        <v/>
      </c>
      <c r="B7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5" spans="1:2" x14ac:dyDescent="0.25">
      <c r="A735" s="1" t="str">
        <f t="shared" si="11"/>
        <v/>
      </c>
      <c r="B7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6" spans="1:2" x14ac:dyDescent="0.25">
      <c r="A736" s="1" t="str">
        <f t="shared" si="11"/>
        <v/>
      </c>
      <c r="B7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7" spans="1:2" x14ac:dyDescent="0.25">
      <c r="A737" s="1" t="str">
        <f t="shared" si="11"/>
        <v/>
      </c>
      <c r="B7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8" spans="1:2" x14ac:dyDescent="0.25">
      <c r="A738" s="1" t="str">
        <f t="shared" si="11"/>
        <v/>
      </c>
      <c r="B7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39" spans="1:2" x14ac:dyDescent="0.25">
      <c r="A739" s="1" t="str">
        <f t="shared" si="11"/>
        <v/>
      </c>
      <c r="B7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0" spans="1:2" x14ac:dyDescent="0.25">
      <c r="A740" s="1" t="str">
        <f t="shared" si="11"/>
        <v/>
      </c>
      <c r="B7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1" spans="1:2" x14ac:dyDescent="0.25">
      <c r="A741" s="1" t="str">
        <f t="shared" si="11"/>
        <v/>
      </c>
      <c r="B7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2" spans="1:2" x14ac:dyDescent="0.25">
      <c r="A742" s="1" t="str">
        <f t="shared" si="11"/>
        <v/>
      </c>
      <c r="B7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3" spans="1:2" x14ac:dyDescent="0.25">
      <c r="A743" s="1" t="str">
        <f t="shared" si="11"/>
        <v/>
      </c>
      <c r="B7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4" spans="1:2" x14ac:dyDescent="0.25">
      <c r="A744" s="1" t="str">
        <f t="shared" si="11"/>
        <v/>
      </c>
      <c r="B7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5" spans="1:2" x14ac:dyDescent="0.25">
      <c r="A745" s="1" t="str">
        <f t="shared" si="11"/>
        <v/>
      </c>
      <c r="B7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6" spans="1:2" x14ac:dyDescent="0.25">
      <c r="A746" s="1" t="str">
        <f t="shared" si="11"/>
        <v/>
      </c>
      <c r="B7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7" spans="1:2" x14ac:dyDescent="0.25">
      <c r="A747" s="1" t="str">
        <f t="shared" si="11"/>
        <v/>
      </c>
      <c r="B7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8" spans="1:2" x14ac:dyDescent="0.25">
      <c r="A748" s="1" t="str">
        <f t="shared" si="11"/>
        <v/>
      </c>
      <c r="B7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49" spans="1:2" x14ac:dyDescent="0.25">
      <c r="A749" s="1" t="str">
        <f t="shared" si="11"/>
        <v/>
      </c>
      <c r="B7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0" spans="1:2" x14ac:dyDescent="0.25">
      <c r="A750" s="1" t="str">
        <f t="shared" si="11"/>
        <v/>
      </c>
      <c r="B7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1" spans="1:2" x14ac:dyDescent="0.25">
      <c r="A751" s="1" t="str">
        <f t="shared" si="11"/>
        <v/>
      </c>
      <c r="B7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2" spans="1:2" x14ac:dyDescent="0.25">
      <c r="A752" s="1" t="str">
        <f t="shared" si="11"/>
        <v/>
      </c>
      <c r="B7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3" spans="1:2" x14ac:dyDescent="0.25">
      <c r="A753" s="1" t="str">
        <f t="shared" si="11"/>
        <v/>
      </c>
      <c r="B7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4" spans="1:2" x14ac:dyDescent="0.25">
      <c r="A754" s="1" t="str">
        <f t="shared" si="11"/>
        <v/>
      </c>
      <c r="B7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5" spans="1:2" x14ac:dyDescent="0.25">
      <c r="A755" s="1" t="str">
        <f t="shared" si="11"/>
        <v/>
      </c>
      <c r="B7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6" spans="1:2" x14ac:dyDescent="0.25">
      <c r="A756" s="1" t="str">
        <f t="shared" si="11"/>
        <v/>
      </c>
      <c r="B7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7" spans="1:2" x14ac:dyDescent="0.25">
      <c r="A757" s="1" t="str">
        <f t="shared" si="11"/>
        <v/>
      </c>
      <c r="B7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8" spans="1:2" x14ac:dyDescent="0.25">
      <c r="A758" s="1" t="str">
        <f t="shared" si="11"/>
        <v/>
      </c>
      <c r="B7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59" spans="1:2" x14ac:dyDescent="0.25">
      <c r="A759" s="1" t="str">
        <f t="shared" si="11"/>
        <v/>
      </c>
      <c r="B7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0" spans="1:2" x14ac:dyDescent="0.25">
      <c r="A760" s="1" t="str">
        <f t="shared" si="11"/>
        <v/>
      </c>
      <c r="B7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1" spans="1:2" x14ac:dyDescent="0.25">
      <c r="A761" s="1" t="str">
        <f t="shared" si="11"/>
        <v/>
      </c>
      <c r="B7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2" spans="1:2" x14ac:dyDescent="0.25">
      <c r="A762" s="1" t="str">
        <f t="shared" si="11"/>
        <v/>
      </c>
      <c r="B7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3" spans="1:2" x14ac:dyDescent="0.25">
      <c r="A763" s="1" t="str">
        <f t="shared" si="11"/>
        <v/>
      </c>
      <c r="B7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4" spans="1:2" x14ac:dyDescent="0.25">
      <c r="A764" s="1" t="str">
        <f t="shared" si="11"/>
        <v/>
      </c>
      <c r="B7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5" spans="1:2" x14ac:dyDescent="0.25">
      <c r="A765" s="1" t="str">
        <f t="shared" si="11"/>
        <v/>
      </c>
      <c r="B7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6" spans="1:2" x14ac:dyDescent="0.25">
      <c r="A766" s="1" t="str">
        <f t="shared" si="11"/>
        <v/>
      </c>
      <c r="B7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7" spans="1:2" x14ac:dyDescent="0.25">
      <c r="A767" s="1" t="str">
        <f t="shared" si="11"/>
        <v/>
      </c>
      <c r="B7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8" spans="1:2" x14ac:dyDescent="0.25">
      <c r="A768" s="1" t="str">
        <f t="shared" si="11"/>
        <v/>
      </c>
      <c r="B7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69" spans="1:2" x14ac:dyDescent="0.25">
      <c r="A769" s="1" t="str">
        <f t="shared" si="11"/>
        <v/>
      </c>
      <c r="B7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0" spans="1:2" x14ac:dyDescent="0.25">
      <c r="A770" s="1" t="str">
        <f t="shared" ref="A770:A833" si="12">IFERROR(LEFT(RIGHT(C770,LEN(C770)-SEARCH("@",C770)),SEARCH("/",RIGHT(C770,LEN(C770)-SEARCH("@",C770)-1))),"")</f>
        <v/>
      </c>
      <c r="B7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1" spans="1:2" x14ac:dyDescent="0.25">
      <c r="A771" s="1" t="str">
        <f t="shared" si="12"/>
        <v/>
      </c>
      <c r="B7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2" spans="1:2" x14ac:dyDescent="0.25">
      <c r="A772" s="1" t="str">
        <f t="shared" si="12"/>
        <v/>
      </c>
      <c r="B7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3" spans="1:2" x14ac:dyDescent="0.25">
      <c r="A773" s="1" t="str">
        <f t="shared" si="12"/>
        <v/>
      </c>
      <c r="B7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4" spans="1:2" x14ac:dyDescent="0.25">
      <c r="A774" s="1" t="str">
        <f t="shared" si="12"/>
        <v/>
      </c>
      <c r="B7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5" spans="1:2" x14ac:dyDescent="0.25">
      <c r="A775" s="1" t="str">
        <f t="shared" si="12"/>
        <v/>
      </c>
      <c r="B7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6" spans="1:2" x14ac:dyDescent="0.25">
      <c r="A776" s="1" t="str">
        <f t="shared" si="12"/>
        <v/>
      </c>
      <c r="B7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7" spans="1:2" x14ac:dyDescent="0.25">
      <c r="A777" s="1" t="str">
        <f t="shared" si="12"/>
        <v/>
      </c>
      <c r="B7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8" spans="1:2" x14ac:dyDescent="0.25">
      <c r="A778" s="1" t="str">
        <f t="shared" si="12"/>
        <v/>
      </c>
      <c r="B7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79" spans="1:2" x14ac:dyDescent="0.25">
      <c r="A779" s="1" t="str">
        <f t="shared" si="12"/>
        <v/>
      </c>
      <c r="B7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0" spans="1:2" x14ac:dyDescent="0.25">
      <c r="A780" s="1" t="str">
        <f t="shared" si="12"/>
        <v/>
      </c>
      <c r="B7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1" spans="1:2" x14ac:dyDescent="0.25">
      <c r="A781" s="1" t="str">
        <f t="shared" si="12"/>
        <v/>
      </c>
      <c r="B7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2" spans="1:2" x14ac:dyDescent="0.25">
      <c r="A782" s="1" t="str">
        <f t="shared" si="12"/>
        <v/>
      </c>
      <c r="B7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3" spans="1:2" x14ac:dyDescent="0.25">
      <c r="A783" s="1" t="str">
        <f t="shared" si="12"/>
        <v/>
      </c>
      <c r="B7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4" spans="1:2" x14ac:dyDescent="0.25">
      <c r="A784" s="1" t="str">
        <f t="shared" si="12"/>
        <v/>
      </c>
      <c r="B7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5" spans="1:2" x14ac:dyDescent="0.25">
      <c r="A785" s="1" t="str">
        <f t="shared" si="12"/>
        <v/>
      </c>
      <c r="B7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6" spans="1:2" x14ac:dyDescent="0.25">
      <c r="A786" s="1" t="str">
        <f t="shared" si="12"/>
        <v/>
      </c>
      <c r="B7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7" spans="1:2" x14ac:dyDescent="0.25">
      <c r="A787" s="1" t="str">
        <f t="shared" si="12"/>
        <v/>
      </c>
      <c r="B7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8" spans="1:2" x14ac:dyDescent="0.25">
      <c r="A788" s="1" t="str">
        <f t="shared" si="12"/>
        <v/>
      </c>
      <c r="B7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89" spans="1:2" x14ac:dyDescent="0.25">
      <c r="A789" s="1" t="str">
        <f t="shared" si="12"/>
        <v/>
      </c>
      <c r="B7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0" spans="1:2" x14ac:dyDescent="0.25">
      <c r="A790" s="1" t="str">
        <f t="shared" si="12"/>
        <v/>
      </c>
      <c r="B7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1" spans="1:2" x14ac:dyDescent="0.25">
      <c r="A791" s="1" t="str">
        <f t="shared" si="12"/>
        <v/>
      </c>
      <c r="B7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2" spans="1:2" x14ac:dyDescent="0.25">
      <c r="A792" s="1" t="str">
        <f t="shared" si="12"/>
        <v/>
      </c>
      <c r="B7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3" spans="1:2" x14ac:dyDescent="0.25">
      <c r="A793" s="1" t="str">
        <f t="shared" si="12"/>
        <v/>
      </c>
      <c r="B7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4" spans="1:2" x14ac:dyDescent="0.25">
      <c r="A794" s="1" t="str">
        <f t="shared" si="12"/>
        <v/>
      </c>
      <c r="B7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5" spans="1:2" x14ac:dyDescent="0.25">
      <c r="A795" s="1" t="str">
        <f t="shared" si="12"/>
        <v/>
      </c>
      <c r="B7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6" spans="1:2" x14ac:dyDescent="0.25">
      <c r="A796" s="1" t="str">
        <f t="shared" si="12"/>
        <v/>
      </c>
      <c r="B7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7" spans="1:2" x14ac:dyDescent="0.25">
      <c r="A797" s="1" t="str">
        <f t="shared" si="12"/>
        <v/>
      </c>
      <c r="B7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8" spans="1:2" x14ac:dyDescent="0.25">
      <c r="A798" s="1" t="str">
        <f t="shared" si="12"/>
        <v/>
      </c>
      <c r="B7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799" spans="1:2" x14ac:dyDescent="0.25">
      <c r="A799" s="1" t="str">
        <f t="shared" si="12"/>
        <v/>
      </c>
      <c r="B7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0" spans="1:2" x14ac:dyDescent="0.25">
      <c r="A800" s="1" t="str">
        <f t="shared" si="12"/>
        <v/>
      </c>
      <c r="B8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1" spans="1:2" x14ac:dyDescent="0.25">
      <c r="A801" s="1" t="str">
        <f t="shared" si="12"/>
        <v/>
      </c>
      <c r="B8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2" spans="1:2" x14ac:dyDescent="0.25">
      <c r="A802" s="1" t="str">
        <f t="shared" si="12"/>
        <v/>
      </c>
      <c r="B8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3" spans="1:2" x14ac:dyDescent="0.25">
      <c r="A803" s="1" t="str">
        <f t="shared" si="12"/>
        <v/>
      </c>
      <c r="B8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4" spans="1:2" x14ac:dyDescent="0.25">
      <c r="A804" s="1" t="str">
        <f t="shared" si="12"/>
        <v/>
      </c>
      <c r="B8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5" spans="1:2" x14ac:dyDescent="0.25">
      <c r="A805" s="1" t="str">
        <f t="shared" si="12"/>
        <v/>
      </c>
      <c r="B8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6" spans="1:2" x14ac:dyDescent="0.25">
      <c r="A806" s="1" t="str">
        <f t="shared" si="12"/>
        <v/>
      </c>
      <c r="B8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7" spans="1:2" x14ac:dyDescent="0.25">
      <c r="A807" s="1" t="str">
        <f t="shared" si="12"/>
        <v/>
      </c>
      <c r="B8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8" spans="1:2" x14ac:dyDescent="0.25">
      <c r="A808" s="1" t="str">
        <f t="shared" si="12"/>
        <v/>
      </c>
      <c r="B8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09" spans="1:2" x14ac:dyDescent="0.25">
      <c r="A809" s="1" t="str">
        <f t="shared" si="12"/>
        <v/>
      </c>
      <c r="B8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0" spans="1:2" x14ac:dyDescent="0.25">
      <c r="A810" s="1" t="str">
        <f t="shared" si="12"/>
        <v/>
      </c>
      <c r="B8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1" spans="1:2" x14ac:dyDescent="0.25">
      <c r="A811" s="1" t="str">
        <f t="shared" si="12"/>
        <v/>
      </c>
      <c r="B8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2" spans="1:2" x14ac:dyDescent="0.25">
      <c r="A812" s="1" t="str">
        <f t="shared" si="12"/>
        <v/>
      </c>
      <c r="B8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3" spans="1:2" x14ac:dyDescent="0.25">
      <c r="A813" s="1" t="str">
        <f t="shared" si="12"/>
        <v/>
      </c>
      <c r="B8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4" spans="1:2" x14ac:dyDescent="0.25">
      <c r="A814" s="1" t="str">
        <f t="shared" si="12"/>
        <v/>
      </c>
      <c r="B8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5" spans="1:2" x14ac:dyDescent="0.25">
      <c r="A815" s="1" t="str">
        <f t="shared" si="12"/>
        <v/>
      </c>
      <c r="B8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6" spans="1:2" x14ac:dyDescent="0.25">
      <c r="A816" s="1" t="str">
        <f t="shared" si="12"/>
        <v/>
      </c>
      <c r="B8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7" spans="1:2" x14ac:dyDescent="0.25">
      <c r="A817" s="1" t="str">
        <f t="shared" si="12"/>
        <v/>
      </c>
      <c r="B8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8" spans="1:2" x14ac:dyDescent="0.25">
      <c r="A818" s="1" t="str">
        <f t="shared" si="12"/>
        <v/>
      </c>
      <c r="B8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19" spans="1:2" x14ac:dyDescent="0.25">
      <c r="A819" s="1" t="str">
        <f t="shared" si="12"/>
        <v/>
      </c>
      <c r="B8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0" spans="1:2" x14ac:dyDescent="0.25">
      <c r="A820" s="1" t="str">
        <f t="shared" si="12"/>
        <v/>
      </c>
      <c r="B8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1" spans="1:2" x14ac:dyDescent="0.25">
      <c r="A821" s="1" t="str">
        <f t="shared" si="12"/>
        <v/>
      </c>
      <c r="B8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2" spans="1:2" x14ac:dyDescent="0.25">
      <c r="A822" s="1" t="str">
        <f t="shared" si="12"/>
        <v/>
      </c>
      <c r="B8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3" spans="1:2" x14ac:dyDescent="0.25">
      <c r="A823" s="1" t="str">
        <f t="shared" si="12"/>
        <v/>
      </c>
      <c r="B8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4" spans="1:2" x14ac:dyDescent="0.25">
      <c r="A824" s="1" t="str">
        <f t="shared" si="12"/>
        <v/>
      </c>
      <c r="B8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5" spans="1:2" x14ac:dyDescent="0.25">
      <c r="A825" s="1" t="str">
        <f t="shared" si="12"/>
        <v/>
      </c>
      <c r="B8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6" spans="1:2" x14ac:dyDescent="0.25">
      <c r="A826" s="1" t="str">
        <f t="shared" si="12"/>
        <v/>
      </c>
      <c r="B8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7" spans="1:2" x14ac:dyDescent="0.25">
      <c r="A827" s="1" t="str">
        <f t="shared" si="12"/>
        <v/>
      </c>
      <c r="B8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8" spans="1:2" x14ac:dyDescent="0.25">
      <c r="A828" s="1" t="str">
        <f t="shared" si="12"/>
        <v/>
      </c>
      <c r="B8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29" spans="1:2" x14ac:dyDescent="0.25">
      <c r="A829" s="1" t="str">
        <f t="shared" si="12"/>
        <v/>
      </c>
      <c r="B8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0" spans="1:2" x14ac:dyDescent="0.25">
      <c r="A830" s="1" t="str">
        <f t="shared" si="12"/>
        <v/>
      </c>
      <c r="B8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1" spans="1:2" x14ac:dyDescent="0.25">
      <c r="A831" s="1" t="str">
        <f t="shared" si="12"/>
        <v/>
      </c>
      <c r="B8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2" spans="1:2" x14ac:dyDescent="0.25">
      <c r="A832" s="1" t="str">
        <f t="shared" si="12"/>
        <v/>
      </c>
      <c r="B8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3" spans="1:2" x14ac:dyDescent="0.25">
      <c r="A833" s="1" t="str">
        <f t="shared" si="12"/>
        <v/>
      </c>
      <c r="B8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4" spans="1:2" x14ac:dyDescent="0.25">
      <c r="A834" s="1" t="str">
        <f t="shared" ref="A834:A897" si="13">IFERROR(LEFT(RIGHT(C834,LEN(C834)-SEARCH("@",C834)),SEARCH("/",RIGHT(C834,LEN(C834)-SEARCH("@",C834)-1))),"")</f>
        <v/>
      </c>
      <c r="B8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5" spans="1:2" x14ac:dyDescent="0.25">
      <c r="A835" s="1" t="str">
        <f t="shared" si="13"/>
        <v/>
      </c>
      <c r="B8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6" spans="1:2" x14ac:dyDescent="0.25">
      <c r="A836" s="1" t="str">
        <f t="shared" si="13"/>
        <v/>
      </c>
      <c r="B8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7" spans="1:2" x14ac:dyDescent="0.25">
      <c r="A837" s="1" t="str">
        <f t="shared" si="13"/>
        <v/>
      </c>
      <c r="B8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8" spans="1:2" x14ac:dyDescent="0.25">
      <c r="A838" s="1" t="str">
        <f t="shared" si="13"/>
        <v/>
      </c>
      <c r="B8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39" spans="1:2" x14ac:dyDescent="0.25">
      <c r="A839" s="1" t="str">
        <f t="shared" si="13"/>
        <v/>
      </c>
      <c r="B8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0" spans="1:2" x14ac:dyDescent="0.25">
      <c r="A840" s="1" t="str">
        <f t="shared" si="13"/>
        <v/>
      </c>
      <c r="B8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1" spans="1:2" x14ac:dyDescent="0.25">
      <c r="A841" s="1" t="str">
        <f t="shared" si="13"/>
        <v/>
      </c>
      <c r="B8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2" spans="1:2" x14ac:dyDescent="0.25">
      <c r="A842" s="1" t="str">
        <f t="shared" si="13"/>
        <v/>
      </c>
      <c r="B8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3" spans="1:2" x14ac:dyDescent="0.25">
      <c r="A843" s="1" t="str">
        <f t="shared" si="13"/>
        <v/>
      </c>
      <c r="B8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4" spans="1:2" x14ac:dyDescent="0.25">
      <c r="A844" s="1" t="str">
        <f t="shared" si="13"/>
        <v/>
      </c>
      <c r="B8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5" spans="1:2" x14ac:dyDescent="0.25">
      <c r="A845" s="1" t="str">
        <f t="shared" si="13"/>
        <v/>
      </c>
      <c r="B8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6" spans="1:2" x14ac:dyDescent="0.25">
      <c r="A846" s="1" t="str">
        <f t="shared" si="13"/>
        <v/>
      </c>
      <c r="B8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7" spans="1:2" x14ac:dyDescent="0.25">
      <c r="A847" s="1" t="str">
        <f t="shared" si="13"/>
        <v/>
      </c>
      <c r="B8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8" spans="1:2" x14ac:dyDescent="0.25">
      <c r="A848" s="1" t="str">
        <f t="shared" si="13"/>
        <v/>
      </c>
      <c r="B8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49" spans="1:2" x14ac:dyDescent="0.25">
      <c r="A849" s="1" t="str">
        <f t="shared" si="13"/>
        <v/>
      </c>
      <c r="B8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0" spans="1:2" x14ac:dyDescent="0.25">
      <c r="A850" s="1" t="str">
        <f t="shared" si="13"/>
        <v/>
      </c>
      <c r="B8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1" spans="1:2" x14ac:dyDescent="0.25">
      <c r="A851" s="1" t="str">
        <f t="shared" si="13"/>
        <v/>
      </c>
      <c r="B8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2" spans="1:2" x14ac:dyDescent="0.25">
      <c r="A852" s="1" t="str">
        <f t="shared" si="13"/>
        <v/>
      </c>
      <c r="B8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3" spans="1:2" x14ac:dyDescent="0.25">
      <c r="A853" s="1" t="str">
        <f t="shared" si="13"/>
        <v/>
      </c>
      <c r="B8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4" spans="1:2" x14ac:dyDescent="0.25">
      <c r="A854" s="1" t="str">
        <f t="shared" si="13"/>
        <v/>
      </c>
      <c r="B8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5" spans="1:2" x14ac:dyDescent="0.25">
      <c r="A855" s="1" t="str">
        <f t="shared" si="13"/>
        <v/>
      </c>
      <c r="B8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6" spans="1:2" x14ac:dyDescent="0.25">
      <c r="A856" s="1" t="str">
        <f t="shared" si="13"/>
        <v/>
      </c>
      <c r="B8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7" spans="1:2" x14ac:dyDescent="0.25">
      <c r="A857" s="1" t="str">
        <f t="shared" si="13"/>
        <v/>
      </c>
      <c r="B8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8" spans="1:2" x14ac:dyDescent="0.25">
      <c r="A858" s="1" t="str">
        <f t="shared" si="13"/>
        <v/>
      </c>
      <c r="B8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59" spans="1:2" x14ac:dyDescent="0.25">
      <c r="A859" s="1" t="str">
        <f t="shared" si="13"/>
        <v/>
      </c>
      <c r="B8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0" spans="1:2" x14ac:dyDescent="0.25">
      <c r="A860" s="1" t="str">
        <f t="shared" si="13"/>
        <v/>
      </c>
      <c r="B8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1" spans="1:2" x14ac:dyDescent="0.25">
      <c r="A861" s="1" t="str">
        <f t="shared" si="13"/>
        <v/>
      </c>
      <c r="B8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2" spans="1:2" x14ac:dyDescent="0.25">
      <c r="A862" s="1" t="str">
        <f t="shared" si="13"/>
        <v/>
      </c>
      <c r="B8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3" spans="1:2" x14ac:dyDescent="0.25">
      <c r="A863" s="1" t="str">
        <f t="shared" si="13"/>
        <v/>
      </c>
      <c r="B8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4" spans="1:2" x14ac:dyDescent="0.25">
      <c r="A864" s="1" t="str">
        <f t="shared" si="13"/>
        <v/>
      </c>
      <c r="B8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5" spans="1:2" x14ac:dyDescent="0.25">
      <c r="A865" s="1" t="str">
        <f t="shared" si="13"/>
        <v/>
      </c>
      <c r="B8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6" spans="1:2" x14ac:dyDescent="0.25">
      <c r="A866" s="1" t="str">
        <f t="shared" si="13"/>
        <v/>
      </c>
      <c r="B8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7" spans="1:2" x14ac:dyDescent="0.25">
      <c r="A867" s="1" t="str">
        <f t="shared" si="13"/>
        <v/>
      </c>
      <c r="B8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8" spans="1:2" x14ac:dyDescent="0.25">
      <c r="A868" s="1" t="str">
        <f t="shared" si="13"/>
        <v/>
      </c>
      <c r="B8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69" spans="1:2" x14ac:dyDescent="0.25">
      <c r="A869" s="1" t="str">
        <f t="shared" si="13"/>
        <v/>
      </c>
      <c r="B8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0" spans="1:2" x14ac:dyDescent="0.25">
      <c r="A870" s="1" t="str">
        <f t="shared" si="13"/>
        <v/>
      </c>
      <c r="B8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1" spans="1:2" x14ac:dyDescent="0.25">
      <c r="A871" s="1" t="str">
        <f t="shared" si="13"/>
        <v/>
      </c>
      <c r="B8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2" spans="1:2" x14ac:dyDescent="0.25">
      <c r="A872" s="1" t="str">
        <f t="shared" si="13"/>
        <v/>
      </c>
      <c r="B8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3" spans="1:2" x14ac:dyDescent="0.25">
      <c r="A873" s="1" t="str">
        <f t="shared" si="13"/>
        <v/>
      </c>
      <c r="B8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4" spans="1:2" x14ac:dyDescent="0.25">
      <c r="A874" s="1" t="str">
        <f t="shared" si="13"/>
        <v/>
      </c>
      <c r="B8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5" spans="1:2" x14ac:dyDescent="0.25">
      <c r="A875" s="1" t="str">
        <f t="shared" si="13"/>
        <v/>
      </c>
      <c r="B8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6" spans="1:2" x14ac:dyDescent="0.25">
      <c r="A876" s="1" t="str">
        <f t="shared" si="13"/>
        <v/>
      </c>
      <c r="B8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7" spans="1:2" x14ac:dyDescent="0.25">
      <c r="A877" s="1" t="str">
        <f t="shared" si="13"/>
        <v/>
      </c>
      <c r="B8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8" spans="1:2" x14ac:dyDescent="0.25">
      <c r="A878" s="1" t="str">
        <f t="shared" si="13"/>
        <v/>
      </c>
      <c r="B8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79" spans="1:2" x14ac:dyDescent="0.25">
      <c r="A879" s="1" t="str">
        <f t="shared" si="13"/>
        <v/>
      </c>
      <c r="B8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0" spans="1:2" x14ac:dyDescent="0.25">
      <c r="A880" s="1" t="str">
        <f t="shared" si="13"/>
        <v/>
      </c>
      <c r="B8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1" spans="1:2" x14ac:dyDescent="0.25">
      <c r="A881" s="1" t="str">
        <f t="shared" si="13"/>
        <v/>
      </c>
      <c r="B8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2" spans="1:2" x14ac:dyDescent="0.25">
      <c r="A882" s="1" t="str">
        <f t="shared" si="13"/>
        <v/>
      </c>
      <c r="B8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3" spans="1:2" x14ac:dyDescent="0.25">
      <c r="A883" s="1" t="str">
        <f t="shared" si="13"/>
        <v/>
      </c>
      <c r="B8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4" spans="1:2" x14ac:dyDescent="0.25">
      <c r="A884" s="1" t="str">
        <f t="shared" si="13"/>
        <v/>
      </c>
      <c r="B8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5" spans="1:2" x14ac:dyDescent="0.25">
      <c r="A885" s="1" t="str">
        <f t="shared" si="13"/>
        <v/>
      </c>
      <c r="B8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6" spans="1:2" x14ac:dyDescent="0.25">
      <c r="A886" s="1" t="str">
        <f t="shared" si="13"/>
        <v/>
      </c>
      <c r="B8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7" spans="1:2" x14ac:dyDescent="0.25">
      <c r="A887" s="1" t="str">
        <f t="shared" si="13"/>
        <v/>
      </c>
      <c r="B8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8" spans="1:2" x14ac:dyDescent="0.25">
      <c r="A888" s="1" t="str">
        <f t="shared" si="13"/>
        <v/>
      </c>
      <c r="B8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89" spans="1:2" x14ac:dyDescent="0.25">
      <c r="A889" s="1" t="str">
        <f t="shared" si="13"/>
        <v/>
      </c>
      <c r="B8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0" spans="1:2" x14ac:dyDescent="0.25">
      <c r="A890" s="1" t="str">
        <f t="shared" si="13"/>
        <v/>
      </c>
      <c r="B8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1" spans="1:2" x14ac:dyDescent="0.25">
      <c r="A891" s="1" t="str">
        <f t="shared" si="13"/>
        <v/>
      </c>
      <c r="B8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2" spans="1:2" x14ac:dyDescent="0.25">
      <c r="A892" s="1" t="str">
        <f t="shared" si="13"/>
        <v/>
      </c>
      <c r="B8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3" spans="1:2" x14ac:dyDescent="0.25">
      <c r="A893" s="1" t="str">
        <f t="shared" si="13"/>
        <v/>
      </c>
      <c r="B8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4" spans="1:2" x14ac:dyDescent="0.25">
      <c r="A894" s="1" t="str">
        <f t="shared" si="13"/>
        <v/>
      </c>
      <c r="B8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5" spans="1:2" x14ac:dyDescent="0.25">
      <c r="A895" s="1" t="str">
        <f t="shared" si="13"/>
        <v/>
      </c>
      <c r="B8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6" spans="1:2" x14ac:dyDescent="0.25">
      <c r="A896" s="1" t="str">
        <f t="shared" si="13"/>
        <v/>
      </c>
      <c r="B8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7" spans="1:2" x14ac:dyDescent="0.25">
      <c r="A897" s="1" t="str">
        <f t="shared" si="13"/>
        <v/>
      </c>
      <c r="B8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8" spans="1:2" x14ac:dyDescent="0.25">
      <c r="A898" s="1" t="str">
        <f t="shared" ref="A898:A961" si="14">IFERROR(LEFT(RIGHT(C898,LEN(C898)-SEARCH("@",C898)),SEARCH("/",RIGHT(C898,LEN(C898)-SEARCH("@",C898)-1))),"")</f>
        <v/>
      </c>
      <c r="B8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899" spans="1:2" x14ac:dyDescent="0.25">
      <c r="A899" s="1" t="str">
        <f t="shared" si="14"/>
        <v/>
      </c>
      <c r="B8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0" spans="1:2" x14ac:dyDescent="0.25">
      <c r="A900" s="1" t="str">
        <f t="shared" si="14"/>
        <v/>
      </c>
      <c r="B9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1" spans="1:2" x14ac:dyDescent="0.25">
      <c r="A901" s="1" t="str">
        <f t="shared" si="14"/>
        <v/>
      </c>
      <c r="B9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2" spans="1:2" x14ac:dyDescent="0.25">
      <c r="A902" s="1" t="str">
        <f t="shared" si="14"/>
        <v/>
      </c>
      <c r="B9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3" spans="1:2" x14ac:dyDescent="0.25">
      <c r="A903" s="1" t="str">
        <f t="shared" si="14"/>
        <v/>
      </c>
      <c r="B9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4" spans="1:2" x14ac:dyDescent="0.25">
      <c r="A904" s="1" t="str">
        <f t="shared" si="14"/>
        <v/>
      </c>
      <c r="B9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5" spans="1:2" x14ac:dyDescent="0.25">
      <c r="A905" s="1" t="str">
        <f t="shared" si="14"/>
        <v/>
      </c>
      <c r="B9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6" spans="1:2" x14ac:dyDescent="0.25">
      <c r="A906" s="1" t="str">
        <f t="shared" si="14"/>
        <v/>
      </c>
      <c r="B9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7" spans="1:2" x14ac:dyDescent="0.25">
      <c r="A907" s="1" t="str">
        <f t="shared" si="14"/>
        <v/>
      </c>
      <c r="B9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8" spans="1:2" x14ac:dyDescent="0.25">
      <c r="A908" s="1" t="str">
        <f t="shared" si="14"/>
        <v/>
      </c>
      <c r="B9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09" spans="1:2" x14ac:dyDescent="0.25">
      <c r="A909" s="1" t="str">
        <f t="shared" si="14"/>
        <v/>
      </c>
      <c r="B9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0" spans="1:2" x14ac:dyDescent="0.25">
      <c r="A910" s="1" t="str">
        <f t="shared" si="14"/>
        <v/>
      </c>
      <c r="B9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1" spans="1:2" x14ac:dyDescent="0.25">
      <c r="A911" s="1" t="str">
        <f t="shared" si="14"/>
        <v/>
      </c>
      <c r="B9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2" spans="1:2" x14ac:dyDescent="0.25">
      <c r="A912" s="1" t="str">
        <f t="shared" si="14"/>
        <v/>
      </c>
      <c r="B9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3" spans="1:2" x14ac:dyDescent="0.25">
      <c r="A913" s="1" t="str">
        <f t="shared" si="14"/>
        <v/>
      </c>
      <c r="B9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4" spans="1:2" x14ac:dyDescent="0.25">
      <c r="A914" s="1" t="str">
        <f t="shared" si="14"/>
        <v/>
      </c>
      <c r="B9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5" spans="1:2" x14ac:dyDescent="0.25">
      <c r="A915" s="1" t="str">
        <f t="shared" si="14"/>
        <v/>
      </c>
      <c r="B9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6" spans="1:2" x14ac:dyDescent="0.25">
      <c r="A916" s="1" t="str">
        <f t="shared" si="14"/>
        <v/>
      </c>
      <c r="B9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7" spans="1:2" x14ac:dyDescent="0.25">
      <c r="A917" s="1" t="str">
        <f t="shared" si="14"/>
        <v/>
      </c>
      <c r="B9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8" spans="1:2" x14ac:dyDescent="0.25">
      <c r="A918" s="1" t="str">
        <f t="shared" si="14"/>
        <v/>
      </c>
      <c r="B9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19" spans="1:2" x14ac:dyDescent="0.25">
      <c r="A919" s="1" t="str">
        <f t="shared" si="14"/>
        <v/>
      </c>
      <c r="B9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0" spans="1:2" x14ac:dyDescent="0.25">
      <c r="A920" s="1" t="str">
        <f t="shared" si="14"/>
        <v/>
      </c>
      <c r="B9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1" spans="1:2" x14ac:dyDescent="0.25">
      <c r="A921" s="1" t="str">
        <f t="shared" si="14"/>
        <v/>
      </c>
      <c r="B9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2" spans="1:2" x14ac:dyDescent="0.25">
      <c r="A922" s="1" t="str">
        <f t="shared" si="14"/>
        <v/>
      </c>
      <c r="B9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3" spans="1:2" x14ac:dyDescent="0.25">
      <c r="A923" s="1" t="str">
        <f t="shared" si="14"/>
        <v/>
      </c>
      <c r="B9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4" spans="1:2" x14ac:dyDescent="0.25">
      <c r="A924" s="1" t="str">
        <f t="shared" si="14"/>
        <v/>
      </c>
      <c r="B9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5" spans="1:2" x14ac:dyDescent="0.25">
      <c r="A925" s="1" t="str">
        <f t="shared" si="14"/>
        <v/>
      </c>
      <c r="B9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6" spans="1:2" x14ac:dyDescent="0.25">
      <c r="A926" s="1" t="str">
        <f t="shared" si="14"/>
        <v/>
      </c>
      <c r="B9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7" spans="1:2" x14ac:dyDescent="0.25">
      <c r="A927" s="1" t="str">
        <f t="shared" si="14"/>
        <v/>
      </c>
      <c r="B9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8" spans="1:2" x14ac:dyDescent="0.25">
      <c r="A928" s="1" t="str">
        <f t="shared" si="14"/>
        <v/>
      </c>
      <c r="B9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29" spans="1:2" x14ac:dyDescent="0.25">
      <c r="A929" s="1" t="str">
        <f t="shared" si="14"/>
        <v/>
      </c>
      <c r="B9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0" spans="1:2" x14ac:dyDescent="0.25">
      <c r="A930" s="1" t="str">
        <f t="shared" si="14"/>
        <v/>
      </c>
      <c r="B9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1" spans="1:2" x14ac:dyDescent="0.25">
      <c r="A931" s="1" t="str">
        <f t="shared" si="14"/>
        <v/>
      </c>
      <c r="B9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2" spans="1:2" x14ac:dyDescent="0.25">
      <c r="A932" s="1" t="str">
        <f t="shared" si="14"/>
        <v/>
      </c>
      <c r="B9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3" spans="1:2" x14ac:dyDescent="0.25">
      <c r="A933" s="1" t="str">
        <f t="shared" si="14"/>
        <v/>
      </c>
      <c r="B9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4" spans="1:2" x14ac:dyDescent="0.25">
      <c r="A934" s="1" t="str">
        <f t="shared" si="14"/>
        <v/>
      </c>
      <c r="B9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5" spans="1:2" x14ac:dyDescent="0.25">
      <c r="A935" s="1" t="str">
        <f t="shared" si="14"/>
        <v/>
      </c>
      <c r="B9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6" spans="1:2" x14ac:dyDescent="0.25">
      <c r="A936" s="1" t="str">
        <f t="shared" si="14"/>
        <v/>
      </c>
      <c r="B9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7" spans="1:2" x14ac:dyDescent="0.25">
      <c r="A937" s="1" t="str">
        <f t="shared" si="14"/>
        <v/>
      </c>
      <c r="B9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8" spans="1:2" x14ac:dyDescent="0.25">
      <c r="A938" s="1" t="str">
        <f t="shared" si="14"/>
        <v/>
      </c>
      <c r="B9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39" spans="1:2" x14ac:dyDescent="0.25">
      <c r="A939" s="1" t="str">
        <f t="shared" si="14"/>
        <v/>
      </c>
      <c r="B9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0" spans="1:2" x14ac:dyDescent="0.25">
      <c r="A940" s="1" t="str">
        <f t="shared" si="14"/>
        <v/>
      </c>
      <c r="B9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1" spans="1:2" x14ac:dyDescent="0.25">
      <c r="A941" s="1" t="str">
        <f t="shared" si="14"/>
        <v/>
      </c>
      <c r="B9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2" spans="1:2" x14ac:dyDescent="0.25">
      <c r="A942" s="1" t="str">
        <f t="shared" si="14"/>
        <v/>
      </c>
      <c r="B9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3" spans="1:2" x14ac:dyDescent="0.25">
      <c r="A943" s="1" t="str">
        <f t="shared" si="14"/>
        <v/>
      </c>
      <c r="B9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4" spans="1:2" x14ac:dyDescent="0.25">
      <c r="A944" s="1" t="str">
        <f t="shared" si="14"/>
        <v/>
      </c>
      <c r="B9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5" spans="1:2" x14ac:dyDescent="0.25">
      <c r="A945" s="1" t="str">
        <f t="shared" si="14"/>
        <v/>
      </c>
      <c r="B9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6" spans="1:2" x14ac:dyDescent="0.25">
      <c r="A946" s="1" t="str">
        <f t="shared" si="14"/>
        <v/>
      </c>
      <c r="B9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7" spans="1:2" x14ac:dyDescent="0.25">
      <c r="A947" s="1" t="str">
        <f t="shared" si="14"/>
        <v/>
      </c>
      <c r="B9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8" spans="1:2" x14ac:dyDescent="0.25">
      <c r="A948" s="1" t="str">
        <f t="shared" si="14"/>
        <v/>
      </c>
      <c r="B9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49" spans="1:2" x14ac:dyDescent="0.25">
      <c r="A949" s="1" t="str">
        <f t="shared" si="14"/>
        <v/>
      </c>
      <c r="B9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0" spans="1:2" x14ac:dyDescent="0.25">
      <c r="A950" s="1" t="str">
        <f t="shared" si="14"/>
        <v/>
      </c>
      <c r="B9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1" spans="1:2" x14ac:dyDescent="0.25">
      <c r="A951" s="1" t="str">
        <f t="shared" si="14"/>
        <v/>
      </c>
      <c r="B9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2" spans="1:2" x14ac:dyDescent="0.25">
      <c r="A952" s="1" t="str">
        <f t="shared" si="14"/>
        <v/>
      </c>
      <c r="B9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3" spans="1:2" x14ac:dyDescent="0.25">
      <c r="A953" s="1" t="str">
        <f t="shared" si="14"/>
        <v/>
      </c>
      <c r="B9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4" spans="1:2" x14ac:dyDescent="0.25">
      <c r="A954" s="1" t="str">
        <f t="shared" si="14"/>
        <v/>
      </c>
      <c r="B9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5" spans="1:2" x14ac:dyDescent="0.25">
      <c r="A955" s="1" t="str">
        <f t="shared" si="14"/>
        <v/>
      </c>
      <c r="B9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6" spans="1:2" x14ac:dyDescent="0.25">
      <c r="A956" s="1" t="str">
        <f t="shared" si="14"/>
        <v/>
      </c>
      <c r="B9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7" spans="1:2" x14ac:dyDescent="0.25">
      <c r="A957" s="1" t="str">
        <f t="shared" si="14"/>
        <v/>
      </c>
      <c r="B9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8" spans="1:2" x14ac:dyDescent="0.25">
      <c r="A958" s="1" t="str">
        <f t="shared" si="14"/>
        <v/>
      </c>
      <c r="B9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59" spans="1:2" x14ac:dyDescent="0.25">
      <c r="A959" s="1" t="str">
        <f t="shared" si="14"/>
        <v/>
      </c>
      <c r="B9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0" spans="1:2" x14ac:dyDescent="0.25">
      <c r="A960" s="1" t="str">
        <f t="shared" si="14"/>
        <v/>
      </c>
      <c r="B9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1" spans="1:2" x14ac:dyDescent="0.25">
      <c r="A961" s="1" t="str">
        <f t="shared" si="14"/>
        <v/>
      </c>
      <c r="B9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2" spans="1:2" x14ac:dyDescent="0.25">
      <c r="A962" s="1" t="str">
        <f t="shared" ref="A962:A1010" si="15">IFERROR(LEFT(RIGHT(C962,LEN(C962)-SEARCH("@",C962)),SEARCH("/",RIGHT(C962,LEN(C962)-SEARCH("@",C962)-1))),"")</f>
        <v/>
      </c>
      <c r="B9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3" spans="1:2" x14ac:dyDescent="0.25">
      <c r="A963" s="1" t="str">
        <f t="shared" si="15"/>
        <v/>
      </c>
      <c r="B9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4" spans="1:2" x14ac:dyDescent="0.25">
      <c r="A964" s="1" t="str">
        <f t="shared" si="15"/>
        <v/>
      </c>
      <c r="B9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5" spans="1:2" x14ac:dyDescent="0.25">
      <c r="A965" s="1" t="str">
        <f t="shared" si="15"/>
        <v/>
      </c>
      <c r="B9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6" spans="1:2" x14ac:dyDescent="0.25">
      <c r="A966" s="1" t="str">
        <f t="shared" si="15"/>
        <v/>
      </c>
      <c r="B9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7" spans="1:2" x14ac:dyDescent="0.25">
      <c r="A967" s="1" t="str">
        <f t="shared" si="15"/>
        <v/>
      </c>
      <c r="B9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8" spans="1:2" x14ac:dyDescent="0.25">
      <c r="A968" s="1" t="str">
        <f t="shared" si="15"/>
        <v/>
      </c>
      <c r="B9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69" spans="1:2" x14ac:dyDescent="0.25">
      <c r="A969" s="1" t="str">
        <f t="shared" si="15"/>
        <v/>
      </c>
      <c r="B9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0" spans="1:2" x14ac:dyDescent="0.25">
      <c r="A970" s="1" t="str">
        <f t="shared" si="15"/>
        <v/>
      </c>
      <c r="B9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1" spans="1:2" x14ac:dyDescent="0.25">
      <c r="A971" s="1" t="str">
        <f t="shared" si="15"/>
        <v/>
      </c>
      <c r="B9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2" spans="1:2" x14ac:dyDescent="0.25">
      <c r="A972" s="1" t="str">
        <f t="shared" si="15"/>
        <v/>
      </c>
      <c r="B9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3" spans="1:2" x14ac:dyDescent="0.25">
      <c r="A973" s="1" t="str">
        <f t="shared" si="15"/>
        <v/>
      </c>
      <c r="B9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4" spans="1:2" x14ac:dyDescent="0.25">
      <c r="A974" s="1" t="str">
        <f t="shared" si="15"/>
        <v/>
      </c>
      <c r="B9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5" spans="1:2" x14ac:dyDescent="0.25">
      <c r="A975" s="1" t="str">
        <f t="shared" si="15"/>
        <v/>
      </c>
      <c r="B9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6" spans="1:2" x14ac:dyDescent="0.25">
      <c r="A976" s="1" t="str">
        <f t="shared" si="15"/>
        <v/>
      </c>
      <c r="B9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7" spans="1:2" x14ac:dyDescent="0.25">
      <c r="A977" s="1" t="str">
        <f t="shared" si="15"/>
        <v/>
      </c>
      <c r="B9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8" spans="1:2" x14ac:dyDescent="0.25">
      <c r="A978" s="1" t="str">
        <f t="shared" si="15"/>
        <v/>
      </c>
      <c r="B9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79" spans="1:2" x14ac:dyDescent="0.25">
      <c r="A979" s="1" t="str">
        <f t="shared" si="15"/>
        <v/>
      </c>
      <c r="B9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0" spans="1:2" x14ac:dyDescent="0.25">
      <c r="A980" s="1" t="str">
        <f t="shared" si="15"/>
        <v/>
      </c>
      <c r="B9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1" spans="1:2" x14ac:dyDescent="0.25">
      <c r="A981" s="1" t="str">
        <f t="shared" si="15"/>
        <v/>
      </c>
      <c r="B9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2" spans="1:2" x14ac:dyDescent="0.25">
      <c r="A982" s="1" t="str">
        <f t="shared" si="15"/>
        <v/>
      </c>
      <c r="B9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3" spans="1:2" x14ac:dyDescent="0.25">
      <c r="A983" s="1" t="str">
        <f t="shared" si="15"/>
        <v/>
      </c>
      <c r="B9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4" spans="1:2" x14ac:dyDescent="0.25">
      <c r="A984" s="1" t="str">
        <f t="shared" si="15"/>
        <v/>
      </c>
      <c r="B9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5" spans="1:2" x14ac:dyDescent="0.25">
      <c r="A985" s="1" t="str">
        <f t="shared" si="15"/>
        <v/>
      </c>
      <c r="B9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6" spans="1:2" x14ac:dyDescent="0.25">
      <c r="A986" s="1" t="str">
        <f t="shared" si="15"/>
        <v/>
      </c>
      <c r="B9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7" spans="1:2" x14ac:dyDescent="0.25">
      <c r="A987" s="1" t="str">
        <f t="shared" si="15"/>
        <v/>
      </c>
      <c r="B9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8" spans="1:2" x14ac:dyDescent="0.25">
      <c r="A988" s="1" t="str">
        <f t="shared" si="15"/>
        <v/>
      </c>
      <c r="B9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89" spans="1:2" x14ac:dyDescent="0.25">
      <c r="A989" s="1" t="str">
        <f t="shared" si="15"/>
        <v/>
      </c>
      <c r="B9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0" spans="1:2" x14ac:dyDescent="0.25">
      <c r="A990" s="1" t="str">
        <f t="shared" si="15"/>
        <v/>
      </c>
      <c r="B9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1" spans="1:2" x14ac:dyDescent="0.25">
      <c r="A991" s="1" t="str">
        <f t="shared" si="15"/>
        <v/>
      </c>
      <c r="B9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2" spans="1:2" x14ac:dyDescent="0.25">
      <c r="A992" s="1" t="str">
        <f t="shared" si="15"/>
        <v/>
      </c>
      <c r="B9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3" spans="1:2" x14ac:dyDescent="0.25">
      <c r="A993" s="1" t="str">
        <f t="shared" si="15"/>
        <v/>
      </c>
      <c r="B9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4" spans="1:2" x14ac:dyDescent="0.25">
      <c r="A994" s="1" t="str">
        <f t="shared" si="15"/>
        <v/>
      </c>
      <c r="B9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5" spans="1:2" x14ac:dyDescent="0.25">
      <c r="A995" s="1" t="str">
        <f t="shared" si="15"/>
        <v/>
      </c>
      <c r="B9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6" spans="1:2" x14ac:dyDescent="0.25">
      <c r="A996" s="1" t="str">
        <f t="shared" si="15"/>
        <v/>
      </c>
      <c r="B9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7" spans="1:2" x14ac:dyDescent="0.25">
      <c r="A997" s="1" t="str">
        <f t="shared" si="15"/>
        <v/>
      </c>
      <c r="B9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8" spans="1:2" x14ac:dyDescent="0.25">
      <c r="A998" s="1" t="str">
        <f t="shared" si="15"/>
        <v/>
      </c>
      <c r="B9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999" spans="1:2" x14ac:dyDescent="0.25">
      <c r="A999" s="1" t="str">
        <f t="shared" si="15"/>
        <v/>
      </c>
      <c r="B9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0" spans="1:2" x14ac:dyDescent="0.25">
      <c r="A1000" s="1" t="str">
        <f t="shared" si="15"/>
        <v/>
      </c>
      <c r="B10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1" spans="1:2" x14ac:dyDescent="0.25">
      <c r="A1001" s="1" t="str">
        <f t="shared" si="15"/>
        <v/>
      </c>
      <c r="B10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2" spans="1:2" x14ac:dyDescent="0.25">
      <c r="A1002" s="1" t="str">
        <f t="shared" si="15"/>
        <v/>
      </c>
      <c r="B10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3" spans="1:2" x14ac:dyDescent="0.25">
      <c r="A1003" s="1" t="str">
        <f t="shared" si="15"/>
        <v/>
      </c>
      <c r="B10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4" spans="1:2" x14ac:dyDescent="0.25">
      <c r="A1004" s="1" t="str">
        <f t="shared" si="15"/>
        <v/>
      </c>
      <c r="B10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5" spans="1:2" x14ac:dyDescent="0.25">
      <c r="A1005" s="1" t="str">
        <f t="shared" si="15"/>
        <v/>
      </c>
      <c r="B10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6" spans="1:2" x14ac:dyDescent="0.25">
      <c r="A1006" s="1" t="str">
        <f t="shared" si="15"/>
        <v/>
      </c>
      <c r="B10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7" spans="1:2" x14ac:dyDescent="0.25">
      <c r="A1007" s="1" t="str">
        <f t="shared" si="15"/>
        <v/>
      </c>
      <c r="B10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8" spans="1:2" x14ac:dyDescent="0.25">
      <c r="A1008" s="1" t="str">
        <f t="shared" si="15"/>
        <v/>
      </c>
      <c r="B10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09" spans="1:2" x14ac:dyDescent="0.25">
      <c r="A1009" s="1" t="str">
        <f t="shared" si="15"/>
        <v/>
      </c>
      <c r="B10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0" spans="1:2" x14ac:dyDescent="0.25">
      <c r="A1010" s="1" t="str">
        <f t="shared" si="15"/>
        <v/>
      </c>
      <c r="B10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1" spans="1:2" x14ac:dyDescent="0.25">
      <c r="A1011" s="1" t="str">
        <f t="shared" ref="A1011:A1074" si="16">IFERROR(LEFT(RIGHT(C1011,LEN(C1011)-SEARCH("@",C1011)),SEARCH("/",RIGHT(C1011,LEN(C1011)-SEARCH("@",C1011)-1))),"")</f>
        <v/>
      </c>
      <c r="B10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2" spans="1:2" x14ac:dyDescent="0.25">
      <c r="A1012" s="1" t="str">
        <f t="shared" si="16"/>
        <v/>
      </c>
      <c r="B10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3" spans="1:2" x14ac:dyDescent="0.25">
      <c r="A1013" s="1" t="str">
        <f t="shared" si="16"/>
        <v/>
      </c>
      <c r="B10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4" spans="1:2" x14ac:dyDescent="0.25">
      <c r="A1014" s="1" t="str">
        <f t="shared" si="16"/>
        <v/>
      </c>
      <c r="B10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5" spans="1:2" x14ac:dyDescent="0.25">
      <c r="A1015" s="1" t="str">
        <f t="shared" si="16"/>
        <v/>
      </c>
      <c r="B10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6" spans="1:2" x14ac:dyDescent="0.25">
      <c r="A1016" s="1" t="str">
        <f t="shared" si="16"/>
        <v/>
      </c>
      <c r="B10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7" spans="1:2" x14ac:dyDescent="0.25">
      <c r="A1017" s="1" t="str">
        <f t="shared" si="16"/>
        <v/>
      </c>
      <c r="B10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8" spans="1:2" x14ac:dyDescent="0.25">
      <c r="A1018" s="1" t="str">
        <f t="shared" si="16"/>
        <v/>
      </c>
      <c r="B10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19" spans="1:2" x14ac:dyDescent="0.25">
      <c r="A1019" s="1" t="str">
        <f t="shared" si="16"/>
        <v/>
      </c>
      <c r="B10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0" spans="1:2" x14ac:dyDescent="0.25">
      <c r="A1020" s="1" t="str">
        <f t="shared" si="16"/>
        <v/>
      </c>
      <c r="B10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1" spans="1:2" x14ac:dyDescent="0.25">
      <c r="A1021" s="1" t="str">
        <f t="shared" si="16"/>
        <v/>
      </c>
      <c r="B10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2" spans="1:2" x14ac:dyDescent="0.25">
      <c r="A1022" s="1" t="str">
        <f t="shared" si="16"/>
        <v/>
      </c>
      <c r="B10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3" spans="1:2" x14ac:dyDescent="0.25">
      <c r="A1023" s="1" t="str">
        <f t="shared" si="16"/>
        <v/>
      </c>
      <c r="B10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4" spans="1:2" x14ac:dyDescent="0.25">
      <c r="A1024" s="1" t="str">
        <f t="shared" si="16"/>
        <v/>
      </c>
      <c r="B10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5" spans="1:2" x14ac:dyDescent="0.25">
      <c r="A1025" s="1" t="str">
        <f t="shared" si="16"/>
        <v/>
      </c>
      <c r="B10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6" spans="1:2" x14ac:dyDescent="0.25">
      <c r="A1026" s="1" t="str">
        <f t="shared" si="16"/>
        <v/>
      </c>
      <c r="B10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7" spans="1:2" x14ac:dyDescent="0.25">
      <c r="A1027" s="1" t="str">
        <f t="shared" si="16"/>
        <v/>
      </c>
      <c r="B10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8" spans="1:2" x14ac:dyDescent="0.25">
      <c r="A1028" s="1" t="str">
        <f t="shared" si="16"/>
        <v/>
      </c>
      <c r="B10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29" spans="1:2" x14ac:dyDescent="0.25">
      <c r="A1029" s="1" t="str">
        <f t="shared" si="16"/>
        <v/>
      </c>
      <c r="B10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0" spans="1:2" x14ac:dyDescent="0.25">
      <c r="A1030" s="1" t="str">
        <f t="shared" si="16"/>
        <v/>
      </c>
      <c r="B10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1" spans="1:2" x14ac:dyDescent="0.25">
      <c r="A1031" s="1" t="str">
        <f t="shared" si="16"/>
        <v/>
      </c>
      <c r="B10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2" spans="1:2" x14ac:dyDescent="0.25">
      <c r="A1032" s="1" t="str">
        <f t="shared" si="16"/>
        <v/>
      </c>
      <c r="B10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3" spans="1:2" x14ac:dyDescent="0.25">
      <c r="A1033" s="1" t="str">
        <f t="shared" si="16"/>
        <v/>
      </c>
      <c r="B10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4" spans="1:2" x14ac:dyDescent="0.25">
      <c r="A1034" s="1" t="str">
        <f t="shared" si="16"/>
        <v/>
      </c>
      <c r="B10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5" spans="1:2" x14ac:dyDescent="0.25">
      <c r="A1035" s="1" t="str">
        <f t="shared" si="16"/>
        <v/>
      </c>
      <c r="B10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6" spans="1:2" x14ac:dyDescent="0.25">
      <c r="A1036" s="1" t="str">
        <f t="shared" si="16"/>
        <v/>
      </c>
      <c r="B10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7" spans="1:2" x14ac:dyDescent="0.25">
      <c r="A1037" s="1" t="str">
        <f t="shared" si="16"/>
        <v/>
      </c>
      <c r="B10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8" spans="1:2" x14ac:dyDescent="0.25">
      <c r="A1038" s="1" t="str">
        <f t="shared" si="16"/>
        <v/>
      </c>
      <c r="B10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39" spans="1:2" x14ac:dyDescent="0.25">
      <c r="A1039" s="1" t="str">
        <f t="shared" si="16"/>
        <v/>
      </c>
      <c r="B10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0" spans="1:2" x14ac:dyDescent="0.25">
      <c r="A1040" s="1" t="str">
        <f t="shared" si="16"/>
        <v/>
      </c>
      <c r="B10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1" spans="1:2" x14ac:dyDescent="0.25">
      <c r="A1041" s="1" t="str">
        <f t="shared" si="16"/>
        <v/>
      </c>
      <c r="B10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2" spans="1:2" x14ac:dyDescent="0.25">
      <c r="A1042" s="1" t="str">
        <f t="shared" si="16"/>
        <v/>
      </c>
      <c r="B10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3" spans="1:2" x14ac:dyDescent="0.25">
      <c r="A1043" s="1" t="str">
        <f t="shared" si="16"/>
        <v/>
      </c>
      <c r="B10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4" spans="1:2" x14ac:dyDescent="0.25">
      <c r="A1044" s="1" t="str">
        <f t="shared" si="16"/>
        <v/>
      </c>
      <c r="B10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5" spans="1:2" x14ac:dyDescent="0.25">
      <c r="A1045" s="1" t="str">
        <f t="shared" si="16"/>
        <v/>
      </c>
      <c r="B10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6" spans="1:2" x14ac:dyDescent="0.25">
      <c r="A1046" s="1" t="str">
        <f t="shared" si="16"/>
        <v/>
      </c>
      <c r="B10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7" spans="1:2" x14ac:dyDescent="0.25">
      <c r="A1047" s="1" t="str">
        <f t="shared" si="16"/>
        <v/>
      </c>
      <c r="B10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8" spans="1:2" x14ac:dyDescent="0.25">
      <c r="A1048" s="1" t="str">
        <f t="shared" si="16"/>
        <v/>
      </c>
      <c r="B10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49" spans="1:2" x14ac:dyDescent="0.25">
      <c r="A1049" s="1" t="str">
        <f t="shared" si="16"/>
        <v/>
      </c>
      <c r="B10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0" spans="1:2" x14ac:dyDescent="0.25">
      <c r="A1050" s="1" t="str">
        <f t="shared" si="16"/>
        <v/>
      </c>
      <c r="B10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1" spans="1:2" x14ac:dyDescent="0.25">
      <c r="A1051" s="1" t="str">
        <f t="shared" si="16"/>
        <v/>
      </c>
      <c r="B10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2" spans="1:2" x14ac:dyDescent="0.25">
      <c r="A1052" s="1" t="str">
        <f t="shared" si="16"/>
        <v/>
      </c>
      <c r="B10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3" spans="1:2" x14ac:dyDescent="0.25">
      <c r="A1053" s="1" t="str">
        <f t="shared" si="16"/>
        <v/>
      </c>
      <c r="B10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4" spans="1:2" x14ac:dyDescent="0.25">
      <c r="A1054" s="1" t="str">
        <f t="shared" si="16"/>
        <v/>
      </c>
      <c r="B10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5" spans="1:2" x14ac:dyDescent="0.25">
      <c r="A1055" s="1" t="str">
        <f t="shared" si="16"/>
        <v/>
      </c>
      <c r="B10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6" spans="1:2" x14ac:dyDescent="0.25">
      <c r="A1056" s="1" t="str">
        <f t="shared" si="16"/>
        <v/>
      </c>
      <c r="B10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7" spans="1:2" x14ac:dyDescent="0.25">
      <c r="A1057" s="1" t="str">
        <f t="shared" si="16"/>
        <v/>
      </c>
      <c r="B10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8" spans="1:2" x14ac:dyDescent="0.25">
      <c r="A1058" s="1" t="str">
        <f t="shared" si="16"/>
        <v/>
      </c>
      <c r="B10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59" spans="1:2" x14ac:dyDescent="0.25">
      <c r="A1059" s="1" t="str">
        <f t="shared" si="16"/>
        <v/>
      </c>
      <c r="B10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0" spans="1:2" x14ac:dyDescent="0.25">
      <c r="A1060" s="1" t="str">
        <f t="shared" si="16"/>
        <v/>
      </c>
      <c r="B10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1" spans="1:2" x14ac:dyDescent="0.25">
      <c r="A1061" s="1" t="str">
        <f t="shared" si="16"/>
        <v/>
      </c>
      <c r="B10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2" spans="1:2" x14ac:dyDescent="0.25">
      <c r="A1062" s="1" t="str">
        <f t="shared" si="16"/>
        <v/>
      </c>
      <c r="B10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3" spans="1:2" x14ac:dyDescent="0.25">
      <c r="A1063" s="1" t="str">
        <f t="shared" si="16"/>
        <v/>
      </c>
      <c r="B10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4" spans="1:2" x14ac:dyDescent="0.25">
      <c r="A1064" s="1" t="str">
        <f t="shared" si="16"/>
        <v/>
      </c>
      <c r="B10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5" spans="1:2" x14ac:dyDescent="0.25">
      <c r="A1065" s="1" t="str">
        <f t="shared" si="16"/>
        <v/>
      </c>
      <c r="B10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6" spans="1:2" x14ac:dyDescent="0.25">
      <c r="A1066" s="1" t="str">
        <f t="shared" si="16"/>
        <v/>
      </c>
      <c r="B10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7" spans="1:2" x14ac:dyDescent="0.25">
      <c r="A1067" s="1" t="str">
        <f t="shared" si="16"/>
        <v/>
      </c>
      <c r="B10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8" spans="1:2" x14ac:dyDescent="0.25">
      <c r="A1068" s="1" t="str">
        <f t="shared" si="16"/>
        <v/>
      </c>
      <c r="B10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69" spans="1:2" x14ac:dyDescent="0.25">
      <c r="A1069" s="1" t="str">
        <f t="shared" si="16"/>
        <v/>
      </c>
      <c r="B10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0" spans="1:2" x14ac:dyDescent="0.25">
      <c r="A1070" s="1" t="str">
        <f t="shared" si="16"/>
        <v/>
      </c>
      <c r="B10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1" spans="1:2" x14ac:dyDescent="0.25">
      <c r="A1071" s="1" t="str">
        <f t="shared" si="16"/>
        <v/>
      </c>
      <c r="B10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2" spans="1:2" x14ac:dyDescent="0.25">
      <c r="A1072" s="1" t="str">
        <f t="shared" si="16"/>
        <v/>
      </c>
      <c r="B10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3" spans="1:2" x14ac:dyDescent="0.25">
      <c r="A1073" s="1" t="str">
        <f t="shared" si="16"/>
        <v/>
      </c>
      <c r="B10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4" spans="1:2" x14ac:dyDescent="0.25">
      <c r="A1074" s="1" t="str">
        <f t="shared" si="16"/>
        <v/>
      </c>
      <c r="B10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5" spans="1:2" x14ac:dyDescent="0.25">
      <c r="A1075" s="1" t="str">
        <f t="shared" ref="A1075:A1138" si="17">IFERROR(LEFT(RIGHT(C1075,LEN(C1075)-SEARCH("@",C1075)),SEARCH("/",RIGHT(C1075,LEN(C1075)-SEARCH("@",C1075)-1))),"")</f>
        <v/>
      </c>
      <c r="B10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6" spans="1:2" x14ac:dyDescent="0.25">
      <c r="A1076" s="1" t="str">
        <f t="shared" si="17"/>
        <v/>
      </c>
      <c r="B10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7" spans="1:2" x14ac:dyDescent="0.25">
      <c r="A1077" s="1" t="str">
        <f t="shared" si="17"/>
        <v/>
      </c>
      <c r="B10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8" spans="1:2" x14ac:dyDescent="0.25">
      <c r="A1078" s="1" t="str">
        <f t="shared" si="17"/>
        <v/>
      </c>
      <c r="B10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79" spans="1:2" x14ac:dyDescent="0.25">
      <c r="A1079" s="1" t="str">
        <f t="shared" si="17"/>
        <v/>
      </c>
      <c r="B10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0" spans="1:2" x14ac:dyDescent="0.25">
      <c r="A1080" s="1" t="str">
        <f t="shared" si="17"/>
        <v/>
      </c>
      <c r="B10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1" spans="1:2" x14ac:dyDescent="0.25">
      <c r="A1081" s="1" t="str">
        <f t="shared" si="17"/>
        <v/>
      </c>
      <c r="B10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2" spans="1:2" x14ac:dyDescent="0.25">
      <c r="A1082" s="1" t="str">
        <f t="shared" si="17"/>
        <v/>
      </c>
      <c r="B10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3" spans="1:2" x14ac:dyDescent="0.25">
      <c r="A1083" s="1" t="str">
        <f t="shared" si="17"/>
        <v/>
      </c>
      <c r="B10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4" spans="1:2" x14ac:dyDescent="0.25">
      <c r="A1084" s="1" t="str">
        <f t="shared" si="17"/>
        <v/>
      </c>
      <c r="B10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5" spans="1:2" x14ac:dyDescent="0.25">
      <c r="A1085" s="1" t="str">
        <f t="shared" si="17"/>
        <v/>
      </c>
      <c r="B10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6" spans="1:2" x14ac:dyDescent="0.25">
      <c r="A1086" s="1" t="str">
        <f t="shared" si="17"/>
        <v/>
      </c>
      <c r="B10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7" spans="1:2" x14ac:dyDescent="0.25">
      <c r="A1087" s="1" t="str">
        <f t="shared" si="17"/>
        <v/>
      </c>
      <c r="B10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8" spans="1:2" x14ac:dyDescent="0.25">
      <c r="A1088" s="1" t="str">
        <f t="shared" si="17"/>
        <v/>
      </c>
      <c r="B10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89" spans="1:2" x14ac:dyDescent="0.25">
      <c r="A1089" s="1" t="str">
        <f t="shared" si="17"/>
        <v/>
      </c>
      <c r="B10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0" spans="1:2" x14ac:dyDescent="0.25">
      <c r="A1090" s="1" t="str">
        <f t="shared" si="17"/>
        <v/>
      </c>
      <c r="B10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1" spans="1:2" x14ac:dyDescent="0.25">
      <c r="A1091" s="1" t="str">
        <f t="shared" si="17"/>
        <v/>
      </c>
      <c r="B10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2" spans="1:2" x14ac:dyDescent="0.25">
      <c r="A1092" s="1" t="str">
        <f t="shared" si="17"/>
        <v/>
      </c>
      <c r="B10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3" spans="1:2" x14ac:dyDescent="0.25">
      <c r="A1093" s="1" t="str">
        <f t="shared" si="17"/>
        <v/>
      </c>
      <c r="B10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4" spans="1:2" x14ac:dyDescent="0.25">
      <c r="A1094" s="1" t="str">
        <f t="shared" si="17"/>
        <v/>
      </c>
      <c r="B10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5" spans="1:2" x14ac:dyDescent="0.25">
      <c r="A1095" s="1" t="str">
        <f t="shared" si="17"/>
        <v/>
      </c>
      <c r="B10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6" spans="1:2" x14ac:dyDescent="0.25">
      <c r="A1096" s="1" t="str">
        <f t="shared" si="17"/>
        <v/>
      </c>
      <c r="B10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7" spans="1:2" x14ac:dyDescent="0.25">
      <c r="A1097" s="1" t="str">
        <f t="shared" si="17"/>
        <v/>
      </c>
      <c r="B10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8" spans="1:2" x14ac:dyDescent="0.25">
      <c r="A1098" s="1" t="str">
        <f t="shared" si="17"/>
        <v/>
      </c>
      <c r="B10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099" spans="1:2" x14ac:dyDescent="0.25">
      <c r="A1099" s="1" t="str">
        <f t="shared" si="17"/>
        <v/>
      </c>
      <c r="B10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0" spans="1:2" x14ac:dyDescent="0.25">
      <c r="A1100" s="1" t="str">
        <f t="shared" si="17"/>
        <v/>
      </c>
      <c r="B11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1" spans="1:2" x14ac:dyDescent="0.25">
      <c r="A1101" s="1" t="str">
        <f t="shared" si="17"/>
        <v/>
      </c>
      <c r="B11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2" spans="1:2" x14ac:dyDescent="0.25">
      <c r="A1102" s="1" t="str">
        <f t="shared" si="17"/>
        <v/>
      </c>
      <c r="B11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3" spans="1:2" x14ac:dyDescent="0.25">
      <c r="A1103" s="1" t="str">
        <f t="shared" si="17"/>
        <v/>
      </c>
      <c r="B11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4" spans="1:2" x14ac:dyDescent="0.25">
      <c r="A1104" s="1" t="str">
        <f t="shared" si="17"/>
        <v/>
      </c>
      <c r="B11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5" spans="1:2" x14ac:dyDescent="0.25">
      <c r="A1105" s="1" t="str">
        <f t="shared" si="17"/>
        <v/>
      </c>
      <c r="B11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6" spans="1:2" x14ac:dyDescent="0.25">
      <c r="A1106" s="1" t="str">
        <f t="shared" si="17"/>
        <v/>
      </c>
      <c r="B11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7" spans="1:2" x14ac:dyDescent="0.25">
      <c r="A1107" s="1" t="str">
        <f t="shared" si="17"/>
        <v/>
      </c>
      <c r="B11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8" spans="1:2" x14ac:dyDescent="0.25">
      <c r="A1108" s="1" t="str">
        <f t="shared" si="17"/>
        <v/>
      </c>
      <c r="B11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09" spans="1:2" x14ac:dyDescent="0.25">
      <c r="A1109" s="1" t="str">
        <f t="shared" si="17"/>
        <v/>
      </c>
      <c r="B11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0" spans="1:2" x14ac:dyDescent="0.25">
      <c r="A1110" s="1" t="str">
        <f t="shared" si="17"/>
        <v/>
      </c>
      <c r="B11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1" spans="1:2" x14ac:dyDescent="0.25">
      <c r="A1111" s="1" t="str">
        <f t="shared" si="17"/>
        <v/>
      </c>
      <c r="B11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2" spans="1:2" x14ac:dyDescent="0.25">
      <c r="A1112" s="1" t="str">
        <f t="shared" si="17"/>
        <v/>
      </c>
      <c r="B11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3" spans="1:2" x14ac:dyDescent="0.25">
      <c r="A1113" s="1" t="str">
        <f t="shared" si="17"/>
        <v/>
      </c>
      <c r="B11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4" spans="1:2" x14ac:dyDescent="0.25">
      <c r="A1114" s="1" t="str">
        <f t="shared" si="17"/>
        <v/>
      </c>
      <c r="B11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5" spans="1:2" x14ac:dyDescent="0.25">
      <c r="A1115" s="1" t="str">
        <f t="shared" si="17"/>
        <v/>
      </c>
      <c r="B11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6" spans="1:2" x14ac:dyDescent="0.25">
      <c r="A1116" s="1" t="str">
        <f t="shared" si="17"/>
        <v/>
      </c>
      <c r="B11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7" spans="1:2" x14ac:dyDescent="0.25">
      <c r="A1117" s="1" t="str">
        <f t="shared" si="17"/>
        <v/>
      </c>
      <c r="B11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8" spans="1:2" x14ac:dyDescent="0.25">
      <c r="A1118" s="1" t="str">
        <f t="shared" si="17"/>
        <v/>
      </c>
      <c r="B11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19" spans="1:2" x14ac:dyDescent="0.25">
      <c r="A1119" s="1" t="str">
        <f t="shared" si="17"/>
        <v/>
      </c>
      <c r="B11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0" spans="1:2" x14ac:dyDescent="0.25">
      <c r="A1120" s="1" t="str">
        <f t="shared" si="17"/>
        <v/>
      </c>
      <c r="B11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1" spans="1:2" x14ac:dyDescent="0.25">
      <c r="A1121" s="1" t="str">
        <f t="shared" si="17"/>
        <v/>
      </c>
      <c r="B11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2" spans="1:2" x14ac:dyDescent="0.25">
      <c r="A1122" s="1" t="str">
        <f t="shared" si="17"/>
        <v/>
      </c>
      <c r="B11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3" spans="1:2" x14ac:dyDescent="0.25">
      <c r="A1123" s="1" t="str">
        <f t="shared" si="17"/>
        <v/>
      </c>
      <c r="B11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4" spans="1:2" x14ac:dyDescent="0.25">
      <c r="A1124" s="1" t="str">
        <f t="shared" si="17"/>
        <v/>
      </c>
      <c r="B11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5" spans="1:2" x14ac:dyDescent="0.25">
      <c r="A1125" s="1" t="str">
        <f t="shared" si="17"/>
        <v/>
      </c>
      <c r="B11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6" spans="1:2" x14ac:dyDescent="0.25">
      <c r="A1126" s="1" t="str">
        <f t="shared" si="17"/>
        <v/>
      </c>
      <c r="B11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7" spans="1:2" x14ac:dyDescent="0.25">
      <c r="A1127" s="1" t="str">
        <f t="shared" si="17"/>
        <v/>
      </c>
      <c r="B11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8" spans="1:2" x14ac:dyDescent="0.25">
      <c r="A1128" s="1" t="str">
        <f t="shared" si="17"/>
        <v/>
      </c>
      <c r="B11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29" spans="1:2" x14ac:dyDescent="0.25">
      <c r="A1129" s="1" t="str">
        <f t="shared" si="17"/>
        <v/>
      </c>
      <c r="B11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0" spans="1:2" x14ac:dyDescent="0.25">
      <c r="A1130" s="1" t="str">
        <f t="shared" si="17"/>
        <v/>
      </c>
      <c r="B11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1" spans="1:2" x14ac:dyDescent="0.25">
      <c r="A1131" s="1" t="str">
        <f t="shared" si="17"/>
        <v/>
      </c>
      <c r="B11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2" spans="1:2" x14ac:dyDescent="0.25">
      <c r="A1132" s="1" t="str">
        <f t="shared" si="17"/>
        <v/>
      </c>
      <c r="B11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3" spans="1:2" x14ac:dyDescent="0.25">
      <c r="A1133" s="1" t="str">
        <f t="shared" si="17"/>
        <v/>
      </c>
      <c r="B11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4" spans="1:2" x14ac:dyDescent="0.25">
      <c r="A1134" s="1" t="str">
        <f t="shared" si="17"/>
        <v/>
      </c>
      <c r="B11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5" spans="1:2" x14ac:dyDescent="0.25">
      <c r="A1135" s="1" t="str">
        <f t="shared" si="17"/>
        <v/>
      </c>
      <c r="B11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6" spans="1:2" x14ac:dyDescent="0.25">
      <c r="A1136" s="1" t="str">
        <f t="shared" si="17"/>
        <v/>
      </c>
      <c r="B11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7" spans="1:2" x14ac:dyDescent="0.25">
      <c r="A1137" s="1" t="str">
        <f t="shared" si="17"/>
        <v/>
      </c>
      <c r="B11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8" spans="1:2" x14ac:dyDescent="0.25">
      <c r="A1138" s="1" t="str">
        <f t="shared" si="17"/>
        <v/>
      </c>
      <c r="B11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39" spans="1:2" x14ac:dyDescent="0.25">
      <c r="A1139" s="1" t="str">
        <f t="shared" ref="A1139:A1202" si="18">IFERROR(LEFT(RIGHT(C1139,LEN(C1139)-SEARCH("@",C1139)),SEARCH("/",RIGHT(C1139,LEN(C1139)-SEARCH("@",C1139)-1))),"")</f>
        <v/>
      </c>
      <c r="B11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0" spans="1:2" x14ac:dyDescent="0.25">
      <c r="A1140" s="1" t="str">
        <f t="shared" si="18"/>
        <v/>
      </c>
      <c r="B11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1" spans="1:2" x14ac:dyDescent="0.25">
      <c r="A1141" s="1" t="str">
        <f t="shared" si="18"/>
        <v/>
      </c>
      <c r="B11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2" spans="1:2" x14ac:dyDescent="0.25">
      <c r="A1142" s="1" t="str">
        <f t="shared" si="18"/>
        <v/>
      </c>
      <c r="B11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3" spans="1:2" x14ac:dyDescent="0.25">
      <c r="A1143" s="1" t="str">
        <f t="shared" si="18"/>
        <v/>
      </c>
      <c r="B11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4" spans="1:2" x14ac:dyDescent="0.25">
      <c r="A1144" s="1" t="str">
        <f t="shared" si="18"/>
        <v/>
      </c>
      <c r="B11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5" spans="1:2" x14ac:dyDescent="0.25">
      <c r="A1145" s="1" t="str">
        <f t="shared" si="18"/>
        <v/>
      </c>
      <c r="B11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6" spans="1:2" x14ac:dyDescent="0.25">
      <c r="A1146" s="1" t="str">
        <f t="shared" si="18"/>
        <v/>
      </c>
      <c r="B11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7" spans="1:2" x14ac:dyDescent="0.25">
      <c r="A1147" s="1" t="str">
        <f t="shared" si="18"/>
        <v/>
      </c>
      <c r="B11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8" spans="1:2" x14ac:dyDescent="0.25">
      <c r="A1148" s="1" t="str">
        <f t="shared" si="18"/>
        <v/>
      </c>
      <c r="B11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49" spans="1:2" x14ac:dyDescent="0.25">
      <c r="A1149" s="1" t="str">
        <f t="shared" si="18"/>
        <v/>
      </c>
      <c r="B11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0" spans="1:2" x14ac:dyDescent="0.25">
      <c r="A1150" s="1" t="str">
        <f t="shared" si="18"/>
        <v/>
      </c>
      <c r="B11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1" spans="1:2" x14ac:dyDescent="0.25">
      <c r="A1151" s="1" t="str">
        <f t="shared" si="18"/>
        <v/>
      </c>
      <c r="B11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2" spans="1:2" x14ac:dyDescent="0.25">
      <c r="A1152" s="1" t="str">
        <f t="shared" si="18"/>
        <v/>
      </c>
      <c r="B11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3" spans="1:2" x14ac:dyDescent="0.25">
      <c r="A1153" s="1" t="str">
        <f t="shared" si="18"/>
        <v/>
      </c>
      <c r="B11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4" spans="1:2" x14ac:dyDescent="0.25">
      <c r="A1154" s="1" t="str">
        <f t="shared" si="18"/>
        <v/>
      </c>
      <c r="B11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5" spans="1:2" x14ac:dyDescent="0.25">
      <c r="A1155" s="1" t="str">
        <f t="shared" si="18"/>
        <v/>
      </c>
      <c r="B11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6" spans="1:2" x14ac:dyDescent="0.25">
      <c r="A1156" s="1" t="str">
        <f t="shared" si="18"/>
        <v/>
      </c>
      <c r="B11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7" spans="1:2" x14ac:dyDescent="0.25">
      <c r="A1157" s="1" t="str">
        <f t="shared" si="18"/>
        <v/>
      </c>
      <c r="B11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8" spans="1:2" x14ac:dyDescent="0.25">
      <c r="A1158" s="1" t="str">
        <f t="shared" si="18"/>
        <v/>
      </c>
      <c r="B11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59" spans="1:2" x14ac:dyDescent="0.25">
      <c r="A1159" s="1" t="str">
        <f t="shared" si="18"/>
        <v/>
      </c>
      <c r="B11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0" spans="1:2" x14ac:dyDescent="0.25">
      <c r="A1160" s="1" t="str">
        <f t="shared" si="18"/>
        <v/>
      </c>
      <c r="B11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1" spans="1:2" x14ac:dyDescent="0.25">
      <c r="A1161" s="1" t="str">
        <f t="shared" si="18"/>
        <v/>
      </c>
      <c r="B11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2" spans="1:2" x14ac:dyDescent="0.25">
      <c r="A1162" s="1" t="str">
        <f t="shared" si="18"/>
        <v/>
      </c>
      <c r="B11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3" spans="1:2" x14ac:dyDescent="0.25">
      <c r="A1163" s="1" t="str">
        <f t="shared" si="18"/>
        <v/>
      </c>
      <c r="B11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4" spans="1:2" x14ac:dyDescent="0.25">
      <c r="A1164" s="1" t="str">
        <f t="shared" si="18"/>
        <v/>
      </c>
      <c r="B11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5" spans="1:2" x14ac:dyDescent="0.25">
      <c r="A1165" s="1" t="str">
        <f t="shared" si="18"/>
        <v/>
      </c>
      <c r="B11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6" spans="1:2" x14ac:dyDescent="0.25">
      <c r="A1166" s="1" t="str">
        <f t="shared" si="18"/>
        <v/>
      </c>
      <c r="B11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7" spans="1:2" x14ac:dyDescent="0.25">
      <c r="A1167" s="1" t="str">
        <f t="shared" si="18"/>
        <v/>
      </c>
      <c r="B11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8" spans="1:2" x14ac:dyDescent="0.25">
      <c r="A1168" s="1" t="str">
        <f t="shared" si="18"/>
        <v/>
      </c>
      <c r="B11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69" spans="1:2" x14ac:dyDescent="0.25">
      <c r="A1169" s="1" t="str">
        <f t="shared" si="18"/>
        <v/>
      </c>
      <c r="B11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0" spans="1:2" x14ac:dyDescent="0.25">
      <c r="A1170" s="1" t="str">
        <f t="shared" si="18"/>
        <v/>
      </c>
      <c r="B11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1" spans="1:2" x14ac:dyDescent="0.25">
      <c r="A1171" s="1" t="str">
        <f t="shared" si="18"/>
        <v/>
      </c>
      <c r="B11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2" spans="1:2" x14ac:dyDescent="0.25">
      <c r="A1172" s="1" t="str">
        <f t="shared" si="18"/>
        <v/>
      </c>
      <c r="B11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3" spans="1:2" x14ac:dyDescent="0.25">
      <c r="A1173" s="1" t="str">
        <f t="shared" si="18"/>
        <v/>
      </c>
      <c r="B11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4" spans="1:2" x14ac:dyDescent="0.25">
      <c r="A1174" s="1" t="str">
        <f t="shared" si="18"/>
        <v/>
      </c>
      <c r="B11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5" spans="1:2" x14ac:dyDescent="0.25">
      <c r="A1175" s="1" t="str">
        <f t="shared" si="18"/>
        <v/>
      </c>
      <c r="B11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6" spans="1:2" x14ac:dyDescent="0.25">
      <c r="A1176" s="1" t="str">
        <f t="shared" si="18"/>
        <v/>
      </c>
      <c r="B11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7" spans="1:2" x14ac:dyDescent="0.25">
      <c r="A1177" s="1" t="str">
        <f t="shared" si="18"/>
        <v/>
      </c>
      <c r="B11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8" spans="1:2" x14ac:dyDescent="0.25">
      <c r="A1178" s="1" t="str">
        <f t="shared" si="18"/>
        <v/>
      </c>
      <c r="B11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79" spans="1:2" x14ac:dyDescent="0.25">
      <c r="A1179" s="1" t="str">
        <f t="shared" si="18"/>
        <v/>
      </c>
      <c r="B11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0" spans="1:2" x14ac:dyDescent="0.25">
      <c r="A1180" s="1" t="str">
        <f t="shared" si="18"/>
        <v/>
      </c>
      <c r="B11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1" spans="1:2" x14ac:dyDescent="0.25">
      <c r="A1181" s="1" t="str">
        <f t="shared" si="18"/>
        <v/>
      </c>
      <c r="B11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2" spans="1:2" x14ac:dyDescent="0.25">
      <c r="A1182" s="1" t="str">
        <f t="shared" si="18"/>
        <v/>
      </c>
      <c r="B11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3" spans="1:2" x14ac:dyDescent="0.25">
      <c r="A1183" s="1" t="str">
        <f t="shared" si="18"/>
        <v/>
      </c>
      <c r="B11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4" spans="1:2" x14ac:dyDescent="0.25">
      <c r="A1184" s="1" t="str">
        <f t="shared" si="18"/>
        <v/>
      </c>
      <c r="B11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5" spans="1:2" x14ac:dyDescent="0.25">
      <c r="A1185" s="1" t="str">
        <f t="shared" si="18"/>
        <v/>
      </c>
      <c r="B11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6" spans="1:2" x14ac:dyDescent="0.25">
      <c r="A1186" s="1" t="str">
        <f t="shared" si="18"/>
        <v/>
      </c>
      <c r="B11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7" spans="1:2" x14ac:dyDescent="0.25">
      <c r="A1187" s="1" t="str">
        <f t="shared" si="18"/>
        <v/>
      </c>
      <c r="B11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8" spans="1:2" x14ac:dyDescent="0.25">
      <c r="A1188" s="1" t="str">
        <f t="shared" si="18"/>
        <v/>
      </c>
      <c r="B11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89" spans="1:2" x14ac:dyDescent="0.25">
      <c r="A1189" s="1" t="str">
        <f t="shared" si="18"/>
        <v/>
      </c>
      <c r="B11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0" spans="1:2" x14ac:dyDescent="0.25">
      <c r="A1190" s="1" t="str">
        <f t="shared" si="18"/>
        <v/>
      </c>
      <c r="B11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1" spans="1:2" x14ac:dyDescent="0.25">
      <c r="A1191" s="1" t="str">
        <f t="shared" si="18"/>
        <v/>
      </c>
      <c r="B11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2" spans="1:2" x14ac:dyDescent="0.25">
      <c r="A1192" s="1" t="str">
        <f t="shared" si="18"/>
        <v/>
      </c>
      <c r="B11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3" spans="1:2" x14ac:dyDescent="0.25">
      <c r="A1193" s="1" t="str">
        <f t="shared" si="18"/>
        <v/>
      </c>
      <c r="B11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4" spans="1:2" x14ac:dyDescent="0.25">
      <c r="A1194" s="1" t="str">
        <f t="shared" si="18"/>
        <v/>
      </c>
      <c r="B11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5" spans="1:2" x14ac:dyDescent="0.25">
      <c r="A1195" s="1" t="str">
        <f t="shared" si="18"/>
        <v/>
      </c>
      <c r="B11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6" spans="1:2" x14ac:dyDescent="0.25">
      <c r="A1196" s="1" t="str">
        <f t="shared" si="18"/>
        <v/>
      </c>
      <c r="B11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7" spans="1:2" x14ac:dyDescent="0.25">
      <c r="A1197" s="1" t="str">
        <f t="shared" si="18"/>
        <v/>
      </c>
      <c r="B11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8" spans="1:2" x14ac:dyDescent="0.25">
      <c r="A1198" s="1" t="str">
        <f t="shared" si="18"/>
        <v/>
      </c>
      <c r="B11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199" spans="1:2" x14ac:dyDescent="0.25">
      <c r="A1199" s="1" t="str">
        <f t="shared" si="18"/>
        <v/>
      </c>
      <c r="B11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0" spans="1:2" x14ac:dyDescent="0.25">
      <c r="A1200" s="1" t="str">
        <f t="shared" si="18"/>
        <v/>
      </c>
      <c r="B12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1" spans="1:2" x14ac:dyDescent="0.25">
      <c r="A1201" s="1" t="str">
        <f t="shared" si="18"/>
        <v/>
      </c>
      <c r="B12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2" spans="1:2" x14ac:dyDescent="0.25">
      <c r="A1202" s="1" t="str">
        <f t="shared" si="18"/>
        <v/>
      </c>
      <c r="B12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3" spans="1:2" x14ac:dyDescent="0.25">
      <c r="A1203" s="1" t="str">
        <f t="shared" ref="A1203:A1266" si="19">IFERROR(LEFT(RIGHT(C1203,LEN(C1203)-SEARCH("@",C1203)),SEARCH("/",RIGHT(C1203,LEN(C1203)-SEARCH("@",C1203)-1))),"")</f>
        <v/>
      </c>
      <c r="B12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4" spans="1:2" x14ac:dyDescent="0.25">
      <c r="A1204" s="1" t="str">
        <f t="shared" si="19"/>
        <v/>
      </c>
      <c r="B12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5" spans="1:2" x14ac:dyDescent="0.25">
      <c r="A1205" s="1" t="str">
        <f t="shared" si="19"/>
        <v/>
      </c>
      <c r="B12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6" spans="1:2" x14ac:dyDescent="0.25">
      <c r="A1206" s="1" t="str">
        <f t="shared" si="19"/>
        <v/>
      </c>
      <c r="B12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7" spans="1:2" x14ac:dyDescent="0.25">
      <c r="A1207" s="1" t="str">
        <f t="shared" si="19"/>
        <v/>
      </c>
      <c r="B12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8" spans="1:2" x14ac:dyDescent="0.25">
      <c r="A1208" s="1" t="str">
        <f t="shared" si="19"/>
        <v/>
      </c>
      <c r="B12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09" spans="1:2" x14ac:dyDescent="0.25">
      <c r="A1209" s="1" t="str">
        <f t="shared" si="19"/>
        <v/>
      </c>
      <c r="B12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0" spans="1:2" x14ac:dyDescent="0.25">
      <c r="A1210" s="1" t="str">
        <f t="shared" si="19"/>
        <v/>
      </c>
      <c r="B12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1" spans="1:2" x14ac:dyDescent="0.25">
      <c r="A1211" s="1" t="str">
        <f t="shared" si="19"/>
        <v/>
      </c>
      <c r="B12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2" spans="1:2" x14ac:dyDescent="0.25">
      <c r="A1212" s="1" t="str">
        <f t="shared" si="19"/>
        <v/>
      </c>
      <c r="B12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3" spans="1:2" x14ac:dyDescent="0.25">
      <c r="A1213" s="1" t="str">
        <f t="shared" si="19"/>
        <v/>
      </c>
      <c r="B12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4" spans="1:2" x14ac:dyDescent="0.25">
      <c r="A1214" s="1" t="str">
        <f t="shared" si="19"/>
        <v/>
      </c>
      <c r="B12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5" spans="1:2" x14ac:dyDescent="0.25">
      <c r="A1215" s="1" t="str">
        <f t="shared" si="19"/>
        <v/>
      </c>
      <c r="B12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6" spans="1:2" x14ac:dyDescent="0.25">
      <c r="A1216" s="1" t="str">
        <f t="shared" si="19"/>
        <v/>
      </c>
      <c r="B12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7" spans="1:2" x14ac:dyDescent="0.25">
      <c r="A1217" s="1" t="str">
        <f t="shared" si="19"/>
        <v/>
      </c>
      <c r="B12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8" spans="1:2" x14ac:dyDescent="0.25">
      <c r="A1218" s="1" t="str">
        <f t="shared" si="19"/>
        <v/>
      </c>
      <c r="B12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19" spans="1:2" x14ac:dyDescent="0.25">
      <c r="A1219" s="1" t="str">
        <f t="shared" si="19"/>
        <v/>
      </c>
      <c r="B12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0" spans="1:2" x14ac:dyDescent="0.25">
      <c r="A1220" s="1" t="str">
        <f t="shared" si="19"/>
        <v/>
      </c>
      <c r="B12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1" spans="1:2" x14ac:dyDescent="0.25">
      <c r="A1221" s="1" t="str">
        <f t="shared" si="19"/>
        <v/>
      </c>
      <c r="B12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2" spans="1:2" x14ac:dyDescent="0.25">
      <c r="A1222" s="1" t="str">
        <f t="shared" si="19"/>
        <v/>
      </c>
      <c r="B12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3" spans="1:2" x14ac:dyDescent="0.25">
      <c r="A1223" s="1" t="str">
        <f t="shared" si="19"/>
        <v/>
      </c>
      <c r="B12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4" spans="1:2" x14ac:dyDescent="0.25">
      <c r="A1224" s="1" t="str">
        <f t="shared" si="19"/>
        <v/>
      </c>
      <c r="B12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5" spans="1:2" x14ac:dyDescent="0.25">
      <c r="A1225" s="1" t="str">
        <f t="shared" si="19"/>
        <v/>
      </c>
      <c r="B12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6" spans="1:2" x14ac:dyDescent="0.25">
      <c r="A1226" s="1" t="str">
        <f t="shared" si="19"/>
        <v/>
      </c>
      <c r="B12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7" spans="1:2" x14ac:dyDescent="0.25">
      <c r="A1227" s="1" t="str">
        <f t="shared" si="19"/>
        <v/>
      </c>
      <c r="B12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8" spans="1:2" x14ac:dyDescent="0.25">
      <c r="A1228" s="1" t="str">
        <f t="shared" si="19"/>
        <v/>
      </c>
      <c r="B12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29" spans="1:2" x14ac:dyDescent="0.25">
      <c r="A1229" s="1" t="str">
        <f t="shared" si="19"/>
        <v/>
      </c>
      <c r="B12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0" spans="1:2" x14ac:dyDescent="0.25">
      <c r="A1230" s="1" t="str">
        <f t="shared" si="19"/>
        <v/>
      </c>
      <c r="B12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1" spans="1:2" x14ac:dyDescent="0.25">
      <c r="A1231" s="1" t="str">
        <f t="shared" si="19"/>
        <v/>
      </c>
      <c r="B12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2" spans="1:2" x14ac:dyDescent="0.25">
      <c r="A1232" s="1" t="str">
        <f t="shared" si="19"/>
        <v/>
      </c>
      <c r="B12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3" spans="1:2" x14ac:dyDescent="0.25">
      <c r="A1233" s="1" t="str">
        <f t="shared" si="19"/>
        <v/>
      </c>
      <c r="B12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4" spans="1:2" x14ac:dyDescent="0.25">
      <c r="A1234" s="1" t="str">
        <f t="shared" si="19"/>
        <v/>
      </c>
      <c r="B12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5" spans="1:2" x14ac:dyDescent="0.25">
      <c r="A1235" s="1" t="str">
        <f t="shared" si="19"/>
        <v/>
      </c>
      <c r="B12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6" spans="1:2" x14ac:dyDescent="0.25">
      <c r="A1236" s="1" t="str">
        <f t="shared" si="19"/>
        <v/>
      </c>
      <c r="B12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7" spans="1:2" x14ac:dyDescent="0.25">
      <c r="A1237" s="1" t="str">
        <f t="shared" si="19"/>
        <v/>
      </c>
      <c r="B12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8" spans="1:2" x14ac:dyDescent="0.25">
      <c r="A1238" s="1" t="str">
        <f t="shared" si="19"/>
        <v/>
      </c>
      <c r="B12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39" spans="1:2" x14ac:dyDescent="0.25">
      <c r="A1239" s="1" t="str">
        <f t="shared" si="19"/>
        <v/>
      </c>
      <c r="B12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0" spans="1:2" x14ac:dyDescent="0.25">
      <c r="A1240" s="1" t="str">
        <f t="shared" si="19"/>
        <v/>
      </c>
      <c r="B12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1" spans="1:2" x14ac:dyDescent="0.25">
      <c r="A1241" s="1" t="str">
        <f t="shared" si="19"/>
        <v/>
      </c>
      <c r="B12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2" spans="1:2" x14ac:dyDescent="0.25">
      <c r="A1242" s="1" t="str">
        <f t="shared" si="19"/>
        <v/>
      </c>
      <c r="B12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3" spans="1:2" x14ac:dyDescent="0.25">
      <c r="A1243" s="1" t="str">
        <f t="shared" si="19"/>
        <v/>
      </c>
      <c r="B12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4" spans="1:2" x14ac:dyDescent="0.25">
      <c r="A1244" s="1" t="str">
        <f t="shared" si="19"/>
        <v/>
      </c>
      <c r="B12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5" spans="1:2" x14ac:dyDescent="0.25">
      <c r="A1245" s="1" t="str">
        <f t="shared" si="19"/>
        <v/>
      </c>
      <c r="B12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6" spans="1:2" x14ac:dyDescent="0.25">
      <c r="A1246" s="1" t="str">
        <f t="shared" si="19"/>
        <v/>
      </c>
      <c r="B12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7" spans="1:2" x14ac:dyDescent="0.25">
      <c r="A1247" s="1" t="str">
        <f t="shared" si="19"/>
        <v/>
      </c>
      <c r="B12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8" spans="1:2" x14ac:dyDescent="0.25">
      <c r="A1248" s="1" t="str">
        <f t="shared" si="19"/>
        <v/>
      </c>
      <c r="B12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49" spans="1:2" x14ac:dyDescent="0.25">
      <c r="A1249" s="1" t="str">
        <f t="shared" si="19"/>
        <v/>
      </c>
      <c r="B12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0" spans="1:2" x14ac:dyDescent="0.25">
      <c r="A1250" s="1" t="str">
        <f t="shared" si="19"/>
        <v/>
      </c>
      <c r="B12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1" spans="1:2" x14ac:dyDescent="0.25">
      <c r="A1251" s="1" t="str">
        <f t="shared" si="19"/>
        <v/>
      </c>
      <c r="B12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2" spans="1:2" x14ac:dyDescent="0.25">
      <c r="A1252" s="1" t="str">
        <f t="shared" si="19"/>
        <v/>
      </c>
      <c r="B12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3" spans="1:2" x14ac:dyDescent="0.25">
      <c r="A1253" s="1" t="str">
        <f t="shared" si="19"/>
        <v/>
      </c>
      <c r="B12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4" spans="1:2" x14ac:dyDescent="0.25">
      <c r="A1254" s="1" t="str">
        <f t="shared" si="19"/>
        <v/>
      </c>
      <c r="B12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5" spans="1:2" x14ac:dyDescent="0.25">
      <c r="A1255" s="1" t="str">
        <f t="shared" si="19"/>
        <v/>
      </c>
      <c r="B12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6" spans="1:2" x14ac:dyDescent="0.25">
      <c r="A1256" s="1" t="str">
        <f t="shared" si="19"/>
        <v/>
      </c>
      <c r="B12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7" spans="1:2" x14ac:dyDescent="0.25">
      <c r="A1257" s="1" t="str">
        <f t="shared" si="19"/>
        <v/>
      </c>
      <c r="B12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8" spans="1:2" x14ac:dyDescent="0.25">
      <c r="A1258" s="1" t="str">
        <f t="shared" si="19"/>
        <v/>
      </c>
      <c r="B12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59" spans="1:2" x14ac:dyDescent="0.25">
      <c r="A1259" s="1" t="str">
        <f t="shared" si="19"/>
        <v/>
      </c>
      <c r="B12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0" spans="1:2" x14ac:dyDescent="0.25">
      <c r="A1260" s="1" t="str">
        <f t="shared" si="19"/>
        <v/>
      </c>
      <c r="B12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1" spans="1:2" x14ac:dyDescent="0.25">
      <c r="A1261" s="1" t="str">
        <f t="shared" si="19"/>
        <v/>
      </c>
      <c r="B12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2" spans="1:2" x14ac:dyDescent="0.25">
      <c r="A1262" s="1" t="str">
        <f t="shared" si="19"/>
        <v/>
      </c>
      <c r="B12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3" spans="1:2" x14ac:dyDescent="0.25">
      <c r="A1263" s="1" t="str">
        <f t="shared" si="19"/>
        <v/>
      </c>
      <c r="B12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4" spans="1:2" x14ac:dyDescent="0.25">
      <c r="A1264" s="1" t="str">
        <f t="shared" si="19"/>
        <v/>
      </c>
      <c r="B12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5" spans="1:2" x14ac:dyDescent="0.25">
      <c r="A1265" s="1" t="str">
        <f t="shared" si="19"/>
        <v/>
      </c>
      <c r="B12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6" spans="1:2" x14ac:dyDescent="0.25">
      <c r="A1266" s="1" t="str">
        <f t="shared" si="19"/>
        <v/>
      </c>
      <c r="B12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7" spans="1:2" x14ac:dyDescent="0.25">
      <c r="A1267" s="1" t="str">
        <f t="shared" ref="A1267:A1330" si="20">IFERROR(LEFT(RIGHT(C1267,LEN(C1267)-SEARCH("@",C1267)),SEARCH("/",RIGHT(C1267,LEN(C1267)-SEARCH("@",C1267)-1))),"")</f>
        <v/>
      </c>
      <c r="B12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8" spans="1:2" x14ac:dyDescent="0.25">
      <c r="A1268" s="1" t="str">
        <f t="shared" si="20"/>
        <v/>
      </c>
      <c r="B12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69" spans="1:2" x14ac:dyDescent="0.25">
      <c r="A1269" s="1" t="str">
        <f t="shared" si="20"/>
        <v/>
      </c>
      <c r="B12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0" spans="1:2" x14ac:dyDescent="0.25">
      <c r="A1270" s="1" t="str">
        <f t="shared" si="20"/>
        <v/>
      </c>
      <c r="B12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1" spans="1:2" x14ac:dyDescent="0.25">
      <c r="A1271" s="1" t="str">
        <f t="shared" si="20"/>
        <v/>
      </c>
      <c r="B12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2" spans="1:2" x14ac:dyDescent="0.25">
      <c r="A1272" s="1" t="str">
        <f t="shared" si="20"/>
        <v/>
      </c>
      <c r="B12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3" spans="1:2" x14ac:dyDescent="0.25">
      <c r="A1273" s="1" t="str">
        <f t="shared" si="20"/>
        <v/>
      </c>
      <c r="B12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4" spans="1:2" x14ac:dyDescent="0.25">
      <c r="A1274" s="1" t="str">
        <f t="shared" si="20"/>
        <v/>
      </c>
      <c r="B12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5" spans="1:2" x14ac:dyDescent="0.25">
      <c r="A1275" s="1" t="str">
        <f t="shared" si="20"/>
        <v/>
      </c>
      <c r="B12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6" spans="1:2" x14ac:dyDescent="0.25">
      <c r="A1276" s="1" t="str">
        <f t="shared" si="20"/>
        <v/>
      </c>
      <c r="B12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7" spans="1:2" x14ac:dyDescent="0.25">
      <c r="A1277" s="1" t="str">
        <f t="shared" si="20"/>
        <v/>
      </c>
      <c r="B12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8" spans="1:2" x14ac:dyDescent="0.25">
      <c r="A1278" s="1" t="str">
        <f t="shared" si="20"/>
        <v/>
      </c>
      <c r="B12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79" spans="1:2" x14ac:dyDescent="0.25">
      <c r="A1279" s="1" t="str">
        <f t="shared" si="20"/>
        <v/>
      </c>
      <c r="B12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0" spans="1:2" x14ac:dyDescent="0.25">
      <c r="A1280" s="1" t="str">
        <f t="shared" si="20"/>
        <v/>
      </c>
      <c r="B12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1" spans="1:2" x14ac:dyDescent="0.25">
      <c r="A1281" s="1" t="str">
        <f t="shared" si="20"/>
        <v/>
      </c>
      <c r="B12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2" spans="1:2" x14ac:dyDescent="0.25">
      <c r="A1282" s="1" t="str">
        <f t="shared" si="20"/>
        <v/>
      </c>
      <c r="B12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3" spans="1:2" x14ac:dyDescent="0.25">
      <c r="A1283" s="1" t="str">
        <f t="shared" si="20"/>
        <v/>
      </c>
      <c r="B12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4" spans="1:2" x14ac:dyDescent="0.25">
      <c r="A1284" s="1" t="str">
        <f t="shared" si="20"/>
        <v/>
      </c>
      <c r="B12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5" spans="1:2" x14ac:dyDescent="0.25">
      <c r="A1285" s="1" t="str">
        <f t="shared" si="20"/>
        <v/>
      </c>
      <c r="B12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6" spans="1:2" x14ac:dyDescent="0.25">
      <c r="A1286" s="1" t="str">
        <f t="shared" si="20"/>
        <v/>
      </c>
      <c r="B12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7" spans="1:2" x14ac:dyDescent="0.25">
      <c r="A1287" s="1" t="str">
        <f t="shared" si="20"/>
        <v/>
      </c>
      <c r="B12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8" spans="1:2" x14ac:dyDescent="0.25">
      <c r="A1288" s="1" t="str">
        <f t="shared" si="20"/>
        <v/>
      </c>
      <c r="B12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89" spans="1:2" x14ac:dyDescent="0.25">
      <c r="A1289" s="1" t="str">
        <f t="shared" si="20"/>
        <v/>
      </c>
      <c r="B12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0" spans="1:2" x14ac:dyDescent="0.25">
      <c r="A1290" s="1" t="str">
        <f t="shared" si="20"/>
        <v/>
      </c>
      <c r="B12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1" spans="1:2" x14ac:dyDescent="0.25">
      <c r="A1291" s="1" t="str">
        <f t="shared" si="20"/>
        <v/>
      </c>
      <c r="B12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2" spans="1:2" x14ac:dyDescent="0.25">
      <c r="A1292" s="1" t="str">
        <f t="shared" si="20"/>
        <v/>
      </c>
      <c r="B12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3" spans="1:2" x14ac:dyDescent="0.25">
      <c r="A1293" s="1" t="str">
        <f t="shared" si="20"/>
        <v/>
      </c>
      <c r="B12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4" spans="1:2" x14ac:dyDescent="0.25">
      <c r="A1294" s="1" t="str">
        <f t="shared" si="20"/>
        <v/>
      </c>
      <c r="B12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5" spans="1:2" x14ac:dyDescent="0.25">
      <c r="A1295" s="1" t="str">
        <f t="shared" si="20"/>
        <v/>
      </c>
      <c r="B12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6" spans="1:2" x14ac:dyDescent="0.25">
      <c r="A1296" s="1" t="str">
        <f t="shared" si="20"/>
        <v/>
      </c>
      <c r="B12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7" spans="1:2" x14ac:dyDescent="0.25">
      <c r="A1297" s="1" t="str">
        <f t="shared" si="20"/>
        <v/>
      </c>
      <c r="B12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8" spans="1:2" x14ac:dyDescent="0.25">
      <c r="A1298" s="1" t="str">
        <f t="shared" si="20"/>
        <v/>
      </c>
      <c r="B12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299" spans="1:2" x14ac:dyDescent="0.25">
      <c r="A1299" s="1" t="str">
        <f t="shared" si="20"/>
        <v/>
      </c>
      <c r="B12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0" spans="1:2" x14ac:dyDescent="0.25">
      <c r="A1300" s="1" t="str">
        <f t="shared" si="20"/>
        <v/>
      </c>
      <c r="B13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1" spans="1:2" x14ac:dyDescent="0.25">
      <c r="A1301" s="1" t="str">
        <f t="shared" si="20"/>
        <v/>
      </c>
      <c r="B13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2" spans="1:2" x14ac:dyDescent="0.25">
      <c r="A1302" s="1" t="str">
        <f t="shared" si="20"/>
        <v/>
      </c>
      <c r="B13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3" spans="1:2" x14ac:dyDescent="0.25">
      <c r="A1303" s="1" t="str">
        <f t="shared" si="20"/>
        <v/>
      </c>
      <c r="B13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4" spans="1:2" x14ac:dyDescent="0.25">
      <c r="A1304" s="1" t="str">
        <f t="shared" si="20"/>
        <v/>
      </c>
      <c r="B13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5" spans="1:2" x14ac:dyDescent="0.25">
      <c r="A1305" s="1" t="str">
        <f t="shared" si="20"/>
        <v/>
      </c>
      <c r="B13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6" spans="1:2" x14ac:dyDescent="0.25">
      <c r="A1306" s="1" t="str">
        <f t="shared" si="20"/>
        <v/>
      </c>
      <c r="B13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7" spans="1:2" x14ac:dyDescent="0.25">
      <c r="A1307" s="1" t="str">
        <f t="shared" si="20"/>
        <v/>
      </c>
      <c r="B13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8" spans="1:2" x14ac:dyDescent="0.25">
      <c r="A1308" s="1" t="str">
        <f t="shared" si="20"/>
        <v/>
      </c>
      <c r="B13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09" spans="1:2" x14ac:dyDescent="0.25">
      <c r="A1309" s="1" t="str">
        <f t="shared" si="20"/>
        <v/>
      </c>
      <c r="B13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0" spans="1:2" x14ac:dyDescent="0.25">
      <c r="A1310" s="1" t="str">
        <f t="shared" si="20"/>
        <v/>
      </c>
      <c r="B13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1" spans="1:2" x14ac:dyDescent="0.25">
      <c r="A1311" s="1" t="str">
        <f t="shared" si="20"/>
        <v/>
      </c>
      <c r="B13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2" spans="1:2" x14ac:dyDescent="0.25">
      <c r="A1312" s="1" t="str">
        <f t="shared" si="20"/>
        <v/>
      </c>
      <c r="B13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3" spans="1:2" x14ac:dyDescent="0.25">
      <c r="A1313" s="1" t="str">
        <f t="shared" si="20"/>
        <v/>
      </c>
      <c r="B13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4" spans="1:2" x14ac:dyDescent="0.25">
      <c r="A1314" s="1" t="str">
        <f t="shared" si="20"/>
        <v/>
      </c>
      <c r="B13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5" spans="1:2" x14ac:dyDescent="0.25">
      <c r="A1315" s="1" t="str">
        <f t="shared" si="20"/>
        <v/>
      </c>
      <c r="B13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6" spans="1:2" x14ac:dyDescent="0.25">
      <c r="A1316" s="1" t="str">
        <f t="shared" si="20"/>
        <v/>
      </c>
      <c r="B13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7" spans="1:2" x14ac:dyDescent="0.25">
      <c r="A1317" s="1" t="str">
        <f t="shared" si="20"/>
        <v/>
      </c>
      <c r="B13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8" spans="1:2" x14ac:dyDescent="0.25">
      <c r="A1318" s="1" t="str">
        <f t="shared" si="20"/>
        <v/>
      </c>
      <c r="B13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19" spans="1:2" x14ac:dyDescent="0.25">
      <c r="A1319" s="1" t="str">
        <f t="shared" si="20"/>
        <v/>
      </c>
      <c r="B13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0" spans="1:2" x14ac:dyDescent="0.25">
      <c r="A1320" s="1" t="str">
        <f t="shared" si="20"/>
        <v/>
      </c>
      <c r="B13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1" spans="1:2" x14ac:dyDescent="0.25">
      <c r="A1321" s="1" t="str">
        <f t="shared" si="20"/>
        <v/>
      </c>
      <c r="B13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2" spans="1:2" x14ac:dyDescent="0.25">
      <c r="A1322" s="1" t="str">
        <f t="shared" si="20"/>
        <v/>
      </c>
      <c r="B13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3" spans="1:2" x14ac:dyDescent="0.25">
      <c r="A1323" s="1" t="str">
        <f t="shared" si="20"/>
        <v/>
      </c>
      <c r="B13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4" spans="1:2" x14ac:dyDescent="0.25">
      <c r="A1324" s="1" t="str">
        <f t="shared" si="20"/>
        <v/>
      </c>
      <c r="B13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5" spans="1:2" x14ac:dyDescent="0.25">
      <c r="A1325" s="1" t="str">
        <f t="shared" si="20"/>
        <v/>
      </c>
      <c r="B13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6" spans="1:2" x14ac:dyDescent="0.25">
      <c r="A1326" s="1" t="str">
        <f t="shared" si="20"/>
        <v/>
      </c>
      <c r="B13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7" spans="1:2" x14ac:dyDescent="0.25">
      <c r="A1327" s="1" t="str">
        <f t="shared" si="20"/>
        <v/>
      </c>
      <c r="B13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8" spans="1:2" x14ac:dyDescent="0.25">
      <c r="A1328" s="1" t="str">
        <f t="shared" si="20"/>
        <v/>
      </c>
      <c r="B13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29" spans="1:2" x14ac:dyDescent="0.25">
      <c r="A1329" s="1" t="str">
        <f t="shared" si="20"/>
        <v/>
      </c>
      <c r="B13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0" spans="1:2" x14ac:dyDescent="0.25">
      <c r="A1330" s="1" t="str">
        <f t="shared" si="20"/>
        <v/>
      </c>
      <c r="B13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1" spans="1:2" x14ac:dyDescent="0.25">
      <c r="A1331" s="1" t="str">
        <f t="shared" ref="A1331:A1394" si="21">IFERROR(LEFT(RIGHT(C1331,LEN(C1331)-SEARCH("@",C1331)),SEARCH("/",RIGHT(C1331,LEN(C1331)-SEARCH("@",C1331)-1))),"")</f>
        <v/>
      </c>
      <c r="B13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2" spans="1:2" x14ac:dyDescent="0.25">
      <c r="A1332" s="1" t="str">
        <f t="shared" si="21"/>
        <v/>
      </c>
      <c r="B13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3" spans="1:2" x14ac:dyDescent="0.25">
      <c r="A1333" s="1" t="str">
        <f t="shared" si="21"/>
        <v/>
      </c>
      <c r="B13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4" spans="1:2" x14ac:dyDescent="0.25">
      <c r="A1334" s="1" t="str">
        <f t="shared" si="21"/>
        <v/>
      </c>
      <c r="B13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5" spans="1:2" x14ac:dyDescent="0.25">
      <c r="A1335" s="1" t="str">
        <f t="shared" si="21"/>
        <v/>
      </c>
      <c r="B13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6" spans="1:2" x14ac:dyDescent="0.25">
      <c r="A1336" s="1" t="str">
        <f t="shared" si="21"/>
        <v/>
      </c>
      <c r="B13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7" spans="1:2" x14ac:dyDescent="0.25">
      <c r="A1337" s="1" t="str">
        <f t="shared" si="21"/>
        <v/>
      </c>
      <c r="B13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8" spans="1:2" x14ac:dyDescent="0.25">
      <c r="A1338" s="1" t="str">
        <f t="shared" si="21"/>
        <v/>
      </c>
      <c r="B13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39" spans="1:2" x14ac:dyDescent="0.25">
      <c r="A1339" s="1" t="str">
        <f t="shared" si="21"/>
        <v/>
      </c>
      <c r="B13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0" spans="1:2" x14ac:dyDescent="0.25">
      <c r="A1340" s="1" t="str">
        <f t="shared" si="21"/>
        <v/>
      </c>
      <c r="B13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1" spans="1:2" x14ac:dyDescent="0.25">
      <c r="A1341" s="1" t="str">
        <f t="shared" si="21"/>
        <v/>
      </c>
      <c r="B13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2" spans="1:2" x14ac:dyDescent="0.25">
      <c r="A1342" s="1" t="str">
        <f t="shared" si="21"/>
        <v/>
      </c>
      <c r="B13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3" spans="1:2" x14ac:dyDescent="0.25">
      <c r="A1343" s="1" t="str">
        <f t="shared" si="21"/>
        <v/>
      </c>
      <c r="B13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4" spans="1:2" x14ac:dyDescent="0.25">
      <c r="A1344" s="1" t="str">
        <f t="shared" si="21"/>
        <v/>
      </c>
      <c r="B13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5" spans="1:2" x14ac:dyDescent="0.25">
      <c r="A1345" s="1" t="str">
        <f t="shared" si="21"/>
        <v/>
      </c>
      <c r="B13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6" spans="1:2" x14ac:dyDescent="0.25">
      <c r="A1346" s="1" t="str">
        <f t="shared" si="21"/>
        <v/>
      </c>
      <c r="B13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7" spans="1:2" x14ac:dyDescent="0.25">
      <c r="A1347" s="1" t="str">
        <f t="shared" si="21"/>
        <v/>
      </c>
      <c r="B13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8" spans="1:2" x14ac:dyDescent="0.25">
      <c r="A1348" s="1" t="str">
        <f t="shared" si="21"/>
        <v/>
      </c>
      <c r="B13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49" spans="1:2" x14ac:dyDescent="0.25">
      <c r="A1349" s="1" t="str">
        <f t="shared" si="21"/>
        <v/>
      </c>
      <c r="B13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0" spans="1:2" x14ac:dyDescent="0.25">
      <c r="A1350" s="1" t="str">
        <f t="shared" si="21"/>
        <v/>
      </c>
      <c r="B13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1" spans="1:2" x14ac:dyDescent="0.25">
      <c r="A1351" s="1" t="str">
        <f t="shared" si="21"/>
        <v/>
      </c>
      <c r="B13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2" spans="1:2" x14ac:dyDescent="0.25">
      <c r="A1352" s="1" t="str">
        <f t="shared" si="21"/>
        <v/>
      </c>
      <c r="B13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3" spans="1:2" x14ac:dyDescent="0.25">
      <c r="A1353" s="1" t="str">
        <f t="shared" si="21"/>
        <v/>
      </c>
      <c r="B13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4" spans="1:2" x14ac:dyDescent="0.25">
      <c r="A1354" s="1" t="str">
        <f t="shared" si="21"/>
        <v/>
      </c>
      <c r="B13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5" spans="1:2" x14ac:dyDescent="0.25">
      <c r="A1355" s="1" t="str">
        <f t="shared" si="21"/>
        <v/>
      </c>
      <c r="B13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6" spans="1:2" x14ac:dyDescent="0.25">
      <c r="A1356" s="1" t="str">
        <f t="shared" si="21"/>
        <v/>
      </c>
      <c r="B13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7" spans="1:2" x14ac:dyDescent="0.25">
      <c r="A1357" s="1" t="str">
        <f t="shared" si="21"/>
        <v/>
      </c>
      <c r="B13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8" spans="1:2" x14ac:dyDescent="0.25">
      <c r="A1358" s="1" t="str">
        <f t="shared" si="21"/>
        <v/>
      </c>
      <c r="B13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59" spans="1:2" x14ac:dyDescent="0.25">
      <c r="A1359" s="1" t="str">
        <f t="shared" si="21"/>
        <v/>
      </c>
      <c r="B13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0" spans="1:2" x14ac:dyDescent="0.25">
      <c r="A1360" s="1" t="str">
        <f t="shared" si="21"/>
        <v/>
      </c>
      <c r="B13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1" spans="1:2" x14ac:dyDescent="0.25">
      <c r="A1361" s="1" t="str">
        <f t="shared" si="21"/>
        <v/>
      </c>
      <c r="B13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2" spans="1:2" x14ac:dyDescent="0.25">
      <c r="A1362" s="1" t="str">
        <f t="shared" si="21"/>
        <v/>
      </c>
      <c r="B13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3" spans="1:2" x14ac:dyDescent="0.25">
      <c r="A1363" s="1" t="str">
        <f t="shared" si="21"/>
        <v/>
      </c>
      <c r="B13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4" spans="1:2" x14ac:dyDescent="0.25">
      <c r="A1364" s="1" t="str">
        <f t="shared" si="21"/>
        <v/>
      </c>
      <c r="B13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5" spans="1:2" x14ac:dyDescent="0.25">
      <c r="A1365" s="1" t="str">
        <f t="shared" si="21"/>
        <v/>
      </c>
      <c r="B13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6" spans="1:2" x14ac:dyDescent="0.25">
      <c r="A1366" s="1" t="str">
        <f t="shared" si="21"/>
        <v/>
      </c>
      <c r="B13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7" spans="1:2" x14ac:dyDescent="0.25">
      <c r="A1367" s="1" t="str">
        <f t="shared" si="21"/>
        <v/>
      </c>
      <c r="B13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8" spans="1:2" x14ac:dyDescent="0.25">
      <c r="A1368" s="1" t="str">
        <f t="shared" si="21"/>
        <v/>
      </c>
      <c r="B13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69" spans="1:2" x14ac:dyDescent="0.25">
      <c r="A1369" s="1" t="str">
        <f t="shared" si="21"/>
        <v/>
      </c>
      <c r="B13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0" spans="1:2" x14ac:dyDescent="0.25">
      <c r="A1370" s="1" t="str">
        <f t="shared" si="21"/>
        <v/>
      </c>
      <c r="B13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1" spans="1:2" x14ac:dyDescent="0.25">
      <c r="A1371" s="1" t="str">
        <f t="shared" si="21"/>
        <v/>
      </c>
      <c r="B13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2" spans="1:2" x14ac:dyDescent="0.25">
      <c r="A1372" s="1" t="str">
        <f t="shared" si="21"/>
        <v/>
      </c>
      <c r="B13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3" spans="1:2" x14ac:dyDescent="0.25">
      <c r="A1373" s="1" t="str">
        <f t="shared" si="21"/>
        <v/>
      </c>
      <c r="B13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4" spans="1:2" x14ac:dyDescent="0.25">
      <c r="A1374" s="1" t="str">
        <f t="shared" si="21"/>
        <v/>
      </c>
      <c r="B13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5" spans="1:2" x14ac:dyDescent="0.25">
      <c r="A1375" s="1" t="str">
        <f t="shared" si="21"/>
        <v/>
      </c>
      <c r="B13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6" spans="1:2" x14ac:dyDescent="0.25">
      <c r="A1376" s="1" t="str">
        <f t="shared" si="21"/>
        <v/>
      </c>
      <c r="B13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7" spans="1:2" x14ac:dyDescent="0.25">
      <c r="A1377" s="1" t="str">
        <f t="shared" si="21"/>
        <v/>
      </c>
      <c r="B13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8" spans="1:2" x14ac:dyDescent="0.25">
      <c r="A1378" s="1" t="str">
        <f t="shared" si="21"/>
        <v/>
      </c>
      <c r="B13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79" spans="1:2" x14ac:dyDescent="0.25">
      <c r="A1379" s="1" t="str">
        <f t="shared" si="21"/>
        <v/>
      </c>
      <c r="B13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0" spans="1:2" x14ac:dyDescent="0.25">
      <c r="A1380" s="1" t="str">
        <f t="shared" si="21"/>
        <v/>
      </c>
      <c r="B13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1" spans="1:2" x14ac:dyDescent="0.25">
      <c r="A1381" s="1" t="str">
        <f t="shared" si="21"/>
        <v/>
      </c>
      <c r="B13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2" spans="1:2" x14ac:dyDescent="0.25">
      <c r="A1382" s="1" t="str">
        <f t="shared" si="21"/>
        <v/>
      </c>
      <c r="B13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3" spans="1:2" x14ac:dyDescent="0.25">
      <c r="A1383" s="1" t="str">
        <f t="shared" si="21"/>
        <v/>
      </c>
      <c r="B13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4" spans="1:2" x14ac:dyDescent="0.25">
      <c r="A1384" s="1" t="str">
        <f t="shared" si="21"/>
        <v/>
      </c>
      <c r="B13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5" spans="1:2" x14ac:dyDescent="0.25">
      <c r="A1385" s="1" t="str">
        <f t="shared" si="21"/>
        <v/>
      </c>
      <c r="B13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6" spans="1:2" x14ac:dyDescent="0.25">
      <c r="A1386" s="1" t="str">
        <f t="shared" si="21"/>
        <v/>
      </c>
      <c r="B13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7" spans="1:2" x14ac:dyDescent="0.25">
      <c r="A1387" s="1" t="str">
        <f t="shared" si="21"/>
        <v/>
      </c>
      <c r="B13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8" spans="1:2" x14ac:dyDescent="0.25">
      <c r="A1388" s="1" t="str">
        <f t="shared" si="21"/>
        <v/>
      </c>
      <c r="B13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89" spans="1:2" x14ac:dyDescent="0.25">
      <c r="A1389" s="1" t="str">
        <f t="shared" si="21"/>
        <v/>
      </c>
      <c r="B13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0" spans="1:2" x14ac:dyDescent="0.25">
      <c r="A1390" s="1" t="str">
        <f t="shared" si="21"/>
        <v/>
      </c>
      <c r="B13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1" spans="1:2" x14ac:dyDescent="0.25">
      <c r="A1391" s="1" t="str">
        <f t="shared" si="21"/>
        <v/>
      </c>
      <c r="B13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2" spans="1:2" x14ac:dyDescent="0.25">
      <c r="A1392" s="1" t="str">
        <f t="shared" si="21"/>
        <v/>
      </c>
      <c r="B13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3" spans="1:2" x14ac:dyDescent="0.25">
      <c r="A1393" s="1" t="str">
        <f t="shared" si="21"/>
        <v/>
      </c>
      <c r="B13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4" spans="1:2" x14ac:dyDescent="0.25">
      <c r="A1394" s="1" t="str">
        <f t="shared" si="21"/>
        <v/>
      </c>
      <c r="B13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5" spans="1:2" x14ac:dyDescent="0.25">
      <c r="A1395" s="1" t="str">
        <f t="shared" ref="A1395:A1458" si="22">IFERROR(LEFT(RIGHT(C1395,LEN(C1395)-SEARCH("@",C1395)),SEARCH("/",RIGHT(C1395,LEN(C1395)-SEARCH("@",C1395)-1))),"")</f>
        <v/>
      </c>
      <c r="B13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6" spans="1:2" x14ac:dyDescent="0.25">
      <c r="A1396" s="1" t="str">
        <f t="shared" si="22"/>
        <v/>
      </c>
      <c r="B13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7" spans="1:2" x14ac:dyDescent="0.25">
      <c r="A1397" s="1" t="str">
        <f t="shared" si="22"/>
        <v/>
      </c>
      <c r="B13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8" spans="1:2" x14ac:dyDescent="0.25">
      <c r="A1398" s="1" t="str">
        <f t="shared" si="22"/>
        <v/>
      </c>
      <c r="B13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399" spans="1:2" x14ac:dyDescent="0.25">
      <c r="A1399" s="1" t="str">
        <f t="shared" si="22"/>
        <v/>
      </c>
      <c r="B13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0" spans="1:2" x14ac:dyDescent="0.25">
      <c r="A1400" s="1" t="str">
        <f t="shared" si="22"/>
        <v/>
      </c>
      <c r="B14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1" spans="1:2" x14ac:dyDescent="0.25">
      <c r="A1401" s="1" t="str">
        <f t="shared" si="22"/>
        <v/>
      </c>
      <c r="B14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2" spans="1:2" x14ac:dyDescent="0.25">
      <c r="A1402" s="1" t="str">
        <f t="shared" si="22"/>
        <v/>
      </c>
      <c r="B14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3" spans="1:2" x14ac:dyDescent="0.25">
      <c r="A1403" s="1" t="str">
        <f t="shared" si="22"/>
        <v/>
      </c>
      <c r="B14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4" spans="1:2" x14ac:dyDescent="0.25">
      <c r="A1404" s="1" t="str">
        <f t="shared" si="22"/>
        <v/>
      </c>
      <c r="B14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5" spans="1:2" x14ac:dyDescent="0.25">
      <c r="A1405" s="1" t="str">
        <f t="shared" si="22"/>
        <v/>
      </c>
      <c r="B14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6" spans="1:2" x14ac:dyDescent="0.25">
      <c r="A1406" s="1" t="str">
        <f t="shared" si="22"/>
        <v/>
      </c>
      <c r="B14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7" spans="1:2" x14ac:dyDescent="0.25">
      <c r="A1407" s="1" t="str">
        <f t="shared" si="22"/>
        <v/>
      </c>
      <c r="B14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8" spans="1:2" x14ac:dyDescent="0.25">
      <c r="A1408" s="1" t="str">
        <f t="shared" si="22"/>
        <v/>
      </c>
      <c r="B14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09" spans="1:2" x14ac:dyDescent="0.25">
      <c r="A1409" s="1" t="str">
        <f t="shared" si="22"/>
        <v/>
      </c>
      <c r="B14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0" spans="1:2" x14ac:dyDescent="0.25">
      <c r="A1410" s="1" t="str">
        <f t="shared" si="22"/>
        <v/>
      </c>
      <c r="B14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1" spans="1:2" x14ac:dyDescent="0.25">
      <c r="A1411" s="1" t="str">
        <f t="shared" si="22"/>
        <v/>
      </c>
      <c r="B14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2" spans="1:2" x14ac:dyDescent="0.25">
      <c r="A1412" s="1" t="str">
        <f t="shared" si="22"/>
        <v/>
      </c>
      <c r="B14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3" spans="1:2" x14ac:dyDescent="0.25">
      <c r="A1413" s="1" t="str">
        <f t="shared" si="22"/>
        <v/>
      </c>
      <c r="B14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4" spans="1:2" x14ac:dyDescent="0.25">
      <c r="A1414" s="1" t="str">
        <f t="shared" si="22"/>
        <v/>
      </c>
      <c r="B14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5" spans="1:2" x14ac:dyDescent="0.25">
      <c r="A1415" s="1" t="str">
        <f t="shared" si="22"/>
        <v/>
      </c>
      <c r="B14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6" spans="1:2" x14ac:dyDescent="0.25">
      <c r="A1416" s="1" t="str">
        <f t="shared" si="22"/>
        <v/>
      </c>
      <c r="B14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7" spans="1:2" x14ac:dyDescent="0.25">
      <c r="A1417" s="1" t="str">
        <f t="shared" si="22"/>
        <v/>
      </c>
      <c r="B14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8" spans="1:2" x14ac:dyDescent="0.25">
      <c r="A1418" s="1" t="str">
        <f t="shared" si="22"/>
        <v/>
      </c>
      <c r="B14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19" spans="1:2" x14ac:dyDescent="0.25">
      <c r="A1419" s="1" t="str">
        <f t="shared" si="22"/>
        <v/>
      </c>
      <c r="B14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0" spans="1:2" x14ac:dyDescent="0.25">
      <c r="A1420" s="1" t="str">
        <f t="shared" si="22"/>
        <v/>
      </c>
      <c r="B14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1" spans="1:2" x14ac:dyDescent="0.25">
      <c r="A1421" s="1" t="str">
        <f t="shared" si="22"/>
        <v/>
      </c>
      <c r="B14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2" spans="1:2" x14ac:dyDescent="0.25">
      <c r="A1422" s="1" t="str">
        <f t="shared" si="22"/>
        <v/>
      </c>
      <c r="B14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3" spans="1:2" x14ac:dyDescent="0.25">
      <c r="A1423" s="1" t="str">
        <f t="shared" si="22"/>
        <v/>
      </c>
      <c r="B14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4" spans="1:2" x14ac:dyDescent="0.25">
      <c r="A1424" s="1" t="str">
        <f t="shared" si="22"/>
        <v/>
      </c>
      <c r="B14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5" spans="1:2" x14ac:dyDescent="0.25">
      <c r="A1425" s="1" t="str">
        <f t="shared" si="22"/>
        <v/>
      </c>
      <c r="B14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6" spans="1:2" x14ac:dyDescent="0.25">
      <c r="A1426" s="1" t="str">
        <f t="shared" si="22"/>
        <v/>
      </c>
      <c r="B14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7" spans="1:2" x14ac:dyDescent="0.25">
      <c r="A1427" s="1" t="str">
        <f t="shared" si="22"/>
        <v/>
      </c>
      <c r="B14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8" spans="1:2" x14ac:dyDescent="0.25">
      <c r="A1428" s="1" t="str">
        <f t="shared" si="22"/>
        <v/>
      </c>
      <c r="B14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29" spans="1:2" x14ac:dyDescent="0.25">
      <c r="A1429" s="1" t="str">
        <f t="shared" si="22"/>
        <v/>
      </c>
      <c r="B14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0" spans="1:2" x14ac:dyDescent="0.25">
      <c r="A1430" s="1" t="str">
        <f t="shared" si="22"/>
        <v/>
      </c>
      <c r="B14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1" spans="1:2" x14ac:dyDescent="0.25">
      <c r="A1431" s="1" t="str">
        <f t="shared" si="22"/>
        <v/>
      </c>
      <c r="B14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2" spans="1:2" x14ac:dyDescent="0.25">
      <c r="A1432" s="1" t="str">
        <f t="shared" si="22"/>
        <v/>
      </c>
      <c r="B14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3" spans="1:2" x14ac:dyDescent="0.25">
      <c r="A1433" s="1" t="str">
        <f t="shared" si="22"/>
        <v/>
      </c>
      <c r="B14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4" spans="1:2" x14ac:dyDescent="0.25">
      <c r="A1434" s="1" t="str">
        <f t="shared" si="22"/>
        <v/>
      </c>
      <c r="B14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5" spans="1:2" x14ac:dyDescent="0.25">
      <c r="A1435" s="1" t="str">
        <f t="shared" si="22"/>
        <v/>
      </c>
      <c r="B14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6" spans="1:2" x14ac:dyDescent="0.25">
      <c r="A1436" s="1" t="str">
        <f t="shared" si="22"/>
        <v/>
      </c>
      <c r="B14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7" spans="1:2" x14ac:dyDescent="0.25">
      <c r="A1437" s="1" t="str">
        <f t="shared" si="22"/>
        <v/>
      </c>
      <c r="B14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8" spans="1:2" x14ac:dyDescent="0.25">
      <c r="A1438" s="1" t="str">
        <f t="shared" si="22"/>
        <v/>
      </c>
      <c r="B14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39" spans="1:2" x14ac:dyDescent="0.25">
      <c r="A1439" s="1" t="str">
        <f t="shared" si="22"/>
        <v/>
      </c>
      <c r="B14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0" spans="1:2" x14ac:dyDescent="0.25">
      <c r="A1440" s="1" t="str">
        <f t="shared" si="22"/>
        <v/>
      </c>
      <c r="B14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1" spans="1:2" x14ac:dyDescent="0.25">
      <c r="A1441" s="1" t="str">
        <f t="shared" si="22"/>
        <v/>
      </c>
      <c r="B14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2" spans="1:2" x14ac:dyDescent="0.25">
      <c r="A1442" s="1" t="str">
        <f t="shared" si="22"/>
        <v/>
      </c>
      <c r="B14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3" spans="1:2" x14ac:dyDescent="0.25">
      <c r="A1443" s="1" t="str">
        <f t="shared" si="22"/>
        <v/>
      </c>
      <c r="B14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4" spans="1:2" x14ac:dyDescent="0.25">
      <c r="A1444" s="1" t="str">
        <f t="shared" si="22"/>
        <v/>
      </c>
      <c r="B14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5" spans="1:2" x14ac:dyDescent="0.25">
      <c r="A1445" s="1" t="str">
        <f t="shared" si="22"/>
        <v/>
      </c>
      <c r="B14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6" spans="1:2" x14ac:dyDescent="0.25">
      <c r="A1446" s="1" t="str">
        <f t="shared" si="22"/>
        <v/>
      </c>
      <c r="B14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7" spans="1:2" x14ac:dyDescent="0.25">
      <c r="A1447" s="1" t="str">
        <f t="shared" si="22"/>
        <v/>
      </c>
      <c r="B14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8" spans="1:2" x14ac:dyDescent="0.25">
      <c r="A1448" s="1" t="str">
        <f t="shared" si="22"/>
        <v/>
      </c>
      <c r="B14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49" spans="1:2" x14ac:dyDescent="0.25">
      <c r="A1449" s="1" t="str">
        <f t="shared" si="22"/>
        <v/>
      </c>
      <c r="B14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0" spans="1:2" x14ac:dyDescent="0.25">
      <c r="A1450" s="1" t="str">
        <f t="shared" si="22"/>
        <v/>
      </c>
      <c r="B14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1" spans="1:2" x14ac:dyDescent="0.25">
      <c r="A1451" s="1" t="str">
        <f t="shared" si="22"/>
        <v/>
      </c>
      <c r="B14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2" spans="1:2" x14ac:dyDescent="0.25">
      <c r="A1452" s="1" t="str">
        <f t="shared" si="22"/>
        <v/>
      </c>
      <c r="B14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3" spans="1:2" x14ac:dyDescent="0.25">
      <c r="A1453" s="1" t="str">
        <f t="shared" si="22"/>
        <v/>
      </c>
      <c r="B14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4" spans="1:2" x14ac:dyDescent="0.25">
      <c r="A1454" s="1" t="str">
        <f t="shared" si="22"/>
        <v/>
      </c>
      <c r="B14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5" spans="1:2" x14ac:dyDescent="0.25">
      <c r="A1455" s="1" t="str">
        <f t="shared" si="22"/>
        <v/>
      </c>
      <c r="B14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6" spans="1:2" x14ac:dyDescent="0.25">
      <c r="A1456" s="1" t="str">
        <f t="shared" si="22"/>
        <v/>
      </c>
      <c r="B14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7" spans="1:2" x14ac:dyDescent="0.25">
      <c r="A1457" s="1" t="str">
        <f t="shared" si="22"/>
        <v/>
      </c>
      <c r="B14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8" spans="1:2" x14ac:dyDescent="0.25">
      <c r="A1458" s="1" t="str">
        <f t="shared" si="22"/>
        <v/>
      </c>
      <c r="B14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59" spans="1:2" x14ac:dyDescent="0.25">
      <c r="A1459" s="1" t="str">
        <f t="shared" ref="A1459:A1522" si="23">IFERROR(LEFT(RIGHT(C1459,LEN(C1459)-SEARCH("@",C1459)),SEARCH("/",RIGHT(C1459,LEN(C1459)-SEARCH("@",C1459)-1))),"")</f>
        <v/>
      </c>
      <c r="B14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0" spans="1:2" x14ac:dyDescent="0.25">
      <c r="A1460" s="1" t="str">
        <f t="shared" si="23"/>
        <v/>
      </c>
      <c r="B14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1" spans="1:2" x14ac:dyDescent="0.25">
      <c r="A1461" s="1" t="str">
        <f t="shared" si="23"/>
        <v/>
      </c>
      <c r="B14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2" spans="1:2" x14ac:dyDescent="0.25">
      <c r="A1462" s="1" t="str">
        <f t="shared" si="23"/>
        <v/>
      </c>
      <c r="B14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3" spans="1:2" x14ac:dyDescent="0.25">
      <c r="A1463" s="1" t="str">
        <f t="shared" si="23"/>
        <v/>
      </c>
      <c r="B14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4" spans="1:2" x14ac:dyDescent="0.25">
      <c r="A1464" s="1" t="str">
        <f t="shared" si="23"/>
        <v/>
      </c>
      <c r="B14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5" spans="1:2" x14ac:dyDescent="0.25">
      <c r="A1465" s="1" t="str">
        <f t="shared" si="23"/>
        <v/>
      </c>
      <c r="B14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6" spans="1:2" x14ac:dyDescent="0.25">
      <c r="A1466" s="1" t="str">
        <f t="shared" si="23"/>
        <v/>
      </c>
      <c r="B14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7" spans="1:2" x14ac:dyDescent="0.25">
      <c r="A1467" s="1" t="str">
        <f t="shared" si="23"/>
        <v/>
      </c>
      <c r="B14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8" spans="1:2" x14ac:dyDescent="0.25">
      <c r="A1468" s="1" t="str">
        <f t="shared" si="23"/>
        <v/>
      </c>
      <c r="B14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69" spans="1:2" x14ac:dyDescent="0.25">
      <c r="A1469" s="1" t="str">
        <f t="shared" si="23"/>
        <v/>
      </c>
      <c r="B14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0" spans="1:2" x14ac:dyDescent="0.25">
      <c r="A1470" s="1" t="str">
        <f t="shared" si="23"/>
        <v/>
      </c>
      <c r="B14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1" spans="1:2" x14ac:dyDescent="0.25">
      <c r="A1471" s="1" t="str">
        <f t="shared" si="23"/>
        <v/>
      </c>
      <c r="B14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2" spans="1:2" x14ac:dyDescent="0.25">
      <c r="A1472" s="1" t="str">
        <f t="shared" si="23"/>
        <v/>
      </c>
      <c r="B14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3" spans="1:2" x14ac:dyDescent="0.25">
      <c r="A1473" s="1" t="str">
        <f t="shared" si="23"/>
        <v/>
      </c>
      <c r="B14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4" spans="1:2" x14ac:dyDescent="0.25">
      <c r="A1474" s="1" t="str">
        <f t="shared" si="23"/>
        <v/>
      </c>
      <c r="B14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5" spans="1:2" x14ac:dyDescent="0.25">
      <c r="A1475" s="1" t="str">
        <f t="shared" si="23"/>
        <v/>
      </c>
      <c r="B14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6" spans="1:2" x14ac:dyDescent="0.25">
      <c r="A1476" s="1" t="str">
        <f t="shared" si="23"/>
        <v/>
      </c>
      <c r="B14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7" spans="1:2" x14ac:dyDescent="0.25">
      <c r="A1477" s="1" t="str">
        <f t="shared" si="23"/>
        <v/>
      </c>
      <c r="B14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8" spans="1:2" x14ac:dyDescent="0.25">
      <c r="A1478" s="1" t="str">
        <f t="shared" si="23"/>
        <v/>
      </c>
      <c r="B14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79" spans="1:2" x14ac:dyDescent="0.25">
      <c r="A1479" s="1" t="str">
        <f t="shared" si="23"/>
        <v/>
      </c>
      <c r="B14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0" spans="1:2" x14ac:dyDescent="0.25">
      <c r="A1480" s="1" t="str">
        <f t="shared" si="23"/>
        <v/>
      </c>
      <c r="B14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1" spans="1:2" x14ac:dyDescent="0.25">
      <c r="A1481" s="1" t="str">
        <f t="shared" si="23"/>
        <v/>
      </c>
      <c r="B14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2" spans="1:2" x14ac:dyDescent="0.25">
      <c r="A1482" s="1" t="str">
        <f t="shared" si="23"/>
        <v/>
      </c>
      <c r="B14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3" spans="1:2" x14ac:dyDescent="0.25">
      <c r="A1483" s="1" t="str">
        <f t="shared" si="23"/>
        <v/>
      </c>
      <c r="B14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4" spans="1:2" x14ac:dyDescent="0.25">
      <c r="A1484" s="1" t="str">
        <f t="shared" si="23"/>
        <v/>
      </c>
      <c r="B14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5" spans="1:2" x14ac:dyDescent="0.25">
      <c r="A1485" s="1" t="str">
        <f t="shared" si="23"/>
        <v/>
      </c>
      <c r="B14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6" spans="1:2" x14ac:dyDescent="0.25">
      <c r="A1486" s="1" t="str">
        <f t="shared" si="23"/>
        <v/>
      </c>
      <c r="B14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7" spans="1:2" x14ac:dyDescent="0.25">
      <c r="A1487" s="1" t="str">
        <f t="shared" si="23"/>
        <v/>
      </c>
      <c r="B14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8" spans="1:2" x14ac:dyDescent="0.25">
      <c r="A1488" s="1" t="str">
        <f t="shared" si="23"/>
        <v/>
      </c>
      <c r="B14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89" spans="1:2" x14ac:dyDescent="0.25">
      <c r="A1489" s="1" t="str">
        <f t="shared" si="23"/>
        <v/>
      </c>
      <c r="B14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0" spans="1:2" x14ac:dyDescent="0.25">
      <c r="A1490" s="1" t="str">
        <f t="shared" si="23"/>
        <v/>
      </c>
      <c r="B14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1" spans="1:2" x14ac:dyDescent="0.25">
      <c r="A1491" s="1" t="str">
        <f t="shared" si="23"/>
        <v/>
      </c>
      <c r="B14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2" spans="1:2" x14ac:dyDescent="0.25">
      <c r="A1492" s="1" t="str">
        <f t="shared" si="23"/>
        <v/>
      </c>
      <c r="B14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3" spans="1:2" x14ac:dyDescent="0.25">
      <c r="A1493" s="1" t="str">
        <f t="shared" si="23"/>
        <v/>
      </c>
      <c r="B14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4" spans="1:2" x14ac:dyDescent="0.25">
      <c r="A1494" s="1" t="str">
        <f t="shared" si="23"/>
        <v/>
      </c>
      <c r="B14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5" spans="1:2" x14ac:dyDescent="0.25">
      <c r="A1495" s="1" t="str">
        <f t="shared" si="23"/>
        <v/>
      </c>
      <c r="B14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6" spans="1:2" x14ac:dyDescent="0.25">
      <c r="A1496" s="1" t="str">
        <f t="shared" si="23"/>
        <v/>
      </c>
      <c r="B14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7" spans="1:2" x14ac:dyDescent="0.25">
      <c r="A1497" s="1" t="str">
        <f t="shared" si="23"/>
        <v/>
      </c>
      <c r="B14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8" spans="1:2" x14ac:dyDescent="0.25">
      <c r="A1498" s="1" t="str">
        <f t="shared" si="23"/>
        <v/>
      </c>
      <c r="B14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499" spans="1:2" x14ac:dyDescent="0.25">
      <c r="A1499" s="1" t="str">
        <f t="shared" si="23"/>
        <v/>
      </c>
      <c r="B14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0" spans="1:2" x14ac:dyDescent="0.25">
      <c r="A1500" s="1" t="str">
        <f t="shared" si="23"/>
        <v/>
      </c>
      <c r="B15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1" spans="1:2" x14ac:dyDescent="0.25">
      <c r="A1501" s="1" t="str">
        <f t="shared" si="23"/>
        <v/>
      </c>
      <c r="B15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2" spans="1:2" x14ac:dyDescent="0.25">
      <c r="A1502" s="1" t="str">
        <f t="shared" si="23"/>
        <v/>
      </c>
      <c r="B15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3" spans="1:2" x14ac:dyDescent="0.25">
      <c r="A1503" s="1" t="str">
        <f t="shared" si="23"/>
        <v/>
      </c>
      <c r="B15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4" spans="1:2" x14ac:dyDescent="0.25">
      <c r="A1504" s="1" t="str">
        <f t="shared" si="23"/>
        <v/>
      </c>
      <c r="B15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5" spans="1:2" x14ac:dyDescent="0.25">
      <c r="A1505" s="1" t="str">
        <f t="shared" si="23"/>
        <v/>
      </c>
      <c r="B15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6" spans="1:2" x14ac:dyDescent="0.25">
      <c r="A1506" s="1" t="str">
        <f t="shared" si="23"/>
        <v/>
      </c>
      <c r="B15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7" spans="1:2" x14ac:dyDescent="0.25">
      <c r="A1507" s="1" t="str">
        <f t="shared" si="23"/>
        <v/>
      </c>
      <c r="B15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8" spans="1:2" x14ac:dyDescent="0.25">
      <c r="A1508" s="1" t="str">
        <f t="shared" si="23"/>
        <v/>
      </c>
      <c r="B15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09" spans="1:2" x14ac:dyDescent="0.25">
      <c r="A1509" s="1" t="str">
        <f t="shared" si="23"/>
        <v/>
      </c>
      <c r="B15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0" spans="1:2" x14ac:dyDescent="0.25">
      <c r="A1510" s="1" t="str">
        <f t="shared" si="23"/>
        <v/>
      </c>
      <c r="B15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1" spans="1:2" x14ac:dyDescent="0.25">
      <c r="A1511" s="1" t="str">
        <f t="shared" si="23"/>
        <v/>
      </c>
      <c r="B15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2" spans="1:2" x14ac:dyDescent="0.25">
      <c r="A1512" s="1" t="str">
        <f t="shared" si="23"/>
        <v/>
      </c>
      <c r="B15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3" spans="1:2" x14ac:dyDescent="0.25">
      <c r="A1513" s="1" t="str">
        <f t="shared" si="23"/>
        <v/>
      </c>
      <c r="B15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4" spans="1:2" x14ac:dyDescent="0.25">
      <c r="A1514" s="1" t="str">
        <f t="shared" si="23"/>
        <v/>
      </c>
      <c r="B15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5" spans="1:2" x14ac:dyDescent="0.25">
      <c r="A1515" s="1" t="str">
        <f t="shared" si="23"/>
        <v/>
      </c>
      <c r="B15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6" spans="1:2" x14ac:dyDescent="0.25">
      <c r="A1516" s="1" t="str">
        <f t="shared" si="23"/>
        <v/>
      </c>
      <c r="B15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7" spans="1:2" x14ac:dyDescent="0.25">
      <c r="A1517" s="1" t="str">
        <f t="shared" si="23"/>
        <v/>
      </c>
      <c r="B15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8" spans="1:2" x14ac:dyDescent="0.25">
      <c r="A1518" s="1" t="str">
        <f t="shared" si="23"/>
        <v/>
      </c>
      <c r="B15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19" spans="1:2" x14ac:dyDescent="0.25">
      <c r="A1519" s="1" t="str">
        <f t="shared" si="23"/>
        <v/>
      </c>
      <c r="B15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0" spans="1:2" x14ac:dyDescent="0.25">
      <c r="A1520" s="1" t="str">
        <f t="shared" si="23"/>
        <v/>
      </c>
      <c r="B15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1" spans="1:2" x14ac:dyDescent="0.25">
      <c r="A1521" s="1" t="str">
        <f t="shared" si="23"/>
        <v/>
      </c>
      <c r="B15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2" spans="1:2" x14ac:dyDescent="0.25">
      <c r="A1522" s="1" t="str">
        <f t="shared" si="23"/>
        <v/>
      </c>
      <c r="B15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3" spans="1:2" x14ac:dyDescent="0.25">
      <c r="A1523" s="1" t="str">
        <f t="shared" ref="A1523:A1586" si="24">IFERROR(LEFT(RIGHT(C1523,LEN(C1523)-SEARCH("@",C1523)),SEARCH("/",RIGHT(C1523,LEN(C1523)-SEARCH("@",C1523)-1))),"")</f>
        <v/>
      </c>
      <c r="B15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4" spans="1:2" x14ac:dyDescent="0.25">
      <c r="A1524" s="1" t="str">
        <f t="shared" si="24"/>
        <v/>
      </c>
      <c r="B15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5" spans="1:2" x14ac:dyDescent="0.25">
      <c r="A1525" s="1" t="str">
        <f t="shared" si="24"/>
        <v/>
      </c>
      <c r="B15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6" spans="1:2" x14ac:dyDescent="0.25">
      <c r="A1526" s="1" t="str">
        <f t="shared" si="24"/>
        <v/>
      </c>
      <c r="B15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7" spans="1:2" x14ac:dyDescent="0.25">
      <c r="A1527" s="1" t="str">
        <f t="shared" si="24"/>
        <v/>
      </c>
      <c r="B15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8" spans="1:2" x14ac:dyDescent="0.25">
      <c r="A1528" s="1" t="str">
        <f t="shared" si="24"/>
        <v/>
      </c>
      <c r="B15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29" spans="1:2" x14ac:dyDescent="0.25">
      <c r="A1529" s="1" t="str">
        <f t="shared" si="24"/>
        <v/>
      </c>
      <c r="B15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0" spans="1:2" x14ac:dyDescent="0.25">
      <c r="A1530" s="1" t="str">
        <f t="shared" si="24"/>
        <v/>
      </c>
      <c r="B15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1" spans="1:2" x14ac:dyDescent="0.25">
      <c r="A1531" s="1" t="str">
        <f t="shared" si="24"/>
        <v/>
      </c>
      <c r="B15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2" spans="1:2" x14ac:dyDescent="0.25">
      <c r="A1532" s="1" t="str">
        <f t="shared" si="24"/>
        <v/>
      </c>
      <c r="B15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3" spans="1:2" x14ac:dyDescent="0.25">
      <c r="A1533" s="1" t="str">
        <f t="shared" si="24"/>
        <v/>
      </c>
      <c r="B15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4" spans="1:2" x14ac:dyDescent="0.25">
      <c r="A1534" s="1" t="str">
        <f t="shared" si="24"/>
        <v/>
      </c>
      <c r="B15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5" spans="1:2" x14ac:dyDescent="0.25">
      <c r="A1535" s="1" t="str">
        <f t="shared" si="24"/>
        <v/>
      </c>
      <c r="B15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6" spans="1:2" x14ac:dyDescent="0.25">
      <c r="A1536" s="1" t="str">
        <f t="shared" si="24"/>
        <v/>
      </c>
      <c r="B15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7" spans="1:2" x14ac:dyDescent="0.25">
      <c r="A1537" s="1" t="str">
        <f t="shared" si="24"/>
        <v/>
      </c>
      <c r="B15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8" spans="1:2" x14ac:dyDescent="0.25">
      <c r="A1538" s="1" t="str">
        <f t="shared" si="24"/>
        <v/>
      </c>
      <c r="B15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39" spans="1:2" x14ac:dyDescent="0.25">
      <c r="A1539" s="1" t="str">
        <f t="shared" si="24"/>
        <v/>
      </c>
      <c r="B15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0" spans="1:2" x14ac:dyDescent="0.25">
      <c r="A1540" s="1" t="str">
        <f t="shared" si="24"/>
        <v/>
      </c>
      <c r="B15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1" spans="1:2" x14ac:dyDescent="0.25">
      <c r="A1541" s="1" t="str">
        <f t="shared" si="24"/>
        <v/>
      </c>
      <c r="B15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2" spans="1:2" x14ac:dyDescent="0.25">
      <c r="A1542" s="1" t="str">
        <f t="shared" si="24"/>
        <v/>
      </c>
      <c r="B15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3" spans="1:2" x14ac:dyDescent="0.25">
      <c r="A1543" s="1" t="str">
        <f t="shared" si="24"/>
        <v/>
      </c>
      <c r="B15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4" spans="1:2" x14ac:dyDescent="0.25">
      <c r="A1544" s="1" t="str">
        <f t="shared" si="24"/>
        <v/>
      </c>
      <c r="B15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5" spans="1:2" x14ac:dyDescent="0.25">
      <c r="A1545" s="1" t="str">
        <f t="shared" si="24"/>
        <v/>
      </c>
      <c r="B15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6" spans="1:2" x14ac:dyDescent="0.25">
      <c r="A1546" s="1" t="str">
        <f t="shared" si="24"/>
        <v/>
      </c>
      <c r="B15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7" spans="1:2" x14ac:dyDescent="0.25">
      <c r="A1547" s="1" t="str">
        <f t="shared" si="24"/>
        <v/>
      </c>
      <c r="B15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8" spans="1:2" x14ac:dyDescent="0.25">
      <c r="A1548" s="1" t="str">
        <f t="shared" si="24"/>
        <v/>
      </c>
      <c r="B15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49" spans="1:2" x14ac:dyDescent="0.25">
      <c r="A1549" s="1" t="str">
        <f t="shared" si="24"/>
        <v/>
      </c>
      <c r="B15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0" spans="1:2" x14ac:dyDescent="0.25">
      <c r="A1550" s="1" t="str">
        <f t="shared" si="24"/>
        <v/>
      </c>
      <c r="B15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1" spans="1:2" x14ac:dyDescent="0.25">
      <c r="A1551" s="1" t="str">
        <f t="shared" si="24"/>
        <v/>
      </c>
      <c r="B15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2" spans="1:2" x14ac:dyDescent="0.25">
      <c r="A1552" s="1" t="str">
        <f t="shared" si="24"/>
        <v/>
      </c>
      <c r="B15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3" spans="1:2" x14ac:dyDescent="0.25">
      <c r="A1553" s="1" t="str">
        <f t="shared" si="24"/>
        <v/>
      </c>
      <c r="B15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4" spans="1:2" x14ac:dyDescent="0.25">
      <c r="A1554" s="1" t="str">
        <f t="shared" si="24"/>
        <v/>
      </c>
      <c r="B15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5" spans="1:2" x14ac:dyDescent="0.25">
      <c r="A1555" s="1" t="str">
        <f t="shared" si="24"/>
        <v/>
      </c>
      <c r="B15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6" spans="1:2" x14ac:dyDescent="0.25">
      <c r="A1556" s="1" t="str">
        <f t="shared" si="24"/>
        <v/>
      </c>
      <c r="B15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7" spans="1:2" x14ac:dyDescent="0.25">
      <c r="A1557" s="1" t="str">
        <f t="shared" si="24"/>
        <v/>
      </c>
      <c r="B15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8" spans="1:2" x14ac:dyDescent="0.25">
      <c r="A1558" s="1" t="str">
        <f t="shared" si="24"/>
        <v/>
      </c>
      <c r="B15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59" spans="1:2" x14ac:dyDescent="0.25">
      <c r="A1559" s="1" t="str">
        <f t="shared" si="24"/>
        <v/>
      </c>
      <c r="B15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0" spans="1:2" x14ac:dyDescent="0.25">
      <c r="A1560" s="1" t="str">
        <f t="shared" si="24"/>
        <v/>
      </c>
      <c r="B15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1" spans="1:2" x14ac:dyDescent="0.25">
      <c r="A1561" s="1" t="str">
        <f t="shared" si="24"/>
        <v/>
      </c>
      <c r="B15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2" spans="1:2" x14ac:dyDescent="0.25">
      <c r="A1562" s="1" t="str">
        <f t="shared" si="24"/>
        <v/>
      </c>
      <c r="B15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3" spans="1:2" x14ac:dyDescent="0.25">
      <c r="A1563" s="1" t="str">
        <f t="shared" si="24"/>
        <v/>
      </c>
      <c r="B15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4" spans="1:2" x14ac:dyDescent="0.25">
      <c r="A1564" s="1" t="str">
        <f t="shared" si="24"/>
        <v/>
      </c>
      <c r="B15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5" spans="1:2" x14ac:dyDescent="0.25">
      <c r="A1565" s="1" t="str">
        <f t="shared" si="24"/>
        <v/>
      </c>
      <c r="B15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6" spans="1:2" x14ac:dyDescent="0.25">
      <c r="A1566" s="1" t="str">
        <f t="shared" si="24"/>
        <v/>
      </c>
      <c r="B15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7" spans="1:2" x14ac:dyDescent="0.25">
      <c r="A1567" s="1" t="str">
        <f t="shared" si="24"/>
        <v/>
      </c>
      <c r="B15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8" spans="1:2" x14ac:dyDescent="0.25">
      <c r="A1568" s="1" t="str">
        <f t="shared" si="24"/>
        <v/>
      </c>
      <c r="B15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69" spans="1:2" x14ac:dyDescent="0.25">
      <c r="A1569" s="1" t="str">
        <f t="shared" si="24"/>
        <v/>
      </c>
      <c r="B15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0" spans="1:2" x14ac:dyDescent="0.25">
      <c r="A1570" s="1" t="str">
        <f t="shared" si="24"/>
        <v/>
      </c>
      <c r="B15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1" spans="1:2" x14ac:dyDescent="0.25">
      <c r="A1571" s="1" t="str">
        <f t="shared" si="24"/>
        <v/>
      </c>
      <c r="B15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2" spans="1:2" x14ac:dyDescent="0.25">
      <c r="A1572" s="1" t="str">
        <f t="shared" si="24"/>
        <v/>
      </c>
      <c r="B15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3" spans="1:2" x14ac:dyDescent="0.25">
      <c r="A1573" s="1" t="str">
        <f t="shared" si="24"/>
        <v/>
      </c>
      <c r="B15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4" spans="1:2" x14ac:dyDescent="0.25">
      <c r="A1574" s="1" t="str">
        <f t="shared" si="24"/>
        <v/>
      </c>
      <c r="B15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5" spans="1:2" x14ac:dyDescent="0.25">
      <c r="A1575" s="1" t="str">
        <f t="shared" si="24"/>
        <v/>
      </c>
      <c r="B15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6" spans="1:2" x14ac:dyDescent="0.25">
      <c r="A1576" s="1" t="str">
        <f t="shared" si="24"/>
        <v/>
      </c>
      <c r="B15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7" spans="1:2" x14ac:dyDescent="0.25">
      <c r="A1577" s="1" t="str">
        <f t="shared" si="24"/>
        <v/>
      </c>
      <c r="B15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8" spans="1:2" x14ac:dyDescent="0.25">
      <c r="A1578" s="1" t="str">
        <f t="shared" si="24"/>
        <v/>
      </c>
      <c r="B15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79" spans="1:2" x14ac:dyDescent="0.25">
      <c r="A1579" s="1" t="str">
        <f t="shared" si="24"/>
        <v/>
      </c>
      <c r="B15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0" spans="1:2" x14ac:dyDescent="0.25">
      <c r="A1580" s="1" t="str">
        <f t="shared" si="24"/>
        <v/>
      </c>
      <c r="B15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1" spans="1:2" x14ac:dyDescent="0.25">
      <c r="A1581" s="1" t="str">
        <f t="shared" si="24"/>
        <v/>
      </c>
      <c r="B15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2" spans="1:2" x14ac:dyDescent="0.25">
      <c r="A1582" s="1" t="str">
        <f t="shared" si="24"/>
        <v/>
      </c>
      <c r="B15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3" spans="1:2" x14ac:dyDescent="0.25">
      <c r="A1583" s="1" t="str">
        <f t="shared" si="24"/>
        <v/>
      </c>
      <c r="B15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4" spans="1:2" x14ac:dyDescent="0.25">
      <c r="A1584" s="1" t="str">
        <f t="shared" si="24"/>
        <v/>
      </c>
      <c r="B15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5" spans="1:2" x14ac:dyDescent="0.25">
      <c r="A1585" s="1" t="str">
        <f t="shared" si="24"/>
        <v/>
      </c>
      <c r="B15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6" spans="1:2" x14ac:dyDescent="0.25">
      <c r="A1586" s="1" t="str">
        <f t="shared" si="24"/>
        <v/>
      </c>
      <c r="B15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7" spans="1:2" x14ac:dyDescent="0.25">
      <c r="A1587" s="1" t="str">
        <f t="shared" ref="A1587:A1650" si="25">IFERROR(LEFT(RIGHT(C1587,LEN(C1587)-SEARCH("@",C1587)),SEARCH("/",RIGHT(C1587,LEN(C1587)-SEARCH("@",C1587)-1))),"")</f>
        <v/>
      </c>
      <c r="B15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8" spans="1:2" x14ac:dyDescent="0.25">
      <c r="A1588" s="1" t="str">
        <f t="shared" si="25"/>
        <v/>
      </c>
      <c r="B15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89" spans="1:2" x14ac:dyDescent="0.25">
      <c r="A1589" s="1" t="str">
        <f t="shared" si="25"/>
        <v/>
      </c>
      <c r="B15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0" spans="1:2" x14ac:dyDescent="0.25">
      <c r="A1590" s="1" t="str">
        <f t="shared" si="25"/>
        <v/>
      </c>
      <c r="B15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1" spans="1:2" x14ac:dyDescent="0.25">
      <c r="A1591" s="1" t="str">
        <f t="shared" si="25"/>
        <v/>
      </c>
      <c r="B15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2" spans="1:2" x14ac:dyDescent="0.25">
      <c r="A1592" s="1" t="str">
        <f t="shared" si="25"/>
        <v/>
      </c>
      <c r="B15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3" spans="1:2" x14ac:dyDescent="0.25">
      <c r="A1593" s="1" t="str">
        <f t="shared" si="25"/>
        <v/>
      </c>
      <c r="B15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4" spans="1:2" x14ac:dyDescent="0.25">
      <c r="A1594" s="1" t="str">
        <f t="shared" si="25"/>
        <v/>
      </c>
      <c r="B15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5" spans="1:2" x14ac:dyDescent="0.25">
      <c r="A1595" s="1" t="str">
        <f t="shared" si="25"/>
        <v/>
      </c>
      <c r="B15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6" spans="1:2" x14ac:dyDescent="0.25">
      <c r="A1596" s="1" t="str">
        <f t="shared" si="25"/>
        <v/>
      </c>
      <c r="B15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7" spans="1:2" x14ac:dyDescent="0.25">
      <c r="A1597" s="1" t="str">
        <f t="shared" si="25"/>
        <v/>
      </c>
      <c r="B15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8" spans="1:2" x14ac:dyDescent="0.25">
      <c r="A1598" s="1" t="str">
        <f t="shared" si="25"/>
        <v/>
      </c>
      <c r="B15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599" spans="1:2" x14ac:dyDescent="0.25">
      <c r="A1599" s="1" t="str">
        <f t="shared" si="25"/>
        <v/>
      </c>
      <c r="B15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0" spans="1:2" x14ac:dyDescent="0.25">
      <c r="A1600" s="1" t="str">
        <f t="shared" si="25"/>
        <v/>
      </c>
      <c r="B16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1" spans="1:2" x14ac:dyDescent="0.25">
      <c r="A1601" s="1" t="str">
        <f t="shared" si="25"/>
        <v/>
      </c>
      <c r="B16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2" spans="1:2" x14ac:dyDescent="0.25">
      <c r="A1602" s="1" t="str">
        <f t="shared" si="25"/>
        <v/>
      </c>
      <c r="B16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3" spans="1:2" x14ac:dyDescent="0.25">
      <c r="A1603" s="1" t="str">
        <f t="shared" si="25"/>
        <v/>
      </c>
      <c r="B16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4" spans="1:2" x14ac:dyDescent="0.25">
      <c r="A1604" s="1" t="str">
        <f t="shared" si="25"/>
        <v/>
      </c>
      <c r="B16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5" spans="1:2" x14ac:dyDescent="0.25">
      <c r="A1605" s="1" t="str">
        <f t="shared" si="25"/>
        <v/>
      </c>
      <c r="B16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6" spans="1:2" x14ac:dyDescent="0.25">
      <c r="A1606" s="1" t="str">
        <f t="shared" si="25"/>
        <v/>
      </c>
      <c r="B16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7" spans="1:2" x14ac:dyDescent="0.25">
      <c r="A1607" s="1" t="str">
        <f t="shared" si="25"/>
        <v/>
      </c>
      <c r="B16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8" spans="1:2" x14ac:dyDescent="0.25">
      <c r="A1608" s="1" t="str">
        <f t="shared" si="25"/>
        <v/>
      </c>
      <c r="B16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09" spans="1:2" x14ac:dyDescent="0.25">
      <c r="A1609" s="1" t="str">
        <f t="shared" si="25"/>
        <v/>
      </c>
      <c r="B16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0" spans="1:2" x14ac:dyDescent="0.25">
      <c r="A1610" s="1" t="str">
        <f t="shared" si="25"/>
        <v/>
      </c>
      <c r="B16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1" spans="1:2" x14ac:dyDescent="0.25">
      <c r="A1611" s="1" t="str">
        <f t="shared" si="25"/>
        <v/>
      </c>
      <c r="B16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2" spans="1:2" x14ac:dyDescent="0.25">
      <c r="A1612" s="1" t="str">
        <f t="shared" si="25"/>
        <v/>
      </c>
      <c r="B161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3" spans="1:2" x14ac:dyDescent="0.25">
      <c r="A1613" s="1" t="str">
        <f t="shared" si="25"/>
        <v/>
      </c>
      <c r="B161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4" spans="1:2" x14ac:dyDescent="0.25">
      <c r="A1614" s="1" t="str">
        <f t="shared" si="25"/>
        <v/>
      </c>
      <c r="B161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5" spans="1:2" x14ac:dyDescent="0.25">
      <c r="A1615" s="1" t="str">
        <f t="shared" si="25"/>
        <v/>
      </c>
      <c r="B161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6" spans="1:2" x14ac:dyDescent="0.25">
      <c r="A1616" s="1" t="str">
        <f t="shared" si="25"/>
        <v/>
      </c>
      <c r="B161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7" spans="1:2" x14ac:dyDescent="0.25">
      <c r="A1617" s="1" t="str">
        <f t="shared" si="25"/>
        <v/>
      </c>
      <c r="B161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8" spans="1:2" x14ac:dyDescent="0.25">
      <c r="A1618" s="1" t="str">
        <f t="shared" si="25"/>
        <v/>
      </c>
      <c r="B161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19" spans="1:2" x14ac:dyDescent="0.25">
      <c r="A1619" s="1" t="str">
        <f t="shared" si="25"/>
        <v/>
      </c>
      <c r="B161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0" spans="1:2" x14ac:dyDescent="0.25">
      <c r="A1620" s="1" t="str">
        <f t="shared" si="25"/>
        <v/>
      </c>
      <c r="B162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1" spans="1:2" x14ac:dyDescent="0.25">
      <c r="A1621" s="1" t="str">
        <f t="shared" si="25"/>
        <v/>
      </c>
      <c r="B162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2" spans="1:2" x14ac:dyDescent="0.25">
      <c r="A1622" s="1" t="str">
        <f t="shared" si="25"/>
        <v/>
      </c>
      <c r="B162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3" spans="1:2" x14ac:dyDescent="0.25">
      <c r="A1623" s="1" t="str">
        <f t="shared" si="25"/>
        <v/>
      </c>
      <c r="B162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4" spans="1:2" x14ac:dyDescent="0.25">
      <c r="A1624" s="1" t="str">
        <f t="shared" si="25"/>
        <v/>
      </c>
      <c r="B162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5" spans="1:2" x14ac:dyDescent="0.25">
      <c r="A1625" s="1" t="str">
        <f t="shared" si="25"/>
        <v/>
      </c>
      <c r="B162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6" spans="1:2" x14ac:dyDescent="0.25">
      <c r="A1626" s="1" t="str">
        <f t="shared" si="25"/>
        <v/>
      </c>
      <c r="B162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7" spans="1:2" x14ac:dyDescent="0.25">
      <c r="A1627" s="1" t="str">
        <f t="shared" si="25"/>
        <v/>
      </c>
      <c r="B162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8" spans="1:2" x14ac:dyDescent="0.25">
      <c r="A1628" s="1" t="str">
        <f t="shared" si="25"/>
        <v/>
      </c>
      <c r="B162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29" spans="1:2" x14ac:dyDescent="0.25">
      <c r="A1629" s="1" t="str">
        <f t="shared" si="25"/>
        <v/>
      </c>
      <c r="B162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0" spans="1:2" x14ac:dyDescent="0.25">
      <c r="A1630" s="1" t="str">
        <f t="shared" si="25"/>
        <v/>
      </c>
      <c r="B163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1" spans="1:2" x14ac:dyDescent="0.25">
      <c r="A1631" s="1" t="str">
        <f t="shared" si="25"/>
        <v/>
      </c>
      <c r="B163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2" spans="1:2" x14ac:dyDescent="0.25">
      <c r="A1632" s="1" t="str">
        <f t="shared" si="25"/>
        <v/>
      </c>
      <c r="B163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3" spans="1:2" x14ac:dyDescent="0.25">
      <c r="A1633" s="1" t="str">
        <f t="shared" si="25"/>
        <v/>
      </c>
      <c r="B163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4" spans="1:2" x14ac:dyDescent="0.25">
      <c r="A1634" s="1" t="str">
        <f t="shared" si="25"/>
        <v/>
      </c>
      <c r="B163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5" spans="1:2" x14ac:dyDescent="0.25">
      <c r="A1635" s="1" t="str">
        <f t="shared" si="25"/>
        <v/>
      </c>
      <c r="B163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6" spans="1:2" x14ac:dyDescent="0.25">
      <c r="A1636" s="1" t="str">
        <f t="shared" si="25"/>
        <v/>
      </c>
      <c r="B163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7" spans="1:2" x14ac:dyDescent="0.25">
      <c r="A1637" s="1" t="str">
        <f t="shared" si="25"/>
        <v/>
      </c>
      <c r="B163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8" spans="1:2" x14ac:dyDescent="0.25">
      <c r="A1638" s="1" t="str">
        <f t="shared" si="25"/>
        <v/>
      </c>
      <c r="B163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39" spans="1:2" x14ac:dyDescent="0.25">
      <c r="A1639" s="1" t="str">
        <f t="shared" si="25"/>
        <v/>
      </c>
      <c r="B163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0" spans="1:2" x14ac:dyDescent="0.25">
      <c r="A1640" s="1" t="str">
        <f t="shared" si="25"/>
        <v/>
      </c>
      <c r="B164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1" spans="1:2" x14ac:dyDescent="0.25">
      <c r="A1641" s="1" t="str">
        <f t="shared" si="25"/>
        <v/>
      </c>
      <c r="B164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2" spans="1:2" x14ac:dyDescent="0.25">
      <c r="A1642" s="1" t="str">
        <f t="shared" si="25"/>
        <v/>
      </c>
      <c r="B164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3" spans="1:2" x14ac:dyDescent="0.25">
      <c r="A1643" s="1" t="str">
        <f t="shared" si="25"/>
        <v/>
      </c>
      <c r="B164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4" spans="1:2" x14ac:dyDescent="0.25">
      <c r="A1644" s="1" t="str">
        <f t="shared" si="25"/>
        <v/>
      </c>
      <c r="B164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5" spans="1:2" x14ac:dyDescent="0.25">
      <c r="A1645" s="1" t="str">
        <f t="shared" si="25"/>
        <v/>
      </c>
      <c r="B164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6" spans="1:2" x14ac:dyDescent="0.25">
      <c r="A1646" s="1" t="str">
        <f t="shared" si="25"/>
        <v/>
      </c>
      <c r="B164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7" spans="1:2" x14ac:dyDescent="0.25">
      <c r="A1647" s="1" t="str">
        <f t="shared" si="25"/>
        <v/>
      </c>
      <c r="B164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8" spans="1:2" x14ac:dyDescent="0.25">
      <c r="A1648" s="1" t="str">
        <f t="shared" si="25"/>
        <v/>
      </c>
      <c r="B164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49" spans="1:2" x14ac:dyDescent="0.25">
      <c r="A1649" s="1" t="str">
        <f t="shared" si="25"/>
        <v/>
      </c>
      <c r="B164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0" spans="1:2" x14ac:dyDescent="0.25">
      <c r="A1650" s="1" t="str">
        <f t="shared" si="25"/>
        <v/>
      </c>
      <c r="B165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1" spans="1:2" x14ac:dyDescent="0.25">
      <c r="A1651" s="1" t="str">
        <f t="shared" ref="A1651:A1711" si="26">IFERROR(LEFT(RIGHT(C1651,LEN(C1651)-SEARCH("@",C1651)),SEARCH("/",RIGHT(C1651,LEN(C1651)-SEARCH("@",C1651)-1))),"")</f>
        <v/>
      </c>
      <c r="B165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2" spans="1:2" x14ac:dyDescent="0.25">
      <c r="A1652" s="1" t="str">
        <f t="shared" si="26"/>
        <v/>
      </c>
      <c r="B165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3" spans="1:2" x14ac:dyDescent="0.25">
      <c r="A1653" s="1" t="str">
        <f t="shared" si="26"/>
        <v/>
      </c>
      <c r="B165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4" spans="1:2" x14ac:dyDescent="0.25">
      <c r="A1654" s="1" t="str">
        <f t="shared" si="26"/>
        <v/>
      </c>
      <c r="B165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5" spans="1:2" x14ac:dyDescent="0.25">
      <c r="A1655" s="1" t="str">
        <f t="shared" si="26"/>
        <v/>
      </c>
      <c r="B165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6" spans="1:2" x14ac:dyDescent="0.25">
      <c r="A1656" s="1" t="str">
        <f t="shared" si="26"/>
        <v/>
      </c>
      <c r="B165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7" spans="1:2" x14ac:dyDescent="0.25">
      <c r="A1657" s="1" t="str">
        <f t="shared" si="26"/>
        <v/>
      </c>
      <c r="B165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8" spans="1:2" x14ac:dyDescent="0.25">
      <c r="A1658" s="1" t="str">
        <f t="shared" si="26"/>
        <v/>
      </c>
      <c r="B165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59" spans="1:2" x14ac:dyDescent="0.25">
      <c r="A1659" s="1" t="str">
        <f t="shared" si="26"/>
        <v/>
      </c>
      <c r="B165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0" spans="1:2" x14ac:dyDescent="0.25">
      <c r="A1660" s="1" t="str">
        <f t="shared" si="26"/>
        <v/>
      </c>
      <c r="B166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1" spans="1:2" x14ac:dyDescent="0.25">
      <c r="A1661" s="1" t="str">
        <f t="shared" si="26"/>
        <v/>
      </c>
      <c r="B166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2" spans="1:2" x14ac:dyDescent="0.25">
      <c r="A1662" s="1" t="str">
        <f t="shared" si="26"/>
        <v/>
      </c>
      <c r="B166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3" spans="1:2" x14ac:dyDescent="0.25">
      <c r="A1663" s="1" t="str">
        <f t="shared" si="26"/>
        <v/>
      </c>
      <c r="B166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4" spans="1:2" x14ac:dyDescent="0.25">
      <c r="A1664" s="1" t="str">
        <f t="shared" si="26"/>
        <v/>
      </c>
      <c r="B166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5" spans="1:2" x14ac:dyDescent="0.25">
      <c r="A1665" s="1" t="str">
        <f t="shared" si="26"/>
        <v/>
      </c>
      <c r="B166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6" spans="1:2" x14ac:dyDescent="0.25">
      <c r="A1666" s="1" t="str">
        <f t="shared" si="26"/>
        <v/>
      </c>
      <c r="B166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7" spans="1:2" x14ac:dyDescent="0.25">
      <c r="A1667" s="1" t="str">
        <f t="shared" si="26"/>
        <v/>
      </c>
      <c r="B166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8" spans="1:2" x14ac:dyDescent="0.25">
      <c r="A1668" s="1" t="str">
        <f t="shared" si="26"/>
        <v/>
      </c>
      <c r="B166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69" spans="1:2" x14ac:dyDescent="0.25">
      <c r="A1669" s="1" t="str">
        <f t="shared" si="26"/>
        <v/>
      </c>
      <c r="B166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0" spans="1:2" x14ac:dyDescent="0.25">
      <c r="A1670" s="1" t="str">
        <f t="shared" si="26"/>
        <v/>
      </c>
      <c r="B167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1" spans="1:2" x14ac:dyDescent="0.25">
      <c r="A1671" s="1" t="str">
        <f t="shared" si="26"/>
        <v/>
      </c>
      <c r="B167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2" spans="1:2" x14ac:dyDescent="0.25">
      <c r="A1672" s="1" t="str">
        <f t="shared" si="26"/>
        <v/>
      </c>
      <c r="B167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3" spans="1:2" x14ac:dyDescent="0.25">
      <c r="A1673" s="1" t="str">
        <f t="shared" si="26"/>
        <v/>
      </c>
      <c r="B167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4" spans="1:2" x14ac:dyDescent="0.25">
      <c r="A1674" s="1" t="str">
        <f t="shared" si="26"/>
        <v/>
      </c>
      <c r="B167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5" spans="1:2" x14ac:dyDescent="0.25">
      <c r="A1675" s="1" t="str">
        <f t="shared" si="26"/>
        <v/>
      </c>
      <c r="B167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6" spans="1:2" x14ac:dyDescent="0.25">
      <c r="A1676" s="1" t="str">
        <f t="shared" si="26"/>
        <v/>
      </c>
      <c r="B167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7" spans="1:2" x14ac:dyDescent="0.25">
      <c r="A1677" s="1" t="str">
        <f t="shared" si="26"/>
        <v/>
      </c>
      <c r="B167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8" spans="1:2" x14ac:dyDescent="0.25">
      <c r="A1678" s="1" t="str">
        <f t="shared" si="26"/>
        <v/>
      </c>
      <c r="B167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79" spans="1:2" x14ac:dyDescent="0.25">
      <c r="A1679" s="1" t="str">
        <f t="shared" si="26"/>
        <v/>
      </c>
      <c r="B167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0" spans="1:2" x14ac:dyDescent="0.25">
      <c r="A1680" s="1" t="str">
        <f t="shared" si="26"/>
        <v/>
      </c>
      <c r="B168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1" spans="1:2" x14ac:dyDescent="0.25">
      <c r="A1681" s="1" t="str">
        <f t="shared" si="26"/>
        <v/>
      </c>
      <c r="B168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2" spans="1:2" x14ac:dyDescent="0.25">
      <c r="A1682" s="1" t="str">
        <f t="shared" si="26"/>
        <v/>
      </c>
      <c r="B168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3" spans="1:2" x14ac:dyDescent="0.25">
      <c r="A1683" s="1" t="str">
        <f t="shared" si="26"/>
        <v/>
      </c>
      <c r="B168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4" spans="1:2" x14ac:dyDescent="0.25">
      <c r="A1684" s="1" t="str">
        <f t="shared" si="26"/>
        <v/>
      </c>
      <c r="B168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5" spans="1:2" x14ac:dyDescent="0.25">
      <c r="A1685" s="1" t="str">
        <f t="shared" si="26"/>
        <v/>
      </c>
      <c r="B168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6" spans="1:2" x14ac:dyDescent="0.25">
      <c r="A1686" s="1" t="str">
        <f t="shared" si="26"/>
        <v/>
      </c>
      <c r="B168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7" spans="1:2" x14ac:dyDescent="0.25">
      <c r="A1687" s="1" t="str">
        <f t="shared" si="26"/>
        <v/>
      </c>
      <c r="B168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8" spans="1:2" x14ac:dyDescent="0.25">
      <c r="A1688" s="1" t="str">
        <f t="shared" si="26"/>
        <v/>
      </c>
      <c r="B168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89" spans="1:2" x14ac:dyDescent="0.25">
      <c r="A1689" s="1" t="str">
        <f t="shared" si="26"/>
        <v/>
      </c>
      <c r="B168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0" spans="1:2" x14ac:dyDescent="0.25">
      <c r="A1690" s="1" t="str">
        <f t="shared" si="26"/>
        <v/>
      </c>
      <c r="B169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1" spans="1:2" x14ac:dyDescent="0.25">
      <c r="A1691" s="1" t="str">
        <f t="shared" si="26"/>
        <v/>
      </c>
      <c r="B169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2" spans="1:2" x14ac:dyDescent="0.25">
      <c r="A1692" s="1" t="str">
        <f t="shared" si="26"/>
        <v/>
      </c>
      <c r="B169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3" spans="1:2" x14ac:dyDescent="0.25">
      <c r="A1693" s="1" t="str">
        <f t="shared" si="26"/>
        <v/>
      </c>
      <c r="B169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4" spans="1:2" x14ac:dyDescent="0.25">
      <c r="A1694" s="1" t="str">
        <f t="shared" si="26"/>
        <v/>
      </c>
      <c r="B169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5" spans="1:2" x14ac:dyDescent="0.25">
      <c r="A1695" s="1" t="str">
        <f t="shared" si="26"/>
        <v/>
      </c>
      <c r="B169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6" spans="1:2" x14ac:dyDescent="0.25">
      <c r="A1696" s="1" t="str">
        <f t="shared" si="26"/>
        <v/>
      </c>
      <c r="B169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7" spans="1:2" x14ac:dyDescent="0.25">
      <c r="A1697" s="1" t="str">
        <f t="shared" si="26"/>
        <v/>
      </c>
      <c r="B169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8" spans="1:2" x14ac:dyDescent="0.25">
      <c r="A1698" s="1" t="str">
        <f t="shared" si="26"/>
        <v/>
      </c>
      <c r="B169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699" spans="1:2" x14ac:dyDescent="0.25">
      <c r="A1699" s="1" t="str">
        <f t="shared" si="26"/>
        <v/>
      </c>
      <c r="B169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0" spans="1:2" x14ac:dyDescent="0.25">
      <c r="A1700" s="1" t="str">
        <f t="shared" si="26"/>
        <v/>
      </c>
      <c r="B170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1" spans="1:2" x14ac:dyDescent="0.25">
      <c r="A1701" s="1" t="str">
        <f t="shared" si="26"/>
        <v/>
      </c>
      <c r="B170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2" spans="1:2" x14ac:dyDescent="0.25">
      <c r="A1702" s="1" t="str">
        <f t="shared" si="26"/>
        <v/>
      </c>
      <c r="B1702"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3" spans="1:2" x14ac:dyDescent="0.25">
      <c r="A1703" s="1" t="str">
        <f t="shared" si="26"/>
        <v/>
      </c>
      <c r="B1703"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4" spans="1:2" x14ac:dyDescent="0.25">
      <c r="A1704" s="1" t="str">
        <f t="shared" si="26"/>
        <v/>
      </c>
      <c r="B1704"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5" spans="1:2" x14ac:dyDescent="0.25">
      <c r="A1705" s="1" t="str">
        <f t="shared" si="26"/>
        <v/>
      </c>
      <c r="B1705"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6" spans="1:2" x14ac:dyDescent="0.25">
      <c r="A1706" s="1" t="str">
        <f t="shared" si="26"/>
        <v/>
      </c>
      <c r="B1706"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7" spans="1:2" x14ac:dyDescent="0.25">
      <c r="A1707" s="1" t="str">
        <f t="shared" si="26"/>
        <v/>
      </c>
      <c r="B1707"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8" spans="1:2" x14ac:dyDescent="0.25">
      <c r="A1708" s="1" t="str">
        <f t="shared" si="26"/>
        <v/>
      </c>
      <c r="B1708"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09" spans="1:2" x14ac:dyDescent="0.25">
      <c r="A1709" s="1" t="str">
        <f t="shared" si="26"/>
        <v/>
      </c>
      <c r="B1709"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0" spans="1:2" x14ac:dyDescent="0.25">
      <c r="A1710" s="1" t="str">
        <f t="shared" si="26"/>
        <v/>
      </c>
      <c r="B1710"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row r="1711" spans="1:2" x14ac:dyDescent="0.25">
      <c r="A1711" s="1" t="str">
        <f t="shared" si="26"/>
        <v/>
      </c>
      <c r="B1711" s="1" t="e">
        <f>LEFT(RIGHT(RIGHT(Tableau467[[#This Row],[file name]],LEN(Tableau467[[#This Row],[file name]])-SEARCH("@",Tableau467[[#This Row],[file name]])),LEN(RIGHT(Tableau467[[#This Row],[file name]],LEN(Tableau467[[#This Row],[file name]])-SEARCH("@",Tableau467[[#This Row],[file name]])))-SEARCH("/",RIGHT(Tableau467[[#This Row],[file name]],LEN(Tableau467[[#This Row],[file name]])-SEARCH("@",Tableau467[[#This Row],[file name]])))),1)</f>
        <v>#VALUE!</v>
      </c>
    </row>
  </sheetData>
  <conditionalFormatting sqref="A1:J10 EO1:XFD10 A11:K13 M15:XFD18 K1:L4 A14:J18 K5 A19:XFD1048576 AH11:XFD14">
    <cfRule type="containsText" dxfId="1" priority="1" operator="containsText" text="ERREUR">
      <formula>NOT(ISERROR(SEARCH("ERREUR",A1)))</formula>
    </cfRule>
    <cfRule type="containsText" dxfId="0" priority="2" operator="containsText" text="OK">
      <formula>NOT(ISERROR(SEARCH("OK",A1)))</formula>
    </cfRule>
  </conditionalFormatting>
  <pageMargins left="0.7" right="0.7" top="0.75" bottom="0.75" header="0.3" footer="0.3"/>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74"/>
  <sheetViews>
    <sheetView showGridLines="0" topLeftCell="H1" zoomScale="70" zoomScaleNormal="70" zoomScaleSheetLayoutView="40" zoomScalePageLayoutView="30" workbookViewId="0">
      <selection activeCell="P5" sqref="P5:V12"/>
    </sheetView>
  </sheetViews>
  <sheetFormatPr baseColWidth="10" defaultColWidth="9.140625" defaultRowHeight="15" x14ac:dyDescent="0.25"/>
  <cols>
    <col min="1" max="1" width="33.5703125" style="1" customWidth="1"/>
    <col min="2" max="2" width="14.85546875" style="1" customWidth="1"/>
    <col min="3" max="5" width="25.85546875" style="1" bestFit="1" customWidth="1"/>
    <col min="6" max="8" width="26.42578125" style="1" bestFit="1" customWidth="1"/>
    <col min="9" max="9" width="26.42578125" style="1" customWidth="1"/>
    <col min="10" max="10" width="25.85546875" style="1" bestFit="1" customWidth="1"/>
    <col min="11" max="11" width="26.42578125" style="1" bestFit="1" customWidth="1"/>
    <col min="12" max="13" width="26.42578125" style="1" customWidth="1"/>
    <col min="14" max="14" width="11.7109375" style="1" customWidth="1"/>
    <col min="15" max="15" width="14.85546875" style="1" customWidth="1"/>
    <col min="16" max="16" width="17.7109375" style="1" customWidth="1"/>
    <col min="17" max="18" width="25.85546875" style="1" bestFit="1" customWidth="1"/>
    <col min="19" max="22" width="25.85546875" style="1" customWidth="1"/>
    <col min="23" max="16384" width="9.140625" style="1"/>
  </cols>
  <sheetData>
    <row r="1" spans="1:22" ht="27" thickBot="1" x14ac:dyDescent="0.45">
      <c r="A1" s="214" t="s">
        <v>43</v>
      </c>
      <c r="B1" s="215"/>
      <c r="C1" s="215"/>
      <c r="D1" s="215"/>
      <c r="E1" s="215"/>
      <c r="F1" s="215"/>
      <c r="G1" s="215"/>
      <c r="H1" s="215"/>
      <c r="I1" s="215"/>
      <c r="J1" s="215"/>
      <c r="K1" s="215"/>
      <c r="L1" s="215"/>
      <c r="M1" s="215"/>
      <c r="N1" s="215"/>
      <c r="O1" s="215"/>
      <c r="P1" s="215"/>
      <c r="Q1" s="215"/>
      <c r="R1" s="215"/>
      <c r="S1" s="215"/>
      <c r="T1" s="215"/>
      <c r="U1" s="215"/>
      <c r="V1" s="215"/>
    </row>
    <row r="2" spans="1:22" ht="15.75" thickBot="1" x14ac:dyDescent="0.3"/>
    <row r="3" spans="1:22" ht="15.75" thickBot="1" x14ac:dyDescent="0.3">
      <c r="A3" s="153" t="s">
        <v>22</v>
      </c>
      <c r="B3" s="222" t="s">
        <v>6</v>
      </c>
      <c r="C3" s="223"/>
      <c r="D3" s="223"/>
      <c r="E3" s="223"/>
      <c r="F3" s="223"/>
      <c r="G3" s="223"/>
      <c r="H3" s="223"/>
      <c r="I3" s="223"/>
      <c r="J3" s="223"/>
      <c r="K3" s="223"/>
      <c r="L3" s="223"/>
      <c r="M3" s="223"/>
      <c r="O3" s="222" t="s">
        <v>3</v>
      </c>
      <c r="P3" s="223"/>
      <c r="Q3" s="223"/>
      <c r="R3" s="223"/>
      <c r="S3" s="223"/>
      <c r="T3" s="223"/>
      <c r="U3" s="223"/>
      <c r="V3" s="223"/>
    </row>
    <row r="4" spans="1:22" x14ac:dyDescent="0.25">
      <c r="A4" s="34" t="s">
        <v>41</v>
      </c>
      <c r="B4" s="35" t="str">
        <f>'Page de garde'!A7</f>
        <v>Témoin solvant</v>
      </c>
      <c r="C4" s="35" t="str">
        <f>'Page de garde'!A8</f>
        <v>EE2-33,8ng/L</v>
      </c>
      <c r="D4" s="35" t="str">
        <f>'Page de garde'!A9</f>
        <v>EE2-50,6ng/L</v>
      </c>
      <c r="E4" s="35" t="str">
        <f>'Page de garde'!A10</f>
        <v>EE2-76ng/L</v>
      </c>
      <c r="F4" s="35" t="str">
        <f>'Page de garde'!A11</f>
        <v>EE2-114ng/L</v>
      </c>
      <c r="G4" s="35" t="str">
        <f>'Page de garde'!A12</f>
        <v>EE2-170,9ng/L</v>
      </c>
      <c r="H4" s="35" t="str">
        <f>'Page de garde'!A13</f>
        <v>EE2-488ng/L</v>
      </c>
      <c r="I4" s="35" t="str">
        <f>'Page de garde'!A14</f>
        <v>Cromolyn-0,1µg/L</v>
      </c>
      <c r="J4" s="35" t="str">
        <f>'Page de garde'!A15</f>
        <v>Cromolyn-1µg/L</v>
      </c>
      <c r="K4" s="35" t="str">
        <f>'Page de garde'!A16</f>
        <v>Cromolyn-10µg/L</v>
      </c>
      <c r="L4" s="35" t="str">
        <f>'Page de garde'!A17</f>
        <v>Cromolyn-100µg/L</v>
      </c>
      <c r="M4" s="35" t="str">
        <f>'Page de garde'!A18</f>
        <v>Cromolyn-1000µg/L</v>
      </c>
      <c r="N4" s="3"/>
      <c r="O4" s="36" t="str">
        <f>'Page de garde'!A35</f>
        <v>Testo -30µg/L</v>
      </c>
      <c r="P4" s="36" t="str">
        <f>'Page de garde'!A36</f>
        <v>Testo 30µg/L + EE2 -64ng/L</v>
      </c>
      <c r="Q4" s="36" t="str">
        <f>'Page de garde'!A37</f>
        <v>Testo 30µg/L + FAD-10mg/L</v>
      </c>
      <c r="R4" s="36" t="str">
        <f>'Page de garde'!A38</f>
        <v>Cromolyn-0,1µg/L + Testostérone</v>
      </c>
      <c r="S4" s="36" t="str">
        <f>'Page de garde'!A39</f>
        <v>Cromolyn-1µg/L + Testostérone</v>
      </c>
      <c r="T4" s="36" t="str">
        <f>'Page de garde'!A40</f>
        <v>Cromolyn-10µg/L + Testostérone</v>
      </c>
      <c r="U4" s="36" t="str">
        <f>'Page de garde'!A41</f>
        <v>Cromolyn-100µg/L + Testostérone</v>
      </c>
      <c r="V4" s="36" t="str">
        <f>'Page de garde'!A42</f>
        <v>Cromolyn-1000µg/L + Testostérone</v>
      </c>
    </row>
    <row r="5" spans="1:22" x14ac:dyDescent="0.25">
      <c r="A5" s="224" t="s">
        <v>33</v>
      </c>
      <c r="B5" s="32">
        <v>93592.666666666672</v>
      </c>
      <c r="C5" s="32">
        <v>524027.33333333331</v>
      </c>
      <c r="D5" s="32">
        <v>99735.333333333328</v>
      </c>
      <c r="E5" s="32">
        <v>173262.66666666666</v>
      </c>
      <c r="F5" s="32">
        <v>1303720.3333333333</v>
      </c>
      <c r="G5" s="32">
        <v>3142658</v>
      </c>
      <c r="H5" s="32">
        <v>3047349</v>
      </c>
      <c r="I5" s="32">
        <v>547380.33333333337</v>
      </c>
      <c r="J5" s="32">
        <v>135684.33333333334</v>
      </c>
      <c r="K5" s="13">
        <v>251887.33333333334</v>
      </c>
      <c r="L5" s="13">
        <v>299257</v>
      </c>
      <c r="M5" s="13">
        <v>529463.66666666663</v>
      </c>
      <c r="N5" s="3"/>
      <c r="O5" s="32">
        <v>2893488.6666666665</v>
      </c>
      <c r="P5" s="13">
        <v>3944730.3333333335</v>
      </c>
      <c r="Q5" s="13">
        <v>52813</v>
      </c>
      <c r="R5" s="32">
        <v>1506385.3333333333</v>
      </c>
      <c r="S5" s="32">
        <v>4864462.333333333</v>
      </c>
      <c r="T5" s="32">
        <v>2317138.3333333335</v>
      </c>
      <c r="U5" s="32">
        <v>4009522.5</v>
      </c>
      <c r="V5" s="32">
        <v>1479593</v>
      </c>
    </row>
    <row r="6" spans="1:22" ht="16.5" x14ac:dyDescent="0.25">
      <c r="A6" s="224"/>
      <c r="B6" s="14">
        <v>256862</v>
      </c>
      <c r="C6" s="13">
        <v>99699.666666666672</v>
      </c>
      <c r="D6" s="32">
        <v>192470</v>
      </c>
      <c r="E6" s="32">
        <v>336251</v>
      </c>
      <c r="F6" s="32">
        <v>599638.33333333337</v>
      </c>
      <c r="G6" s="32">
        <v>620684</v>
      </c>
      <c r="H6" s="32">
        <v>6090416</v>
      </c>
      <c r="I6" s="32">
        <v>104227.33333333333</v>
      </c>
      <c r="J6" s="32">
        <v>266329</v>
      </c>
      <c r="K6" s="13">
        <v>54118</v>
      </c>
      <c r="L6" s="13">
        <v>118842</v>
      </c>
      <c r="M6" s="13">
        <v>276379.33333333331</v>
      </c>
      <c r="N6" s="3"/>
      <c r="O6" s="32">
        <v>434674.5</v>
      </c>
      <c r="P6" s="13">
        <v>2183545</v>
      </c>
      <c r="Q6" s="13">
        <v>429634.66666666669</v>
      </c>
      <c r="R6" s="32">
        <v>2018790</v>
      </c>
      <c r="S6" s="32">
        <v>71930</v>
      </c>
      <c r="T6" s="32">
        <v>2427393.5</v>
      </c>
      <c r="U6" s="32">
        <v>1158872.3333333333</v>
      </c>
      <c r="V6" s="32">
        <v>3197598</v>
      </c>
    </row>
    <row r="7" spans="1:22" ht="16.5" x14ac:dyDescent="0.25">
      <c r="A7" s="224"/>
      <c r="B7" s="14">
        <v>550135</v>
      </c>
      <c r="C7" s="13">
        <v>196471.66666666666</v>
      </c>
      <c r="D7" s="32">
        <v>631744.33333333337</v>
      </c>
      <c r="E7" s="32">
        <v>393238.33333333331</v>
      </c>
      <c r="F7" s="32">
        <v>1377824</v>
      </c>
      <c r="G7" s="32">
        <v>2059303</v>
      </c>
      <c r="H7" s="32">
        <v>7653882.333333333</v>
      </c>
      <c r="I7" s="32">
        <v>173125.66666666666</v>
      </c>
      <c r="J7" s="32">
        <v>84587.333333333328</v>
      </c>
      <c r="K7" s="13">
        <v>40015</v>
      </c>
      <c r="L7" s="13">
        <v>133478.33333333334</v>
      </c>
      <c r="M7" s="13">
        <v>203234.66666666666</v>
      </c>
      <c r="N7" s="3"/>
      <c r="O7" s="32">
        <v>958233.33333333337</v>
      </c>
      <c r="P7" s="13">
        <v>3404163.3333333335</v>
      </c>
      <c r="Q7" s="13">
        <v>68422.666666666672</v>
      </c>
      <c r="R7" s="32">
        <v>4680396</v>
      </c>
      <c r="S7" s="32">
        <v>3187114.6666666665</v>
      </c>
      <c r="T7" s="32">
        <v>4699859</v>
      </c>
      <c r="U7" s="32">
        <v>475785.33333333331</v>
      </c>
      <c r="V7" s="32">
        <v>339841.66666666669</v>
      </c>
    </row>
    <row r="8" spans="1:22" ht="16.5" x14ac:dyDescent="0.25">
      <c r="A8" s="224"/>
      <c r="B8" s="14">
        <v>112360</v>
      </c>
      <c r="C8" s="13">
        <v>35054.666666666664</v>
      </c>
      <c r="D8" s="32">
        <v>224028</v>
      </c>
      <c r="E8" s="32">
        <v>213083.33333333334</v>
      </c>
      <c r="F8" s="32">
        <v>925053</v>
      </c>
      <c r="G8" s="32">
        <v>2659136</v>
      </c>
      <c r="H8" s="32">
        <v>3297650.6666666665</v>
      </c>
      <c r="I8" s="32">
        <v>31860.666666666668</v>
      </c>
      <c r="J8" s="32">
        <v>91581</v>
      </c>
      <c r="K8" s="13">
        <v>98228.666666666672</v>
      </c>
      <c r="L8" s="13">
        <v>83606.666666666672</v>
      </c>
      <c r="M8" s="13">
        <v>706129.33333333337</v>
      </c>
      <c r="N8" s="3"/>
      <c r="O8" s="32">
        <v>1152145.3333333333</v>
      </c>
      <c r="P8" s="13">
        <v>2437667.3333333335</v>
      </c>
      <c r="Q8" s="13">
        <v>419850.66666666669</v>
      </c>
      <c r="R8" s="32">
        <v>225607</v>
      </c>
      <c r="S8" s="32">
        <v>1072597.6666666667</v>
      </c>
      <c r="T8" s="32">
        <v>2281968.3333333335</v>
      </c>
      <c r="U8" s="32">
        <v>1508483</v>
      </c>
      <c r="V8" s="32">
        <v>1590302</v>
      </c>
    </row>
    <row r="9" spans="1:22" ht="16.5" x14ac:dyDescent="0.25">
      <c r="A9" s="224"/>
      <c r="B9" s="14">
        <v>54327</v>
      </c>
      <c r="C9" s="13">
        <v>13814.333333333334</v>
      </c>
      <c r="D9" s="32">
        <v>57117.333333333336</v>
      </c>
      <c r="E9" s="32">
        <v>22747.333333333332</v>
      </c>
      <c r="F9" s="32">
        <v>561317.66666666663</v>
      </c>
      <c r="G9" s="32">
        <v>1816846.3333333333</v>
      </c>
      <c r="H9" s="32">
        <v>3064819</v>
      </c>
      <c r="I9" s="32">
        <v>380484</v>
      </c>
      <c r="J9" s="32">
        <v>85243.666666666672</v>
      </c>
      <c r="K9" s="13">
        <v>74115</v>
      </c>
      <c r="L9" s="13">
        <v>359417</v>
      </c>
      <c r="M9" s="13">
        <v>100456.33333333333</v>
      </c>
      <c r="N9" s="3"/>
      <c r="O9" s="32">
        <v>860704</v>
      </c>
      <c r="P9" s="13">
        <v>3543986.3333333335</v>
      </c>
      <c r="Q9" s="13">
        <v>211936.66666666666</v>
      </c>
      <c r="R9" s="32">
        <v>2848506</v>
      </c>
      <c r="S9" s="32">
        <v>1052784.3333333333</v>
      </c>
      <c r="T9" s="32">
        <v>2160285.6666666665</v>
      </c>
      <c r="U9" s="32">
        <v>900380.33333333337</v>
      </c>
      <c r="V9" s="32">
        <v>2717933</v>
      </c>
    </row>
    <row r="10" spans="1:22" ht="16.5" x14ac:dyDescent="0.25">
      <c r="A10" s="224"/>
      <c r="B10" s="14">
        <v>98459</v>
      </c>
      <c r="C10" s="13">
        <v>215488</v>
      </c>
      <c r="D10" s="32">
        <v>71645</v>
      </c>
      <c r="E10" s="32">
        <v>142930.33333333334</v>
      </c>
      <c r="F10" s="32">
        <v>1686540.6666666667</v>
      </c>
      <c r="G10" s="32">
        <v>3563078.3333333335</v>
      </c>
      <c r="H10" s="32">
        <v>4562999.5</v>
      </c>
      <c r="I10" s="32">
        <v>47939.333333333336</v>
      </c>
      <c r="J10" s="32">
        <v>251415</v>
      </c>
      <c r="K10" s="13">
        <v>34406</v>
      </c>
      <c r="L10" s="13">
        <v>692611</v>
      </c>
      <c r="M10" s="13">
        <v>36936.333333333336</v>
      </c>
      <c r="N10" s="3"/>
      <c r="O10" s="32">
        <v>253841.33333333334</v>
      </c>
      <c r="P10" s="13">
        <v>2158757.3333333335</v>
      </c>
      <c r="Q10" s="13">
        <v>501193.33333333331</v>
      </c>
      <c r="R10" s="32">
        <v>291492</v>
      </c>
      <c r="S10" s="32">
        <v>1923741</v>
      </c>
      <c r="T10" s="32">
        <v>5733320.666666667</v>
      </c>
      <c r="U10" s="32">
        <v>232164.5</v>
      </c>
      <c r="V10" s="32">
        <v>589133.33333333337</v>
      </c>
    </row>
    <row r="11" spans="1:22" ht="16.5" x14ac:dyDescent="0.25">
      <c r="A11" s="224"/>
      <c r="B11" s="14">
        <v>61558.666666666664</v>
      </c>
      <c r="C11" s="13">
        <v>129801</v>
      </c>
      <c r="D11" s="32">
        <v>343461</v>
      </c>
      <c r="E11" s="32">
        <v>561656.33333333337</v>
      </c>
      <c r="F11" s="32">
        <v>2366743</v>
      </c>
      <c r="G11" s="32">
        <v>1568953.3333333333</v>
      </c>
      <c r="H11" s="32">
        <v>4037782</v>
      </c>
      <c r="I11" s="32">
        <v>365037</v>
      </c>
      <c r="J11" s="32">
        <v>134328.66666666666</v>
      </c>
      <c r="K11" s="13">
        <v>20527</v>
      </c>
      <c r="L11" s="13">
        <v>126030.33333333333</v>
      </c>
      <c r="M11" s="13">
        <v>1039179.6666666666</v>
      </c>
      <c r="N11" s="3"/>
      <c r="O11" s="32">
        <v>1550019.5</v>
      </c>
      <c r="P11" s="13">
        <v>2856343</v>
      </c>
      <c r="Q11" s="13">
        <v>495930</v>
      </c>
      <c r="R11" s="32">
        <v>21334.333333333332</v>
      </c>
      <c r="S11" s="32">
        <v>560874</v>
      </c>
      <c r="T11" s="32">
        <v>2705323</v>
      </c>
      <c r="U11" s="32">
        <v>1455958.6666666667</v>
      </c>
      <c r="V11" s="32">
        <v>1604275</v>
      </c>
    </row>
    <row r="12" spans="1:22" ht="16.5" x14ac:dyDescent="0.25">
      <c r="A12" s="224"/>
      <c r="B12" s="14">
        <v>82474.666666666672</v>
      </c>
      <c r="C12" s="13">
        <v>244728</v>
      </c>
      <c r="D12" s="32">
        <v>68858.5</v>
      </c>
      <c r="E12" s="32">
        <v>1028956</v>
      </c>
      <c r="F12" s="32">
        <v>1296459.6666666667</v>
      </c>
      <c r="G12" s="32">
        <v>2500841.3333333335</v>
      </c>
      <c r="H12" s="32">
        <v>5594218.666666667</v>
      </c>
      <c r="I12" s="32">
        <v>272616</v>
      </c>
      <c r="J12" s="32">
        <v>460580</v>
      </c>
      <c r="K12" s="13">
        <v>283106.33333333331</v>
      </c>
      <c r="L12" s="13">
        <v>87817.333333333328</v>
      </c>
      <c r="M12" s="13">
        <v>847877.33333333337</v>
      </c>
      <c r="N12" s="3"/>
      <c r="O12" s="32">
        <v>3200027.6666666665</v>
      </c>
      <c r="P12" s="13">
        <v>5336917</v>
      </c>
      <c r="Q12" s="13">
        <v>145122.33333333334</v>
      </c>
      <c r="R12" s="32">
        <v>3306086.3333333335</v>
      </c>
      <c r="S12" s="32">
        <v>1380809.3333333333</v>
      </c>
      <c r="T12" s="32">
        <v>4150683</v>
      </c>
      <c r="U12" s="32">
        <v>4814072.333333333</v>
      </c>
      <c r="V12" s="32">
        <v>4098468.3333333335</v>
      </c>
    </row>
    <row r="13" spans="1:22" ht="16.5" x14ac:dyDescent="0.25">
      <c r="A13" s="224"/>
      <c r="B13" s="14"/>
      <c r="C13" s="13"/>
      <c r="D13" s="32"/>
      <c r="E13" s="32"/>
      <c r="F13" s="32"/>
      <c r="G13" s="32"/>
      <c r="H13" s="32"/>
      <c r="I13" s="32"/>
      <c r="J13" s="32"/>
      <c r="K13" s="13"/>
      <c r="L13" s="13"/>
      <c r="M13" s="13"/>
      <c r="N13" s="3"/>
      <c r="O13" s="32">
        <v>21536.333333333332</v>
      </c>
      <c r="P13" s="13"/>
      <c r="Q13" s="13"/>
      <c r="R13" s="32"/>
      <c r="S13" s="32"/>
      <c r="T13" s="32"/>
      <c r="U13" s="32"/>
      <c r="V13" s="32"/>
    </row>
    <row r="14" spans="1:22" ht="16.5" x14ac:dyDescent="0.25">
      <c r="A14" s="224"/>
      <c r="B14" s="14"/>
      <c r="C14" s="32"/>
      <c r="D14" s="32"/>
      <c r="E14" s="32"/>
      <c r="F14" s="32"/>
      <c r="G14" s="32"/>
      <c r="H14" s="32"/>
      <c r="I14" s="32"/>
      <c r="J14" s="32"/>
      <c r="K14" s="13"/>
      <c r="L14" s="13"/>
      <c r="M14" s="13"/>
      <c r="N14" s="3"/>
      <c r="O14" s="32">
        <v>4335626</v>
      </c>
      <c r="P14" s="13"/>
      <c r="Q14" s="13"/>
      <c r="R14" s="32"/>
      <c r="S14" s="32"/>
      <c r="T14" s="32"/>
      <c r="U14" s="32"/>
      <c r="V14" s="32"/>
    </row>
    <row r="15" spans="1:22" ht="16.5" x14ac:dyDescent="0.25">
      <c r="A15" s="224"/>
      <c r="B15" s="14"/>
      <c r="C15" s="32"/>
      <c r="D15" s="32"/>
      <c r="E15" s="32"/>
      <c r="F15" s="32"/>
      <c r="G15" s="32"/>
      <c r="H15" s="32"/>
      <c r="I15" s="32"/>
      <c r="J15" s="32"/>
      <c r="K15" s="13"/>
      <c r="L15" s="13"/>
      <c r="M15" s="13"/>
      <c r="N15" s="3"/>
      <c r="O15" s="32">
        <v>4299561.666666667</v>
      </c>
      <c r="P15" s="13"/>
      <c r="Q15" s="13"/>
      <c r="R15" s="32"/>
      <c r="S15" s="32"/>
      <c r="T15" s="32"/>
      <c r="U15" s="32"/>
      <c r="V15" s="32"/>
    </row>
    <row r="16" spans="1:22" ht="16.5" x14ac:dyDescent="0.25">
      <c r="A16" s="224"/>
      <c r="B16" s="14"/>
      <c r="C16" s="32"/>
      <c r="D16" s="32"/>
      <c r="E16" s="32"/>
      <c r="F16" s="32"/>
      <c r="G16" s="32"/>
      <c r="H16" s="32"/>
      <c r="I16" s="32"/>
      <c r="J16" s="32"/>
      <c r="K16" s="13"/>
      <c r="L16" s="13"/>
      <c r="M16" s="13"/>
      <c r="N16" s="3"/>
      <c r="O16" s="32">
        <v>1363692.6666666667</v>
      </c>
      <c r="P16" s="13"/>
      <c r="Q16" s="13"/>
      <c r="R16" s="32"/>
      <c r="S16" s="32"/>
      <c r="T16" s="32"/>
      <c r="U16" s="32"/>
      <c r="V16" s="32"/>
    </row>
    <row r="17" spans="1:22" ht="16.5" x14ac:dyDescent="0.25">
      <c r="A17" s="224"/>
      <c r="B17" s="14"/>
      <c r="C17" s="32"/>
      <c r="D17" s="32"/>
      <c r="E17" s="32"/>
      <c r="F17" s="32"/>
      <c r="G17" s="32"/>
      <c r="H17" s="32"/>
      <c r="I17" s="32"/>
      <c r="J17" s="32"/>
      <c r="K17" s="13"/>
      <c r="L17" s="13"/>
      <c r="M17" s="13"/>
      <c r="N17" s="3"/>
      <c r="O17" s="32">
        <v>4530684.5</v>
      </c>
      <c r="P17" s="13"/>
      <c r="Q17" s="13"/>
      <c r="R17" s="32"/>
      <c r="S17" s="32"/>
      <c r="T17" s="32"/>
      <c r="U17" s="32"/>
      <c r="V17" s="32"/>
    </row>
    <row r="18" spans="1:22" ht="16.5" x14ac:dyDescent="0.25">
      <c r="A18" s="224"/>
      <c r="B18" s="14"/>
      <c r="C18" s="32"/>
      <c r="D18" s="32"/>
      <c r="E18" s="32"/>
      <c r="F18" s="32"/>
      <c r="G18" s="32"/>
      <c r="H18" s="32"/>
      <c r="I18" s="32"/>
      <c r="J18" s="32"/>
      <c r="K18" s="13"/>
      <c r="L18" s="13"/>
      <c r="M18" s="13"/>
      <c r="N18" s="3"/>
      <c r="O18" s="32">
        <v>873884</v>
      </c>
      <c r="P18" s="13"/>
      <c r="Q18" s="13"/>
      <c r="R18" s="32"/>
      <c r="S18" s="32"/>
      <c r="T18" s="32"/>
      <c r="U18" s="32"/>
      <c r="V18" s="32"/>
    </row>
    <row r="19" spans="1:22" ht="16.5" x14ac:dyDescent="0.25">
      <c r="A19" s="224"/>
      <c r="B19" s="14"/>
      <c r="C19" s="32"/>
      <c r="D19" s="32"/>
      <c r="E19" s="32"/>
      <c r="F19" s="32"/>
      <c r="G19" s="32"/>
      <c r="H19" s="32"/>
      <c r="I19" s="32"/>
      <c r="J19" s="32"/>
      <c r="K19" s="13"/>
      <c r="L19" s="13"/>
      <c r="M19" s="13"/>
      <c r="N19" s="3"/>
      <c r="O19" s="32">
        <v>1200250</v>
      </c>
      <c r="P19" s="13"/>
      <c r="Q19" s="13"/>
      <c r="R19" s="32"/>
      <c r="S19" s="32"/>
      <c r="T19" s="32"/>
      <c r="U19" s="32"/>
      <c r="V19" s="32"/>
    </row>
    <row r="20" spans="1:22" ht="16.5" x14ac:dyDescent="0.25">
      <c r="A20" s="224"/>
      <c r="B20" s="14"/>
      <c r="C20" s="32"/>
      <c r="D20" s="32"/>
      <c r="E20" s="32"/>
      <c r="F20" s="32"/>
      <c r="G20" s="32"/>
      <c r="H20" s="32"/>
      <c r="I20" s="32"/>
      <c r="J20" s="32"/>
      <c r="K20" s="13"/>
      <c r="L20" s="13"/>
      <c r="M20" s="13"/>
      <c r="N20" s="3"/>
      <c r="O20" s="32">
        <v>3706145.6666666665</v>
      </c>
      <c r="P20" s="13"/>
      <c r="Q20" s="13"/>
      <c r="R20" s="32"/>
      <c r="S20" s="32"/>
      <c r="T20" s="32"/>
      <c r="U20" s="32"/>
      <c r="V20" s="32"/>
    </row>
    <row r="21" spans="1:22" x14ac:dyDescent="0.25">
      <c r="A21" s="3"/>
      <c r="B21" s="7"/>
      <c r="C21" s="7"/>
      <c r="D21" s="7"/>
      <c r="E21" s="7"/>
      <c r="F21" s="7"/>
      <c r="G21" s="7"/>
      <c r="H21" s="7"/>
      <c r="I21" s="7"/>
      <c r="J21" s="7"/>
      <c r="N21" s="3"/>
      <c r="O21" s="7"/>
      <c r="R21" s="7"/>
      <c r="S21" s="7"/>
      <c r="T21" s="7"/>
      <c r="U21" s="7"/>
      <c r="V21" s="7"/>
    </row>
    <row r="22" spans="1:22" x14ac:dyDescent="0.25">
      <c r="A22" s="3" t="str">
        <f>A4</f>
        <v>Noms des groupes</v>
      </c>
      <c r="B22" s="3" t="str">
        <f t="shared" ref="B22:V22" si="0">B4</f>
        <v>Témoin solvant</v>
      </c>
      <c r="C22" s="3" t="str">
        <f t="shared" si="0"/>
        <v>EE2-33,8ng/L</v>
      </c>
      <c r="D22" s="3" t="str">
        <f t="shared" si="0"/>
        <v>EE2-50,6ng/L</v>
      </c>
      <c r="E22" s="3" t="str">
        <f t="shared" si="0"/>
        <v>EE2-76ng/L</v>
      </c>
      <c r="F22" s="3" t="str">
        <f t="shared" si="0"/>
        <v>EE2-114ng/L</v>
      </c>
      <c r="G22" s="3" t="str">
        <f t="shared" si="0"/>
        <v>EE2-170,9ng/L</v>
      </c>
      <c r="H22" s="3" t="str">
        <f t="shared" si="0"/>
        <v>EE2-488ng/L</v>
      </c>
      <c r="I22" s="3" t="str">
        <f t="shared" si="0"/>
        <v>Cromolyn-0,1µg/L</v>
      </c>
      <c r="J22" s="3" t="str">
        <f t="shared" si="0"/>
        <v>Cromolyn-1µg/L</v>
      </c>
      <c r="K22" s="3" t="str">
        <f t="shared" si="0"/>
        <v>Cromolyn-10µg/L</v>
      </c>
      <c r="L22" s="3" t="str">
        <f t="shared" si="0"/>
        <v>Cromolyn-100µg/L</v>
      </c>
      <c r="M22" s="3" t="str">
        <f t="shared" si="0"/>
        <v>Cromolyn-1000µg/L</v>
      </c>
      <c r="N22" s="3" t="s">
        <v>41</v>
      </c>
      <c r="O22" s="3" t="str">
        <f t="shared" si="0"/>
        <v>Testo -30µg/L</v>
      </c>
      <c r="P22" s="3" t="str">
        <f t="shared" si="0"/>
        <v>Testo 30µg/L + EE2 -64ng/L</v>
      </c>
      <c r="Q22" s="3" t="str">
        <f t="shared" si="0"/>
        <v>Testo 30µg/L + FAD-10mg/L</v>
      </c>
      <c r="R22" s="3" t="str">
        <f t="shared" si="0"/>
        <v>Cromolyn-0,1µg/L + Testostérone</v>
      </c>
      <c r="S22" s="3" t="str">
        <f t="shared" si="0"/>
        <v>Cromolyn-1µg/L + Testostérone</v>
      </c>
      <c r="T22" s="3" t="str">
        <f t="shared" si="0"/>
        <v>Cromolyn-10µg/L + Testostérone</v>
      </c>
      <c r="U22" s="3" t="str">
        <f t="shared" si="0"/>
        <v>Cromolyn-100µg/L + Testostérone</v>
      </c>
      <c r="V22" s="3" t="str">
        <f t="shared" si="0"/>
        <v>Cromolyn-1000µg/L + Testostérone</v>
      </c>
    </row>
    <row r="23" spans="1:22" x14ac:dyDescent="0.25">
      <c r="A23" s="5" t="s">
        <v>0</v>
      </c>
      <c r="B23" s="5">
        <f t="shared" ref="B23:J23" si="1">AVERAGE(B5:B20)</f>
        <v>163721.12500000003</v>
      </c>
      <c r="C23" s="5">
        <f t="shared" si="1"/>
        <v>182385.58333333331</v>
      </c>
      <c r="D23" s="5">
        <f t="shared" si="1"/>
        <v>211132.4375</v>
      </c>
      <c r="E23" s="5">
        <f t="shared" si="1"/>
        <v>359015.66666666663</v>
      </c>
      <c r="F23" s="5">
        <f t="shared" si="1"/>
        <v>1264662.0833333333</v>
      </c>
      <c r="G23" s="5">
        <f t="shared" si="1"/>
        <v>2241437.541666667</v>
      </c>
      <c r="H23" s="5">
        <f t="shared" si="1"/>
        <v>4668639.645833333</v>
      </c>
      <c r="I23" s="5">
        <f t="shared" si="1"/>
        <v>240333.79166666666</v>
      </c>
      <c r="J23" s="5">
        <f t="shared" si="1"/>
        <v>188718.625</v>
      </c>
      <c r="K23" s="5"/>
      <c r="L23" s="5">
        <f>AVERAGE(L5:L20)</f>
        <v>237632.45833333331</v>
      </c>
      <c r="M23" s="5"/>
      <c r="N23" s="5" t="s">
        <v>0</v>
      </c>
      <c r="O23" s="5">
        <f>AVERAGE(O5:O20)</f>
        <v>1977157.1979166667</v>
      </c>
      <c r="P23" s="5">
        <f>AVERAGE(P5:P20)</f>
        <v>3233263.7083333335</v>
      </c>
      <c r="Q23" s="5">
        <f>AVERAGE(Q5:Q20)</f>
        <v>290612.91666666669</v>
      </c>
      <c r="R23" s="5">
        <f>AVERAGE(R5:R20)</f>
        <v>1862324.625</v>
      </c>
      <c r="S23" s="5">
        <f>AVERAGE(S5:S20)</f>
        <v>1764289.1666666667</v>
      </c>
      <c r="T23" s="5">
        <f t="shared" ref="T23:V23" si="2">AVERAGE(T5:T20)</f>
        <v>3309496.4375</v>
      </c>
      <c r="U23" s="5">
        <f t="shared" si="2"/>
        <v>1819404.875</v>
      </c>
      <c r="V23" s="5">
        <f t="shared" si="2"/>
        <v>1952143.041666667</v>
      </c>
    </row>
    <row r="24" spans="1:22" x14ac:dyDescent="0.25">
      <c r="A24" s="3" t="s">
        <v>1</v>
      </c>
      <c r="B24" s="3">
        <f t="shared" ref="B24:J24" si="3">STDEV(B5:B20)</f>
        <v>168527.76186992723</v>
      </c>
      <c r="C24" s="3">
        <f t="shared" si="3"/>
        <v>161078.78043433992</v>
      </c>
      <c r="D24" s="3">
        <f t="shared" si="3"/>
        <v>196675.36090715538</v>
      </c>
      <c r="E24" s="3">
        <f t="shared" si="3"/>
        <v>317836.97464980331</v>
      </c>
      <c r="F24" s="3">
        <f t="shared" si="3"/>
        <v>592837.05597280292</v>
      </c>
      <c r="G24" s="3">
        <f t="shared" si="3"/>
        <v>932984.67026800988</v>
      </c>
      <c r="H24" s="3">
        <f t="shared" si="3"/>
        <v>1659578.0204329453</v>
      </c>
      <c r="I24" s="3">
        <f t="shared" si="3"/>
        <v>182847.03298485081</v>
      </c>
      <c r="J24" s="3">
        <f t="shared" si="3"/>
        <v>131268.44236125602</v>
      </c>
      <c r="K24" s="3"/>
      <c r="L24" s="3">
        <f>STDEV(L5:L20)</f>
        <v>210175.89141651854</v>
      </c>
      <c r="M24" s="3"/>
      <c r="N24" s="3" t="s">
        <v>1</v>
      </c>
      <c r="O24" s="3">
        <f>STDEV(O5:O20)</f>
        <v>1577325.5723119245</v>
      </c>
      <c r="P24" s="3">
        <f>STDEV(P5:P20)</f>
        <v>1074962.6764527489</v>
      </c>
      <c r="Q24" s="3">
        <f>STDEV(Q5:Q20)</f>
        <v>191163.14248179708</v>
      </c>
      <c r="R24" s="3">
        <f>STDEV(R5:R20)</f>
        <v>1676957.5774567756</v>
      </c>
      <c r="S24" s="3">
        <f>STDEV(S5:S20)</f>
        <v>1563190.4923626089</v>
      </c>
      <c r="T24" s="3">
        <f t="shared" ref="T24:V24" si="4">STDEV(T5:T20)</f>
        <v>1363819.8417109398</v>
      </c>
      <c r="U24" s="3">
        <f t="shared" si="4"/>
        <v>1673276.0332271452</v>
      </c>
      <c r="V24" s="3">
        <f t="shared" si="4"/>
        <v>1291558.3287383413</v>
      </c>
    </row>
    <row r="25" spans="1:22" ht="15.75" thickBot="1" x14ac:dyDescent="0.3"/>
    <row r="26" spans="1:22" ht="15.75" thickBot="1" x14ac:dyDescent="0.3">
      <c r="B26" s="222" t="s">
        <v>6</v>
      </c>
      <c r="C26" s="223"/>
      <c r="D26" s="223"/>
      <c r="E26" s="223"/>
      <c r="F26" s="223"/>
      <c r="G26" s="223"/>
      <c r="H26" s="223"/>
      <c r="I26" s="223"/>
      <c r="J26" s="223"/>
      <c r="K26" s="223"/>
      <c r="L26" s="223"/>
      <c r="M26" s="223"/>
      <c r="O26" s="222" t="s">
        <v>3</v>
      </c>
      <c r="P26" s="223"/>
      <c r="Q26" s="223"/>
      <c r="R26" s="223"/>
      <c r="S26" s="223"/>
      <c r="T26" s="223"/>
      <c r="U26" s="223"/>
      <c r="V26" s="223"/>
    </row>
    <row r="27" spans="1:22" x14ac:dyDescent="0.25">
      <c r="A27" s="34" t="s">
        <v>41</v>
      </c>
      <c r="B27" s="35" t="str">
        <f>B4</f>
        <v>Témoin solvant</v>
      </c>
      <c r="C27" s="35" t="str">
        <f t="shared" ref="C27:M27" si="5">C4</f>
        <v>EE2-33,8ng/L</v>
      </c>
      <c r="D27" s="35" t="str">
        <f t="shared" si="5"/>
        <v>EE2-50,6ng/L</v>
      </c>
      <c r="E27" s="35" t="str">
        <f t="shared" si="5"/>
        <v>EE2-76ng/L</v>
      </c>
      <c r="F27" s="35" t="str">
        <f t="shared" si="5"/>
        <v>EE2-114ng/L</v>
      </c>
      <c r="G27" s="35" t="str">
        <f t="shared" si="5"/>
        <v>EE2-170,9ng/L</v>
      </c>
      <c r="H27" s="35" t="str">
        <f t="shared" si="5"/>
        <v>EE2-488ng/L</v>
      </c>
      <c r="I27" s="35" t="str">
        <f t="shared" si="5"/>
        <v>Cromolyn-0,1µg/L</v>
      </c>
      <c r="J27" s="35" t="str">
        <f t="shared" si="5"/>
        <v>Cromolyn-1µg/L</v>
      </c>
      <c r="K27" s="35" t="str">
        <f t="shared" si="5"/>
        <v>Cromolyn-10µg/L</v>
      </c>
      <c r="L27" s="35" t="str">
        <f t="shared" si="5"/>
        <v>Cromolyn-100µg/L</v>
      </c>
      <c r="M27" s="35" t="str">
        <f t="shared" si="5"/>
        <v>Cromolyn-1000µg/L</v>
      </c>
      <c r="N27" s="3"/>
      <c r="O27" s="36" t="str">
        <f>O4</f>
        <v>Testo -30µg/L</v>
      </c>
      <c r="P27" s="36" t="str">
        <f t="shared" ref="P27:V27" si="6">P4</f>
        <v>Testo 30µg/L + EE2 -64ng/L</v>
      </c>
      <c r="Q27" s="36" t="str">
        <f t="shared" si="6"/>
        <v>Testo 30µg/L + FAD-10mg/L</v>
      </c>
      <c r="R27" s="36" t="str">
        <f t="shared" si="6"/>
        <v>Cromolyn-0,1µg/L + Testostérone</v>
      </c>
      <c r="S27" s="36" t="str">
        <f t="shared" si="6"/>
        <v>Cromolyn-1µg/L + Testostérone</v>
      </c>
      <c r="T27" s="36" t="str">
        <f t="shared" si="6"/>
        <v>Cromolyn-10µg/L + Testostérone</v>
      </c>
      <c r="U27" s="36" t="str">
        <f t="shared" si="6"/>
        <v>Cromolyn-100µg/L + Testostérone</v>
      </c>
      <c r="V27" s="36" t="str">
        <f t="shared" si="6"/>
        <v>Cromolyn-1000µg/L + Testostérone</v>
      </c>
    </row>
    <row r="28" spans="1:22" x14ac:dyDescent="0.25">
      <c r="A28" s="225" t="s">
        <v>34</v>
      </c>
      <c r="B28" s="11">
        <f t="shared" ref="B28:M28" si="7">IF(B5="","",(B5/$O$23))</f>
        <v>4.7336988058048896E-2</v>
      </c>
      <c r="C28" s="11">
        <f t="shared" si="7"/>
        <v>0.26504080398134333</v>
      </c>
      <c r="D28" s="11">
        <f t="shared" si="7"/>
        <v>5.0443805600497819E-2</v>
      </c>
      <c r="E28" s="11">
        <f t="shared" si="7"/>
        <v>8.7632216016629211E-2</v>
      </c>
      <c r="F28" s="11">
        <f t="shared" si="7"/>
        <v>0.65939133959963592</v>
      </c>
      <c r="G28" s="11">
        <f t="shared" si="7"/>
        <v>1.58948312421057</v>
      </c>
      <c r="H28" s="11">
        <f t="shared" si="7"/>
        <v>1.5412780547803664</v>
      </c>
      <c r="I28" s="11">
        <f t="shared" si="7"/>
        <v>0.27685220674921995</v>
      </c>
      <c r="J28" s="11">
        <f t="shared" si="7"/>
        <v>6.8625971407991287E-2</v>
      </c>
      <c r="K28" s="11">
        <f t="shared" si="7"/>
        <v>0.12739873875418067</v>
      </c>
      <c r="L28" s="11">
        <f t="shared" si="7"/>
        <v>0.15135721141208575</v>
      </c>
      <c r="M28" s="11">
        <f t="shared" si="7"/>
        <v>0.26779037459670035</v>
      </c>
      <c r="N28" s="6"/>
      <c r="O28" s="11">
        <f t="shared" ref="O28:V37" si="8">IF(O5="","",(O5/$O$23))</f>
        <v>1.4634590864679549</v>
      </c>
      <c r="P28" s="11">
        <f t="shared" si="8"/>
        <v>1.9951526047043207</v>
      </c>
      <c r="Q28" s="11">
        <f t="shared" si="8"/>
        <v>2.6711583710010076E-2</v>
      </c>
      <c r="R28" s="11">
        <f t="shared" si="8"/>
        <v>0.76189457010328443</v>
      </c>
      <c r="S28" s="11">
        <f t="shared" si="8"/>
        <v>2.4603316005722879</v>
      </c>
      <c r="T28" s="11">
        <f t="shared" si="8"/>
        <v>1.1719545293489588</v>
      </c>
      <c r="U28" s="11">
        <f t="shared" si="8"/>
        <v>2.0279229715395615</v>
      </c>
      <c r="V28" s="11">
        <f t="shared" si="8"/>
        <v>0.74834363274657634</v>
      </c>
    </row>
    <row r="29" spans="1:22" x14ac:dyDescent="0.25">
      <c r="A29" s="225"/>
      <c r="B29" s="11">
        <f t="shared" ref="B29:M29" si="9">IF(B6="","",(B6/$O$23))</f>
        <v>0.12991480913639838</v>
      </c>
      <c r="C29" s="11">
        <f t="shared" si="9"/>
        <v>5.0425766232305831E-2</v>
      </c>
      <c r="D29" s="11">
        <f t="shared" si="9"/>
        <v>9.7346837268582342E-2</v>
      </c>
      <c r="E29" s="11">
        <f t="shared" si="9"/>
        <v>0.17006791384838199</v>
      </c>
      <c r="F29" s="11">
        <f t="shared" si="9"/>
        <v>0.30328308440278451</v>
      </c>
      <c r="G29" s="11">
        <f t="shared" si="9"/>
        <v>0.31392749178164264</v>
      </c>
      <c r="H29" s="11">
        <f t="shared" si="9"/>
        <v>3.0803903738243372</v>
      </c>
      <c r="I29" s="11">
        <f t="shared" si="9"/>
        <v>5.2715754439332296E-2</v>
      </c>
      <c r="J29" s="11">
        <f t="shared" si="9"/>
        <v>0.13470299694967666</v>
      </c>
      <c r="K29" s="11">
        <f t="shared" si="9"/>
        <v>2.7371622275165684E-2</v>
      </c>
      <c r="L29" s="11">
        <f t="shared" si="9"/>
        <v>6.010751200017074E-2</v>
      </c>
      <c r="M29" s="11">
        <f t="shared" si="9"/>
        <v>0.13978622115861833</v>
      </c>
      <c r="N29" s="6"/>
      <c r="O29" s="11">
        <f t="shared" si="8"/>
        <v>0.21984822474308927</v>
      </c>
      <c r="P29" s="11">
        <f t="shared" si="8"/>
        <v>1.1043861369752512</v>
      </c>
      <c r="Q29" s="11">
        <f t="shared" si="8"/>
        <v>0.21729919458067032</v>
      </c>
      <c r="R29" s="11">
        <f t="shared" si="8"/>
        <v>1.0210569003452037</v>
      </c>
      <c r="S29" s="11">
        <f t="shared" si="8"/>
        <v>3.6380516468691886E-2</v>
      </c>
      <c r="T29" s="11">
        <f t="shared" si="8"/>
        <v>1.2277190213088509</v>
      </c>
      <c r="U29" s="11">
        <f t="shared" si="8"/>
        <v>0.58613059930411127</v>
      </c>
      <c r="V29" s="11">
        <f t="shared" si="8"/>
        <v>1.6172704949152821</v>
      </c>
    </row>
    <row r="30" spans="1:22" x14ac:dyDescent="0.25">
      <c r="A30" s="225"/>
      <c r="B30" s="11">
        <f t="shared" ref="B30:M30" si="10">IF(B7="","",(B7/$O$23))</f>
        <v>0.27824545290565567</v>
      </c>
      <c r="C30" s="11">
        <f t="shared" si="10"/>
        <v>9.9370786942833439E-2</v>
      </c>
      <c r="D30" s="11">
        <f t="shared" si="10"/>
        <v>0.31952155043564734</v>
      </c>
      <c r="E30" s="11">
        <f t="shared" si="10"/>
        <v>0.19889077800575952</v>
      </c>
      <c r="F30" s="11">
        <f t="shared" si="10"/>
        <v>0.69687124597468275</v>
      </c>
      <c r="G30" s="11">
        <f t="shared" si="10"/>
        <v>1.0415474309123678</v>
      </c>
      <c r="H30" s="11">
        <f t="shared" si="10"/>
        <v>3.871155182500531</v>
      </c>
      <c r="I30" s="11">
        <f t="shared" si="10"/>
        <v>8.7562924611704826E-2</v>
      </c>
      <c r="J30" s="11">
        <f t="shared" si="10"/>
        <v>4.2782300477909957E-2</v>
      </c>
      <c r="K30" s="11">
        <f t="shared" si="10"/>
        <v>2.0238653781380591E-2</v>
      </c>
      <c r="L30" s="11">
        <f t="shared" si="10"/>
        <v>6.7510228055705251E-2</v>
      </c>
      <c r="M30" s="11">
        <f t="shared" si="10"/>
        <v>0.10279135461804216</v>
      </c>
      <c r="N30" s="6"/>
      <c r="O30" s="11">
        <f t="shared" si="8"/>
        <v>0.48465207235065838</v>
      </c>
      <c r="P30" s="11">
        <f t="shared" si="8"/>
        <v>1.7217464230564494</v>
      </c>
      <c r="Q30" s="11">
        <f t="shared" si="8"/>
        <v>3.4606589065737277E-2</v>
      </c>
      <c r="R30" s="11">
        <f t="shared" si="8"/>
        <v>2.3672351419157462</v>
      </c>
      <c r="S30" s="11">
        <f t="shared" si="8"/>
        <v>1.6119682694046451</v>
      </c>
      <c r="T30" s="11">
        <f t="shared" si="8"/>
        <v>2.3770790734051133</v>
      </c>
      <c r="U30" s="11">
        <f t="shared" si="8"/>
        <v>0.24064112546775188</v>
      </c>
      <c r="V30" s="11">
        <f t="shared" si="8"/>
        <v>0.17188398930785995</v>
      </c>
    </row>
    <row r="31" spans="1:22" x14ac:dyDescent="0.25">
      <c r="A31" s="225"/>
      <c r="B31" s="11">
        <f t="shared" ref="B31:M31" si="11">IF(B8="","",(B8/$O$23))</f>
        <v>5.6829067571558742E-2</v>
      </c>
      <c r="C31" s="11">
        <f t="shared" si="11"/>
        <v>1.7729832864884904E-2</v>
      </c>
      <c r="D31" s="11">
        <f t="shared" si="11"/>
        <v>0.11330813768174762</v>
      </c>
      <c r="E31" s="11">
        <f t="shared" si="11"/>
        <v>0.10777258053019736</v>
      </c>
      <c r="F31" s="11">
        <f t="shared" si="11"/>
        <v>0.46787023357309659</v>
      </c>
      <c r="G31" s="11">
        <f t="shared" si="11"/>
        <v>1.3449289731751908</v>
      </c>
      <c r="H31" s="11">
        <f t="shared" si="11"/>
        <v>1.6678748003150208</v>
      </c>
      <c r="I31" s="11">
        <f t="shared" si="11"/>
        <v>1.6114382154458075E-2</v>
      </c>
      <c r="J31" s="11">
        <f t="shared" si="11"/>
        <v>4.6319533973575307E-2</v>
      </c>
      <c r="K31" s="11">
        <f t="shared" si="11"/>
        <v>4.9681768738555718E-2</v>
      </c>
      <c r="L31" s="11">
        <f t="shared" si="11"/>
        <v>4.2286302148743224E-2</v>
      </c>
      <c r="M31" s="11">
        <f t="shared" si="11"/>
        <v>0.35714374864951698</v>
      </c>
      <c r="N31" s="6"/>
      <c r="O31" s="11">
        <f t="shared" si="8"/>
        <v>0.58272823958932063</v>
      </c>
      <c r="P31" s="11">
        <f t="shared" si="8"/>
        <v>1.2329152866053883</v>
      </c>
      <c r="Q31" s="11">
        <f t="shared" si="8"/>
        <v>0.21235067556037726</v>
      </c>
      <c r="R31" s="11">
        <f t="shared" si="8"/>
        <v>0.11410675905675199</v>
      </c>
      <c r="S31" s="11">
        <f t="shared" si="8"/>
        <v>0.5424948849777167</v>
      </c>
      <c r="T31" s="11">
        <f t="shared" si="8"/>
        <v>1.1541663635738457</v>
      </c>
      <c r="U31" s="11">
        <f t="shared" si="8"/>
        <v>0.76295552098209019</v>
      </c>
      <c r="V31" s="11">
        <f t="shared" si="8"/>
        <v>0.80433766302229459</v>
      </c>
    </row>
    <row r="32" spans="1:22" x14ac:dyDescent="0.25">
      <c r="A32" s="225"/>
      <c r="B32" s="11">
        <f t="shared" ref="B32:M32" si="12">IF(B9="","",(B9/$O$23))</f>
        <v>2.7477329600926238E-2</v>
      </c>
      <c r="C32" s="11">
        <f t="shared" si="12"/>
        <v>6.9869676259882198E-3</v>
      </c>
      <c r="D32" s="11">
        <f t="shared" si="12"/>
        <v>2.8888615125553976E-2</v>
      </c>
      <c r="E32" s="11">
        <f t="shared" si="12"/>
        <v>1.1505070693064886E-2</v>
      </c>
      <c r="F32" s="11">
        <f t="shared" si="12"/>
        <v>0.28390138490663658</v>
      </c>
      <c r="G32" s="11">
        <f t="shared" si="12"/>
        <v>0.91891850341882109</v>
      </c>
      <c r="H32" s="11">
        <f t="shared" si="12"/>
        <v>1.5501139733499207</v>
      </c>
      <c r="I32" s="11">
        <f t="shared" si="12"/>
        <v>0.19243993365874829</v>
      </c>
      <c r="J32" s="11">
        <f t="shared" si="12"/>
        <v>4.3114258571087846E-2</v>
      </c>
      <c r="K32" s="11">
        <f t="shared" si="12"/>
        <v>3.7485638510734033E-2</v>
      </c>
      <c r="L32" s="11">
        <f t="shared" si="12"/>
        <v>0.18178473637742015</v>
      </c>
      <c r="M32" s="11">
        <f t="shared" si="12"/>
        <v>5.0808470585537814E-2</v>
      </c>
      <c r="N32" s="6"/>
      <c r="O32" s="11">
        <f t="shared" si="8"/>
        <v>0.43532401010244659</v>
      </c>
      <c r="P32" s="11">
        <f t="shared" si="8"/>
        <v>1.7924656355436162</v>
      </c>
      <c r="Q32" s="11">
        <f t="shared" si="8"/>
        <v>0.1071926232724361</v>
      </c>
      <c r="R32" s="11">
        <f t="shared" si="8"/>
        <v>1.4407079027411045</v>
      </c>
      <c r="S32" s="11">
        <f t="shared" si="8"/>
        <v>0.53247376305872574</v>
      </c>
      <c r="T32" s="11">
        <f t="shared" si="8"/>
        <v>1.0926221086229069</v>
      </c>
      <c r="U32" s="11">
        <f t="shared" si="8"/>
        <v>0.45539137418211628</v>
      </c>
      <c r="V32" s="11">
        <f t="shared" si="8"/>
        <v>1.3746671245280293</v>
      </c>
    </row>
    <row r="33" spans="1:22" x14ac:dyDescent="0.25">
      <c r="A33" s="225"/>
      <c r="B33" s="11">
        <f t="shared" ref="B33:M33" si="13">IF(B10="","",(B10/$O$23))</f>
        <v>4.9798265966786243E-2</v>
      </c>
      <c r="C33" s="11">
        <f t="shared" si="13"/>
        <v>0.10898880484923505</v>
      </c>
      <c r="D33" s="11">
        <f t="shared" si="13"/>
        <v>3.6236370115382041E-2</v>
      </c>
      <c r="E33" s="11">
        <f t="shared" si="13"/>
        <v>7.2290829218809319E-2</v>
      </c>
      <c r="F33" s="11">
        <f t="shared" si="13"/>
        <v>0.85301293617107277</v>
      </c>
      <c r="G33" s="11">
        <f t="shared" si="13"/>
        <v>1.802121923885341</v>
      </c>
      <c r="H33" s="11">
        <f t="shared" si="13"/>
        <v>2.3078587301040296</v>
      </c>
      <c r="I33" s="11">
        <f t="shared" si="13"/>
        <v>2.4246596772298672E-2</v>
      </c>
      <c r="J33" s="11">
        <f t="shared" si="13"/>
        <v>0.12715984356980636</v>
      </c>
      <c r="K33" s="11">
        <f t="shared" si="13"/>
        <v>1.7401752392907175E-2</v>
      </c>
      <c r="L33" s="11">
        <f t="shared" si="13"/>
        <v>0.3503064909202997</v>
      </c>
      <c r="M33" s="11">
        <f t="shared" si="13"/>
        <v>1.8681535981182072E-2</v>
      </c>
      <c r="N33" s="6"/>
      <c r="O33" s="11">
        <f t="shared" si="8"/>
        <v>0.1283870263835401</v>
      </c>
      <c r="P33" s="11">
        <f t="shared" si="8"/>
        <v>1.0918491132662689</v>
      </c>
      <c r="Q33" s="11">
        <f t="shared" si="8"/>
        <v>0.25349189930949417</v>
      </c>
      <c r="R33" s="11">
        <f t="shared" si="8"/>
        <v>0.14742985550524032</v>
      </c>
      <c r="S33" s="11">
        <f t="shared" si="8"/>
        <v>0.97298333285135274</v>
      </c>
      <c r="T33" s="11">
        <f t="shared" si="8"/>
        <v>2.8997798823016576</v>
      </c>
      <c r="U33" s="11">
        <f t="shared" si="8"/>
        <v>0.11742338962457413</v>
      </c>
      <c r="V33" s="11">
        <f t="shared" si="8"/>
        <v>0.29796990039745141</v>
      </c>
    </row>
    <row r="34" spans="1:22" x14ac:dyDescent="0.25">
      <c r="A34" s="225"/>
      <c r="B34" s="11">
        <f t="shared" ref="B34:M34" si="14">IF(B11="","",(B11/$O$23))</f>
        <v>3.1134937946022255E-2</v>
      </c>
      <c r="C34" s="11">
        <f t="shared" si="14"/>
        <v>6.5650318617443013E-2</v>
      </c>
      <c r="D34" s="11">
        <f t="shared" si="14"/>
        <v>0.17371456369878194</v>
      </c>
      <c r="E34" s="11">
        <f t="shared" si="14"/>
        <v>0.28407267460834751</v>
      </c>
      <c r="F34" s="11">
        <f t="shared" si="14"/>
        <v>1.19704341288282</v>
      </c>
      <c r="G34" s="11">
        <f t="shared" si="14"/>
        <v>0.79354000530991742</v>
      </c>
      <c r="H34" s="11">
        <f t="shared" si="14"/>
        <v>2.0422159675794198</v>
      </c>
      <c r="I34" s="11">
        <f t="shared" si="14"/>
        <v>0.18462720130935464</v>
      </c>
      <c r="J34" s="11">
        <f t="shared" si="14"/>
        <v>6.7940306824469471E-2</v>
      </c>
      <c r="K34" s="11">
        <f t="shared" si="14"/>
        <v>1.0382077875056838E-2</v>
      </c>
      <c r="L34" s="11">
        <f t="shared" si="14"/>
        <v>6.374320335587462E-2</v>
      </c>
      <c r="M34" s="11">
        <f t="shared" si="14"/>
        <v>0.52559283994295025</v>
      </c>
      <c r="N34" s="6"/>
      <c r="O34" s="11">
        <f t="shared" si="8"/>
        <v>0.78396371397947395</v>
      </c>
      <c r="P34" s="11">
        <f t="shared" si="8"/>
        <v>1.4446716745687862</v>
      </c>
      <c r="Q34" s="11">
        <f t="shared" si="8"/>
        <v>0.25082982805947962</v>
      </c>
      <c r="R34" s="11">
        <f t="shared" si="8"/>
        <v>1.0790408246655021E-2</v>
      </c>
      <c r="S34" s="11">
        <f t="shared" si="8"/>
        <v>0.28367698865370627</v>
      </c>
      <c r="T34" s="11">
        <f t="shared" si="8"/>
        <v>1.3682892806149165</v>
      </c>
      <c r="U34" s="11">
        <f t="shared" si="8"/>
        <v>0.73638993813987697</v>
      </c>
      <c r="V34" s="11">
        <f t="shared" si="8"/>
        <v>0.81140488054790316</v>
      </c>
    </row>
    <row r="35" spans="1:22" x14ac:dyDescent="0.25">
      <c r="A35" s="225"/>
      <c r="B35" s="11">
        <f t="shared" ref="B35:M35" si="15">IF(B12="","",(B12/$O$23))</f>
        <v>4.1713762948930082E-2</v>
      </c>
      <c r="C35" s="11">
        <f t="shared" si="15"/>
        <v>0.12377771492214693</v>
      </c>
      <c r="D35" s="11">
        <f t="shared" si="15"/>
        <v>3.4827023401354379E-2</v>
      </c>
      <c r="E35" s="11">
        <f t="shared" si="15"/>
        <v>0.52042194777644002</v>
      </c>
      <c r="F35" s="11">
        <f t="shared" si="15"/>
        <v>0.65571906373086974</v>
      </c>
      <c r="G35" s="11">
        <f t="shared" si="15"/>
        <v>1.2648672224790591</v>
      </c>
      <c r="H35" s="11">
        <f t="shared" si="15"/>
        <v>2.8294253347995308</v>
      </c>
      <c r="I35" s="11">
        <f t="shared" si="15"/>
        <v>0.13788281492602403</v>
      </c>
      <c r="J35" s="11">
        <f t="shared" si="15"/>
        <v>0.23295062248227597</v>
      </c>
      <c r="K35" s="11">
        <f t="shared" si="15"/>
        <v>0.14318858087340897</v>
      </c>
      <c r="L35" s="11">
        <f t="shared" si="15"/>
        <v>4.4415959148754874E-2</v>
      </c>
      <c r="M35" s="11">
        <f t="shared" si="15"/>
        <v>0.42883658124237306</v>
      </c>
      <c r="N35" s="6"/>
      <c r="O35" s="11">
        <f t="shared" si="8"/>
        <v>1.6184993636512768</v>
      </c>
      <c r="P35" s="11">
        <f t="shared" si="8"/>
        <v>2.6992881525169152</v>
      </c>
      <c r="Q35" s="11">
        <f t="shared" si="8"/>
        <v>7.3399491697599434E-2</v>
      </c>
      <c r="R35" s="11">
        <f t="shared" si="8"/>
        <v>1.6721413637807663</v>
      </c>
      <c r="S35" s="11">
        <f t="shared" si="8"/>
        <v>0.69838115795157507</v>
      </c>
      <c r="T35" s="11">
        <f t="shared" si="8"/>
        <v>2.0993186603339282</v>
      </c>
      <c r="U35" s="11">
        <f t="shared" si="8"/>
        <v>2.4348455137537508</v>
      </c>
      <c r="V35" s="11">
        <f t="shared" si="8"/>
        <v>2.0729096996697556</v>
      </c>
    </row>
    <row r="36" spans="1:22" x14ac:dyDescent="0.25">
      <c r="A36" s="225"/>
      <c r="B36" s="11" t="str">
        <f t="shared" ref="B36:M36" si="16">IF(B13="","",(B13/$O$23))</f>
        <v/>
      </c>
      <c r="C36" s="11" t="str">
        <f t="shared" si="16"/>
        <v/>
      </c>
      <c r="D36" s="11" t="str">
        <f t="shared" si="16"/>
        <v/>
      </c>
      <c r="E36" s="11" t="str">
        <f t="shared" si="16"/>
        <v/>
      </c>
      <c r="F36" s="11" t="str">
        <f t="shared" si="16"/>
        <v/>
      </c>
      <c r="G36" s="11" t="str">
        <f t="shared" si="16"/>
        <v/>
      </c>
      <c r="H36" s="11" t="str">
        <f t="shared" si="16"/>
        <v/>
      </c>
      <c r="I36" s="11" t="str">
        <f t="shared" si="16"/>
        <v/>
      </c>
      <c r="J36" s="11" t="str">
        <f t="shared" si="16"/>
        <v/>
      </c>
      <c r="K36" s="11" t="str">
        <f t="shared" si="16"/>
        <v/>
      </c>
      <c r="L36" s="11" t="str">
        <f t="shared" si="16"/>
        <v/>
      </c>
      <c r="M36" s="11" t="str">
        <f t="shared" si="16"/>
        <v/>
      </c>
      <c r="N36" s="6"/>
      <c r="O36" s="11">
        <f t="shared" si="8"/>
        <v>1.0892575135667612E-2</v>
      </c>
      <c r="P36" s="11" t="str">
        <f t="shared" si="8"/>
        <v/>
      </c>
      <c r="Q36" s="11" t="str">
        <f t="shared" si="8"/>
        <v/>
      </c>
      <c r="R36" s="11" t="str">
        <f t="shared" si="8"/>
        <v/>
      </c>
      <c r="S36" s="11" t="str">
        <f t="shared" si="8"/>
        <v/>
      </c>
      <c r="T36" s="11" t="str">
        <f t="shared" si="8"/>
        <v/>
      </c>
      <c r="U36" s="11" t="str">
        <f t="shared" si="8"/>
        <v/>
      </c>
      <c r="V36" s="11" t="str">
        <f t="shared" si="8"/>
        <v/>
      </c>
    </row>
    <row r="37" spans="1:22" x14ac:dyDescent="0.25">
      <c r="A37" s="225"/>
      <c r="B37" s="11" t="str">
        <f t="shared" ref="B37:M37" si="17">IF(B14="","",(B14/$O$23))</f>
        <v/>
      </c>
      <c r="C37" s="11" t="str">
        <f t="shared" si="17"/>
        <v/>
      </c>
      <c r="D37" s="11" t="str">
        <f t="shared" si="17"/>
        <v/>
      </c>
      <c r="E37" s="11" t="str">
        <f t="shared" si="17"/>
        <v/>
      </c>
      <c r="F37" s="11" t="str">
        <f t="shared" si="17"/>
        <v/>
      </c>
      <c r="G37" s="11" t="str">
        <f t="shared" si="17"/>
        <v/>
      </c>
      <c r="H37" s="11" t="str">
        <f t="shared" si="17"/>
        <v/>
      </c>
      <c r="I37" s="11" t="str">
        <f t="shared" si="17"/>
        <v/>
      </c>
      <c r="J37" s="11" t="str">
        <f t="shared" si="17"/>
        <v/>
      </c>
      <c r="K37" s="11" t="str">
        <f t="shared" si="17"/>
        <v/>
      </c>
      <c r="L37" s="11" t="str">
        <f t="shared" si="17"/>
        <v/>
      </c>
      <c r="M37" s="11" t="str">
        <f t="shared" si="17"/>
        <v/>
      </c>
      <c r="N37" s="6"/>
      <c r="O37" s="11">
        <f t="shared" si="8"/>
        <v>2.1928585165450958</v>
      </c>
      <c r="P37" s="11" t="str">
        <f t="shared" si="8"/>
        <v/>
      </c>
      <c r="Q37" s="11" t="str">
        <f t="shared" si="8"/>
        <v/>
      </c>
      <c r="R37" s="11" t="str">
        <f t="shared" si="8"/>
        <v/>
      </c>
      <c r="S37" s="11" t="str">
        <f t="shared" si="8"/>
        <v/>
      </c>
      <c r="T37" s="11" t="str">
        <f t="shared" si="8"/>
        <v/>
      </c>
      <c r="U37" s="11" t="str">
        <f t="shared" si="8"/>
        <v/>
      </c>
      <c r="V37" s="11" t="str">
        <f t="shared" si="8"/>
        <v/>
      </c>
    </row>
    <row r="38" spans="1:22" x14ac:dyDescent="0.25">
      <c r="A38" s="225"/>
      <c r="B38" s="11" t="str">
        <f t="shared" ref="B38:M38" si="18">IF(B15="","",(B15/$O$23))</f>
        <v/>
      </c>
      <c r="C38" s="11" t="str">
        <f t="shared" si="18"/>
        <v/>
      </c>
      <c r="D38" s="11" t="str">
        <f t="shared" si="18"/>
        <v/>
      </c>
      <c r="E38" s="11" t="str">
        <f t="shared" si="18"/>
        <v/>
      </c>
      <c r="F38" s="11" t="str">
        <f t="shared" si="18"/>
        <v/>
      </c>
      <c r="G38" s="11" t="str">
        <f t="shared" si="18"/>
        <v/>
      </c>
      <c r="H38" s="11" t="str">
        <f t="shared" si="18"/>
        <v/>
      </c>
      <c r="I38" s="11" t="str">
        <f t="shared" si="18"/>
        <v/>
      </c>
      <c r="J38" s="11" t="str">
        <f t="shared" si="18"/>
        <v/>
      </c>
      <c r="K38" s="11" t="str">
        <f t="shared" si="18"/>
        <v/>
      </c>
      <c r="L38" s="11" t="str">
        <f t="shared" si="18"/>
        <v/>
      </c>
      <c r="M38" s="11" t="str">
        <f t="shared" si="18"/>
        <v/>
      </c>
      <c r="N38" s="6"/>
      <c r="O38" s="11">
        <f t="shared" ref="O38:V47" si="19">IF(O15="","",(O15/$O$23))</f>
        <v>2.174618017827374</v>
      </c>
      <c r="P38" s="11" t="str">
        <f t="shared" si="19"/>
        <v/>
      </c>
      <c r="Q38" s="11" t="str">
        <f t="shared" si="19"/>
        <v/>
      </c>
      <c r="R38" s="11" t="str">
        <f t="shared" si="19"/>
        <v/>
      </c>
      <c r="S38" s="11" t="str">
        <f t="shared" si="19"/>
        <v/>
      </c>
      <c r="T38" s="11" t="str">
        <f t="shared" si="19"/>
        <v/>
      </c>
      <c r="U38" s="11" t="str">
        <f t="shared" si="19"/>
        <v/>
      </c>
      <c r="V38" s="11" t="str">
        <f t="shared" si="19"/>
        <v/>
      </c>
    </row>
    <row r="39" spans="1:22" x14ac:dyDescent="0.25">
      <c r="A39" s="225"/>
      <c r="B39" s="11" t="str">
        <f t="shared" ref="B39:M39" si="20">IF(B16="","",(B16/$O$23))</f>
        <v/>
      </c>
      <c r="C39" s="11" t="str">
        <f t="shared" si="20"/>
        <v/>
      </c>
      <c r="D39" s="11" t="str">
        <f t="shared" si="20"/>
        <v/>
      </c>
      <c r="E39" s="11" t="str">
        <f t="shared" si="20"/>
        <v/>
      </c>
      <c r="F39" s="11" t="str">
        <f t="shared" si="20"/>
        <v/>
      </c>
      <c r="G39" s="11" t="str">
        <f t="shared" si="20"/>
        <v/>
      </c>
      <c r="H39" s="11" t="str">
        <f t="shared" si="20"/>
        <v/>
      </c>
      <c r="I39" s="11" t="str">
        <f t="shared" si="20"/>
        <v/>
      </c>
      <c r="J39" s="11" t="str">
        <f t="shared" si="20"/>
        <v/>
      </c>
      <c r="K39" s="11" t="str">
        <f t="shared" si="20"/>
        <v/>
      </c>
      <c r="L39" s="11" t="str">
        <f t="shared" si="20"/>
        <v/>
      </c>
      <c r="M39" s="11" t="str">
        <f t="shared" si="20"/>
        <v/>
      </c>
      <c r="N39" s="6"/>
      <c r="O39" s="11">
        <f t="shared" si="19"/>
        <v>0.68972394714167973</v>
      </c>
      <c r="P39" s="11" t="str">
        <f t="shared" si="19"/>
        <v/>
      </c>
      <c r="Q39" s="11" t="str">
        <f t="shared" si="19"/>
        <v/>
      </c>
      <c r="R39" s="11" t="str">
        <f t="shared" si="19"/>
        <v/>
      </c>
      <c r="S39" s="11" t="str">
        <f t="shared" si="19"/>
        <v/>
      </c>
      <c r="T39" s="11" t="str">
        <f t="shared" si="19"/>
        <v/>
      </c>
      <c r="U39" s="11" t="str">
        <f t="shared" si="19"/>
        <v/>
      </c>
      <c r="V39" s="11" t="str">
        <f t="shared" si="19"/>
        <v/>
      </c>
    </row>
    <row r="40" spans="1:22" x14ac:dyDescent="0.25">
      <c r="A40" s="225"/>
      <c r="B40" s="11" t="str">
        <f t="shared" ref="B40:M40" si="21">IF(B17="","",(B17/$O$23))</f>
        <v/>
      </c>
      <c r="C40" s="11" t="str">
        <f t="shared" si="21"/>
        <v/>
      </c>
      <c r="D40" s="11" t="str">
        <f t="shared" si="21"/>
        <v/>
      </c>
      <c r="E40" s="11" t="str">
        <f t="shared" si="21"/>
        <v/>
      </c>
      <c r="F40" s="11" t="str">
        <f t="shared" si="21"/>
        <v/>
      </c>
      <c r="G40" s="11" t="str">
        <f t="shared" si="21"/>
        <v/>
      </c>
      <c r="H40" s="11" t="str">
        <f t="shared" si="21"/>
        <v/>
      </c>
      <c r="I40" s="11" t="str">
        <f t="shared" si="21"/>
        <v/>
      </c>
      <c r="J40" s="11" t="str">
        <f t="shared" si="21"/>
        <v/>
      </c>
      <c r="K40" s="11" t="str">
        <f t="shared" si="21"/>
        <v/>
      </c>
      <c r="L40" s="11" t="str">
        <f t="shared" si="21"/>
        <v/>
      </c>
      <c r="M40" s="11" t="str">
        <f t="shared" si="21"/>
        <v/>
      </c>
      <c r="N40" s="6"/>
      <c r="O40" s="11">
        <f t="shared" si="19"/>
        <v>2.2915145567454061</v>
      </c>
      <c r="P40" s="11" t="str">
        <f t="shared" si="19"/>
        <v/>
      </c>
      <c r="Q40" s="11" t="str">
        <f t="shared" si="19"/>
        <v/>
      </c>
      <c r="R40" s="11" t="str">
        <f t="shared" si="19"/>
        <v/>
      </c>
      <c r="S40" s="11" t="str">
        <f t="shared" si="19"/>
        <v/>
      </c>
      <c r="T40" s="11" t="str">
        <f t="shared" si="19"/>
        <v/>
      </c>
      <c r="U40" s="11" t="str">
        <f t="shared" si="19"/>
        <v/>
      </c>
      <c r="V40" s="11" t="str">
        <f t="shared" si="19"/>
        <v/>
      </c>
    </row>
    <row r="41" spans="1:22" x14ac:dyDescent="0.25">
      <c r="A41" s="225"/>
      <c r="B41" s="11" t="str">
        <f t="shared" ref="B41:M41" si="22">IF(B18="","",(B18/$O$23))</f>
        <v/>
      </c>
      <c r="C41" s="11" t="str">
        <f t="shared" si="22"/>
        <v/>
      </c>
      <c r="D41" s="11" t="str">
        <f t="shared" si="22"/>
        <v/>
      </c>
      <c r="E41" s="11" t="str">
        <f t="shared" si="22"/>
        <v/>
      </c>
      <c r="F41" s="11" t="str">
        <f t="shared" si="22"/>
        <v/>
      </c>
      <c r="G41" s="11" t="str">
        <f t="shared" si="22"/>
        <v/>
      </c>
      <c r="H41" s="11" t="str">
        <f t="shared" si="22"/>
        <v/>
      </c>
      <c r="I41" s="11" t="str">
        <f t="shared" si="22"/>
        <v/>
      </c>
      <c r="J41" s="11" t="str">
        <f t="shared" si="22"/>
        <v/>
      </c>
      <c r="K41" s="11" t="str">
        <f t="shared" si="22"/>
        <v/>
      </c>
      <c r="L41" s="11" t="str">
        <f t="shared" si="22"/>
        <v/>
      </c>
      <c r="M41" s="11" t="str">
        <f t="shared" si="22"/>
        <v/>
      </c>
      <c r="N41" s="6"/>
      <c r="O41" s="11">
        <f t="shared" si="19"/>
        <v>0.44199014672217907</v>
      </c>
      <c r="P41" s="11" t="str">
        <f t="shared" si="19"/>
        <v/>
      </c>
      <c r="Q41" s="11" t="str">
        <f t="shared" si="19"/>
        <v/>
      </c>
      <c r="R41" s="11" t="str">
        <f t="shared" si="19"/>
        <v/>
      </c>
      <c r="S41" s="11" t="str">
        <f t="shared" si="19"/>
        <v/>
      </c>
      <c r="T41" s="11" t="str">
        <f t="shared" si="19"/>
        <v/>
      </c>
      <c r="U41" s="11" t="str">
        <f t="shared" si="19"/>
        <v/>
      </c>
      <c r="V41" s="11" t="str">
        <f t="shared" si="19"/>
        <v/>
      </c>
    </row>
    <row r="42" spans="1:22" x14ac:dyDescent="0.25">
      <c r="A42" s="225"/>
      <c r="B42" s="11" t="str">
        <f t="shared" ref="B42:M42" si="23">IF(B19="","",(B19/$O$23))</f>
        <v/>
      </c>
      <c r="C42" s="11" t="str">
        <f t="shared" si="23"/>
        <v/>
      </c>
      <c r="D42" s="11" t="str">
        <f t="shared" si="23"/>
        <v/>
      </c>
      <c r="E42" s="11" t="str">
        <f t="shared" si="23"/>
        <v/>
      </c>
      <c r="F42" s="11" t="str">
        <f t="shared" si="23"/>
        <v/>
      </c>
      <c r="G42" s="11" t="str">
        <f t="shared" si="23"/>
        <v/>
      </c>
      <c r="H42" s="11" t="str">
        <f t="shared" si="23"/>
        <v/>
      </c>
      <c r="I42" s="11" t="str">
        <f t="shared" si="23"/>
        <v/>
      </c>
      <c r="J42" s="11" t="str">
        <f t="shared" si="23"/>
        <v/>
      </c>
      <c r="K42" s="11" t="str">
        <f t="shared" si="23"/>
        <v/>
      </c>
      <c r="L42" s="11" t="str">
        <f t="shared" si="23"/>
        <v/>
      </c>
      <c r="M42" s="11" t="str">
        <f t="shared" si="23"/>
        <v/>
      </c>
      <c r="N42" s="6"/>
      <c r="O42" s="11">
        <f t="shared" si="19"/>
        <v>0.60705845810576164</v>
      </c>
      <c r="P42" s="11" t="str">
        <f t="shared" si="19"/>
        <v/>
      </c>
      <c r="Q42" s="11" t="str">
        <f t="shared" si="19"/>
        <v/>
      </c>
      <c r="R42" s="11" t="str">
        <f t="shared" si="19"/>
        <v/>
      </c>
      <c r="S42" s="11" t="str">
        <f t="shared" si="19"/>
        <v/>
      </c>
      <c r="T42" s="11" t="str">
        <f t="shared" si="19"/>
        <v/>
      </c>
      <c r="U42" s="11" t="str">
        <f t="shared" si="19"/>
        <v/>
      </c>
      <c r="V42" s="11" t="str">
        <f t="shared" si="19"/>
        <v/>
      </c>
    </row>
    <row r="43" spans="1:22" x14ac:dyDescent="0.25">
      <c r="A43" s="225"/>
      <c r="B43" s="11" t="str">
        <f t="shared" ref="B43:M43" si="24">IF(B20="","",(B20/$O$23))</f>
        <v/>
      </c>
      <c r="C43" s="11" t="str">
        <f t="shared" si="24"/>
        <v/>
      </c>
      <c r="D43" s="11" t="str">
        <f t="shared" si="24"/>
        <v/>
      </c>
      <c r="E43" s="11" t="str">
        <f t="shared" si="24"/>
        <v/>
      </c>
      <c r="F43" s="11" t="str">
        <f t="shared" si="24"/>
        <v/>
      </c>
      <c r="G43" s="11" t="str">
        <f t="shared" si="24"/>
        <v/>
      </c>
      <c r="H43" s="11" t="str">
        <f t="shared" si="24"/>
        <v/>
      </c>
      <c r="I43" s="11" t="str">
        <f t="shared" si="24"/>
        <v/>
      </c>
      <c r="J43" s="11" t="str">
        <f t="shared" si="24"/>
        <v/>
      </c>
      <c r="K43" s="11" t="str">
        <f t="shared" si="24"/>
        <v/>
      </c>
      <c r="L43" s="11" t="str">
        <f t="shared" si="24"/>
        <v/>
      </c>
      <c r="M43" s="11" t="str">
        <f t="shared" si="24"/>
        <v/>
      </c>
      <c r="N43" s="6"/>
      <c r="O43" s="11">
        <f t="shared" si="19"/>
        <v>1.8744820445090746</v>
      </c>
      <c r="P43" s="11" t="str">
        <f t="shared" si="19"/>
        <v/>
      </c>
      <c r="Q43" s="11" t="str">
        <f t="shared" si="19"/>
        <v/>
      </c>
      <c r="R43" s="11" t="str">
        <f t="shared" si="19"/>
        <v/>
      </c>
      <c r="S43" s="11" t="str">
        <f t="shared" si="19"/>
        <v/>
      </c>
      <c r="T43" s="11" t="str">
        <f t="shared" si="19"/>
        <v/>
      </c>
      <c r="U43" s="11" t="str">
        <f t="shared" si="19"/>
        <v/>
      </c>
      <c r="V43" s="11" t="str">
        <f t="shared" si="19"/>
        <v/>
      </c>
    </row>
    <row r="44" spans="1:22" x14ac:dyDescent="0.25">
      <c r="A44" s="7"/>
      <c r="B44" s="3"/>
      <c r="C44" s="3"/>
      <c r="D44" s="3"/>
      <c r="E44" s="3"/>
      <c r="F44" s="3"/>
      <c r="G44" s="3"/>
      <c r="H44" s="3"/>
      <c r="I44" s="3"/>
      <c r="J44" s="3"/>
      <c r="K44" s="3"/>
      <c r="L44" s="3"/>
      <c r="M44" s="3"/>
      <c r="N44" s="7"/>
      <c r="O44" s="3"/>
      <c r="P44" s="3"/>
      <c r="Q44" s="3"/>
      <c r="R44" s="3"/>
      <c r="S44" s="3"/>
      <c r="T44" s="3"/>
      <c r="U44" s="3"/>
      <c r="V44" s="3"/>
    </row>
    <row r="45" spans="1:22" x14ac:dyDescent="0.25">
      <c r="A45" s="7" t="str">
        <f>A4</f>
        <v>Noms des groupes</v>
      </c>
      <c r="B45" s="7" t="str">
        <f t="shared" ref="B45:V45" si="25">B4</f>
        <v>Témoin solvant</v>
      </c>
      <c r="C45" s="7" t="str">
        <f t="shared" si="25"/>
        <v>EE2-33,8ng/L</v>
      </c>
      <c r="D45" s="7" t="str">
        <f t="shared" si="25"/>
        <v>EE2-50,6ng/L</v>
      </c>
      <c r="E45" s="7" t="str">
        <f t="shared" si="25"/>
        <v>EE2-76ng/L</v>
      </c>
      <c r="F45" s="7" t="str">
        <f t="shared" si="25"/>
        <v>EE2-114ng/L</v>
      </c>
      <c r="G45" s="7" t="str">
        <f t="shared" si="25"/>
        <v>EE2-170,9ng/L</v>
      </c>
      <c r="H45" s="7" t="str">
        <f t="shared" si="25"/>
        <v>EE2-488ng/L</v>
      </c>
      <c r="I45" s="7" t="str">
        <f t="shared" si="25"/>
        <v>Cromolyn-0,1µg/L</v>
      </c>
      <c r="J45" s="7" t="str">
        <f t="shared" si="25"/>
        <v>Cromolyn-1µg/L</v>
      </c>
      <c r="K45" s="7" t="str">
        <f t="shared" si="25"/>
        <v>Cromolyn-10µg/L</v>
      </c>
      <c r="L45" s="7" t="str">
        <f t="shared" si="25"/>
        <v>Cromolyn-100µg/L</v>
      </c>
      <c r="M45" s="7" t="str">
        <f t="shared" si="25"/>
        <v>Cromolyn-1000µg/L</v>
      </c>
      <c r="N45" s="7"/>
      <c r="O45" s="7" t="str">
        <f t="shared" si="25"/>
        <v>Testo -30µg/L</v>
      </c>
      <c r="P45" s="7" t="str">
        <f t="shared" si="25"/>
        <v>Testo 30µg/L + EE2 -64ng/L</v>
      </c>
      <c r="Q45" s="7" t="str">
        <f t="shared" si="25"/>
        <v>Testo 30µg/L + FAD-10mg/L</v>
      </c>
      <c r="R45" s="7" t="str">
        <f t="shared" si="25"/>
        <v>Cromolyn-0,1µg/L + Testostérone</v>
      </c>
      <c r="S45" s="7" t="str">
        <f t="shared" si="25"/>
        <v>Cromolyn-1µg/L + Testostérone</v>
      </c>
      <c r="T45" s="7" t="str">
        <f t="shared" si="25"/>
        <v>Cromolyn-10µg/L + Testostérone</v>
      </c>
      <c r="U45" s="7" t="str">
        <f t="shared" si="25"/>
        <v>Cromolyn-100µg/L + Testostérone</v>
      </c>
      <c r="V45" s="7" t="str">
        <f t="shared" si="25"/>
        <v>Cromolyn-1000µg/L + Testostérone</v>
      </c>
    </row>
    <row r="46" spans="1:22" x14ac:dyDescent="0.25">
      <c r="A46" s="8" t="s">
        <v>0</v>
      </c>
      <c r="B46" s="10">
        <f t="shared" ref="B46:H46" si="26">AVERAGE(B28:B43)</f>
        <v>8.2806326766790811E-2</v>
      </c>
      <c r="C46" s="10">
        <f t="shared" si="26"/>
        <v>9.2246374504522582E-2</v>
      </c>
      <c r="D46" s="10">
        <f t="shared" si="26"/>
        <v>0.10678586291594343</v>
      </c>
      <c r="E46" s="10">
        <f t="shared" si="26"/>
        <v>0.18158175133720372</v>
      </c>
      <c r="F46" s="10">
        <f t="shared" si="26"/>
        <v>0.63963658765519982</v>
      </c>
      <c r="G46" s="10">
        <f t="shared" si="26"/>
        <v>1.1336668343966136</v>
      </c>
      <c r="H46" s="10">
        <f t="shared" si="26"/>
        <v>2.3612890521566445</v>
      </c>
      <c r="I46" s="10">
        <f>AVERAGE(I28:I43)</f>
        <v>0.12155522682764261</v>
      </c>
      <c r="J46" s="9">
        <f>AVERAGE(J28:J43)</f>
        <v>9.5449479282099112E-2</v>
      </c>
      <c r="K46" s="9">
        <f t="shared" ref="K46:M46" si="27">AVERAGE(K28:K43)</f>
        <v>5.4143604150173719E-2</v>
      </c>
      <c r="L46" s="9">
        <f t="shared" si="27"/>
        <v>0.12018895542738178</v>
      </c>
      <c r="M46" s="9">
        <f t="shared" si="27"/>
        <v>0.23642889084686511</v>
      </c>
      <c r="N46" s="8" t="s">
        <v>0</v>
      </c>
      <c r="O46" s="10">
        <f t="shared" ref="O46:V46" si="28">AVERAGE(O28:O43)</f>
        <v>1</v>
      </c>
      <c r="P46" s="10">
        <f t="shared" si="28"/>
        <v>1.6353093784046246</v>
      </c>
      <c r="Q46" s="10">
        <f t="shared" si="28"/>
        <v>0.14698523565697555</v>
      </c>
      <c r="R46" s="10">
        <f t="shared" si="28"/>
        <v>0.94192036271184421</v>
      </c>
      <c r="S46" s="10">
        <f t="shared" si="28"/>
        <v>0.89233631424233761</v>
      </c>
      <c r="T46" s="10">
        <f t="shared" si="28"/>
        <v>1.6738661149387724</v>
      </c>
      <c r="U46" s="10">
        <f t="shared" si="28"/>
        <v>0.92021255412422909</v>
      </c>
      <c r="V46" s="10">
        <f t="shared" si="28"/>
        <v>0.98734842314189408</v>
      </c>
    </row>
    <row r="47" spans="1:22" x14ac:dyDescent="0.25">
      <c r="A47" s="8" t="s">
        <v>1</v>
      </c>
      <c r="B47" s="8">
        <f t="shared" ref="B47:M47" si="29">STDEV(B28:B43)</f>
        <v>8.5237411596561563E-2</v>
      </c>
      <c r="C47" s="8">
        <f t="shared" si="29"/>
        <v>8.146989050949964E-2</v>
      </c>
      <c r="D47" s="8">
        <f t="shared" si="29"/>
        <v>9.9473810739172649E-2</v>
      </c>
      <c r="E47" s="8">
        <f t="shared" si="29"/>
        <v>0.1607545292729928</v>
      </c>
      <c r="F47" s="8">
        <f t="shared" si="29"/>
        <v>0.29984315693131347</v>
      </c>
      <c r="G47" s="8">
        <f t="shared" si="29"/>
        <v>0.47188188741446474</v>
      </c>
      <c r="H47" s="8">
        <f t="shared" si="29"/>
        <v>0.83937585852133711</v>
      </c>
      <c r="I47" s="8">
        <f t="shared" si="29"/>
        <v>9.2479764976460599E-2</v>
      </c>
      <c r="J47" s="8">
        <f t="shared" si="29"/>
        <v>6.6392516740486685E-2</v>
      </c>
      <c r="K47" s="8">
        <f t="shared" si="29"/>
        <v>5.1719073499441721E-2</v>
      </c>
      <c r="L47" s="8">
        <f t="shared" si="29"/>
        <v>0.10630206421521825</v>
      </c>
      <c r="M47" s="8">
        <f t="shared" si="29"/>
        <v>0.18718202599923872</v>
      </c>
      <c r="N47" s="8" t="s">
        <v>1</v>
      </c>
      <c r="O47" s="8">
        <f t="shared" ref="O47:V47" si="30">STDEV(O28:O43)</f>
        <v>0.79777448853027721</v>
      </c>
      <c r="P47" s="8">
        <f t="shared" si="30"/>
        <v>0.54369105177142107</v>
      </c>
      <c r="Q47" s="8">
        <f t="shared" si="30"/>
        <v>9.6685859214040187E-2</v>
      </c>
      <c r="R47" s="8">
        <f t="shared" si="30"/>
        <v>0.84816603314283112</v>
      </c>
      <c r="S47" s="8">
        <f t="shared" si="30"/>
        <v>0.79062529474628784</v>
      </c>
      <c r="T47" s="8">
        <f t="shared" si="30"/>
        <v>0.68978826931313153</v>
      </c>
      <c r="U47" s="8">
        <f t="shared" si="30"/>
        <v>0.84630399393142774</v>
      </c>
      <c r="V47" s="8">
        <f t="shared" si="30"/>
        <v>0.65324008131435329</v>
      </c>
    </row>
    <row r="48" spans="1:22" x14ac:dyDescent="0.25">
      <c r="A48" s="8" t="s">
        <v>2</v>
      </c>
      <c r="B48" s="8">
        <f t="shared" ref="B48:M48" si="31" xml:space="preserve"> B47/SQRT(COUNT(B28:B43))</f>
        <v>3.013597587535877E-2</v>
      </c>
      <c r="C48" s="8">
        <f t="shared" si="31"/>
        <v>2.880395602089637E-2</v>
      </c>
      <c r="D48" s="8">
        <f t="shared" si="31"/>
        <v>3.5169303062068093E-2</v>
      </c>
      <c r="E48" s="8">
        <f t="shared" si="31"/>
        <v>5.6835308877692281E-2</v>
      </c>
      <c r="F48" s="8">
        <f t="shared" si="31"/>
        <v>0.10601056477925694</v>
      </c>
      <c r="G48" s="8">
        <f t="shared" si="31"/>
        <v>0.16683544125493749</v>
      </c>
      <c r="H48" s="8">
        <f t="shared" si="31"/>
        <v>0.29676418076235878</v>
      </c>
      <c r="I48" s="8">
        <f t="shared" si="31"/>
        <v>3.2696534468696734E-2</v>
      </c>
      <c r="J48" s="8">
        <f t="shared" si="31"/>
        <v>2.3473299403619755E-2</v>
      </c>
      <c r="K48" s="8">
        <f t="shared" si="31"/>
        <v>1.8285453794070351E-2</v>
      </c>
      <c r="L48" s="8">
        <f t="shared" si="31"/>
        <v>3.7583455230354321E-2</v>
      </c>
      <c r="M48" s="8">
        <f t="shared" si="31"/>
        <v>6.6178839950149171E-2</v>
      </c>
      <c r="N48" s="8" t="s">
        <v>2</v>
      </c>
      <c r="O48" s="8">
        <f t="shared" ref="O48:V48" si="32" xml:space="preserve"> O47/SQRT(COUNT(O28:O43))</f>
        <v>0.1994436221325693</v>
      </c>
      <c r="P48" s="8">
        <f t="shared" si="32"/>
        <v>0.19222381478900905</v>
      </c>
      <c r="Q48" s="8">
        <f t="shared" si="32"/>
        <v>3.4183613347547825E-2</v>
      </c>
      <c r="R48" s="8">
        <f t="shared" si="32"/>
        <v>0.29987197680369493</v>
      </c>
      <c r="S48" s="8">
        <f t="shared" si="32"/>
        <v>0.27952825364635647</v>
      </c>
      <c r="T48" s="8">
        <f t="shared" si="32"/>
        <v>0.24387698140712388</v>
      </c>
      <c r="U48" s="8">
        <f t="shared" si="32"/>
        <v>0.29921364652708565</v>
      </c>
      <c r="V48" s="8">
        <f t="shared" si="32"/>
        <v>0.23095524562011543</v>
      </c>
    </row>
    <row r="49" spans="1:22" ht="15.75" thickBot="1" x14ac:dyDescent="0.3">
      <c r="A49" s="8"/>
      <c r="B49" s="8"/>
      <c r="C49" s="8"/>
      <c r="D49" s="8"/>
      <c r="E49" s="8"/>
      <c r="F49" s="8"/>
      <c r="G49" s="8"/>
      <c r="H49" s="8"/>
      <c r="I49" s="8"/>
      <c r="J49" s="8"/>
      <c r="K49" s="8"/>
      <c r="L49" s="8"/>
      <c r="M49" s="8"/>
      <c r="N49" s="8"/>
      <c r="O49" s="8"/>
      <c r="P49" s="8"/>
      <c r="Q49" s="8"/>
      <c r="R49" s="8"/>
      <c r="S49" s="8"/>
      <c r="T49" s="8"/>
      <c r="U49" s="8"/>
      <c r="V49" s="8"/>
    </row>
    <row r="50" spans="1:22" ht="27" thickBot="1" x14ac:dyDescent="0.45">
      <c r="A50" s="216" t="s">
        <v>44</v>
      </c>
      <c r="B50" s="217"/>
      <c r="C50" s="217"/>
      <c r="D50" s="217"/>
      <c r="E50" s="217"/>
      <c r="F50" s="217"/>
      <c r="G50" s="217"/>
      <c r="H50" s="217"/>
      <c r="I50" s="217"/>
      <c r="J50" s="217"/>
      <c r="K50" s="217"/>
      <c r="L50" s="217"/>
      <c r="M50" s="217"/>
      <c r="N50" s="217"/>
      <c r="O50" s="217"/>
      <c r="P50" s="217"/>
      <c r="Q50" s="217"/>
      <c r="R50" s="217"/>
      <c r="S50" s="217"/>
      <c r="T50" s="217"/>
      <c r="U50" s="217"/>
      <c r="V50" s="217"/>
    </row>
    <row r="51" spans="1:22" ht="15.75" thickBot="1" x14ac:dyDescent="0.3"/>
    <row r="52" spans="1:22" x14ac:dyDescent="0.25">
      <c r="A52" s="45" t="str">
        <f t="shared" ref="A52:H52" si="33">A27</f>
        <v>Noms des groupes</v>
      </c>
      <c r="B52" s="46" t="str">
        <f t="shared" si="33"/>
        <v>Témoin solvant</v>
      </c>
      <c r="C52" s="46" t="str">
        <f t="shared" si="33"/>
        <v>EE2-33,8ng/L</v>
      </c>
      <c r="D52" s="46" t="str">
        <f t="shared" si="33"/>
        <v>EE2-50,6ng/L</v>
      </c>
      <c r="E52" s="46" t="str">
        <f t="shared" si="33"/>
        <v>EE2-76ng/L</v>
      </c>
      <c r="F52" s="46" t="str">
        <f t="shared" si="33"/>
        <v>EE2-114ng/L</v>
      </c>
      <c r="G52" s="46" t="str">
        <f t="shared" si="33"/>
        <v>EE2-170,9ng/L</v>
      </c>
      <c r="H52" s="46" t="str">
        <f t="shared" si="33"/>
        <v>EE2-488ng/L</v>
      </c>
      <c r="I52" s="46" t="str">
        <f>I4</f>
        <v>Cromolyn-0,1µg/L</v>
      </c>
      <c r="J52" s="46" t="str">
        <f>J4</f>
        <v>Cromolyn-1µg/L</v>
      </c>
      <c r="K52" s="46" t="str">
        <f t="shared" ref="K52:M52" si="34">K4</f>
        <v>Cromolyn-10µg/L</v>
      </c>
      <c r="L52" s="46" t="str">
        <f t="shared" si="34"/>
        <v>Cromolyn-100µg/L</v>
      </c>
      <c r="M52" s="46" t="str">
        <f t="shared" si="34"/>
        <v>Cromolyn-1000µg/L</v>
      </c>
      <c r="N52" s="47"/>
      <c r="O52" s="46" t="str">
        <f>O27</f>
        <v>Testo -30µg/L</v>
      </c>
      <c r="P52" s="46" t="str">
        <f>P27</f>
        <v>Testo 30µg/L + EE2 -64ng/L</v>
      </c>
      <c r="Q52" s="46" t="str">
        <f>Q27</f>
        <v>Testo 30µg/L + FAD-10mg/L</v>
      </c>
      <c r="R52" s="46" t="str">
        <f>R27</f>
        <v>Cromolyn-0,1µg/L + Testostérone</v>
      </c>
      <c r="S52" s="46" t="str">
        <f t="shared" ref="S52:V52" si="35">S27</f>
        <v>Cromolyn-1µg/L + Testostérone</v>
      </c>
      <c r="T52" s="46" t="str">
        <f t="shared" si="35"/>
        <v>Cromolyn-10µg/L + Testostérone</v>
      </c>
      <c r="U52" s="46" t="str">
        <f t="shared" si="35"/>
        <v>Cromolyn-100µg/L + Testostérone</v>
      </c>
      <c r="V52" s="46" t="str">
        <f t="shared" si="35"/>
        <v>Cromolyn-1000µg/L + Testostérone</v>
      </c>
    </row>
    <row r="53" spans="1:22" s="3" customFormat="1" x14ac:dyDescent="0.25">
      <c r="A53" s="61" t="s">
        <v>32</v>
      </c>
      <c r="B53" s="142">
        <f t="shared" ref="B53:V53" si="36">B46</f>
        <v>8.2806326766790811E-2</v>
      </c>
      <c r="C53" s="142">
        <f t="shared" si="36"/>
        <v>9.2246374504522582E-2</v>
      </c>
      <c r="D53" s="142">
        <f t="shared" si="36"/>
        <v>0.10678586291594343</v>
      </c>
      <c r="E53" s="142">
        <f t="shared" si="36"/>
        <v>0.18158175133720372</v>
      </c>
      <c r="F53" s="142">
        <f t="shared" si="36"/>
        <v>0.63963658765519982</v>
      </c>
      <c r="G53" s="142">
        <f t="shared" si="36"/>
        <v>1.1336668343966136</v>
      </c>
      <c r="H53" s="142">
        <f t="shared" si="36"/>
        <v>2.3612890521566445</v>
      </c>
      <c r="I53" s="142">
        <f t="shared" si="36"/>
        <v>0.12155522682764261</v>
      </c>
      <c r="J53" s="142">
        <f t="shared" si="36"/>
        <v>9.5449479282099112E-2</v>
      </c>
      <c r="K53" s="142">
        <f t="shared" si="36"/>
        <v>5.4143604150173719E-2</v>
      </c>
      <c r="L53" s="142">
        <f t="shared" si="36"/>
        <v>0.12018895542738178</v>
      </c>
      <c r="M53" s="142">
        <f t="shared" si="36"/>
        <v>0.23642889084686511</v>
      </c>
      <c r="N53" s="142"/>
      <c r="O53" s="142">
        <f t="shared" si="36"/>
        <v>1</v>
      </c>
      <c r="P53" s="142">
        <f t="shared" si="36"/>
        <v>1.6353093784046246</v>
      </c>
      <c r="Q53" s="142">
        <f t="shared" si="36"/>
        <v>0.14698523565697555</v>
      </c>
      <c r="R53" s="142">
        <f t="shared" si="36"/>
        <v>0.94192036271184421</v>
      </c>
      <c r="S53" s="142">
        <f t="shared" si="36"/>
        <v>0.89233631424233761</v>
      </c>
      <c r="T53" s="142">
        <f t="shared" si="36"/>
        <v>1.6738661149387724</v>
      </c>
      <c r="U53" s="142">
        <f t="shared" si="36"/>
        <v>0.92021255412422909</v>
      </c>
      <c r="V53" s="142">
        <f t="shared" si="36"/>
        <v>0.98734842314189408</v>
      </c>
    </row>
    <row r="54" spans="1:22" s="3" customFormat="1" x14ac:dyDescent="0.25">
      <c r="A54" s="61" t="s">
        <v>2</v>
      </c>
      <c r="B54" s="142">
        <f t="shared" ref="B54:V54" si="37">B48</f>
        <v>3.013597587535877E-2</v>
      </c>
      <c r="C54" s="142">
        <f t="shared" si="37"/>
        <v>2.880395602089637E-2</v>
      </c>
      <c r="D54" s="142">
        <f t="shared" si="37"/>
        <v>3.5169303062068093E-2</v>
      </c>
      <c r="E54" s="142">
        <f t="shared" si="37"/>
        <v>5.6835308877692281E-2</v>
      </c>
      <c r="F54" s="142">
        <f t="shared" si="37"/>
        <v>0.10601056477925694</v>
      </c>
      <c r="G54" s="142">
        <f t="shared" si="37"/>
        <v>0.16683544125493749</v>
      </c>
      <c r="H54" s="142">
        <f t="shared" si="37"/>
        <v>0.29676418076235878</v>
      </c>
      <c r="I54" s="142">
        <f t="shared" si="37"/>
        <v>3.2696534468696734E-2</v>
      </c>
      <c r="J54" s="142">
        <f t="shared" si="37"/>
        <v>2.3473299403619755E-2</v>
      </c>
      <c r="K54" s="142">
        <f t="shared" si="37"/>
        <v>1.8285453794070351E-2</v>
      </c>
      <c r="L54" s="142">
        <f t="shared" si="37"/>
        <v>3.7583455230354321E-2</v>
      </c>
      <c r="M54" s="142">
        <f t="shared" si="37"/>
        <v>6.6178839950149171E-2</v>
      </c>
      <c r="N54" s="142"/>
      <c r="O54" s="142">
        <f t="shared" si="37"/>
        <v>0.1994436221325693</v>
      </c>
      <c r="P54" s="142">
        <f t="shared" si="37"/>
        <v>0.19222381478900905</v>
      </c>
      <c r="Q54" s="142">
        <f t="shared" si="37"/>
        <v>3.4183613347547825E-2</v>
      </c>
      <c r="R54" s="142">
        <f t="shared" si="37"/>
        <v>0.29987197680369493</v>
      </c>
      <c r="S54" s="142">
        <f t="shared" si="37"/>
        <v>0.27952825364635647</v>
      </c>
      <c r="T54" s="142">
        <f t="shared" si="37"/>
        <v>0.24387698140712388</v>
      </c>
      <c r="U54" s="142">
        <f t="shared" si="37"/>
        <v>0.29921364652708565</v>
      </c>
      <c r="V54" s="142">
        <f t="shared" si="37"/>
        <v>0.23095524562011543</v>
      </c>
    </row>
    <row r="55" spans="1:22" s="3" customFormat="1" x14ac:dyDescent="0.25">
      <c r="A55" s="61" t="s">
        <v>79</v>
      </c>
      <c r="B55" s="142">
        <f>(B53*100/$B53)-100</f>
        <v>0</v>
      </c>
      <c r="C55" s="142">
        <f t="shared" ref="C55:V55" si="38">(C53*100/$B53)-100</f>
        <v>11.400152749581537</v>
      </c>
      <c r="D55" s="142">
        <f t="shared" si="38"/>
        <v>28.958579719019156</v>
      </c>
      <c r="E55" s="142">
        <f t="shared" si="38"/>
        <v>119.284876442589</v>
      </c>
      <c r="F55" s="142">
        <f t="shared" si="38"/>
        <v>672.44893310703378</v>
      </c>
      <c r="G55" s="142">
        <f t="shared" si="38"/>
        <v>1269.0582334238579</v>
      </c>
      <c r="H55" s="142">
        <f t="shared" si="38"/>
        <v>2751.5804822580671</v>
      </c>
      <c r="I55" s="142">
        <f t="shared" si="38"/>
        <v>46.794612892298829</v>
      </c>
      <c r="J55" s="142">
        <f t="shared" si="38"/>
        <v>15.268341211312844</v>
      </c>
      <c r="K55" s="142">
        <f t="shared" si="38"/>
        <v>-34.61416987779269</v>
      </c>
      <c r="L55" s="142">
        <f t="shared" si="38"/>
        <v>45.144652733929917</v>
      </c>
      <c r="M55" s="142">
        <f t="shared" si="38"/>
        <v>185.52032203134036</v>
      </c>
      <c r="N55" s="142"/>
      <c r="O55" s="142">
        <f t="shared" si="38"/>
        <v>1107.6371927670707</v>
      </c>
      <c r="P55" s="142">
        <f t="shared" si="38"/>
        <v>1874.860427042224</v>
      </c>
      <c r="Q55" s="142">
        <f t="shared" si="38"/>
        <v>77.504837366996298</v>
      </c>
      <c r="R55" s="142">
        <f t="shared" si="38"/>
        <v>1037.4980626354725</v>
      </c>
      <c r="S55" s="142">
        <f t="shared" si="38"/>
        <v>977.61852153573136</v>
      </c>
      <c r="T55" s="142">
        <f t="shared" si="38"/>
        <v>1921.4229761125821</v>
      </c>
      <c r="U55" s="142">
        <f t="shared" si="38"/>
        <v>1011.2829056116</v>
      </c>
      <c r="V55" s="142">
        <f t="shared" si="38"/>
        <v>1092.3586780060707</v>
      </c>
    </row>
    <row r="56" spans="1:22" s="3" customFormat="1" x14ac:dyDescent="0.25">
      <c r="A56" s="61" t="s">
        <v>81</v>
      </c>
      <c r="B56" s="142" t="e">
        <f ca="1">[2]!SWTEST(B28:B43)</f>
        <v>#NAME?</v>
      </c>
      <c r="C56" s="142" t="e">
        <f ca="1">[2]!SWTEST(C28:C43)</f>
        <v>#NAME?</v>
      </c>
      <c r="D56" s="142" t="e">
        <f ca="1">[2]!SWTEST(D28:D43)</f>
        <v>#NAME?</v>
      </c>
      <c r="E56" s="142" t="e">
        <f ca="1">[2]!SWTEST(E28:E43)</f>
        <v>#NAME?</v>
      </c>
      <c r="F56" s="142" t="e">
        <f ca="1">[2]!SWTEST(F28:F43)</f>
        <v>#NAME?</v>
      </c>
      <c r="G56" s="142" t="e">
        <f ca="1">[2]!SWTEST(G28:G43)</f>
        <v>#NAME?</v>
      </c>
      <c r="H56" s="142" t="e">
        <f ca="1">[2]!SWTEST(H28:H43)</f>
        <v>#NAME?</v>
      </c>
      <c r="I56" s="142" t="e">
        <f ca="1">[2]!SWTEST(I28:I43)</f>
        <v>#NAME?</v>
      </c>
      <c r="J56" s="142" t="e">
        <f ca="1">[2]!SWTEST(J28:J43)</f>
        <v>#NAME?</v>
      </c>
      <c r="K56" s="142" t="e">
        <f ca="1">[2]!SWTEST(K28:K43)</f>
        <v>#NAME?</v>
      </c>
      <c r="L56" s="142" t="e">
        <f ca="1">[2]!SWTEST(L28:L43)</f>
        <v>#NAME?</v>
      </c>
      <c r="M56" s="142" t="e">
        <f ca="1">[2]!SWTEST(M28:M43)</f>
        <v>#NAME?</v>
      </c>
      <c r="N56" s="142"/>
      <c r="O56" s="142">
        <f>[1]!SWTEST(O28:O43)</f>
        <v>2.9825780669469726E-2</v>
      </c>
      <c r="P56" s="142">
        <f>[1]!SWTEST(P28:P43)</f>
        <v>0.31629020945721631</v>
      </c>
      <c r="Q56" s="142">
        <f>[1]!SWTEST(Q28:Q43)</f>
        <v>0.11085016255197999</v>
      </c>
      <c r="R56" s="142">
        <f>[1]!SWTEST(R28:R43)</f>
        <v>0.48262538970497082</v>
      </c>
      <c r="S56" s="142">
        <f>[1]!SWTEST(S28:S43)</f>
        <v>0.23099291836216507</v>
      </c>
      <c r="T56" s="142">
        <f>[1]!SWTEST(T28:T43)</f>
        <v>4.4438262896464575E-2</v>
      </c>
      <c r="U56" s="142">
        <f>[1]!SWTEST(U28:U43)</f>
        <v>4.8762726108606325E-2</v>
      </c>
      <c r="V56" s="142">
        <f>[1]!SWTEST(V28:V43)</f>
        <v>0.63273638996043013</v>
      </c>
    </row>
    <row r="57" spans="1:22" s="3" customFormat="1" x14ac:dyDescent="0.25">
      <c r="A57" s="61" t="s">
        <v>85</v>
      </c>
      <c r="B57" s="142" t="e">
        <f ca="1">IF(B56&gt;0.05,"Oui","Non")</f>
        <v>#NAME?</v>
      </c>
      <c r="C57" s="142" t="e">
        <f t="shared" ref="C57:V57" ca="1" si="39">IF(C56&gt;0.05,"Oui","Non")</f>
        <v>#NAME?</v>
      </c>
      <c r="D57" s="142" t="e">
        <f t="shared" ca="1" si="39"/>
        <v>#NAME?</v>
      </c>
      <c r="E57" s="142" t="e">
        <f t="shared" ca="1" si="39"/>
        <v>#NAME?</v>
      </c>
      <c r="F57" s="142" t="e">
        <f t="shared" ca="1" si="39"/>
        <v>#NAME?</v>
      </c>
      <c r="G57" s="142" t="e">
        <f t="shared" ca="1" si="39"/>
        <v>#NAME?</v>
      </c>
      <c r="H57" s="142" t="e">
        <f t="shared" ca="1" si="39"/>
        <v>#NAME?</v>
      </c>
      <c r="I57" s="142" t="e">
        <f t="shared" ca="1" si="39"/>
        <v>#NAME?</v>
      </c>
      <c r="J57" s="142" t="e">
        <f t="shared" ca="1" si="39"/>
        <v>#NAME?</v>
      </c>
      <c r="K57" s="142" t="e">
        <f t="shared" ca="1" si="39"/>
        <v>#NAME?</v>
      </c>
      <c r="L57" s="142" t="e">
        <f t="shared" ca="1" si="39"/>
        <v>#NAME?</v>
      </c>
      <c r="M57" s="142" t="e">
        <f t="shared" ca="1" si="39"/>
        <v>#NAME?</v>
      </c>
      <c r="N57" s="142"/>
      <c r="O57" s="142" t="str">
        <f t="shared" si="39"/>
        <v>Non</v>
      </c>
      <c r="P57" s="142" t="str">
        <f t="shared" si="39"/>
        <v>Oui</v>
      </c>
      <c r="Q57" s="142" t="str">
        <f t="shared" si="39"/>
        <v>Oui</v>
      </c>
      <c r="R57" s="142" t="str">
        <f t="shared" si="39"/>
        <v>Oui</v>
      </c>
      <c r="S57" s="142" t="str">
        <f t="shared" si="39"/>
        <v>Oui</v>
      </c>
      <c r="T57" s="142" t="str">
        <f t="shared" si="39"/>
        <v>Non</v>
      </c>
      <c r="U57" s="142" t="str">
        <f t="shared" si="39"/>
        <v>Non</v>
      </c>
      <c r="V57" s="142" t="str">
        <f t="shared" si="39"/>
        <v>Oui</v>
      </c>
    </row>
    <row r="58" spans="1:22" s="3" customFormat="1" x14ac:dyDescent="0.25">
      <c r="A58" s="61"/>
      <c r="B58" s="142"/>
      <c r="C58" s="142"/>
      <c r="D58" s="142"/>
      <c r="E58" s="142"/>
      <c r="F58" s="142"/>
      <c r="G58" s="142"/>
      <c r="H58" s="142"/>
      <c r="I58" s="142"/>
      <c r="J58" s="142"/>
      <c r="K58" s="142"/>
      <c r="L58" s="142"/>
      <c r="M58" s="142"/>
      <c r="N58" s="149"/>
      <c r="O58" s="150"/>
      <c r="P58" s="142"/>
      <c r="Q58" s="142"/>
      <c r="R58" s="142"/>
      <c r="S58" s="142"/>
      <c r="T58" s="142"/>
      <c r="U58" s="142"/>
      <c r="V58" s="142"/>
    </row>
    <row r="59" spans="1:22" s="3" customFormat="1" x14ac:dyDescent="0.25">
      <c r="A59" s="61" t="s">
        <v>82</v>
      </c>
      <c r="B59" s="151"/>
      <c r="C59" s="151" t="e">
        <f t="shared" ref="C59:O59" ca="1" si="40">IF($B57="Non",IF(C57="Non","MW",IF(C57="Oui","MW","")),IF($B57="Oui",IF(C57="Oui","T-Test Welch",IF(C57="Non","MW",""))))</f>
        <v>#NAME?</v>
      </c>
      <c r="D59" s="151" t="e">
        <f t="shared" ca="1" si="40"/>
        <v>#NAME?</v>
      </c>
      <c r="E59" s="151" t="e">
        <f t="shared" ca="1" si="40"/>
        <v>#NAME?</v>
      </c>
      <c r="F59" s="151" t="e">
        <f t="shared" ca="1" si="40"/>
        <v>#NAME?</v>
      </c>
      <c r="G59" s="151" t="e">
        <f t="shared" ca="1" si="40"/>
        <v>#NAME?</v>
      </c>
      <c r="H59" s="151" t="e">
        <f t="shared" ca="1" si="40"/>
        <v>#NAME?</v>
      </c>
      <c r="I59" s="151" t="e">
        <f t="shared" ca="1" si="40"/>
        <v>#NAME?</v>
      </c>
      <c r="J59" s="151" t="e">
        <f t="shared" ca="1" si="40"/>
        <v>#NAME?</v>
      </c>
      <c r="K59" s="151" t="e">
        <f t="shared" ca="1" si="40"/>
        <v>#NAME?</v>
      </c>
      <c r="L59" s="151" t="e">
        <f t="shared" ca="1" si="40"/>
        <v>#NAME?</v>
      </c>
      <c r="M59" s="151" t="e">
        <f t="shared" ca="1" si="40"/>
        <v>#NAME?</v>
      </c>
      <c r="N59" s="151"/>
      <c r="O59" s="151" t="e">
        <f t="shared" ca="1" si="40"/>
        <v>#NAME?</v>
      </c>
      <c r="P59" s="151" t="str">
        <f t="shared" ref="P59:V59" si="41">IF($O57="Non",IF(P57="Non","MW",IF(P57="Oui","MW","")),IF($O57="Oui",IF(P57="Oui","T-Test Welch",IF(P57="Non","MW",""))))</f>
        <v>MW</v>
      </c>
      <c r="Q59" s="151" t="str">
        <f t="shared" si="41"/>
        <v>MW</v>
      </c>
      <c r="R59" s="151" t="str">
        <f t="shared" si="41"/>
        <v>MW</v>
      </c>
      <c r="S59" s="151" t="str">
        <f t="shared" si="41"/>
        <v>MW</v>
      </c>
      <c r="T59" s="151" t="str">
        <f t="shared" si="41"/>
        <v>MW</v>
      </c>
      <c r="U59" s="151" t="str">
        <f t="shared" si="41"/>
        <v>MW</v>
      </c>
      <c r="V59" s="151" t="str">
        <f t="shared" si="41"/>
        <v>MW</v>
      </c>
    </row>
    <row r="60" spans="1:22" s="3" customFormat="1" x14ac:dyDescent="0.25">
      <c r="A60" s="61" t="s">
        <v>83</v>
      </c>
      <c r="B60" s="152"/>
      <c r="C60" s="152" t="e">
        <f ca="1">IF(C59="MW",[2]!MTEST($B28:$B43,C28:C43,2), IF(C59="T-Test Welch",_xlfn.T.TEST($B28:$B43,C28:C43,2,3),""))</f>
        <v>#NAME?</v>
      </c>
      <c r="D60" s="152" t="e">
        <f ca="1">IF(D59="MW",[2]!MTEST($B28:$B43,D28:D43,2), IF(D59="T-Test Welch",_xlfn.T.TEST($B28:$B43,D28:D43,2,3),""))</f>
        <v>#NAME?</v>
      </c>
      <c r="E60" s="152" t="e">
        <f ca="1">IF(E59="MW",[2]!MTEST($B28:$B43,E28:E43,2), IF(E59="T-Test Welch",_xlfn.T.TEST($B28:$B43,E28:E43,2,3),""))</f>
        <v>#NAME?</v>
      </c>
      <c r="F60" s="152" t="e">
        <f ca="1">IF(F59="MW",[2]!MTEST($B28:$B43,F28:F43,2), IF(F59="T-Test Welch",_xlfn.T.TEST($B28:$B43,F28:F43,2,3),""))</f>
        <v>#NAME?</v>
      </c>
      <c r="G60" s="152" t="e">
        <f ca="1">IF(G59="MW",[2]!MTEST($B28:$B43,G28:G43,2), IF(G59="T-Test Welch",_xlfn.T.TEST($B28:$B43,G28:G43,2,3),""))</f>
        <v>#NAME?</v>
      </c>
      <c r="H60" s="152" t="e">
        <f ca="1">IF(H59="MW",[2]!MTEST($B28:$B43,H28:H43,2), IF(H59="T-Test Welch",_xlfn.T.TEST($B28:$B43,H28:H43,2,3),""))</f>
        <v>#NAME?</v>
      </c>
      <c r="I60" s="152" t="e">
        <f ca="1">IF(I59="MW",[2]!MTEST($B28:$B43,I28:I43,2), IF(I59="T-Test Welch",_xlfn.T.TEST($B28:$B43,I28:I43,2,3),""))</f>
        <v>#NAME?</v>
      </c>
      <c r="J60" s="152" t="e">
        <f ca="1">IF(J59="MW",[2]!MTEST($B28:$B43,J28:J43,2), IF(J59="T-Test Welch",_xlfn.T.TEST($B28:$B43,J28:J43,2,3),""))</f>
        <v>#NAME?</v>
      </c>
      <c r="K60" s="152" t="e">
        <f ca="1">IF(K59="MW",[2]!MTEST($B28:$B43,K28:K43,2), IF(K59="T-Test Welch",_xlfn.T.TEST($B28:$B43,K28:K43,2,3),""))</f>
        <v>#NAME?</v>
      </c>
      <c r="L60" s="152" t="e">
        <f ca="1">IF(L59="MW",[2]!MTEST($B28:$B43,L28:L43,2), IF(L59="T-Test Welch",_xlfn.T.TEST($B28:$B43,L28:L43,2,3),""))</f>
        <v>#NAME?</v>
      </c>
      <c r="M60" s="152" t="e">
        <f ca="1">IF(M59="MW",[2]!MTEST($B28:$B43,M28:M43,2), IF(M59="T-Test Welch",_xlfn.T.TEST($B28:$B43,M28:M43,2,3),""))</f>
        <v>#NAME?</v>
      </c>
      <c r="N60" s="152"/>
      <c r="O60" s="152" t="e">
        <f ca="1">IF(O59="MW",[2]!MTEST($B28:$B43,O28:O43,2), IF(O59="T-Test Welch",_xlfn.T.TEST($B28:$B43,O28:O43,2,3),""))</f>
        <v>#NAME?</v>
      </c>
      <c r="P60" s="152" t="e">
        <f ca="1">IF(P59="MW",[2]!MTEST($O28:$O43,P28:P43,2), IF(P59="T-Test Welch",_xlfn.T.TEST($O28:$O43,P28:P43,2,3),""))</f>
        <v>#NAME?</v>
      </c>
      <c r="Q60" s="152" t="e">
        <f ca="1">IF(Q59="MW",[2]!MTEST($O28:$O43,Q28:Q43,2), IF(Q59="T-Test Welch",_xlfn.T.TEST($O28:$O43,Q28:Q43,2,3),""))</f>
        <v>#NAME?</v>
      </c>
      <c r="R60" s="152" t="e">
        <f ca="1">IF(R59="MW",[2]!MTEST($O28:$O43,R28:R43,2), IF(R59="T-Test Welch",_xlfn.T.TEST($O28:$O43,R28:R43,2,3),""))</f>
        <v>#NAME?</v>
      </c>
      <c r="S60" s="152" t="e">
        <f ca="1">IF(S59="MW",[2]!MTEST($O28:$O43,S28:S43,2), IF(S59="T-Test Welch",_xlfn.T.TEST($O28:$O43,S28:S43,2,3),""))</f>
        <v>#NAME?</v>
      </c>
      <c r="T60" s="152" t="e">
        <f ca="1">IF(T59="MW",[2]!MTEST($O28:$O43,T28:T43,2), IF(T59="T-Test Welch",_xlfn.T.TEST($O28:$O43,T28:T43,2,3),""))</f>
        <v>#NAME?</v>
      </c>
      <c r="U60" s="152" t="e">
        <f ca="1">IF(U59="MW",[2]!MTEST($O28:$O43,U28:U43,2), IF(U59="T-Test Welch",_xlfn.T.TEST($O28:$O43,U28:U43,2,3),""))</f>
        <v>#NAME?</v>
      </c>
      <c r="V60" s="152" t="e">
        <f ca="1">IF(V59="MW",[2]!MTEST($O28:$O43,V28:V43,2), IF(V59="T-Test Welch",_xlfn.T.TEST($O28:$O43,V28:V43,2,3),""))</f>
        <v>#NAME?</v>
      </c>
    </row>
    <row r="61" spans="1:22" s="3" customFormat="1" ht="15.75" thickBot="1" x14ac:dyDescent="0.3">
      <c r="A61" s="62" t="s">
        <v>84</v>
      </c>
      <c r="B61" s="143"/>
      <c r="C61" s="143" t="e">
        <f t="shared" ref="C61:O61" ca="1" si="42">IF(C60&gt;0.05,"NS",IF(C60&gt;0.01,"*",IF(C60&gt;0.001,"**","***")))</f>
        <v>#NAME?</v>
      </c>
      <c r="D61" s="143" t="e">
        <f t="shared" ca="1" si="42"/>
        <v>#NAME?</v>
      </c>
      <c r="E61" s="143" t="e">
        <f t="shared" ca="1" si="42"/>
        <v>#NAME?</v>
      </c>
      <c r="F61" s="143" t="e">
        <f t="shared" ca="1" si="42"/>
        <v>#NAME?</v>
      </c>
      <c r="G61" s="143" t="e">
        <f t="shared" ca="1" si="42"/>
        <v>#NAME?</v>
      </c>
      <c r="H61" s="143" t="e">
        <f t="shared" ca="1" si="42"/>
        <v>#NAME?</v>
      </c>
      <c r="I61" s="143" t="e">
        <f t="shared" ca="1" si="42"/>
        <v>#NAME?</v>
      </c>
      <c r="J61" s="143" t="e">
        <f t="shared" ca="1" si="42"/>
        <v>#NAME?</v>
      </c>
      <c r="K61" s="143" t="e">
        <f t="shared" ca="1" si="42"/>
        <v>#NAME?</v>
      </c>
      <c r="L61" s="143" t="e">
        <f t="shared" ca="1" si="42"/>
        <v>#NAME?</v>
      </c>
      <c r="M61" s="143" t="e">
        <f t="shared" ca="1" si="42"/>
        <v>#NAME?</v>
      </c>
      <c r="N61" s="143"/>
      <c r="O61" s="143" t="e">
        <f t="shared" ca="1" si="42"/>
        <v>#NAME?</v>
      </c>
      <c r="P61" s="143" t="e">
        <f ca="1">IF(P60&gt;0.05,"NS",IF(P60&gt;0.01,"*",IF(P60&gt;0.001,"**","***")))</f>
        <v>#NAME?</v>
      </c>
      <c r="Q61" s="143" t="e">
        <f t="shared" ref="Q61:V61" ca="1" si="43">IF(Q60&gt;0.05,"NS",IF(Q60&gt;0.01,"*",IF(Q60&gt;0.001,"**","***")))</f>
        <v>#NAME?</v>
      </c>
      <c r="R61" s="143" t="e">
        <f t="shared" ca="1" si="43"/>
        <v>#NAME?</v>
      </c>
      <c r="S61" s="143" t="e">
        <f t="shared" ca="1" si="43"/>
        <v>#NAME?</v>
      </c>
      <c r="T61" s="143" t="e">
        <f t="shared" ca="1" si="43"/>
        <v>#NAME?</v>
      </c>
      <c r="U61" s="143" t="e">
        <f t="shared" ca="1" si="43"/>
        <v>#NAME?</v>
      </c>
      <c r="V61" s="143" t="e">
        <f t="shared" ca="1" si="43"/>
        <v>#NAME?</v>
      </c>
    </row>
    <row r="63" spans="1:22" x14ac:dyDescent="0.25">
      <c r="A63" s="2" t="s">
        <v>39</v>
      </c>
    </row>
    <row r="64" spans="1:22" x14ac:dyDescent="0.25">
      <c r="A64" s="1" t="s">
        <v>23</v>
      </c>
      <c r="B64" s="1">
        <f>B46+(3*B47)</f>
        <v>0.33851856155647553</v>
      </c>
    </row>
    <row r="65" spans="1:22" x14ac:dyDescent="0.25">
      <c r="A65" s="1" t="s">
        <v>24</v>
      </c>
      <c r="B65" s="1">
        <f>B46+(10*B47)</f>
        <v>0.93518044273240641</v>
      </c>
    </row>
    <row r="66" spans="1:22" ht="15.75" thickBot="1" x14ac:dyDescent="0.3"/>
    <row r="67" spans="1:22" ht="27" thickBot="1" x14ac:dyDescent="0.45">
      <c r="A67" s="216" t="s">
        <v>45</v>
      </c>
      <c r="B67" s="217"/>
      <c r="C67" s="217"/>
      <c r="D67" s="217"/>
      <c r="E67" s="217"/>
      <c r="F67" s="217"/>
      <c r="G67" s="217"/>
      <c r="H67" s="217"/>
      <c r="I67" s="217"/>
      <c r="J67" s="217"/>
      <c r="K67" s="217"/>
      <c r="L67" s="217"/>
      <c r="M67" s="217"/>
      <c r="N67" s="217"/>
      <c r="O67" s="217"/>
      <c r="P67" s="217"/>
      <c r="Q67" s="217"/>
      <c r="R67" s="217"/>
      <c r="S67" s="217"/>
      <c r="T67" s="217"/>
      <c r="U67" s="217"/>
      <c r="V67" s="217"/>
    </row>
    <row r="68" spans="1:22" ht="16.5" x14ac:dyDescent="0.25">
      <c r="A68" s="12"/>
      <c r="B68" s="12"/>
      <c r="C68" s="12"/>
      <c r="D68" s="12"/>
      <c r="E68" s="12"/>
      <c r="F68" s="12"/>
      <c r="N68" s="12"/>
      <c r="O68" s="12"/>
      <c r="P68" s="12"/>
      <c r="Q68" s="12"/>
      <c r="R68" s="12"/>
      <c r="S68" s="12"/>
      <c r="T68" s="12"/>
      <c r="U68" s="12"/>
      <c r="V68" s="12"/>
    </row>
    <row r="69" spans="1:22" ht="16.5" x14ac:dyDescent="0.25">
      <c r="A69" s="12"/>
      <c r="B69" s="12"/>
      <c r="C69" s="12"/>
      <c r="D69" s="12"/>
      <c r="E69" s="12"/>
      <c r="F69" s="12"/>
      <c r="N69" s="12"/>
      <c r="O69" s="12"/>
      <c r="P69" s="12"/>
      <c r="Q69" s="12"/>
      <c r="R69" s="12"/>
      <c r="S69" s="12"/>
      <c r="T69" s="12"/>
      <c r="U69" s="12"/>
      <c r="V69" s="12"/>
    </row>
    <row r="70" spans="1:22" ht="16.5" x14ac:dyDescent="0.25">
      <c r="A70" s="12"/>
      <c r="B70" s="12"/>
      <c r="C70" s="12"/>
      <c r="D70" s="12"/>
      <c r="E70" s="12"/>
      <c r="F70" s="12"/>
      <c r="N70" s="12"/>
      <c r="O70" s="12"/>
      <c r="P70" s="12"/>
      <c r="Q70" s="12"/>
      <c r="R70" s="12"/>
      <c r="S70" s="12"/>
      <c r="T70" s="12"/>
      <c r="U70" s="12"/>
      <c r="V70" s="12"/>
    </row>
    <row r="71" spans="1:22" ht="16.5" x14ac:dyDescent="0.25">
      <c r="A71" s="12"/>
      <c r="B71" s="12"/>
      <c r="C71" s="12"/>
      <c r="D71" s="12"/>
      <c r="E71" s="12"/>
      <c r="F71" s="12"/>
      <c r="N71" s="12"/>
      <c r="O71" s="12"/>
      <c r="P71" s="12"/>
      <c r="Q71" s="12"/>
      <c r="R71" s="12"/>
      <c r="S71" s="12"/>
      <c r="T71" s="12"/>
      <c r="U71" s="12"/>
      <c r="V71" s="12"/>
    </row>
    <row r="72" spans="1:22" ht="16.5" x14ac:dyDescent="0.25">
      <c r="A72" s="12"/>
      <c r="B72" s="12"/>
      <c r="C72" s="12"/>
      <c r="D72" s="12"/>
      <c r="E72" s="12"/>
      <c r="F72" s="12"/>
      <c r="N72" s="12"/>
      <c r="O72" s="12"/>
      <c r="P72" s="12"/>
      <c r="Q72" s="12"/>
      <c r="R72" s="12"/>
      <c r="S72" s="12"/>
      <c r="T72" s="12"/>
      <c r="U72" s="12"/>
      <c r="V72" s="12"/>
    </row>
    <row r="73" spans="1:22" ht="16.5" x14ac:dyDescent="0.25">
      <c r="A73" s="12"/>
      <c r="B73" s="12"/>
      <c r="C73" s="12"/>
      <c r="D73" s="12"/>
      <c r="E73" s="12"/>
      <c r="F73" s="12"/>
      <c r="N73" s="12"/>
      <c r="O73" s="12"/>
      <c r="P73" s="12"/>
      <c r="Q73" s="12"/>
      <c r="R73" s="12"/>
      <c r="S73" s="12"/>
      <c r="T73" s="12"/>
      <c r="U73" s="12"/>
      <c r="V73" s="12"/>
    </row>
    <row r="74" spans="1:22" ht="16.5" x14ac:dyDescent="0.25">
      <c r="A74" s="12"/>
      <c r="B74" s="12"/>
      <c r="C74" s="12"/>
      <c r="D74" s="12"/>
      <c r="E74" s="12"/>
      <c r="F74" s="12"/>
      <c r="N74" s="12"/>
      <c r="O74" s="12"/>
      <c r="P74" s="12"/>
      <c r="Q74" s="12"/>
      <c r="R74" s="12"/>
      <c r="S74" s="12"/>
      <c r="T74" s="12"/>
      <c r="U74" s="12"/>
      <c r="V74" s="12"/>
    </row>
  </sheetData>
  <protectedRanges>
    <protectedRange sqref="O51:V51" name="Plage2"/>
    <protectedRange sqref="R5:V20" name="Plage1"/>
    <protectedRange sqref="B51:J51" name="Plage2_1"/>
    <protectedRange sqref="O5:O20 B5:J20" name="Plage1_1"/>
  </protectedRanges>
  <mergeCells count="9">
    <mergeCell ref="A28:A43"/>
    <mergeCell ref="A50:V50"/>
    <mergeCell ref="A67:V67"/>
    <mergeCell ref="A1:V1"/>
    <mergeCell ref="B3:M3"/>
    <mergeCell ref="O3:V3"/>
    <mergeCell ref="A5:A20"/>
    <mergeCell ref="B26:M26"/>
    <mergeCell ref="O26:V26"/>
  </mergeCells>
  <pageMargins left="0.7" right="0.7" top="0.75" bottom="0.75" header="0.3" footer="0.3"/>
  <pageSetup paperSize="9" scale="21" orientation="landscape" r:id="rId1"/>
  <headerFooter>
    <oddHeader>&amp;C&amp;"-,Gras"&amp;14Données brutes et normalisées R1&amp;R&amp;"-,Gras"&amp;14Page : &amp;P/&amp;P</oddHeader>
  </headerFooter>
  <colBreaks count="1" manualBreakCount="1">
    <brk id="14" max="1048575"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93"/>
  <sheetViews>
    <sheetView showGridLines="0" tabSelected="1" zoomScale="40" zoomScaleNormal="40" workbookViewId="0">
      <selection activeCell="B4" sqref="B4:V53"/>
    </sheetView>
  </sheetViews>
  <sheetFormatPr baseColWidth="10" defaultRowHeight="15" x14ac:dyDescent="0.25"/>
  <cols>
    <col min="1" max="1" width="42.85546875" customWidth="1"/>
    <col min="2" max="2" width="14" bestFit="1" customWidth="1"/>
    <col min="3" max="13" width="22.7109375" bestFit="1" customWidth="1"/>
    <col min="14" max="14" width="8.42578125" customWidth="1"/>
    <col min="15" max="15" width="22.7109375" customWidth="1"/>
    <col min="18" max="22" width="29.140625" customWidth="1"/>
  </cols>
  <sheetData>
    <row r="1" spans="1:22" s="1" customFormat="1" ht="21.75" thickBot="1" x14ac:dyDescent="0.3">
      <c r="A1" s="37" t="s">
        <v>8</v>
      </c>
      <c r="B1" s="55" t="e">
        <f>'Page de garde'!#REF!</f>
        <v>#REF!</v>
      </c>
      <c r="C1" s="38"/>
      <c r="D1" s="38"/>
      <c r="E1" s="38"/>
      <c r="F1" s="38"/>
      <c r="G1" s="38"/>
      <c r="H1" s="56"/>
      <c r="I1" s="55"/>
      <c r="J1" s="57"/>
      <c r="K1" s="57"/>
      <c r="L1" s="57"/>
      <c r="M1" s="57"/>
      <c r="N1" s="57"/>
      <c r="O1" s="57"/>
      <c r="P1" s="57"/>
      <c r="Q1" s="57"/>
      <c r="R1" s="57"/>
      <c r="S1" s="57"/>
      <c r="T1" s="57"/>
      <c r="U1" s="57"/>
      <c r="V1" s="57"/>
    </row>
    <row r="2" spans="1:22" ht="15.75" thickBot="1" x14ac:dyDescent="0.3">
      <c r="A2" s="1"/>
      <c r="B2" s="1"/>
      <c r="C2" s="1"/>
      <c r="D2" s="1"/>
      <c r="E2" s="1"/>
      <c r="F2" s="1"/>
      <c r="G2" s="1"/>
      <c r="H2" s="1"/>
      <c r="I2" s="1"/>
      <c r="J2" s="1"/>
      <c r="K2" s="1"/>
      <c r="L2" s="1"/>
      <c r="M2" s="1"/>
    </row>
    <row r="3" spans="1:22" s="33" customFormat="1" ht="15.75" thickBot="1" x14ac:dyDescent="0.3">
      <c r="B3" s="222" t="s">
        <v>6</v>
      </c>
      <c r="C3" s="223"/>
      <c r="D3" s="223"/>
      <c r="E3" s="223"/>
      <c r="F3" s="223"/>
      <c r="G3" s="223"/>
      <c r="H3" s="223"/>
      <c r="I3" s="223"/>
      <c r="J3" s="223"/>
      <c r="K3" s="223"/>
      <c r="L3" s="223"/>
      <c r="M3" s="223"/>
      <c r="N3" s="72"/>
      <c r="O3" s="222" t="s">
        <v>3</v>
      </c>
      <c r="P3" s="223"/>
      <c r="Q3" s="223"/>
      <c r="R3" s="223"/>
      <c r="S3" s="223"/>
      <c r="T3" s="223"/>
      <c r="U3" s="223"/>
      <c r="V3" s="223"/>
    </row>
    <row r="4" spans="1:22" x14ac:dyDescent="0.25">
      <c r="A4" s="34" t="s">
        <v>41</v>
      </c>
      <c r="B4" s="35" t="str">
        <f>'R1'!B4</f>
        <v>Témoin solvant</v>
      </c>
      <c r="C4" s="35" t="str">
        <f>'R1'!C4</f>
        <v>EE2-33,8ng/L</v>
      </c>
      <c r="D4" s="35" t="str">
        <f>'R1'!D4</f>
        <v>EE2-50,6ng/L</v>
      </c>
      <c r="E4" s="35" t="str">
        <f>'R1'!E4</f>
        <v>EE2-76ng/L</v>
      </c>
      <c r="F4" s="35" t="str">
        <f>'R1'!F4</f>
        <v>EE2-114ng/L</v>
      </c>
      <c r="G4" s="35" t="str">
        <f>'R1'!G4</f>
        <v>EE2-170,9ng/L</v>
      </c>
      <c r="H4" s="35" t="str">
        <f>'R1'!H4</f>
        <v>EE2-488ng/L</v>
      </c>
      <c r="I4" s="35" t="str">
        <f>'R1'!I4</f>
        <v>Cromolyn-0,1µg/L</v>
      </c>
      <c r="J4" s="35" t="str">
        <f>'R1'!J4</f>
        <v>Cromolyn-1µg/L</v>
      </c>
      <c r="K4" s="35" t="str">
        <f>'R1'!K4</f>
        <v>Cromolyn-10µg/L</v>
      </c>
      <c r="L4" s="35" t="str">
        <f>'R1'!L4</f>
        <v>Cromolyn-100µg/L</v>
      </c>
      <c r="M4" s="35" t="str">
        <f>'R1'!M4</f>
        <v>Cromolyn-1000µg/L</v>
      </c>
      <c r="O4" s="35" t="str">
        <f>'R1'!O4</f>
        <v>Testo -30µg/L</v>
      </c>
      <c r="P4" s="35" t="str">
        <f>'R1'!P4</f>
        <v>Testo 30µg/L + EE2 -64ng/L</v>
      </c>
      <c r="Q4" s="35" t="str">
        <f>'R1'!Q4</f>
        <v>Testo 30µg/L + FAD-10mg/L</v>
      </c>
      <c r="R4" s="35" t="str">
        <f>'R1'!R4</f>
        <v>Cromolyn-0,1µg/L + Testostérone</v>
      </c>
      <c r="S4" s="35" t="str">
        <f>'R1'!S4</f>
        <v>Cromolyn-1µg/L + Testostérone</v>
      </c>
      <c r="T4" s="35" t="str">
        <f>'R1'!T4</f>
        <v>Cromolyn-10µg/L + Testostérone</v>
      </c>
      <c r="U4" s="35" t="str">
        <f>'R1'!U4</f>
        <v>Cromolyn-100µg/L + Testostérone</v>
      </c>
      <c r="V4" s="35" t="str">
        <f>'R1'!V4</f>
        <v>Cromolyn-1000µg/L + Testostérone</v>
      </c>
    </row>
    <row r="5" spans="1:22" s="1" customFormat="1" x14ac:dyDescent="0.25">
      <c r="A5" s="34"/>
      <c r="B5" s="35"/>
      <c r="C5" s="195" t="s">
        <v>165</v>
      </c>
      <c r="D5" s="35"/>
      <c r="E5" s="35"/>
      <c r="F5" s="35"/>
      <c r="G5" s="35"/>
      <c r="H5" s="35"/>
      <c r="I5" s="35"/>
      <c r="J5" s="35"/>
      <c r="K5" s="35"/>
      <c r="L5" s="35"/>
      <c r="M5" s="35"/>
      <c r="O5" s="35"/>
      <c r="P5" s="35"/>
      <c r="Q5" s="35"/>
      <c r="R5" s="35"/>
      <c r="S5" s="35"/>
      <c r="T5" s="35"/>
      <c r="U5" s="35"/>
      <c r="V5" s="35"/>
    </row>
    <row r="6" spans="1:22" s="1" customFormat="1" x14ac:dyDescent="0.25">
      <c r="A6" s="71" t="s">
        <v>4</v>
      </c>
      <c r="B6" s="53">
        <f>'R1'!B28</f>
        <v>2.6857278865847045E-2</v>
      </c>
      <c r="C6" s="53">
        <f>'R1'!C28</f>
        <v>6.7359743845470207E-2</v>
      </c>
      <c r="D6" s="53">
        <f>'R1'!D28</f>
        <v>2.5689862402032755E-2</v>
      </c>
      <c r="E6" s="53">
        <f>'R1'!E28</f>
        <v>0.10905577467323066</v>
      </c>
      <c r="F6" s="53">
        <f>'R1'!F28</f>
        <v>0.60438983580317684</v>
      </c>
      <c r="G6" s="53">
        <f>'R1'!G28</f>
        <v>1.0686316275649466</v>
      </c>
      <c r="H6" s="53">
        <f>'R1'!H28</f>
        <v>1.9413532775401015</v>
      </c>
      <c r="I6" s="53">
        <f>'R1'!I28</f>
        <v>0.19503522950211882</v>
      </c>
      <c r="J6" s="53">
        <f>'R1'!J28</f>
        <v>0.21659581563880032</v>
      </c>
      <c r="K6" s="53">
        <f>'R1'!K28</f>
        <v>4.2732653840806219E-2</v>
      </c>
      <c r="L6" s="53">
        <f>'R1'!L28</f>
        <v>2.9677410865519591E-2</v>
      </c>
      <c r="M6" s="53">
        <f>'R1'!M28</f>
        <v>3.5939304356955519E-2</v>
      </c>
      <c r="N6"/>
      <c r="O6" s="53">
        <f>'R1'!O28</f>
        <v>0.87818259061652704</v>
      </c>
      <c r="P6" s="53">
        <f>'R1'!P28</f>
        <v>1.3541389808509179</v>
      </c>
      <c r="Q6" s="53">
        <f>'R1'!Q28</f>
        <v>5.0316998935850343E-2</v>
      </c>
      <c r="R6" s="53">
        <f>'R1'!R28</f>
        <v>0.77435622751635702</v>
      </c>
      <c r="S6" s="53">
        <f>'R1'!S28</f>
        <v>9.231095593410911E-2</v>
      </c>
      <c r="T6" s="53">
        <f>'R1'!T28</f>
        <v>0.55554218100884867</v>
      </c>
      <c r="U6" s="53">
        <f>'R1'!U28</f>
        <v>0.87174342104987668</v>
      </c>
      <c r="V6" s="53">
        <f>'R1'!V28</f>
        <v>1.3553587891416852</v>
      </c>
    </row>
    <row r="7" spans="1:22" s="1" customFormat="1" x14ac:dyDescent="0.25">
      <c r="A7" s="226" t="s">
        <v>34</v>
      </c>
      <c r="B7" s="53">
        <f>'R1'!B29</f>
        <v>0.19770428134005341</v>
      </c>
      <c r="C7" s="53">
        <f>'R1'!C29</f>
        <v>0.18465401698420195</v>
      </c>
      <c r="D7" s="53">
        <f>'R1'!D29</f>
        <v>0.17021397333948363</v>
      </c>
      <c r="E7" s="53">
        <f>'R1'!E29</f>
        <v>0.24091297495133729</v>
      </c>
      <c r="F7" s="53">
        <f>'R1'!F29</f>
        <v>1.0290208007557526</v>
      </c>
      <c r="G7" s="53">
        <f>'R1'!G29</f>
        <v>0.97812004705884159</v>
      </c>
      <c r="H7" s="53">
        <f>'R1'!H29</f>
        <v>1.8727536713386623</v>
      </c>
      <c r="I7" s="53">
        <f>'R1'!I29</f>
        <v>2.6299766547416482E-2</v>
      </c>
      <c r="J7" s="53">
        <f>'R1'!J29</f>
        <v>7.0970824927182583E-2</v>
      </c>
      <c r="K7" s="53">
        <f>'R1'!K29</f>
        <v>8.050557908281529E-2</v>
      </c>
      <c r="L7" s="53">
        <f>'R1'!L29</f>
        <v>0.25055656079723948</v>
      </c>
      <c r="M7" s="53">
        <f>'R1'!M29</f>
        <v>3.2640201250128557E-2</v>
      </c>
      <c r="N7"/>
      <c r="O7" s="53">
        <f>'R1'!O29</f>
        <v>1.1973790053330693</v>
      </c>
      <c r="P7" s="53">
        <f>'R1'!P29</f>
        <v>1.5048696621161746</v>
      </c>
      <c r="Q7" s="53">
        <f>'R1'!Q29</f>
        <v>9.2101667801218062E-2</v>
      </c>
      <c r="R7" s="53">
        <f>'R1'!R29</f>
        <v>1.2641196787898967</v>
      </c>
      <c r="S7" s="53">
        <f>'R1'!S29</f>
        <v>1.2328049070092069</v>
      </c>
      <c r="T7" s="53">
        <f>'R1'!T29</f>
        <v>0.91216134255740933</v>
      </c>
      <c r="U7" s="53">
        <f>'R1'!U29</f>
        <v>1.2999735556208434</v>
      </c>
      <c r="V7" s="53">
        <f>'R1'!V29</f>
        <v>1.1634686512479786</v>
      </c>
    </row>
    <row r="8" spans="1:22" s="1" customFormat="1" x14ac:dyDescent="0.25">
      <c r="A8" s="227"/>
      <c r="B8" s="53">
        <f>'R1'!B30</f>
        <v>0.15680222398931679</v>
      </c>
      <c r="C8" s="53">
        <f>'R1'!C30</f>
        <v>0.41091151830965472</v>
      </c>
      <c r="D8" s="53">
        <f>'R1'!D30</f>
        <v>5.0653125541453951E-2</v>
      </c>
      <c r="E8" s="53">
        <f>'R1'!E30</f>
        <v>3.6692053003890057E-2</v>
      </c>
      <c r="F8" s="53">
        <f>'R1'!F30</f>
        <v>0.56396200358592752</v>
      </c>
      <c r="G8" s="53">
        <f>'R1'!G30</f>
        <v>1.1978378758458688</v>
      </c>
      <c r="H8" s="53">
        <f>'R1'!H30</f>
        <v>1.0462729733857243</v>
      </c>
      <c r="I8" s="53">
        <f>'R1'!I30</f>
        <v>8.4329996333781895E-2</v>
      </c>
      <c r="J8" s="53">
        <f>'R1'!J30</f>
        <v>6.8358119894257108E-2</v>
      </c>
      <c r="K8" s="53">
        <f>'R1'!K30</f>
        <v>0.10083128148296305</v>
      </c>
      <c r="L8" s="53">
        <f>'R1'!L30</f>
        <v>1.443408791305756E-2</v>
      </c>
      <c r="M8" s="53">
        <f>'R1'!M30</f>
        <v>0.15319937856779153</v>
      </c>
      <c r="N8"/>
      <c r="O8" s="53">
        <f>'R1'!O30</f>
        <v>1.2100839768400582</v>
      </c>
      <c r="P8" s="53">
        <f>'R1'!P30</f>
        <v>1.3994944830801341</v>
      </c>
      <c r="Q8" s="53">
        <f>'R1'!Q30</f>
        <v>0.13509991005077088</v>
      </c>
      <c r="R8" s="53">
        <f>'R1'!R30</f>
        <v>0.76262743765188812</v>
      </c>
      <c r="S8" s="53">
        <f>'R1'!S30</f>
        <v>0.60337135916003504</v>
      </c>
      <c r="T8" s="53">
        <f>'R1'!T30</f>
        <v>8.2989398360269837E-3</v>
      </c>
      <c r="U8" s="53">
        <f>'R1'!U30</f>
        <v>1.4567033802471592</v>
      </c>
      <c r="V8" s="53">
        <f>'R1'!V30</f>
        <v>0.68125613713719846</v>
      </c>
    </row>
    <row r="9" spans="1:22" s="1" customFormat="1" x14ac:dyDescent="0.25">
      <c r="A9" s="227"/>
      <c r="B9" s="53">
        <f>'R1'!B31</f>
        <v>7.3041930612208553E-2</v>
      </c>
      <c r="C9" s="53">
        <f>'R1'!C31</f>
        <v>0.13299651313314675</v>
      </c>
      <c r="D9" s="53">
        <f>'R1'!D31</f>
        <v>8.7476018525266125E-2</v>
      </c>
      <c r="E9" s="53">
        <f>'R1'!E31</f>
        <v>0.14937691554127611</v>
      </c>
      <c r="F9" s="53">
        <f>'R1'!F31</f>
        <v>0.35703382936544037</v>
      </c>
      <c r="G9" s="53">
        <f>'R1'!G31</f>
        <v>1.2461641714741134</v>
      </c>
      <c r="H9" s="53">
        <f>'R1'!H31</f>
        <v>1.5212592307675632</v>
      </c>
      <c r="I9" s="53">
        <f>'R1'!I31</f>
        <v>2.0683883824557586E-2</v>
      </c>
      <c r="J9" s="53">
        <f>'R1'!J31</f>
        <v>8.8550935031724384E-2</v>
      </c>
      <c r="K9" s="53">
        <f>'R1'!K31</f>
        <v>8.3430308619779764E-2</v>
      </c>
      <c r="L9" s="53">
        <f>'R1'!L31</f>
        <v>0.14423618853497649</v>
      </c>
      <c r="M9" s="53">
        <f>'R1'!M31</f>
        <v>0.15238018628951677</v>
      </c>
      <c r="N9"/>
      <c r="O9" s="53">
        <f>'R1'!O31</f>
        <v>0.82027007958876874</v>
      </c>
      <c r="P9" s="53">
        <f>'R1'!P31</f>
        <v>1.5597427492433455</v>
      </c>
      <c r="Q9" s="53">
        <f>'R1'!Q31</f>
        <v>5.4552082496487124E-2</v>
      </c>
      <c r="R9" s="53">
        <f>'R1'!R31</f>
        <v>1.289474438227705</v>
      </c>
      <c r="S9" s="53">
        <f>'R1'!S31</f>
        <v>0.97503441970872973</v>
      </c>
      <c r="T9" s="53">
        <f>'R1'!T31</f>
        <v>0.70666031053612954</v>
      </c>
      <c r="U9" s="53">
        <f>'R1'!U31</f>
        <v>0.63752124532785648</v>
      </c>
      <c r="V9" s="53">
        <f>'R1'!V31</f>
        <v>1.2478912405974236</v>
      </c>
    </row>
    <row r="10" spans="1:22" s="1" customFormat="1" x14ac:dyDescent="0.25">
      <c r="A10" s="227"/>
      <c r="B10" s="53">
        <f>'R1'!B32</f>
        <v>0.16286506576165355</v>
      </c>
      <c r="C10" s="53">
        <f>'R1'!C32</f>
        <v>0.16918125877534024</v>
      </c>
      <c r="D10" s="53">
        <f>'R1'!D32</f>
        <v>0.18429974400869448</v>
      </c>
      <c r="E10" s="53">
        <f>'R1'!E32</f>
        <v>8.6471640215664877E-2</v>
      </c>
      <c r="F10" s="53">
        <f>'R1'!F32</f>
        <v>0.6105873794751846</v>
      </c>
      <c r="G10" s="53">
        <f>'R1'!G32</f>
        <v>0.25116437113071122</v>
      </c>
      <c r="H10" s="53">
        <f>'R1'!H32</f>
        <v>1.5998304998769353</v>
      </c>
      <c r="I10" s="53">
        <f>'R1'!I32</f>
        <v>4.2607769592544864E-2</v>
      </c>
      <c r="J10" s="53">
        <f>'R1'!J32</f>
        <v>4.7621844242746361E-2</v>
      </c>
      <c r="K10" s="53">
        <f>'R1'!K32</f>
        <v>0.126162962460586</v>
      </c>
      <c r="L10" s="53">
        <f>'R1'!L32</f>
        <v>8.177163735226077E-2</v>
      </c>
      <c r="M10" s="53">
        <f>'R1'!M32</f>
        <v>7.5966660149173026E-2</v>
      </c>
      <c r="N10"/>
      <c r="O10" s="53">
        <f>'R1'!O32</f>
        <v>8.6807766821268478E-2</v>
      </c>
      <c r="P10" s="53">
        <f>'R1'!P32</f>
        <v>0.9514942972613063</v>
      </c>
      <c r="Q10" s="53">
        <f>'R1'!Q32</f>
        <v>0.16120043876247381</v>
      </c>
      <c r="R10" s="53">
        <f>'R1'!R32</f>
        <v>1.3353793567026258</v>
      </c>
      <c r="S10" s="53">
        <f>'R1'!S32</f>
        <v>0.85719068379514007</v>
      </c>
      <c r="T10" s="53">
        <f>'R1'!T32</f>
        <v>0.38223653152928522</v>
      </c>
      <c r="U10" s="53">
        <f>'R1'!U32</f>
        <v>3.0778476756300837E-2</v>
      </c>
      <c r="V10" s="53">
        <f>'R1'!V32</f>
        <v>1.595116445209144</v>
      </c>
    </row>
    <row r="11" spans="1:22" s="1" customFormat="1" x14ac:dyDescent="0.25">
      <c r="A11" s="227"/>
      <c r="B11" s="53">
        <f>'R1'!B33</f>
        <v>0.13323092700898162</v>
      </c>
      <c r="C11" s="53">
        <f>'R1'!C33</f>
        <v>0.11223204081455464</v>
      </c>
      <c r="D11" s="53">
        <f>'R1'!D33</f>
        <v>4.1138378921869077E-2</v>
      </c>
      <c r="E11" s="53">
        <f>'R1'!E33</f>
        <v>0.12237865334002225</v>
      </c>
      <c r="F11" s="53">
        <f>'R1'!F33</f>
        <v>0.79622362689187431</v>
      </c>
      <c r="G11" s="53">
        <f>'R1'!G33</f>
        <v>1.4674036897004621</v>
      </c>
      <c r="H11" s="53">
        <f>'R1'!H33</f>
        <v>2.3752736484213792</v>
      </c>
      <c r="I11" s="53">
        <f>'R1'!I33</f>
        <v>9.26250277209065E-2</v>
      </c>
      <c r="J11" s="53">
        <f>'R1'!J33</f>
        <v>2.534563972370282E-2</v>
      </c>
      <c r="K11" s="53">
        <f>'R1'!K33</f>
        <v>1.8191177478765516E-2</v>
      </c>
      <c r="L11" s="53">
        <f>'R1'!L33</f>
        <v>0.22763830048767486</v>
      </c>
      <c r="M11" s="53">
        <f>'R1'!M33</f>
        <v>4.4980942542739523E-2</v>
      </c>
      <c r="N11"/>
      <c r="O11" s="53">
        <f>'R1'!O33</f>
        <v>0.72489862204749145</v>
      </c>
      <c r="P11" s="53">
        <f>'R1'!P33</f>
        <v>1.5716345772620273</v>
      </c>
      <c r="Q11" s="53">
        <f>'R1'!Q33</f>
        <v>0.14900672959523759</v>
      </c>
      <c r="R11" s="53">
        <f>'R1'!R33</f>
        <v>0.53386192188910908</v>
      </c>
      <c r="S11" s="53">
        <f>'R1'!S33</f>
        <v>1.0721279212247286</v>
      </c>
      <c r="T11" s="53">
        <f>'R1'!T33</f>
        <v>0.97959353229503421</v>
      </c>
      <c r="U11" s="53">
        <f>'R1'!U33</f>
        <v>1.004607046920343</v>
      </c>
      <c r="V11" s="53">
        <f>'R1'!V33</f>
        <v>1.11731014888594</v>
      </c>
    </row>
    <row r="12" spans="1:22" s="1" customFormat="1" x14ac:dyDescent="0.25">
      <c r="A12" s="227"/>
      <c r="B12" s="53">
        <f>'R1'!B34</f>
        <v>6.3655092635869021E-2</v>
      </c>
      <c r="C12" s="53">
        <f>'R1'!C34</f>
        <v>2.6317819859013131E-2</v>
      </c>
      <c r="D12" s="53">
        <f>'R1'!D34</f>
        <v>5.7808751015231245E-2</v>
      </c>
      <c r="E12" s="53">
        <f>'R1'!E34</f>
        <v>2.8085183229340834E-2</v>
      </c>
      <c r="F12" s="53">
        <f>'R1'!F34</f>
        <v>0.39024354745562823</v>
      </c>
      <c r="G12" s="53">
        <f>'R1'!G34</f>
        <v>0.69030401022956478</v>
      </c>
      <c r="H12" s="53">
        <f>'R1'!H34</f>
        <v>1.293836267202747</v>
      </c>
      <c r="I12" s="53">
        <f>'R1'!I34</f>
        <v>9.4317758328860427E-2</v>
      </c>
      <c r="J12" s="53">
        <f>'R1'!J34</f>
        <v>2.9413590564609786E-2</v>
      </c>
      <c r="K12" s="53">
        <f>'R1'!K34</f>
        <v>3.7680239168038638E-3</v>
      </c>
      <c r="L12" s="53">
        <f>'R1'!L34</f>
        <v>0.12693776592632675</v>
      </c>
      <c r="M12" s="53">
        <f>'R1'!M34</f>
        <v>0.16700941747277109</v>
      </c>
      <c r="N12"/>
      <c r="O12" s="53">
        <f>'R1'!O34</f>
        <v>1.1262411407444641</v>
      </c>
      <c r="P12" s="53">
        <f>'R1'!P34</f>
        <v>1.5087594528279487</v>
      </c>
      <c r="Q12" s="53">
        <f>'R1'!Q34</f>
        <v>1.8363195759623287E-2</v>
      </c>
      <c r="R12" s="53">
        <f>'R1'!R34</f>
        <v>0.84866021489080146</v>
      </c>
      <c r="S12" s="53">
        <f>'R1'!S34</f>
        <v>0.5419393829540019</v>
      </c>
      <c r="T12" s="53">
        <f>'R1'!T34</f>
        <v>0.90788605780806253</v>
      </c>
      <c r="U12" s="53">
        <f>'R1'!U34</f>
        <v>1.1382376593587451</v>
      </c>
      <c r="V12" s="53">
        <f>'R1'!V34</f>
        <v>1.4875903629896543</v>
      </c>
    </row>
    <row r="13" spans="1:22" s="1" customFormat="1" x14ac:dyDescent="0.25">
      <c r="A13" s="227"/>
      <c r="B13" s="53">
        <f>'R1'!B35</f>
        <v>0.10497768047683896</v>
      </c>
      <c r="C13" s="53">
        <f>'R1'!C35</f>
        <v>2.4484198973959582E-2</v>
      </c>
      <c r="D13" s="53" t="str">
        <f>'R1'!D35</f>
        <v/>
      </c>
      <c r="E13" s="53">
        <f>'R1'!E35</f>
        <v>6.2559098422830139E-2</v>
      </c>
      <c r="F13" s="53">
        <f>'R1'!F35</f>
        <v>0.4839998384880021</v>
      </c>
      <c r="G13" s="53">
        <f>'R1'!G35</f>
        <v>0.8032324063568913</v>
      </c>
      <c r="H13" s="53">
        <f>'R1'!H35</f>
        <v>1.0848873318414289</v>
      </c>
      <c r="I13" s="53">
        <f>'R1'!I35</f>
        <v>4.5133930399775049E-2</v>
      </c>
      <c r="J13" s="53">
        <f>'R1'!J35</f>
        <v>3.1831059269031278E-2</v>
      </c>
      <c r="K13" s="53">
        <f>'R1'!K35</f>
        <v>0.11957285231965839</v>
      </c>
      <c r="L13" s="53">
        <f>'R1'!L35</f>
        <v>0.13384585630295409</v>
      </c>
      <c r="M13" s="53">
        <f>'R1'!M35</f>
        <v>0.18107527366424131</v>
      </c>
      <c r="N13"/>
      <c r="O13" s="53">
        <f>'R1'!O35</f>
        <v>1.0929104468549173</v>
      </c>
      <c r="P13" s="53">
        <f>'R1'!P35</f>
        <v>1.0037395573806318</v>
      </c>
      <c r="Q13" s="53">
        <f>'R1'!Q35</f>
        <v>0.11178117331617439</v>
      </c>
      <c r="R13" s="53">
        <f>'R1'!R35</f>
        <v>1.7763647142664687</v>
      </c>
      <c r="S13" s="53">
        <f>'R1'!S35</f>
        <v>1.4459527262496614</v>
      </c>
      <c r="T13" s="53">
        <f>'R1'!T35</f>
        <v>1.0220141616318015</v>
      </c>
      <c r="U13" s="53">
        <f>'R1'!U35</f>
        <v>1.3644065691757443</v>
      </c>
      <c r="V13" s="53">
        <f>'R1'!V35</f>
        <v>0.71158374639511912</v>
      </c>
    </row>
    <row r="14" spans="1:22" s="1" customFormat="1" x14ac:dyDescent="0.25">
      <c r="A14" s="227"/>
      <c r="B14" s="53" t="str">
        <f>'R1'!B36</f>
        <v/>
      </c>
      <c r="C14" s="53" t="str">
        <f>'R1'!C36</f>
        <v/>
      </c>
      <c r="D14" s="53" t="str">
        <f>'R1'!D36</f>
        <v/>
      </c>
      <c r="E14" s="53" t="str">
        <f>'R1'!E36</f>
        <v/>
      </c>
      <c r="F14" s="53" t="str">
        <f>'R1'!F36</f>
        <v/>
      </c>
      <c r="G14" s="53" t="str">
        <f>'R1'!G36</f>
        <v/>
      </c>
      <c r="H14" s="53" t="str">
        <f>'R1'!H36</f>
        <v/>
      </c>
      <c r="I14" s="53" t="str">
        <f>'R1'!I36</f>
        <v/>
      </c>
      <c r="J14" s="53" t="str">
        <f>'R1'!J36</f>
        <v/>
      </c>
      <c r="K14" s="53" t="str">
        <f>'R1'!K36</f>
        <v/>
      </c>
      <c r="L14" s="53" t="str">
        <f>'R1'!L36</f>
        <v/>
      </c>
      <c r="M14" s="53" t="str">
        <f>'R1'!M36</f>
        <v/>
      </c>
      <c r="N14"/>
      <c r="O14" s="53">
        <f>'R1'!O36</f>
        <v>1.3186295593440691</v>
      </c>
      <c r="P14" s="53" t="str">
        <f>'R1'!P36</f>
        <v/>
      </c>
      <c r="Q14" s="53" t="str">
        <f>'R1'!Q36</f>
        <v/>
      </c>
      <c r="R14" s="53" t="str">
        <f>'R1'!R36</f>
        <v/>
      </c>
      <c r="S14" s="53" t="str">
        <f>'R1'!S36</f>
        <v/>
      </c>
      <c r="T14" s="53" t="str">
        <f>'R1'!T36</f>
        <v/>
      </c>
      <c r="U14" s="53" t="str">
        <f>'R1'!U36</f>
        <v/>
      </c>
      <c r="V14" s="53" t="str">
        <f>'R1'!V36</f>
        <v/>
      </c>
    </row>
    <row r="15" spans="1:22" s="1" customFormat="1" x14ac:dyDescent="0.25">
      <c r="A15" s="227"/>
      <c r="B15" s="53" t="str">
        <f>'R1'!B37</f>
        <v/>
      </c>
      <c r="C15" s="53" t="str">
        <f>'R1'!C37</f>
        <v/>
      </c>
      <c r="D15" s="53" t="str">
        <f>'R1'!D37</f>
        <v/>
      </c>
      <c r="E15" s="53" t="str">
        <f>'R1'!E37</f>
        <v/>
      </c>
      <c r="F15" s="53" t="str">
        <f>'R1'!F37</f>
        <v/>
      </c>
      <c r="G15" s="53" t="str">
        <f>'R1'!G37</f>
        <v/>
      </c>
      <c r="H15" s="53" t="str">
        <f>'R1'!H37</f>
        <v/>
      </c>
      <c r="I15" s="53" t="str">
        <f>'R1'!I37</f>
        <v/>
      </c>
      <c r="J15" s="53" t="str">
        <f>'R1'!J37</f>
        <v/>
      </c>
      <c r="K15" s="53" t="str">
        <f>'R1'!K37</f>
        <v/>
      </c>
      <c r="L15" s="53" t="str">
        <f>'R1'!L37</f>
        <v/>
      </c>
      <c r="M15" s="53" t="str">
        <f>'R1'!M37</f>
        <v/>
      </c>
      <c r="N15"/>
      <c r="O15" s="53">
        <f>'R1'!O37</f>
        <v>0.95859753090813038</v>
      </c>
      <c r="P15" s="53" t="str">
        <f>'R1'!P37</f>
        <v/>
      </c>
      <c r="Q15" s="53" t="str">
        <f>'R1'!Q37</f>
        <v/>
      </c>
      <c r="R15" s="53" t="str">
        <f>'R1'!R37</f>
        <v/>
      </c>
      <c r="S15" s="53" t="str">
        <f>'R1'!S37</f>
        <v/>
      </c>
      <c r="T15" s="53" t="str">
        <f>'R1'!T37</f>
        <v/>
      </c>
      <c r="U15" s="53" t="str">
        <f>'R1'!U37</f>
        <v/>
      </c>
      <c r="V15" s="53" t="str">
        <f>'R1'!V37</f>
        <v/>
      </c>
    </row>
    <row r="16" spans="1:22" s="1" customFormat="1" x14ac:dyDescent="0.25">
      <c r="A16" s="227"/>
      <c r="B16" s="53" t="str">
        <f>'R1'!B38</f>
        <v/>
      </c>
      <c r="C16" s="53" t="str">
        <f>'R1'!C38</f>
        <v/>
      </c>
      <c r="D16" s="53" t="str">
        <f>'R1'!D38</f>
        <v/>
      </c>
      <c r="E16" s="53" t="str">
        <f>'R1'!E38</f>
        <v/>
      </c>
      <c r="F16" s="53" t="str">
        <f>'R1'!F38</f>
        <v/>
      </c>
      <c r="G16" s="53" t="str">
        <f>'R1'!G38</f>
        <v/>
      </c>
      <c r="H16" s="53" t="str">
        <f>'R1'!H38</f>
        <v/>
      </c>
      <c r="I16" s="53" t="str">
        <f>'R1'!I38</f>
        <v/>
      </c>
      <c r="J16" s="53" t="str">
        <f>'R1'!J38</f>
        <v/>
      </c>
      <c r="K16" s="53" t="str">
        <f>'R1'!K38</f>
        <v/>
      </c>
      <c r="L16" s="53" t="str">
        <f>'R1'!L38</f>
        <v/>
      </c>
      <c r="M16" s="53" t="str">
        <f>'R1'!M38</f>
        <v/>
      </c>
      <c r="N16"/>
      <c r="O16" s="53" t="str">
        <f>'R1'!O38</f>
        <v/>
      </c>
      <c r="P16" s="53" t="str">
        <f>'R1'!P38</f>
        <v/>
      </c>
      <c r="Q16" s="53" t="str">
        <f>'R1'!Q38</f>
        <v/>
      </c>
      <c r="R16" s="53" t="str">
        <f>'R1'!R38</f>
        <v/>
      </c>
      <c r="S16" s="53" t="str">
        <f>'R1'!S38</f>
        <v/>
      </c>
      <c r="T16" s="53" t="str">
        <f>'R1'!T38</f>
        <v/>
      </c>
      <c r="U16" s="53" t="str">
        <f>'R1'!U38</f>
        <v/>
      </c>
      <c r="V16" s="53" t="str">
        <f>'R1'!V38</f>
        <v/>
      </c>
    </row>
    <row r="17" spans="1:22" s="1" customFormat="1" x14ac:dyDescent="0.25">
      <c r="A17" s="227"/>
      <c r="B17" s="53" t="str">
        <f>'R1'!B39</f>
        <v/>
      </c>
      <c r="C17" s="53" t="str">
        <f>'R1'!C39</f>
        <v/>
      </c>
      <c r="D17" s="53" t="str">
        <f>'R1'!D39</f>
        <v/>
      </c>
      <c r="E17" s="53" t="str">
        <f>'R1'!E39</f>
        <v/>
      </c>
      <c r="F17" s="53" t="str">
        <f>'R1'!F39</f>
        <v/>
      </c>
      <c r="G17" s="53" t="str">
        <f>'R1'!G39</f>
        <v/>
      </c>
      <c r="H17" s="53" t="str">
        <f>'R1'!H39</f>
        <v/>
      </c>
      <c r="I17" s="53" t="str">
        <f>'R1'!I39</f>
        <v/>
      </c>
      <c r="J17" s="53" t="str">
        <f>'R1'!J39</f>
        <v/>
      </c>
      <c r="K17" s="53" t="str">
        <f>'R1'!K39</f>
        <v/>
      </c>
      <c r="L17" s="53" t="str">
        <f>'R1'!L39</f>
        <v/>
      </c>
      <c r="M17" s="53" t="str">
        <f>'R1'!M39</f>
        <v/>
      </c>
      <c r="N17"/>
      <c r="O17" s="53">
        <f>'R1'!O39</f>
        <v>1.2235458846178053</v>
      </c>
      <c r="P17" s="53" t="str">
        <f>'R1'!P39</f>
        <v/>
      </c>
      <c r="Q17" s="53" t="str">
        <f>'R1'!Q39</f>
        <v/>
      </c>
      <c r="R17" s="53" t="str">
        <f>'R1'!R39</f>
        <v/>
      </c>
      <c r="S17" s="53" t="str">
        <f>'R1'!S39</f>
        <v/>
      </c>
      <c r="T17" s="53" t="str">
        <f>'R1'!T39</f>
        <v/>
      </c>
      <c r="U17" s="53" t="str">
        <f>'R1'!U39</f>
        <v/>
      </c>
      <c r="V17" s="53" t="str">
        <f>'R1'!V39</f>
        <v/>
      </c>
    </row>
    <row r="18" spans="1:22" s="1" customFormat="1" x14ac:dyDescent="0.25">
      <c r="A18" s="227"/>
      <c r="B18" s="53" t="str">
        <f>'R1'!B40</f>
        <v/>
      </c>
      <c r="C18" s="53" t="str">
        <f>'R1'!C40</f>
        <v/>
      </c>
      <c r="D18" s="53" t="str">
        <f>'R1'!D40</f>
        <v/>
      </c>
      <c r="E18" s="53" t="str">
        <f>'R1'!E40</f>
        <v/>
      </c>
      <c r="F18" s="53" t="str">
        <f>'R1'!F40</f>
        <v/>
      </c>
      <c r="G18" s="53" t="str">
        <f>'R1'!G40</f>
        <v/>
      </c>
      <c r="H18" s="53" t="str">
        <f>'R1'!H40</f>
        <v/>
      </c>
      <c r="I18" s="53" t="str">
        <f>'R1'!I40</f>
        <v/>
      </c>
      <c r="J18" s="53" t="str">
        <f>'R1'!J40</f>
        <v/>
      </c>
      <c r="K18" s="53" t="str">
        <f>'R1'!K40</f>
        <v/>
      </c>
      <c r="L18" s="53" t="str">
        <f>'R1'!L40</f>
        <v/>
      </c>
      <c r="M18" s="53" t="str">
        <f>'R1'!M40</f>
        <v/>
      </c>
      <c r="N18"/>
      <c r="O18" s="53">
        <f>'R1'!O40</f>
        <v>0.71857633371468321</v>
      </c>
      <c r="P18" s="53" t="str">
        <f>'R1'!P40</f>
        <v/>
      </c>
      <c r="Q18" s="53" t="str">
        <f>'R1'!Q40</f>
        <v/>
      </c>
      <c r="R18" s="53" t="str">
        <f>'R1'!R40</f>
        <v/>
      </c>
      <c r="S18" s="53" t="str">
        <f>'R1'!S40</f>
        <v/>
      </c>
      <c r="T18" s="53" t="str">
        <f>'R1'!T40</f>
        <v/>
      </c>
      <c r="U18" s="53" t="str">
        <f>'R1'!U40</f>
        <v/>
      </c>
      <c r="V18" s="53" t="str">
        <f>'R1'!V40</f>
        <v/>
      </c>
    </row>
    <row r="19" spans="1:22" s="1" customFormat="1" x14ac:dyDescent="0.25">
      <c r="A19" s="227"/>
      <c r="B19" s="53" t="str">
        <f>'R1'!B41</f>
        <v/>
      </c>
      <c r="C19" s="53" t="str">
        <f>'R1'!C41</f>
        <v/>
      </c>
      <c r="D19" s="53" t="str">
        <f>'R1'!D41</f>
        <v/>
      </c>
      <c r="E19" s="53" t="str">
        <f>'R1'!E41</f>
        <v/>
      </c>
      <c r="F19" s="53" t="str">
        <f>'R1'!F41</f>
        <v/>
      </c>
      <c r="G19" s="53" t="str">
        <f>'R1'!G41</f>
        <v/>
      </c>
      <c r="H19" s="53" t="str">
        <f>'R1'!H41</f>
        <v/>
      </c>
      <c r="I19" s="53" t="str">
        <f>'R1'!I41</f>
        <v/>
      </c>
      <c r="J19" s="53" t="str">
        <f>'R1'!J41</f>
        <v/>
      </c>
      <c r="K19" s="53" t="str">
        <f>'R1'!K41</f>
        <v/>
      </c>
      <c r="L19" s="53" t="str">
        <f>'R1'!L41</f>
        <v/>
      </c>
      <c r="M19" s="53" t="str">
        <f>'R1'!M41</f>
        <v/>
      </c>
      <c r="N19"/>
      <c r="O19" s="53">
        <f>'R1'!O41</f>
        <v>1.0850524172784004</v>
      </c>
      <c r="P19" s="53" t="str">
        <f>'R1'!P41</f>
        <v/>
      </c>
      <c r="Q19" s="53" t="str">
        <f>'R1'!Q41</f>
        <v/>
      </c>
      <c r="R19" s="53" t="str">
        <f>'R1'!R41</f>
        <v/>
      </c>
      <c r="S19" s="53" t="str">
        <f>'R1'!S41</f>
        <v/>
      </c>
      <c r="T19" s="53" t="str">
        <f>'R1'!T41</f>
        <v/>
      </c>
      <c r="U19" s="53" t="str">
        <f>'R1'!U41</f>
        <v/>
      </c>
      <c r="V19" s="53" t="str">
        <f>'R1'!V41</f>
        <v/>
      </c>
    </row>
    <row r="20" spans="1:22" s="1" customFormat="1" x14ac:dyDescent="0.25">
      <c r="A20" s="227"/>
      <c r="B20" s="53" t="str">
        <f>'R1'!B42</f>
        <v/>
      </c>
      <c r="C20" s="53" t="str">
        <f>'R1'!C42</f>
        <v/>
      </c>
      <c r="D20" s="53" t="str">
        <f>'R1'!D42</f>
        <v/>
      </c>
      <c r="E20" s="53" t="str">
        <f>'R1'!E42</f>
        <v/>
      </c>
      <c r="F20" s="53" t="str">
        <f>'R1'!F42</f>
        <v/>
      </c>
      <c r="G20" s="53" t="str">
        <f>'R1'!G42</f>
        <v/>
      </c>
      <c r="H20" s="53" t="str">
        <f>'R1'!H42</f>
        <v/>
      </c>
      <c r="I20" s="53" t="str">
        <f>'R1'!I42</f>
        <v/>
      </c>
      <c r="J20" s="53" t="str">
        <f>'R1'!J42</f>
        <v/>
      </c>
      <c r="K20" s="53" t="str">
        <f>'R1'!K42</f>
        <v/>
      </c>
      <c r="L20" s="53" t="str">
        <f>'R1'!L42</f>
        <v/>
      </c>
      <c r="M20" s="53" t="str">
        <f>'R1'!M42</f>
        <v/>
      </c>
      <c r="N20"/>
      <c r="O20" s="53">
        <f>'R1'!O42</f>
        <v>1.1815097722063854</v>
      </c>
      <c r="P20" s="53" t="str">
        <f>'R1'!P42</f>
        <v/>
      </c>
      <c r="Q20" s="53" t="str">
        <f>'R1'!Q42</f>
        <v/>
      </c>
      <c r="R20" s="53" t="str">
        <f>'R1'!R42</f>
        <v/>
      </c>
      <c r="S20" s="53" t="str">
        <f>'R1'!S42</f>
        <v/>
      </c>
      <c r="T20" s="53" t="str">
        <f>'R1'!T42</f>
        <v/>
      </c>
      <c r="U20" s="53" t="str">
        <f>'R1'!U42</f>
        <v/>
      </c>
      <c r="V20" s="53" t="str">
        <f>'R1'!V42</f>
        <v/>
      </c>
    </row>
    <row r="21" spans="1:22" s="1" customFormat="1" x14ac:dyDescent="0.25">
      <c r="A21" s="228"/>
      <c r="B21" s="53" t="str">
        <f>'R1'!B43</f>
        <v/>
      </c>
      <c r="C21" s="53" t="str">
        <f>'R1'!C43</f>
        <v/>
      </c>
      <c r="D21" s="53" t="str">
        <f>'R1'!D43</f>
        <v/>
      </c>
      <c r="E21" s="53" t="str">
        <f>'R1'!E43</f>
        <v/>
      </c>
      <c r="F21" s="53" t="str">
        <f>'R1'!F43</f>
        <v/>
      </c>
      <c r="G21" s="53" t="str">
        <f>'R1'!G43</f>
        <v/>
      </c>
      <c r="H21" s="53" t="str">
        <f>'R1'!H43</f>
        <v/>
      </c>
      <c r="I21" s="53" t="str">
        <f>'R1'!I43</f>
        <v/>
      </c>
      <c r="J21" s="53" t="str">
        <f>'R1'!J43</f>
        <v/>
      </c>
      <c r="K21" s="53" t="str">
        <f>'R1'!K43</f>
        <v/>
      </c>
      <c r="L21" s="53" t="str">
        <f>'R1'!L43</f>
        <v/>
      </c>
      <c r="M21" s="53" t="str">
        <f>'R1'!M43</f>
        <v/>
      </c>
      <c r="N21"/>
      <c r="O21" s="53">
        <f>'R1'!O43</f>
        <v>1.3773148730839633</v>
      </c>
      <c r="P21" s="53" t="str">
        <f>'R1'!P43</f>
        <v/>
      </c>
      <c r="Q21" s="53" t="str">
        <f>'R1'!Q43</f>
        <v/>
      </c>
      <c r="R21" s="53" t="str">
        <f>'R1'!R43</f>
        <v/>
      </c>
      <c r="S21" s="53" t="str">
        <f>'R1'!S43</f>
        <v/>
      </c>
      <c r="T21" s="53" t="str">
        <f>'R1'!T43</f>
        <v/>
      </c>
      <c r="U21" s="53" t="str">
        <f>'R1'!U43</f>
        <v/>
      </c>
      <c r="V21" s="53" t="str">
        <f>'R1'!V43</f>
        <v/>
      </c>
    </row>
    <row r="22" spans="1:22" x14ac:dyDescent="0.25">
      <c r="A22" s="39" t="s">
        <v>5</v>
      </c>
      <c r="B22" s="54">
        <f>'R2'!B28</f>
        <v>0.20577047063983239</v>
      </c>
      <c r="C22" s="54">
        <f>'R2'!C28</f>
        <v>1.538862559072181E-2</v>
      </c>
      <c r="D22" s="54">
        <f>'R2'!D28</f>
        <v>6.4247847337615058E-2</v>
      </c>
      <c r="E22" s="54">
        <f>'R2'!E28</f>
        <v>0.61060434647611106</v>
      </c>
      <c r="F22" s="54">
        <f>'R2'!F28</f>
        <v>1.097060636290786</v>
      </c>
      <c r="G22" s="54">
        <f>'R2'!G28</f>
        <v>0.31754048808823293</v>
      </c>
      <c r="H22" s="54">
        <f>'R2'!H28</f>
        <v>1.7023440599698743</v>
      </c>
      <c r="I22" s="54">
        <f>'R2'!I28</f>
        <v>9.6240483390050521E-2</v>
      </c>
      <c r="J22" s="54">
        <f>'R2'!J28</f>
        <v>7.6712424874257015E-2</v>
      </c>
      <c r="K22" s="54">
        <f>'R2'!K28</f>
        <v>4.439642954421822E-2</v>
      </c>
      <c r="L22" s="54">
        <f>'R2'!L28</f>
        <v>0.10607023046268144</v>
      </c>
      <c r="M22" s="54">
        <f>'R2'!M28</f>
        <v>4.8694927210057859E-2</v>
      </c>
      <c r="O22" s="54">
        <f>'R2'!O28</f>
        <v>1.3916207097309372</v>
      </c>
      <c r="P22" s="54">
        <f>'R2'!P28</f>
        <v>0.87961430056651901</v>
      </c>
      <c r="Q22" s="54">
        <f>'R2'!Q28</f>
        <v>5.3631657346919277E-2</v>
      </c>
      <c r="R22" s="54">
        <f>'R2'!R28</f>
        <v>9.6431518959608054E-2</v>
      </c>
      <c r="S22" s="54">
        <f>'R2'!S28</f>
        <v>0.70801561345748398</v>
      </c>
      <c r="T22" s="54">
        <f>'R2'!T28</f>
        <v>0.35064825480780154</v>
      </c>
      <c r="U22" s="54">
        <f>'R2'!U28</f>
        <v>1.6807115019139267</v>
      </c>
      <c r="V22" s="54">
        <f>'R2'!V28</f>
        <v>0.39818433814963428</v>
      </c>
    </row>
    <row r="23" spans="1:22" x14ac:dyDescent="0.25">
      <c r="A23" s="226" t="s">
        <v>34</v>
      </c>
      <c r="B23" s="54">
        <f>'R2'!B29</f>
        <v>0.20638206075352952</v>
      </c>
      <c r="C23" s="54">
        <f>'R2'!C29</f>
        <v>2.8598103703081686E-2</v>
      </c>
      <c r="D23" s="54">
        <f>'R2'!D29</f>
        <v>1.5162362904257223E-2</v>
      </c>
      <c r="E23" s="54">
        <f>'R2'!E29</f>
        <v>0.16381902009483768</v>
      </c>
      <c r="F23" s="54">
        <f>'R2'!F29</f>
        <v>0.82666453955401464</v>
      </c>
      <c r="G23" s="54">
        <f>'R2'!G29</f>
        <v>0.68905839211622066</v>
      </c>
      <c r="H23" s="54">
        <f>'R2'!H29</f>
        <v>3.0451075707995674</v>
      </c>
      <c r="I23" s="54">
        <f>'R2'!I29</f>
        <v>0.17314720012198254</v>
      </c>
      <c r="J23" s="54">
        <f>'R2'!J29</f>
        <v>8.4221030571525315E-2</v>
      </c>
      <c r="K23" s="54">
        <f>'R2'!K29</f>
        <v>8.0069657923356297E-2</v>
      </c>
      <c r="L23" s="54">
        <f>'R2'!L29</f>
        <v>0.15296161809495626</v>
      </c>
      <c r="M23" s="54">
        <f>'R2'!M29</f>
        <v>0.32470343386806316</v>
      </c>
      <c r="O23" s="54">
        <f>'R2'!O29</f>
        <v>1.0173132522156605</v>
      </c>
      <c r="P23" s="54">
        <f>'R2'!P29</f>
        <v>1.6585389427451671</v>
      </c>
      <c r="Q23" s="54">
        <f>'R2'!Q29</f>
        <v>0.20631160651971542</v>
      </c>
      <c r="R23" s="54">
        <f>'R2'!R29</f>
        <v>0.4842963840388253</v>
      </c>
      <c r="S23" s="54">
        <f>'R2'!S29</f>
        <v>0.64906298397584328</v>
      </c>
      <c r="T23" s="54">
        <f>'R2'!T29</f>
        <v>0.32167044817514467</v>
      </c>
      <c r="U23" s="54">
        <f>'R2'!U29</f>
        <v>0.37368856542216478</v>
      </c>
      <c r="V23" s="54">
        <f>'R2'!V29</f>
        <v>7.7004701401648265E-2</v>
      </c>
    </row>
    <row r="24" spans="1:22" x14ac:dyDescent="0.25">
      <c r="A24" s="227"/>
      <c r="B24" s="54">
        <f>'R2'!B30</f>
        <v>3.2766448519620503E-2</v>
      </c>
      <c r="C24" s="54">
        <f>'R2'!C30</f>
        <v>5.6376412203743932E-2</v>
      </c>
      <c r="D24" s="54">
        <f>'R2'!D30</f>
        <v>0.27038647588551518</v>
      </c>
      <c r="E24" s="54">
        <f>'R2'!E30</f>
        <v>0.12864726008578817</v>
      </c>
      <c r="F24" s="54">
        <f>'R2'!F30</f>
        <v>0.82966856401776723</v>
      </c>
      <c r="G24" s="54">
        <f>'R2'!G30</f>
        <v>1.081061604691137</v>
      </c>
      <c r="H24" s="54">
        <f>'R2'!H30</f>
        <v>1.8068925184523303</v>
      </c>
      <c r="I24" s="54">
        <f>'R2'!I30</f>
        <v>0.15528793992868756</v>
      </c>
      <c r="J24" s="54">
        <f>'R2'!J30</f>
        <v>7.1244130371069955E-2</v>
      </c>
      <c r="K24" s="54">
        <f>'R2'!K30</f>
        <v>4.8919315063969968E-3</v>
      </c>
      <c r="L24" s="54">
        <f>'R2'!L30</f>
        <v>9.7694958749181784E-2</v>
      </c>
      <c r="M24" s="54">
        <f>'R2'!M30</f>
        <v>9.8153996698345874E-2</v>
      </c>
      <c r="O24" s="54">
        <f>'R2'!O30</f>
        <v>0.84089950173488015</v>
      </c>
      <c r="P24" s="54">
        <f>'R2'!P30</f>
        <v>0.8117573018899904</v>
      </c>
      <c r="Q24" s="54">
        <f>'R2'!Q30</f>
        <v>5.651514981262714E-2</v>
      </c>
      <c r="R24" s="54">
        <f>'R2'!R30</f>
        <v>0.31246492166709078</v>
      </c>
      <c r="S24" s="54">
        <f>'R2'!S30</f>
        <v>0.96904943781727459</v>
      </c>
      <c r="T24" s="54">
        <f>'R2'!T30</f>
        <v>0.25607360947832453</v>
      </c>
      <c r="U24" s="54">
        <f>'R2'!U30</f>
        <v>0.24661211898915891</v>
      </c>
      <c r="V24" s="54">
        <f>'R2'!V30</f>
        <v>9.6491316250492287E-2</v>
      </c>
    </row>
    <row r="25" spans="1:22" x14ac:dyDescent="0.25">
      <c r="A25" s="227"/>
      <c r="B25" s="54">
        <f>'R2'!B31</f>
        <v>0.28239438368253306</v>
      </c>
      <c r="C25" s="54">
        <f>'R2'!C31</f>
        <v>0.14687882255384585</v>
      </c>
      <c r="D25" s="54">
        <f>'R2'!D31</f>
        <v>3.3506908702450967E-2</v>
      </c>
      <c r="E25" s="54">
        <f>'R2'!E31</f>
        <v>9.097615093349333E-2</v>
      </c>
      <c r="F25" s="54">
        <f>'R2'!F31</f>
        <v>0.41435407818695602</v>
      </c>
      <c r="G25" s="54">
        <f>'R2'!G31</f>
        <v>1.0186108336927688</v>
      </c>
      <c r="H25" s="54">
        <f>'R2'!H31</f>
        <v>1.9585606994368734</v>
      </c>
      <c r="I25" s="54">
        <f>'R2'!I31</f>
        <v>0.11466298275226826</v>
      </c>
      <c r="J25" s="54">
        <f>'R2'!J31</f>
        <v>3.1991649298460482E-2</v>
      </c>
      <c r="K25" s="54">
        <f>'R2'!K31</f>
        <v>0.12291224598316201</v>
      </c>
      <c r="L25" s="54">
        <f>'R2'!L31</f>
        <v>2.4318650388959299E-2</v>
      </c>
      <c r="M25" s="54">
        <f>'R2'!M31</f>
        <v>0.11643460083896044</v>
      </c>
      <c r="O25" s="54">
        <f>'R2'!O31</f>
        <v>1.1165428107467426</v>
      </c>
      <c r="P25" s="54">
        <f>'R2'!P31</f>
        <v>0.96460568996631679</v>
      </c>
      <c r="Q25" s="54">
        <f>'R2'!Q31</f>
        <v>4.399087366049844E-2</v>
      </c>
      <c r="R25" s="54">
        <f>'R2'!R31</f>
        <v>0.14379462432962559</v>
      </c>
      <c r="S25" s="54">
        <f>'R2'!S31</f>
        <v>0.3501039613151985</v>
      </c>
      <c r="T25" s="54">
        <f>'R2'!T31</f>
        <v>0.31165183639170124</v>
      </c>
      <c r="U25" s="54">
        <f>'R2'!U31</f>
        <v>0.48488330530314766</v>
      </c>
      <c r="V25" s="54">
        <f>'R2'!V31</f>
        <v>5.5379692013609268E-2</v>
      </c>
    </row>
    <row r="26" spans="1:22" x14ac:dyDescent="0.25">
      <c r="A26" s="227"/>
      <c r="B26" s="54">
        <f>'R2'!B32</f>
        <v>7.4520350918822753E-2</v>
      </c>
      <c r="C26" s="54">
        <f>'R2'!C32</f>
        <v>0.24473595431881681</v>
      </c>
      <c r="D26" s="54">
        <f>'R2'!D32</f>
        <v>4.2665367045898017E-2</v>
      </c>
      <c r="E26" s="54">
        <f>'R2'!E32</f>
        <v>0.56864115355881395</v>
      </c>
      <c r="F26" s="54">
        <f>'R2'!F32</f>
        <v>0.70741793657483421</v>
      </c>
      <c r="G26" s="54">
        <f>'R2'!G32</f>
        <v>0.78227773086105257</v>
      </c>
      <c r="H26" s="54">
        <f>'R2'!H32</f>
        <v>1.2107055849670598</v>
      </c>
      <c r="I26" s="54">
        <f>'R2'!I32</f>
        <v>5.3655142091523979E-2</v>
      </c>
      <c r="J26" s="54">
        <f>'R2'!J32</f>
        <v>8.0677991748935959E-2</v>
      </c>
      <c r="K26" s="54">
        <f>'R2'!K32</f>
        <v>0.11182231540907485</v>
      </c>
      <c r="L26" s="54">
        <f>'R2'!L32</f>
        <v>0.20274301076917389</v>
      </c>
      <c r="M26" s="54">
        <f>'R2'!M32</f>
        <v>0.17795042244602818</v>
      </c>
      <c r="O26" s="54">
        <f>'R2'!O32</f>
        <v>0.66692530310646059</v>
      </c>
      <c r="P26" s="54">
        <f>'R2'!P32</f>
        <v>5.6176890550001498E-3</v>
      </c>
      <c r="Q26" s="54">
        <f>'R2'!Q32</f>
        <v>1.0616189990695775E-2</v>
      </c>
      <c r="R26" s="54">
        <f>'R2'!R32</f>
        <v>1.2260109285222929</v>
      </c>
      <c r="S26" s="54">
        <f>'R2'!S32</f>
        <v>6.0655766842468817E-2</v>
      </c>
      <c r="T26" s="54">
        <f>'R2'!T32</f>
        <v>0.58888312857551084</v>
      </c>
      <c r="U26" s="54">
        <f>'R2'!U32</f>
        <v>0.65157516092076329</v>
      </c>
      <c r="V26" s="54">
        <f>'R2'!V32</f>
        <v>0.38646031947122034</v>
      </c>
    </row>
    <row r="27" spans="1:22" x14ac:dyDescent="0.25">
      <c r="A27" s="227"/>
      <c r="B27" s="54">
        <f>'R2'!B33</f>
        <v>5.8032974776952599E-3</v>
      </c>
      <c r="C27" s="54">
        <f>'R2'!C33</f>
        <v>9.5458283514078104E-2</v>
      </c>
      <c r="D27" s="54">
        <f>'R2'!D33</f>
        <v>0.28415514747550036</v>
      </c>
      <c r="E27" s="54">
        <f>'R2'!E33</f>
        <v>8.5247550731704605E-2</v>
      </c>
      <c r="F27" s="54">
        <f>'R2'!F33</f>
        <v>0.18373664907995615</v>
      </c>
      <c r="G27" s="54">
        <f>'R2'!G33</f>
        <v>0.71573114146330707</v>
      </c>
      <c r="H27" s="54">
        <f>'R2'!H33</f>
        <v>1.9934699828885762</v>
      </c>
      <c r="I27" s="54">
        <f>'R2'!I33</f>
        <v>0.15962087530825425</v>
      </c>
      <c r="J27" s="54">
        <f>'R2'!J33</f>
        <v>0.12153345465391228</v>
      </c>
      <c r="K27" s="54">
        <f>'R2'!K33</f>
        <v>5.9417883980847262E-2</v>
      </c>
      <c r="L27" s="54">
        <f>'R2'!L33</f>
        <v>0.22796237018650159</v>
      </c>
      <c r="M27" s="54">
        <f>'R2'!M33</f>
        <v>1.7214515146038296E-2</v>
      </c>
      <c r="O27" s="54">
        <f>'R2'!O33</f>
        <v>1.2453010806547169</v>
      </c>
      <c r="P27" s="54">
        <f>'R2'!P33</f>
        <v>1.8635591843378168</v>
      </c>
      <c r="Q27" s="54">
        <f>'R2'!Q33</f>
        <v>0.25920684937510169</v>
      </c>
      <c r="R27" s="54">
        <f>'R2'!R33</f>
        <v>0.60471569477957943</v>
      </c>
      <c r="S27" s="54">
        <f>'R2'!S33</f>
        <v>0.36695683112940397</v>
      </c>
      <c r="T27" s="54">
        <f>'R2'!T33</f>
        <v>0.30325110642564695</v>
      </c>
      <c r="U27" s="54">
        <f>'R2'!U33</f>
        <v>0.54591472938389418</v>
      </c>
      <c r="V27" s="54">
        <f>'R2'!V33</f>
        <v>0.52781124758178977</v>
      </c>
    </row>
    <row r="28" spans="1:22" x14ac:dyDescent="0.25">
      <c r="A28" s="227"/>
      <c r="B28" s="54">
        <f>'R2'!B34</f>
        <v>0.11179873198907264</v>
      </c>
      <c r="C28" s="54">
        <f>'R2'!C34</f>
        <v>4.5623556787512419E-2</v>
      </c>
      <c r="D28" s="54">
        <f>'R2'!D34</f>
        <v>8.8170414681014459E-3</v>
      </c>
      <c r="E28" s="54">
        <f>'R2'!E34</f>
        <v>0.19721926069259252</v>
      </c>
      <c r="F28" s="54">
        <f>'R2'!F34</f>
        <v>0.18094275387517714</v>
      </c>
      <c r="G28" s="54">
        <f>'R2'!G34</f>
        <v>1.3426995198344149</v>
      </c>
      <c r="H28" s="54">
        <f>'R2'!H34</f>
        <v>1.5929900602915315</v>
      </c>
      <c r="I28" s="54">
        <f>'R2'!I34</f>
        <v>0.18383266024172243</v>
      </c>
      <c r="J28" s="54">
        <f>'R2'!J34</f>
        <v>8.3126128360879431E-2</v>
      </c>
      <c r="K28" s="54">
        <f>'R2'!K34</f>
        <v>0.19530693148906716</v>
      </c>
      <c r="L28" s="54">
        <f>'R2'!L34</f>
        <v>6.7129267619975438E-2</v>
      </c>
      <c r="M28" s="54">
        <f>'R2'!M34</f>
        <v>6.9097151072292598E-2</v>
      </c>
      <c r="O28" s="54">
        <f>'R2'!O34</f>
        <v>1.0308683902454585</v>
      </c>
      <c r="P28" s="54">
        <f>'R2'!P34</f>
        <v>1.8746214858006043</v>
      </c>
      <c r="Q28" s="54">
        <f>'R2'!Q34</f>
        <v>2.9816744862190988E-2</v>
      </c>
      <c r="R28" s="54">
        <f>'R2'!R34</f>
        <v>0.10504361162710465</v>
      </c>
      <c r="S28" s="54">
        <f>'R2'!S34</f>
        <v>0.46635088154811638</v>
      </c>
      <c r="T28" s="54">
        <f>'R2'!T34</f>
        <v>0.16419260514976786</v>
      </c>
      <c r="U28" s="54">
        <f>'R2'!U34</f>
        <v>0.17894714263616282</v>
      </c>
      <c r="V28" s="54">
        <f>'R2'!V34</f>
        <v>0.42765315356024475</v>
      </c>
    </row>
    <row r="29" spans="1:22" x14ac:dyDescent="0.25">
      <c r="A29" s="227"/>
      <c r="B29" s="54">
        <f>'R2'!B35</f>
        <v>0.25283587233559623</v>
      </c>
      <c r="C29" s="54">
        <f>'R2'!C35</f>
        <v>2.3507538621519747E-2</v>
      </c>
      <c r="D29" s="54">
        <f>'R2'!D35</f>
        <v>8.1830520391721114E-3</v>
      </c>
      <c r="E29" s="54">
        <f>'R2'!E35</f>
        <v>6.3707796887104512E-2</v>
      </c>
      <c r="F29" s="54">
        <f>'R2'!F35</f>
        <v>0.41385034028272499</v>
      </c>
      <c r="G29" s="54">
        <f>'R2'!G35</f>
        <v>1.350184739462476</v>
      </c>
      <c r="H29" s="54">
        <f>'R2'!H35</f>
        <v>1.7625601785787874</v>
      </c>
      <c r="I29" s="54">
        <f>'R2'!I35</f>
        <v>0.14961706483443557</v>
      </c>
      <c r="J29" s="54">
        <f>'R2'!J35</f>
        <v>0.16265149279163271</v>
      </c>
      <c r="K29" s="54">
        <f>'R2'!K35</f>
        <v>0.14267840823311995</v>
      </c>
      <c r="L29" s="54">
        <f>'R2'!L35</f>
        <v>7.046725896656246E-2</v>
      </c>
      <c r="M29" s="54">
        <f>'R2'!M35</f>
        <v>0.1145434868458973</v>
      </c>
      <c r="O29" s="54">
        <f>'R2'!O35</f>
        <v>1.0777939689029665</v>
      </c>
      <c r="P29" s="54">
        <f>'R2'!P35</f>
        <v>1.693885654233982</v>
      </c>
      <c r="Q29" s="54">
        <f>'R2'!Q35</f>
        <v>4.7659230237911193E-3</v>
      </c>
      <c r="R29" s="54">
        <f>'R2'!R35</f>
        <v>0.3582060995284217</v>
      </c>
      <c r="S29" s="54">
        <f>'R2'!S35</f>
        <v>4.2941707496593207E-2</v>
      </c>
      <c r="T29" s="54">
        <f>'R2'!T35</f>
        <v>3.87766683058706E-2</v>
      </c>
      <c r="U29" s="54">
        <f>'R2'!U35</f>
        <v>0.11419989911180671</v>
      </c>
      <c r="V29" s="54">
        <f>'R2'!V35</f>
        <v>0.54042936403693975</v>
      </c>
    </row>
    <row r="30" spans="1:22" x14ac:dyDescent="0.25">
      <c r="A30" s="227"/>
      <c r="B30" s="54" t="str">
        <f>'R2'!B36</f>
        <v/>
      </c>
      <c r="C30" s="54" t="str">
        <f>'R2'!C36</f>
        <v/>
      </c>
      <c r="D30" s="54" t="str">
        <f>'R2'!D36</f>
        <v/>
      </c>
      <c r="E30" s="54" t="str">
        <f>'R2'!E36</f>
        <v/>
      </c>
      <c r="F30" s="54" t="str">
        <f>'R2'!F36</f>
        <v/>
      </c>
      <c r="G30" s="54" t="str">
        <f>'R2'!G36</f>
        <v/>
      </c>
      <c r="H30" s="54" t="str">
        <f>'R2'!H36</f>
        <v/>
      </c>
      <c r="I30" s="54" t="str">
        <f>'R2'!I36</f>
        <v/>
      </c>
      <c r="J30" s="54" t="str">
        <f>'R2'!J36</f>
        <v/>
      </c>
      <c r="K30" s="54" t="str">
        <f>'R2'!K36</f>
        <v/>
      </c>
      <c r="L30" s="54" t="str">
        <f>'R2'!L36</f>
        <v/>
      </c>
      <c r="M30" s="54" t="str">
        <f>'R2'!M36</f>
        <v/>
      </c>
      <c r="O30" s="54">
        <f>'R2'!O36</f>
        <v>1.1233877257204343</v>
      </c>
      <c r="P30" s="54" t="str">
        <f>'R2'!P36</f>
        <v/>
      </c>
      <c r="Q30" s="54" t="str">
        <f>'R2'!Q36</f>
        <v/>
      </c>
      <c r="R30" s="54" t="str">
        <f>'R2'!R36</f>
        <v/>
      </c>
      <c r="S30" s="54" t="str">
        <f>'R2'!S36</f>
        <v/>
      </c>
      <c r="T30" s="54" t="str">
        <f>'R2'!T36</f>
        <v/>
      </c>
      <c r="U30" s="54" t="str">
        <f>'R2'!U36</f>
        <v/>
      </c>
      <c r="V30" s="54" t="str">
        <f>'R2'!V36</f>
        <v/>
      </c>
    </row>
    <row r="31" spans="1:22" s="1" customFormat="1" x14ac:dyDescent="0.25">
      <c r="A31" s="227"/>
      <c r="B31" s="54" t="str">
        <f>'R2'!B37</f>
        <v/>
      </c>
      <c r="C31" s="54" t="str">
        <f>'R2'!C37</f>
        <v/>
      </c>
      <c r="D31" s="54" t="str">
        <f>'R2'!D37</f>
        <v/>
      </c>
      <c r="E31" s="54" t="str">
        <f>'R2'!E37</f>
        <v/>
      </c>
      <c r="F31" s="54" t="str">
        <f>'R2'!F37</f>
        <v/>
      </c>
      <c r="G31" s="54" t="str">
        <f>'R2'!G37</f>
        <v/>
      </c>
      <c r="H31" s="54" t="str">
        <f>'R2'!H37</f>
        <v/>
      </c>
      <c r="I31" s="54" t="str">
        <f>'R2'!I37</f>
        <v/>
      </c>
      <c r="J31" s="54" t="str">
        <f>'R2'!J37</f>
        <v/>
      </c>
      <c r="K31" s="54" t="str">
        <f>'R2'!K37</f>
        <v/>
      </c>
      <c r="L31" s="54" t="str">
        <f>'R2'!L37</f>
        <v/>
      </c>
      <c r="M31" s="54" t="str">
        <f>'R2'!M37</f>
        <v/>
      </c>
      <c r="N31"/>
      <c r="O31" s="54">
        <f>'R2'!O37</f>
        <v>0.65386521954591381</v>
      </c>
      <c r="P31" s="54" t="str">
        <f>'R2'!P37</f>
        <v/>
      </c>
      <c r="Q31" s="54" t="str">
        <f>'R2'!Q37</f>
        <v/>
      </c>
      <c r="R31" s="54" t="str">
        <f>'R2'!R37</f>
        <v/>
      </c>
      <c r="S31" s="54" t="str">
        <f>'R2'!S37</f>
        <v/>
      </c>
      <c r="T31" s="54" t="str">
        <f>'R2'!T37</f>
        <v/>
      </c>
      <c r="U31" s="54" t="str">
        <f>'R2'!U37</f>
        <v/>
      </c>
      <c r="V31" s="54" t="str">
        <f>'R2'!V37</f>
        <v/>
      </c>
    </row>
    <row r="32" spans="1:22" s="1" customFormat="1" x14ac:dyDescent="0.25">
      <c r="A32" s="227"/>
      <c r="B32" s="54" t="str">
        <f>'R2'!B38</f>
        <v/>
      </c>
      <c r="C32" s="54" t="str">
        <f>'R2'!C38</f>
        <v/>
      </c>
      <c r="D32" s="54" t="str">
        <f>'R2'!D38</f>
        <v/>
      </c>
      <c r="E32" s="54" t="str">
        <f>'R2'!E38</f>
        <v/>
      </c>
      <c r="F32" s="54" t="str">
        <f>'R2'!F38</f>
        <v/>
      </c>
      <c r="G32" s="54" t="str">
        <f>'R2'!G38</f>
        <v/>
      </c>
      <c r="H32" s="54" t="str">
        <f>'R2'!H38</f>
        <v/>
      </c>
      <c r="I32" s="54" t="str">
        <f>'R2'!I38</f>
        <v/>
      </c>
      <c r="J32" s="54" t="str">
        <f>'R2'!J38</f>
        <v/>
      </c>
      <c r="K32" s="54" t="str">
        <f>'R2'!K38</f>
        <v/>
      </c>
      <c r="L32" s="54" t="str">
        <f>'R2'!L38</f>
        <v/>
      </c>
      <c r="M32" s="54" t="str">
        <f>'R2'!M38</f>
        <v/>
      </c>
      <c r="N32"/>
      <c r="O32" s="54">
        <f>'R2'!O38</f>
        <v>1.0440543836132137</v>
      </c>
      <c r="P32" s="54" t="str">
        <f>'R2'!P38</f>
        <v/>
      </c>
      <c r="Q32" s="54" t="str">
        <f>'R2'!Q38</f>
        <v/>
      </c>
      <c r="R32" s="54" t="str">
        <f>'R2'!R38</f>
        <v/>
      </c>
      <c r="S32" s="54" t="str">
        <f>'R2'!S38</f>
        <v/>
      </c>
      <c r="T32" s="54" t="str">
        <f>'R2'!T38</f>
        <v/>
      </c>
      <c r="U32" s="54" t="str">
        <f>'R2'!U38</f>
        <v/>
      </c>
      <c r="V32" s="54" t="str">
        <f>'R2'!V38</f>
        <v/>
      </c>
    </row>
    <row r="33" spans="1:22" s="1" customFormat="1" x14ac:dyDescent="0.25">
      <c r="A33" s="227"/>
      <c r="B33" s="54" t="str">
        <f>'R2'!B39</f>
        <v/>
      </c>
      <c r="C33" s="54" t="str">
        <f>'R2'!C39</f>
        <v/>
      </c>
      <c r="D33" s="54" t="str">
        <f>'R2'!D39</f>
        <v/>
      </c>
      <c r="E33" s="54" t="str">
        <f>'R2'!E39</f>
        <v/>
      </c>
      <c r="F33" s="54" t="str">
        <f>'R2'!F39</f>
        <v/>
      </c>
      <c r="G33" s="54" t="str">
        <f>'R2'!G39</f>
        <v/>
      </c>
      <c r="H33" s="54" t="str">
        <f>'R2'!H39</f>
        <v/>
      </c>
      <c r="I33" s="54" t="str">
        <f>'R2'!I39</f>
        <v/>
      </c>
      <c r="J33" s="54" t="str">
        <f>'R2'!J39</f>
        <v/>
      </c>
      <c r="K33" s="54" t="str">
        <f>'R2'!K39</f>
        <v/>
      </c>
      <c r="L33" s="54" t="str">
        <f>'R2'!L39</f>
        <v/>
      </c>
      <c r="M33" s="54" t="str">
        <f>'R2'!M39</f>
        <v/>
      </c>
      <c r="N33"/>
      <c r="O33" s="54">
        <f>'R2'!O39</f>
        <v>1.1732843219212317</v>
      </c>
      <c r="P33" s="54" t="str">
        <f>'R2'!P39</f>
        <v/>
      </c>
      <c r="Q33" s="54" t="str">
        <f>'R2'!Q39</f>
        <v/>
      </c>
      <c r="R33" s="54" t="str">
        <f>'R2'!R39</f>
        <v/>
      </c>
      <c r="S33" s="54" t="str">
        <f>'R2'!S39</f>
        <v/>
      </c>
      <c r="T33" s="54" t="str">
        <f>'R2'!T39</f>
        <v/>
      </c>
      <c r="U33" s="54" t="str">
        <f>'R2'!U39</f>
        <v/>
      </c>
      <c r="V33" s="54" t="str">
        <f>'R2'!V39</f>
        <v/>
      </c>
    </row>
    <row r="34" spans="1:22" s="1" customFormat="1" x14ac:dyDescent="0.25">
      <c r="A34" s="227"/>
      <c r="B34" s="54" t="str">
        <f>'R2'!B40</f>
        <v/>
      </c>
      <c r="C34" s="54" t="str">
        <f>'R2'!C40</f>
        <v/>
      </c>
      <c r="D34" s="54" t="str">
        <f>'R2'!D40</f>
        <v/>
      </c>
      <c r="E34" s="54" t="str">
        <f>'R2'!E40</f>
        <v/>
      </c>
      <c r="F34" s="54" t="str">
        <f>'R2'!F40</f>
        <v/>
      </c>
      <c r="G34" s="54" t="str">
        <f>'R2'!G40</f>
        <v/>
      </c>
      <c r="H34" s="54" t="str">
        <f>'R2'!H40</f>
        <v/>
      </c>
      <c r="I34" s="54" t="str">
        <f>'R2'!I40</f>
        <v/>
      </c>
      <c r="J34" s="54" t="str">
        <f>'R2'!J40</f>
        <v/>
      </c>
      <c r="K34" s="54" t="str">
        <f>'R2'!K40</f>
        <v/>
      </c>
      <c r="L34" s="54" t="str">
        <f>'R2'!L40</f>
        <v/>
      </c>
      <c r="M34" s="54" t="str">
        <f>'R2'!M40</f>
        <v/>
      </c>
      <c r="N34"/>
      <c r="O34" s="54">
        <f>'R2'!O40</f>
        <v>1.4979256889642683</v>
      </c>
      <c r="P34" s="54" t="str">
        <f>'R2'!P40</f>
        <v/>
      </c>
      <c r="Q34" s="54" t="str">
        <f>'R2'!Q40</f>
        <v/>
      </c>
      <c r="R34" s="54" t="str">
        <f>'R2'!R40</f>
        <v/>
      </c>
      <c r="S34" s="54" t="str">
        <f>'R2'!S40</f>
        <v/>
      </c>
      <c r="T34" s="54" t="str">
        <f>'R2'!T40</f>
        <v/>
      </c>
      <c r="U34" s="54" t="str">
        <f>'R2'!U40</f>
        <v/>
      </c>
      <c r="V34" s="54" t="str">
        <f>'R2'!V40</f>
        <v/>
      </c>
    </row>
    <row r="35" spans="1:22" s="1" customFormat="1" x14ac:dyDescent="0.25">
      <c r="A35" s="227"/>
      <c r="B35" s="54" t="str">
        <f>'R2'!B41</f>
        <v/>
      </c>
      <c r="C35" s="54" t="str">
        <f>'R2'!C41</f>
        <v/>
      </c>
      <c r="D35" s="54" t="str">
        <f>'R2'!D41</f>
        <v/>
      </c>
      <c r="E35" s="54" t="str">
        <f>'R2'!E41</f>
        <v/>
      </c>
      <c r="F35" s="54" t="str">
        <f>'R2'!F41</f>
        <v/>
      </c>
      <c r="G35" s="54" t="str">
        <f>'R2'!G41</f>
        <v/>
      </c>
      <c r="H35" s="54" t="str">
        <f>'R2'!H41</f>
        <v/>
      </c>
      <c r="I35" s="54" t="str">
        <f>'R2'!I41</f>
        <v/>
      </c>
      <c r="J35" s="54" t="str">
        <f>'R2'!J41</f>
        <v/>
      </c>
      <c r="K35" s="54" t="str">
        <f>'R2'!K41</f>
        <v/>
      </c>
      <c r="L35" s="54" t="str">
        <f>'R2'!L41</f>
        <v/>
      </c>
      <c r="M35" s="54" t="str">
        <f>'R2'!M41</f>
        <v/>
      </c>
      <c r="N35"/>
      <c r="O35" s="54">
        <f>'R2'!O41</f>
        <v>0.60464524054576529</v>
      </c>
      <c r="P35" s="54" t="str">
        <f>'R2'!P41</f>
        <v/>
      </c>
      <c r="Q35" s="54" t="str">
        <f>'R2'!Q41</f>
        <v/>
      </c>
      <c r="R35" s="54" t="str">
        <f>'R2'!R41</f>
        <v/>
      </c>
      <c r="S35" s="54" t="str">
        <f>'R2'!S41</f>
        <v/>
      </c>
      <c r="T35" s="54" t="str">
        <f>'R2'!T41</f>
        <v/>
      </c>
      <c r="U35" s="54" t="str">
        <f>'R2'!U41</f>
        <v/>
      </c>
      <c r="V35" s="54" t="str">
        <f>'R2'!V41</f>
        <v/>
      </c>
    </row>
    <row r="36" spans="1:22" x14ac:dyDescent="0.25">
      <c r="A36" s="227"/>
      <c r="B36" s="54" t="str">
        <f>'R2'!B42</f>
        <v/>
      </c>
      <c r="C36" s="54" t="str">
        <f>'R2'!C42</f>
        <v/>
      </c>
      <c r="D36" s="54" t="str">
        <f>'R2'!D42</f>
        <v/>
      </c>
      <c r="E36" s="54" t="str">
        <f>'R2'!E42</f>
        <v/>
      </c>
      <c r="F36" s="54" t="str">
        <f>'R2'!F42</f>
        <v/>
      </c>
      <c r="G36" s="54" t="str">
        <f>'R2'!G42</f>
        <v/>
      </c>
      <c r="H36" s="54" t="str">
        <f>'R2'!H42</f>
        <v/>
      </c>
      <c r="I36" s="54" t="str">
        <f>'R2'!I42</f>
        <v/>
      </c>
      <c r="J36" s="54" t="str">
        <f>'R2'!J42</f>
        <v/>
      </c>
      <c r="K36" s="54" t="str">
        <f>'R2'!K42</f>
        <v/>
      </c>
      <c r="L36" s="54" t="str">
        <f>'R2'!L42</f>
        <v/>
      </c>
      <c r="M36" s="54" t="str">
        <f>'R2'!M42</f>
        <v/>
      </c>
      <c r="O36" s="54">
        <f>'R2'!O42</f>
        <v>0.53108529727079767</v>
      </c>
      <c r="P36" s="54" t="str">
        <f>'R2'!P42</f>
        <v/>
      </c>
      <c r="Q36" s="54" t="str">
        <f>'R2'!Q42</f>
        <v/>
      </c>
      <c r="R36" s="54" t="str">
        <f>'R2'!R42</f>
        <v/>
      </c>
      <c r="S36" s="54" t="str">
        <f>'R2'!S42</f>
        <v/>
      </c>
      <c r="T36" s="54" t="str">
        <f>'R2'!T42</f>
        <v/>
      </c>
      <c r="U36" s="54" t="str">
        <f>'R2'!U42</f>
        <v/>
      </c>
      <c r="V36" s="54" t="str">
        <f>'R2'!V42</f>
        <v/>
      </c>
    </row>
    <row r="37" spans="1:22" x14ac:dyDescent="0.25">
      <c r="A37" s="228"/>
      <c r="B37" s="54" t="str">
        <f>'R2'!B43</f>
        <v/>
      </c>
      <c r="C37" s="54" t="str">
        <f>'R2'!C43</f>
        <v/>
      </c>
      <c r="D37" s="54" t="str">
        <f>'R2'!D43</f>
        <v/>
      </c>
      <c r="E37" s="54" t="str">
        <f>'R2'!E43</f>
        <v/>
      </c>
      <c r="F37" s="54" t="str">
        <f>'R2'!F43</f>
        <v/>
      </c>
      <c r="G37" s="54" t="str">
        <f>'R2'!G43</f>
        <v/>
      </c>
      <c r="H37" s="54" t="str">
        <f>'R2'!H43</f>
        <v/>
      </c>
      <c r="I37" s="54" t="str">
        <f>'R2'!I43</f>
        <v/>
      </c>
      <c r="J37" s="54" t="str">
        <f>'R2'!J43</f>
        <v/>
      </c>
      <c r="K37" s="54" t="str">
        <f>'R2'!K43</f>
        <v/>
      </c>
      <c r="L37" s="54" t="str">
        <f>'R2'!L43</f>
        <v/>
      </c>
      <c r="M37" s="54" t="str">
        <f>'R2'!M43</f>
        <v/>
      </c>
      <c r="O37" s="54">
        <f>'R2'!O43</f>
        <v>0.98448710508055326</v>
      </c>
      <c r="P37" s="54" t="str">
        <f>'R2'!P43</f>
        <v/>
      </c>
      <c r="Q37" s="54" t="str">
        <f>'R2'!Q43</f>
        <v/>
      </c>
      <c r="R37" s="54" t="str">
        <f>'R2'!R43</f>
        <v/>
      </c>
      <c r="S37" s="54" t="str">
        <f>'R2'!S43</f>
        <v/>
      </c>
      <c r="T37" s="54" t="str">
        <f>'R2'!T43</f>
        <v/>
      </c>
      <c r="U37" s="54" t="str">
        <f>'R2'!U43</f>
        <v/>
      </c>
      <c r="V37" s="54" t="str">
        <f>'R2'!V43</f>
        <v/>
      </c>
    </row>
    <row r="38" spans="1:22" s="1" customFormat="1" x14ac:dyDescent="0.25">
      <c r="A38" s="154" t="s">
        <v>116</v>
      </c>
      <c r="B38" s="155">
        <f>'R3'!B28</f>
        <v>4.7336988058048896E-2</v>
      </c>
      <c r="C38" s="155">
        <f>'R3'!C28</f>
        <v>0.26504080398134333</v>
      </c>
      <c r="D38" s="155">
        <f>'R3'!D28</f>
        <v>5.0443805600497819E-2</v>
      </c>
      <c r="E38" s="155">
        <f>'R3'!E28</f>
        <v>8.7632216016629211E-2</v>
      </c>
      <c r="F38" s="155">
        <f>'R3'!F28</f>
        <v>0.65939133959963592</v>
      </c>
      <c r="G38" s="155">
        <f>'R3'!G28</f>
        <v>1.58948312421057</v>
      </c>
      <c r="H38" s="155">
        <f>'R3'!H28</f>
        <v>1.5412780547803664</v>
      </c>
      <c r="I38" s="155">
        <f>'R3'!I28</f>
        <v>0.27685220674921995</v>
      </c>
      <c r="J38" s="155">
        <f>'R3'!J28</f>
        <v>6.8625971407991287E-2</v>
      </c>
      <c r="K38" s="155">
        <f>'R3'!K28</f>
        <v>0.12739873875418067</v>
      </c>
      <c r="L38" s="155">
        <f>'R3'!L28</f>
        <v>0.15135721141208575</v>
      </c>
      <c r="M38" s="155">
        <f>'R3'!M28</f>
        <v>0.26779037459670035</v>
      </c>
      <c r="N38"/>
      <c r="O38" s="155">
        <f>'R3'!O28</f>
        <v>1.4634590864679549</v>
      </c>
      <c r="P38" s="155">
        <f>'R3'!P28</f>
        <v>1.9951526047043207</v>
      </c>
      <c r="Q38" s="155">
        <f>'R3'!Q28</f>
        <v>2.6711583710010076E-2</v>
      </c>
      <c r="R38" s="155">
        <f>'R3'!R28</f>
        <v>0.76189457010328443</v>
      </c>
      <c r="S38" s="155">
        <f>'R3'!S28</f>
        <v>2.4603316005722879</v>
      </c>
      <c r="T38" s="155">
        <f>'R3'!T28</f>
        <v>1.1719545293489588</v>
      </c>
      <c r="U38" s="155">
        <f>'R3'!U28</f>
        <v>2.0279229715395615</v>
      </c>
      <c r="V38" s="155">
        <f>'R3'!V28</f>
        <v>0.74834363274657634</v>
      </c>
    </row>
    <row r="39" spans="1:22" s="1" customFormat="1" x14ac:dyDescent="0.25">
      <c r="A39" s="226" t="s">
        <v>34</v>
      </c>
      <c r="B39" s="155">
        <f>'R3'!B29</f>
        <v>0.12991480913639838</v>
      </c>
      <c r="C39" s="155">
        <f>'R3'!C29</f>
        <v>5.0425766232305831E-2</v>
      </c>
      <c r="D39" s="155">
        <f>'R3'!D29</f>
        <v>9.7346837268582342E-2</v>
      </c>
      <c r="E39" s="155">
        <f>'R3'!E29</f>
        <v>0.17006791384838199</v>
      </c>
      <c r="F39" s="155">
        <f>'R3'!F29</f>
        <v>0.30328308440278451</v>
      </c>
      <c r="G39" s="155">
        <f>'R3'!G29</f>
        <v>0.31392749178164264</v>
      </c>
      <c r="H39" s="155">
        <f>'R3'!H29</f>
        <v>3.0803903738243372</v>
      </c>
      <c r="I39" s="155">
        <f>'R3'!I29</f>
        <v>5.2715754439332296E-2</v>
      </c>
      <c r="J39" s="155">
        <f>'R3'!J29</f>
        <v>0.13470299694967666</v>
      </c>
      <c r="K39" s="155">
        <f>'R3'!K29</f>
        <v>2.7371622275165684E-2</v>
      </c>
      <c r="L39" s="155">
        <f>'R3'!L29</f>
        <v>6.010751200017074E-2</v>
      </c>
      <c r="M39" s="155">
        <f>'R3'!M29</f>
        <v>0.13978622115861833</v>
      </c>
      <c r="N39"/>
      <c r="O39" s="155">
        <f>'R3'!O29</f>
        <v>0.21984822474308927</v>
      </c>
      <c r="P39" s="155">
        <f>'R3'!P29</f>
        <v>1.1043861369752512</v>
      </c>
      <c r="Q39" s="155">
        <f>'R3'!Q29</f>
        <v>0.21729919458067032</v>
      </c>
      <c r="R39" s="155">
        <f>'R3'!R29</f>
        <v>1.0210569003452037</v>
      </c>
      <c r="S39" s="155">
        <f>'R3'!S29</f>
        <v>3.6380516468691886E-2</v>
      </c>
      <c r="T39" s="155">
        <f>'R3'!T29</f>
        <v>1.2277190213088509</v>
      </c>
      <c r="U39" s="155">
        <f>'R3'!U29</f>
        <v>0.58613059930411127</v>
      </c>
      <c r="V39" s="155">
        <f>'R3'!V29</f>
        <v>1.6172704949152821</v>
      </c>
    </row>
    <row r="40" spans="1:22" s="1" customFormat="1" x14ac:dyDescent="0.25">
      <c r="A40" s="227"/>
      <c r="B40" s="155">
        <f>'R3'!B30</f>
        <v>0.27824545290565567</v>
      </c>
      <c r="C40" s="155">
        <f>'R3'!C30</f>
        <v>9.9370786942833439E-2</v>
      </c>
      <c r="D40" s="155">
        <f>'R3'!D30</f>
        <v>0.31952155043564734</v>
      </c>
      <c r="E40" s="155">
        <f>'R3'!E30</f>
        <v>0.19889077800575952</v>
      </c>
      <c r="F40" s="155">
        <f>'R3'!F30</f>
        <v>0.69687124597468275</v>
      </c>
      <c r="G40" s="155">
        <f>'R3'!G30</f>
        <v>1.0415474309123678</v>
      </c>
      <c r="H40" s="155">
        <f>'R3'!H30</f>
        <v>3.871155182500531</v>
      </c>
      <c r="I40" s="155">
        <f>'R3'!I30</f>
        <v>8.7562924611704826E-2</v>
      </c>
      <c r="J40" s="155">
        <f>'R3'!J30</f>
        <v>4.2782300477909957E-2</v>
      </c>
      <c r="K40" s="155">
        <f>'R3'!K30</f>
        <v>2.0238653781380591E-2</v>
      </c>
      <c r="L40" s="155">
        <f>'R3'!L30</f>
        <v>6.7510228055705251E-2</v>
      </c>
      <c r="M40" s="155">
        <f>'R3'!M30</f>
        <v>0.10279135461804216</v>
      </c>
      <c r="N40"/>
      <c r="O40" s="155">
        <f>'R3'!O30</f>
        <v>0.48465207235065838</v>
      </c>
      <c r="P40" s="155">
        <f>'R3'!P30</f>
        <v>1.7217464230564494</v>
      </c>
      <c r="Q40" s="155">
        <f>'R3'!Q30</f>
        <v>3.4606589065737277E-2</v>
      </c>
      <c r="R40" s="155">
        <f>'R3'!R30</f>
        <v>2.3672351419157462</v>
      </c>
      <c r="S40" s="155">
        <f>'R3'!S30</f>
        <v>1.6119682694046451</v>
      </c>
      <c r="T40" s="155">
        <f>'R3'!T30</f>
        <v>2.3770790734051133</v>
      </c>
      <c r="U40" s="155">
        <f>'R3'!U30</f>
        <v>0.24064112546775188</v>
      </c>
      <c r="V40" s="155">
        <f>'R3'!V30</f>
        <v>0.17188398930785995</v>
      </c>
    </row>
    <row r="41" spans="1:22" s="1" customFormat="1" x14ac:dyDescent="0.25">
      <c r="A41" s="227"/>
      <c r="B41" s="155">
        <f>'R3'!B31</f>
        <v>5.6829067571558742E-2</v>
      </c>
      <c r="C41" s="155">
        <f>'R3'!C31</f>
        <v>1.7729832864884904E-2</v>
      </c>
      <c r="D41" s="155">
        <f>'R3'!D31</f>
        <v>0.11330813768174762</v>
      </c>
      <c r="E41" s="155">
        <f>'R3'!E31</f>
        <v>0.10777258053019736</v>
      </c>
      <c r="F41" s="155">
        <f>'R3'!F31</f>
        <v>0.46787023357309659</v>
      </c>
      <c r="G41" s="155">
        <f>'R3'!G31</f>
        <v>1.3449289731751908</v>
      </c>
      <c r="H41" s="155">
        <f>'R3'!H31</f>
        <v>1.6678748003150208</v>
      </c>
      <c r="I41" s="155">
        <f>'R3'!I31</f>
        <v>1.6114382154458075E-2</v>
      </c>
      <c r="J41" s="155">
        <f>'R3'!J31</f>
        <v>4.6319533973575307E-2</v>
      </c>
      <c r="K41" s="155">
        <f>'R3'!K31</f>
        <v>4.9681768738555718E-2</v>
      </c>
      <c r="L41" s="155">
        <f>'R3'!L31</f>
        <v>4.2286302148743224E-2</v>
      </c>
      <c r="M41" s="155">
        <f>'R3'!M31</f>
        <v>0.35714374864951698</v>
      </c>
      <c r="N41"/>
      <c r="O41" s="155">
        <f>'R3'!O31</f>
        <v>0.58272823958932063</v>
      </c>
      <c r="P41" s="155">
        <f>'R3'!P31</f>
        <v>1.2329152866053883</v>
      </c>
      <c r="Q41" s="155">
        <f>'R3'!Q31</f>
        <v>0.21235067556037726</v>
      </c>
      <c r="R41" s="155">
        <f>'R3'!R31</f>
        <v>0.11410675905675199</v>
      </c>
      <c r="S41" s="155">
        <f>'R3'!S31</f>
        <v>0.5424948849777167</v>
      </c>
      <c r="T41" s="155">
        <f>'R3'!T31</f>
        <v>1.1541663635738457</v>
      </c>
      <c r="U41" s="155">
        <f>'R3'!U31</f>
        <v>0.76295552098209019</v>
      </c>
      <c r="V41" s="155">
        <f>'R3'!V31</f>
        <v>0.80433766302229459</v>
      </c>
    </row>
    <row r="42" spans="1:22" s="1" customFormat="1" x14ac:dyDescent="0.25">
      <c r="A42" s="227"/>
      <c r="B42" s="155">
        <f>'R3'!B32</f>
        <v>2.7477329600926238E-2</v>
      </c>
      <c r="C42" s="155">
        <f>'R3'!C32</f>
        <v>6.9869676259882198E-3</v>
      </c>
      <c r="D42" s="155">
        <f>'R3'!D32</f>
        <v>2.8888615125553976E-2</v>
      </c>
      <c r="E42" s="155">
        <f>'R3'!E32</f>
        <v>1.1505070693064886E-2</v>
      </c>
      <c r="F42" s="155">
        <f>'R3'!F32</f>
        <v>0.28390138490663658</v>
      </c>
      <c r="G42" s="155">
        <f>'R3'!G32</f>
        <v>0.91891850341882109</v>
      </c>
      <c r="H42" s="155">
        <f>'R3'!H32</f>
        <v>1.5501139733499207</v>
      </c>
      <c r="I42" s="155">
        <f>'R3'!I32</f>
        <v>0.19243993365874829</v>
      </c>
      <c r="J42" s="155">
        <f>'R3'!J32</f>
        <v>4.3114258571087846E-2</v>
      </c>
      <c r="K42" s="155">
        <f>'R3'!K32</f>
        <v>3.7485638510734033E-2</v>
      </c>
      <c r="L42" s="155">
        <f>'R3'!L32</f>
        <v>0.18178473637742015</v>
      </c>
      <c r="M42" s="155">
        <f>'R3'!M32</f>
        <v>5.0808470585537814E-2</v>
      </c>
      <c r="N42"/>
      <c r="O42" s="155">
        <f>'R3'!O32</f>
        <v>0.43532401010244659</v>
      </c>
      <c r="P42" s="155">
        <f>'R3'!P32</f>
        <v>1.7924656355436162</v>
      </c>
      <c r="Q42" s="155">
        <f>'R3'!Q32</f>
        <v>0.1071926232724361</v>
      </c>
      <c r="R42" s="155">
        <f>'R3'!R32</f>
        <v>1.4407079027411045</v>
      </c>
      <c r="S42" s="155">
        <f>'R3'!S32</f>
        <v>0.53247376305872574</v>
      </c>
      <c r="T42" s="155">
        <f>'R3'!T32</f>
        <v>1.0926221086229069</v>
      </c>
      <c r="U42" s="155">
        <f>'R3'!U32</f>
        <v>0.45539137418211628</v>
      </c>
      <c r="V42" s="155">
        <f>'R3'!V32</f>
        <v>1.3746671245280293</v>
      </c>
    </row>
    <row r="43" spans="1:22" s="1" customFormat="1" x14ac:dyDescent="0.25">
      <c r="A43" s="227"/>
      <c r="B43" s="155">
        <f>'R3'!B33</f>
        <v>4.9798265966786243E-2</v>
      </c>
      <c r="C43" s="155">
        <f>'R3'!C33</f>
        <v>0.10898880484923505</v>
      </c>
      <c r="D43" s="155">
        <f>'R3'!D33</f>
        <v>3.6236370115382041E-2</v>
      </c>
      <c r="E43" s="155">
        <f>'R3'!E33</f>
        <v>7.2290829218809319E-2</v>
      </c>
      <c r="F43" s="155">
        <f>'R3'!F33</f>
        <v>0.85301293617107277</v>
      </c>
      <c r="G43" s="155">
        <f>'R3'!G33</f>
        <v>1.802121923885341</v>
      </c>
      <c r="H43" s="155">
        <f>'R3'!H33</f>
        <v>2.3078587301040296</v>
      </c>
      <c r="I43" s="155">
        <f>'R3'!I33</f>
        <v>2.4246596772298672E-2</v>
      </c>
      <c r="J43" s="155">
        <f>'R3'!J33</f>
        <v>0.12715984356980636</v>
      </c>
      <c r="K43" s="155">
        <f>'R3'!K33</f>
        <v>1.7401752392907175E-2</v>
      </c>
      <c r="L43" s="155">
        <f>'R3'!L33</f>
        <v>0.3503064909202997</v>
      </c>
      <c r="M43" s="155">
        <f>'R3'!M33</f>
        <v>1.8681535981182072E-2</v>
      </c>
      <c r="N43"/>
      <c r="O43" s="155">
        <f>'R3'!O33</f>
        <v>0.1283870263835401</v>
      </c>
      <c r="P43" s="155">
        <f>'R3'!P33</f>
        <v>1.0918491132662689</v>
      </c>
      <c r="Q43" s="155">
        <f>'R3'!Q33</f>
        <v>0.25349189930949417</v>
      </c>
      <c r="R43" s="155">
        <f>'R3'!R33</f>
        <v>0.14742985550524032</v>
      </c>
      <c r="S43" s="155">
        <f>'R3'!S33</f>
        <v>0.97298333285135274</v>
      </c>
      <c r="T43" s="155">
        <f>'R3'!T33</f>
        <v>2.8997798823016576</v>
      </c>
      <c r="U43" s="155">
        <f>'R3'!U33</f>
        <v>0.11742338962457413</v>
      </c>
      <c r="V43" s="155">
        <f>'R3'!V33</f>
        <v>0.29796990039745141</v>
      </c>
    </row>
    <row r="44" spans="1:22" s="1" customFormat="1" x14ac:dyDescent="0.25">
      <c r="A44" s="227"/>
      <c r="B44" s="155">
        <f>'R3'!B34</f>
        <v>3.1134937946022255E-2</v>
      </c>
      <c r="C44" s="155">
        <f>'R3'!C34</f>
        <v>6.5650318617443013E-2</v>
      </c>
      <c r="D44" s="155">
        <f>'R3'!D34</f>
        <v>0.17371456369878194</v>
      </c>
      <c r="E44" s="155">
        <f>'R3'!E34</f>
        <v>0.28407267460834751</v>
      </c>
      <c r="F44" s="155">
        <f>'R3'!F34</f>
        <v>1.19704341288282</v>
      </c>
      <c r="G44" s="155">
        <f>'R3'!G34</f>
        <v>0.79354000530991742</v>
      </c>
      <c r="H44" s="155">
        <f>'R3'!H34</f>
        <v>2.0422159675794198</v>
      </c>
      <c r="I44" s="155">
        <f>'R3'!I34</f>
        <v>0.18462720130935464</v>
      </c>
      <c r="J44" s="155">
        <f>'R3'!J34</f>
        <v>6.7940306824469471E-2</v>
      </c>
      <c r="K44" s="155">
        <f>'R3'!K34</f>
        <v>1.0382077875056838E-2</v>
      </c>
      <c r="L44" s="155">
        <f>'R3'!L34</f>
        <v>6.374320335587462E-2</v>
      </c>
      <c r="M44" s="155">
        <f>'R3'!M34</f>
        <v>0.52559283994295025</v>
      </c>
      <c r="N44"/>
      <c r="O44" s="155">
        <f>'R3'!O34</f>
        <v>0.78396371397947395</v>
      </c>
      <c r="P44" s="155">
        <f>'R3'!P34</f>
        <v>1.4446716745687862</v>
      </c>
      <c r="Q44" s="155">
        <f>'R3'!Q34</f>
        <v>0.25082982805947962</v>
      </c>
      <c r="R44" s="155">
        <f>'R3'!R34</f>
        <v>1.0790408246655021E-2</v>
      </c>
      <c r="S44" s="155">
        <f>'R3'!S34</f>
        <v>0.28367698865370627</v>
      </c>
      <c r="T44" s="155">
        <f>'R3'!T34</f>
        <v>1.3682892806149165</v>
      </c>
      <c r="U44" s="155">
        <f>'R3'!U34</f>
        <v>0.73638993813987697</v>
      </c>
      <c r="V44" s="155">
        <f>'R3'!V34</f>
        <v>0.81140488054790316</v>
      </c>
    </row>
    <row r="45" spans="1:22" s="1" customFormat="1" x14ac:dyDescent="0.25">
      <c r="A45" s="227"/>
      <c r="B45" s="155">
        <f>'R3'!B35</f>
        <v>4.1713762948930082E-2</v>
      </c>
      <c r="C45" s="155">
        <f>'R3'!C35</f>
        <v>0.12377771492214693</v>
      </c>
      <c r="D45" s="155">
        <f>'R3'!D35</f>
        <v>3.4827023401354379E-2</v>
      </c>
      <c r="E45" s="155">
        <f>'R3'!E35</f>
        <v>0.52042194777644002</v>
      </c>
      <c r="F45" s="155">
        <f>'R3'!F35</f>
        <v>0.65571906373086974</v>
      </c>
      <c r="G45" s="155">
        <f>'R3'!G35</f>
        <v>1.2648672224790591</v>
      </c>
      <c r="H45" s="155">
        <f>'R3'!H35</f>
        <v>2.8294253347995308</v>
      </c>
      <c r="I45" s="155">
        <f>'R3'!I35</f>
        <v>0.13788281492602403</v>
      </c>
      <c r="J45" s="155">
        <f>'R3'!J35</f>
        <v>0.23295062248227597</v>
      </c>
      <c r="K45" s="155">
        <f>'R3'!K35</f>
        <v>0.14318858087340897</v>
      </c>
      <c r="L45" s="155">
        <f>'R3'!L35</f>
        <v>4.4415959148754874E-2</v>
      </c>
      <c r="M45" s="155">
        <f>'R3'!M35</f>
        <v>0.42883658124237306</v>
      </c>
      <c r="N45"/>
      <c r="O45" s="155">
        <f>'R3'!O35</f>
        <v>1.6184993636512768</v>
      </c>
      <c r="P45" s="155">
        <f>'R3'!P35</f>
        <v>2.6992881525169152</v>
      </c>
      <c r="Q45" s="155">
        <f>'R3'!Q35</f>
        <v>7.3399491697599434E-2</v>
      </c>
      <c r="R45" s="155">
        <f>'R3'!R35</f>
        <v>1.6721413637807663</v>
      </c>
      <c r="S45" s="155">
        <f>'R3'!S35</f>
        <v>0.69838115795157507</v>
      </c>
      <c r="T45" s="155">
        <f>'R3'!T35</f>
        <v>2.0993186603339282</v>
      </c>
      <c r="U45" s="155">
        <f>'R3'!U35</f>
        <v>2.4348455137537508</v>
      </c>
      <c r="V45" s="155">
        <f>'R3'!V35</f>
        <v>2.0729096996697556</v>
      </c>
    </row>
    <row r="46" spans="1:22" s="1" customFormat="1" x14ac:dyDescent="0.25">
      <c r="A46" s="227"/>
      <c r="B46" s="155" t="str">
        <f>'R3'!B36</f>
        <v/>
      </c>
      <c r="C46" s="155" t="str">
        <f>'R3'!C36</f>
        <v/>
      </c>
      <c r="D46" s="155" t="str">
        <f>'R3'!D36</f>
        <v/>
      </c>
      <c r="E46" s="155" t="str">
        <f>'R3'!E36</f>
        <v/>
      </c>
      <c r="F46" s="155" t="str">
        <f>'R3'!F36</f>
        <v/>
      </c>
      <c r="G46" s="155" t="str">
        <f>'R3'!G36</f>
        <v/>
      </c>
      <c r="H46" s="155" t="str">
        <f>'R3'!H36</f>
        <v/>
      </c>
      <c r="I46" s="155" t="str">
        <f>'R3'!I36</f>
        <v/>
      </c>
      <c r="J46" s="155" t="str">
        <f>'R3'!J36</f>
        <v/>
      </c>
      <c r="K46" s="155" t="str">
        <f>'R3'!K36</f>
        <v/>
      </c>
      <c r="L46" s="155" t="str">
        <f>'R3'!L36</f>
        <v/>
      </c>
      <c r="M46" s="155" t="str">
        <f>'R3'!M36</f>
        <v/>
      </c>
      <c r="N46"/>
      <c r="O46" s="155">
        <f>'R3'!O36</f>
        <v>1.0892575135667612E-2</v>
      </c>
      <c r="P46" s="155" t="str">
        <f>'R3'!P36</f>
        <v/>
      </c>
      <c r="Q46" s="155" t="str">
        <f>'R3'!Q36</f>
        <v/>
      </c>
      <c r="R46" s="155" t="str">
        <f>'R3'!R36</f>
        <v/>
      </c>
      <c r="S46" s="155" t="str">
        <f>'R3'!S36</f>
        <v/>
      </c>
      <c r="T46" s="155" t="str">
        <f>'R3'!T36</f>
        <v/>
      </c>
      <c r="U46" s="155" t="str">
        <f>'R3'!U36</f>
        <v/>
      </c>
      <c r="V46" s="155" t="str">
        <f>'R3'!V36</f>
        <v/>
      </c>
    </row>
    <row r="47" spans="1:22" s="1" customFormat="1" x14ac:dyDescent="0.25">
      <c r="A47" s="227"/>
      <c r="B47" s="155" t="str">
        <f>'R3'!B37</f>
        <v/>
      </c>
      <c r="C47" s="155" t="str">
        <f>'R3'!C37</f>
        <v/>
      </c>
      <c r="D47" s="155" t="str">
        <f>'R3'!D37</f>
        <v/>
      </c>
      <c r="E47" s="155" t="str">
        <f>'R3'!E37</f>
        <v/>
      </c>
      <c r="F47" s="155" t="str">
        <f>'R3'!F37</f>
        <v/>
      </c>
      <c r="G47" s="155" t="str">
        <f>'R3'!G37</f>
        <v/>
      </c>
      <c r="H47" s="155" t="str">
        <f>'R3'!H37</f>
        <v/>
      </c>
      <c r="I47" s="155" t="str">
        <f>'R3'!I37</f>
        <v/>
      </c>
      <c r="J47" s="155" t="str">
        <f>'R3'!J37</f>
        <v/>
      </c>
      <c r="K47" s="155" t="str">
        <f>'R3'!K37</f>
        <v/>
      </c>
      <c r="L47" s="155" t="str">
        <f>'R3'!L37</f>
        <v/>
      </c>
      <c r="M47" s="155" t="str">
        <f>'R3'!M37</f>
        <v/>
      </c>
      <c r="N47"/>
      <c r="O47" s="155">
        <f>'R3'!O37</f>
        <v>2.1928585165450958</v>
      </c>
      <c r="P47" s="155" t="str">
        <f>'R3'!P37</f>
        <v/>
      </c>
      <c r="Q47" s="155" t="str">
        <f>'R3'!Q37</f>
        <v/>
      </c>
      <c r="R47" s="155" t="str">
        <f>'R3'!R37</f>
        <v/>
      </c>
      <c r="S47" s="155" t="str">
        <f>'R3'!S37</f>
        <v/>
      </c>
      <c r="T47" s="155" t="str">
        <f>'R3'!T37</f>
        <v/>
      </c>
      <c r="U47" s="155" t="str">
        <f>'R3'!U37</f>
        <v/>
      </c>
      <c r="V47" s="155" t="str">
        <f>'R3'!V37</f>
        <v/>
      </c>
    </row>
    <row r="48" spans="1:22" s="1" customFormat="1" x14ac:dyDescent="0.25">
      <c r="A48" s="227"/>
      <c r="B48" s="155" t="str">
        <f>'R3'!B38</f>
        <v/>
      </c>
      <c r="C48" s="155" t="str">
        <f>'R3'!C38</f>
        <v/>
      </c>
      <c r="D48" s="155" t="str">
        <f>'R3'!D38</f>
        <v/>
      </c>
      <c r="E48" s="155" t="str">
        <f>'R3'!E38</f>
        <v/>
      </c>
      <c r="F48" s="155" t="str">
        <f>'R3'!F38</f>
        <v/>
      </c>
      <c r="G48" s="155" t="str">
        <f>'R3'!G38</f>
        <v/>
      </c>
      <c r="H48" s="155" t="str">
        <f>'R3'!H38</f>
        <v/>
      </c>
      <c r="I48" s="155" t="str">
        <f>'R3'!I38</f>
        <v/>
      </c>
      <c r="J48" s="155" t="str">
        <f>'R3'!J38</f>
        <v/>
      </c>
      <c r="K48" s="155" t="str">
        <f>'R3'!K38</f>
        <v/>
      </c>
      <c r="L48" s="155" t="str">
        <f>'R3'!L38</f>
        <v/>
      </c>
      <c r="M48" s="155" t="str">
        <f>'R3'!M38</f>
        <v/>
      </c>
      <c r="N48"/>
      <c r="O48" s="155">
        <f>'R3'!O38</f>
        <v>2.174618017827374</v>
      </c>
      <c r="P48" s="155" t="str">
        <f>'R3'!P38</f>
        <v/>
      </c>
      <c r="Q48" s="155" t="str">
        <f>'R3'!Q38</f>
        <v/>
      </c>
      <c r="R48" s="155" t="str">
        <f>'R3'!R38</f>
        <v/>
      </c>
      <c r="S48" s="155" t="str">
        <f>'R3'!S38</f>
        <v/>
      </c>
      <c r="T48" s="155" t="str">
        <f>'R3'!T38</f>
        <v/>
      </c>
      <c r="U48" s="155" t="str">
        <f>'R3'!U38</f>
        <v/>
      </c>
      <c r="V48" s="155" t="str">
        <f>'R3'!V38</f>
        <v/>
      </c>
    </row>
    <row r="49" spans="1:24" s="1" customFormat="1" x14ac:dyDescent="0.25">
      <c r="A49" s="227"/>
      <c r="B49" s="155" t="str">
        <f>'R3'!B39</f>
        <v/>
      </c>
      <c r="C49" s="155" t="str">
        <f>'R3'!C39</f>
        <v/>
      </c>
      <c r="D49" s="155" t="str">
        <f>'R3'!D39</f>
        <v/>
      </c>
      <c r="E49" s="155" t="str">
        <f>'R3'!E39</f>
        <v/>
      </c>
      <c r="F49" s="155" t="str">
        <f>'R3'!F39</f>
        <v/>
      </c>
      <c r="G49" s="155" t="str">
        <f>'R3'!G39</f>
        <v/>
      </c>
      <c r="H49" s="155" t="str">
        <f>'R3'!H39</f>
        <v/>
      </c>
      <c r="I49" s="155" t="str">
        <f>'R3'!I39</f>
        <v/>
      </c>
      <c r="J49" s="155" t="str">
        <f>'R3'!J39</f>
        <v/>
      </c>
      <c r="K49" s="155" t="str">
        <f>'R3'!K39</f>
        <v/>
      </c>
      <c r="L49" s="155" t="str">
        <f>'R3'!L39</f>
        <v/>
      </c>
      <c r="M49" s="155" t="str">
        <f>'R3'!M39</f>
        <v/>
      </c>
      <c r="N49"/>
      <c r="O49" s="155">
        <f>'R3'!O39</f>
        <v>0.68972394714167973</v>
      </c>
      <c r="P49" s="155" t="str">
        <f>'R3'!P39</f>
        <v/>
      </c>
      <c r="Q49" s="155" t="str">
        <f>'R3'!Q39</f>
        <v/>
      </c>
      <c r="R49" s="155" t="str">
        <f>'R3'!R39</f>
        <v/>
      </c>
      <c r="S49" s="155" t="str">
        <f>'R3'!S39</f>
        <v/>
      </c>
      <c r="T49" s="155" t="str">
        <f>'R3'!T39</f>
        <v/>
      </c>
      <c r="U49" s="155" t="str">
        <f>'R3'!U39</f>
        <v/>
      </c>
      <c r="V49" s="155" t="str">
        <f>'R3'!V39</f>
        <v/>
      </c>
    </row>
    <row r="50" spans="1:24" s="1" customFormat="1" x14ac:dyDescent="0.25">
      <c r="A50" s="227"/>
      <c r="B50" s="155" t="str">
        <f>'R3'!B40</f>
        <v/>
      </c>
      <c r="C50" s="155" t="str">
        <f>'R3'!C40</f>
        <v/>
      </c>
      <c r="D50" s="155" t="str">
        <f>'R3'!D40</f>
        <v/>
      </c>
      <c r="E50" s="155" t="str">
        <f>'R3'!E40</f>
        <v/>
      </c>
      <c r="F50" s="155" t="str">
        <f>'R3'!F40</f>
        <v/>
      </c>
      <c r="G50" s="155" t="str">
        <f>'R3'!G40</f>
        <v/>
      </c>
      <c r="H50" s="155" t="str">
        <f>'R3'!H40</f>
        <v/>
      </c>
      <c r="I50" s="155" t="str">
        <f>'R3'!I40</f>
        <v/>
      </c>
      <c r="J50" s="155" t="str">
        <f>'R3'!J40</f>
        <v/>
      </c>
      <c r="K50" s="155" t="str">
        <f>'R3'!K40</f>
        <v/>
      </c>
      <c r="L50" s="155" t="str">
        <f>'R3'!L40</f>
        <v/>
      </c>
      <c r="M50" s="155" t="str">
        <f>'R3'!M40</f>
        <v/>
      </c>
      <c r="N50"/>
      <c r="O50" s="155">
        <f>'R3'!O40</f>
        <v>2.2915145567454061</v>
      </c>
      <c r="P50" s="155" t="str">
        <f>'R3'!P40</f>
        <v/>
      </c>
      <c r="Q50" s="155" t="str">
        <f>'R3'!Q40</f>
        <v/>
      </c>
      <c r="R50" s="155" t="str">
        <f>'R3'!R40</f>
        <v/>
      </c>
      <c r="S50" s="155" t="str">
        <f>'R3'!S40</f>
        <v/>
      </c>
      <c r="T50" s="155" t="str">
        <f>'R3'!T40</f>
        <v/>
      </c>
      <c r="U50" s="155" t="str">
        <f>'R3'!U40</f>
        <v/>
      </c>
      <c r="V50" s="155" t="str">
        <f>'R3'!V40</f>
        <v/>
      </c>
    </row>
    <row r="51" spans="1:24" s="1" customFormat="1" x14ac:dyDescent="0.25">
      <c r="A51" s="227"/>
      <c r="B51" s="155" t="str">
        <f>'R3'!B41</f>
        <v/>
      </c>
      <c r="C51" s="155" t="str">
        <f>'R3'!C41</f>
        <v/>
      </c>
      <c r="D51" s="155" t="str">
        <f>'R3'!D41</f>
        <v/>
      </c>
      <c r="E51" s="155" t="str">
        <f>'R3'!E41</f>
        <v/>
      </c>
      <c r="F51" s="155" t="str">
        <f>'R3'!F41</f>
        <v/>
      </c>
      <c r="G51" s="155" t="str">
        <f>'R3'!G41</f>
        <v/>
      </c>
      <c r="H51" s="155" t="str">
        <f>'R3'!H41</f>
        <v/>
      </c>
      <c r="I51" s="155" t="str">
        <f>'R3'!I41</f>
        <v/>
      </c>
      <c r="J51" s="155" t="str">
        <f>'R3'!J41</f>
        <v/>
      </c>
      <c r="K51" s="155" t="str">
        <f>'R3'!K41</f>
        <v/>
      </c>
      <c r="L51" s="155" t="str">
        <f>'R3'!L41</f>
        <v/>
      </c>
      <c r="M51" s="155" t="str">
        <f>'R3'!M41</f>
        <v/>
      </c>
      <c r="N51"/>
      <c r="O51" s="155">
        <f>'R3'!O41</f>
        <v>0.44199014672217907</v>
      </c>
      <c r="P51" s="155" t="str">
        <f>'R3'!P41</f>
        <v/>
      </c>
      <c r="Q51" s="155" t="str">
        <f>'R3'!Q41</f>
        <v/>
      </c>
      <c r="R51" s="155" t="str">
        <f>'R3'!R41</f>
        <v/>
      </c>
      <c r="S51" s="155" t="str">
        <f>'R3'!S41</f>
        <v/>
      </c>
      <c r="T51" s="155" t="str">
        <f>'R3'!T41</f>
        <v/>
      </c>
      <c r="U51" s="155" t="str">
        <f>'R3'!U41</f>
        <v/>
      </c>
      <c r="V51" s="155" t="str">
        <f>'R3'!V41</f>
        <v/>
      </c>
    </row>
    <row r="52" spans="1:24" s="1" customFormat="1" x14ac:dyDescent="0.25">
      <c r="A52" s="227"/>
      <c r="B52" s="155" t="str">
        <f>'R3'!B42</f>
        <v/>
      </c>
      <c r="C52" s="155" t="str">
        <f>'R3'!C42</f>
        <v/>
      </c>
      <c r="D52" s="155" t="str">
        <f>'R3'!D42</f>
        <v/>
      </c>
      <c r="E52" s="155" t="str">
        <f>'R3'!E42</f>
        <v/>
      </c>
      <c r="F52" s="155" t="str">
        <f>'R3'!F42</f>
        <v/>
      </c>
      <c r="G52" s="155" t="str">
        <f>'R3'!G42</f>
        <v/>
      </c>
      <c r="H52" s="155" t="str">
        <f>'R3'!H42</f>
        <v/>
      </c>
      <c r="I52" s="155" t="str">
        <f>'R3'!I42</f>
        <v/>
      </c>
      <c r="J52" s="155" t="str">
        <f>'R3'!J42</f>
        <v/>
      </c>
      <c r="K52" s="155" t="str">
        <f>'R3'!K42</f>
        <v/>
      </c>
      <c r="L52" s="155" t="str">
        <f>'R3'!L42</f>
        <v/>
      </c>
      <c r="M52" s="155" t="str">
        <f>'R3'!M42</f>
        <v/>
      </c>
      <c r="N52"/>
      <c r="O52" s="155">
        <f>'R3'!O42</f>
        <v>0.60705845810576164</v>
      </c>
      <c r="P52" s="155" t="str">
        <f>'R3'!P42</f>
        <v/>
      </c>
      <c r="Q52" s="155" t="str">
        <f>'R3'!Q42</f>
        <v/>
      </c>
      <c r="R52" s="155" t="str">
        <f>'R3'!R42</f>
        <v/>
      </c>
      <c r="S52" s="155" t="str">
        <f>'R3'!S42</f>
        <v/>
      </c>
      <c r="T52" s="155" t="str">
        <f>'R3'!T42</f>
        <v/>
      </c>
      <c r="U52" s="155" t="str">
        <f>'R3'!U42</f>
        <v/>
      </c>
      <c r="V52" s="155" t="str">
        <f>'R3'!V42</f>
        <v/>
      </c>
    </row>
    <row r="53" spans="1:24" s="1" customFormat="1" x14ac:dyDescent="0.25">
      <c r="A53" s="228"/>
      <c r="B53" s="155" t="str">
        <f>'R3'!B43</f>
        <v/>
      </c>
      <c r="C53" s="155" t="str">
        <f>'R3'!C43</f>
        <v/>
      </c>
      <c r="D53" s="155" t="str">
        <f>'R3'!D43</f>
        <v/>
      </c>
      <c r="E53" s="155" t="str">
        <f>'R3'!E43</f>
        <v/>
      </c>
      <c r="F53" s="155" t="str">
        <f>'R3'!F43</f>
        <v/>
      </c>
      <c r="G53" s="155" t="str">
        <f>'R3'!G43</f>
        <v/>
      </c>
      <c r="H53" s="155" t="str">
        <f>'R3'!H43</f>
        <v/>
      </c>
      <c r="I53" s="155" t="str">
        <f>'R3'!I43</f>
        <v/>
      </c>
      <c r="J53" s="155" t="str">
        <f>'R3'!J43</f>
        <v/>
      </c>
      <c r="K53" s="155" t="str">
        <f>'R3'!K43</f>
        <v/>
      </c>
      <c r="L53" s="155" t="str">
        <f>'R3'!L43</f>
        <v/>
      </c>
      <c r="M53" s="155" t="str">
        <f>'R3'!M43</f>
        <v/>
      </c>
      <c r="N53"/>
      <c r="O53" s="155">
        <f>'R3'!O43</f>
        <v>1.8744820445090746</v>
      </c>
      <c r="P53" s="155" t="str">
        <f>'R3'!P43</f>
        <v/>
      </c>
      <c r="Q53" s="155" t="str">
        <f>'R3'!Q43</f>
        <v/>
      </c>
      <c r="R53" s="155" t="str">
        <f>'R3'!R43</f>
        <v/>
      </c>
      <c r="S53" s="155" t="str">
        <f>'R3'!S43</f>
        <v/>
      </c>
      <c r="T53" s="155" t="str">
        <f>'R3'!T43</f>
        <v/>
      </c>
      <c r="U53" s="155" t="str">
        <f>'R3'!U43</f>
        <v/>
      </c>
      <c r="V53" s="155" t="str">
        <f>'R3'!V43</f>
        <v/>
      </c>
    </row>
    <row r="54" spans="1:24" s="60" customFormat="1" x14ac:dyDescent="0.25">
      <c r="A54" s="58"/>
      <c r="B54" s="59"/>
      <c r="C54" s="59"/>
      <c r="D54" s="59"/>
      <c r="E54" s="59"/>
      <c r="F54" s="59"/>
      <c r="G54" s="59"/>
      <c r="H54" s="59"/>
      <c r="I54" s="59"/>
      <c r="J54" s="59"/>
      <c r="K54" s="59"/>
      <c r="L54" s="59"/>
      <c r="M54" s="59"/>
      <c r="N54"/>
      <c r="O54" s="59"/>
      <c r="P54" s="59"/>
      <c r="Q54" s="59"/>
      <c r="R54" s="59"/>
      <c r="S54" s="59"/>
      <c r="T54" s="59"/>
      <c r="U54" s="59"/>
      <c r="V54" s="59"/>
    </row>
    <row r="55" spans="1:24" s="41" customFormat="1" x14ac:dyDescent="0.25">
      <c r="A55" s="41" t="s">
        <v>47</v>
      </c>
      <c r="B55" s="15" t="str">
        <f t="shared" ref="B55:M55" si="0">B4</f>
        <v>Témoin solvant</v>
      </c>
      <c r="C55" s="15" t="str">
        <f t="shared" si="0"/>
        <v>EE2-33,8ng/L</v>
      </c>
      <c r="D55" s="15" t="str">
        <f t="shared" si="0"/>
        <v>EE2-50,6ng/L</v>
      </c>
      <c r="E55" s="15" t="str">
        <f t="shared" si="0"/>
        <v>EE2-76ng/L</v>
      </c>
      <c r="F55" s="15" t="str">
        <f t="shared" si="0"/>
        <v>EE2-114ng/L</v>
      </c>
      <c r="G55" s="15" t="str">
        <f t="shared" si="0"/>
        <v>EE2-170,9ng/L</v>
      </c>
      <c r="H55" s="15" t="str">
        <f t="shared" si="0"/>
        <v>EE2-488ng/L</v>
      </c>
      <c r="I55" s="15" t="str">
        <f t="shared" si="0"/>
        <v>Cromolyn-0,1µg/L</v>
      </c>
      <c r="J55" s="15" t="str">
        <f t="shared" si="0"/>
        <v>Cromolyn-1µg/L</v>
      </c>
      <c r="K55" s="15" t="str">
        <f t="shared" si="0"/>
        <v>Cromolyn-10µg/L</v>
      </c>
      <c r="L55" s="15" t="str">
        <f t="shared" si="0"/>
        <v>Cromolyn-100µg/L</v>
      </c>
      <c r="M55" s="15" t="str">
        <f t="shared" si="0"/>
        <v>Cromolyn-1000µg/L</v>
      </c>
      <c r="O55" s="15" t="str">
        <f t="shared" ref="O55:V55" si="1">O4</f>
        <v>Testo -30µg/L</v>
      </c>
      <c r="P55" s="15" t="str">
        <f t="shared" si="1"/>
        <v>Testo 30µg/L + EE2 -64ng/L</v>
      </c>
      <c r="Q55" s="15" t="str">
        <f t="shared" si="1"/>
        <v>Testo 30µg/L + FAD-10mg/L</v>
      </c>
      <c r="R55" s="15" t="str">
        <f t="shared" si="1"/>
        <v>Cromolyn-0,1µg/L + Testostérone</v>
      </c>
      <c r="S55" s="15" t="str">
        <f t="shared" si="1"/>
        <v>Cromolyn-1µg/L + Testostérone</v>
      </c>
      <c r="T55" s="15" t="str">
        <f t="shared" si="1"/>
        <v>Cromolyn-10µg/L + Testostérone</v>
      </c>
      <c r="U55" s="15" t="str">
        <f t="shared" si="1"/>
        <v>Cromolyn-100µg/L + Testostérone</v>
      </c>
      <c r="V55" s="15" t="str">
        <f t="shared" si="1"/>
        <v>Cromolyn-1000µg/L + Testostérone</v>
      </c>
    </row>
    <row r="56" spans="1:24" x14ac:dyDescent="0.25">
      <c r="A56" t="s">
        <v>48</v>
      </c>
      <c r="B56" s="9">
        <f t="shared" ref="B56:V56" si="2">AVERAGE(B6:B53)</f>
        <v>0.11474402963090824</v>
      </c>
      <c r="C56" s="9">
        <f t="shared" si="2"/>
        <v>0.10511147516770174</v>
      </c>
      <c r="D56" s="9">
        <f t="shared" si="2"/>
        <v>9.5595259127829971E-2</v>
      </c>
      <c r="E56" s="9">
        <f t="shared" si="2"/>
        <v>0.17487703514731948</v>
      </c>
      <c r="F56" s="9">
        <f t="shared" si="2"/>
        <v>0.60859371087186676</v>
      </c>
      <c r="G56" s="9">
        <f t="shared" si="2"/>
        <v>1.0028898885309967</v>
      </c>
      <c r="H56" s="9">
        <f t="shared" si="2"/>
        <v>1.9457670822088458</v>
      </c>
      <c r="I56" s="9">
        <f t="shared" si="2"/>
        <v>0.11081414689750113</v>
      </c>
      <c r="J56" s="9">
        <f t="shared" si="2"/>
        <v>8.5601748592480043E-2</v>
      </c>
      <c r="K56" s="9">
        <f t="shared" si="2"/>
        <v>7.3743311519700441E-2</v>
      </c>
      <c r="L56" s="9">
        <f t="shared" si="2"/>
        <v>0.12166486736821068</v>
      </c>
      <c r="M56" s="9">
        <f t="shared" si="2"/>
        <v>0.15422562604974674</v>
      </c>
      <c r="N56" s="9"/>
      <c r="O56" s="9">
        <f t="shared" si="2"/>
        <v>1</v>
      </c>
      <c r="P56" s="9">
        <f t="shared" si="2"/>
        <v>1.4036895431606196</v>
      </c>
      <c r="Q56" s="9">
        <f t="shared" si="2"/>
        <v>0.10888162819021581</v>
      </c>
      <c r="R56" s="9">
        <f t="shared" si="2"/>
        <v>0.81046544479508986</v>
      </c>
      <c r="S56" s="9">
        <f t="shared" si="2"/>
        <v>0.73219000223152897</v>
      </c>
      <c r="T56" s="9">
        <f t="shared" si="2"/>
        <v>0.88335290141760592</v>
      </c>
      <c r="U56" s="9">
        <f t="shared" si="2"/>
        <v>0.81009184213048868</v>
      </c>
      <c r="V56" s="9">
        <f t="shared" si="2"/>
        <v>0.82365737663353666</v>
      </c>
    </row>
    <row r="57" spans="1:24" x14ac:dyDescent="0.25">
      <c r="A57" t="s">
        <v>1</v>
      </c>
      <c r="B57" s="3">
        <f>STDEV(B6:B53)</f>
        <v>8.5100890736387699E-2</v>
      </c>
      <c r="C57" s="3">
        <f t="shared" ref="C57:V57" si="3">STDEV(C6:C53)</f>
        <v>9.6572584518100774E-2</v>
      </c>
      <c r="D57" s="3">
        <f t="shared" si="3"/>
        <v>9.3043539137507361E-2</v>
      </c>
      <c r="E57" s="3">
        <f t="shared" si="3"/>
        <v>0.16544085587729995</v>
      </c>
      <c r="F57" s="3">
        <f t="shared" si="3"/>
        <v>0.27673163068938633</v>
      </c>
      <c r="G57" s="3">
        <f t="shared" si="3"/>
        <v>0.39879463014938821</v>
      </c>
      <c r="H57" s="3">
        <f t="shared" si="3"/>
        <v>0.68416610934961153</v>
      </c>
      <c r="I57" s="3">
        <f t="shared" si="3"/>
        <v>6.9781456245404327E-2</v>
      </c>
      <c r="J57" s="3">
        <f t="shared" si="3"/>
        <v>5.5502462655688853E-2</v>
      </c>
      <c r="K57" s="3">
        <f t="shared" si="3"/>
        <v>5.344941001106697E-2</v>
      </c>
      <c r="L57" s="3">
        <f t="shared" si="3"/>
        <v>8.4426630140224598E-2</v>
      </c>
      <c r="M57" s="3">
        <f t="shared" si="3"/>
        <v>0.13512782260736753</v>
      </c>
      <c r="N57" s="3"/>
      <c r="O57" s="3">
        <f t="shared" si="3"/>
        <v>0.51474059032803288</v>
      </c>
      <c r="P57" s="3">
        <f t="shared" si="3"/>
        <v>0.52311722394460658</v>
      </c>
      <c r="Q57" s="3">
        <f t="shared" si="3"/>
        <v>8.4902820546783178E-2</v>
      </c>
      <c r="R57" s="3">
        <f t="shared" si="3"/>
        <v>0.62987596050943118</v>
      </c>
      <c r="S57" s="3">
        <f t="shared" si="3"/>
        <v>0.56464419834263979</v>
      </c>
      <c r="T57" s="3">
        <f t="shared" si="3"/>
        <v>0.73687637571701337</v>
      </c>
      <c r="U57" s="3">
        <f t="shared" si="3"/>
        <v>0.6328551767649977</v>
      </c>
      <c r="V57" s="3">
        <f t="shared" si="3"/>
        <v>0.56367727754282104</v>
      </c>
      <c r="W57" s="3"/>
      <c r="X57" s="3"/>
    </row>
    <row r="58" spans="1:24" x14ac:dyDescent="0.25">
      <c r="A58" t="s">
        <v>2</v>
      </c>
      <c r="B58" s="3">
        <f xml:space="preserve"> B57/SQRT(COUNT(B6:B53))</f>
        <v>1.7371146580041141E-2</v>
      </c>
      <c r="C58" s="3">
        <f t="shared" ref="C58:V58" si="4" xml:space="preserve"> C57/SQRT(COUNT(C6:C53))</f>
        <v>1.9712796267595784E-2</v>
      </c>
      <c r="D58" s="3">
        <f t="shared" si="4"/>
        <v>1.9400919045053852E-2</v>
      </c>
      <c r="E58" s="3">
        <f t="shared" si="4"/>
        <v>3.3770473292393029E-2</v>
      </c>
      <c r="F58" s="3">
        <f t="shared" si="4"/>
        <v>5.6487607573109534E-2</v>
      </c>
      <c r="G58" s="3">
        <f t="shared" si="4"/>
        <v>8.1403613002328137E-2</v>
      </c>
      <c r="H58" s="3">
        <f t="shared" si="4"/>
        <v>0.13965482226764564</v>
      </c>
      <c r="I58" s="3">
        <f t="shared" si="4"/>
        <v>1.4244080109132588E-2</v>
      </c>
      <c r="J58" s="3">
        <f t="shared" si="4"/>
        <v>1.1329392747859688E-2</v>
      </c>
      <c r="K58" s="3">
        <f t="shared" si="4"/>
        <v>1.0910315131660089E-2</v>
      </c>
      <c r="L58" s="3">
        <f t="shared" si="4"/>
        <v>1.7233513712185775E-2</v>
      </c>
      <c r="M58" s="3">
        <f t="shared" si="4"/>
        <v>2.7582851286780969E-2</v>
      </c>
      <c r="N58" s="3"/>
      <c r="O58" s="3">
        <f t="shared" si="4"/>
        <v>7.5082631831819749E-2</v>
      </c>
      <c r="P58" s="3">
        <f t="shared" si="4"/>
        <v>0.10678085619379372</v>
      </c>
      <c r="Q58" s="3">
        <f t="shared" si="4"/>
        <v>1.7330715671892191E-2</v>
      </c>
      <c r="R58" s="3">
        <f t="shared" si="4"/>
        <v>0.12857289204112948</v>
      </c>
      <c r="S58" s="3">
        <f t="shared" si="4"/>
        <v>0.11525751434686056</v>
      </c>
      <c r="T58" s="3">
        <f t="shared" si="4"/>
        <v>0.15041426033483898</v>
      </c>
      <c r="U58" s="3">
        <f t="shared" si="4"/>
        <v>0.12918102201275808</v>
      </c>
      <c r="V58" s="3">
        <f t="shared" si="4"/>
        <v>0.11506014246509058</v>
      </c>
      <c r="W58" s="3"/>
      <c r="X58" s="3"/>
    </row>
    <row r="59" spans="1:24" s="1" customFormat="1" ht="15.75" thickBot="1" x14ac:dyDescent="0.3">
      <c r="B59" s="3"/>
      <c r="C59" s="3"/>
      <c r="D59" s="3"/>
      <c r="E59" s="3"/>
      <c r="F59" s="3"/>
      <c r="G59" s="3"/>
      <c r="H59" s="3"/>
      <c r="I59" s="3"/>
      <c r="J59" s="3"/>
      <c r="K59" s="3"/>
      <c r="L59" s="3"/>
      <c r="M59" s="3"/>
      <c r="N59" s="3"/>
      <c r="O59" s="3"/>
      <c r="P59" s="3"/>
      <c r="Q59" s="3"/>
      <c r="R59" s="3"/>
      <c r="S59" s="3"/>
      <c r="T59" s="3"/>
      <c r="U59" s="3"/>
      <c r="V59" s="3"/>
    </row>
    <row r="60" spans="1:24" s="48" customFormat="1" ht="27" thickBot="1" x14ac:dyDescent="0.3">
      <c r="A60" s="229" t="s">
        <v>46</v>
      </c>
      <c r="B60" s="230"/>
      <c r="C60" s="230"/>
      <c r="D60" s="230"/>
      <c r="E60" s="230"/>
      <c r="F60" s="230"/>
      <c r="G60" s="230"/>
      <c r="H60" s="230"/>
      <c r="I60" s="230"/>
      <c r="J60" s="230"/>
      <c r="K60" s="230"/>
      <c r="L60" s="230"/>
      <c r="M60" s="230"/>
      <c r="N60" s="230"/>
      <c r="O60" s="230"/>
      <c r="P60" s="230"/>
      <c r="Q60" s="230"/>
      <c r="R60" s="230"/>
      <c r="S60" s="230"/>
      <c r="T60" s="230"/>
      <c r="U60" s="230"/>
      <c r="V60" s="230"/>
    </row>
    <row r="61" spans="1:24" s="1" customFormat="1" x14ac:dyDescent="0.25">
      <c r="B61" s="3"/>
      <c r="C61" s="3"/>
      <c r="D61" s="3"/>
      <c r="E61" s="3"/>
      <c r="F61" s="3"/>
      <c r="G61" s="3"/>
      <c r="H61" s="3"/>
      <c r="I61" s="3"/>
      <c r="J61" s="3"/>
      <c r="K61" s="3"/>
      <c r="L61" s="3"/>
      <c r="M61" s="3"/>
      <c r="N61" s="3"/>
      <c r="O61" s="3"/>
      <c r="P61" s="3"/>
      <c r="Q61" s="3"/>
      <c r="R61" s="3"/>
      <c r="S61" s="3"/>
      <c r="T61" s="3"/>
      <c r="U61" s="3"/>
      <c r="V61" s="3"/>
    </row>
    <row r="62" spans="1:24" s="1" customFormat="1" x14ac:dyDescent="0.25">
      <c r="A62" s="1" t="s">
        <v>47</v>
      </c>
      <c r="B62" s="3" t="str">
        <f t="shared" ref="B62" si="5">B4</f>
        <v>Témoin solvant</v>
      </c>
      <c r="C62" s="3" t="str">
        <f t="shared" ref="C62:V62" si="6">C4</f>
        <v>EE2-33,8ng/L</v>
      </c>
      <c r="D62" s="3" t="str">
        <f t="shared" si="6"/>
        <v>EE2-50,6ng/L</v>
      </c>
      <c r="E62" s="3" t="str">
        <f t="shared" si="6"/>
        <v>EE2-76ng/L</v>
      </c>
      <c r="F62" s="3" t="str">
        <f t="shared" si="6"/>
        <v>EE2-114ng/L</v>
      </c>
      <c r="G62" s="3" t="str">
        <f t="shared" si="6"/>
        <v>EE2-170,9ng/L</v>
      </c>
      <c r="H62" s="3" t="str">
        <f t="shared" si="6"/>
        <v>EE2-488ng/L</v>
      </c>
      <c r="I62" s="3" t="str">
        <f t="shared" si="6"/>
        <v>Cromolyn-0,1µg/L</v>
      </c>
      <c r="J62" s="3" t="str">
        <f t="shared" si="6"/>
        <v>Cromolyn-1µg/L</v>
      </c>
      <c r="K62" s="3" t="str">
        <f t="shared" si="6"/>
        <v>Cromolyn-10µg/L</v>
      </c>
      <c r="L62" s="3" t="str">
        <f t="shared" si="6"/>
        <v>Cromolyn-100µg/L</v>
      </c>
      <c r="M62" s="3" t="str">
        <f t="shared" si="6"/>
        <v>Cromolyn-1000µg/L</v>
      </c>
      <c r="N62" s="3"/>
      <c r="O62" s="3" t="str">
        <f t="shared" si="6"/>
        <v>Testo -30µg/L</v>
      </c>
      <c r="P62" s="3" t="str">
        <f t="shared" si="6"/>
        <v>Testo 30µg/L + EE2 -64ng/L</v>
      </c>
      <c r="Q62" s="3" t="str">
        <f t="shared" si="6"/>
        <v>Testo 30µg/L + FAD-10mg/L</v>
      </c>
      <c r="R62" s="3" t="str">
        <f t="shared" si="6"/>
        <v>Cromolyn-0,1µg/L + Testostérone</v>
      </c>
      <c r="S62" s="3" t="str">
        <f t="shared" si="6"/>
        <v>Cromolyn-1µg/L + Testostérone</v>
      </c>
      <c r="T62" s="3" t="str">
        <f t="shared" si="6"/>
        <v>Cromolyn-10µg/L + Testostérone</v>
      </c>
      <c r="U62" s="3" t="str">
        <f t="shared" si="6"/>
        <v>Cromolyn-100µg/L + Testostérone</v>
      </c>
      <c r="V62" s="3" t="str">
        <f t="shared" si="6"/>
        <v>Cromolyn-1000µg/L + Testostérone</v>
      </c>
    </row>
    <row r="63" spans="1:24" s="1" customFormat="1" x14ac:dyDescent="0.25">
      <c r="A63" s="1" t="s">
        <v>49</v>
      </c>
      <c r="B63" s="3">
        <f>COUNT(B6:B53)</f>
        <v>24</v>
      </c>
      <c r="C63" s="3">
        <f t="shared" ref="C63:V63" si="7">COUNT(C6:C53)</f>
        <v>24</v>
      </c>
      <c r="D63" s="3">
        <f t="shared" si="7"/>
        <v>23</v>
      </c>
      <c r="E63" s="3">
        <f t="shared" si="7"/>
        <v>24</v>
      </c>
      <c r="F63" s="3">
        <f t="shared" si="7"/>
        <v>24</v>
      </c>
      <c r="G63" s="3">
        <f t="shared" si="7"/>
        <v>24</v>
      </c>
      <c r="H63" s="3">
        <f t="shared" si="7"/>
        <v>24</v>
      </c>
      <c r="I63" s="3">
        <f t="shared" si="7"/>
        <v>24</v>
      </c>
      <c r="J63" s="3">
        <f t="shared" si="7"/>
        <v>24</v>
      </c>
      <c r="K63" s="3">
        <f t="shared" si="7"/>
        <v>24</v>
      </c>
      <c r="L63" s="3">
        <f t="shared" si="7"/>
        <v>24</v>
      </c>
      <c r="M63" s="3">
        <f t="shared" si="7"/>
        <v>24</v>
      </c>
      <c r="N63" s="3"/>
      <c r="O63" s="3">
        <f t="shared" si="7"/>
        <v>47</v>
      </c>
      <c r="P63" s="3">
        <f t="shared" si="7"/>
        <v>24</v>
      </c>
      <c r="Q63" s="3">
        <f t="shared" si="7"/>
        <v>24</v>
      </c>
      <c r="R63" s="3">
        <f t="shared" si="7"/>
        <v>24</v>
      </c>
      <c r="S63" s="3">
        <f t="shared" si="7"/>
        <v>24</v>
      </c>
      <c r="T63" s="3">
        <f t="shared" si="7"/>
        <v>24</v>
      </c>
      <c r="U63" s="3">
        <f t="shared" si="7"/>
        <v>24</v>
      </c>
      <c r="V63" s="3">
        <f t="shared" si="7"/>
        <v>24</v>
      </c>
    </row>
    <row r="64" spans="1:24" s="1" customFormat="1" ht="15.75" thickBot="1" x14ac:dyDescent="0.3">
      <c r="B64" s="3" t="str">
        <f>IF(B63&gt;=21,"OK","ATTENTION")</f>
        <v>OK</v>
      </c>
      <c r="C64" s="3" t="str">
        <f t="shared" ref="C64:V64" si="8">IF(C63&gt;=21,"OK","ATTENTION")</f>
        <v>OK</v>
      </c>
      <c r="D64" s="3" t="str">
        <f t="shared" si="8"/>
        <v>OK</v>
      </c>
      <c r="E64" s="3" t="str">
        <f t="shared" si="8"/>
        <v>OK</v>
      </c>
      <c r="F64" s="3" t="str">
        <f t="shared" si="8"/>
        <v>OK</v>
      </c>
      <c r="G64" s="3" t="str">
        <f t="shared" si="8"/>
        <v>OK</v>
      </c>
      <c r="H64" s="3" t="str">
        <f t="shared" si="8"/>
        <v>OK</v>
      </c>
      <c r="I64" s="3" t="str">
        <f t="shared" si="8"/>
        <v>OK</v>
      </c>
      <c r="J64" s="3" t="str">
        <f t="shared" si="8"/>
        <v>OK</v>
      </c>
      <c r="K64" s="3" t="str">
        <f t="shared" si="8"/>
        <v>OK</v>
      </c>
      <c r="L64" s="3" t="str">
        <f t="shared" si="8"/>
        <v>OK</v>
      </c>
      <c r="M64" s="3" t="str">
        <f t="shared" si="8"/>
        <v>OK</v>
      </c>
      <c r="N64" s="3"/>
      <c r="O64" s="3" t="str">
        <f>IF(O63&gt;=41,"OK","ATTENTION")</f>
        <v>OK</v>
      </c>
      <c r="P64" s="3" t="str">
        <f t="shared" si="8"/>
        <v>OK</v>
      </c>
      <c r="Q64" s="3" t="str">
        <f t="shared" si="8"/>
        <v>OK</v>
      </c>
      <c r="R64" s="3" t="str">
        <f t="shared" si="8"/>
        <v>OK</v>
      </c>
      <c r="S64" s="3" t="str">
        <f t="shared" si="8"/>
        <v>OK</v>
      </c>
      <c r="T64" s="3" t="str">
        <f t="shared" si="8"/>
        <v>OK</v>
      </c>
      <c r="U64" s="3" t="str">
        <f t="shared" si="8"/>
        <v>OK</v>
      </c>
      <c r="V64" s="3" t="str">
        <f t="shared" si="8"/>
        <v>OK</v>
      </c>
    </row>
    <row r="65" spans="1:22" s="48" customFormat="1" ht="27" thickBot="1" x14ac:dyDescent="0.3">
      <c r="A65" s="229" t="s">
        <v>58</v>
      </c>
      <c r="B65" s="230"/>
      <c r="C65" s="230"/>
      <c r="D65" s="230"/>
      <c r="E65" s="230"/>
      <c r="F65" s="230"/>
      <c r="G65" s="230"/>
      <c r="H65" s="230"/>
      <c r="I65" s="230"/>
      <c r="J65" s="230"/>
      <c r="K65" s="230"/>
      <c r="L65" s="230"/>
      <c r="M65" s="230"/>
      <c r="N65" s="230"/>
      <c r="O65" s="230"/>
      <c r="P65" s="230"/>
      <c r="Q65" s="230"/>
      <c r="R65" s="230"/>
      <c r="S65" s="230"/>
      <c r="T65" s="230"/>
      <c r="U65" s="230"/>
      <c r="V65" s="230"/>
    </row>
    <row r="66" spans="1:22" s="1" customFormat="1" x14ac:dyDescent="0.25">
      <c r="B66" s="1" t="s">
        <v>61</v>
      </c>
      <c r="C66" s="3"/>
      <c r="D66" s="3"/>
      <c r="E66" s="3"/>
      <c r="F66" s="3"/>
      <c r="G66" s="3"/>
      <c r="H66" s="3"/>
      <c r="I66" s="3"/>
      <c r="J66" s="3"/>
      <c r="K66" s="3"/>
      <c r="L66" s="3"/>
      <c r="M66" s="3"/>
      <c r="N66" s="3"/>
      <c r="O66" s="3"/>
      <c r="P66" s="3"/>
      <c r="Q66" s="3"/>
      <c r="R66" s="3"/>
      <c r="S66" s="3"/>
      <c r="T66" s="3"/>
      <c r="U66" s="3"/>
      <c r="V66" s="3"/>
    </row>
    <row r="67" spans="1:22" s="1" customFormat="1" x14ac:dyDescent="0.25">
      <c r="A67" s="1" t="s">
        <v>59</v>
      </c>
      <c r="B67" s="3">
        <v>3.5</v>
      </c>
      <c r="C67" s="3"/>
      <c r="D67" s="3"/>
      <c r="E67" s="3"/>
      <c r="F67" s="3"/>
      <c r="G67" s="3"/>
      <c r="H67" s="3"/>
      <c r="I67" s="3"/>
      <c r="J67" s="3"/>
      <c r="K67" s="3"/>
      <c r="L67" s="3"/>
      <c r="M67" s="3"/>
      <c r="N67" s="3"/>
      <c r="O67" s="3"/>
      <c r="P67" s="3"/>
      <c r="Q67" s="3"/>
      <c r="R67" s="3"/>
      <c r="S67" s="3"/>
      <c r="T67" s="3"/>
      <c r="U67" s="3"/>
      <c r="V67" s="3"/>
    </row>
    <row r="68" spans="1:22" s="1" customFormat="1" x14ac:dyDescent="0.25">
      <c r="A68" s="1" t="s">
        <v>62</v>
      </c>
      <c r="B68" s="3">
        <v>2</v>
      </c>
      <c r="C68" s="3"/>
      <c r="D68" s="3"/>
      <c r="E68" s="3"/>
      <c r="F68" s="3"/>
      <c r="G68" s="3"/>
      <c r="H68" s="3"/>
      <c r="I68" s="3"/>
      <c r="J68" s="3"/>
      <c r="K68" s="3"/>
      <c r="L68" s="3"/>
      <c r="M68" s="3"/>
      <c r="N68" s="3"/>
      <c r="O68" s="3"/>
      <c r="P68" s="3"/>
      <c r="Q68" s="3"/>
      <c r="R68" s="3"/>
      <c r="S68" s="3"/>
      <c r="T68" s="3"/>
      <c r="U68" s="3"/>
      <c r="V68" s="3"/>
    </row>
    <row r="69" spans="1:22" s="1" customFormat="1" ht="15.75" thickBot="1" x14ac:dyDescent="0.3">
      <c r="A69" s="1" t="s">
        <v>63</v>
      </c>
      <c r="B69" s="3">
        <v>0.5</v>
      </c>
      <c r="C69" s="3"/>
      <c r="D69" s="3"/>
      <c r="E69" s="3"/>
      <c r="F69" s="3"/>
      <c r="G69" s="3"/>
      <c r="H69" s="3"/>
      <c r="I69" s="3"/>
      <c r="J69" s="3"/>
      <c r="K69" s="3"/>
      <c r="L69" s="3"/>
      <c r="M69" s="3"/>
      <c r="N69" s="3"/>
      <c r="O69" s="3"/>
      <c r="P69" s="3"/>
      <c r="Q69" s="3"/>
      <c r="R69" s="3"/>
      <c r="S69" s="3"/>
      <c r="T69" s="3"/>
      <c r="U69" s="3"/>
      <c r="V69" s="3"/>
    </row>
    <row r="70" spans="1:22" s="48" customFormat="1" ht="27" thickBot="1" x14ac:dyDescent="0.3">
      <c r="A70" s="229" t="s">
        <v>53</v>
      </c>
      <c r="B70" s="230"/>
      <c r="C70" s="230"/>
      <c r="D70" s="230"/>
      <c r="E70" s="230"/>
      <c r="F70" s="230"/>
      <c r="G70" s="230"/>
      <c r="H70" s="230"/>
      <c r="I70" s="230"/>
      <c r="J70" s="230"/>
      <c r="K70" s="230"/>
      <c r="L70" s="230"/>
      <c r="M70" s="230"/>
      <c r="N70" s="230"/>
      <c r="O70" s="230"/>
      <c r="P70" s="230"/>
      <c r="Q70" s="230"/>
      <c r="R70" s="230"/>
      <c r="S70" s="230"/>
      <c r="T70" s="230"/>
      <c r="U70" s="230"/>
      <c r="V70" s="230"/>
    </row>
    <row r="71" spans="1:22" ht="15.75" thickBot="1" x14ac:dyDescent="0.3"/>
    <row r="72" spans="1:22" s="48" customFormat="1" ht="27" thickBot="1" x14ac:dyDescent="0.3">
      <c r="A72" s="229" t="s">
        <v>54</v>
      </c>
      <c r="B72" s="230"/>
      <c r="C72" s="230"/>
      <c r="D72" s="230"/>
      <c r="E72" s="230"/>
      <c r="F72" s="230"/>
      <c r="G72" s="230"/>
      <c r="H72" s="230"/>
      <c r="I72" s="230"/>
      <c r="J72" s="230"/>
      <c r="K72" s="230"/>
      <c r="L72" s="230"/>
      <c r="M72" s="230"/>
      <c r="N72" s="230"/>
      <c r="O72" s="230"/>
      <c r="P72" s="230"/>
      <c r="Q72" s="230"/>
      <c r="R72" s="230"/>
      <c r="S72" s="230"/>
      <c r="T72" s="230"/>
      <c r="U72" s="230"/>
      <c r="V72" s="230"/>
    </row>
    <row r="73" spans="1:22" ht="15.75" thickBot="1" x14ac:dyDescent="0.3">
      <c r="J73" s="3">
        <v>1</v>
      </c>
      <c r="K73" s="3">
        <v>2</v>
      </c>
      <c r="L73" s="3">
        <v>3</v>
      </c>
      <c r="M73" s="3">
        <v>4</v>
      </c>
      <c r="R73" s="3">
        <v>1</v>
      </c>
      <c r="S73" s="3">
        <v>2</v>
      </c>
      <c r="T73" s="3">
        <v>3</v>
      </c>
      <c r="U73" s="3">
        <v>4</v>
      </c>
      <c r="V73" s="3">
        <v>5</v>
      </c>
    </row>
    <row r="74" spans="1:22" s="1" customFormat="1" x14ac:dyDescent="0.25">
      <c r="A74" s="45" t="s">
        <v>41</v>
      </c>
      <c r="B74" s="46" t="str">
        <f t="shared" ref="B74:M74" si="9">B4</f>
        <v>Témoin solvant</v>
      </c>
      <c r="C74" s="46" t="str">
        <f t="shared" si="9"/>
        <v>EE2-33,8ng/L</v>
      </c>
      <c r="D74" s="46" t="str">
        <f t="shared" si="9"/>
        <v>EE2-50,6ng/L</v>
      </c>
      <c r="E74" s="46" t="str">
        <f t="shared" si="9"/>
        <v>EE2-76ng/L</v>
      </c>
      <c r="F74" s="46" t="str">
        <f t="shared" si="9"/>
        <v>EE2-114ng/L</v>
      </c>
      <c r="G74" s="46" t="str">
        <f t="shared" si="9"/>
        <v>EE2-170,9ng/L</v>
      </c>
      <c r="H74" s="46" t="str">
        <f t="shared" si="9"/>
        <v>EE2-488ng/L</v>
      </c>
      <c r="I74" s="46" t="str">
        <f t="shared" si="9"/>
        <v>Cromolyn-0,1µg/L</v>
      </c>
      <c r="J74" s="46" t="str">
        <f t="shared" si="9"/>
        <v>Cromolyn-1µg/L</v>
      </c>
      <c r="K74" s="46" t="str">
        <f t="shared" si="9"/>
        <v>Cromolyn-10µg/L</v>
      </c>
      <c r="L74" s="46" t="str">
        <f t="shared" si="9"/>
        <v>Cromolyn-100µg/L</v>
      </c>
      <c r="M74" s="46" t="str">
        <f t="shared" si="9"/>
        <v>Cromolyn-1000µg/L</v>
      </c>
      <c r="N74" s="46"/>
      <c r="O74" s="46" t="str">
        <f t="shared" ref="O74:V74" si="10">O4</f>
        <v>Testo -30µg/L</v>
      </c>
      <c r="P74" s="46" t="str">
        <f t="shared" si="10"/>
        <v>Testo 30µg/L + EE2 -64ng/L</v>
      </c>
      <c r="Q74" s="46" t="str">
        <f t="shared" si="10"/>
        <v>Testo 30µg/L + FAD-10mg/L</v>
      </c>
      <c r="R74" s="46" t="str">
        <f t="shared" si="10"/>
        <v>Cromolyn-0,1µg/L + Testostérone</v>
      </c>
      <c r="S74" s="46" t="str">
        <f t="shared" si="10"/>
        <v>Cromolyn-1µg/L + Testostérone</v>
      </c>
      <c r="T74" s="46" t="str">
        <f t="shared" si="10"/>
        <v>Cromolyn-10µg/L + Testostérone</v>
      </c>
      <c r="U74" s="46" t="str">
        <f t="shared" si="10"/>
        <v>Cromolyn-100µg/L + Testostérone</v>
      </c>
      <c r="V74" s="46" t="str">
        <f t="shared" si="10"/>
        <v>Cromolyn-1000µg/L + Testostérone</v>
      </c>
    </row>
    <row r="75" spans="1:22" s="3" customFormat="1" x14ac:dyDescent="0.25">
      <c r="A75" s="61" t="s">
        <v>32</v>
      </c>
      <c r="B75" s="142">
        <f>B56</f>
        <v>0.11474402963090824</v>
      </c>
      <c r="C75" s="142">
        <f t="shared" ref="C75:V75" si="11">C56</f>
        <v>0.10511147516770174</v>
      </c>
      <c r="D75" s="142">
        <f t="shared" si="11"/>
        <v>9.5595259127829971E-2</v>
      </c>
      <c r="E75" s="142">
        <f t="shared" si="11"/>
        <v>0.17487703514731948</v>
      </c>
      <c r="F75" s="142">
        <f t="shared" si="11"/>
        <v>0.60859371087186676</v>
      </c>
      <c r="G75" s="142">
        <f t="shared" si="11"/>
        <v>1.0028898885309967</v>
      </c>
      <c r="H75" s="142">
        <f t="shared" si="11"/>
        <v>1.9457670822088458</v>
      </c>
      <c r="I75" s="142">
        <f t="shared" si="11"/>
        <v>0.11081414689750113</v>
      </c>
      <c r="J75" s="142">
        <f t="shared" si="11"/>
        <v>8.5601748592480043E-2</v>
      </c>
      <c r="K75" s="142">
        <f t="shared" si="11"/>
        <v>7.3743311519700441E-2</v>
      </c>
      <c r="L75" s="142">
        <f t="shared" si="11"/>
        <v>0.12166486736821068</v>
      </c>
      <c r="M75" s="142">
        <f t="shared" si="11"/>
        <v>0.15422562604974674</v>
      </c>
      <c r="N75" s="142"/>
      <c r="O75" s="142">
        <f t="shared" si="11"/>
        <v>1</v>
      </c>
      <c r="P75" s="142">
        <f t="shared" si="11"/>
        <v>1.4036895431606196</v>
      </c>
      <c r="Q75" s="142">
        <f t="shared" si="11"/>
        <v>0.10888162819021581</v>
      </c>
      <c r="R75" s="142">
        <f t="shared" si="11"/>
        <v>0.81046544479508986</v>
      </c>
      <c r="S75" s="142">
        <f t="shared" si="11"/>
        <v>0.73219000223152897</v>
      </c>
      <c r="T75" s="142">
        <f t="shared" si="11"/>
        <v>0.88335290141760592</v>
      </c>
      <c r="U75" s="142">
        <f t="shared" si="11"/>
        <v>0.81009184213048868</v>
      </c>
      <c r="V75" s="142">
        <f t="shared" si="11"/>
        <v>0.82365737663353666</v>
      </c>
    </row>
    <row r="76" spans="1:22" s="3" customFormat="1" x14ac:dyDescent="0.25">
      <c r="A76" s="61" t="s">
        <v>2</v>
      </c>
      <c r="B76" s="142">
        <f>B58</f>
        <v>1.7371146580041141E-2</v>
      </c>
      <c r="C76" s="142">
        <f t="shared" ref="C76:V76" si="12">C58</f>
        <v>1.9712796267595784E-2</v>
      </c>
      <c r="D76" s="142">
        <f t="shared" si="12"/>
        <v>1.9400919045053852E-2</v>
      </c>
      <c r="E76" s="142">
        <f t="shared" si="12"/>
        <v>3.3770473292393029E-2</v>
      </c>
      <c r="F76" s="142">
        <f t="shared" si="12"/>
        <v>5.6487607573109534E-2</v>
      </c>
      <c r="G76" s="142">
        <f t="shared" si="12"/>
        <v>8.1403613002328137E-2</v>
      </c>
      <c r="H76" s="142">
        <f t="shared" si="12"/>
        <v>0.13965482226764564</v>
      </c>
      <c r="I76" s="142">
        <f t="shared" si="12"/>
        <v>1.4244080109132588E-2</v>
      </c>
      <c r="J76" s="142">
        <f t="shared" si="12"/>
        <v>1.1329392747859688E-2</v>
      </c>
      <c r="K76" s="142">
        <f t="shared" si="12"/>
        <v>1.0910315131660089E-2</v>
      </c>
      <c r="L76" s="142">
        <f t="shared" si="12"/>
        <v>1.7233513712185775E-2</v>
      </c>
      <c r="M76" s="142">
        <f t="shared" si="12"/>
        <v>2.7582851286780969E-2</v>
      </c>
      <c r="N76" s="142"/>
      <c r="O76" s="142">
        <f t="shared" si="12"/>
        <v>7.5082631831819749E-2</v>
      </c>
      <c r="P76" s="142">
        <f t="shared" si="12"/>
        <v>0.10678085619379372</v>
      </c>
      <c r="Q76" s="142">
        <f t="shared" si="12"/>
        <v>1.7330715671892191E-2</v>
      </c>
      <c r="R76" s="142">
        <f t="shared" si="12"/>
        <v>0.12857289204112948</v>
      </c>
      <c r="S76" s="142">
        <f t="shared" si="12"/>
        <v>0.11525751434686056</v>
      </c>
      <c r="T76" s="142">
        <f t="shared" si="12"/>
        <v>0.15041426033483898</v>
      </c>
      <c r="U76" s="142">
        <f t="shared" si="12"/>
        <v>0.12918102201275808</v>
      </c>
      <c r="V76" s="142">
        <f t="shared" si="12"/>
        <v>0.11506014246509058</v>
      </c>
    </row>
    <row r="77" spans="1:22" s="3" customFormat="1" x14ac:dyDescent="0.25">
      <c r="A77" s="61" t="s">
        <v>79</v>
      </c>
      <c r="B77" s="142">
        <f>(B75*100/$B$75)-100</f>
        <v>0</v>
      </c>
      <c r="C77" s="142">
        <f t="shared" ref="C77:M77" si="13">(C75*100/$B$75)-100</f>
        <v>-8.394819751573209</v>
      </c>
      <c r="D77" s="142">
        <f t="shared" si="13"/>
        <v>-16.688249980999643</v>
      </c>
      <c r="E77" s="142">
        <f t="shared" si="13"/>
        <v>52.406217308071064</v>
      </c>
      <c r="F77" s="142">
        <f t="shared" si="13"/>
        <v>430.3924856304086</v>
      </c>
      <c r="G77" s="142">
        <f t="shared" si="13"/>
        <v>774.0235912552015</v>
      </c>
      <c r="H77" s="142">
        <f t="shared" si="13"/>
        <v>1595.745816551592</v>
      </c>
      <c r="I77" s="142">
        <f t="shared" si="13"/>
        <v>-3.4249126042097089</v>
      </c>
      <c r="J77" s="142">
        <f t="shared" si="13"/>
        <v>-25.3976447682453</v>
      </c>
      <c r="K77" s="142">
        <f t="shared" si="13"/>
        <v>-35.732332429925023</v>
      </c>
      <c r="L77" s="142">
        <f t="shared" si="13"/>
        <v>6.0315449610444745</v>
      </c>
      <c r="M77" s="142">
        <f t="shared" si="13"/>
        <v>34.408410220415931</v>
      </c>
      <c r="N77" s="142"/>
      <c r="O77" s="142">
        <f>(O75*100/$O$75)-100</f>
        <v>0</v>
      </c>
      <c r="P77" s="142">
        <f>(P75*100/$O$75)-100</f>
        <v>40.368954316061945</v>
      </c>
      <c r="Q77" s="142">
        <f>(Q75*100/$O$75)-100</f>
        <v>-89.111837180978426</v>
      </c>
      <c r="R77" s="142">
        <f>(R75*100/$O$75)-100</f>
        <v>-18.953455520491019</v>
      </c>
      <c r="S77" s="142">
        <f>(S75*100/$O$75)-100</f>
        <v>-26.780999776847096</v>
      </c>
      <c r="T77" s="142">
        <f>(T75*100/$O$75)-100</f>
        <v>-11.664709858239405</v>
      </c>
      <c r="U77" s="142">
        <f>(U75*100/$O$75)-100</f>
        <v>-18.990815786951131</v>
      </c>
      <c r="V77" s="142">
        <f>(V75*100/$O$75)-100</f>
        <v>-17.63426233664633</v>
      </c>
    </row>
    <row r="78" spans="1:22" s="3" customFormat="1" x14ac:dyDescent="0.25">
      <c r="A78" s="61" t="s">
        <v>81</v>
      </c>
      <c r="B78" s="142">
        <f>[1]!DPTEST(B6:B53)</f>
        <v>0.23535385806176756</v>
      </c>
      <c r="C78" s="142">
        <f>[1]!DPTEST(C6:C53)</f>
        <v>5.2409091793625961E-4</v>
      </c>
      <c r="D78" s="142">
        <f>[1]!DPTEST(D6:D53)</f>
        <v>2.7391863866515043E-2</v>
      </c>
      <c r="E78" s="142">
        <f>[1]!DPTEST(E6:E53)</f>
        <v>7.0339210490466542E-4</v>
      </c>
      <c r="F78" s="142">
        <f>[1]!DPTEST(F6:F53)</f>
        <v>0.64861567422007915</v>
      </c>
      <c r="G78" s="142">
        <f>[1]!DPTEST(G6:G53)</f>
        <v>0.93330007176910235</v>
      </c>
      <c r="H78" s="142">
        <f>[1]!DPTEST(H6:H53)</f>
        <v>1.4162784718911525E-2</v>
      </c>
      <c r="I78" s="142">
        <f>[1]!DPTEST(I6:I53)</f>
        <v>0.58026971079524858</v>
      </c>
      <c r="J78" s="142">
        <f>[1]!DPTEST(J6:J53)</f>
        <v>5.6895459303769602E-3</v>
      </c>
      <c r="K78" s="142">
        <f>[1]!DPTEST(K6:K53)</f>
        <v>0.43873592174902332</v>
      </c>
      <c r="L78" s="142">
        <f>[1]!DPTEST(L6:L53)</f>
        <v>7.9823095240844966E-2</v>
      </c>
      <c r="M78" s="142">
        <f>[1]!DPTEST(M6:M53)</f>
        <v>7.6702119392558776E-3</v>
      </c>
      <c r="N78" s="142"/>
      <c r="O78" s="142">
        <f>[1]!DPTEST(O6:O53)</f>
        <v>0.21821222432797449</v>
      </c>
      <c r="P78" s="142">
        <f>[1]!DPTEST(P6:P53)</f>
        <v>0.17175389495006543</v>
      </c>
      <c r="Q78" s="142">
        <f>[1]!DPTEST(Q6:Q53)</f>
        <v>0.11172833975591778</v>
      </c>
      <c r="R78" s="142">
        <f>[1]!DPTEST(R6:R53)</f>
        <v>0.34265301253750868</v>
      </c>
      <c r="S78" s="142">
        <f>[1]!DPTEST(S6:S53)</f>
        <v>4.1431748346191233E-3</v>
      </c>
      <c r="T78" s="142">
        <f>[1]!DPTEST(T6:T53)</f>
        <v>1.2837483723161514E-2</v>
      </c>
      <c r="U78" s="142">
        <f>[1]!DPTEST(U6:U53)</f>
        <v>8.1379055597955885E-2</v>
      </c>
      <c r="V78" s="142">
        <f>[1]!DPTEST(V6:V53)</f>
        <v>0.44807572594831802</v>
      </c>
    </row>
    <row r="79" spans="1:22" s="3" customFormat="1" x14ac:dyDescent="0.25">
      <c r="A79" s="61" t="s">
        <v>85</v>
      </c>
      <c r="B79" s="142" t="str">
        <f>IF(B78&gt;0.05,"Oui","Non")</f>
        <v>Oui</v>
      </c>
      <c r="C79" s="142" t="str">
        <f t="shared" ref="C79:V79" si="14">IF(C78&gt;0.05,"Oui","Non")</f>
        <v>Non</v>
      </c>
      <c r="D79" s="142" t="str">
        <f t="shared" si="14"/>
        <v>Non</v>
      </c>
      <c r="E79" s="142" t="str">
        <f t="shared" si="14"/>
        <v>Non</v>
      </c>
      <c r="F79" s="142" t="str">
        <f t="shared" si="14"/>
        <v>Oui</v>
      </c>
      <c r="G79" s="142" t="str">
        <f t="shared" si="14"/>
        <v>Oui</v>
      </c>
      <c r="H79" s="142" t="str">
        <f t="shared" si="14"/>
        <v>Non</v>
      </c>
      <c r="I79" s="142" t="str">
        <f t="shared" si="14"/>
        <v>Oui</v>
      </c>
      <c r="J79" s="142" t="str">
        <f t="shared" si="14"/>
        <v>Non</v>
      </c>
      <c r="K79" s="142" t="str">
        <f t="shared" si="14"/>
        <v>Oui</v>
      </c>
      <c r="L79" s="142" t="str">
        <f t="shared" si="14"/>
        <v>Oui</v>
      </c>
      <c r="M79" s="142" t="str">
        <f t="shared" si="14"/>
        <v>Non</v>
      </c>
      <c r="N79" s="142"/>
      <c r="O79" s="142" t="str">
        <f t="shared" si="14"/>
        <v>Oui</v>
      </c>
      <c r="P79" s="142" t="str">
        <f t="shared" si="14"/>
        <v>Oui</v>
      </c>
      <c r="Q79" s="142" t="str">
        <f t="shared" si="14"/>
        <v>Oui</v>
      </c>
      <c r="R79" s="142" t="str">
        <f t="shared" si="14"/>
        <v>Oui</v>
      </c>
      <c r="S79" s="142" t="str">
        <f t="shared" si="14"/>
        <v>Non</v>
      </c>
      <c r="T79" s="142" t="str">
        <f t="shared" si="14"/>
        <v>Non</v>
      </c>
      <c r="U79" s="142" t="str">
        <f t="shared" si="14"/>
        <v>Oui</v>
      </c>
      <c r="V79" s="142" t="str">
        <f t="shared" si="14"/>
        <v>Oui</v>
      </c>
    </row>
    <row r="80" spans="1:22" s="3" customFormat="1" x14ac:dyDescent="0.25">
      <c r="A80" s="61" t="s">
        <v>122</v>
      </c>
      <c r="B80" s="142" t="str">
        <f>IF(COUNTIF(B79:I79, "Non")=0, "Oui","Non")</f>
        <v>Non</v>
      </c>
      <c r="C80" s="142"/>
      <c r="D80" s="142"/>
      <c r="E80" s="142"/>
      <c r="F80" s="142"/>
      <c r="G80" s="142"/>
      <c r="H80" s="142"/>
      <c r="I80" s="142"/>
      <c r="J80" s="142" t="str">
        <f>IF(COUNTIF(J79:M79, "Non")&gt;0, "Oui","Non")</f>
        <v>Oui</v>
      </c>
      <c r="K80" s="142"/>
      <c r="L80" s="142"/>
      <c r="M80" s="142"/>
      <c r="N80" s="142"/>
      <c r="O80" s="142"/>
      <c r="P80" s="142"/>
      <c r="Q80" s="142"/>
      <c r="R80" s="142" t="str">
        <f>IF(COUNTIF(R79:V79, "Non")&gt;0, "Oui","Non")</f>
        <v>Oui</v>
      </c>
      <c r="S80" s="142"/>
      <c r="T80" s="142"/>
      <c r="U80" s="142"/>
      <c r="V80" s="142"/>
    </row>
    <row r="81" spans="1:22" s="3" customFormat="1" x14ac:dyDescent="0.25">
      <c r="A81" s="61" t="s">
        <v>82</v>
      </c>
      <c r="B81" s="142"/>
      <c r="C81" s="142" t="str">
        <f t="shared" ref="C81:I81" si="15">IF($B80="Non","Kruskal-Wallis","ANOVA")</f>
        <v>Kruskal-Wallis</v>
      </c>
      <c r="D81" s="142" t="str">
        <f t="shared" si="15"/>
        <v>Kruskal-Wallis</v>
      </c>
      <c r="E81" s="142" t="str">
        <f t="shared" si="15"/>
        <v>Kruskal-Wallis</v>
      </c>
      <c r="F81" s="142" t="str">
        <f t="shared" si="15"/>
        <v>Kruskal-Wallis</v>
      </c>
      <c r="G81" s="142" t="str">
        <f t="shared" si="15"/>
        <v>Kruskal-Wallis</v>
      </c>
      <c r="H81" s="142" t="str">
        <f t="shared" si="15"/>
        <v>Kruskal-Wallis</v>
      </c>
      <c r="I81" s="142" t="str">
        <f t="shared" si="15"/>
        <v>Kruskal-Wallis</v>
      </c>
      <c r="J81" s="142" t="str">
        <f t="shared" ref="J81:M81" si="16">IF($B79="Non",IF(J79="Non","Mann Withney",IF(J79="Oui","Mann Withney","")),IF($B79="Oui",IF(J79="Oui","T-Test Welch",IF(J79="Non","Mann Withney",""))))</f>
        <v>Mann Withney</v>
      </c>
      <c r="K81" s="142" t="str">
        <f t="shared" si="16"/>
        <v>T-Test Welch</v>
      </c>
      <c r="L81" s="142" t="str">
        <f t="shared" si="16"/>
        <v>T-Test Welch</v>
      </c>
      <c r="M81" s="142" t="str">
        <f t="shared" si="16"/>
        <v>Mann Withney</v>
      </c>
      <c r="N81" s="142"/>
      <c r="O81" s="142" t="str">
        <f>IF($B79="Non",IF(O79="Non","Mann Withney",IF(O79="Oui","Mann Withney","")),IF($B79="Oui",IF(O79="Oui","T-Test Welch",IF(O79="Non","Mann Withney",""))))</f>
        <v>T-Test Welch</v>
      </c>
      <c r="P81" s="142" t="str">
        <f>IF($O79="Non",IF(P79="Non","Mann Withney",IF(P$79="Oui","Mann Withney","")),IF($O79="Oui",IF(P79="Oui","T-Test Welch",IF(P79="Non","Mann Withney",""))))</f>
        <v>T-Test Welch</v>
      </c>
      <c r="Q81" s="142" t="str">
        <f>IF($O79="Non",IF(Q79="Non","Mann Withney",IF(Q$79="Oui","Mann Withney","")),IF($O79="Oui",IF(Q79="Oui","T-Test Welch",IF(Q79="Non","Mann Withney",""))))</f>
        <v>T-Test Welch</v>
      </c>
      <c r="R81" s="142" t="str">
        <f>IF($O79="Non",IF(R79="Non","Mann Withney",IF(R$79="Oui","Mann Withney","")),IF($O79="Oui",IF(R79="Oui","T-Test Welch",IF(R79="Non","Mann Withney",""))))</f>
        <v>T-Test Welch</v>
      </c>
      <c r="S81" s="142" t="str">
        <f>IF($O79="Non",IF(S79="Non","Mann Withney",IF(S$79="Oui","Mann Withney","")),IF($O79="Oui",IF(S79="Oui","T-Test Welch",IF(S79="Non","Mann Withney",""))))</f>
        <v>Mann Withney</v>
      </c>
      <c r="T81" s="142" t="str">
        <f>IF($O79="Non",IF(T79="Non","Mann Withney",IF(T$79="Oui","Mann Withney","")),IF($O79="Oui",IF(T79="Oui","T-Test Welch",IF(T79="Non","Mann Withney",""))))</f>
        <v>Mann Withney</v>
      </c>
      <c r="U81" s="142" t="str">
        <f>IF($O79="Non",IF(U79="Non","Mann Withney",IF(U$79="Oui","Mann Withney","")),IF($O79="Oui",IF(U79="Oui","T-Test Welch",IF(U79="Non","Mann Withney",""))))</f>
        <v>T-Test Welch</v>
      </c>
      <c r="V81" s="142" t="str">
        <f>IF($O79="Non",IF(V79="Non","Mann Withney",IF(V$79="Oui","Mann Withney","")),IF($O79="Oui",IF(V79="Oui","T-Test Welch",IF(V79="Non","Mann Withney",""))))</f>
        <v>T-Test Welch</v>
      </c>
    </row>
    <row r="82" spans="1:22" s="3" customFormat="1" x14ac:dyDescent="0.25">
      <c r="A82" s="61" t="s">
        <v>83</v>
      </c>
      <c r="B82" s="142"/>
      <c r="C82" s="142" t="str">
        <f>IF(C81="Mann Withney",[1]!MTEST($B6:$B53,C6:C53,2), IF(C81="T-Test Welch",_xlfn.T.TEST($B6:$B53,C6:C53,2,3),""))</f>
        <v/>
      </c>
      <c r="D82" s="142" t="str">
        <f>IF(D81="Mann Withney",[1]!MTEST($B6:$B53,D6:D53,2), IF(D81="T-Test Welch",_xlfn.T.TEST($B6:$B53,D6:D53,2,3),""))</f>
        <v/>
      </c>
      <c r="E82" s="142" t="str">
        <f>IF(E81="Mann Withney",[1]!MTEST($B6:$B53,E6:E53,2), IF(E81="T-Test Welch",_xlfn.T.TEST($B6:$B53,E6:E53,2,3),""))</f>
        <v/>
      </c>
      <c r="F82" s="142" t="str">
        <f>IF(F81="Mann Withney",[1]!MTEST($B6:$B53,F6:F53,2), IF(F81="T-Test Welch",_xlfn.T.TEST($B6:$B53,F6:F53,2,3),""))</f>
        <v/>
      </c>
      <c r="G82" s="142" t="str">
        <f>IF(G81="Mann Withney",[1]!MTEST($B6:$B53,G6:G53,2), IF(G81="T-Test Welch",_xlfn.T.TEST($B6:$B53,G6:G53,2,3),""))</f>
        <v/>
      </c>
      <c r="H82" s="142" t="str">
        <f>IF(H81="Mann Withney",[1]!MTEST($B6:$B53,H6:H53,2), IF(H81="T-Test Welch",_xlfn.T.TEST($B6:$B53,H6:H53,2,3),""))</f>
        <v/>
      </c>
      <c r="I82" s="142" t="str">
        <f>IF(I81="Mann Withney",[1]!MTEST($B6:$B53,I6:I53,2), IF(I81="T-Test Welch",_xlfn.T.TEST($B6:$B53,I6:I53,2,3),""))</f>
        <v/>
      </c>
      <c r="J82" s="142">
        <f>IF(J81="Mann Withney",[1]!MTEST($B6:$B53,J6:J53,2), IF(J81="T-Test Welch",_xlfn.T.TEST($B6:$B53,J6:J53,2,3),""))</f>
        <v>0.43330608608997334</v>
      </c>
      <c r="K82" s="142">
        <f>IF(K81="Mann Withney",[1]!MTEST($B6:$B53,K6:K53,2), IF(K81="T-Test Welch",_xlfn.T.TEST($B6:$B53,K6:K53,2,3),""))</f>
        <v>5.2694498953947802E-2</v>
      </c>
      <c r="L82" s="142">
        <f>IF(L81="Mann Withney",[1]!MTEST($B6:$B53,L6:L53,2), IF(L81="T-Test Welch",_xlfn.T.TEST($B6:$B53,L6:L53,2,3),""))</f>
        <v>0.77857104866470583</v>
      </c>
      <c r="M82" s="142">
        <f>IF(M81="Mann Withney",[1]!MTEST($B6:$B53,M6:M53,2), IF(M81="T-Test Welch",_xlfn.T.TEST($B6:$B53,M6:M53,2,3),""))</f>
        <v>0.43330608608997334</v>
      </c>
      <c r="N82" s="142"/>
      <c r="O82" s="142">
        <f>IF(O81="Mann Withney",[1]!MTEST($B6:$B37,O6:O53,2), IF(O81="T-Test Welch",_xlfn.T.TEST($B6:$B37,O6:O53,2,3),""))</f>
        <v>1.8696072157984705E-15</v>
      </c>
      <c r="P82" s="142">
        <f>IF(P81="Mann Withney",[1]!MTEST($O6:$O53,P6:P53,2), IF(P81="T-Test Welch",_xlfn.T.TEST($O6:$O53,P6:P53,2,3),""))</f>
        <v>3.3757441849346314E-3</v>
      </c>
      <c r="Q82" s="142">
        <f>IF(Q81="Mann Withney",[1]!MTEST($O6:$O53,Q6:Q53,2), IF(Q81="T-Test Welch",_xlfn.T.TEST($O6:$O53,Q6:Q53,2,3),""))</f>
        <v>7.7843363406525273E-16</v>
      </c>
      <c r="R82" s="142">
        <f>IF(R81="Mann Withney",[1]!MTEST($O6:$O53,R6:R53,2), IF(R81="T-Test Welch",_xlfn.T.TEST($O6:$O53,R6:R53,2,3),""))</f>
        <v>0.21054464091887315</v>
      </c>
      <c r="S82" s="142">
        <f>IF(S81="Mann Withney",[1]!MTEST($O6:$O53,S6:S53,2), IF(S81="T-Test Welch",_xlfn.T.TEST($O6:$O53,S6:S53,2,3),""))</f>
        <v>1.663773687336656E-2</v>
      </c>
      <c r="T82" s="142">
        <f>IF(T81="Mann Withney",[1]!MTEST($O6:$O53,T6:T53,2), IF(T81="T-Test Welch",_xlfn.T.TEST($O6:$O53,T6:T53,2,3),""))</f>
        <v>0.14466148777280896</v>
      </c>
      <c r="U82" s="142">
        <f>IF(U81="Mann Withney",[1]!MTEST($O6:$O53,U6:U53,2), IF(U81="T-Test Welch",_xlfn.T.TEST($O6:$O53,U6:U53,2,3),""))</f>
        <v>0.21126766068176756</v>
      </c>
      <c r="V82" s="142">
        <f>IF(V81="Mann Withney",[1]!MTEST($O6:$O53,V6:V53,2), IF(V81="T-Test Welch",_xlfn.T.TEST($O6:$O53,V6:V53,2,3),""))</f>
        <v>0.20620762836486714</v>
      </c>
    </row>
    <row r="83" spans="1:22" s="3" customFormat="1" ht="15.75" thickBot="1" x14ac:dyDescent="0.3">
      <c r="A83" s="62" t="s">
        <v>84</v>
      </c>
      <c r="B83" s="143"/>
      <c r="C83" s="143" t="str">
        <f t="shared" ref="C83:O83" si="17">IF(C82&gt;0.05,"NS",IF(C82&gt;0.01,"*",IF(C82&gt;0.001,"**","***")))</f>
        <v>NS</v>
      </c>
      <c r="D83" s="143" t="str">
        <f t="shared" si="17"/>
        <v>NS</v>
      </c>
      <c r="E83" s="143" t="str">
        <f t="shared" si="17"/>
        <v>NS</v>
      </c>
      <c r="F83" s="143" t="str">
        <f t="shared" si="17"/>
        <v>NS</v>
      </c>
      <c r="G83" s="143" t="str">
        <f t="shared" si="17"/>
        <v>NS</v>
      </c>
      <c r="H83" s="143" t="str">
        <f t="shared" si="17"/>
        <v>NS</v>
      </c>
      <c r="I83" s="143" t="str">
        <f t="shared" si="17"/>
        <v>NS</v>
      </c>
      <c r="J83" s="143" t="str">
        <f t="shared" si="17"/>
        <v>NS</v>
      </c>
      <c r="K83" s="143" t="str">
        <f t="shared" si="17"/>
        <v>NS</v>
      </c>
      <c r="L83" s="143" t="str">
        <f t="shared" si="17"/>
        <v>NS</v>
      </c>
      <c r="M83" s="143" t="str">
        <f t="shared" si="17"/>
        <v>NS</v>
      </c>
      <c r="N83" s="143"/>
      <c r="O83" s="143" t="str">
        <f t="shared" si="17"/>
        <v>***</v>
      </c>
      <c r="P83" s="143" t="str">
        <f t="shared" ref="P83" si="18">IF(P82&gt;0.05,"NS",IF(P82&gt;0.01,"*",IF(P82&gt;0.001,"**","***")))</f>
        <v>**</v>
      </c>
      <c r="Q83" s="143" t="str">
        <f t="shared" ref="Q83:V83" si="19">IF(Q82&gt;0.05,"NS",IF(Q82&gt;0.01,"*",IF(Q82&gt;0.001,"**","***")))</f>
        <v>***</v>
      </c>
      <c r="R83" s="143" t="str">
        <f t="shared" si="19"/>
        <v>NS</v>
      </c>
      <c r="S83" s="143" t="str">
        <f t="shared" si="19"/>
        <v>*</v>
      </c>
      <c r="T83" s="143" t="str">
        <f t="shared" si="19"/>
        <v>NS</v>
      </c>
      <c r="U83" s="143" t="str">
        <f t="shared" si="19"/>
        <v>NS</v>
      </c>
      <c r="V83" s="143" t="str">
        <f t="shared" si="19"/>
        <v>NS</v>
      </c>
    </row>
    <row r="84" spans="1:22" s="1" customFormat="1" x14ac:dyDescent="0.25"/>
    <row r="85" spans="1:22" s="1" customFormat="1" x14ac:dyDescent="0.25">
      <c r="A85" s="2" t="s">
        <v>39</v>
      </c>
    </row>
    <row r="86" spans="1:22" x14ac:dyDescent="0.25">
      <c r="A86" s="1" t="s">
        <v>23</v>
      </c>
      <c r="B86" s="1">
        <f>B56+(3*B57)</f>
        <v>0.37004670184007132</v>
      </c>
    </row>
    <row r="87" spans="1:22" x14ac:dyDescent="0.25">
      <c r="A87" s="1" t="s">
        <v>24</v>
      </c>
      <c r="B87" s="1">
        <f>B56+(10*B57)</f>
        <v>0.96575293699478526</v>
      </c>
    </row>
    <row r="88" spans="1:22" ht="15.75" thickBot="1" x14ac:dyDescent="0.3"/>
    <row r="89" spans="1:22" s="48" customFormat="1" ht="27" thickBot="1" x14ac:dyDescent="0.3">
      <c r="A89" s="49" t="s">
        <v>55</v>
      </c>
      <c r="B89" s="50"/>
      <c r="C89" s="50"/>
      <c r="D89" s="50"/>
      <c r="E89" s="50"/>
      <c r="F89" s="50"/>
      <c r="G89" s="50"/>
      <c r="H89" s="50"/>
      <c r="I89" s="50"/>
      <c r="J89" s="50"/>
      <c r="K89" s="50"/>
      <c r="L89" s="50"/>
      <c r="M89" s="50"/>
      <c r="N89" s="50"/>
      <c r="O89" s="50"/>
      <c r="P89" s="50"/>
      <c r="Q89" s="50"/>
      <c r="R89" s="50"/>
      <c r="S89" s="50"/>
      <c r="T89" s="50"/>
      <c r="U89" s="50"/>
      <c r="V89" s="50"/>
    </row>
    <row r="90" spans="1:22" ht="15.75" thickBot="1" x14ac:dyDescent="0.3"/>
    <row r="91" spans="1:22" s="48" customFormat="1" ht="27" thickBot="1" x14ac:dyDescent="0.3">
      <c r="A91" s="49" t="s">
        <v>56</v>
      </c>
      <c r="B91" s="50"/>
      <c r="C91" s="50"/>
      <c r="D91" s="50"/>
      <c r="E91" s="50"/>
      <c r="F91" s="50"/>
      <c r="G91" s="50"/>
      <c r="H91" s="50"/>
      <c r="I91" s="50"/>
      <c r="J91" s="50"/>
      <c r="K91" s="50"/>
      <c r="L91" s="50"/>
      <c r="M91" s="50"/>
      <c r="N91" s="50"/>
      <c r="O91" s="50"/>
      <c r="P91" s="50"/>
      <c r="Q91" s="50"/>
      <c r="R91" s="50"/>
      <c r="S91" s="50"/>
      <c r="T91" s="50"/>
      <c r="U91" s="50"/>
      <c r="V91" s="50"/>
    </row>
    <row r="92" spans="1:22" ht="15.75" thickBot="1" x14ac:dyDescent="0.3"/>
    <row r="93" spans="1:22" s="48" customFormat="1" ht="27" thickBot="1" x14ac:dyDescent="0.3">
      <c r="A93" s="229" t="s">
        <v>57</v>
      </c>
      <c r="B93" s="230"/>
      <c r="C93" s="230"/>
      <c r="D93" s="230"/>
      <c r="E93" s="230"/>
      <c r="F93" s="230"/>
      <c r="G93" s="230"/>
      <c r="H93" s="230"/>
      <c r="I93" s="230"/>
      <c r="J93" s="230"/>
      <c r="K93" s="230"/>
      <c r="L93" s="230"/>
      <c r="M93" s="230"/>
      <c r="N93" s="230"/>
      <c r="O93" s="230"/>
      <c r="P93" s="230"/>
      <c r="Q93" s="230"/>
      <c r="R93" s="230"/>
      <c r="S93" s="230"/>
      <c r="T93" s="230"/>
      <c r="U93" s="230"/>
      <c r="V93" s="230"/>
    </row>
  </sheetData>
  <mergeCells count="10">
    <mergeCell ref="A7:A21"/>
    <mergeCell ref="A23:A37"/>
    <mergeCell ref="A93:V93"/>
    <mergeCell ref="O3:V3"/>
    <mergeCell ref="B3:M3"/>
    <mergeCell ref="A60:V60"/>
    <mergeCell ref="A72:V72"/>
    <mergeCell ref="A70:V70"/>
    <mergeCell ref="A65:V65"/>
    <mergeCell ref="A39:A53"/>
  </mergeCells>
  <pageMargins left="0.7" right="0.7" top="0.75" bottom="0.75" header="0.3" footer="0.3"/>
  <pageSetup paperSize="9" orientation="portrait" r:id="rId1"/>
  <headerFooter>
    <oddHeader>&amp;C&amp;"-,Gras"&amp;14Données poolées normalisées&amp;R&amp;"-,Gras"&amp;14Page : &amp;P/&amp;P</oddHead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53"/>
  <sheetViews>
    <sheetView showGridLines="0" zoomScale="70" zoomScaleNormal="70" workbookViewId="0">
      <selection activeCell="A7" sqref="A7"/>
    </sheetView>
  </sheetViews>
  <sheetFormatPr baseColWidth="10" defaultColWidth="9.140625" defaultRowHeight="15" x14ac:dyDescent="0.25"/>
  <cols>
    <col min="1" max="1" width="33.7109375" style="41" bestFit="1" customWidth="1"/>
    <col min="2" max="3" width="14" style="41" bestFit="1" customWidth="1"/>
    <col min="4" max="4" width="14" style="41" customWidth="1"/>
    <col min="5" max="5" width="16" style="15" bestFit="1" customWidth="1"/>
    <col min="6" max="8" width="16" style="15" customWidth="1"/>
    <col min="9" max="13" width="19.140625" style="15" customWidth="1"/>
    <col min="14" max="14" width="32.140625" style="15" bestFit="1" customWidth="1"/>
    <col min="15" max="15" width="19.5703125" style="41" customWidth="1"/>
    <col min="16" max="16384" width="9.140625" style="41"/>
  </cols>
  <sheetData>
    <row r="1" spans="1:15" s="48" customFormat="1" ht="27" thickBot="1" x14ac:dyDescent="0.3">
      <c r="A1" s="229" t="s">
        <v>104</v>
      </c>
      <c r="B1" s="230"/>
      <c r="C1" s="230"/>
      <c r="D1" s="230"/>
      <c r="E1" s="230"/>
      <c r="F1" s="230"/>
      <c r="G1" s="230"/>
      <c r="H1" s="230"/>
      <c r="I1" s="230"/>
      <c r="J1" s="230"/>
      <c r="K1" s="230"/>
      <c r="L1" s="230"/>
      <c r="M1" s="230"/>
      <c r="N1" s="230"/>
      <c r="O1" s="231"/>
    </row>
    <row r="2" spans="1:15" s="48" customFormat="1" ht="27" thickBot="1" x14ac:dyDescent="0.3">
      <c r="A2" s="229" t="s">
        <v>105</v>
      </c>
      <c r="B2" s="230"/>
      <c r="C2" s="230"/>
      <c r="D2" s="230"/>
      <c r="E2" s="230"/>
      <c r="F2" s="230"/>
      <c r="G2" s="230"/>
      <c r="H2" s="230"/>
      <c r="I2" s="230"/>
      <c r="J2" s="230"/>
      <c r="K2" s="230"/>
      <c r="L2" s="230"/>
      <c r="M2" s="230"/>
      <c r="N2" s="230"/>
      <c r="O2" s="231"/>
    </row>
    <row r="3" spans="1:15" s="77" customFormat="1" ht="15.75" x14ac:dyDescent="0.25">
      <c r="H3" s="78"/>
      <c r="I3" s="78"/>
      <c r="J3" s="78"/>
      <c r="K3" s="78"/>
      <c r="L3" s="78"/>
      <c r="M3" s="78"/>
      <c r="N3" s="78"/>
    </row>
    <row r="4" spans="1:15" s="77" customFormat="1" ht="15.75" x14ac:dyDescent="0.25">
      <c r="O4"/>
    </row>
    <row r="5" spans="1:15" s="77" customFormat="1" ht="45.75" customHeight="1" thickBot="1" x14ac:dyDescent="0.3">
      <c r="A5" s="79"/>
      <c r="B5" s="88" t="s">
        <v>25</v>
      </c>
      <c r="C5" s="88" t="s">
        <v>26</v>
      </c>
      <c r="D5" s="88" t="s">
        <v>27</v>
      </c>
      <c r="E5" s="89" t="s">
        <v>64</v>
      </c>
      <c r="F5" s="127" t="s">
        <v>80</v>
      </c>
      <c r="G5" s="95" t="s">
        <v>42</v>
      </c>
      <c r="H5" s="95" t="s">
        <v>65</v>
      </c>
      <c r="I5" s="95" t="s">
        <v>66</v>
      </c>
      <c r="J5" s="96" t="s">
        <v>77</v>
      </c>
      <c r="K5" s="96" t="s">
        <v>67</v>
      </c>
      <c r="L5" s="97" t="s">
        <v>76</v>
      </c>
      <c r="M5" s="97" t="s">
        <v>68</v>
      </c>
      <c r="N5" s="97" t="s">
        <v>69</v>
      </c>
      <c r="O5"/>
    </row>
    <row r="6" spans="1:15" s="77" customFormat="1" ht="15.75" x14ac:dyDescent="0.25">
      <c r="A6" s="80" t="s">
        <v>28</v>
      </c>
      <c r="B6" s="100">
        <v>64</v>
      </c>
      <c r="C6" s="80"/>
      <c r="D6" s="80"/>
      <c r="E6" s="90"/>
      <c r="F6" s="91"/>
      <c r="G6" s="129">
        <f>IF(F6="NS","NC",ROUND(B6,2-(1+INT(LOG10(ABS(B6))))))</f>
        <v>64</v>
      </c>
      <c r="H6" s="121"/>
      <c r="I6" s="121"/>
      <c r="J6" s="122"/>
      <c r="K6" s="123"/>
      <c r="L6" s="125"/>
      <c r="M6" s="122"/>
      <c r="N6" s="92"/>
      <c r="O6"/>
    </row>
    <row r="7" spans="1:15" s="77" customFormat="1" ht="15.75" x14ac:dyDescent="0.25">
      <c r="A7" s="80" t="str">
        <f>'Page de garde'!A14</f>
        <v>Cromolyn-0,1µg/L</v>
      </c>
      <c r="B7" s="99"/>
      <c r="C7" s="81"/>
      <c r="D7" s="81"/>
      <c r="E7" s="82"/>
      <c r="F7" s="98" t="str">
        <f>HLOOKUP(A7,'pooled normalised values'!$B$74:$V$83,10,FALSE)</f>
        <v>NS</v>
      </c>
      <c r="G7" s="129" t="str">
        <f>IF(F7="NS","NC",ROUND(B7,2-(1+INT(LOG10(ABS(B7))))))</f>
        <v>NC</v>
      </c>
      <c r="H7" s="120" t="str">
        <f>IF(VLOOKUP(A7,liste_groupe[],4,FALSE)="%",VLOOKUP(A7,liste_groupe[],3,FALSE)/100,IF(ISBLANK(VLOOKUP(A7,liste_groupe[],4,FALSE)),"Non","Non"))</f>
        <v>Non</v>
      </c>
      <c r="I7" s="129" t="str">
        <f>IF(F7="NS","NC",IF(H7="Non",G7,G7*(1/H7)))</f>
        <v>NC</v>
      </c>
      <c r="J7" s="130">
        <v>64</v>
      </c>
      <c r="K7" s="131">
        <f>IF(F7="NS",0,ROUND(I7/J7*100,0))</f>
        <v>0</v>
      </c>
      <c r="L7" s="126">
        <v>1</v>
      </c>
      <c r="M7" s="132">
        <f>IF(K7&gt;100,125,K7)</f>
        <v>0</v>
      </c>
      <c r="N7" s="93" t="str">
        <f>IF(H7="Non",CONCATENATE(VLOOKUP(A7,liste_groupe[],5,FALSE),"-",VLOOKUP(A7,liste_groupe[],3,FALSE),VLOOKUP(A7,liste_groupe[],4,FALSE)," : ",ROUND(K7,0),"%"),CONCATENATE(VLOOKUP(A7,liste_groupe[],5,FALSE)," : ",ROUND(K7,0),"%"))</f>
        <v>Cromolyn-0,1µg/L : 0%</v>
      </c>
      <c r="O7"/>
    </row>
    <row r="8" spans="1:15" s="77" customFormat="1" ht="15.75" x14ac:dyDescent="0.25">
      <c r="A8" s="80" t="str">
        <f>'Page de garde'!A15</f>
        <v>Cromolyn-1µg/L</v>
      </c>
      <c r="B8" s="99"/>
      <c r="C8" s="83"/>
      <c r="D8" s="81"/>
      <c r="E8" s="82"/>
      <c r="F8" s="98" t="str">
        <f>HLOOKUP(A8,'pooled normalised values'!$B$74:$V$83,10,FALSE)</f>
        <v>NS</v>
      </c>
      <c r="G8" s="129" t="str">
        <f t="shared" ref="G8:G13" si="0">IF(F8="NS","NC",ROUND(B8,2-(1+INT(LOG10(ABS(B8))))))</f>
        <v>NC</v>
      </c>
      <c r="H8" s="120" t="str">
        <f>IF(VLOOKUP(A8,liste_groupe[],4,FALSE)="%",VLOOKUP(A8,liste_groupe[],3,FALSE)/100,IF(ISBLANK(VLOOKUP(A8,liste_groupe[],4,FALSE)),"Non","Non"))</f>
        <v>Non</v>
      </c>
      <c r="I8" s="129" t="str">
        <f t="shared" ref="I8:I26" si="1">IF(F8="NS","NC",IF(H8="Non",G8,G8*(1/H8)))</f>
        <v>NC</v>
      </c>
      <c r="J8" s="130">
        <v>64</v>
      </c>
      <c r="K8" s="131">
        <f t="shared" ref="K8:K26" si="2">IF(F8="NS",0,ROUND(I8/J8*100,0))</f>
        <v>0</v>
      </c>
      <c r="L8" s="126"/>
      <c r="M8" s="132">
        <f t="shared" ref="M8:M26" si="3">IF(K8&gt;100,125,K8)</f>
        <v>0</v>
      </c>
      <c r="N8" s="93" t="str">
        <f>IF(H8="Non",CONCATENATE(VLOOKUP(A8,liste_groupe[],5,FALSE),"-",VLOOKUP(A8,liste_groupe[],3,FALSE),VLOOKUP(A8,liste_groupe[],4,FALSE)," : ",ROUND(K8,0),"%"),CONCATENATE(VLOOKUP(A8,liste_groupe[],5,FALSE)," : ",ROUND(K8,0),"%"))</f>
        <v>Cromolyn-1µg/L : 0%</v>
      </c>
      <c r="O8"/>
    </row>
    <row r="9" spans="1:15" s="77" customFormat="1" ht="15.75" x14ac:dyDescent="0.25">
      <c r="A9" s="80" t="str">
        <f>'Page de garde'!A16</f>
        <v>Cromolyn-10µg/L</v>
      </c>
      <c r="B9" s="99"/>
      <c r="C9" s="83"/>
      <c r="D9" s="81"/>
      <c r="E9" s="82"/>
      <c r="F9" s="98" t="str">
        <f>HLOOKUP(A9,'pooled normalised values'!$B$74:$V$83,10,FALSE)</f>
        <v>NS</v>
      </c>
      <c r="G9" s="129" t="str">
        <f t="shared" si="0"/>
        <v>NC</v>
      </c>
      <c r="H9" s="120" t="str">
        <f>IF(VLOOKUP(A9,liste_groupe[],4,FALSE)="%",VLOOKUP(A9,liste_groupe[],3,FALSE)/100,IF(ISBLANK(VLOOKUP(A9,liste_groupe[],4,FALSE)),"Non","Non"))</f>
        <v>Non</v>
      </c>
      <c r="I9" s="129" t="str">
        <f t="shared" si="1"/>
        <v>NC</v>
      </c>
      <c r="J9" s="130">
        <v>64</v>
      </c>
      <c r="K9" s="131">
        <f t="shared" si="2"/>
        <v>0</v>
      </c>
      <c r="L9" s="126"/>
      <c r="M9" s="132">
        <f t="shared" si="3"/>
        <v>0</v>
      </c>
      <c r="N9" s="93" t="str">
        <f>IF(H9="Non",CONCATENATE(VLOOKUP(A9,liste_groupe[],5,FALSE),"-",VLOOKUP(A9,liste_groupe[],3,FALSE),VLOOKUP(A9,liste_groupe[],4,FALSE)," : ",ROUND(K9,0),"%"),CONCATENATE(VLOOKUP(A9,liste_groupe[],5,FALSE)," : ",ROUND(K9,0),"%"))</f>
        <v>Cromolyn-10µg/L : 0%</v>
      </c>
      <c r="O9"/>
    </row>
    <row r="10" spans="1:15" s="77" customFormat="1" ht="15.75" x14ac:dyDescent="0.25">
      <c r="A10" s="80" t="str">
        <f>'Page de garde'!A17</f>
        <v>Cromolyn-100µg/L</v>
      </c>
      <c r="B10" s="100"/>
      <c r="C10" s="80"/>
      <c r="D10" s="85"/>
      <c r="E10" s="82"/>
      <c r="F10" s="98" t="str">
        <f>HLOOKUP(A10,'pooled normalised values'!$B$74:$V$83,10,FALSE)</f>
        <v>NS</v>
      </c>
      <c r="G10" s="129" t="str">
        <f t="shared" si="0"/>
        <v>NC</v>
      </c>
      <c r="H10" s="120" t="str">
        <f>IF(VLOOKUP(A10,liste_groupe[],4,FALSE)="%",VLOOKUP(A10,liste_groupe[],3,FALSE)/100,IF(ISBLANK(VLOOKUP(A10,liste_groupe[],4,FALSE)),"Non","Non"))</f>
        <v>Non</v>
      </c>
      <c r="I10" s="129" t="str">
        <f t="shared" si="1"/>
        <v>NC</v>
      </c>
      <c r="J10" s="130">
        <v>64</v>
      </c>
      <c r="K10" s="131">
        <f t="shared" si="2"/>
        <v>0</v>
      </c>
      <c r="L10" s="126"/>
      <c r="M10" s="132">
        <f t="shared" si="3"/>
        <v>0</v>
      </c>
      <c r="N10" s="93" t="str">
        <f>IF(H10="Non",CONCATENATE(VLOOKUP(A10,liste_groupe[],5,FALSE),"-",VLOOKUP(A10,liste_groupe[],3,FALSE),VLOOKUP(A10,liste_groupe[],4,FALSE)," : ",ROUND(K10,0),"%"),CONCATENATE(VLOOKUP(A10,liste_groupe[],5,FALSE)," : ",ROUND(K10,0),"%"))</f>
        <v>Cromolyn-100µg/L : 0%</v>
      </c>
      <c r="O10"/>
    </row>
    <row r="11" spans="1:15" s="77" customFormat="1" ht="15.75" x14ac:dyDescent="0.25">
      <c r="A11" s="80" t="str">
        <f>'Page de garde'!A18</f>
        <v>Cromolyn-1000µg/L</v>
      </c>
      <c r="B11" s="100"/>
      <c r="C11" s="80"/>
      <c r="D11" s="85"/>
      <c r="E11" s="82"/>
      <c r="F11" s="98" t="str">
        <f>HLOOKUP(A11,'pooled normalised values'!$B$74:$V$83,10,FALSE)</f>
        <v>NS</v>
      </c>
      <c r="G11" s="129" t="str">
        <f t="shared" si="0"/>
        <v>NC</v>
      </c>
      <c r="H11" s="120" t="str">
        <f>IF(VLOOKUP(A11,liste_groupe[],4,FALSE)="%",VLOOKUP(A11,liste_groupe[],3,FALSE)/100,IF(ISBLANK(VLOOKUP(A11,liste_groupe[],4,FALSE)),"Non","Non"))</f>
        <v>Non</v>
      </c>
      <c r="I11" s="129" t="str">
        <f t="shared" si="1"/>
        <v>NC</v>
      </c>
      <c r="J11" s="130">
        <v>64</v>
      </c>
      <c r="K11" s="131">
        <f t="shared" si="2"/>
        <v>0</v>
      </c>
      <c r="L11" s="126"/>
      <c r="M11" s="132">
        <f t="shared" si="3"/>
        <v>0</v>
      </c>
      <c r="N11" s="93" t="str">
        <f>IF(H11="Non",CONCATENATE(VLOOKUP(A11,liste_groupe[],5,FALSE),"-",VLOOKUP(A11,liste_groupe[],3,FALSE),VLOOKUP(A11,liste_groupe[],4,FALSE)," : ",ROUND(K11,0),"%"),CONCATENATE(VLOOKUP(A11,liste_groupe[],5,FALSE)," : ",ROUND(K11,0),"%"))</f>
        <v>Cromolyn-1000µg/L : 0%</v>
      </c>
      <c r="O11"/>
    </row>
    <row r="12" spans="1:15" s="77" customFormat="1" ht="15.75" x14ac:dyDescent="0.25">
      <c r="A12" s="80" t="str">
        <f>'Page de garde'!A19</f>
        <v xml:space="preserve"> </v>
      </c>
      <c r="B12" s="100"/>
      <c r="C12" s="80"/>
      <c r="D12" s="85"/>
      <c r="E12" s="82"/>
      <c r="F12" s="98" t="e">
        <f>HLOOKUP(A12,'pooled normalised values'!$B$74:$V$83,10,FALSE)</f>
        <v>#N/A</v>
      </c>
      <c r="G12" s="129" t="e">
        <f t="shared" si="0"/>
        <v>#N/A</v>
      </c>
      <c r="H12" s="120" t="str">
        <f>IF(VLOOKUP(A12,liste_groupe[],4,FALSE)="%",VLOOKUP(A12,liste_groupe[],3,FALSE)/100,IF(ISBLANK(VLOOKUP(A12,liste_groupe[],4,FALSE)),"Non","Non"))</f>
        <v>Non</v>
      </c>
      <c r="I12" s="129" t="e">
        <f t="shared" si="1"/>
        <v>#N/A</v>
      </c>
      <c r="J12" s="130">
        <v>64</v>
      </c>
      <c r="K12" s="131" t="e">
        <f t="shared" si="2"/>
        <v>#N/A</v>
      </c>
      <c r="L12" s="126"/>
      <c r="M12" s="132" t="e">
        <f t="shared" si="3"/>
        <v>#N/A</v>
      </c>
      <c r="N12" s="93" t="e">
        <f>IF(H12="Non",CONCATENATE(VLOOKUP(A12,liste_groupe[],5,FALSE),"-",VLOOKUP(A12,liste_groupe[],3,FALSE),VLOOKUP(A12,liste_groupe[],4,FALSE)," : ",ROUND(K12,0),"%"),CONCATENATE(VLOOKUP(A12,liste_groupe[],5,FALSE)," : ",ROUND(K12,0),"%"))</f>
        <v>#N/A</v>
      </c>
      <c r="O12"/>
    </row>
    <row r="13" spans="1:15" s="77" customFormat="1" ht="15.75" x14ac:dyDescent="0.25">
      <c r="A13" s="80" t="str">
        <f>'Page de garde'!A20</f>
        <v xml:space="preserve"> </v>
      </c>
      <c r="B13" s="100"/>
      <c r="C13" s="80"/>
      <c r="D13" s="80"/>
      <c r="E13" s="82"/>
      <c r="F13" s="98" t="e">
        <f>HLOOKUP(A13,'pooled normalised values'!$B$74:$V$83,10,FALSE)</f>
        <v>#N/A</v>
      </c>
      <c r="G13" s="129" t="e">
        <f t="shared" si="0"/>
        <v>#N/A</v>
      </c>
      <c r="H13" s="120" t="str">
        <f>IF(VLOOKUP(A13,liste_groupe[],4,FALSE)="%",VLOOKUP(A13,liste_groupe[],3,FALSE)/100,IF(ISBLANK(VLOOKUP(A13,liste_groupe[],4,FALSE)),"Non","Non"))</f>
        <v>Non</v>
      </c>
      <c r="I13" s="129" t="e">
        <f t="shared" si="1"/>
        <v>#N/A</v>
      </c>
      <c r="J13" s="130">
        <v>64</v>
      </c>
      <c r="K13" s="131" t="e">
        <f t="shared" si="2"/>
        <v>#N/A</v>
      </c>
      <c r="L13" s="126"/>
      <c r="M13" s="132" t="e">
        <f t="shared" si="3"/>
        <v>#N/A</v>
      </c>
      <c r="N13" s="93" t="e">
        <f>IF(H13="Non",CONCATENATE(VLOOKUP(A13,liste_groupe[],5,FALSE),"-",VLOOKUP(A13,liste_groupe[],3,FALSE),VLOOKUP(A13,liste_groupe[],4,FALSE)," : ",ROUND(K13,0),"%"),CONCATENATE(VLOOKUP(A13,liste_groupe[],5,FALSE)," : ",ROUND(K13,0),"%"))</f>
        <v>#N/A</v>
      </c>
      <c r="O13"/>
    </row>
    <row r="14" spans="1:15" s="77" customFormat="1" ht="15.75" x14ac:dyDescent="0.25">
      <c r="A14" s="80" t="str">
        <f>'Page de garde'!A21</f>
        <v xml:space="preserve"> </v>
      </c>
      <c r="B14" s="100"/>
      <c r="C14" s="80"/>
      <c r="D14" s="80"/>
      <c r="E14" s="82"/>
      <c r="F14" s="98" t="e">
        <f>HLOOKUP(A14,'pooled normalised values'!$B$74:$V$83,10,FALSE)</f>
        <v>#N/A</v>
      </c>
      <c r="G14" s="129" t="e">
        <f t="shared" ref="G14:G25" si="4">IF(F14="NS","NC",ROUND(B14,2-(1+INT(LOG10(ABS(B14))))))</f>
        <v>#N/A</v>
      </c>
      <c r="H14" s="120" t="str">
        <f>IF(VLOOKUP(A14,liste_groupe[],4,FALSE)="%",VLOOKUP(A14,liste_groupe[],3,FALSE)/100,IF(ISBLANK(VLOOKUP(A14,liste_groupe[],4,FALSE)),"Non","Non"))</f>
        <v>Non</v>
      </c>
      <c r="I14" s="129" t="e">
        <f t="shared" si="1"/>
        <v>#N/A</v>
      </c>
      <c r="J14" s="130">
        <v>64</v>
      </c>
      <c r="K14" s="131" t="e">
        <f t="shared" si="2"/>
        <v>#N/A</v>
      </c>
      <c r="L14" s="126"/>
      <c r="M14" s="132" t="e">
        <f t="shared" si="3"/>
        <v>#N/A</v>
      </c>
      <c r="N14" s="93" t="e">
        <f>IF(H14="Non",CONCATENATE(VLOOKUP(A14,liste_groupe[],5,FALSE),"-",VLOOKUP(A14,liste_groupe[],3,FALSE),VLOOKUP(A14,liste_groupe[],4,FALSE)," : ",ROUND(K14,0),"%"),CONCATENATE(VLOOKUP(A14,liste_groupe[],5,FALSE)," : ",ROUND(K14,0),"%"))</f>
        <v>#N/A</v>
      </c>
      <c r="O14" s="1"/>
    </row>
    <row r="15" spans="1:15" s="77" customFormat="1" ht="15.75" x14ac:dyDescent="0.25">
      <c r="A15" s="80" t="str">
        <f>'Page de garde'!A22</f>
        <v xml:space="preserve"> </v>
      </c>
      <c r="B15" s="100"/>
      <c r="C15" s="80"/>
      <c r="D15" s="80"/>
      <c r="E15" s="82"/>
      <c r="F15" s="98" t="e">
        <f>HLOOKUP(A15,'pooled normalised values'!$B$74:$V$83,10,FALSE)</f>
        <v>#N/A</v>
      </c>
      <c r="G15" s="129" t="e">
        <f t="shared" si="4"/>
        <v>#N/A</v>
      </c>
      <c r="H15" s="120" t="str">
        <f>IF(VLOOKUP(A15,liste_groupe[],4,FALSE)="%",VLOOKUP(A15,liste_groupe[],3,FALSE)/100,IF(ISBLANK(VLOOKUP(A15,liste_groupe[],4,FALSE)),"Non","Non"))</f>
        <v>Non</v>
      </c>
      <c r="I15" s="129" t="e">
        <f t="shared" si="1"/>
        <v>#N/A</v>
      </c>
      <c r="J15" s="130">
        <v>64</v>
      </c>
      <c r="K15" s="131" t="e">
        <f t="shared" si="2"/>
        <v>#N/A</v>
      </c>
      <c r="L15" s="126"/>
      <c r="M15" s="132" t="e">
        <f t="shared" si="3"/>
        <v>#N/A</v>
      </c>
      <c r="N15" s="93" t="e">
        <f>IF(H15="Non",CONCATENATE(VLOOKUP(A15,liste_groupe[],5,FALSE),"-",VLOOKUP(A15,liste_groupe[],3,FALSE),VLOOKUP(A15,liste_groupe[],4,FALSE)," : ",ROUND(K15,0),"%"),CONCATENATE(VLOOKUP(A15,liste_groupe[],5,FALSE)," : ",ROUND(K15,0),"%"))</f>
        <v>#N/A</v>
      </c>
      <c r="O15" s="1"/>
    </row>
    <row r="16" spans="1:15" s="77" customFormat="1" ht="15.75" x14ac:dyDescent="0.25">
      <c r="A16" s="80" t="str">
        <f>'Page de garde'!A23</f>
        <v xml:space="preserve"> </v>
      </c>
      <c r="B16" s="100"/>
      <c r="C16" s="80"/>
      <c r="D16" s="80"/>
      <c r="E16" s="82"/>
      <c r="F16" s="98" t="e">
        <f>HLOOKUP(A16,'pooled normalised values'!$B$74:$V$83,10,FALSE)</f>
        <v>#N/A</v>
      </c>
      <c r="G16" s="129" t="e">
        <f t="shared" si="4"/>
        <v>#N/A</v>
      </c>
      <c r="H16" s="120" t="str">
        <f>IF(VLOOKUP(A16,liste_groupe[],4,FALSE)="%",VLOOKUP(A16,liste_groupe[],3,FALSE)/100,IF(ISBLANK(VLOOKUP(A16,liste_groupe[],4,FALSE)),"Non","Non"))</f>
        <v>Non</v>
      </c>
      <c r="I16" s="129" t="e">
        <f t="shared" si="1"/>
        <v>#N/A</v>
      </c>
      <c r="J16" s="130">
        <v>64</v>
      </c>
      <c r="K16" s="131" t="e">
        <f t="shared" si="2"/>
        <v>#N/A</v>
      </c>
      <c r="L16" s="126"/>
      <c r="M16" s="132" t="e">
        <f t="shared" si="3"/>
        <v>#N/A</v>
      </c>
      <c r="N16" s="93" t="e">
        <f>IF(H16="Non",CONCATENATE(VLOOKUP(A16,liste_groupe[],5,FALSE),"-",VLOOKUP(A16,liste_groupe[],3,FALSE),VLOOKUP(A16,liste_groupe[],4,FALSE)," : ",ROUND(K16,0),"%"),CONCATENATE(VLOOKUP(A16,liste_groupe[],5,FALSE)," : ",ROUND(K16,0),"%"))</f>
        <v>#N/A</v>
      </c>
      <c r="O16" s="1"/>
    </row>
    <row r="17" spans="1:15" s="77" customFormat="1" ht="15.75" x14ac:dyDescent="0.25">
      <c r="A17" s="80" t="str">
        <f>'Page de garde'!A24</f>
        <v xml:space="preserve"> </v>
      </c>
      <c r="B17" s="100"/>
      <c r="C17" s="80"/>
      <c r="D17" s="80"/>
      <c r="E17" s="82"/>
      <c r="F17" s="98" t="e">
        <f>HLOOKUP(A17,'pooled normalised values'!$B$74:$V$83,10,FALSE)</f>
        <v>#N/A</v>
      </c>
      <c r="G17" s="129" t="e">
        <f t="shared" si="4"/>
        <v>#N/A</v>
      </c>
      <c r="H17" s="120" t="str">
        <f>IF(VLOOKUP(A17,liste_groupe[],4,FALSE)="%",VLOOKUP(A17,liste_groupe[],3,FALSE)/100,IF(ISBLANK(VLOOKUP(A17,liste_groupe[],4,FALSE)),"Non","Non"))</f>
        <v>Non</v>
      </c>
      <c r="I17" s="129" t="e">
        <f t="shared" si="1"/>
        <v>#N/A</v>
      </c>
      <c r="J17" s="130">
        <v>64</v>
      </c>
      <c r="K17" s="131" t="e">
        <f t="shared" si="2"/>
        <v>#N/A</v>
      </c>
      <c r="L17" s="126"/>
      <c r="M17" s="132" t="e">
        <f t="shared" si="3"/>
        <v>#N/A</v>
      </c>
      <c r="N17" s="93" t="e">
        <f>IF(H17="Non",CONCATENATE(VLOOKUP(A17,liste_groupe[],5,FALSE),"-",VLOOKUP(A17,liste_groupe[],3,FALSE),VLOOKUP(A17,liste_groupe[],4,FALSE)," : ",ROUND(K17,0),"%"),CONCATENATE(VLOOKUP(A17,liste_groupe[],5,FALSE)," : ",ROUND(K17,0),"%"))</f>
        <v>#N/A</v>
      </c>
      <c r="O17" s="1"/>
    </row>
    <row r="18" spans="1:15" s="77" customFormat="1" ht="15.75" x14ac:dyDescent="0.25">
      <c r="A18" s="80" t="str">
        <f>'Page de garde'!A25</f>
        <v xml:space="preserve"> </v>
      </c>
      <c r="B18" s="100"/>
      <c r="C18" s="80"/>
      <c r="D18" s="80"/>
      <c r="E18" s="82"/>
      <c r="F18" s="98" t="e">
        <f>HLOOKUP(A18,'pooled normalised values'!$B$74:$V$83,10,FALSE)</f>
        <v>#N/A</v>
      </c>
      <c r="G18" s="129" t="e">
        <f t="shared" si="4"/>
        <v>#N/A</v>
      </c>
      <c r="H18" s="120" t="str">
        <f>IF(VLOOKUP(A18,liste_groupe[],4,FALSE)="%",VLOOKUP(A18,liste_groupe[],3,FALSE)/100,IF(ISBLANK(VLOOKUP(A18,liste_groupe[],4,FALSE)),"Non","Non"))</f>
        <v>Non</v>
      </c>
      <c r="I18" s="129" t="e">
        <f t="shared" si="1"/>
        <v>#N/A</v>
      </c>
      <c r="J18" s="130">
        <v>64</v>
      </c>
      <c r="K18" s="131" t="e">
        <f t="shared" si="2"/>
        <v>#N/A</v>
      </c>
      <c r="L18" s="126"/>
      <c r="M18" s="132" t="e">
        <f t="shared" si="3"/>
        <v>#N/A</v>
      </c>
      <c r="N18" s="93" t="e">
        <f>IF(H18="Non",CONCATENATE(VLOOKUP(A18,liste_groupe[],5,FALSE),"-",VLOOKUP(A18,liste_groupe[],3,FALSE),VLOOKUP(A18,liste_groupe[],4,FALSE)," : ",ROUND(K18,0),"%"),CONCATENATE(VLOOKUP(A18,liste_groupe[],5,FALSE)," : ",ROUND(K18,0),"%"))</f>
        <v>#N/A</v>
      </c>
      <c r="O18" s="1"/>
    </row>
    <row r="19" spans="1:15" s="77" customFormat="1" ht="15.75" x14ac:dyDescent="0.25">
      <c r="A19" s="80" t="str">
        <f>'Page de garde'!A26</f>
        <v xml:space="preserve"> </v>
      </c>
      <c r="B19" s="100"/>
      <c r="C19" s="80"/>
      <c r="D19" s="80"/>
      <c r="E19" s="82"/>
      <c r="F19" s="98" t="e">
        <f>HLOOKUP(A19,'pooled normalised values'!$B$74:$V$83,10,FALSE)</f>
        <v>#N/A</v>
      </c>
      <c r="G19" s="129" t="e">
        <f t="shared" si="4"/>
        <v>#N/A</v>
      </c>
      <c r="H19" s="120" t="str">
        <f>IF(VLOOKUP(A19,liste_groupe[],4,FALSE)="%",VLOOKUP(A19,liste_groupe[],3,FALSE)/100,IF(ISBLANK(VLOOKUP(A19,liste_groupe[],4,FALSE)),"Non","Non"))</f>
        <v>Non</v>
      </c>
      <c r="I19" s="129" t="e">
        <f t="shared" si="1"/>
        <v>#N/A</v>
      </c>
      <c r="J19" s="130">
        <v>64</v>
      </c>
      <c r="K19" s="131" t="e">
        <f t="shared" si="2"/>
        <v>#N/A</v>
      </c>
      <c r="L19" s="126"/>
      <c r="M19" s="132" t="e">
        <f t="shared" si="3"/>
        <v>#N/A</v>
      </c>
      <c r="N19" s="93" t="e">
        <f>IF(H19="Non",CONCATENATE(VLOOKUP(A19,liste_groupe[],5,FALSE),"-",VLOOKUP(A19,liste_groupe[],3,FALSE),VLOOKUP(A19,liste_groupe[],4,FALSE)," : ",ROUND(K19,0),"%"),CONCATENATE(VLOOKUP(A19,liste_groupe[],5,FALSE)," : ",ROUND(K19,0),"%"))</f>
        <v>#N/A</v>
      </c>
      <c r="O19" s="1"/>
    </row>
    <row r="20" spans="1:15" s="77" customFormat="1" ht="15.75" x14ac:dyDescent="0.25">
      <c r="A20" s="80" t="str">
        <f>'Page de garde'!A27</f>
        <v xml:space="preserve"> </v>
      </c>
      <c r="B20" s="100"/>
      <c r="C20" s="80"/>
      <c r="D20" s="80"/>
      <c r="E20" s="82"/>
      <c r="F20" s="98" t="e">
        <f>HLOOKUP(A20,'pooled normalised values'!$B$74:$V$83,10,FALSE)</f>
        <v>#N/A</v>
      </c>
      <c r="G20" s="129" t="e">
        <f t="shared" si="4"/>
        <v>#N/A</v>
      </c>
      <c r="H20" s="120" t="str">
        <f>IF(VLOOKUP(A20,liste_groupe[],4,FALSE)="%",VLOOKUP(A20,liste_groupe[],3,FALSE)/100,IF(ISBLANK(VLOOKUP(A20,liste_groupe[],4,FALSE)),"Non","Non"))</f>
        <v>Non</v>
      </c>
      <c r="I20" s="129" t="e">
        <f t="shared" si="1"/>
        <v>#N/A</v>
      </c>
      <c r="J20" s="130">
        <v>64</v>
      </c>
      <c r="K20" s="131" t="e">
        <f t="shared" si="2"/>
        <v>#N/A</v>
      </c>
      <c r="L20" s="126"/>
      <c r="M20" s="132" t="e">
        <f t="shared" si="3"/>
        <v>#N/A</v>
      </c>
      <c r="N20" s="93" t="e">
        <f>IF(H20="Non",CONCATENATE(VLOOKUP(A20,liste_groupe[],5,FALSE),"-",VLOOKUP(A20,liste_groupe[],3,FALSE),VLOOKUP(A20,liste_groupe[],4,FALSE)," : ",ROUND(K20,0),"%"),CONCATENATE(VLOOKUP(A20,liste_groupe[],5,FALSE)," : ",ROUND(K20,0),"%"))</f>
        <v>#N/A</v>
      </c>
      <c r="O20" s="1"/>
    </row>
    <row r="21" spans="1:15" s="77" customFormat="1" ht="15.75" x14ac:dyDescent="0.25">
      <c r="A21" s="80" t="str">
        <f>'Page de garde'!A28</f>
        <v xml:space="preserve"> </v>
      </c>
      <c r="B21" s="100"/>
      <c r="C21" s="80"/>
      <c r="D21" s="80"/>
      <c r="E21" s="82"/>
      <c r="F21" s="98" t="e">
        <f>HLOOKUP(A21,'pooled normalised values'!$B$74:$V$83,10,FALSE)</f>
        <v>#N/A</v>
      </c>
      <c r="G21" s="129" t="e">
        <f t="shared" si="4"/>
        <v>#N/A</v>
      </c>
      <c r="H21" s="120" t="str">
        <f>IF(VLOOKUP(A21,liste_groupe[],4,FALSE)="%",VLOOKUP(A21,liste_groupe[],3,FALSE)/100,IF(ISBLANK(VLOOKUP(A21,liste_groupe[],4,FALSE)),"Non","Non"))</f>
        <v>Non</v>
      </c>
      <c r="I21" s="129" t="e">
        <f t="shared" si="1"/>
        <v>#N/A</v>
      </c>
      <c r="J21" s="130">
        <v>64</v>
      </c>
      <c r="K21" s="131" t="e">
        <f t="shared" si="2"/>
        <v>#N/A</v>
      </c>
      <c r="L21" s="126"/>
      <c r="M21" s="132" t="e">
        <f t="shared" si="3"/>
        <v>#N/A</v>
      </c>
      <c r="N21" s="93" t="e">
        <f>IF(H21="Non",CONCATENATE(VLOOKUP(A21,liste_groupe[],5,FALSE),"-",VLOOKUP(A21,liste_groupe[],3,FALSE),VLOOKUP(A21,liste_groupe[],4,FALSE)," : ",ROUND(K21,0),"%"),CONCATENATE(VLOOKUP(A21,liste_groupe[],5,FALSE)," : ",ROUND(K21,0),"%"))</f>
        <v>#N/A</v>
      </c>
      <c r="O21" s="1"/>
    </row>
    <row r="22" spans="1:15" s="77" customFormat="1" ht="15.75" x14ac:dyDescent="0.25">
      <c r="A22" s="80" t="str">
        <f>'Page de garde'!A29</f>
        <v xml:space="preserve"> </v>
      </c>
      <c r="B22" s="100"/>
      <c r="C22" s="80"/>
      <c r="D22" s="80"/>
      <c r="E22" s="82"/>
      <c r="F22" s="98" t="e">
        <f>HLOOKUP(A22,'pooled normalised values'!$B$74:$V$83,10,FALSE)</f>
        <v>#N/A</v>
      </c>
      <c r="G22" s="129" t="e">
        <f t="shared" si="4"/>
        <v>#N/A</v>
      </c>
      <c r="H22" s="120" t="str">
        <f>IF(VLOOKUP(A22,liste_groupe[],4,FALSE)="%",VLOOKUP(A22,liste_groupe[],3,FALSE)/100,IF(ISBLANK(VLOOKUP(A22,liste_groupe[],4,FALSE)),"Non","Non"))</f>
        <v>Non</v>
      </c>
      <c r="I22" s="129" t="e">
        <f t="shared" si="1"/>
        <v>#N/A</v>
      </c>
      <c r="J22" s="130">
        <v>64</v>
      </c>
      <c r="K22" s="131" t="e">
        <f t="shared" si="2"/>
        <v>#N/A</v>
      </c>
      <c r="L22" s="126"/>
      <c r="M22" s="132" t="e">
        <f t="shared" si="3"/>
        <v>#N/A</v>
      </c>
      <c r="N22" s="93" t="e">
        <f>IF(H22="Non",CONCATENATE(VLOOKUP(A22,liste_groupe[],5,FALSE),"-",VLOOKUP(A22,liste_groupe[],3,FALSE),VLOOKUP(A22,liste_groupe[],4,FALSE)," : ",ROUND(K22,0),"%"),CONCATENATE(VLOOKUP(A22,liste_groupe[],5,FALSE)," : ",ROUND(K22,0),"%"))</f>
        <v>#N/A</v>
      </c>
      <c r="O22" s="1"/>
    </row>
    <row r="23" spans="1:15" s="77" customFormat="1" ht="15.75" x14ac:dyDescent="0.25">
      <c r="A23" s="80" t="str">
        <f>'Page de garde'!A30</f>
        <v xml:space="preserve"> </v>
      </c>
      <c r="B23" s="100"/>
      <c r="C23" s="80"/>
      <c r="D23" s="80"/>
      <c r="E23" s="82"/>
      <c r="F23" s="98" t="e">
        <f>HLOOKUP(A23,'pooled normalised values'!$B$74:$V$83,10,FALSE)</f>
        <v>#N/A</v>
      </c>
      <c r="G23" s="129" t="e">
        <f t="shared" si="4"/>
        <v>#N/A</v>
      </c>
      <c r="H23" s="120" t="str">
        <f>IF(VLOOKUP(A23,liste_groupe[],4,FALSE)="%",VLOOKUP(A23,liste_groupe[],3,FALSE)/100,IF(ISBLANK(VLOOKUP(A23,liste_groupe[],4,FALSE)),"Non","Non"))</f>
        <v>Non</v>
      </c>
      <c r="I23" s="129" t="e">
        <f t="shared" si="1"/>
        <v>#N/A</v>
      </c>
      <c r="J23" s="130">
        <v>64</v>
      </c>
      <c r="K23" s="131" t="e">
        <f t="shared" si="2"/>
        <v>#N/A</v>
      </c>
      <c r="L23" s="126"/>
      <c r="M23" s="132" t="e">
        <f t="shared" si="3"/>
        <v>#N/A</v>
      </c>
      <c r="N23" s="93" t="e">
        <f>IF(H23="Non",CONCATENATE(VLOOKUP(A23,liste_groupe[],5,FALSE),"-",VLOOKUP(A23,liste_groupe[],3,FALSE),VLOOKUP(A23,liste_groupe[],4,FALSE)," : ",ROUND(K23,0),"%"),CONCATENATE(VLOOKUP(A23,liste_groupe[],5,FALSE)," : ",ROUND(K23,0),"%"))</f>
        <v>#N/A</v>
      </c>
      <c r="O23" s="1"/>
    </row>
    <row r="24" spans="1:15" s="77" customFormat="1" ht="15.75" x14ac:dyDescent="0.25">
      <c r="A24" s="80" t="str">
        <f>'Page de garde'!A31</f>
        <v xml:space="preserve"> </v>
      </c>
      <c r="B24" s="100"/>
      <c r="C24" s="80"/>
      <c r="D24" s="80"/>
      <c r="E24" s="82"/>
      <c r="F24" s="98" t="e">
        <f>HLOOKUP(A24,'pooled normalised values'!$B$74:$V$83,10,FALSE)</f>
        <v>#N/A</v>
      </c>
      <c r="G24" s="129" t="e">
        <f t="shared" si="4"/>
        <v>#N/A</v>
      </c>
      <c r="H24" s="120" t="str">
        <f>IF(VLOOKUP(A24,liste_groupe[],4,FALSE)="%",VLOOKUP(A24,liste_groupe[],3,FALSE)/100,IF(ISBLANK(VLOOKUP(A24,liste_groupe[],4,FALSE)),"Non","Non"))</f>
        <v>Non</v>
      </c>
      <c r="I24" s="129" t="e">
        <f t="shared" si="1"/>
        <v>#N/A</v>
      </c>
      <c r="J24" s="130">
        <v>64</v>
      </c>
      <c r="K24" s="131" t="e">
        <f t="shared" si="2"/>
        <v>#N/A</v>
      </c>
      <c r="L24" s="126"/>
      <c r="M24" s="132" t="e">
        <f t="shared" si="3"/>
        <v>#N/A</v>
      </c>
      <c r="N24" s="93" t="e">
        <f>IF(H24="Non",CONCATENATE(VLOOKUP(A24,liste_groupe[],5,FALSE),"-",VLOOKUP(A24,liste_groupe[],3,FALSE),VLOOKUP(A24,liste_groupe[],4,FALSE)," : ",ROUND(K24,0),"%"),CONCATENATE(VLOOKUP(A24,liste_groupe[],5,FALSE)," : ",ROUND(K24,0),"%"))</f>
        <v>#N/A</v>
      </c>
      <c r="O24" s="1"/>
    </row>
    <row r="25" spans="1:15" s="77" customFormat="1" ht="15.75" x14ac:dyDescent="0.25">
      <c r="A25" s="80" t="str">
        <f>'Page de garde'!A32</f>
        <v xml:space="preserve"> </v>
      </c>
      <c r="B25" s="100"/>
      <c r="C25" s="80"/>
      <c r="D25" s="80"/>
      <c r="E25" s="82"/>
      <c r="F25" s="98" t="e">
        <f>HLOOKUP(A25,'pooled normalised values'!$B$74:$V$83,10,FALSE)</f>
        <v>#N/A</v>
      </c>
      <c r="G25" s="129" t="e">
        <f t="shared" si="4"/>
        <v>#N/A</v>
      </c>
      <c r="H25" s="120" t="str">
        <f>IF(VLOOKUP(A25,liste_groupe[],4,FALSE)="%",VLOOKUP(A25,liste_groupe[],3,FALSE)/100,IF(ISBLANK(VLOOKUP(A25,liste_groupe[],4,FALSE)),"Non","Non"))</f>
        <v>Non</v>
      </c>
      <c r="I25" s="129" t="e">
        <f t="shared" si="1"/>
        <v>#N/A</v>
      </c>
      <c r="J25" s="130">
        <v>64</v>
      </c>
      <c r="K25" s="131" t="e">
        <f t="shared" si="2"/>
        <v>#N/A</v>
      </c>
      <c r="L25" s="126"/>
      <c r="M25" s="132" t="e">
        <f t="shared" si="3"/>
        <v>#N/A</v>
      </c>
      <c r="N25" s="93" t="e">
        <f>IF(H25="Non",CONCATENATE(VLOOKUP(A25,liste_groupe[],5,FALSE),"-",VLOOKUP(A25,liste_groupe[],3,FALSE),VLOOKUP(A25,liste_groupe[],4,FALSE)," : ",ROUND(K25,0),"%"),CONCATENATE(VLOOKUP(A25,liste_groupe[],5,FALSE)," : ",ROUND(K25,0),"%"))</f>
        <v>#N/A</v>
      </c>
      <c r="O25" s="1"/>
    </row>
    <row r="26" spans="1:15" s="77" customFormat="1" ht="15.75" x14ac:dyDescent="0.25">
      <c r="A26" s="80" t="str">
        <f>'Page de garde'!A33</f>
        <v xml:space="preserve"> </v>
      </c>
      <c r="B26" s="99"/>
      <c r="C26" s="86"/>
      <c r="D26" s="86"/>
      <c r="E26" s="82"/>
      <c r="F26" s="98" t="e">
        <f>HLOOKUP(A26,'pooled normalised values'!$B$74:$V$83,10,FALSE)</f>
        <v>#N/A</v>
      </c>
      <c r="G26" s="129" t="e">
        <f t="shared" ref="G26" si="5">IF(F26="NS","NC",ROUND(B26,2-(1+INT(LOG10(ABS(B26))))))</f>
        <v>#N/A</v>
      </c>
      <c r="H26" s="120" t="str">
        <f>IF(VLOOKUP(A26,liste_groupe[],4,FALSE)="%",VLOOKUP(A26,liste_groupe[],3,FALSE)/100,IF(ISBLANK(VLOOKUP(A26,liste_groupe[],4,FALSE)),"Non","Non"))</f>
        <v>Non</v>
      </c>
      <c r="I26" s="129" t="e">
        <f t="shared" si="1"/>
        <v>#N/A</v>
      </c>
      <c r="J26" s="130">
        <v>64</v>
      </c>
      <c r="K26" s="131" t="e">
        <f t="shared" si="2"/>
        <v>#N/A</v>
      </c>
      <c r="L26" s="126"/>
      <c r="M26" s="132" t="e">
        <f t="shared" si="3"/>
        <v>#N/A</v>
      </c>
      <c r="N26" s="93" t="e">
        <f>IF(H26="Non",CONCATENATE(VLOOKUP(A26,liste_groupe[],5,FALSE),"-",VLOOKUP(A26,liste_groupe[],3,FALSE),VLOOKUP(A26,liste_groupe[],4,FALSE)," : ",ROUND(K26,0),"%"),CONCATENATE(VLOOKUP(A26,liste_groupe[],5,FALSE)," : ",ROUND(K26,0),"%"))</f>
        <v>#N/A</v>
      </c>
      <c r="O26"/>
    </row>
    <row r="27" spans="1:15" s="77" customFormat="1" ht="15.75" x14ac:dyDescent="0.25">
      <c r="A27"/>
      <c r="B27"/>
      <c r="C27"/>
      <c r="D27"/>
      <c r="E27"/>
      <c r="F27"/>
      <c r="G27"/>
      <c r="H27"/>
      <c r="I27"/>
      <c r="J27"/>
      <c r="K27"/>
      <c r="L27"/>
      <c r="M27"/>
      <c r="N27"/>
      <c r="O27" s="1"/>
    </row>
    <row r="28" spans="1:15" s="77" customFormat="1" ht="32.25" thickBot="1" x14ac:dyDescent="0.3">
      <c r="A28"/>
      <c r="B28" s="88" t="s">
        <v>25</v>
      </c>
      <c r="C28" s="88" t="s">
        <v>26</v>
      </c>
      <c r="D28" s="88" t="s">
        <v>27</v>
      </c>
      <c r="E28" s="89" t="s">
        <v>64</v>
      </c>
      <c r="F28" s="127" t="s">
        <v>80</v>
      </c>
      <c r="G28" s="95" t="s">
        <v>42</v>
      </c>
      <c r="H28" s="95" t="s">
        <v>65</v>
      </c>
      <c r="I28" s="95" t="s">
        <v>66</v>
      </c>
      <c r="J28" s="96" t="s">
        <v>77</v>
      </c>
      <c r="K28" s="96" t="s">
        <v>67</v>
      </c>
      <c r="L28" s="97" t="s">
        <v>76</v>
      </c>
      <c r="M28" s="97" t="s">
        <v>68</v>
      </c>
      <c r="N28" s="97" t="s">
        <v>69</v>
      </c>
      <c r="O28" s="1"/>
    </row>
    <row r="29" spans="1:15" s="77" customFormat="1" ht="15.75" x14ac:dyDescent="0.25">
      <c r="A29" s="84" t="s">
        <v>29</v>
      </c>
      <c r="B29" s="100"/>
      <c r="C29" s="80"/>
      <c r="D29" s="80"/>
      <c r="E29" s="82"/>
      <c r="F29" s="91"/>
      <c r="G29" s="134"/>
      <c r="H29" s="121"/>
      <c r="I29" s="121"/>
      <c r="J29" s="122"/>
      <c r="K29" s="123"/>
      <c r="L29" s="125"/>
      <c r="M29" s="122"/>
      <c r="N29" s="92"/>
      <c r="O29"/>
    </row>
    <row r="30" spans="1:15" s="77" customFormat="1" ht="15.75" x14ac:dyDescent="0.25">
      <c r="A30" s="84" t="s">
        <v>31</v>
      </c>
      <c r="B30" s="100"/>
      <c r="C30" s="80"/>
      <c r="D30" s="80"/>
      <c r="E30" s="82"/>
      <c r="F30" s="91"/>
      <c r="G30" s="133" t="e">
        <f>IF(F30="NS","NC",ROUND(B30-$B$29,2-(1+INT(LOG10(ABS(B30-$B$29))))))</f>
        <v>#NUM!</v>
      </c>
      <c r="H30" s="121"/>
      <c r="I30" s="134"/>
      <c r="J30" s="135"/>
      <c r="K30" s="136"/>
      <c r="L30" s="135"/>
      <c r="M30" s="135"/>
      <c r="N30" s="137"/>
      <c r="O30"/>
    </row>
    <row r="31" spans="1:15" s="77" customFormat="1" ht="15.75" x14ac:dyDescent="0.25">
      <c r="A31" s="84" t="s">
        <v>30</v>
      </c>
      <c r="B31" s="100"/>
      <c r="C31" s="80"/>
      <c r="D31" s="80"/>
      <c r="E31" s="82"/>
      <c r="F31" s="91"/>
      <c r="G31" s="133" t="e">
        <f t="shared" ref="G31:G51" si="6">IF(F31="NS","NC",ROUND(B31-$B$29,2-(1+INT(LOG10(ABS(B31-$B$29))))))</f>
        <v>#NUM!</v>
      </c>
      <c r="H31" s="121"/>
      <c r="I31" s="134"/>
      <c r="J31" s="135"/>
      <c r="K31" s="136"/>
      <c r="L31" s="135"/>
      <c r="M31" s="135"/>
      <c r="N31" s="137"/>
    </row>
    <row r="32" spans="1:15" s="77" customFormat="1" ht="15.75" x14ac:dyDescent="0.25">
      <c r="A32" s="128" t="str">
        <f>'Page de garde'!A38</f>
        <v>Cromolyn-0,1µg/L + Testostérone</v>
      </c>
      <c r="B32" s="100"/>
      <c r="C32" s="80"/>
      <c r="D32" s="80"/>
      <c r="E32" s="82"/>
      <c r="F32" s="94" t="str">
        <f>HLOOKUP(A32,'pooled normalised values'!$B$74:$V$83,10,FALSE)</f>
        <v>NS</v>
      </c>
      <c r="G32" s="133" t="str">
        <f t="shared" si="6"/>
        <v>NC</v>
      </c>
      <c r="H32" s="124" t="str">
        <f>IF(VLOOKUP(A32,liste_groupe[],4,FALSE)="%",VLOOKUP(A32,liste_groupe[],3,FALSE)/100,IF(ISBLANK(VLOOKUP(A32,liste_groupe[],4,FALSE)),"Non","Non"))</f>
        <v>Non</v>
      </c>
      <c r="I32" s="133" t="str">
        <f>IF(F32="NS","NC",IF(H32="Non",G32,G32*(1/H32)))</f>
        <v>NC</v>
      </c>
      <c r="J32" s="138" t="e">
        <f>IF(G32&lt;0,$G$31,$G$30)</f>
        <v>#NUM!</v>
      </c>
      <c r="K32" s="139">
        <f>IF(F32="NS",0,IF(I32&lt;0,-ROUND(I32/J32*100,0),ROUND(I32/J32*100,0)))</f>
        <v>0</v>
      </c>
      <c r="L32" s="140">
        <v>1</v>
      </c>
      <c r="M32" s="132">
        <f>IF(I32&lt;0,IF(K32&lt;-100,-125,K32),IF(K32&gt;100,125,K32))</f>
        <v>0</v>
      </c>
      <c r="N32" s="141" t="str">
        <f>IF(H32="Non",CONCATENATE(VLOOKUP(A32,liste_groupe[],5,FALSE),"-",VLOOKUP(A32,liste_groupe[],3,FALSE),VLOOKUP(A32,liste_groupe[],4,FALSE)," : ",ROUND(K32,0),"%"),CONCATENATE(VLOOKUP(A32,liste_groupe[],5,FALSE)," : ",ROUND(K32,0),"%"))</f>
        <v>Cromolyn-0,1µg/L : 0%</v>
      </c>
    </row>
    <row r="33" spans="1:14" s="77" customFormat="1" ht="15.75" x14ac:dyDescent="0.25">
      <c r="A33" s="128" t="str">
        <f>'Page de garde'!A39</f>
        <v>Cromolyn-1µg/L + Testostérone</v>
      </c>
      <c r="B33" s="99"/>
      <c r="C33" s="87"/>
      <c r="D33" s="87"/>
      <c r="E33" s="82"/>
      <c r="F33" s="94" t="str">
        <f>HLOOKUP(A33,'pooled normalised values'!$B$74:$V$83,10,FALSE)</f>
        <v>*</v>
      </c>
      <c r="G33" s="133" t="e">
        <f>IF(F33="NS","NC",ROUND(B33-$B$29,2-(1+INT(LOG10(ABS(B33-$B$29))))))</f>
        <v>#NUM!</v>
      </c>
      <c r="H33" s="124" t="str">
        <f>IF(VLOOKUP(A33,liste_groupe[],4,FALSE)="%",VLOOKUP(A33,liste_groupe[],3,FALSE)/100,IF(ISBLANK(VLOOKUP(A33,liste_groupe[],4,FALSE)),"Non","Non"))</f>
        <v>Non</v>
      </c>
      <c r="I33" s="133" t="e">
        <f t="shared" ref="I33:I51" si="7">IF(F33="NS","NC",IF(H33="Non",G33,G33*(1/H33)))</f>
        <v>#NUM!</v>
      </c>
      <c r="J33" s="138" t="e">
        <f t="shared" ref="J33:J51" si="8">IF(G33&lt;0,$G$31,$G$30)</f>
        <v>#NUM!</v>
      </c>
      <c r="K33" s="139" t="e">
        <f t="shared" ref="K33:K51" si="9">IF(F33="NS",0,IF(I33&lt;0,-ROUND(I33/J33*100,0),ROUND(I33/J33*100,0)))</f>
        <v>#NUM!</v>
      </c>
      <c r="L33" s="140"/>
      <c r="M33" s="132" t="e">
        <f t="shared" ref="M33:M51" si="10">IF(I33&lt;0,IF(K33&lt;-100,-125,K33),IF(K33&gt;100,125,K33))</f>
        <v>#NUM!</v>
      </c>
      <c r="N33" s="141" t="e">
        <f>IF(H33="Non",CONCATENATE(VLOOKUP(A33,liste_groupe[],5,FALSE),"-",VLOOKUP(A33,liste_groupe[],3,FALSE),VLOOKUP(A33,liste_groupe[],4,FALSE)," : ",ROUND(K33,0),"%"),CONCATENATE(VLOOKUP(A33,liste_groupe[],5,FALSE)," : ",ROUND(K33,0),"%"))</f>
        <v>#NUM!</v>
      </c>
    </row>
    <row r="34" spans="1:14" s="77" customFormat="1" ht="15.75" x14ac:dyDescent="0.25">
      <c r="A34" s="128" t="str">
        <f>'Page de garde'!A40</f>
        <v>Cromolyn-10µg/L + Testostérone</v>
      </c>
      <c r="B34" s="100"/>
      <c r="C34" s="80"/>
      <c r="D34" s="80"/>
      <c r="E34" s="82"/>
      <c r="F34" s="94" t="str">
        <f>HLOOKUP(A34,'pooled normalised values'!$B$74:$V$83,10,FALSE)</f>
        <v>NS</v>
      </c>
      <c r="G34" s="133" t="str">
        <f t="shared" si="6"/>
        <v>NC</v>
      </c>
      <c r="H34" s="124" t="str">
        <f>IF(VLOOKUP(A34,liste_groupe[],4,FALSE)="%",VLOOKUP(A34,liste_groupe[],3,FALSE)/100,IF(ISBLANK(VLOOKUP(A34,liste_groupe[],4,FALSE)),"Non","Non"))</f>
        <v>Non</v>
      </c>
      <c r="I34" s="133" t="str">
        <f t="shared" si="7"/>
        <v>NC</v>
      </c>
      <c r="J34" s="138" t="e">
        <f t="shared" si="8"/>
        <v>#NUM!</v>
      </c>
      <c r="K34" s="139">
        <f t="shared" si="9"/>
        <v>0</v>
      </c>
      <c r="L34" s="140"/>
      <c r="M34" s="132">
        <f t="shared" si="10"/>
        <v>0</v>
      </c>
      <c r="N34" s="141" t="str">
        <f>IF(H34="Non",CONCATENATE(VLOOKUP(A34,liste_groupe[],5,FALSE),"-",VLOOKUP(A34,liste_groupe[],3,FALSE),VLOOKUP(A34,liste_groupe[],4,FALSE)," : ",ROUND(K34,0),"%"),CONCATENATE(VLOOKUP(A34,liste_groupe[],5,FALSE)," : ",ROUND(K34,0),"%"))</f>
        <v>Cromolyn-10µg/L : 0%</v>
      </c>
    </row>
    <row r="35" spans="1:14" s="77" customFormat="1" ht="15.75" x14ac:dyDescent="0.25">
      <c r="A35" s="128" t="str">
        <f>'Page de garde'!A41</f>
        <v>Cromolyn-100µg/L + Testostérone</v>
      </c>
      <c r="B35" s="99"/>
      <c r="C35" s="87"/>
      <c r="D35" s="87"/>
      <c r="E35" s="82"/>
      <c r="F35" s="94" t="str">
        <f>HLOOKUP(A35,'pooled normalised values'!$B$74:$V$83,10,FALSE)</f>
        <v>NS</v>
      </c>
      <c r="G35" s="133" t="str">
        <f t="shared" si="6"/>
        <v>NC</v>
      </c>
      <c r="H35" s="124" t="str">
        <f>IF(VLOOKUP(A35,liste_groupe[],4,FALSE)="%",VLOOKUP(A35,liste_groupe[],3,FALSE)/100,IF(ISBLANK(VLOOKUP(A35,liste_groupe[],4,FALSE)),"Non","Non"))</f>
        <v>Non</v>
      </c>
      <c r="I35" s="133" t="str">
        <f t="shared" si="7"/>
        <v>NC</v>
      </c>
      <c r="J35" s="138" t="e">
        <f t="shared" si="8"/>
        <v>#NUM!</v>
      </c>
      <c r="K35" s="139">
        <f t="shared" si="9"/>
        <v>0</v>
      </c>
      <c r="L35" s="140"/>
      <c r="M35" s="132">
        <f t="shared" si="10"/>
        <v>0</v>
      </c>
      <c r="N35" s="141" t="str">
        <f>IF(H35="Non",CONCATENATE(VLOOKUP(A35,liste_groupe[],5,FALSE),"-",VLOOKUP(A35,liste_groupe[],3,FALSE),VLOOKUP(A35,liste_groupe[],4,FALSE)," : ",ROUND(K35,0),"%"),CONCATENATE(VLOOKUP(A35,liste_groupe[],5,FALSE)," : ",ROUND(K35,0),"%"))</f>
        <v>Cromolyn-100µg/L : 0%</v>
      </c>
    </row>
    <row r="36" spans="1:14" s="77" customFormat="1" ht="15.75" x14ac:dyDescent="0.25">
      <c r="A36" s="128" t="str">
        <f>'Page de garde'!A42</f>
        <v>Cromolyn-1000µg/L + Testostérone</v>
      </c>
      <c r="B36" s="99"/>
      <c r="C36" s="87"/>
      <c r="D36" s="87"/>
      <c r="E36" s="82"/>
      <c r="F36" s="94" t="str">
        <f>HLOOKUP(A36,'pooled normalised values'!$B$74:$V$83,10,FALSE)</f>
        <v>NS</v>
      </c>
      <c r="G36" s="133" t="str">
        <f t="shared" si="6"/>
        <v>NC</v>
      </c>
      <c r="H36" s="124" t="str">
        <f>IF(VLOOKUP(A36,liste_groupe[],4,FALSE)="%",VLOOKUP(A36,liste_groupe[],3,FALSE)/100,IF(ISBLANK(VLOOKUP(A36,liste_groupe[],4,FALSE)),"Non","Non"))</f>
        <v>Non</v>
      </c>
      <c r="I36" s="133" t="str">
        <f t="shared" si="7"/>
        <v>NC</v>
      </c>
      <c r="J36" s="138" t="e">
        <f t="shared" si="8"/>
        <v>#NUM!</v>
      </c>
      <c r="K36" s="139">
        <f t="shared" si="9"/>
        <v>0</v>
      </c>
      <c r="L36" s="140"/>
      <c r="M36" s="132">
        <f t="shared" si="10"/>
        <v>0</v>
      </c>
      <c r="N36" s="141" t="str">
        <f>IF(H36="Non",CONCATENATE(VLOOKUP(A36,liste_groupe[],5,FALSE),"-",VLOOKUP(A36,liste_groupe[],3,FALSE),VLOOKUP(A36,liste_groupe[],4,FALSE)," : ",ROUND(K36,0),"%"),CONCATENATE(VLOOKUP(A36,liste_groupe[],5,FALSE)," : ",ROUND(K36,0),"%"))</f>
        <v>Cromolyn-1000µg/L : 0%</v>
      </c>
    </row>
    <row r="37" spans="1:14" s="77" customFormat="1" ht="15.75" x14ac:dyDescent="0.25">
      <c r="A37" s="128" t="str">
        <f>'Page de garde'!A43</f>
        <v>0-00 + Testostérone</v>
      </c>
      <c r="B37" s="99"/>
      <c r="C37" s="87"/>
      <c r="D37" s="87"/>
      <c r="E37" s="82"/>
      <c r="F37" s="94" t="e">
        <f>HLOOKUP(A37,'pooled normalised values'!$B$74:$V$83,10,FALSE)</f>
        <v>#N/A</v>
      </c>
      <c r="G37" s="133" t="e">
        <f t="shared" si="6"/>
        <v>#N/A</v>
      </c>
      <c r="H37" s="124" t="str">
        <f>IF(VLOOKUP(A37,liste_groupe[],4,FALSE)="%",VLOOKUP(A37,liste_groupe[],3,FALSE)/100,IF(ISBLANK(VLOOKUP(A37,liste_groupe[],4,FALSE)),"Non","Non"))</f>
        <v>Non</v>
      </c>
      <c r="I37" s="133" t="e">
        <f t="shared" si="7"/>
        <v>#N/A</v>
      </c>
      <c r="J37" s="138" t="e">
        <f t="shared" si="8"/>
        <v>#N/A</v>
      </c>
      <c r="K37" s="139" t="e">
        <f t="shared" si="9"/>
        <v>#N/A</v>
      </c>
      <c r="L37" s="140"/>
      <c r="M37" s="132" t="e">
        <f t="shared" si="10"/>
        <v>#N/A</v>
      </c>
      <c r="N37" s="141" t="e">
        <f>IF(H37="Non",CONCATENATE(VLOOKUP(A37,liste_groupe[],5,FALSE),"-",VLOOKUP(A37,liste_groupe[],3,FALSE),VLOOKUP(A37,liste_groupe[],4,FALSE)," : ",ROUND(K37,0),"%"),CONCATENATE(VLOOKUP(A37,liste_groupe[],5,FALSE)," : ",ROUND(K37,0),"%"))</f>
        <v>#N/A</v>
      </c>
    </row>
    <row r="38" spans="1:14" s="77" customFormat="1" ht="15.75" x14ac:dyDescent="0.25">
      <c r="A38" s="128" t="str">
        <f>'Page de garde'!A44</f>
        <v>0-00 + Testostérone</v>
      </c>
      <c r="B38" s="99"/>
      <c r="C38" s="87"/>
      <c r="D38" s="87"/>
      <c r="E38" s="82"/>
      <c r="F38" s="94" t="e">
        <f>HLOOKUP(A38,'pooled normalised values'!$B$74:$V$83,10,FALSE)</f>
        <v>#N/A</v>
      </c>
      <c r="G38" s="133" t="e">
        <f t="shared" si="6"/>
        <v>#N/A</v>
      </c>
      <c r="H38" s="124" t="str">
        <f>IF(VLOOKUP(A38,liste_groupe[],4,FALSE)="%",VLOOKUP(A38,liste_groupe[],3,FALSE)/100,IF(ISBLANK(VLOOKUP(A38,liste_groupe[],4,FALSE)),"Non","Non"))</f>
        <v>Non</v>
      </c>
      <c r="I38" s="133" t="e">
        <f t="shared" si="7"/>
        <v>#N/A</v>
      </c>
      <c r="J38" s="138" t="e">
        <f t="shared" si="8"/>
        <v>#N/A</v>
      </c>
      <c r="K38" s="139" t="e">
        <f t="shared" si="9"/>
        <v>#N/A</v>
      </c>
      <c r="L38" s="140"/>
      <c r="M38" s="132" t="e">
        <f t="shared" si="10"/>
        <v>#N/A</v>
      </c>
      <c r="N38" s="141" t="e">
        <f>IF(H38="Non",CONCATENATE(VLOOKUP(A38,liste_groupe[],5,FALSE),"-",VLOOKUP(A38,liste_groupe[],3,FALSE),VLOOKUP(A38,liste_groupe[],4,FALSE)," : ",ROUND(K38,0),"%"),CONCATENATE(VLOOKUP(A38,liste_groupe[],5,FALSE)," : ",ROUND(K38,0),"%"))</f>
        <v>#N/A</v>
      </c>
    </row>
    <row r="39" spans="1:14" s="77" customFormat="1" ht="15.75" x14ac:dyDescent="0.25">
      <c r="A39" s="128" t="str">
        <f>'Page de garde'!A45</f>
        <v>0-00 + Testostérone</v>
      </c>
      <c r="B39" s="99"/>
      <c r="C39" s="87"/>
      <c r="D39" s="87"/>
      <c r="E39" s="82"/>
      <c r="F39" s="94" t="e">
        <f>HLOOKUP(A39,'pooled normalised values'!$B$74:$V$83,10,FALSE)</f>
        <v>#N/A</v>
      </c>
      <c r="G39" s="133" t="e">
        <f t="shared" ref="G39:G50" si="11">IF(F39="NS","NC",ROUND(B39-$B$29,2-(1+INT(LOG10(ABS(B39-$B$29))))))</f>
        <v>#N/A</v>
      </c>
      <c r="H39" s="124" t="str">
        <f>IF(VLOOKUP(A39,liste_groupe[],4,FALSE)="%",VLOOKUP(A39,liste_groupe[],3,FALSE)/100,IF(ISBLANK(VLOOKUP(A39,liste_groupe[],4,FALSE)),"Non","Non"))</f>
        <v>Non</v>
      </c>
      <c r="I39" s="133" t="e">
        <f t="shared" si="7"/>
        <v>#N/A</v>
      </c>
      <c r="J39" s="138" t="e">
        <f t="shared" ref="J39:J50" si="12">IF(G39&lt;0,$G$31,$G$30)</f>
        <v>#N/A</v>
      </c>
      <c r="K39" s="139" t="e">
        <f t="shared" si="9"/>
        <v>#N/A</v>
      </c>
      <c r="L39" s="140"/>
      <c r="M39" s="132" t="e">
        <f t="shared" si="10"/>
        <v>#N/A</v>
      </c>
      <c r="N39" s="141" t="e">
        <f>IF(H39="Non",CONCATENATE(VLOOKUP(A39,liste_groupe[],5,FALSE),"-",VLOOKUP(A39,liste_groupe[],3,FALSE),VLOOKUP(A39,liste_groupe[],4,FALSE)," : ",ROUND(K39,0),"%"),CONCATENATE(VLOOKUP(A39,liste_groupe[],5,FALSE)," : ",ROUND(K39,0),"%"))</f>
        <v>#N/A</v>
      </c>
    </row>
    <row r="40" spans="1:14" s="77" customFormat="1" ht="15.75" x14ac:dyDescent="0.25">
      <c r="A40" s="128" t="str">
        <f>'Page de garde'!A46</f>
        <v>0-00 + Testostérone</v>
      </c>
      <c r="B40" s="99"/>
      <c r="C40" s="87"/>
      <c r="D40" s="87"/>
      <c r="E40" s="82"/>
      <c r="F40" s="94" t="e">
        <f>HLOOKUP(A40,'pooled normalised values'!$B$74:$V$83,10,FALSE)</f>
        <v>#N/A</v>
      </c>
      <c r="G40" s="133" t="e">
        <f t="shared" si="11"/>
        <v>#N/A</v>
      </c>
      <c r="H40" s="124" t="str">
        <f>IF(VLOOKUP(A40,liste_groupe[],4,FALSE)="%",VLOOKUP(A40,liste_groupe[],3,FALSE)/100,IF(ISBLANK(VLOOKUP(A40,liste_groupe[],4,FALSE)),"Non","Non"))</f>
        <v>Non</v>
      </c>
      <c r="I40" s="133" t="e">
        <f t="shared" si="7"/>
        <v>#N/A</v>
      </c>
      <c r="J40" s="138" t="e">
        <f t="shared" si="12"/>
        <v>#N/A</v>
      </c>
      <c r="K40" s="139" t="e">
        <f t="shared" si="9"/>
        <v>#N/A</v>
      </c>
      <c r="L40" s="140"/>
      <c r="M40" s="132" t="e">
        <f t="shared" si="10"/>
        <v>#N/A</v>
      </c>
      <c r="N40" s="141" t="e">
        <f>IF(H40="Non",CONCATENATE(VLOOKUP(A40,liste_groupe[],5,FALSE),"-",VLOOKUP(A40,liste_groupe[],3,FALSE),VLOOKUP(A40,liste_groupe[],4,FALSE)," : ",ROUND(K40,0),"%"),CONCATENATE(VLOOKUP(A40,liste_groupe[],5,FALSE)," : ",ROUND(K40,0),"%"))</f>
        <v>#N/A</v>
      </c>
    </row>
    <row r="41" spans="1:14" s="77" customFormat="1" ht="15.75" x14ac:dyDescent="0.25">
      <c r="A41" s="128" t="str">
        <f>'Page de garde'!A47</f>
        <v>0-00 + Testostérone</v>
      </c>
      <c r="B41" s="99"/>
      <c r="C41" s="87"/>
      <c r="D41" s="87"/>
      <c r="E41" s="82"/>
      <c r="F41" s="94" t="e">
        <f>HLOOKUP(A41,'pooled normalised values'!$B$74:$V$83,10,FALSE)</f>
        <v>#N/A</v>
      </c>
      <c r="G41" s="133" t="e">
        <f t="shared" si="11"/>
        <v>#N/A</v>
      </c>
      <c r="H41" s="124" t="str">
        <f>IF(VLOOKUP(A41,liste_groupe[],4,FALSE)="%",VLOOKUP(A41,liste_groupe[],3,FALSE)/100,IF(ISBLANK(VLOOKUP(A41,liste_groupe[],4,FALSE)),"Non","Non"))</f>
        <v>Non</v>
      </c>
      <c r="I41" s="133" t="e">
        <f t="shared" si="7"/>
        <v>#N/A</v>
      </c>
      <c r="J41" s="138" t="e">
        <f t="shared" si="12"/>
        <v>#N/A</v>
      </c>
      <c r="K41" s="139" t="e">
        <f t="shared" si="9"/>
        <v>#N/A</v>
      </c>
      <c r="L41" s="140"/>
      <c r="M41" s="132" t="e">
        <f t="shared" si="10"/>
        <v>#N/A</v>
      </c>
      <c r="N41" s="141" t="e">
        <f>IF(H41="Non",CONCATENATE(VLOOKUP(A41,liste_groupe[],5,FALSE),"-",VLOOKUP(A41,liste_groupe[],3,FALSE),VLOOKUP(A41,liste_groupe[],4,FALSE)," : ",ROUND(K41,0),"%"),CONCATENATE(VLOOKUP(A41,liste_groupe[],5,FALSE)," : ",ROUND(K41,0),"%"))</f>
        <v>#N/A</v>
      </c>
    </row>
    <row r="42" spans="1:14" s="77" customFormat="1" ht="15.75" x14ac:dyDescent="0.25">
      <c r="A42" s="128" t="str">
        <f>'Page de garde'!A48</f>
        <v>0-00 + Testostérone</v>
      </c>
      <c r="B42" s="99"/>
      <c r="C42" s="87"/>
      <c r="D42" s="87"/>
      <c r="E42" s="82"/>
      <c r="F42" s="94" t="e">
        <f>HLOOKUP(A42,'pooled normalised values'!$B$74:$V$83,10,FALSE)</f>
        <v>#N/A</v>
      </c>
      <c r="G42" s="133" t="e">
        <f t="shared" si="11"/>
        <v>#N/A</v>
      </c>
      <c r="H42" s="124" t="str">
        <f>IF(VLOOKUP(A42,liste_groupe[],4,FALSE)="%",VLOOKUP(A42,liste_groupe[],3,FALSE)/100,IF(ISBLANK(VLOOKUP(A42,liste_groupe[],4,FALSE)),"Non","Non"))</f>
        <v>Non</v>
      </c>
      <c r="I42" s="133" t="e">
        <f t="shared" si="7"/>
        <v>#N/A</v>
      </c>
      <c r="J42" s="138" t="e">
        <f t="shared" si="12"/>
        <v>#N/A</v>
      </c>
      <c r="K42" s="139" t="e">
        <f t="shared" si="9"/>
        <v>#N/A</v>
      </c>
      <c r="L42" s="140"/>
      <c r="M42" s="132" t="e">
        <f t="shared" si="10"/>
        <v>#N/A</v>
      </c>
      <c r="N42" s="141" t="e">
        <f>IF(H42="Non",CONCATENATE(VLOOKUP(A42,liste_groupe[],5,FALSE),"-",VLOOKUP(A42,liste_groupe[],3,FALSE),VLOOKUP(A42,liste_groupe[],4,FALSE)," : ",ROUND(K42,0),"%"),CONCATENATE(VLOOKUP(A42,liste_groupe[],5,FALSE)," : ",ROUND(K42,0),"%"))</f>
        <v>#N/A</v>
      </c>
    </row>
    <row r="43" spans="1:14" s="77" customFormat="1" ht="15.75" x14ac:dyDescent="0.25">
      <c r="A43" s="128" t="str">
        <f>'Page de garde'!A49</f>
        <v>0-00 + Testostérone</v>
      </c>
      <c r="B43" s="99"/>
      <c r="C43" s="87"/>
      <c r="D43" s="87"/>
      <c r="E43" s="82"/>
      <c r="F43" s="94" t="e">
        <f>HLOOKUP(A43,'pooled normalised values'!$B$74:$V$83,10,FALSE)</f>
        <v>#N/A</v>
      </c>
      <c r="G43" s="133" t="e">
        <f t="shared" si="11"/>
        <v>#N/A</v>
      </c>
      <c r="H43" s="124" t="str">
        <f>IF(VLOOKUP(A43,liste_groupe[],4,FALSE)="%",VLOOKUP(A43,liste_groupe[],3,FALSE)/100,IF(ISBLANK(VLOOKUP(A43,liste_groupe[],4,FALSE)),"Non","Non"))</f>
        <v>Non</v>
      </c>
      <c r="I43" s="133" t="e">
        <f t="shared" si="7"/>
        <v>#N/A</v>
      </c>
      <c r="J43" s="138" t="e">
        <f t="shared" si="12"/>
        <v>#N/A</v>
      </c>
      <c r="K43" s="139" t="e">
        <f t="shared" si="9"/>
        <v>#N/A</v>
      </c>
      <c r="L43" s="140"/>
      <c r="M43" s="132" t="e">
        <f t="shared" si="10"/>
        <v>#N/A</v>
      </c>
      <c r="N43" s="141" t="e">
        <f>IF(H43="Non",CONCATENATE(VLOOKUP(A43,liste_groupe[],5,FALSE),"-",VLOOKUP(A43,liste_groupe[],3,FALSE),VLOOKUP(A43,liste_groupe[],4,FALSE)," : ",ROUND(K43,0),"%"),CONCATENATE(VLOOKUP(A43,liste_groupe[],5,FALSE)," : ",ROUND(K43,0),"%"))</f>
        <v>#N/A</v>
      </c>
    </row>
    <row r="44" spans="1:14" s="77" customFormat="1" ht="15.75" x14ac:dyDescent="0.25">
      <c r="A44" s="128" t="str">
        <f>'Page de garde'!A50</f>
        <v>0-00 + Testostérone</v>
      </c>
      <c r="B44" s="99"/>
      <c r="C44" s="87"/>
      <c r="D44" s="87"/>
      <c r="E44" s="82"/>
      <c r="F44" s="94" t="e">
        <f>HLOOKUP(A44,'pooled normalised values'!$B$74:$V$83,10,FALSE)</f>
        <v>#N/A</v>
      </c>
      <c r="G44" s="133" t="e">
        <f t="shared" si="11"/>
        <v>#N/A</v>
      </c>
      <c r="H44" s="124" t="str">
        <f>IF(VLOOKUP(A44,liste_groupe[],4,FALSE)="%",VLOOKUP(A44,liste_groupe[],3,FALSE)/100,IF(ISBLANK(VLOOKUP(A44,liste_groupe[],4,FALSE)),"Non","Non"))</f>
        <v>Non</v>
      </c>
      <c r="I44" s="133" t="e">
        <f t="shared" si="7"/>
        <v>#N/A</v>
      </c>
      <c r="J44" s="138" t="e">
        <f t="shared" si="12"/>
        <v>#N/A</v>
      </c>
      <c r="K44" s="139" t="e">
        <f t="shared" si="9"/>
        <v>#N/A</v>
      </c>
      <c r="L44" s="140"/>
      <c r="M44" s="132" t="e">
        <f t="shared" si="10"/>
        <v>#N/A</v>
      </c>
      <c r="N44" s="141" t="e">
        <f>IF(H44="Non",CONCATENATE(VLOOKUP(A44,liste_groupe[],5,FALSE),"-",VLOOKUP(A44,liste_groupe[],3,FALSE),VLOOKUP(A44,liste_groupe[],4,FALSE)," : ",ROUND(K44,0),"%"),CONCATENATE(VLOOKUP(A44,liste_groupe[],5,FALSE)," : ",ROUND(K44,0),"%"))</f>
        <v>#N/A</v>
      </c>
    </row>
    <row r="45" spans="1:14" s="77" customFormat="1" ht="15.75" x14ac:dyDescent="0.25">
      <c r="A45" s="128" t="str">
        <f>'Page de garde'!A51</f>
        <v>0-00 + Testostérone</v>
      </c>
      <c r="B45" s="99"/>
      <c r="C45" s="87"/>
      <c r="D45" s="87"/>
      <c r="E45" s="82"/>
      <c r="F45" s="94" t="e">
        <f>HLOOKUP(A45,'pooled normalised values'!$B$74:$V$83,10,FALSE)</f>
        <v>#N/A</v>
      </c>
      <c r="G45" s="133" t="e">
        <f t="shared" si="11"/>
        <v>#N/A</v>
      </c>
      <c r="H45" s="124" t="str">
        <f>IF(VLOOKUP(A45,liste_groupe[],4,FALSE)="%",VLOOKUP(A45,liste_groupe[],3,FALSE)/100,IF(ISBLANK(VLOOKUP(A45,liste_groupe[],4,FALSE)),"Non","Non"))</f>
        <v>Non</v>
      </c>
      <c r="I45" s="133" t="e">
        <f t="shared" si="7"/>
        <v>#N/A</v>
      </c>
      <c r="J45" s="138" t="e">
        <f t="shared" si="12"/>
        <v>#N/A</v>
      </c>
      <c r="K45" s="139" t="e">
        <f t="shared" si="9"/>
        <v>#N/A</v>
      </c>
      <c r="L45" s="140"/>
      <c r="M45" s="132" t="e">
        <f t="shared" si="10"/>
        <v>#N/A</v>
      </c>
      <c r="N45" s="141" t="e">
        <f>IF(H45="Non",CONCATENATE(VLOOKUP(A45,liste_groupe[],5,FALSE),"-",VLOOKUP(A45,liste_groupe[],3,FALSE),VLOOKUP(A45,liste_groupe[],4,FALSE)," : ",ROUND(K45,0),"%"),CONCATENATE(VLOOKUP(A45,liste_groupe[],5,FALSE)," : ",ROUND(K45,0),"%"))</f>
        <v>#N/A</v>
      </c>
    </row>
    <row r="46" spans="1:14" s="77" customFormat="1" ht="15.75" x14ac:dyDescent="0.25">
      <c r="A46" s="128" t="str">
        <f>'Page de garde'!A52</f>
        <v>0-00 + Testostérone</v>
      </c>
      <c r="B46" s="99"/>
      <c r="C46" s="87"/>
      <c r="D46" s="87"/>
      <c r="E46" s="82"/>
      <c r="F46" s="94" t="e">
        <f>HLOOKUP(A46,'pooled normalised values'!$B$74:$V$83,10,FALSE)</f>
        <v>#N/A</v>
      </c>
      <c r="G46" s="133" t="e">
        <f t="shared" si="11"/>
        <v>#N/A</v>
      </c>
      <c r="H46" s="124" t="str">
        <f>IF(VLOOKUP(A46,liste_groupe[],4,FALSE)="%",VLOOKUP(A46,liste_groupe[],3,FALSE)/100,IF(ISBLANK(VLOOKUP(A46,liste_groupe[],4,FALSE)),"Non","Non"))</f>
        <v>Non</v>
      </c>
      <c r="I46" s="133" t="e">
        <f t="shared" si="7"/>
        <v>#N/A</v>
      </c>
      <c r="J46" s="138" t="e">
        <f t="shared" si="12"/>
        <v>#N/A</v>
      </c>
      <c r="K46" s="139" t="e">
        <f t="shared" si="9"/>
        <v>#N/A</v>
      </c>
      <c r="L46" s="140"/>
      <c r="M46" s="132" t="e">
        <f t="shared" si="10"/>
        <v>#N/A</v>
      </c>
      <c r="N46" s="141" t="e">
        <f>IF(H46="Non",CONCATENATE(VLOOKUP(A46,liste_groupe[],5,FALSE),"-",VLOOKUP(A46,liste_groupe[],3,FALSE),VLOOKUP(A46,liste_groupe[],4,FALSE)," : ",ROUND(K46,0),"%"),CONCATENATE(VLOOKUP(A46,liste_groupe[],5,FALSE)," : ",ROUND(K46,0),"%"))</f>
        <v>#N/A</v>
      </c>
    </row>
    <row r="47" spans="1:14" s="77" customFormat="1" ht="15.75" x14ac:dyDescent="0.25">
      <c r="A47" s="128" t="str">
        <f>'Page de garde'!A53</f>
        <v>0-00 + Testostérone</v>
      </c>
      <c r="B47" s="99"/>
      <c r="C47" s="87"/>
      <c r="D47" s="87"/>
      <c r="E47" s="82"/>
      <c r="F47" s="94" t="e">
        <f>HLOOKUP(A47,'pooled normalised values'!$B$74:$V$83,10,FALSE)</f>
        <v>#N/A</v>
      </c>
      <c r="G47" s="133" t="e">
        <f t="shared" si="11"/>
        <v>#N/A</v>
      </c>
      <c r="H47" s="124" t="str">
        <f>IF(VLOOKUP(A47,liste_groupe[],4,FALSE)="%",VLOOKUP(A47,liste_groupe[],3,FALSE)/100,IF(ISBLANK(VLOOKUP(A47,liste_groupe[],4,FALSE)),"Non","Non"))</f>
        <v>Non</v>
      </c>
      <c r="I47" s="133" t="e">
        <f t="shared" si="7"/>
        <v>#N/A</v>
      </c>
      <c r="J47" s="138" t="e">
        <f t="shared" si="12"/>
        <v>#N/A</v>
      </c>
      <c r="K47" s="139" t="e">
        <f t="shared" si="9"/>
        <v>#N/A</v>
      </c>
      <c r="L47" s="140"/>
      <c r="M47" s="132" t="e">
        <f t="shared" si="10"/>
        <v>#N/A</v>
      </c>
      <c r="N47" s="141" t="e">
        <f>IF(H47="Non",CONCATENATE(VLOOKUP(A47,liste_groupe[],5,FALSE),"-",VLOOKUP(A47,liste_groupe[],3,FALSE),VLOOKUP(A47,liste_groupe[],4,FALSE)," : ",ROUND(K47,0),"%"),CONCATENATE(VLOOKUP(A47,liste_groupe[],5,FALSE)," : ",ROUND(K47,0),"%"))</f>
        <v>#N/A</v>
      </c>
    </row>
    <row r="48" spans="1:14" s="77" customFormat="1" ht="15.75" x14ac:dyDescent="0.25">
      <c r="A48" s="128" t="str">
        <f>'Page de garde'!A54</f>
        <v>0-00 + Testostérone</v>
      </c>
      <c r="B48" s="99"/>
      <c r="C48" s="87"/>
      <c r="D48" s="87"/>
      <c r="E48" s="82"/>
      <c r="F48" s="94" t="e">
        <f>HLOOKUP(A48,'pooled normalised values'!$B$74:$V$83,10,FALSE)</f>
        <v>#N/A</v>
      </c>
      <c r="G48" s="133" t="e">
        <f t="shared" si="11"/>
        <v>#N/A</v>
      </c>
      <c r="H48" s="124" t="str">
        <f>IF(VLOOKUP(A48,liste_groupe[],4,FALSE)="%",VLOOKUP(A48,liste_groupe[],3,FALSE)/100,IF(ISBLANK(VLOOKUP(A48,liste_groupe[],4,FALSE)),"Non","Non"))</f>
        <v>Non</v>
      </c>
      <c r="I48" s="133" t="e">
        <f t="shared" si="7"/>
        <v>#N/A</v>
      </c>
      <c r="J48" s="138" t="e">
        <f t="shared" si="12"/>
        <v>#N/A</v>
      </c>
      <c r="K48" s="139" t="e">
        <f t="shared" si="9"/>
        <v>#N/A</v>
      </c>
      <c r="L48" s="140"/>
      <c r="M48" s="132" t="e">
        <f t="shared" si="10"/>
        <v>#N/A</v>
      </c>
      <c r="N48" s="141" t="e">
        <f>IF(H48="Non",CONCATENATE(VLOOKUP(A48,liste_groupe[],5,FALSE),"-",VLOOKUP(A48,liste_groupe[],3,FALSE),VLOOKUP(A48,liste_groupe[],4,FALSE)," : ",ROUND(K48,0),"%"),CONCATENATE(VLOOKUP(A48,liste_groupe[],5,FALSE)," : ",ROUND(K48,0),"%"))</f>
        <v>#N/A</v>
      </c>
    </row>
    <row r="49" spans="1:15" s="77" customFormat="1" ht="15.75" x14ac:dyDescent="0.25">
      <c r="A49" s="128" t="str">
        <f>'Page de garde'!A55</f>
        <v>0-00 + Testostérone</v>
      </c>
      <c r="B49" s="99"/>
      <c r="C49" s="87"/>
      <c r="D49" s="87"/>
      <c r="E49" s="82"/>
      <c r="F49" s="94" t="e">
        <f>HLOOKUP(A49,'pooled normalised values'!$B$74:$V$83,10,FALSE)</f>
        <v>#N/A</v>
      </c>
      <c r="G49" s="133" t="e">
        <f t="shared" si="11"/>
        <v>#N/A</v>
      </c>
      <c r="H49" s="124" t="str">
        <f>IF(VLOOKUP(A49,liste_groupe[],4,FALSE)="%",VLOOKUP(A49,liste_groupe[],3,FALSE)/100,IF(ISBLANK(VLOOKUP(A49,liste_groupe[],4,FALSE)),"Non","Non"))</f>
        <v>Non</v>
      </c>
      <c r="I49" s="133" t="e">
        <f t="shared" si="7"/>
        <v>#N/A</v>
      </c>
      <c r="J49" s="138" t="e">
        <f t="shared" si="12"/>
        <v>#N/A</v>
      </c>
      <c r="K49" s="139" t="e">
        <f t="shared" si="9"/>
        <v>#N/A</v>
      </c>
      <c r="L49" s="140"/>
      <c r="M49" s="132" t="e">
        <f t="shared" si="10"/>
        <v>#N/A</v>
      </c>
      <c r="N49" s="141" t="e">
        <f>IF(H49="Non",CONCATENATE(VLOOKUP(A49,liste_groupe[],5,FALSE),"-",VLOOKUP(A49,liste_groupe[],3,FALSE),VLOOKUP(A49,liste_groupe[],4,FALSE)," : ",ROUND(K49,0),"%"),CONCATENATE(VLOOKUP(A49,liste_groupe[],5,FALSE)," : ",ROUND(K49,0),"%"))</f>
        <v>#N/A</v>
      </c>
    </row>
    <row r="50" spans="1:15" s="77" customFormat="1" ht="15.75" x14ac:dyDescent="0.25">
      <c r="A50" s="128" t="str">
        <f>'Page de garde'!A56</f>
        <v>0-00 + Testostérone</v>
      </c>
      <c r="B50" s="99"/>
      <c r="C50" s="87"/>
      <c r="D50" s="87"/>
      <c r="E50" s="82"/>
      <c r="F50" s="94" t="e">
        <f>HLOOKUP(A50,'pooled normalised values'!$B$74:$V$83,10,FALSE)</f>
        <v>#N/A</v>
      </c>
      <c r="G50" s="133" t="e">
        <f t="shared" si="11"/>
        <v>#N/A</v>
      </c>
      <c r="H50" s="124" t="str">
        <f>IF(VLOOKUP(A50,liste_groupe[],4,FALSE)="%",VLOOKUP(A50,liste_groupe[],3,FALSE)/100,IF(ISBLANK(VLOOKUP(A50,liste_groupe[],4,FALSE)),"Non","Non"))</f>
        <v>Non</v>
      </c>
      <c r="I50" s="133" t="e">
        <f t="shared" si="7"/>
        <v>#N/A</v>
      </c>
      <c r="J50" s="138" t="e">
        <f t="shared" si="12"/>
        <v>#N/A</v>
      </c>
      <c r="K50" s="139" t="e">
        <f t="shared" si="9"/>
        <v>#N/A</v>
      </c>
      <c r="L50" s="140"/>
      <c r="M50" s="132" t="e">
        <f t="shared" si="10"/>
        <v>#N/A</v>
      </c>
      <c r="N50" s="141" t="e">
        <f>IF(H50="Non",CONCATENATE(VLOOKUP(A50,liste_groupe[],5,FALSE),"-",VLOOKUP(A50,liste_groupe[],3,FALSE),VLOOKUP(A50,liste_groupe[],4,FALSE)," : ",ROUND(K50,0),"%"),CONCATENATE(VLOOKUP(A50,liste_groupe[],5,FALSE)," : ",ROUND(K50,0),"%"))</f>
        <v>#N/A</v>
      </c>
    </row>
    <row r="51" spans="1:15" s="77" customFormat="1" ht="15.75" x14ac:dyDescent="0.25">
      <c r="A51" s="128" t="str">
        <f>'Page de garde'!A57</f>
        <v>0-00 + Testostérone</v>
      </c>
      <c r="B51" s="99"/>
      <c r="C51" s="87"/>
      <c r="D51" s="87"/>
      <c r="E51" s="82"/>
      <c r="F51" s="94" t="e">
        <f>HLOOKUP(A51,'pooled normalised values'!$B$74:$V$83,10,FALSE)</f>
        <v>#N/A</v>
      </c>
      <c r="G51" s="133" t="e">
        <f t="shared" si="6"/>
        <v>#N/A</v>
      </c>
      <c r="H51" s="124" t="str">
        <f>IF(VLOOKUP(A51,liste_groupe[],4,FALSE)="%",VLOOKUP(A51,liste_groupe[],3,FALSE)/100,IF(ISBLANK(VLOOKUP(A51,liste_groupe[],4,FALSE)),"Non","Non"))</f>
        <v>Non</v>
      </c>
      <c r="I51" s="133" t="e">
        <f t="shared" si="7"/>
        <v>#N/A</v>
      </c>
      <c r="J51" s="138" t="e">
        <f t="shared" si="8"/>
        <v>#N/A</v>
      </c>
      <c r="K51" s="139" t="e">
        <f t="shared" si="9"/>
        <v>#N/A</v>
      </c>
      <c r="L51" s="140"/>
      <c r="M51" s="132" t="e">
        <f t="shared" si="10"/>
        <v>#N/A</v>
      </c>
      <c r="N51" s="141" t="e">
        <f>IF(H51="Non",CONCATENATE(VLOOKUP(A51,liste_groupe[],5,FALSE),"-",VLOOKUP(A51,liste_groupe[],3,FALSE),VLOOKUP(A51,liste_groupe[],4,FALSE)," : ",ROUND(K51,0),"%"),CONCATENATE(VLOOKUP(A51,liste_groupe[],5,FALSE)," : ",ROUND(K51,0),"%"))</f>
        <v>#N/A</v>
      </c>
    </row>
    <row r="52" spans="1:15" s="77" customFormat="1" ht="16.5" thickBot="1" x14ac:dyDescent="0.3">
      <c r="E52" s="78"/>
      <c r="F52" s="78"/>
      <c r="G52" s="78"/>
      <c r="H52" s="78"/>
      <c r="I52" s="78"/>
      <c r="J52" s="78"/>
      <c r="K52" s="78"/>
      <c r="L52" s="78"/>
      <c r="M52" s="78"/>
      <c r="N52" s="78"/>
    </row>
    <row r="53" spans="1:15" s="48" customFormat="1" ht="27" thickBot="1" x14ac:dyDescent="0.3">
      <c r="A53" s="229" t="s">
        <v>60</v>
      </c>
      <c r="B53" s="230"/>
      <c r="C53" s="230"/>
      <c r="D53" s="230"/>
      <c r="E53" s="230"/>
      <c r="F53" s="230"/>
      <c r="G53" s="230"/>
      <c r="H53" s="230"/>
      <c r="I53" s="230"/>
      <c r="J53" s="230"/>
      <c r="K53" s="230"/>
      <c r="L53" s="230"/>
      <c r="M53" s="230"/>
      <c r="N53" s="230"/>
      <c r="O53" s="231"/>
    </row>
  </sheetData>
  <mergeCells count="3">
    <mergeCell ref="A2:O2"/>
    <mergeCell ref="A1:O1"/>
    <mergeCell ref="A53:O53"/>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2"/>
  <sheetViews>
    <sheetView showGridLines="0" workbookViewId="0">
      <selection activeCell="B6" sqref="B6"/>
    </sheetView>
  </sheetViews>
  <sheetFormatPr baseColWidth="10" defaultColWidth="11.42578125" defaultRowHeight="15" x14ac:dyDescent="0.25"/>
  <cols>
    <col min="1" max="1" width="22.85546875" style="180" customWidth="1"/>
    <col min="2" max="2" width="46.28515625" style="180" customWidth="1"/>
    <col min="3" max="3" width="15.28515625" style="180" customWidth="1"/>
    <col min="4" max="4" width="24.7109375" style="180" customWidth="1"/>
    <col min="5" max="5" width="24.42578125" style="180" customWidth="1"/>
    <col min="6" max="6" width="23.140625" style="180" customWidth="1"/>
    <col min="7" max="7" width="21.28515625" style="180" customWidth="1"/>
    <col min="8" max="16384" width="11.42578125" style="180"/>
  </cols>
  <sheetData>
    <row r="1" spans="1:7" ht="30.75" thickBot="1" x14ac:dyDescent="0.3">
      <c r="A1" s="185" t="s">
        <v>132</v>
      </c>
      <c r="B1" s="186" t="s">
        <v>133</v>
      </c>
      <c r="C1" s="186" t="s">
        <v>139</v>
      </c>
      <c r="D1" s="186" t="s">
        <v>138</v>
      </c>
      <c r="E1" s="186" t="s">
        <v>140</v>
      </c>
      <c r="F1" s="187" t="s">
        <v>141</v>
      </c>
      <c r="G1" s="188" t="s">
        <v>142</v>
      </c>
    </row>
    <row r="2" spans="1:7" ht="60" x14ac:dyDescent="0.25">
      <c r="A2" s="181" t="s">
        <v>134</v>
      </c>
      <c r="B2" s="182" t="s">
        <v>135</v>
      </c>
      <c r="C2" s="182" t="s">
        <v>136</v>
      </c>
      <c r="D2" s="182" t="s">
        <v>143</v>
      </c>
      <c r="E2" s="182" t="s">
        <v>137</v>
      </c>
      <c r="F2" s="183" t="s">
        <v>136</v>
      </c>
      <c r="G2" s="184" t="s">
        <v>136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K24"/>
  <sheetViews>
    <sheetView zoomScale="70" zoomScaleNormal="70" workbookViewId="0">
      <selection activeCell="A16" sqref="A16"/>
    </sheetView>
  </sheetViews>
  <sheetFormatPr baseColWidth="10"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19" width="14.85546875" style="17" customWidth="1"/>
    <col min="20" max="21" width="11.42578125" style="17"/>
    <col min="22" max="22" width="13.5703125" style="17" bestFit="1" customWidth="1"/>
    <col min="23" max="34" width="13.5703125" style="17" customWidth="1"/>
    <col min="35" max="35" width="13.5703125" style="17" bestFit="1" customWidth="1"/>
    <col min="36" max="282" width="11.42578125" style="17"/>
    <col min="283" max="283" width="18.7109375" style="17" customWidth="1"/>
    <col min="284" max="284" width="13.7109375" style="17" bestFit="1" customWidth="1"/>
    <col min="285" max="285" width="17.28515625" style="17" customWidth="1"/>
    <col min="286" max="286" width="11" style="17" customWidth="1"/>
    <col min="287" max="287" width="12" style="17" bestFit="1" customWidth="1"/>
    <col min="288" max="288" width="14.85546875" style="17" customWidth="1"/>
    <col min="289" max="538" width="11.42578125" style="17"/>
    <col min="539" max="539" width="18.7109375" style="17" customWidth="1"/>
    <col min="540" max="540" width="13.7109375" style="17" bestFit="1" customWidth="1"/>
    <col min="541" max="541" width="17.28515625" style="17" customWidth="1"/>
    <col min="542" max="542" width="11" style="17" customWidth="1"/>
    <col min="543" max="543" width="12" style="17" bestFit="1" customWidth="1"/>
    <col min="544" max="544" width="14.85546875" style="17" customWidth="1"/>
    <col min="545" max="794" width="11.42578125" style="17"/>
    <col min="795" max="795" width="18.7109375" style="17" customWidth="1"/>
    <col min="796" max="796" width="13.7109375" style="17" bestFit="1" customWidth="1"/>
    <col min="797" max="797" width="17.28515625" style="17" customWidth="1"/>
    <col min="798" max="798" width="11" style="17" customWidth="1"/>
    <col min="799" max="799" width="12" style="17" bestFit="1" customWidth="1"/>
    <col min="800" max="800" width="14.85546875" style="17" customWidth="1"/>
    <col min="801" max="1050" width="11.42578125" style="17"/>
    <col min="1051" max="1051" width="18.7109375" style="17" customWidth="1"/>
    <col min="1052" max="1052" width="13.7109375" style="17" bestFit="1" customWidth="1"/>
    <col min="1053" max="1053" width="17.28515625" style="17" customWidth="1"/>
    <col min="1054" max="1054" width="11" style="17" customWidth="1"/>
    <col min="1055" max="1055" width="12" style="17" bestFit="1" customWidth="1"/>
    <col min="1056" max="1056" width="14.85546875" style="17" customWidth="1"/>
    <col min="1057" max="1306" width="11.42578125" style="17"/>
    <col min="1307" max="1307" width="18.7109375" style="17" customWidth="1"/>
    <col min="1308" max="1308" width="13.7109375" style="17" bestFit="1" customWidth="1"/>
    <col min="1309" max="1309" width="17.28515625" style="17" customWidth="1"/>
    <col min="1310" max="1310" width="11" style="17" customWidth="1"/>
    <col min="1311" max="1311" width="12" style="17" bestFit="1" customWidth="1"/>
    <col min="1312" max="1312" width="14.85546875" style="17" customWidth="1"/>
    <col min="1313" max="1562" width="11.42578125" style="17"/>
    <col min="1563" max="1563" width="18.7109375" style="17" customWidth="1"/>
    <col min="1564" max="1564" width="13.7109375" style="17" bestFit="1" customWidth="1"/>
    <col min="1565" max="1565" width="17.28515625" style="17" customWidth="1"/>
    <col min="1566" max="1566" width="11" style="17" customWidth="1"/>
    <col min="1567" max="1567" width="12" style="17" bestFit="1" customWidth="1"/>
    <col min="1568" max="1568" width="14.85546875" style="17" customWidth="1"/>
    <col min="1569" max="1818" width="11.42578125" style="17"/>
    <col min="1819" max="1819" width="18.7109375" style="17" customWidth="1"/>
    <col min="1820" max="1820" width="13.7109375" style="17" bestFit="1" customWidth="1"/>
    <col min="1821" max="1821" width="17.28515625" style="17" customWidth="1"/>
    <col min="1822" max="1822" width="11" style="17" customWidth="1"/>
    <col min="1823" max="1823" width="12" style="17" bestFit="1" customWidth="1"/>
    <col min="1824" max="1824" width="14.85546875" style="17" customWidth="1"/>
    <col min="1825" max="2074" width="11.42578125" style="17"/>
    <col min="2075" max="2075" width="18.7109375" style="17" customWidth="1"/>
    <col min="2076" max="2076" width="13.7109375" style="17" bestFit="1" customWidth="1"/>
    <col min="2077" max="2077" width="17.28515625" style="17" customWidth="1"/>
    <col min="2078" max="2078" width="11" style="17" customWidth="1"/>
    <col min="2079" max="2079" width="12" style="17" bestFit="1" customWidth="1"/>
    <col min="2080" max="2080" width="14.85546875" style="17" customWidth="1"/>
    <col min="2081" max="2330" width="11.42578125" style="17"/>
    <col min="2331" max="2331" width="18.7109375" style="17" customWidth="1"/>
    <col min="2332" max="2332" width="13.7109375" style="17" bestFit="1" customWidth="1"/>
    <col min="2333" max="2333" width="17.28515625" style="17" customWidth="1"/>
    <col min="2334" max="2334" width="11" style="17" customWidth="1"/>
    <col min="2335" max="2335" width="12" style="17" bestFit="1" customWidth="1"/>
    <col min="2336" max="2336" width="14.85546875" style="17" customWidth="1"/>
    <col min="2337" max="2586" width="11.42578125" style="17"/>
    <col min="2587" max="2587" width="18.7109375" style="17" customWidth="1"/>
    <col min="2588" max="2588" width="13.7109375" style="17" bestFit="1" customWidth="1"/>
    <col min="2589" max="2589" width="17.28515625" style="17" customWidth="1"/>
    <col min="2590" max="2590" width="11" style="17" customWidth="1"/>
    <col min="2591" max="2591" width="12" style="17" bestFit="1" customWidth="1"/>
    <col min="2592" max="2592" width="14.85546875" style="17" customWidth="1"/>
    <col min="2593" max="2842" width="11.42578125" style="17"/>
    <col min="2843" max="2843" width="18.7109375" style="17" customWidth="1"/>
    <col min="2844" max="2844" width="13.7109375" style="17" bestFit="1" customWidth="1"/>
    <col min="2845" max="2845" width="17.28515625" style="17" customWidth="1"/>
    <col min="2846" max="2846" width="11" style="17" customWidth="1"/>
    <col min="2847" max="2847" width="12" style="17" bestFit="1" customWidth="1"/>
    <col min="2848" max="2848" width="14.85546875" style="17" customWidth="1"/>
    <col min="2849" max="3098" width="11.42578125" style="17"/>
    <col min="3099" max="3099" width="18.7109375" style="17" customWidth="1"/>
    <col min="3100" max="3100" width="13.7109375" style="17" bestFit="1" customWidth="1"/>
    <col min="3101" max="3101" width="17.28515625" style="17" customWidth="1"/>
    <col min="3102" max="3102" width="11" style="17" customWidth="1"/>
    <col min="3103" max="3103" width="12" style="17" bestFit="1" customWidth="1"/>
    <col min="3104" max="3104" width="14.85546875" style="17" customWidth="1"/>
    <col min="3105" max="3354" width="11.42578125" style="17"/>
    <col min="3355" max="3355" width="18.7109375" style="17" customWidth="1"/>
    <col min="3356" max="3356" width="13.7109375" style="17" bestFit="1" customWidth="1"/>
    <col min="3357" max="3357" width="17.28515625" style="17" customWidth="1"/>
    <col min="3358" max="3358" width="11" style="17" customWidth="1"/>
    <col min="3359" max="3359" width="12" style="17" bestFit="1" customWidth="1"/>
    <col min="3360" max="3360" width="14.85546875" style="17" customWidth="1"/>
    <col min="3361" max="3610" width="11.42578125" style="17"/>
    <col min="3611" max="3611" width="18.7109375" style="17" customWidth="1"/>
    <col min="3612" max="3612" width="13.7109375" style="17" bestFit="1" customWidth="1"/>
    <col min="3613" max="3613" width="17.28515625" style="17" customWidth="1"/>
    <col min="3614" max="3614" width="11" style="17" customWidth="1"/>
    <col min="3615" max="3615" width="12" style="17" bestFit="1" customWidth="1"/>
    <col min="3616" max="3616" width="14.85546875" style="17" customWidth="1"/>
    <col min="3617" max="3866" width="11.42578125" style="17"/>
    <col min="3867" max="3867" width="18.7109375" style="17" customWidth="1"/>
    <col min="3868" max="3868" width="13.7109375" style="17" bestFit="1" customWidth="1"/>
    <col min="3869" max="3869" width="17.28515625" style="17" customWidth="1"/>
    <col min="3870" max="3870" width="11" style="17" customWidth="1"/>
    <col min="3871" max="3871" width="12" style="17" bestFit="1" customWidth="1"/>
    <col min="3872" max="3872" width="14.85546875" style="17" customWidth="1"/>
    <col min="3873" max="4122" width="11.42578125" style="17"/>
    <col min="4123" max="4123" width="18.7109375" style="17" customWidth="1"/>
    <col min="4124" max="4124" width="13.7109375" style="17" bestFit="1" customWidth="1"/>
    <col min="4125" max="4125" width="17.28515625" style="17" customWidth="1"/>
    <col min="4126" max="4126" width="11" style="17" customWidth="1"/>
    <col min="4127" max="4127" width="12" style="17" bestFit="1" customWidth="1"/>
    <col min="4128" max="4128" width="14.85546875" style="17" customWidth="1"/>
    <col min="4129" max="4378" width="11.42578125" style="17"/>
    <col min="4379" max="4379" width="18.7109375" style="17" customWidth="1"/>
    <col min="4380" max="4380" width="13.7109375" style="17" bestFit="1" customWidth="1"/>
    <col min="4381" max="4381" width="17.28515625" style="17" customWidth="1"/>
    <col min="4382" max="4382" width="11" style="17" customWidth="1"/>
    <col min="4383" max="4383" width="12" style="17" bestFit="1" customWidth="1"/>
    <col min="4384" max="4384" width="14.85546875" style="17" customWidth="1"/>
    <col min="4385" max="4634" width="11.42578125" style="17"/>
    <col min="4635" max="4635" width="18.7109375" style="17" customWidth="1"/>
    <col min="4636" max="4636" width="13.7109375" style="17" bestFit="1" customWidth="1"/>
    <col min="4637" max="4637" width="17.28515625" style="17" customWidth="1"/>
    <col min="4638" max="4638" width="11" style="17" customWidth="1"/>
    <col min="4639" max="4639" width="12" style="17" bestFit="1" customWidth="1"/>
    <col min="4640" max="4640" width="14.85546875" style="17" customWidth="1"/>
    <col min="4641" max="4890" width="11.42578125" style="17"/>
    <col min="4891" max="4891" width="18.7109375" style="17" customWidth="1"/>
    <col min="4892" max="4892" width="13.7109375" style="17" bestFit="1" customWidth="1"/>
    <col min="4893" max="4893" width="17.28515625" style="17" customWidth="1"/>
    <col min="4894" max="4894" width="11" style="17" customWidth="1"/>
    <col min="4895" max="4895" width="12" style="17" bestFit="1" customWidth="1"/>
    <col min="4896" max="4896" width="14.85546875" style="17" customWidth="1"/>
    <col min="4897" max="5146" width="11.42578125" style="17"/>
    <col min="5147" max="5147" width="18.7109375" style="17" customWidth="1"/>
    <col min="5148" max="5148" width="13.7109375" style="17" bestFit="1" customWidth="1"/>
    <col min="5149" max="5149" width="17.28515625" style="17" customWidth="1"/>
    <col min="5150" max="5150" width="11" style="17" customWidth="1"/>
    <col min="5151" max="5151" width="12" style="17" bestFit="1" customWidth="1"/>
    <col min="5152" max="5152" width="14.85546875" style="17" customWidth="1"/>
    <col min="5153" max="5402" width="11.42578125" style="17"/>
    <col min="5403" max="5403" width="18.7109375" style="17" customWidth="1"/>
    <col min="5404" max="5404" width="13.7109375" style="17" bestFit="1" customWidth="1"/>
    <col min="5405" max="5405" width="17.28515625" style="17" customWidth="1"/>
    <col min="5406" max="5406" width="11" style="17" customWidth="1"/>
    <col min="5407" max="5407" width="12" style="17" bestFit="1" customWidth="1"/>
    <col min="5408" max="5408" width="14.85546875" style="17" customWidth="1"/>
    <col min="5409" max="5658" width="11.42578125" style="17"/>
    <col min="5659" max="5659" width="18.7109375" style="17" customWidth="1"/>
    <col min="5660" max="5660" width="13.7109375" style="17" bestFit="1" customWidth="1"/>
    <col min="5661" max="5661" width="17.28515625" style="17" customWidth="1"/>
    <col min="5662" max="5662" width="11" style="17" customWidth="1"/>
    <col min="5663" max="5663" width="12" style="17" bestFit="1" customWidth="1"/>
    <col min="5664" max="5664" width="14.85546875" style="17" customWidth="1"/>
    <col min="5665" max="5914" width="11.42578125" style="17"/>
    <col min="5915" max="5915" width="18.7109375" style="17" customWidth="1"/>
    <col min="5916" max="5916" width="13.7109375" style="17" bestFit="1" customWidth="1"/>
    <col min="5917" max="5917" width="17.28515625" style="17" customWidth="1"/>
    <col min="5918" max="5918" width="11" style="17" customWidth="1"/>
    <col min="5919" max="5919" width="12" style="17" bestFit="1" customWidth="1"/>
    <col min="5920" max="5920" width="14.85546875" style="17" customWidth="1"/>
    <col min="5921" max="6170" width="11.42578125" style="17"/>
    <col min="6171" max="6171" width="18.7109375" style="17" customWidth="1"/>
    <col min="6172" max="6172" width="13.7109375" style="17" bestFit="1" customWidth="1"/>
    <col min="6173" max="6173" width="17.28515625" style="17" customWidth="1"/>
    <col min="6174" max="6174" width="11" style="17" customWidth="1"/>
    <col min="6175" max="6175" width="12" style="17" bestFit="1" customWidth="1"/>
    <col min="6176" max="6176" width="14.85546875" style="17" customWidth="1"/>
    <col min="6177" max="6426" width="11.42578125" style="17"/>
    <col min="6427" max="6427" width="18.7109375" style="17" customWidth="1"/>
    <col min="6428" max="6428" width="13.7109375" style="17" bestFit="1" customWidth="1"/>
    <col min="6429" max="6429" width="17.28515625" style="17" customWidth="1"/>
    <col min="6430" max="6430" width="11" style="17" customWidth="1"/>
    <col min="6431" max="6431" width="12" style="17" bestFit="1" customWidth="1"/>
    <col min="6432" max="6432" width="14.85546875" style="17" customWidth="1"/>
    <col min="6433" max="6682" width="11.42578125" style="17"/>
    <col min="6683" max="6683" width="18.7109375" style="17" customWidth="1"/>
    <col min="6684" max="6684" width="13.7109375" style="17" bestFit="1" customWidth="1"/>
    <col min="6685" max="6685" width="17.28515625" style="17" customWidth="1"/>
    <col min="6686" max="6686" width="11" style="17" customWidth="1"/>
    <col min="6687" max="6687" width="12" style="17" bestFit="1" customWidth="1"/>
    <col min="6688" max="6688" width="14.85546875" style="17" customWidth="1"/>
    <col min="6689" max="6938" width="11.42578125" style="17"/>
    <col min="6939" max="6939" width="18.7109375" style="17" customWidth="1"/>
    <col min="6940" max="6940" width="13.7109375" style="17" bestFit="1" customWidth="1"/>
    <col min="6941" max="6941" width="17.28515625" style="17" customWidth="1"/>
    <col min="6942" max="6942" width="11" style="17" customWidth="1"/>
    <col min="6943" max="6943" width="12" style="17" bestFit="1" customWidth="1"/>
    <col min="6944" max="6944" width="14.85546875" style="17" customWidth="1"/>
    <col min="6945" max="7194" width="11.42578125" style="17"/>
    <col min="7195" max="7195" width="18.7109375" style="17" customWidth="1"/>
    <col min="7196" max="7196" width="13.7109375" style="17" bestFit="1" customWidth="1"/>
    <col min="7197" max="7197" width="17.28515625" style="17" customWidth="1"/>
    <col min="7198" max="7198" width="11" style="17" customWidth="1"/>
    <col min="7199" max="7199" width="12" style="17" bestFit="1" customWidth="1"/>
    <col min="7200" max="7200" width="14.85546875" style="17" customWidth="1"/>
    <col min="7201" max="7450" width="11.42578125" style="17"/>
    <col min="7451" max="7451" width="18.7109375" style="17" customWidth="1"/>
    <col min="7452" max="7452" width="13.7109375" style="17" bestFit="1" customWidth="1"/>
    <col min="7453" max="7453" width="17.28515625" style="17" customWidth="1"/>
    <col min="7454" max="7454" width="11" style="17" customWidth="1"/>
    <col min="7455" max="7455" width="12" style="17" bestFit="1" customWidth="1"/>
    <col min="7456" max="7456" width="14.85546875" style="17" customWidth="1"/>
    <col min="7457" max="7706" width="11.42578125" style="17"/>
    <col min="7707" max="7707" width="18.7109375" style="17" customWidth="1"/>
    <col min="7708" max="7708" width="13.7109375" style="17" bestFit="1" customWidth="1"/>
    <col min="7709" max="7709" width="17.28515625" style="17" customWidth="1"/>
    <col min="7710" max="7710" width="11" style="17" customWidth="1"/>
    <col min="7711" max="7711" width="12" style="17" bestFit="1" customWidth="1"/>
    <col min="7712" max="7712" width="14.85546875" style="17" customWidth="1"/>
    <col min="7713" max="7962" width="11.42578125" style="17"/>
    <col min="7963" max="7963" width="18.7109375" style="17" customWidth="1"/>
    <col min="7964" max="7964" width="13.7109375" style="17" bestFit="1" customWidth="1"/>
    <col min="7965" max="7965" width="17.28515625" style="17" customWidth="1"/>
    <col min="7966" max="7966" width="11" style="17" customWidth="1"/>
    <col min="7967" max="7967" width="12" style="17" bestFit="1" customWidth="1"/>
    <col min="7968" max="7968" width="14.85546875" style="17" customWidth="1"/>
    <col min="7969" max="8218" width="11.42578125" style="17"/>
    <col min="8219" max="8219" width="18.7109375" style="17" customWidth="1"/>
    <col min="8220" max="8220" width="13.7109375" style="17" bestFit="1" customWidth="1"/>
    <col min="8221" max="8221" width="17.28515625" style="17" customWidth="1"/>
    <col min="8222" max="8222" width="11" style="17" customWidth="1"/>
    <col min="8223" max="8223" width="12" style="17" bestFit="1" customWidth="1"/>
    <col min="8224" max="8224" width="14.85546875" style="17" customWidth="1"/>
    <col min="8225" max="8474" width="11.42578125" style="17"/>
    <col min="8475" max="8475" width="18.7109375" style="17" customWidth="1"/>
    <col min="8476" max="8476" width="13.7109375" style="17" bestFit="1" customWidth="1"/>
    <col min="8477" max="8477" width="17.28515625" style="17" customWidth="1"/>
    <col min="8478" max="8478" width="11" style="17" customWidth="1"/>
    <col min="8479" max="8479" width="12" style="17" bestFit="1" customWidth="1"/>
    <col min="8480" max="8480" width="14.85546875" style="17" customWidth="1"/>
    <col min="8481" max="8730" width="11.42578125" style="17"/>
    <col min="8731" max="8731" width="18.7109375" style="17" customWidth="1"/>
    <col min="8732" max="8732" width="13.7109375" style="17" bestFit="1" customWidth="1"/>
    <col min="8733" max="8733" width="17.28515625" style="17" customWidth="1"/>
    <col min="8734" max="8734" width="11" style="17" customWidth="1"/>
    <col min="8735" max="8735" width="12" style="17" bestFit="1" customWidth="1"/>
    <col min="8736" max="8736" width="14.85546875" style="17" customWidth="1"/>
    <col min="8737" max="8986" width="11.42578125" style="17"/>
    <col min="8987" max="8987" width="18.7109375" style="17" customWidth="1"/>
    <col min="8988" max="8988" width="13.7109375" style="17" bestFit="1" customWidth="1"/>
    <col min="8989" max="8989" width="17.28515625" style="17" customWidth="1"/>
    <col min="8990" max="8990" width="11" style="17" customWidth="1"/>
    <col min="8991" max="8991" width="12" style="17" bestFit="1" customWidth="1"/>
    <col min="8992" max="8992" width="14.85546875" style="17" customWidth="1"/>
    <col min="8993" max="9242" width="11.42578125" style="17"/>
    <col min="9243" max="9243" width="18.7109375" style="17" customWidth="1"/>
    <col min="9244" max="9244" width="13.7109375" style="17" bestFit="1" customWidth="1"/>
    <col min="9245" max="9245" width="17.28515625" style="17" customWidth="1"/>
    <col min="9246" max="9246" width="11" style="17" customWidth="1"/>
    <col min="9247" max="9247" width="12" style="17" bestFit="1" customWidth="1"/>
    <col min="9248" max="9248" width="14.85546875" style="17" customWidth="1"/>
    <col min="9249" max="9498" width="11.42578125" style="17"/>
    <col min="9499" max="9499" width="18.7109375" style="17" customWidth="1"/>
    <col min="9500" max="9500" width="13.7109375" style="17" bestFit="1" customWidth="1"/>
    <col min="9501" max="9501" width="17.28515625" style="17" customWidth="1"/>
    <col min="9502" max="9502" width="11" style="17" customWidth="1"/>
    <col min="9503" max="9503" width="12" style="17" bestFit="1" customWidth="1"/>
    <col min="9504" max="9504" width="14.85546875" style="17" customWidth="1"/>
    <col min="9505" max="9754" width="11.42578125" style="17"/>
    <col min="9755" max="9755" width="18.7109375" style="17" customWidth="1"/>
    <col min="9756" max="9756" width="13.7109375" style="17" bestFit="1" customWidth="1"/>
    <col min="9757" max="9757" width="17.28515625" style="17" customWidth="1"/>
    <col min="9758" max="9758" width="11" style="17" customWidth="1"/>
    <col min="9759" max="9759" width="12" style="17" bestFit="1" customWidth="1"/>
    <col min="9760" max="9760" width="14.85546875" style="17" customWidth="1"/>
    <col min="9761" max="10010" width="11.42578125" style="17"/>
    <col min="10011" max="10011" width="18.7109375" style="17" customWidth="1"/>
    <col min="10012" max="10012" width="13.7109375" style="17" bestFit="1" customWidth="1"/>
    <col min="10013" max="10013" width="17.28515625" style="17" customWidth="1"/>
    <col min="10014" max="10014" width="11" style="17" customWidth="1"/>
    <col min="10015" max="10015" width="12" style="17" bestFit="1" customWidth="1"/>
    <col min="10016" max="10016" width="14.85546875" style="17" customWidth="1"/>
    <col min="10017" max="10266" width="11.42578125" style="17"/>
    <col min="10267" max="10267" width="18.7109375" style="17" customWidth="1"/>
    <col min="10268" max="10268" width="13.7109375" style="17" bestFit="1" customWidth="1"/>
    <col min="10269" max="10269" width="17.28515625" style="17" customWidth="1"/>
    <col min="10270" max="10270" width="11" style="17" customWidth="1"/>
    <col min="10271" max="10271" width="12" style="17" bestFit="1" customWidth="1"/>
    <col min="10272" max="10272" width="14.85546875" style="17" customWidth="1"/>
    <col min="10273" max="10522" width="11.42578125" style="17"/>
    <col min="10523" max="10523" width="18.7109375" style="17" customWidth="1"/>
    <col min="10524" max="10524" width="13.7109375" style="17" bestFit="1" customWidth="1"/>
    <col min="10525" max="10525" width="17.28515625" style="17" customWidth="1"/>
    <col min="10526" max="10526" width="11" style="17" customWidth="1"/>
    <col min="10527" max="10527" width="12" style="17" bestFit="1" customWidth="1"/>
    <col min="10528" max="10528" width="14.85546875" style="17" customWidth="1"/>
    <col min="10529" max="10778" width="11.42578125" style="17"/>
    <col min="10779" max="10779" width="18.7109375" style="17" customWidth="1"/>
    <col min="10780" max="10780" width="13.7109375" style="17" bestFit="1" customWidth="1"/>
    <col min="10781" max="10781" width="17.28515625" style="17" customWidth="1"/>
    <col min="10782" max="10782" width="11" style="17" customWidth="1"/>
    <col min="10783" max="10783" width="12" style="17" bestFit="1" customWidth="1"/>
    <col min="10784" max="10784" width="14.85546875" style="17" customWidth="1"/>
    <col min="10785" max="11034" width="11.42578125" style="17"/>
    <col min="11035" max="11035" width="18.7109375" style="17" customWidth="1"/>
    <col min="11036" max="11036" width="13.7109375" style="17" bestFit="1" customWidth="1"/>
    <col min="11037" max="11037" width="17.28515625" style="17" customWidth="1"/>
    <col min="11038" max="11038" width="11" style="17" customWidth="1"/>
    <col min="11039" max="11039" width="12" style="17" bestFit="1" customWidth="1"/>
    <col min="11040" max="11040" width="14.85546875" style="17" customWidth="1"/>
    <col min="11041" max="11290" width="11.42578125" style="17"/>
    <col min="11291" max="11291" width="18.7109375" style="17" customWidth="1"/>
    <col min="11292" max="11292" width="13.7109375" style="17" bestFit="1" customWidth="1"/>
    <col min="11293" max="11293" width="17.28515625" style="17" customWidth="1"/>
    <col min="11294" max="11294" width="11" style="17" customWidth="1"/>
    <col min="11295" max="11295" width="12" style="17" bestFit="1" customWidth="1"/>
    <col min="11296" max="11296" width="14.85546875" style="17" customWidth="1"/>
    <col min="11297" max="11546" width="11.42578125" style="17"/>
    <col min="11547" max="11547" width="18.7109375" style="17" customWidth="1"/>
    <col min="11548" max="11548" width="13.7109375" style="17" bestFit="1" customWidth="1"/>
    <col min="11549" max="11549" width="17.28515625" style="17" customWidth="1"/>
    <col min="11550" max="11550" width="11" style="17" customWidth="1"/>
    <col min="11551" max="11551" width="12" style="17" bestFit="1" customWidth="1"/>
    <col min="11552" max="11552" width="14.85546875" style="17" customWidth="1"/>
    <col min="11553" max="11802" width="11.42578125" style="17"/>
    <col min="11803" max="11803" width="18.7109375" style="17" customWidth="1"/>
    <col min="11804" max="11804" width="13.7109375" style="17" bestFit="1" customWidth="1"/>
    <col min="11805" max="11805" width="17.28515625" style="17" customWidth="1"/>
    <col min="11806" max="11806" width="11" style="17" customWidth="1"/>
    <col min="11807" max="11807" width="12" style="17" bestFit="1" customWidth="1"/>
    <col min="11808" max="11808" width="14.85546875" style="17" customWidth="1"/>
    <col min="11809" max="12058" width="11.42578125" style="17"/>
    <col min="12059" max="12059" width="18.7109375" style="17" customWidth="1"/>
    <col min="12060" max="12060" width="13.7109375" style="17" bestFit="1" customWidth="1"/>
    <col min="12061" max="12061" width="17.28515625" style="17" customWidth="1"/>
    <col min="12062" max="12062" width="11" style="17" customWidth="1"/>
    <col min="12063" max="12063" width="12" style="17" bestFit="1" customWidth="1"/>
    <col min="12064" max="12064" width="14.85546875" style="17" customWidth="1"/>
    <col min="12065" max="12314" width="11.42578125" style="17"/>
    <col min="12315" max="12315" width="18.7109375" style="17" customWidth="1"/>
    <col min="12316" max="12316" width="13.7109375" style="17" bestFit="1" customWidth="1"/>
    <col min="12317" max="12317" width="17.28515625" style="17" customWidth="1"/>
    <col min="12318" max="12318" width="11" style="17" customWidth="1"/>
    <col min="12319" max="12319" width="12" style="17" bestFit="1" customWidth="1"/>
    <col min="12320" max="12320" width="14.85546875" style="17" customWidth="1"/>
    <col min="12321" max="12570" width="11.42578125" style="17"/>
    <col min="12571" max="12571" width="18.7109375" style="17" customWidth="1"/>
    <col min="12572" max="12572" width="13.7109375" style="17" bestFit="1" customWidth="1"/>
    <col min="12573" max="12573" width="17.28515625" style="17" customWidth="1"/>
    <col min="12574" max="12574" width="11" style="17" customWidth="1"/>
    <col min="12575" max="12575" width="12" style="17" bestFit="1" customWidth="1"/>
    <col min="12576" max="12576" width="14.85546875" style="17" customWidth="1"/>
    <col min="12577" max="12826" width="11.42578125" style="17"/>
    <col min="12827" max="12827" width="18.7109375" style="17" customWidth="1"/>
    <col min="12828" max="12828" width="13.7109375" style="17" bestFit="1" customWidth="1"/>
    <col min="12829" max="12829" width="17.28515625" style="17" customWidth="1"/>
    <col min="12830" max="12830" width="11" style="17" customWidth="1"/>
    <col min="12831" max="12831" width="12" style="17" bestFit="1" customWidth="1"/>
    <col min="12832" max="12832" width="14.85546875" style="17" customWidth="1"/>
    <col min="12833" max="13082" width="11.42578125" style="17"/>
    <col min="13083" max="13083" width="18.7109375" style="17" customWidth="1"/>
    <col min="13084" max="13084" width="13.7109375" style="17" bestFit="1" customWidth="1"/>
    <col min="13085" max="13085" width="17.28515625" style="17" customWidth="1"/>
    <col min="13086" max="13086" width="11" style="17" customWidth="1"/>
    <col min="13087" max="13087" width="12" style="17" bestFit="1" customWidth="1"/>
    <col min="13088" max="13088" width="14.85546875" style="17" customWidth="1"/>
    <col min="13089" max="13338" width="11.42578125" style="17"/>
    <col min="13339" max="13339" width="18.7109375" style="17" customWidth="1"/>
    <col min="13340" max="13340" width="13.7109375" style="17" bestFit="1" customWidth="1"/>
    <col min="13341" max="13341" width="17.28515625" style="17" customWidth="1"/>
    <col min="13342" max="13342" width="11" style="17" customWidth="1"/>
    <col min="13343" max="13343" width="12" style="17" bestFit="1" customWidth="1"/>
    <col min="13344" max="13344" width="14.85546875" style="17" customWidth="1"/>
    <col min="13345" max="13594" width="11.42578125" style="17"/>
    <col min="13595" max="13595" width="18.7109375" style="17" customWidth="1"/>
    <col min="13596" max="13596" width="13.7109375" style="17" bestFit="1" customWidth="1"/>
    <col min="13597" max="13597" width="17.28515625" style="17" customWidth="1"/>
    <col min="13598" max="13598" width="11" style="17" customWidth="1"/>
    <col min="13599" max="13599" width="12" style="17" bestFit="1" customWidth="1"/>
    <col min="13600" max="13600" width="14.85546875" style="17" customWidth="1"/>
    <col min="13601" max="13850" width="11.42578125" style="17"/>
    <col min="13851" max="13851" width="18.7109375" style="17" customWidth="1"/>
    <col min="13852" max="13852" width="13.7109375" style="17" bestFit="1" customWidth="1"/>
    <col min="13853" max="13853" width="17.28515625" style="17" customWidth="1"/>
    <col min="13854" max="13854" width="11" style="17" customWidth="1"/>
    <col min="13855" max="13855" width="12" style="17" bestFit="1" customWidth="1"/>
    <col min="13856" max="13856" width="14.85546875" style="17" customWidth="1"/>
    <col min="13857" max="14106" width="11.42578125" style="17"/>
    <col min="14107" max="14107" width="18.7109375" style="17" customWidth="1"/>
    <col min="14108" max="14108" width="13.7109375" style="17" bestFit="1" customWidth="1"/>
    <col min="14109" max="14109" width="17.28515625" style="17" customWidth="1"/>
    <col min="14110" max="14110" width="11" style="17" customWidth="1"/>
    <col min="14111" max="14111" width="12" style="17" bestFit="1" customWidth="1"/>
    <col min="14112" max="14112" width="14.85546875" style="17" customWidth="1"/>
    <col min="14113" max="14362" width="11.42578125" style="17"/>
    <col min="14363" max="14363" width="18.7109375" style="17" customWidth="1"/>
    <col min="14364" max="14364" width="13.7109375" style="17" bestFit="1" customWidth="1"/>
    <col min="14365" max="14365" width="17.28515625" style="17" customWidth="1"/>
    <col min="14366" max="14366" width="11" style="17" customWidth="1"/>
    <col min="14367" max="14367" width="12" style="17" bestFit="1" customWidth="1"/>
    <col min="14368" max="14368" width="14.85546875" style="17" customWidth="1"/>
    <col min="14369" max="14618" width="11.42578125" style="17"/>
    <col min="14619" max="14619" width="18.7109375" style="17" customWidth="1"/>
    <col min="14620" max="14620" width="13.7109375" style="17" bestFit="1" customWidth="1"/>
    <col min="14621" max="14621" width="17.28515625" style="17" customWidth="1"/>
    <col min="14622" max="14622" width="11" style="17" customWidth="1"/>
    <col min="14623" max="14623" width="12" style="17" bestFit="1" customWidth="1"/>
    <col min="14624" max="14624" width="14.85546875" style="17" customWidth="1"/>
    <col min="14625" max="14874" width="11.42578125" style="17"/>
    <col min="14875" max="14875" width="18.7109375" style="17" customWidth="1"/>
    <col min="14876" max="14876" width="13.7109375" style="17" bestFit="1" customWidth="1"/>
    <col min="14877" max="14877" width="17.28515625" style="17" customWidth="1"/>
    <col min="14878" max="14878" width="11" style="17" customWidth="1"/>
    <col min="14879" max="14879" width="12" style="17" bestFit="1" customWidth="1"/>
    <col min="14880" max="14880" width="14.85546875" style="17" customWidth="1"/>
    <col min="14881" max="15130" width="11.42578125" style="17"/>
    <col min="15131" max="15131" width="18.7109375" style="17" customWidth="1"/>
    <col min="15132" max="15132" width="13.7109375" style="17" bestFit="1" customWidth="1"/>
    <col min="15133" max="15133" width="17.28515625" style="17" customWidth="1"/>
    <col min="15134" max="15134" width="11" style="17" customWidth="1"/>
    <col min="15135" max="15135" width="12" style="17" bestFit="1" customWidth="1"/>
    <col min="15136" max="15136" width="14.85546875" style="17" customWidth="1"/>
    <col min="15137" max="15386" width="11.42578125" style="17"/>
    <col min="15387" max="15387" width="18.7109375" style="17" customWidth="1"/>
    <col min="15388" max="15388" width="13.7109375" style="17" bestFit="1" customWidth="1"/>
    <col min="15389" max="15389" width="17.28515625" style="17" customWidth="1"/>
    <col min="15390" max="15390" width="11" style="17" customWidth="1"/>
    <col min="15391" max="15391" width="12" style="17" bestFit="1" customWidth="1"/>
    <col min="15392" max="15392" width="14.85546875" style="17" customWidth="1"/>
    <col min="15393" max="15642" width="11.42578125" style="17"/>
    <col min="15643" max="15643" width="18.7109375" style="17" customWidth="1"/>
    <col min="15644" max="15644" width="13.7109375" style="17" bestFit="1" customWidth="1"/>
    <col min="15645" max="15645" width="17.28515625" style="17" customWidth="1"/>
    <col min="15646" max="15646" width="11" style="17" customWidth="1"/>
    <col min="15647" max="15647" width="12" style="17" bestFit="1" customWidth="1"/>
    <col min="15648" max="15648" width="14.85546875" style="17" customWidth="1"/>
    <col min="15649" max="15898" width="11.42578125" style="17"/>
    <col min="15899" max="15899" width="18.7109375" style="17" customWidth="1"/>
    <col min="15900" max="15900" width="13.7109375" style="17" bestFit="1" customWidth="1"/>
    <col min="15901" max="15901" width="17.28515625" style="17" customWidth="1"/>
    <col min="15902" max="15902" width="11" style="17" customWidth="1"/>
    <col min="15903" max="15903" width="12" style="17" bestFit="1" customWidth="1"/>
    <col min="15904" max="15904" width="14.85546875" style="17" customWidth="1"/>
    <col min="15905" max="16154" width="11.42578125" style="17"/>
    <col min="16155" max="16155" width="18.7109375" style="17" customWidth="1"/>
    <col min="16156" max="16156" width="13.7109375" style="17" bestFit="1" customWidth="1"/>
    <col min="16157" max="16157" width="17.28515625" style="17" customWidth="1"/>
    <col min="16158" max="16158" width="11" style="17" customWidth="1"/>
    <col min="16159" max="16159" width="12" style="17" bestFit="1" customWidth="1"/>
    <col min="16160" max="16160" width="14.85546875" style="17" customWidth="1"/>
    <col min="16161" max="16384" width="11.42578125" style="17"/>
  </cols>
  <sheetData>
    <row r="2" spans="1:37" x14ac:dyDescent="0.2">
      <c r="A2" s="17" t="s">
        <v>70</v>
      </c>
      <c r="B2" s="63">
        <f>'pooled normalised values'!B75</f>
        <v>0.11474402963090824</v>
      </c>
      <c r="D2" s="17" t="s">
        <v>9</v>
      </c>
      <c r="E2" s="18"/>
      <c r="F2" s="19" t="str">
        <f>'pooled normalised values'!J74</f>
        <v>Cromolyn-1µg/L</v>
      </c>
      <c r="G2" s="19" t="str">
        <f>'pooled normalised values'!K74</f>
        <v>Cromolyn-10µg/L</v>
      </c>
      <c r="H2" s="19" t="str">
        <f>'pooled normalised values'!L74</f>
        <v>Cromolyn-100µg/L</v>
      </c>
      <c r="I2" s="19" t="str">
        <f>'pooled normalised values'!M74</f>
        <v>Cromolyn-1000µg/L</v>
      </c>
      <c r="J2" s="19" t="e">
        <f>'pooled normalised values'!#REF!</f>
        <v>#REF!</v>
      </c>
      <c r="K2" s="19" t="e">
        <f>'pooled normalised values'!#REF!</f>
        <v>#REF!</v>
      </c>
      <c r="L2" s="19" t="e">
        <f>'pooled normalised values'!#REF!</f>
        <v>#REF!</v>
      </c>
      <c r="M2" s="19" t="e">
        <f>'pooled normalised values'!#REF!</f>
        <v>#REF!</v>
      </c>
      <c r="N2" s="19" t="e">
        <f>'pooled normalised values'!#REF!</f>
        <v>#REF!</v>
      </c>
      <c r="O2" s="19" t="e">
        <f>'pooled normalised values'!#REF!</f>
        <v>#REF!</v>
      </c>
      <c r="P2" s="19" t="e">
        <f>'pooled normalised values'!#REF!</f>
        <v>#REF!</v>
      </c>
      <c r="Q2" s="19" t="e">
        <f>'pooled normalised values'!#REF!</f>
        <v>#REF!</v>
      </c>
      <c r="R2" s="19" t="e">
        <f>'pooled normalised values'!#REF!</f>
        <v>#REF!</v>
      </c>
      <c r="S2" s="19" t="e">
        <f>'pooled normalised values'!#REF!</f>
        <v>#REF!</v>
      </c>
      <c r="T2" s="18"/>
      <c r="U2" s="20"/>
      <c r="V2" s="19" t="str">
        <f>'pooled normalised values'!R74</f>
        <v>Cromolyn-0,1µg/L + Testostérone</v>
      </c>
      <c r="W2" s="19" t="str">
        <f>'pooled normalised values'!S74</f>
        <v>Cromolyn-1µg/L + Testostérone</v>
      </c>
      <c r="X2" s="19" t="str">
        <f>'pooled normalised values'!T74</f>
        <v>Cromolyn-10µg/L + Testostérone</v>
      </c>
      <c r="Y2" s="19" t="str">
        <f>'pooled normalised values'!U74</f>
        <v>Cromolyn-100µg/L + Testostérone</v>
      </c>
      <c r="Z2" s="19" t="str">
        <f>'pooled normalised values'!V74</f>
        <v>Cromolyn-1000µg/L + Testostérone</v>
      </c>
      <c r="AA2" s="19" t="e">
        <f>'pooled normalised values'!#REF!</f>
        <v>#REF!</v>
      </c>
      <c r="AB2" s="19" t="e">
        <f>'pooled normalised values'!#REF!</f>
        <v>#REF!</v>
      </c>
      <c r="AC2" s="19" t="e">
        <f>'pooled normalised values'!#REF!</f>
        <v>#REF!</v>
      </c>
      <c r="AD2" s="19" t="e">
        <f>'pooled normalised values'!#REF!</f>
        <v>#REF!</v>
      </c>
      <c r="AE2" s="19" t="e">
        <f>'pooled normalised values'!#REF!</f>
        <v>#REF!</v>
      </c>
      <c r="AF2" s="19" t="e">
        <f>'pooled normalised values'!#REF!</f>
        <v>#REF!</v>
      </c>
      <c r="AG2" s="19" t="e">
        <f>'pooled normalised values'!#REF!</f>
        <v>#REF!</v>
      </c>
      <c r="AH2" s="19" t="e">
        <f>'pooled normalised values'!#REF!</f>
        <v>#REF!</v>
      </c>
      <c r="AI2" s="19" t="e">
        <f>'pooled normalised values'!#REF!</f>
        <v>#REF!</v>
      </c>
      <c r="AJ2" s="20"/>
      <c r="AK2" s="17" t="s">
        <v>9</v>
      </c>
    </row>
    <row r="3" spans="1:37" x14ac:dyDescent="0.2">
      <c r="A3" s="17" t="s">
        <v>71</v>
      </c>
      <c r="B3" s="63">
        <f>'summary results'!E6</f>
        <v>0</v>
      </c>
      <c r="D3" s="21" t="s">
        <v>10</v>
      </c>
      <c r="E3" s="22"/>
      <c r="F3" s="19">
        <f>HLOOKUP(F2,'pooled normalised values'!B74:V83,2,FALSE)</f>
        <v>8.5601748592480043E-2</v>
      </c>
      <c r="G3" s="19">
        <f>HLOOKUP(G2,'pooled normalised values'!C74:W83,2,FALSE)</f>
        <v>7.3743311519700441E-2</v>
      </c>
      <c r="H3" s="19">
        <f>HLOOKUP(H2,'pooled normalised values'!C74:X83,2,FALSE)</f>
        <v>0.12166486736821068</v>
      </c>
      <c r="I3" s="19">
        <f>HLOOKUP(I2,'pooled normalised values'!D74:Y83,2,FALSE)</f>
        <v>0.15422562604974674</v>
      </c>
      <c r="J3" s="19" t="e">
        <f>HLOOKUP(J2,'pooled normalised values'!E74:Z83,2,FALSE)</f>
        <v>#REF!</v>
      </c>
      <c r="K3" s="19" t="e">
        <f>HLOOKUP(K2,'pooled normalised values'!F74:AA83,2,FALSE)</f>
        <v>#REF!</v>
      </c>
      <c r="L3" s="19" t="e">
        <f>HLOOKUP(L2,'pooled normalised values'!G74:AB83,2,FALSE)</f>
        <v>#REF!</v>
      </c>
      <c r="M3" s="19" t="e">
        <f>HLOOKUP(M2,'pooled normalised values'!H74:AC83,2,FALSE)</f>
        <v>#REF!</v>
      </c>
      <c r="N3" s="19" t="e">
        <f>HLOOKUP(N2,'pooled normalised values'!I74:AD83,2,FALSE)</f>
        <v>#REF!</v>
      </c>
      <c r="O3" s="19" t="e">
        <f>HLOOKUP(O2,'pooled normalised values'!J74:AE83,2,FALSE)</f>
        <v>#REF!</v>
      </c>
      <c r="P3" s="19" t="e">
        <f>HLOOKUP(P2,'pooled normalised values'!K74:AF83,2,FALSE)</f>
        <v>#REF!</v>
      </c>
      <c r="Q3" s="19" t="e">
        <f>HLOOKUP(Q2,'pooled normalised values'!L74:AG83,2,FALSE)</f>
        <v>#REF!</v>
      </c>
      <c r="R3" s="19" t="e">
        <f>HLOOKUP(R2,'pooled normalised values'!M74:AH83,2,FALSE)</f>
        <v>#REF!</v>
      </c>
      <c r="S3" s="19" t="e">
        <f>HLOOKUP(S2,'pooled normalised values'!N74:AI83,2,FALSE)</f>
        <v>#REF!</v>
      </c>
      <c r="T3" s="22"/>
      <c r="U3" s="20"/>
      <c r="V3" s="19">
        <f>HLOOKUP(V2,'pooled normalised values'!N74:AL83,2,FALSE)</f>
        <v>0.81046544479508986</v>
      </c>
      <c r="W3" s="19">
        <f>HLOOKUP(W2,'pooled normalised values'!N74:AM83,2,FALSE)</f>
        <v>0.73219000223152897</v>
      </c>
      <c r="X3" s="19">
        <f>HLOOKUP(X2,'pooled normalised values'!N74:AN83,2,FALSE)</f>
        <v>0.88335290141760592</v>
      </c>
      <c r="Y3" s="19">
        <f>HLOOKUP(Y2,'pooled normalised values'!N74:AO83,2,FALSE)</f>
        <v>0.81009184213048868</v>
      </c>
      <c r="Z3" s="19">
        <f>HLOOKUP(Z2,'pooled normalised values'!N74:AP83,2,FALSE)</f>
        <v>0.82365737663353666</v>
      </c>
      <c r="AA3" s="19" t="e">
        <f>HLOOKUP(AA2,'pooled normalised values'!N74:AQ83,2,FALSE)</f>
        <v>#REF!</v>
      </c>
      <c r="AB3" s="19" t="e">
        <f>HLOOKUP(AB2,'pooled normalised values'!N74:AR83,2,FALSE)</f>
        <v>#REF!</v>
      </c>
      <c r="AC3" s="19" t="e">
        <f>HLOOKUP(AC2,'pooled normalised values'!N74:AS83,2,FALSE)</f>
        <v>#REF!</v>
      </c>
      <c r="AD3" s="19" t="e">
        <f>HLOOKUP(AD2,'pooled normalised values'!N74:AT83,2,FALSE)</f>
        <v>#REF!</v>
      </c>
      <c r="AE3" s="19" t="e">
        <f>HLOOKUP(AE2,'pooled normalised values'!N74:AU83,2,FALSE)</f>
        <v>#REF!</v>
      </c>
      <c r="AF3" s="19" t="e">
        <f>HLOOKUP(AF2,'pooled normalised values'!N74:AV83,2,FALSE)</f>
        <v>#REF!</v>
      </c>
      <c r="AG3" s="19" t="e">
        <f>HLOOKUP(AG2,'pooled normalised values'!N74:AW83,2,FALSE)</f>
        <v>#REF!</v>
      </c>
      <c r="AH3" s="19" t="e">
        <f>HLOOKUP(AH2,'pooled normalised values'!N74:AX83,2,FALSE)</f>
        <v>#REF!</v>
      </c>
      <c r="AI3" s="19" t="e">
        <f>HLOOKUP(AI2,'pooled normalised values'!N74:AY83,2,FALSE)</f>
        <v>#REF!</v>
      </c>
      <c r="AJ3" s="20"/>
      <c r="AK3" s="21" t="s">
        <v>10</v>
      </c>
    </row>
    <row r="4" spans="1:37" x14ac:dyDescent="0.2">
      <c r="A4" s="17" t="s">
        <v>72</v>
      </c>
      <c r="B4" s="63">
        <f>'pooled normalised values'!O75</f>
        <v>1</v>
      </c>
      <c r="D4" s="21" t="s">
        <v>2</v>
      </c>
      <c r="E4" s="22"/>
      <c r="F4" s="19">
        <f>HLOOKUP(F2,'pooled normalised values'!B74:V83,3,FALSE)</f>
        <v>1.1329392747859688E-2</v>
      </c>
      <c r="G4" s="19">
        <f>HLOOKUP(G2,'pooled normalised values'!C74:W83,3,FALSE)</f>
        <v>1.0910315131660089E-2</v>
      </c>
      <c r="H4" s="19">
        <f>HLOOKUP(H2,'pooled normalised values'!C74:X83,3,FALSE)</f>
        <v>1.7233513712185775E-2</v>
      </c>
      <c r="I4" s="19">
        <f>HLOOKUP(I2,'pooled normalised values'!D74:Y83,3,FALSE)</f>
        <v>2.7582851286780969E-2</v>
      </c>
      <c r="J4" s="19" t="e">
        <f>HLOOKUP(J2,'pooled normalised values'!E74:Z83,3,FALSE)</f>
        <v>#REF!</v>
      </c>
      <c r="K4" s="19" t="e">
        <f>HLOOKUP(K2,'pooled normalised values'!F74:AA83,3,FALSE)</f>
        <v>#REF!</v>
      </c>
      <c r="L4" s="19" t="e">
        <f>HLOOKUP(L2,'pooled normalised values'!G74:AB83,3,FALSE)</f>
        <v>#REF!</v>
      </c>
      <c r="M4" s="19" t="e">
        <f>HLOOKUP(M2,'pooled normalised values'!H74:AC83,3,FALSE)</f>
        <v>#REF!</v>
      </c>
      <c r="N4" s="19" t="e">
        <f>HLOOKUP(N2,'pooled normalised values'!I74:AD83,3,FALSE)</f>
        <v>#REF!</v>
      </c>
      <c r="O4" s="19" t="e">
        <f>HLOOKUP(O2,'pooled normalised values'!J74:AE83,3,FALSE)</f>
        <v>#REF!</v>
      </c>
      <c r="P4" s="19" t="e">
        <f>HLOOKUP(P2,'pooled normalised values'!K74:AF83,3,FALSE)</f>
        <v>#REF!</v>
      </c>
      <c r="Q4" s="19" t="e">
        <f>HLOOKUP(Q2,'pooled normalised values'!L74:AG83,3,FALSE)</f>
        <v>#REF!</v>
      </c>
      <c r="R4" s="19" t="e">
        <f>HLOOKUP(R2,'pooled normalised values'!M74:AH83,3,FALSE)</f>
        <v>#REF!</v>
      </c>
      <c r="S4" s="19" t="e">
        <f>HLOOKUP(S2,'pooled normalised values'!N74:AI83,3,FALSE)</f>
        <v>#REF!</v>
      </c>
      <c r="T4" s="22"/>
      <c r="U4" s="20"/>
      <c r="V4" s="19">
        <f>HLOOKUP(V2,'pooled normalised values'!N74:AL83,3,FALSE)</f>
        <v>0.12857289204112948</v>
      </c>
      <c r="W4" s="19">
        <f>HLOOKUP(W2,'pooled normalised values'!N74:AM83,3,FALSE)</f>
        <v>0.11525751434686056</v>
      </c>
      <c r="X4" s="19">
        <f>HLOOKUP(X2,'pooled normalised values'!N74:AN83,3,FALSE)</f>
        <v>0.15041426033483898</v>
      </c>
      <c r="Y4" s="19">
        <f>HLOOKUP(Y2,'pooled normalised values'!N74:AO83,3,FALSE)</f>
        <v>0.12918102201275808</v>
      </c>
      <c r="Z4" s="19">
        <f>HLOOKUP(Z2,'pooled normalised values'!N74:AP83,3,FALSE)</f>
        <v>0.11506014246509058</v>
      </c>
      <c r="AA4" s="19" t="e">
        <f>HLOOKUP(AA2,'pooled normalised values'!N74:AQ83,3,FALSE)</f>
        <v>#REF!</v>
      </c>
      <c r="AB4" s="19" t="e">
        <f>HLOOKUP(AB2,'pooled normalised values'!N74:AR83,3,FALSE)</f>
        <v>#REF!</v>
      </c>
      <c r="AC4" s="19" t="e">
        <f>HLOOKUP(AC2,'pooled normalised values'!N74:AS83,3,FALSE)</f>
        <v>#REF!</v>
      </c>
      <c r="AD4" s="19" t="e">
        <f>HLOOKUP(AD2,'pooled normalised values'!N74:AT83,3,FALSE)</f>
        <v>#REF!</v>
      </c>
      <c r="AE4" s="19" t="e">
        <f>HLOOKUP(AE2,'pooled normalised values'!N74:AU83,3,FALSE)</f>
        <v>#REF!</v>
      </c>
      <c r="AF4" s="19" t="e">
        <f>HLOOKUP(AF2,'pooled normalised values'!N74:AV83,3,FALSE)</f>
        <v>#REF!</v>
      </c>
      <c r="AG4" s="19" t="e">
        <f>HLOOKUP(AG2,'pooled normalised values'!N74:AW83,3,FALSE)</f>
        <v>#REF!</v>
      </c>
      <c r="AH4" s="19" t="e">
        <f>HLOOKUP(AH2,'pooled normalised values'!N74:AX83,3,FALSE)</f>
        <v>#REF!</v>
      </c>
      <c r="AI4" s="19" t="e">
        <f>HLOOKUP(AI2,'pooled normalised values'!N74:AY83,3,FALSE)</f>
        <v>#REF!</v>
      </c>
      <c r="AJ4" s="20"/>
      <c r="AK4" s="21" t="s">
        <v>2</v>
      </c>
    </row>
    <row r="5" spans="1:37" x14ac:dyDescent="0.2">
      <c r="A5" s="17" t="s">
        <v>73</v>
      </c>
      <c r="B5" s="63">
        <f>'pooled normalised values'!P75</f>
        <v>1.4036895431606196</v>
      </c>
      <c r="D5" s="23" t="s">
        <v>11</v>
      </c>
      <c r="E5" s="22"/>
      <c r="F5" s="19" t="str">
        <f>HLOOKUP(F2,'pooled normalised values'!B74:V83,10,FALSE)</f>
        <v>NS</v>
      </c>
      <c r="G5" s="19" t="str">
        <f>HLOOKUP(G2,'pooled normalised values'!C74:W83,10,FALSE)</f>
        <v>NS</v>
      </c>
      <c r="H5" s="19" t="str">
        <f>HLOOKUP(H2,'pooled normalised values'!C74:X83,10,FALSE)</f>
        <v>NS</v>
      </c>
      <c r="I5" s="19" t="str">
        <f>HLOOKUP(I2,'pooled normalised values'!D74:Y83,10,FALSE)</f>
        <v>NS</v>
      </c>
      <c r="J5" s="19" t="e">
        <f>HLOOKUP(J2,'pooled normalised values'!E74:Z83,10,FALSE)</f>
        <v>#REF!</v>
      </c>
      <c r="K5" s="19" t="e">
        <f>HLOOKUP(K2,'pooled normalised values'!F74:AA83,10,FALSE)</f>
        <v>#REF!</v>
      </c>
      <c r="L5" s="19" t="e">
        <f>HLOOKUP(L2,'pooled normalised values'!G74:AB83,10,FALSE)</f>
        <v>#REF!</v>
      </c>
      <c r="M5" s="19" t="e">
        <f>HLOOKUP(M2,'pooled normalised values'!H74:AC83,10,FALSE)</f>
        <v>#REF!</v>
      </c>
      <c r="N5" s="19" t="e">
        <f>HLOOKUP(N2,'pooled normalised values'!I74:AD83,10,FALSE)</f>
        <v>#REF!</v>
      </c>
      <c r="O5" s="19" t="e">
        <f>HLOOKUP(O2,'pooled normalised values'!J74:AE83,10,FALSE)</f>
        <v>#REF!</v>
      </c>
      <c r="P5" s="19" t="e">
        <f>HLOOKUP(P2,'pooled normalised values'!K74:AF83,10,FALSE)</f>
        <v>#REF!</v>
      </c>
      <c r="Q5" s="19" t="e">
        <f>HLOOKUP(Q2,'pooled normalised values'!L74:AG83,10,FALSE)</f>
        <v>#REF!</v>
      </c>
      <c r="R5" s="19" t="e">
        <f>HLOOKUP(R2,'pooled normalised values'!M74:AH83,10,FALSE)</f>
        <v>#REF!</v>
      </c>
      <c r="S5" s="19" t="e">
        <f>HLOOKUP(S2,'pooled normalised values'!N74:AI83,10,FALSE)</f>
        <v>#REF!</v>
      </c>
      <c r="T5" s="22"/>
      <c r="U5" s="20"/>
      <c r="V5" s="19" t="str">
        <f>HLOOKUP(V2,'pooled normalised values'!N74:AL83,10,FALSE)</f>
        <v>NS</v>
      </c>
      <c r="W5" s="19" t="str">
        <f>HLOOKUP(W2,'pooled normalised values'!N74:AM83,10,FALSE)</f>
        <v>*</v>
      </c>
      <c r="X5" s="19" t="str">
        <f>HLOOKUP(X2,'pooled normalised values'!N74:AN83,10,FALSE)</f>
        <v>NS</v>
      </c>
      <c r="Y5" s="19" t="str">
        <f>HLOOKUP(Y2,'pooled normalised values'!N74:AO83,10,FALSE)</f>
        <v>NS</v>
      </c>
      <c r="Z5" s="19" t="str">
        <f>HLOOKUP(Z2,'pooled normalised values'!N74:AP83,10,FALSE)</f>
        <v>NS</v>
      </c>
      <c r="AA5" s="19" t="e">
        <f>HLOOKUP(AA2,'pooled normalised values'!N74:AQ83,10,FALSE)</f>
        <v>#REF!</v>
      </c>
      <c r="AB5" s="19" t="e">
        <f>HLOOKUP(AB2,'pooled normalised values'!N74:AR83,10,FALSE)</f>
        <v>#REF!</v>
      </c>
      <c r="AC5" s="19" t="e">
        <f>HLOOKUP(AC2,'pooled normalised values'!N74:AS83,10,FALSE)</f>
        <v>#REF!</v>
      </c>
      <c r="AD5" s="19" t="e">
        <f>HLOOKUP(AD2,'pooled normalised values'!N74:AT83,10,FALSE)</f>
        <v>#REF!</v>
      </c>
      <c r="AE5" s="19" t="e">
        <f>HLOOKUP(AE2,'pooled normalised values'!N74:AU83,10,FALSE)</f>
        <v>#REF!</v>
      </c>
      <c r="AF5" s="19" t="e">
        <f>HLOOKUP(AF2,'pooled normalised values'!N74:AV83,10,FALSE)</f>
        <v>#REF!</v>
      </c>
      <c r="AG5" s="19" t="e">
        <f>HLOOKUP(AG2,'pooled normalised values'!N74:AW83,10,FALSE)</f>
        <v>#REF!</v>
      </c>
      <c r="AH5" s="19" t="e">
        <f>HLOOKUP(AH2,'pooled normalised values'!N74:AX83,10,FALSE)</f>
        <v>#REF!</v>
      </c>
      <c r="AI5" s="19" t="e">
        <f>HLOOKUP(AI2,'pooled normalised values'!N74:AY83,10,FALSE)</f>
        <v>#REF!</v>
      </c>
      <c r="AJ5" s="20"/>
      <c r="AK5" s="23" t="s">
        <v>11</v>
      </c>
    </row>
    <row r="6" spans="1:37" x14ac:dyDescent="0.2">
      <c r="A6" s="17" t="s">
        <v>74</v>
      </c>
      <c r="B6" s="63">
        <f>'pooled normalised values'!Q75</f>
        <v>0.10888162819021581</v>
      </c>
      <c r="D6" s="21" t="s">
        <v>12</v>
      </c>
      <c r="E6" s="24">
        <f>$B$2</f>
        <v>0.11474402963090824</v>
      </c>
      <c r="F6" s="24">
        <f>$B$2</f>
        <v>0.11474402963090824</v>
      </c>
      <c r="G6" s="24">
        <f t="shared" ref="G6:R6" si="0">$B$2</f>
        <v>0.11474402963090824</v>
      </c>
      <c r="H6" s="24">
        <f t="shared" si="0"/>
        <v>0.11474402963090824</v>
      </c>
      <c r="I6" s="24">
        <f t="shared" si="0"/>
        <v>0.11474402963090824</v>
      </c>
      <c r="J6" s="24">
        <f t="shared" si="0"/>
        <v>0.11474402963090824</v>
      </c>
      <c r="K6" s="24">
        <f t="shared" si="0"/>
        <v>0.11474402963090824</v>
      </c>
      <c r="L6" s="24">
        <f t="shared" si="0"/>
        <v>0.11474402963090824</v>
      </c>
      <c r="M6" s="24">
        <f t="shared" si="0"/>
        <v>0.11474402963090824</v>
      </c>
      <c r="N6" s="24">
        <f t="shared" si="0"/>
        <v>0.11474402963090824</v>
      </c>
      <c r="O6" s="24">
        <f t="shared" si="0"/>
        <v>0.11474402963090824</v>
      </c>
      <c r="P6" s="24">
        <f t="shared" si="0"/>
        <v>0.11474402963090824</v>
      </c>
      <c r="Q6" s="24">
        <f t="shared" si="0"/>
        <v>0.11474402963090824</v>
      </c>
      <c r="R6" s="24">
        <f t="shared" si="0"/>
        <v>0.11474402963090824</v>
      </c>
      <c r="S6" s="24">
        <f>$B$2</f>
        <v>0.11474402963090824</v>
      </c>
      <c r="T6" s="24">
        <f>$B$2</f>
        <v>0.11474402963090824</v>
      </c>
      <c r="U6" s="25"/>
      <c r="V6" s="25"/>
      <c r="W6" s="25"/>
      <c r="X6" s="25"/>
      <c r="Y6" s="25"/>
      <c r="Z6" s="25"/>
      <c r="AA6" s="25"/>
      <c r="AB6" s="25"/>
      <c r="AC6" s="25"/>
      <c r="AD6" s="25"/>
      <c r="AE6" s="25"/>
      <c r="AF6" s="25"/>
      <c r="AG6" s="25"/>
      <c r="AH6" s="25"/>
      <c r="AI6" s="25"/>
      <c r="AJ6" s="25"/>
      <c r="AK6" s="21" t="s">
        <v>12</v>
      </c>
    </row>
    <row r="7" spans="1:37" x14ac:dyDescent="0.2">
      <c r="B7" s="26"/>
      <c r="D7" s="26" t="s">
        <v>13</v>
      </c>
      <c r="E7" s="24"/>
      <c r="F7" s="24"/>
      <c r="G7" s="24"/>
      <c r="H7" s="24"/>
      <c r="I7" s="24"/>
      <c r="J7" s="24"/>
      <c r="K7" s="24"/>
      <c r="L7" s="24"/>
      <c r="M7" s="24"/>
      <c r="N7" s="24"/>
      <c r="O7" s="24"/>
      <c r="P7" s="24"/>
      <c r="Q7" s="24"/>
      <c r="R7" s="24"/>
      <c r="S7" s="24"/>
      <c r="T7" s="27"/>
      <c r="U7" s="25">
        <f t="shared" ref="U7:AJ7" si="1">$B$4</f>
        <v>1</v>
      </c>
      <c r="V7" s="25">
        <f t="shared" si="1"/>
        <v>1</v>
      </c>
      <c r="W7" s="25">
        <f t="shared" si="1"/>
        <v>1</v>
      </c>
      <c r="X7" s="25">
        <f t="shared" si="1"/>
        <v>1</v>
      </c>
      <c r="Y7" s="25">
        <f t="shared" si="1"/>
        <v>1</v>
      </c>
      <c r="Z7" s="25">
        <f t="shared" si="1"/>
        <v>1</v>
      </c>
      <c r="AA7" s="25">
        <f t="shared" si="1"/>
        <v>1</v>
      </c>
      <c r="AB7" s="25">
        <f t="shared" si="1"/>
        <v>1</v>
      </c>
      <c r="AC7" s="25">
        <f t="shared" si="1"/>
        <v>1</v>
      </c>
      <c r="AD7" s="25">
        <f t="shared" si="1"/>
        <v>1</v>
      </c>
      <c r="AE7" s="25">
        <f t="shared" si="1"/>
        <v>1</v>
      </c>
      <c r="AF7" s="25">
        <f t="shared" si="1"/>
        <v>1</v>
      </c>
      <c r="AG7" s="25">
        <f t="shared" si="1"/>
        <v>1</v>
      </c>
      <c r="AH7" s="25">
        <f t="shared" si="1"/>
        <v>1</v>
      </c>
      <c r="AI7" s="25">
        <f t="shared" si="1"/>
        <v>1</v>
      </c>
      <c r="AJ7" s="25">
        <f t="shared" si="1"/>
        <v>1</v>
      </c>
      <c r="AK7" s="26" t="s">
        <v>13</v>
      </c>
    </row>
    <row r="8" spans="1:37" x14ac:dyDescent="0.2">
      <c r="D8" s="28" t="s">
        <v>14</v>
      </c>
      <c r="E8" s="24">
        <v>0</v>
      </c>
      <c r="F8" s="24">
        <v>0</v>
      </c>
      <c r="G8" s="24">
        <v>0</v>
      </c>
      <c r="H8" s="24">
        <v>0</v>
      </c>
      <c r="I8" s="24">
        <v>0</v>
      </c>
      <c r="J8" s="24">
        <v>0</v>
      </c>
      <c r="K8" s="24">
        <v>0</v>
      </c>
      <c r="L8" s="24">
        <v>0</v>
      </c>
      <c r="M8" s="24">
        <v>0</v>
      </c>
      <c r="N8" s="24">
        <v>0</v>
      </c>
      <c r="O8" s="24">
        <v>0</v>
      </c>
      <c r="P8" s="24">
        <v>0</v>
      </c>
      <c r="Q8" s="24">
        <v>0</v>
      </c>
      <c r="R8" s="24">
        <v>0</v>
      </c>
      <c r="S8" s="24">
        <v>0</v>
      </c>
      <c r="T8" s="27">
        <v>0</v>
      </c>
      <c r="U8" s="25">
        <f>$B$6</f>
        <v>0.10888162819021581</v>
      </c>
      <c r="V8" s="25">
        <f t="shared" ref="V8:AJ8" si="2">$B$6</f>
        <v>0.10888162819021581</v>
      </c>
      <c r="W8" s="25">
        <f t="shared" si="2"/>
        <v>0.10888162819021581</v>
      </c>
      <c r="X8" s="25">
        <f t="shared" si="2"/>
        <v>0.10888162819021581</v>
      </c>
      <c r="Y8" s="25">
        <f t="shared" si="2"/>
        <v>0.10888162819021581</v>
      </c>
      <c r="Z8" s="25">
        <f t="shared" si="2"/>
        <v>0.10888162819021581</v>
      </c>
      <c r="AA8" s="25">
        <f t="shared" si="2"/>
        <v>0.10888162819021581</v>
      </c>
      <c r="AB8" s="25">
        <f t="shared" si="2"/>
        <v>0.10888162819021581</v>
      </c>
      <c r="AC8" s="25">
        <f t="shared" si="2"/>
        <v>0.10888162819021581</v>
      </c>
      <c r="AD8" s="25">
        <f t="shared" si="2"/>
        <v>0.10888162819021581</v>
      </c>
      <c r="AE8" s="25">
        <f t="shared" si="2"/>
        <v>0.10888162819021581</v>
      </c>
      <c r="AF8" s="25">
        <f t="shared" si="2"/>
        <v>0.10888162819021581</v>
      </c>
      <c r="AG8" s="25">
        <f t="shared" si="2"/>
        <v>0.10888162819021581</v>
      </c>
      <c r="AH8" s="25">
        <f t="shared" si="2"/>
        <v>0.10888162819021581</v>
      </c>
      <c r="AI8" s="25">
        <f t="shared" si="2"/>
        <v>0.10888162819021581</v>
      </c>
      <c r="AJ8" s="25">
        <f t="shared" si="2"/>
        <v>0.10888162819021581</v>
      </c>
      <c r="AK8" s="28" t="s">
        <v>14</v>
      </c>
    </row>
    <row r="9" spans="1:37" x14ac:dyDescent="0.2">
      <c r="D9" s="28" t="s">
        <v>15</v>
      </c>
      <c r="E9" s="29">
        <f>$B$3-E8</f>
        <v>0</v>
      </c>
      <c r="F9" s="29">
        <f>$B$3-F8</f>
        <v>0</v>
      </c>
      <c r="G9" s="29">
        <f t="shared" ref="G9:R9" si="3">$B$3-G8</f>
        <v>0</v>
      </c>
      <c r="H9" s="29">
        <f t="shared" si="3"/>
        <v>0</v>
      </c>
      <c r="I9" s="29">
        <f t="shared" si="3"/>
        <v>0</v>
      </c>
      <c r="J9" s="29">
        <f t="shared" si="3"/>
        <v>0</v>
      </c>
      <c r="K9" s="29">
        <f t="shared" si="3"/>
        <v>0</v>
      </c>
      <c r="L9" s="29">
        <f t="shared" si="3"/>
        <v>0</v>
      </c>
      <c r="M9" s="29">
        <f t="shared" si="3"/>
        <v>0</v>
      </c>
      <c r="N9" s="29">
        <f t="shared" si="3"/>
        <v>0</v>
      </c>
      <c r="O9" s="29">
        <f t="shared" si="3"/>
        <v>0</v>
      </c>
      <c r="P9" s="29">
        <f t="shared" si="3"/>
        <v>0</v>
      </c>
      <c r="Q9" s="29">
        <f t="shared" si="3"/>
        <v>0</v>
      </c>
      <c r="R9" s="29">
        <f t="shared" si="3"/>
        <v>0</v>
      </c>
      <c r="S9" s="29">
        <f>$B$3-S8</f>
        <v>0</v>
      </c>
      <c r="T9" s="29">
        <f>$B$3-T8</f>
        <v>0</v>
      </c>
      <c r="U9" s="25">
        <f>$B$5-U8</f>
        <v>1.2948079149704037</v>
      </c>
      <c r="V9" s="25">
        <f>$B$5-V8</f>
        <v>1.2948079149704037</v>
      </c>
      <c r="W9" s="25">
        <f t="shared" ref="W9:AH9" si="4">$B$5-W8</f>
        <v>1.2948079149704037</v>
      </c>
      <c r="X9" s="25">
        <f t="shared" si="4"/>
        <v>1.2948079149704037</v>
      </c>
      <c r="Y9" s="25">
        <f t="shared" si="4"/>
        <v>1.2948079149704037</v>
      </c>
      <c r="Z9" s="25">
        <f t="shared" si="4"/>
        <v>1.2948079149704037</v>
      </c>
      <c r="AA9" s="25">
        <f t="shared" si="4"/>
        <v>1.2948079149704037</v>
      </c>
      <c r="AB9" s="25">
        <f t="shared" si="4"/>
        <v>1.2948079149704037</v>
      </c>
      <c r="AC9" s="25">
        <f t="shared" si="4"/>
        <v>1.2948079149704037</v>
      </c>
      <c r="AD9" s="25">
        <f t="shared" si="4"/>
        <v>1.2948079149704037</v>
      </c>
      <c r="AE9" s="25">
        <f t="shared" si="4"/>
        <v>1.2948079149704037</v>
      </c>
      <c r="AF9" s="25">
        <f t="shared" si="4"/>
        <v>1.2948079149704037</v>
      </c>
      <c r="AG9" s="25">
        <f t="shared" si="4"/>
        <v>1.2948079149704037</v>
      </c>
      <c r="AH9" s="25">
        <f t="shared" si="4"/>
        <v>1.2948079149704037</v>
      </c>
      <c r="AI9" s="25">
        <f>$B$5-AI8</f>
        <v>1.2948079149704037</v>
      </c>
      <c r="AJ9" s="25">
        <f>$B$5-AJ8</f>
        <v>1.2948079149704037</v>
      </c>
      <c r="AK9" s="28" t="s">
        <v>15</v>
      </c>
    </row>
    <row r="10" spans="1:37" x14ac:dyDescent="0.2">
      <c r="D10" s="28" t="s">
        <v>16</v>
      </c>
      <c r="E10" s="27">
        <f>2.5-E9</f>
        <v>2.5</v>
      </c>
      <c r="F10" s="27">
        <f>2.5-F9</f>
        <v>2.5</v>
      </c>
      <c r="G10" s="27">
        <f t="shared" ref="G10:R10" si="5">2.5-G9</f>
        <v>2.5</v>
      </c>
      <c r="H10" s="27">
        <f t="shared" si="5"/>
        <v>2.5</v>
      </c>
      <c r="I10" s="27">
        <f t="shared" si="5"/>
        <v>2.5</v>
      </c>
      <c r="J10" s="27">
        <f t="shared" si="5"/>
        <v>2.5</v>
      </c>
      <c r="K10" s="27">
        <f t="shared" si="5"/>
        <v>2.5</v>
      </c>
      <c r="L10" s="27">
        <f t="shared" si="5"/>
        <v>2.5</v>
      </c>
      <c r="M10" s="27">
        <f t="shared" si="5"/>
        <v>2.5</v>
      </c>
      <c r="N10" s="27">
        <f t="shared" si="5"/>
        <v>2.5</v>
      </c>
      <c r="O10" s="27">
        <f t="shared" si="5"/>
        <v>2.5</v>
      </c>
      <c r="P10" s="27">
        <f t="shared" si="5"/>
        <v>2.5</v>
      </c>
      <c r="Q10" s="27">
        <f t="shared" si="5"/>
        <v>2.5</v>
      </c>
      <c r="R10" s="27">
        <f t="shared" si="5"/>
        <v>2.5</v>
      </c>
      <c r="S10" s="27">
        <f>2.5-S9</f>
        <v>2.5</v>
      </c>
      <c r="T10" s="27">
        <f>2.5-T9</f>
        <v>2.5</v>
      </c>
      <c r="U10" s="25">
        <f>2.5-U9</f>
        <v>1.2051920850295963</v>
      </c>
      <c r="V10" s="25">
        <f>2.5-V9</f>
        <v>1.2051920850295963</v>
      </c>
      <c r="W10" s="25">
        <f t="shared" ref="W10:AH10" si="6">2.5-W9</f>
        <v>1.2051920850295963</v>
      </c>
      <c r="X10" s="25">
        <f t="shared" si="6"/>
        <v>1.2051920850295963</v>
      </c>
      <c r="Y10" s="25">
        <f t="shared" si="6"/>
        <v>1.2051920850295963</v>
      </c>
      <c r="Z10" s="25">
        <f t="shared" si="6"/>
        <v>1.2051920850295963</v>
      </c>
      <c r="AA10" s="25">
        <f t="shared" si="6"/>
        <v>1.2051920850295963</v>
      </c>
      <c r="AB10" s="25">
        <f t="shared" si="6"/>
        <v>1.2051920850295963</v>
      </c>
      <c r="AC10" s="25">
        <f t="shared" si="6"/>
        <v>1.2051920850295963</v>
      </c>
      <c r="AD10" s="25">
        <f t="shared" si="6"/>
        <v>1.2051920850295963</v>
      </c>
      <c r="AE10" s="25">
        <f t="shared" si="6"/>
        <v>1.2051920850295963</v>
      </c>
      <c r="AF10" s="25">
        <f t="shared" si="6"/>
        <v>1.2051920850295963</v>
      </c>
      <c r="AG10" s="25">
        <f t="shared" si="6"/>
        <v>1.2051920850295963</v>
      </c>
      <c r="AH10" s="25">
        <f t="shared" si="6"/>
        <v>1.2051920850295963</v>
      </c>
      <c r="AI10" s="25">
        <f>2.5-AI9</f>
        <v>1.2051920850295963</v>
      </c>
      <c r="AJ10" s="25">
        <f>2.5-AJ9</f>
        <v>1.2051920850295963</v>
      </c>
      <c r="AK10" s="28" t="s">
        <v>16</v>
      </c>
    </row>
    <row r="17" spans="2:20" x14ac:dyDescent="0.2">
      <c r="C17" s="23"/>
      <c r="D17" s="23"/>
    </row>
    <row r="18" spans="2:20" x14ac:dyDescent="0.2">
      <c r="B18" s="30"/>
    </row>
    <row r="19" spans="2:20" x14ac:dyDescent="0.2">
      <c r="B19" s="30"/>
    </row>
    <row r="20" spans="2:20" x14ac:dyDescent="0.2">
      <c r="B20" s="31"/>
    </row>
    <row r="21" spans="2:20" x14ac:dyDescent="0.2">
      <c r="B21" s="30"/>
    </row>
    <row r="22" spans="2:20" x14ac:dyDescent="0.2">
      <c r="B22" s="30"/>
      <c r="T22" s="23"/>
    </row>
    <row r="23" spans="2:20" x14ac:dyDescent="0.2">
      <c r="B23" s="31"/>
      <c r="T23" s="23"/>
    </row>
    <row r="24" spans="2:20" x14ac:dyDescent="0.2">
      <c r="T24" s="23"/>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K24"/>
  <sheetViews>
    <sheetView topLeftCell="A16" zoomScale="70" zoomScaleNormal="70" workbookViewId="0">
      <selection activeCell="N34" sqref="N34"/>
    </sheetView>
  </sheetViews>
  <sheetFormatPr baseColWidth="10" defaultRowHeight="12.75" x14ac:dyDescent="0.2"/>
  <cols>
    <col min="1" max="1" width="18.85546875" style="17" customWidth="1"/>
    <col min="2" max="2" width="7.28515625" style="17" bestFit="1" customWidth="1"/>
    <col min="3" max="3" width="10.5703125" style="17" customWidth="1"/>
    <col min="4" max="4" width="13.7109375" style="17" bestFit="1" customWidth="1"/>
    <col min="5" max="5" width="12" style="17" bestFit="1" customWidth="1"/>
    <col min="6" max="6" width="14.85546875" style="17" customWidth="1"/>
    <col min="7" max="8" width="11.42578125" style="17"/>
    <col min="9" max="9" width="13.5703125" style="17" bestFit="1" customWidth="1"/>
    <col min="10" max="256" width="11.42578125" style="17"/>
    <col min="257" max="257" width="18.7109375" style="17" customWidth="1"/>
    <col min="258" max="258" width="13.7109375" style="17" bestFit="1" customWidth="1"/>
    <col min="259" max="259" width="17.28515625" style="17" customWidth="1"/>
    <col min="260" max="260" width="11" style="17" customWidth="1"/>
    <col min="261" max="261" width="12" style="17" bestFit="1" customWidth="1"/>
    <col min="262" max="262" width="14.85546875" style="17" customWidth="1"/>
    <col min="263" max="512" width="11.42578125" style="17"/>
    <col min="513" max="513" width="18.7109375" style="17" customWidth="1"/>
    <col min="514" max="514" width="13.7109375" style="17" bestFit="1" customWidth="1"/>
    <col min="515" max="515" width="17.28515625" style="17" customWidth="1"/>
    <col min="516" max="516" width="11" style="17" customWidth="1"/>
    <col min="517" max="517" width="12" style="17" bestFit="1" customWidth="1"/>
    <col min="518" max="518" width="14.85546875" style="17" customWidth="1"/>
    <col min="519" max="768" width="11.42578125" style="17"/>
    <col min="769" max="769" width="18.7109375" style="17" customWidth="1"/>
    <col min="770" max="770" width="13.7109375" style="17" bestFit="1" customWidth="1"/>
    <col min="771" max="771" width="17.28515625" style="17" customWidth="1"/>
    <col min="772" max="772" width="11" style="17" customWidth="1"/>
    <col min="773" max="773" width="12" style="17" bestFit="1" customWidth="1"/>
    <col min="774" max="774" width="14.85546875" style="17" customWidth="1"/>
    <col min="775" max="1024" width="11.42578125" style="17"/>
    <col min="1025" max="1025" width="18.7109375" style="17" customWidth="1"/>
    <col min="1026" max="1026" width="13.7109375" style="17" bestFit="1" customWidth="1"/>
    <col min="1027" max="1027" width="17.28515625" style="17" customWidth="1"/>
    <col min="1028" max="1028" width="11" style="17" customWidth="1"/>
    <col min="1029" max="1029" width="12" style="17" bestFit="1" customWidth="1"/>
    <col min="1030" max="1030" width="14.85546875" style="17" customWidth="1"/>
    <col min="1031" max="1280" width="11.42578125" style="17"/>
    <col min="1281" max="1281" width="18.7109375" style="17" customWidth="1"/>
    <col min="1282" max="1282" width="13.7109375" style="17" bestFit="1" customWidth="1"/>
    <col min="1283" max="1283" width="17.28515625" style="17" customWidth="1"/>
    <col min="1284" max="1284" width="11" style="17" customWidth="1"/>
    <col min="1285" max="1285" width="12" style="17" bestFit="1" customWidth="1"/>
    <col min="1286" max="1286" width="14.85546875" style="17" customWidth="1"/>
    <col min="1287" max="1536" width="11.42578125" style="17"/>
    <col min="1537" max="1537" width="18.7109375" style="17" customWidth="1"/>
    <col min="1538" max="1538" width="13.7109375" style="17" bestFit="1" customWidth="1"/>
    <col min="1539" max="1539" width="17.28515625" style="17" customWidth="1"/>
    <col min="1540" max="1540" width="11" style="17" customWidth="1"/>
    <col min="1541" max="1541" width="12" style="17" bestFit="1" customWidth="1"/>
    <col min="1542" max="1542" width="14.85546875" style="17" customWidth="1"/>
    <col min="1543" max="1792" width="11.42578125" style="17"/>
    <col min="1793" max="1793" width="18.7109375" style="17" customWidth="1"/>
    <col min="1794" max="1794" width="13.7109375" style="17" bestFit="1" customWidth="1"/>
    <col min="1795" max="1795" width="17.28515625" style="17" customWidth="1"/>
    <col min="1796" max="1796" width="11" style="17" customWidth="1"/>
    <col min="1797" max="1797" width="12" style="17" bestFit="1" customWidth="1"/>
    <col min="1798" max="1798" width="14.85546875" style="17" customWidth="1"/>
    <col min="1799" max="2048" width="11.42578125" style="17"/>
    <col min="2049" max="2049" width="18.7109375" style="17" customWidth="1"/>
    <col min="2050" max="2050" width="13.7109375" style="17" bestFit="1" customWidth="1"/>
    <col min="2051" max="2051" width="17.28515625" style="17" customWidth="1"/>
    <col min="2052" max="2052" width="11" style="17" customWidth="1"/>
    <col min="2053" max="2053" width="12" style="17" bestFit="1" customWidth="1"/>
    <col min="2054" max="2054" width="14.85546875" style="17" customWidth="1"/>
    <col min="2055" max="2304" width="11.42578125" style="17"/>
    <col min="2305" max="2305" width="18.7109375" style="17" customWidth="1"/>
    <col min="2306" max="2306" width="13.7109375" style="17" bestFit="1" customWidth="1"/>
    <col min="2307" max="2307" width="17.28515625" style="17" customWidth="1"/>
    <col min="2308" max="2308" width="11" style="17" customWidth="1"/>
    <col min="2309" max="2309" width="12" style="17" bestFit="1" customWidth="1"/>
    <col min="2310" max="2310" width="14.85546875" style="17" customWidth="1"/>
    <col min="2311" max="2560" width="11.42578125" style="17"/>
    <col min="2561" max="2561" width="18.7109375" style="17" customWidth="1"/>
    <col min="2562" max="2562" width="13.7109375" style="17" bestFit="1" customWidth="1"/>
    <col min="2563" max="2563" width="17.28515625" style="17" customWidth="1"/>
    <col min="2564" max="2564" width="11" style="17" customWidth="1"/>
    <col min="2565" max="2565" width="12" style="17" bestFit="1" customWidth="1"/>
    <col min="2566" max="2566" width="14.85546875" style="17" customWidth="1"/>
    <col min="2567" max="2816" width="11.42578125" style="17"/>
    <col min="2817" max="2817" width="18.7109375" style="17" customWidth="1"/>
    <col min="2818" max="2818" width="13.7109375" style="17" bestFit="1" customWidth="1"/>
    <col min="2819" max="2819" width="17.28515625" style="17" customWidth="1"/>
    <col min="2820" max="2820" width="11" style="17" customWidth="1"/>
    <col min="2821" max="2821" width="12" style="17" bestFit="1" customWidth="1"/>
    <col min="2822" max="2822" width="14.85546875" style="17" customWidth="1"/>
    <col min="2823" max="3072" width="11.42578125" style="17"/>
    <col min="3073" max="3073" width="18.7109375" style="17" customWidth="1"/>
    <col min="3074" max="3074" width="13.7109375" style="17" bestFit="1" customWidth="1"/>
    <col min="3075" max="3075" width="17.28515625" style="17" customWidth="1"/>
    <col min="3076" max="3076" width="11" style="17" customWidth="1"/>
    <col min="3077" max="3077" width="12" style="17" bestFit="1" customWidth="1"/>
    <col min="3078" max="3078" width="14.85546875" style="17" customWidth="1"/>
    <col min="3079" max="3328" width="11.42578125" style="17"/>
    <col min="3329" max="3329" width="18.7109375" style="17" customWidth="1"/>
    <col min="3330" max="3330" width="13.7109375" style="17" bestFit="1" customWidth="1"/>
    <col min="3331" max="3331" width="17.28515625" style="17" customWidth="1"/>
    <col min="3332" max="3332" width="11" style="17" customWidth="1"/>
    <col min="3333" max="3333" width="12" style="17" bestFit="1" customWidth="1"/>
    <col min="3334" max="3334" width="14.85546875" style="17" customWidth="1"/>
    <col min="3335" max="3584" width="11.42578125" style="17"/>
    <col min="3585" max="3585" width="18.7109375" style="17" customWidth="1"/>
    <col min="3586" max="3586" width="13.7109375" style="17" bestFit="1" customWidth="1"/>
    <col min="3587" max="3587" width="17.28515625" style="17" customWidth="1"/>
    <col min="3588" max="3588" width="11" style="17" customWidth="1"/>
    <col min="3589" max="3589" width="12" style="17" bestFit="1" customWidth="1"/>
    <col min="3590" max="3590" width="14.85546875" style="17" customWidth="1"/>
    <col min="3591" max="3840" width="11.42578125" style="17"/>
    <col min="3841" max="3841" width="18.7109375" style="17" customWidth="1"/>
    <col min="3842" max="3842" width="13.7109375" style="17" bestFit="1" customWidth="1"/>
    <col min="3843" max="3843" width="17.28515625" style="17" customWidth="1"/>
    <col min="3844" max="3844" width="11" style="17" customWidth="1"/>
    <col min="3845" max="3845" width="12" style="17" bestFit="1" customWidth="1"/>
    <col min="3846" max="3846" width="14.85546875" style="17" customWidth="1"/>
    <col min="3847" max="4096" width="11.42578125" style="17"/>
    <col min="4097" max="4097" width="18.7109375" style="17" customWidth="1"/>
    <col min="4098" max="4098" width="13.7109375" style="17" bestFit="1" customWidth="1"/>
    <col min="4099" max="4099" width="17.28515625" style="17" customWidth="1"/>
    <col min="4100" max="4100" width="11" style="17" customWidth="1"/>
    <col min="4101" max="4101" width="12" style="17" bestFit="1" customWidth="1"/>
    <col min="4102" max="4102" width="14.85546875" style="17" customWidth="1"/>
    <col min="4103" max="4352" width="11.42578125" style="17"/>
    <col min="4353" max="4353" width="18.7109375" style="17" customWidth="1"/>
    <col min="4354" max="4354" width="13.7109375" style="17" bestFit="1" customWidth="1"/>
    <col min="4355" max="4355" width="17.28515625" style="17" customWidth="1"/>
    <col min="4356" max="4356" width="11" style="17" customWidth="1"/>
    <col min="4357" max="4357" width="12" style="17" bestFit="1" customWidth="1"/>
    <col min="4358" max="4358" width="14.85546875" style="17" customWidth="1"/>
    <col min="4359" max="4608" width="11.42578125" style="17"/>
    <col min="4609" max="4609" width="18.7109375" style="17" customWidth="1"/>
    <col min="4610" max="4610" width="13.7109375" style="17" bestFit="1" customWidth="1"/>
    <col min="4611" max="4611" width="17.28515625" style="17" customWidth="1"/>
    <col min="4612" max="4612" width="11" style="17" customWidth="1"/>
    <col min="4613" max="4613" width="12" style="17" bestFit="1" customWidth="1"/>
    <col min="4614" max="4614" width="14.85546875" style="17" customWidth="1"/>
    <col min="4615" max="4864" width="11.42578125" style="17"/>
    <col min="4865" max="4865" width="18.7109375" style="17" customWidth="1"/>
    <col min="4866" max="4866" width="13.7109375" style="17" bestFit="1" customWidth="1"/>
    <col min="4867" max="4867" width="17.28515625" style="17" customWidth="1"/>
    <col min="4868" max="4868" width="11" style="17" customWidth="1"/>
    <col min="4869" max="4869" width="12" style="17" bestFit="1" customWidth="1"/>
    <col min="4870" max="4870" width="14.85546875" style="17" customWidth="1"/>
    <col min="4871" max="5120" width="11.42578125" style="17"/>
    <col min="5121" max="5121" width="18.7109375" style="17" customWidth="1"/>
    <col min="5122" max="5122" width="13.7109375" style="17" bestFit="1" customWidth="1"/>
    <col min="5123" max="5123" width="17.28515625" style="17" customWidth="1"/>
    <col min="5124" max="5124" width="11" style="17" customWidth="1"/>
    <col min="5125" max="5125" width="12" style="17" bestFit="1" customWidth="1"/>
    <col min="5126" max="5126" width="14.85546875" style="17" customWidth="1"/>
    <col min="5127" max="5376" width="11.42578125" style="17"/>
    <col min="5377" max="5377" width="18.7109375" style="17" customWidth="1"/>
    <col min="5378" max="5378" width="13.7109375" style="17" bestFit="1" customWidth="1"/>
    <col min="5379" max="5379" width="17.28515625" style="17" customWidth="1"/>
    <col min="5380" max="5380" width="11" style="17" customWidth="1"/>
    <col min="5381" max="5381" width="12" style="17" bestFit="1" customWidth="1"/>
    <col min="5382" max="5382" width="14.85546875" style="17" customWidth="1"/>
    <col min="5383" max="5632" width="11.42578125" style="17"/>
    <col min="5633" max="5633" width="18.7109375" style="17" customWidth="1"/>
    <col min="5634" max="5634" width="13.7109375" style="17" bestFit="1" customWidth="1"/>
    <col min="5635" max="5635" width="17.28515625" style="17" customWidth="1"/>
    <col min="5636" max="5636" width="11" style="17" customWidth="1"/>
    <col min="5637" max="5637" width="12" style="17" bestFit="1" customWidth="1"/>
    <col min="5638" max="5638" width="14.85546875" style="17" customWidth="1"/>
    <col min="5639" max="5888" width="11.42578125" style="17"/>
    <col min="5889" max="5889" width="18.7109375" style="17" customWidth="1"/>
    <col min="5890" max="5890" width="13.7109375" style="17" bestFit="1" customWidth="1"/>
    <col min="5891" max="5891" width="17.28515625" style="17" customWidth="1"/>
    <col min="5892" max="5892" width="11" style="17" customWidth="1"/>
    <col min="5893" max="5893" width="12" style="17" bestFit="1" customWidth="1"/>
    <col min="5894" max="5894" width="14.85546875" style="17" customWidth="1"/>
    <col min="5895" max="6144" width="11.42578125" style="17"/>
    <col min="6145" max="6145" width="18.7109375" style="17" customWidth="1"/>
    <col min="6146" max="6146" width="13.7109375" style="17" bestFit="1" customWidth="1"/>
    <col min="6147" max="6147" width="17.28515625" style="17" customWidth="1"/>
    <col min="6148" max="6148" width="11" style="17" customWidth="1"/>
    <col min="6149" max="6149" width="12" style="17" bestFit="1" customWidth="1"/>
    <col min="6150" max="6150" width="14.85546875" style="17" customWidth="1"/>
    <col min="6151" max="6400" width="11.42578125" style="17"/>
    <col min="6401" max="6401" width="18.7109375" style="17" customWidth="1"/>
    <col min="6402" max="6402" width="13.7109375" style="17" bestFit="1" customWidth="1"/>
    <col min="6403" max="6403" width="17.28515625" style="17" customWidth="1"/>
    <col min="6404" max="6404" width="11" style="17" customWidth="1"/>
    <col min="6405" max="6405" width="12" style="17" bestFit="1" customWidth="1"/>
    <col min="6406" max="6406" width="14.85546875" style="17" customWidth="1"/>
    <col min="6407" max="6656" width="11.42578125" style="17"/>
    <col min="6657" max="6657" width="18.7109375" style="17" customWidth="1"/>
    <col min="6658" max="6658" width="13.7109375" style="17" bestFit="1" customWidth="1"/>
    <col min="6659" max="6659" width="17.28515625" style="17" customWidth="1"/>
    <col min="6660" max="6660" width="11" style="17" customWidth="1"/>
    <col min="6661" max="6661" width="12" style="17" bestFit="1" customWidth="1"/>
    <col min="6662" max="6662" width="14.85546875" style="17" customWidth="1"/>
    <col min="6663" max="6912" width="11.42578125" style="17"/>
    <col min="6913" max="6913" width="18.7109375" style="17" customWidth="1"/>
    <col min="6914" max="6914" width="13.7109375" style="17" bestFit="1" customWidth="1"/>
    <col min="6915" max="6915" width="17.28515625" style="17" customWidth="1"/>
    <col min="6916" max="6916" width="11" style="17" customWidth="1"/>
    <col min="6917" max="6917" width="12" style="17" bestFit="1" customWidth="1"/>
    <col min="6918" max="6918" width="14.85546875" style="17" customWidth="1"/>
    <col min="6919" max="7168" width="11.42578125" style="17"/>
    <col min="7169" max="7169" width="18.7109375" style="17" customWidth="1"/>
    <col min="7170" max="7170" width="13.7109375" style="17" bestFit="1" customWidth="1"/>
    <col min="7171" max="7171" width="17.28515625" style="17" customWidth="1"/>
    <col min="7172" max="7172" width="11" style="17" customWidth="1"/>
    <col min="7173" max="7173" width="12" style="17" bestFit="1" customWidth="1"/>
    <col min="7174" max="7174" width="14.85546875" style="17" customWidth="1"/>
    <col min="7175" max="7424" width="11.42578125" style="17"/>
    <col min="7425" max="7425" width="18.7109375" style="17" customWidth="1"/>
    <col min="7426" max="7426" width="13.7109375" style="17" bestFit="1" customWidth="1"/>
    <col min="7427" max="7427" width="17.28515625" style="17" customWidth="1"/>
    <col min="7428" max="7428" width="11" style="17" customWidth="1"/>
    <col min="7429" max="7429" width="12" style="17" bestFit="1" customWidth="1"/>
    <col min="7430" max="7430" width="14.85546875" style="17" customWidth="1"/>
    <col min="7431" max="7680" width="11.42578125" style="17"/>
    <col min="7681" max="7681" width="18.7109375" style="17" customWidth="1"/>
    <col min="7682" max="7682" width="13.7109375" style="17" bestFit="1" customWidth="1"/>
    <col min="7683" max="7683" width="17.28515625" style="17" customWidth="1"/>
    <col min="7684" max="7684" width="11" style="17" customWidth="1"/>
    <col min="7685" max="7685" width="12" style="17" bestFit="1" customWidth="1"/>
    <col min="7686" max="7686" width="14.85546875" style="17" customWidth="1"/>
    <col min="7687" max="7936" width="11.42578125" style="17"/>
    <col min="7937" max="7937" width="18.7109375" style="17" customWidth="1"/>
    <col min="7938" max="7938" width="13.7109375" style="17" bestFit="1" customWidth="1"/>
    <col min="7939" max="7939" width="17.28515625" style="17" customWidth="1"/>
    <col min="7940" max="7940" width="11" style="17" customWidth="1"/>
    <col min="7941" max="7941" width="12" style="17" bestFit="1" customWidth="1"/>
    <col min="7942" max="7942" width="14.85546875" style="17" customWidth="1"/>
    <col min="7943" max="8192" width="11.42578125" style="17"/>
    <col min="8193" max="8193" width="18.7109375" style="17" customWidth="1"/>
    <col min="8194" max="8194" width="13.7109375" style="17" bestFit="1" customWidth="1"/>
    <col min="8195" max="8195" width="17.28515625" style="17" customWidth="1"/>
    <col min="8196" max="8196" width="11" style="17" customWidth="1"/>
    <col min="8197" max="8197" width="12" style="17" bestFit="1" customWidth="1"/>
    <col min="8198" max="8198" width="14.85546875" style="17" customWidth="1"/>
    <col min="8199" max="8448" width="11.42578125" style="17"/>
    <col min="8449" max="8449" width="18.7109375" style="17" customWidth="1"/>
    <col min="8450" max="8450" width="13.7109375" style="17" bestFit="1" customWidth="1"/>
    <col min="8451" max="8451" width="17.28515625" style="17" customWidth="1"/>
    <col min="8452" max="8452" width="11" style="17" customWidth="1"/>
    <col min="8453" max="8453" width="12" style="17" bestFit="1" customWidth="1"/>
    <col min="8454" max="8454" width="14.85546875" style="17" customWidth="1"/>
    <col min="8455" max="8704" width="11.42578125" style="17"/>
    <col min="8705" max="8705" width="18.7109375" style="17" customWidth="1"/>
    <col min="8706" max="8706" width="13.7109375" style="17" bestFit="1" customWidth="1"/>
    <col min="8707" max="8707" width="17.28515625" style="17" customWidth="1"/>
    <col min="8708" max="8708" width="11" style="17" customWidth="1"/>
    <col min="8709" max="8709" width="12" style="17" bestFit="1" customWidth="1"/>
    <col min="8710" max="8710" width="14.85546875" style="17" customWidth="1"/>
    <col min="8711" max="8960" width="11.42578125" style="17"/>
    <col min="8961" max="8961" width="18.7109375" style="17" customWidth="1"/>
    <col min="8962" max="8962" width="13.7109375" style="17" bestFit="1" customWidth="1"/>
    <col min="8963" max="8963" width="17.28515625" style="17" customWidth="1"/>
    <col min="8964" max="8964" width="11" style="17" customWidth="1"/>
    <col min="8965" max="8965" width="12" style="17" bestFit="1" customWidth="1"/>
    <col min="8966" max="8966" width="14.85546875" style="17" customWidth="1"/>
    <col min="8967" max="9216" width="11.42578125" style="17"/>
    <col min="9217" max="9217" width="18.7109375" style="17" customWidth="1"/>
    <col min="9218" max="9218" width="13.7109375" style="17" bestFit="1" customWidth="1"/>
    <col min="9219" max="9219" width="17.28515625" style="17" customWidth="1"/>
    <col min="9220" max="9220" width="11" style="17" customWidth="1"/>
    <col min="9221" max="9221" width="12" style="17" bestFit="1" customWidth="1"/>
    <col min="9222" max="9222" width="14.85546875" style="17" customWidth="1"/>
    <col min="9223" max="9472" width="11.42578125" style="17"/>
    <col min="9473" max="9473" width="18.7109375" style="17" customWidth="1"/>
    <col min="9474" max="9474" width="13.7109375" style="17" bestFit="1" customWidth="1"/>
    <col min="9475" max="9475" width="17.28515625" style="17" customWidth="1"/>
    <col min="9476" max="9476" width="11" style="17" customWidth="1"/>
    <col min="9477" max="9477" width="12" style="17" bestFit="1" customWidth="1"/>
    <col min="9478" max="9478" width="14.85546875" style="17" customWidth="1"/>
    <col min="9479" max="9728" width="11.42578125" style="17"/>
    <col min="9729" max="9729" width="18.7109375" style="17" customWidth="1"/>
    <col min="9730" max="9730" width="13.7109375" style="17" bestFit="1" customWidth="1"/>
    <col min="9731" max="9731" width="17.28515625" style="17" customWidth="1"/>
    <col min="9732" max="9732" width="11" style="17" customWidth="1"/>
    <col min="9733" max="9733" width="12" style="17" bestFit="1" customWidth="1"/>
    <col min="9734" max="9734" width="14.85546875" style="17" customWidth="1"/>
    <col min="9735" max="9984" width="11.42578125" style="17"/>
    <col min="9985" max="9985" width="18.7109375" style="17" customWidth="1"/>
    <col min="9986" max="9986" width="13.7109375" style="17" bestFit="1" customWidth="1"/>
    <col min="9987" max="9987" width="17.28515625" style="17" customWidth="1"/>
    <col min="9988" max="9988" width="11" style="17" customWidth="1"/>
    <col min="9989" max="9989" width="12" style="17" bestFit="1" customWidth="1"/>
    <col min="9990" max="9990" width="14.85546875" style="17" customWidth="1"/>
    <col min="9991" max="10240" width="11.42578125" style="17"/>
    <col min="10241" max="10241" width="18.7109375" style="17" customWidth="1"/>
    <col min="10242" max="10242" width="13.7109375" style="17" bestFit="1" customWidth="1"/>
    <col min="10243" max="10243" width="17.28515625" style="17" customWidth="1"/>
    <col min="10244" max="10244" width="11" style="17" customWidth="1"/>
    <col min="10245" max="10245" width="12" style="17" bestFit="1" customWidth="1"/>
    <col min="10246" max="10246" width="14.85546875" style="17" customWidth="1"/>
    <col min="10247" max="10496" width="11.42578125" style="17"/>
    <col min="10497" max="10497" width="18.7109375" style="17" customWidth="1"/>
    <col min="10498" max="10498" width="13.7109375" style="17" bestFit="1" customWidth="1"/>
    <col min="10499" max="10499" width="17.28515625" style="17" customWidth="1"/>
    <col min="10500" max="10500" width="11" style="17" customWidth="1"/>
    <col min="10501" max="10501" width="12" style="17" bestFit="1" customWidth="1"/>
    <col min="10502" max="10502" width="14.85546875" style="17" customWidth="1"/>
    <col min="10503" max="10752" width="11.42578125" style="17"/>
    <col min="10753" max="10753" width="18.7109375" style="17" customWidth="1"/>
    <col min="10754" max="10754" width="13.7109375" style="17" bestFit="1" customWidth="1"/>
    <col min="10755" max="10755" width="17.28515625" style="17" customWidth="1"/>
    <col min="10756" max="10756" width="11" style="17" customWidth="1"/>
    <col min="10757" max="10757" width="12" style="17" bestFit="1" customWidth="1"/>
    <col min="10758" max="10758" width="14.85546875" style="17" customWidth="1"/>
    <col min="10759" max="11008" width="11.42578125" style="17"/>
    <col min="11009" max="11009" width="18.7109375" style="17" customWidth="1"/>
    <col min="11010" max="11010" width="13.7109375" style="17" bestFit="1" customWidth="1"/>
    <col min="11011" max="11011" width="17.28515625" style="17" customWidth="1"/>
    <col min="11012" max="11012" width="11" style="17" customWidth="1"/>
    <col min="11013" max="11013" width="12" style="17" bestFit="1" customWidth="1"/>
    <col min="11014" max="11014" width="14.85546875" style="17" customWidth="1"/>
    <col min="11015" max="11264" width="11.42578125" style="17"/>
    <col min="11265" max="11265" width="18.7109375" style="17" customWidth="1"/>
    <col min="11266" max="11266" width="13.7109375" style="17" bestFit="1" customWidth="1"/>
    <col min="11267" max="11267" width="17.28515625" style="17" customWidth="1"/>
    <col min="11268" max="11268" width="11" style="17" customWidth="1"/>
    <col min="11269" max="11269" width="12" style="17" bestFit="1" customWidth="1"/>
    <col min="11270" max="11270" width="14.85546875" style="17" customWidth="1"/>
    <col min="11271" max="11520" width="11.42578125" style="17"/>
    <col min="11521" max="11521" width="18.7109375" style="17" customWidth="1"/>
    <col min="11522" max="11522" width="13.7109375" style="17" bestFit="1" customWidth="1"/>
    <col min="11523" max="11523" width="17.28515625" style="17" customWidth="1"/>
    <col min="11524" max="11524" width="11" style="17" customWidth="1"/>
    <col min="11525" max="11525" width="12" style="17" bestFit="1" customWidth="1"/>
    <col min="11526" max="11526" width="14.85546875" style="17" customWidth="1"/>
    <col min="11527" max="11776" width="11.42578125" style="17"/>
    <col min="11777" max="11777" width="18.7109375" style="17" customWidth="1"/>
    <col min="11778" max="11778" width="13.7109375" style="17" bestFit="1" customWidth="1"/>
    <col min="11779" max="11779" width="17.28515625" style="17" customWidth="1"/>
    <col min="11780" max="11780" width="11" style="17" customWidth="1"/>
    <col min="11781" max="11781" width="12" style="17" bestFit="1" customWidth="1"/>
    <col min="11782" max="11782" width="14.85546875" style="17" customWidth="1"/>
    <col min="11783" max="12032" width="11.42578125" style="17"/>
    <col min="12033" max="12033" width="18.7109375" style="17" customWidth="1"/>
    <col min="12034" max="12034" width="13.7109375" style="17" bestFit="1" customWidth="1"/>
    <col min="12035" max="12035" width="17.28515625" style="17" customWidth="1"/>
    <col min="12036" max="12036" width="11" style="17" customWidth="1"/>
    <col min="12037" max="12037" width="12" style="17" bestFit="1" customWidth="1"/>
    <col min="12038" max="12038" width="14.85546875" style="17" customWidth="1"/>
    <col min="12039" max="12288" width="11.42578125" style="17"/>
    <col min="12289" max="12289" width="18.7109375" style="17" customWidth="1"/>
    <col min="12290" max="12290" width="13.7109375" style="17" bestFit="1" customWidth="1"/>
    <col min="12291" max="12291" width="17.28515625" style="17" customWidth="1"/>
    <col min="12292" max="12292" width="11" style="17" customWidth="1"/>
    <col min="12293" max="12293" width="12" style="17" bestFit="1" customWidth="1"/>
    <col min="12294" max="12294" width="14.85546875" style="17" customWidth="1"/>
    <col min="12295" max="12544" width="11.42578125" style="17"/>
    <col min="12545" max="12545" width="18.7109375" style="17" customWidth="1"/>
    <col min="12546" max="12546" width="13.7109375" style="17" bestFit="1" customWidth="1"/>
    <col min="12547" max="12547" width="17.28515625" style="17" customWidth="1"/>
    <col min="12548" max="12548" width="11" style="17" customWidth="1"/>
    <col min="12549" max="12549" width="12" style="17" bestFit="1" customWidth="1"/>
    <col min="12550" max="12550" width="14.85546875" style="17" customWidth="1"/>
    <col min="12551" max="12800" width="11.42578125" style="17"/>
    <col min="12801" max="12801" width="18.7109375" style="17" customWidth="1"/>
    <col min="12802" max="12802" width="13.7109375" style="17" bestFit="1" customWidth="1"/>
    <col min="12803" max="12803" width="17.28515625" style="17" customWidth="1"/>
    <col min="12804" max="12804" width="11" style="17" customWidth="1"/>
    <col min="12805" max="12805" width="12" style="17" bestFit="1" customWidth="1"/>
    <col min="12806" max="12806" width="14.85546875" style="17" customWidth="1"/>
    <col min="12807" max="13056" width="11.42578125" style="17"/>
    <col min="13057" max="13057" width="18.7109375" style="17" customWidth="1"/>
    <col min="13058" max="13058" width="13.7109375" style="17" bestFit="1" customWidth="1"/>
    <col min="13059" max="13059" width="17.28515625" style="17" customWidth="1"/>
    <col min="13060" max="13060" width="11" style="17" customWidth="1"/>
    <col min="13061" max="13061" width="12" style="17" bestFit="1" customWidth="1"/>
    <col min="13062" max="13062" width="14.85546875" style="17" customWidth="1"/>
    <col min="13063" max="13312" width="11.42578125" style="17"/>
    <col min="13313" max="13313" width="18.7109375" style="17" customWidth="1"/>
    <col min="13314" max="13314" width="13.7109375" style="17" bestFit="1" customWidth="1"/>
    <col min="13315" max="13315" width="17.28515625" style="17" customWidth="1"/>
    <col min="13316" max="13316" width="11" style="17" customWidth="1"/>
    <col min="13317" max="13317" width="12" style="17" bestFit="1" customWidth="1"/>
    <col min="13318" max="13318" width="14.85546875" style="17" customWidth="1"/>
    <col min="13319" max="13568" width="11.42578125" style="17"/>
    <col min="13569" max="13569" width="18.7109375" style="17" customWidth="1"/>
    <col min="13570" max="13570" width="13.7109375" style="17" bestFit="1" customWidth="1"/>
    <col min="13571" max="13571" width="17.28515625" style="17" customWidth="1"/>
    <col min="13572" max="13572" width="11" style="17" customWidth="1"/>
    <col min="13573" max="13573" width="12" style="17" bestFit="1" customWidth="1"/>
    <col min="13574" max="13574" width="14.85546875" style="17" customWidth="1"/>
    <col min="13575" max="13824" width="11.42578125" style="17"/>
    <col min="13825" max="13825" width="18.7109375" style="17" customWidth="1"/>
    <col min="13826" max="13826" width="13.7109375" style="17" bestFit="1" customWidth="1"/>
    <col min="13827" max="13827" width="17.28515625" style="17" customWidth="1"/>
    <col min="13828" max="13828" width="11" style="17" customWidth="1"/>
    <col min="13829" max="13829" width="12" style="17" bestFit="1" customWidth="1"/>
    <col min="13830" max="13830" width="14.85546875" style="17" customWidth="1"/>
    <col min="13831" max="14080" width="11.42578125" style="17"/>
    <col min="14081" max="14081" width="18.7109375" style="17" customWidth="1"/>
    <col min="14082" max="14082" width="13.7109375" style="17" bestFit="1" customWidth="1"/>
    <col min="14083" max="14083" width="17.28515625" style="17" customWidth="1"/>
    <col min="14084" max="14084" width="11" style="17" customWidth="1"/>
    <col min="14085" max="14085" width="12" style="17" bestFit="1" customWidth="1"/>
    <col min="14086" max="14086" width="14.85546875" style="17" customWidth="1"/>
    <col min="14087" max="14336" width="11.42578125" style="17"/>
    <col min="14337" max="14337" width="18.7109375" style="17" customWidth="1"/>
    <col min="14338" max="14338" width="13.7109375" style="17" bestFit="1" customWidth="1"/>
    <col min="14339" max="14339" width="17.28515625" style="17" customWidth="1"/>
    <col min="14340" max="14340" width="11" style="17" customWidth="1"/>
    <col min="14341" max="14341" width="12" style="17" bestFit="1" customWidth="1"/>
    <col min="14342" max="14342" width="14.85546875" style="17" customWidth="1"/>
    <col min="14343" max="14592" width="11.42578125" style="17"/>
    <col min="14593" max="14593" width="18.7109375" style="17" customWidth="1"/>
    <col min="14594" max="14594" width="13.7109375" style="17" bestFit="1" customWidth="1"/>
    <col min="14595" max="14595" width="17.28515625" style="17" customWidth="1"/>
    <col min="14596" max="14596" width="11" style="17" customWidth="1"/>
    <col min="14597" max="14597" width="12" style="17" bestFit="1" customWidth="1"/>
    <col min="14598" max="14598" width="14.85546875" style="17" customWidth="1"/>
    <col min="14599" max="14848" width="11.42578125" style="17"/>
    <col min="14849" max="14849" width="18.7109375" style="17" customWidth="1"/>
    <col min="14850" max="14850" width="13.7109375" style="17" bestFit="1" customWidth="1"/>
    <col min="14851" max="14851" width="17.28515625" style="17" customWidth="1"/>
    <col min="14852" max="14852" width="11" style="17" customWidth="1"/>
    <col min="14853" max="14853" width="12" style="17" bestFit="1" customWidth="1"/>
    <col min="14854" max="14854" width="14.85546875" style="17" customWidth="1"/>
    <col min="14855" max="15104" width="11.42578125" style="17"/>
    <col min="15105" max="15105" width="18.7109375" style="17" customWidth="1"/>
    <col min="15106" max="15106" width="13.7109375" style="17" bestFit="1" customWidth="1"/>
    <col min="15107" max="15107" width="17.28515625" style="17" customWidth="1"/>
    <col min="15108" max="15108" width="11" style="17" customWidth="1"/>
    <col min="15109" max="15109" width="12" style="17" bestFit="1" customWidth="1"/>
    <col min="15110" max="15110" width="14.85546875" style="17" customWidth="1"/>
    <col min="15111" max="15360" width="11.42578125" style="17"/>
    <col min="15361" max="15361" width="18.7109375" style="17" customWidth="1"/>
    <col min="15362" max="15362" width="13.7109375" style="17" bestFit="1" customWidth="1"/>
    <col min="15363" max="15363" width="17.28515625" style="17" customWidth="1"/>
    <col min="15364" max="15364" width="11" style="17" customWidth="1"/>
    <col min="15365" max="15365" width="12" style="17" bestFit="1" customWidth="1"/>
    <col min="15366" max="15366" width="14.85546875" style="17" customWidth="1"/>
    <col min="15367" max="15616" width="11.42578125" style="17"/>
    <col min="15617" max="15617" width="18.7109375" style="17" customWidth="1"/>
    <col min="15618" max="15618" width="13.7109375" style="17" bestFit="1" customWidth="1"/>
    <col min="15619" max="15619" width="17.28515625" style="17" customWidth="1"/>
    <col min="15620" max="15620" width="11" style="17" customWidth="1"/>
    <col min="15621" max="15621" width="12" style="17" bestFit="1" customWidth="1"/>
    <col min="15622" max="15622" width="14.85546875" style="17" customWidth="1"/>
    <col min="15623" max="15872" width="11.42578125" style="17"/>
    <col min="15873" max="15873" width="18.7109375" style="17" customWidth="1"/>
    <col min="15874" max="15874" width="13.7109375" style="17" bestFit="1" customWidth="1"/>
    <col min="15875" max="15875" width="17.28515625" style="17" customWidth="1"/>
    <col min="15876" max="15876" width="11" style="17" customWidth="1"/>
    <col min="15877" max="15877" width="12" style="17" bestFit="1" customWidth="1"/>
    <col min="15878" max="15878" width="14.85546875" style="17" customWidth="1"/>
    <col min="15879" max="16128" width="11.42578125" style="17"/>
    <col min="16129" max="16129" width="18.7109375" style="17" customWidth="1"/>
    <col min="16130" max="16130" width="13.7109375" style="17" bestFit="1" customWidth="1"/>
    <col min="16131" max="16131" width="17.28515625" style="17" customWidth="1"/>
    <col min="16132" max="16132" width="11" style="17" customWidth="1"/>
    <col min="16133" max="16133" width="12" style="17" bestFit="1" customWidth="1"/>
    <col min="16134" max="16134" width="14.85546875" style="17" customWidth="1"/>
    <col min="16135" max="16384" width="11.42578125" style="17"/>
  </cols>
  <sheetData>
    <row r="2" spans="1:11" x14ac:dyDescent="0.2">
      <c r="A2" s="17" t="s">
        <v>70</v>
      </c>
      <c r="B2" s="63">
        <f>'pooled normalised values'!B75</f>
        <v>0.11474402963090824</v>
      </c>
      <c r="D2" s="17" t="s">
        <v>9</v>
      </c>
      <c r="E2" s="18"/>
      <c r="F2" s="19" t="str">
        <f>'pooled normalised values'!J74</f>
        <v>Cromolyn-1µg/L</v>
      </c>
      <c r="G2" s="18"/>
      <c r="H2" s="20"/>
      <c r="I2" s="19" t="str">
        <f>'pooled normalised values'!R74</f>
        <v>Cromolyn-0,1µg/L + Testostérone</v>
      </c>
      <c r="J2" s="20"/>
      <c r="K2" s="17" t="s">
        <v>9</v>
      </c>
    </row>
    <row r="3" spans="1:11" x14ac:dyDescent="0.2">
      <c r="A3" s="17" t="s">
        <v>71</v>
      </c>
      <c r="B3" s="63">
        <f>'summary results'!E6</f>
        <v>0</v>
      </c>
      <c r="D3" s="21" t="s">
        <v>10</v>
      </c>
      <c r="E3" s="22"/>
      <c r="F3" s="19">
        <f>HLOOKUP(F2,'pooled normalised values'!B74:V83,2,FALSE)</f>
        <v>8.5601748592480043E-2</v>
      </c>
      <c r="G3" s="22"/>
      <c r="H3" s="20"/>
      <c r="I3" s="19">
        <f>HLOOKUP(I2,'pooled normalised values'!N74:AL83,2,FALSE)</f>
        <v>0.81046544479508986</v>
      </c>
      <c r="J3" s="20"/>
      <c r="K3" s="21" t="s">
        <v>10</v>
      </c>
    </row>
    <row r="4" spans="1:11" x14ac:dyDescent="0.2">
      <c r="A4" s="17" t="s">
        <v>72</v>
      </c>
      <c r="B4" s="63">
        <f>'pooled normalised values'!O75</f>
        <v>1</v>
      </c>
      <c r="D4" s="21" t="s">
        <v>2</v>
      </c>
      <c r="E4" s="22"/>
      <c r="F4" s="19">
        <f>HLOOKUP(F2,'pooled normalised values'!B74:V83,3,FALSE)</f>
        <v>1.1329392747859688E-2</v>
      </c>
      <c r="G4" s="22"/>
      <c r="H4" s="20"/>
      <c r="I4" s="19">
        <f>HLOOKUP(I2,'pooled normalised values'!N74:AL83,3,FALSE)</f>
        <v>0.12857289204112948</v>
      </c>
      <c r="J4" s="20"/>
      <c r="K4" s="21" t="s">
        <v>2</v>
      </c>
    </row>
    <row r="5" spans="1:11" x14ac:dyDescent="0.2">
      <c r="A5" s="17" t="s">
        <v>73</v>
      </c>
      <c r="B5" s="63">
        <f>'pooled normalised values'!P75</f>
        <v>1.4036895431606196</v>
      </c>
      <c r="D5" s="23" t="s">
        <v>11</v>
      </c>
      <c r="E5" s="22"/>
      <c r="F5" s="19" t="str">
        <f>HLOOKUP(F2,'pooled normalised values'!B74:V83,10,FALSE)</f>
        <v>NS</v>
      </c>
      <c r="G5" s="22"/>
      <c r="H5" s="20"/>
      <c r="I5" s="19" t="str">
        <f>HLOOKUP(I2,'pooled normalised values'!N74:AL83,10,FALSE)</f>
        <v>NS</v>
      </c>
      <c r="J5" s="20"/>
      <c r="K5" s="23" t="s">
        <v>11</v>
      </c>
    </row>
    <row r="6" spans="1:11" x14ac:dyDescent="0.2">
      <c r="A6" s="17" t="s">
        <v>74</v>
      </c>
      <c r="B6" s="63">
        <f>'pooled normalised values'!Q75</f>
        <v>0.10888162819021581</v>
      </c>
      <c r="D6" s="21" t="s">
        <v>12</v>
      </c>
      <c r="E6" s="24">
        <f>$B$2</f>
        <v>0.11474402963090824</v>
      </c>
      <c r="F6" s="24">
        <f>$B$2</f>
        <v>0.11474402963090824</v>
      </c>
      <c r="G6" s="24">
        <f>$B$2</f>
        <v>0.11474402963090824</v>
      </c>
      <c r="H6" s="25"/>
      <c r="I6" s="25"/>
      <c r="J6" s="25"/>
      <c r="K6" s="21" t="s">
        <v>12</v>
      </c>
    </row>
    <row r="7" spans="1:11" x14ac:dyDescent="0.2">
      <c r="B7" s="26"/>
      <c r="D7" s="26" t="s">
        <v>13</v>
      </c>
      <c r="E7" s="24"/>
      <c r="F7" s="24"/>
      <c r="G7" s="27"/>
      <c r="H7" s="25">
        <f t="shared" ref="H7:J7" si="0">$B$4</f>
        <v>1</v>
      </c>
      <c r="I7" s="25">
        <f t="shared" si="0"/>
        <v>1</v>
      </c>
      <c r="J7" s="25">
        <f t="shared" si="0"/>
        <v>1</v>
      </c>
      <c r="K7" s="26" t="s">
        <v>13</v>
      </c>
    </row>
    <row r="8" spans="1:11" x14ac:dyDescent="0.2">
      <c r="D8" s="28" t="s">
        <v>14</v>
      </c>
      <c r="E8" s="24">
        <v>0</v>
      </c>
      <c r="F8" s="24">
        <v>0</v>
      </c>
      <c r="G8" s="27">
        <v>0</v>
      </c>
      <c r="H8" s="25">
        <f>$B$6</f>
        <v>0.10888162819021581</v>
      </c>
      <c r="I8" s="25">
        <f t="shared" ref="I8:J8" si="1">$B$6</f>
        <v>0.10888162819021581</v>
      </c>
      <c r="J8" s="25">
        <f t="shared" si="1"/>
        <v>0.10888162819021581</v>
      </c>
      <c r="K8" s="28" t="s">
        <v>14</v>
      </c>
    </row>
    <row r="9" spans="1:11" x14ac:dyDescent="0.2">
      <c r="D9" s="28" t="s">
        <v>15</v>
      </c>
      <c r="E9" s="29">
        <f>$B$3-E8</f>
        <v>0</v>
      </c>
      <c r="F9" s="29">
        <f>$B$3-F8</f>
        <v>0</v>
      </c>
      <c r="G9" s="29">
        <f>$B$3-G8</f>
        <v>0</v>
      </c>
      <c r="H9" s="25">
        <f>$B$5-H8</f>
        <v>1.2948079149704037</v>
      </c>
      <c r="I9" s="25">
        <f>$B$5-I8</f>
        <v>1.2948079149704037</v>
      </c>
      <c r="J9" s="25">
        <f>$B$5-J8</f>
        <v>1.2948079149704037</v>
      </c>
      <c r="K9" s="28" t="s">
        <v>15</v>
      </c>
    </row>
    <row r="10" spans="1:11" x14ac:dyDescent="0.2">
      <c r="D10" s="28" t="s">
        <v>16</v>
      </c>
      <c r="E10" s="27">
        <f t="shared" ref="E10:J10" si="2">2.5-E9</f>
        <v>2.5</v>
      </c>
      <c r="F10" s="27">
        <f t="shared" si="2"/>
        <v>2.5</v>
      </c>
      <c r="G10" s="27">
        <f t="shared" si="2"/>
        <v>2.5</v>
      </c>
      <c r="H10" s="25">
        <f t="shared" si="2"/>
        <v>1.2051920850295963</v>
      </c>
      <c r="I10" s="25">
        <f t="shared" si="2"/>
        <v>1.2051920850295963</v>
      </c>
      <c r="J10" s="25">
        <f t="shared" si="2"/>
        <v>1.2051920850295963</v>
      </c>
      <c r="K10" s="28" t="s">
        <v>16</v>
      </c>
    </row>
    <row r="17" spans="2:7" x14ac:dyDescent="0.2">
      <c r="C17" s="23"/>
      <c r="D17" s="23"/>
    </row>
    <row r="18" spans="2:7" x14ac:dyDescent="0.2">
      <c r="B18" s="30"/>
    </row>
    <row r="19" spans="2:7" x14ac:dyDescent="0.2">
      <c r="B19" s="30"/>
    </row>
    <row r="20" spans="2:7" x14ac:dyDescent="0.2">
      <c r="B20" s="31"/>
    </row>
    <row r="21" spans="2:7" x14ac:dyDescent="0.2">
      <c r="B21" s="30"/>
    </row>
    <row r="22" spans="2:7" x14ac:dyDescent="0.2">
      <c r="B22" s="30"/>
      <c r="G22" s="23"/>
    </row>
    <row r="23" spans="2:7" x14ac:dyDescent="0.2">
      <c r="B23" s="31"/>
      <c r="G23" s="23"/>
    </row>
    <row r="24" spans="2:7" x14ac:dyDescent="0.2">
      <c r="G24" s="23"/>
    </row>
  </sheetData>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'pooled normalised values'!$J$74:$M$74</xm:f>
          </x14:formula1>
          <xm:sqref>F2</xm:sqref>
        </x14:dataValidation>
        <x14:dataValidation type="list" allowBlank="1" showInputMessage="1" showErrorMessage="1" xr:uid="{00000000-0002-0000-1000-000001000000}">
          <x14:formula1>
            <xm:f>'pooled normalised values'!$R$74:$V$74</xm:f>
          </x14:formula1>
          <xm:sqref>I2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15"/>
  <sheetViews>
    <sheetView showGridLines="0" topLeftCell="N1" zoomScale="85" zoomScaleNormal="85" workbookViewId="0">
      <selection activeCell="U3" sqref="U3"/>
    </sheetView>
  </sheetViews>
  <sheetFormatPr baseColWidth="10" defaultRowHeight="15" x14ac:dyDescent="0.25"/>
  <cols>
    <col min="1" max="1" width="11.42578125" style="1"/>
    <col min="3" max="3" width="15.28515625" customWidth="1"/>
    <col min="4" max="4" width="13.7109375" customWidth="1"/>
    <col min="5" max="5" width="18.28515625" customWidth="1"/>
    <col min="6" max="6" width="14" customWidth="1"/>
    <col min="7" max="7" width="14.42578125" customWidth="1"/>
    <col min="8" max="8" width="14.28515625" customWidth="1"/>
    <col min="9" max="9" width="17" customWidth="1"/>
    <col min="10" max="10" width="12.5703125" customWidth="1"/>
    <col min="11" max="11" width="13.140625" customWidth="1"/>
    <col min="12" max="12" width="15.7109375" customWidth="1"/>
    <col min="13" max="14" width="16.140625" customWidth="1"/>
    <col min="17" max="23" width="9.7109375" customWidth="1"/>
  </cols>
  <sheetData>
    <row r="1" spans="1:23" ht="45.75" thickBot="1" x14ac:dyDescent="0.3">
      <c r="A1" s="147" t="s">
        <v>102</v>
      </c>
      <c r="B1" s="147" t="s">
        <v>103</v>
      </c>
      <c r="C1" s="144" t="s">
        <v>86</v>
      </c>
      <c r="D1" s="144" t="s">
        <v>87</v>
      </c>
      <c r="E1" s="145" t="s">
        <v>88</v>
      </c>
      <c r="F1" s="145" t="s">
        <v>89</v>
      </c>
      <c r="G1" s="144" t="s">
        <v>90</v>
      </c>
      <c r="H1" s="144" t="s">
        <v>91</v>
      </c>
      <c r="I1" s="144" t="s">
        <v>92</v>
      </c>
      <c r="J1" s="144" t="s">
        <v>93</v>
      </c>
      <c r="K1" s="144" t="s">
        <v>94</v>
      </c>
      <c r="L1" s="144" t="s">
        <v>95</v>
      </c>
      <c r="M1" s="144" t="s">
        <v>96</v>
      </c>
      <c r="N1" s="144" t="s">
        <v>97</v>
      </c>
      <c r="Q1" s="232" t="s">
        <v>99</v>
      </c>
      <c r="R1" s="232"/>
      <c r="S1" s="232"/>
      <c r="U1" s="232" t="s">
        <v>98</v>
      </c>
      <c r="V1" s="232"/>
      <c r="W1" s="232"/>
    </row>
    <row r="2" spans="1:23" x14ac:dyDescent="0.25">
      <c r="A2" s="1" t="str">
        <f>Q6</f>
        <v xml:space="preserve"> </v>
      </c>
      <c r="B2" t="str">
        <f t="shared" ref="B2:B3" si="0">U6</f>
        <v>0-00 + Testostérone</v>
      </c>
      <c r="D2" t="str">
        <f>CONCATENATE(VLOOKUP(Tableau3[[#This Row],[Nom ND]],liste_groupe[],3,FALSE),VLOOKUP(Tableau3[[#This Row],[Nom ND]],liste_groupe[],4,FALSE))</f>
        <v/>
      </c>
      <c r="E2" t="e">
        <f>HLOOKUP(Tableau3[[#This Row],[Nom ND]],'pooled normalised values'!$B$74:$V$83,4,FALSE)</f>
        <v>#N/A</v>
      </c>
      <c r="F2" s="1" t="e">
        <f>HLOOKUP(Tableau3[[#This Row],[Nom ND]],'pooled normalised values'!$B$74:$V$83,8,FALSE)</f>
        <v>#N/A</v>
      </c>
      <c r="G2" t="e">
        <f>VLOOKUP(Tableau3[[#This Row],[Nom ND]],'summary results'!$A$6:$N$26,9,FALSE)</f>
        <v>#N/A</v>
      </c>
      <c r="H2" s="1" t="e">
        <f>VLOOKUP(Tableau3[[#This Row],[Nom ND]],'summary results'!$A$6:$N$26,11,FALSE)</f>
        <v>#N/A</v>
      </c>
      <c r="I2" s="1" t="e">
        <f>HLOOKUP(Tableau3[[#This Row],[Nom D]],'pooled normalised values'!$B$74:$V$83,4,FALSE)</f>
        <v>#N/A</v>
      </c>
      <c r="J2" s="1" t="e">
        <f>HLOOKUP(Tableau3[[#This Row],[Nom D]],'pooled normalised values'!$B$74:$V$83,8,FALSE)</f>
        <v>#N/A</v>
      </c>
      <c r="K2" s="1" t="e">
        <f>VLOOKUP(Tableau3[[#This Row],[Nom D]],'summary results'!$A$29:$N$51,9,FALSE)</f>
        <v>#N/A</v>
      </c>
      <c r="L2" s="1" t="e">
        <f>VLOOKUP(Tableau3[[#This Row],[Nom D]],'summary results'!$A$29:$N$51,11,FALSE)</f>
        <v>#N/A</v>
      </c>
      <c r="M2" t="e">
        <f>'summary results'!$G$30</f>
        <v>#NUM!</v>
      </c>
      <c r="N2" t="e">
        <f>'summary results'!$G$31</f>
        <v>#NUM!</v>
      </c>
      <c r="Q2" s="119" t="s">
        <v>7</v>
      </c>
      <c r="R2" s="1" t="s">
        <v>131</v>
      </c>
      <c r="U2" s="119" t="s">
        <v>7</v>
      </c>
      <c r="V2" s="1" t="s">
        <v>131</v>
      </c>
    </row>
    <row r="3" spans="1:23" x14ac:dyDescent="0.25">
      <c r="A3" s="1">
        <f>Q7</f>
        <v>0</v>
      </c>
      <c r="B3">
        <f t="shared" si="0"/>
        <v>0</v>
      </c>
      <c r="D3" t="e">
        <f>CONCATENATE(VLOOKUP(Tableau3[[#This Row],[Nom ND]],liste_groupe[],3,FALSE),VLOOKUP(Tableau3[[#This Row],[Nom ND]],liste_groupe[],4,FALSE))</f>
        <v>#N/A</v>
      </c>
      <c r="E3" t="e">
        <f>HLOOKUP(Tableau3[[#This Row],[Nom ND]],'pooled normalised values'!$B$74:$V$83,4,FALSE)</f>
        <v>#N/A</v>
      </c>
      <c r="F3" t="e">
        <f>HLOOKUP(Tableau3[[#This Row],[Nom ND]],'pooled normalised values'!$B$74:$V$83,8,FALSE)</f>
        <v>#N/A</v>
      </c>
      <c r="G3" t="e">
        <f>VLOOKUP(Tableau3[[#This Row],[Nom ND]],'summary results'!$A$6:$N$26,9,FALSE)</f>
        <v>#N/A</v>
      </c>
      <c r="H3" t="e">
        <f>VLOOKUP(Tableau3[[#This Row],[Nom ND]],'summary results'!$A$6:$N$26,11,FALSE)</f>
        <v>#N/A</v>
      </c>
      <c r="I3" t="e">
        <f>HLOOKUP(Tableau3[[#This Row],[Nom D]],'pooled normalised values'!$B$74:$V$83,4,FALSE)</f>
        <v>#N/A</v>
      </c>
      <c r="J3" t="e">
        <f>HLOOKUP(Tableau3[[#This Row],[Nom D]],'pooled normalised values'!$B$74:$V$83,8,FALSE)</f>
        <v>#N/A</v>
      </c>
      <c r="K3" t="e">
        <f>VLOOKUP(Tableau3[[#This Row],[Nom D]],'summary results'!$A$29:$N$51,9,FALSE)</f>
        <v>#N/A</v>
      </c>
      <c r="L3" t="e">
        <f>VLOOKUP(Tableau3[[#This Row],[Nom D]],'summary results'!$A$29:$N$51,11,FALSE)</f>
        <v>#N/A</v>
      </c>
      <c r="M3" s="1" t="e">
        <f>'summary results'!$G$30</f>
        <v>#NUM!</v>
      </c>
      <c r="N3" s="1" t="e">
        <f>'summary results'!$G$31</f>
        <v>#NUM!</v>
      </c>
      <c r="Q3" s="119" t="s">
        <v>78</v>
      </c>
      <c r="R3" s="1" t="s">
        <v>106</v>
      </c>
      <c r="U3" s="119" t="s">
        <v>78</v>
      </c>
      <c r="V3" s="1" t="s">
        <v>50</v>
      </c>
    </row>
    <row r="4" spans="1:23" x14ac:dyDescent="0.25">
      <c r="A4" s="1">
        <f t="shared" ref="A4:A15" si="1">Q8</f>
        <v>0</v>
      </c>
      <c r="B4" s="44">
        <f t="shared" ref="B4:B15" si="2">U8</f>
        <v>0</v>
      </c>
      <c r="D4" s="44" t="e">
        <f>CONCATENATE(VLOOKUP(Tableau3[[#This Row],[Nom ND]],liste_groupe[],3,FALSE),VLOOKUP(Tableau3[[#This Row],[Nom ND]],liste_groupe[],4,FALSE))</f>
        <v>#N/A</v>
      </c>
      <c r="E4" s="44" t="e">
        <f>HLOOKUP(Tableau3[[#This Row],[Nom ND]],'pooled normalised values'!$B$74:$V$83,4,FALSE)</f>
        <v>#N/A</v>
      </c>
      <c r="F4" s="44" t="e">
        <f>HLOOKUP(Tableau3[[#This Row],[Nom ND]],'pooled normalised values'!$B$74:$V$83,8,FALSE)</f>
        <v>#N/A</v>
      </c>
      <c r="G4" s="44" t="e">
        <f>VLOOKUP(Tableau3[[#This Row],[Nom ND]],'summary results'!$A$6:$N$26,9,FALSE)</f>
        <v>#N/A</v>
      </c>
      <c r="H4" s="44" t="e">
        <f>VLOOKUP(Tableau3[[#This Row],[Nom ND]],'summary results'!$A$6:$N$26,11,FALSE)</f>
        <v>#N/A</v>
      </c>
      <c r="I4" s="44" t="e">
        <f>HLOOKUP(Tableau3[[#This Row],[Nom D]],'pooled normalised values'!$B$74:$V$83,4,FALSE)</f>
        <v>#N/A</v>
      </c>
      <c r="J4" s="44" t="e">
        <f>HLOOKUP(Tableau3[[#This Row],[Nom D]],'pooled normalised values'!$B$74:$V$83,8,FALSE)</f>
        <v>#N/A</v>
      </c>
      <c r="K4" s="44" t="e">
        <f>VLOOKUP(Tableau3[[#This Row],[Nom D]],'summary results'!$A$29:$N$51,9,FALSE)</f>
        <v>#N/A</v>
      </c>
      <c r="L4" s="44" t="e">
        <f>VLOOKUP(Tableau3[[#This Row],[Nom D]],'summary results'!$A$29:$N$51,11,FALSE)</f>
        <v>#N/A</v>
      </c>
      <c r="M4" t="e">
        <f>'summary results'!$G$30</f>
        <v>#NUM!</v>
      </c>
      <c r="N4" t="e">
        <f>'summary results'!$G$31</f>
        <v>#NUM!</v>
      </c>
    </row>
    <row r="5" spans="1:23" x14ac:dyDescent="0.25">
      <c r="A5" s="1">
        <f t="shared" si="1"/>
        <v>0</v>
      </c>
      <c r="B5" s="44">
        <f t="shared" si="2"/>
        <v>0</v>
      </c>
      <c r="D5" s="44" t="e">
        <f>CONCATENATE(VLOOKUP(Tableau3[[#This Row],[Nom ND]],liste_groupe[],3,FALSE),VLOOKUP(Tableau3[[#This Row],[Nom ND]],liste_groupe[],4,FALSE))</f>
        <v>#N/A</v>
      </c>
      <c r="E5" s="44" t="e">
        <f>HLOOKUP(Tableau3[[#This Row],[Nom ND]],'pooled normalised values'!$B$74:$V$83,4,FALSE)</f>
        <v>#N/A</v>
      </c>
      <c r="F5" s="44" t="e">
        <f>HLOOKUP(Tableau3[[#This Row],[Nom ND]],'pooled normalised values'!$B$74:$V$83,8,FALSE)</f>
        <v>#N/A</v>
      </c>
      <c r="G5" s="44" t="e">
        <f>VLOOKUP(Tableau3[[#This Row],[Nom ND]],'summary results'!$A$6:$N$26,9,FALSE)</f>
        <v>#N/A</v>
      </c>
      <c r="H5" s="44" t="e">
        <f>VLOOKUP(Tableau3[[#This Row],[Nom ND]],'summary results'!$A$6:$N$26,11,FALSE)</f>
        <v>#N/A</v>
      </c>
      <c r="I5" s="44" t="e">
        <f>HLOOKUP(Tableau3[[#This Row],[Nom D]],'pooled normalised values'!$B$74:$V$83,4,FALSE)</f>
        <v>#N/A</v>
      </c>
      <c r="J5" s="44" t="e">
        <f>HLOOKUP(Tableau3[[#This Row],[Nom D]],'pooled normalised values'!$B$74:$V$83,8,FALSE)</f>
        <v>#N/A</v>
      </c>
      <c r="K5" s="44" t="e">
        <f>VLOOKUP(Tableau3[[#This Row],[Nom D]],'summary results'!$A$29:$N$51,9,FALSE)</f>
        <v>#N/A</v>
      </c>
      <c r="L5" s="44" t="e">
        <f>VLOOKUP(Tableau3[[#This Row],[Nom D]],'summary results'!$A$29:$N$51,11,FALSE)</f>
        <v>#N/A</v>
      </c>
      <c r="M5" t="e">
        <f>'summary results'!$G$30</f>
        <v>#NUM!</v>
      </c>
      <c r="N5" t="e">
        <f>'summary results'!$G$31</f>
        <v>#NUM!</v>
      </c>
      <c r="Q5" s="119" t="s">
        <v>100</v>
      </c>
      <c r="U5" s="119" t="s">
        <v>100</v>
      </c>
    </row>
    <row r="6" spans="1:23" x14ac:dyDescent="0.25">
      <c r="A6" s="1">
        <f t="shared" si="1"/>
        <v>0</v>
      </c>
      <c r="B6" s="44">
        <f t="shared" si="2"/>
        <v>0</v>
      </c>
      <c r="D6" s="44" t="e">
        <f>CONCATENATE(VLOOKUP(Tableau3[[#This Row],[Nom ND]],liste_groupe[],3,FALSE),VLOOKUP(Tableau3[[#This Row],[Nom ND]],liste_groupe[],4,FALSE))</f>
        <v>#N/A</v>
      </c>
      <c r="E6" s="44" t="e">
        <f>HLOOKUP(Tableau3[[#This Row],[Nom ND]],'pooled normalised values'!$B$74:$V$83,4,FALSE)</f>
        <v>#N/A</v>
      </c>
      <c r="F6" s="44" t="e">
        <f>HLOOKUP(Tableau3[[#This Row],[Nom ND]],'pooled normalised values'!$B$74:$V$83,8,FALSE)</f>
        <v>#N/A</v>
      </c>
      <c r="G6" s="44" t="e">
        <f>VLOOKUP(Tableau3[[#This Row],[Nom ND]],'summary results'!$A$6:$N$26,9,FALSE)</f>
        <v>#N/A</v>
      </c>
      <c r="H6" s="44" t="e">
        <f>VLOOKUP(Tableau3[[#This Row],[Nom ND]],'summary results'!$A$6:$N$26,11,FALSE)</f>
        <v>#N/A</v>
      </c>
      <c r="I6" s="44" t="e">
        <f>HLOOKUP(Tableau3[[#This Row],[Nom D]],'pooled normalised values'!$B$74:$V$83,4,FALSE)</f>
        <v>#N/A</v>
      </c>
      <c r="J6" s="44" t="e">
        <f>HLOOKUP(Tableau3[[#This Row],[Nom D]],'pooled normalised values'!$B$74:$V$83,8,FALSE)</f>
        <v>#N/A</v>
      </c>
      <c r="K6" s="44" t="e">
        <f>VLOOKUP(Tableau3[[#This Row],[Nom D]],'summary results'!$A$29:$N$51,9,FALSE)</f>
        <v>#N/A</v>
      </c>
      <c r="L6" s="44" t="e">
        <f>VLOOKUP(Tableau3[[#This Row],[Nom D]],'summary results'!$A$29:$N$51,11,FALSE)</f>
        <v>#N/A</v>
      </c>
      <c r="M6" t="e">
        <f>'summary results'!$G$30</f>
        <v>#NUM!</v>
      </c>
      <c r="N6" t="e">
        <f>'summary results'!$G$31</f>
        <v>#NUM!</v>
      </c>
      <c r="Q6" s="146" t="s">
        <v>112</v>
      </c>
      <c r="U6" s="146" t="s">
        <v>101</v>
      </c>
    </row>
    <row r="7" spans="1:23" x14ac:dyDescent="0.25">
      <c r="A7" s="1">
        <f t="shared" si="1"/>
        <v>0</v>
      </c>
      <c r="B7" s="44">
        <f t="shared" si="2"/>
        <v>0</v>
      </c>
      <c r="D7" s="44" t="e">
        <f>CONCATENATE(VLOOKUP(Tableau3[[#This Row],[Nom ND]],liste_groupe[],3,FALSE),VLOOKUP(Tableau3[[#This Row],[Nom ND]],liste_groupe[],4,FALSE))</f>
        <v>#N/A</v>
      </c>
      <c r="E7" s="44" t="e">
        <f>HLOOKUP(Tableau3[[#This Row],[Nom ND]],'pooled normalised values'!$B$74:$V$83,4,FALSE)</f>
        <v>#N/A</v>
      </c>
      <c r="F7" s="44" t="e">
        <f>HLOOKUP(Tableau3[[#This Row],[Nom ND]],'pooled normalised values'!$B$74:$V$83,8,FALSE)</f>
        <v>#N/A</v>
      </c>
      <c r="G7" s="44" t="e">
        <f>VLOOKUP(Tableau3[[#This Row],[Nom ND]],'summary results'!$A$6:$N$26,9,FALSE)</f>
        <v>#N/A</v>
      </c>
      <c r="H7" s="44" t="e">
        <f>VLOOKUP(Tableau3[[#This Row],[Nom ND]],'summary results'!$A$6:$N$26,11,FALSE)</f>
        <v>#N/A</v>
      </c>
      <c r="I7" s="44" t="e">
        <f>HLOOKUP(Tableau3[[#This Row],[Nom D]],'pooled normalised values'!$B$74:$V$83,4,FALSE)</f>
        <v>#N/A</v>
      </c>
      <c r="J7" s="44" t="e">
        <f>HLOOKUP(Tableau3[[#This Row],[Nom D]],'pooled normalised values'!$B$74:$V$83,8,FALSE)</f>
        <v>#N/A</v>
      </c>
      <c r="K7" s="44" t="e">
        <f>VLOOKUP(Tableau3[[#This Row],[Nom D]],'summary results'!$A$29:$N$51,9,FALSE)</f>
        <v>#N/A</v>
      </c>
      <c r="L7" s="44" t="e">
        <f>VLOOKUP(Tableau3[[#This Row],[Nom D]],'summary results'!$A$29:$N$51,11,FALSE)</f>
        <v>#N/A</v>
      </c>
      <c r="M7" t="e">
        <f>'summary results'!$G$30</f>
        <v>#NUM!</v>
      </c>
      <c r="N7" t="e">
        <f>'summary results'!$G$31</f>
        <v>#NUM!</v>
      </c>
    </row>
    <row r="8" spans="1:23" x14ac:dyDescent="0.25">
      <c r="A8" s="1">
        <f t="shared" si="1"/>
        <v>0</v>
      </c>
      <c r="B8" s="44">
        <f t="shared" si="2"/>
        <v>0</v>
      </c>
      <c r="D8" s="44" t="e">
        <f>CONCATENATE(VLOOKUP(Tableau3[[#This Row],[Nom ND]],liste_groupe[],3,FALSE),VLOOKUP(Tableau3[[#This Row],[Nom ND]],liste_groupe[],4,FALSE))</f>
        <v>#N/A</v>
      </c>
      <c r="E8" s="148" t="e">
        <f>HLOOKUP(Tableau3[[#This Row],[Nom ND]],'pooled normalised values'!$B$74:$V$83,4,FALSE)</f>
        <v>#N/A</v>
      </c>
      <c r="F8" s="44" t="e">
        <f>HLOOKUP(Tableau3[[#This Row],[Nom ND]],'pooled normalised values'!$B$74:$V$83,8,FALSE)</f>
        <v>#N/A</v>
      </c>
      <c r="G8" s="44" t="e">
        <f>VLOOKUP(Tableau3[[#This Row],[Nom ND]],'summary results'!$A$6:$N$26,9,FALSE)</f>
        <v>#N/A</v>
      </c>
      <c r="H8" s="44" t="e">
        <f>VLOOKUP(Tableau3[[#This Row],[Nom ND]],'summary results'!$A$6:$N$26,11,FALSE)</f>
        <v>#N/A</v>
      </c>
      <c r="I8" s="44" t="e">
        <f>HLOOKUP(Tableau3[[#This Row],[Nom D]],'pooled normalised values'!$B$74:$V$83,4,FALSE)</f>
        <v>#N/A</v>
      </c>
      <c r="J8" s="44" t="e">
        <f>HLOOKUP(Tableau3[[#This Row],[Nom D]],'pooled normalised values'!$B$74:$V$83,8,FALSE)</f>
        <v>#N/A</v>
      </c>
      <c r="K8" s="44" t="e">
        <f>VLOOKUP(Tableau3[[#This Row],[Nom D]],'summary results'!$A$29:$N$51,9,FALSE)</f>
        <v>#N/A</v>
      </c>
      <c r="L8" s="44" t="e">
        <f>VLOOKUP(Tableau3[[#This Row],[Nom D]],'summary results'!$A$29:$N$51,11,FALSE)</f>
        <v>#N/A</v>
      </c>
      <c r="M8" t="e">
        <f>'summary results'!$G$30</f>
        <v>#NUM!</v>
      </c>
      <c r="N8" t="e">
        <f>'summary results'!$G$31</f>
        <v>#NUM!</v>
      </c>
    </row>
    <row r="9" spans="1:23" x14ac:dyDescent="0.25">
      <c r="A9" s="1">
        <f t="shared" si="1"/>
        <v>0</v>
      </c>
      <c r="B9" s="44">
        <f t="shared" si="2"/>
        <v>0</v>
      </c>
      <c r="D9" s="44" t="e">
        <f>CONCATENATE(VLOOKUP(Tableau3[[#This Row],[Nom ND]],liste_groupe[],3,FALSE),VLOOKUP(Tableau3[[#This Row],[Nom ND]],liste_groupe[],4,FALSE))</f>
        <v>#N/A</v>
      </c>
      <c r="E9" s="44" t="e">
        <f>HLOOKUP(Tableau3[[#This Row],[Nom ND]],'pooled normalised values'!$B$74:$V$83,4,FALSE)</f>
        <v>#N/A</v>
      </c>
      <c r="F9" s="44" t="e">
        <f>HLOOKUP(Tableau3[[#This Row],[Nom ND]],'pooled normalised values'!$B$74:$V$83,8,FALSE)</f>
        <v>#N/A</v>
      </c>
      <c r="G9" s="44" t="e">
        <f>VLOOKUP(Tableau3[[#This Row],[Nom ND]],'summary results'!$A$6:$N$26,9,FALSE)</f>
        <v>#N/A</v>
      </c>
      <c r="H9" s="44" t="e">
        <f>VLOOKUP(Tableau3[[#This Row],[Nom ND]],'summary results'!$A$6:$N$26,11,FALSE)</f>
        <v>#N/A</v>
      </c>
      <c r="I9" s="44" t="e">
        <f>HLOOKUP(Tableau3[[#This Row],[Nom D]],'pooled normalised values'!$B$74:$V$83,4,FALSE)</f>
        <v>#N/A</v>
      </c>
      <c r="J9" s="44" t="e">
        <f>HLOOKUP(Tableau3[[#This Row],[Nom D]],'pooled normalised values'!$B$74:$V$83,8,FALSE)</f>
        <v>#N/A</v>
      </c>
      <c r="K9" s="44" t="e">
        <f>VLOOKUP(Tableau3[[#This Row],[Nom D]],'summary results'!$A$29:$N$51,9,FALSE)</f>
        <v>#N/A</v>
      </c>
      <c r="L9" s="44" t="e">
        <f>VLOOKUP(Tableau3[[#This Row],[Nom D]],'summary results'!$A$29:$N$51,11,FALSE)</f>
        <v>#N/A</v>
      </c>
      <c r="M9" t="e">
        <f>'summary results'!$G$30</f>
        <v>#NUM!</v>
      </c>
      <c r="N9" t="e">
        <f>'summary results'!$G$31</f>
        <v>#NUM!</v>
      </c>
    </row>
    <row r="10" spans="1:23" x14ac:dyDescent="0.25">
      <c r="A10" s="1">
        <f t="shared" si="1"/>
        <v>0</v>
      </c>
      <c r="B10" s="44">
        <f t="shared" si="2"/>
        <v>0</v>
      </c>
      <c r="D10" s="44" t="e">
        <f>CONCATENATE(VLOOKUP(Tableau3[[#This Row],[Nom ND]],liste_groupe[],3,FALSE),VLOOKUP(Tableau3[[#This Row],[Nom ND]],liste_groupe[],4,FALSE))</f>
        <v>#N/A</v>
      </c>
      <c r="E10" s="44" t="e">
        <f>HLOOKUP(Tableau3[[#This Row],[Nom ND]],'pooled normalised values'!$B$74:$V$83,4,FALSE)</f>
        <v>#N/A</v>
      </c>
      <c r="F10" s="44" t="e">
        <f>HLOOKUP(Tableau3[[#This Row],[Nom ND]],'pooled normalised values'!$B$74:$V$83,8,FALSE)</f>
        <v>#N/A</v>
      </c>
      <c r="G10" s="44" t="e">
        <f>VLOOKUP(Tableau3[[#This Row],[Nom ND]],'summary results'!$A$6:$N$26,9,FALSE)</f>
        <v>#N/A</v>
      </c>
      <c r="H10" s="44" t="e">
        <f>VLOOKUP(Tableau3[[#This Row],[Nom ND]],'summary results'!$A$6:$N$26,11,FALSE)</f>
        <v>#N/A</v>
      </c>
      <c r="I10" s="44" t="e">
        <f>HLOOKUP(Tableau3[[#This Row],[Nom D]],'pooled normalised values'!$B$74:$V$83,4,FALSE)</f>
        <v>#N/A</v>
      </c>
      <c r="J10" s="44" t="e">
        <f>HLOOKUP(Tableau3[[#This Row],[Nom D]],'pooled normalised values'!$B$74:$V$83,8,FALSE)</f>
        <v>#N/A</v>
      </c>
      <c r="K10" s="44" t="e">
        <f>VLOOKUP(Tableau3[[#This Row],[Nom D]],'summary results'!$A$29:$N$51,9,FALSE)</f>
        <v>#N/A</v>
      </c>
      <c r="L10" s="44" t="e">
        <f>VLOOKUP(Tableau3[[#This Row],[Nom D]],'summary results'!$A$29:$N$51,11,FALSE)</f>
        <v>#N/A</v>
      </c>
      <c r="M10" t="e">
        <f>'summary results'!$G$30</f>
        <v>#NUM!</v>
      </c>
      <c r="N10" t="e">
        <f>'summary results'!$G$31</f>
        <v>#NUM!</v>
      </c>
    </row>
    <row r="11" spans="1:23" x14ac:dyDescent="0.25">
      <c r="A11" s="1">
        <f t="shared" si="1"/>
        <v>0</v>
      </c>
      <c r="B11" s="44">
        <f t="shared" si="2"/>
        <v>0</v>
      </c>
      <c r="D11" s="44" t="e">
        <f>CONCATENATE(VLOOKUP(Tableau3[[#This Row],[Nom ND]],liste_groupe[],3,FALSE),VLOOKUP(Tableau3[[#This Row],[Nom ND]],liste_groupe[],4,FALSE))</f>
        <v>#N/A</v>
      </c>
      <c r="E11" s="44" t="e">
        <f>HLOOKUP(Tableau3[[#This Row],[Nom ND]],'pooled normalised values'!$B$74:$V$83,4,FALSE)</f>
        <v>#N/A</v>
      </c>
      <c r="F11" s="44" t="e">
        <f>HLOOKUP(Tableau3[[#This Row],[Nom ND]],'pooled normalised values'!$B$74:$V$83,8,FALSE)</f>
        <v>#N/A</v>
      </c>
      <c r="G11" s="44" t="e">
        <f>VLOOKUP(Tableau3[[#This Row],[Nom ND]],'summary results'!$A$6:$N$26,9,FALSE)</f>
        <v>#N/A</v>
      </c>
      <c r="H11" s="44" t="e">
        <f>VLOOKUP(Tableau3[[#This Row],[Nom ND]],'summary results'!$A$6:$N$26,11,FALSE)</f>
        <v>#N/A</v>
      </c>
      <c r="I11" s="44" t="e">
        <f>HLOOKUP(Tableau3[[#This Row],[Nom D]],'pooled normalised values'!$B$74:$V$83,4,FALSE)</f>
        <v>#N/A</v>
      </c>
      <c r="J11" s="44" t="e">
        <f>HLOOKUP(Tableau3[[#This Row],[Nom D]],'pooled normalised values'!$B$74:$V$83,8,FALSE)</f>
        <v>#N/A</v>
      </c>
      <c r="K11" s="44" t="e">
        <f>VLOOKUP(Tableau3[[#This Row],[Nom D]],'summary results'!$A$29:$N$51,9,FALSE)</f>
        <v>#N/A</v>
      </c>
      <c r="L11" s="44" t="e">
        <f>VLOOKUP(Tableau3[[#This Row],[Nom D]],'summary results'!$A$29:$N$51,11,FALSE)</f>
        <v>#N/A</v>
      </c>
      <c r="M11" t="e">
        <f>'summary results'!$G$30</f>
        <v>#NUM!</v>
      </c>
      <c r="N11" t="e">
        <f>'summary results'!$G$31</f>
        <v>#NUM!</v>
      </c>
    </row>
    <row r="12" spans="1:23" x14ac:dyDescent="0.25">
      <c r="A12" s="1">
        <f t="shared" si="1"/>
        <v>0</v>
      </c>
      <c r="B12" s="44">
        <f t="shared" si="2"/>
        <v>0</v>
      </c>
      <c r="D12" s="44" t="e">
        <f>CONCATENATE(VLOOKUP(Tableau3[[#This Row],[Nom ND]],liste_groupe[],3,FALSE),VLOOKUP(Tableau3[[#This Row],[Nom ND]],liste_groupe[],4,FALSE))</f>
        <v>#N/A</v>
      </c>
      <c r="E12" s="44" t="e">
        <f>HLOOKUP(Tableau3[[#This Row],[Nom ND]],'pooled normalised values'!$B$74:$V$83,4,FALSE)</f>
        <v>#N/A</v>
      </c>
      <c r="F12" s="44" t="e">
        <f>HLOOKUP(Tableau3[[#This Row],[Nom ND]],'pooled normalised values'!$B$74:$V$83,8,FALSE)</f>
        <v>#N/A</v>
      </c>
      <c r="G12" s="44" t="e">
        <f>VLOOKUP(Tableau3[[#This Row],[Nom ND]],'summary results'!$A$6:$N$26,9,FALSE)</f>
        <v>#N/A</v>
      </c>
      <c r="H12" s="44" t="e">
        <f>VLOOKUP(Tableau3[[#This Row],[Nom ND]],'summary results'!$A$6:$N$26,11,FALSE)</f>
        <v>#N/A</v>
      </c>
      <c r="I12" s="44" t="e">
        <f>HLOOKUP(Tableau3[[#This Row],[Nom D]],'pooled normalised values'!$B$74:$V$83,4,FALSE)</f>
        <v>#N/A</v>
      </c>
      <c r="J12" s="44" t="e">
        <f>HLOOKUP(Tableau3[[#This Row],[Nom D]],'pooled normalised values'!$B$74:$V$83,8,FALSE)</f>
        <v>#N/A</v>
      </c>
      <c r="K12" s="44" t="e">
        <f>VLOOKUP(Tableau3[[#This Row],[Nom D]],'summary results'!$A$29:$N$51,9,FALSE)</f>
        <v>#N/A</v>
      </c>
      <c r="L12" s="44" t="e">
        <f>VLOOKUP(Tableau3[[#This Row],[Nom D]],'summary results'!$A$29:$N$51,11,FALSE)</f>
        <v>#N/A</v>
      </c>
      <c r="M12" t="e">
        <f>'summary results'!$G$30</f>
        <v>#NUM!</v>
      </c>
      <c r="N12" t="e">
        <f>'summary results'!$G$31</f>
        <v>#NUM!</v>
      </c>
    </row>
    <row r="13" spans="1:23" x14ac:dyDescent="0.25">
      <c r="A13" s="1">
        <f t="shared" si="1"/>
        <v>0</v>
      </c>
      <c r="B13" s="44">
        <f t="shared" si="2"/>
        <v>0</v>
      </c>
      <c r="D13" s="44" t="e">
        <f>CONCATENATE(VLOOKUP(Tableau3[[#This Row],[Nom ND]],liste_groupe[],3,FALSE),VLOOKUP(Tableau3[[#This Row],[Nom ND]],liste_groupe[],4,FALSE))</f>
        <v>#N/A</v>
      </c>
      <c r="E13" s="44" t="e">
        <f>HLOOKUP(Tableau3[[#This Row],[Nom ND]],'pooled normalised values'!$B$74:$V$83,4,FALSE)</f>
        <v>#N/A</v>
      </c>
      <c r="F13" s="44" t="e">
        <f>HLOOKUP(Tableau3[[#This Row],[Nom ND]],'pooled normalised values'!$B$74:$V$83,8,FALSE)</f>
        <v>#N/A</v>
      </c>
      <c r="G13" s="44" t="e">
        <f>VLOOKUP(Tableau3[[#This Row],[Nom ND]],'summary results'!$A$6:$N$26,9,FALSE)</f>
        <v>#N/A</v>
      </c>
      <c r="H13" s="44" t="e">
        <f>VLOOKUP(Tableau3[[#This Row],[Nom ND]],'summary results'!$A$6:$N$26,11,FALSE)</f>
        <v>#N/A</v>
      </c>
      <c r="I13" s="44" t="e">
        <f>HLOOKUP(Tableau3[[#This Row],[Nom D]],'pooled normalised values'!$B$74:$V$83,4,FALSE)</f>
        <v>#N/A</v>
      </c>
      <c r="J13" s="44" t="e">
        <f>HLOOKUP(Tableau3[[#This Row],[Nom D]],'pooled normalised values'!$B$74:$V$83,8,FALSE)</f>
        <v>#N/A</v>
      </c>
      <c r="K13" s="44" t="e">
        <f>VLOOKUP(Tableau3[[#This Row],[Nom D]],'summary results'!$A$29:$N$51,9,FALSE)</f>
        <v>#N/A</v>
      </c>
      <c r="L13" s="44" t="e">
        <f>VLOOKUP(Tableau3[[#This Row],[Nom D]],'summary results'!$A$29:$N$51,11,FALSE)</f>
        <v>#N/A</v>
      </c>
      <c r="M13" t="e">
        <f>'summary results'!$G$30</f>
        <v>#NUM!</v>
      </c>
      <c r="N13" t="e">
        <f>'summary results'!$G$31</f>
        <v>#NUM!</v>
      </c>
    </row>
    <row r="14" spans="1:23" x14ac:dyDescent="0.25">
      <c r="A14" s="1">
        <f t="shared" si="1"/>
        <v>0</v>
      </c>
      <c r="B14" s="44">
        <f t="shared" si="2"/>
        <v>0</v>
      </c>
      <c r="D14" s="44" t="e">
        <f>CONCATENATE(VLOOKUP(Tableau3[[#This Row],[Nom ND]],liste_groupe[],3,FALSE),VLOOKUP(Tableau3[[#This Row],[Nom ND]],liste_groupe[],4,FALSE))</f>
        <v>#N/A</v>
      </c>
      <c r="E14" s="44" t="e">
        <f>HLOOKUP(Tableau3[[#This Row],[Nom ND]],'pooled normalised values'!$B$74:$V$83,4,FALSE)</f>
        <v>#N/A</v>
      </c>
      <c r="F14" s="44" t="e">
        <f>HLOOKUP(Tableau3[[#This Row],[Nom ND]],'pooled normalised values'!$B$74:$V$83,8,FALSE)</f>
        <v>#N/A</v>
      </c>
      <c r="G14" s="44" t="e">
        <f>VLOOKUP(Tableau3[[#This Row],[Nom ND]],'summary results'!$A$6:$N$26,9,FALSE)</f>
        <v>#N/A</v>
      </c>
      <c r="H14" s="44" t="e">
        <f>VLOOKUP(Tableau3[[#This Row],[Nom ND]],'summary results'!$A$6:$N$26,11,FALSE)</f>
        <v>#N/A</v>
      </c>
      <c r="I14" s="44" t="e">
        <f>HLOOKUP(Tableau3[[#This Row],[Nom D]],'pooled normalised values'!$B$74:$V$83,4,FALSE)</f>
        <v>#N/A</v>
      </c>
      <c r="J14" s="44" t="e">
        <f>HLOOKUP(Tableau3[[#This Row],[Nom D]],'pooled normalised values'!$B$74:$V$83,8,FALSE)</f>
        <v>#N/A</v>
      </c>
      <c r="K14" s="44" t="e">
        <f>VLOOKUP(Tableau3[[#This Row],[Nom D]],'summary results'!$A$29:$N$51,9,FALSE)</f>
        <v>#N/A</v>
      </c>
      <c r="L14" s="44" t="e">
        <f>VLOOKUP(Tableau3[[#This Row],[Nom D]],'summary results'!$A$29:$N$51,11,FALSE)</f>
        <v>#N/A</v>
      </c>
      <c r="M14" t="e">
        <f>'summary results'!$G$30</f>
        <v>#NUM!</v>
      </c>
      <c r="N14" t="e">
        <f>'summary results'!$G$31</f>
        <v>#NUM!</v>
      </c>
    </row>
    <row r="15" spans="1:23" x14ac:dyDescent="0.25">
      <c r="A15" s="1">
        <f t="shared" si="1"/>
        <v>0</v>
      </c>
      <c r="B15" s="44">
        <f t="shared" si="2"/>
        <v>0</v>
      </c>
      <c r="D15" s="44" t="e">
        <f>CONCATENATE(VLOOKUP(Tableau3[[#This Row],[Nom ND]],liste_groupe[],3,FALSE),VLOOKUP(Tableau3[[#This Row],[Nom ND]],liste_groupe[],4,FALSE))</f>
        <v>#N/A</v>
      </c>
      <c r="E15" s="44" t="e">
        <f>HLOOKUP(Tableau3[[#This Row],[Nom ND]],'pooled normalised values'!$B$74:$V$83,4,FALSE)</f>
        <v>#N/A</v>
      </c>
      <c r="F15" s="44" t="e">
        <f>HLOOKUP(Tableau3[[#This Row],[Nom ND]],'pooled normalised values'!$B$74:$V$83,8,FALSE)</f>
        <v>#N/A</v>
      </c>
      <c r="G15" s="44" t="e">
        <f>VLOOKUP(Tableau3[[#This Row],[Nom ND]],'summary results'!$A$6:$N$26,9,FALSE)</f>
        <v>#N/A</v>
      </c>
      <c r="H15" s="44" t="e">
        <f>VLOOKUP(Tableau3[[#This Row],[Nom ND]],'summary results'!$A$6:$N$26,11,FALSE)</f>
        <v>#N/A</v>
      </c>
      <c r="I15" s="44" t="e">
        <f>HLOOKUP(Tableau3[[#This Row],[Nom D]],'pooled normalised values'!$B$74:$V$83,4,FALSE)</f>
        <v>#N/A</v>
      </c>
      <c r="J15" s="44" t="e">
        <f>HLOOKUP(Tableau3[[#This Row],[Nom D]],'pooled normalised values'!$B$74:$V$83,8,FALSE)</f>
        <v>#N/A</v>
      </c>
      <c r="K15" s="44" t="e">
        <f>VLOOKUP(Tableau3[[#This Row],[Nom D]],'summary results'!$A$29:$N$51,9,FALSE)</f>
        <v>#N/A</v>
      </c>
      <c r="L15" s="44" t="e">
        <f>VLOOKUP(Tableau3[[#This Row],[Nom D]],'summary results'!$A$29:$N$51,11,FALSE)</f>
        <v>#N/A</v>
      </c>
      <c r="M15" t="e">
        <f>'summary results'!$G$30</f>
        <v>#NUM!</v>
      </c>
      <c r="N15" t="e">
        <f>'summary results'!$G$31</f>
        <v>#NUM!</v>
      </c>
    </row>
  </sheetData>
  <mergeCells count="2">
    <mergeCell ref="Q1:S1"/>
    <mergeCell ref="U1:W1"/>
  </mergeCells>
  <pageMargins left="0.7" right="0.7" top="0.75" bottom="0.75" header="0.3" footer="0.3"/>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C436BD700BD428C1C0C71E54D8B5E" ma:contentTypeVersion="18" ma:contentTypeDescription="Create a new document." ma:contentTypeScope="" ma:versionID="782111b43a65dadfbc410eb6ccb7aa06">
  <xsd:schema xmlns:xsd="http://www.w3.org/2001/XMLSchema" xmlns:xs="http://www.w3.org/2001/XMLSchema" xmlns:p="http://schemas.microsoft.com/office/2006/metadata/properties" xmlns:ns2="cc801401-75a6-4297-ad63-d4d786ff6e7c" xmlns:ns3="508cc0b8-c8e1-4e41-95d2-be8416ed53ba" targetNamespace="http://schemas.microsoft.com/office/2006/metadata/properties" ma:root="true" ma:fieldsID="7f493af8791a6264672b29a70f2a6765" ns2:_="" ns3:_="">
    <xsd:import namespace="cc801401-75a6-4297-ad63-d4d786ff6e7c"/>
    <xsd:import namespace="508cc0b8-c8e1-4e41-95d2-be8416ed53ba"/>
    <xsd:element name="properties">
      <xsd:complexType>
        <xsd:sequence>
          <xsd:element name="documentManagement">
            <xsd:complexType>
              <xsd:all>
                <xsd:element ref="ns2:SharedWithUsers" minOccurs="0"/>
                <xsd:element ref="ns2:SharedWithDetails" minOccurs="0"/>
                <xsd:element ref="ns2:LastSharedByUser" minOccurs="0"/>
                <xsd:element ref="ns2:LastSharedByTime"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LengthInSecond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801401-75a6-4297-ad63-d4d786ff6e7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LastSharedByUser" ma:index="10" nillable="true" ma:displayName="Last Shared By User" ma:description="" ma:internalName="LastSharedByUser" ma:readOnly="true">
      <xsd:simpleType>
        <xsd:restriction base="dms:Note">
          <xsd:maxLength value="255"/>
        </xsd:restriction>
      </xsd:simpleType>
    </xsd:element>
    <xsd:element name="LastSharedByTime" ma:index="11" nillable="true" ma:displayName="Last Shared By Time" ma:description="" ma:internalName="LastSharedByTime" ma:readOnly="true">
      <xsd:simpleType>
        <xsd:restriction base="dms:DateTime"/>
      </xsd:simpleType>
    </xsd:element>
    <xsd:element name="TaxCatchAll" ma:index="25" nillable="true" ma:displayName="Taxonomy Catch All Column" ma:hidden="true" ma:list="2e281972-ae1b-43a4-854f-cb1565a95e46" ma:internalName="TaxCatchAll" ma:showField="CatchAllData" ma:web="cc801401-75a6-4297-ad63-d4d786ff6e7c">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08cc0b8-c8e1-4e41-95d2-be8416ed53ba" elementFormDefault="qualified">
    <xsd:import namespace="http://schemas.microsoft.com/office/2006/documentManagement/types"/>
    <xsd:import namespace="http://schemas.microsoft.com/office/infopath/2007/PartnerControls"/>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DateTaken" ma:index="14" nillable="true" ma:displayName="MediaServiceDateTaken" ma:description="" ma:hidden="true" ma:internalName="MediaServiceDateTaken" ma:readOnly="true">
      <xsd:simpleType>
        <xsd:restriction base="dms:Text"/>
      </xsd:simpleType>
    </xsd:element>
    <xsd:element name="MediaServiceAutoTags" ma:index="15" nillable="true" ma:displayName="MediaServiceAutoTags" ma:description="" ma:internalName="MediaServiceAutoTags" ma:readOnly="true">
      <xsd:simpleType>
        <xsd:restriction base="dms:Text"/>
      </xsd:simpleType>
    </xsd:element>
    <xsd:element name="MediaServiceLocation" ma:index="16" nillable="true" ma:displayName="MediaServiceLocation" ma:internalName="MediaServiceLocation" ma:readOnly="true">
      <xsd:simpleType>
        <xsd:restriction base="dms:Text"/>
      </xsd:simpleType>
    </xsd:element>
    <xsd:element name="MediaServiceOCR" ma:index="17" nillable="true" ma:displayName="MediaServiceOCR"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04f2cd92-8d93-4e4c-83d3-86703d91558f"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41226BF-B228-4CB9-A0F3-F78057A23173}"/>
</file>

<file path=customXml/itemProps2.xml><?xml version="1.0" encoding="utf-8"?>
<ds:datastoreItem xmlns:ds="http://schemas.openxmlformats.org/officeDocument/2006/customXml" ds:itemID="{D421094C-28E1-4E7F-BAD3-4C8EC460B4A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14</vt:i4>
      </vt:variant>
      <vt:variant>
        <vt:lpstr>Graphiques</vt:lpstr>
      </vt:variant>
      <vt:variant>
        <vt:i4>4</vt:i4>
      </vt:variant>
      <vt:variant>
        <vt:lpstr>Plages nommées</vt:lpstr>
      </vt:variant>
      <vt:variant>
        <vt:i4>1</vt:i4>
      </vt:variant>
    </vt:vector>
  </HeadingPairs>
  <TitlesOfParts>
    <vt:vector size="19" baseType="lpstr">
      <vt:lpstr>Page de garde</vt:lpstr>
      <vt:lpstr>Feuil1</vt:lpstr>
      <vt:lpstr>Raw data R1</vt:lpstr>
      <vt:lpstr>R1</vt:lpstr>
      <vt:lpstr>Raw data R2</vt:lpstr>
      <vt:lpstr>R2</vt:lpstr>
      <vt:lpstr>Raw data R3</vt:lpstr>
      <vt:lpstr>R3</vt:lpstr>
      <vt:lpstr>pooled normalised values</vt:lpstr>
      <vt:lpstr>summary results</vt:lpstr>
      <vt:lpstr>Notice</vt:lpstr>
      <vt:lpstr>Graph format rapport CHG</vt:lpstr>
      <vt:lpstr>Graph format rapport CHG 1éch</vt:lpstr>
      <vt:lpstr>Récap</vt:lpstr>
      <vt:lpstr>Graph R1</vt:lpstr>
      <vt:lpstr>Graph R2</vt:lpstr>
      <vt:lpstr>Graph R3</vt:lpstr>
      <vt:lpstr>pooled normalised graphe</vt:lpstr>
      <vt:lpstr>'Page de garde'!Zone_d_impression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2020-12-15T15:57:23Z</dcterms:modified>
</cp:coreProperties>
</file>