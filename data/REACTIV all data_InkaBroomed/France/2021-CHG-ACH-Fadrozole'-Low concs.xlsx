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hidePivotFieldList="1" defaultThemeVersion="124226"/>
  <xr:revisionPtr revIDLastSave="0" documentId="13_ncr:1_{E28AF974-9829-48B4-A7D0-6EEF874082F6}" xr6:coauthVersionLast="46" xr6:coauthVersionMax="46" xr10:uidLastSave="{00000000-0000-0000-0000-000000000000}"/>
  <bookViews>
    <workbookView xWindow="-120" yWindow="-120" windowWidth="29040" windowHeight="15840" firstSheet="4" activeTab="12"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91029"/>
  <pivotCaches>
    <pivotCache cacheId="0" r:id="rId20"/>
    <pivotCache cacheId="1" r:id="rId21"/>
    <pivotCache cacheId="2" r:id="rId22"/>
    <pivotCache cacheId="3" r:id="rId23"/>
  </pivotCaches>
</workbook>
</file>

<file path=xl/calcChain.xml><?xml version="1.0" encoding="utf-8"?>
<calcChain xmlns="http://schemas.openxmlformats.org/spreadsheetml/2006/main">
  <c r="F83" i="4" l="1"/>
  <c r="C83" i="4"/>
  <c r="D83" i="4"/>
  <c r="E83" i="4"/>
  <c r="G83" i="4"/>
  <c r="H83" i="4"/>
  <c r="R61" i="33"/>
  <c r="S61" i="33"/>
  <c r="T61" i="33"/>
  <c r="U61" i="33"/>
  <c r="V61" i="33"/>
  <c r="A38" i="10"/>
  <c r="D43" i="10"/>
  <c r="D56" i="33"/>
  <c r="G56" i="33"/>
  <c r="F56" i="33"/>
  <c r="H56" i="33"/>
  <c r="J56" i="33"/>
  <c r="M56" i="33"/>
  <c r="C56" i="33"/>
  <c r="B56" i="33"/>
  <c r="K56" i="33"/>
  <c r="L56" i="33"/>
  <c r="E56" i="33"/>
  <c r="I56" i="33"/>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O38" i="33"/>
  <c r="O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V35" i="33"/>
  <c r="V45" i="4" s="1"/>
  <c r="U35" i="33"/>
  <c r="U45" i="4" s="1"/>
  <c r="T35" i="33"/>
  <c r="T45" i="4" s="1"/>
  <c r="S35" i="33"/>
  <c r="S45" i="4" s="1"/>
  <c r="R35" i="33"/>
  <c r="R45" i="4" s="1"/>
  <c r="Q35" i="33"/>
  <c r="Q45" i="4" s="1"/>
  <c r="P35" i="33"/>
  <c r="P45" i="4" s="1"/>
  <c r="F35" i="33"/>
  <c r="F45" i="4" s="1"/>
  <c r="V34" i="33"/>
  <c r="V44" i="4" s="1"/>
  <c r="U34" i="33"/>
  <c r="U44" i="4" s="1"/>
  <c r="T34" i="33"/>
  <c r="T44" i="4" s="1"/>
  <c r="S34" i="33"/>
  <c r="S44" i="4" s="1"/>
  <c r="R34" i="33"/>
  <c r="R44" i="4" s="1"/>
  <c r="Q34" i="33"/>
  <c r="Q44" i="4" s="1"/>
  <c r="P34" i="33"/>
  <c r="P44" i="4" s="1"/>
  <c r="V33" i="33"/>
  <c r="V43" i="4" s="1"/>
  <c r="U33" i="33"/>
  <c r="U43" i="4" s="1"/>
  <c r="T33" i="33"/>
  <c r="T43" i="4" s="1"/>
  <c r="S33" i="33"/>
  <c r="S43" i="4" s="1"/>
  <c r="R33" i="33"/>
  <c r="R43" i="4" s="1"/>
  <c r="Q33" i="33"/>
  <c r="Q43" i="4" s="1"/>
  <c r="P33" i="33"/>
  <c r="P43" i="4" s="1"/>
  <c r="G33" i="33"/>
  <c r="G43" i="4" s="1"/>
  <c r="V32" i="33"/>
  <c r="V42" i="4" s="1"/>
  <c r="U32" i="33"/>
  <c r="U42" i="4" s="1"/>
  <c r="T32" i="33"/>
  <c r="T42" i="4" s="1"/>
  <c r="S32" i="33"/>
  <c r="S42" i="4" s="1"/>
  <c r="R32" i="33"/>
  <c r="R42" i="4" s="1"/>
  <c r="Q32" i="33"/>
  <c r="Q42" i="4" s="1"/>
  <c r="P32" i="33"/>
  <c r="P42" i="4" s="1"/>
  <c r="V31" i="33"/>
  <c r="V41" i="4" s="1"/>
  <c r="U31" i="33"/>
  <c r="U41" i="4" s="1"/>
  <c r="T31" i="33"/>
  <c r="T41" i="4" s="1"/>
  <c r="S31" i="33"/>
  <c r="S41" i="4" s="1"/>
  <c r="R31" i="33"/>
  <c r="R41" i="4" s="1"/>
  <c r="Q31" i="33"/>
  <c r="Q41" i="4" s="1"/>
  <c r="P31" i="33"/>
  <c r="P41" i="4" s="1"/>
  <c r="V30" i="33"/>
  <c r="V40" i="4" s="1"/>
  <c r="U30" i="33"/>
  <c r="U40" i="4" s="1"/>
  <c r="T30" i="33"/>
  <c r="T40" i="4" s="1"/>
  <c r="S30" i="33"/>
  <c r="S40" i="4" s="1"/>
  <c r="R30" i="33"/>
  <c r="R40" i="4" s="1"/>
  <c r="Q30" i="33"/>
  <c r="Q40" i="4" s="1"/>
  <c r="P30" i="33"/>
  <c r="P40" i="4" s="1"/>
  <c r="V29" i="33"/>
  <c r="V39" i="4" s="1"/>
  <c r="U29" i="33"/>
  <c r="U39" i="4" s="1"/>
  <c r="T29" i="33"/>
  <c r="T39" i="4" s="1"/>
  <c r="S29" i="33"/>
  <c r="S39" i="4" s="1"/>
  <c r="R29" i="33"/>
  <c r="R39" i="4" s="1"/>
  <c r="Q29" i="33"/>
  <c r="Q39" i="4" s="1"/>
  <c r="P29" i="33"/>
  <c r="P39" i="4" s="1"/>
  <c r="V28" i="33"/>
  <c r="U28" i="33"/>
  <c r="T28" i="33"/>
  <c r="S28" i="33"/>
  <c r="R28" i="33"/>
  <c r="Q28" i="33"/>
  <c r="P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O35" i="33" s="1"/>
  <c r="O45" i="4" s="1"/>
  <c r="L23" i="33"/>
  <c r="J23" i="33"/>
  <c r="I23" i="33"/>
  <c r="H23" i="33"/>
  <c r="G23" i="33"/>
  <c r="F23" i="33"/>
  <c r="E23" i="33"/>
  <c r="D23" i="33"/>
  <c r="C23" i="33"/>
  <c r="B23" i="33"/>
  <c r="A22" i="33"/>
  <c r="H22" i="33"/>
  <c r="G45" i="33"/>
  <c r="F27" i="33"/>
  <c r="F52" i="33" s="1"/>
  <c r="E45" i="33"/>
  <c r="D22" i="33"/>
  <c r="C45" i="33"/>
  <c r="B45" i="33"/>
  <c r="T56" i="33"/>
  <c r="V56" i="33"/>
  <c r="R56" i="33"/>
  <c r="P56" i="33"/>
  <c r="S56" i="33"/>
  <c r="Q56" i="33"/>
  <c r="U56" i="33"/>
  <c r="F28" i="33" l="1"/>
  <c r="C29" i="33"/>
  <c r="C39" i="4" s="1"/>
  <c r="K30" i="33"/>
  <c r="K40" i="4" s="1"/>
  <c r="C31" i="33"/>
  <c r="C41" i="4" s="1"/>
  <c r="K32" i="33"/>
  <c r="K42" i="4" s="1"/>
  <c r="C33" i="33"/>
  <c r="C43" i="4" s="1"/>
  <c r="K34" i="33"/>
  <c r="K44" i="4" s="1"/>
  <c r="C35" i="33"/>
  <c r="C45" i="4" s="1"/>
  <c r="G29" i="33"/>
  <c r="G39" i="4" s="1"/>
  <c r="G31" i="33"/>
  <c r="G41" i="4" s="1"/>
  <c r="J28" i="33"/>
  <c r="K29" i="33"/>
  <c r="K39" i="4" s="1"/>
  <c r="C30" i="33"/>
  <c r="C40" i="4" s="1"/>
  <c r="C32" i="33"/>
  <c r="C42" i="4" s="1"/>
  <c r="K33" i="33"/>
  <c r="K43" i="4" s="1"/>
  <c r="C34" i="33"/>
  <c r="C44" i="4" s="1"/>
  <c r="G35" i="33"/>
  <c r="G45" i="4" s="1"/>
  <c r="K31" i="33"/>
  <c r="K41" i="4" s="1"/>
  <c r="B28" i="33"/>
  <c r="B38" i="4" s="1"/>
  <c r="G30" i="33"/>
  <c r="G40" i="4" s="1"/>
  <c r="G32" i="33"/>
  <c r="G42" i="4" s="1"/>
  <c r="G34" i="33"/>
  <c r="G44" i="4" s="1"/>
  <c r="K35" i="33"/>
  <c r="K45" i="4" s="1"/>
  <c r="O36" i="33"/>
  <c r="O46" i="4" s="1"/>
  <c r="O37" i="33"/>
  <c r="O47" i="4" s="1"/>
  <c r="O39" i="33"/>
  <c r="O49" i="4" s="1"/>
  <c r="O40" i="33"/>
  <c r="O50" i="4" s="1"/>
  <c r="O41" i="33"/>
  <c r="O51" i="4" s="1"/>
  <c r="O42" i="33"/>
  <c r="O52" i="4" s="1"/>
  <c r="O43" i="33"/>
  <c r="O53" i="4" s="1"/>
  <c r="C28" i="33"/>
  <c r="G28" i="33"/>
  <c r="K28" i="33"/>
  <c r="D29" i="33"/>
  <c r="D39" i="4" s="1"/>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L33" i="33"/>
  <c r="L43" i="4" s="1"/>
  <c r="D34" i="33"/>
  <c r="D44" i="4" s="1"/>
  <c r="H34" i="33"/>
  <c r="H44" i="4" s="1"/>
  <c r="L34" i="33"/>
  <c r="L44" i="4" s="1"/>
  <c r="D35" i="33"/>
  <c r="D45" i="4" s="1"/>
  <c r="H35" i="33"/>
  <c r="H45" i="4" s="1"/>
  <c r="L35" i="33"/>
  <c r="L45" i="4" s="1"/>
  <c r="H28" i="33"/>
  <c r="H38" i="4" s="1"/>
  <c r="O28" i="33"/>
  <c r="B29" i="33"/>
  <c r="B39" i="4" s="1"/>
  <c r="I29" i="33"/>
  <c r="I39" i="4" s="1"/>
  <c r="B30" i="33"/>
  <c r="B40" i="4" s="1"/>
  <c r="I30" i="33"/>
  <c r="I40" i="4" s="1"/>
  <c r="M30" i="33"/>
  <c r="M40" i="4" s="1"/>
  <c r="B31" i="33"/>
  <c r="B41" i="4" s="1"/>
  <c r="E31" i="33"/>
  <c r="E41" i="4" s="1"/>
  <c r="I31" i="33"/>
  <c r="I41" i="4" s="1"/>
  <c r="M31" i="33"/>
  <c r="M41" i="4" s="1"/>
  <c r="B32" i="33"/>
  <c r="B42" i="4" s="1"/>
  <c r="E32" i="33"/>
  <c r="E42" i="4" s="1"/>
  <c r="I32" i="33"/>
  <c r="I42" i="4" s="1"/>
  <c r="M32" i="33"/>
  <c r="M42" i="4" s="1"/>
  <c r="B33" i="33"/>
  <c r="B43" i="4" s="1"/>
  <c r="E33" i="33"/>
  <c r="E43" i="4" s="1"/>
  <c r="I33" i="33"/>
  <c r="I43" i="4" s="1"/>
  <c r="M33" i="33"/>
  <c r="M43" i="4" s="1"/>
  <c r="B34" i="33"/>
  <c r="B44" i="4" s="1"/>
  <c r="E34" i="33"/>
  <c r="E44" i="4" s="1"/>
  <c r="I34" i="33"/>
  <c r="I44" i="4" s="1"/>
  <c r="M34" i="33"/>
  <c r="M44" i="4" s="1"/>
  <c r="B35" i="33"/>
  <c r="B45" i="4" s="1"/>
  <c r="E35" i="33"/>
  <c r="E45" i="4" s="1"/>
  <c r="I35" i="33"/>
  <c r="I45" i="4" s="1"/>
  <c r="M35" i="33"/>
  <c r="M45" i="4" s="1"/>
  <c r="D28" i="33"/>
  <c r="D38" i="4" s="1"/>
  <c r="L28" i="33"/>
  <c r="E29" i="33"/>
  <c r="E39" i="4" s="1"/>
  <c r="M29" i="33"/>
  <c r="M39" i="4" s="1"/>
  <c r="E30" i="33"/>
  <c r="E40" i="4" s="1"/>
  <c r="E28" i="33"/>
  <c r="E38" i="4" s="1"/>
  <c r="I28" i="33"/>
  <c r="I38" i="4" s="1"/>
  <c r="M28" i="33"/>
  <c r="M38" i="4" s="1"/>
  <c r="F29" i="33"/>
  <c r="F39" i="4" s="1"/>
  <c r="J29" i="33"/>
  <c r="J39" i="4" s="1"/>
  <c r="O29" i="33"/>
  <c r="O39" i="4" s="1"/>
  <c r="F30" i="33"/>
  <c r="F40" i="4" s="1"/>
  <c r="J30" i="33"/>
  <c r="J40" i="4" s="1"/>
  <c r="O30" i="33"/>
  <c r="O40" i="4" s="1"/>
  <c r="F31" i="33"/>
  <c r="F41" i="4" s="1"/>
  <c r="J31" i="33"/>
  <c r="J41" i="4" s="1"/>
  <c r="O31" i="33"/>
  <c r="O41" i="4" s="1"/>
  <c r="F32" i="33"/>
  <c r="F42" i="4" s="1"/>
  <c r="J32" i="33"/>
  <c r="J42" i="4" s="1"/>
  <c r="O32" i="33"/>
  <c r="O42" i="4" s="1"/>
  <c r="F33" i="33"/>
  <c r="F43" i="4" s="1"/>
  <c r="J33" i="33"/>
  <c r="J43" i="4" s="1"/>
  <c r="O33" i="33"/>
  <c r="O43" i="4" s="1"/>
  <c r="F34" i="33"/>
  <c r="F44" i="4" s="1"/>
  <c r="J34" i="33"/>
  <c r="J44" i="4" s="1"/>
  <c r="O34" i="33"/>
  <c r="O44" i="4" s="1"/>
  <c r="J35" i="33"/>
  <c r="J45" i="4" s="1"/>
  <c r="U38" i="4"/>
  <c r="R38" i="4"/>
  <c r="V38" i="4"/>
  <c r="B22" i="33"/>
  <c r="E22" i="33"/>
  <c r="I45" i="33"/>
  <c r="I52" i="33"/>
  <c r="I27" i="33"/>
  <c r="C38" i="4"/>
  <c r="C47" i="33"/>
  <c r="C48" i="33" s="1"/>
  <c r="C54" i="33" s="1"/>
  <c r="C46" i="33"/>
  <c r="C53" i="33" s="1"/>
  <c r="G38" i="4"/>
  <c r="G47" i="33"/>
  <c r="G48" i="33" s="1"/>
  <c r="G54" i="33" s="1"/>
  <c r="K47" i="33"/>
  <c r="K48" i="33" s="1"/>
  <c r="K54" i="33" s="1"/>
  <c r="K38" i="4"/>
  <c r="K46" i="33"/>
  <c r="K53" i="33" s="1"/>
  <c r="P46" i="33"/>
  <c r="P53" i="33" s="1"/>
  <c r="P38" i="4"/>
  <c r="P47" i="33"/>
  <c r="P48" i="33" s="1"/>
  <c r="P54" i="33" s="1"/>
  <c r="T38" i="4"/>
  <c r="T46" i="33"/>
  <c r="T53" i="33" s="1"/>
  <c r="T47" i="33"/>
  <c r="T48" i="33" s="1"/>
  <c r="T54" i="33" s="1"/>
  <c r="B27" i="33"/>
  <c r="B52" i="33" s="1"/>
  <c r="L46" i="33"/>
  <c r="L53" i="33" s="1"/>
  <c r="L38" i="4"/>
  <c r="Q47" i="33"/>
  <c r="Q48" i="33" s="1"/>
  <c r="Q54" i="33" s="1"/>
  <c r="Q38" i="4"/>
  <c r="G46" i="33"/>
  <c r="G53" i="33" s="1"/>
  <c r="D27" i="33"/>
  <c r="D52" i="33" s="1"/>
  <c r="I22" i="33"/>
  <c r="E27" i="33"/>
  <c r="E52" i="33" s="1"/>
  <c r="F38" i="4"/>
  <c r="J38" i="4"/>
  <c r="J46" i="33"/>
  <c r="J53" i="33" s="1"/>
  <c r="O38" i="4"/>
  <c r="O46" i="33"/>
  <c r="O53" i="33" s="1"/>
  <c r="O55" i="33" s="1"/>
  <c r="S38" i="4"/>
  <c r="S46" i="33"/>
  <c r="S53" i="33" s="1"/>
  <c r="S47" i="33"/>
  <c r="S48" i="33" s="1"/>
  <c r="S54" i="33" s="1"/>
  <c r="D45" i="33"/>
  <c r="G57" i="33"/>
  <c r="T57" i="33"/>
  <c r="H57" i="33"/>
  <c r="U57" i="33"/>
  <c r="C57" i="33"/>
  <c r="J57" i="33"/>
  <c r="P57" i="33"/>
  <c r="D57" i="33"/>
  <c r="L57" i="33"/>
  <c r="S57" i="33"/>
  <c r="F57" i="33"/>
  <c r="K57" i="33"/>
  <c r="Q57" i="33"/>
  <c r="B57" i="33"/>
  <c r="E57" i="33"/>
  <c r="I57" i="33"/>
  <c r="M57" i="33"/>
  <c r="R57" i="33"/>
  <c r="V57" i="33"/>
  <c r="H47" i="33"/>
  <c r="H48" i="33" s="1"/>
  <c r="H54" i="33" s="1"/>
  <c r="U46" i="33"/>
  <c r="U53" i="33" s="1"/>
  <c r="U47" i="33"/>
  <c r="U48" i="33" s="1"/>
  <c r="U54" i="33" s="1"/>
  <c r="Q46" i="33"/>
  <c r="Q53" i="33" s="1"/>
  <c r="L47" i="33"/>
  <c r="L48" i="33" s="1"/>
  <c r="L54" i="33" s="1"/>
  <c r="F22" i="33"/>
  <c r="E47" i="33"/>
  <c r="E48" i="33" s="1"/>
  <c r="E54" i="33" s="1"/>
  <c r="E46" i="33"/>
  <c r="E53" i="33" s="1"/>
  <c r="I47" i="33"/>
  <c r="I48" i="33" s="1"/>
  <c r="I54" i="33" s="1"/>
  <c r="I46" i="33"/>
  <c r="I53" i="33" s="1"/>
  <c r="M47" i="33"/>
  <c r="M48" i="33" s="1"/>
  <c r="M54" i="33" s="1"/>
  <c r="R47" i="33"/>
  <c r="R48" i="33" s="1"/>
  <c r="R54" i="33" s="1"/>
  <c r="R46" i="33"/>
  <c r="R53" i="33" s="1"/>
  <c r="V47" i="33"/>
  <c r="V48" i="33" s="1"/>
  <c r="V54" i="33" s="1"/>
  <c r="V46" i="33"/>
  <c r="V53" i="33" s="1"/>
  <c r="F45" i="33"/>
  <c r="G22" i="33"/>
  <c r="G27" i="33"/>
  <c r="G52" i="33" s="1"/>
  <c r="C22" i="33"/>
  <c r="C27" i="33"/>
  <c r="C52" i="33" s="1"/>
  <c r="H27" i="33"/>
  <c r="H52" i="33" s="1"/>
  <c r="H45" i="33"/>
  <c r="O56" i="33"/>
  <c r="O57" i="33" l="1"/>
  <c r="Q59" i="33" s="1"/>
  <c r="B46" i="33"/>
  <c r="H46" i="33"/>
  <c r="H53" i="33" s="1"/>
  <c r="O47" i="33"/>
  <c r="O48" i="33" s="1"/>
  <c r="O54" i="33" s="1"/>
  <c r="D47" i="33"/>
  <c r="D48" i="33" s="1"/>
  <c r="D54" i="33" s="1"/>
  <c r="F47" i="33"/>
  <c r="F48" i="33" s="1"/>
  <c r="F54" i="33" s="1"/>
  <c r="B47" i="33"/>
  <c r="B48" i="33" s="1"/>
  <c r="B54" i="33" s="1"/>
  <c r="M46" i="33"/>
  <c r="M53" i="33" s="1"/>
  <c r="U55" i="33"/>
  <c r="D46" i="33"/>
  <c r="D53" i="33" s="1"/>
  <c r="J47" i="33"/>
  <c r="J48" i="33" s="1"/>
  <c r="J54" i="33" s="1"/>
  <c r="F46" i="33"/>
  <c r="F53" i="33" s="1"/>
  <c r="V55" i="33"/>
  <c r="Q55" i="33"/>
  <c r="R55" i="33"/>
  <c r="S55" i="33"/>
  <c r="T55" i="33"/>
  <c r="P55" i="33"/>
  <c r="O59" i="33"/>
  <c r="P59" i="33"/>
  <c r="P61" i="33" s="1"/>
  <c r="Q61" i="33"/>
  <c r="B53" i="33"/>
  <c r="B65" i="33"/>
  <c r="B64" i="33"/>
  <c r="H61" i="33" l="1"/>
  <c r="L61" i="33"/>
  <c r="D61" i="33"/>
  <c r="C61" i="33"/>
  <c r="G61" i="33"/>
  <c r="K61" i="33"/>
  <c r="M61" i="33"/>
  <c r="F61" i="33"/>
  <c r="M55" i="33"/>
  <c r="D55" i="33"/>
  <c r="B55" i="33"/>
  <c r="K55" i="33"/>
  <c r="L55" i="33"/>
  <c r="G55" i="33"/>
  <c r="F55" i="33"/>
  <c r="C55" i="33"/>
  <c r="J55" i="33"/>
  <c r="H55" i="33"/>
  <c r="I55" i="33"/>
  <c r="E55" i="33"/>
  <c r="O61" i="33" l="1"/>
  <c r="E61" i="33"/>
  <c r="I61" i="33"/>
  <c r="J61" i="33"/>
  <c r="M4" i="33"/>
  <c r="L4" i="33" l="1"/>
  <c r="L22" i="33" s="1"/>
  <c r="K4" i="33"/>
  <c r="K22" i="33" s="1"/>
  <c r="J4" i="33"/>
  <c r="J52" i="33" s="1"/>
  <c r="M45" i="33"/>
  <c r="M52" i="33"/>
  <c r="M27" i="33"/>
  <c r="M22" i="33"/>
  <c r="K52" i="33"/>
  <c r="K45" i="33" l="1"/>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28" i="23"/>
  <c r="Q28" i="23"/>
  <c r="R28" i="23"/>
  <c r="S28" i="23"/>
  <c r="S22" i="4" s="1"/>
  <c r="T28" i="23"/>
  <c r="T22" i="4" s="1"/>
  <c r="U28" i="23"/>
  <c r="U22" i="4" s="1"/>
  <c r="V28" i="23"/>
  <c r="P29" i="23"/>
  <c r="Q29" i="23"/>
  <c r="Q23" i="4" s="1"/>
  <c r="R29" i="23"/>
  <c r="R23" i="4" s="1"/>
  <c r="S29" i="23"/>
  <c r="S23" i="4" s="1"/>
  <c r="T29" i="23"/>
  <c r="T23" i="4" s="1"/>
  <c r="U29" i="23"/>
  <c r="U23" i="4" s="1"/>
  <c r="V29" i="23"/>
  <c r="V23" i="4" s="1"/>
  <c r="P30" i="23"/>
  <c r="P24" i="4" s="1"/>
  <c r="Q30" i="23"/>
  <c r="Q24" i="4" s="1"/>
  <c r="R30" i="23"/>
  <c r="R24" i="4" s="1"/>
  <c r="S30" i="23"/>
  <c r="S24" i="4" s="1"/>
  <c r="T30" i="23"/>
  <c r="T24" i="4" s="1"/>
  <c r="U30" i="23"/>
  <c r="U24" i="4" s="1"/>
  <c r="V30" i="23"/>
  <c r="V24" i="4" s="1"/>
  <c r="P31" i="23"/>
  <c r="P25" i="4" s="1"/>
  <c r="Q31" i="23"/>
  <c r="Q25" i="4" s="1"/>
  <c r="R31" i="23"/>
  <c r="R25" i="4" s="1"/>
  <c r="S31" i="23"/>
  <c r="S25" i="4" s="1"/>
  <c r="T31" i="23"/>
  <c r="T25" i="4" s="1"/>
  <c r="U31" i="23"/>
  <c r="U25" i="4" s="1"/>
  <c r="V31" i="23"/>
  <c r="V25" i="4" s="1"/>
  <c r="P32" i="23"/>
  <c r="P26" i="4" s="1"/>
  <c r="Q32" i="23"/>
  <c r="Q26" i="4" s="1"/>
  <c r="R32" i="23"/>
  <c r="R26" i="4" s="1"/>
  <c r="S32" i="23"/>
  <c r="S26" i="4" s="1"/>
  <c r="T32" i="23"/>
  <c r="T26" i="4" s="1"/>
  <c r="U32" i="23"/>
  <c r="U26" i="4" s="1"/>
  <c r="V32" i="23"/>
  <c r="V26" i="4" s="1"/>
  <c r="P33" i="23"/>
  <c r="P27" i="4" s="1"/>
  <c r="Q33" i="23"/>
  <c r="Q27" i="4" s="1"/>
  <c r="R33" i="23"/>
  <c r="R27" i="4" s="1"/>
  <c r="S33" i="23"/>
  <c r="S27" i="4" s="1"/>
  <c r="T33" i="23"/>
  <c r="U33" i="23"/>
  <c r="U27" i="4" s="1"/>
  <c r="V33" i="23"/>
  <c r="V27" i="4" s="1"/>
  <c r="P34" i="23"/>
  <c r="P28" i="4" s="1"/>
  <c r="Q34" i="23"/>
  <c r="Q28" i="4" s="1"/>
  <c r="R34" i="23"/>
  <c r="R28" i="4" s="1"/>
  <c r="S34" i="23"/>
  <c r="S28" i="4" s="1"/>
  <c r="T34" i="23"/>
  <c r="T28" i="4" s="1"/>
  <c r="U34" i="23"/>
  <c r="U28" i="4" s="1"/>
  <c r="V34" i="23"/>
  <c r="V28" i="4" s="1"/>
  <c r="P35" i="23"/>
  <c r="P29" i="4" s="1"/>
  <c r="Q35" i="23"/>
  <c r="Q29" i="4" s="1"/>
  <c r="R35" i="23"/>
  <c r="R29" i="4" s="1"/>
  <c r="S35" i="23"/>
  <c r="S29" i="4" s="1"/>
  <c r="T35" i="23"/>
  <c r="T29" i="4" s="1"/>
  <c r="U35" i="23"/>
  <c r="V35" i="23"/>
  <c r="V29" i="4" s="1"/>
  <c r="P36" i="23"/>
  <c r="P30" i="4" s="1"/>
  <c r="Q36" i="23"/>
  <c r="Q30" i="4" s="1"/>
  <c r="R36" i="23"/>
  <c r="R30" i="4" s="1"/>
  <c r="S36" i="23"/>
  <c r="S30" i="4" s="1"/>
  <c r="T36" i="23"/>
  <c r="T30" i="4" s="1"/>
  <c r="U36" i="23"/>
  <c r="U30" i="4" s="1"/>
  <c r="V36" i="23"/>
  <c r="V30" i="4" s="1"/>
  <c r="P37" i="23"/>
  <c r="P31" i="4" s="1"/>
  <c r="Q37" i="23"/>
  <c r="Q31" i="4" s="1"/>
  <c r="R37" i="23"/>
  <c r="R31" i="4" s="1"/>
  <c r="S37" i="23"/>
  <c r="S31" i="4" s="1"/>
  <c r="T37" i="23"/>
  <c r="T31" i="4" s="1"/>
  <c r="U37" i="23"/>
  <c r="U31" i="4" s="1"/>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U33" i="4" s="1"/>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S36" i="4" s="1"/>
  <c r="T42" i="23"/>
  <c r="T36" i="4" s="1"/>
  <c r="U42" i="23"/>
  <c r="U36" i="4" s="1"/>
  <c r="V42" i="23"/>
  <c r="V36" i="4" s="1"/>
  <c r="P43" i="23"/>
  <c r="Q43" i="23"/>
  <c r="Q37" i="4" s="1"/>
  <c r="R43" i="23"/>
  <c r="S43" i="23"/>
  <c r="T43" i="23"/>
  <c r="U43" i="23"/>
  <c r="U37" i="4" s="1"/>
  <c r="V43" i="23"/>
  <c r="O36" i="23"/>
  <c r="O30" i="4" s="1"/>
  <c r="O42" i="23"/>
  <c r="O36" i="4" s="1"/>
  <c r="M30" i="23"/>
  <c r="M24" i="4" s="1"/>
  <c r="K31" i="23"/>
  <c r="K25" i="4" s="1"/>
  <c r="L34" i="23"/>
  <c r="L28"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28" i="1"/>
  <c r="T28" i="1"/>
  <c r="U28" i="1"/>
  <c r="V28" i="1"/>
  <c r="S29" i="1"/>
  <c r="S7" i="4" s="1"/>
  <c r="T29" i="1"/>
  <c r="T7" i="4" s="1"/>
  <c r="U29" i="1"/>
  <c r="U7" i="4" s="1"/>
  <c r="V29" i="1"/>
  <c r="V7" i="4" s="1"/>
  <c r="S30" i="1"/>
  <c r="S8" i="4" s="1"/>
  <c r="T30" i="1"/>
  <c r="T8" i="4" s="1"/>
  <c r="U30" i="1"/>
  <c r="U8" i="4" s="1"/>
  <c r="V30" i="1"/>
  <c r="V8" i="4" s="1"/>
  <c r="S31" i="1"/>
  <c r="S9" i="4" s="1"/>
  <c r="T31" i="1"/>
  <c r="T9" i="4" s="1"/>
  <c r="U31" i="1"/>
  <c r="U9" i="4" s="1"/>
  <c r="V31" i="1"/>
  <c r="V9" i="4" s="1"/>
  <c r="S32" i="1"/>
  <c r="S10" i="4" s="1"/>
  <c r="T32" i="1"/>
  <c r="T10" i="4" s="1"/>
  <c r="U32" i="1"/>
  <c r="U10" i="4" s="1"/>
  <c r="V32" i="1"/>
  <c r="V10" i="4" s="1"/>
  <c r="S33" i="1"/>
  <c r="S11" i="4" s="1"/>
  <c r="T33" i="1"/>
  <c r="T11" i="4" s="1"/>
  <c r="U33" i="1"/>
  <c r="U11" i="4" s="1"/>
  <c r="V33" i="1"/>
  <c r="V11" i="4" s="1"/>
  <c r="S34" i="1"/>
  <c r="S12" i="4" s="1"/>
  <c r="T34" i="1"/>
  <c r="T12" i="4" s="1"/>
  <c r="U34" i="1"/>
  <c r="U12" i="4" s="1"/>
  <c r="V34" i="1"/>
  <c r="V12" i="4" s="1"/>
  <c r="S35" i="1"/>
  <c r="S13" i="4" s="1"/>
  <c r="T35" i="1"/>
  <c r="T13" i="4" s="1"/>
  <c r="U35" i="1"/>
  <c r="U13" i="4" s="1"/>
  <c r="V35" i="1"/>
  <c r="V13"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F29" i="23"/>
  <c r="F23" i="4" s="1"/>
  <c r="D31" i="23"/>
  <c r="D25" i="4" s="1"/>
  <c r="J29" i="23"/>
  <c r="J23" i="4" s="1"/>
  <c r="J40" i="23"/>
  <c r="J34" i="4" s="1"/>
  <c r="J36" i="23"/>
  <c r="J30" i="4" s="1"/>
  <c r="C35" i="23"/>
  <c r="C29" i="4" s="1"/>
  <c r="H34" i="23"/>
  <c r="H28" i="4" s="1"/>
  <c r="E33" i="23"/>
  <c r="E27" i="4" s="1"/>
  <c r="J32" i="23"/>
  <c r="J26" i="4" s="1"/>
  <c r="F32" i="23"/>
  <c r="F26" i="4" s="1"/>
  <c r="C31" i="23"/>
  <c r="C25" i="4" s="1"/>
  <c r="H30" i="23"/>
  <c r="H24" i="4" s="1"/>
  <c r="D30" i="23"/>
  <c r="D24" i="4" s="1"/>
  <c r="E29" i="23"/>
  <c r="E23" i="4" s="1"/>
  <c r="J28" i="23"/>
  <c r="F28" i="23"/>
  <c r="J42" i="23"/>
  <c r="J36" i="4" s="1"/>
  <c r="J38" i="23"/>
  <c r="J32" i="4" s="1"/>
  <c r="J34" i="23"/>
  <c r="J28" i="4" s="1"/>
  <c r="F34" i="23"/>
  <c r="F28" i="4" s="1"/>
  <c r="C33" i="23"/>
  <c r="C27" i="4" s="1"/>
  <c r="H32" i="23"/>
  <c r="H26" i="4" s="1"/>
  <c r="I31" i="23"/>
  <c r="I25" i="4" s="1"/>
  <c r="E31" i="23"/>
  <c r="E25" i="4" s="1"/>
  <c r="J30" i="23"/>
  <c r="J24" i="4" s="1"/>
  <c r="F30" i="23"/>
  <c r="F24" i="4" s="1"/>
  <c r="C29" i="23"/>
  <c r="C23" i="4" s="1"/>
  <c r="D28" i="23"/>
  <c r="J41" i="23"/>
  <c r="J35" i="4" s="1"/>
  <c r="J37" i="23"/>
  <c r="J31" i="4" s="1"/>
  <c r="H35" i="23"/>
  <c r="H29" i="4" s="1"/>
  <c r="I34" i="23"/>
  <c r="I28" i="4" s="1"/>
  <c r="E34" i="23"/>
  <c r="E28" i="4" s="1"/>
  <c r="C32" i="23"/>
  <c r="C26" i="4" s="1"/>
  <c r="J43" i="23"/>
  <c r="J39" i="23"/>
  <c r="J33" i="4" s="1"/>
  <c r="J35" i="23"/>
  <c r="J29" i="4" s="1"/>
  <c r="F35" i="23"/>
  <c r="F29" i="4" s="1"/>
  <c r="G34" i="23"/>
  <c r="G28" i="4" s="1"/>
  <c r="C34" i="23"/>
  <c r="C28" i="4" s="1"/>
  <c r="H33" i="23"/>
  <c r="H27" i="4" s="1"/>
  <c r="D33" i="23"/>
  <c r="D27" i="4" s="1"/>
  <c r="I32" i="23"/>
  <c r="I26" i="4" s="1"/>
  <c r="E32" i="23"/>
  <c r="E26" i="4" s="1"/>
  <c r="J31" i="23"/>
  <c r="J25" i="4" s="1"/>
  <c r="F31" i="23"/>
  <c r="F25" i="4" s="1"/>
  <c r="G30" i="23"/>
  <c r="G24" i="4" s="1"/>
  <c r="C30" i="23"/>
  <c r="C24" i="4" s="1"/>
  <c r="H29" i="23"/>
  <c r="H23" i="4" s="1"/>
  <c r="D29" i="23"/>
  <c r="D23" i="4" s="1"/>
  <c r="I28" i="23"/>
  <c r="E28" i="23"/>
  <c r="I35" i="23"/>
  <c r="I29" i="4" s="1"/>
  <c r="E35" i="23"/>
  <c r="E29" i="4" s="1"/>
  <c r="G33" i="23"/>
  <c r="G27" i="4" s="1"/>
  <c r="D32" i="23"/>
  <c r="D26" i="4" s="1"/>
  <c r="G29" i="23"/>
  <c r="G23" i="4" s="1"/>
  <c r="H28" i="23"/>
  <c r="D35" i="23"/>
  <c r="D29" i="4" s="1"/>
  <c r="J33" i="23"/>
  <c r="J27" i="4" s="1"/>
  <c r="F33" i="23"/>
  <c r="F27" i="4" s="1"/>
  <c r="G32" i="23"/>
  <c r="G26" i="4" s="1"/>
  <c r="H31" i="23"/>
  <c r="H25" i="4" s="1"/>
  <c r="G28" i="23"/>
  <c r="I30" i="23"/>
  <c r="I24"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R33" i="1"/>
  <c r="R11" i="4" s="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Q31" i="1"/>
  <c r="Q9" i="4" s="1"/>
  <c r="Q34" i="1"/>
  <c r="Q12" i="4" s="1"/>
  <c r="P28" i="1"/>
  <c r="P30" i="1"/>
  <c r="P8" i="4" s="1"/>
  <c r="P33" i="1"/>
  <c r="P11" i="4" s="1"/>
  <c r="P34" i="1"/>
  <c r="P12" i="4" s="1"/>
  <c r="Q28" i="1"/>
  <c r="Q33" i="1"/>
  <c r="Q11" i="4" s="1"/>
  <c r="Q35" i="1"/>
  <c r="Q13" i="4" s="1"/>
  <c r="O38" i="1"/>
  <c r="O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T56" i="23"/>
  <c r="F56" i="23"/>
  <c r="U56" i="1"/>
  <c r="H56" i="23"/>
  <c r="J56" i="23"/>
  <c r="P56" i="23"/>
  <c r="Q56" i="23"/>
  <c r="V56" i="1"/>
  <c r="S56" i="1"/>
  <c r="T56" i="1"/>
  <c r="S56" i="23"/>
  <c r="R56" i="23"/>
  <c r="V56" i="23"/>
  <c r="U56" i="23"/>
  <c r="O9" i="12" l="1"/>
  <c r="O10" i="12" s="1"/>
  <c r="K33" i="23"/>
  <c r="K27" i="4" s="1"/>
  <c r="L29" i="23"/>
  <c r="L23" i="4" s="1"/>
  <c r="O41" i="23"/>
  <c r="O35" i="4" s="1"/>
  <c r="O33" i="23"/>
  <c r="O27" i="4" s="1"/>
  <c r="I29" i="23"/>
  <c r="I23" i="4" s="1"/>
  <c r="G31" i="23"/>
  <c r="G25" i="4" s="1"/>
  <c r="D34" i="23"/>
  <c r="K28" i="23"/>
  <c r="K22" i="4" s="1"/>
  <c r="O40" i="23"/>
  <c r="O34" i="4" s="1"/>
  <c r="M35" i="23"/>
  <c r="M29" i="4" s="1"/>
  <c r="O43" i="23"/>
  <c r="O39" i="23"/>
  <c r="O33" i="4" s="1"/>
  <c r="L35" i="23"/>
  <c r="L29" i="4" s="1"/>
  <c r="K34" i="23"/>
  <c r="K28" i="4" s="1"/>
  <c r="M32" i="23"/>
  <c r="M26" i="4" s="1"/>
  <c r="L30" i="23"/>
  <c r="L24" i="4" s="1"/>
  <c r="K29" i="23"/>
  <c r="O29" i="23"/>
  <c r="O23" i="4" s="1"/>
  <c r="I33" i="23"/>
  <c r="G35" i="23"/>
  <c r="G47" i="23" s="1"/>
  <c r="G48" i="23" s="1"/>
  <c r="G54" i="23" s="1"/>
  <c r="C28" i="23"/>
  <c r="E30" i="23"/>
  <c r="K35" i="23"/>
  <c r="K29" i="4" s="1"/>
  <c r="M33" i="23"/>
  <c r="M27" i="4" s="1"/>
  <c r="L32" i="23"/>
  <c r="L26" i="4" s="1"/>
  <c r="M31" i="23"/>
  <c r="M25" i="4" s="1"/>
  <c r="K30" i="23"/>
  <c r="K24" i="4" s="1"/>
  <c r="M28" i="23"/>
  <c r="M34" i="23"/>
  <c r="M28" i="4" s="1"/>
  <c r="L33" i="23"/>
  <c r="L27" i="4" s="1"/>
  <c r="K32" i="23"/>
  <c r="K26" i="4" s="1"/>
  <c r="L31" i="23"/>
  <c r="L25" i="4" s="1"/>
  <c r="M29" i="23"/>
  <c r="M23" i="4" s="1"/>
  <c r="L28" i="23"/>
  <c r="O35" i="23"/>
  <c r="O29" i="4" s="1"/>
  <c r="O41" i="1"/>
  <c r="O19" i="4" s="1"/>
  <c r="F33" i="1"/>
  <c r="F11" i="4" s="1"/>
  <c r="I33" i="1"/>
  <c r="I11" i="4" s="1"/>
  <c r="H35" i="1"/>
  <c r="H13" i="4" s="1"/>
  <c r="H30" i="1"/>
  <c r="H8" i="4" s="1"/>
  <c r="B33" i="1"/>
  <c r="B11" i="4" s="1"/>
  <c r="C35" i="1"/>
  <c r="C13" i="4" s="1"/>
  <c r="F32" i="1"/>
  <c r="F10" i="4" s="1"/>
  <c r="O40" i="1"/>
  <c r="O18" i="4" s="1"/>
  <c r="O43" i="1"/>
  <c r="F29" i="1"/>
  <c r="F7" i="4" s="1"/>
  <c r="E33" i="1"/>
  <c r="E11" i="4" s="1"/>
  <c r="I34" i="1"/>
  <c r="I12" i="4" s="1"/>
  <c r="H31" i="1"/>
  <c r="G34" i="1"/>
  <c r="G12" i="4" s="1"/>
  <c r="E29" i="1"/>
  <c r="E7" i="4" s="1"/>
  <c r="E30" i="1"/>
  <c r="E8" i="4" s="1"/>
  <c r="O42" i="1"/>
  <c r="O20" i="4" s="1"/>
  <c r="O39" i="1"/>
  <c r="O17" i="4" s="1"/>
  <c r="G35" i="1"/>
  <c r="G13" i="4" s="1"/>
  <c r="I29" i="1"/>
  <c r="H33" i="1"/>
  <c r="H11" i="4" s="1"/>
  <c r="E35" i="1"/>
  <c r="E13" i="4" s="1"/>
  <c r="J32" i="1"/>
  <c r="J10" i="4" s="1"/>
  <c r="J28" i="1"/>
  <c r="M34" i="1"/>
  <c r="M12" i="4" s="1"/>
  <c r="L33" i="1"/>
  <c r="L11" i="4" s="1"/>
  <c r="M32" i="1"/>
  <c r="M10" i="4" s="1"/>
  <c r="M31" i="1"/>
  <c r="M9" i="4" s="1"/>
  <c r="M29" i="1"/>
  <c r="M7" i="4" s="1"/>
  <c r="L28" i="1"/>
  <c r="L47" i="1" s="1"/>
  <c r="L48" i="1" s="1"/>
  <c r="L54" i="1" s="1"/>
  <c r="H32" i="1"/>
  <c r="H10" i="4" s="1"/>
  <c r="F35" i="1"/>
  <c r="F13" i="4" s="1"/>
  <c r="D33" i="1"/>
  <c r="D11" i="4" s="1"/>
  <c r="D35" i="1"/>
  <c r="D13" i="4" s="1"/>
  <c r="H34" i="1"/>
  <c r="H12" i="4" s="1"/>
  <c r="G29" i="1"/>
  <c r="J35" i="1"/>
  <c r="J13" i="4" s="1"/>
  <c r="J31" i="1"/>
  <c r="J9" i="4" s="1"/>
  <c r="M35" i="1"/>
  <c r="M13" i="4" s="1"/>
  <c r="L34" i="1"/>
  <c r="L12" i="4" s="1"/>
  <c r="K33" i="1"/>
  <c r="K11" i="4" s="1"/>
  <c r="L32" i="1"/>
  <c r="L10" i="4" s="1"/>
  <c r="L31" i="1"/>
  <c r="L9" i="4" s="1"/>
  <c r="M30" i="1"/>
  <c r="M8" i="4" s="1"/>
  <c r="L29" i="1"/>
  <c r="L7" i="4" s="1"/>
  <c r="K28" i="1"/>
  <c r="O32" i="1"/>
  <c r="O10" i="4" s="1"/>
  <c r="G30" i="1"/>
  <c r="G8" i="4" s="1"/>
  <c r="F34" i="1"/>
  <c r="F12" i="4" s="1"/>
  <c r="F30" i="1"/>
  <c r="F8" i="4" s="1"/>
  <c r="I30" i="1"/>
  <c r="I8" i="4" s="1"/>
  <c r="E32" i="1"/>
  <c r="E10" i="4" s="1"/>
  <c r="C33" i="1"/>
  <c r="C11" i="4" s="1"/>
  <c r="J34" i="1"/>
  <c r="J12" i="4" s="1"/>
  <c r="J30" i="1"/>
  <c r="J8" i="4" s="1"/>
  <c r="L35" i="1"/>
  <c r="L13" i="4" s="1"/>
  <c r="K34" i="1"/>
  <c r="K12" i="4" s="1"/>
  <c r="K32" i="1"/>
  <c r="K10" i="4" s="1"/>
  <c r="K31" i="1"/>
  <c r="K9" i="4" s="1"/>
  <c r="L30" i="1"/>
  <c r="L8" i="4" s="1"/>
  <c r="K29" i="1"/>
  <c r="K7" i="4" s="1"/>
  <c r="J33" i="1"/>
  <c r="J11" i="4" s="1"/>
  <c r="J29" i="1"/>
  <c r="J7" i="4" s="1"/>
  <c r="K35" i="1"/>
  <c r="K13" i="4" s="1"/>
  <c r="M33" i="1"/>
  <c r="M11" i="4" s="1"/>
  <c r="K30" i="1"/>
  <c r="K8" i="4" s="1"/>
  <c r="M28" i="1"/>
  <c r="M46" i="1" s="1"/>
  <c r="M53" i="1" s="1"/>
  <c r="P6" i="4"/>
  <c r="E22" i="4"/>
  <c r="F22" i="4"/>
  <c r="T6" i="4"/>
  <c r="H22" i="4"/>
  <c r="I22" i="4"/>
  <c r="D22" i="4"/>
  <c r="J22" i="4"/>
  <c r="J6" i="4"/>
  <c r="S6" i="4"/>
  <c r="L22" i="4"/>
  <c r="C22" i="4"/>
  <c r="G22" i="4"/>
  <c r="Q22" i="4"/>
  <c r="Q6" i="4"/>
  <c r="U6" i="4"/>
  <c r="P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R46" i="23"/>
  <c r="R53" i="23" s="1"/>
  <c r="B28" i="23"/>
  <c r="B30" i="23"/>
  <c r="B24" i="4" s="1"/>
  <c r="B34" i="23"/>
  <c r="B28" i="4" s="1"/>
  <c r="B35" i="23"/>
  <c r="O28" i="23"/>
  <c r="B31" i="23"/>
  <c r="B25" i="4" s="1"/>
  <c r="B29" i="23"/>
  <c r="B23" i="4" s="1"/>
  <c r="P46" i="23"/>
  <c r="P53" i="23" s="1"/>
  <c r="Q32" i="1"/>
  <c r="P32" i="1"/>
  <c r="P10" i="4" s="1"/>
  <c r="D4" i="4"/>
  <c r="P23" i="4"/>
  <c r="O29" i="1"/>
  <c r="O7" i="4" s="1"/>
  <c r="B27" i="23"/>
  <c r="B52" i="23" s="1"/>
  <c r="K45" i="23"/>
  <c r="E27" i="23"/>
  <c r="E52" i="23" s="1"/>
  <c r="Q30" i="1"/>
  <c r="Q8" i="4" s="1"/>
  <c r="B29" i="1"/>
  <c r="B7" i="4" s="1"/>
  <c r="P35" i="1"/>
  <c r="P13" i="4" s="1"/>
  <c r="P31" i="1"/>
  <c r="P9" i="4" s="1"/>
  <c r="H22" i="23"/>
  <c r="V47" i="23"/>
  <c r="V48" i="23" s="1"/>
  <c r="V54" i="23" s="1"/>
  <c r="R47" i="23"/>
  <c r="R48" i="23" s="1"/>
  <c r="R54" i="23" s="1"/>
  <c r="D47" i="23"/>
  <c r="D48" i="23" s="1"/>
  <c r="D54" i="23" s="1"/>
  <c r="P37" i="1"/>
  <c r="F22" i="23"/>
  <c r="E46" i="23"/>
  <c r="E53" i="23" s="1"/>
  <c r="O36" i="1"/>
  <c r="Q46" i="23"/>
  <c r="Q53" i="23" s="1"/>
  <c r="H45" i="23"/>
  <c r="H47" i="23"/>
  <c r="H48" i="23" s="1"/>
  <c r="H54" i="23" s="1"/>
  <c r="D46" i="23"/>
  <c r="D53" i="23" s="1"/>
  <c r="Q47" i="23"/>
  <c r="Q48" i="23" s="1"/>
  <c r="Q54" i="23" s="1"/>
  <c r="U46" i="23"/>
  <c r="U53" i="23" s="1"/>
  <c r="T46" i="23"/>
  <c r="T53" i="23" s="1"/>
  <c r="R31" i="1"/>
  <c r="R9" i="4" s="1"/>
  <c r="R22" i="4"/>
  <c r="V22" i="4"/>
  <c r="U29" i="4"/>
  <c r="T47" i="23"/>
  <c r="T48" i="23" s="1"/>
  <c r="T54" i="23" s="1"/>
  <c r="T27" i="4"/>
  <c r="H46" i="23"/>
  <c r="H53" i="23" s="1"/>
  <c r="V57" i="1"/>
  <c r="U57" i="23"/>
  <c r="Q57" i="23"/>
  <c r="J57" i="23"/>
  <c r="H57" i="23"/>
  <c r="U57" i="1"/>
  <c r="T57" i="23"/>
  <c r="P57" i="23"/>
  <c r="F57" i="23"/>
  <c r="T57" i="1"/>
  <c r="S57" i="23"/>
  <c r="S57" i="1"/>
  <c r="V57" i="23"/>
  <c r="R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K46" i="1"/>
  <c r="K53" i="1" s="1"/>
  <c r="B32" i="1"/>
  <c r="D28" i="1"/>
  <c r="C32" i="1"/>
  <c r="J47" i="1"/>
  <c r="J48" i="1" s="1"/>
  <c r="J54" i="1" s="1"/>
  <c r="B28" i="1"/>
  <c r="D32" i="1"/>
  <c r="B30" i="1"/>
  <c r="B8" i="4" s="1"/>
  <c r="C28" i="1"/>
  <c r="D31" i="1"/>
  <c r="D9" i="4" s="1"/>
  <c r="U46" i="1"/>
  <c r="U53" i="1" s="1"/>
  <c r="K47" i="1"/>
  <c r="K48" i="1" s="1"/>
  <c r="K54" i="1" s="1"/>
  <c r="O28" i="1"/>
  <c r="C30" i="1"/>
  <c r="C8" i="4" s="1"/>
  <c r="C31" i="1"/>
  <c r="C9" i="4" s="1"/>
  <c r="D29" i="1"/>
  <c r="D7" i="4" s="1"/>
  <c r="D30" i="1"/>
  <c r="S47" i="1"/>
  <c r="S48" i="1" s="1"/>
  <c r="S54" i="1" s="1"/>
  <c r="T46" i="1"/>
  <c r="T53" i="1" s="1"/>
  <c r="T47" i="1"/>
  <c r="T48" i="1" s="1"/>
  <c r="T54" i="1" s="1"/>
  <c r="S46" i="1"/>
  <c r="S53" i="1" s="1"/>
  <c r="V46" i="1"/>
  <c r="V53" i="1" s="1"/>
  <c r="V6" i="4"/>
  <c r="V47" i="1"/>
  <c r="V48" i="1" s="1"/>
  <c r="V54" i="1" s="1"/>
  <c r="U47" i="1"/>
  <c r="U48" i="1" s="1"/>
  <c r="U54" i="1" s="1"/>
  <c r="G21" i="4"/>
  <c r="I21" i="4"/>
  <c r="F21" i="4"/>
  <c r="H21" i="4"/>
  <c r="E21" i="4"/>
  <c r="L52" i="23"/>
  <c r="D17" i="4"/>
  <c r="H9" i="4"/>
  <c r="J46" i="1"/>
  <c r="J53" i="1" s="1"/>
  <c r="G7" i="4"/>
  <c r="C4" i="4"/>
  <c r="C47" i="23"/>
  <c r="C48" i="23" s="1"/>
  <c r="C54" i="23" s="1"/>
  <c r="J47" i="23"/>
  <c r="J48" i="23" s="1"/>
  <c r="J54" i="23" s="1"/>
  <c r="P47" i="23"/>
  <c r="P48" i="23" s="1"/>
  <c r="P54" i="23" s="1"/>
  <c r="E47" i="23"/>
  <c r="E48" i="23" s="1"/>
  <c r="E54" i="23" s="1"/>
  <c r="I46" i="23"/>
  <c r="I53" i="23" s="1"/>
  <c r="F47" i="23"/>
  <c r="F48" i="23" s="1"/>
  <c r="F54" i="23" s="1"/>
  <c r="U47" i="23"/>
  <c r="U48" i="23" s="1"/>
  <c r="U54" i="23" s="1"/>
  <c r="A47" i="22"/>
  <c r="F46" i="23"/>
  <c r="F53" i="23" s="1"/>
  <c r="J46" i="23"/>
  <c r="J53" i="23" s="1"/>
  <c r="I47" i="23"/>
  <c r="I48" i="23" s="1"/>
  <c r="I54" i="23" s="1"/>
  <c r="C46" i="23"/>
  <c r="C53" i="23" s="1"/>
  <c r="G27" i="23"/>
  <c r="G52" i="23" s="1"/>
  <c r="A50" i="22"/>
  <c r="H50" i="22" s="1"/>
  <c r="K27" i="23"/>
  <c r="L22" i="1"/>
  <c r="I7" i="4"/>
  <c r="D27" i="1"/>
  <c r="D52" i="1" s="1"/>
  <c r="D45" i="1"/>
  <c r="D22" i="23"/>
  <c r="D45" i="23"/>
  <c r="D27" i="23"/>
  <c r="D52" i="23" s="1"/>
  <c r="S46" i="23"/>
  <c r="S53" i="23" s="1"/>
  <c r="S47" i="23"/>
  <c r="S48" i="23" s="1"/>
  <c r="S54" i="23" s="1"/>
  <c r="V46" i="23"/>
  <c r="V53"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L56" i="23"/>
  <c r="U78" i="4"/>
  <c r="I56" i="23"/>
  <c r="V78" i="4"/>
  <c r="E56" i="1"/>
  <c r="T78" i="4"/>
  <c r="K56" i="1"/>
  <c r="B56" i="1"/>
  <c r="H56" i="1"/>
  <c r="P56" i="1"/>
  <c r="L56" i="1"/>
  <c r="J78" i="4"/>
  <c r="B56" i="23"/>
  <c r="O56" i="23"/>
  <c r="M56" i="1"/>
  <c r="I56" i="1"/>
  <c r="G56" i="23"/>
  <c r="O56" i="1"/>
  <c r="D56" i="23"/>
  <c r="J56" i="1"/>
  <c r="K56" i="23"/>
  <c r="C56" i="23"/>
  <c r="F56" i="1"/>
  <c r="M56" i="23"/>
  <c r="E56" i="23"/>
  <c r="D56" i="1"/>
  <c r="S78" i="4"/>
  <c r="Q56" i="1"/>
  <c r="G56" i="1"/>
  <c r="R56" i="1"/>
  <c r="C56" i="1"/>
  <c r="D57" i="23" l="1"/>
  <c r="K46" i="23"/>
  <c r="K53" i="23" s="1"/>
  <c r="D28" i="4"/>
  <c r="K47" i="23"/>
  <c r="K48" i="23" s="1"/>
  <c r="K54" i="23" s="1"/>
  <c r="M57" i="23"/>
  <c r="I57" i="23"/>
  <c r="L57" i="23"/>
  <c r="E57" i="23"/>
  <c r="G57" i="23"/>
  <c r="C57" i="23"/>
  <c r="K57" i="23"/>
  <c r="L46" i="23"/>
  <c r="L53" i="23" s="1"/>
  <c r="I27" i="4"/>
  <c r="L47" i="23"/>
  <c r="L48" i="23" s="1"/>
  <c r="L54" i="23" s="1"/>
  <c r="M47" i="23"/>
  <c r="M48" i="23" s="1"/>
  <c r="M54" i="23" s="1"/>
  <c r="E24" i="4"/>
  <c r="G29" i="4"/>
  <c r="G46" i="23"/>
  <c r="G53" i="23" s="1"/>
  <c r="M46" i="23"/>
  <c r="M53" i="23" s="1"/>
  <c r="M22" i="4"/>
  <c r="K23" i="4"/>
  <c r="F46" i="1"/>
  <c r="F53" i="1" s="1"/>
  <c r="L46" i="1"/>
  <c r="L53" i="1" s="1"/>
  <c r="M47" i="1"/>
  <c r="M48" i="1" s="1"/>
  <c r="M54" i="1" s="1"/>
  <c r="M6" i="4"/>
  <c r="L6" i="4"/>
  <c r="L63" i="4" s="1"/>
  <c r="L64" i="4" s="1"/>
  <c r="K57" i="1"/>
  <c r="L57" i="1"/>
  <c r="J57" i="1"/>
  <c r="M57" i="1"/>
  <c r="K6" i="4"/>
  <c r="K56" i="4" s="1"/>
  <c r="K75" i="4" s="1"/>
  <c r="S63" i="4"/>
  <c r="S64" i="4" s="1"/>
  <c r="P47" i="1"/>
  <c r="P48" i="1" s="1"/>
  <c r="P54" i="1" s="1"/>
  <c r="D6" i="4"/>
  <c r="R6" i="4"/>
  <c r="C6" i="4"/>
  <c r="B22" i="4"/>
  <c r="I6" i="4"/>
  <c r="P7" i="4"/>
  <c r="E6" i="4"/>
  <c r="H6" i="4"/>
  <c r="F6" i="4"/>
  <c r="O6" i="4"/>
  <c r="B6" i="4"/>
  <c r="G6" i="4"/>
  <c r="Q7" i="4"/>
  <c r="U63" i="4"/>
  <c r="U64" i="4" s="1"/>
  <c r="J63" i="4"/>
  <c r="J64" i="4" s="1"/>
  <c r="V63" i="4"/>
  <c r="V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T57" i="4"/>
  <c r="T58" i="4" s="1"/>
  <c r="T76" i="4" s="1"/>
  <c r="H57" i="1"/>
  <c r="G57" i="1"/>
  <c r="F57" i="1"/>
  <c r="I57" i="1"/>
  <c r="E57" i="1"/>
  <c r="H7" i="4"/>
  <c r="G46" i="1"/>
  <c r="G53" i="1" s="1"/>
  <c r="H46" i="1"/>
  <c r="H53" i="1" s="1"/>
  <c r="H47" i="1"/>
  <c r="H48" i="1" s="1"/>
  <c r="H54" i="1" s="1"/>
  <c r="G11" i="4"/>
  <c r="F9" i="4"/>
  <c r="I13" i="4"/>
  <c r="E12" i="4"/>
  <c r="I55" i="4"/>
  <c r="I62" i="4"/>
  <c r="V57" i="4"/>
  <c r="V58" i="4" s="1"/>
  <c r="V76" i="4" s="1"/>
  <c r="V56" i="4"/>
  <c r="V75" i="4" s="1"/>
  <c r="U57" i="4"/>
  <c r="U58" i="4" s="1"/>
  <c r="U76" i="4" s="1"/>
  <c r="S56" i="4"/>
  <c r="S75" i="4" s="1"/>
  <c r="J56" i="4"/>
  <c r="J75" i="4" s="1"/>
  <c r="O55" i="4"/>
  <c r="O62" i="4"/>
  <c r="F55" i="4"/>
  <c r="F62" i="4"/>
  <c r="M55" i="4"/>
  <c r="M62" i="4"/>
  <c r="J55" i="4"/>
  <c r="J62" i="4"/>
  <c r="J57" i="4"/>
  <c r="J58" i="4" s="1"/>
  <c r="J76" i="4" s="1"/>
  <c r="P55" i="4"/>
  <c r="P62" i="4"/>
  <c r="G55" i="4"/>
  <c r="G62" i="4"/>
  <c r="H74" i="4"/>
  <c r="H62" i="4"/>
  <c r="U22" i="33"/>
  <c r="U45" i="33"/>
  <c r="U27" i="33"/>
  <c r="U52" i="33" s="1"/>
  <c r="R45" i="33"/>
  <c r="R27" i="33"/>
  <c r="R52" i="33" s="1"/>
  <c r="R22" i="33"/>
  <c r="U56" i="4"/>
  <c r="U75" i="4" s="1"/>
  <c r="T56" i="4"/>
  <c r="T75" i="4" s="1"/>
  <c r="C74" i="4"/>
  <c r="C62" i="4"/>
  <c r="D55" i="4"/>
  <c r="D62" i="4"/>
  <c r="S27" i="33"/>
  <c r="S52" i="33" s="1"/>
  <c r="S22" i="33"/>
  <c r="S45" i="33"/>
  <c r="A36" i="22"/>
  <c r="H36" i="22" s="1"/>
  <c r="V4" i="33"/>
  <c r="S57" i="4"/>
  <c r="S58" i="4" s="1"/>
  <c r="S76" i="4" s="1"/>
  <c r="Q55" i="4"/>
  <c r="V4" i="1"/>
  <c r="V45" i="1" s="1"/>
  <c r="O32" i="4"/>
  <c r="Q10" i="4"/>
  <c r="B32" i="4"/>
  <c r="H55" i="4"/>
  <c r="R10" i="4"/>
  <c r="R63" i="4" s="1"/>
  <c r="R64" i="4" s="1"/>
  <c r="O14" i="4"/>
  <c r="P15" i="4"/>
  <c r="V4" i="23"/>
  <c r="V45" i="23" s="1"/>
  <c r="B10" i="4"/>
  <c r="A32" i="22"/>
  <c r="H32" i="22" s="1"/>
  <c r="D13" i="28"/>
  <c r="D9" i="28"/>
  <c r="D5" i="28"/>
  <c r="D14" i="28"/>
  <c r="D10" i="28"/>
  <c r="D6" i="28"/>
  <c r="D15" i="28"/>
  <c r="D11" i="28"/>
  <c r="D7" i="28"/>
  <c r="D3" i="28"/>
  <c r="D12" i="28"/>
  <c r="D8" i="28"/>
  <c r="D4" i="28"/>
  <c r="V79" i="4"/>
  <c r="J79" i="4"/>
  <c r="U79" i="4"/>
  <c r="T79" i="4"/>
  <c r="S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P78" i="4"/>
  <c r="L78" i="4"/>
  <c r="H78" i="4"/>
  <c r="Q78" i="4"/>
  <c r="O78" i="4"/>
  <c r="D78" i="4"/>
  <c r="C78" i="4"/>
  <c r="G78" i="4"/>
  <c r="I78" i="4"/>
  <c r="B78" i="4"/>
  <c r="E78" i="4"/>
  <c r="R78" i="4"/>
  <c r="M78" i="4"/>
  <c r="F78" i="4"/>
  <c r="K78" i="4"/>
  <c r="C63" i="4" l="1"/>
  <c r="C64" i="4" s="1"/>
  <c r="H56" i="4"/>
  <c r="H75" i="4" s="1"/>
  <c r="L56" i="4"/>
  <c r="L75" i="4" s="1"/>
  <c r="L57" i="4"/>
  <c r="L58" i="4" s="1"/>
  <c r="L76" i="4" s="1"/>
  <c r="H4" i="12" s="1"/>
  <c r="M56" i="4"/>
  <c r="M75" i="4" s="1"/>
  <c r="C55" i="23"/>
  <c r="F55" i="23"/>
  <c r="M79" i="4"/>
  <c r="L79" i="4"/>
  <c r="M63" i="4"/>
  <c r="M64" i="4" s="1"/>
  <c r="K57" i="4"/>
  <c r="K58" i="4" s="1"/>
  <c r="K76" i="4" s="1"/>
  <c r="G4" i="12" s="1"/>
  <c r="M57" i="4"/>
  <c r="M58" i="4" s="1"/>
  <c r="M76" i="4" s="1"/>
  <c r="I4" i="12" s="1"/>
  <c r="K63" i="4"/>
  <c r="K64" i="4" s="1"/>
  <c r="G55" i="1"/>
  <c r="K79" i="4"/>
  <c r="I57" i="4"/>
  <c r="I58" i="4" s="1"/>
  <c r="I76" i="4" s="1"/>
  <c r="I63" i="4"/>
  <c r="I64" i="4" s="1"/>
  <c r="F63" i="4"/>
  <c r="F64" i="4" s="1"/>
  <c r="V4" i="4"/>
  <c r="V55" i="4" s="1"/>
  <c r="P55" i="23"/>
  <c r="V55" i="23"/>
  <c r="S55" i="23"/>
  <c r="U55" i="23"/>
  <c r="T55" i="1"/>
  <c r="Q55" i="23"/>
  <c r="V55" i="1"/>
  <c r="R55" i="1"/>
  <c r="P55" i="1"/>
  <c r="R55" i="23"/>
  <c r="T55" i="23"/>
  <c r="U55" i="1"/>
  <c r="Q55" i="1"/>
  <c r="S55" i="1"/>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F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AH2" i="12"/>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AA2" i="12"/>
  <c r="V74" i="4"/>
  <c r="Z2" i="12" s="1"/>
  <c r="V62" i="4"/>
  <c r="P56" i="4"/>
  <c r="R57" i="4"/>
  <c r="R58" i="4" s="1"/>
  <c r="R76" i="4" s="1"/>
  <c r="Q57" i="4"/>
  <c r="Q58" i="4" s="1"/>
  <c r="Q76" i="4" s="1"/>
  <c r="Q79" i="4"/>
  <c r="P79" i="4"/>
  <c r="R79" i="4"/>
  <c r="R80" i="4" s="1"/>
  <c r="U4" i="4"/>
  <c r="F2" i="27"/>
  <c r="F4" i="27" s="1"/>
  <c r="O2" i="12"/>
  <c r="O4" i="12" s="1"/>
  <c r="U27" i="1"/>
  <c r="U52" i="1" s="1"/>
  <c r="C79" i="4"/>
  <c r="D79" i="4"/>
  <c r="K15" i="28"/>
  <c r="K13" i="28"/>
  <c r="K11" i="28"/>
  <c r="K9" i="28"/>
  <c r="L14" i="28"/>
  <c r="L12" i="28"/>
  <c r="L10" i="28"/>
  <c r="L8" i="28"/>
  <c r="L15" i="28"/>
  <c r="L13" i="28"/>
  <c r="L11" i="28"/>
  <c r="L9" i="28"/>
  <c r="K14" i="28"/>
  <c r="K12" i="28"/>
  <c r="K10" i="28"/>
  <c r="K8" i="28"/>
  <c r="L55" i="23"/>
  <c r="D55" i="23"/>
  <c r="H55" i="23"/>
  <c r="K55" i="23"/>
  <c r="J55" i="23"/>
  <c r="M55" i="23"/>
  <c r="G55" i="23"/>
  <c r="E55" i="23"/>
  <c r="I55" i="23"/>
  <c r="O79" i="4"/>
  <c r="B79" i="4"/>
  <c r="B64" i="23"/>
  <c r="Q59" i="23"/>
  <c r="P59" i="23"/>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O59" i="23"/>
  <c r="C55" i="1"/>
  <c r="H55" i="1"/>
  <c r="F55" i="1"/>
  <c r="I55" i="1"/>
  <c r="L55" i="1"/>
  <c r="J55" i="1"/>
  <c r="D55" i="1"/>
  <c r="K55" i="1"/>
  <c r="E55" i="1"/>
  <c r="H3" i="12"/>
  <c r="O59" i="1"/>
  <c r="M55" i="1"/>
  <c r="P59" i="1"/>
  <c r="Q59" i="1"/>
  <c r="B65" i="1"/>
  <c r="B64" i="1"/>
  <c r="B55" i="1"/>
  <c r="G3" i="12"/>
  <c r="T27" i="23"/>
  <c r="T52" i="23" s="1"/>
  <c r="T45" i="23"/>
  <c r="T22" i="23"/>
  <c r="F3" i="12"/>
  <c r="J3" i="12"/>
  <c r="I3" i="12"/>
  <c r="T27" i="1"/>
  <c r="T52" i="1" s="1"/>
  <c r="T45" i="1"/>
  <c r="T4" i="4"/>
  <c r="T62" i="4" s="1"/>
  <c r="T22" i="1"/>
  <c r="J80" i="4" l="1"/>
  <c r="B80" i="4"/>
  <c r="P75" i="4"/>
  <c r="B5" i="27" s="1"/>
  <c r="O81" i="4"/>
  <c r="AE2" i="12"/>
  <c r="U74" i="4"/>
  <c r="Y2" i="12" s="1"/>
  <c r="U62" i="4"/>
  <c r="B5" i="12"/>
  <c r="B6" i="12"/>
  <c r="B6" i="27"/>
  <c r="R61" i="23"/>
  <c r="U55" i="4"/>
  <c r="F3" i="27"/>
  <c r="V77" i="4"/>
  <c r="U77" i="4"/>
  <c r="O77" i="4"/>
  <c r="S77" i="4"/>
  <c r="Q77" i="4"/>
  <c r="R77" i="4"/>
  <c r="P81" i="4"/>
  <c r="Q81" i="4"/>
  <c r="B86" i="4"/>
  <c r="B87" i="4"/>
  <c r="B75"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B4" i="12" s="1"/>
  <c r="AF2" i="12"/>
  <c r="T55" i="4"/>
  <c r="T74" i="4"/>
  <c r="P77" i="4" l="1"/>
  <c r="AD4" i="12"/>
  <c r="AE4" i="12"/>
  <c r="Z4" i="12"/>
  <c r="W4" i="12"/>
  <c r="AG4" i="12"/>
  <c r="AC4" i="12"/>
  <c r="AH4" i="12"/>
  <c r="AF4" i="12"/>
  <c r="Y4" i="12"/>
  <c r="AA4" i="12"/>
  <c r="I81" i="4"/>
  <c r="F3" i="28" s="1"/>
  <c r="F81" i="4"/>
  <c r="G81" i="4"/>
  <c r="D81" i="4"/>
  <c r="E81" i="4"/>
  <c r="C81" i="4"/>
  <c r="K77" i="4"/>
  <c r="E5" i="28" s="1"/>
  <c r="J77" i="4"/>
  <c r="E4" i="28" s="1"/>
  <c r="G77" i="4"/>
  <c r="F77" i="4"/>
  <c r="L77" i="4"/>
  <c r="E6" i="28" s="1"/>
  <c r="B77" i="4"/>
  <c r="B2" i="27"/>
  <c r="G6" i="27" s="1"/>
  <c r="M77" i="4"/>
  <c r="I77" i="4"/>
  <c r="E3" i="28" s="1"/>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H9" i="27" s="1"/>
  <c r="H10" i="27" s="1"/>
  <c r="J8" i="27"/>
  <c r="J9" i="27" s="1"/>
  <c r="J10" i="27" s="1"/>
  <c r="I8" i="27"/>
  <c r="I9" i="27" s="1"/>
  <c r="I10" i="27" s="1"/>
  <c r="L83" i="4"/>
  <c r="V83" i="4"/>
  <c r="T83" i="4"/>
  <c r="M83" i="4"/>
  <c r="P83" i="4"/>
  <c r="U83" i="4"/>
  <c r="S5" i="12"/>
  <c r="Q83" i="4"/>
  <c r="K83" i="4"/>
  <c r="J83" i="4"/>
  <c r="R83" i="4"/>
  <c r="S83" i="4"/>
  <c r="O83" i="4"/>
  <c r="O61" i="23"/>
  <c r="AG3" i="12"/>
  <c r="AD3" i="12"/>
  <c r="AE3" i="12"/>
  <c r="AC3" i="12"/>
  <c r="W3" i="12"/>
  <c r="Y3" i="12"/>
  <c r="I2" i="27"/>
  <c r="I4" i="27" s="1"/>
  <c r="V2" i="12"/>
  <c r="V4" i="12" s="1"/>
  <c r="J2" i="28"/>
  <c r="K3" i="12"/>
  <c r="F2" i="28"/>
  <c r="J3" i="28"/>
  <c r="Z3" i="12"/>
  <c r="AA3" i="12"/>
  <c r="AH3" i="12"/>
  <c r="I3" i="28"/>
  <c r="I2"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F4" i="28"/>
  <c r="J11" i="28"/>
  <c r="I6" i="28"/>
  <c r="J9" i="28"/>
  <c r="I8" i="28"/>
  <c r="F14" i="28"/>
  <c r="E7" i="28"/>
  <c r="F12" i="28"/>
  <c r="J6" i="28"/>
  <c r="J7" i="28"/>
  <c r="E12" i="28"/>
  <c r="I10" i="28"/>
  <c r="I13" i="28"/>
  <c r="E15" i="28"/>
  <c r="E11" i="28"/>
  <c r="F11" i="28"/>
  <c r="F6" i="28"/>
  <c r="J14" i="28"/>
  <c r="I15" i="28"/>
  <c r="I9" i="28"/>
  <c r="J5" i="28"/>
  <c r="J8" i="28"/>
  <c r="F10" i="28"/>
  <c r="I5" i="28"/>
  <c r="I4" i="28"/>
  <c r="I7" i="28"/>
  <c r="E13" i="28"/>
  <c r="E9" i="28"/>
  <c r="J10" i="28"/>
  <c r="I14" i="28"/>
  <c r="J4" i="28"/>
  <c r="J12" i="28"/>
  <c r="I12" i="28"/>
  <c r="F7" i="28"/>
  <c r="J15" i="28"/>
  <c r="AI2" i="12"/>
  <c r="AI4" i="12" s="1"/>
  <c r="X2" i="12"/>
  <c r="X4" i="12" s="1"/>
  <c r="P5" i="12" l="1"/>
  <c r="R5" i="12"/>
  <c r="Q5" i="12"/>
  <c r="I83" i="4"/>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K7" i="22" s="1"/>
  <c r="F19" i="22"/>
  <c r="G19" i="22" s="1"/>
  <c r="F23" i="22"/>
  <c r="G23" i="22" s="1"/>
  <c r="N5" i="12"/>
  <c r="M5" i="12"/>
  <c r="I5" i="12"/>
  <c r="F20" i="22"/>
  <c r="I20" i="22" s="1"/>
  <c r="F9" i="22"/>
  <c r="G9" i="22" s="1"/>
  <c r="F12" i="22"/>
  <c r="G12" i="22" s="1"/>
  <c r="F16" i="22"/>
  <c r="G16" i="22" s="1"/>
  <c r="F22" i="22"/>
  <c r="I22" i="22" s="1"/>
  <c r="J5" i="12"/>
  <c r="F15" i="22"/>
  <c r="I15" i="22" s="1"/>
  <c r="L5" i="12"/>
  <c r="F21" i="22"/>
  <c r="G21" i="22" s="1"/>
  <c r="F5" i="12"/>
  <c r="F24" i="22"/>
  <c r="I24" i="22" s="1"/>
  <c r="F10" i="22"/>
  <c r="K10" i="22" s="1"/>
  <c r="F11" i="22"/>
  <c r="I11" i="22" s="1"/>
  <c r="F13" i="22"/>
  <c r="I13" i="22" s="1"/>
  <c r="F14" i="22"/>
  <c r="K14" i="22" s="1"/>
  <c r="M14" i="22" s="1"/>
  <c r="F18" i="22"/>
  <c r="G18" i="22" s="1"/>
  <c r="F8" i="22"/>
  <c r="G8" i="22" s="1"/>
  <c r="F5" i="27"/>
  <c r="F25" i="22"/>
  <c r="I25" i="22" s="1"/>
  <c r="G5" i="12"/>
  <c r="H5" i="12"/>
  <c r="F17" i="22"/>
  <c r="K17" i="22" s="1"/>
  <c r="M17" i="22" s="1"/>
  <c r="K5" i="12"/>
  <c r="G51" i="22"/>
  <c r="J51" i="22" s="1"/>
  <c r="I51" i="22"/>
  <c r="M51" i="22" s="1"/>
  <c r="K51" i="22"/>
  <c r="N51" i="22" s="1"/>
  <c r="G44" i="22"/>
  <c r="J44" i="22" s="1"/>
  <c r="I44" i="22"/>
  <c r="M44" i="22" s="1"/>
  <c r="K44" i="22"/>
  <c r="N44" i="22" s="1"/>
  <c r="G38" i="22"/>
  <c r="J38" i="22" s="1"/>
  <c r="I38" i="22"/>
  <c r="M38" i="22" s="1"/>
  <c r="K38" i="22"/>
  <c r="N38" i="22" s="1"/>
  <c r="G33" i="22"/>
  <c r="J33" i="22" s="1"/>
  <c r="I33" i="22"/>
  <c r="K33" i="22"/>
  <c r="G46" i="22"/>
  <c r="J46" i="22" s="1"/>
  <c r="I46" i="22"/>
  <c r="M46" i="22" s="1"/>
  <c r="K46" i="22"/>
  <c r="N46" i="22" s="1"/>
  <c r="G37" i="22"/>
  <c r="J37" i="22" s="1"/>
  <c r="I37" i="22"/>
  <c r="M37" i="22" s="1"/>
  <c r="K37" i="22"/>
  <c r="N37" i="22" s="1"/>
  <c r="G40" i="22"/>
  <c r="J40" i="22" s="1"/>
  <c r="I40" i="22"/>
  <c r="M40" i="22" s="1"/>
  <c r="K40" i="22"/>
  <c r="N40" i="22" s="1"/>
  <c r="K26" i="22"/>
  <c r="M26" i="22" s="1"/>
  <c r="G41" i="22"/>
  <c r="J41" i="22" s="1"/>
  <c r="I41" i="22"/>
  <c r="M41" i="22" s="1"/>
  <c r="K41" i="22"/>
  <c r="N41" i="22" s="1"/>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15" i="22"/>
  <c r="I12" i="22"/>
  <c r="K12" i="22"/>
  <c r="M12" i="22" s="1"/>
  <c r="G39" i="22"/>
  <c r="J39" i="22" s="1"/>
  <c r="I39" i="22"/>
  <c r="M39" i="22" s="1"/>
  <c r="K39" i="22"/>
  <c r="N39" i="22" s="1"/>
  <c r="G32" i="22"/>
  <c r="J32" i="22" s="1"/>
  <c r="I32" i="22"/>
  <c r="K32" i="22"/>
  <c r="L3" i="28" s="1"/>
  <c r="G45" i="22"/>
  <c r="J45" i="22" s="1"/>
  <c r="I45" i="22"/>
  <c r="M45" i="22" s="1"/>
  <c r="K45" i="22"/>
  <c r="N45" i="22" s="1"/>
  <c r="G36" i="22"/>
  <c r="J36" i="22" s="1"/>
  <c r="G48" i="22"/>
  <c r="J48" i="22" s="1"/>
  <c r="I48" i="22"/>
  <c r="M48" i="22" s="1"/>
  <c r="K48" i="22"/>
  <c r="N48" i="22" s="1"/>
  <c r="G43" i="22"/>
  <c r="J43" i="22" s="1"/>
  <c r="I43" i="22"/>
  <c r="M43" i="22" s="1"/>
  <c r="K43" i="22"/>
  <c r="N43" i="22" s="1"/>
  <c r="G25" i="22" l="1"/>
  <c r="K24" i="22"/>
  <c r="M24" i="22" s="1"/>
  <c r="I7" i="22"/>
  <c r="G3" i="28" s="1"/>
  <c r="G24" i="22"/>
  <c r="G7" i="22"/>
  <c r="K15" i="22"/>
  <c r="M15" i="22" s="1"/>
  <c r="G14" i="22"/>
  <c r="K25" i="22"/>
  <c r="M25" i="22" s="1"/>
  <c r="I14" i="22"/>
  <c r="G11" i="22"/>
  <c r="I34" i="22"/>
  <c r="K34" i="22" s="1"/>
  <c r="N34" i="22" s="1"/>
  <c r="I36" i="22"/>
  <c r="K36" i="22" s="1"/>
  <c r="N36" i="22" s="1"/>
  <c r="M32" i="22"/>
  <c r="I35" i="22"/>
  <c r="K35" i="22" s="1"/>
  <c r="L6" i="28" s="1"/>
  <c r="G13" i="22"/>
  <c r="I9" i="22"/>
  <c r="G5" i="28" s="1"/>
  <c r="M35" i="22"/>
  <c r="L7" i="28"/>
  <c r="N33" i="22"/>
  <c r="L4" i="28"/>
  <c r="M33" i="22"/>
  <c r="K4" i="28"/>
  <c r="K19" i="22"/>
  <c r="M19" i="22" s="1"/>
  <c r="I10" i="22"/>
  <c r="G6" i="28" s="1"/>
  <c r="K16" i="22"/>
  <c r="M16" i="22" s="1"/>
  <c r="I19" i="22"/>
  <c r="K18" i="22"/>
  <c r="M18" i="22" s="1"/>
  <c r="G10" i="22"/>
  <c r="I18" i="22"/>
  <c r="G22" i="22"/>
  <c r="K21" i="22"/>
  <c r="M21" i="22" s="1"/>
  <c r="I17" i="22"/>
  <c r="I26" i="22"/>
  <c r="G17" i="22"/>
  <c r="K13" i="22"/>
  <c r="M13" i="22" s="1"/>
  <c r="K9" i="22"/>
  <c r="M9" i="22" s="1"/>
  <c r="M10" i="22"/>
  <c r="N10" i="22"/>
  <c r="I16" i="22"/>
  <c r="G20" i="22"/>
  <c r="K23" i="22"/>
  <c r="M23" i="22" s="1"/>
  <c r="I21" i="22"/>
  <c r="K22" i="22"/>
  <c r="M22" i="22" s="1"/>
  <c r="I8" i="22"/>
  <c r="K8" i="22" s="1"/>
  <c r="I23" i="22"/>
  <c r="K20" i="22"/>
  <c r="M20" i="22" s="1"/>
  <c r="K11" i="22"/>
  <c r="M11" i="22" s="1"/>
  <c r="M7" i="22"/>
  <c r="H3" i="28"/>
  <c r="N15" i="22"/>
  <c r="N12" i="22"/>
  <c r="N7" i="22"/>
  <c r="N24" i="22"/>
  <c r="N25" i="22"/>
  <c r="N17" i="22"/>
  <c r="N26" i="22"/>
  <c r="N14" i="22"/>
  <c r="L2" i="28"/>
  <c r="N32" i="22"/>
  <c r="K3" i="28"/>
  <c r="K2" i="28"/>
  <c r="G2" i="28"/>
  <c r="G13" i="28"/>
  <c r="G14" i="28"/>
  <c r="G8" i="28"/>
  <c r="G11" i="28"/>
  <c r="G12" i="28"/>
  <c r="G9" i="28"/>
  <c r="G15" i="28"/>
  <c r="G7" i="28"/>
  <c r="G10" i="28"/>
  <c r="H6" i="28"/>
  <c r="H15" i="28"/>
  <c r="H12" i="28"/>
  <c r="H9" i="28"/>
  <c r="H14" i="28"/>
  <c r="H10" i="28"/>
  <c r="H13" i="28"/>
  <c r="H11" i="28"/>
  <c r="H8" i="28"/>
  <c r="H2" i="28"/>
  <c r="N35" i="22" l="1"/>
  <c r="M34" i="22"/>
  <c r="K7" i="28"/>
  <c r="M36" i="22"/>
  <c r="N19" i="22"/>
  <c r="L5" i="28"/>
  <c r="K5" i="28"/>
  <c r="N13" i="22"/>
  <c r="K6" i="28"/>
  <c r="G4" i="28"/>
  <c r="M8" i="22"/>
  <c r="H4" i="28"/>
  <c r="H5" i="28"/>
  <c r="H7" i="28"/>
  <c r="N16" i="22"/>
  <c r="N20" i="22"/>
  <c r="N21" i="22"/>
  <c r="N18" i="22"/>
  <c r="N8" i="22"/>
  <c r="N11" i="22"/>
  <c r="N9" i="22"/>
  <c r="N23" i="22"/>
  <c r="N2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<sst xmlns="http://schemas.openxmlformats.org/spreadsheetml/2006/main" count="7967" uniqueCount="4116">
  <si>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</si>
  <si>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</si>
  <si>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</si>
  <si>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</si>
  <si>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</si>
  <si>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</si>
  <si>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</si>
  <si>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</si>
  <si>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</si>
  <si>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</si>
  <si>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</si>
  <si>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</si>
  <si>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</si>
  <si>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</si>
  <si>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</si>
  <si>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</si>
  <si>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</si>
  <si>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</si>
  <si>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</si>
  <si>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</si>
  <si>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</si>
  <si>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</si>
  <si>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</si>
  <si>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</si>
  <si>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</si>
  <si>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</si>
  <si>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</si>
  <si>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</si>
  <si>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</si>
  <si>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</si>
  <si>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</si>
  <si>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</si>
  <si>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</si>
  <si>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</si>
  <si>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</si>
  <si>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</si>
  <si>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</si>
  <si>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</si>
  <si>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</si>
  <si>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</si>
  <si>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</si>
  <si>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</si>
  <si>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</si>
  <si>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</si>
  <si>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</si>
  <si>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</si>
  <si>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</si>
  <si>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</si>
  <si>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</si>
  <si>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</si>
  <si>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</si>
  <si>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</si>
  <si>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</si>
  <si>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</si>
  <si>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</si>
  <si>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</si>
  <si>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</si>
  <si>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</si>
  <si>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</si>
  <si>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</si>
  <si>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</si>
  <si>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</si>
  <si>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</si>
  <si>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</si>
  <si>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</si>
  <si>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</si>
  <si>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</si>
  <si>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</si>
  <si>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</si>
  <si>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</si>
  <si>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</si>
  <si>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</si>
  <si>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</si>
  <si>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</si>
  <si>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</si>
  <si>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</si>
  <si>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</si>
  <si>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</si>
  <si>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</si>
  <si>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</si>
  <si>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</si>
  <si>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</si>
  <si>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</si>
  <si>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</si>
  <si>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</si>
  <si>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</si>
  <si>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</si>
  <si>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</si>
  <si>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</si>
  <si>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</si>
  <si>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</si>
  <si>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</si>
  <si>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</si>
  <si>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</si>
  <si>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</si>
  <si>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</si>
  <si>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</si>
  <si>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</si>
  <si>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</si>
  <si>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</si>
  <si>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</si>
  <si>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</si>
  <si>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</si>
  <si>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</si>
  <si>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</si>
  <si>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</si>
  <si>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</si>
  <si>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</si>
  <si>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</si>
  <si>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</si>
  <si>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</si>
  <si>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</si>
  <si>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</si>
  <si>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</si>
  <si>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</si>
  <si>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</si>
  <si>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</si>
  <si>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</si>
  <si>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</si>
  <si>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</si>
  <si>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</si>
  <si>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</si>
  <si>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</si>
  <si>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</si>
  <si>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</si>
  <si>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</si>
  <si>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</si>
  <si>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</si>
  <si>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</si>
  <si>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</si>
  <si>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</si>
  <si>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</si>
  <si>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</si>
  <si>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</si>
  <si>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</si>
  <si>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</si>
  <si>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</si>
  <si>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</si>
  <si>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</si>
  <si>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</si>
  <si>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</si>
  <si>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</si>
  <si>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</si>
  <si>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</si>
  <si>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</si>
  <si>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</si>
  <si>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</si>
  <si>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</si>
  <si>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</si>
  <si>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</si>
  <si>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</si>
  <si>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</si>
  <si>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</si>
  <si>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</si>
  <si>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</si>
  <si>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</si>
  <si>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</si>
  <si>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</si>
  <si>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</si>
  <si>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</si>
  <si>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</si>
  <si>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</si>
  <si>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</si>
  <si>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</si>
  <si>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</si>
  <si>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Fadrozole 0,016µg/L</t>
  </si>
  <si>
    <t>Fadrozole 0,08µg/L</t>
  </si>
  <si>
    <t>Fadrozole 0,4µg/L</t>
  </si>
  <si>
    <t>Fadrozole 2µg/L</t>
  </si>
  <si>
    <t>Fadrozole 10µg/L</t>
  </si>
  <si>
    <t>Fadrozole</t>
  </si>
  <si>
    <t xml:space="preserve"> µg/L</t>
  </si>
  <si>
    <t xml:space="preserve">F:\images\20210318\plaque 1/@01 Evian + 0.2% DMSO/A1_01.tif </t>
  </si>
  <si>
    <t xml:space="preserve"> 1968.3204 </t>
  </si>
  <si>
    <t xml:space="preserve"> 64.3516 </t>
  </si>
  <si>
    <t xml:space="preserve">F:\images\20210318\plaque 1/@01 Evian + 0.2% DMSO/A1_02.tif </t>
  </si>
  <si>
    <t xml:space="preserve"> 1989.9503 </t>
  </si>
  <si>
    <t xml:space="preserve"> 65.3261 </t>
  </si>
  <si>
    <t xml:space="preserve">F:\images\20210318\plaque 1/@01 Evian + 0.2% DMSO/A1_03.tif </t>
  </si>
  <si>
    <t xml:space="preserve"> 1795.2813 </t>
  </si>
  <si>
    <t xml:space="preserve"> 65.6386 </t>
  </si>
  <si>
    <t xml:space="preserve">F:\images\20210318\plaque 1/@01 Evian + 0.2% DMSO/B1_01.tif </t>
  </si>
  <si>
    <t xml:space="preserve"> 3352.6337 </t>
  </si>
  <si>
    <t xml:space="preserve"> 67.7161 </t>
  </si>
  <si>
    <t xml:space="preserve">F:\images\20210318\plaque 1/@01 Evian + 0.2% DMSO/B1_02.tif </t>
  </si>
  <si>
    <t xml:space="preserve"> 4282.7191 </t>
  </si>
  <si>
    <t xml:space="preserve"> 68.7576 </t>
  </si>
  <si>
    <t xml:space="preserve">F:\images\20210318\plaque 1/@01 Evian + 0.2% DMSO/B1_03.tif </t>
  </si>
  <si>
    <t xml:space="preserve"> 2184.6194 </t>
  </si>
  <si>
    <t xml:space="preserve"> 65.2277 </t>
  </si>
  <si>
    <t xml:space="preserve">F:\images\20210318\plaque 1/@01 Evian + 0.2% DMSO/C1_01.tif </t>
  </si>
  <si>
    <t xml:space="preserve"> 713.7865 </t>
  </si>
  <si>
    <t xml:space="preserve"> 63.3939 </t>
  </si>
  <si>
    <t xml:space="preserve">F:\images\20210318\plaque 1/@01 Evian + 0.2% DMSO/C1_02.tif </t>
  </si>
  <si>
    <t xml:space="preserve"> 692.1566 </t>
  </si>
  <si>
    <t xml:space="preserve"> 62.9688 </t>
  </si>
  <si>
    <t xml:space="preserve">F:\images\20210318\plaque 1/@01 Evian + 0.2% DMSO/C1_03.tif </t>
  </si>
  <si>
    <t xml:space="preserve"> 1103.1246 </t>
  </si>
  <si>
    <t xml:space="preserve"> 63.4118 </t>
  </si>
  <si>
    <t xml:space="preserve">F:\images\20210318\plaque 1/@01 Evian + 0.2% DMSO/D1_01.tif </t>
  </si>
  <si>
    <t xml:space="preserve"> 2336.0286 </t>
  </si>
  <si>
    <t xml:space="preserve"> 64.5926 </t>
  </si>
  <si>
    <t xml:space="preserve">F:\images\20210318\plaque 1/@01 Evian + 0.2% DMSO/D1_02.tif </t>
  </si>
  <si>
    <t xml:space="preserve"> 8219.36 </t>
  </si>
  <si>
    <t xml:space="preserve"> 65.2105 </t>
  </si>
  <si>
    <t xml:space="preserve">F:\images\20210318\plaque 1/@01 Evian + 0.2% DMSO/D1_03.tif </t>
  </si>
  <si>
    <t xml:space="preserve"> 7635.3528 </t>
  </si>
  <si>
    <t xml:space="preserve"> 68.6261 </t>
  </si>
  <si>
    <t xml:space="preserve">F:\images\20210318\plaque 1/@01 Evian + 0.2% DMSO/E1_01.tif </t>
  </si>
  <si>
    <t xml:space="preserve"> 6748.5271 </t>
  </si>
  <si>
    <t xml:space="preserve"> 71.4968 </t>
  </si>
  <si>
    <t xml:space="preserve">F:\images\20210318\plaque 1/@01 Evian + 0.2% DMSO/E1_02.tif </t>
  </si>
  <si>
    <t xml:space="preserve"> 64.5152 </t>
  </si>
  <si>
    <t xml:space="preserve">F:\images\20210318\plaque 1/@01 Evian + 0.2% DMSO/E1_03.tif </t>
  </si>
  <si>
    <t xml:space="preserve"> 4239.4593 </t>
  </si>
  <si>
    <t xml:space="preserve"> 72.4388 </t>
  </si>
  <si>
    <t xml:space="preserve">F:\images\20210318\plaque 1/@01 Evian + 0.2% DMSO/F1_01.tif </t>
  </si>
  <si>
    <t xml:space="preserve"> 757.0463 </t>
  </si>
  <si>
    <t xml:space="preserve"> 63.3714 </t>
  </si>
  <si>
    <t xml:space="preserve">F:\images\20210318\plaque 1/@01 Evian + 0.2% DMSO/F1_02.tif </t>
  </si>
  <si>
    <t xml:space="preserve"> 194.6691 </t>
  </si>
  <si>
    <t xml:space="preserve"> 63.5556 </t>
  </si>
  <si>
    <t xml:space="preserve">F:\images\20210318\plaque 1/@01 Evian + 0.2% DMSO/F1_03.tif </t>
  </si>
  <si>
    <t xml:space="preserve"> 367.7082 </t>
  </si>
  <si>
    <t xml:space="preserve"> 63.1765 </t>
  </si>
  <si>
    <t xml:space="preserve">F:\images\20210318\plaque 1/@01 Evian + 0.2% DMSO/G1_01.tif </t>
  </si>
  <si>
    <t xml:space="preserve"> 2119.7297 </t>
  </si>
  <si>
    <t xml:space="preserve"> 65.3469 </t>
  </si>
  <si>
    <t xml:space="preserve">F:\images\20210318\plaque 1/@01 Evian + 0.2% DMSO/G1_02.tif </t>
  </si>
  <si>
    <t xml:space="preserve"> 173.0392 </t>
  </si>
  <si>
    <t xml:space="preserve"> 63.375 </t>
  </si>
  <si>
    <t xml:space="preserve">F:\images\20210318\plaque 1/@01 Evian + 0.2% DMSO/G1_03.tif </t>
  </si>
  <si>
    <t xml:space="preserve"> 4585.5377 </t>
  </si>
  <si>
    <t xml:space="preserve"> 70.3113 </t>
  </si>
  <si>
    <t xml:space="preserve">F:\images\20210318\plaque 1/@01 Evian + 0.2% DMSO/H1_01.tif </t>
  </si>
  <si>
    <t xml:space="preserve"> 7246.0147 </t>
  </si>
  <si>
    <t xml:space="preserve"> 72.8687 </t>
  </si>
  <si>
    <t xml:space="preserve">F:\images\20210318\plaque 1/@01 Evian + 0.2% DMSO/H1_02.tif </t>
  </si>
  <si>
    <t xml:space="preserve"> 5969.8509 </t>
  </si>
  <si>
    <t xml:space="preserve"> 71.6594 </t>
  </si>
  <si>
    <t xml:space="preserve">F:\images\20210318\plaque 1/@01 Evian + 0.2% DMSO/H1_03.tif </t>
  </si>
  <si>
    <t xml:space="preserve"> 540.7474 </t>
  </si>
  <si>
    <t xml:space="preserve"> 62.12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</si>
  <si>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</si>
  <si>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</si>
  <si>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</si>
  <si>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</si>
  <si>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</si>
  <si>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</si>
  <si>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</si>
  <si>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F:\images\20210318\plaque 1/@01 Evian + 0.2% DMSO/ </t>
  </si>
  <si>
    <t xml:space="preserve"> 66.2274 </t>
  </si>
  <si>
    <t xml:space="preserve"> 3.364 </t>
  </si>
  <si>
    <t xml:space="preserve"> 199527.625 </t>
  </si>
  <si>
    <t xml:space="preserve"> 181992.296 </t>
  </si>
  <si>
    <t xml:space="preserve">file name </t>
  </si>
  <si>
    <t xml:space="preserve">F:\images\20210318\plaque 1/@02 EE2 33.8/A2_01.tif </t>
  </si>
  <si>
    <t xml:space="preserve"> 108.1495 </t>
  </si>
  <si>
    <t xml:space="preserve"> 66.4 </t>
  </si>
  <si>
    <t xml:space="preserve">F:\images\20210318\plaque 1/@02 EE2 33.8/A2_02.tif </t>
  </si>
  <si>
    <t xml:space="preserve"> 432.5979 </t>
  </si>
  <si>
    <t xml:space="preserve"> 62.4 </t>
  </si>
  <si>
    <t xml:space="preserve">F:\images\20210318\plaque 1/@02 EE2 33.8/A2_03.tif </t>
  </si>
  <si>
    <t xml:space="preserve"> 389.3381 </t>
  </si>
  <si>
    <t xml:space="preserve"> 62.1111 </t>
  </si>
  <si>
    <t xml:space="preserve">F:\images\20210318\plaque 1/@02 EE2 33.8/B2_01.tif </t>
  </si>
  <si>
    <t xml:space="preserve"> 865.1958 </t>
  </si>
  <si>
    <t xml:space="preserve"> 64.15 </t>
  </si>
  <si>
    <t xml:space="preserve">F:\images\20210318\plaque 1/@02 EE2 33.8/B2_02.tif </t>
  </si>
  <si>
    <t xml:space="preserve"> 346.0783 </t>
  </si>
  <si>
    <t xml:space="preserve"> 64.25 </t>
  </si>
  <si>
    <t xml:space="preserve">F:\images\20210318\plaque 1/@02 EE2 33.8/B2_03.tif </t>
  </si>
  <si>
    <t xml:space="preserve"> 3244.4842 </t>
  </si>
  <si>
    <t xml:space="preserve"> 68.2467 </t>
  </si>
  <si>
    <t xml:space="preserve">F:\images\20210318\plaque 1/@02 EE2 33.8/C2_01.tif </t>
  </si>
  <si>
    <t xml:space="preserve"> 843.5659 </t>
  </si>
  <si>
    <t xml:space="preserve">F:\images\20210318\plaque 1/@02 EE2 33.8/C2_02.tif </t>
  </si>
  <si>
    <t xml:space="preserve"> 1124.7545 </t>
  </si>
  <si>
    <t xml:space="preserve"> 62.5769 </t>
  </si>
  <si>
    <t>F:\images\20210318\plaque 1/@02 EE2 33.8/C2_03- exclu.tif</t>
  </si>
  <si>
    <t xml:space="preserve">F:\images\20210318\plaque 1/@02 EE2 33.8/D2_01.tif </t>
  </si>
  <si>
    <t xml:space="preserve"> 1665.5019 </t>
  </si>
  <si>
    <t xml:space="preserve"> 63.8052 </t>
  </si>
  <si>
    <t xml:space="preserve">F:\images\20210318\plaque 1/@02 EE2 33.8/D2_02.tif </t>
  </si>
  <si>
    <t xml:space="preserve"> 62.65 </t>
  </si>
  <si>
    <t xml:space="preserve">F:\images\20210318\plaque 1/@02 EE2 33.8/D2_03.tif </t>
  </si>
  <si>
    <t xml:space="preserve"> 64.902 </t>
  </si>
  <si>
    <t xml:space="preserve">F:\images\20210318\plaque 1/@02 EE2 33.8/E2_01.tif </t>
  </si>
  <si>
    <t xml:space="preserve"> 216.2989 </t>
  </si>
  <si>
    <t xml:space="preserve">F:\images\20210318\plaque 1/@02 EE2 33.8/E2_02.tif </t>
  </si>
  <si>
    <t xml:space="preserve"> 67.7 </t>
  </si>
  <si>
    <t xml:space="preserve">F:\images\20210318\plaque 1/@02 EE2 33.8/E2_03.tif </t>
  </si>
  <si>
    <t xml:space="preserve"> 151.4093 </t>
  </si>
  <si>
    <t xml:space="preserve"> 61.5714 </t>
  </si>
  <si>
    <t xml:space="preserve">F:\images\20210318\plaque 1/@02 EE2 33.8/F2_01.tif </t>
  </si>
  <si>
    <t xml:space="preserve"> 3179.5945 </t>
  </si>
  <si>
    <t xml:space="preserve"> 68.1293 </t>
  </si>
  <si>
    <t xml:space="preserve">F:\images\20210318\plaque 1/@02 EE2 33.8/F2_02.tif </t>
  </si>
  <si>
    <t xml:space="preserve"> 1449.2029 </t>
  </si>
  <si>
    <t xml:space="preserve"> 64.0896 </t>
  </si>
  <si>
    <t xml:space="preserve">F:\images\20210318\plaque 1/@02 EE2 33.8/F2_03.tif </t>
  </si>
  <si>
    <t xml:space="preserve"> 1752.0215 </t>
  </si>
  <si>
    <t xml:space="preserve"> 64.0741 </t>
  </si>
  <si>
    <t xml:space="preserve">F:\images\20210318\plaque 1/@02 EE2 33.8/G2_01.tif </t>
  </si>
  <si>
    <t xml:space="preserve"> 4131.3099 </t>
  </si>
  <si>
    <t xml:space="preserve">F:\images\20210318\plaque 1/@02 EE2 33.8/G2_02.tif </t>
  </si>
  <si>
    <t xml:space="preserve"> 6337.5591 </t>
  </si>
  <si>
    <t xml:space="preserve"> 67.785 </t>
  </si>
  <si>
    <t xml:space="preserve">F:\images\20210318\plaque 1/@02 EE2 33.8/G2_03.tif </t>
  </si>
  <si>
    <t xml:space="preserve"> 2617.2173 </t>
  </si>
  <si>
    <t xml:space="preserve"> 65.1983 </t>
  </si>
  <si>
    <t xml:space="preserve">F:\images\20210318\plaque 1/@02 EE2 33.8/H2_01.tif </t>
  </si>
  <si>
    <t xml:space="preserve"> 3460.7831 </t>
  </si>
  <si>
    <t xml:space="preserve"> 64.425 </t>
  </si>
  <si>
    <t xml:space="preserve">F:\images\20210318\plaque 1/@02 EE2 33.8/H2_02.tif </t>
  </si>
  <si>
    <t xml:space="preserve"> 2011.5802 </t>
  </si>
  <si>
    <t xml:space="preserve"> 68.3656 </t>
  </si>
  <si>
    <t xml:space="preserve">F:\images\20210318\plaque 1/@02 EE2 33.8/H2_03.tif </t>
  </si>
  <si>
    <t xml:space="preserve"> 4499.0181 </t>
  </si>
  <si>
    <t xml:space="preserve"> 69.7212 </t>
  </si>
  <si>
    <t xml:space="preserve">F:\images\20210318\plaque 1/@02 EE2 33.8/ </t>
  </si>
  <si>
    <t xml:space="preserve"> 65.0762 </t>
  </si>
  <si>
    <t xml:space="preserve"> 2.4479 </t>
  </si>
  <si>
    <t xml:space="preserve"> 113762.333 </t>
  </si>
  <si>
    <t xml:space="preserve"> 114127.395 </t>
  </si>
  <si>
    <t xml:space="preserve">F:\images\20210318\plaque 1/@03 EE2 50.6/A3_01.tif </t>
  </si>
  <si>
    <t xml:space="preserve"> 3482.413 </t>
  </si>
  <si>
    <t xml:space="preserve"> 64.1863 </t>
  </si>
  <si>
    <t xml:space="preserve">F:\images\20210318\plaque 1/@03 EE2 50.6/A3_02.tif </t>
  </si>
  <si>
    <t xml:space="preserve"> 821.936 </t>
  </si>
  <si>
    <t xml:space="preserve"> 64.0263 </t>
  </si>
  <si>
    <t xml:space="preserve">F:\images\20210318\plaque 1/@03 EE2 50.6/A3_03.tif </t>
  </si>
  <si>
    <t xml:space="preserve"> 627.2669 </t>
  </si>
  <si>
    <t xml:space="preserve"> 63.8276 </t>
  </si>
  <si>
    <t xml:space="preserve">F:\images\20210318\plaque 1/@03 EE2 50.6/B3_01.tif </t>
  </si>
  <si>
    <t xml:space="preserve"> 908.4556 </t>
  </si>
  <si>
    <t xml:space="preserve"> 62.4286 </t>
  </si>
  <si>
    <t xml:space="preserve">F:\images\20210318\plaque 1/@03 EE2 50.6/B3_02.tif </t>
  </si>
  <si>
    <t xml:space="preserve"> 670.5267 </t>
  </si>
  <si>
    <t xml:space="preserve"> 63.7419 </t>
  </si>
  <si>
    <t xml:space="preserve">F:\images\20210318\plaque 1/@03 EE2 50.6/B3_03.tif </t>
  </si>
  <si>
    <t xml:space="preserve"> 497.4876 </t>
  </si>
  <si>
    <t xml:space="preserve"> 62.913 </t>
  </si>
  <si>
    <t xml:space="preserve">F:\images\20210318\plaque 1/@03 EE2 50.6/C3_01.tif </t>
  </si>
  <si>
    <t xml:space="preserve"> 2638.8471 </t>
  </si>
  <si>
    <t xml:space="preserve"> 67.8033 </t>
  </si>
  <si>
    <t xml:space="preserve">F:\images\20210318\plaque 1/@03 EE2 50.6/C3_02.tif </t>
  </si>
  <si>
    <t xml:space="preserve"> 4325.9789 </t>
  </si>
  <si>
    <t xml:space="preserve"> 68.61 </t>
  </si>
  <si>
    <t xml:space="preserve">F:\images\20210318\plaque 1/@03 EE2 50.6/C3_03.tif </t>
  </si>
  <si>
    <t xml:space="preserve"> 4088.0501 </t>
  </si>
  <si>
    <t xml:space="preserve"> 69.7619 </t>
  </si>
  <si>
    <t xml:space="preserve">F:\images\20210318\plaque 1/@03 EE2 50.6/D3_01.tif </t>
  </si>
  <si>
    <t xml:space="preserve"> 973.3453 </t>
  </si>
  <si>
    <t xml:space="preserve"> 62.9778 </t>
  </si>
  <si>
    <t xml:space="preserve">F:\images\20210318\plaque 1/@03 EE2 50.6/D3_02.tif </t>
  </si>
  <si>
    <t xml:space="preserve"> 63.2069 </t>
  </si>
  <si>
    <t xml:space="preserve">F:\images\20210318\plaque 1/@03 EE2 50.6/D3_03.tif </t>
  </si>
  <si>
    <t xml:space="preserve"> 648.8968 </t>
  </si>
  <si>
    <t xml:space="preserve"> 62.8 </t>
  </si>
  <si>
    <t xml:space="preserve">F:\images\20210318\plaque 1/@03 EE2 50.6/E3_01.tif </t>
  </si>
  <si>
    <t xml:space="preserve"> 475.8577 </t>
  </si>
  <si>
    <t xml:space="preserve"> 63.1364 </t>
  </si>
  <si>
    <t xml:space="preserve">F:\images\20210318\plaque 1/@03 EE2 50.6/E3_02.tif </t>
  </si>
  <si>
    <t xml:space="preserve"> 62.4444 </t>
  </si>
  <si>
    <t xml:space="preserve">F:\images\20210318\plaque 1/@03 EE2 50.6/E3_03.tif </t>
  </si>
  <si>
    <t xml:space="preserve"> 1925.0606 </t>
  </si>
  <si>
    <t xml:space="preserve"> 64.2697 </t>
  </si>
  <si>
    <t xml:space="preserve">F:\images\20210318\plaque 1/@03 EE2 50.6/F3_01.tif </t>
  </si>
  <si>
    <t xml:space="preserve"> 3785.2316 </t>
  </si>
  <si>
    <t xml:space="preserve"> 63.9657 </t>
  </si>
  <si>
    <t xml:space="preserve">F:\images\20210318\plaque 1/@03 EE2 50.6/F3_02.tif </t>
  </si>
  <si>
    <t xml:space="preserve"> 6510.5983 </t>
  </si>
  <si>
    <t xml:space="preserve"> 71.1196 </t>
  </si>
  <si>
    <t xml:space="preserve">F:\images\20210318\plaque 1/@03 EE2 50.6/F3_03.tif </t>
  </si>
  <si>
    <t xml:space="preserve"> 5429.1036 </t>
  </si>
  <si>
    <t xml:space="preserve"> 68.4024 </t>
  </si>
  <si>
    <t xml:space="preserve">F:\images\20210318\plaque 1/@03 EE2 50.6/G3_01.tif </t>
  </si>
  <si>
    <t xml:space="preserve"> 3763.6017 </t>
  </si>
  <si>
    <t xml:space="preserve"> 65.931 </t>
  </si>
  <si>
    <t xml:space="preserve">F:\images\20210318\plaque 1/@03 EE2 50.6/G3_02.tif </t>
  </si>
  <si>
    <t xml:space="preserve"> 4152.9398 </t>
  </si>
  <si>
    <t xml:space="preserve"> 67.7188 </t>
  </si>
  <si>
    <t xml:space="preserve">F:\images\20210318\plaque 1/@03 EE2 50.6/G3_03.tif </t>
  </si>
  <si>
    <t xml:space="preserve"> 68.7644 </t>
  </si>
  <si>
    <t xml:space="preserve">F:\images\20210318\plaque 1/@03 EE2 50.6/H3_01.tif </t>
  </si>
  <si>
    <t xml:space="preserve"> 61.9375 </t>
  </si>
  <si>
    <t xml:space="preserve">F:\images\20210318\plaque 1/@03 EE2 50.6/H3_02.tif </t>
  </si>
  <si>
    <t xml:space="preserve"> 1081.4947 </t>
  </si>
  <si>
    <t xml:space="preserve"> 62.72 </t>
  </si>
  <si>
    <t xml:space="preserve">F:\images\20210318\plaque 1/@03 EE2 50.6/H3_03.tif </t>
  </si>
  <si>
    <t xml:space="preserve"> 63.119 </t>
  </si>
  <si>
    <t xml:space="preserve">F:\images\20210318\plaque 1/@03 EE2 50.6/ </t>
  </si>
  <si>
    <t xml:space="preserve"> 64.9922 </t>
  </si>
  <si>
    <t xml:space="preserve"> 2.738 </t>
  </si>
  <si>
    <t xml:space="preserve"> 149402.167 </t>
  </si>
  <si>
    <t xml:space="preserve"> 130536.383 </t>
  </si>
  <si>
    <t xml:space="preserve">F:\images\20210318\plaque 1/@04 EE2 76/A4_01.tif </t>
  </si>
  <si>
    <t xml:space="preserve"> 63.4388 </t>
  </si>
  <si>
    <t xml:space="preserve">F:\images\20210318\plaque 1/@04 EE2 76/A4_02.tif </t>
  </si>
  <si>
    <t xml:space="preserve"> 69.3061 </t>
  </si>
  <si>
    <t xml:space="preserve">F:\images\20210318\plaque 1/@04 EE2 76/A4_03.tif </t>
  </si>
  <si>
    <t xml:space="preserve"> 1557.3524 </t>
  </si>
  <si>
    <t xml:space="preserve"> 63.0417 </t>
  </si>
  <si>
    <t xml:space="preserve">F:\images\20210318\plaque 1/@04 EE2 76/B4_01.tif </t>
  </si>
  <si>
    <t xml:space="preserve"> 302.8185 </t>
  </si>
  <si>
    <t xml:space="preserve"> 64.8571 </t>
  </si>
  <si>
    <t>F:\images\20210318\plaque 1/@04 EE2 76/B4_02- exclu.tif</t>
  </si>
  <si>
    <t xml:space="preserve">F:\images\20210318\plaque 1/@04 EE2 76/B4_03.tif </t>
  </si>
  <si>
    <t xml:space="preserve"> 259.5587 </t>
  </si>
  <si>
    <t xml:space="preserve"> 63.5 </t>
  </si>
  <si>
    <t xml:space="preserve">F:\images\20210318\plaque 1/@04 EE2 76/C4_01.tif </t>
  </si>
  <si>
    <t xml:space="preserve"> 2855.1461 </t>
  </si>
  <si>
    <t xml:space="preserve"> 65.6136 </t>
  </si>
  <si>
    <t xml:space="preserve">F:\images\20210318\plaque 1/@04 EE2 76/C4_02.tif </t>
  </si>
  <si>
    <t xml:space="preserve"> 63.3333 </t>
  </si>
  <si>
    <t xml:space="preserve">F:\images\20210318\plaque 1/@04 EE2 76/C4_03.tif </t>
  </si>
  <si>
    <t xml:space="preserve"> 1059.8648 </t>
  </si>
  <si>
    <t xml:space="preserve"> 63.4898 </t>
  </si>
  <si>
    <t xml:space="preserve">F:\images\20210318\plaque 1/@04 EE2 76/D4_01.tif </t>
  </si>
  <si>
    <t xml:space="preserve"> 1687.1318 </t>
  </si>
  <si>
    <t xml:space="preserve"> 63.3077 </t>
  </si>
  <si>
    <t xml:space="preserve">F:\images\20210318\plaque 1/@04 EE2 76/D4_02.tif </t>
  </si>
  <si>
    <t xml:space="preserve"> 1276.1638 </t>
  </si>
  <si>
    <t xml:space="preserve"> 63.6271 </t>
  </si>
  <si>
    <t xml:space="preserve">F:\images\20210318\plaque 1/@04 EE2 76/D4_03.tif </t>
  </si>
  <si>
    <t xml:space="preserve"> 2141.3596 </t>
  </si>
  <si>
    <t xml:space="preserve"> 63.1414 </t>
  </si>
  <si>
    <t xml:space="preserve">F:\images\20210318\plaque 1/@04 EE2 76/E4_01.tif </t>
  </si>
  <si>
    <t xml:space="preserve"> 2660.477 </t>
  </si>
  <si>
    <t xml:space="preserve"> 64.4309 </t>
  </si>
  <si>
    <t xml:space="preserve">F:\images\20210318\plaque 1/@04 EE2 76/E4_02.tif </t>
  </si>
  <si>
    <t xml:space="preserve"> 4001.5305 </t>
  </si>
  <si>
    <t xml:space="preserve"> 69.2486 </t>
  </si>
  <si>
    <t xml:space="preserve">F:\images\20210318\plaque 1/@04 EE2 76/E4_03.tif </t>
  </si>
  <si>
    <t xml:space="preserve"> 2379.2884 </t>
  </si>
  <si>
    <t xml:space="preserve"> 67.4545 </t>
  </si>
  <si>
    <t xml:space="preserve">F:\images\20210318\plaque 1/@04 EE2 76/F4_01.tif </t>
  </si>
  <si>
    <t xml:space="preserve"> 8760.1073 </t>
  </si>
  <si>
    <t xml:space="preserve"> 69.5457 </t>
  </si>
  <si>
    <t xml:space="preserve">F:\images\20210318\plaque 1/@04 EE2 76/F4_02.tif </t>
  </si>
  <si>
    <t xml:space="preserve"> 3439.1532 </t>
  </si>
  <si>
    <t xml:space="preserve"> 66.434 </t>
  </si>
  <si>
    <t xml:space="preserve">F:\images\20210318\plaque 1/@04 EE2 76/F4_03.tif </t>
  </si>
  <si>
    <t xml:space="preserve"> 5450.7334 </t>
  </si>
  <si>
    <t xml:space="preserve"> 69.9484 </t>
  </si>
  <si>
    <t>F:\images\20210318\plaque 1/@04 EE2 76/G4_01- exclu.tif</t>
  </si>
  <si>
    <t xml:space="preserve">F:\images\20210318\plaque 1/@04 EE2 76/G4_02.tif </t>
  </si>
  <si>
    <t xml:space="preserve"> 88639.3082 </t>
  </si>
  <si>
    <t xml:space="preserve"> 80.3021 </t>
  </si>
  <si>
    <t xml:space="preserve">F:\images\20210318\plaque 1/@04 EE2 76/G4_03.tif </t>
  </si>
  <si>
    <t xml:space="preserve"> 81047.2152 </t>
  </si>
  <si>
    <t xml:space="preserve"> 75.8321 </t>
  </si>
  <si>
    <t xml:space="preserve">F:\images\20210318\plaque 1/@04 EE2 76/H4_01.tif </t>
  </si>
  <si>
    <t xml:space="preserve"> 2703.7368 </t>
  </si>
  <si>
    <t xml:space="preserve"> 63.928 </t>
  </si>
  <si>
    <t xml:space="preserve">F:\images\20210318\plaque 1/@04 EE2 76/H4_02.tif </t>
  </si>
  <si>
    <t xml:space="preserve"> 3590.5625 </t>
  </si>
  <si>
    <t xml:space="preserve"> 66.0843 </t>
  </si>
  <si>
    <t xml:space="preserve">F:\images\20210318\plaque 1/@04 EE2 76/H4_03.tif </t>
  </si>
  <si>
    <t xml:space="preserve"> 62.4048 </t>
  </si>
  <si>
    <t xml:space="preserve">F:\images\20210318\plaque 1/@04 EE2 76/ </t>
  </si>
  <si>
    <t xml:space="preserve"> 66.9711 </t>
  </si>
  <si>
    <t xml:space="preserve"> 5.2504 </t>
  </si>
  <si>
    <t xml:space="preserve"> 945641.875 </t>
  </si>
  <si>
    <t xml:space="preserve"> 2117514.71 </t>
  </si>
  <si>
    <t xml:space="preserve">F:\images\20210318\plaque 1/@05 EE2 114/A5_01.tif </t>
  </si>
  <si>
    <t xml:space="preserve"> 38825.6609 </t>
  </si>
  <si>
    <t xml:space="preserve"> 69.6095 </t>
  </si>
  <si>
    <t xml:space="preserve">F:\images\20210318\plaque 1/@05 EE2 114/A5_02.tif </t>
  </si>
  <si>
    <t xml:space="preserve"> 34672.7211 </t>
  </si>
  <si>
    <t xml:space="preserve"> 67.7654 </t>
  </si>
  <si>
    <t xml:space="preserve">F:\images\20210318\plaque 1/@05 EE2 114/A5_03.tif </t>
  </si>
  <si>
    <t xml:space="preserve"> 34326.6428 </t>
  </si>
  <si>
    <t xml:space="preserve"> 70.1141 </t>
  </si>
  <si>
    <t xml:space="preserve">F:\images\20210318\plaque 1/@05 EE2 114/B5_01.tif </t>
  </si>
  <si>
    <t xml:space="preserve"> 40188.3442 </t>
  </si>
  <si>
    <t xml:space="preserve"> 66.8633 </t>
  </si>
  <si>
    <t>F:\images\20210318\plaque 1/@05 EE2 114/B5_02- exclu.tif</t>
  </si>
  <si>
    <t xml:space="preserve">F:\images\20210318\plaque 1/@05 EE2 114/B5_03.tif </t>
  </si>
  <si>
    <t xml:space="preserve"> 30930.7493 </t>
  </si>
  <si>
    <t xml:space="preserve"> 66.5846 </t>
  </si>
  <si>
    <t xml:space="preserve">F:\images\20210318\plaque 1/@05 EE2 114/C5_01.tif </t>
  </si>
  <si>
    <t xml:space="preserve"> 12956.3069 </t>
  </si>
  <si>
    <t xml:space="preserve"> 66.0801 </t>
  </si>
  <si>
    <t xml:space="preserve">F:\images\20210318\plaque 1/@05 EE2 114/C5_02.tif </t>
  </si>
  <si>
    <t xml:space="preserve"> 11831.5524 </t>
  </si>
  <si>
    <t xml:space="preserve"> 66.5411 </t>
  </si>
  <si>
    <t xml:space="preserve">F:\images\20210318\plaque 1/@05 EE2 114/C5_03.tif </t>
  </si>
  <si>
    <t xml:space="preserve"> 10036.2711 </t>
  </si>
  <si>
    <t xml:space="preserve"> 65.4763 </t>
  </si>
  <si>
    <t xml:space="preserve">F:\images\20210318\plaque 1/@05 EE2 114/D5_01.tif </t>
  </si>
  <si>
    <t xml:space="preserve"> 22970.9481 </t>
  </si>
  <si>
    <t xml:space="preserve"> 67.7778 </t>
  </si>
  <si>
    <t xml:space="preserve">F:\images\20210318\plaque 1/@05 EE2 114/D5_02.tif </t>
  </si>
  <si>
    <t xml:space="preserve"> 10836.5772 </t>
  </si>
  <si>
    <t xml:space="preserve"> 65.2176 </t>
  </si>
  <si>
    <t xml:space="preserve">F:\images\20210318\plaque 1/@05 EE2 114/D5_03.tif </t>
  </si>
  <si>
    <t xml:space="preserve"> 8024.6909 </t>
  </si>
  <si>
    <t xml:space="preserve"> 63.7736 </t>
  </si>
  <si>
    <t xml:space="preserve">F:\images\20210318\plaque 1/@05 EE2 114/E5_01.tif </t>
  </si>
  <si>
    <t xml:space="preserve"> 24333.6315 </t>
  </si>
  <si>
    <t xml:space="preserve"> 66.4382 </t>
  </si>
  <si>
    <t xml:space="preserve">F:\images\20210318\plaque 1/@05 EE2 114/E5_02.tif </t>
  </si>
  <si>
    <t xml:space="preserve"> 26756.1797 </t>
  </si>
  <si>
    <t xml:space="preserve">F:\images\20210318\plaque 1/@05 EE2 114/E5_03.tif </t>
  </si>
  <si>
    <t xml:space="preserve"> 21413.5957 </t>
  </si>
  <si>
    <t xml:space="preserve"> 67.498 </t>
  </si>
  <si>
    <t xml:space="preserve">F:\images\20210318\plaque 1/@05 EE2 114/F5_01.tif </t>
  </si>
  <si>
    <t xml:space="preserve"> 27707.895 </t>
  </si>
  <si>
    <t xml:space="preserve"> 66.9493 </t>
  </si>
  <si>
    <t xml:space="preserve">F:\images\20210318\plaque 1/@05 EE2 114/F5_02.tif </t>
  </si>
  <si>
    <t xml:space="preserve"> 22300.4214 </t>
  </si>
  <si>
    <t xml:space="preserve"> 66.161 </t>
  </si>
  <si>
    <t xml:space="preserve">F:\images\20210318\plaque 1/@05 EE2 114/F5_03.tif </t>
  </si>
  <si>
    <t xml:space="preserve"> 14492.0294 </t>
  </si>
  <si>
    <t xml:space="preserve"> 65.2672 </t>
  </si>
  <si>
    <t xml:space="preserve">F:\images\20210318\plaque 1/@05 EE2 114/G5_01.tif </t>
  </si>
  <si>
    <t xml:space="preserve"> 23598.215 </t>
  </si>
  <si>
    <t xml:space="preserve"> 67.6783 </t>
  </si>
  <si>
    <t>F:\images\20210318\plaque 1/@05 EE2 114/G5_02- exclu.tif</t>
  </si>
  <si>
    <t xml:space="preserve">F:\images\20210318\plaque 1/@05 EE2 114/G5_03.tif </t>
  </si>
  <si>
    <t xml:space="preserve"> 24831.119 </t>
  </si>
  <si>
    <t xml:space="preserve"> 68.1071 </t>
  </si>
  <si>
    <t xml:space="preserve">F:\images\20210318\plaque 1/@05 EE2 114/H5_01.tif </t>
  </si>
  <si>
    <t xml:space="preserve"> 32228.543 </t>
  </si>
  <si>
    <t xml:space="preserve"> 70.0752 </t>
  </si>
  <si>
    <t xml:space="preserve">F:\images\20210318\plaque 1/@05 EE2 114/H5_02.tif </t>
  </si>
  <si>
    <t xml:space="preserve"> 31276.8276 </t>
  </si>
  <si>
    <t xml:space="preserve"> 68.4212 </t>
  </si>
  <si>
    <t xml:space="preserve">F:\images\20210318\plaque 1/@05 EE2 114/H5_03.tif </t>
  </si>
  <si>
    <t xml:space="preserve"> 43367.9387 </t>
  </si>
  <si>
    <t xml:space="preserve"> 69.2913 </t>
  </si>
  <si>
    <t xml:space="preserve">F:\images\20210318\plaque 1/@05 EE2 114/ </t>
  </si>
  <si>
    <t xml:space="preserve"> 67.1876 </t>
  </si>
  <si>
    <t xml:space="preserve"> 1.5853 </t>
  </si>
  <si>
    <t xml:space="preserve"> 1676558.42 </t>
  </si>
  <si>
    <t xml:space="preserve"> 705530.461 </t>
  </si>
  <si>
    <t xml:space="preserve">F:\images\20210318\plaque 1/@06 EE2 170.9/A6_01.tif </t>
  </si>
  <si>
    <t xml:space="preserve"> 23079.0976 </t>
  </si>
  <si>
    <t xml:space="preserve"> 68.2999 </t>
  </si>
  <si>
    <t xml:space="preserve">F:\images\20210318\plaque 1/@06 EE2 170.9/A6_02.tif </t>
  </si>
  <si>
    <t xml:space="preserve"> 20743.0689 </t>
  </si>
  <si>
    <t xml:space="preserve"> 67.682 </t>
  </si>
  <si>
    <t xml:space="preserve">F:\images\20210318\plaque 1/@06 EE2 170.9/A6_03.tif </t>
  </si>
  <si>
    <t xml:space="preserve"> 19856.2433 </t>
  </si>
  <si>
    <t xml:space="preserve"> 66.6917 </t>
  </si>
  <si>
    <t xml:space="preserve">F:\images\20210318\plaque 1/@06 EE2 170.9/B6_01.tif </t>
  </si>
  <si>
    <t xml:space="preserve"> 93051.8067 </t>
  </si>
  <si>
    <t xml:space="preserve"> 88.6106 </t>
  </si>
  <si>
    <t xml:space="preserve">F:\images\20210318\plaque 1/@06 EE2 170.9/B6_02.tif </t>
  </si>
  <si>
    <t xml:space="preserve"> 95993.4724 </t>
  </si>
  <si>
    <t xml:space="preserve"> 87.7539 </t>
  </si>
  <si>
    <t xml:space="preserve">F:\images\20210318\plaque 1/@06 EE2 170.9/B6_03.tif </t>
  </si>
  <si>
    <t xml:space="preserve"> 91364.6749 </t>
  </si>
  <si>
    <t xml:space="preserve"> 87.9432 </t>
  </si>
  <si>
    <t xml:space="preserve">F:\images\20210318\plaque 1/@06 EE2 170.9/C6_01.tif </t>
  </si>
  <si>
    <t xml:space="preserve"> 48104.8857 </t>
  </si>
  <si>
    <t xml:space="preserve"> 86.3772 </t>
  </si>
  <si>
    <t xml:space="preserve">F:\images\20210318\plaque 1/@06 EE2 170.9/C6_02.tif </t>
  </si>
  <si>
    <t xml:space="preserve"> 51890.1172 </t>
  </si>
  <si>
    <t xml:space="preserve"> 77.6311 </t>
  </si>
  <si>
    <t xml:space="preserve">F:\images\20210318\plaque 1/@06 EE2 170.9/C6_03.tif </t>
  </si>
  <si>
    <t xml:space="preserve"> 50895.1421 </t>
  </si>
  <si>
    <t xml:space="preserve"> 81.6736 </t>
  </si>
  <si>
    <t xml:space="preserve">F:\images\20210318\plaque 1/@06 EE2 170.9/D6_01.tif </t>
  </si>
  <si>
    <t xml:space="preserve"> 33699.3758 </t>
  </si>
  <si>
    <t xml:space="preserve"> 68.197 </t>
  </si>
  <si>
    <t xml:space="preserve">F:\images\20210318\plaque 1/@06 EE2 170.9/D6_02.tif </t>
  </si>
  <si>
    <t xml:space="preserve"> 31947.3544 </t>
  </si>
  <si>
    <t xml:space="preserve"> 67.784 </t>
  </si>
  <si>
    <t xml:space="preserve">F:\images\20210318\plaque 1/@06 EE2 170.9/D6_03.tif </t>
  </si>
  <si>
    <t xml:space="preserve"> 30411.6318 </t>
  </si>
  <si>
    <t xml:space="preserve"> 67.7518 </t>
  </si>
  <si>
    <t xml:space="preserve">F:\images\20210318\plaque 1/@06 EE2 170.9/E6_01.tif </t>
  </si>
  <si>
    <t xml:space="preserve"> 46655.6827 </t>
  </si>
  <si>
    <t xml:space="preserve"> 71.8057 </t>
  </si>
  <si>
    <t xml:space="preserve">F:\images\20210318\plaque 1/@06 EE2 170.9/E6_02.tif </t>
  </si>
  <si>
    <t xml:space="preserve"> 40772.3514 </t>
  </si>
  <si>
    <t xml:space="preserve"> 69.3629 </t>
  </si>
  <si>
    <t xml:space="preserve">F:\images\20210318\plaque 1/@06 EE2 170.9/E6_03.tif </t>
  </si>
  <si>
    <t xml:space="preserve"> 41810.5863 </t>
  </si>
  <si>
    <t xml:space="preserve"> 70.2131 </t>
  </si>
  <si>
    <t xml:space="preserve">F:\images\20210318\plaque 1/@06 EE2 170.9/F6_01.tif </t>
  </si>
  <si>
    <t xml:space="preserve"> 26712.9199 </t>
  </si>
  <si>
    <t xml:space="preserve"> 73.0947 </t>
  </si>
  <si>
    <t xml:space="preserve">F:\images\20210318\plaque 1/@06 EE2 170.9/F6_02.tif </t>
  </si>
  <si>
    <t xml:space="preserve"> 24549.9304 </t>
  </si>
  <si>
    <t xml:space="preserve"> 75.6996 </t>
  </si>
  <si>
    <t xml:space="preserve">F:\images\20210318\plaque 1/@06 EE2 170.9/F6_03.tif </t>
  </si>
  <si>
    <t xml:space="preserve"> 74.1183 </t>
  </si>
  <si>
    <t xml:space="preserve">F:\images\20210318\plaque 1/@06 EE2 170.9/G6_01.tif </t>
  </si>
  <si>
    <t xml:space="preserve"> 47888.5867 </t>
  </si>
  <si>
    <t xml:space="preserve"> 73.6825 </t>
  </si>
  <si>
    <t xml:space="preserve">F:\images\20210318\plaque 1/@06 EE2 170.9/G6_02.tif </t>
  </si>
  <si>
    <t xml:space="preserve"> 46352.8642 </t>
  </si>
  <si>
    <t xml:space="preserve"> 71.5105 </t>
  </si>
  <si>
    <t>F:\images\20210318\plaque 1/@06 EE2 170.9/G6_03- exclu.tif</t>
  </si>
  <si>
    <t xml:space="preserve">F:\images\20210318\plaque 1/@06 EE2 170.9/H6_01.tif </t>
  </si>
  <si>
    <t xml:space="preserve"> 36987.1198 </t>
  </si>
  <si>
    <t xml:space="preserve"> 86.0076 </t>
  </si>
  <si>
    <t xml:space="preserve">F:\images\20210318\plaque 1/@06 EE2 170.9/H6_02.tif </t>
  </si>
  <si>
    <t xml:space="preserve"> 37203.4188 </t>
  </si>
  <si>
    <t xml:space="preserve"> 85.6145 </t>
  </si>
  <si>
    <t xml:space="preserve">F:\images\20210318\plaque 1/@06 EE2 170.9/H6_03.tif </t>
  </si>
  <si>
    <t xml:space="preserve"> 36035.4045 </t>
  </si>
  <si>
    <t xml:space="preserve"> 88.4934 </t>
  </si>
  <si>
    <t xml:space="preserve">F:\images\20210318\plaque 1/@06 EE2 170.9/ </t>
  </si>
  <si>
    <t xml:space="preserve"> 76.1735 </t>
  </si>
  <si>
    <t xml:space="preserve"> 8.0468 </t>
  </si>
  <si>
    <t xml:space="preserve"> 3414421.25 </t>
  </si>
  <si>
    <t xml:space="preserve"> 2045207.44 </t>
  </si>
  <si>
    <t xml:space="preserve">F:\images\20210318\plaque 1/@07 EE2 488/A7_01.tif </t>
  </si>
  <si>
    <t xml:space="preserve"> 37311.5682 </t>
  </si>
  <si>
    <t xml:space="preserve"> 85.0887 </t>
  </si>
  <si>
    <t xml:space="preserve">F:\images\20210318\plaque 1/@07 EE2 488/A7_02.tif </t>
  </si>
  <si>
    <t xml:space="preserve"> 28875.9093 </t>
  </si>
  <si>
    <t xml:space="preserve"> 92.6232 </t>
  </si>
  <si>
    <t xml:space="preserve">F:\images\20210318\plaque 1/@07 EE2 488/A7_03.tif </t>
  </si>
  <si>
    <t xml:space="preserve"> 35797.4756 </t>
  </si>
  <si>
    <t xml:space="preserve"> 85.9879 </t>
  </si>
  <si>
    <t xml:space="preserve">F:\images\20210318\plaque 1/@07 EE2 488/B7_01.tif </t>
  </si>
  <si>
    <t xml:space="preserve"> 74688.0262 </t>
  </si>
  <si>
    <t xml:space="preserve"> 86.5769 </t>
  </si>
  <si>
    <t xml:space="preserve">F:\images\20210318\plaque 1/@07 EE2 488/B7_02.tif </t>
  </si>
  <si>
    <t xml:space="preserve"> 61493.7904 </t>
  </si>
  <si>
    <t xml:space="preserve"> 87.2445 </t>
  </si>
  <si>
    <t xml:space="preserve">F:\images\20210318\plaque 1/@07 EE2 488/B7_03.tif </t>
  </si>
  <si>
    <t xml:space="preserve"> 77499.9125 </t>
  </si>
  <si>
    <t xml:space="preserve"> 87.6606 </t>
  </si>
  <si>
    <t xml:space="preserve">F:\images\20210318\plaque 1/@07 EE2 488/C7_01.tif </t>
  </si>
  <si>
    <t xml:space="preserve"> 42199.9244 </t>
  </si>
  <si>
    <t xml:space="preserve"> 88.8093 </t>
  </si>
  <si>
    <t xml:space="preserve">F:\images\20210318\plaque 1/@07 EE2 488/C7_02.tif </t>
  </si>
  <si>
    <t xml:space="preserve"> 50635.5833 </t>
  </si>
  <si>
    <t xml:space="preserve"> 82.6053 </t>
  </si>
  <si>
    <t xml:space="preserve">F:\images\20210318\plaque 1/@07 EE2 488/C7_03.tif </t>
  </si>
  <si>
    <t xml:space="preserve"> 46547.5332 </t>
  </si>
  <si>
    <t xml:space="preserve"> 86.6227 </t>
  </si>
  <si>
    <t xml:space="preserve">F:\images\20210318\plaque 1/@07 EE2 488/D7_01.tif </t>
  </si>
  <si>
    <t xml:space="preserve"> 56973.1425 </t>
  </si>
  <si>
    <t xml:space="preserve"> 91.4301 </t>
  </si>
  <si>
    <t xml:space="preserve">F:\images\20210318\plaque 1/@07 EE2 488/D7_02.tif </t>
  </si>
  <si>
    <t xml:space="preserve"> 57449.0001 </t>
  </si>
  <si>
    <t xml:space="preserve"> 90.7289 </t>
  </si>
  <si>
    <t xml:space="preserve">F:\images\20210318\plaque 1/@07 EE2 488/D7_03.tif </t>
  </si>
  <si>
    <t xml:space="preserve"> 53339.3202 </t>
  </si>
  <si>
    <t xml:space="preserve"> 98.8605 </t>
  </si>
  <si>
    <t xml:space="preserve">F:\images\20210318\plaque 1/@07 EE2 488/E7_01.tif </t>
  </si>
  <si>
    <t xml:space="preserve"> 72784.5954 </t>
  </si>
  <si>
    <t xml:space="preserve"> 90.7964 </t>
  </si>
  <si>
    <t xml:space="preserve">F:\images\20210318\plaque 1/@07 EE2 488/E7_02.tif </t>
  </si>
  <si>
    <t xml:space="preserve"> 72676.446 </t>
  </si>
  <si>
    <t xml:space="preserve"> 88.0414 </t>
  </si>
  <si>
    <t xml:space="preserve">F:\images\20210318\plaque 1/@07 EE2 488/E7_03.tif </t>
  </si>
  <si>
    <t xml:space="preserve"> 67290.6022 </t>
  </si>
  <si>
    <t xml:space="preserve"> 87.558 </t>
  </si>
  <si>
    <t xml:space="preserve">F:\images\20210318\plaque 1/@07 EE2 488/F7_01.tif </t>
  </si>
  <si>
    <t xml:space="preserve"> 36446.3724 </t>
  </si>
  <si>
    <t xml:space="preserve"> 80.7591 </t>
  </si>
  <si>
    <t xml:space="preserve">F:\images\20210318\plaque 1/@07 EE2 488/F7_02.tif </t>
  </si>
  <si>
    <t xml:space="preserve"> 38674.2516 </t>
  </si>
  <si>
    <t xml:space="preserve"> 78.0313 </t>
  </si>
  <si>
    <t xml:space="preserve">F:\images\20210318\plaque 1/@07 EE2 488/F7_03.tif </t>
  </si>
  <si>
    <t xml:space="preserve"> 34283.383 </t>
  </si>
  <si>
    <t xml:space="preserve"> 82.1634 </t>
  </si>
  <si>
    <t xml:space="preserve">F:\images\20210318\plaque 1/@07 EE2 488/G7_01.tif </t>
  </si>
  <si>
    <t xml:space="preserve"> 59698.5092 </t>
  </si>
  <si>
    <t xml:space="preserve"> 89.2362 </t>
  </si>
  <si>
    <t xml:space="preserve">F:\images\20210318\plaque 1/@07 EE2 488/G7_02.tif </t>
  </si>
  <si>
    <t xml:space="preserve"> 50289.505 </t>
  </si>
  <si>
    <t xml:space="preserve"> 80.3609 </t>
  </si>
  <si>
    <t xml:space="preserve">F:\images\20210318\plaque 1/@07 EE2 488/G7_03.tif </t>
  </si>
  <si>
    <t xml:space="preserve"> 53079.7614 </t>
  </si>
  <si>
    <t xml:space="preserve"> 82.3688 </t>
  </si>
  <si>
    <t xml:space="preserve">F:\images\20210318\plaque 1/@07 EE2 488/H7_01.tif </t>
  </si>
  <si>
    <t xml:space="preserve"> 81393.2935 </t>
  </si>
  <si>
    <t xml:space="preserve"> 86.8126 </t>
  </si>
  <si>
    <t xml:space="preserve">F:\images\20210318\plaque 1/@07 EE2 488/H7_02.tif </t>
  </si>
  <si>
    <t xml:space="preserve"> 81912.411 </t>
  </si>
  <si>
    <t xml:space="preserve"> 86.8735 </t>
  </si>
  <si>
    <t xml:space="preserve">F:\images\20210318\plaque 1/@07 EE2 488/H7_03.tif </t>
  </si>
  <si>
    <t xml:space="preserve"> 78711.1866 </t>
  </si>
  <si>
    <t xml:space="preserve"> 81.7535 </t>
  </si>
  <si>
    <t xml:space="preserve">F:\images\20210318\plaque 1/@07 EE2 488/ </t>
  </si>
  <si>
    <t xml:space="preserve"> 86.6247 </t>
  </si>
  <si>
    <t xml:space="preserve"> 4.6025 </t>
  </si>
  <si>
    <t xml:space="preserve"> 4885171.17 </t>
  </si>
  <si>
    <t xml:space="preserve"> 1495525.4 </t>
  </si>
  <si>
    <t xml:space="preserve">F:\images\20210318\plaque 1/@08 Fadrozole 0.016 µg_L/A8_01.tif </t>
  </si>
  <si>
    <t xml:space="preserve"> 63.4242 </t>
  </si>
  <si>
    <t xml:space="preserve">F:\images\20210318\plaque 1/@08 Fadrozole 0.016 µg_L/A8_02.tif </t>
  </si>
  <si>
    <t xml:space="preserve"> 800.3061 </t>
  </si>
  <si>
    <t xml:space="preserve"> 62.8649 </t>
  </si>
  <si>
    <t xml:space="preserve">F:\images\20210318\plaque 1/@08 Fadrozole 0.016 µg_L/A8_03.tif </t>
  </si>
  <si>
    <t xml:space="preserve"> 930.0855 </t>
  </si>
  <si>
    <t xml:space="preserve"> 67.3721 </t>
  </si>
  <si>
    <t xml:space="preserve">F:\images\20210318\plaque 1/@08 Fadrozole 0.016 µg_L/B8_01.tif </t>
  </si>
  <si>
    <t xml:space="preserve"> 281.1886 </t>
  </si>
  <si>
    <t xml:space="preserve"> 63.8462 </t>
  </si>
  <si>
    <t xml:space="preserve">F:\images\20210318\plaque 1/@08 Fadrozole 0.016 µg_L/B8_02.tif </t>
  </si>
  <si>
    <t xml:space="preserve"> 62.3333 </t>
  </si>
  <si>
    <t xml:space="preserve">F:\images\20210318\plaque 1/@08 Fadrozole 0.016 µg_L/B8_03.tif </t>
  </si>
  <si>
    <t xml:space="preserve">F:\images\20210318\plaque 1/@08 Fadrozole 0.016 µg_L/C8_01.tif </t>
  </si>
  <si>
    <t xml:space="preserve"> 1773.6514 </t>
  </si>
  <si>
    <t xml:space="preserve"> 67.1098 </t>
  </si>
  <si>
    <t>F:\images\20210318\plaque 1/@08 Fadrozole 0.016 µg_L/C8_02- exclu.tif</t>
  </si>
  <si>
    <t xml:space="preserve">F:\images\20210318\plaque 1/@08 Fadrozole 0.016 µg_L/C8_03.tif </t>
  </si>
  <si>
    <t xml:space="preserve"> 60.6 </t>
  </si>
  <si>
    <t xml:space="preserve">F:\images\20210318\plaque 1/@08 Fadrozole 0.016 µg_L/D8_01.tif </t>
  </si>
  <si>
    <t xml:space="preserve"> 4109.68 </t>
  </si>
  <si>
    <t xml:space="preserve"> 67.5895 </t>
  </si>
  <si>
    <t xml:space="preserve">F:\images\20210318\plaque 1/@08 Fadrozole 0.016 µg_L/D8_02.tif </t>
  </si>
  <si>
    <t xml:space="preserve"> 6964.8261 </t>
  </si>
  <si>
    <t xml:space="preserve"> 71.0932 </t>
  </si>
  <si>
    <t>F:\images\20210318\plaque 1/@08 Fadrozole 0.016 µg_L/D8_03- exclu.tif</t>
  </si>
  <si>
    <t xml:space="preserve">F:\images\20210318\plaque 1/@08 Fadrozole 0.016 µg_L/E8_01.tif </t>
  </si>
  <si>
    <t xml:space="preserve"> 4996.5057 </t>
  </si>
  <si>
    <t xml:space="preserve"> 63.9048 </t>
  </si>
  <si>
    <t xml:space="preserve">F:\images\20210318\plaque 1/@08 Fadrozole 0.016 µg_L/E8_02.tif </t>
  </si>
  <si>
    <t xml:space="preserve"> 62.2203 </t>
  </si>
  <si>
    <t xml:space="preserve">F:\images\20210318\plaque 1/@08 Fadrozole 0.016 µg_L/E8_03.tif </t>
  </si>
  <si>
    <t xml:space="preserve"> 735.4164 </t>
  </si>
  <si>
    <t xml:space="preserve"> 62.8824 </t>
  </si>
  <si>
    <t xml:space="preserve">F:\images\20210318\plaque 1/@08 Fadrozole 0.016 µg_L/F8_01.tif </t>
  </si>
  <si>
    <t xml:space="preserve"> 324.4484 </t>
  </si>
  <si>
    <t xml:space="preserve"> 62.4667 </t>
  </si>
  <si>
    <t xml:space="preserve">F:\images\20210318\plaque 1/@08 Fadrozole 0.016 µg_L/F8_02.tif </t>
  </si>
  <si>
    <t xml:space="preserve"> 519.1175 </t>
  </si>
  <si>
    <t xml:space="preserve"> 62.875 </t>
  </si>
  <si>
    <t xml:space="preserve">F:\images\20210318\plaque 1/@08 Fadrozole 0.016 µg_L/F8_03.tif </t>
  </si>
  <si>
    <t xml:space="preserve"> 62.8235 </t>
  </si>
  <si>
    <t xml:space="preserve">F:\images\20210318\plaque 1/@08 Fadrozole 0.016 µg_L/G8_01.tif </t>
  </si>
  <si>
    <t xml:space="preserve"> 63.88 </t>
  </si>
  <si>
    <t xml:space="preserve">F:\images\20210318\plaque 1/@08 Fadrozole 0.016 µg_L/G8_02.tif </t>
  </si>
  <si>
    <t xml:space="preserve"> 64.7677 </t>
  </si>
  <si>
    <t xml:space="preserve">F:\images\20210318\plaque 1/@08 Fadrozole 0.016 µg_L/G8_03.tif </t>
  </si>
  <si>
    <t xml:space="preserve"> 1470.8328 </t>
  </si>
  <si>
    <t xml:space="preserve"> 64.3529 </t>
  </si>
  <si>
    <t xml:space="preserve">F:\images\20210318\plaque 1/@08 Fadrozole 0.016 µg_L/H8_01.tif </t>
  </si>
  <si>
    <t xml:space="preserve"> 3374.2636 </t>
  </si>
  <si>
    <t xml:space="preserve"> 68.7821 </t>
  </si>
  <si>
    <t xml:space="preserve">F:\images\20210318\plaque 1/@08 Fadrozole 0.016 µg_L/H8_02.tif </t>
  </si>
  <si>
    <t xml:space="preserve"> 66.2778 </t>
  </si>
  <si>
    <t xml:space="preserve">F:\images\20210318\plaque 1/@08 Fadrozole 0.016 µg_L/H8_03.tif </t>
  </si>
  <si>
    <t xml:space="preserve"> 1146.3844 </t>
  </si>
  <si>
    <t xml:space="preserve"> 63.434 </t>
  </si>
  <si>
    <t xml:space="preserve">F:\images\20210318\plaque 1/@08 Fadrozole 0.016 µg_L/ </t>
  </si>
  <si>
    <t xml:space="preserve"> 64.3342 </t>
  </si>
  <si>
    <t xml:space="preserve"> 2.5241 </t>
  </si>
  <si>
    <t xml:space="preserve"> 97092.125 </t>
  </si>
  <si>
    <t xml:space="preserve"> 120075.644 </t>
  </si>
  <si>
    <t xml:space="preserve">F:\images\20210318\plaque 1/@09 Fadrozole 0.08 µg_L/A9_01.tif </t>
  </si>
  <si>
    <t xml:space="preserve">F:\images\20210318\plaque 1/@09 Fadrozole 0.08 µg_L/A9_02.tif </t>
  </si>
  <si>
    <t xml:space="preserve"> 66.3737 </t>
  </si>
  <si>
    <t xml:space="preserve">F:\images\20210318\plaque 1/@09 Fadrozole 0.08 µg_L/A9_03.tif </t>
  </si>
  <si>
    <t xml:space="preserve">F:\images\20210318\plaque 1/@09 Fadrozole 0.08 µg_L/B9_01.tif </t>
  </si>
  <si>
    <t xml:space="preserve"> 62.6923 </t>
  </si>
  <si>
    <t xml:space="preserve">F:\images\20210318\plaque 1/@09 Fadrozole 0.08 µg_L/B9_02.tif </t>
  </si>
  <si>
    <t xml:space="preserve"> 66.4375 </t>
  </si>
  <si>
    <t xml:space="preserve">F:\images\20210318\plaque 1/@09 Fadrozole 0.08 µg_L/B9_03.tif </t>
  </si>
  <si>
    <t xml:space="preserve"> 62.7857 </t>
  </si>
  <si>
    <t xml:space="preserve">F:\images\20210318\plaque 1/@09 Fadrozole 0.08 µg_L/C9_01.tif </t>
  </si>
  <si>
    <t xml:space="preserve"> 2054.84 </t>
  </si>
  <si>
    <t xml:space="preserve"> 64.8947 </t>
  </si>
  <si>
    <t xml:space="preserve">F:\images\20210318\plaque 1/@09 Fadrozole 0.08 µg_L/C9_02.tif </t>
  </si>
  <si>
    <t xml:space="preserve">F:\images\20210318\plaque 1/@09 Fadrozole 0.08 µg_L/C9_03.tif </t>
  </si>
  <si>
    <t xml:space="preserve"> 1254.5339 </t>
  </si>
  <si>
    <t xml:space="preserve"> 63.9828 </t>
  </si>
  <si>
    <t xml:space="preserve">F:\images\20210318\plaque 1/@09 Fadrozole 0.08 µg_L/D9_01.tif </t>
  </si>
  <si>
    <t xml:space="preserve"> 64.9167 </t>
  </si>
  <si>
    <t xml:space="preserve">F:\images\20210318\plaque 1/@09 Fadrozole 0.08 µg_L/D9_02.tif </t>
  </si>
  <si>
    <t xml:space="preserve"> 63.7692 </t>
  </si>
  <si>
    <t xml:space="preserve">F:\images\20210318\plaque 1/@09 Fadrozole 0.08 µg_L/D9_03.tif </t>
  </si>
  <si>
    <t xml:space="preserve">F:\images\20210318\plaque 1/@09 Fadrozole 0.08 µg_L/E9_01.tif </t>
  </si>
  <si>
    <t xml:space="preserve"> 2422.5482 </t>
  </si>
  <si>
    <t xml:space="preserve"> 66.7411 </t>
  </si>
  <si>
    <t xml:space="preserve">F:\images\20210318\plaque 1/@09 Fadrozole 0.08 µg_L/E9_02.tif </t>
  </si>
  <si>
    <t xml:space="preserve">F:\images\20210318\plaque 1/@09 Fadrozole 0.08 µg_L/E9_03.tif </t>
  </si>
  <si>
    <t xml:space="preserve"> 62.3 </t>
  </si>
  <si>
    <t xml:space="preserve">F:\images\20210318\plaque 1/@09 Fadrozole 0.08 µg_L/F9_01.tif </t>
  </si>
  <si>
    <t xml:space="preserve"> 62.9 </t>
  </si>
  <si>
    <t xml:space="preserve">F:\images\20210318\plaque 1/@09 Fadrozole 0.08 µg_L/F9_02.tif </t>
  </si>
  <si>
    <t xml:space="preserve"> 62.3846 </t>
  </si>
  <si>
    <t xml:space="preserve">F:\images\20210318\plaque 1/@09 Fadrozole 0.08 µg_L/F9_03.tif </t>
  </si>
  <si>
    <t xml:space="preserve"> 605.637 </t>
  </si>
  <si>
    <t xml:space="preserve"> 62.5357 </t>
  </si>
  <si>
    <t xml:space="preserve">F:\images\20210318\plaque 1/@09 Fadrozole 0.08 µg_L/G9_01.tif </t>
  </si>
  <si>
    <t xml:space="preserve"> 63.7857 </t>
  </si>
  <si>
    <t xml:space="preserve">F:\images\20210318\plaque 1/@09 Fadrozole 0.08 µg_L/G9_02.tif </t>
  </si>
  <si>
    <t xml:space="preserve"> 61.5 </t>
  </si>
  <si>
    <t xml:space="preserve">F:\images\20210318\plaque 1/@09 Fadrozole 0.08 µg_L/G9_03.tif </t>
  </si>
  <si>
    <t xml:space="preserve">F:\images\20210318\plaque 1/@09 Fadrozole 0.08 µg_L/H9_01.tif </t>
  </si>
  <si>
    <t xml:space="preserve"> 67.8864 </t>
  </si>
  <si>
    <t xml:space="preserve">F:\images\20210318\plaque 1/@09 Fadrozole 0.08 µg_L/H9_02.tif </t>
  </si>
  <si>
    <t xml:space="preserve"> 66.8913 </t>
  </si>
  <si>
    <t xml:space="preserve">F:\images\20210318\plaque 1/@09 Fadrozole 0.08 µg_L/H9_03.tif </t>
  </si>
  <si>
    <t xml:space="preserve"> 562.3773 </t>
  </si>
  <si>
    <t xml:space="preserve"> 62.8846 </t>
  </si>
  <si>
    <t xml:space="preserve">F:\images\20210318\plaque 1/@09 Fadrozole 0.08 µg_L/ </t>
  </si>
  <si>
    <t xml:space="preserve"> 64.012 </t>
  </si>
  <si>
    <t xml:space="preserve"> 1.7371 </t>
  </si>
  <si>
    <t xml:space="preserve"> 51963.9583 </t>
  </si>
  <si>
    <t xml:space="preserve"> 55701.7052 </t>
  </si>
  <si>
    <t xml:space="preserve">F:\images\20210318\plaque 1/@10 Fadrozole 0.4 µg_L/A10_01.tif </t>
  </si>
  <si>
    <t xml:space="preserve"> 63.3 </t>
  </si>
  <si>
    <t xml:space="preserve">F:\images\20210318\plaque 1/@10 Fadrozole 0.4 µg_L/A10_02.tif </t>
  </si>
  <si>
    <t xml:space="preserve"> 64.7143 </t>
  </si>
  <si>
    <t xml:space="preserve">F:\images\20210318\plaque 1/@10 Fadrozole 0.4 µg_L/A10_03.tif </t>
  </si>
  <si>
    <t xml:space="preserve"> 64.1429 </t>
  </si>
  <si>
    <t xml:space="preserve">F:\images\20210318\plaque 1/@10 Fadrozole 0.4 µg_L/B10_01.tif </t>
  </si>
  <si>
    <t xml:space="preserve"> 2530.6977 </t>
  </si>
  <si>
    <t xml:space="preserve"> 65.5214 </t>
  </si>
  <si>
    <t xml:space="preserve">F:\images\20210318\plaque 1/@10 Fadrozole 0.4 µg_L/B10_02.tif </t>
  </si>
  <si>
    <t xml:space="preserve"> 62.48 </t>
  </si>
  <si>
    <t xml:space="preserve">F:\images\20210318\plaque 1/@10 Fadrozole 0.4 µg_L/B10_03.tif </t>
  </si>
  <si>
    <t xml:space="preserve"> 63.1724 </t>
  </si>
  <si>
    <t xml:space="preserve">F:\images\20210318\plaque 1/@10 Fadrozole 0.4 µg_L/C10_01.tif </t>
  </si>
  <si>
    <t xml:space="preserve"> 63.2941 </t>
  </si>
  <si>
    <t xml:space="preserve">F:\images\20210318\plaque 1/@10 Fadrozole 0.4 µg_L/C10_02.tif </t>
  </si>
  <si>
    <t xml:space="preserve"> 63.8889 </t>
  </si>
  <si>
    <t xml:space="preserve">F:\images\20210318\plaque 1/@10 Fadrozole 0.4 µg_L/C10_03.tif </t>
  </si>
  <si>
    <t xml:space="preserve"> 61.8889 </t>
  </si>
  <si>
    <t xml:space="preserve">F:\images\20210318\plaque 1/@10 Fadrozole 0.4 µg_L/D10_01.tif </t>
  </si>
  <si>
    <t xml:space="preserve"> 237.9288 </t>
  </si>
  <si>
    <t xml:space="preserve"> 63.2727 </t>
  </si>
  <si>
    <t xml:space="preserve">F:\images\20210318\plaque 1/@10 Fadrozole 0.4 µg_L/D10_02.tif </t>
  </si>
  <si>
    <t xml:space="preserve"> 64.7778 </t>
  </si>
  <si>
    <t xml:space="preserve">F:\images\20210318\plaque 1/@10 Fadrozole 0.4 µg_L/D10_03.tif </t>
  </si>
  <si>
    <t xml:space="preserve"> 129.7794 </t>
  </si>
  <si>
    <t xml:space="preserve"> 61.8333 </t>
  </si>
  <si>
    <t xml:space="preserve">F:\images\20210318\plaque 1/@10 Fadrozole 0.4 µg_L/E10_01.tif </t>
  </si>
  <si>
    <t xml:space="preserve"> 454.2278 </t>
  </si>
  <si>
    <t xml:space="preserve"> 61.9048 </t>
  </si>
  <si>
    <t xml:space="preserve">F:\images\20210318\plaque 1/@10 Fadrozole 0.4 µg_L/E10_02.tif </t>
  </si>
  <si>
    <t xml:space="preserve"> 65.8864 </t>
  </si>
  <si>
    <t xml:space="preserve">F:\images\20210318\plaque 1/@10 Fadrozole 0.4 µg_L/E10_03.tif </t>
  </si>
  <si>
    <t xml:space="preserve"> 951.7154 </t>
  </si>
  <si>
    <t xml:space="preserve"> 63.2045 </t>
  </si>
  <si>
    <t xml:space="preserve">F:\images\20210318\plaque 1/@10 Fadrozole 0.4 µg_L/F10_01.tif </t>
  </si>
  <si>
    <t xml:space="preserve"> 62.5882 </t>
  </si>
  <si>
    <t xml:space="preserve">F:\images\20210318\plaque 1/@10 Fadrozole 0.4 µg_L/F10_02.tif </t>
  </si>
  <si>
    <t xml:space="preserve"> 65.4 </t>
  </si>
  <si>
    <t xml:space="preserve">F:\images\20210318\plaque 1/@10 Fadrozole 0.4 µg_L/F10_03.tif </t>
  </si>
  <si>
    <t xml:space="preserve"> 62.3636 </t>
  </si>
  <si>
    <t xml:space="preserve">F:\images\20210318\plaque 1/@10 Fadrozole 0.4 µg_L/G10_01.tif </t>
  </si>
  <si>
    <t xml:space="preserve"> 63.45 </t>
  </si>
  <si>
    <t xml:space="preserve">F:\images\20210318\plaque 1/@10 Fadrozole 0.4 µg_L/G10_02.tif </t>
  </si>
  <si>
    <t xml:space="preserve"> 62.8929 </t>
  </si>
  <si>
    <t xml:space="preserve">F:\images\20210318\plaque 1/@10 Fadrozole 0.4 µg_L/G10_03.tif </t>
  </si>
  <si>
    <t xml:space="preserve"> 61.4545 </t>
  </si>
  <si>
    <t xml:space="preserve">F:\images\20210318\plaque 1/@10 Fadrozole 0.4 µg_L/H10_01.tif </t>
  </si>
  <si>
    <t xml:space="preserve"> 63.4667 </t>
  </si>
  <si>
    <t xml:space="preserve">F:\images\20210318\plaque 1/@10 Fadrozole 0.4 µg_L/H10_02.tif </t>
  </si>
  <si>
    <t xml:space="preserve"> 63.25 </t>
  </si>
  <si>
    <t xml:space="preserve">F:\images\20210318\plaque 1/@10 Fadrozole 0.4 µg_L/H10_03.tif </t>
  </si>
  <si>
    <t xml:space="preserve"> 65.6667 </t>
  </si>
  <si>
    <t xml:space="preserve">F:\images\20210318\plaque 1/@10 Fadrozole 0.4 µg_L/ </t>
  </si>
  <si>
    <t xml:space="preserve"> 63.4923 </t>
  </si>
  <si>
    <t xml:space="preserve"> 1.2817 </t>
  </si>
  <si>
    <t xml:space="preserve"> 43996.0833 </t>
  </si>
  <si>
    <t xml:space="preserve"> 50683.7292 </t>
  </si>
  <si>
    <t xml:space="preserve">F:\images\20210318\plaque 1/@11 Fadrozole 2 µg_L/A11_01.tif </t>
  </si>
  <si>
    <t xml:space="preserve"> 62.4242 </t>
  </si>
  <si>
    <t xml:space="preserve">F:\images\20210318\plaque 1/@11 Fadrozole 2 µg_L/A11_02.tif </t>
  </si>
  <si>
    <t xml:space="preserve"> 410.968 </t>
  </si>
  <si>
    <t xml:space="preserve"> 62.6842 </t>
  </si>
  <si>
    <t xml:space="preserve">F:\images\20210318\plaque 1/@11 Fadrozole 2 µg_L/A11_03.tif </t>
  </si>
  <si>
    <t xml:space="preserve"> 62.7727 </t>
  </si>
  <si>
    <t xml:space="preserve">F:\images\20210318\plaque 1/@11 Fadrozole 2 µg_L/B11_01.tif </t>
  </si>
  <si>
    <t xml:space="preserve"> 2984.9255 </t>
  </si>
  <si>
    <t xml:space="preserve"> 67.8333 </t>
  </si>
  <si>
    <t xml:space="preserve">F:\images\20210318\plaque 1/@11 Fadrozole 2 µg_L/B11_02.tif </t>
  </si>
  <si>
    <t xml:space="preserve"> 6142.8901 </t>
  </si>
  <si>
    <t xml:space="preserve"> 72.0141 </t>
  </si>
  <si>
    <t xml:space="preserve">F:\images\20210318\plaque 1/@11 Fadrozole 2 µg_L/B11_03.tif </t>
  </si>
  <si>
    <t xml:space="preserve"> 1860.1709 </t>
  </si>
  <si>
    <t xml:space="preserve"> 65.1279 </t>
  </si>
  <si>
    <t xml:space="preserve">F:\images\20210318\plaque 1/@11 Fadrozole 2 µg_L/C11_01.tif </t>
  </si>
  <si>
    <t xml:space="preserve"> 6899.9364 </t>
  </si>
  <si>
    <t xml:space="preserve"> 71.1191 </t>
  </si>
  <si>
    <t xml:space="preserve">F:\images\20210318\plaque 1/@11 Fadrozole 2 µg_L/C11_02.tif </t>
  </si>
  <si>
    <t xml:space="preserve"> 62.4828 </t>
  </si>
  <si>
    <t xml:space="preserve">F:\images\20210318\plaque 1/@11 Fadrozole 2 µg_L/C11_03.tif </t>
  </si>
  <si>
    <t xml:space="preserve"> 7267.6446 </t>
  </si>
  <si>
    <t xml:space="preserve"> 71.9613 </t>
  </si>
  <si>
    <t xml:space="preserve">F:\images\20210318\plaque 1/@11 Fadrozole 2 µg_L/D11_01.tif </t>
  </si>
  <si>
    <t xml:space="preserve"> 62.5556 </t>
  </si>
  <si>
    <t xml:space="preserve">F:\images\20210318\plaque 1/@11 Fadrozole 2 µg_L/D11_02.tif </t>
  </si>
  <si>
    <t xml:space="preserve"> 64.3448 </t>
  </si>
  <si>
    <t xml:space="preserve">F:\images\20210318\plaque 1/@11 Fadrozole 2 µg_L/D11_03.tif </t>
  </si>
  <si>
    <t xml:space="preserve">F:\images\20210318\plaque 1/@11 Fadrozole 2 µg_L/E11_01.tif </t>
  </si>
  <si>
    <t xml:space="preserve"> 62.375 </t>
  </si>
  <si>
    <t xml:space="preserve">F:\images\20210318\plaque 1/@11 Fadrozole 2 µg_L/E11_02.tif </t>
  </si>
  <si>
    <t xml:space="preserve"> 63.4706 </t>
  </si>
  <si>
    <t xml:space="preserve">F:\images\20210318\plaque 1/@11 Fadrozole 2 µg_L/E11_03.tif </t>
  </si>
  <si>
    <t xml:space="preserve"> 6921.5663 </t>
  </si>
  <si>
    <t xml:space="preserve"> 72.0375 </t>
  </si>
  <si>
    <t xml:space="preserve">F:\images\20210318\plaque 1/@11 Fadrozole 2 µg_L/F11_01.tif </t>
  </si>
  <si>
    <t xml:space="preserve"> 64.5714 </t>
  </si>
  <si>
    <t xml:space="preserve">F:\images\20210318\plaque 1/@11 Fadrozole 2 µg_L/F11_02.tif </t>
  </si>
  <si>
    <t xml:space="preserve"> 66.2959 </t>
  </si>
  <si>
    <t xml:space="preserve">F:\images\20210318\plaque 1/@11 Fadrozole 2 µg_L/F11_03.tif </t>
  </si>
  <si>
    <t xml:space="preserve"> 1362.6834 </t>
  </si>
  <si>
    <t xml:space="preserve"> 66.9365 </t>
  </si>
  <si>
    <t xml:space="preserve">F:\images\20210318\plaque 1/@11 Fadrozole 2 µg_L/G11_01.tif </t>
  </si>
  <si>
    <t xml:space="preserve"> 64.1071 </t>
  </si>
  <si>
    <t xml:space="preserve">F:\images\20210318\plaque 1/@11 Fadrozole 2 µg_L/G11_02.tif </t>
  </si>
  <si>
    <t xml:space="preserve"> 63.6667 </t>
  </si>
  <si>
    <t xml:space="preserve">F:\images\20210318\plaque 1/@11 Fadrozole 2 µg_L/G11_03.tif </t>
  </si>
  <si>
    <t xml:space="preserve"> 62.0455 </t>
  </si>
  <si>
    <t xml:space="preserve">F:\images\20210318\plaque 1/@11 Fadrozole 2 µg_L/H11_01.tif </t>
  </si>
  <si>
    <t xml:space="preserve"> 64.6667 </t>
  </si>
  <si>
    <t xml:space="preserve">F:\images\20210318\plaque 1/@11 Fadrozole 2 µg_L/H11_02.tif </t>
  </si>
  <si>
    <t xml:space="preserve"> 64.85 </t>
  </si>
  <si>
    <t xml:space="preserve">F:\images\20210318\plaque 1/@11 Fadrozole 2 µg_L/H11_03.tif </t>
  </si>
  <si>
    <t xml:space="preserve"> 63.1471 </t>
  </si>
  <si>
    <t xml:space="preserve">F:\images\20210318\plaque 1/@11 Fadrozole 2 µg_L/ </t>
  </si>
  <si>
    <t xml:space="preserve"> 65.2576 </t>
  </si>
  <si>
    <t xml:space="preserve"> 3.335 </t>
  </si>
  <si>
    <t xml:space="preserve"> 129245.708 </t>
  </si>
  <si>
    <t xml:space="preserve"> 170221.961 </t>
  </si>
  <si>
    <t xml:space="preserve">F:\images\20210318\plaque 1/@12 Fadrozole 10 µg_L/A12_01.tif </t>
  </si>
  <si>
    <t xml:space="preserve"> 4780.2067 </t>
  </si>
  <si>
    <t xml:space="preserve"> 71.1629 </t>
  </si>
  <si>
    <t xml:space="preserve">F:\images\20210318\plaque 1/@12 Fadrozole 10 µg_L/A12_02.tif </t>
  </si>
  <si>
    <t xml:space="preserve"> 3417.5234 </t>
  </si>
  <si>
    <t xml:space="preserve"> 71.6266 </t>
  </si>
  <si>
    <t xml:space="preserve">F:\images\20210318\plaque 1/@12 Fadrozole 10 µg_L/A12_03.tif </t>
  </si>
  <si>
    <t xml:space="preserve"> 3828.4913 </t>
  </si>
  <si>
    <t xml:space="preserve"> 70.7345 </t>
  </si>
  <si>
    <t xml:space="preserve">F:\images\20210318\plaque 1/@12 Fadrozole 10 µg_L/B12_01.tif </t>
  </si>
  <si>
    <t xml:space="preserve"> 5840.0715 </t>
  </si>
  <si>
    <t xml:space="preserve"> 67.3333 </t>
  </si>
  <si>
    <t xml:space="preserve">F:\images\20210318\plaque 1/@12 Fadrozole 10 µg_L/B12_02.tif </t>
  </si>
  <si>
    <t xml:space="preserve"> 3136.3347 </t>
  </si>
  <si>
    <t xml:space="preserve"> 66.0897 </t>
  </si>
  <si>
    <t xml:space="preserve">F:\images\20210318\plaque 1/@12 Fadrozole 10 µg_L/B12_03.tif </t>
  </si>
  <si>
    <t xml:space="preserve"> 4758.5768 </t>
  </si>
  <si>
    <t xml:space="preserve"> 66.4273 </t>
  </si>
  <si>
    <t xml:space="preserve">F:\images\20210318\plaque 1/@12 Fadrozole 10 µg_L/C12_01.tif </t>
  </si>
  <si>
    <t xml:space="preserve"> 62.9167 </t>
  </si>
  <si>
    <t xml:space="preserve">F:\images\20210318\plaque 1/@12 Fadrozole 10 µg_L/C12_02.tif </t>
  </si>
  <si>
    <t xml:space="preserve"> 63.8571 </t>
  </si>
  <si>
    <t xml:space="preserve">F:\images\20210318\plaque 1/@12 Fadrozole 10 µg_L/C12_03.tif </t>
  </si>
  <si>
    <t xml:space="preserve"> 64.125 </t>
  </si>
  <si>
    <t xml:space="preserve">F:\images\20210318\plaque 1/@12 Fadrozole 10 µg_L/D12_01.tif </t>
  </si>
  <si>
    <t xml:space="preserve"> 64.0179 </t>
  </si>
  <si>
    <t xml:space="preserve">F:\images\20210318\plaque 1/@12 Fadrozole 10 µg_L/D12_02.tif </t>
  </si>
  <si>
    <t xml:space="preserve"> 63.1618 </t>
  </si>
  <si>
    <t xml:space="preserve">F:\images\20210318\plaque 1/@12 Fadrozole 10 µg_L/D12_03.tif </t>
  </si>
  <si>
    <t xml:space="preserve"> 62.871 </t>
  </si>
  <si>
    <t xml:space="preserve">F:\images\20210318\plaque 1/@12 Fadrozole 10 µg_L/E12_01.tif </t>
  </si>
  <si>
    <t xml:space="preserve"> 63.1034 </t>
  </si>
  <si>
    <t xml:space="preserve">F:\images\20210318\plaque 1/@12 Fadrozole 10 µg_L/E12_02.tif </t>
  </si>
  <si>
    <t xml:space="preserve">F:\images\20210318\plaque 1/@12 Fadrozole 10 µg_L/E12_03.tif </t>
  </si>
  <si>
    <t xml:space="preserve"> 63.4615 </t>
  </si>
  <si>
    <t xml:space="preserve">F:\images\20210318\plaque 1/@12 Fadrozole 10 µg_L/F12_01.tif </t>
  </si>
  <si>
    <t xml:space="preserve"> 63.2222 </t>
  </si>
  <si>
    <t xml:space="preserve">F:\images\20210318\plaque 1/@12 Fadrozole 10 µg_L/F12_02.tif </t>
  </si>
  <si>
    <t xml:space="preserve"> 63.9545 </t>
  </si>
  <si>
    <t xml:space="preserve">F:\images\20210318\plaque 1/@12 Fadrozole 10 µg_L/F12_03.tif </t>
  </si>
  <si>
    <t xml:space="preserve">F:\images\20210318\plaque 1/@12 Fadrozole 10 µg_L/G12_01.tif </t>
  </si>
  <si>
    <t xml:space="preserve"> 3331.0038 </t>
  </si>
  <si>
    <t xml:space="preserve"> 64.4675 </t>
  </si>
  <si>
    <t xml:space="preserve">F:\images\20210318\plaque 1/@12 Fadrozole 10 µg_L/G12_02.tif </t>
  </si>
  <si>
    <t xml:space="preserve"> 63.7097 </t>
  </si>
  <si>
    <t xml:space="preserve">F:\images\20210318\plaque 1/@12 Fadrozole 10 µg_L/G12_03.tif </t>
  </si>
  <si>
    <t xml:space="preserve">F:\images\20210318\plaque 1/@12 Fadrozole 10 µg_L/H12_01.tif </t>
  </si>
  <si>
    <t xml:space="preserve">F:\images\20210318\plaque 1/@12 Fadrozole 10 µg_L/H12_02.tif </t>
  </si>
  <si>
    <t xml:space="preserve"> 63.52 </t>
  </si>
  <si>
    <t xml:space="preserve">F:\images\20210318\plaque 1/@12 Fadrozole 10 µg_L/H12_03.tif </t>
  </si>
  <si>
    <t xml:space="preserve"> 5277.6943 </t>
  </si>
  <si>
    <t xml:space="preserve"> 69.9754 </t>
  </si>
  <si>
    <t xml:space="preserve">F:\images\20210318\plaque 1/@12 Fadrozole 10 µg_L/ </t>
  </si>
  <si>
    <t xml:space="preserve"> 65.1943 </t>
  </si>
  <si>
    <t xml:space="preserve"> 2.8381 </t>
  </si>
  <si>
    <t xml:space="preserve"> 128889.792 </t>
  </si>
  <si>
    <t xml:space="preserve"> 130382.978 </t>
  </si>
  <si>
    <t xml:space="preserve">F:\images\20210318\plaque 2/@01 Testo 30/A1_01.tif </t>
  </si>
  <si>
    <t xml:space="preserve"> 6078.0004 </t>
  </si>
  <si>
    <t xml:space="preserve"> 67.6762 </t>
  </si>
  <si>
    <t xml:space="preserve">F:\images\20210318\plaque 2/@01 Testo 30/A1_02.tif </t>
  </si>
  <si>
    <t xml:space="preserve"> 5861.7014 </t>
  </si>
  <si>
    <t xml:space="preserve"> 66.8118 </t>
  </si>
  <si>
    <t xml:space="preserve">F:\images\20210318\plaque 2/@01 Testo 30/A1_03.tif </t>
  </si>
  <si>
    <t xml:space="preserve"> 5104.6551 </t>
  </si>
  <si>
    <t xml:space="preserve"> 66.8347 </t>
  </si>
  <si>
    <t xml:space="preserve">F:\images\20210318\plaque 2/@01 Testo 30/B1_01.tif </t>
  </si>
  <si>
    <t xml:space="preserve"> 63.1282 </t>
  </si>
  <si>
    <t xml:space="preserve">F:\images\20210318\plaque 2/@01 Testo 30/B1_02.tif </t>
  </si>
  <si>
    <t xml:space="preserve"> 64.2083 </t>
  </si>
  <si>
    <t xml:space="preserve">F:\images\20210318\plaque 2/@01 Testo 30/B1_03.tif </t>
  </si>
  <si>
    <t xml:space="preserve"> 1578.9823 </t>
  </si>
  <si>
    <t xml:space="preserve"> 65.0685 </t>
  </si>
  <si>
    <t xml:space="preserve">F:\images\20210318\plaque 2/@01 Testo 30/C1_01.tif </t>
  </si>
  <si>
    <t xml:space="preserve"> 10771.6875 </t>
  </si>
  <si>
    <t xml:space="preserve"> 65.0301 </t>
  </si>
  <si>
    <t xml:space="preserve">F:\images\20210318\plaque 2/@01 Testo 30/C1_02.tif </t>
  </si>
  <si>
    <t xml:space="preserve"> 9365.7444 </t>
  </si>
  <si>
    <t xml:space="preserve"> 65.3995 </t>
  </si>
  <si>
    <t xml:space="preserve">F:\images\20210318\plaque 2/@01 Testo 30/C1_03.tif </t>
  </si>
  <si>
    <t xml:space="preserve"> 3677.0821 </t>
  </si>
  <si>
    <t xml:space="preserve"> 63.7235 </t>
  </si>
  <si>
    <t xml:space="preserve">F:\images\20210318\plaque 2/@01 Testo 30/D1_01.tif </t>
  </si>
  <si>
    <t xml:space="preserve"> 4650.4273 </t>
  </si>
  <si>
    <t xml:space="preserve"> 65.1581 </t>
  </si>
  <si>
    <t xml:space="preserve">F:\images\20210318\plaque 2/@01 Testo 30/D1_02.tif </t>
  </si>
  <si>
    <t xml:space="preserve"> 64.4316 </t>
  </si>
  <si>
    <t xml:space="preserve">F:\images\20210318\plaque 2/@01 Testo 30/D1_03.tif </t>
  </si>
  <si>
    <t xml:space="preserve"> 3741.9718 </t>
  </si>
  <si>
    <t xml:space="preserve"> 64.1445 </t>
  </si>
  <si>
    <t xml:space="preserve">F:\images\20210318\plaque 2/@01 Testo 30/E1_01.tif </t>
  </si>
  <si>
    <t xml:space="preserve"> 43649.1274 </t>
  </si>
  <si>
    <t xml:space="preserve"> 78.5312 </t>
  </si>
  <si>
    <t xml:space="preserve">F:\images\20210318\plaque 2/@01 Testo 30/E1_02.tif </t>
  </si>
  <si>
    <t xml:space="preserve"> 42567.6326 </t>
  </si>
  <si>
    <t xml:space="preserve"> 76.9451 </t>
  </si>
  <si>
    <t xml:space="preserve">F:\images\20210318\plaque 2/@01 Testo 30/E1_03.tif </t>
  </si>
  <si>
    <t xml:space="preserve"> 42243.1842 </t>
  </si>
  <si>
    <t xml:space="preserve"> 80.4414 </t>
  </si>
  <si>
    <t xml:space="preserve">F:\images\20210318\plaque 2/@01 Testo 30/F1_01.tif </t>
  </si>
  <si>
    <t xml:space="preserve"> 19618.3144 </t>
  </si>
  <si>
    <t xml:space="preserve"> 68.2304 </t>
  </si>
  <si>
    <t xml:space="preserve">F:\images\20210318\plaque 2/@01 Testo 30/F1_02.tif </t>
  </si>
  <si>
    <t xml:space="preserve"> 20807.9586 </t>
  </si>
  <si>
    <t xml:space="preserve"> 67.659 </t>
  </si>
  <si>
    <t xml:space="preserve">F:\images\20210318\plaque 2/@01 Testo 30/F1_03.tif </t>
  </si>
  <si>
    <t xml:space="preserve"> 15703.3035 </t>
  </si>
  <si>
    <t xml:space="preserve"> 66.5813 </t>
  </si>
  <si>
    <t xml:space="preserve">F:\images\20210318\plaque 2/@01 Testo 30/G1_01.tif </t>
  </si>
  <si>
    <t xml:space="preserve"> 58746.7938 </t>
  </si>
  <si>
    <t xml:space="preserve"> 74.3012 </t>
  </si>
  <si>
    <t xml:space="preserve">F:\images\20210318\plaque 2/@01 Testo 30/G1_02.tif </t>
  </si>
  <si>
    <t xml:space="preserve"> 50549.0637 </t>
  </si>
  <si>
    <t xml:space="preserve"> 73.454 </t>
  </si>
  <si>
    <t xml:space="preserve">F:\images\20210318\plaque 2/@01 Testo 30/G1_03.tif </t>
  </si>
  <si>
    <t xml:space="preserve"> 46504.2735 </t>
  </si>
  <si>
    <t xml:space="preserve"> 72.5367 </t>
  </si>
  <si>
    <t xml:space="preserve">F:\images\20210318\plaque 2/@01 Testo 30/H1_01.tif </t>
  </si>
  <si>
    <t xml:space="preserve"> 7137.8652 </t>
  </si>
  <si>
    <t xml:space="preserve"> 67.8424 </t>
  </si>
  <si>
    <t xml:space="preserve">F:\images\20210318\plaque 2/@01 Testo 30/H1_02.tif </t>
  </si>
  <si>
    <t xml:space="preserve"> 3850.1212 </t>
  </si>
  <si>
    <t xml:space="preserve"> 64.2079 </t>
  </si>
  <si>
    <t xml:space="preserve">F:\images\20210318\plaque 2/@01 Testo 30/H1_03.tif </t>
  </si>
  <si>
    <t xml:space="preserve"> 5602.1427 </t>
  </si>
  <si>
    <t xml:space="preserve"> 67.1892 </t>
  </si>
  <si>
    <t xml:space="preserve">F:\images\20210318\plaque 2/@01 Testo 30/ </t>
  </si>
  <si>
    <t xml:space="preserve"> 68.314 </t>
  </si>
  <si>
    <t xml:space="preserve"> 4.9771 </t>
  </si>
  <si>
    <t xml:space="preserve"> 1250357.58 </t>
  </si>
  <si>
    <t xml:space="preserve"> 1438106.37 </t>
  </si>
  <si>
    <t xml:space="preserve">F:\images\20210318\plaque 2/@02 Testo 30/A2_01.tif </t>
  </si>
  <si>
    <t xml:space="preserve"> 9300.8547 </t>
  </si>
  <si>
    <t xml:space="preserve"> 74.9256 </t>
  </si>
  <si>
    <t xml:space="preserve">F:\images\20210318\plaque 2/@02 Testo 30/A2_02.tif </t>
  </si>
  <si>
    <t xml:space="preserve"> 6013.1107 </t>
  </si>
  <si>
    <t xml:space="preserve"> 67.9173 </t>
  </si>
  <si>
    <t xml:space="preserve">F:\images\20210318\plaque 2/@02 Testo 30/A2_03.tif </t>
  </si>
  <si>
    <t xml:space="preserve"> 9062.9258 </t>
  </si>
  <si>
    <t xml:space="preserve"> 70.8305 </t>
  </si>
  <si>
    <t xml:space="preserve">F:\images\20210318\plaque 2/@02 Testo 30/B2_01.tif </t>
  </si>
  <si>
    <t xml:space="preserve"> 17368.8054 </t>
  </si>
  <si>
    <t xml:space="preserve"> 68.9913 </t>
  </si>
  <si>
    <t xml:space="preserve">F:\images\20210318\plaque 2/@02 Testo 30/B2_02.tif </t>
  </si>
  <si>
    <t xml:space="preserve"> 16828.058 </t>
  </si>
  <si>
    <t xml:space="preserve"> 69.3419 </t>
  </si>
  <si>
    <t xml:space="preserve">F:\images\20210318\plaque 2/@02 Testo 30/B2_03.tif </t>
  </si>
  <si>
    <t xml:space="preserve"> 13929.6521 </t>
  </si>
  <si>
    <t xml:space="preserve"> 67.4581 </t>
  </si>
  <si>
    <t xml:space="preserve">F:\images\20210318\plaque 2/@02 Testo 30/C2_01.tif </t>
  </si>
  <si>
    <t xml:space="preserve"> 40664.2019 </t>
  </si>
  <si>
    <t xml:space="preserve"> 72.4968 </t>
  </si>
  <si>
    <t xml:space="preserve">F:\images\20210318\plaque 2/@02 Testo 30/C2_02.tif </t>
  </si>
  <si>
    <t xml:space="preserve"> 39647.5969 </t>
  </si>
  <si>
    <t xml:space="preserve"> 70.2264 </t>
  </si>
  <si>
    <t xml:space="preserve">F:\images\20210318\plaque 2/@02 Testo 30/C2_03.tif </t>
  </si>
  <si>
    <t xml:space="preserve"> 38111.8743 </t>
  </si>
  <si>
    <t xml:space="preserve"> 71.6356 </t>
  </si>
  <si>
    <t xml:space="preserve">F:\images\20210318\plaque 2/@02 Testo 30/D2_01.tif </t>
  </si>
  <si>
    <t xml:space="preserve"> 64.1379 </t>
  </si>
  <si>
    <t xml:space="preserve">F:\images\20210318\plaque 2/@02 Testo 30/D2_02.tif </t>
  </si>
  <si>
    <t xml:space="preserve"> 64.566 </t>
  </si>
  <si>
    <t xml:space="preserve">F:\images\20210318\plaque 2/@02 Testo 30/D2_03.tif </t>
  </si>
  <si>
    <t xml:space="preserve"> 62.6379 </t>
  </si>
  <si>
    <t xml:space="preserve">F:\images\20210318\plaque 2/@02 Testo 30/E2_01.tif </t>
  </si>
  <si>
    <t xml:space="preserve"> 62.7143 </t>
  </si>
  <si>
    <t xml:space="preserve">F:\images\20210318\plaque 2/@02 Testo 30/E2_02.tif </t>
  </si>
  <si>
    <t xml:space="preserve"> 62.2917 </t>
  </si>
  <si>
    <t xml:space="preserve">F:\images\20210318\plaque 2/@02 Testo 30/E2_03.tif </t>
  </si>
  <si>
    <t xml:space="preserve"> 2768.6265 </t>
  </si>
  <si>
    <t xml:space="preserve"> 68.3672 </t>
  </si>
  <si>
    <t xml:space="preserve">F:\images\20210318\plaque 2/@02 Testo 30/F2_01.tif </t>
  </si>
  <si>
    <t xml:space="preserve"> 24982.5283 </t>
  </si>
  <si>
    <t xml:space="preserve"> 68.6658 </t>
  </si>
  <si>
    <t xml:space="preserve">F:\images\20210318\plaque 2/@02 Testo 30/F2_02.tif </t>
  </si>
  <si>
    <t xml:space="preserve"> 24463.4108 </t>
  </si>
  <si>
    <t xml:space="preserve"> 69.3546 </t>
  </si>
  <si>
    <t xml:space="preserve">F:\images\20210318\plaque 2/@02 Testo 30/F2_03.tif </t>
  </si>
  <si>
    <t xml:space="preserve"> 26864.3291 </t>
  </si>
  <si>
    <t xml:space="preserve"> 67.6586 </t>
  </si>
  <si>
    <t xml:space="preserve">F:\images\20210318\plaque 2/@02 Testo 30/G2_01.tif </t>
  </si>
  <si>
    <t xml:space="preserve"> 43000.2305 </t>
  </si>
  <si>
    <t xml:space="preserve"> 70.8647 </t>
  </si>
  <si>
    <t xml:space="preserve">F:\images\20210318\plaque 2/@02 Testo 30/G2_02.tif </t>
  </si>
  <si>
    <t xml:space="preserve"> 34088.7139 </t>
  </si>
  <si>
    <t xml:space="preserve"> 69.7563 </t>
  </si>
  <si>
    <t xml:space="preserve">F:\images\20210318\plaque 2/@02 Testo 30/G2_03.tif </t>
  </si>
  <si>
    <t xml:space="preserve"> 34305.0129 </t>
  </si>
  <si>
    <t xml:space="preserve"> 69.4672 </t>
  </si>
  <si>
    <t xml:space="preserve">F:\images\20210318\plaque 2/@02 Testo 30/H2_01.tif </t>
  </si>
  <si>
    <t xml:space="preserve"> 63.7922 </t>
  </si>
  <si>
    <t xml:space="preserve">F:\images\20210318\plaque 2/@02 Testo 30/H2_02.tif </t>
  </si>
  <si>
    <t xml:space="preserve"> 3395.8935 </t>
  </si>
  <si>
    <t xml:space="preserve"> 63.4522 </t>
  </si>
  <si>
    <t xml:space="preserve">F:\images\20210318\plaque 2/@02 Testo 30/H2_03.tif </t>
  </si>
  <si>
    <t xml:space="preserve"> 63.8163 </t>
  </si>
  <si>
    <t xml:space="preserve">F:\images\20210318\plaque 2/@02 Testo 30/ </t>
  </si>
  <si>
    <t xml:space="preserve"> 67.7236 </t>
  </si>
  <si>
    <t xml:space="preserve"> 3.5107 </t>
  </si>
  <si>
    <t xml:space="preserve"> 1149555.88 </t>
  </si>
  <si>
    <t xml:space="preserve"> 1080172.08 </t>
  </si>
  <si>
    <t xml:space="preserve">F:\images\20210318\plaque 2/@03 Testo+ EE2 64/A3_01.tif </t>
  </si>
  <si>
    <t xml:space="preserve"> 45703.9674 </t>
  </si>
  <si>
    <t xml:space="preserve"> 71.7392 </t>
  </si>
  <si>
    <t xml:space="preserve">F:\images\20210318\plaque 2/@03 Testo+ EE2 64/A3_02.tif </t>
  </si>
  <si>
    <t xml:space="preserve"> 37873.9455 </t>
  </si>
  <si>
    <t xml:space="preserve"> 72.4814 </t>
  </si>
  <si>
    <t xml:space="preserve">F:\images\20210318\plaque 2/@03 Testo+ EE2 64/A3_03.tif </t>
  </si>
  <si>
    <t xml:space="preserve"> 34651.0912 </t>
  </si>
  <si>
    <t xml:space="preserve"> 72.7022 </t>
  </si>
  <si>
    <t xml:space="preserve">F:\images\20210318\plaque 2/@03 Testo+ EE2 64/B3_01.tif </t>
  </si>
  <si>
    <t xml:space="preserve"> 23663.1047 </t>
  </si>
  <si>
    <t xml:space="preserve"> 76.3894 </t>
  </si>
  <si>
    <t xml:space="preserve">F:\images\20210318\plaque 2/@03 Testo+ EE2 64/B3_02.tif </t>
  </si>
  <si>
    <t xml:space="preserve"> 27232.0373 </t>
  </si>
  <si>
    <t xml:space="preserve"> 71.8872 </t>
  </si>
  <si>
    <t xml:space="preserve">F:\images\20210318\plaque 2/@03 Testo+ EE2 64/B3_03.tif </t>
  </si>
  <si>
    <t xml:space="preserve"> 24874.3788 </t>
  </si>
  <si>
    <t xml:space="preserve"> 75.147 </t>
  </si>
  <si>
    <t xml:space="preserve">F:\images\20210318\plaque 2/@03 Testo+ EE2 64/C3_01.tif </t>
  </si>
  <si>
    <t xml:space="preserve"> 46958.5012 </t>
  </si>
  <si>
    <t xml:space="preserve"> 74.4652 </t>
  </si>
  <si>
    <t xml:space="preserve">F:\images\20210318\plaque 2/@03 Testo+ EE2 64/C3_02.tif </t>
  </si>
  <si>
    <t xml:space="preserve"> 41269.839 </t>
  </si>
  <si>
    <t xml:space="preserve"> 73.8449 </t>
  </si>
  <si>
    <t xml:space="preserve">F:\images\20210318\plaque 2/@03 Testo+ EE2 64/C3_03.tif </t>
  </si>
  <si>
    <t xml:space="preserve"> 74.6413 </t>
  </si>
  <si>
    <t xml:space="preserve">F:\images\20210318\plaque 2/@03 Testo+ EE2 64/D3_01.tif </t>
  </si>
  <si>
    <t xml:space="preserve"> 78.1581 </t>
  </si>
  <si>
    <t xml:space="preserve">F:\images\20210318\plaque 2/@03 Testo+ EE2 64/D3_02.tif </t>
  </si>
  <si>
    <t xml:space="preserve"> 44752.252 </t>
  </si>
  <si>
    <t xml:space="preserve"> 78.5162 </t>
  </si>
  <si>
    <t xml:space="preserve">F:\images\20210318\plaque 2/@03 Testo+ EE2 64/D3_03.tif </t>
  </si>
  <si>
    <t xml:space="preserve"> 44557.5829 </t>
  </si>
  <si>
    <t xml:space="preserve"> 77.5039 </t>
  </si>
  <si>
    <t xml:space="preserve">F:\images\20210318\plaque 2/@03 Testo+ EE2 64/E3_01.tif </t>
  </si>
  <si>
    <t xml:space="preserve"> 35537.9169 </t>
  </si>
  <si>
    <t xml:space="preserve"> 67.6975 </t>
  </si>
  <si>
    <t xml:space="preserve">F:\images\20210318\plaque 2/@03 Testo+ EE2 64/E3_02.tif </t>
  </si>
  <si>
    <t xml:space="preserve"> 34002.1944 </t>
  </si>
  <si>
    <t xml:space="preserve"> 70.9497 </t>
  </si>
  <si>
    <t xml:space="preserve">F:\images\20210318\plaque 2/@03 Testo+ EE2 64/E3_03.tif </t>
  </si>
  <si>
    <t xml:space="preserve"> 33612.8563 </t>
  </si>
  <si>
    <t xml:space="preserve"> 76.1731 </t>
  </si>
  <si>
    <t xml:space="preserve">F:\images\20210318\plaque 2/@03 Testo+ EE2 64/F3_01.tif </t>
  </si>
  <si>
    <t xml:space="preserve"> 50570.6936 </t>
  </si>
  <si>
    <t xml:space="preserve"> 73.8653 </t>
  </si>
  <si>
    <t xml:space="preserve">F:\images\20210318\plaque 2/@03 Testo+ EE2 64/F3_02.tif </t>
  </si>
  <si>
    <t xml:space="preserve"> 53598.8789 </t>
  </si>
  <si>
    <t xml:space="preserve"> 73.638 </t>
  </si>
  <si>
    <t xml:space="preserve">F:\images\20210318\plaque 2/@03 Testo+ EE2 64/F3_03.tif </t>
  </si>
  <si>
    <t xml:space="preserve"> 54507.3345 </t>
  </si>
  <si>
    <t xml:space="preserve"> 73.2802 </t>
  </si>
  <si>
    <t xml:space="preserve">F:\images\20210318\plaque 2/@03 Testo+ EE2 64/G3_01.tif </t>
  </si>
  <si>
    <t xml:space="preserve"> 36121.924 </t>
  </si>
  <si>
    <t xml:space="preserve"> 70.7491 </t>
  </si>
  <si>
    <t xml:space="preserve">F:\images\20210318\plaque 2/@03 Testo+ EE2 64/G3_02.tif </t>
  </si>
  <si>
    <t xml:space="preserve"> 34845.7602 </t>
  </si>
  <si>
    <t xml:space="preserve"> 69.7685 </t>
  </si>
  <si>
    <t xml:space="preserve">F:\images\20210318\plaque 2/@03 Testo+ EE2 64/G3_03.tif </t>
  </si>
  <si>
    <t xml:space="preserve"> 45271.3695 </t>
  </si>
  <si>
    <t xml:space="preserve"> 72.5356 </t>
  </si>
  <si>
    <t xml:space="preserve">F:\images\20210318\plaque 2/@03 Testo+ EE2 64/H3_01.tif </t>
  </si>
  <si>
    <t xml:space="preserve"> 30736.0803 </t>
  </si>
  <si>
    <t xml:space="preserve"> 69.0591 </t>
  </si>
  <si>
    <t xml:space="preserve">F:\images\20210318\plaque 2/@03 Testo+ EE2 64/H3_02.tif </t>
  </si>
  <si>
    <t xml:space="preserve"> 33958.9346 </t>
  </si>
  <si>
    <t xml:space="preserve"> 69.5682 </t>
  </si>
  <si>
    <t xml:space="preserve">F:\images\20210318\plaque 2/@03 Testo+ EE2 64/H3_03.tif </t>
  </si>
  <si>
    <t xml:space="preserve"> 28573.0908 </t>
  </si>
  <si>
    <t xml:space="preserve"> 67.9258 </t>
  </si>
  <si>
    <t xml:space="preserve">F:\images\20210318\plaque 2/@03 Testo+ EE2 64/ </t>
  </si>
  <si>
    <t xml:space="preserve"> 73.0286 </t>
  </si>
  <si>
    <t xml:space="preserve"> 3.0542 </t>
  </si>
  <si>
    <t xml:space="preserve"> 2853622.92 </t>
  </si>
  <si>
    <t xml:space="preserve"> 696405.141 </t>
  </si>
  <si>
    <t xml:space="preserve">F:\images\20210318\plaque 2/@04 Testo+ FAD/A4_01.tif </t>
  </si>
  <si>
    <t xml:space="preserve"> 9884.8618 </t>
  </si>
  <si>
    <t xml:space="preserve"> 78.5602 </t>
  </si>
  <si>
    <t xml:space="preserve">F:\images\20210318\plaque 2/@04 Testo+ FAD/A4_02.tif </t>
  </si>
  <si>
    <t xml:space="preserve"> 9668.5629 </t>
  </si>
  <si>
    <t xml:space="preserve"> 78.8501 </t>
  </si>
  <si>
    <t>F:\images\20210318\plaque 2/@04 Testo+ FAD/A4_03- exclu.tif</t>
  </si>
  <si>
    <t xml:space="preserve">F:\images\20210318\plaque 2/@04 Testo+ FAD/B4_01.tif </t>
  </si>
  <si>
    <t xml:space="preserve"> 6986.456 </t>
  </si>
  <si>
    <t xml:space="preserve"> 74.3467 </t>
  </si>
  <si>
    <t xml:space="preserve">F:\images\20210318\plaque 2/@04 Testo+ FAD/B4_02.tif </t>
  </si>
  <si>
    <t xml:space="preserve"> 63.2857 </t>
  </si>
  <si>
    <t xml:space="preserve">F:\images\20210318\plaque 2/@04 Testo+ FAD/B4_03.tif </t>
  </si>
  <si>
    <t xml:space="preserve"> 6791.7869 </t>
  </si>
  <si>
    <t xml:space="preserve"> 72.6624 </t>
  </si>
  <si>
    <t xml:space="preserve">F:\images\20210318\plaque 2/@04 Testo+ FAD/C4_01.tif </t>
  </si>
  <si>
    <t xml:space="preserve"> 62.1667 </t>
  </si>
  <si>
    <t xml:space="preserve">F:\images\20210318\plaque 2/@04 Testo+ FAD/C4_02.tif </t>
  </si>
  <si>
    <t xml:space="preserve">F:\images\20210318\plaque 2/@04 Testo+ FAD/C4_03.tif </t>
  </si>
  <si>
    <t xml:space="preserve"> 63.4545 </t>
  </si>
  <si>
    <t xml:space="preserve">F:\images\20210318\plaque 2/@04 Testo+ FAD/D4_01.tif </t>
  </si>
  <si>
    <t xml:space="preserve"> 62.7742 </t>
  </si>
  <si>
    <t xml:space="preserve">F:\images\20210318\plaque 2/@04 Testo+ FAD/D4_02.tif </t>
  </si>
  <si>
    <t xml:space="preserve"> 886.8257 </t>
  </si>
  <si>
    <t xml:space="preserve"> 63.6829 </t>
  </si>
  <si>
    <t xml:space="preserve">F:\images\20210318\plaque 2/@04 Testo+ FAD/D4_03.tif </t>
  </si>
  <si>
    <t xml:space="preserve"> 778.6762 </t>
  </si>
  <si>
    <t xml:space="preserve">F:\images\20210318\plaque 2/@04 Testo+ FAD/E4_01.tif </t>
  </si>
  <si>
    <t xml:space="preserve"> 65.8049 </t>
  </si>
  <si>
    <t xml:space="preserve">F:\images\20210318\plaque 2/@04 Testo+ FAD/E4_02.tif </t>
  </si>
  <si>
    <t xml:space="preserve"> 63.3571 </t>
  </si>
  <si>
    <t xml:space="preserve">F:\images\20210318\plaque 2/@04 Testo+ FAD/E4_03.tif </t>
  </si>
  <si>
    <t xml:space="preserve"> 62.92 </t>
  </si>
  <si>
    <t xml:space="preserve">F:\images\20210318\plaque 2/@04 Testo+ FAD/F4_01.tif </t>
  </si>
  <si>
    <t xml:space="preserve"> 63.3673 </t>
  </si>
  <si>
    <t xml:space="preserve">F:\images\20210318\plaque 2/@04 Testo+ FAD/F4_02.tif </t>
  </si>
  <si>
    <t xml:space="preserve"> 62.9737 </t>
  </si>
  <si>
    <t xml:space="preserve">F:\images\20210318\plaque 2/@04 Testo+ FAD/F4_03.tif </t>
  </si>
  <si>
    <t xml:space="preserve"> 64.6364 </t>
  </si>
  <si>
    <t xml:space="preserve">F:\images\20210318\plaque 2/@04 Testo+ FAD/G4_01.tif </t>
  </si>
  <si>
    <t xml:space="preserve"> 63.4167 </t>
  </si>
  <si>
    <t xml:space="preserve">F:\images\20210318\plaque 2/@04 Testo+ FAD/G4_02.tif </t>
  </si>
  <si>
    <t xml:space="preserve"> 62.9032 </t>
  </si>
  <si>
    <t xml:space="preserve">F:\images\20210318\plaque 2/@04 Testo+ FAD/G4_03.tif </t>
  </si>
  <si>
    <t xml:space="preserve">F:\images\20210318\plaque 2/@04 Testo+ FAD/H4_01.tif </t>
  </si>
  <si>
    <t xml:space="preserve"> 63.4337 </t>
  </si>
  <si>
    <t xml:space="preserve">F:\images\20210318\plaque 2/@04 Testo+ FAD/H4_02.tif </t>
  </si>
  <si>
    <t xml:space="preserve"> 63.0333 </t>
  </si>
  <si>
    <t xml:space="preserve">F:\images\20210318\plaque 2/@04 Testo+ FAD/H4_03.tif </t>
  </si>
  <si>
    <t xml:space="preserve">F:\images\20210318\plaque 2/@04 Testo+ FAD/ </t>
  </si>
  <si>
    <t xml:space="preserve"> 65.4579 </t>
  </si>
  <si>
    <t xml:space="preserve"> 5.0793 </t>
  </si>
  <si>
    <t xml:space="preserve"> 144537.25 </t>
  </si>
  <si>
    <t xml:space="preserve"> 234485.519 </t>
  </si>
  <si>
    <t xml:space="preserve">F:\images\20210318\plaque 2/@05 Fadrozole 0.016 µg_L Dopé/A5_01.tif </t>
  </si>
  <si>
    <t xml:space="preserve"> 32466.4718 </t>
  </si>
  <si>
    <t xml:space="preserve"> 71.547 </t>
  </si>
  <si>
    <t xml:space="preserve">F:\images\20210318\plaque 2/@05 Fadrozole 0.016 µg_L Dopé/A5_02.tif </t>
  </si>
  <si>
    <t xml:space="preserve"> 28811.0196 </t>
  </si>
  <si>
    <t xml:space="preserve"> 69.6269 </t>
  </si>
  <si>
    <t xml:space="preserve">F:\images\20210318\plaque 2/@05 Fadrozole 0.016 µg_L Dopé/A5_03.tif </t>
  </si>
  <si>
    <t xml:space="preserve"> 29784.3649 </t>
  </si>
  <si>
    <t xml:space="preserve"> 70.2375 </t>
  </si>
  <si>
    <t xml:space="preserve">F:\images\20210318\plaque 2/@05 Fadrozole 0.016 µg_L Dopé/B5_01.tif </t>
  </si>
  <si>
    <t xml:space="preserve"> 27621.3754 </t>
  </si>
  <si>
    <t xml:space="preserve"> 69.166 </t>
  </si>
  <si>
    <t>F:\images\20210318\plaque 2/@05 Fadrozole 0.016 µg_L Dopé/B5_02- exclu.tif</t>
  </si>
  <si>
    <t xml:space="preserve">F:\images\20210318\plaque 2/@05 Fadrozole 0.016 µg_L Dopé/B5_03.tif </t>
  </si>
  <si>
    <t xml:space="preserve"> 29092.2083 </t>
  </si>
  <si>
    <t xml:space="preserve"> 68.8439 </t>
  </si>
  <si>
    <t xml:space="preserve">F:\images\20210318\plaque 2/@05 Fadrozole 0.016 µg_L Dopé/C5_01.tif </t>
  </si>
  <si>
    <t xml:space="preserve"> 64.1474 </t>
  </si>
  <si>
    <t xml:space="preserve">F:\images\20210318\plaque 2/@05 Fadrozole 0.016 µg_L Dopé/C5_02.tif </t>
  </si>
  <si>
    <t xml:space="preserve"> 2162.9895 </t>
  </si>
  <si>
    <t xml:space="preserve"> 64.1 </t>
  </si>
  <si>
    <t xml:space="preserve">F:\images\20210318\plaque 2/@05 Fadrozole 0.016 µg_L Dopé/C5_03.tif </t>
  </si>
  <si>
    <t xml:space="preserve"> 5667.0324 </t>
  </si>
  <si>
    <t xml:space="preserve"> 64.5725 </t>
  </si>
  <si>
    <t xml:space="preserve">F:\images\20210318\plaque 2/@05 Fadrozole 0.016 µg_L Dopé/D5_01.tif </t>
  </si>
  <si>
    <t xml:space="preserve"> 21932.7132 </t>
  </si>
  <si>
    <t xml:space="preserve"> 68.4497 </t>
  </si>
  <si>
    <t xml:space="preserve">F:\images\20210318\plaque 2/@05 Fadrozole 0.016 µg_L Dopé/D5_02.tif </t>
  </si>
  <si>
    <t xml:space="preserve"> 26020.7632 </t>
  </si>
  <si>
    <t xml:space="preserve"> 68.3857 </t>
  </si>
  <si>
    <t xml:space="preserve">F:\images\20210318\plaque 2/@05 Fadrozole 0.016 µg_L Dopé/D5_03.tif </t>
  </si>
  <si>
    <t xml:space="preserve"> 24658.0799 </t>
  </si>
  <si>
    <t xml:space="preserve"> 68.5053 </t>
  </si>
  <si>
    <t xml:space="preserve">F:\images\20210318\plaque 2/@05 Fadrozole 0.016 µg_L Dopé/E5_01.tif </t>
  </si>
  <si>
    <t xml:space="preserve"> 25934.2437 </t>
  </si>
  <si>
    <t xml:space="preserve"> 70.0801 </t>
  </si>
  <si>
    <t xml:space="preserve">F:\images\20210318\plaque 2/@05 Fadrozole 0.016 µg_L Dopé/E5_02.tif </t>
  </si>
  <si>
    <t xml:space="preserve"> 27405.0765 </t>
  </si>
  <si>
    <t xml:space="preserve"> 72.0284 </t>
  </si>
  <si>
    <t xml:space="preserve">F:\images\20210318\plaque 2/@05 Fadrozole 0.016 µg_L Dopé/E5_03.tif </t>
  </si>
  <si>
    <t xml:space="preserve"> 32012.2441 </t>
  </si>
  <si>
    <t xml:space="preserve"> 73.325 </t>
  </si>
  <si>
    <t xml:space="preserve">F:\images\20210318\plaque 2/@05 Fadrozole 0.016 µg_L Dopé/F5_01.tif </t>
  </si>
  <si>
    <t xml:space="preserve"> 26085.6529 </t>
  </si>
  <si>
    <t xml:space="preserve"> 71.0688 </t>
  </si>
  <si>
    <t xml:space="preserve">F:\images\20210318\plaque 2/@05 Fadrozole 0.016 µg_L Dopé/F5_02.tif </t>
  </si>
  <si>
    <t xml:space="preserve"> 26907.5889 </t>
  </si>
  <si>
    <t xml:space="preserve"> 71.2162 </t>
  </si>
  <si>
    <t xml:space="preserve">F:\images\20210318\plaque 2/@05 Fadrozole 0.016 µg_L Dopé/F5_03.tif </t>
  </si>
  <si>
    <t xml:space="preserve"> 25826.0942 </t>
  </si>
  <si>
    <t xml:space="preserve"> 70.0704 </t>
  </si>
  <si>
    <t xml:space="preserve">F:\images\20210318\plaque 2/@05 Fadrozole 0.016 µg_L Dopé/G5_01.tif </t>
  </si>
  <si>
    <t xml:space="preserve"> 38804.031 </t>
  </si>
  <si>
    <t xml:space="preserve"> 68.3796 </t>
  </si>
  <si>
    <t xml:space="preserve">F:\images\20210318\plaque 2/@05 Fadrozole 0.016 µg_L Dopé/G5_02.tif </t>
  </si>
  <si>
    <t xml:space="preserve"> 33785.8954 </t>
  </si>
  <si>
    <t xml:space="preserve"> 67.5314 </t>
  </si>
  <si>
    <t xml:space="preserve">F:\images\20210318\plaque 2/@05 Fadrozole 0.016 µg_L Dopé/G5_03.tif </t>
  </si>
  <si>
    <t xml:space="preserve"> 27859.3043 </t>
  </si>
  <si>
    <t xml:space="preserve"> 67.3866 </t>
  </si>
  <si>
    <t xml:space="preserve">F:\images\20210318\plaque 2/@05 Fadrozole 0.016 µg_L Dopé/H5_01.tif </t>
  </si>
  <si>
    <t xml:space="preserve"> 11507.1039 </t>
  </si>
  <si>
    <t xml:space="preserve"> 64.1767 </t>
  </si>
  <si>
    <t xml:space="preserve">F:\images\20210318\plaque 2/@05 Fadrozole 0.016 µg_L Dopé/H5_02.tif </t>
  </si>
  <si>
    <t xml:space="preserve"> 12047.8513 </t>
  </si>
  <si>
    <t xml:space="preserve"> 65.5961 </t>
  </si>
  <si>
    <t xml:space="preserve">F:\images\20210318\plaque 2/@05 Fadrozole 0.016 µg_L Dopé/H5_03.tif </t>
  </si>
  <si>
    <t xml:space="preserve"> 15162.5561 </t>
  </si>
  <si>
    <t xml:space="preserve"> 70.3652 </t>
  </si>
  <si>
    <t xml:space="preserve">F:\images\20210318\plaque 2/@05 Fadrozole 0.016 µg_L Dopé/ </t>
  </si>
  <si>
    <t xml:space="preserve"> 68.4606 </t>
  </si>
  <si>
    <t xml:space="preserve"> 2.7457 </t>
  </si>
  <si>
    <t xml:space="preserve"> 1575661.25 </t>
  </si>
  <si>
    <t xml:space="preserve"> 719951.587 </t>
  </si>
  <si>
    <t xml:space="preserve">F:\images\20210318\plaque 2/@06  Fadrozole 0.08 µg_L Dopé/A6_01.tif </t>
  </si>
  <si>
    <t xml:space="preserve"> 16914.5776 </t>
  </si>
  <si>
    <t xml:space="preserve"> 67.7442 </t>
  </si>
  <si>
    <t xml:space="preserve">F:\images\20210318\plaque 2/@06  Fadrozole 0.08 µg_L Dopé/A6_02.tif </t>
  </si>
  <si>
    <t xml:space="preserve"> 15508.6344 </t>
  </si>
  <si>
    <t xml:space="preserve"> 67.0669 </t>
  </si>
  <si>
    <t xml:space="preserve">F:\images\20210318\plaque 2/@06  Fadrozole 0.08 µg_L Dopé/A6_03.tif </t>
  </si>
  <si>
    <t xml:space="preserve"> 16611.7591 </t>
  </si>
  <si>
    <t xml:space="preserve"> 67.2969 </t>
  </si>
  <si>
    <t xml:space="preserve">F:\images\20210318\plaque 2/@06  Fadrozole 0.08 µg_L Dopé/B6_01.tif </t>
  </si>
  <si>
    <t xml:space="preserve"> 39712.4865 </t>
  </si>
  <si>
    <t xml:space="preserve"> 71.7996 </t>
  </si>
  <si>
    <t xml:space="preserve">F:\images\20210318\plaque 2/@06  Fadrozole 0.08 µg_L Dopé/B6_02.tif </t>
  </si>
  <si>
    <t xml:space="preserve"> 37614.3868 </t>
  </si>
  <si>
    <t xml:space="preserve"> 71.176 </t>
  </si>
  <si>
    <t xml:space="preserve">F:\images\20210318\plaque 2/@06  Fadrozole 0.08 µg_L Dopé/B6_03.tif </t>
  </si>
  <si>
    <t xml:space="preserve"> 37160.159 </t>
  </si>
  <si>
    <t xml:space="preserve"> 69.8434 </t>
  </si>
  <si>
    <t xml:space="preserve">F:\images\20210318\plaque 2/@06  Fadrozole 0.08 µg_L Dopé/C6_01.tif </t>
  </si>
  <si>
    <t xml:space="preserve"> 12112.741 </t>
  </si>
  <si>
    <t xml:space="preserve"> 64.3625 </t>
  </si>
  <si>
    <t xml:space="preserve">F:\images\20210318\plaque 2/@06  Fadrozole 0.08 µg_L Dopé/C6_02.tif </t>
  </si>
  <si>
    <t xml:space="preserve"> 15011.1469 </t>
  </si>
  <si>
    <t xml:space="preserve"> 65.866 </t>
  </si>
  <si>
    <t xml:space="preserve">F:\images\20210318\plaque 2/@06  Fadrozole 0.08 µg_L Dopé/C6_03.tif </t>
  </si>
  <si>
    <t xml:space="preserve"> 9906.4917 </t>
  </si>
  <si>
    <t xml:space="preserve"> 64.2074 </t>
  </si>
  <si>
    <t xml:space="preserve">F:\images\20210318\plaque 2/@06  Fadrozole 0.08 µg_L Dopé/D6_01.tif </t>
  </si>
  <si>
    <t xml:space="preserve"> 16633.389 </t>
  </si>
  <si>
    <t xml:space="preserve"> 66.7269 </t>
  </si>
  <si>
    <t xml:space="preserve">F:\images\20210318\plaque 2/@06  Fadrozole 0.08 µg_L Dopé/D6_02.tif </t>
  </si>
  <si>
    <t xml:space="preserve"> 21305.4462 </t>
  </si>
  <si>
    <t xml:space="preserve"> 67.134 </t>
  </si>
  <si>
    <t>F:\images\20210318\plaque 2/@06  Fadrozole 0.08 µg_L Dopé/D6_03- exclu.tif</t>
  </si>
  <si>
    <t xml:space="preserve">F:\images\20210318\plaque 2/@06  Fadrozole 0.08 µg_L Dopé/E6_01.tif </t>
  </si>
  <si>
    <t xml:space="preserve"> 24160.5923 </t>
  </si>
  <si>
    <t xml:space="preserve"> 71.6723 </t>
  </si>
  <si>
    <t xml:space="preserve">F:\images\20210318\plaque 2/@06  Fadrozole 0.08 µg_L Dopé/E6_02.tif </t>
  </si>
  <si>
    <t xml:space="preserve"> 72.8501 </t>
  </si>
  <si>
    <t xml:space="preserve">F:\images\20210318\plaque 2/@06  Fadrozole 0.08 µg_L Dopé/E6_03.tif </t>
  </si>
  <si>
    <t xml:space="preserve"> 17217.3961 </t>
  </si>
  <si>
    <t xml:space="preserve"> 68.5477 </t>
  </si>
  <si>
    <t xml:space="preserve">F:\images\20210318\plaque 2/@06  Fadrozole 0.08 µg_L Dopé/F6_01.tif </t>
  </si>
  <si>
    <t xml:space="preserve"> 63.8776 </t>
  </si>
  <si>
    <t xml:space="preserve">F:\images\20210318\plaque 2/@06  Fadrozole 0.08 µg_L Dopé/F6_02.tif </t>
  </si>
  <si>
    <t xml:space="preserve"> 2400.9183 </t>
  </si>
  <si>
    <t xml:space="preserve"> 63.7658 </t>
  </si>
  <si>
    <t xml:space="preserve">F:\images\20210318\plaque 2/@06  Fadrozole 0.08 µg_L Dopé/F6_03.tif </t>
  </si>
  <si>
    <t xml:space="preserve"> 1643.872 </t>
  </si>
  <si>
    <t xml:space="preserve"> 63.0132 </t>
  </si>
  <si>
    <t xml:space="preserve">F:\images\20210318\plaque 2/@06  Fadrozole 0.08 µg_L Dopé/G6_01.tif </t>
  </si>
  <si>
    <t xml:space="preserve"> 36186.8137 </t>
  </si>
  <si>
    <t xml:space="preserve"> 68.838 </t>
  </si>
  <si>
    <t xml:space="preserve">F:\images\20210318\plaque 2/@06  Fadrozole 0.08 µg_L Dopé/G6_02.tif </t>
  </si>
  <si>
    <t xml:space="preserve"> 27037.3683 </t>
  </si>
  <si>
    <t xml:space="preserve"> 66.3552 </t>
  </si>
  <si>
    <t xml:space="preserve">F:\images\20210318\plaque 2/@06  Fadrozole 0.08 µg_L Dopé/G6_03.tif </t>
  </si>
  <si>
    <t xml:space="preserve"> 30541.4112 </t>
  </si>
  <si>
    <t xml:space="preserve"> 66.614 </t>
  </si>
  <si>
    <t xml:space="preserve">F:\images\20210318\plaque 2/@06  Fadrozole 0.08 µg_L Dopé/H6_01.tif </t>
  </si>
  <si>
    <t xml:space="preserve"> 63.1923 </t>
  </si>
  <si>
    <t xml:space="preserve">F:\images\20210318\plaque 2/@06  Fadrozole 0.08 µg_L Dopé/H6_02.tif </t>
  </si>
  <si>
    <t xml:space="preserve"> 62.8333 </t>
  </si>
  <si>
    <t xml:space="preserve">F:\images\20210318\plaque 2/@06  Fadrozole 0.08 µg_L Dopé/H6_03.tif </t>
  </si>
  <si>
    <t xml:space="preserve"> 1319.4236 </t>
  </si>
  <si>
    <t xml:space="preserve"> 63.4754 </t>
  </si>
  <si>
    <t xml:space="preserve">F:\images\20210318\plaque 2/@06  Fadrozole 0.08 µg_L Dopé/ </t>
  </si>
  <si>
    <t xml:space="preserve"> 66.9469 </t>
  </si>
  <si>
    <t xml:space="preserve"> 3.0232 </t>
  </si>
  <si>
    <t xml:space="preserve"> 1156845.12 </t>
  </si>
  <si>
    <t xml:space="preserve"> 891924.785 </t>
  </si>
  <si>
    <t xml:space="preserve">F:\images\20210318\plaque 2/@07  Fadrozole 0.4 µg_L Dopé/A7_01.tif </t>
  </si>
  <si>
    <t xml:space="preserve"> 63.55 </t>
  </si>
  <si>
    <t xml:space="preserve">F:\images\20210318\plaque 2/@07  Fadrozole 0.4 µg_L Dopé/A7_02.tif </t>
  </si>
  <si>
    <t xml:space="preserve"> 62.8261 </t>
  </si>
  <si>
    <t xml:space="preserve">F:\images\20210318\plaque 2/@07  Fadrozole 0.4 µg_L Dopé/A7_03.tif </t>
  </si>
  <si>
    <t xml:space="preserve"> 2725.3667 </t>
  </si>
  <si>
    <t xml:space="preserve"> 68.3571 </t>
  </si>
  <si>
    <t xml:space="preserve">F:\images\20210318\plaque 2/@07  Fadrozole 0.4 µg_L Dopé/B7_01.tif </t>
  </si>
  <si>
    <t xml:space="preserve"> 3266.1141 </t>
  </si>
  <si>
    <t xml:space="preserve"> 64.1987 </t>
  </si>
  <si>
    <t xml:space="preserve">F:\images\20210318\plaque 2/@07  Fadrozole 0.4 µg_L Dopé/B7_02.tif </t>
  </si>
  <si>
    <t xml:space="preserve"> 63.6971 </t>
  </si>
  <si>
    <t xml:space="preserve">F:\images\20210318\plaque 2/@07  Fadrozole 0.4 µg_L Dopé/B7_03.tif </t>
  </si>
  <si>
    <t xml:space="preserve"> 63.1507 </t>
  </si>
  <si>
    <t xml:space="preserve">F:\images\20210318\plaque 2/@07  Fadrozole 0.4 µg_L Dopé/C7_01.tif </t>
  </si>
  <si>
    <t xml:space="preserve"> 4304.349 </t>
  </si>
  <si>
    <t xml:space="preserve"> 68.5176 </t>
  </si>
  <si>
    <t xml:space="preserve">F:\images\20210318\plaque 2/@07  Fadrozole 0.4 µg_L Dopé/C7_02.tif </t>
  </si>
  <si>
    <t xml:space="preserve"> 71.0472 </t>
  </si>
  <si>
    <t xml:space="preserve">F:\images\20210318\plaque 2/@07  Fadrozole 0.4 µg_L Dopé/C7_03.tif </t>
  </si>
  <si>
    <t xml:space="preserve"> 62.7436 </t>
  </si>
  <si>
    <t xml:space="preserve">F:\images\20210318\plaque 2/@07  Fadrozole 0.4 µg_L Dopé/D7_01.tif </t>
  </si>
  <si>
    <t xml:space="preserve"> 13583.5738 </t>
  </si>
  <si>
    <t xml:space="preserve"> 64.6927 </t>
  </si>
  <si>
    <t xml:space="preserve">F:\images\20210318\plaque 2/@07  Fadrozole 0.4 µg_L Dopé/D7_02.tif </t>
  </si>
  <si>
    <t xml:space="preserve"> 13605.2037 </t>
  </si>
  <si>
    <t xml:space="preserve"> 65.1097 </t>
  </si>
  <si>
    <t xml:space="preserve">F:\images\20210318\plaque 2/@07  Fadrozole 0.4 µg_L Dopé/D7_03.tif </t>
  </si>
  <si>
    <t xml:space="preserve"> 15551.8942 </t>
  </si>
  <si>
    <t xml:space="preserve"> 65.3199 </t>
  </si>
  <si>
    <t xml:space="preserve">F:\images\20210318\plaque 2/@07  Fadrozole 0.4 µg_L Dopé/E7_01.tif </t>
  </si>
  <si>
    <t xml:space="preserve"> 5169.5448 </t>
  </si>
  <si>
    <t xml:space="preserve"> 66.6946 </t>
  </si>
  <si>
    <t xml:space="preserve">F:\images\20210318\plaque 2/@07  Fadrozole 0.4 µg_L Dopé/E7_02.tif </t>
  </si>
  <si>
    <t xml:space="preserve"> 2098.0998 </t>
  </si>
  <si>
    <t xml:space="preserve"> 63.6186 </t>
  </si>
  <si>
    <t xml:space="preserve">F:\images\20210318\plaque 2/@07  Fadrozole 0.4 µg_L Dopé/E7_03.tif </t>
  </si>
  <si>
    <t xml:space="preserve"> 63.4017 </t>
  </si>
  <si>
    <t xml:space="preserve">F:\images\20210318\plaque 2/@07  Fadrozole 0.4 µg_L Dopé/F7_01.tif </t>
  </si>
  <si>
    <t xml:space="preserve"> 4066.4202 </t>
  </si>
  <si>
    <t xml:space="preserve"> 64.633 </t>
  </si>
  <si>
    <t xml:space="preserve">F:\images\20210318\plaque 2/@07  Fadrozole 0.4 µg_L Dopé/F7_02.tif </t>
  </si>
  <si>
    <t xml:space="preserve"> 5320.9541 </t>
  </si>
  <si>
    <t xml:space="preserve"> 65.4228 </t>
  </si>
  <si>
    <t xml:space="preserve">F:\images\20210318\plaque 2/@07  Fadrozole 0.4 µg_L Dopé/F7_03.tif </t>
  </si>
  <si>
    <t xml:space="preserve"> 6424.0787 </t>
  </si>
  <si>
    <t xml:space="preserve"> 66.5657 </t>
  </si>
  <si>
    <t xml:space="preserve">F:\images\20210318\plaque 2/@07  Fadrozole 0.4 µg_L Dopé/G7_01.tif </t>
  </si>
  <si>
    <t xml:space="preserve"> 23295.3965 </t>
  </si>
  <si>
    <t xml:space="preserve"> 66.9331 </t>
  </si>
  <si>
    <t xml:space="preserve">F:\images\20210318\plaque 2/@07  Fadrozole 0.4 µg_L Dopé/G7_02.tif </t>
  </si>
  <si>
    <t xml:space="preserve"> 21781.3039 </t>
  </si>
  <si>
    <t xml:space="preserve"> 67.5303 </t>
  </si>
  <si>
    <t xml:space="preserve">F:\images\20210318\plaque 2/@07  Fadrozole 0.4 µg_L Dopé/G7_03.tif </t>
  </si>
  <si>
    <t xml:space="preserve"> 23533.3254 </t>
  </si>
  <si>
    <t xml:space="preserve"> 66.4237 </t>
  </si>
  <si>
    <t xml:space="preserve">F:\images\20210318\plaque 2/@07  Fadrozole 0.4 µg_L Dopé/H7_01.tif </t>
  </si>
  <si>
    <t xml:space="preserve"> 23879.4037 </t>
  </si>
  <si>
    <t xml:space="preserve"> 64.9547 </t>
  </si>
  <si>
    <t xml:space="preserve">F:\images\20210318\plaque 2/@07  Fadrozole 0.4 µg_L Dopé/H7_02.tif </t>
  </si>
  <si>
    <t xml:space="preserve"> 65.9807 </t>
  </si>
  <si>
    <t xml:space="preserve">F:\images\20210318\plaque 2/@07  Fadrozole 0.4 µg_L Dopé/H7_03.tif </t>
  </si>
  <si>
    <t xml:space="preserve"> 16590.1292 </t>
  </si>
  <si>
    <t xml:space="preserve"> 65.8083 </t>
  </si>
  <si>
    <t xml:space="preserve">F:\images\20210318\plaque 2/@07  Fadrozole 0.4 µg_L Dopé/ </t>
  </si>
  <si>
    <t xml:space="preserve"> 65.4657 </t>
  </si>
  <si>
    <t xml:space="preserve"> 2.0513 </t>
  </si>
  <si>
    <t xml:space="preserve"> 591631.75 </t>
  </si>
  <si>
    <t xml:space="preserve"> 542848.324 </t>
  </si>
  <si>
    <t xml:space="preserve">F:\images\20210318\plaque 2/@08  Fadrozole 2 µg_L Dopé/A8_01.tif </t>
  </si>
  <si>
    <t xml:space="preserve"> 63.6 </t>
  </si>
  <si>
    <t xml:space="preserve">F:\images\20210318\plaque 2/@08  Fadrozole 2 µg_L Dopé/A8_02.tif </t>
  </si>
  <si>
    <t xml:space="preserve">F:\images\20210318\plaque 2/@08  Fadrozole 2 µg_L Dopé/A8_03.tif </t>
  </si>
  <si>
    <t xml:space="preserve"> 62.7 </t>
  </si>
  <si>
    <t xml:space="preserve">F:\images\20210318\plaque 2/@08  Fadrozole 2 µg_L Dopé/B8_01.tif </t>
  </si>
  <si>
    <t xml:space="preserve"> 11182.6555 </t>
  </si>
  <si>
    <t xml:space="preserve"> 76.3482 </t>
  </si>
  <si>
    <t xml:space="preserve">F:\images\20210318\plaque 2/@08  Fadrozole 2 µg_L Dopé/B8_02.tif </t>
  </si>
  <si>
    <t xml:space="preserve"> 63.3922 </t>
  </si>
  <si>
    <t xml:space="preserve">F:\images\20210318\plaque 2/@08  Fadrozole 2 µg_L Dopé/B8_03.tif </t>
  </si>
  <si>
    <t xml:space="preserve"> 8111.2105 </t>
  </si>
  <si>
    <t xml:space="preserve"> 75.512 </t>
  </si>
  <si>
    <t xml:space="preserve">F:\images\20210318\plaque 2/@08  Fadrozole 2 µg_L Dopé/C8_01.tif </t>
  </si>
  <si>
    <t xml:space="preserve">F:\images\20210318\plaque 2/@08  Fadrozole 2 µg_L Dopé/C8_02.tif </t>
  </si>
  <si>
    <t xml:space="preserve"> 1038.2349 </t>
  </si>
  <si>
    <t xml:space="preserve">F:\images\20210318\plaque 2/@08  Fadrozole 2 µg_L Dopé/C8_03.tif </t>
  </si>
  <si>
    <t xml:space="preserve"> 62.0667 </t>
  </si>
  <si>
    <t xml:space="preserve">F:\images\20210318\plaque 2/@08  Fadrozole 2 µg_L Dopé/D8_01.tif </t>
  </si>
  <si>
    <t xml:space="preserve"> 62.9091 </t>
  </si>
  <si>
    <t xml:space="preserve">F:\images\20210318\plaque 2/@08  Fadrozole 2 µg_L Dopé/D8_02.tif </t>
  </si>
  <si>
    <t xml:space="preserve"> 62.5833 </t>
  </si>
  <si>
    <t xml:space="preserve">F:\images\20210318\plaque 2/@08  Fadrozole 2 µg_L Dopé/D8_03.tif </t>
  </si>
  <si>
    <t xml:space="preserve"> 62.5 </t>
  </si>
  <si>
    <t xml:space="preserve">F:\images\20210318\plaque 2/@08  Fadrozole 2 µg_L Dopé/E8_01.tif </t>
  </si>
  <si>
    <t xml:space="preserve"> 2552.3276 </t>
  </si>
  <si>
    <t xml:space="preserve"> 65.1525 </t>
  </si>
  <si>
    <t xml:space="preserve">F:\images\20210318\plaque 2/@08  Fadrozole 2 µg_L Dopé/E8_02.tif </t>
  </si>
  <si>
    <t xml:space="preserve"> 64.3676 </t>
  </si>
  <si>
    <t xml:space="preserve">F:\images\20210318\plaque 2/@08  Fadrozole 2 µg_L Dopé/E8_03.tif </t>
  </si>
  <si>
    <t xml:space="preserve"> 1211.2741 </t>
  </si>
  <si>
    <t xml:space="preserve"> 65.3036 </t>
  </si>
  <si>
    <t xml:space="preserve">F:\images\20210318\plaque 2/@08  Fadrozole 2 µg_L Dopé/F8_01.tif </t>
  </si>
  <si>
    <t xml:space="preserve"> 5731.9221 </t>
  </si>
  <si>
    <t xml:space="preserve"> 80.7698 </t>
  </si>
  <si>
    <t xml:space="preserve">F:\images\20210318\plaque 2/@08  Fadrozole 2 µg_L Dopé/F8_02.tif </t>
  </si>
  <si>
    <t xml:space="preserve">F:\images\20210318\plaque 2/@08  Fadrozole 2 µg_L Dopé/F8_03.tif </t>
  </si>
  <si>
    <t xml:space="preserve"> 75.7453 </t>
  </si>
  <si>
    <t xml:space="preserve">F:\images\20210318\plaque 2/@08  Fadrozole 2 µg_L Dopé/G8_01.tif </t>
  </si>
  <si>
    <t xml:space="preserve">F:\images\20210318\plaque 2/@08  Fadrozole 2 µg_L Dopé/G8_02.tif </t>
  </si>
  <si>
    <t xml:space="preserve"> 62.3529 </t>
  </si>
  <si>
    <t xml:space="preserve">F:\images\20210318\plaque 2/@08  Fadrozole 2 µg_L Dopé/G8_03.tif </t>
  </si>
  <si>
    <t xml:space="preserve"> 63.2308 </t>
  </si>
  <si>
    <t xml:space="preserve">F:\images\20210318\plaque 2/@08  Fadrozole 2 µg_L Dopé/H8_01.tif </t>
  </si>
  <si>
    <t xml:space="preserve"> 1514.0926 </t>
  </si>
  <si>
    <t xml:space="preserve"> 64.2286 </t>
  </si>
  <si>
    <t xml:space="preserve">F:\images\20210318\plaque 2/@08  Fadrozole 2 µg_L Dopé/H8_02.tif </t>
  </si>
  <si>
    <t xml:space="preserve"> 64.8897 </t>
  </si>
  <si>
    <t xml:space="preserve"> 67.6667 </t>
  </si>
  <si>
    <t xml:space="preserve">F:\images\20210318\plaque 2/@08  Fadrozole 2 µg_L Dopé/H8_03.tif </t>
  </si>
  <si>
    <t xml:space="preserve">F:\images\20210318\plaque 2/@08  Fadrozole 2 µg_L Dopé/ </t>
  </si>
  <si>
    <t xml:space="preserve"> 65.8758 </t>
  </si>
  <si>
    <t xml:space="preserve"> 5.3312 </t>
  </si>
  <si>
    <t xml:space="preserve"> 126059.958 </t>
  </si>
  <si>
    <t xml:space="preserve"> 216084.607 </t>
  </si>
  <si>
    <t xml:space="preserve">F:\images\20210318\plaque 2/@09  Fadrozole 10 µg_L Dopé/A9_01.tif </t>
  </si>
  <si>
    <t xml:space="preserve"> 64.9 </t>
  </si>
  <si>
    <t xml:space="preserve">F:\images\20210318\plaque 2/@09  Fadrozole 10 µg_L Dopé/A9_02.tif </t>
  </si>
  <si>
    <t xml:space="preserve">F:\images\20210318\plaque 2/@09  Fadrozole 10 µg_L Dopé/A9_03.tif </t>
  </si>
  <si>
    <t xml:space="preserve"> 62.0909 </t>
  </si>
  <si>
    <t xml:space="preserve">F:\images\20210318\plaque 2/@09  Fadrozole 10 µg_L Dopé/B9_01.tif </t>
  </si>
  <si>
    <t xml:space="preserve"> 62.7222 </t>
  </si>
  <si>
    <t>F:\images\20210318\plaque 2/@09  Fadrozole 10 µg_L Dopé/B9_02- exclu.tif</t>
  </si>
  <si>
    <t xml:space="preserve">F:\images\20210318\plaque 2/@09  Fadrozole 10 µg_L Dopé/B9_03.tif </t>
  </si>
  <si>
    <t xml:space="preserve">F:\images\20210318\plaque 2/@09  Fadrozole 10 µg_L Dopé/C9_01.tif </t>
  </si>
  <si>
    <t xml:space="preserve">F:\images\20210318\plaque 2/@09  Fadrozole 10 µg_L Dopé/C9_02.tif </t>
  </si>
  <si>
    <t xml:space="preserve"> 63.1209 </t>
  </si>
  <si>
    <t xml:space="preserve">F:\images\20210318\plaque 2/@09  Fadrozole 10 µg_L Dopé/C9_03.tif </t>
  </si>
  <si>
    <t xml:space="preserve"> 63.2353 </t>
  </si>
  <si>
    <t xml:space="preserve">F:\images\20210318\plaque 2/@09  Fadrozole 10 µg_L Dopé/D9_01.tif </t>
  </si>
  <si>
    <t xml:space="preserve"> 64.875 </t>
  </si>
  <si>
    <t xml:space="preserve">F:\images\20210318\plaque 2/@09  Fadrozole 10 µg_L Dopé/D9_02.tif </t>
  </si>
  <si>
    <t xml:space="preserve">F:\images\20210318\plaque 2/@09  Fadrozole 10 µg_L Dopé/D9_03.tif </t>
  </si>
  <si>
    <t xml:space="preserve">F:\images\20210318\plaque 2/@09  Fadrozole 10 µg_L Dopé/E9_01.tif </t>
  </si>
  <si>
    <t xml:space="preserve">F:\images\20210318\plaque 2/@09  Fadrozole 10 µg_L Dopé/E9_02.tif </t>
  </si>
  <si>
    <t>F:\images\20210318\plaque 2/@09  Fadrozole 10 µg_L Dopé/E9_03- exclu.tif</t>
  </si>
  <si>
    <t xml:space="preserve">F:\images\20210318\plaque 2/@09  Fadrozole 10 µg_L Dopé/F9_01.tif </t>
  </si>
  <si>
    <t xml:space="preserve"> 62.2174 </t>
  </si>
  <si>
    <t>F:\images\20210318\plaque 2/@09  Fadrozole 10 µg_L Dopé/F9_02- exclu.tif</t>
  </si>
  <si>
    <t xml:space="preserve">F:\images\20210318\plaque 2/@09  Fadrozole 10 µg_L Dopé/F9_03.tif </t>
  </si>
  <si>
    <t xml:space="preserve">F:\images\20210318\plaque 2/@09  Fadrozole 10 µg_L Dopé/G9_01.tif </t>
  </si>
  <si>
    <t xml:space="preserve"> 4801.8366 </t>
  </si>
  <si>
    <t xml:space="preserve"> 69.4279 </t>
  </si>
  <si>
    <t xml:space="preserve">F:\images\20210318\plaque 2/@09  Fadrozole 10 µg_L Dopé/G9_02.tif </t>
  </si>
  <si>
    <t xml:space="preserve"> 3806.8615 </t>
  </si>
  <si>
    <t xml:space="preserve"> 68.983 </t>
  </si>
  <si>
    <t xml:space="preserve">F:\images\20210318\plaque 2/@09  Fadrozole 10 µg_L Dopé/G9_03.tif </t>
  </si>
  <si>
    <t xml:space="preserve"> 3157.9646 </t>
  </si>
  <si>
    <t xml:space="preserve"> 68.2534 </t>
  </si>
  <si>
    <t xml:space="preserve">F:\images\20210318\plaque 2/@09  Fadrozole 10 µg_L Dopé/H9_01.tif </t>
  </si>
  <si>
    <t xml:space="preserve">F:\images\20210318\plaque 2/@09  Fadrozole 10 µg_L Dopé/H9_02.tif </t>
  </si>
  <si>
    <t xml:space="preserve"> 65.5 </t>
  </si>
  <si>
    <t xml:space="preserve">F:\images\20210318\plaque 2/@09  Fadrozole 10 µg_L Dopé/H9_03.tif </t>
  </si>
  <si>
    <t xml:space="preserve">F:\images\20210318\plaque 2/@09  Fadrozole 10 µg_L Dopé/ </t>
  </si>
  <si>
    <t xml:space="preserve"> 64.4414 </t>
  </si>
  <si>
    <t xml:space="preserve"> 2.3584 </t>
  </si>
  <si>
    <t xml:space="preserve"> 56776.6667 </t>
  </si>
  <si>
    <t xml:space="preserve"> 90292.9683 </t>
  </si>
  <si>
    <t>Colonne1</t>
  </si>
  <si>
    <t>01 Evian + 0.2% DMSO</t>
  </si>
  <si>
    <t>02 EE2 33.8</t>
  </si>
  <si>
    <t>03 EE2 50.6</t>
  </si>
  <si>
    <t>04 EE2 76</t>
  </si>
  <si>
    <t>05 EE2 114</t>
  </si>
  <si>
    <t>06 EE2 170.9</t>
  </si>
  <si>
    <t>07 EE2 488</t>
  </si>
  <si>
    <t>08 Fadrozole 0.016 µg_L</t>
  </si>
  <si>
    <t>09 Fadrozole 0.08 µg_L</t>
  </si>
  <si>
    <t>10 Fadrozole 0.4 µg_L</t>
  </si>
  <si>
    <t>11 Fadrozole 2 µg_L</t>
  </si>
  <si>
    <t>12 Fadrozole 10 µg_L</t>
  </si>
  <si>
    <t>01 Testo 30</t>
  </si>
  <si>
    <t>02 Testo 30</t>
  </si>
  <si>
    <t>03 Testo+ EE2 64</t>
  </si>
  <si>
    <t>04 Testo+ FAD</t>
  </si>
  <si>
    <t>05 Fadrozole 0.016 µg_L Dopé</t>
  </si>
  <si>
    <t>06  Fadrozole 0.08 µg_L Dopé</t>
  </si>
  <si>
    <t>07  Fadrozole 0.4 µg_L Dopé</t>
  </si>
  <si>
    <t>08  Fadrozole 2 µg_L Dopé</t>
  </si>
  <si>
    <t>09  Fadrozole 10 µg_L Dopé</t>
  </si>
  <si>
    <t>B</t>
  </si>
  <si>
    <t>C</t>
  </si>
  <si>
    <t>D</t>
  </si>
  <si>
    <t>E</t>
  </si>
  <si>
    <t>F</t>
  </si>
  <si>
    <t>G</t>
  </si>
  <si>
    <t>H</t>
  </si>
  <si>
    <t>Fadrozole-0,016 µg/L + Testostérone</t>
  </si>
  <si>
    <t>Fadrozole-0,08µg/L + Testostérone</t>
  </si>
  <si>
    <t>Fadrozole-0,4µg/L + Testostérone</t>
  </si>
  <si>
    <t>Fadrozole-2µg/L + Testostérone</t>
  </si>
  <si>
    <t>Fadrozole-10 µg/L + Testostérone</t>
  </si>
  <si>
    <t>KRUSTALL WALLIS</t>
  </si>
  <si>
    <t xml:space="preserve">F:\images\20210324\plaque 1/@01 Evian + 0.2% DMSO/A1_01.tif </t>
  </si>
  <si>
    <t xml:space="preserve"> 65.4853 </t>
  </si>
  <si>
    <t xml:space="preserve">F:\images\20210324\plaque 1/@01 Evian + 0.2% DMSO/A1_02.tif </t>
  </si>
  <si>
    <t xml:space="preserve"> 64.9762 </t>
  </si>
  <si>
    <t xml:space="preserve">F:\images\20210324\plaque 1/@01 Evian + 0.2% DMSO/A1_03.tif </t>
  </si>
  <si>
    <t xml:space="preserve">F:\images\20210324\plaque 1/@01 Evian + 0.2% DMSO/B1_01.tif </t>
  </si>
  <si>
    <t xml:space="preserve"> 64.9231 </t>
  </si>
  <si>
    <t xml:space="preserve">F:\images\20210324\plaque 1/@01 Evian + 0.2% DMSO/B1_02.tif </t>
  </si>
  <si>
    <t xml:space="preserve"> 63.0769 </t>
  </si>
  <si>
    <t xml:space="preserve">F:\images\20210324\plaque 1/@01 Evian + 0.2% DMSO/B1_03.tif </t>
  </si>
  <si>
    <t xml:space="preserve"> 3720.3419 </t>
  </si>
  <si>
    <t xml:space="preserve"> 66.1744 </t>
  </si>
  <si>
    <t xml:space="preserve">F:\images\20210324\plaque 1/@01 Evian + 0.2% DMSO/C1_01.tif </t>
  </si>
  <si>
    <t xml:space="preserve"> 3871.7511 </t>
  </si>
  <si>
    <t xml:space="preserve"> 65.9218 </t>
  </si>
  <si>
    <t xml:space="preserve">F:\images\20210324\plaque 1/@01 Evian + 0.2% DMSO/C1_02.tif </t>
  </si>
  <si>
    <t xml:space="preserve"> 63.4444 </t>
  </si>
  <si>
    <t xml:space="preserve">F:\images\20210324\plaque 1/@01 Evian + 0.2% DMSO/C1_03.tif </t>
  </si>
  <si>
    <t xml:space="preserve"> 63.04 </t>
  </si>
  <si>
    <t xml:space="preserve">F:\images\20210324\plaque 1/@01 Evian + 0.2% DMSO/D1_01.tif </t>
  </si>
  <si>
    <t xml:space="preserve"> 6056.3705 </t>
  </si>
  <si>
    <t xml:space="preserve"> 71.5857 </t>
  </si>
  <si>
    <t xml:space="preserve">F:\images\20210324\plaque 1/@01 Evian + 0.2% DMSO/D1_02.tif </t>
  </si>
  <si>
    <t xml:space="preserve"> 2509.0678 </t>
  </si>
  <si>
    <t xml:space="preserve"> 64.5862 </t>
  </si>
  <si>
    <t xml:space="preserve">F:\images\20210324\plaque 1/@01 Evian + 0.2% DMSO/D1_03.tif </t>
  </si>
  <si>
    <t xml:space="preserve"> 4542.2779 </t>
  </si>
  <si>
    <t xml:space="preserve"> 71.1524 </t>
  </si>
  <si>
    <t xml:space="preserve">F:\images\20210324\plaque 1/@01 Evian + 0.2% DMSO/E1_01.tif </t>
  </si>
  <si>
    <t xml:space="preserve"> 1838.541 </t>
  </si>
  <si>
    <t xml:space="preserve"> 65.0235 </t>
  </si>
  <si>
    <t xml:space="preserve">F:\images\20210324\plaque 1/@01 Evian + 0.2% DMSO/E1_02.tif </t>
  </si>
  <si>
    <t xml:space="preserve"> 1427.573 </t>
  </si>
  <si>
    <t xml:space="preserve"> 66.4697 </t>
  </si>
  <si>
    <t xml:space="preserve">F:\images\20210324\plaque 1/@01 Evian + 0.2% DMSO/E1_03.tif </t>
  </si>
  <si>
    <t xml:space="preserve"> 1600.6122 </t>
  </si>
  <si>
    <t xml:space="preserve"> 66.3649 </t>
  </si>
  <si>
    <t xml:space="preserve">F:\images\20210324\plaque 1/@01 Evian + 0.2% DMSO/F1_01.tif </t>
  </si>
  <si>
    <t xml:space="preserve"> 63.7632 </t>
  </si>
  <si>
    <t xml:space="preserve">F:\images\20210324\plaque 1/@01 Evian + 0.2% DMSO/F1_02.tif </t>
  </si>
  <si>
    <t xml:space="preserve">F:\images\20210324\plaque 1/@01 Evian + 0.2% DMSO/F1_03.tif </t>
  </si>
  <si>
    <t xml:space="preserve"> 5904.9612 </t>
  </si>
  <si>
    <t xml:space="preserve"> 66.9927 </t>
  </si>
  <si>
    <t xml:space="preserve">F:\images\20210324\plaque 1/@01 Evian + 0.2% DMSO/G1_01.tif </t>
  </si>
  <si>
    <t xml:space="preserve"> 63.1818 </t>
  </si>
  <si>
    <t xml:space="preserve">F:\images\20210324\plaque 1/@01 Evian + 0.2% DMSO/G1_02.tif </t>
  </si>
  <si>
    <t xml:space="preserve"> 584.0072 </t>
  </si>
  <si>
    <t xml:space="preserve">F:\images\20210324\plaque 1/@01 Evian + 0.2% DMSO/G1_03.tif </t>
  </si>
  <si>
    <t xml:space="preserve"> 64.7071 </t>
  </si>
  <si>
    <t xml:space="preserve">F:\images\20210324\plaque 1/@01 Evian + 0.2% DMSO/H1_01.tif </t>
  </si>
  <si>
    <t xml:space="preserve"> 1016.605 </t>
  </si>
  <si>
    <t xml:space="preserve"> 66.6383 </t>
  </si>
  <si>
    <t xml:space="preserve">F:\images\20210324\plaque 1/@01 Evian + 0.2% DMSO/H1_02.tif </t>
  </si>
  <si>
    <t xml:space="preserve"> 61.6667 </t>
  </si>
  <si>
    <t xml:space="preserve">F:\images\20210324\plaque 1/@01 Evian + 0.2% DMSO/H1_03.tif </t>
  </si>
  <si>
    <t xml:space="preserve">F:\images\20210324\plaque 1/@01 Evian + 0.2% DMSO/ </t>
  </si>
  <si>
    <t xml:space="preserve"> 65.2374 </t>
  </si>
  <si>
    <t xml:space="preserve"> 2.3807 </t>
  </si>
  <si>
    <t xml:space="preserve"> 123086.667 </t>
  </si>
  <si>
    <t xml:space="preserve"> 122192.015 </t>
  </si>
  <si>
    <t xml:space="preserve">F:\images\20210324\plaque 1/@02 EE2 33.8/A2_01.tif </t>
  </si>
  <si>
    <t xml:space="preserve"> 70.1842 </t>
  </si>
  <si>
    <t>F:\images\20210324\plaque 1/@02 EE2 33.8/A2_02- exclu.tif</t>
  </si>
  <si>
    <t xml:space="preserve">F:\images\20210324\plaque 1/@02 EE2 33.8/A2_03.tif </t>
  </si>
  <si>
    <t xml:space="preserve"> 67.9444 </t>
  </si>
  <si>
    <t xml:space="preserve">F:\images\20210324\plaque 1/@02 EE2 33.8/B2_01.tif </t>
  </si>
  <si>
    <t xml:space="preserve"> 63.2486 </t>
  </si>
  <si>
    <t xml:space="preserve">F:\images\20210324\plaque 1/@02 EE2 33.8/B2_02.tif </t>
  </si>
  <si>
    <t xml:space="preserve"> 3093.0749 </t>
  </si>
  <si>
    <t xml:space="preserve">F:\images\20210324\plaque 1/@02 EE2 33.8/B2_03.tif </t>
  </si>
  <si>
    <t xml:space="preserve"> 4628.7975 </t>
  </si>
  <si>
    <t xml:space="preserve"> 65.528 </t>
  </si>
  <si>
    <t xml:space="preserve">F:\images\20210324\plaque 1/@02 EE2 33.8/C2_01.tif </t>
  </si>
  <si>
    <t xml:space="preserve"> 7786.7621 </t>
  </si>
  <si>
    <t xml:space="preserve"> 66.6528 </t>
  </si>
  <si>
    <t xml:space="preserve">F:\images\20210324\plaque 1/@02 EE2 33.8/C2_02.tif </t>
  </si>
  <si>
    <t xml:space="preserve"> 9863.232 </t>
  </si>
  <si>
    <t xml:space="preserve"> 67.9693 </t>
  </si>
  <si>
    <t xml:space="preserve">F:\images\20210324\plaque 1/@02 EE2 33.8/C2_03.tif </t>
  </si>
  <si>
    <t xml:space="preserve"> 69.0328 </t>
  </si>
  <si>
    <t xml:space="preserve">F:\images\20210324\plaque 1/@02 EE2 33.8/D2_01.tif </t>
  </si>
  <si>
    <t xml:space="preserve"> 9127.8155 </t>
  </si>
  <si>
    <t xml:space="preserve"> 72.9953 </t>
  </si>
  <si>
    <t xml:space="preserve">F:\images\20210324\plaque 1/@02 EE2 33.8/D2_02.tif </t>
  </si>
  <si>
    <t xml:space="preserve"> 9646.933 </t>
  </si>
  <si>
    <t xml:space="preserve"> 73.843 </t>
  </si>
  <si>
    <t xml:space="preserve">F:\images\20210324\plaque 1/@02 EE2 33.8/D2_03.tif </t>
  </si>
  <si>
    <t xml:space="preserve"> 7830.0219 </t>
  </si>
  <si>
    <t xml:space="preserve"> 75.6354 </t>
  </si>
  <si>
    <t xml:space="preserve">F:\images\20210324\plaque 1/@02 EE2 33.8/E2_01.tif </t>
  </si>
  <si>
    <t xml:space="preserve"> 63.2895 </t>
  </si>
  <si>
    <t xml:space="preserve">F:\images\20210324\plaque 1/@02 EE2 33.8/E2_02.tif </t>
  </si>
  <si>
    <t xml:space="preserve"> 64.175 </t>
  </si>
  <si>
    <t xml:space="preserve">F:\images\20210324\plaque 1/@02 EE2 33.8/E2_03.tif </t>
  </si>
  <si>
    <t xml:space="preserve"> 66.9141 </t>
  </si>
  <si>
    <t xml:space="preserve">F:\images\20210324\plaque 1/@02 EE2 33.8/F2_01.tif </t>
  </si>
  <si>
    <t xml:space="preserve"> 5796.8118 </t>
  </si>
  <si>
    <t xml:space="preserve"> 72.2537 </t>
  </si>
  <si>
    <t xml:space="preserve">F:\images\20210324\plaque 1/@02 EE2 33.8/F2_02.tif </t>
  </si>
  <si>
    <t xml:space="preserve"> 68.32 </t>
  </si>
  <si>
    <t xml:space="preserve">F:\images\20210324\plaque 1/@02 EE2 33.8/F2_03.tif </t>
  </si>
  <si>
    <t xml:space="preserve"> 66.0286 </t>
  </si>
  <si>
    <t xml:space="preserve">F:\images\20210324\plaque 1/@02 EE2 33.8/G2_01.tif </t>
  </si>
  <si>
    <t xml:space="preserve">F:\images\20210324\plaque 1/@02 EE2 33.8/G2_02.tif </t>
  </si>
  <si>
    <t xml:space="preserve"> 63.1111 </t>
  </si>
  <si>
    <t xml:space="preserve">F:\images\20210324\plaque 1/@02 EE2 33.8/G2_03.tif </t>
  </si>
  <si>
    <t xml:space="preserve"> 86.5196 </t>
  </si>
  <si>
    <t xml:space="preserve"> 61.25 </t>
  </si>
  <si>
    <t>F:\images\20210324\plaque 1/@02 EE2 33.8/H2_01- exclu.tif</t>
  </si>
  <si>
    <t xml:space="preserve">F:\images\20210324\plaque 1/@02 EE2 33.8/H2_02.tif </t>
  </si>
  <si>
    <t xml:space="preserve"> 5039.7654 </t>
  </si>
  <si>
    <t xml:space="preserve"> 69.6438 </t>
  </si>
  <si>
    <t xml:space="preserve">F:\images\20210324\plaque 1/@02 EE2 33.8/H2_03.tif </t>
  </si>
  <si>
    <t xml:space="preserve"> 4347.6088 </t>
  </si>
  <si>
    <t xml:space="preserve"> 68.7264 </t>
  </si>
  <si>
    <t xml:space="preserve">F:\images\20210324\plaque 1/@02 EE2 33.8/ </t>
  </si>
  <si>
    <t xml:space="preserve"> 67.5324 </t>
  </si>
  <si>
    <t xml:space="preserve"> 4.2608 </t>
  </si>
  <si>
    <t xml:space="preserve"> 305334.792 </t>
  </si>
  <si>
    <t xml:space="preserve"> 237005.496 </t>
  </si>
  <si>
    <t xml:space="preserve">F:\images\20210324\plaque 1/@03 EE2 50.6/A3_01.tif </t>
  </si>
  <si>
    <t xml:space="preserve"> 66.717 </t>
  </si>
  <si>
    <t xml:space="preserve">F:\images\20210324\plaque 1/@03 EE2 50.6/A3_02.tif </t>
  </si>
  <si>
    <t xml:space="preserve"> 2076.4699 </t>
  </si>
  <si>
    <t xml:space="preserve"> 65.7812 </t>
  </si>
  <si>
    <t xml:space="preserve">F:\images\20210324\plaque 1/@03 EE2 50.6/A3_03.tif </t>
  </si>
  <si>
    <t xml:space="preserve"> 65.2235 </t>
  </si>
  <si>
    <t xml:space="preserve">F:\images\20210324\plaque 1/@03 EE2 50.6/B3_01.tif </t>
  </si>
  <si>
    <t xml:space="preserve"> 68.6085 </t>
  </si>
  <si>
    <t xml:space="preserve">F:\images\20210324\plaque 1/@03 EE2 50.6/B3_02.tif </t>
  </si>
  <si>
    <t xml:space="preserve"> 1622.2421 </t>
  </si>
  <si>
    <t xml:space="preserve"> 66.76 </t>
  </si>
  <si>
    <t xml:space="preserve">F:\images\20210324\plaque 1/@03 EE2 50.6/B3_03.tif </t>
  </si>
  <si>
    <t xml:space="preserve"> 64.7105 </t>
  </si>
  <si>
    <t xml:space="preserve">F:\images\20210324\plaque 1/@03 EE2 50.6/C3_01.tif </t>
  </si>
  <si>
    <t xml:space="preserve"> 64.5484 </t>
  </si>
  <si>
    <t xml:space="preserve">F:\images\20210324\plaque 1/@03 EE2 50.6/C3_02.tif </t>
  </si>
  <si>
    <t xml:space="preserve"> 68.8333 </t>
  </si>
  <si>
    <t xml:space="preserve">F:\images\20210324\plaque 1/@03 EE2 50.6/C3_03.tif </t>
  </si>
  <si>
    <t xml:space="preserve"> 63.6957 </t>
  </si>
  <si>
    <t xml:space="preserve">F:\images\20210324\plaque 1/@03 EE2 50.6/D3_01.tif </t>
  </si>
  <si>
    <t xml:space="preserve"> 4044.7903 </t>
  </si>
  <si>
    <t xml:space="preserve"> 66.6096 </t>
  </si>
  <si>
    <t xml:space="preserve">F:\images\20210324\plaque 1/@03 EE2 50.6/D3_02.tif </t>
  </si>
  <si>
    <t xml:space="preserve"> 63.6774 </t>
  </si>
  <si>
    <t xml:space="preserve">F:\images\20210324\plaque 1/@03 EE2 50.6/D3_03.tif </t>
  </si>
  <si>
    <t xml:space="preserve"> 69.4561 </t>
  </si>
  <si>
    <t xml:space="preserve">F:\images\20210324\plaque 1/@03 EE2 50.6/E3_01.tif </t>
  </si>
  <si>
    <t xml:space="preserve"> 12437.1894 </t>
  </si>
  <si>
    <t xml:space="preserve"> 65.5165 </t>
  </si>
  <si>
    <t xml:space="preserve">F:\images\20210324\plaque 1/@03 EE2 50.6/E3_02.tif </t>
  </si>
  <si>
    <t xml:space="preserve"> 11290.805 </t>
  </si>
  <si>
    <t xml:space="preserve"> 65.3295 </t>
  </si>
  <si>
    <t xml:space="preserve">F:\images\20210324\plaque 1/@03 EE2 50.6/E3_03.tif </t>
  </si>
  <si>
    <t xml:space="preserve"> 65.0485 </t>
  </si>
  <si>
    <t xml:space="preserve">F:\images\20210324\plaque 1/@03 EE2 50.6/F3_01.tif </t>
  </si>
  <si>
    <t xml:space="preserve"> 69.9048 </t>
  </si>
  <si>
    <t xml:space="preserve">F:\images\20210324\plaque 1/@03 EE2 50.6/F3_02.tif </t>
  </si>
  <si>
    <t xml:space="preserve"> 64.8 </t>
  </si>
  <si>
    <t xml:space="preserve">F:\images\20210324\plaque 1/@03 EE2 50.6/F3_03.tif </t>
  </si>
  <si>
    <t xml:space="preserve">F:\images\20210324\plaque 1/@03 EE2 50.6/G3_01.tif </t>
  </si>
  <si>
    <t xml:space="preserve"> 6488.9684 </t>
  </si>
  <si>
    <t xml:space="preserve"> 68.4033 </t>
  </si>
  <si>
    <t xml:space="preserve">F:\images\20210324\plaque 1/@03 EE2 50.6/G3_02.tif </t>
  </si>
  <si>
    <t xml:space="preserve"> 66.4207 </t>
  </si>
  <si>
    <t xml:space="preserve">F:\images\20210324\plaque 1/@03 EE2 50.6/G3_03.tif </t>
  </si>
  <si>
    <t xml:space="preserve">F:\images\20210324\plaque 1/@03 EE2 50.6/H3_01.tif </t>
  </si>
  <si>
    <t xml:space="preserve"> 4845.0964 </t>
  </si>
  <si>
    <t xml:space="preserve"> 69.3973 </t>
  </si>
  <si>
    <t xml:space="preserve">F:\images\20210324\plaque 1/@03 EE2 50.6/H3_02.tif </t>
  </si>
  <si>
    <t xml:space="preserve"> 6770.157 </t>
  </si>
  <si>
    <t xml:space="preserve"> 73.3131 </t>
  </si>
  <si>
    <t xml:space="preserve">F:\images\20210324\plaque 1/@03 EE2 50.6/H3_03.tif </t>
  </si>
  <si>
    <t xml:space="preserve"> 71.6025 </t>
  </si>
  <si>
    <t xml:space="preserve">F:\images\20210324\plaque 1/@03 EE2 50.6/ </t>
  </si>
  <si>
    <t xml:space="preserve"> 66.657 </t>
  </si>
  <si>
    <t xml:space="preserve"> 2.7634 </t>
  </si>
  <si>
    <t xml:space="preserve"> 261190.875 </t>
  </si>
  <si>
    <t xml:space="preserve"> 271331.607 </t>
  </si>
  <si>
    <t xml:space="preserve">F:\images\20210324\plaque 1/@04 EE2 76/A4_01.tif </t>
  </si>
  <si>
    <t xml:space="preserve"> 64.9207 </t>
  </si>
  <si>
    <t xml:space="preserve">F:\images\20210324\plaque 1/@04 EE2 76/A4_02.tif </t>
  </si>
  <si>
    <t xml:space="preserve"> 64.3932 </t>
  </si>
  <si>
    <t xml:space="preserve">F:\images\20210324\plaque 1/@04 EE2 76/A4_03.tif </t>
  </si>
  <si>
    <t xml:space="preserve"> 2811.8863 </t>
  </si>
  <si>
    <t xml:space="preserve"> 64.9692 </t>
  </si>
  <si>
    <t xml:space="preserve">F:\images\20210324\plaque 1/@04 EE2 76/B4_01.tif </t>
  </si>
  <si>
    <t xml:space="preserve"> 64.832 </t>
  </si>
  <si>
    <t xml:space="preserve">F:\images\20210324\plaque 1/@04 EE2 76/B4_02.tif </t>
  </si>
  <si>
    <t xml:space="preserve"> 8781.7372 </t>
  </si>
  <si>
    <t xml:space="preserve"> 64.6527 </t>
  </si>
  <si>
    <t xml:space="preserve">F:\images\20210324\plaque 1/@04 EE2 76/B4_03.tif </t>
  </si>
  <si>
    <t xml:space="preserve"> 7548.8332 </t>
  </si>
  <si>
    <t xml:space="preserve"> 64.3438 </t>
  </si>
  <si>
    <t>F:\images\20210324\plaque 1/@04 EE2 76/C4_01- exclu.tif</t>
  </si>
  <si>
    <t xml:space="preserve">F:\images\20210324\plaque 1/@04 EE2 76/C4_02.tif </t>
  </si>
  <si>
    <t xml:space="preserve"> 7159.4951 </t>
  </si>
  <si>
    <t xml:space="preserve"> 70.4894 </t>
  </si>
  <si>
    <t>F:\images\20210324\plaque 1/@04 EE2 76/C4_03- exclu.tif</t>
  </si>
  <si>
    <t xml:space="preserve">F:\images\20210324\plaque 1/@04 EE2 76/D4_01.tif </t>
  </si>
  <si>
    <t xml:space="preserve"> 9214.3351 </t>
  </si>
  <si>
    <t xml:space="preserve"> 67.4085 </t>
  </si>
  <si>
    <t xml:space="preserve">F:\images\20210324\plaque 1/@04 EE2 76/D4_02.tif </t>
  </si>
  <si>
    <t xml:space="preserve"> 8998.0362 </t>
  </si>
  <si>
    <t xml:space="preserve"> 73.2236 </t>
  </si>
  <si>
    <t xml:space="preserve">F:\images\20210324\plaque 1/@04 EE2 76/D4_03.tif </t>
  </si>
  <si>
    <t xml:space="preserve"> 63.2877 </t>
  </si>
  <si>
    <t>F:\images\20210324\plaque 1/@04 EE2 76/E4_01- exclu.tif</t>
  </si>
  <si>
    <t xml:space="preserve">F:\images\20210324\plaque 1/@04 EE2 76/E4_02.tif </t>
  </si>
  <si>
    <t xml:space="preserve"> 58487.2351 </t>
  </si>
  <si>
    <t xml:space="preserve"> 86.8584 </t>
  </si>
  <si>
    <t xml:space="preserve">F:\images\20210324\plaque 1/@04 EE2 76/E4_03.tif </t>
  </si>
  <si>
    <t xml:space="preserve"> 60931.4132 </t>
  </si>
  <si>
    <t xml:space="preserve"> 78.7487 </t>
  </si>
  <si>
    <t xml:space="preserve">F:\images\20210324\plaque 1/@04 EE2 76/F4_01.tif </t>
  </si>
  <si>
    <t xml:space="preserve"> 6186.1499 </t>
  </si>
  <si>
    <t xml:space="preserve"> 68.6364 </t>
  </si>
  <si>
    <t xml:space="preserve">F:\images\20210324\plaque 1/@04 EE2 76/F4_02.tif </t>
  </si>
  <si>
    <t xml:space="preserve"> 62.825 </t>
  </si>
  <si>
    <t xml:space="preserve">F:\images\20210324\plaque 1/@04 EE2 76/F4_03.tif </t>
  </si>
  <si>
    <t xml:space="preserve"> 64.88 </t>
  </si>
  <si>
    <t xml:space="preserve">F:\images\20210324\plaque 1/@04 EE2 76/G4_01.tif </t>
  </si>
  <si>
    <t xml:space="preserve"> 41853.8461 </t>
  </si>
  <si>
    <t xml:space="preserve"> 70.9189 </t>
  </si>
  <si>
    <t xml:space="preserve">F:\images\20210324\plaque 1/@04 EE2 76/G4_02.tif </t>
  </si>
  <si>
    <t xml:space="preserve"> 70.422 </t>
  </si>
  <si>
    <t xml:space="preserve">F:\images\20210324\plaque 1/@04 EE2 76/G4_03.tif </t>
  </si>
  <si>
    <t xml:space="preserve"> 40750.7215 </t>
  </si>
  <si>
    <t xml:space="preserve"> 69.853 </t>
  </si>
  <si>
    <t xml:space="preserve">F:\images\20210324\plaque 1/@04 EE2 76/H4_01.tif </t>
  </si>
  <si>
    <t xml:space="preserve">F:\images\20210324\plaque 1/@04 EE2 76/H4_02.tif </t>
  </si>
  <si>
    <t xml:space="preserve"> 70.1384 </t>
  </si>
  <si>
    <t xml:space="preserve">F:\images\20210324\plaque 1/@04 EE2 76/H4_03.tif </t>
  </si>
  <si>
    <t xml:space="preserve"> 65.875 </t>
  </si>
  <si>
    <t xml:space="preserve">F:\images\20210324\plaque 1/@04 EE2 76/ </t>
  </si>
  <si>
    <t xml:space="preserve"> 68.8375 </t>
  </si>
  <si>
    <t xml:space="preserve"> 5.7411 </t>
  </si>
  <si>
    <t xml:space="preserve"> 1216604.92 </t>
  </si>
  <si>
    <t xml:space="preserve"> 1697010.9 </t>
  </si>
  <si>
    <t xml:space="preserve">F:\images\20210324\plaque 1/@05 EE2 114/A5_01.tif </t>
  </si>
  <si>
    <t xml:space="preserve"> 15076.0366 </t>
  </si>
  <si>
    <t xml:space="preserve"> 68.5122 </t>
  </si>
  <si>
    <t xml:space="preserve">F:\images\20210324\plaque 1/@05 EE2 114/A5_02.tif </t>
  </si>
  <si>
    <t xml:space="preserve"> 13497.0542 </t>
  </si>
  <si>
    <t xml:space="preserve"> 66.8686 </t>
  </si>
  <si>
    <t xml:space="preserve">F:\images\20210324\plaque 1/@05 EE2 114/A5_03.tif </t>
  </si>
  <si>
    <t xml:space="preserve"> 9928.1216 </t>
  </si>
  <si>
    <t xml:space="preserve"> 64.3072 </t>
  </si>
  <si>
    <t xml:space="preserve">F:\images\20210324\plaque 1/@05 EE2 114/B5_01.tif </t>
  </si>
  <si>
    <t xml:space="preserve"> 15660.0437 </t>
  </si>
  <si>
    <t xml:space="preserve"> 65.7983 </t>
  </si>
  <si>
    <t xml:space="preserve">F:\images\20210324\plaque 1/@05 EE2 114/B5_02.tif </t>
  </si>
  <si>
    <t xml:space="preserve"> 18623.3393 </t>
  </si>
  <si>
    <t xml:space="preserve"> 65.6969 </t>
  </si>
  <si>
    <t xml:space="preserve">F:\images\20210324\plaque 1/@05 EE2 114/B5_03.tif </t>
  </si>
  <si>
    <t xml:space="preserve"> 16957.8374 </t>
  </si>
  <si>
    <t xml:space="preserve"> 65.9617 </t>
  </si>
  <si>
    <t xml:space="preserve">F:\images\20210324\plaque 1/@05 EE2 114/C5_01.tif </t>
  </si>
  <si>
    <t xml:space="preserve"> 63.225 </t>
  </si>
  <si>
    <t xml:space="preserve">F:\images\20210324\plaque 1/@05 EE2 114/C5_02.tif </t>
  </si>
  <si>
    <t xml:space="preserve"> 63.1837 </t>
  </si>
  <si>
    <t xml:space="preserve">F:\images\20210324\plaque 1/@05 EE2 114/C5_03.tif </t>
  </si>
  <si>
    <t xml:space="preserve"> 65.7297 </t>
  </si>
  <si>
    <t xml:space="preserve">F:\images\20210324\plaque 1/@05 EE2 114/D5_01.tif </t>
  </si>
  <si>
    <t xml:space="preserve"> 8500.5486 </t>
  </si>
  <si>
    <t xml:space="preserve"> 71.8346 </t>
  </si>
  <si>
    <t xml:space="preserve">F:\images\20210324\plaque 1/@05 EE2 114/D5_02.tif </t>
  </si>
  <si>
    <t xml:space="preserve"> 10122.7907 </t>
  </si>
  <si>
    <t xml:space="preserve"> 73.7906 </t>
  </si>
  <si>
    <t xml:space="preserve">F:\images\20210324\plaque 1/@05 EE2 114/D5_03.tif </t>
  </si>
  <si>
    <t xml:space="preserve"> 8716.8475 </t>
  </si>
  <si>
    <t xml:space="preserve"> 74.0025 </t>
  </si>
  <si>
    <t xml:space="preserve">F:\images\20210324\plaque 1/@05 EE2 114/E5_01.tif </t>
  </si>
  <si>
    <t xml:space="preserve"> 5385.8438 </t>
  </si>
  <si>
    <t xml:space="preserve"> 64.988 </t>
  </si>
  <si>
    <t xml:space="preserve">F:\images\20210324\plaque 1/@05 EE2 114/E5_02.tif </t>
  </si>
  <si>
    <t xml:space="preserve"> 63.8317 </t>
  </si>
  <si>
    <t xml:space="preserve">F:\images\20210324\plaque 1/@05 EE2 114/E5_03.tif </t>
  </si>
  <si>
    <t xml:space="preserve"> 7332.5343 </t>
  </si>
  <si>
    <t xml:space="preserve"> 64.7404 </t>
  </si>
  <si>
    <t xml:space="preserve">F:\images\20210324\plaque 1/@05 EE2 114/F5_01.tif </t>
  </si>
  <si>
    <t xml:space="preserve"> 30152.0731 </t>
  </si>
  <si>
    <t xml:space="preserve"> 66.7654 </t>
  </si>
  <si>
    <t xml:space="preserve">F:\images\20210324\plaque 1/@05 EE2 114/F5_02.tif </t>
  </si>
  <si>
    <t xml:space="preserve"> 32639.511 </t>
  </si>
  <si>
    <t xml:space="preserve"> 67.6083 </t>
  </si>
  <si>
    <t xml:space="preserve">F:\images\20210324\plaque 1/@05 EE2 114/F5_03.tif </t>
  </si>
  <si>
    <t xml:space="preserve"> 29524.8062 </t>
  </si>
  <si>
    <t xml:space="preserve"> 66.8418 </t>
  </si>
  <si>
    <t xml:space="preserve">F:\images\20210324\plaque 1/@05 EE2 114/G5_01.tif </t>
  </si>
  <si>
    <t xml:space="preserve"> 37657.6465 </t>
  </si>
  <si>
    <t xml:space="preserve"> 69.5146 </t>
  </si>
  <si>
    <t xml:space="preserve">F:\images\20210324\plaque 1/@05 EE2 114/G5_02.tif </t>
  </si>
  <si>
    <t xml:space="preserve"> 37960.4651 </t>
  </si>
  <si>
    <t xml:space="preserve"> 69.4234 </t>
  </si>
  <si>
    <t xml:space="preserve">F:\images\20210324\plaque 1/@05 EE2 114/G5_03.tif </t>
  </si>
  <si>
    <t xml:space="preserve"> 39907.1556 </t>
  </si>
  <si>
    <t xml:space="preserve"> 68.6374 </t>
  </si>
  <si>
    <t xml:space="preserve">F:\images\20210324\plaque 1/@05 EE2 114/H5_01.tif </t>
  </si>
  <si>
    <t xml:space="preserve"> 32444.8419 </t>
  </si>
  <si>
    <t xml:space="preserve"> 68.2887 </t>
  </si>
  <si>
    <t xml:space="preserve">F:\images\20210324\plaque 1/@05 EE2 114/H5_02.tif </t>
  </si>
  <si>
    <t xml:space="preserve"> 32293.4327 </t>
  </si>
  <si>
    <t xml:space="preserve"> 69.5988 </t>
  </si>
  <si>
    <t>F:\images\20210324\plaque 1/@05 EE2 114/H5_03- exclu.tif</t>
  </si>
  <si>
    <t xml:space="preserve">F:\images\20210324\plaque 1/@05 EE2 114/ </t>
  </si>
  <si>
    <t xml:space="preserve"> 67.2332 </t>
  </si>
  <si>
    <t xml:space="preserve"> 3.0279 </t>
  </si>
  <si>
    <t xml:space="preserve"> 1197131.71 </t>
  </si>
  <si>
    <t xml:space="preserve"> 887610.85 </t>
  </si>
  <si>
    <t xml:space="preserve">F:\images\20210324\plaque 1/@06 EE2 170.9/A6_01.tif </t>
  </si>
  <si>
    <t xml:space="preserve"> 22084.1224 </t>
  </si>
  <si>
    <t xml:space="preserve"> 74.9922 </t>
  </si>
  <si>
    <t xml:space="preserve">F:\images\20210324\plaque 1/@06 EE2 170.9/A6_02.tif </t>
  </si>
  <si>
    <t xml:space="preserve"> 18753.1186 </t>
  </si>
  <si>
    <t xml:space="preserve"> 77.1234 </t>
  </si>
  <si>
    <t xml:space="preserve">F:\images\20210324\plaque 1/@06 EE2 170.9/A6_03.tif </t>
  </si>
  <si>
    <t xml:space="preserve"> 17844.6631 </t>
  </si>
  <si>
    <t xml:space="preserve"> 76.9527 </t>
  </si>
  <si>
    <t xml:space="preserve">F:\images\20210324\plaque 1/@06 EE2 170.9/B6_01.tif </t>
  </si>
  <si>
    <t xml:space="preserve"> 25804.4643 </t>
  </si>
  <si>
    <t xml:space="preserve"> 69.938 </t>
  </si>
  <si>
    <t xml:space="preserve">F:\images\20210324\plaque 1/@06 EE2 170.9/B6_02.tif </t>
  </si>
  <si>
    <t xml:space="preserve"> 20613.2896 </t>
  </si>
  <si>
    <t xml:space="preserve"> 66.1228 </t>
  </si>
  <si>
    <t xml:space="preserve">F:\images\20210324\plaque 1/@06 EE2 170.9/B6_03.tif </t>
  </si>
  <si>
    <t xml:space="preserve"> 28897.5392 </t>
  </si>
  <si>
    <t xml:space="preserve"> 69.982 </t>
  </si>
  <si>
    <t xml:space="preserve">F:\images\20210324\plaque 1/@06 EE2 170.9/C6_01.tif </t>
  </si>
  <si>
    <t xml:space="preserve"> 43865.4263 </t>
  </si>
  <si>
    <t xml:space="preserve"> 74.4403 </t>
  </si>
  <si>
    <t xml:space="preserve">F:\images\20210324\plaque 1/@06 EE2 170.9/C6_02.tif </t>
  </si>
  <si>
    <t xml:space="preserve"> 46807.092 </t>
  </si>
  <si>
    <t xml:space="preserve"> 76.3683 </t>
  </si>
  <si>
    <t xml:space="preserve">F:\images\20210324\plaque 1/@06 EE2 170.9/C6_03.tif </t>
  </si>
  <si>
    <t xml:space="preserve"> 44730.6221 </t>
  </si>
  <si>
    <t xml:space="preserve"> 74.089 </t>
  </si>
  <si>
    <t xml:space="preserve">F:\images\20210324\plaque 1/@06 EE2 170.9/D6_01.tif </t>
  </si>
  <si>
    <t xml:space="preserve"> 41399.6183 </t>
  </si>
  <si>
    <t xml:space="preserve"> 73.9404 </t>
  </si>
  <si>
    <t xml:space="preserve">F:\images\20210324\plaque 1/@06 EE2 170.9/D6_02.tif </t>
  </si>
  <si>
    <t xml:space="preserve"> 36424.7426 </t>
  </si>
  <si>
    <t xml:space="preserve"> 72.6336 </t>
  </si>
  <si>
    <t xml:space="preserve">F:\images\20210324\plaque 1/@06 EE2 170.9/D6_03.tif </t>
  </si>
  <si>
    <t xml:space="preserve"> 38782.4011 </t>
  </si>
  <si>
    <t xml:space="preserve"> 73.5053 </t>
  </si>
  <si>
    <t xml:space="preserve">F:\images\20210324\plaque 1/@06 EE2 170.9/E6_01.tif </t>
  </si>
  <si>
    <t xml:space="preserve"> 22819.5388 </t>
  </si>
  <si>
    <t xml:space="preserve"> 75.7299 </t>
  </si>
  <si>
    <t xml:space="preserve">F:\images\20210324\plaque 1/@06 EE2 170.9/E6_02.tif </t>
  </si>
  <si>
    <t xml:space="preserve"> 20634.9195 </t>
  </si>
  <si>
    <t xml:space="preserve"> 75.0755 </t>
  </si>
  <si>
    <t xml:space="preserve">F:\images\20210324\plaque 1/@06 EE2 170.9/E6_03.tif </t>
  </si>
  <si>
    <t xml:space="preserve"> 26474.991 </t>
  </si>
  <si>
    <t xml:space="preserve"> 72.7672 </t>
  </si>
  <si>
    <t xml:space="preserve">F:\images\20210324\plaque 1/@06 EE2 170.9/F6_01.tif </t>
  </si>
  <si>
    <t xml:space="preserve"> 37333.1981 </t>
  </si>
  <si>
    <t xml:space="preserve"> 73.555 </t>
  </si>
  <si>
    <t xml:space="preserve">F:\images\20210324\plaque 1/@06 EE2 170.9/F6_02.tif </t>
  </si>
  <si>
    <t xml:space="preserve"> 33829.1552 </t>
  </si>
  <si>
    <t xml:space="preserve"> 72.0384 </t>
  </si>
  <si>
    <t xml:space="preserve">F:\images\20210324\plaque 1/@06 EE2 170.9/F6_03.tif </t>
  </si>
  <si>
    <t xml:space="preserve"> 19575.0546 </t>
  </si>
  <si>
    <t xml:space="preserve"> 65.7569 </t>
  </si>
  <si>
    <t xml:space="preserve">F:\images\20210324\plaque 1/@06 EE2 170.9/G6_01.tif </t>
  </si>
  <si>
    <t xml:space="preserve"> 31860.8348 </t>
  </si>
  <si>
    <t xml:space="preserve"> 72.7217 </t>
  </si>
  <si>
    <t xml:space="preserve">F:\images\20210324\plaque 1/@06 EE2 170.9/G6_02.tif </t>
  </si>
  <si>
    <t xml:space="preserve"> 29373.3969 </t>
  </si>
  <si>
    <t xml:space="preserve"> 72.9772 </t>
  </si>
  <si>
    <t xml:space="preserve">F:\images\20210324\plaque 1/@06 EE2 170.9/G6_03.tif </t>
  </si>
  <si>
    <t xml:space="preserve"> 26972.4786 </t>
  </si>
  <si>
    <t xml:space="preserve"> 74.5397 </t>
  </si>
  <si>
    <t xml:space="preserve">F:\images\20210324\plaque 1/@06 EE2 170.9/H6_01.tif </t>
  </si>
  <si>
    <t xml:space="preserve"> 37787.4259 </t>
  </si>
  <si>
    <t xml:space="preserve"> 69.0601 </t>
  </si>
  <si>
    <t xml:space="preserve">F:\images\20210324\plaque 1/@06 EE2 170.9/H6_02.tif </t>
  </si>
  <si>
    <t xml:space="preserve"> 27556.4858 </t>
  </si>
  <si>
    <t xml:space="preserve"> 65.1907 </t>
  </si>
  <si>
    <t xml:space="preserve">F:\images\20210324\plaque 1/@06 EE2 170.9/H6_03.tif </t>
  </si>
  <si>
    <t xml:space="preserve"> 40404.6432 </t>
  </si>
  <si>
    <t xml:space="preserve"> 69.3715 </t>
  </si>
  <si>
    <t xml:space="preserve">F:\images\20210324\plaque 1/@06 EE2 170.9/ </t>
  </si>
  <si>
    <t xml:space="preserve"> 72.453 </t>
  </si>
  <si>
    <t xml:space="preserve"> 3.418 </t>
  </si>
  <si>
    <t xml:space="preserve"> 2238800.5 </t>
  </si>
  <si>
    <t xml:space="preserve"> 681568.5 </t>
  </si>
  <si>
    <t xml:space="preserve">F:\images\20210324\plaque 1/@07 EE2 488/A7_01.tif </t>
  </si>
  <si>
    <t xml:space="preserve"> 59914.8081 </t>
  </si>
  <si>
    <t xml:space="preserve"> 93.3874 </t>
  </si>
  <si>
    <t xml:space="preserve">F:\images\20210324\plaque 1/@07 EE2 488/A7_02.tif </t>
  </si>
  <si>
    <t xml:space="preserve"> 60260.8864 </t>
  </si>
  <si>
    <t xml:space="preserve"> 91.2638 </t>
  </si>
  <si>
    <t xml:space="preserve">F:\images\20210324\plaque 1/@07 EE2 488/A7_03.tif </t>
  </si>
  <si>
    <t xml:space="preserve"> 56540.5446 </t>
  </si>
  <si>
    <t xml:space="preserve"> 93.3558 </t>
  </si>
  <si>
    <t xml:space="preserve">F:\images\20210324\plaque 1/@07 EE2 488/B7_01.tif </t>
  </si>
  <si>
    <t xml:space="preserve"> 72741.3356 </t>
  </si>
  <si>
    <t xml:space="preserve"> 98.8371 </t>
  </si>
  <si>
    <t xml:space="preserve">F:\images\20210324\plaque 1/@07 EE2 488/B7_02.tif </t>
  </si>
  <si>
    <t xml:space="preserve"> 69215.6628 </t>
  </si>
  <si>
    <t xml:space="preserve"> 100.4903 </t>
  </si>
  <si>
    <t xml:space="preserve">F:\images\20210324\plaque 1/@07 EE2 488/B7_03.tif </t>
  </si>
  <si>
    <t xml:space="preserve"> 72568.2965 </t>
  </si>
  <si>
    <t xml:space="preserve"> 99.9791 </t>
  </si>
  <si>
    <t xml:space="preserve">F:\images\20210324\plaque 1/@07 EE2 488/C7_01.tif </t>
  </si>
  <si>
    <t xml:space="preserve"> 86908.9166 </t>
  </si>
  <si>
    <t xml:space="preserve"> 95.9433 </t>
  </si>
  <si>
    <t xml:space="preserve">F:\images\20210324\plaque 1/@07 EE2 488/C7_02.tif </t>
  </si>
  <si>
    <t xml:space="preserve"> 93159.9562 </t>
  </si>
  <si>
    <t xml:space="preserve"> 93.0592 </t>
  </si>
  <si>
    <t xml:space="preserve">F:\images\20210324\plaque 1/@07 EE2 488/C7_03.tif </t>
  </si>
  <si>
    <t xml:space="preserve"> 91040.2265 </t>
  </si>
  <si>
    <t xml:space="preserve"> 91.4897 </t>
  </si>
  <si>
    <t xml:space="preserve">F:\images\20210324\plaque 1/@07 EE2 488/D7_01.tif </t>
  </si>
  <si>
    <t xml:space="preserve"> 67506.9011 </t>
  </si>
  <si>
    <t xml:space="preserve"> 90.1749 </t>
  </si>
  <si>
    <t xml:space="preserve">F:\images\20210324\plaque 1/@07 EE2 488/D7_02.tif </t>
  </si>
  <si>
    <t xml:space="preserve"> 63505.3706 </t>
  </si>
  <si>
    <t xml:space="preserve"> 90.577 </t>
  </si>
  <si>
    <t xml:space="preserve">F:\images\20210324\plaque 1/@07 EE2 488/D7_03.tif </t>
  </si>
  <si>
    <t xml:space="preserve"> 62942.9934 </t>
  </si>
  <si>
    <t xml:space="preserve"> 90.8457 </t>
  </si>
  <si>
    <t xml:space="preserve">F:\images\20210324\plaque 1/@07 EE2 488/E7_01.tif </t>
  </si>
  <si>
    <t xml:space="preserve"> 55069.7117 </t>
  </si>
  <si>
    <t xml:space="preserve"> 116.2274 </t>
  </si>
  <si>
    <t xml:space="preserve">F:\images\20210324\plaque 1/@07 EE2 488/E7_02.tif </t>
  </si>
  <si>
    <t xml:space="preserve"> 62294.0965 </t>
  </si>
  <si>
    <t xml:space="preserve"> 108.6188 </t>
  </si>
  <si>
    <t xml:space="preserve">F:\images\20210324\plaque 1/@07 EE2 488/E7_03.tif </t>
  </si>
  <si>
    <t xml:space="preserve"> 65235.7622 </t>
  </si>
  <si>
    <t xml:space="preserve"> 100.8694 </t>
  </si>
  <si>
    <t xml:space="preserve">F:\images\20210324\plaque 1/@07 EE2 488/F7_01.tif </t>
  </si>
  <si>
    <t xml:space="preserve"> 76959.1651 </t>
  </si>
  <si>
    <t xml:space="preserve"> 92.6256 </t>
  </si>
  <si>
    <t xml:space="preserve">F:\images\20210324\plaque 1/@07 EE2 488/F7_02.tif </t>
  </si>
  <si>
    <t xml:space="preserve"> 79922.4607 </t>
  </si>
  <si>
    <t xml:space="preserve"> 91.4853 </t>
  </si>
  <si>
    <t xml:space="preserve">F:\images\20210324\plaque 1/@07 EE2 488/F7_03.tif </t>
  </si>
  <si>
    <t xml:space="preserve"> 79944.0905 </t>
  </si>
  <si>
    <t xml:space="preserve"> 92.5947 </t>
  </si>
  <si>
    <t xml:space="preserve">F:\images\20210324\plaque 1/@07 EE2 488/G7_01.tif </t>
  </si>
  <si>
    <t xml:space="preserve"> 82842.4964 </t>
  </si>
  <si>
    <t xml:space="preserve"> 92.277 </t>
  </si>
  <si>
    <t xml:space="preserve">F:\images\20210324\plaque 1/@07 EE2 488/G7_02.tif </t>
  </si>
  <si>
    <t xml:space="preserve"> 82431.5284 </t>
  </si>
  <si>
    <t xml:space="preserve"> 91.9554 </t>
  </si>
  <si>
    <t xml:space="preserve">F:\images\20210324\plaque 1/@07 EE2 488/G7_03.tif </t>
  </si>
  <si>
    <t xml:space="preserve"> 80636.2472 </t>
  </si>
  <si>
    <t xml:space="preserve"> 92.6974 </t>
  </si>
  <si>
    <t xml:space="preserve">F:\images\20210324\plaque 1/@07 EE2 488/H7_01.tif </t>
  </si>
  <si>
    <t xml:space="preserve"> 47629.028 </t>
  </si>
  <si>
    <t xml:space="preserve"> 101.4464 </t>
  </si>
  <si>
    <t xml:space="preserve">F:\images\20210324\plaque 1/@07 EE2 488/H7_02.tif </t>
  </si>
  <si>
    <t xml:space="preserve"> 43843.7964 </t>
  </si>
  <si>
    <t xml:space="preserve"> 102.2526 </t>
  </si>
  <si>
    <t xml:space="preserve">F:\images\20210324\plaque 1/@07 EE2 488/H7_03.tif </t>
  </si>
  <si>
    <t xml:space="preserve"> 43540.9779 </t>
  </si>
  <si>
    <t xml:space="preserve"> 103.4138 </t>
  </si>
  <si>
    <t xml:space="preserve">F:\images\20210324\plaque 1/@07 EE2 488/ </t>
  </si>
  <si>
    <t xml:space="preserve"> 96.4945 </t>
  </si>
  <si>
    <t xml:space="preserve"> 6.5728 </t>
  </si>
  <si>
    <t xml:space="preserve"> 6615622.25 </t>
  </si>
  <si>
    <t xml:space="preserve"> 1202141.82 </t>
  </si>
  <si>
    <t xml:space="preserve">F:\images\20210324\plaque 1/@08 Fadrozole 0.016 µg_L/A8_01.tif </t>
  </si>
  <si>
    <t xml:space="preserve"> 67.2593 </t>
  </si>
  <si>
    <t xml:space="preserve">F:\images\20210324\plaque 1/@08 Fadrozole 0.016 µg_L/A8_02.tif </t>
  </si>
  <si>
    <t xml:space="preserve"> 66.5469 </t>
  </si>
  <si>
    <t xml:space="preserve">F:\images\20210324\plaque 1/@08 Fadrozole 0.016 µg_L/A8_03.tif </t>
  </si>
  <si>
    <t xml:space="preserve"> 1708.7617 </t>
  </si>
  <si>
    <t xml:space="preserve"> 68.4684 </t>
  </si>
  <si>
    <t xml:space="preserve">F:\images\20210324\plaque 1/@08 Fadrozole 0.016 µg_L/B8_01.tif </t>
  </si>
  <si>
    <t xml:space="preserve"> 5753.552 </t>
  </si>
  <si>
    <t xml:space="preserve"> 68.7444 </t>
  </si>
  <si>
    <t xml:space="preserve">F:\images\20210324\plaque 1/@08 Fadrozole 0.016 µg_L/B8_02.tif </t>
  </si>
  <si>
    <t xml:space="preserve"> 1903.4307 </t>
  </si>
  <si>
    <t xml:space="preserve"> 66.2386 </t>
  </si>
  <si>
    <t xml:space="preserve">F:\images\20210324\plaque 1/@08 Fadrozole 0.016 µg_L/B8_03.tif </t>
  </si>
  <si>
    <t xml:space="preserve"> 66.3907 </t>
  </si>
  <si>
    <t xml:space="preserve">F:\images\20210324\plaque 1/@08 Fadrozole 0.016 µg_L/C8_01.tif </t>
  </si>
  <si>
    <t xml:space="preserve"> 63.4107 </t>
  </si>
  <si>
    <t>F:\images\20210324\plaque 1/@08 Fadrozole 0.016 µg_L/C8_02- exclu.tif</t>
  </si>
  <si>
    <t xml:space="preserve">F:\images\20210324\plaque 1/@08 Fadrozole 0.016 µg_L/C8_03.tif </t>
  </si>
  <si>
    <t xml:space="preserve"> 66.4701 </t>
  </si>
  <si>
    <t xml:space="preserve">F:\images\20210324\plaque 1/@08 Fadrozole 0.016 µg_L/D8_01.tif </t>
  </si>
  <si>
    <t xml:space="preserve"> 2487.4379 </t>
  </si>
  <si>
    <t xml:space="preserve"> 64.1565 </t>
  </si>
  <si>
    <t xml:space="preserve">F:\images\20210324\plaque 1/@08 Fadrozole 0.016 µg_L/D8_02.tif </t>
  </si>
  <si>
    <t xml:space="preserve"> 65.0816 </t>
  </si>
  <si>
    <t xml:space="preserve">F:\images\20210324\plaque 1/@08 Fadrozole 0.016 µg_L/D8_03.tif </t>
  </si>
  <si>
    <t xml:space="preserve"> 64.4211 </t>
  </si>
  <si>
    <t xml:space="preserve">F:\images\20210324\plaque 1/@08 Fadrozole 0.016 µg_L/E8_01.tif </t>
  </si>
  <si>
    <t xml:space="preserve"> 7656.9827 </t>
  </si>
  <si>
    <t xml:space="preserve"> 71.8362 </t>
  </si>
  <si>
    <t xml:space="preserve">F:\images\20210324\plaque 1/@08 Fadrozole 0.016 µg_L/E8_02.tif </t>
  </si>
  <si>
    <t xml:space="preserve"> 7116.2353 </t>
  </si>
  <si>
    <t xml:space="preserve"> 71.0091 </t>
  </si>
  <si>
    <t xml:space="preserve">F:\images\20210324\plaque 1/@08 Fadrozole 0.016 µg_L/E8_03.tif </t>
  </si>
  <si>
    <t xml:space="preserve"> 65.6606 </t>
  </si>
  <si>
    <t xml:space="preserve">F:\images\20210324\plaque 1/@08 Fadrozole 0.016 µg_L/F8_01.tif </t>
  </si>
  <si>
    <t xml:space="preserve"> 66.7636 </t>
  </si>
  <si>
    <t xml:space="preserve">F:\images\20210324\plaque 1/@08 Fadrozole 0.016 µg_L/F8_02.tif </t>
  </si>
  <si>
    <t xml:space="preserve"> 3633.8223 </t>
  </si>
  <si>
    <t xml:space="preserve"> 67.1131 </t>
  </si>
  <si>
    <t>F:\images\20210324\plaque 1/@08 Fadrozole 0.016 µg_L/F8_03- exclu.tif</t>
  </si>
  <si>
    <t xml:space="preserve">F:\images\20210324\plaque 1/@08 Fadrozole 0.016 µg_L/G8_01.tif </t>
  </si>
  <si>
    <t xml:space="preserve"> 64.8197 </t>
  </si>
  <si>
    <t xml:space="preserve">F:\images\20210324\plaque 1/@08 Fadrozole 0.016 µg_L/G8_02.tif </t>
  </si>
  <si>
    <t xml:space="preserve"> 64.5333 </t>
  </si>
  <si>
    <t xml:space="preserve">F:\images\20210324\plaque 1/@08 Fadrozole 0.016 µg_L/G8_03.tif </t>
  </si>
  <si>
    <t xml:space="preserve"> 64.8889 </t>
  </si>
  <si>
    <t xml:space="preserve">F:\images\20210324\plaque 1/@08 Fadrozole 0.016 µg_L/H8_01.tif </t>
  </si>
  <si>
    <t xml:space="preserve"> 70.8326 </t>
  </si>
  <si>
    <t xml:space="preserve">F:\images\20210324\plaque 1/@08 Fadrozole 0.016 µg_L/H8_02.tif </t>
  </si>
  <si>
    <t xml:space="preserve"> 6705.2673 </t>
  </si>
  <si>
    <t xml:space="preserve"> 72.571 </t>
  </si>
  <si>
    <t xml:space="preserve">F:\images\20210324\plaque 1/@08 Fadrozole 0.016 µg_L/H8_03.tif </t>
  </si>
  <si>
    <t xml:space="preserve"> 70.8182 </t>
  </si>
  <si>
    <t xml:space="preserve">F:\images\20210324\plaque 1/@08 Fadrozole 0.016 µg_L/ </t>
  </si>
  <si>
    <t xml:space="preserve"> 66.7856 </t>
  </si>
  <si>
    <t xml:space="preserve"> 2.9222 </t>
  </si>
  <si>
    <t xml:space="preserve"> 224279.5 </t>
  </si>
  <si>
    <t xml:space="preserve"> 152053.766 </t>
  </si>
  <si>
    <t xml:space="preserve">F:\images\20210324\plaque 1/@09 Fadrozole 0.08 µg_L/A9_01.tif </t>
  </si>
  <si>
    <t xml:space="preserve"> 65.8989 </t>
  </si>
  <si>
    <t xml:space="preserve">F:\images\20210324\plaque 1/@09 Fadrozole 0.08 µg_L/A9_02.tif </t>
  </si>
  <si>
    <t xml:space="preserve"> 4369.2387 </t>
  </si>
  <si>
    <t xml:space="preserve"> 66.3267 </t>
  </si>
  <si>
    <t xml:space="preserve">F:\images\20210324\plaque 1/@09 Fadrozole 0.08 µg_L/A9_03.tif </t>
  </si>
  <si>
    <t xml:space="preserve"> 67.1788 </t>
  </si>
  <si>
    <t xml:space="preserve">F:\images\20210324\plaque 1/@09 Fadrozole 0.08 µg_L/B9_01.tif </t>
  </si>
  <si>
    <t xml:space="preserve"> 65.9038 </t>
  </si>
  <si>
    <t xml:space="preserve">F:\images\20210324\plaque 1/@09 Fadrozole 0.08 µg_L/B9_02.tif </t>
  </si>
  <si>
    <t xml:space="preserve"> 68.2544 </t>
  </si>
  <si>
    <t xml:space="preserve">F:\images\20210324\plaque 1/@09 Fadrozole 0.08 µg_L/B9_03.tif </t>
  </si>
  <si>
    <t xml:space="preserve"> 5061.3953 </t>
  </si>
  <si>
    <t xml:space="preserve"> 70.0385 </t>
  </si>
  <si>
    <t xml:space="preserve">F:\images\20210324\plaque 1/@09 Fadrozole 0.08 µg_L/C9_01.tif </t>
  </si>
  <si>
    <t xml:space="preserve"> 4477.3882 </t>
  </si>
  <si>
    <t xml:space="preserve"> 66.8792 </t>
  </si>
  <si>
    <t xml:space="preserve">F:\images\20210324\plaque 1/@09 Fadrozole 0.08 µg_L/C9_02.tif </t>
  </si>
  <si>
    <t xml:space="preserve"> 4974.8758 </t>
  </si>
  <si>
    <t xml:space="preserve"> 70.287 </t>
  </si>
  <si>
    <t xml:space="preserve">F:\images\20210324\plaque 1/@09 Fadrozole 0.08 µg_L/C9_03.tif </t>
  </si>
  <si>
    <t xml:space="preserve"> 68.2938 </t>
  </si>
  <si>
    <t xml:space="preserve">F:\images\20210324\plaque 1/@09 Fadrozole 0.08 µg_L/D9_01.tif </t>
  </si>
  <si>
    <t xml:space="preserve">F:\images\20210324\plaque 1/@09 Fadrozole 0.08 µg_L/D9_02.tif </t>
  </si>
  <si>
    <t xml:space="preserve">F:\images\20210324\plaque 1/@09 Fadrozole 0.08 µg_L/D9_03.tif </t>
  </si>
  <si>
    <t xml:space="preserve">F:\images\20210324\plaque 1/@09 Fadrozole 0.08 µg_L/E9_01.tif </t>
  </si>
  <si>
    <t xml:space="preserve"> 64.0769 </t>
  </si>
  <si>
    <t xml:space="preserve">F:\images\20210324\plaque 1/@09 Fadrozole 0.08 µg_L/E9_02.tif </t>
  </si>
  <si>
    <t xml:space="preserve"> 64.4074 </t>
  </si>
  <si>
    <t xml:space="preserve">F:\images\20210324\plaque 1/@09 Fadrozole 0.08 µg_L/E9_03.tif </t>
  </si>
  <si>
    <t xml:space="preserve">F:\images\20210324\plaque 1/@09 Fadrozole 0.08 µg_L/F9_01.tif </t>
  </si>
  <si>
    <t xml:space="preserve"> 3071.445 </t>
  </si>
  <si>
    <t xml:space="preserve"> 64.4225 </t>
  </si>
  <si>
    <t xml:space="preserve">F:\images\20210324\plaque 1/@09 Fadrozole 0.08 µg_L/F9_02.tif </t>
  </si>
  <si>
    <t xml:space="preserve">F:\images\20210324\plaque 1/@09 Fadrozole 0.08 µg_L/F9_03.tif </t>
  </si>
  <si>
    <t xml:space="preserve"> 63.5309 </t>
  </si>
  <si>
    <t xml:space="preserve">F:\images\20210324\plaque 1/@09 Fadrozole 0.08 µg_L/G9_01.tif </t>
  </si>
  <si>
    <t xml:space="preserve"> 7375.7941 </t>
  </si>
  <si>
    <t xml:space="preserve"> 74.4106 </t>
  </si>
  <si>
    <t xml:space="preserve">F:\images\20210324\plaque 1/@09 Fadrozole 0.08 µg_L/G9_02.tif </t>
  </si>
  <si>
    <t xml:space="preserve"> 65.5082 </t>
  </si>
  <si>
    <t xml:space="preserve">F:\images\20210324\plaque 1/@09 Fadrozole 0.08 µg_L/G9_03.tif </t>
  </si>
  <si>
    <t xml:space="preserve">F:\images\20210324\plaque 1/@09 Fadrozole 0.08 µg_L/H9_01.tif </t>
  </si>
  <si>
    <t xml:space="preserve"> 64.7037 </t>
  </si>
  <si>
    <t xml:space="preserve">F:\images\20210324\plaque 1/@09 Fadrozole 0.08 µg_L/H9_02.tif </t>
  </si>
  <si>
    <t xml:space="preserve"> 2941.6657 </t>
  </si>
  <si>
    <t xml:space="preserve"> 63.9485 </t>
  </si>
  <si>
    <t xml:space="preserve">F:\images\20210324\plaque 1/@09 Fadrozole 0.08 µg_L/H9_03.tif </t>
  </si>
  <si>
    <t xml:space="preserve"> 5083.0252 </t>
  </si>
  <si>
    <t xml:space="preserve"> 68.0553 </t>
  </si>
  <si>
    <t xml:space="preserve">F:\images\20210324\plaque 1/@09 Fadrozole 0.08 µg_L/ </t>
  </si>
  <si>
    <t xml:space="preserve"> 66.2626 </t>
  </si>
  <si>
    <t xml:space="preserve"> 2.8035 </t>
  </si>
  <si>
    <t xml:space="preserve"> 169649.458 </t>
  </si>
  <si>
    <t xml:space="preserve"> 149549.835 </t>
  </si>
  <si>
    <t xml:space="preserve">F:\images\20210324\plaque 1/@10 Fadrozole 0.4 µg_L/A10_01.tif </t>
  </si>
  <si>
    <t xml:space="preserve"> 64.8222 </t>
  </si>
  <si>
    <t xml:space="preserve">F:\images\20210324\plaque 1/@10 Fadrozole 0.4 µg_L/A10_02.tif </t>
  </si>
  <si>
    <t xml:space="preserve">F:\images\20210324\plaque 1/@10 Fadrozole 0.4 µg_L/A10_03.tif </t>
  </si>
  <si>
    <t xml:space="preserve">F:\images\20210324\plaque 1/@10 Fadrozole 0.4 µg_L/B10_01.tif </t>
  </si>
  <si>
    <t xml:space="preserve"> 2746.9966 </t>
  </si>
  <si>
    <t xml:space="preserve"> 64.2913 </t>
  </si>
  <si>
    <t xml:space="preserve">F:\images\20210324\plaque 1/@10 Fadrozole 0.4 µg_L/B10_02.tif </t>
  </si>
  <si>
    <t xml:space="preserve"> 2444.1781 </t>
  </si>
  <si>
    <t xml:space="preserve"> 64.2301 </t>
  </si>
  <si>
    <t xml:space="preserve">F:\images\20210324\plaque 1/@10 Fadrozole 0.4 µg_L/B10_03.tif </t>
  </si>
  <si>
    <t xml:space="preserve"> 65.3082 </t>
  </si>
  <si>
    <t xml:space="preserve">F:\images\20210324\plaque 1/@10 Fadrozole 0.4 µg_L/C10_01.tif </t>
  </si>
  <si>
    <t xml:space="preserve"> 9084.5557 </t>
  </si>
  <si>
    <t xml:space="preserve"> 75.069 </t>
  </si>
  <si>
    <t xml:space="preserve">F:\images\20210324\plaque 1/@10 Fadrozole 0.4 µg_L/C10_02.tif </t>
  </si>
  <si>
    <t xml:space="preserve"> 68.2108 </t>
  </si>
  <si>
    <t xml:space="preserve">F:\images\20210324\plaque 1/@10 Fadrozole 0.4 µg_L/C10_03.tif </t>
  </si>
  <si>
    <t xml:space="preserve"> 6402.4488 </t>
  </si>
  <si>
    <t xml:space="preserve"> 71.1824 </t>
  </si>
  <si>
    <t xml:space="preserve">F:\images\20210324\plaque 1/@10 Fadrozole 0.4 µg_L/D10_01.tif </t>
  </si>
  <si>
    <t xml:space="preserve"> 67.0373 </t>
  </si>
  <si>
    <t xml:space="preserve">F:\images\20210324\plaque 1/@10 Fadrozole 0.4 µg_L/D10_02.tif </t>
  </si>
  <si>
    <t xml:space="preserve"> 7527.2033 </t>
  </si>
  <si>
    <t xml:space="preserve"> 68.3506 </t>
  </si>
  <si>
    <t xml:space="preserve">F:\images\20210324\plaque 1/@10 Fadrozole 0.4 µg_L/D10_03.tif </t>
  </si>
  <si>
    <t xml:space="preserve"> 62.1923 </t>
  </si>
  <si>
    <t xml:space="preserve">F:\images\20210324\plaque 1/@10 Fadrozole 0.4 µg_L/E10_01.tif </t>
  </si>
  <si>
    <t xml:space="preserve">F:\images\20210324\plaque 1/@10 Fadrozole 0.4 µg_L/E10_02.tif </t>
  </si>
  <si>
    <t xml:space="preserve"> 64.4773 </t>
  </si>
  <si>
    <t xml:space="preserve">F:\images\20210324\plaque 1/@10 Fadrozole 0.4 µg_L/E10_03.tif </t>
  </si>
  <si>
    <t xml:space="preserve">F:\images\20210324\plaque 1/@10 Fadrozole 0.4 µg_L/F10_01.tif </t>
  </si>
  <si>
    <t xml:space="preserve">F:\images\20210324\plaque 1/@10 Fadrozole 0.4 µg_L/F10_02.tif </t>
  </si>
  <si>
    <t xml:space="preserve"> 64.4062 </t>
  </si>
  <si>
    <t xml:space="preserve">F:\images\20210324\plaque 1/@10 Fadrozole 0.4 µg_L/F10_03.tif </t>
  </si>
  <si>
    <t xml:space="preserve">F:\images\20210324\plaque 1/@10 Fadrozole 0.4 µg_L/G10_01.tif </t>
  </si>
  <si>
    <t xml:space="preserve"> 9279.2248 </t>
  </si>
  <si>
    <t xml:space="preserve"> 68.3007 </t>
  </si>
  <si>
    <t xml:space="preserve">F:\images\20210324\plaque 1/@10 Fadrozole 0.4 µg_L/G10_02.tif </t>
  </si>
  <si>
    <t xml:space="preserve"> 6229.4097 </t>
  </si>
  <si>
    <t xml:space="preserve"> 71.5694 </t>
  </si>
  <si>
    <t xml:space="preserve">F:\images\20210324\plaque 1/@10 Fadrozole 0.4 µg_L/G10_03.tif </t>
  </si>
  <si>
    <t xml:space="preserve"> 67.3625 </t>
  </si>
  <si>
    <t xml:space="preserve">F:\images\20210324\plaque 1/@10 Fadrozole 0.4 µg_L/H10_01.tif </t>
  </si>
  <si>
    <t xml:space="preserve"> 65.4286 </t>
  </si>
  <si>
    <t xml:space="preserve">F:\images\20210324\plaque 1/@10 Fadrozole 0.4 µg_L/H10_02.tif </t>
  </si>
  <si>
    <t xml:space="preserve"> 64.3333 </t>
  </si>
  <si>
    <t xml:space="preserve">F:\images\20210324\plaque 1/@10 Fadrozole 0.4 µg_L/H10_03.tif </t>
  </si>
  <si>
    <t xml:space="preserve">F:\images\20210324\plaque 1/@10 Fadrozole 0.4 µg_L/ </t>
  </si>
  <si>
    <t xml:space="preserve"> 65.9865 </t>
  </si>
  <si>
    <t xml:space="preserve"> 3.2584 </t>
  </si>
  <si>
    <t xml:space="preserve"> 221585.978 </t>
  </si>
  <si>
    <t xml:space="preserve">F:\images\20210324\plaque 1/@11 Fadrozole 2 µg_L/A11_01.tif </t>
  </si>
  <si>
    <t xml:space="preserve"> 3309.3739 </t>
  </si>
  <si>
    <t xml:space="preserve"> 66.4771 </t>
  </si>
  <si>
    <t xml:space="preserve">F:\images\20210324\plaque 1/@11 Fadrozole 2 µg_L/A11_02.tif </t>
  </si>
  <si>
    <t xml:space="preserve"> 66.089 </t>
  </si>
  <si>
    <t xml:space="preserve">F:\images\20210324\plaque 1/@11 Fadrozole 2 µg_L/A11_03.tif </t>
  </si>
  <si>
    <t xml:space="preserve"> 62.2857 </t>
  </si>
  <si>
    <t xml:space="preserve">F:\images\20210324\plaque 1/@11 Fadrozole 2 µg_L/B11_01.tif </t>
  </si>
  <si>
    <t xml:space="preserve"> 63.1395 </t>
  </si>
  <si>
    <t xml:space="preserve">F:\images\20210324\plaque 1/@11 Fadrozole 2 µg_L/B11_02.tif </t>
  </si>
  <si>
    <t xml:space="preserve"> 4434.1284 </t>
  </si>
  <si>
    <t xml:space="preserve"> 67.6878 </t>
  </si>
  <si>
    <t xml:space="preserve">F:\images\20210324\plaque 1/@11 Fadrozole 2 µg_L/B11_03.tif </t>
  </si>
  <si>
    <t xml:space="preserve">F:\images\20210324\plaque 1/@11 Fadrozole 2 µg_L/C11_01.tif </t>
  </si>
  <si>
    <t xml:space="preserve"> 1232.904 </t>
  </si>
  <si>
    <t xml:space="preserve"> 64.4912 </t>
  </si>
  <si>
    <t xml:space="preserve">F:\images\20210324\plaque 1/@11 Fadrozole 2 µg_L/C11_02.tif </t>
  </si>
  <si>
    <t xml:space="preserve"> 64.0758 </t>
  </si>
  <si>
    <t xml:space="preserve">F:\images\20210324\plaque 1/@11 Fadrozole 2 µg_L/C11_03.tif </t>
  </si>
  <si>
    <t xml:space="preserve"> 5537.253 </t>
  </si>
  <si>
    <t xml:space="preserve"> 68.5352 </t>
  </si>
  <si>
    <t xml:space="preserve">F:\images\20210324\plaque 1/@11 Fadrozole 2 µg_L/D11_01.tif </t>
  </si>
  <si>
    <t xml:space="preserve"> 6164.52 </t>
  </si>
  <si>
    <t xml:space="preserve"> 69.0561 </t>
  </si>
  <si>
    <t xml:space="preserve">F:\images\20210324\plaque 1/@11 Fadrozole 2 µg_L/D11_02.tif </t>
  </si>
  <si>
    <t xml:space="preserve"> 5623.7726 </t>
  </si>
  <si>
    <t xml:space="preserve"> 72.7115 </t>
  </si>
  <si>
    <t xml:space="preserve">F:\images\20210324\plaque 1/@11 Fadrozole 2 µg_L/D11_03.tif </t>
  </si>
  <si>
    <t xml:space="preserve"> 1189.6442 </t>
  </si>
  <si>
    <t xml:space="preserve"> 65.2545 </t>
  </si>
  <si>
    <t xml:space="preserve">F:\images\20210324\plaque 1/@11 Fadrozole 2 µg_L/E11_01.tif </t>
  </si>
  <si>
    <t xml:space="preserve"> 2595.5874 </t>
  </si>
  <si>
    <t xml:space="preserve"> 67.3583 </t>
  </si>
  <si>
    <t>F:\images\20210324\plaque 1/@11 Fadrozole 2 µg_L/E11_02- exclu.tif</t>
  </si>
  <si>
    <t xml:space="preserve">F:\images\20210324\plaque 1/@11 Fadrozole 2 µg_L/E11_03.tif </t>
  </si>
  <si>
    <t xml:space="preserve">F:\images\20210324\plaque 1/@11 Fadrozole 2 µg_L/F11_01.tif </t>
  </si>
  <si>
    <t xml:space="preserve"> 6294.2993 </t>
  </si>
  <si>
    <t xml:space="preserve"> 70.5155 </t>
  </si>
  <si>
    <t xml:space="preserve">F:\images\20210324\plaque 1/@11 Fadrozole 2 µg_L/F11_02.tif </t>
  </si>
  <si>
    <t xml:space="preserve"> 67.9821 </t>
  </si>
  <si>
    <t xml:space="preserve">F:\images\20210324\plaque 1/@11 Fadrozole 2 µg_L/F11_03.tif </t>
  </si>
  <si>
    <t xml:space="preserve"> 66.5584 </t>
  </si>
  <si>
    <t xml:space="preserve">F:\images\20210324\plaque 1/@11 Fadrozole 2 µg_L/G11_01.tif </t>
  </si>
  <si>
    <t xml:space="preserve"> 65.025 </t>
  </si>
  <si>
    <t xml:space="preserve">F:\images\20210324\plaque 1/@11 Fadrozole 2 µg_L/G11_02.tif </t>
  </si>
  <si>
    <t xml:space="preserve"> 5580.5128 </t>
  </si>
  <si>
    <t xml:space="preserve"> 69.4225 </t>
  </si>
  <si>
    <t xml:space="preserve">F:\images\20210324\plaque 1/@11 Fadrozole 2 µg_L/G11_03.tif </t>
  </si>
  <si>
    <t xml:space="preserve"> 66.5072 </t>
  </si>
  <si>
    <t xml:space="preserve">F:\images\20210324\plaque 1/@11 Fadrozole 2 µg_L/H11_01.tif </t>
  </si>
  <si>
    <t xml:space="preserve"> 64.6571 </t>
  </si>
  <si>
    <t xml:space="preserve">F:\images\20210324\plaque 1/@11 Fadrozole 2 µg_L/H11_02.tif </t>
  </si>
  <si>
    <t xml:space="preserve"> 65.1837 </t>
  </si>
  <si>
    <t xml:space="preserve">F:\images\20210324\plaque 1/@11 Fadrozole 2 µg_L/H11_03.tif </t>
  </si>
  <si>
    <t xml:space="preserve"> 71.25 </t>
  </si>
  <si>
    <t xml:space="preserve">F:\images\20210324\plaque 1/@11 Fadrozole 2 µg_L/ </t>
  </si>
  <si>
    <t xml:space="preserve"> 66.4757 </t>
  </si>
  <si>
    <t xml:space="preserve"> 2.7864 </t>
  </si>
  <si>
    <t xml:space="preserve"> 200270.292 </t>
  </si>
  <si>
    <t xml:space="preserve"> 147249.335 </t>
  </si>
  <si>
    <t xml:space="preserve">F:\images\20210324\plaque 1/@12 Fadrozole 10 µg_L/A12_01.tif </t>
  </si>
  <si>
    <t xml:space="preserve"> 67.1971 </t>
  </si>
  <si>
    <t xml:space="preserve">F:\images\20210324\plaque 1/@12 Fadrozole 10 µg_L/A12_02.tif </t>
  </si>
  <si>
    <t xml:space="preserve"> 71.206 </t>
  </si>
  <si>
    <t xml:space="preserve">F:\images\20210324\plaque 1/@12 Fadrozole 10 µg_L/A12_03.tif </t>
  </si>
  <si>
    <t xml:space="preserve"> 70.4037 </t>
  </si>
  <si>
    <t xml:space="preserve">F:\images\20210324\plaque 1/@12 Fadrozole 10 µg_L/B12_01.tif </t>
  </si>
  <si>
    <t xml:space="preserve"> 9755.0825 </t>
  </si>
  <si>
    <t xml:space="preserve"> 74.02 </t>
  </si>
  <si>
    <t xml:space="preserve">F:\images\20210324\plaque 1/@12 Fadrozole 10 µg_L/B12_02.tif </t>
  </si>
  <si>
    <t xml:space="preserve"> 5364.2139 </t>
  </si>
  <si>
    <t xml:space="preserve"> 67.7379 </t>
  </si>
  <si>
    <t xml:space="preserve">F:\images\20210324\plaque 1/@12 Fadrozole 10 µg_L/B12_03.tif </t>
  </si>
  <si>
    <t xml:space="preserve"> 4023.1604 </t>
  </si>
  <si>
    <t xml:space="preserve"> 66.7151 </t>
  </si>
  <si>
    <t xml:space="preserve">F:\images\20210324\plaque 1/@12 Fadrozole 10 µg_L/C12_01.tif </t>
  </si>
  <si>
    <t xml:space="preserve"> 3201.2244 </t>
  </si>
  <si>
    <t xml:space="preserve"> 66.7635 </t>
  </si>
  <si>
    <t xml:space="preserve">F:\images\20210324\plaque 1/@12 Fadrozole 10 µg_L/C12_02.tif </t>
  </si>
  <si>
    <t xml:space="preserve"> 5472.3633 </t>
  </si>
  <si>
    <t xml:space="preserve"> 66.8142 </t>
  </si>
  <si>
    <t xml:space="preserve">F:\images\20210324\plaque 1/@12 Fadrozole 10 µg_L/C12_03.tif </t>
  </si>
  <si>
    <t xml:space="preserve"> 68.3293 </t>
  </si>
  <si>
    <t xml:space="preserve">F:\images\20210324\plaque 1/@12 Fadrozole 10 µg_L/D12_01.tif </t>
  </si>
  <si>
    <t xml:space="preserve"> 65.0714 </t>
  </si>
  <si>
    <t xml:space="preserve">F:\images\20210324\plaque 1/@12 Fadrozole 10 µg_L/D12_02.tif </t>
  </si>
  <si>
    <t xml:space="preserve"> 1405.9432 </t>
  </si>
  <si>
    <t xml:space="preserve"> 63.2769 </t>
  </si>
  <si>
    <t xml:space="preserve">F:\images\20210324\plaque 1/@12 Fadrozole 10 µg_L/D12_03.tif </t>
  </si>
  <si>
    <t xml:space="preserve"> 65.6727 </t>
  </si>
  <si>
    <t xml:space="preserve">F:\images\20210324\plaque 1/@12 Fadrozole 10 µg_L/E12_01.tif </t>
  </si>
  <si>
    <t xml:space="preserve"> 3049.8151 </t>
  </si>
  <si>
    <t xml:space="preserve"> 67.9504 </t>
  </si>
  <si>
    <t xml:space="preserve">F:\images\20210324\plaque 1/@12 Fadrozole 10 µg_L/E12_02.tif </t>
  </si>
  <si>
    <t xml:space="preserve"> 65.1556 </t>
  </si>
  <si>
    <t xml:space="preserve">F:\images\20210324\plaque 1/@12 Fadrozole 10 µg_L/E12_03.tif </t>
  </si>
  <si>
    <t xml:space="preserve"> 69.2432 </t>
  </si>
  <si>
    <t xml:space="preserve">F:\images\20210324\plaque 1/@12 Fadrozole 10 µg_L/F12_01.tif </t>
  </si>
  <si>
    <t xml:space="preserve"> 8197.7301 </t>
  </si>
  <si>
    <t xml:space="preserve"> 68.5726 </t>
  </si>
  <si>
    <t xml:space="preserve">F:\images\20210324\plaque 1/@12 Fadrozole 10 µg_L/F12_02.tif </t>
  </si>
  <si>
    <t xml:space="preserve"> 62.8125 </t>
  </si>
  <si>
    <t xml:space="preserve">F:\images\20210324\plaque 1/@12 Fadrozole 10 µg_L/F12_03.tif </t>
  </si>
  <si>
    <t xml:space="preserve">F:\images\20210324\plaque 1/@12 Fadrozole 10 µg_L/G12_01.tif </t>
  </si>
  <si>
    <t xml:space="preserve"> 66.0513 </t>
  </si>
  <si>
    <t xml:space="preserve">F:\images\20210324\plaque 1/@12 Fadrozole 10 µg_L/G12_02.tif </t>
  </si>
  <si>
    <t xml:space="preserve">F:\images\20210324\plaque 1/@12 Fadrozole 10 µg_L/G12_03.tif </t>
  </si>
  <si>
    <t xml:space="preserve"> 64.2424 </t>
  </si>
  <si>
    <t xml:space="preserve">F:\images\20210324\plaque 1/@12 Fadrozole 10 µg_L/H12_01.tif </t>
  </si>
  <si>
    <t xml:space="preserve"> 66.0652 </t>
  </si>
  <si>
    <t xml:space="preserve">F:\images\20210324\plaque 1/@12 Fadrozole 10 µg_L/H12_02.tif </t>
  </si>
  <si>
    <t xml:space="preserve"> 62.3929 </t>
  </si>
  <si>
    <t xml:space="preserve">F:\images\20210324\plaque 1/@12 Fadrozole 10 µg_L/H12_03.tif </t>
  </si>
  <si>
    <t xml:space="preserve"> 1168.0143 </t>
  </si>
  <si>
    <t xml:space="preserve"> 64.2037 </t>
  </si>
  <si>
    <t xml:space="preserve">F:\images\20210324\plaque 1/@12 Fadrozole 10 µg_L/ </t>
  </si>
  <si>
    <t xml:space="preserve"> 66.8213 </t>
  </si>
  <si>
    <t xml:space="preserve"> 2.9559 </t>
  </si>
  <si>
    <t xml:space="preserve"> 232379.917 </t>
  </si>
  <si>
    <t xml:space="preserve"> 197303.166 </t>
  </si>
  <si>
    <t xml:space="preserve">F:\images\20210324\plaque 2/@01 Testo 30/A1_01.tif </t>
  </si>
  <si>
    <t xml:space="preserve"> 51652.1884 </t>
  </si>
  <si>
    <t xml:space="preserve"> 76.3488 </t>
  </si>
  <si>
    <t xml:space="preserve">F:\images\20210324\plaque 2/@01 Testo 30/A1_02.tif </t>
  </si>
  <si>
    <t xml:space="preserve"> 53036.5016 </t>
  </si>
  <si>
    <t xml:space="preserve"> 77.4621 </t>
  </si>
  <si>
    <t xml:space="preserve">F:\images\20210324\plaque 2/@01 Testo 30/A1_03.tif </t>
  </si>
  <si>
    <t xml:space="preserve"> 48688.8928 </t>
  </si>
  <si>
    <t xml:space="preserve"> 79.6273 </t>
  </si>
  <si>
    <t xml:space="preserve">F:\images\20210324\plaque 2/@01 Testo 30/B1_01.tif </t>
  </si>
  <si>
    <t xml:space="preserve"> 14924.6273 </t>
  </si>
  <si>
    <t xml:space="preserve"> 66.8609 </t>
  </si>
  <si>
    <t xml:space="preserve">F:\images\20210324\plaque 2/@01 Testo 30/B1_02.tif </t>
  </si>
  <si>
    <t xml:space="preserve"> 9603.6732 </t>
  </si>
  <si>
    <t xml:space="preserve"> 64.3964 </t>
  </si>
  <si>
    <t xml:space="preserve">F:\images\20210324\plaque 2/@01 Testo 30/B1_03.tif </t>
  </si>
  <si>
    <t xml:space="preserve"> 5212.8046 </t>
  </si>
  <si>
    <t xml:space="preserve"> 63.751 </t>
  </si>
  <si>
    <t xml:space="preserve">F:\images\20210324\plaque 2/@01 Testo 30/C1_01.tif </t>
  </si>
  <si>
    <t xml:space="preserve"> 55913.2776 </t>
  </si>
  <si>
    <t xml:space="preserve"> 76.4209 </t>
  </si>
  <si>
    <t xml:space="preserve">F:\images\20210324\plaque 2/@01 Testo 30/C1_02.tif </t>
  </si>
  <si>
    <t xml:space="preserve"> 76.5751 </t>
  </si>
  <si>
    <t xml:space="preserve">F:\images\20210324\plaque 2/@01 Testo 30/C1_03.tif </t>
  </si>
  <si>
    <t xml:space="preserve"> 42156.6646 </t>
  </si>
  <si>
    <t xml:space="preserve"> 77.2935 </t>
  </si>
  <si>
    <t xml:space="preserve">F:\images\20210324\plaque 2/@01 Testo 30/D1_01.tif </t>
  </si>
  <si>
    <t xml:space="preserve"> 4261.0892 </t>
  </si>
  <si>
    <t xml:space="preserve"> 65.467 </t>
  </si>
  <si>
    <t xml:space="preserve">F:\images\20210324\plaque 2/@01 Testo 30/D1_02.tif </t>
  </si>
  <si>
    <t xml:space="preserve"> 7224.3848 </t>
  </si>
  <si>
    <t xml:space="preserve"> 69.1557 </t>
  </si>
  <si>
    <t xml:space="preserve">F:\images\20210324\plaque 2/@01 Testo 30/D1_03.tif </t>
  </si>
  <si>
    <t xml:space="preserve"> 67.6127 </t>
  </si>
  <si>
    <t xml:space="preserve">F:\images\20210324\plaque 2/@01 Testo 30/E1_01.tif </t>
  </si>
  <si>
    <t xml:space="preserve"> 45985.156 </t>
  </si>
  <si>
    <t xml:space="preserve"> 77.0809 </t>
  </si>
  <si>
    <t xml:space="preserve">F:\images\20210324\plaque 2/@01 Testo 30/E1_02.tif </t>
  </si>
  <si>
    <t xml:space="preserve"> 44514.3231 </t>
  </si>
  <si>
    <t xml:space="preserve"> 75.4825 </t>
  </si>
  <si>
    <t xml:space="preserve">F:\images\20210324\plaque 2/@01 Testo 30/E1_03.tif </t>
  </si>
  <si>
    <t xml:space="preserve"> 46590.793 </t>
  </si>
  <si>
    <t xml:space="preserve"> 77.5975 </t>
  </si>
  <si>
    <t xml:space="preserve">F:\images\20210324\plaque 2/@01 Testo 30/F1_01.tif </t>
  </si>
  <si>
    <t xml:space="preserve"> 26431.7312 </t>
  </si>
  <si>
    <t xml:space="preserve"> 68.865 </t>
  </si>
  <si>
    <t xml:space="preserve">F:\images\20210324\plaque 2/@01 Testo 30/F1_02.tif </t>
  </si>
  <si>
    <t xml:space="preserve"> 21975.9729 </t>
  </si>
  <si>
    <t xml:space="preserve"> 68.7766 </t>
  </si>
  <si>
    <t xml:space="preserve">F:\images\20210324\plaque 2/@01 Testo 30/F1_03.tif </t>
  </si>
  <si>
    <t xml:space="preserve"> 15357.2252 </t>
  </si>
  <si>
    <t xml:space="preserve"> 65.7028 </t>
  </si>
  <si>
    <t xml:space="preserve">F:\images\20210324\plaque 2/@01 Testo 30/G1_01.tif </t>
  </si>
  <si>
    <t xml:space="preserve"> 34564.5716 </t>
  </si>
  <si>
    <t xml:space="preserve"> 68.9199 </t>
  </si>
  <si>
    <t xml:space="preserve">F:\images\20210324\plaque 2/@01 Testo 30/G1_02.tif </t>
  </si>
  <si>
    <t xml:space="preserve"> 34218.4933 </t>
  </si>
  <si>
    <t xml:space="preserve"> 71.2282 </t>
  </si>
  <si>
    <t xml:space="preserve">F:\images\20210324\plaque 2/@01 Testo 30/G1_03.tif </t>
  </si>
  <si>
    <t xml:space="preserve"> 31817.575 </t>
  </si>
  <si>
    <t xml:space="preserve"> 70.9388 </t>
  </si>
  <si>
    <t xml:space="preserve">F:\images\20210324\plaque 2/@01 Testo 30/H1_01.tif </t>
  </si>
  <si>
    <t xml:space="preserve"> 13626.8336 </t>
  </si>
  <si>
    <t xml:space="preserve"> 66.3635 </t>
  </si>
  <si>
    <t xml:space="preserve">F:\images\20210324\plaque 2/@01 Testo 30/H1_02.tif </t>
  </si>
  <si>
    <t xml:space="preserve"> 66.0582 </t>
  </si>
  <si>
    <t xml:space="preserve">F:\images\20210324\plaque 2/@01 Testo 30/H1_03.tif </t>
  </si>
  <si>
    <t xml:space="preserve"> 12372.2997 </t>
  </si>
  <si>
    <t xml:space="preserve"> 67.4423 </t>
  </si>
  <si>
    <t xml:space="preserve">F:\images\20210324\plaque 2/@01 Testo 30/ </t>
  </si>
  <si>
    <t xml:space="preserve"> 71.0595 </t>
  </si>
  <si>
    <t xml:space="preserve"> 5.1274 </t>
  </si>
  <si>
    <t xml:space="preserve"> 2115348.71 </t>
  </si>
  <si>
    <t xml:space="preserve"> 1443635.9 </t>
  </si>
  <si>
    <t xml:space="preserve">F:\images\20210324\plaque 2/@02 Testo 30/A2_01.tif </t>
  </si>
  <si>
    <t xml:space="preserve"> 19683.2041 </t>
  </si>
  <si>
    <t xml:space="preserve"> 69.0495 </t>
  </si>
  <si>
    <t xml:space="preserve">F:\images\20210324\plaque 2/@02 Testo 30/A2_02.tif </t>
  </si>
  <si>
    <t xml:space="preserve"> 16265.6808 </t>
  </si>
  <si>
    <t xml:space="preserve"> 65.5638 </t>
  </si>
  <si>
    <t xml:space="preserve">F:\images\20210324\plaque 2/@02 Testo 30/A2_03.tif </t>
  </si>
  <si>
    <t xml:space="preserve"> 66.5467 </t>
  </si>
  <si>
    <t xml:space="preserve">F:\images\20210324\plaque 2/@02 Testo 30/B2_01.tif </t>
  </si>
  <si>
    <t xml:space="preserve"> 60498.8153 </t>
  </si>
  <si>
    <t xml:space="preserve"> 81.5181 </t>
  </si>
  <si>
    <t xml:space="preserve">F:\images\20210324\plaque 2/@02 Testo 30/B2_02.tif </t>
  </si>
  <si>
    <t xml:space="preserve"> 52474.1244 </t>
  </si>
  <si>
    <t xml:space="preserve"> 80.3054 </t>
  </si>
  <si>
    <t xml:space="preserve">F:\images\20210324\plaque 2/@02 Testo 30/B2_03.tif </t>
  </si>
  <si>
    <t xml:space="preserve"> 49121.4907 </t>
  </si>
  <si>
    <t xml:space="preserve"> 78.8063 </t>
  </si>
  <si>
    <t xml:space="preserve">F:\images\20210324\plaque 2/@02 Testo 30/C2_01.tif </t>
  </si>
  <si>
    <t xml:space="preserve"> 34067.084 </t>
  </si>
  <si>
    <t xml:space="preserve"> 71.3314 </t>
  </si>
  <si>
    <t xml:space="preserve">F:\images\20210324\plaque 2/@02 Testo 30/C2_02.tif </t>
  </si>
  <si>
    <t xml:space="preserve"> 31406.607 </t>
  </si>
  <si>
    <t xml:space="preserve"> 69.3106 </t>
  </si>
  <si>
    <t xml:space="preserve">F:\images\20210324\plaque 2/@02 Testo 30/C2_03.tif </t>
  </si>
  <si>
    <t xml:space="preserve"> 32682.7708 </t>
  </si>
  <si>
    <t xml:space="preserve"> 69.7161 </t>
  </si>
  <si>
    <t xml:space="preserve">F:\images\20210324\plaque 2/@02 Testo 30/D2_01.tif </t>
  </si>
  <si>
    <t xml:space="preserve"> 52906.7223 </t>
  </si>
  <si>
    <t xml:space="preserve"> 76.4215 </t>
  </si>
  <si>
    <t xml:space="preserve">F:\images\20210324\plaque 2/@02 Testo 30/D2_02.tif </t>
  </si>
  <si>
    <t xml:space="preserve"> 55696.9787 </t>
  </si>
  <si>
    <t xml:space="preserve"> 76.4287 </t>
  </si>
  <si>
    <t xml:space="preserve">F:\images\20210324\plaque 2/@02 Testo 30/D2_03.tif </t>
  </si>
  <si>
    <t xml:space="preserve"> 51565.6688 </t>
  </si>
  <si>
    <t xml:space="preserve"> 78.1909 </t>
  </si>
  <si>
    <t xml:space="preserve">F:\images\20210324\plaque 2/@02 Testo 30/E2_01.tif </t>
  </si>
  <si>
    <t xml:space="preserve"> 70.6625 </t>
  </si>
  <si>
    <t xml:space="preserve">F:\images\20210324\plaque 2/@02 Testo 30/E2_02.tif </t>
  </si>
  <si>
    <t xml:space="preserve"> 30563.0411 </t>
  </si>
  <si>
    <t xml:space="preserve"> 69.0757 </t>
  </si>
  <si>
    <t xml:space="preserve">F:\images\20210324\plaque 2/@02 Testo 30/E2_03.tif </t>
  </si>
  <si>
    <t xml:space="preserve"> 25090.6778 </t>
  </si>
  <si>
    <t xml:space="preserve"> 68.694 </t>
  </si>
  <si>
    <t xml:space="preserve">F:\images\20210324\plaque 2/@02 Testo 30/F2_01.tif </t>
  </si>
  <si>
    <t xml:space="preserve"> 35992.1447 </t>
  </si>
  <si>
    <t xml:space="preserve"> 71.4369 </t>
  </si>
  <si>
    <t xml:space="preserve">F:\images\20210324\plaque 2/@02 Testo 30/F2_02.tif </t>
  </si>
  <si>
    <t xml:space="preserve"> 32855.8099 </t>
  </si>
  <si>
    <t xml:space="preserve"> 70.5635 </t>
  </si>
  <si>
    <t xml:space="preserve">F:\images\20210324\plaque 2/@02 Testo 30/F2_03.tif </t>
  </si>
  <si>
    <t xml:space="preserve"> 33569.5965 </t>
  </si>
  <si>
    <t xml:space="preserve"> 70.5348 </t>
  </si>
  <si>
    <t xml:space="preserve">F:\images\20210324\plaque 2/@02 Testo 30/G2_01.tif </t>
  </si>
  <si>
    <t xml:space="preserve"> 17887.9229 </t>
  </si>
  <si>
    <t xml:space="preserve"> 70.451 </t>
  </si>
  <si>
    <t xml:space="preserve">F:\images\20210324\plaque 2/@02 Testo 30/G2_02.tif </t>
  </si>
  <si>
    <t xml:space="preserve"> 16741.5384 </t>
  </si>
  <si>
    <t xml:space="preserve"> 68.2842 </t>
  </si>
  <si>
    <t xml:space="preserve">F:\images\20210324\plaque 2/@02 Testo 30/G2_03.tif </t>
  </si>
  <si>
    <t xml:space="preserve"> 15205.8159 </t>
  </si>
  <si>
    <t xml:space="preserve"> 68.1337 </t>
  </si>
  <si>
    <t xml:space="preserve">F:\images\20210324\plaque 2/@02 Testo 30/H2_01.tif </t>
  </si>
  <si>
    <t xml:space="preserve"> 35559.5468 </t>
  </si>
  <si>
    <t xml:space="preserve"> 69.1484 </t>
  </si>
  <si>
    <t xml:space="preserve">F:\images\20210324\plaque 2/@02 Testo 30/H2_02.tif </t>
  </si>
  <si>
    <t xml:space="preserve"> 37398.0878 </t>
  </si>
  <si>
    <t xml:space="preserve"> 69.0133 </t>
  </si>
  <si>
    <t xml:space="preserve">F:\images\20210324\plaque 2/@02 Testo 30/H2_03.tif </t>
  </si>
  <si>
    <t xml:space="preserve"> 31190.3081 </t>
  </si>
  <si>
    <t xml:space="preserve"> 68.4334 </t>
  </si>
  <si>
    <t xml:space="preserve">F:\images\20210324\plaque 2/@02 Testo 30/ </t>
  </si>
  <si>
    <t xml:space="preserve"> 71.5675 </t>
  </si>
  <si>
    <t xml:space="preserve"> 4.4643 </t>
  </si>
  <si>
    <t xml:space="preserve"> 2485359.67 </t>
  </si>
  <si>
    <t xml:space="preserve"> 1154765.92 </t>
  </si>
  <si>
    <t xml:space="preserve">F:\images\20210324\plaque 2/@03 Testo+ EE2 64/A3_01.tif </t>
  </si>
  <si>
    <t xml:space="preserve"> 57730.1888 </t>
  </si>
  <si>
    <t xml:space="preserve"> 83.5444 </t>
  </si>
  <si>
    <t xml:space="preserve">F:\images\20210324\plaque 2/@03 Testo+ EE2 64/A3_02.tif </t>
  </si>
  <si>
    <t xml:space="preserve"> 56648.694 </t>
  </si>
  <si>
    <t xml:space="preserve"> 86.7896 </t>
  </si>
  <si>
    <t xml:space="preserve">F:\images\20210324\plaque 2/@03 Testo+ EE2 64/A3_03.tif </t>
  </si>
  <si>
    <t xml:space="preserve"> 48472.5939 </t>
  </si>
  <si>
    <t xml:space="preserve"> 87.004 </t>
  </si>
  <si>
    <t xml:space="preserve">F:\images\20210324\plaque 2/@03 Testo+ EE2 64/B3_01.tif </t>
  </si>
  <si>
    <t xml:space="preserve"> 54312.6654 </t>
  </si>
  <si>
    <t xml:space="preserve"> 86.8658 </t>
  </si>
  <si>
    <t xml:space="preserve">F:\images\20210324\plaque 2/@03 Testo+ EE2 64/B3_02.tif </t>
  </si>
  <si>
    <t xml:space="preserve"> 55372.5302 </t>
  </si>
  <si>
    <t xml:space="preserve"> 81.4047 </t>
  </si>
  <si>
    <t xml:space="preserve">F:\images\20210324\plaque 2/@03 Testo+ EE2 64/B3_03.tif </t>
  </si>
  <si>
    <t xml:space="preserve"> 49208.0103 </t>
  </si>
  <si>
    <t xml:space="preserve"> 81.4954 </t>
  </si>
  <si>
    <t xml:space="preserve">F:\images\20210324\plaque 2/@03 Testo+ EE2 64/C3_01.tif </t>
  </si>
  <si>
    <t xml:space="preserve"> 11528.7338 </t>
  </si>
  <si>
    <t xml:space="preserve"> 68.5159 </t>
  </si>
  <si>
    <t xml:space="preserve">F:\images\20210324\plaque 2/@03 Testo+ EE2 64/C3_02.tif </t>
  </si>
  <si>
    <t xml:space="preserve"> 8824.997 </t>
  </si>
  <si>
    <t xml:space="preserve"> 69.0613 </t>
  </si>
  <si>
    <t xml:space="preserve">F:\images\20210324\plaque 2/@03 Testo+ EE2 64/C3_03.tif </t>
  </si>
  <si>
    <t xml:space="preserve"> 11117.7658 </t>
  </si>
  <si>
    <t xml:space="preserve"> 69.5603 </t>
  </si>
  <si>
    <t xml:space="preserve">F:\images\20210324\plaque 2/@03 Testo+ EE2 64/D3_01.tif </t>
  </si>
  <si>
    <t xml:space="preserve"> 59936.438 </t>
  </si>
  <si>
    <t xml:space="preserve"> 77.5215 </t>
  </si>
  <si>
    <t>F:\images\20210324\plaque 2/@03 Testo+ EE2 64/D3_02- exclu.tif</t>
  </si>
  <si>
    <t xml:space="preserve">F:\images\20210324\plaque 2/@03 Testo+ EE2 64/D3_03.tif </t>
  </si>
  <si>
    <t xml:space="preserve"> 57600.4094 </t>
  </si>
  <si>
    <t xml:space="preserve"> 73.9681 </t>
  </si>
  <si>
    <t xml:space="preserve">F:\images\20210324\plaque 2/@03 Testo+ EE2 64/E3_01.tif </t>
  </si>
  <si>
    <t xml:space="preserve"> 38501.2124 </t>
  </si>
  <si>
    <t xml:space="preserve"> 73.2185 </t>
  </si>
  <si>
    <t xml:space="preserve">F:\images\20210324\plaque 2/@03 Testo+ EE2 64/E3_02.tif </t>
  </si>
  <si>
    <t xml:space="preserve"> 37073.6394 </t>
  </si>
  <si>
    <t xml:space="preserve"> 70.7853 </t>
  </si>
  <si>
    <t>F:\images\20210324\plaque 2/@03 Testo+ EE2 64/E3_03- exclu.tif</t>
  </si>
  <si>
    <t xml:space="preserve">F:\images\20210324\plaque 2/@03 Testo+ EE2 64/F3_01.tif </t>
  </si>
  <si>
    <t xml:space="preserve"> 71.8261 </t>
  </si>
  <si>
    <t xml:space="preserve">F:\images\20210324\plaque 2/@03 Testo+ EE2 64/F3_02.tif </t>
  </si>
  <si>
    <t xml:space="preserve"> 19099.197 </t>
  </si>
  <si>
    <t xml:space="preserve"> 71.3228 </t>
  </si>
  <si>
    <t xml:space="preserve">F:\images\20210324\plaque 2/@03 Testo+ EE2 64/F3_03.tif </t>
  </si>
  <si>
    <t xml:space="preserve"> 23317.0264 </t>
  </si>
  <si>
    <t xml:space="preserve"> 70.769 </t>
  </si>
  <si>
    <t xml:space="preserve">F:\images\20210324\plaque 2/@03 Testo+ EE2 64/G3_01.tif </t>
  </si>
  <si>
    <t xml:space="preserve"> 50938.4019 </t>
  </si>
  <si>
    <t xml:space="preserve"> 82.9665 </t>
  </si>
  <si>
    <t xml:space="preserve">F:\images\20210324\plaque 2/@03 Testo+ EE2 64/G3_02.tif </t>
  </si>
  <si>
    <t xml:space="preserve"> 54658.7437 </t>
  </si>
  <si>
    <t xml:space="preserve"> 79.1856 </t>
  </si>
  <si>
    <t xml:space="preserve">F:\images\20210324\plaque 2/@03 Testo+ EE2 64/G3_03.tif </t>
  </si>
  <si>
    <t xml:space="preserve"> 53144.6511 </t>
  </si>
  <si>
    <t xml:space="preserve"> 81.4103 </t>
  </si>
  <si>
    <t>F:\images\20210324\plaque 2/@03 Testo+ EE2 64/H3_01- exclu.tif</t>
  </si>
  <si>
    <t>F:\images\20210324\plaque 2/@03 Testo+ EE2 64/H3_02- exclu.tif</t>
  </si>
  <si>
    <t>F:\images\20210324\plaque 2/@03 Testo+ EE2 64/H3_03- exclu.tif</t>
  </si>
  <si>
    <t xml:space="preserve">F:\images\20210324\plaque 2/@03 Testo+ EE2 64/ </t>
  </si>
  <si>
    <t xml:space="preserve"> 76.5369 </t>
  </si>
  <si>
    <t xml:space="preserve"> 6.2928 </t>
  </si>
  <si>
    <t xml:space="preserve"> 3242111.33 </t>
  </si>
  <si>
    <t xml:space="preserve"> 1497909.35 </t>
  </si>
  <si>
    <t xml:space="preserve">F:\images\20210324\plaque 2/@04 Testo+ FAD/A4_01.tif </t>
  </si>
  <si>
    <t xml:space="preserve"> 64.75 </t>
  </si>
  <si>
    <t xml:space="preserve">F:\images\20210324\plaque 2/@04 Testo+ FAD/A4_02.tif </t>
  </si>
  <si>
    <t xml:space="preserve"> 3698.712 </t>
  </si>
  <si>
    <t xml:space="preserve"> 64.6842 </t>
  </si>
  <si>
    <t xml:space="preserve">F:\images\20210324\plaque 2/@04 Testo+ FAD/A4_03.tif </t>
  </si>
  <si>
    <t xml:space="preserve"> 66.6667 </t>
  </si>
  <si>
    <t xml:space="preserve">F:\images\20210324\plaque 2/@04 Testo+ FAD/B4_01.tif </t>
  </si>
  <si>
    <t xml:space="preserve"> 67.4167 </t>
  </si>
  <si>
    <t xml:space="preserve">F:\images\20210324\plaque 2/@04 Testo+ FAD/B4_02.tif </t>
  </si>
  <si>
    <t xml:space="preserve"> 62.6364 </t>
  </si>
  <si>
    <t>F:\images\20210324\plaque 2/@04 Testo+ FAD/B4_03- exclu.tif</t>
  </si>
  <si>
    <t xml:space="preserve">F:\images\20210324\plaque 2/@04 Testo+ FAD/C4_01.tif </t>
  </si>
  <si>
    <t xml:space="preserve"> 67.8095 </t>
  </si>
  <si>
    <t xml:space="preserve">F:\images\20210324\plaque 2/@04 Testo+ FAD/C4_02.tif </t>
  </si>
  <si>
    <t xml:space="preserve"> 1881.8008 </t>
  </si>
  <si>
    <t xml:space="preserve"> 67.8506 </t>
  </si>
  <si>
    <t xml:space="preserve">F:\images\20210324\plaque 2/@04 Testo+ FAD/C4_03.tif </t>
  </si>
  <si>
    <t xml:space="preserve"> 2682.1069 </t>
  </si>
  <si>
    <t xml:space="preserve"> 64.5323 </t>
  </si>
  <si>
    <t>F:\images\20210324\plaque 2/@04 Testo+ FAD/D4_01- exclu.tif</t>
  </si>
  <si>
    <t xml:space="preserve">F:\images\20210324\plaque 2/@04 Testo+ FAD/D4_02.tif </t>
  </si>
  <si>
    <t xml:space="preserve"> 63.3043 </t>
  </si>
  <si>
    <t xml:space="preserve">F:\images\20210324\plaque 2/@04 Testo+ FAD/D4_03.tif </t>
  </si>
  <si>
    <t xml:space="preserve"> 62.6 </t>
  </si>
  <si>
    <t xml:space="preserve">F:\images\20210324\plaque 2/@04 Testo+ FAD/E4_01.tif </t>
  </si>
  <si>
    <t xml:space="preserve"> 4412.4985 </t>
  </si>
  <si>
    <t xml:space="preserve"> 65.9755 </t>
  </si>
  <si>
    <t xml:space="preserve">F:\images\20210324\plaque 2/@04 Testo+ FAD/E4_02.tif </t>
  </si>
  <si>
    <t xml:space="preserve"> 3958.2707 </t>
  </si>
  <si>
    <t xml:space="preserve"> 67.6066 </t>
  </si>
  <si>
    <t xml:space="preserve">F:\images\20210324\plaque 2/@04 Testo+ FAD/E4_03.tif </t>
  </si>
  <si>
    <t xml:space="preserve"> 70.4505 </t>
  </si>
  <si>
    <t xml:space="preserve">F:\images\20210324\plaque 2/@04 Testo+ FAD/F4_01.tif </t>
  </si>
  <si>
    <t xml:space="preserve"> 65.0112 </t>
  </si>
  <si>
    <t xml:space="preserve">F:\images\20210324\plaque 2/@04 Testo+ FAD/F4_02.tif </t>
  </si>
  <si>
    <t xml:space="preserve"> 3915.0109 </t>
  </si>
  <si>
    <t xml:space="preserve"> 64.779 </t>
  </si>
  <si>
    <t xml:space="preserve">F:\images\20210324\plaque 2/@04 Testo+ FAD/F4_03.tif </t>
  </si>
  <si>
    <t xml:space="preserve"> 65.9167 </t>
  </si>
  <si>
    <t xml:space="preserve">F:\images\20210324\plaque 2/@04 Testo+ FAD/G4_01.tif </t>
  </si>
  <si>
    <t xml:space="preserve"> 66.0558 </t>
  </si>
  <si>
    <t xml:space="preserve">F:\images\20210324\plaque 2/@04 Testo+ FAD/G4_02.tif </t>
  </si>
  <si>
    <t xml:space="preserve"> 72.7023 </t>
  </si>
  <si>
    <t xml:space="preserve">F:\images\20210324\plaque 2/@04 Testo+ FAD/G4_03.tif </t>
  </si>
  <si>
    <t xml:space="preserve"> 68.6092 </t>
  </si>
  <si>
    <t xml:space="preserve">F:\images\20210324\plaque 2/@04 Testo+ FAD/H4_01.tif </t>
  </si>
  <si>
    <t xml:space="preserve"> 4866.7263 </t>
  </si>
  <si>
    <t xml:space="preserve"> 73.9156 </t>
  </si>
  <si>
    <t>F:\images\20210324\plaque 2/@04 Testo+ FAD/H4_02- exclu.tif</t>
  </si>
  <si>
    <t xml:space="preserve">F:\images\20210324\plaque 2/@04 Testo+ FAD/H4_03.tif </t>
  </si>
  <si>
    <t xml:space="preserve"> 63.0455 </t>
  </si>
  <si>
    <t xml:space="preserve">F:\images\20210324\plaque 2/@04 Testo+ FAD/ </t>
  </si>
  <si>
    <t xml:space="preserve"> 66.4283 </t>
  </si>
  <si>
    <t xml:space="preserve"> 3.3124 </t>
  </si>
  <si>
    <t xml:space="preserve"> 183952.333 </t>
  </si>
  <si>
    <t xml:space="preserve"> 140077.82 </t>
  </si>
  <si>
    <t xml:space="preserve">F:\images\20210324\plaque 2/@05 Fadrozole 0.016 µg_L Dopé/A5_01.tif </t>
  </si>
  <si>
    <t xml:space="preserve"> 10447.2391 </t>
  </si>
  <si>
    <t xml:space="preserve"> 66.441 </t>
  </si>
  <si>
    <t xml:space="preserve">F:\images\20210324\plaque 2/@05 Fadrozole 0.016 µg_L Dopé/A5_02.tif </t>
  </si>
  <si>
    <t xml:space="preserve"> 17996.0723 </t>
  </si>
  <si>
    <t xml:space="preserve"> 67.6839 </t>
  </si>
  <si>
    <t xml:space="preserve">F:\images\20210324\plaque 2/@05 Fadrozole 0.016 µg_L Dopé/A5_03.tif </t>
  </si>
  <si>
    <t xml:space="preserve"> 10555.3886 </t>
  </si>
  <si>
    <t xml:space="preserve"> 68.252 </t>
  </si>
  <si>
    <t>F:\images\20210324\plaque 2/@05 Fadrozole 0.016 µg_L Dopé/B5_01- exclu.tif</t>
  </si>
  <si>
    <t xml:space="preserve">F:\images\20210324\plaque 2/@05 Fadrozole 0.016 µg_L Dopé/B5_02.tif </t>
  </si>
  <si>
    <t xml:space="preserve"> 66.6131 </t>
  </si>
  <si>
    <t xml:space="preserve">F:\images\20210324\plaque 2/@05 Fadrozole 0.016 µg_L Dopé/B5_03.tif </t>
  </si>
  <si>
    <t xml:space="preserve"> 63.8913 </t>
  </si>
  <si>
    <t xml:space="preserve">F:\images\20210324\plaque 2/@05 Fadrozole 0.016 µg_L Dopé/C5_01.tif </t>
  </si>
  <si>
    <t xml:space="preserve"> 30433.2617 </t>
  </si>
  <si>
    <t xml:space="preserve"> 69.8259 </t>
  </si>
  <si>
    <t xml:space="preserve">F:\images\20210324\plaque 2/@05 Fadrozole 0.016 µg_L Dopé/C5_02.tif </t>
  </si>
  <si>
    <t xml:space="preserve"> 32574.6213 </t>
  </si>
  <si>
    <t xml:space="preserve"> 70.4163 </t>
  </si>
  <si>
    <t xml:space="preserve">F:\images\20210324\plaque 2/@05 Fadrozole 0.016 µg_L Dopé/C5_03.tif </t>
  </si>
  <si>
    <t xml:space="preserve"> 29546.4361 </t>
  </si>
  <si>
    <t xml:space="preserve"> 69.5234 </t>
  </si>
  <si>
    <t xml:space="preserve">F:\images\20210324\plaque 2/@05 Fadrozole 0.016 µg_L Dopé/D5_01.tif </t>
  </si>
  <si>
    <t xml:space="preserve"> 9949.7515 </t>
  </si>
  <si>
    <t xml:space="preserve"> 69.9196 </t>
  </si>
  <si>
    <t xml:space="preserve">F:\images\20210324\plaque 2/@05 Fadrozole 0.016 µg_L Dopé/D5_02.tif </t>
  </si>
  <si>
    <t xml:space="preserve"> 10230.9402 </t>
  </si>
  <si>
    <t xml:space="preserve"> 69.778 </t>
  </si>
  <si>
    <t xml:space="preserve">F:\images\20210324\plaque 2/@05 Fadrozole 0.016 µg_L Dopé/D5_03.tif </t>
  </si>
  <si>
    <t xml:space="preserve"> 7808.392 </t>
  </si>
  <si>
    <t xml:space="preserve"> 68.1025 </t>
  </si>
  <si>
    <t xml:space="preserve">F:\images\20210324\plaque 2/@05 Fadrozole 0.016 µg_L Dopé/E5_01.tif </t>
  </si>
  <si>
    <t xml:space="preserve"> 39755.7463 </t>
  </si>
  <si>
    <t xml:space="preserve"> 71.0147 </t>
  </si>
  <si>
    <t xml:space="preserve">F:\images\20210324\plaque 2/@05 Fadrozole 0.016 µg_L Dopé/E5_02.tif </t>
  </si>
  <si>
    <t xml:space="preserve"> 70.8306 </t>
  </si>
  <si>
    <t xml:space="preserve">F:\images\20210324\plaque 2/@05 Fadrozole 0.016 µg_L Dopé/E5_03.tif </t>
  </si>
  <si>
    <t xml:space="preserve"> 71.4982 </t>
  </si>
  <si>
    <t xml:space="preserve">F:\images\20210324\plaque 2/@05 Fadrozole 0.016 µg_L Dopé/F5_01.tif </t>
  </si>
  <si>
    <t xml:space="preserve"> 6726.8972 </t>
  </si>
  <si>
    <t xml:space="preserve"> 64.5016 </t>
  </si>
  <si>
    <t>F:\images\20210324\plaque 2/@05 Fadrozole 0.016 µg_L Dopé/F5_02- exclu.tif</t>
  </si>
  <si>
    <t xml:space="preserve">F:\images\20210324\plaque 2/@05 Fadrozole 0.016 µg_L Dopé/F5_03.tif </t>
  </si>
  <si>
    <t xml:space="preserve"> 8457.2888 </t>
  </si>
  <si>
    <t xml:space="preserve"> 65.9284 </t>
  </si>
  <si>
    <t xml:space="preserve">F:\images\20210324\plaque 2/@05 Fadrozole 0.016 µg_L Dopé/G5_01.tif </t>
  </si>
  <si>
    <t xml:space="preserve"> 44644.1025 </t>
  </si>
  <si>
    <t xml:space="preserve"> 74.4075 </t>
  </si>
  <si>
    <t xml:space="preserve">F:\images\20210324\plaque 2/@05 Fadrozole 0.016 µg_L Dopé/G5_02.tif </t>
  </si>
  <si>
    <t xml:space="preserve"> 38847.2908 </t>
  </si>
  <si>
    <t xml:space="preserve"> 74.6275 </t>
  </si>
  <si>
    <t xml:space="preserve">F:\images\20210324\plaque 2/@05 Fadrozole 0.016 µg_L Dopé/G5_03.tif </t>
  </si>
  <si>
    <t xml:space="preserve"> 37506.2373 </t>
  </si>
  <si>
    <t xml:space="preserve"> 74.9193 </t>
  </si>
  <si>
    <t xml:space="preserve">F:\images\20210324\plaque 2/@05 Fadrozole 0.016 µg_L Dopé/H5_01.tif </t>
  </si>
  <si>
    <t xml:space="preserve"> 66.5752 </t>
  </si>
  <si>
    <t xml:space="preserve">F:\images\20210324\plaque 2/@05 Fadrozole 0.016 µg_L Dopé/H5_02.tif </t>
  </si>
  <si>
    <t xml:space="preserve"> 8414.029 </t>
  </si>
  <si>
    <t xml:space="preserve"> 71.8638 </t>
  </si>
  <si>
    <t xml:space="preserve">F:\images\20210324\plaque 2/@05 Fadrozole 0.016 µg_L Dopé/H5_03.tif </t>
  </si>
  <si>
    <t xml:space="preserve"> 64.5 </t>
  </si>
  <si>
    <t xml:space="preserve">F:\images\20210324\plaque 2/@05 Fadrozole 0.016 µg_L Dopé/ </t>
  </si>
  <si>
    <t xml:space="preserve"> 68.8567 </t>
  </si>
  <si>
    <t xml:space="preserve"> 3.2466 </t>
  </si>
  <si>
    <t xml:space="preserve"> 1318369.12 </t>
  </si>
  <si>
    <t xml:space="preserve"> 1119842.92 </t>
  </si>
  <si>
    <t xml:space="preserve">F:\images\20210324\plaque 2/@06  Fadrozole 0.08 µg_L Dopé/A6_01.tif </t>
  </si>
  <si>
    <t xml:space="preserve"> 23468.4357 </t>
  </si>
  <si>
    <t xml:space="preserve">F:\images\20210324\plaque 2/@06  Fadrozole 0.08 µg_L Dopé/A6_02.tif </t>
  </si>
  <si>
    <t xml:space="preserve"> 21370.3359 </t>
  </si>
  <si>
    <t xml:space="preserve"> 65.9251 </t>
  </si>
  <si>
    <t xml:space="preserve">F:\images\20210324\plaque 2/@06  Fadrozole 0.08 µg_L Dopé/A6_03.tif </t>
  </si>
  <si>
    <t xml:space="preserve"> 19185.7165 </t>
  </si>
  <si>
    <t xml:space="preserve"> 66.3427 </t>
  </si>
  <si>
    <t xml:space="preserve">F:\images\20210324\plaque 2/@06  Fadrozole 0.08 µg_L Dopé/B6_01.tif </t>
  </si>
  <si>
    <t xml:space="preserve"> 34889.02 </t>
  </si>
  <si>
    <t xml:space="preserve"> 69.1742 </t>
  </si>
  <si>
    <t xml:space="preserve">F:\images\20210324\plaque 2/@06  Fadrozole 0.08 µg_L Dopé/B6_02.tif </t>
  </si>
  <si>
    <t xml:space="preserve"> 28702.8702 </t>
  </si>
  <si>
    <t xml:space="preserve"> 68.8636 </t>
  </si>
  <si>
    <t xml:space="preserve">F:\images\20210324\plaque 2/@06  Fadrozole 0.08 µg_L Dopé/B6_03.tif </t>
  </si>
  <si>
    <t xml:space="preserve"> 28053.9733 </t>
  </si>
  <si>
    <t xml:space="preserve"> 68.1619 </t>
  </si>
  <si>
    <t xml:space="preserve">F:\images\20210324\plaque 2/@06  Fadrozole 0.08 µg_L Dopé/C6_01.tif </t>
  </si>
  <si>
    <t xml:space="preserve"> 17671.6239 </t>
  </si>
  <si>
    <t xml:space="preserve"> 65.7748 </t>
  </si>
  <si>
    <t xml:space="preserve">F:\images\20210324\plaque 2/@06  Fadrozole 0.08 µg_L Dopé/C6_02.tif </t>
  </si>
  <si>
    <t xml:space="preserve"> 11442.2143 </t>
  </si>
  <si>
    <t xml:space="preserve"> 64.5633 </t>
  </si>
  <si>
    <t xml:space="preserve">F:\images\20210324\plaque 2/@06  Fadrozole 0.08 µg_L Dopé/C6_03.tif </t>
  </si>
  <si>
    <t xml:space="preserve"> 12653.4884 </t>
  </si>
  <si>
    <t xml:space="preserve"> 65.4974 </t>
  </si>
  <si>
    <t xml:space="preserve">F:\images\20210324\plaque 2/@06  Fadrozole 0.08 µg_L Dopé/D6_01.tif </t>
  </si>
  <si>
    <t xml:space="preserve"> 30887.4895 </t>
  </si>
  <si>
    <t xml:space="preserve"> 73.9118 </t>
  </si>
  <si>
    <t xml:space="preserve">F:\images\20210324\plaque 2/@06  Fadrozole 0.08 µg_L Dopé/D6_02.tif </t>
  </si>
  <si>
    <t xml:space="preserve"> 34629.4613 </t>
  </si>
  <si>
    <t xml:space="preserve"> 74.1387 </t>
  </si>
  <si>
    <t xml:space="preserve">F:\images\20210324\plaque 2/@06  Fadrozole 0.08 µg_L Dopé/D6_03.tif </t>
  </si>
  <si>
    <t xml:space="preserve"> 32163.6533 </t>
  </si>
  <si>
    <t xml:space="preserve"> 73.2293 </t>
  </si>
  <si>
    <t xml:space="preserve">F:\images\20210324\plaque 2/@06  Fadrozole 0.08 µg_L Dopé/E6_01.tif </t>
  </si>
  <si>
    <t xml:space="preserve"> 35191.8386 </t>
  </si>
  <si>
    <t xml:space="preserve"> 67.6669 </t>
  </si>
  <si>
    <t xml:space="preserve">F:\images\20210324\plaque 2/@06  Fadrozole 0.08 µg_L Dopé/E6_02.tif </t>
  </si>
  <si>
    <t xml:space="preserve"> 25177.1973 </t>
  </si>
  <si>
    <t xml:space="preserve"> 67.3136 </t>
  </si>
  <si>
    <t xml:space="preserve">F:\images\20210324\plaque 2/@06  Fadrozole 0.08 µg_L Dopé/E6_03.tif </t>
  </si>
  <si>
    <t xml:space="preserve"> 26950.8487 </t>
  </si>
  <si>
    <t xml:space="preserve"> 68.2055 </t>
  </si>
  <si>
    <t xml:space="preserve">F:\images\20210324\plaque 2/@06  Fadrozole 0.08 µg_L Dopé/F6_01.tif </t>
  </si>
  <si>
    <t xml:space="preserve"> 13843.1326 </t>
  </si>
  <si>
    <t xml:space="preserve"> 66.1828 </t>
  </si>
  <si>
    <t xml:space="preserve">F:\images\20210324\plaque 2/@06  Fadrozole 0.08 µg_L Dopé/F6_02.tif </t>
  </si>
  <si>
    <t xml:space="preserve"> 14794.8479 </t>
  </si>
  <si>
    <t xml:space="preserve"> 65.9503 </t>
  </si>
  <si>
    <t xml:space="preserve">F:\images\20210324\plaque 2/@06  Fadrozole 0.08 µg_L Dopé/F6_03.tif </t>
  </si>
  <si>
    <t xml:space="preserve"> 65.7916 </t>
  </si>
  <si>
    <t xml:space="preserve">F:\images\20210324\plaque 2/@06  Fadrozole 0.08 µg_L Dopé/G6_01.tif </t>
  </si>
  <si>
    <t xml:space="preserve"> 29892.5144 </t>
  </si>
  <si>
    <t xml:space="preserve"> 68.3271 </t>
  </si>
  <si>
    <t xml:space="preserve">F:\images\20210324\plaque 2/@06  Fadrozole 0.08 µg_L Dopé/G6_02.tif </t>
  </si>
  <si>
    <t xml:space="preserve"> 23987.5531 </t>
  </si>
  <si>
    <t xml:space="preserve"> 67.3571 </t>
  </si>
  <si>
    <t xml:space="preserve">F:\images\20210324\plaque 2/@06  Fadrozole 0.08 µg_L Dopé/G6_03.tif </t>
  </si>
  <si>
    <t xml:space="preserve"> 24355.2614 </t>
  </si>
  <si>
    <t xml:space="preserve"> 67.0861 </t>
  </si>
  <si>
    <t xml:space="preserve">F:\images\20210324\plaque 2/@06  Fadrozole 0.08 µg_L Dopé/H6_01.tif </t>
  </si>
  <si>
    <t xml:space="preserve"> 68.4847 </t>
  </si>
  <si>
    <t xml:space="preserve">F:\images\20210324\plaque 2/@06  Fadrozole 0.08 µg_L Dopé/H6_02.tif </t>
  </si>
  <si>
    <t xml:space="preserve"> 68.7638 </t>
  </si>
  <si>
    <t xml:space="preserve">F:\images\20210324\plaque 2/@06  Fadrozole 0.08 µg_L Dopé/H6_03.tif </t>
  </si>
  <si>
    <t xml:space="preserve"> 34780.8706 </t>
  </si>
  <si>
    <t xml:space="preserve"> 70.8327 </t>
  </si>
  <si>
    <t xml:space="preserve">F:\images\20210324\plaque 2/@06  Fadrozole 0.08 µg_L Dopé/ </t>
  </si>
  <si>
    <t xml:space="preserve"> 68.081 </t>
  </si>
  <si>
    <t xml:space="preserve"> 2.6194 </t>
  </si>
  <si>
    <t xml:space="preserve"> 1727419.21 </t>
  </si>
  <si>
    <t xml:space="preserve"> 602380.863 </t>
  </si>
  <si>
    <t>F:\images\20210324\plaque 2/@07  Fadrozole 0.4 µg_L Dopé/A7_01- exclu.tif</t>
  </si>
  <si>
    <t xml:space="preserve">F:\images\20210324\plaque 2/@07  Fadrozole 0.4 µg_L Dopé/A7_02.tif </t>
  </si>
  <si>
    <t xml:space="preserve"> 1297.7937 </t>
  </si>
  <si>
    <t xml:space="preserve">F:\images\20210324\plaque 2/@07  Fadrozole 0.4 µg_L Dopé/A7_03.tif </t>
  </si>
  <si>
    <t xml:space="preserve"> 63.1667 </t>
  </si>
  <si>
    <t xml:space="preserve">F:\images\20210324\plaque 2/@07  Fadrozole 0.4 µg_L Dopé/B7_01.tif </t>
  </si>
  <si>
    <t xml:space="preserve"> 63.5789 </t>
  </si>
  <si>
    <t xml:space="preserve">F:\images\20210324\plaque 2/@07  Fadrozole 0.4 µg_L Dopé/B7_02.tif </t>
  </si>
  <si>
    <t xml:space="preserve"> 62.625 </t>
  </si>
  <si>
    <t xml:space="preserve">F:\images\20210324\plaque 2/@07  Fadrozole 0.4 µg_L Dopé/B7_03.tif </t>
  </si>
  <si>
    <t xml:space="preserve"> 63.9333 </t>
  </si>
  <si>
    <t xml:space="preserve">F:\images\20210324\plaque 2/@07  Fadrozole 0.4 µg_L Dopé/C7_01.tif </t>
  </si>
  <si>
    <t xml:space="preserve"> 10144.4206 </t>
  </si>
  <si>
    <t xml:space="preserve"> 69.5245 </t>
  </si>
  <si>
    <t>F:\images\20210324\plaque 2/@07  Fadrozole 0.4 µg_L Dopé/C7_02- exclu.tif</t>
  </si>
  <si>
    <t xml:space="preserve">F:\images\20210324\plaque 2/@07  Fadrozole 0.4 µg_L Dopé/C7_03.tif </t>
  </si>
  <si>
    <t xml:space="preserve"> 9841.6021 </t>
  </si>
  <si>
    <t xml:space="preserve"> 71.2637 </t>
  </si>
  <si>
    <t xml:space="preserve">F:\images\20210324\plaque 2/@07  Fadrozole 0.4 µg_L Dopé/D7_01.tif </t>
  </si>
  <si>
    <t xml:space="preserve">F:\images\20210324\plaque 2/@07  Fadrozole 0.4 µg_L Dopé/D7_02.tif </t>
  </si>
  <si>
    <t xml:space="preserve"> 65.1176 </t>
  </si>
  <si>
    <t xml:space="preserve">F:\images\20210324\plaque 2/@07  Fadrozole 0.4 µg_L Dopé/D7_03.tif </t>
  </si>
  <si>
    <t xml:space="preserve">F:\images\20210324\plaque 2/@07  Fadrozole 0.4 µg_L Dopé/E7_01.tif </t>
  </si>
  <si>
    <t>F:\images\20210324\plaque 2/@07  Fadrozole 0.4 µg_L Dopé/E7_02- exclu.tif</t>
  </si>
  <si>
    <t xml:space="preserve">F:\images\20210324\plaque 2/@07  Fadrozole 0.4 µg_L Dopé/E7_03.tif </t>
  </si>
  <si>
    <t xml:space="preserve"> 64.8182 </t>
  </si>
  <si>
    <t xml:space="preserve">F:\images\20210324\plaque 2/@07  Fadrozole 0.4 µg_L Dopé/F7_01.tif </t>
  </si>
  <si>
    <t xml:space="preserve"> 8327.5094 </t>
  </si>
  <si>
    <t xml:space="preserve"> 67.5636 </t>
  </si>
  <si>
    <t xml:space="preserve">F:\images\20210324\plaque 2/@07  Fadrozole 0.4 µg_L Dopé/F7_02.tif </t>
  </si>
  <si>
    <t xml:space="preserve"> 9344.1145 </t>
  </si>
  <si>
    <t xml:space="preserve"> 66.3032 </t>
  </si>
  <si>
    <t xml:space="preserve">F:\images\20210324\plaque 2/@07  Fadrozole 0.4 µg_L Dopé/F7_03.tif </t>
  </si>
  <si>
    <t xml:space="preserve"> 65.8551 </t>
  </si>
  <si>
    <t xml:space="preserve">F:\images\20210324\plaque 2/@07  Fadrozole 0.4 µg_L Dopé/G7_01.tif </t>
  </si>
  <si>
    <t xml:space="preserve"> 64.7273 </t>
  </si>
  <si>
    <t xml:space="preserve">F:\images\20210324\plaque 2/@07  Fadrozole 0.4 µg_L Dopé/G7_02.tif </t>
  </si>
  <si>
    <t xml:space="preserve"> 63.6596 </t>
  </si>
  <si>
    <t xml:space="preserve">F:\images\20210324\plaque 2/@07  Fadrozole 0.4 µg_L Dopé/G7_03.tif </t>
  </si>
  <si>
    <t xml:space="preserve"> 65.75 </t>
  </si>
  <si>
    <t xml:space="preserve">F:\images\20210324\plaque 2/@07  Fadrozole 0.4 µg_L Dopé/H7_01.tif </t>
  </si>
  <si>
    <t xml:space="preserve"> 14578.549 </t>
  </si>
  <si>
    <t xml:space="preserve"> 67.0341 </t>
  </si>
  <si>
    <t xml:space="preserve">F:\images\20210324\plaque 2/@07  Fadrozole 0.4 µg_L Dopé/H7_02.tif </t>
  </si>
  <si>
    <t xml:space="preserve"> 15487.0046 </t>
  </si>
  <si>
    <t xml:space="preserve"> 66.9623 </t>
  </si>
  <si>
    <t xml:space="preserve">F:\images\20210324\plaque 2/@07  Fadrozole 0.4 µg_L Dopé/H7_03.tif </t>
  </si>
  <si>
    <t xml:space="preserve"> 67.719 </t>
  </si>
  <si>
    <t xml:space="preserve">F:\images\20210324\plaque 2/@07  Fadrozole 0.4 µg_L Dopé/ </t>
  </si>
  <si>
    <t xml:space="preserve"> 65.403 </t>
  </si>
  <si>
    <t xml:space="preserve"> 2.1297 </t>
  </si>
  <si>
    <t xml:space="preserve"> 293725.75 </t>
  </si>
  <si>
    <t xml:space="preserve"> 361927.226 </t>
  </si>
  <si>
    <t xml:space="preserve">F:\images\20210324\plaque 2/@08  Fadrozole 2 µg_L Dopé/A8_01.tif </t>
  </si>
  <si>
    <t xml:space="preserve"> 65.6875 </t>
  </si>
  <si>
    <t xml:space="preserve">F:\images\20210324\plaque 2/@08  Fadrozole 2 µg_L Dopé/A8_02.tif </t>
  </si>
  <si>
    <t xml:space="preserve">F:\images\20210324\plaque 2/@08  Fadrozole 2 µg_L Dopé/A8_03.tif </t>
  </si>
  <si>
    <t xml:space="preserve"> 8587.0682 </t>
  </si>
  <si>
    <t xml:space="preserve"> 71.6599 </t>
  </si>
  <si>
    <t xml:space="preserve">F:\images\20210324\plaque 2/@08  Fadrozole 2 µg_L Dopé/B8_01.tif </t>
  </si>
  <si>
    <t xml:space="preserve"> 2357.6585 </t>
  </si>
  <si>
    <t xml:space="preserve"> 64.1009 </t>
  </si>
  <si>
    <t xml:space="preserve">F:\images\20210324\plaque 2/@08  Fadrozole 2 µg_L Dopé/B8_02.tif </t>
  </si>
  <si>
    <t xml:space="preserve">F:\images\20210324\plaque 2/@08  Fadrozole 2 µg_L Dopé/B8_03.tif </t>
  </si>
  <si>
    <t xml:space="preserve"> 67.9602 </t>
  </si>
  <si>
    <t xml:space="preserve">F:\images\20210324\plaque 2/@08  Fadrozole 2 µg_L Dopé/C8_01.tif </t>
  </si>
  <si>
    <t xml:space="preserve"> 6445.7086 </t>
  </si>
  <si>
    <t xml:space="preserve"> 67.5067 </t>
  </si>
  <si>
    <t xml:space="preserve">F:\images\20210324\plaque 2/@08  Fadrozole 2 µg_L Dopé/C8_02.tif </t>
  </si>
  <si>
    <t xml:space="preserve"> 63.9462 </t>
  </si>
  <si>
    <t xml:space="preserve">F:\images\20210324\plaque 2/@08  Fadrozole 2 µg_L Dopé/C8_03.tif </t>
  </si>
  <si>
    <t xml:space="preserve"> 63.8654 </t>
  </si>
  <si>
    <t>F:\images\20210324\plaque 2/@08  Fadrozole 2 µg_L Dopé/D8_01- exclu.tif</t>
  </si>
  <si>
    <t xml:space="preserve">F:\images\20210324\plaque 2/@08  Fadrozole 2 µg_L Dopé/D8_02.tif </t>
  </si>
  <si>
    <t xml:space="preserve"> 63.3636 </t>
  </si>
  <si>
    <t>F:\images\20210324\plaque 2/@08  Fadrozole 2 µg_L Dopé/D8_03- exclu.tif</t>
  </si>
  <si>
    <t xml:space="preserve">F:\images\20210324\plaque 2/@08  Fadrozole 2 µg_L Dopé/E8_01.tif </t>
  </si>
  <si>
    <t xml:space="preserve"> 64.2941 </t>
  </si>
  <si>
    <t xml:space="preserve">F:\images\20210324\plaque 2/@08  Fadrozole 2 µg_L Dopé/E8_02.tif </t>
  </si>
  <si>
    <t xml:space="preserve"> 69.6434 </t>
  </si>
  <si>
    <t xml:space="preserve">F:\images\20210324\plaque 2/@08  Fadrozole 2 µg_L Dopé/E8_03.tif </t>
  </si>
  <si>
    <t xml:space="preserve"> 1816.9111 </t>
  </si>
  <si>
    <t xml:space="preserve"> 69.8929 </t>
  </si>
  <si>
    <t xml:space="preserve">F:\images\20210324\plaque 2/@08  Fadrozole 2 µg_L Dopé/F8_01.tif </t>
  </si>
  <si>
    <t xml:space="preserve"> 74.5764 </t>
  </si>
  <si>
    <t xml:space="preserve">F:\images\20210324\plaque 2/@08  Fadrozole 2 µg_L Dopé/F8_02.tif </t>
  </si>
  <si>
    <t xml:space="preserve"> 7894.9115 </t>
  </si>
  <si>
    <t xml:space="preserve"> 69.7041 </t>
  </si>
  <si>
    <t xml:space="preserve">F:\images\20210324\plaque 2/@08  Fadrozole 2 µg_L Dopé/F8_03.tif </t>
  </si>
  <si>
    <t xml:space="preserve"> 71.1941 </t>
  </si>
  <si>
    <t xml:space="preserve">F:\images\20210324\plaque 2/@08  Fadrozole 2 µg_L Dopé/G8_01.tif </t>
  </si>
  <si>
    <t xml:space="preserve"> 67.2308 </t>
  </si>
  <si>
    <t xml:space="preserve">F:\images\20210324\plaque 2/@08  Fadrozole 2 µg_L Dopé/G8_02.tif </t>
  </si>
  <si>
    <t xml:space="preserve">F:\images\20210324\plaque 2/@08  Fadrozole 2 µg_L Dopé/G8_03.tif </t>
  </si>
  <si>
    <t xml:space="preserve">F:\images\20210324\plaque 2/@08  Fadrozole 2 µg_L Dopé/H8_01.tif </t>
  </si>
  <si>
    <t xml:space="preserve"> 67.5325 </t>
  </si>
  <si>
    <t xml:space="preserve">F:\images\20210324\plaque 2/@08  Fadrozole 2 µg_L Dopé/H8_02.tif </t>
  </si>
  <si>
    <t xml:space="preserve"> 65.5455 </t>
  </si>
  <si>
    <t xml:space="preserve">F:\images\20210324\plaque 2/@08  Fadrozole 2 µg_L Dopé/H8_03.tif </t>
  </si>
  <si>
    <t xml:space="preserve"> 3114.7048 </t>
  </si>
  <si>
    <t xml:space="preserve"> 65.8681 </t>
  </si>
  <si>
    <t xml:space="preserve">F:\images\20210324\plaque 2/@08  Fadrozole 2 µg_L Dopé/ </t>
  </si>
  <si>
    <t xml:space="preserve"> 66.6801 </t>
  </si>
  <si>
    <t xml:space="preserve"> 3.1718 </t>
  </si>
  <si>
    <t xml:space="preserve"> 215737.417 </t>
  </si>
  <si>
    <t xml:space="preserve"> 216603.023 </t>
  </si>
  <si>
    <t xml:space="preserve">F:\images\20210324\plaque 2/@09  Fadrozole 10 µg_L Dopé/A9_01.tif </t>
  </si>
  <si>
    <t xml:space="preserve"> 6251.0395 </t>
  </si>
  <si>
    <t xml:space="preserve"> 70.827 </t>
  </si>
  <si>
    <t xml:space="preserve">F:\images\20210324\plaque 2/@09  Fadrozole 10 µg_L Dopé/A9_02.tif </t>
  </si>
  <si>
    <t xml:space="preserve"> 69.0361 </t>
  </si>
  <si>
    <t xml:space="preserve">F:\images\20210324\plaque 2/@09  Fadrozole 10 µg_L Dopé/A9_03.tif </t>
  </si>
  <si>
    <t xml:space="preserve"> 64.2564 </t>
  </si>
  <si>
    <t xml:space="preserve">F:\images\20210324\plaque 2/@09  Fadrozole 10 µg_L Dopé/B9_01.tif </t>
  </si>
  <si>
    <t xml:space="preserve"> 65.4167 </t>
  </si>
  <si>
    <t>F:\images\20210324\plaque 2/@09  Fadrozole 10 µg_L Dopé/B9_02- exclu.tif</t>
  </si>
  <si>
    <t xml:space="preserve">F:\images\20210324\plaque 2/@09  Fadrozole 10 µg_L Dopé/B9_03.tif </t>
  </si>
  <si>
    <t xml:space="preserve"> 64.8056 </t>
  </si>
  <si>
    <t xml:space="preserve">F:\images\20210324\plaque 2/@09  Fadrozole 10 µg_L Dopé/C9_01.tif </t>
  </si>
  <si>
    <t xml:space="preserve"> 2227.8791 </t>
  </si>
  <si>
    <t xml:space="preserve"> 63.9806 </t>
  </si>
  <si>
    <t xml:space="preserve">F:\images\20210324\plaque 2/@09  Fadrozole 10 µg_L Dopé/C9_02.tif </t>
  </si>
  <si>
    <t xml:space="preserve"> 6099.6303 </t>
  </si>
  <si>
    <t xml:space="preserve"> 66.1773 </t>
  </si>
  <si>
    <t xml:space="preserve">F:\images\20210324\plaque 2/@09  Fadrozole 10 µg_L Dopé/C9_03.tif </t>
  </si>
  <si>
    <t xml:space="preserve"> 2876.776 </t>
  </si>
  <si>
    <t xml:space="preserve"> 63.6316 </t>
  </si>
  <si>
    <t xml:space="preserve">F:\images\20210324\plaque 2/@09  Fadrozole 10 µg_L Dopé/D9_01.tif </t>
  </si>
  <si>
    <t xml:space="preserve"> 80.6322 </t>
  </si>
  <si>
    <t xml:space="preserve">F:\images\20210324\plaque 2/@09  Fadrozole 10 µg_L Dopé/D9_02.tif </t>
  </si>
  <si>
    <t xml:space="preserve"> 2833.5162 </t>
  </si>
  <si>
    <t xml:space="preserve"> 70.0916 </t>
  </si>
  <si>
    <t xml:space="preserve">F:\images\20210324\plaque 2/@09  Fadrozole 10 µg_L Dopé/D9_03.tif </t>
  </si>
  <si>
    <t xml:space="preserve"> 77.6563 </t>
  </si>
  <si>
    <t xml:space="preserve">F:\images\20210324\plaque 2/@09  Fadrozole 10 µg_L Dopé/E9_01.tif </t>
  </si>
  <si>
    <t xml:space="preserve"> 7981.4311 </t>
  </si>
  <si>
    <t xml:space="preserve"> 70.4038 </t>
  </si>
  <si>
    <t xml:space="preserve">F:\images\20210324\plaque 2/@09  Fadrozole 10 µg_L Dopé/E9_02.tif </t>
  </si>
  <si>
    <t xml:space="preserve"> 65.2732 </t>
  </si>
  <si>
    <t xml:space="preserve">F:\images\20210324\plaque 2/@09  Fadrozole 10 µg_L Dopé/E9_03.tif </t>
  </si>
  <si>
    <t xml:space="preserve"> 64.7286 </t>
  </si>
  <si>
    <t xml:space="preserve">F:\images\20210324\plaque 2/@09  Fadrozole 10 µg_L Dopé/F9_01.tif </t>
  </si>
  <si>
    <t xml:space="preserve"> 66.381 </t>
  </si>
  <si>
    <t xml:space="preserve">F:\images\20210324\plaque 2/@09  Fadrozole 10 µg_L Dopé/F9_02.tif </t>
  </si>
  <si>
    <t xml:space="preserve"> 64.52 </t>
  </si>
  <si>
    <t xml:space="preserve">F:\images\20210324\plaque 2/@09  Fadrozole 10 µg_L Dopé/F9_03.tif </t>
  </si>
  <si>
    <t xml:space="preserve">F:\images\20210324\plaque 2/@09  Fadrozole 10 µg_L Dopé/G9_01.tif </t>
  </si>
  <si>
    <t xml:space="preserve"> 68.791 </t>
  </si>
  <si>
    <t xml:space="preserve">F:\images\20210324\plaque 2/@09  Fadrozole 10 µg_L Dopé/G9_02.tif </t>
  </si>
  <si>
    <t xml:space="preserve"> 67.3767 </t>
  </si>
  <si>
    <t xml:space="preserve">F:\images\20210324\plaque 2/@09  Fadrozole 10 µg_L Dopé/G9_03.tif </t>
  </si>
  <si>
    <t xml:space="preserve"> 67.7353 </t>
  </si>
  <si>
    <t xml:space="preserve">F:\images\20210324\plaque 2/@09  Fadrozole 10 µg_L Dopé/H9_01.tif </t>
  </si>
  <si>
    <t xml:space="preserve"> 68.2902 </t>
  </si>
  <si>
    <t xml:space="preserve">F:\images\20210324\plaque 2/@09  Fadrozole 10 µg_L Dopé/H9_02.tif </t>
  </si>
  <si>
    <t xml:space="preserve"> 67.7137 </t>
  </si>
  <si>
    <t xml:space="preserve">F:\images\20210324\plaque 2/@09  Fadrozole 10 µg_L Dopé/H9_03.tif </t>
  </si>
  <si>
    <t xml:space="preserve"> 66.8411 </t>
  </si>
  <si>
    <t xml:space="preserve">F:\images\20210324\plaque 2/@09  Fadrozole 10 µg_L Dopé/ </t>
  </si>
  <si>
    <t xml:space="preserve"> 67.6059 </t>
  </si>
  <si>
    <t xml:space="preserve"> 4.2 </t>
  </si>
  <si>
    <t xml:space="preserve"> 272638.5 </t>
  </si>
  <si>
    <t xml:space="preserve"> 218526.396 </t>
  </si>
  <si>
    <t>Krustall Wallis</t>
  </si>
  <si>
    <t>Anova</t>
  </si>
  <si>
    <t>F:\images\2021-CHG-ACH-FAD 3\plaque 1/@01 Evian + 0.2% DMSO/A1_01- exclu.tif</t>
  </si>
  <si>
    <t xml:space="preserve">F:\images\2021-CHG-ACH-FAD 3\plaque 1/@01 Evian + 0.2% DMSO/A1_02.tif </t>
  </si>
  <si>
    <t xml:space="preserve"> 63.5455 </t>
  </si>
  <si>
    <t xml:space="preserve">F:\images\2021-CHG-ACH-FAD 3\plaque 1/@01 Evian + 0.2% DMSO/A1_03.tif </t>
  </si>
  <si>
    <t xml:space="preserve"> 62.2941 </t>
  </si>
  <si>
    <t xml:space="preserve">F:\images\2021-CHG-ACH-FAD 3\plaque 1/@01 Evian + 0.2% DMSO/B1_01.tif </t>
  </si>
  <si>
    <t xml:space="preserve"> 66.62 </t>
  </si>
  <si>
    <t>F:\images\2021-CHG-ACH-FAD 3\plaque 1/@01 Evian + 0.2% DMSO/B1_02- exclu.tif</t>
  </si>
  <si>
    <t xml:space="preserve">F:\images\2021-CHG-ACH-FAD 3\plaque 1/@01 Evian + 0.2% DMSO/B1_03.tif </t>
  </si>
  <si>
    <t xml:space="preserve"> 65.5692 </t>
  </si>
  <si>
    <t>F:\images\2021-CHG-ACH-FAD 3\plaque 1/@01 Evian + 0.2% DMSO/C1_01- exclu.tif</t>
  </si>
  <si>
    <t xml:space="preserve">F:\images\2021-CHG-ACH-FAD 3\plaque 1/@01 Evian + 0.2% DMSO/C1_02.tif </t>
  </si>
  <si>
    <t xml:space="preserve">F:\images\2021-CHG-ACH-FAD 3\plaque 1/@01 Evian + 0.2% DMSO/C1_03.tif </t>
  </si>
  <si>
    <t xml:space="preserve">F:\images\2021-CHG-ACH-FAD 3\plaque 1/@01 Evian + 0.2% DMSO/D1_01.tif </t>
  </si>
  <si>
    <t xml:space="preserve">F:\images\2021-CHG-ACH-FAD 3\plaque 1/@01 Evian + 0.2% DMSO/D1_02.tif </t>
  </si>
  <si>
    <t xml:space="preserve"> 63.6923 </t>
  </si>
  <si>
    <t xml:space="preserve">F:\images\2021-CHG-ACH-FAD 3\plaque 1/@01 Evian + 0.2% DMSO/D1_03.tif </t>
  </si>
  <si>
    <t xml:space="preserve"> 63.8 </t>
  </si>
  <si>
    <t xml:space="preserve">F:\images\2021-CHG-ACH-FAD 3\plaque 1/@01 Evian + 0.2% DMSO/E1_01.tif </t>
  </si>
  <si>
    <t xml:space="preserve"> 3525.6728 </t>
  </si>
  <si>
    <t xml:space="preserve"> 67.0184 </t>
  </si>
  <si>
    <t xml:space="preserve">F:\images\2021-CHG-ACH-FAD 3\plaque 1/@01 Evian + 0.2% DMSO/E1_02.tif </t>
  </si>
  <si>
    <t xml:space="preserve"> 64.303 </t>
  </si>
  <si>
    <t xml:space="preserve">F:\images\2021-CHG-ACH-FAD 3\plaque 1/@01 Evian + 0.2% DMSO/E1_03.tif </t>
  </si>
  <si>
    <t xml:space="preserve"> 65.7876 </t>
  </si>
  <si>
    <t xml:space="preserve">F:\images\2021-CHG-ACH-FAD 3\plaque 1/@01 Evian + 0.2% DMSO/F1_01.tif </t>
  </si>
  <si>
    <t xml:space="preserve"> 64.5833 </t>
  </si>
  <si>
    <t>F:\images\2021-CHG-ACH-FAD 3\plaque 1/@01 Evian + 0.2% DMSO/F1_02- exclu.tif</t>
  </si>
  <si>
    <t xml:space="preserve">F:\images\2021-CHG-ACH-FAD 3\plaque 1/@01 Evian + 0.2% DMSO/F1_03.tif </t>
  </si>
  <si>
    <t xml:space="preserve"> 67.098 </t>
  </si>
  <si>
    <t xml:space="preserve">F:\images\2021-CHG-ACH-FAD 3\plaque 1/@01 Evian + 0.2% DMSO/G1_01.tif </t>
  </si>
  <si>
    <t>F:\images\2021-CHG-ACH-FAD 3\plaque 1/@01 Evian + 0.2% DMSO/G1_02- exclu.tif</t>
  </si>
  <si>
    <t xml:space="preserve">F:\images\2021-CHG-ACH-FAD 3\plaque 1/@01 Evian + 0.2% DMSO/G1_03.tif </t>
  </si>
  <si>
    <t xml:space="preserve">F:\images\2021-CHG-ACH-FAD 3\plaque 1/@01 Evian + 0.2% DMSO/H1_01.tif </t>
  </si>
  <si>
    <t xml:space="preserve"> 65.9333 </t>
  </si>
  <si>
    <t xml:space="preserve">F:\images\2021-CHG-ACH-FAD 3\plaque 1/@01 Evian + 0.2% DMSO/H1_02.tif </t>
  </si>
  <si>
    <t xml:space="preserve"> 2963.2956 </t>
  </si>
  <si>
    <t xml:space="preserve"> 67.8905 </t>
  </si>
  <si>
    <t xml:space="preserve">F:\images\2021-CHG-ACH-FAD 3\plaque 1/@01 Evian + 0.2% DMSO/H1_03.tif </t>
  </si>
  <si>
    <t xml:space="preserve">F:\images\2021-CHG-ACH-FAD 3\plaque 1/@01 Evian + 0.2% DMSO/ </t>
  </si>
  <si>
    <t xml:space="preserve"> 64.618 </t>
  </si>
  <si>
    <t xml:space="preserve"> 1.7089 </t>
  </si>
  <si>
    <t xml:space="preserve"> 61224.4583 </t>
  </si>
  <si>
    <t xml:space="preserve"> 74445.0798 </t>
  </si>
  <si>
    <t xml:space="preserve">F:\images\2021-CHG-ACH-FAD 3\plaque 1/@02 EE2 33.8/A2_01.tif </t>
  </si>
  <si>
    <t xml:space="preserve"> 67.7906 </t>
  </si>
  <si>
    <t xml:space="preserve">F:\images\2021-CHG-ACH-FAD 3\plaque 1/@02 EE2 33.8/A2_02.tif </t>
  </si>
  <si>
    <t xml:space="preserve">F:\images\2021-CHG-ACH-FAD 3\plaque 1/@02 EE2 33.8/A2_03.tif </t>
  </si>
  <si>
    <t xml:space="preserve"> 65.2992 </t>
  </si>
  <si>
    <t xml:space="preserve">F:\images\2021-CHG-ACH-FAD 3\plaque 1/@02 EE2 33.8/B2_01.tif </t>
  </si>
  <si>
    <t xml:space="preserve"> 63.3846 </t>
  </si>
  <si>
    <t xml:space="preserve">F:\images\2021-CHG-ACH-FAD 3\plaque 1/@02 EE2 33.8/B2_02.tif </t>
  </si>
  <si>
    <t xml:space="preserve"> 65.3846 </t>
  </si>
  <si>
    <t xml:space="preserve">F:\images\2021-CHG-ACH-FAD 3\plaque 1/@02 EE2 33.8/B2_03.tif </t>
  </si>
  <si>
    <t xml:space="preserve"> 65.3456 </t>
  </si>
  <si>
    <t xml:space="preserve">F:\images\2021-CHG-ACH-FAD 3\plaque 1/@02 EE2 33.8/C2_01.tif </t>
  </si>
  <si>
    <t xml:space="preserve"> 6943.1962 </t>
  </si>
  <si>
    <t xml:space="preserve"> 68.3894 </t>
  </si>
  <si>
    <t xml:space="preserve">F:\images\2021-CHG-ACH-FAD 3\plaque 1/@02 EE2 33.8/C2_02.tif </t>
  </si>
  <si>
    <t xml:space="preserve"> 62.7647 </t>
  </si>
  <si>
    <t xml:space="preserve">F:\images\2021-CHG-ACH-FAD 3\plaque 1/@02 EE2 33.8/C2_03.tif </t>
  </si>
  <si>
    <t xml:space="preserve"> 75.5635 </t>
  </si>
  <si>
    <t xml:space="preserve">F:\images\2021-CHG-ACH-FAD 3\plaque 1/@02 EE2 33.8/D2_01.tif </t>
  </si>
  <si>
    <t xml:space="preserve">F:\images\2021-CHG-ACH-FAD 3\plaque 1/@02 EE2 33.8/D2_02.tif </t>
  </si>
  <si>
    <t xml:space="preserve"> 62.8421 </t>
  </si>
  <si>
    <t xml:space="preserve">F:\images\2021-CHG-ACH-FAD 3\plaque 1/@02 EE2 33.8/D2_03.tif </t>
  </si>
  <si>
    <t xml:space="preserve"> 64.6429 </t>
  </si>
  <si>
    <t xml:space="preserve">F:\images\2021-CHG-ACH-FAD 3\plaque 1/@02 EE2 33.8/E2_01.tif </t>
  </si>
  <si>
    <t xml:space="preserve"> 66.5952 </t>
  </si>
  <si>
    <t xml:space="preserve">F:\images\2021-CHG-ACH-FAD 3\plaque 1/@02 EE2 33.8/E2_02.tif </t>
  </si>
  <si>
    <t xml:space="preserve"> 69.75 </t>
  </si>
  <si>
    <t xml:space="preserve">F:\images\2021-CHG-ACH-FAD 3\plaque 1/@02 EE2 33.8/E2_03.tif </t>
  </si>
  <si>
    <t xml:space="preserve"> 68.3865 </t>
  </si>
  <si>
    <t xml:space="preserve">F:\images\2021-CHG-ACH-FAD 3\plaque 1/@02 EE2 33.8/F2_01.tif </t>
  </si>
  <si>
    <t xml:space="preserve">F:\images\2021-CHG-ACH-FAD 3\plaque 1/@02 EE2 33.8/F2_02.tif </t>
  </si>
  <si>
    <t xml:space="preserve"> 65.3438 </t>
  </si>
  <si>
    <t xml:space="preserve">F:\images\2021-CHG-ACH-FAD 3\plaque 1/@02 EE2 33.8/F2_03.tif </t>
  </si>
  <si>
    <t xml:space="preserve"> 66.3175 </t>
  </si>
  <si>
    <t xml:space="preserve">F:\images\2021-CHG-ACH-FAD 3\plaque 1/@02 EE2 33.8/G2_01.tif </t>
  </si>
  <si>
    <t xml:space="preserve"> 68.8017 </t>
  </si>
  <si>
    <t xml:space="preserve">F:\images\2021-CHG-ACH-FAD 3\plaque 1/@02 EE2 33.8/G2_02.tif </t>
  </si>
  <si>
    <t xml:space="preserve"> 65.36 </t>
  </si>
  <si>
    <t xml:space="preserve">F:\images\2021-CHG-ACH-FAD 3\plaque 1/@02 EE2 33.8/G2_03.tif </t>
  </si>
  <si>
    <t xml:space="preserve"> 1535.7225 </t>
  </si>
  <si>
    <t xml:space="preserve"> 63.7887 </t>
  </si>
  <si>
    <t xml:space="preserve">F:\images\2021-CHG-ACH-FAD 3\plaque 1/@02 EE2 33.8/H2_01.tif </t>
  </si>
  <si>
    <t xml:space="preserve"> 64.4142 </t>
  </si>
  <si>
    <t xml:space="preserve">F:\images\2021-CHG-ACH-FAD 3\plaque 1/@02 EE2 33.8/H2_02.tif </t>
  </si>
  <si>
    <t xml:space="preserve"> 65.1082 </t>
  </si>
  <si>
    <t xml:space="preserve">F:\images\2021-CHG-ACH-FAD 3\plaque 1/@02 EE2 33.8/H2_03.tif </t>
  </si>
  <si>
    <t xml:space="preserve"> 62.9524 </t>
  </si>
  <si>
    <t xml:space="preserve">F:\images\2021-CHG-ACH-FAD 3\plaque 1/@02 EE2 33.8/ </t>
  </si>
  <si>
    <t xml:space="preserve"> 65.9826 </t>
  </si>
  <si>
    <t xml:space="preserve"> 2.8098 </t>
  </si>
  <si>
    <t xml:space="preserve"> 175942.958 </t>
  </si>
  <si>
    <t xml:space="preserve"> 141956.488 </t>
  </si>
  <si>
    <t xml:space="preserve">F:\images\2021-CHG-ACH-FAD 3\plaque 1/@03 EE2 50.6/A3_01.tif </t>
  </si>
  <si>
    <t xml:space="preserve"> 66.2508 </t>
  </si>
  <si>
    <t xml:space="preserve">F:\images\2021-CHG-ACH-FAD 3\plaque 1/@03 EE2 50.6/A3_02.tif </t>
  </si>
  <si>
    <t xml:space="preserve"> 4607.1676 </t>
  </si>
  <si>
    <t xml:space="preserve"> 66.0845 </t>
  </si>
  <si>
    <t xml:space="preserve">F:\images\2021-CHG-ACH-FAD 3\plaque 1/@03 EE2 50.6/A3_03.tif </t>
  </si>
  <si>
    <t xml:space="preserve">F:\images\2021-CHG-ACH-FAD 3\plaque 1/@03 EE2 50.6/B3_01.tif </t>
  </si>
  <si>
    <t xml:space="preserve"> 64.4861 </t>
  </si>
  <si>
    <t xml:space="preserve">F:\images\2021-CHG-ACH-FAD 3\plaque 1/@03 EE2 50.6/B3_02.tif </t>
  </si>
  <si>
    <t xml:space="preserve"> 1341.0535 </t>
  </si>
  <si>
    <t xml:space="preserve"> 67.129 </t>
  </si>
  <si>
    <t xml:space="preserve">F:\images\2021-CHG-ACH-FAD 3\plaque 1/@03 EE2 50.6/B3_03.tif </t>
  </si>
  <si>
    <t xml:space="preserve"> 62.9677 </t>
  </si>
  <si>
    <t xml:space="preserve">F:\images\2021-CHG-ACH-FAD 3\plaque 1/@03 EE2 50.6/C3_01.tif </t>
  </si>
  <si>
    <t xml:space="preserve"> 65.7755 </t>
  </si>
  <si>
    <t xml:space="preserve">F:\images\2021-CHG-ACH-FAD 3\plaque 1/@03 EE2 50.6/C3_02.tif </t>
  </si>
  <si>
    <t xml:space="preserve"> 63.2593 </t>
  </si>
  <si>
    <t xml:space="preserve">F:\images\2021-CHG-ACH-FAD 3\plaque 1/@03 EE2 50.6/C3_03.tif </t>
  </si>
  <si>
    <t xml:space="preserve"> 63.08 </t>
  </si>
  <si>
    <t xml:space="preserve">F:\images\2021-CHG-ACH-FAD 3\plaque 1/@03 EE2 50.6/D3_01.tif </t>
  </si>
  <si>
    <t xml:space="preserve"> 63.5714 </t>
  </si>
  <si>
    <t xml:space="preserve">F:\images\2021-CHG-ACH-FAD 3\plaque 1/@03 EE2 50.6/D3_02.tif </t>
  </si>
  <si>
    <t xml:space="preserve"> 63.0588 </t>
  </si>
  <si>
    <t xml:space="preserve">F:\images\2021-CHG-ACH-FAD 3\plaque 1/@03 EE2 50.6/D3_03.tif </t>
  </si>
  <si>
    <t xml:space="preserve">F:\images\2021-CHG-ACH-FAD 3\plaque 1/@03 EE2 50.6/E3_01.tif </t>
  </si>
  <si>
    <t xml:space="preserve"> 9971.3814 </t>
  </si>
  <si>
    <t xml:space="preserve"> 74.7744 </t>
  </si>
  <si>
    <t xml:space="preserve">F:\images\2021-CHG-ACH-FAD 3\plaque 1/@03 EE2 50.6/E3_02.tif </t>
  </si>
  <si>
    <t xml:space="preserve"> 11247.5452 </t>
  </si>
  <si>
    <t xml:space="preserve"> 74.0519 </t>
  </si>
  <si>
    <t xml:space="preserve">F:\images\2021-CHG-ACH-FAD 3\plaque 1/@03 EE2 50.6/E3_03.tif </t>
  </si>
  <si>
    <t xml:space="preserve"> 3222.8543 </t>
  </si>
  <si>
    <t xml:space="preserve"> 64.1409 </t>
  </si>
  <si>
    <t xml:space="preserve">F:\images\2021-CHG-ACH-FAD 3\plaque 1/@03 EE2 50.6/F3_01.tif </t>
  </si>
  <si>
    <t xml:space="preserve"> 4693.6871 </t>
  </si>
  <si>
    <t xml:space="preserve"> 77.9677 </t>
  </si>
  <si>
    <t xml:space="preserve">F:\images\2021-CHG-ACH-FAD 3\plaque 1/@03 EE2 50.6/F3_02.tif </t>
  </si>
  <si>
    <t xml:space="preserve"> 10793.3174 </t>
  </si>
  <si>
    <t xml:space="preserve"> 78.8317 </t>
  </si>
  <si>
    <t xml:space="preserve">F:\images\2021-CHG-ACH-FAD 3\plaque 1/@03 EE2 50.6/F3_03.tif </t>
  </si>
  <si>
    <t xml:space="preserve"> 71.3935 </t>
  </si>
  <si>
    <t xml:space="preserve">F:\images\2021-CHG-ACH-FAD 3\plaque 1/@03 EE2 50.6/G3_01.tif </t>
  </si>
  <si>
    <t xml:space="preserve"> 64.8156 </t>
  </si>
  <si>
    <t xml:space="preserve">F:\images\2021-CHG-ACH-FAD 3\plaque 1/@03 EE2 50.6/G3_02.tif </t>
  </si>
  <si>
    <t xml:space="preserve"> 66.4796 </t>
  </si>
  <si>
    <t xml:space="preserve">F:\images\2021-CHG-ACH-FAD 3\plaque 1/@03 EE2 50.6/G3_03.tif </t>
  </si>
  <si>
    <t xml:space="preserve"> 2314.3987 </t>
  </si>
  <si>
    <t xml:space="preserve"> 64.9813 </t>
  </si>
  <si>
    <t xml:space="preserve">F:\images\2021-CHG-ACH-FAD 3\plaque 1/@03 EE2 50.6/H3_01.tif </t>
  </si>
  <si>
    <t xml:space="preserve"> 67.6496 </t>
  </si>
  <si>
    <t xml:space="preserve">F:\images\2021-CHG-ACH-FAD 3\plaque 1/@03 EE2 50.6/H3_02.tif </t>
  </si>
  <si>
    <t xml:space="preserve"> 68.8365 </t>
  </si>
  <si>
    <t xml:space="preserve">F:\images\2021-CHG-ACH-FAD 3\plaque 1/@03 EE2 50.6/H3_03.tif </t>
  </si>
  <si>
    <t xml:space="preserve"> 65.6692 </t>
  </si>
  <si>
    <t xml:space="preserve">F:\images\2021-CHG-ACH-FAD 3\plaque 1/@03 EE2 50.6/ </t>
  </si>
  <si>
    <t xml:space="preserve"> 67.0888 </t>
  </si>
  <si>
    <t xml:space="preserve"> 4.8301 </t>
  </si>
  <si>
    <t xml:space="preserve"> 257410.125 </t>
  </si>
  <si>
    <t xml:space="preserve"> 250319.892 </t>
  </si>
  <si>
    <t xml:space="preserve">F:\images\2021-CHG-ACH-FAD 3\plaque 1/@04 EE2 76/A4_01.tif </t>
  </si>
  <si>
    <t xml:space="preserve"> 64.5268 </t>
  </si>
  <si>
    <t xml:space="preserve">F:\images\2021-CHG-ACH-FAD 3\plaque 1/@04 EE2 76/A4_02.tif </t>
  </si>
  <si>
    <t xml:space="preserve"> 65.2915 </t>
  </si>
  <si>
    <t xml:space="preserve">F:\images\2021-CHG-ACH-FAD 3\plaque 1/@04 EE2 76/A4_03.tif </t>
  </si>
  <si>
    <t xml:space="preserve"> 63.9479 </t>
  </si>
  <si>
    <t xml:space="preserve">F:\images\2021-CHG-ACH-FAD 3\plaque 1/@04 EE2 76/B4_01.tif </t>
  </si>
  <si>
    <t xml:space="preserve"> 12220.8905 </t>
  </si>
  <si>
    <t xml:space="preserve"> 65.7062 </t>
  </si>
  <si>
    <t xml:space="preserve">F:\images\2021-CHG-ACH-FAD 3\plaque 1/@04 EE2 76/B4_02.tif </t>
  </si>
  <si>
    <t xml:space="preserve"> 12783.2677 </t>
  </si>
  <si>
    <t xml:space="preserve"> 66.2318 </t>
  </si>
  <si>
    <t xml:space="preserve">F:\images\2021-CHG-ACH-FAD 3\plaque 1/@04 EE2 76/B4_03.tif </t>
  </si>
  <si>
    <t xml:space="preserve"> 8543.8084 </t>
  </si>
  <si>
    <t xml:space="preserve"> 64.9418 </t>
  </si>
  <si>
    <t xml:space="preserve">F:\images\2021-CHG-ACH-FAD 3\plaque 1/@04 EE2 76/C4_01.tif </t>
  </si>
  <si>
    <t xml:space="preserve"> 74.496 </t>
  </si>
  <si>
    <t xml:space="preserve">F:\images\2021-CHG-ACH-FAD 3\plaque 1/@04 EE2 76/C4_02.tif </t>
  </si>
  <si>
    <t xml:space="preserve"> 71.1887 </t>
  </si>
  <si>
    <t xml:space="preserve">F:\images\2021-CHG-ACH-FAD 3\plaque 1/@04 EE2 76/C4_03.tif </t>
  </si>
  <si>
    <t xml:space="preserve"> 26583.1405 </t>
  </si>
  <si>
    <t xml:space="preserve"> 72.3409 </t>
  </si>
  <si>
    <t xml:space="preserve">F:\images\2021-CHG-ACH-FAD 3\plaque 1/@04 EE2 76/D4_01.tif </t>
  </si>
  <si>
    <t xml:space="preserve"> 64.6469 </t>
  </si>
  <si>
    <t xml:space="preserve">F:\images\2021-CHG-ACH-FAD 3\plaque 1/@04 EE2 76/D4_02.tif </t>
  </si>
  <si>
    <t xml:space="preserve"> 64.6681 </t>
  </si>
  <si>
    <t xml:space="preserve">F:\images\2021-CHG-ACH-FAD 3\plaque 1/@04 EE2 76/D4_03.tif </t>
  </si>
  <si>
    <t xml:space="preserve"> 4196.1996 </t>
  </si>
  <si>
    <t xml:space="preserve"> 63.9227 </t>
  </si>
  <si>
    <t xml:space="preserve">F:\images\2021-CHG-ACH-FAD 3\plaque 1/@04 EE2 76/E4_01.tif </t>
  </si>
  <si>
    <t xml:space="preserve"> 64.8824 </t>
  </si>
  <si>
    <t xml:space="preserve">F:\images\2021-CHG-ACH-FAD 3\plaque 1/@04 EE2 76/E4_02.tif </t>
  </si>
  <si>
    <t xml:space="preserve"> 64.3514 </t>
  </si>
  <si>
    <t>F:\images\2021-CHG-ACH-FAD 3\plaque 1/@04 EE2 76/E4_03- exclu.tif</t>
  </si>
  <si>
    <t xml:space="preserve">F:\images\2021-CHG-ACH-FAD 3\plaque 1/@04 EE2 76/F4_01.tif </t>
  </si>
  <si>
    <t xml:space="preserve"> 14210.8408 </t>
  </si>
  <si>
    <t xml:space="preserve"> 65.382 </t>
  </si>
  <si>
    <t xml:space="preserve">F:\images\2021-CHG-ACH-FAD 3\plaque 1/@04 EE2 76/F4_02.tif </t>
  </si>
  <si>
    <t xml:space="preserve"> 14621.8088 </t>
  </si>
  <si>
    <t xml:space="preserve"> 67.4275 </t>
  </si>
  <si>
    <t xml:space="preserve">F:\images\2021-CHG-ACH-FAD 3\plaque 1/@04 EE2 76/F4_03.tif </t>
  </si>
  <si>
    <t xml:space="preserve"> 5645.4025 </t>
  </si>
  <si>
    <t xml:space="preserve"> 64.2644 </t>
  </si>
  <si>
    <t xml:space="preserve">F:\images\2021-CHG-ACH-FAD 3\plaque 1/@04 EE2 76/G4_01.tif </t>
  </si>
  <si>
    <t xml:space="preserve"> 8305.8795 </t>
  </si>
  <si>
    <t xml:space="preserve"> 66.3516 </t>
  </si>
  <si>
    <t xml:space="preserve">F:\images\2021-CHG-ACH-FAD 3\plaque 1/@04 EE2 76/G4_02.tif </t>
  </si>
  <si>
    <t xml:space="preserve"> 67.6703 </t>
  </si>
  <si>
    <t xml:space="preserve">F:\images\2021-CHG-ACH-FAD 3\plaque 1/@04 EE2 76/G4_03.tif </t>
  </si>
  <si>
    <t xml:space="preserve"> 7483.9435 </t>
  </si>
  <si>
    <t xml:space="preserve"> 66.6185 </t>
  </si>
  <si>
    <t xml:space="preserve">F:\images\2021-CHG-ACH-FAD 3\plaque 1/@04 EE2 76/H4_01.tif </t>
  </si>
  <si>
    <t xml:space="preserve"> 11485.474 </t>
  </si>
  <si>
    <t xml:space="preserve"> 73.4218 </t>
  </si>
  <si>
    <t xml:space="preserve">F:\images\2021-CHG-ACH-FAD 3\plaque 1/@04 EE2 76/H4_02.tif </t>
  </si>
  <si>
    <t xml:space="preserve"> 9235.965 </t>
  </si>
  <si>
    <t xml:space="preserve"> 68.2576 </t>
  </si>
  <si>
    <t xml:space="preserve">F:\images\2021-CHG-ACH-FAD 3\plaque 1/@04 EE2 76/H4_03.tif </t>
  </si>
  <si>
    <t xml:space="preserve"> 9538.7835 </t>
  </si>
  <si>
    <t xml:space="preserve"> 66.5465 </t>
  </si>
  <si>
    <t xml:space="preserve">F:\images\2021-CHG-ACH-FAD 3\plaque 1/@04 EE2 76/ </t>
  </si>
  <si>
    <t xml:space="preserve"> 66.7118 </t>
  </si>
  <si>
    <t xml:space="preserve"> 3.0955 </t>
  </si>
  <si>
    <t xml:space="preserve"> 699111.5 </t>
  </si>
  <si>
    <t xml:space="preserve"> 544503.434 </t>
  </si>
  <si>
    <t xml:space="preserve">F:\images\2021-CHG-ACH-FAD 3\plaque 1/@05 EE2 114/A5_01.tif </t>
  </si>
  <si>
    <t xml:space="preserve"> 26885.959 </t>
  </si>
  <si>
    <t xml:space="preserve"> 74.6943 </t>
  </si>
  <si>
    <t xml:space="preserve">F:\images\2021-CHG-ACH-FAD 3\plaque 1/@05 EE2 114/A5_02.tif </t>
  </si>
  <si>
    <t xml:space="preserve"> 21521.7452 </t>
  </si>
  <si>
    <t xml:space="preserve"> 74.7317 </t>
  </si>
  <si>
    <t xml:space="preserve">F:\images\2021-CHG-ACH-FAD 3\plaque 1/@05 EE2 114/A5_03.tif </t>
  </si>
  <si>
    <t xml:space="preserve"> 26626.4003 </t>
  </si>
  <si>
    <t xml:space="preserve"> 72.7254 </t>
  </si>
  <si>
    <t xml:space="preserve">F:\images\2021-CHG-ACH-FAD 3\plaque 1/@05 EE2 114/B5_01.tif </t>
  </si>
  <si>
    <t xml:space="preserve"> 31320.0874 </t>
  </si>
  <si>
    <t xml:space="preserve"> 82.2486 </t>
  </si>
  <si>
    <t xml:space="preserve">F:\images\2021-CHG-ACH-FAD 3\plaque 1/@05 EE2 114/B5_02.tif </t>
  </si>
  <si>
    <t xml:space="preserve"> 25198.8272 </t>
  </si>
  <si>
    <t xml:space="preserve"> 73.4876 </t>
  </si>
  <si>
    <t xml:space="preserve">F:\images\2021-CHG-ACH-FAD 3\plaque 1/@05 EE2 114/B5_03.tif </t>
  </si>
  <si>
    <t xml:space="preserve"> 32271.8028 </t>
  </si>
  <si>
    <t xml:space="preserve"> 80.681 </t>
  </si>
  <si>
    <t xml:space="preserve">F:\images\2021-CHG-ACH-FAD 3\plaque 1/@05 EE2 114/C5_01.tif </t>
  </si>
  <si>
    <t xml:space="preserve">F:\images\2021-CHG-ACH-FAD 3\plaque 1/@05 EE2 114/C5_02.tif </t>
  </si>
  <si>
    <t xml:space="preserve"> 51781.9677 </t>
  </si>
  <si>
    <t xml:space="preserve"> 75.2281 </t>
  </si>
  <si>
    <t xml:space="preserve">F:\images\2021-CHG-ACH-FAD 3\plaque 1/@05 EE2 114/C5_03.tif </t>
  </si>
  <si>
    <t xml:space="preserve"> 46374.4941 </t>
  </si>
  <si>
    <t xml:space="preserve"> 74.548 </t>
  </si>
  <si>
    <t xml:space="preserve">F:\images\2021-CHG-ACH-FAD 3\plaque 1/@05 EE2 114/D5_01.tif </t>
  </si>
  <si>
    <t xml:space="preserve"> 24268.7418 </t>
  </si>
  <si>
    <t xml:space="preserve"> 72.0642 </t>
  </si>
  <si>
    <t xml:space="preserve">F:\images\2021-CHG-ACH-FAD 3\plaque 1/@05 EE2 114/D5_02.tif </t>
  </si>
  <si>
    <t xml:space="preserve"> 19986.0226 </t>
  </si>
  <si>
    <t xml:space="preserve"> 72.8193 </t>
  </si>
  <si>
    <t xml:space="preserve">F:\images\2021-CHG-ACH-FAD 3\plaque 1/@05 EE2 114/D5_03.tif </t>
  </si>
  <si>
    <t xml:space="preserve"> 15746.5633 </t>
  </si>
  <si>
    <t xml:space="preserve"> 71.4203 </t>
  </si>
  <si>
    <t xml:space="preserve">F:\images\2021-CHG-ACH-FAD 3\plaque 1/@05 EE2 114/E5_01.tif </t>
  </si>
  <si>
    <t xml:space="preserve"> 22235.5317 </t>
  </si>
  <si>
    <t xml:space="preserve"> 67.1119 </t>
  </si>
  <si>
    <t xml:space="preserve">F:\images\2021-CHG-ACH-FAD 3\plaque 1/@05 EE2 114/E5_02.tif </t>
  </si>
  <si>
    <t xml:space="preserve"> 25674.6849 </t>
  </si>
  <si>
    <t xml:space="preserve"> 68.6259 </t>
  </si>
  <si>
    <t xml:space="preserve">F:\images\2021-CHG-ACH-FAD 3\plaque 1/@05 EE2 114/E5_03.tif </t>
  </si>
  <si>
    <t xml:space="preserve"> 17801.4033 </t>
  </si>
  <si>
    <t xml:space="preserve"> 66.8651 </t>
  </si>
  <si>
    <t xml:space="preserve">F:\images\2021-CHG-ACH-FAD 3\plaque 1/@05 EE2 114/F5_01.tif </t>
  </si>
  <si>
    <t xml:space="preserve"> 15833.0829 </t>
  </si>
  <si>
    <t xml:space="preserve"> 71.0929 </t>
  </si>
  <si>
    <t xml:space="preserve">F:\images\2021-CHG-ACH-FAD 3\plaque 1/@05 EE2 114/F5_02.tif </t>
  </si>
  <si>
    <t xml:space="preserve"> 15032.7768 </t>
  </si>
  <si>
    <t xml:space="preserve"> 72.459 </t>
  </si>
  <si>
    <t xml:space="preserve">F:\images\2021-CHG-ACH-FAD 3\plaque 1/@05 EE2 114/F5_03.tif </t>
  </si>
  <si>
    <t xml:space="preserve"> 65.4375 </t>
  </si>
  <si>
    <t xml:space="preserve">F:\images\2021-CHG-ACH-FAD 3\plaque 1/@05 EE2 114/G5_01.tif </t>
  </si>
  <si>
    <t xml:space="preserve"> 26042.3931 </t>
  </si>
  <si>
    <t xml:space="preserve"> 74.2733 </t>
  </si>
  <si>
    <t xml:space="preserve">F:\images\2021-CHG-ACH-FAD 3\plaque 1/@05 EE2 114/G5_02.tif </t>
  </si>
  <si>
    <t xml:space="preserve"> 22451.8306 </t>
  </si>
  <si>
    <t xml:space="preserve"> 73.9865 </t>
  </si>
  <si>
    <t xml:space="preserve">F:\images\2021-CHG-ACH-FAD 3\plaque 1/@05 EE2 114/G5_03.tif </t>
  </si>
  <si>
    <t xml:space="preserve"> 16460.3498 </t>
  </si>
  <si>
    <t xml:space="preserve"> 72.6491 </t>
  </si>
  <si>
    <t>F:\images\2021-CHG-ACH-FAD 3\plaque 1/@05 EE2 114/H5_01- exclu.tif</t>
  </si>
  <si>
    <t>F:\images\2021-CHG-ACH-FAD 3\plaque 1/@05 EE2 114/H5_02- exclu.tif</t>
  </si>
  <si>
    <t>F:\images\2021-CHG-ACH-FAD 3\plaque 1/@05 EE2 114/H5_03- exclu.tif</t>
  </si>
  <si>
    <t xml:space="preserve">F:\images\2021-CHG-ACH-FAD 3\plaque 1/@05 EE2 114/ </t>
  </si>
  <si>
    <t xml:space="preserve"> 71.7518 </t>
  </si>
  <si>
    <t xml:space="preserve"> 5.0717 </t>
  </si>
  <si>
    <t xml:space="preserve"> 1661673.46 </t>
  </si>
  <si>
    <t xml:space="preserve"> 1070449.13 </t>
  </si>
  <si>
    <t xml:space="preserve">F:\images\2021-CHG-ACH-FAD 3\plaque 1/@06 EE2 170.9/A6_01.tif </t>
  </si>
  <si>
    <t xml:space="preserve"> 32790.9203 </t>
  </si>
  <si>
    <t xml:space="preserve"> 74.4789 </t>
  </si>
  <si>
    <t xml:space="preserve">F:\images\2021-CHG-ACH-FAD 3\plaque 1/@06 EE2 170.9/A6_02.tif </t>
  </si>
  <si>
    <t xml:space="preserve"> 38155.1341 </t>
  </si>
  <si>
    <t xml:space="preserve"> 74.8124 </t>
  </si>
  <si>
    <t xml:space="preserve">F:\images\2021-CHG-ACH-FAD 3\plaque 1/@06 EE2 170.9/A6_03.tif </t>
  </si>
  <si>
    <t xml:space="preserve"> 35473.0272 </t>
  </si>
  <si>
    <t xml:space="preserve"> 70.5951 </t>
  </si>
  <si>
    <t xml:space="preserve">F:\images\2021-CHG-ACH-FAD 3\plaque 1/@06 EE2 170.9/B6_01.tif </t>
  </si>
  <si>
    <t xml:space="preserve"> 72.9204 </t>
  </si>
  <si>
    <t xml:space="preserve">F:\images\2021-CHG-ACH-FAD 3\plaque 1/@06 EE2 170.9/B6_02.tif </t>
  </si>
  <si>
    <t xml:space="preserve"> 23014.2079 </t>
  </si>
  <si>
    <t xml:space="preserve"> 72.2387 </t>
  </si>
  <si>
    <t xml:space="preserve">F:\images\2021-CHG-ACH-FAD 3\plaque 1/@06 EE2 170.9/B6_03.tif </t>
  </si>
  <si>
    <t xml:space="preserve"> 19661.5742 </t>
  </si>
  <si>
    <t xml:space="preserve"> 70.8977 </t>
  </si>
  <si>
    <t xml:space="preserve">F:\images\2021-CHG-ACH-FAD 3\plaque 1/@06 EE2 170.9/C6_01.tif </t>
  </si>
  <si>
    <t xml:space="preserve"> 13086.0863 </t>
  </si>
  <si>
    <t xml:space="preserve"> 69.3471 </t>
  </si>
  <si>
    <t xml:space="preserve">F:\images\2021-CHG-ACH-FAD 3\plaque 1/@06 EE2 170.9/C6_02.tif </t>
  </si>
  <si>
    <t xml:space="preserve"> 63.1947 </t>
  </si>
  <si>
    <t xml:space="preserve">F:\images\2021-CHG-ACH-FAD 3\plaque 1/@06 EE2 170.9/C6_03.tif </t>
  </si>
  <si>
    <t xml:space="preserve"> 11636.8833 </t>
  </si>
  <si>
    <t xml:space="preserve"> 74.1004 </t>
  </si>
  <si>
    <t xml:space="preserve">F:\images\2021-CHG-ACH-FAD 3\plaque 1/@06 EE2 170.9/D6_01.tif </t>
  </si>
  <si>
    <t xml:space="preserve"> 67.9974 </t>
  </si>
  <si>
    <t xml:space="preserve">F:\images\2021-CHG-ACH-FAD 3\plaque 1/@06 EE2 170.9/D6_02.tif </t>
  </si>
  <si>
    <t xml:space="preserve"> 67.1162 </t>
  </si>
  <si>
    <t xml:space="preserve">F:\images\2021-CHG-ACH-FAD 3\plaque 1/@06 EE2 170.9/D6_03.tif </t>
  </si>
  <si>
    <t xml:space="preserve"> 7570.4631 </t>
  </si>
  <si>
    <t xml:space="preserve"> 66.4943 </t>
  </si>
  <si>
    <t xml:space="preserve">F:\images\2021-CHG-ACH-FAD 3\plaque 1/@06 EE2 170.9/E6_01.tif </t>
  </si>
  <si>
    <t xml:space="preserve"> 20591.6597 </t>
  </si>
  <si>
    <t xml:space="preserve"> 72.0987 </t>
  </si>
  <si>
    <t xml:space="preserve">F:\images\2021-CHG-ACH-FAD 3\plaque 1/@06 EE2 170.9/E6_02.tif </t>
  </si>
  <si>
    <t xml:space="preserve"> 16244.0509 </t>
  </si>
  <si>
    <t xml:space="preserve"> 68.6378 </t>
  </si>
  <si>
    <t xml:space="preserve">F:\images\2021-CHG-ACH-FAD 3\plaque 1/@06 EE2 170.9/E6_03.tif </t>
  </si>
  <si>
    <t xml:space="preserve"> 15530.2643 </t>
  </si>
  <si>
    <t xml:space="preserve"> 67.4694 </t>
  </si>
  <si>
    <t>F:\images\2021-CHG-ACH-FAD 3\plaque 1/@06 EE2 170.9/F6_01- exclu.tif</t>
  </si>
  <si>
    <t>F:\images\2021-CHG-ACH-FAD 3\plaque 1/@06 EE2 170.9/F6_02- exclu.tif</t>
  </si>
  <si>
    <t>F:\images\2021-CHG-ACH-FAD 3\plaque 1/@06 EE2 170.9/F6_03- exclu.tif</t>
  </si>
  <si>
    <t xml:space="preserve">F:\images\2021-CHG-ACH-FAD 3\plaque 1/@06 EE2 170.9/G6_01.tif </t>
  </si>
  <si>
    <t xml:space="preserve"> 38868.9206 </t>
  </si>
  <si>
    <t xml:space="preserve"> 80.7451 </t>
  </si>
  <si>
    <t xml:space="preserve">F:\images\2021-CHG-ACH-FAD 3\plaque 1/@06 EE2 170.9/G6_02.tif </t>
  </si>
  <si>
    <t xml:space="preserve"> 37636.0167 </t>
  </si>
  <si>
    <t xml:space="preserve"> 79.5862 </t>
  </si>
  <si>
    <t xml:space="preserve">F:\images\2021-CHG-ACH-FAD 3\plaque 1/@06 EE2 170.9/G6_03.tif </t>
  </si>
  <si>
    <t xml:space="preserve"> 39301.5185 </t>
  </si>
  <si>
    <t xml:space="preserve"> 76.8277 </t>
  </si>
  <si>
    <t xml:space="preserve">F:\images\2021-CHG-ACH-FAD 3\plaque 1/@06 EE2 170.9/H6_01.tif </t>
  </si>
  <si>
    <t xml:space="preserve"> 82.4048 </t>
  </si>
  <si>
    <t xml:space="preserve">F:\images\2021-CHG-ACH-FAD 3\plaque 1/@06 EE2 170.9/H6_02.tif </t>
  </si>
  <si>
    <t xml:space="preserve"> 82.1361 </t>
  </si>
  <si>
    <t xml:space="preserve">F:\images\2021-CHG-ACH-FAD 3\plaque 1/@06 EE2 170.9/H6_03.tif </t>
  </si>
  <si>
    <t xml:space="preserve"> 41248.2091 </t>
  </si>
  <si>
    <t xml:space="preserve"> 81.7971 </t>
  </si>
  <si>
    <t xml:space="preserve">F:\images\2021-CHG-ACH-FAD 3\plaque 1/@06 EE2 170.9/ </t>
  </si>
  <si>
    <t xml:space="preserve"> 72.8442 </t>
  </si>
  <si>
    <t xml:space="preserve"> 6.2338 </t>
  </si>
  <si>
    <t xml:space="preserve"> 1743921.08 </t>
  </si>
  <si>
    <t xml:space="preserve"> 1153829.3 </t>
  </si>
  <si>
    <t xml:space="preserve">F:\images\2021-CHG-ACH-FAD 3\plaque 1/@07 EE2 488/A7_01.tif </t>
  </si>
  <si>
    <t xml:space="preserve"> 67766.4599 </t>
  </si>
  <si>
    <t xml:space="preserve"> 91.3916 </t>
  </si>
  <si>
    <t xml:space="preserve">F:\images\2021-CHG-ACH-FAD 3\plaque 1/@07 EE2 488/A7_02.tif </t>
  </si>
  <si>
    <t xml:space="preserve"> 69150.7731 </t>
  </si>
  <si>
    <t xml:space="preserve"> 86.2731 </t>
  </si>
  <si>
    <t xml:space="preserve">F:\images\2021-CHG-ACH-FAD 3\plaque 1/@07 EE2 488/A7_03.tif </t>
  </si>
  <si>
    <t xml:space="preserve"> 64608.4953 </t>
  </si>
  <si>
    <t xml:space="preserve"> 88.932 </t>
  </si>
  <si>
    <t xml:space="preserve">F:\images\2021-CHG-ACH-FAD 3\plaque 1/@07 EE2 488/B7_01.tif </t>
  </si>
  <si>
    <t xml:space="preserve"> 75.4329 </t>
  </si>
  <si>
    <t xml:space="preserve">F:\images\2021-CHG-ACH-FAD 3\plaque 1/@07 EE2 488/B7_02.tif </t>
  </si>
  <si>
    <t xml:space="preserve"> 78.7233 </t>
  </si>
  <si>
    <t xml:space="preserve">F:\images\2021-CHG-ACH-FAD 3\plaque 1/@07 EE2 488/B7_03.tif </t>
  </si>
  <si>
    <t xml:space="preserve"> 24679.7098 </t>
  </si>
  <si>
    <t xml:space="preserve"> 76.7134 </t>
  </si>
  <si>
    <t xml:space="preserve">F:\images\2021-CHG-ACH-FAD 3\plaque 1/@07 EE2 488/C7_01.tif </t>
  </si>
  <si>
    <t xml:space="preserve"> 33007.2192 </t>
  </si>
  <si>
    <t xml:space="preserve"> 88.1533 </t>
  </si>
  <si>
    <t>F:\images\2021-CHG-ACH-FAD 3\plaque 1/@07 EE2 488/C7_02- exclu.tif</t>
  </si>
  <si>
    <t xml:space="preserve">F:\images\2021-CHG-ACH-FAD 3\plaque 1/@07 EE2 488/C7_03.tif </t>
  </si>
  <si>
    <t xml:space="preserve"> 24528.3005 </t>
  </si>
  <si>
    <t xml:space="preserve"> 69.1631 </t>
  </si>
  <si>
    <t xml:space="preserve">F:\images\2021-CHG-ACH-FAD 3\plaque 1/@07 EE2 488/D7_01.tif </t>
  </si>
  <si>
    <t xml:space="preserve"> 39366.4082 </t>
  </si>
  <si>
    <t xml:space="preserve"> 91.6758 </t>
  </si>
  <si>
    <t xml:space="preserve">F:\images\2021-CHG-ACH-FAD 3\plaque 1/@07 EE2 488/D7_02.tif </t>
  </si>
  <si>
    <t xml:space="preserve"> 41356.3585 </t>
  </si>
  <si>
    <t xml:space="preserve"> 82.3039 </t>
  </si>
  <si>
    <t xml:space="preserve">F:\images\2021-CHG-ACH-FAD 3\plaque 1/@07 EE2 488/D7_03.tif </t>
  </si>
  <si>
    <t xml:space="preserve"> 42286.444 </t>
  </si>
  <si>
    <t xml:space="preserve"> 84.3708 </t>
  </si>
  <si>
    <t xml:space="preserve">F:\images\2021-CHG-ACH-FAD 3\plaque 1/@07 EE2 488/E7_01.tif </t>
  </si>
  <si>
    <t xml:space="preserve"> 34867.3901 </t>
  </si>
  <si>
    <t xml:space="preserve"> 93.9218 </t>
  </si>
  <si>
    <t xml:space="preserve">F:\images\2021-CHG-ACH-FAD 3\plaque 1/@07 EE2 488/E7_02.tif </t>
  </si>
  <si>
    <t xml:space="preserve"> 32920.6996 </t>
  </si>
  <si>
    <t xml:space="preserve"> 93.5118 </t>
  </si>
  <si>
    <t xml:space="preserve">F:\images\2021-CHG-ACH-FAD 3\plaque 1/@07 EE2 488/E7_03.tif </t>
  </si>
  <si>
    <t xml:space="preserve"> 29568.066 </t>
  </si>
  <si>
    <t xml:space="preserve"> 93.8018 </t>
  </si>
  <si>
    <t xml:space="preserve">F:\images\2021-CHG-ACH-FAD 3\plaque 1/@07 EE2 488/F7_01.tif </t>
  </si>
  <si>
    <t xml:space="preserve"> 79879.2009 </t>
  </si>
  <si>
    <t xml:space="preserve"> 93.9716 </t>
  </si>
  <si>
    <t xml:space="preserve">F:\images\2021-CHG-ACH-FAD 3\plaque 1/@07 EE2 488/F7_02.tif </t>
  </si>
  <si>
    <t xml:space="preserve"> 79424.9731 </t>
  </si>
  <si>
    <t xml:space="preserve"> 89.9093 </t>
  </si>
  <si>
    <t xml:space="preserve">F:\images\2021-CHG-ACH-FAD 3\plaque 1/@07 EE2 488/F7_03.tif </t>
  </si>
  <si>
    <t xml:space="preserve"> 73714.6809 </t>
  </si>
  <si>
    <t xml:space="preserve"> 89.2342 </t>
  </si>
  <si>
    <t xml:space="preserve">F:\images\2021-CHG-ACH-FAD 3\plaque 1/@07 EE2 488/G7_01.tif </t>
  </si>
  <si>
    <t xml:space="preserve"> 69713.1504 </t>
  </si>
  <si>
    <t xml:space="preserve"> 92.4592 </t>
  </si>
  <si>
    <t xml:space="preserve">F:\images\2021-CHG-ACH-FAD 3\plaque 1/@07 EE2 488/G7_02.tif </t>
  </si>
  <si>
    <t xml:space="preserve"> 63483.7407 </t>
  </si>
  <si>
    <t xml:space="preserve"> 94.9421 </t>
  </si>
  <si>
    <t xml:space="preserve">F:\images\2021-CHG-ACH-FAD 3\plaque 1/@07 EE2 488/G7_03.tif </t>
  </si>
  <si>
    <t xml:space="preserve"> 65646.7302 </t>
  </si>
  <si>
    <t xml:space="preserve"> 95.6959 </t>
  </si>
  <si>
    <t xml:space="preserve">F:\images\2021-CHG-ACH-FAD 3\plaque 1/@07 EE2 488/H7_01.tif </t>
  </si>
  <si>
    <t xml:space="preserve"> 42913.7109 </t>
  </si>
  <si>
    <t xml:space="preserve"> 102.9869 </t>
  </si>
  <si>
    <t xml:space="preserve">F:\images\2021-CHG-ACH-FAD 3\plaque 1/@07 EE2 488/H7_02.tif </t>
  </si>
  <si>
    <t xml:space="preserve"> 42805.5615 </t>
  </si>
  <si>
    <t xml:space="preserve"> 94.0379 </t>
  </si>
  <si>
    <t xml:space="preserve">F:\images\2021-CHG-ACH-FAD 3\plaque 1/@07 EE2 488/H7_03.tif </t>
  </si>
  <si>
    <t xml:space="preserve"> 71.5089 </t>
  </si>
  <si>
    <t xml:space="preserve">F:\images\2021-CHG-ACH-FAD 3\plaque 1/@07 EE2 488/ </t>
  </si>
  <si>
    <t xml:space="preserve"> 87.2219 </t>
  </si>
  <si>
    <t xml:space="preserve"> 8.7888 </t>
  </si>
  <si>
    <t xml:space="preserve"> 4166273.67 </t>
  </si>
  <si>
    <t xml:space="preserve"> 1987834.8 </t>
  </si>
  <si>
    <t xml:space="preserve">F:\images\2021-CHG-ACH-FAD 3\plaque 1/@08 Fadrozole 0.016 µg_L/A8_01.tif </t>
  </si>
  <si>
    <t xml:space="preserve"> 62.6316 </t>
  </si>
  <si>
    <t xml:space="preserve">F:\images\2021-CHG-ACH-FAD 3\plaque 1/@08 Fadrozole 0.016 µg_L/A8_02.tif </t>
  </si>
  <si>
    <t xml:space="preserve">F:\images\2021-CHG-ACH-FAD 3\plaque 1/@08 Fadrozole 0.016 µg_L/A8_03.tif </t>
  </si>
  <si>
    <t xml:space="preserve">F:\images\2021-CHG-ACH-FAD 3\plaque 1/@08 Fadrozole 0.016 µg_L/B8_01.tif </t>
  </si>
  <si>
    <t xml:space="preserve"> 74.1926 </t>
  </si>
  <si>
    <t xml:space="preserve">F:\images\2021-CHG-ACH-FAD 3\plaque 1/@08 Fadrozole 0.016 µg_L/B8_02.tif </t>
  </si>
  <si>
    <t xml:space="preserve"> 7873.2816 </t>
  </si>
  <si>
    <t xml:space="preserve"> 75.4203 </t>
  </si>
  <si>
    <t xml:space="preserve">F:\images\2021-CHG-ACH-FAD 3\plaque 1/@08 Fadrozole 0.016 µg_L/B8_03.tif </t>
  </si>
  <si>
    <t xml:space="preserve"> 8976.4063 </t>
  </si>
  <si>
    <t xml:space="preserve"> 77.412 </t>
  </si>
  <si>
    <t xml:space="preserve">F:\images\2021-CHG-ACH-FAD 3\plaque 1/@08 Fadrozole 0.016 µg_L/C8_01.tif </t>
  </si>
  <si>
    <t xml:space="preserve"> 67.6966 </t>
  </si>
  <si>
    <t xml:space="preserve">F:\images\2021-CHG-ACH-FAD 3\plaque 1/@08 Fadrozole 0.016 µg_L/C8_02.tif </t>
  </si>
  <si>
    <t xml:space="preserve"> 68.2308 </t>
  </si>
  <si>
    <t xml:space="preserve">F:\images\2021-CHG-ACH-FAD 3\plaque 1/@08 Fadrozole 0.016 µg_L/C8_03.tif </t>
  </si>
  <si>
    <t xml:space="preserve"> 64.4717 </t>
  </si>
  <si>
    <t xml:space="preserve">F:\images\2021-CHG-ACH-FAD 3\plaque 1/@08 Fadrozole 0.016 µg_L/D8_01.tif </t>
  </si>
  <si>
    <t xml:space="preserve"> 65.3429 </t>
  </si>
  <si>
    <t xml:space="preserve">F:\images\2021-CHG-ACH-FAD 3\plaque 1/@08 Fadrozole 0.016 µg_L/D8_02.tif </t>
  </si>
  <si>
    <t xml:space="preserve"> 61.3333 </t>
  </si>
  <si>
    <t xml:space="preserve">F:\images\2021-CHG-ACH-FAD 3\plaque 1/@08 Fadrozole 0.016 µg_L/D8_03.tif </t>
  </si>
  <si>
    <t xml:space="preserve"> 62.5294 </t>
  </si>
  <si>
    <t xml:space="preserve">F:\images\2021-CHG-ACH-FAD 3\plaque 1/@08 Fadrozole 0.016 µg_L/E8_01.tif </t>
  </si>
  <si>
    <t xml:space="preserve"> 64.4231 </t>
  </si>
  <si>
    <t xml:space="preserve">F:\images\2021-CHG-ACH-FAD 3\plaque 1/@08 Fadrozole 0.016 µg_L/E8_02.tif </t>
  </si>
  <si>
    <t xml:space="preserve"> 62.9444 </t>
  </si>
  <si>
    <t xml:space="preserve">F:\images\2021-CHG-ACH-FAD 3\plaque 1/@08 Fadrozole 0.016 µg_L/E8_03.tif </t>
  </si>
  <si>
    <t xml:space="preserve"> 64.9054 </t>
  </si>
  <si>
    <t xml:space="preserve">F:\images\2021-CHG-ACH-FAD 3\plaque 1/@08 Fadrozole 0.016 µg_L/F8_01.tif </t>
  </si>
  <si>
    <t xml:space="preserve">F:\images\2021-CHG-ACH-FAD 3\plaque 1/@08 Fadrozole 0.016 µg_L/F8_02.tif </t>
  </si>
  <si>
    <t xml:space="preserve"> 63.5294 </t>
  </si>
  <si>
    <t xml:space="preserve">F:\images\2021-CHG-ACH-FAD 3\plaque 1/@08 Fadrozole 0.016 µg_L/F8_03.tif </t>
  </si>
  <si>
    <t xml:space="preserve"> 64.5556 </t>
  </si>
  <si>
    <t xml:space="preserve">F:\images\2021-CHG-ACH-FAD 3\plaque 1/@08 Fadrozole 0.016 µg_L/G8_01.tif </t>
  </si>
  <si>
    <t xml:space="preserve"> 66.4909 </t>
  </si>
  <si>
    <t xml:space="preserve">F:\images\2021-CHG-ACH-FAD 3\plaque 1/@08 Fadrozole 0.016 µg_L/G8_02.tif </t>
  </si>
  <si>
    <t xml:space="preserve"> 65.6897 </t>
  </si>
  <si>
    <t xml:space="preserve">F:\images\2021-CHG-ACH-FAD 3\plaque 1/@08 Fadrozole 0.016 µg_L/G8_03.tif </t>
  </si>
  <si>
    <t xml:space="preserve"> 64.3729 </t>
  </si>
  <si>
    <t xml:space="preserve">F:\images\2021-CHG-ACH-FAD 3\plaque 1/@08 Fadrozole 0.016 µg_L/H8_01.tif </t>
  </si>
  <si>
    <t xml:space="preserve"> 1384.3133 </t>
  </si>
  <si>
    <t xml:space="preserve">F:\images\2021-CHG-ACH-FAD 3\plaque 1/@08 Fadrozole 0.016 µg_L/H8_02.tif </t>
  </si>
  <si>
    <t xml:space="preserve"> 64.3793 </t>
  </si>
  <si>
    <t xml:space="preserve">F:\images\2021-CHG-ACH-FAD 3\plaque 1/@08 Fadrozole 0.016 µg_L/H8_03.tif </t>
  </si>
  <si>
    <t xml:space="preserve"> 2249.509 </t>
  </si>
  <si>
    <t xml:space="preserve"> 66.7212 </t>
  </si>
  <si>
    <t xml:space="preserve">F:\images\2021-CHG-ACH-FAD 3\plaque 1/@08 Fadrozole 0.016 µg_L/ </t>
  </si>
  <si>
    <t xml:space="preserve"> 65.9106 </t>
  </si>
  <si>
    <t xml:space="preserve"> 4.1428 </t>
  </si>
  <si>
    <t xml:space="preserve"> 203545.641 </t>
  </si>
  <si>
    <t xml:space="preserve">F:\images\2021-CHG-ACH-FAD 3\plaque 1/@09 Fadrozole 0.08 µg_L/A9_01.tif </t>
  </si>
  <si>
    <t xml:space="preserve"> 63.75 </t>
  </si>
  <si>
    <t xml:space="preserve">F:\images\2021-CHG-ACH-FAD 3\plaque 1/@09 Fadrozole 0.08 µg_L/A9_02.tif </t>
  </si>
  <si>
    <t xml:space="preserve"> 7916.5414 </t>
  </si>
  <si>
    <t xml:space="preserve"> 70.8552 </t>
  </si>
  <si>
    <t xml:space="preserve">F:\images\2021-CHG-ACH-FAD 3\plaque 1/@09 Fadrozole 0.08 µg_L/A9_03.tif </t>
  </si>
  <si>
    <t xml:space="preserve"> 70.3778 </t>
  </si>
  <si>
    <t xml:space="preserve">F:\images\2021-CHG-ACH-FAD 3\plaque 1/@09 Fadrozole 0.08 µg_L/B9_01.tif </t>
  </si>
  <si>
    <t xml:space="preserve"> 63.8636 </t>
  </si>
  <si>
    <t xml:space="preserve">F:\images\2021-CHG-ACH-FAD 3\plaque 1/@09 Fadrozole 0.08 µg_L/B9_02.tif </t>
  </si>
  <si>
    <t xml:space="preserve">F:\images\2021-CHG-ACH-FAD 3\plaque 1/@09 Fadrozole 0.08 µg_L/B9_03.tif </t>
  </si>
  <si>
    <t xml:space="preserve"> 63.9231 </t>
  </si>
  <si>
    <t xml:space="preserve">F:\images\2021-CHG-ACH-FAD 3\plaque 1/@09 Fadrozole 0.08 µg_L/C9_01.tif </t>
  </si>
  <si>
    <t xml:space="preserve">F:\images\2021-CHG-ACH-FAD 3\plaque 1/@09 Fadrozole 0.08 µg_L/C9_02.tif </t>
  </si>
  <si>
    <t xml:space="preserve"> 2920.0358 </t>
  </si>
  <si>
    <t xml:space="preserve"> 67.763 </t>
  </si>
  <si>
    <t xml:space="preserve">F:\images\2021-CHG-ACH-FAD 3\plaque 1/@09 Fadrozole 0.08 µg_L/C9_03.tif </t>
  </si>
  <si>
    <t xml:space="preserve"> 66.1753 </t>
  </si>
  <si>
    <t xml:space="preserve">F:\images\2021-CHG-ACH-FAD 3\plaque 1/@09 Fadrozole 0.08 µg_L/D9_01.tif </t>
  </si>
  <si>
    <t xml:space="preserve"> 68.7569 </t>
  </si>
  <si>
    <t xml:space="preserve">F:\images\2021-CHG-ACH-FAD 3\plaque 1/@09 Fadrozole 0.08 µg_L/D9_02.tif </t>
  </si>
  <si>
    <t xml:space="preserve"> 61.95 </t>
  </si>
  <si>
    <t xml:space="preserve">F:\images\2021-CHG-ACH-FAD 3\plaque 1/@09 Fadrozole 0.08 µg_L/D9_03.tif </t>
  </si>
  <si>
    <t xml:space="preserve">F:\images\2021-CHG-ACH-FAD 3\plaque 1/@09 Fadrozole 0.08 µg_L/E9_01.tif </t>
  </si>
  <si>
    <t xml:space="preserve"> 61.875 </t>
  </si>
  <si>
    <t xml:space="preserve">F:\images\2021-CHG-ACH-FAD 3\plaque 1/@09 Fadrozole 0.08 µg_L/E9_02.tif </t>
  </si>
  <si>
    <t xml:space="preserve"> 65.25 </t>
  </si>
  <si>
    <t xml:space="preserve">F:\images\2021-CHG-ACH-FAD 3\plaque 1/@09 Fadrozole 0.08 µg_L/E9_03.tif </t>
  </si>
  <si>
    <t xml:space="preserve">F:\images\2021-CHG-ACH-FAD 3\plaque 1/@09 Fadrozole 0.08 µg_L/F9_01.tif </t>
  </si>
  <si>
    <t xml:space="preserve"> 6532.2282 </t>
  </si>
  <si>
    <t xml:space="preserve"> 73.2914 </t>
  </si>
  <si>
    <t xml:space="preserve">F:\images\2021-CHG-ACH-FAD 3\plaque 1/@09 Fadrozole 0.08 µg_L/F9_02.tif </t>
  </si>
  <si>
    <t xml:space="preserve"> 74.6538 </t>
  </si>
  <si>
    <t xml:space="preserve">F:\images\2021-CHG-ACH-FAD 3\plaque 1/@09 Fadrozole 0.08 µg_L/F9_03.tif </t>
  </si>
  <si>
    <t xml:space="preserve"> 65.6203 </t>
  </si>
  <si>
    <t xml:space="preserve">F:\images\2021-CHG-ACH-FAD 3\plaque 1/@09 Fadrozole 0.08 µg_L/G9_01.tif </t>
  </si>
  <si>
    <t xml:space="preserve"> 63.56 </t>
  </si>
  <si>
    <t xml:space="preserve">F:\images\2021-CHG-ACH-FAD 3\plaque 1/@09 Fadrozole 0.08 µg_L/G9_02.tif </t>
  </si>
  <si>
    <t xml:space="preserve">F:\images\2021-CHG-ACH-FAD 3\plaque 1/@09 Fadrozole 0.08 µg_L/G9_03.tif </t>
  </si>
  <si>
    <t xml:space="preserve"> 63.1538 </t>
  </si>
  <si>
    <t xml:space="preserve">F:\images\2021-CHG-ACH-FAD 3\plaque 1/@09 Fadrozole 0.08 µg_L/H9_01.tif </t>
  </si>
  <si>
    <t xml:space="preserve">F:\images\2021-CHG-ACH-FAD 3\plaque 1/@09 Fadrozole 0.08 µg_L/H9_02.tif </t>
  </si>
  <si>
    <t xml:space="preserve">F:\images\2021-CHG-ACH-FAD 3\plaque 1/@09 Fadrozole 0.08 µg_L/H9_03.tif </t>
  </si>
  <si>
    <t xml:space="preserve">F:\images\2021-CHG-ACH-FAD 3\plaque 1/@09 Fadrozole 0.08 µg_L/ </t>
  </si>
  <si>
    <t xml:space="preserve"> 65.704 </t>
  </si>
  <si>
    <t xml:space="preserve"> 3.5672 </t>
  </si>
  <si>
    <t xml:space="preserve"> 131490.708 </t>
  </si>
  <si>
    <t xml:space="preserve"> 170686.476 </t>
  </si>
  <si>
    <t xml:space="preserve">F:\images\2021-CHG-ACH-FAD 3\plaque 1/@10 Fadrozole 0.4 µg_L/A10_01.tif </t>
  </si>
  <si>
    <t xml:space="preserve"> 68.0705 </t>
  </si>
  <si>
    <t xml:space="preserve">F:\images\2021-CHG-ACH-FAD 3\plaque 1/@10 Fadrozole 0.4 µg_L/A10_02.tif </t>
  </si>
  <si>
    <t xml:space="preserve"> 63.3529 </t>
  </si>
  <si>
    <t xml:space="preserve">F:\images\2021-CHG-ACH-FAD 3\plaque 1/@10 Fadrozole 0.4 µg_L/A10_03.tif </t>
  </si>
  <si>
    <t xml:space="preserve"> 71.0307 </t>
  </si>
  <si>
    <t xml:space="preserve">F:\images\2021-CHG-ACH-FAD 3\plaque 1/@10 Fadrozole 0.4 µg_L/B10_01.tif </t>
  </si>
  <si>
    <t xml:space="preserve"> 7289.2745 </t>
  </si>
  <si>
    <t xml:space="preserve"> 72.5786 </t>
  </si>
  <si>
    <t xml:space="preserve">F:\images\2021-CHG-ACH-FAD 3\plaque 1/@10 Fadrozole 0.4 µg_L/B10_02.tif </t>
  </si>
  <si>
    <t xml:space="preserve"> 65.4581 </t>
  </si>
  <si>
    <t xml:space="preserve">F:\images\2021-CHG-ACH-FAD 3\plaque 1/@10 Fadrozole 0.4 µg_L/B10_03.tif </t>
  </si>
  <si>
    <t xml:space="preserve"> 65.1667 </t>
  </si>
  <si>
    <t xml:space="preserve">F:\images\2021-CHG-ACH-FAD 3\plaque 1/@10 Fadrozole 0.4 µg_L/C10_01.tif </t>
  </si>
  <si>
    <t xml:space="preserve"> 6121.2602 </t>
  </si>
  <si>
    <t xml:space="preserve"> 78.8905 </t>
  </si>
  <si>
    <t xml:space="preserve">F:\images\2021-CHG-ACH-FAD 3\plaque 1/@10 Fadrozole 0.4 µg_L/C10_02.tif </t>
  </si>
  <si>
    <t xml:space="preserve"> 5710.2922 </t>
  </si>
  <si>
    <t xml:space="preserve"> 72.4167 </t>
  </si>
  <si>
    <t xml:space="preserve">F:\images\2021-CHG-ACH-FAD 3\plaque 1/@10 Fadrozole 0.4 µg_L/C10_03.tif </t>
  </si>
  <si>
    <t xml:space="preserve"> 66.4279 </t>
  </si>
  <si>
    <t>F:\images\2021-CHG-ACH-FAD 3\plaque 1/@10 Fadrozole 0.4 µg_L/D10_01- exclu.tif</t>
  </si>
  <si>
    <t>F:\images\2021-CHG-ACH-FAD 3\plaque 1/@10 Fadrozole 0.4 µg_L/D10_02- exclu.tif</t>
  </si>
  <si>
    <t xml:space="preserve">F:\images\2021-CHG-ACH-FAD 3\plaque 1/@10 Fadrozole 0.4 µg_L/D10_03.tif </t>
  </si>
  <si>
    <t xml:space="preserve"> 65.6154 </t>
  </si>
  <si>
    <t xml:space="preserve">F:\images\2021-CHG-ACH-FAD 3\plaque 1/@10 Fadrozole 0.4 µg_L/E10_01.tif </t>
  </si>
  <si>
    <t xml:space="preserve"> 66.9615 </t>
  </si>
  <si>
    <t xml:space="preserve">F:\images\2021-CHG-ACH-FAD 3\plaque 1/@10 Fadrozole 0.4 µg_L/E10_02.tif </t>
  </si>
  <si>
    <t xml:space="preserve"> 67.85 </t>
  </si>
  <si>
    <t xml:space="preserve">F:\images\2021-CHG-ACH-FAD 3\plaque 1/@10 Fadrozole 0.4 µg_L/E10_03.tif </t>
  </si>
  <si>
    <t xml:space="preserve"> 62.4375 </t>
  </si>
  <si>
    <t xml:space="preserve">F:\images\2021-CHG-ACH-FAD 3\plaque 1/@10 Fadrozole 0.4 µg_L/F10_01.tif </t>
  </si>
  <si>
    <t xml:space="preserve">F:\images\2021-CHG-ACH-FAD 3\plaque 1/@10 Fadrozole 0.4 µg_L/F10_02.tif </t>
  </si>
  <si>
    <t xml:space="preserve"> 62.9074 </t>
  </si>
  <si>
    <t xml:space="preserve">F:\images\2021-CHG-ACH-FAD 3\plaque 1/@10 Fadrozole 0.4 µg_L/F10_03.tif </t>
  </si>
  <si>
    <t xml:space="preserve">F:\images\2021-CHG-ACH-FAD 3\plaque 1/@10 Fadrozole 0.4 µg_L/G10_01.tif </t>
  </si>
  <si>
    <t xml:space="preserve"> 65.8384 </t>
  </si>
  <si>
    <t xml:space="preserve">F:\images\2021-CHG-ACH-FAD 3\plaque 1/@10 Fadrozole 0.4 µg_L/G10_02.tif </t>
  </si>
  <si>
    <t xml:space="preserve"> 68.8968 </t>
  </si>
  <si>
    <t xml:space="preserve">F:\images\2021-CHG-ACH-FAD 3\plaque 1/@10 Fadrozole 0.4 µg_L/G10_03.tif </t>
  </si>
  <si>
    <t xml:space="preserve"> 8868.2568 </t>
  </si>
  <si>
    <t xml:space="preserve"> 69.8683 </t>
  </si>
  <si>
    <t xml:space="preserve">F:\images\2021-CHG-ACH-FAD 3\plaque 1/@10 Fadrozole 0.4 µg_L/H10_01.tif </t>
  </si>
  <si>
    <t xml:space="preserve"> 66.4486 </t>
  </si>
  <si>
    <t xml:space="preserve">F:\images\2021-CHG-ACH-FAD 3\plaque 1/@10 Fadrozole 0.4 µg_L/H10_02.tif </t>
  </si>
  <si>
    <t xml:space="preserve"> 64.4545 </t>
  </si>
  <si>
    <t>F:\images\2021-CHG-ACH-FAD 3\plaque 1/@10 Fadrozole 0.4 µg_L/H10_03- exclu.tif</t>
  </si>
  <si>
    <t xml:space="preserve">F:\images\2021-CHG-ACH-FAD 3\plaque 1/@10 Fadrozole 0.4 µg_L/ </t>
  </si>
  <si>
    <t xml:space="preserve"> 66.9476 </t>
  </si>
  <si>
    <t xml:space="preserve"> 3.9031 </t>
  </si>
  <si>
    <t xml:space="preserve"> 195419.676 </t>
  </si>
  <si>
    <t xml:space="preserve">F:\images\2021-CHG-ACH-FAD 3\plaque 1/@11 Fadrozole 2 µg_L/A11_01.tif </t>
  </si>
  <si>
    <t xml:space="preserve"> 64.7594 </t>
  </si>
  <si>
    <t xml:space="preserve">F:\images\2021-CHG-ACH-FAD 3\plaque 1/@11 Fadrozole 2 µg_L/A11_02.tif </t>
  </si>
  <si>
    <t xml:space="preserve"> 65.9904 </t>
  </si>
  <si>
    <t xml:space="preserve">F:\images\2021-CHG-ACH-FAD 3\plaque 1/@11 Fadrozole 2 µg_L/A11_03.tif </t>
  </si>
  <si>
    <t xml:space="preserve"> 63.7981 </t>
  </si>
  <si>
    <t xml:space="preserve">F:\images\2021-CHG-ACH-FAD 3\plaque 1/@11 Fadrozole 2 µg_L/B11_01.tif </t>
  </si>
  <si>
    <t xml:space="preserve"> 64.561 </t>
  </si>
  <si>
    <t xml:space="preserve">F:\images\2021-CHG-ACH-FAD 3\plaque 1/@11 Fadrozole 2 µg_L/B11_02.tif </t>
  </si>
  <si>
    <t xml:space="preserve"> 63.5833 </t>
  </si>
  <si>
    <t xml:space="preserve">F:\images\2021-CHG-ACH-FAD 3\plaque 1/@11 Fadrozole 2 µg_L/B11_03.tif </t>
  </si>
  <si>
    <t xml:space="preserve"> 70.4925 </t>
  </si>
  <si>
    <t xml:space="preserve">F:\images\2021-CHG-ACH-FAD 3\plaque 1/@11 Fadrozole 2 µg_L/C11_01.tif </t>
  </si>
  <si>
    <t xml:space="preserve"> 61.6 </t>
  </si>
  <si>
    <t xml:space="preserve">F:\images\2021-CHG-ACH-FAD 3\plaque 1/@11 Fadrozole 2 µg_L/C11_02.tif </t>
  </si>
  <si>
    <t xml:space="preserve"> 61.2857 </t>
  </si>
  <si>
    <t xml:space="preserve">F:\images\2021-CHG-ACH-FAD 3\plaque 1/@11 Fadrozole 2 µg_L/C11_03.tif </t>
  </si>
  <si>
    <t xml:space="preserve">F:\images\2021-CHG-ACH-FAD 3\plaque 1/@11 Fadrozole 2 µg_L/D11_01.tif </t>
  </si>
  <si>
    <t xml:space="preserve"> 66.1923 </t>
  </si>
  <si>
    <t xml:space="preserve">F:\images\2021-CHG-ACH-FAD 3\plaque 1/@11 Fadrozole 2 µg_L/D11_02.tif </t>
  </si>
  <si>
    <t xml:space="preserve"> 63.3125 </t>
  </si>
  <si>
    <t xml:space="preserve">F:\images\2021-CHG-ACH-FAD 3\plaque 1/@11 Fadrozole 2 µg_L/D11_03.tif </t>
  </si>
  <si>
    <t xml:space="preserve"> 65.28 </t>
  </si>
  <si>
    <t xml:space="preserve">F:\images\2021-CHG-ACH-FAD 3\plaque 1/@11 Fadrozole 2 µg_L/E11_01.tif </t>
  </si>
  <si>
    <t xml:space="preserve"> 7851.6518 </t>
  </si>
  <si>
    <t xml:space="preserve"> 71.3333 </t>
  </si>
  <si>
    <t xml:space="preserve">F:\images\2021-CHG-ACH-FAD 3\plaque 1/@11 Fadrozole 2 µg_L/E11_02.tif </t>
  </si>
  <si>
    <t xml:space="preserve">F:\images\2021-CHG-ACH-FAD 3\plaque 1/@11 Fadrozole 2 µg_L/E11_03.tif </t>
  </si>
  <si>
    <t xml:space="preserve"> 64.4535 </t>
  </si>
  <si>
    <t xml:space="preserve">F:\images\2021-CHG-ACH-FAD 3\plaque 1/@11 Fadrozole 2 µg_L/F11_01.tif </t>
  </si>
  <si>
    <t xml:space="preserve"> 6597.1179 </t>
  </si>
  <si>
    <t xml:space="preserve"> 69.0984 </t>
  </si>
  <si>
    <t>F:\images\2021-CHG-ACH-FAD 3\plaque 1/@11 Fadrozole 2 µg_L/F11_02- exclu.tif</t>
  </si>
  <si>
    <t xml:space="preserve">F:\images\2021-CHG-ACH-FAD 3\plaque 1/@11 Fadrozole 2 µg_L/F11_03.tif </t>
  </si>
  <si>
    <t xml:space="preserve"> 64.12 </t>
  </si>
  <si>
    <t xml:space="preserve">F:\images\2021-CHG-ACH-FAD 3\plaque 1/@11 Fadrozole 2 µg_L/G11_01.tif </t>
  </si>
  <si>
    <t xml:space="preserve"> 3612.1924 </t>
  </si>
  <si>
    <t xml:space="preserve"> 67.6527 </t>
  </si>
  <si>
    <t xml:space="preserve">F:\images\2021-CHG-ACH-FAD 3\plaque 1/@11 Fadrozole 2 µg_L/G11_02.tif </t>
  </si>
  <si>
    <t xml:space="preserve"> 64.1034 </t>
  </si>
  <si>
    <t xml:space="preserve">F:\images\2021-CHG-ACH-FAD 3\plaque 1/@11 Fadrozole 2 µg_L/G11_03.tif </t>
  </si>
  <si>
    <t xml:space="preserve"> 64.3556 </t>
  </si>
  <si>
    <t xml:space="preserve">F:\images\2021-CHG-ACH-FAD 3\plaque 1/@11 Fadrozole 2 µg_L/H11_01.tif </t>
  </si>
  <si>
    <t xml:space="preserve"> 62.4091 </t>
  </si>
  <si>
    <t xml:space="preserve">F:\images\2021-CHG-ACH-FAD 3\plaque 1/@11 Fadrozole 2 µg_L/H11_02.tif </t>
  </si>
  <si>
    <t xml:space="preserve"> 62.7273 </t>
  </si>
  <si>
    <t xml:space="preserve">F:\images\2021-CHG-ACH-FAD 3\plaque 1/@11 Fadrozole 2 µg_L/H11_03.tif </t>
  </si>
  <si>
    <t xml:space="preserve">F:\images\2021-CHG-ACH-FAD 3\plaque 1/@11 Fadrozole 2 µg_L/ </t>
  </si>
  <si>
    <t xml:space="preserve"> 64.8903 </t>
  </si>
  <si>
    <t xml:space="preserve"> 2.6005 </t>
  </si>
  <si>
    <t xml:space="preserve"> 114348.25 </t>
  </si>
  <si>
    <t xml:space="preserve"> 145921.759 </t>
  </si>
  <si>
    <t xml:space="preserve">F:\images\2021-CHG-ACH-FAD 3\plaque 1/@12 Fadrozole 10 µg_L/A12_01.tif </t>
  </si>
  <si>
    <t xml:space="preserve"> 66.2677 </t>
  </si>
  <si>
    <t xml:space="preserve">F:\images\2021-CHG-ACH-FAD 3\plaque 1/@12 Fadrozole 10 µg_L/A12_02.tif </t>
  </si>
  <si>
    <t xml:space="preserve"> 64.8784 </t>
  </si>
  <si>
    <t xml:space="preserve">F:\images\2021-CHG-ACH-FAD 3\plaque 1/@12 Fadrozole 10 µg_L/A12_03.tif </t>
  </si>
  <si>
    <t xml:space="preserve">F:\images\2021-CHG-ACH-FAD 3\plaque 1/@12 Fadrozole 10 µg_L/B12_01.tif </t>
  </si>
  <si>
    <t xml:space="preserve"> 62.6765 </t>
  </si>
  <si>
    <t xml:space="preserve">F:\images\2021-CHG-ACH-FAD 3\plaque 1/@12 Fadrozole 10 µg_L/B12_02.tif </t>
  </si>
  <si>
    <t xml:space="preserve"> 62.9231 </t>
  </si>
  <si>
    <t xml:space="preserve">F:\images\2021-CHG-ACH-FAD 3\plaque 1/@12 Fadrozole 10 µg_L/B12_03.tif </t>
  </si>
  <si>
    <t xml:space="preserve"> 66.2 </t>
  </si>
  <si>
    <t xml:space="preserve">F:\images\2021-CHG-ACH-FAD 3\plaque 1/@12 Fadrozole 10 µg_L/C12_01.tif </t>
  </si>
  <si>
    <t xml:space="preserve"> 5926.5911 </t>
  </si>
  <si>
    <t xml:space="preserve"> 71.4343 </t>
  </si>
  <si>
    <t xml:space="preserve">F:\images\2021-CHG-ACH-FAD 3\plaque 1/@12 Fadrozole 10 µg_L/C12_02.tif </t>
  </si>
  <si>
    <t xml:space="preserve"> 66.0526 </t>
  </si>
  <si>
    <t xml:space="preserve">F:\images\2021-CHG-ACH-FAD 3\plaque 1/@12 Fadrozole 10 µg_L/C12_03.tif </t>
  </si>
  <si>
    <t xml:space="preserve"> 68.1023 </t>
  </si>
  <si>
    <t xml:space="preserve">F:\images\2021-CHG-ACH-FAD 3\plaque 1/@12 Fadrozole 10 µg_L/D12_01.tif </t>
  </si>
  <si>
    <t xml:space="preserve"> 65.2273 </t>
  </si>
  <si>
    <t xml:space="preserve">F:\images\2021-CHG-ACH-FAD 3\plaque 1/@12 Fadrozole 10 µg_L/D12_02.tif </t>
  </si>
  <si>
    <t xml:space="preserve">F:\images\2021-CHG-ACH-FAD 3\plaque 1/@12 Fadrozole 10 µg_L/D12_03.tif </t>
  </si>
  <si>
    <t xml:space="preserve"> 63.1 </t>
  </si>
  <si>
    <t xml:space="preserve">F:\images\2021-CHG-ACH-FAD 3\plaque 1/@12 Fadrozole 10 µg_L/E12_01.tif </t>
  </si>
  <si>
    <t xml:space="preserve"> 65.4615 </t>
  </si>
  <si>
    <t xml:space="preserve">F:\images\2021-CHG-ACH-FAD 3\plaque 1/@12 Fadrozole 10 µg_L/E12_02.tif </t>
  </si>
  <si>
    <t>F:\images\2021-CHG-ACH-FAD 3\plaque 1/@12 Fadrozole 10 µg_L/E12_03- exclu.tif</t>
  </si>
  <si>
    <t xml:space="preserve">F:\images\2021-CHG-ACH-FAD 3\plaque 1/@12 Fadrozole 10 µg_L/F12_01.tif </t>
  </si>
  <si>
    <t xml:space="preserve"> 64.1667 </t>
  </si>
  <si>
    <t xml:space="preserve">F:\images\2021-CHG-ACH-FAD 3\plaque 1/@12 Fadrozole 10 µg_L/F12_02.tif </t>
  </si>
  <si>
    <t xml:space="preserve">F:\images\2021-CHG-ACH-FAD 3\plaque 1/@12 Fadrozole 10 µg_L/F12_03.tif </t>
  </si>
  <si>
    <t xml:space="preserve">F:\images\2021-CHG-ACH-FAD 3\plaque 1/@12 Fadrozole 10 µg_L/G12_01.tif </t>
  </si>
  <si>
    <t xml:space="preserve"> 64.8473 </t>
  </si>
  <si>
    <t xml:space="preserve">F:\images\2021-CHG-ACH-FAD 3\plaque 1/@12 Fadrozole 10 µg_L/G12_02.tif </t>
  </si>
  <si>
    <t xml:space="preserve"> 64.3922 </t>
  </si>
  <si>
    <t xml:space="preserve">F:\images\2021-CHG-ACH-FAD 3\plaque 1/@12 Fadrozole 10 µg_L/G12_03.tif </t>
  </si>
  <si>
    <t xml:space="preserve"> 3568.9326 </t>
  </si>
  <si>
    <t xml:space="preserve"> 65.5273 </t>
  </si>
  <si>
    <t xml:space="preserve">F:\images\2021-CHG-ACH-FAD 3\plaque 1/@12 Fadrozole 10 µg_L/H12_01.tif </t>
  </si>
  <si>
    <t xml:space="preserve"> 61.8462 </t>
  </si>
  <si>
    <t xml:space="preserve">F:\images\2021-CHG-ACH-FAD 3\plaque 1/@12 Fadrozole 10 µg_L/H12_02.tif </t>
  </si>
  <si>
    <t xml:space="preserve"> 61.9412 </t>
  </si>
  <si>
    <t xml:space="preserve">F:\images\2021-CHG-ACH-FAD 3\plaque 1/@12 Fadrozole 10 µg_L/H12_03.tif </t>
  </si>
  <si>
    <t xml:space="preserve"> 66.363 </t>
  </si>
  <si>
    <t xml:space="preserve">F:\images\2021-CHG-ACH-FAD 3\plaque 1/@12 Fadrozole 10 µg_L/ </t>
  </si>
  <si>
    <t xml:space="preserve"> 64.7873 </t>
  </si>
  <si>
    <t xml:space="preserve"> 2.0938 </t>
  </si>
  <si>
    <t xml:space="preserve"> 106393.792 </t>
  </si>
  <si>
    <t xml:space="preserve"> 132523.506 </t>
  </si>
  <si>
    <t xml:space="preserve">F:\images\2021-CHG-ACH-FAD 3\plaque 2/@01 Testo 30/A1_01.tif </t>
  </si>
  <si>
    <t xml:space="preserve"> 22668.1296 </t>
  </si>
  <si>
    <t xml:space="preserve"> 69.333 </t>
  </si>
  <si>
    <t xml:space="preserve">F:\images\2021-CHG-ACH-FAD 3\plaque 2/@01 Testo 30/A1_02.tif </t>
  </si>
  <si>
    <t xml:space="preserve"> 23273.7666 </t>
  </si>
  <si>
    <t xml:space="preserve"> 68.8857 </t>
  </si>
  <si>
    <t xml:space="preserve">F:\images\2021-CHG-ACH-FAD 3\plaque 2/@01 Testo 30/A1_03.tif </t>
  </si>
  <si>
    <t xml:space="preserve"> 63.6604 </t>
  </si>
  <si>
    <t xml:space="preserve">F:\images\2021-CHG-ACH-FAD 3\plaque 2/@01 Testo 30/B1_01.tif </t>
  </si>
  <si>
    <t xml:space="preserve"> 66.0625 </t>
  </si>
  <si>
    <t xml:space="preserve">F:\images\2021-CHG-ACH-FAD 3\plaque 2/@01 Testo 30/B1_02.tif </t>
  </si>
  <si>
    <t xml:space="preserve"> 67.533 </t>
  </si>
  <si>
    <t xml:space="preserve">F:\images\2021-CHG-ACH-FAD 3\plaque 2/@01 Testo 30/B1_03.tif </t>
  </si>
  <si>
    <t xml:space="preserve"> 62.6333 </t>
  </si>
  <si>
    <t xml:space="preserve">F:\images\2021-CHG-ACH-FAD 3\plaque 2/@01 Testo 30/C1_01.tif </t>
  </si>
  <si>
    <t xml:space="preserve"> 64.2059 </t>
  </si>
  <si>
    <t xml:space="preserve">F:\images\2021-CHG-ACH-FAD 3\plaque 2/@01 Testo 30/C1_02.tif </t>
  </si>
  <si>
    <t xml:space="preserve"> 3006.5554 </t>
  </si>
  <si>
    <t xml:space="preserve"> 64.1583 </t>
  </si>
  <si>
    <t xml:space="preserve">F:\images\2021-CHG-ACH-FAD 3\plaque 2/@01 Testo 30/C1_03.tif </t>
  </si>
  <si>
    <t xml:space="preserve"> 64.5887 </t>
  </si>
  <si>
    <t xml:space="preserve">F:\images\2021-CHG-ACH-FAD 3\plaque 2/@01 Testo 30/D1_01.tif </t>
  </si>
  <si>
    <t xml:space="preserve"> 8608.6981 </t>
  </si>
  <si>
    <t xml:space="preserve"> 67.5477 </t>
  </si>
  <si>
    <t xml:space="preserve">F:\images\2021-CHG-ACH-FAD 3\plaque 2/@01 Testo 30/D1_02.tif </t>
  </si>
  <si>
    <t xml:space="preserve"> 69.7394 </t>
  </si>
  <si>
    <t xml:space="preserve">F:\images\2021-CHG-ACH-FAD 3\plaque 2/@01 Testo 30/D1_03.tif </t>
  </si>
  <si>
    <t xml:space="preserve"> 8738.4774 </t>
  </si>
  <si>
    <t xml:space="preserve"> 68.8465 </t>
  </si>
  <si>
    <t xml:space="preserve">F:\images\2021-CHG-ACH-FAD 3\plaque 2/@01 Testo 30/E1_01.tif </t>
  </si>
  <si>
    <t xml:space="preserve"> 63.3214 </t>
  </si>
  <si>
    <t xml:space="preserve">F:\images\2021-CHG-ACH-FAD 3\plaque 2/@01 Testo 30/E1_02.tif </t>
  </si>
  <si>
    <t xml:space="preserve"> 65.7719 </t>
  </si>
  <si>
    <t xml:space="preserve">F:\images\2021-CHG-ACH-FAD 3\plaque 2/@01 Testo 30/E1_03.tif </t>
  </si>
  <si>
    <t xml:space="preserve"> 4520.648 </t>
  </si>
  <si>
    <t xml:space="preserve"> 65.1005 </t>
  </si>
  <si>
    <t xml:space="preserve">F:\images\2021-CHG-ACH-FAD 3\plaque 2/@01 Testo 30/F1_01.tif </t>
  </si>
  <si>
    <t xml:space="preserve"> 70.7339 </t>
  </si>
  <si>
    <t xml:space="preserve">F:\images\2021-CHG-ACH-FAD 3\plaque 2/@01 Testo 30/F1_02.tif </t>
  </si>
  <si>
    <t xml:space="preserve"> 22170.642 </t>
  </si>
  <si>
    <t xml:space="preserve"> 70.0293 </t>
  </si>
  <si>
    <t xml:space="preserve">F:\images\2021-CHG-ACH-FAD 3\plaque 2/@01 Testo 30/F1_03.tif </t>
  </si>
  <si>
    <t xml:space="preserve"> 17455.325 </t>
  </si>
  <si>
    <t xml:space="preserve"> 67.8377 </t>
  </si>
  <si>
    <t xml:space="preserve">F:\images\2021-CHG-ACH-FAD 3\plaque 2/@01 Testo 30/G1_01.tif </t>
  </si>
  <si>
    <t xml:space="preserve"> 33353.2975 </t>
  </si>
  <si>
    <t xml:space="preserve"> 73.8852 </t>
  </si>
  <si>
    <t xml:space="preserve">F:\images\2021-CHG-ACH-FAD 3\plaque 2/@01 Testo 30/G1_02.tif </t>
  </si>
  <si>
    <t xml:space="preserve"> 31644.5358 </t>
  </si>
  <si>
    <t xml:space="preserve"> 74.2816 </t>
  </si>
  <si>
    <t xml:space="preserve">F:\images\2021-CHG-ACH-FAD 3\plaque 2/@01 Testo 30/G1_03.tif </t>
  </si>
  <si>
    <t xml:space="preserve"> 31731.0554 </t>
  </si>
  <si>
    <t xml:space="preserve"> 74.4717 </t>
  </si>
  <si>
    <t xml:space="preserve">F:\images\2021-CHG-ACH-FAD 3\plaque 2/@01 Testo 30/H1_01.tif </t>
  </si>
  <si>
    <t xml:space="preserve"> 20959.3679 </t>
  </si>
  <si>
    <t xml:space="preserve"> 67.1723 </t>
  </si>
  <si>
    <t xml:space="preserve">F:\images\2021-CHG-ACH-FAD 3\plaque 2/@01 Testo 30/H1_02.tif </t>
  </si>
  <si>
    <t xml:space="preserve"> 15465.3747 </t>
  </si>
  <si>
    <t xml:space="preserve"> 66.3147 </t>
  </si>
  <si>
    <t xml:space="preserve">F:\images\2021-CHG-ACH-FAD 3\plaque 2/@01 Testo 30/H1_03.tif </t>
  </si>
  <si>
    <t xml:space="preserve"> 13172.6058 </t>
  </si>
  <si>
    <t xml:space="preserve"> 65.9228 </t>
  </si>
  <si>
    <t xml:space="preserve">F:\images\2021-CHG-ACH-FAD 3\plaque 2/@01 Testo 30/ </t>
  </si>
  <si>
    <t xml:space="preserve"> 67.5849 </t>
  </si>
  <si>
    <t xml:space="preserve"> 3.3974 </t>
  </si>
  <si>
    <t xml:space="preserve"> 893072.167 </t>
  </si>
  <si>
    <t xml:space="preserve"> 773297.927 </t>
  </si>
  <si>
    <t xml:space="preserve">F:\images\2021-CHG-ACH-FAD 3\plaque 2/@02 Testo 30/A2_01.tif </t>
  </si>
  <si>
    <t xml:space="preserve"> 36597.7817 </t>
  </si>
  <si>
    <t xml:space="preserve"> 69.5963 </t>
  </si>
  <si>
    <t xml:space="preserve">F:\images\2021-CHG-ACH-FAD 3\plaque 2/@02 Testo 30/A2_02.tif </t>
  </si>
  <si>
    <t xml:space="preserve"> 35299.988 </t>
  </si>
  <si>
    <t xml:space="preserve"> 68.6409 </t>
  </si>
  <si>
    <t xml:space="preserve">F:\images\2021-CHG-ACH-FAD 3\plaque 2/@02 Testo 30/A2_03.tif </t>
  </si>
  <si>
    <t xml:space="preserve"> 38241.6537 </t>
  </si>
  <si>
    <t xml:space="preserve"> 69.2534 </t>
  </si>
  <si>
    <t xml:space="preserve">F:\images\2021-CHG-ACH-FAD 3\plaque 2/@02 Testo 30/B2_01.tif </t>
  </si>
  <si>
    <t xml:space="preserve"> 67139.1929 </t>
  </si>
  <si>
    <t xml:space="preserve"> 90.8705 </t>
  </si>
  <si>
    <t xml:space="preserve">F:\images\2021-CHG-ACH-FAD 3\plaque 2/@02 Testo 30/B2_02.tif </t>
  </si>
  <si>
    <t xml:space="preserve"> 70837.9049 </t>
  </si>
  <si>
    <t xml:space="preserve"> 76.6046 </t>
  </si>
  <si>
    <t xml:space="preserve">F:\images\2021-CHG-ACH-FAD 3\plaque 2/@02 Testo 30/B2_03.tif </t>
  </si>
  <si>
    <t xml:space="preserve"> 66663.3352 </t>
  </si>
  <si>
    <t xml:space="preserve"> 73.7969 </t>
  </si>
  <si>
    <t>F:\images\2021-CHG-ACH-FAD 3\plaque 2/@02 Testo 30/C2_01- exclu.tif</t>
  </si>
  <si>
    <t>F:\images\2021-CHG-ACH-FAD 3\plaque 2/@02 Testo 30/C2_02- exclu.tif</t>
  </si>
  <si>
    <t>F:\images\2021-CHG-ACH-FAD 3\plaque 2/@02 Testo 30/C2_03- exclu.tif</t>
  </si>
  <si>
    <t xml:space="preserve">F:\images\2021-CHG-ACH-FAD 3\plaque 2/@02 Testo 30/D2_01.tif </t>
  </si>
  <si>
    <t xml:space="preserve"> 24030.8129 </t>
  </si>
  <si>
    <t xml:space="preserve"> 70.9982 </t>
  </si>
  <si>
    <t xml:space="preserve">F:\images\2021-CHG-ACH-FAD 3\plaque 2/@02 Testo 30/D2_02.tif </t>
  </si>
  <si>
    <t xml:space="preserve"> 70.2785 </t>
  </si>
  <si>
    <t xml:space="preserve">F:\images\2021-CHG-ACH-FAD 3\plaque 2/@02 Testo 30/D2_03.tif </t>
  </si>
  <si>
    <t xml:space="preserve"> 23122.3574 </t>
  </si>
  <si>
    <t xml:space="preserve"> 71.3246 </t>
  </si>
  <si>
    <t xml:space="preserve">F:\images\2021-CHG-ACH-FAD 3\plaque 2/@02 Testo 30/E2_01.tif </t>
  </si>
  <si>
    <t xml:space="preserve"> 40988.6503 </t>
  </si>
  <si>
    <t xml:space="preserve"> 73.8016 </t>
  </si>
  <si>
    <t xml:space="preserve">F:\images\2021-CHG-ACH-FAD 3\plaque 2/@02 Testo 30/E2_02.tif </t>
  </si>
  <si>
    <t xml:space="preserve"> 30454.8916 </t>
  </si>
  <si>
    <t xml:space="preserve"> 72.8523 </t>
  </si>
  <si>
    <t xml:space="preserve">F:\images\2021-CHG-ACH-FAD 3\plaque 2/@02 Testo 30/E2_03.tif </t>
  </si>
  <si>
    <t xml:space="preserve"> 75.2761 </t>
  </si>
  <si>
    <t xml:space="preserve">F:\images\2021-CHG-ACH-FAD 3\plaque 2/@02 Testo 30/F2_01.tif </t>
  </si>
  <si>
    <t xml:space="preserve"> 71.3883 </t>
  </si>
  <si>
    <t xml:space="preserve">F:\images\2021-CHG-ACH-FAD 3\plaque 2/@02 Testo 30/F2_02.tif </t>
  </si>
  <si>
    <t xml:space="preserve"> 24960.8984 </t>
  </si>
  <si>
    <t xml:space="preserve"> 71.688 </t>
  </si>
  <si>
    <t xml:space="preserve">F:\images\2021-CHG-ACH-FAD 3\plaque 2/@02 Testo 30/F2_03.tif </t>
  </si>
  <si>
    <t xml:space="preserve"> 27513.226 </t>
  </si>
  <si>
    <t xml:space="preserve"> 69.9646 </t>
  </si>
  <si>
    <t>F:\images\2021-CHG-ACH-FAD 3\plaque 2/@02 Testo 30/G2_01- exclu.tif</t>
  </si>
  <si>
    <t xml:space="preserve">F:\images\2021-CHG-ACH-FAD 3\plaque 2/@02 Testo 30/G2_02.tif </t>
  </si>
  <si>
    <t xml:space="preserve"> 17195.7662 </t>
  </si>
  <si>
    <t xml:space="preserve"> 68.5912 </t>
  </si>
  <si>
    <t xml:space="preserve">F:\images\2021-CHG-ACH-FAD 3\plaque 2/@02 Testo 30/G2_03.tif </t>
  </si>
  <si>
    <t xml:space="preserve"> 19812.9835 </t>
  </si>
  <si>
    <t xml:space="preserve"> 68.5524 </t>
  </si>
  <si>
    <t xml:space="preserve">F:\images\2021-CHG-ACH-FAD 3\plaque 2/@02 Testo 30/H2_01.tif </t>
  </si>
  <si>
    <t xml:space="preserve"> 64.9673 </t>
  </si>
  <si>
    <t xml:space="preserve">F:\images\2021-CHG-ACH-FAD 3\plaque 2/@02 Testo 30/H2_02.tif </t>
  </si>
  <si>
    <t xml:space="preserve"> 7505.5734 </t>
  </si>
  <si>
    <t xml:space="preserve"> 66.8963 </t>
  </si>
  <si>
    <t xml:space="preserve">F:\images\2021-CHG-ACH-FAD 3\plaque 2/@02 Testo 30/H2_03.tif </t>
  </si>
  <si>
    <t xml:space="preserve"> 66.5 </t>
  </si>
  <si>
    <t xml:space="preserve">F:\images\2021-CHG-ACH-FAD 3\plaque 2/@02 Testo 30/ </t>
  </si>
  <si>
    <t xml:space="preserve"> 71.9281 </t>
  </si>
  <si>
    <t xml:space="preserve"> 5.3267 </t>
  </si>
  <si>
    <t xml:space="preserve"> 1999408.79 </t>
  </si>
  <si>
    <t xml:space="preserve"> 1581955.17 </t>
  </si>
  <si>
    <t xml:space="preserve">F:\images\2021-CHG-ACH-FAD 3\plaque 2/@03 Testo+ EE2 64/A3_01.tif </t>
  </si>
  <si>
    <t xml:space="preserve"> 80.5933 </t>
  </si>
  <si>
    <t xml:space="preserve">F:\images\2021-CHG-ACH-FAD 3\plaque 2/@03 Testo+ EE2 64/A3_02.tif </t>
  </si>
  <si>
    <t xml:space="preserve"> 35083.6891 </t>
  </si>
  <si>
    <t xml:space="preserve"> 79.0043 </t>
  </si>
  <si>
    <t xml:space="preserve">F:\images\2021-CHG-ACH-FAD 3\plaque 2/@03 Testo+ EE2 64/A3_03.tif </t>
  </si>
  <si>
    <t xml:space="preserve"> 33526.3367 </t>
  </si>
  <si>
    <t xml:space="preserve"> 79.4858 </t>
  </si>
  <si>
    <t xml:space="preserve">F:\images\2021-CHG-ACH-FAD 3\plaque 2/@03 Testo+ EE2 64/B3_01.tif </t>
  </si>
  <si>
    <t xml:space="preserve"> 7397.424 </t>
  </si>
  <si>
    <t xml:space="preserve"> 65.4678 </t>
  </si>
  <si>
    <t xml:space="preserve">F:\images\2021-CHG-ACH-FAD 3\plaque 2/@03 Testo+ EE2 64/B3_02.tif </t>
  </si>
  <si>
    <t xml:space="preserve"> 4174.5697 </t>
  </si>
  <si>
    <t xml:space="preserve"> 64.0984 </t>
  </si>
  <si>
    <t xml:space="preserve">F:\images\2021-CHG-ACH-FAD 3\plaque 2/@03 Testo+ EE2 64/B3_03.tif </t>
  </si>
  <si>
    <t xml:space="preserve"> 64.0311 </t>
  </si>
  <si>
    <t xml:space="preserve">F:\images\2021-CHG-ACH-FAD 3\plaque 2/@03 Testo+ EE2 64/C3_01.tif </t>
  </si>
  <si>
    <t xml:space="preserve"> 42372.9636 </t>
  </si>
  <si>
    <t xml:space="preserve"> 82.1485 </t>
  </si>
  <si>
    <t xml:space="preserve">F:\images\2021-CHG-ACH-FAD 3\plaque 2/@03 Testo+ EE2 64/C3_02.tif </t>
  </si>
  <si>
    <t xml:space="preserve"> 47866.9568 </t>
  </si>
  <si>
    <t xml:space="preserve"> 78.9372 </t>
  </si>
  <si>
    <t xml:space="preserve">F:\images\2021-CHG-ACH-FAD 3\plaque 2/@03 Testo+ EE2 64/C3_03.tif </t>
  </si>
  <si>
    <t xml:space="preserve"> 47174.8002 </t>
  </si>
  <si>
    <t xml:space="preserve"> 80.0032 </t>
  </si>
  <si>
    <t xml:space="preserve">F:\images\2021-CHG-ACH-FAD 3\plaque 2/@03 Testo+ EE2 64/D3_01.tif </t>
  </si>
  <si>
    <t xml:space="preserve"> 75.7066 </t>
  </si>
  <si>
    <t xml:space="preserve">F:\images\2021-CHG-ACH-FAD 3\plaque 2/@03 Testo+ EE2 64/D3_02.tif </t>
  </si>
  <si>
    <t xml:space="preserve"> 17001.0972 </t>
  </si>
  <si>
    <t xml:space="preserve"> 68.43 </t>
  </si>
  <si>
    <t xml:space="preserve">F:\images\2021-CHG-ACH-FAD 3\plaque 2/@03 Testo+ EE2 64/D3_03.tif </t>
  </si>
  <si>
    <t xml:space="preserve"> 24420.151 </t>
  </si>
  <si>
    <t xml:space="preserve"> 75.8919 </t>
  </si>
  <si>
    <t xml:space="preserve">F:\images\2021-CHG-ACH-FAD 3\plaque 2/@03 Testo+ EE2 64/E3_01.tif </t>
  </si>
  <si>
    <t xml:space="preserve"> 20223.9515 </t>
  </si>
  <si>
    <t xml:space="preserve"> 71.8449 </t>
  </si>
  <si>
    <t xml:space="preserve">F:\images\2021-CHG-ACH-FAD 3\plaque 2/@03 Testo+ EE2 64/E3_02.tif </t>
  </si>
  <si>
    <t xml:space="preserve"> 19769.7237 </t>
  </si>
  <si>
    <t xml:space="preserve"> 75.1466 </t>
  </si>
  <si>
    <t xml:space="preserve">F:\images\2021-CHG-ACH-FAD 3\plaque 2/@03 Testo+ EE2 64/E3_03.tif </t>
  </si>
  <si>
    <t xml:space="preserve"> 19423.6454 </t>
  </si>
  <si>
    <t xml:space="preserve"> 71.3252 </t>
  </si>
  <si>
    <t xml:space="preserve">F:\images\2021-CHG-ACH-FAD 3\plaque 2/@03 Testo+ EE2 64/F3_01.tif </t>
  </si>
  <si>
    <t xml:space="preserve"> 11052.8762 </t>
  </si>
  <si>
    <t xml:space="preserve"> 71.2035 </t>
  </si>
  <si>
    <t xml:space="preserve">F:\images\2021-CHG-ACH-FAD 3\plaque 2/@03 Testo+ EE2 64/F3_02.tif </t>
  </si>
  <si>
    <t xml:space="preserve"> 10598.6484 </t>
  </si>
  <si>
    <t xml:space="preserve"> 71.0857 </t>
  </si>
  <si>
    <t xml:space="preserve">F:\images\2021-CHG-ACH-FAD 3\plaque 2/@03 Testo+ EE2 64/F3_03.tif </t>
  </si>
  <si>
    <t xml:space="preserve"> 69.3003 </t>
  </si>
  <si>
    <t xml:space="preserve">F:\images\2021-CHG-ACH-FAD 3\plaque 2/@03 Testo+ EE2 64/G3_01.tif </t>
  </si>
  <si>
    <t xml:space="preserve"> 16222.421 </t>
  </si>
  <si>
    <t xml:space="preserve"> 74.0387 </t>
  </si>
  <si>
    <t xml:space="preserve">F:\images\2021-CHG-ACH-FAD 3\plaque 2/@03 Testo+ EE2 64/G3_02.tif </t>
  </si>
  <si>
    <t xml:space="preserve"> 74.2859 </t>
  </si>
  <si>
    <t xml:space="preserve">F:\images\2021-CHG-ACH-FAD 3\plaque 2/@03 Testo+ EE2 64/G3_03.tif </t>
  </si>
  <si>
    <t xml:space="preserve"> 16936.2075 </t>
  </si>
  <si>
    <t xml:space="preserve"> 72.7727 </t>
  </si>
  <si>
    <t xml:space="preserve">F:\images\2021-CHG-ACH-FAD 3\plaque 2/@03 Testo+ EE2 64/H3_01.tif </t>
  </si>
  <si>
    <t xml:space="preserve"> 20050.9123 </t>
  </si>
  <si>
    <t xml:space="preserve"> 73.7681 </t>
  </si>
  <si>
    <t xml:space="preserve">F:\images\2021-CHG-ACH-FAD 3\plaque 2/@03 Testo+ EE2 64/H3_02.tif </t>
  </si>
  <si>
    <t xml:space="preserve"> 13561.9439 </t>
  </si>
  <si>
    <t xml:space="preserve"> 68.2121 </t>
  </si>
  <si>
    <t xml:space="preserve">F:\images\2021-CHG-ACH-FAD 3\plaque 2/@03 Testo+ EE2 64/H3_03.tif </t>
  </si>
  <si>
    <t xml:space="preserve"> 12631.8585 </t>
  </si>
  <si>
    <t xml:space="preserve"> 66.0616 </t>
  </si>
  <si>
    <t xml:space="preserve">F:\images\2021-CHG-ACH-FAD 3\plaque 2/@03 Testo+ EE2 64/ </t>
  </si>
  <si>
    <t xml:space="preserve"> 73.0351 </t>
  </si>
  <si>
    <t xml:space="preserve"> 5.3588 </t>
  </si>
  <si>
    <t xml:space="preserve"> 1591855.67 </t>
  </si>
  <si>
    <t xml:space="preserve"> 1036345.19 </t>
  </si>
  <si>
    <t xml:space="preserve">F:\images\2021-CHG-ACH-FAD 3\plaque 2/@04 Testo+ FAD/A4_01.tif </t>
  </si>
  <si>
    <t xml:space="preserve">F:\images\2021-CHG-ACH-FAD 3\plaque 2/@04 Testo+ FAD/A4_02.tif </t>
  </si>
  <si>
    <t xml:space="preserve"> 65.6979 </t>
  </si>
  <si>
    <t xml:space="preserve">F:\images\2021-CHG-ACH-FAD 3\plaque 2/@04 Testo+ FAD/A4_03.tif </t>
  </si>
  <si>
    <t xml:space="preserve"> 69.1466 </t>
  </si>
  <si>
    <t xml:space="preserve">F:\images\2021-CHG-ACH-FAD 3\plaque 2/@04 Testo+ FAD/B4_01.tif </t>
  </si>
  <si>
    <t xml:space="preserve">F:\images\2021-CHG-ACH-FAD 3\plaque 2/@04 Testo+ FAD/B4_02.tif </t>
  </si>
  <si>
    <t xml:space="preserve">F:\images\2021-CHG-ACH-FAD 3\plaque 2/@04 Testo+ FAD/B4_03.tif </t>
  </si>
  <si>
    <t xml:space="preserve">F:\images\2021-CHG-ACH-FAD 3\plaque 2/@04 Testo+ FAD/C4_01.tif </t>
  </si>
  <si>
    <t xml:space="preserve"> 62.6111 </t>
  </si>
  <si>
    <t xml:space="preserve">F:\images\2021-CHG-ACH-FAD 3\plaque 2/@04 Testo+ FAD/C4_02.tif </t>
  </si>
  <si>
    <t xml:space="preserve"> 2206.2493 </t>
  </si>
  <si>
    <t xml:space="preserve"> 65.8725 </t>
  </si>
  <si>
    <t xml:space="preserve">F:\images\2021-CHG-ACH-FAD 3\plaque 2/@04 Testo+ FAD/C4_03.tif </t>
  </si>
  <si>
    <t xml:space="preserve"> 65.6591 </t>
  </si>
  <si>
    <t xml:space="preserve">F:\images\2021-CHG-ACH-FAD 3\plaque 2/@04 Testo+ FAD/D4_01.tif </t>
  </si>
  <si>
    <t xml:space="preserve"> 64.3043 </t>
  </si>
  <si>
    <t xml:space="preserve">F:\images\2021-CHG-ACH-FAD 3\plaque 2/@04 Testo+ FAD/D4_02.tif </t>
  </si>
  <si>
    <t xml:space="preserve">F:\images\2021-CHG-ACH-FAD 3\plaque 2/@04 Testo+ FAD/D4_03.tif </t>
  </si>
  <si>
    <t xml:space="preserve">F:\images\2021-CHG-ACH-FAD 3\plaque 2/@04 Testo+ FAD/E4_01.tif </t>
  </si>
  <si>
    <t xml:space="preserve"> 68.2 </t>
  </si>
  <si>
    <t xml:space="preserve">F:\images\2021-CHG-ACH-FAD 3\plaque 2/@04 Testo+ FAD/E4_02.tif </t>
  </si>
  <si>
    <t xml:space="preserve">F:\images\2021-CHG-ACH-FAD 3\plaque 2/@04 Testo+ FAD/E4_03.tif </t>
  </si>
  <si>
    <t xml:space="preserve"> 64.4783 </t>
  </si>
  <si>
    <t xml:space="preserve">F:\images\2021-CHG-ACH-FAD 3\plaque 2/@04 Testo+ FAD/F4_01.tif </t>
  </si>
  <si>
    <t xml:space="preserve"> 66.4348 </t>
  </si>
  <si>
    <t xml:space="preserve">F:\images\2021-CHG-ACH-FAD 3\plaque 2/@04 Testo+ FAD/F4_02.tif </t>
  </si>
  <si>
    <t xml:space="preserve"> 64.6071 </t>
  </si>
  <si>
    <t xml:space="preserve">F:\images\2021-CHG-ACH-FAD 3\plaque 2/@04 Testo+ FAD/F4_03.tif </t>
  </si>
  <si>
    <t xml:space="preserve"> 66.6786 </t>
  </si>
  <si>
    <t xml:space="preserve">F:\images\2021-CHG-ACH-FAD 3\plaque 2/@04 Testo+ FAD/G4_01.tif </t>
  </si>
  <si>
    <t xml:space="preserve">F:\images\2021-CHG-ACH-FAD 3\plaque 2/@04 Testo+ FAD/G4_02.tif </t>
  </si>
  <si>
    <t xml:space="preserve"> 64.4521 </t>
  </si>
  <si>
    <t xml:space="preserve">F:\images\2021-CHG-ACH-FAD 3\plaque 2/@04 Testo+ FAD/G4_03.tif </t>
  </si>
  <si>
    <t xml:space="preserve">F:\images\2021-CHG-ACH-FAD 3\plaque 2/@04 Testo+ FAD/H4_01.tif </t>
  </si>
  <si>
    <t xml:space="preserve">F:\images\2021-CHG-ACH-FAD 3\plaque 2/@04 Testo+ FAD/H4_02.tif </t>
  </si>
  <si>
    <t xml:space="preserve"> 65.2 </t>
  </si>
  <si>
    <t xml:space="preserve">F:\images\2021-CHG-ACH-FAD 3\plaque 2/@04 Testo+ FAD/H4_03.tif </t>
  </si>
  <si>
    <t xml:space="preserve">F:\images\2021-CHG-ACH-FAD 3\plaque 2/@04 Testo+ FAD/ </t>
  </si>
  <si>
    <t xml:space="preserve"> 1.8068 </t>
  </si>
  <si>
    <t xml:space="preserve"> 74879.9583 </t>
  </si>
  <si>
    <t xml:space="preserve"> 88443.8597 </t>
  </si>
  <si>
    <t xml:space="preserve">F:\images\2021-CHG-ACH-FAD 3\plaque 2/@05 Fadrozole 0.016 µg_L Dopé/A5_01.tif </t>
  </si>
  <si>
    <t xml:space="preserve"> 63.2472 </t>
  </si>
  <si>
    <t xml:space="preserve">F:\images\2021-CHG-ACH-FAD 3\plaque 2/@05 Fadrozole 0.016 µg_L Dopé/A5_02.tif </t>
  </si>
  <si>
    <t xml:space="preserve"> 63.7738 </t>
  </si>
  <si>
    <t xml:space="preserve">F:\images\2021-CHG-ACH-FAD 3\plaque 2/@05 Fadrozole 0.016 µg_L Dopé/A5_03.tif </t>
  </si>
  <si>
    <t xml:space="preserve"> 64.1157 </t>
  </si>
  <si>
    <t xml:space="preserve">F:\images\2021-CHG-ACH-FAD 3\plaque 2/@05 Fadrozole 0.016 µg_L Dopé/B5_01.tif </t>
  </si>
  <si>
    <t xml:space="preserve">F:\images\2021-CHG-ACH-FAD 3\plaque 2/@05 Fadrozole 0.016 µg_L Dopé/B5_02.tif </t>
  </si>
  <si>
    <t xml:space="preserve">F:\images\2021-CHG-ACH-FAD 3\plaque 2/@05 Fadrozole 0.016 µg_L Dopé/B5_03.tif </t>
  </si>
  <si>
    <t xml:space="preserve"> 994.9752 </t>
  </si>
  <si>
    <t xml:space="preserve"> 65.7609 </t>
  </si>
  <si>
    <t>F:\images\2021-CHG-ACH-FAD 3\plaque 2/@05 Fadrozole 0.016 µg_L Dopé/C5_01- exclu.tif</t>
  </si>
  <si>
    <t xml:space="preserve">F:\images\2021-CHG-ACH-FAD 3\plaque 2/@05 Fadrozole 0.016 µg_L Dopé/C5_02.tif </t>
  </si>
  <si>
    <t xml:space="preserve"> 68.0648 </t>
  </si>
  <si>
    <t xml:space="preserve">F:\images\2021-CHG-ACH-FAD 3\plaque 2/@05 Fadrozole 0.016 µg_L Dopé/C5_03.tif </t>
  </si>
  <si>
    <t xml:space="preserve"> 19921.133 </t>
  </si>
  <si>
    <t xml:space="preserve"> 67.8089 </t>
  </si>
  <si>
    <t xml:space="preserve">F:\images\2021-CHG-ACH-FAD 3\plaque 2/@05 Fadrozole 0.016 µg_L Dopé/D5_01.tif </t>
  </si>
  <si>
    <t xml:space="preserve"> 4823.4665 </t>
  </si>
  <si>
    <t xml:space="preserve"> 65.009 </t>
  </si>
  <si>
    <t xml:space="preserve">F:\images\2021-CHG-ACH-FAD 3\plaque 2/@05 Fadrozole 0.016 µg_L Dopé/D5_02.tif </t>
  </si>
  <si>
    <t xml:space="preserve"> 64.8798 </t>
  </si>
  <si>
    <t xml:space="preserve">F:\images\2021-CHG-ACH-FAD 3\plaque 2/@05 Fadrozole 0.016 µg_L Dopé/D5_03.tif </t>
  </si>
  <si>
    <t xml:space="preserve"> 64.4286 </t>
  </si>
  <si>
    <t>F:\images\2021-CHG-ACH-FAD 3\plaque 2/@05 Fadrozole 0.016 µg_L Dopé/E5_01- exclu.tif</t>
  </si>
  <si>
    <t>F:\images\2021-CHG-ACH-FAD 3\plaque 2/@05 Fadrozole 0.016 µg_L Dopé/E5_02- exclu.tif</t>
  </si>
  <si>
    <t xml:space="preserve">F:\images\2021-CHG-ACH-FAD 3\plaque 2/@05 Fadrozole 0.016 µg_L Dopé/E5_03.tif </t>
  </si>
  <si>
    <t xml:space="preserve"> 1730.3916 </t>
  </si>
  <si>
    <t xml:space="preserve"> 63.325 </t>
  </si>
  <si>
    <t xml:space="preserve">F:\images\2021-CHG-ACH-FAD 3\plaque 2/@05 Fadrozole 0.016 µg_L Dopé/F5_01.tif </t>
  </si>
  <si>
    <t xml:space="preserve"> 14297.3603 </t>
  </si>
  <si>
    <t xml:space="preserve"> 67.9682 </t>
  </si>
  <si>
    <t xml:space="preserve">F:\images\2021-CHG-ACH-FAD 3\plaque 2/@05 Fadrozole 0.016 µg_L Dopé/F5_02.tif </t>
  </si>
  <si>
    <t xml:space="preserve"> 14340.6201 </t>
  </si>
  <si>
    <t xml:space="preserve"> 66.7783 </t>
  </si>
  <si>
    <t>F:\images\2021-CHG-ACH-FAD 3\plaque 2/@05 Fadrozole 0.016 µg_L Dopé/F5_03- exclu.tif</t>
  </si>
  <si>
    <t xml:space="preserve">F:\images\2021-CHG-ACH-FAD 3\plaque 2/@05 Fadrozole 0.016 µg_L Dopé/G5_01.tif </t>
  </si>
  <si>
    <t xml:space="preserve"> 64.9467 </t>
  </si>
  <si>
    <t xml:space="preserve">F:\images\2021-CHG-ACH-FAD 3\plaque 2/@05 Fadrozole 0.016 µg_L Dopé/G5_02.tif </t>
  </si>
  <si>
    <t xml:space="preserve"> 8240.9899 </t>
  </si>
  <si>
    <t xml:space="preserve"> 66.6535 </t>
  </si>
  <si>
    <t xml:space="preserve">F:\images\2021-CHG-ACH-FAD 3\plaque 2/@05 Fadrozole 0.016 µg_L Dopé/G5_03.tif </t>
  </si>
  <si>
    <t xml:space="preserve"> 9041.296 </t>
  </si>
  <si>
    <t xml:space="preserve"> 66.5191 </t>
  </si>
  <si>
    <t xml:space="preserve">F:\images\2021-CHG-ACH-FAD 3\plaque 2/@05 Fadrozole 0.016 µg_L Dopé/H5_01.tif </t>
  </si>
  <si>
    <t xml:space="preserve"> 9560.4134 </t>
  </si>
  <si>
    <t xml:space="preserve"> 69.871 </t>
  </si>
  <si>
    <t xml:space="preserve">F:\images\2021-CHG-ACH-FAD 3\plaque 2/@05 Fadrozole 0.016 µg_L Dopé/H5_02.tif </t>
  </si>
  <si>
    <t xml:space="preserve"> 68.7698 </t>
  </si>
  <si>
    <t xml:space="preserve">F:\images\2021-CHG-ACH-FAD 3\plaque 2/@05 Fadrozole 0.016 µg_L Dopé/H5_03.tif </t>
  </si>
  <si>
    <t xml:space="preserve"> 12069.4812 </t>
  </si>
  <si>
    <t xml:space="preserve"> 91.8871 </t>
  </si>
  <si>
    <t xml:space="preserve">F:\images\2021-CHG-ACH-FAD 3\plaque 2/@05 Fadrozole 0.016 µg_L Dopé/ </t>
  </si>
  <si>
    <t xml:space="preserve"> 67.4687 </t>
  </si>
  <si>
    <t xml:space="preserve"> 5.6952 </t>
  </si>
  <si>
    <t xml:space="preserve"> 422621.976 </t>
  </si>
  <si>
    <t xml:space="preserve">F:\images\2021-CHG-ACH-FAD 3\plaque 2/@06  Fadrozole 0.08 µg_L Dopé/A6_01.tif </t>
  </si>
  <si>
    <t xml:space="preserve">F:\images\2021-CHG-ACH-FAD 3\plaque 2/@06  Fadrozole 0.08 µg_L Dopé/A6_02.tif </t>
  </si>
  <si>
    <t xml:space="preserve"> 65.1154 </t>
  </si>
  <si>
    <t xml:space="preserve">F:\images\2021-CHG-ACH-FAD 3\plaque 2/@06  Fadrozole 0.08 µg_L Dopé/A6_03.tif </t>
  </si>
  <si>
    <t xml:space="preserve"> 62.8667 </t>
  </si>
  <si>
    <t xml:space="preserve">F:\images\2021-CHG-ACH-FAD 3\plaque 2/@06  Fadrozole 0.08 µg_L Dopé/B6_01.tif </t>
  </si>
  <si>
    <t xml:space="preserve"> 40512.7926 </t>
  </si>
  <si>
    <t xml:space="preserve"> 74.3743 </t>
  </si>
  <si>
    <t xml:space="preserve">F:\images\2021-CHG-ACH-FAD 3\plaque 2/@06  Fadrozole 0.08 µg_L Dopé/B6_02.tif </t>
  </si>
  <si>
    <t xml:space="preserve"> 27167.1477 </t>
  </si>
  <si>
    <t xml:space="preserve"> 77.1075 </t>
  </si>
  <si>
    <t xml:space="preserve">F:\images\2021-CHG-ACH-FAD 3\plaque 2/@06  Fadrozole 0.08 µg_L Dopé/B6_03.tif </t>
  </si>
  <si>
    <t xml:space="preserve"> 78.9027 </t>
  </si>
  <si>
    <t xml:space="preserve">F:\images\2021-CHG-ACH-FAD 3\plaque 2/@06  Fadrozole 0.08 µg_L Dopé/C6_01.tif </t>
  </si>
  <si>
    <t xml:space="preserve"> 63.5152 </t>
  </si>
  <si>
    <t xml:space="preserve">F:\images\2021-CHG-ACH-FAD 3\plaque 2/@06  Fadrozole 0.08 µg_L Dopé/C6_02.tif </t>
  </si>
  <si>
    <t xml:space="preserve"> 63.8333 </t>
  </si>
  <si>
    <t xml:space="preserve">F:\images\2021-CHG-ACH-FAD 3\plaque 2/@06  Fadrozole 0.08 µg_L Dopé/C6_03.tif </t>
  </si>
  <si>
    <t xml:space="preserve"> 63.4783 </t>
  </si>
  <si>
    <t xml:space="preserve">F:\images\2021-CHG-ACH-FAD 3\plaque 2/@06  Fadrozole 0.08 µg_L Dopé/D6_01.tif </t>
  </si>
  <si>
    <t xml:space="preserve"> 30844.2297 </t>
  </si>
  <si>
    <t xml:space="preserve"> 67.594 </t>
  </si>
  <si>
    <t xml:space="preserve">F:\images\2021-CHG-ACH-FAD 3\plaque 2/@06  Fadrozole 0.08 µg_L Dopé/D6_02.tif </t>
  </si>
  <si>
    <t xml:space="preserve"> 25761.2045 </t>
  </si>
  <si>
    <t xml:space="preserve"> 66.7271 </t>
  </si>
  <si>
    <t xml:space="preserve">F:\images\2021-CHG-ACH-FAD 3\plaque 2/@06  Fadrozole 0.08 µg_L Dopé/D6_03.tif </t>
  </si>
  <si>
    <t xml:space="preserve"> 66.0311 </t>
  </si>
  <si>
    <t xml:space="preserve">F:\images\2021-CHG-ACH-FAD 3\plaque 2/@06  Fadrozole 0.08 µg_L Dopé/E6_01.tif </t>
  </si>
  <si>
    <t xml:space="preserve"> 27643.0053 </t>
  </si>
  <si>
    <t xml:space="preserve"> 72.0125 </t>
  </si>
  <si>
    <t xml:space="preserve">F:\images\2021-CHG-ACH-FAD 3\plaque 2/@06  Fadrozole 0.08 µg_L Dopé/E6_02.tif </t>
  </si>
  <si>
    <t xml:space="preserve"> 29048.9485 </t>
  </si>
  <si>
    <t xml:space="preserve"> 72.2219 </t>
  </si>
  <si>
    <t xml:space="preserve">F:\images\2021-CHG-ACH-FAD 3\plaque 2/@06  Fadrozole 0.08 µg_L Dopé/E6_03.tif </t>
  </si>
  <si>
    <t xml:space="preserve"> 29395.0268 </t>
  </si>
  <si>
    <t xml:space="preserve"> 71.0007 </t>
  </si>
  <si>
    <t xml:space="preserve">F:\images\2021-CHG-ACH-FAD 3\plaque 2/@06  Fadrozole 0.08 µg_L Dopé/F6_01.tif </t>
  </si>
  <si>
    <t xml:space="preserve"> 64.512 </t>
  </si>
  <si>
    <t xml:space="preserve">F:\images\2021-CHG-ACH-FAD 3\plaque 2/@06  Fadrozole 0.08 µg_L Dopé/F6_02.tif </t>
  </si>
  <si>
    <t xml:space="preserve"> 8067.9507 </t>
  </si>
  <si>
    <t xml:space="preserve"> 65.4611 </t>
  </si>
  <si>
    <t xml:space="preserve">F:\images\2021-CHG-ACH-FAD 3\plaque 2/@06  Fadrozole 0.08 µg_L Dopé/F6_03.tif </t>
  </si>
  <si>
    <t xml:space="preserve"> 7181.125 </t>
  </si>
  <si>
    <t xml:space="preserve"> 65.3313 </t>
  </si>
  <si>
    <t xml:space="preserve">F:\images\2021-CHG-ACH-FAD 3\plaque 2/@06  Fadrozole 0.08 µg_L Dopé/G6_01.tif </t>
  </si>
  <si>
    <t xml:space="preserve"> 64.9726 </t>
  </si>
  <si>
    <t xml:space="preserve">F:\images\2021-CHG-ACH-FAD 3\plaque 2/@06  Fadrozole 0.08 µg_L Dopé/G6_02.tif </t>
  </si>
  <si>
    <t xml:space="preserve"> 64.9512 </t>
  </si>
  <si>
    <t xml:space="preserve">F:\images\2021-CHG-ACH-FAD 3\plaque 2/@06  Fadrozole 0.08 µg_L Dopé/G6_03.tif </t>
  </si>
  <si>
    <t xml:space="preserve"> 66.1967 </t>
  </si>
  <si>
    <t xml:space="preserve">F:\images\2021-CHG-ACH-FAD 3\plaque 2/@06  Fadrozole 0.08 µg_L Dopé/H6_01.tif </t>
  </si>
  <si>
    <t xml:space="preserve"> 4715.317 </t>
  </si>
  <si>
    <t xml:space="preserve"> 65.8486 </t>
  </si>
  <si>
    <t xml:space="preserve">F:\images\2021-CHG-ACH-FAD 3\plaque 2/@06  Fadrozole 0.08 µg_L Dopé/H6_02.tif </t>
  </si>
  <si>
    <t xml:space="preserve"> 64.3168 </t>
  </si>
  <si>
    <t xml:space="preserve">F:\images\2021-CHG-ACH-FAD 3\plaque 2/@06  Fadrozole 0.08 µg_L Dopé/H6_03.tif </t>
  </si>
  <si>
    <t xml:space="preserve"> 64.6628 </t>
  </si>
  <si>
    <t xml:space="preserve">F:\images\2021-CHG-ACH-FAD 3\plaque 2/@06  Fadrozole 0.08 µg_L Dopé/ </t>
  </si>
  <si>
    <t xml:space="preserve"> 67.3057 </t>
  </si>
  <si>
    <t xml:space="preserve"> 4.4843 </t>
  </si>
  <si>
    <t xml:space="preserve"> 870469.833 </t>
  </si>
  <si>
    <t xml:space="preserve"> 967283.64 </t>
  </si>
  <si>
    <t xml:space="preserve">F:\images\2021-CHG-ACH-FAD 3\plaque 2/@07  Fadrozole 0.4 µg_L Dopé/A7_01.tif </t>
  </si>
  <si>
    <t xml:space="preserve"> 65.0833 </t>
  </si>
  <si>
    <t xml:space="preserve">F:\images\2021-CHG-ACH-FAD 3\plaque 2/@07  Fadrozole 0.4 µg_L Dopé/A7_02.tif </t>
  </si>
  <si>
    <t xml:space="preserve">F:\images\2021-CHG-ACH-FAD 3\plaque 2/@07  Fadrozole 0.4 µg_L Dopé/A7_03.tif </t>
  </si>
  <si>
    <t xml:space="preserve"> 67.407 </t>
  </si>
  <si>
    <t xml:space="preserve">F:\images\2021-CHG-ACH-FAD 3\plaque 2/@07  Fadrozole 0.4 µg_L Dopé/B7_01.tif </t>
  </si>
  <si>
    <t xml:space="preserve"> 62.907 </t>
  </si>
  <si>
    <t>F:\images\2021-CHG-ACH-FAD 3\plaque 2/@07  Fadrozole 0.4 µg_L Dopé/B7_02- exclu.tif</t>
  </si>
  <si>
    <t xml:space="preserve">F:\images\2021-CHG-ACH-FAD 3\plaque 2/@07  Fadrozole 0.4 µg_L Dopé/B7_03.tif </t>
  </si>
  <si>
    <t xml:space="preserve"> 63.6269 </t>
  </si>
  <si>
    <t xml:space="preserve">F:\images\2021-CHG-ACH-FAD 3\plaque 2/@07  Fadrozole 0.4 µg_L Dopé/C7_01.tif </t>
  </si>
  <si>
    <t xml:space="preserve"> 22192.2719 </t>
  </si>
  <si>
    <t xml:space="preserve"> 66.1082 </t>
  </si>
  <si>
    <t xml:space="preserve">F:\images\2021-CHG-ACH-FAD 3\plaque 2/@07  Fadrozole 0.4 µg_L Dopé/C7_02.tif </t>
  </si>
  <si>
    <t xml:space="preserve"> 17541.8445 </t>
  </si>
  <si>
    <t xml:space="preserve"> 65.1221 </t>
  </si>
  <si>
    <t xml:space="preserve">F:\images\2021-CHG-ACH-FAD 3\plaque 2/@07  Fadrozole 0.4 µg_L Dopé/C7_03.tif </t>
  </si>
  <si>
    <t xml:space="preserve"> 13367.2749 </t>
  </si>
  <si>
    <t xml:space="preserve"> 64.1861 </t>
  </si>
  <si>
    <t xml:space="preserve">F:\images\2021-CHG-ACH-FAD 3\plaque 2/@07  Fadrozole 0.4 µg_L Dopé/D7_01.tif </t>
  </si>
  <si>
    <t xml:space="preserve"> 65.1429 </t>
  </si>
  <si>
    <t xml:space="preserve">F:\images\2021-CHG-ACH-FAD 3\plaque 2/@07  Fadrozole 0.4 µg_L Dopé/D7_02.tif </t>
  </si>
  <si>
    <t xml:space="preserve"> 65.6316 </t>
  </si>
  <si>
    <t xml:space="preserve">F:\images\2021-CHG-ACH-FAD 3\plaque 2/@07  Fadrozole 0.4 µg_L Dopé/D7_03.tif </t>
  </si>
  <si>
    <t xml:space="preserve"> 65.125 </t>
  </si>
  <si>
    <t xml:space="preserve">F:\images\2021-CHG-ACH-FAD 3\plaque 2/@07  Fadrozole 0.4 µg_L Dopé/E7_01.tif </t>
  </si>
  <si>
    <t xml:space="preserve"> 68.1395 </t>
  </si>
  <si>
    <t xml:space="preserve">F:\images\2021-CHG-ACH-FAD 3\plaque 2/@07  Fadrozole 0.4 µg_L Dopé/E7_02.tif </t>
  </si>
  <si>
    <t xml:space="preserve"> 64.7941 </t>
  </si>
  <si>
    <t xml:space="preserve">F:\images\2021-CHG-ACH-FAD 3\plaque 2/@07  Fadrozole 0.4 µg_L Dopé/E7_03.tif </t>
  </si>
  <si>
    <t xml:space="preserve"> 64.4194 </t>
  </si>
  <si>
    <t xml:space="preserve">F:\images\2021-CHG-ACH-FAD 3\plaque 2/@07  Fadrozole 0.4 µg_L Dopé/F7_01.tif </t>
  </si>
  <si>
    <t xml:space="preserve"> 67.3708 </t>
  </si>
  <si>
    <t xml:space="preserve">F:\images\2021-CHG-ACH-FAD 3\plaque 2/@07  Fadrozole 0.4 µg_L Dopé/F7_02.tif </t>
  </si>
  <si>
    <t xml:space="preserve"> 65.4314 </t>
  </si>
  <si>
    <t xml:space="preserve">F:\images\2021-CHG-ACH-FAD 3\plaque 2/@07  Fadrozole 0.4 µg_L Dopé/F7_03.tif </t>
  </si>
  <si>
    <t xml:space="preserve"> 65.9625 </t>
  </si>
  <si>
    <t xml:space="preserve">F:\images\2021-CHG-ACH-FAD 3\plaque 2/@07  Fadrozole 0.4 µg_L Dopé/G7_01.tif </t>
  </si>
  <si>
    <t xml:space="preserve"> 63.2874 </t>
  </si>
  <si>
    <t xml:space="preserve">F:\images\2021-CHG-ACH-FAD 3\plaque 2/@07  Fadrozole 0.4 µg_L Dopé/G7_02.tif </t>
  </si>
  <si>
    <t xml:space="preserve"> 67.7418 </t>
  </si>
  <si>
    <t xml:space="preserve">F:\images\2021-CHG-ACH-FAD 3\plaque 2/@07  Fadrozole 0.4 µg_L Dopé/G7_03.tif </t>
  </si>
  <si>
    <t xml:space="preserve"> 65.1641 </t>
  </si>
  <si>
    <t xml:space="preserve">F:\images\2021-CHG-ACH-FAD 3\plaque 2/@07  Fadrozole 0.4 µg_L Dopé/H7_01.tif </t>
  </si>
  <si>
    <t xml:space="preserve"> 19964.3927 </t>
  </si>
  <si>
    <t xml:space="preserve"> 67.2546 </t>
  </si>
  <si>
    <t xml:space="preserve">F:\images\2021-CHG-ACH-FAD 3\plaque 2/@07  Fadrozole 0.4 µg_L Dopé/H7_02.tif </t>
  </si>
  <si>
    <t xml:space="preserve"> 18234.0012 </t>
  </si>
  <si>
    <t xml:space="preserve"> 66.5409 </t>
  </si>
  <si>
    <t xml:space="preserve">F:\images\2021-CHG-ACH-FAD 3\plaque 2/@07  Fadrozole 0.4 µg_L Dopé/H7_03.tif </t>
  </si>
  <si>
    <t xml:space="preserve"> 19402.0155 </t>
  </si>
  <si>
    <t xml:space="preserve"> 66.2575 </t>
  </si>
  <si>
    <t xml:space="preserve">F:\images\2021-CHG-ACH-FAD 3\plaque 2/@07  Fadrozole 0.4 µg_L Dopé/ </t>
  </si>
  <si>
    <t xml:space="preserve"> 65.3256 </t>
  </si>
  <si>
    <t xml:space="preserve"> 1.6192 </t>
  </si>
  <si>
    <t xml:space="preserve"> 387306.667 </t>
  </si>
  <si>
    <t xml:space="preserve"> 505151.146 </t>
  </si>
  <si>
    <t xml:space="preserve">F:\images\2021-CHG-ACH-FAD 3\plaque 2/@08  Fadrozole 2 µg_L Dopé/A8_01.tif </t>
  </si>
  <si>
    <t xml:space="preserve"> 3504.0429 </t>
  </si>
  <si>
    <t xml:space="preserve"> 64.0123 </t>
  </si>
  <si>
    <t xml:space="preserve">F:\images\2021-CHG-ACH-FAD 3\plaque 2/@08  Fadrozole 2 µg_L Dopé/A8_02.tif </t>
  </si>
  <si>
    <t xml:space="preserve"> 64.1148 </t>
  </si>
  <si>
    <t xml:space="preserve">F:\images\2021-CHG-ACH-FAD 3\plaque 2/@08  Fadrozole 2 µg_L Dopé/A8_03.tif </t>
  </si>
  <si>
    <t xml:space="preserve"> 62.6154 </t>
  </si>
  <si>
    <t xml:space="preserve">F:\images\2021-CHG-ACH-FAD 3\plaque 2/@08  Fadrozole 2 µg_L Dopé/B8_01.tif </t>
  </si>
  <si>
    <t xml:space="preserve"> 63.4286 </t>
  </si>
  <si>
    <t xml:space="preserve">F:\images\2021-CHG-ACH-FAD 3\plaque 2/@08  Fadrozole 2 µg_L Dopé/B8_02.tif </t>
  </si>
  <si>
    <t xml:space="preserve"> 2292.7688 </t>
  </si>
  <si>
    <t xml:space="preserve"> 66.1415 </t>
  </si>
  <si>
    <t xml:space="preserve">F:\images\2021-CHG-ACH-FAD 3\plaque 2/@08  Fadrozole 2 µg_L Dopé/B8_03.tif </t>
  </si>
  <si>
    <t xml:space="preserve"> 65.7436 </t>
  </si>
  <si>
    <t xml:space="preserve">F:\images\2021-CHG-ACH-FAD 3\plaque 2/@08  Fadrozole 2 µg_L Dopé/C8_01.tif </t>
  </si>
  <si>
    <t xml:space="preserve">F:\images\2021-CHG-ACH-FAD 3\plaque 2/@08  Fadrozole 2 µg_L Dopé/C8_02.tif </t>
  </si>
  <si>
    <t xml:space="preserve"> 64.0909 </t>
  </si>
  <si>
    <t xml:space="preserve">F:\images\2021-CHG-ACH-FAD 3\plaque 2/@08  Fadrozole 2 µg_L Dopé/C8_03.tif </t>
  </si>
  <si>
    <t xml:space="preserve">F:\images\2021-CHG-ACH-FAD 3\plaque 2/@08  Fadrozole 2 µg_L Dopé/D8_01.tif </t>
  </si>
  <si>
    <t xml:space="preserve"> 63.8929 </t>
  </si>
  <si>
    <t xml:space="preserve">F:\images\2021-CHG-ACH-FAD 3\plaque 2/@08  Fadrozole 2 µg_L Dopé/D8_02.tif </t>
  </si>
  <si>
    <t xml:space="preserve"> 65.1966 </t>
  </si>
  <si>
    <t xml:space="preserve">F:\images\2021-CHG-ACH-FAD 3\plaque 2/@08  Fadrozole 2 µg_L Dopé/D8_03.tif </t>
  </si>
  <si>
    <t xml:space="preserve"> 62.5333 </t>
  </si>
  <si>
    <t xml:space="preserve">F:\images\2021-CHG-ACH-FAD 3\plaque 2/@08  Fadrozole 2 µg_L Dopé/E8_01.tif </t>
  </si>
  <si>
    <t xml:space="preserve">F:\images\2021-CHG-ACH-FAD 3\plaque 2/@08  Fadrozole 2 µg_L Dopé/E8_02.tif </t>
  </si>
  <si>
    <t xml:space="preserve"> 63.359 </t>
  </si>
  <si>
    <t xml:space="preserve">F:\images\2021-CHG-ACH-FAD 3\plaque 2/@08  Fadrozole 2 µg_L Dopé/E8_03.tif </t>
  </si>
  <si>
    <t xml:space="preserve">F:\images\2021-CHG-ACH-FAD 3\plaque 2/@08  Fadrozole 2 µg_L Dopé/F8_01.tif </t>
  </si>
  <si>
    <t xml:space="preserve"> 78.5513 </t>
  </si>
  <si>
    <t xml:space="preserve">F:\images\2021-CHG-ACH-FAD 3\plaque 2/@08  Fadrozole 2 µg_L Dopé/F8_02.tif </t>
  </si>
  <si>
    <t xml:space="preserve">F:\images\2021-CHG-ACH-FAD 3\plaque 2/@08  Fadrozole 2 µg_L Dopé/F8_03.tif </t>
  </si>
  <si>
    <t xml:space="preserve"> 63.7222 </t>
  </si>
  <si>
    <t xml:space="preserve">F:\images\2021-CHG-ACH-FAD 3\plaque 2/@08  Fadrozole 2 µg_L Dopé/G8_01.tif </t>
  </si>
  <si>
    <t xml:space="preserve"> 62.9429 </t>
  </si>
  <si>
    <t xml:space="preserve">F:\images\2021-CHG-ACH-FAD 3\plaque 2/@08  Fadrozole 2 µg_L Dopé/G8_02.tif </t>
  </si>
  <si>
    <t xml:space="preserve"> 68.2273 </t>
  </si>
  <si>
    <t xml:space="preserve">F:\images\2021-CHG-ACH-FAD 3\plaque 2/@08  Fadrozole 2 µg_L Dopé/G8_03.tif </t>
  </si>
  <si>
    <t xml:space="preserve"> 66.1333 </t>
  </si>
  <si>
    <t xml:space="preserve">F:\images\2021-CHG-ACH-FAD 3\plaque 2/@08  Fadrozole 2 µg_L Dopé/H8_01.tif </t>
  </si>
  <si>
    <t xml:space="preserve"> 64.7288 </t>
  </si>
  <si>
    <t xml:space="preserve">F:\images\2021-CHG-ACH-FAD 3\plaque 2/@08  Fadrozole 2 µg_L Dopé/H8_02.tif </t>
  </si>
  <si>
    <t xml:space="preserve"> 65.6161 </t>
  </si>
  <si>
    <t xml:space="preserve">F:\images\2021-CHG-ACH-FAD 3\plaque 2/@08  Fadrozole 2 µg_L Dopé/H8_03.tif </t>
  </si>
  <si>
    <t xml:space="preserve"> 66.7692 </t>
  </si>
  <si>
    <t xml:space="preserve">F:\images\2021-CHG-ACH-FAD 3\plaque 2/@08  Fadrozole 2 µg_L Dopé/ </t>
  </si>
  <si>
    <t xml:space="preserve"> 64.9446 </t>
  </si>
  <si>
    <t xml:space="preserve"> 3.2681 </t>
  </si>
  <si>
    <t xml:space="preserve"> 90416.5 </t>
  </si>
  <si>
    <t xml:space="preserve"> 111587.426 </t>
  </si>
  <si>
    <t xml:space="preserve">F:\images\2021-CHG-ACH-FAD 3\plaque 2/@09  Fadrozole 10 µg_L Dopé/A9_01.tif </t>
  </si>
  <si>
    <t xml:space="preserve"> 65.8696 </t>
  </si>
  <si>
    <t xml:space="preserve">F:\images\2021-CHG-ACH-FAD 3\plaque 2/@09  Fadrozole 10 µg_L Dopé/A9_02.tif </t>
  </si>
  <si>
    <t xml:space="preserve">F:\images\2021-CHG-ACH-FAD 3\plaque 2/@09  Fadrozole 10 µg_L Dopé/A9_03.tif </t>
  </si>
  <si>
    <t xml:space="preserve"> 66.8846 </t>
  </si>
  <si>
    <t xml:space="preserve">F:\images\2021-CHG-ACH-FAD 3\plaque 2/@09  Fadrozole 10 µg_L Dopé/B9_01.tif </t>
  </si>
  <si>
    <t xml:space="preserve">F:\images\2021-CHG-ACH-FAD 3\plaque 2/@09  Fadrozole 10 µg_L Dopé/B9_02.tif </t>
  </si>
  <si>
    <t xml:space="preserve">F:\images\2021-CHG-ACH-FAD 3\plaque 2/@09  Fadrozole 10 µg_L Dopé/B9_03.tif </t>
  </si>
  <si>
    <t xml:space="preserve">F:\images\2021-CHG-ACH-FAD 3\plaque 2/@09  Fadrozole 10 µg_L Dopé/C9_01.tif </t>
  </si>
  <si>
    <t xml:space="preserve"> 66.5062 </t>
  </si>
  <si>
    <t xml:space="preserve">F:\images\2021-CHG-ACH-FAD 3\plaque 2/@09  Fadrozole 10 µg_L Dopé/C9_02.tif </t>
  </si>
  <si>
    <t xml:space="preserve"> 67.6886 </t>
  </si>
  <si>
    <t xml:space="preserve">F:\images\2021-CHG-ACH-FAD 3\plaque 2/@09  Fadrozole 10 µg_L Dopé/C9_03.tif </t>
  </si>
  <si>
    <t xml:space="preserve"> 64.8385 </t>
  </si>
  <si>
    <t xml:space="preserve">F:\images\2021-CHG-ACH-FAD 3\plaque 2/@09  Fadrozole 10 µg_L Dopé/D9_01.tif </t>
  </si>
  <si>
    <t xml:space="preserve"> 65.2222 </t>
  </si>
  <si>
    <t xml:space="preserve">F:\images\2021-CHG-ACH-FAD 3\plaque 2/@09  Fadrozole 10 µg_L Dopé/D9_02.tif </t>
  </si>
  <si>
    <t xml:space="preserve">F:\images\2021-CHG-ACH-FAD 3\plaque 2/@09  Fadrozole 10 µg_L Dopé/D9_03.tif </t>
  </si>
  <si>
    <t xml:space="preserve"> 64.4 </t>
  </si>
  <si>
    <t xml:space="preserve">F:\images\2021-CHG-ACH-FAD 3\plaque 2/@09  Fadrozole 10 µg_L Dopé/E9_01.tif </t>
  </si>
  <si>
    <t xml:space="preserve">F:\images\2021-CHG-ACH-FAD 3\plaque 2/@09  Fadrozole 10 µg_L Dopé/E9_02.tif </t>
  </si>
  <si>
    <t xml:space="preserve">F:\images\2021-CHG-ACH-FAD 3\plaque 2/@09  Fadrozole 10 µg_L Dopé/E9_03.tif </t>
  </si>
  <si>
    <t xml:space="preserve">F:\images\2021-CHG-ACH-FAD 3\plaque 2/@09  Fadrozole 10 µg_L Dopé/F9_01.tif </t>
  </si>
  <si>
    <t xml:space="preserve"> 64.3721 </t>
  </si>
  <si>
    <t xml:space="preserve">F:\images\2021-CHG-ACH-FAD 3\plaque 2/@09  Fadrozole 10 µg_L Dopé/F9_02.tif </t>
  </si>
  <si>
    <t xml:space="preserve"> 1946.6905 </t>
  </si>
  <si>
    <t xml:space="preserve">F:\images\2021-CHG-ACH-FAD 3\plaque 2/@09  Fadrozole 10 µg_L Dopé/F9_03.tif </t>
  </si>
  <si>
    <t xml:space="preserve"> 63.413 </t>
  </si>
  <si>
    <t xml:space="preserve">F:\images\2021-CHG-ACH-FAD 3\plaque 2/@09  Fadrozole 10 µg_L Dopé/G9_01.tif </t>
  </si>
  <si>
    <t xml:space="preserve"> 66.5152 </t>
  </si>
  <si>
    <t xml:space="preserve">F:\images\2021-CHG-ACH-FAD 3\plaque 2/@09  Fadrozole 10 µg_L Dopé/G9_02.tif </t>
  </si>
  <si>
    <t xml:space="preserve"> 68.5849 </t>
  </si>
  <si>
    <t xml:space="preserve">F:\images\2021-CHG-ACH-FAD 3\plaque 2/@09  Fadrozole 10 µg_L Dopé/G9_03.tif </t>
  </si>
  <si>
    <t xml:space="preserve">F:\images\2021-CHG-ACH-FAD 3\plaque 2/@09  Fadrozole 10 µg_L Dopé/H9_01.tif </t>
  </si>
  <si>
    <t xml:space="preserve">F:\images\2021-CHG-ACH-FAD 3\plaque 2/@09  Fadrozole 10 µg_L Dopé/H9_02.tif </t>
  </si>
  <si>
    <t xml:space="preserve"> 64.6 </t>
  </si>
  <si>
    <t xml:space="preserve">F:\images\2021-CHG-ACH-FAD 3\plaque 2/@09  Fadrozole 10 µg_L Dopé/H9_03.tif </t>
  </si>
  <si>
    <t xml:space="preserve"> 61.8 </t>
  </si>
  <si>
    <t xml:space="preserve">F:\images\2021-CHG-ACH-FAD 3\plaque 2/@09  Fadrozole 10 µg_L Dopé/ </t>
  </si>
  <si>
    <t xml:space="preserve"> 64.925 </t>
  </si>
  <si>
    <t xml:space="preserve"> 1.7139 </t>
  </si>
  <si>
    <t xml:space="preserve"> 63927.0833 </t>
  </si>
  <si>
    <t xml:space="preserve"> 86835.6529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</si>
</sst>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3" fillId="14" borderId="46" xfId="0" applyNumberFormat="1" applyFont="1" applyFill="1" applyBorder="1" applyAlignment="1">
      <alignment horizontal="center" vertical="center"/>
    </xf>
    <xf numFmtId="0" fontId="0" fillId="0" borderId="0" xfId="0" applyNumberFormat="1" applyFont="1"/>
    <xf numFmtId="0" fontId="14" fillId="0" borderId="0" xfId="0" applyFont="1"/>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01-08D2-4D15-994A-C748E5A16F62}"/>
              </c:ext>
            </c:extLst>
          </c:dPt>
          <c:dPt>
            <c:idx val="1"/>
            <c:invertIfNegative val="0"/>
            <c:bubble3D val="0"/>
            <c:spPr>
              <a:solidFill>
                <a:srgbClr val="FF0000"/>
              </a:solidFill>
            </c:spPr>
            <c:extLst>
              <c:ext xmlns:c16="http://schemas.microsoft.com/office/drawing/2014/chart" uri="{C3380CC4-5D6E-409C-BE32-E72D297353CC}">
                <c16:uniqueId val="{00000002-08D2-4D15-994A-C748E5A16F62}"/>
              </c:ext>
            </c:extLst>
          </c:dPt>
          <c:dPt>
            <c:idx val="2"/>
            <c:invertIfNegative val="0"/>
            <c:bubble3D val="0"/>
            <c:spPr>
              <a:solidFill>
                <a:srgbClr val="FF0000"/>
              </a:solidFill>
            </c:spPr>
            <c:extLst>
              <c:ext xmlns:c16="http://schemas.microsoft.com/office/drawing/2014/chart" uri="{C3380CC4-5D6E-409C-BE32-E72D297353CC}">
                <c16:uniqueId val="{00000003-08D2-4D15-994A-C748E5A16F62}"/>
              </c:ext>
            </c:extLst>
          </c:dPt>
          <c:dPt>
            <c:idx val="3"/>
            <c:invertIfNegative val="0"/>
            <c:bubble3D val="0"/>
            <c:spPr>
              <a:solidFill>
                <a:srgbClr val="FF0000"/>
              </a:solidFill>
            </c:spPr>
            <c:extLst>
              <c:ext xmlns:c16="http://schemas.microsoft.com/office/drawing/2014/chart" uri="{C3380CC4-5D6E-409C-BE32-E72D297353CC}">
                <c16:uniqueId val="{00000004-08D2-4D15-994A-C748E5A16F62}"/>
              </c:ext>
            </c:extLst>
          </c:dPt>
          <c:dPt>
            <c:idx val="4"/>
            <c:invertIfNegative val="0"/>
            <c:bubble3D val="0"/>
            <c:spPr>
              <a:solidFill>
                <a:srgbClr val="FF0000"/>
              </a:solidFill>
            </c:spPr>
            <c:extLst>
              <c:ext xmlns:c16="http://schemas.microsoft.com/office/drawing/2014/chart" uri="{C3380CC4-5D6E-409C-BE32-E72D297353CC}">
                <c16:uniqueId val="{00000005-08D2-4D15-994A-C748E5A16F62}"/>
              </c:ext>
            </c:extLst>
          </c:dPt>
          <c:dPt>
            <c:idx val="5"/>
            <c:invertIfNegative val="0"/>
            <c:bubble3D val="0"/>
            <c:spPr>
              <a:solidFill>
                <a:srgbClr val="FF0000"/>
              </a:solidFill>
            </c:spPr>
            <c:extLst>
              <c:ext xmlns:c16="http://schemas.microsoft.com/office/drawing/2014/chart" uri="{C3380CC4-5D6E-409C-BE32-E72D297353CC}">
                <c16:uniqueId val="{00000006-08D2-4D15-994A-C748E5A16F62}"/>
              </c:ext>
            </c:extLst>
          </c:dPt>
          <c:dPt>
            <c:idx val="6"/>
            <c:invertIfNegative val="0"/>
            <c:bubble3D val="0"/>
            <c:spPr>
              <a:solidFill>
                <a:srgbClr val="FF0000"/>
              </a:solidFill>
            </c:spPr>
            <c:extLst>
              <c:ext xmlns:c16="http://schemas.microsoft.com/office/drawing/2014/chart" uri="{C3380CC4-5D6E-409C-BE32-E72D297353CC}">
                <c16:uniqueId val="{00000007-08D2-4D15-994A-C748E5A16F62}"/>
              </c:ext>
            </c:extLst>
          </c:dPt>
          <c:dPt>
            <c:idx val="7"/>
            <c:invertIfNegative val="0"/>
            <c:bubble3D val="0"/>
            <c:spPr>
              <a:solidFill>
                <a:schemeClr val="bg1">
                  <a:lumMod val="65000"/>
                </a:schemeClr>
              </a:solidFill>
            </c:spPr>
            <c:extLst>
              <c:ext xmlns:c16="http://schemas.microsoft.com/office/drawing/2014/chart" uri="{C3380CC4-5D6E-409C-BE32-E72D297353CC}">
                <c16:uniqueId val="{00000008-08D2-4D15-994A-C748E5A16F62}"/>
              </c:ext>
            </c:extLst>
          </c:dPt>
          <c:dPt>
            <c:idx val="8"/>
            <c:invertIfNegative val="0"/>
            <c:bubble3D val="0"/>
            <c:spPr>
              <a:solidFill>
                <a:schemeClr val="bg1">
                  <a:lumMod val="65000"/>
                </a:schemeClr>
              </a:solidFill>
            </c:spPr>
            <c:extLst>
              <c:ext xmlns:c16="http://schemas.microsoft.com/office/drawing/2014/chart" uri="{C3380CC4-5D6E-409C-BE32-E72D297353CC}">
                <c16:uniqueId val="{0000000C-08D2-4D15-994A-C748E5A16F62}"/>
              </c:ext>
            </c:extLst>
          </c:dPt>
          <c:dPt>
            <c:idx val="9"/>
            <c:invertIfNegative val="0"/>
            <c:bubble3D val="0"/>
            <c:spPr>
              <a:solidFill>
                <a:schemeClr val="bg1">
                  <a:lumMod val="65000"/>
                </a:schemeClr>
              </a:solidFill>
            </c:spPr>
            <c:extLst>
              <c:ext xmlns:c16="http://schemas.microsoft.com/office/drawing/2014/chart" uri="{C3380CC4-5D6E-409C-BE32-E72D297353CC}">
                <c16:uniqueId val="{00000009-08D2-4D15-994A-C748E5A16F62}"/>
              </c:ext>
            </c:extLst>
          </c:dPt>
          <c:dPt>
            <c:idx val="10"/>
            <c:invertIfNegative val="0"/>
            <c:bubble3D val="0"/>
            <c:spPr>
              <a:solidFill>
                <a:schemeClr val="bg1">
                  <a:lumMod val="65000"/>
                </a:schemeClr>
              </a:solidFill>
            </c:spPr>
            <c:extLst>
              <c:ext xmlns:c16="http://schemas.microsoft.com/office/drawing/2014/chart" uri="{C3380CC4-5D6E-409C-BE32-E72D297353CC}">
                <c16:uniqueId val="{0000000A-08D2-4D15-994A-C748E5A16F62}"/>
              </c:ext>
            </c:extLst>
          </c:dPt>
          <c:dPt>
            <c:idx val="11"/>
            <c:invertIfNegative val="0"/>
            <c:bubble3D val="0"/>
            <c:spPr>
              <a:solidFill>
                <a:schemeClr val="bg1">
                  <a:lumMod val="65000"/>
                </a:schemeClr>
              </a:solidFill>
            </c:spPr>
            <c:extLst>
              <c:ext xmlns:c16="http://schemas.microsoft.com/office/drawing/2014/chart" uri="{C3380CC4-5D6E-409C-BE32-E72D297353CC}">
                <c16:uniqueId val="{0000000B-08D2-4D15-994A-C748E5A16F62}"/>
              </c:ext>
            </c:extLst>
          </c:dPt>
          <c:dPt>
            <c:idx val="14"/>
            <c:invertIfNegative val="0"/>
            <c:bubble3D val="0"/>
            <c:spPr>
              <a:solidFill>
                <a:srgbClr val="92D050"/>
              </a:solidFill>
            </c:spPr>
            <c:extLst>
              <c:ext xmlns:c16="http://schemas.microsoft.com/office/drawing/2014/chart" uri="{C3380CC4-5D6E-409C-BE32-E72D297353CC}">
                <c16:uniqueId val="{0000000D-08D2-4D15-994A-C748E5A16F62}"/>
              </c:ext>
            </c:extLst>
          </c:dPt>
          <c:dPt>
            <c:idx val="15"/>
            <c:invertIfNegative val="0"/>
            <c:bubble3D val="0"/>
            <c:spPr>
              <a:solidFill>
                <a:srgbClr val="92D050"/>
              </a:solidFill>
            </c:spPr>
            <c:extLst>
              <c:ext xmlns:c16="http://schemas.microsoft.com/office/drawing/2014/chart" uri="{C3380CC4-5D6E-409C-BE32-E72D297353CC}">
                <c16:uniqueId val="{0000000E-08D2-4D15-994A-C748E5A16F6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0F-08D2-4D15-994A-C748E5A16F62}"/>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10-08D2-4D15-994A-C748E5A16F62}"/>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11-08D2-4D15-994A-C748E5A16F62}"/>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12-08D2-4D15-994A-C748E5A16F62}"/>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13-08D2-4D15-994A-C748E5A16F62}"/>
              </c:ext>
            </c:extLst>
          </c:dPt>
          <c:dLbls>
            <c:dLbl>
              <c:idx val="0"/>
              <c:tx>
                <c:rich>
                  <a:bodyPr/>
                  <a:lstStyle/>
                  <a:p>
                    <a:fld id="{70BE005A-9AD0-4159-9B8F-277B68127533}"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8D2-4D15-994A-C748E5A16F62}"/>
                </c:ext>
              </c:extLst>
            </c:dLbl>
            <c:dLbl>
              <c:idx val="1"/>
              <c:tx>
                <c:rich>
                  <a:bodyPr/>
                  <a:lstStyle/>
                  <a:p>
                    <a:fld id="{6EA410A7-43CA-4F71-958A-57E088B537B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D2-4D15-994A-C748E5A16F62}"/>
                </c:ext>
              </c:extLst>
            </c:dLbl>
            <c:dLbl>
              <c:idx val="2"/>
              <c:tx>
                <c:rich>
                  <a:bodyPr/>
                  <a:lstStyle/>
                  <a:p>
                    <a:fld id="{4A4DEBB8-F76E-4EEE-8F05-DA42D9181CA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D2-4D15-994A-C748E5A16F62}"/>
                </c:ext>
              </c:extLst>
            </c:dLbl>
            <c:dLbl>
              <c:idx val="3"/>
              <c:tx>
                <c:rich>
                  <a:bodyPr/>
                  <a:lstStyle/>
                  <a:p>
                    <a:fld id="{AE322778-05E1-4A58-9AED-A454226032C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D2-4D15-994A-C748E5A16F62}"/>
                </c:ext>
              </c:extLst>
            </c:dLbl>
            <c:dLbl>
              <c:idx val="4"/>
              <c:tx>
                <c:rich>
                  <a:bodyPr/>
                  <a:lstStyle/>
                  <a:p>
                    <a:fld id="{1070D6BD-5466-4660-B62B-5CEDDA55BA5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D2-4D15-994A-C748E5A16F62}"/>
                </c:ext>
              </c:extLst>
            </c:dLbl>
            <c:dLbl>
              <c:idx val="5"/>
              <c:tx>
                <c:rich>
                  <a:bodyPr/>
                  <a:lstStyle/>
                  <a:p>
                    <a:fld id="{D3FA893B-EFCF-486F-A2C4-AD44A0A7ADE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D2-4D15-994A-C748E5A16F62}"/>
                </c:ext>
              </c:extLst>
            </c:dLbl>
            <c:dLbl>
              <c:idx val="6"/>
              <c:tx>
                <c:rich>
                  <a:bodyPr/>
                  <a:lstStyle/>
                  <a:p>
                    <a:fld id="{47EFE087-512E-4F26-85BA-4B2A6E093D8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D2-4D15-994A-C748E5A16F62}"/>
                </c:ext>
              </c:extLst>
            </c:dLbl>
            <c:dLbl>
              <c:idx val="7"/>
              <c:tx>
                <c:rich>
                  <a:bodyPr/>
                  <a:lstStyle/>
                  <a:p>
                    <a:fld id="{B36EF5D7-7B9C-425C-80F3-62FA512E4E3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D2-4D15-994A-C748E5A16F62}"/>
                </c:ext>
              </c:extLst>
            </c:dLbl>
            <c:dLbl>
              <c:idx val="8"/>
              <c:tx>
                <c:rich>
                  <a:bodyPr/>
                  <a:lstStyle/>
                  <a:p>
                    <a:fld id="{808F6A3B-C68A-459C-B412-D82BF377344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D2-4D15-994A-C748E5A16F62}"/>
                </c:ext>
              </c:extLst>
            </c:dLbl>
            <c:dLbl>
              <c:idx val="9"/>
              <c:tx>
                <c:rich>
                  <a:bodyPr/>
                  <a:lstStyle/>
                  <a:p>
                    <a:fld id="{BA1133B3-5127-4732-A529-65D0916589C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D2-4D15-994A-C748E5A16F62}"/>
                </c:ext>
              </c:extLst>
            </c:dLbl>
            <c:dLbl>
              <c:idx val="10"/>
              <c:tx>
                <c:rich>
                  <a:bodyPr/>
                  <a:lstStyle/>
                  <a:p>
                    <a:fld id="{D36A8111-C675-43B9-8AB2-511D9415BE7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D2-4D15-994A-C748E5A16F62}"/>
                </c:ext>
              </c:extLst>
            </c:dLbl>
            <c:dLbl>
              <c:idx val="11"/>
              <c:tx>
                <c:rich>
                  <a:bodyPr/>
                  <a:lstStyle/>
                  <a:p>
                    <a:fld id="{0D7443F3-14CC-4CC1-9B12-2772BBFF42B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D2-4D15-994A-C748E5A16F6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08D2-4D15-994A-C748E5A16F62}"/>
                </c:ext>
              </c:extLst>
            </c:dLbl>
            <c:dLbl>
              <c:idx val="13"/>
              <c:tx>
                <c:rich>
                  <a:bodyPr/>
                  <a:lstStyle/>
                  <a:p>
                    <a:fld id="{1C4F3FCA-58F4-47FC-9FFB-C0BBEE91DD6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8D2-4D15-994A-C748E5A16F62}"/>
                </c:ext>
              </c:extLst>
            </c:dLbl>
            <c:dLbl>
              <c:idx val="14"/>
              <c:tx>
                <c:rich>
                  <a:bodyPr/>
                  <a:lstStyle/>
                  <a:p>
                    <a:fld id="{927FB23F-B25E-4CCD-A8C8-E9110C29BCB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D2-4D15-994A-C748E5A16F62}"/>
                </c:ext>
              </c:extLst>
            </c:dLbl>
            <c:dLbl>
              <c:idx val="15"/>
              <c:tx>
                <c:rich>
                  <a:bodyPr/>
                  <a:lstStyle/>
                  <a:p>
                    <a:fld id="{7E29BE74-983F-479D-8AF2-080079E24B8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8D2-4D15-994A-C748E5A16F62}"/>
                </c:ext>
              </c:extLst>
            </c:dLbl>
            <c:dLbl>
              <c:idx val="16"/>
              <c:tx>
                <c:rich>
                  <a:bodyPr/>
                  <a:lstStyle/>
                  <a:p>
                    <a:fld id="{CC621493-B42C-4D74-9BA1-F064F91483B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8D2-4D15-994A-C748E5A16F62}"/>
                </c:ext>
              </c:extLst>
            </c:dLbl>
            <c:dLbl>
              <c:idx val="17"/>
              <c:tx>
                <c:rich>
                  <a:bodyPr/>
                  <a:lstStyle/>
                  <a:p>
                    <a:fld id="{B46424CB-244A-4BF2-BF10-62F9EF49A96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8D2-4D15-994A-C748E5A16F62}"/>
                </c:ext>
              </c:extLst>
            </c:dLbl>
            <c:dLbl>
              <c:idx val="18"/>
              <c:tx>
                <c:rich>
                  <a:bodyPr/>
                  <a:lstStyle/>
                  <a:p>
                    <a:fld id="{5D87E28C-55C1-4417-9CF4-FD6079F131C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8D2-4D15-994A-C748E5A16F62}"/>
                </c:ext>
              </c:extLst>
            </c:dLbl>
            <c:dLbl>
              <c:idx val="19"/>
              <c:tx>
                <c:rich>
                  <a:bodyPr/>
                  <a:lstStyle/>
                  <a:p>
                    <a:fld id="{689871E6-B502-4FA3-84B0-8F300E22DE1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8D2-4D15-994A-C748E5A16F62}"/>
                </c:ext>
              </c:extLst>
            </c:dLbl>
            <c:dLbl>
              <c:idx val="20"/>
              <c:tx>
                <c:rich>
                  <a:bodyPr/>
                  <a:lstStyle/>
                  <a:p>
                    <a:fld id="{94853C33-2D84-4174-B5CC-1C385A33415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8D2-4D15-994A-C748E5A16F62}"/>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'R1'!$B$54:$V$54</c:f>
                <c:numCache>
                  <c:formatCode>General</c:formatCode>
                  <c:ptCount val="21"/>
                  <c:pt idx="0">
                    <c:v>3.916239573199333E-2</c:v>
                  </c:pt>
                  <c:pt idx="1">
                    <c:v>2.9455011774153567E-2</c:v>
                  </c:pt>
                  <c:pt idx="2">
                    <c:v>3.6927202774500845E-2</c:v>
                  </c:pt>
                  <c:pt idx="3">
                    <c:v>0.67427353778213017</c:v>
                  </c:pt>
                  <c:pt idx="4">
                    <c:v>0.19967378984072198</c:v>
                  </c:pt>
                  <c:pt idx="5">
                    <c:v>0.62907972334296947</c:v>
                  </c:pt>
                  <c:pt idx="6">
                    <c:v>0.44826426073168224</c:v>
                  </c:pt>
                  <c:pt idx="7">
                    <c:v>3.529637045069102E-2</c:v>
                  </c:pt>
                  <c:pt idx="8">
                    <c:v>1.0602557280867193E-2</c:v>
                  </c:pt>
                  <c:pt idx="9">
                    <c:v>9.548156140652006E-3</c:v>
                  </c:pt>
                  <c:pt idx="10">
                    <c:v>3.6046809282945652E-2</c:v>
                  </c:pt>
                  <c:pt idx="11">
                    <c:v>3.332607958892321E-2</c:v>
                  </c:pt>
                  <c:pt idx="13">
                    <c:v>0.26593701971277711</c:v>
                  </c:pt>
                  <c:pt idx="14">
                    <c:v>0.20474921078101291</c:v>
                  </c:pt>
                  <c:pt idx="15">
                    <c:v>7.7108795061826316E-2</c:v>
                  </c:pt>
                  <c:pt idx="16">
                    <c:v>0.20765719533217528</c:v>
                  </c:pt>
                  <c:pt idx="17">
                    <c:v>0.26677238413900689</c:v>
                  </c:pt>
                  <c:pt idx="18">
                    <c:v>0.16377647060831244</c:v>
                  </c:pt>
                  <c:pt idx="19">
                    <c:v>5.1364820901344976E-2</c:v>
                  </c:pt>
                  <c:pt idx="20">
                    <c:v>2.6256428072375305E-2</c:v>
                  </c:pt>
                </c:numCache>
              </c:numRef>
            </c:plus>
            <c:minus>
              <c:numRef>
                <c:f>'R1'!$N$48:$V$48</c:f>
                <c:numCache>
                  <c:formatCode>General</c:formatCode>
                  <c:ptCount val="9"/>
                  <c:pt idx="0">
                    <c:v>0</c:v>
                  </c:pt>
                  <c:pt idx="1">
                    <c:v>0.26593701971277711</c:v>
                  </c:pt>
                  <c:pt idx="2">
                    <c:v>0.20474921078101291</c:v>
                  </c:pt>
                  <c:pt idx="3">
                    <c:v>7.7108795061826316E-2</c:v>
                  </c:pt>
                  <c:pt idx="4">
                    <c:v>0.20765719533217528</c:v>
                  </c:pt>
                  <c:pt idx="5">
                    <c:v>0.26677238413900689</c:v>
                  </c:pt>
                  <c:pt idx="6">
                    <c:v>0.16377647060831244</c:v>
                  </c:pt>
                  <c:pt idx="7">
                    <c:v>5.1364820901344976E-2</c:v>
                  </c:pt>
                  <c:pt idx="8">
                    <c:v>2.6256428072375305E-2</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Fadrozole 0,016µg/L</c:v>
                </c:pt>
                <c:pt idx="8">
                  <c:v>Fadrozole 0,08µg/L</c:v>
                </c:pt>
                <c:pt idx="9">
                  <c:v>Fadrozole 0,4µg/L</c:v>
                </c:pt>
                <c:pt idx="10">
                  <c:v>Fadrozole 2µg/L</c:v>
                </c:pt>
                <c:pt idx="11">
                  <c:v>Fadrozole 10µg/L</c:v>
                </c:pt>
                <c:pt idx="13">
                  <c:v>Testo -30µg/L</c:v>
                </c:pt>
                <c:pt idx="14">
                  <c:v>Testo 30µg/L + EE2 -64ng/L</c:v>
                </c:pt>
                <c:pt idx="15">
                  <c:v>Testo 30µg/L + FAD-10µg/L</c:v>
                </c:pt>
                <c:pt idx="16">
                  <c:v>Fadrozole-0,016 µg/L + Testostérone</c:v>
                </c:pt>
                <c:pt idx="17">
                  <c:v>Fadrozole-0,08µg/L + Testostérone</c:v>
                </c:pt>
                <c:pt idx="18">
                  <c:v>Fadrozole-0,4µg/L + Testostérone</c:v>
                </c:pt>
                <c:pt idx="19">
                  <c:v>Fadrozole-2µg/L + Testostérone</c:v>
                </c:pt>
                <c:pt idx="20">
                  <c:v>Fadrozole-10 µg/L + Testostérone</c:v>
                </c:pt>
              </c:strCache>
            </c:strRef>
          </c:cat>
          <c:val>
            <c:numRef>
              <c:f>'R1'!$B$53:$V$53</c:f>
              <c:numCache>
                <c:formatCode>0.0000</c:formatCode>
                <c:ptCount val="21"/>
                <c:pt idx="0">
                  <c:v>0.16627901669301517</c:v>
                </c:pt>
                <c:pt idx="1">
                  <c:v>9.6109229494264939E-2</c:v>
                </c:pt>
                <c:pt idx="2">
                  <c:v>0.12450629513151024</c:v>
                </c:pt>
                <c:pt idx="3">
                  <c:v>0.81261900711246149</c:v>
                </c:pt>
                <c:pt idx="4">
                  <c:v>1.4286219834697862</c:v>
                </c:pt>
                <c:pt idx="5">
                  <c:v>2.8567293997736694</c:v>
                </c:pt>
                <c:pt idx="6">
                  <c:v>4.0711227729513793</c:v>
                </c:pt>
                <c:pt idx="7">
                  <c:v>9.5460421376652768E-2</c:v>
                </c:pt>
                <c:pt idx="8">
                  <c:v>4.3304860142265901E-2</c:v>
                </c:pt>
                <c:pt idx="9">
                  <c:v>3.6664724872110407E-2</c:v>
                </c:pt>
                <c:pt idx="10">
                  <c:v>0.10770864081331545</c:v>
                </c:pt>
                <c:pt idx="11">
                  <c:v>0.10741203289570009</c:v>
                </c:pt>
                <c:pt idx="13">
                  <c:v>1.0000000000000002</c:v>
                </c:pt>
                <c:pt idx="14">
                  <c:v>2.3781048493710446</c:v>
                </c:pt>
                <c:pt idx="15">
                  <c:v>0.14694361461610345</c:v>
                </c:pt>
                <c:pt idx="16">
                  <c:v>1.3596148597233273</c:v>
                </c:pt>
                <c:pt idx="17">
                  <c:v>0.99058795922207143</c:v>
                </c:pt>
                <c:pt idx="18">
                  <c:v>0.49304423702917211</c:v>
                </c:pt>
                <c:pt idx="19">
                  <c:v>0.1050537534139903</c:v>
                </c:pt>
                <c:pt idx="20">
                  <c:v>4.3696193697817888E-2</c:v>
                </c:pt>
              </c:numCache>
            </c:numRef>
          </c:val>
          <c:extLst>
            <c:ext xmlns:c15="http://schemas.microsoft.com/office/drawing/2012/chart" uri="{02D57815-91ED-43cb-92C2-25804820EDAC}">
              <c15:datalabelsRange>
                <c15:f>'R1'!$B$61:$V$61</c15:f>
                <c15:dlblRangeCache>
                  <c:ptCount val="21"/>
                  <c:pt idx="1">
                    <c:v>NS</c:v>
                  </c:pt>
                  <c:pt idx="2">
                    <c:v>NS</c:v>
                  </c:pt>
                  <c:pt idx="3">
                    <c:v>NS</c:v>
                  </c:pt>
                  <c:pt idx="4">
                    <c:v>NS</c:v>
                  </c:pt>
                  <c:pt idx="5">
                    <c:v>*</c:v>
                  </c:pt>
                  <c:pt idx="6">
                    <c:v>**</c:v>
                  </c:pt>
                  <c:pt idx="7">
                    <c:v>NS</c:v>
                  </c:pt>
                  <c:pt idx="8">
                    <c:v>NS</c:v>
                  </c:pt>
                  <c:pt idx="9">
                    <c:v>*</c:v>
                  </c:pt>
                  <c:pt idx="10">
                    <c:v>NS</c:v>
                  </c:pt>
                  <c:pt idx="11">
                    <c:v>NS</c:v>
                  </c:pt>
                  <c:pt idx="13">
                    <c:v>*</c:v>
                  </c:pt>
                  <c:pt idx="14">
                    <c:v>**</c:v>
                  </c:pt>
                  <c:pt idx="15">
                    <c:v>**</c:v>
                  </c:pt>
                  <c:pt idx="16">
                    <c:v>NS</c:v>
                  </c:pt>
                  <c:pt idx="17">
                    <c:v>NS</c:v>
                  </c:pt>
                  <c:pt idx="18">
                    <c:v>NS</c:v>
                  </c:pt>
                  <c:pt idx="19">
                    <c:v>*</c:v>
                  </c:pt>
                  <c:pt idx="20">
                    <c:v>***</c:v>
                  </c:pt>
                </c15:dlblRangeCache>
              </c15:datalabelsRange>
            </c:ext>
            <c:ext xmlns:c16="http://schemas.microsoft.com/office/drawing/2014/chart" uri="{C3380CC4-5D6E-409C-BE32-E72D297353CC}">
              <c16:uniqueId val="{00000000-4E48-433F-93CE-959A7E8575BB}"/>
            </c:ext>
          </c:extLst>
        </c:ser>
        <c:dLbls>
          <c:showLegendKey val="0"/>
          <c:showVal val="1"/>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4.5999999999999996"/>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329F-40EE-A9F1-9842ED76DFFF}"/>
              </c:ext>
            </c:extLst>
          </c:dPt>
          <c:dPt>
            <c:idx val="1"/>
            <c:invertIfNegative val="0"/>
            <c:bubble3D val="0"/>
            <c:spPr>
              <a:solidFill>
                <a:srgbClr val="FF0000"/>
              </a:solidFill>
            </c:spPr>
            <c:extLst>
              <c:ext xmlns:c16="http://schemas.microsoft.com/office/drawing/2014/chart" uri="{C3380CC4-5D6E-409C-BE32-E72D297353CC}">
                <c16:uniqueId val="{00000018-329F-40EE-A9F1-9842ED76DFFF}"/>
              </c:ext>
            </c:extLst>
          </c:dPt>
          <c:dPt>
            <c:idx val="2"/>
            <c:invertIfNegative val="0"/>
            <c:bubble3D val="0"/>
            <c:spPr>
              <a:solidFill>
                <a:srgbClr val="FF0000"/>
              </a:solidFill>
            </c:spPr>
            <c:extLst>
              <c:ext xmlns:c16="http://schemas.microsoft.com/office/drawing/2014/chart" uri="{C3380CC4-5D6E-409C-BE32-E72D297353CC}">
                <c16:uniqueId val="{00000019-329F-40EE-A9F1-9842ED76DFFF}"/>
              </c:ext>
            </c:extLst>
          </c:dPt>
          <c:dPt>
            <c:idx val="3"/>
            <c:invertIfNegative val="0"/>
            <c:bubble3D val="0"/>
            <c:spPr>
              <a:solidFill>
                <a:srgbClr val="FF0000"/>
              </a:solidFill>
            </c:spPr>
            <c:extLst>
              <c:ext xmlns:c16="http://schemas.microsoft.com/office/drawing/2014/chart" uri="{C3380CC4-5D6E-409C-BE32-E72D297353CC}">
                <c16:uniqueId val="{0000001A-329F-40EE-A9F1-9842ED76DFFF}"/>
              </c:ext>
            </c:extLst>
          </c:dPt>
          <c:dPt>
            <c:idx val="4"/>
            <c:invertIfNegative val="0"/>
            <c:bubble3D val="0"/>
            <c:spPr>
              <a:solidFill>
                <a:srgbClr val="FF0000"/>
              </a:solidFill>
            </c:spPr>
            <c:extLst>
              <c:ext xmlns:c16="http://schemas.microsoft.com/office/drawing/2014/chart" uri="{C3380CC4-5D6E-409C-BE32-E72D297353CC}">
                <c16:uniqueId val="{0000001B-329F-40EE-A9F1-9842ED76DFFF}"/>
              </c:ext>
            </c:extLst>
          </c:dPt>
          <c:dPt>
            <c:idx val="5"/>
            <c:invertIfNegative val="0"/>
            <c:bubble3D val="0"/>
            <c:spPr>
              <a:solidFill>
                <a:srgbClr val="FF0000"/>
              </a:solidFill>
            </c:spPr>
            <c:extLst>
              <c:ext xmlns:c16="http://schemas.microsoft.com/office/drawing/2014/chart" uri="{C3380CC4-5D6E-409C-BE32-E72D297353CC}">
                <c16:uniqueId val="{0000001C-329F-40EE-A9F1-9842ED76DFFF}"/>
              </c:ext>
            </c:extLst>
          </c:dPt>
          <c:dPt>
            <c:idx val="6"/>
            <c:invertIfNegative val="0"/>
            <c:bubble3D val="0"/>
            <c:spPr>
              <a:solidFill>
                <a:srgbClr val="FF0000"/>
              </a:solidFill>
            </c:spPr>
            <c:extLst>
              <c:ext xmlns:c16="http://schemas.microsoft.com/office/drawing/2014/chart" uri="{C3380CC4-5D6E-409C-BE32-E72D297353CC}">
                <c16:uniqueId val="{0000001D-329F-40EE-A9F1-9842ED76DFFF}"/>
              </c:ext>
            </c:extLst>
          </c:dPt>
          <c:dPt>
            <c:idx val="7"/>
            <c:invertIfNegative val="0"/>
            <c:bubble3D val="0"/>
            <c:spPr>
              <a:solidFill>
                <a:schemeClr val="bg1">
                  <a:lumMod val="65000"/>
                </a:schemeClr>
              </a:solidFill>
            </c:spPr>
            <c:extLst>
              <c:ext xmlns:c16="http://schemas.microsoft.com/office/drawing/2014/chart" uri="{C3380CC4-5D6E-409C-BE32-E72D297353CC}">
                <c16:uniqueId val="{0000001E-329F-40EE-A9F1-9842ED76DFFF}"/>
              </c:ext>
            </c:extLst>
          </c:dPt>
          <c:dPt>
            <c:idx val="8"/>
            <c:invertIfNegative val="0"/>
            <c:bubble3D val="0"/>
            <c:spPr>
              <a:solidFill>
                <a:schemeClr val="bg1">
                  <a:lumMod val="65000"/>
                </a:schemeClr>
              </a:solidFill>
            </c:spPr>
            <c:extLst>
              <c:ext xmlns:c16="http://schemas.microsoft.com/office/drawing/2014/chart" uri="{C3380CC4-5D6E-409C-BE32-E72D297353CC}">
                <c16:uniqueId val="{0000001F-329F-40EE-A9F1-9842ED76DFFF}"/>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20-329F-40EE-A9F1-9842ED76DFFF}"/>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329F-40EE-A9F1-9842ED76DFFF}"/>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329F-40EE-A9F1-9842ED76DFFF}"/>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329F-40EE-A9F1-9842ED76DFFF}"/>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329F-40EE-A9F1-9842ED76DFFF}"/>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329F-40EE-A9F1-9842ED76DFFF}"/>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329F-40EE-A9F1-9842ED76DFFF}"/>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AE45132F-46FD-492B-98B7-D5A4E78AE4D6}"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329F-40EE-A9F1-9842ED76DFFF}"/>
                </c:ext>
              </c:extLst>
            </c:dLbl>
            <c:dLbl>
              <c:idx val="1"/>
              <c:tx>
                <c:rich>
                  <a:bodyPr/>
                  <a:lstStyle/>
                  <a:p>
                    <a:fld id="{5A75CD49-54F2-4EF0-8C45-F09DC9B13DF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29F-40EE-A9F1-9842ED76DFFF}"/>
                </c:ext>
              </c:extLst>
            </c:dLbl>
            <c:dLbl>
              <c:idx val="2"/>
              <c:tx>
                <c:rich>
                  <a:bodyPr/>
                  <a:lstStyle/>
                  <a:p>
                    <a:fld id="{3E02A7D0-7153-4530-94F3-816E555A943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329F-40EE-A9F1-9842ED76DFFF}"/>
                </c:ext>
              </c:extLst>
            </c:dLbl>
            <c:dLbl>
              <c:idx val="3"/>
              <c:tx>
                <c:rich>
                  <a:bodyPr/>
                  <a:lstStyle/>
                  <a:p>
                    <a:fld id="{0727E639-635D-4105-8D8B-8ABFCF182B1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329F-40EE-A9F1-9842ED76DFFF}"/>
                </c:ext>
              </c:extLst>
            </c:dLbl>
            <c:dLbl>
              <c:idx val="4"/>
              <c:tx>
                <c:rich>
                  <a:bodyPr/>
                  <a:lstStyle/>
                  <a:p>
                    <a:fld id="{D19606DC-756F-40D9-8345-DE5CCFA955E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329F-40EE-A9F1-9842ED76DFFF}"/>
                </c:ext>
              </c:extLst>
            </c:dLbl>
            <c:dLbl>
              <c:idx val="5"/>
              <c:tx>
                <c:rich>
                  <a:bodyPr/>
                  <a:lstStyle/>
                  <a:p>
                    <a:fld id="{2FE3D476-56CC-48CF-B9FC-E1C71EA558D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329F-40EE-A9F1-9842ED76DFFF}"/>
                </c:ext>
              </c:extLst>
            </c:dLbl>
            <c:dLbl>
              <c:idx val="6"/>
              <c:tx>
                <c:rich>
                  <a:bodyPr/>
                  <a:lstStyle/>
                  <a:p>
                    <a:fld id="{4BBFC369-C736-4AF5-AF04-B8B06DF22D0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329F-40EE-A9F1-9842ED76DFFF}"/>
                </c:ext>
              </c:extLst>
            </c:dLbl>
            <c:dLbl>
              <c:idx val="7"/>
              <c:tx>
                <c:rich>
                  <a:bodyPr/>
                  <a:lstStyle/>
                  <a:p>
                    <a:fld id="{68E0393B-CD99-47ED-A5B8-95F93963B13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329F-40EE-A9F1-9842ED76DFFF}"/>
                </c:ext>
              </c:extLst>
            </c:dLbl>
            <c:dLbl>
              <c:idx val="8"/>
              <c:tx>
                <c:rich>
                  <a:bodyPr/>
                  <a:lstStyle/>
                  <a:p>
                    <a:fld id="{B6E5780E-05B8-448A-85BF-3B3893C330F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329F-40EE-A9F1-9842ED76DFFF}"/>
                </c:ext>
              </c:extLst>
            </c:dLbl>
            <c:dLbl>
              <c:idx val="9"/>
              <c:tx>
                <c:rich>
                  <a:bodyPr/>
                  <a:lstStyle/>
                  <a:p>
                    <a:fld id="{88C80BF7-CF37-4A01-A01A-5691C0B50AE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CDD671A9-96D0-42B0-9F6E-09A5DC30990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329F-40EE-A9F1-9842ED76DFFF}"/>
                </c:ext>
              </c:extLst>
            </c:dLbl>
            <c:dLbl>
              <c:idx val="11"/>
              <c:tx>
                <c:rich>
                  <a:bodyPr/>
                  <a:lstStyle/>
                  <a:p>
                    <a:fld id="{B518188F-D3AB-4D40-B40E-E797FAED162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329F-40EE-A9F1-9842ED76DFFF}"/>
                </c:ext>
              </c:extLst>
            </c:dLbl>
            <c:dLbl>
              <c:idx val="13"/>
              <c:tx>
                <c:rich>
                  <a:bodyPr/>
                  <a:lstStyle/>
                  <a:p>
                    <a:fld id="{64705553-67C6-431E-97B0-1334B6E4D7C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E443280A-6A1E-4582-9045-D89F4B8809F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329F-40EE-A9F1-9842ED76DFFF}"/>
                </c:ext>
              </c:extLst>
            </c:dLbl>
            <c:dLbl>
              <c:idx val="15"/>
              <c:tx>
                <c:rich>
                  <a:bodyPr/>
                  <a:lstStyle/>
                  <a:p>
                    <a:fld id="{1AC9F463-3EFC-4265-BE23-F0D3FE05820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DF339E4C-0567-4F32-9455-C9DF3C0C429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329F-40EE-A9F1-9842ED76DFFF}"/>
                </c:ext>
              </c:extLst>
            </c:dLbl>
            <c:dLbl>
              <c:idx val="17"/>
              <c:tx>
                <c:rich>
                  <a:bodyPr/>
                  <a:lstStyle/>
                  <a:p>
                    <a:fld id="{9628A1B5-77B3-4B59-873D-FF710A22AC4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329F-40EE-A9F1-9842ED76DFFF}"/>
                </c:ext>
              </c:extLst>
            </c:dLbl>
            <c:dLbl>
              <c:idx val="18"/>
              <c:tx>
                <c:rich>
                  <a:bodyPr/>
                  <a:lstStyle/>
                  <a:p>
                    <a:fld id="{957F73F8-74AC-4C6A-81A2-8B56E5935AD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329F-40EE-A9F1-9842ED76DFFF}"/>
                </c:ext>
              </c:extLst>
            </c:dLbl>
            <c:dLbl>
              <c:idx val="19"/>
              <c:tx>
                <c:rich>
                  <a:bodyPr/>
                  <a:lstStyle/>
                  <a:p>
                    <a:fld id="{1E07C1FC-0BF6-4930-B80E-431167A9E62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329F-40EE-A9F1-9842ED76DFFF}"/>
                </c:ext>
              </c:extLst>
            </c:dLbl>
            <c:dLbl>
              <c:idx val="20"/>
              <c:tx>
                <c:rich>
                  <a:bodyPr/>
                  <a:lstStyle/>
                  <a:p>
                    <a:fld id="{F1807395-D594-4F96-A33C-0AE51AC42B6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329F-40EE-A9F1-9842ED76DFFF}"/>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'R2'!$B$54:$V$54</c:f>
                <c:numCache>
                  <c:formatCode>General</c:formatCode>
                  <c:ptCount val="21"/>
                  <c:pt idx="0">
                    <c:v>1.3632780284627274E-2</c:v>
                  </c:pt>
                  <c:pt idx="1">
                    <c:v>3.241397204078552E-2</c:v>
                  </c:pt>
                  <c:pt idx="2">
                    <c:v>4.0762163906766943E-2</c:v>
                  </c:pt>
                  <c:pt idx="3">
                    <c:v>0.26568418283828188</c:v>
                  </c:pt>
                  <c:pt idx="4">
                    <c:v>0.14505354005157009</c:v>
                  </c:pt>
                  <c:pt idx="5">
                    <c:v>9.7222165011430911E-2</c:v>
                  </c:pt>
                  <c:pt idx="6">
                    <c:v>0.19202414612997395</c:v>
                  </c:pt>
                  <c:pt idx="7">
                    <c:v>1.8740856245517395E-2</c:v>
                  </c:pt>
                  <c:pt idx="8">
                    <c:v>1.6328805004186289E-2</c:v>
                  </c:pt>
                  <c:pt idx="9">
                    <c:v>2.9578798454891912E-2</c:v>
                  </c:pt>
                  <c:pt idx="10">
                    <c:v>1.2320966193325723E-2</c:v>
                  </c:pt>
                  <c:pt idx="11">
                    <c:v>2.3087951002750139E-2</c:v>
                  </c:pt>
                  <c:pt idx="13">
                    <c:v>0.14309606733155542</c:v>
                  </c:pt>
                  <c:pt idx="14">
                    <c:v>0.26747731336963293</c:v>
                  </c:pt>
                  <c:pt idx="15">
                    <c:v>1.592094800789395E-2</c:v>
                  </c:pt>
                  <c:pt idx="16">
                    <c:v>0.17780021992530903</c:v>
                  </c:pt>
                  <c:pt idx="17">
                    <c:v>9.246085621143954E-2</c:v>
                  </c:pt>
                  <c:pt idx="18">
                    <c:v>5.9793378758934375E-2</c:v>
                  </c:pt>
                  <c:pt idx="19">
                    <c:v>2.7581837686260591E-2</c:v>
                  </c:pt>
                  <c:pt idx="20">
                    <c:v>2.5066381065329602E-2</c:v>
                  </c:pt>
                </c:numCache>
              </c:numRef>
            </c:plus>
            <c:minus>
              <c:numRef>
                <c:f>'R1'!$N$48:$V$48</c:f>
                <c:numCache>
                  <c:formatCode>General</c:formatCode>
                  <c:ptCount val="9"/>
                  <c:pt idx="0">
                    <c:v>0</c:v>
                  </c:pt>
                  <c:pt idx="1">
                    <c:v>0.26593701971277711</c:v>
                  </c:pt>
                  <c:pt idx="2">
                    <c:v>0.20474921078101291</c:v>
                  </c:pt>
                  <c:pt idx="3">
                    <c:v>7.7108795061826316E-2</c:v>
                  </c:pt>
                  <c:pt idx="4">
                    <c:v>0.20765719533217528</c:v>
                  </c:pt>
                  <c:pt idx="5">
                    <c:v>0.26677238413900689</c:v>
                  </c:pt>
                  <c:pt idx="6">
                    <c:v>0.16377647060831244</c:v>
                  </c:pt>
                  <c:pt idx="7">
                    <c:v>5.1364820901344976E-2</c:v>
                  </c:pt>
                  <c:pt idx="8">
                    <c:v>2.6256428072375305E-2</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Fadrozole 0,016µg/L</c:v>
                </c:pt>
                <c:pt idx="8">
                  <c:v>Fadrozole 0,08µg/L</c:v>
                </c:pt>
                <c:pt idx="9">
                  <c:v>Fadrozole 0,4µg/L</c:v>
                </c:pt>
                <c:pt idx="10">
                  <c:v>Fadrozole 2µg/L</c:v>
                </c:pt>
                <c:pt idx="11">
                  <c:v>Fadrozole 10µg/L</c:v>
                </c:pt>
                <c:pt idx="13">
                  <c:v>Testo -30µg/L</c:v>
                </c:pt>
                <c:pt idx="14">
                  <c:v>Testo 30µg/L + EE2 -64ng/L</c:v>
                </c:pt>
                <c:pt idx="15">
                  <c:v>Testo 30µg/L + FAD-10µg/L</c:v>
                </c:pt>
                <c:pt idx="16">
                  <c:v>Fadrozole-0,016 µg/L + Testostérone</c:v>
                </c:pt>
                <c:pt idx="17">
                  <c:v>Fadrozole-0,08µg/L + Testostérone</c:v>
                </c:pt>
                <c:pt idx="18">
                  <c:v>Fadrozole-0,4µg/L + Testostérone</c:v>
                </c:pt>
                <c:pt idx="19">
                  <c:v>Fadrozole-2µg/L + Testostérone</c:v>
                </c:pt>
                <c:pt idx="20">
                  <c:v>Fadrozole-10 µg/L + Testostérone</c:v>
                </c:pt>
              </c:strCache>
            </c:strRef>
          </c:cat>
          <c:val>
            <c:numRef>
              <c:f>'R2'!$B$53:$V$53</c:f>
              <c:numCache>
                <c:formatCode>0.0000</c:formatCode>
                <c:ptCount val="21"/>
                <c:pt idx="0">
                  <c:v>5.3507702133659643E-2</c:v>
                </c:pt>
                <c:pt idx="1">
                  <c:v>0.13313108368157905</c:v>
                </c:pt>
                <c:pt idx="2">
                  <c:v>0.11354376487729459</c:v>
                </c:pt>
                <c:pt idx="3">
                  <c:v>0.53614720979425978</c:v>
                </c:pt>
                <c:pt idx="4">
                  <c:v>0.5476527568431242</c:v>
                </c:pt>
                <c:pt idx="5">
                  <c:v>0.97324164781472366</c:v>
                </c:pt>
                <c:pt idx="6">
                  <c:v>2.8759146247777552</c:v>
                </c:pt>
                <c:pt idx="7">
                  <c:v>0.10346432068010976</c:v>
                </c:pt>
                <c:pt idx="8">
                  <c:v>7.37492770701135E-2</c:v>
                </c:pt>
                <c:pt idx="9">
                  <c:v>8.7906897598133471E-2</c:v>
                </c:pt>
                <c:pt idx="10">
                  <c:v>8.8833847244230088E-2</c:v>
                </c:pt>
                <c:pt idx="11">
                  <c:v>0.10101918997057345</c:v>
                </c:pt>
                <c:pt idx="13">
                  <c:v>0.99999999999999989</c:v>
                </c:pt>
                <c:pt idx="14">
                  <c:v>1.4076252312941244</c:v>
                </c:pt>
                <c:pt idx="15">
                  <c:v>7.4830460211466901E-2</c:v>
                </c:pt>
                <c:pt idx="16">
                  <c:v>0.57421720772872653</c:v>
                </c:pt>
                <c:pt idx="17">
                  <c:v>0.7509361896181187</c:v>
                </c:pt>
                <c:pt idx="18">
                  <c:v>0.13320196044810168</c:v>
                </c:pt>
                <c:pt idx="19">
                  <c:v>8.863872330674874E-2</c:v>
                </c:pt>
                <c:pt idx="20">
                  <c:v>0.12022273635198624</c:v>
                </c:pt>
              </c:numCache>
            </c:numRef>
          </c:val>
          <c:extLst>
            <c:ext xmlns:c15="http://schemas.microsoft.com/office/drawing/2012/chart" uri="{02D57815-91ED-43cb-92C2-25804820EDAC}">
              <c15:datalabelsRange>
                <c15:f>'R2'!$B$61:$V$61</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NS</c:v>
                  </c:pt>
                  <c:pt idx="15">
                    <c:v>***</c:v>
                  </c:pt>
                  <c:pt idx="16">
                    <c:v>NS</c:v>
                  </c:pt>
                  <c:pt idx="17">
                    <c:v>NS</c:v>
                  </c:pt>
                  <c:pt idx="18">
                    <c:v>***</c:v>
                  </c:pt>
                  <c:pt idx="19">
                    <c:v>***</c:v>
                  </c:pt>
                  <c:pt idx="20">
                    <c:v>***</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max val="4.5999999999999996"/>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5A1C-4A24-883B-F3F52FEBD93E}"/>
              </c:ext>
            </c:extLst>
          </c:dPt>
          <c:dPt>
            <c:idx val="1"/>
            <c:invertIfNegative val="0"/>
            <c:bubble3D val="0"/>
            <c:spPr>
              <a:solidFill>
                <a:srgbClr val="FF0000"/>
              </a:solidFill>
            </c:spPr>
            <c:extLst>
              <c:ext xmlns:c16="http://schemas.microsoft.com/office/drawing/2014/chart" uri="{C3380CC4-5D6E-409C-BE32-E72D297353CC}">
                <c16:uniqueId val="{00000018-5A1C-4A24-883B-F3F52FEBD93E}"/>
              </c:ext>
            </c:extLst>
          </c:dPt>
          <c:dPt>
            <c:idx val="2"/>
            <c:invertIfNegative val="0"/>
            <c:bubble3D val="0"/>
            <c:spPr>
              <a:solidFill>
                <a:srgbClr val="FF0000"/>
              </a:solidFill>
            </c:spPr>
            <c:extLst>
              <c:ext xmlns:c16="http://schemas.microsoft.com/office/drawing/2014/chart" uri="{C3380CC4-5D6E-409C-BE32-E72D297353CC}">
                <c16:uniqueId val="{00000019-5A1C-4A24-883B-F3F52FEBD93E}"/>
              </c:ext>
            </c:extLst>
          </c:dPt>
          <c:dPt>
            <c:idx val="3"/>
            <c:invertIfNegative val="0"/>
            <c:bubble3D val="0"/>
            <c:spPr>
              <a:solidFill>
                <a:srgbClr val="FF0000"/>
              </a:solidFill>
            </c:spPr>
            <c:extLst>
              <c:ext xmlns:c16="http://schemas.microsoft.com/office/drawing/2014/chart" uri="{C3380CC4-5D6E-409C-BE32-E72D297353CC}">
                <c16:uniqueId val="{0000001A-5A1C-4A24-883B-F3F52FEBD93E}"/>
              </c:ext>
            </c:extLst>
          </c:dPt>
          <c:dPt>
            <c:idx val="4"/>
            <c:invertIfNegative val="0"/>
            <c:bubble3D val="0"/>
            <c:spPr>
              <a:solidFill>
                <a:srgbClr val="FF0000"/>
              </a:solidFill>
            </c:spPr>
            <c:extLst>
              <c:ext xmlns:c16="http://schemas.microsoft.com/office/drawing/2014/chart" uri="{C3380CC4-5D6E-409C-BE32-E72D297353CC}">
                <c16:uniqueId val="{0000001B-5A1C-4A24-883B-F3F52FEBD93E}"/>
              </c:ext>
            </c:extLst>
          </c:dPt>
          <c:dPt>
            <c:idx val="5"/>
            <c:invertIfNegative val="0"/>
            <c:bubble3D val="0"/>
            <c:spPr>
              <a:solidFill>
                <a:srgbClr val="FF0000"/>
              </a:solidFill>
            </c:spPr>
            <c:extLst>
              <c:ext xmlns:c16="http://schemas.microsoft.com/office/drawing/2014/chart" uri="{C3380CC4-5D6E-409C-BE32-E72D297353CC}">
                <c16:uniqueId val="{0000001C-5A1C-4A24-883B-F3F52FEBD93E}"/>
              </c:ext>
            </c:extLst>
          </c:dPt>
          <c:dPt>
            <c:idx val="6"/>
            <c:invertIfNegative val="0"/>
            <c:bubble3D val="0"/>
            <c:spPr>
              <a:solidFill>
                <a:srgbClr val="FF0000"/>
              </a:solidFill>
            </c:spPr>
            <c:extLst>
              <c:ext xmlns:c16="http://schemas.microsoft.com/office/drawing/2014/chart" uri="{C3380CC4-5D6E-409C-BE32-E72D297353CC}">
                <c16:uniqueId val="{0000001D-5A1C-4A24-883B-F3F52FEBD93E}"/>
              </c:ext>
            </c:extLst>
          </c:dPt>
          <c:dPt>
            <c:idx val="7"/>
            <c:invertIfNegative val="0"/>
            <c:bubble3D val="0"/>
            <c:spPr>
              <a:solidFill>
                <a:schemeClr val="bg1">
                  <a:lumMod val="65000"/>
                </a:schemeClr>
              </a:solidFill>
            </c:spPr>
            <c:extLst>
              <c:ext xmlns:c16="http://schemas.microsoft.com/office/drawing/2014/chart" uri="{C3380CC4-5D6E-409C-BE32-E72D297353CC}">
                <c16:uniqueId val="{0000001E-5A1C-4A24-883B-F3F52FEBD93E}"/>
              </c:ext>
            </c:extLst>
          </c:dPt>
          <c:dPt>
            <c:idx val="8"/>
            <c:invertIfNegative val="0"/>
            <c:bubble3D val="0"/>
            <c:spPr>
              <a:solidFill>
                <a:schemeClr val="bg1">
                  <a:lumMod val="65000"/>
                </a:schemeClr>
              </a:solidFill>
            </c:spPr>
            <c:extLst>
              <c:ext xmlns:c16="http://schemas.microsoft.com/office/drawing/2014/chart" uri="{C3380CC4-5D6E-409C-BE32-E72D297353CC}">
                <c16:uniqueId val="{0000001F-5A1C-4A24-883B-F3F52FEBD93E}"/>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20-5A1C-4A24-883B-F3F52FEBD93E}"/>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5A1C-4A24-883B-F3F52FEBD93E}"/>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5A1C-4A24-883B-F3F52FEBD93E}"/>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5A1C-4A24-883B-F3F52FEBD93E}"/>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5A1C-4A24-883B-F3F52FEBD93E}"/>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5A1C-4A24-883B-F3F52FEBD93E}"/>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5A1C-4A24-883B-F3F52FEBD93E}"/>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690407F6-7ABE-42D3-9016-F4EEE3488FF6}"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5A1C-4A24-883B-F3F52FEBD93E}"/>
                </c:ext>
              </c:extLst>
            </c:dLbl>
            <c:dLbl>
              <c:idx val="1"/>
              <c:tx>
                <c:rich>
                  <a:bodyPr/>
                  <a:lstStyle/>
                  <a:p>
                    <a:fld id="{74613FD1-C034-4604-9E60-D91E2E2856A2}"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5A1C-4A24-883B-F3F52FEBD93E}"/>
                </c:ext>
              </c:extLst>
            </c:dLbl>
            <c:dLbl>
              <c:idx val="2"/>
              <c:tx>
                <c:rich>
                  <a:bodyPr/>
                  <a:lstStyle/>
                  <a:p>
                    <a:fld id="{9643275B-B8BE-411B-BB25-375E2FFB153A}"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5A1C-4A24-883B-F3F52FEBD93E}"/>
                </c:ext>
              </c:extLst>
            </c:dLbl>
            <c:dLbl>
              <c:idx val="3"/>
              <c:tx>
                <c:rich>
                  <a:bodyPr/>
                  <a:lstStyle/>
                  <a:p>
                    <a:fld id="{4924D215-32B6-443C-A278-EDAAB77DEBFF}"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5A1C-4A24-883B-F3F52FEBD93E}"/>
                </c:ext>
              </c:extLst>
            </c:dLbl>
            <c:dLbl>
              <c:idx val="4"/>
              <c:tx>
                <c:rich>
                  <a:bodyPr/>
                  <a:lstStyle/>
                  <a:p>
                    <a:fld id="{67D7F914-C71C-41F5-82B3-98A3BEC2A364}"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5A1C-4A24-883B-F3F52FEBD93E}"/>
                </c:ext>
              </c:extLst>
            </c:dLbl>
            <c:dLbl>
              <c:idx val="5"/>
              <c:tx>
                <c:rich>
                  <a:bodyPr/>
                  <a:lstStyle/>
                  <a:p>
                    <a:fld id="{FDCBC53D-3C75-4B65-8695-AB74B0012A0A}"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5A1C-4A24-883B-F3F52FEBD93E}"/>
                </c:ext>
              </c:extLst>
            </c:dLbl>
            <c:dLbl>
              <c:idx val="6"/>
              <c:tx>
                <c:rich>
                  <a:bodyPr/>
                  <a:lstStyle/>
                  <a:p>
                    <a:fld id="{42FCB58C-BFCD-497B-A6F6-D7E68581F6CF}"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5A1C-4A24-883B-F3F52FEBD93E}"/>
                </c:ext>
              </c:extLst>
            </c:dLbl>
            <c:dLbl>
              <c:idx val="7"/>
              <c:tx>
                <c:rich>
                  <a:bodyPr/>
                  <a:lstStyle/>
                  <a:p>
                    <a:fld id="{1B2540EE-404B-4064-8174-9964D4DB04EF}"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5A1C-4A24-883B-F3F52FEBD93E}"/>
                </c:ext>
              </c:extLst>
            </c:dLbl>
            <c:dLbl>
              <c:idx val="8"/>
              <c:tx>
                <c:rich>
                  <a:bodyPr/>
                  <a:lstStyle/>
                  <a:p>
                    <a:fld id="{BFBF12D6-904F-4D1F-95A4-D1E267E470D2}"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5A1C-4A24-883B-F3F52FEBD93E}"/>
                </c:ext>
              </c:extLst>
            </c:dLbl>
            <c:dLbl>
              <c:idx val="9"/>
              <c:tx>
                <c:rich>
                  <a:bodyPr/>
                  <a:lstStyle/>
                  <a:p>
                    <a:fld id="{4D97B4E6-0202-422A-BDA1-436187D8A7DC}"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ED2-4ACE-91AA-7F8713196E92}"/>
                </c:ext>
              </c:extLst>
            </c:dLbl>
            <c:dLbl>
              <c:idx val="10"/>
              <c:tx>
                <c:rich>
                  <a:bodyPr/>
                  <a:lstStyle/>
                  <a:p>
                    <a:fld id="{413CC50E-682B-46A8-9A26-E9B96951DE94}"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5A1C-4A24-883B-F3F52FEBD93E}"/>
                </c:ext>
              </c:extLst>
            </c:dLbl>
            <c:dLbl>
              <c:idx val="11"/>
              <c:tx>
                <c:rich>
                  <a:bodyPr/>
                  <a:lstStyle/>
                  <a:p>
                    <a:fld id="{4D4A38A5-532E-4BF7-8AFB-A829729EEA43}"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5A1C-4A24-883B-F3F52FEBD93E}"/>
                </c:ext>
              </c:extLst>
            </c:dLbl>
            <c:dLbl>
              <c:idx val="13"/>
              <c:tx>
                <c:rich>
                  <a:bodyPr/>
                  <a:lstStyle/>
                  <a:p>
                    <a:fld id="{8C87D375-E2D1-4B08-9FE3-274D55F69E3F}"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ED2-4ACE-91AA-7F8713196E92}"/>
                </c:ext>
              </c:extLst>
            </c:dLbl>
            <c:dLbl>
              <c:idx val="14"/>
              <c:tx>
                <c:rich>
                  <a:bodyPr/>
                  <a:lstStyle/>
                  <a:p>
                    <a:fld id="{5C756041-8E00-4220-AA59-3F62F041A44E}"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5A1C-4A24-883B-F3F52FEBD93E}"/>
                </c:ext>
              </c:extLst>
            </c:dLbl>
            <c:dLbl>
              <c:idx val="15"/>
              <c:tx>
                <c:rich>
                  <a:bodyPr/>
                  <a:lstStyle/>
                  <a:p>
                    <a:fld id="{25E10347-6CAD-4C91-8EB5-ABD6B94C353E}"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ED2-4ACE-91AA-7F8713196E92}"/>
                </c:ext>
              </c:extLst>
            </c:dLbl>
            <c:dLbl>
              <c:idx val="16"/>
              <c:tx>
                <c:rich>
                  <a:bodyPr/>
                  <a:lstStyle/>
                  <a:p>
                    <a:fld id="{EA7DA355-6DCC-43DD-8C67-1BB445C3D07C}"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5A1C-4A24-883B-F3F52FEBD93E}"/>
                </c:ext>
              </c:extLst>
            </c:dLbl>
            <c:dLbl>
              <c:idx val="17"/>
              <c:tx>
                <c:rich>
                  <a:bodyPr/>
                  <a:lstStyle/>
                  <a:p>
                    <a:fld id="{DC811442-1943-4806-AC7F-98F900FFDD81}"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5A1C-4A24-883B-F3F52FEBD93E}"/>
                </c:ext>
              </c:extLst>
            </c:dLbl>
            <c:dLbl>
              <c:idx val="18"/>
              <c:tx>
                <c:rich>
                  <a:bodyPr/>
                  <a:lstStyle/>
                  <a:p>
                    <a:fld id="{84913547-5871-40C1-986E-69DF7424388A}"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5A1C-4A24-883B-F3F52FEBD93E}"/>
                </c:ext>
              </c:extLst>
            </c:dLbl>
            <c:dLbl>
              <c:idx val="19"/>
              <c:tx>
                <c:rich>
                  <a:bodyPr/>
                  <a:lstStyle/>
                  <a:p>
                    <a:fld id="{6B84EC11-D5E1-4140-AD78-DBA6665AE578}"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5A1C-4A24-883B-F3F52FEBD93E}"/>
                </c:ext>
              </c:extLst>
            </c:dLbl>
            <c:dLbl>
              <c:idx val="20"/>
              <c:tx>
                <c:rich>
                  <a:bodyPr/>
                  <a:lstStyle/>
                  <a:p>
                    <a:fld id="{834378B8-9423-4E64-9F6F-E3A9D3B1797C}"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5A1C-4A24-883B-F3F52FEBD93E}"/>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'R3'!$B$54:$V$54</c:f>
                <c:numCache>
                  <c:formatCode>General</c:formatCode>
                  <c:ptCount val="21"/>
                  <c:pt idx="0">
                    <c:v>1.3954688866508677E-2</c:v>
                  </c:pt>
                  <c:pt idx="1">
                    <c:v>2.1048269331044374E-2</c:v>
                  </c:pt>
                  <c:pt idx="2">
                    <c:v>4.9353436685507811E-2</c:v>
                  </c:pt>
                  <c:pt idx="3">
                    <c:v>0.12561852167488338</c:v>
                  </c:pt>
                  <c:pt idx="4">
                    <c:v>0.22883358148601293</c:v>
                  </c:pt>
                  <c:pt idx="5">
                    <c:v>0.27649578034044364</c:v>
                  </c:pt>
                  <c:pt idx="6">
                    <c:v>0.45385230116730246</c:v>
                  </c:pt>
                  <c:pt idx="7">
                    <c:v>4.86731135275753E-2</c:v>
                  </c:pt>
                  <c:pt idx="8">
                    <c:v>3.2100147820325123E-2</c:v>
                  </c:pt>
                  <c:pt idx="9">
                    <c:v>3.8390881852033959E-2</c:v>
                  </c:pt>
                  <c:pt idx="10">
                    <c:v>2.1756188020698512E-2</c:v>
                  </c:pt>
                  <c:pt idx="11">
                    <c:v>1.9967200396310825E-2</c:v>
                  </c:pt>
                  <c:pt idx="13">
                    <c:v>0.23215322796378401</c:v>
                  </c:pt>
                  <c:pt idx="14">
                    <c:v>0.24728521344542329</c:v>
                  </c:pt>
                  <c:pt idx="15">
                    <c:v>1.5295030871801738E-2</c:v>
                  </c:pt>
                  <c:pt idx="16">
                    <c:v>9.7855105707191511E-2</c:v>
                  </c:pt>
                  <c:pt idx="17">
                    <c:v>0.22876051395654637</c:v>
                  </c:pt>
                  <c:pt idx="18">
                    <c:v>0.11935663831474372</c:v>
                  </c:pt>
                  <c:pt idx="19">
                    <c:v>1.3840768965630672E-2</c:v>
                  </c:pt>
                  <c:pt idx="20">
                    <c:v>1.9391316023156552E-2</c:v>
                  </c:pt>
                </c:numCache>
              </c:numRef>
            </c:plus>
            <c:minus>
              <c:numRef>
                <c:f>'R1'!$N$48:$V$48</c:f>
                <c:numCache>
                  <c:formatCode>General</c:formatCode>
                  <c:ptCount val="9"/>
                  <c:pt idx="0">
                    <c:v>0</c:v>
                  </c:pt>
                  <c:pt idx="1">
                    <c:v>0.26593701971277711</c:v>
                  </c:pt>
                  <c:pt idx="2">
                    <c:v>0.20474921078101291</c:v>
                  </c:pt>
                  <c:pt idx="3">
                    <c:v>7.7108795061826316E-2</c:v>
                  </c:pt>
                  <c:pt idx="4">
                    <c:v>0.20765719533217528</c:v>
                  </c:pt>
                  <c:pt idx="5">
                    <c:v>0.26677238413900689</c:v>
                  </c:pt>
                  <c:pt idx="6">
                    <c:v>0.16377647060831244</c:v>
                  </c:pt>
                  <c:pt idx="7">
                    <c:v>5.1364820901344976E-2</c:v>
                  </c:pt>
                  <c:pt idx="8">
                    <c:v>2.6256428072375305E-2</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Fadrozole 0,016µg/L</c:v>
                </c:pt>
                <c:pt idx="8">
                  <c:v>Fadrozole 0,08µg/L</c:v>
                </c:pt>
                <c:pt idx="9">
                  <c:v>Fadrozole 0,4µg/L</c:v>
                </c:pt>
                <c:pt idx="10">
                  <c:v>Fadrozole 2µg/L</c:v>
                </c:pt>
                <c:pt idx="11">
                  <c:v>Fadrozole 10µg/L</c:v>
                </c:pt>
                <c:pt idx="13">
                  <c:v>Testo -30µg/L</c:v>
                </c:pt>
                <c:pt idx="14">
                  <c:v>Testo 30µg/L + EE2 -64ng/L</c:v>
                </c:pt>
                <c:pt idx="15">
                  <c:v>Testo 30µg/L + FAD-10µg/L</c:v>
                </c:pt>
                <c:pt idx="16">
                  <c:v>Fadrozole-0,016 µg/L + Testostérone</c:v>
                </c:pt>
                <c:pt idx="17">
                  <c:v>Fadrozole-0,08µg/L + Testostérone</c:v>
                </c:pt>
                <c:pt idx="18">
                  <c:v>Fadrozole-0,4µg/L + Testostérone</c:v>
                </c:pt>
                <c:pt idx="19">
                  <c:v>Fadrozole-2µg/L + Testostérone</c:v>
                </c:pt>
                <c:pt idx="20">
                  <c:v>Fadrozole-10 µg/L + Testostérone</c:v>
                </c:pt>
              </c:strCache>
            </c:strRef>
          </c:cat>
          <c:val>
            <c:numRef>
              <c:f>'R3'!$B$53:$V$53</c:f>
              <c:numCache>
                <c:formatCode>0.0000</c:formatCode>
                <c:ptCount val="21"/>
                <c:pt idx="0">
                  <c:v>4.7428070666164737E-2</c:v>
                </c:pt>
                <c:pt idx="1">
                  <c:v>0.11530855453538481</c:v>
                </c:pt>
                <c:pt idx="2">
                  <c:v>0.16870007028237735</c:v>
                </c:pt>
                <c:pt idx="3">
                  <c:v>0.46277759813230457</c:v>
                </c:pt>
                <c:pt idx="4">
                  <c:v>1.2438292731812752</c:v>
                </c:pt>
                <c:pt idx="5">
                  <c:v>1.2113210053492054</c:v>
                </c:pt>
                <c:pt idx="6">
                  <c:v>2.7713566581826234</c:v>
                </c:pt>
                <c:pt idx="7">
                  <c:v>9.1030883350652694E-2</c:v>
                </c:pt>
                <c:pt idx="8">
                  <c:v>8.6175676801030707E-2</c:v>
                </c:pt>
                <c:pt idx="9">
                  <c:v>0.12622178491984681</c:v>
                </c:pt>
                <c:pt idx="10">
                  <c:v>7.8488418896425979E-2</c:v>
                </c:pt>
                <c:pt idx="11">
                  <c:v>7.2526598598581807E-2</c:v>
                </c:pt>
                <c:pt idx="13">
                  <c:v>1</c:v>
                </c:pt>
                <c:pt idx="14">
                  <c:v>1.043261848561968</c:v>
                </c:pt>
                <c:pt idx="15">
                  <c:v>4.9074426398630661E-2</c:v>
                </c:pt>
                <c:pt idx="16">
                  <c:v>0.32729345791481107</c:v>
                </c:pt>
                <c:pt idx="17">
                  <c:v>0.57048386135558038</c:v>
                </c:pt>
                <c:pt idx="18">
                  <c:v>0.25602199734424713</c:v>
                </c:pt>
                <c:pt idx="19">
                  <c:v>5.9256681937769812E-2</c:v>
                </c:pt>
                <c:pt idx="20">
                  <c:v>4.1896189791604838E-2</c:v>
                </c:pt>
              </c:numCache>
            </c:numRef>
          </c:val>
          <c:extLst>
            <c:ext xmlns:c15="http://schemas.microsoft.com/office/drawing/2012/chart" uri="{02D57815-91ED-43cb-92C2-25804820EDAC}">
              <c15:datalabelsRange>
                <c15:f>'R3'!$B$61:$V$61</c15:f>
                <c15:dlblRangeCache>
                  <c:ptCount val="21"/>
                  <c:pt idx="1">
                    <c:v>NS</c:v>
                  </c:pt>
                  <c:pt idx="2">
                    <c:v>NS</c:v>
                  </c:pt>
                  <c:pt idx="3">
                    <c:v>*</c:v>
                  </c:pt>
                  <c:pt idx="4">
                    <c:v>***</c:v>
                  </c:pt>
                  <c:pt idx="5">
                    <c:v>***</c:v>
                  </c:pt>
                  <c:pt idx="6">
                    <c:v>***</c:v>
                  </c:pt>
                  <c:pt idx="7">
                    <c:v>NS</c:v>
                  </c:pt>
                  <c:pt idx="8">
                    <c:v>NS</c:v>
                  </c:pt>
                  <c:pt idx="9">
                    <c:v>NS</c:v>
                  </c:pt>
                  <c:pt idx="10">
                    <c:v>NS</c:v>
                  </c:pt>
                  <c:pt idx="11">
                    <c:v>NS</c:v>
                  </c:pt>
                  <c:pt idx="13">
                    <c:v>***</c:v>
                  </c:pt>
                  <c:pt idx="14">
                    <c:v>NS</c:v>
                  </c:pt>
                  <c:pt idx="15">
                    <c:v>***</c:v>
                  </c:pt>
                  <c:pt idx="16">
                    <c:v>NS</c:v>
                  </c:pt>
                  <c:pt idx="17">
                    <c:v>NS</c:v>
                  </c:pt>
                  <c:pt idx="18">
                    <c:v>NS</c:v>
                  </c:pt>
                  <c:pt idx="19">
                    <c:v>***</c:v>
                  </c:pt>
                  <c:pt idx="20">
                    <c:v>***</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4.5999999999999996"/>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a:t>Fadrozole-Low</a:t>
            </a:r>
            <a:r>
              <a:rPr lang="fr-FR" baseline="0"/>
              <a:t> concs </a:t>
            </a:r>
            <a:r>
              <a:rPr lang="fr-FR"/>
              <a:t>Pool</a:t>
            </a:r>
          </a:p>
        </c:rich>
      </c:tx>
      <c:overlay val="0"/>
    </c:title>
    <c:autoTitleDeleted val="0"/>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2C-033C-4530-84A9-991A3866ABD4}"/>
              </c:ext>
            </c:extLst>
          </c:dPt>
          <c:dPt>
            <c:idx val="1"/>
            <c:invertIfNegative val="0"/>
            <c:bubble3D val="0"/>
            <c:spPr>
              <a:solidFill>
                <a:srgbClr val="FF0000"/>
              </a:solidFill>
            </c:spPr>
            <c:extLst>
              <c:ext xmlns:c16="http://schemas.microsoft.com/office/drawing/2014/chart" uri="{C3380CC4-5D6E-409C-BE32-E72D297353CC}">
                <c16:uniqueId val="{00000001-033C-4530-84A9-991A3866ABD4}"/>
              </c:ext>
            </c:extLst>
          </c:dPt>
          <c:dPt>
            <c:idx val="2"/>
            <c:invertIfNegative val="0"/>
            <c:bubble3D val="0"/>
            <c:spPr>
              <a:solidFill>
                <a:srgbClr val="FF0000"/>
              </a:solidFill>
            </c:spPr>
            <c:extLst>
              <c:ext xmlns:c16="http://schemas.microsoft.com/office/drawing/2014/chart" uri="{C3380CC4-5D6E-409C-BE32-E72D297353CC}">
                <c16:uniqueId val="{00000003-033C-4530-84A9-991A3866ABD4}"/>
              </c:ext>
            </c:extLst>
          </c:dPt>
          <c:dPt>
            <c:idx val="3"/>
            <c:invertIfNegative val="0"/>
            <c:bubble3D val="0"/>
            <c:spPr>
              <a:solidFill>
                <a:srgbClr val="FF0000"/>
              </a:solidFill>
            </c:spPr>
            <c:extLst>
              <c:ext xmlns:c16="http://schemas.microsoft.com/office/drawing/2014/chart" uri="{C3380CC4-5D6E-409C-BE32-E72D297353CC}">
                <c16:uniqueId val="{00000005-033C-4530-84A9-991A3866ABD4}"/>
              </c:ext>
            </c:extLst>
          </c:dPt>
          <c:dPt>
            <c:idx val="4"/>
            <c:invertIfNegative val="0"/>
            <c:bubble3D val="0"/>
            <c:spPr>
              <a:solidFill>
                <a:srgbClr val="FF0000"/>
              </a:solidFill>
            </c:spPr>
            <c:extLst>
              <c:ext xmlns:c16="http://schemas.microsoft.com/office/drawing/2014/chart" uri="{C3380CC4-5D6E-409C-BE32-E72D297353CC}">
                <c16:uniqueId val="{00000007-033C-4530-84A9-991A3866ABD4}"/>
              </c:ext>
            </c:extLst>
          </c:dPt>
          <c:dPt>
            <c:idx val="5"/>
            <c:invertIfNegative val="0"/>
            <c:bubble3D val="0"/>
            <c:spPr>
              <a:solidFill>
                <a:srgbClr val="FF0000"/>
              </a:solidFill>
            </c:spPr>
            <c:extLst>
              <c:ext xmlns:c16="http://schemas.microsoft.com/office/drawing/2014/chart" uri="{C3380CC4-5D6E-409C-BE32-E72D297353CC}">
                <c16:uniqueId val="{00000009-033C-4530-84A9-991A3866ABD4}"/>
              </c:ext>
            </c:extLst>
          </c:dPt>
          <c:dPt>
            <c:idx val="6"/>
            <c:invertIfNegative val="0"/>
            <c:bubble3D val="0"/>
            <c:spPr>
              <a:solidFill>
                <a:srgbClr val="FF0000"/>
              </a:solidFill>
            </c:spPr>
            <c:extLst>
              <c:ext xmlns:c16="http://schemas.microsoft.com/office/drawing/2014/chart" uri="{C3380CC4-5D6E-409C-BE32-E72D297353CC}">
                <c16:uniqueId val="{0000000B-033C-4530-84A9-991A3866ABD4}"/>
              </c:ext>
            </c:extLst>
          </c:dPt>
          <c:dPt>
            <c:idx val="7"/>
            <c:invertIfNegative val="0"/>
            <c:bubble3D val="0"/>
            <c:spPr>
              <a:solidFill>
                <a:schemeClr val="bg1">
                  <a:lumMod val="65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bg1">
                  <a:lumMod val="65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rgbClr val="00B050"/>
              </a:solidFill>
            </c:spPr>
            <c:extLst>
              <c:ext xmlns:c16="http://schemas.microsoft.com/office/drawing/2014/chart" uri="{C3380CC4-5D6E-409C-BE32-E72D297353CC}">
                <c16:uniqueId val="{00000019-033C-4530-84A9-991A3866ABD4}"/>
              </c:ext>
            </c:extLst>
          </c:dPt>
          <c:dPt>
            <c:idx val="14"/>
            <c:invertIfNegative val="0"/>
            <c:bubble3D val="0"/>
            <c:spPr>
              <a:solidFill>
                <a:srgbClr val="92D050"/>
              </a:solidFill>
            </c:spPr>
            <c:extLst>
              <c:ext xmlns:c16="http://schemas.microsoft.com/office/drawing/2014/chart" uri="{C3380CC4-5D6E-409C-BE32-E72D297353CC}">
                <c16:uniqueId val="{0000001B-033C-4530-84A9-991A3866ABD4}"/>
              </c:ext>
            </c:extLst>
          </c:dPt>
          <c:dPt>
            <c:idx val="15"/>
            <c:invertIfNegative val="0"/>
            <c:bubble3D val="0"/>
            <c:spPr>
              <a:solidFill>
                <a:srgbClr val="92D050"/>
              </a:solidFill>
            </c:spPr>
            <c:extLst>
              <c:ext xmlns:c16="http://schemas.microsoft.com/office/drawing/2014/chart" uri="{C3380CC4-5D6E-409C-BE32-E72D297353CC}">
                <c16:uniqueId val="{0000001D-033C-4530-84A9-991A3866ABD4}"/>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680BEBD8-0AD2-416E-99C4-B0E870DC2D70}"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24989024-43E6-4EAB-8D66-4E2FBFFF9B6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939B6560-7B24-4EE0-A9DC-9B6B3DB96C6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081D9DEB-ADE4-4797-AEBC-441EC4B9DA9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B299DD69-CF64-4383-AB79-8708B1EDAA3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E1E92F15-5B9F-41E1-ADFC-B5B5546C0FC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A8A6D064-264A-44AD-B5B1-55E7814C0A1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3DB9C7B1-9019-4C5B-8D55-9CD8EFE5960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EFE578DF-60E0-4869-B906-153C07520CE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2BA4331B-40C0-45C8-9956-E6A31B5CF24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3EB468B1-C1A4-4D1B-A510-11CF7BF65D2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358608D1-171D-4F10-B599-E1C7C9EBF7C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9D7E6F54-FFC2-40C0-8A32-369911E208C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3BF40783-B112-4B17-94E1-ADA52DEE9A2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F35C121A-AA89-45E8-8869-15689142E73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BFE09E75-5813-4672-A91D-978CB075424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6194175F-B027-4E36-B812-D982B37366F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B31DC035-8D09-437C-A8F5-11E548C462B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AE2084CE-953B-4F54-8966-F1AA234412A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F7FA1A9D-34E9-4C64-A890-19499C11463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'pooled normalised values'!$B$76:$V$76</c:f>
                <c:numCache>
                  <c:formatCode>General</c:formatCode>
                  <c:ptCount val="21"/>
                  <c:pt idx="0">
                    <c:v>1.8001575821951346E-2</c:v>
                  </c:pt>
                  <c:pt idx="1">
                    <c:v>1.57951906911501E-2</c:v>
                  </c:pt>
                  <c:pt idx="2">
                    <c:v>2.4056605885886279E-2</c:v>
                  </c:pt>
                  <c:pt idx="3">
                    <c:v>0.23637233895369975</c:v>
                  </c:pt>
                  <c:pt idx="4">
                    <c:v>0.13361115258286485</c:v>
                  </c:pt>
                  <c:pt idx="5">
                    <c:v>0.28982401917304818</c:v>
                  </c:pt>
                  <c:pt idx="6">
                    <c:v>0.24523047917587631</c:v>
                  </c:pt>
                  <c:pt idx="7">
                    <c:v>2.0087598960168075E-2</c:v>
                  </c:pt>
                  <c:pt idx="8">
                    <c:v>1.2533610873063121E-2</c:v>
                  </c:pt>
                  <c:pt idx="9">
                    <c:v>1.7494352233662087E-2</c:v>
                  </c:pt>
                  <c:pt idx="10">
                    <c:v>1.4198697831983074E-2</c:v>
                  </c:pt>
                  <c:pt idx="11">
                    <c:v>1.4737553163573598E-2</c:v>
                  </c:pt>
                  <c:pt idx="13">
                    <c:v>0.12393063652009778</c:v>
                  </c:pt>
                  <c:pt idx="14">
                    <c:v>0.17976357790537403</c:v>
                  </c:pt>
                  <c:pt idx="15">
                    <c:v>2.6967403454898696E-2</c:v>
                  </c:pt>
                  <c:pt idx="16">
                    <c:v>0.1302917453040916</c:v>
                  </c:pt>
                  <c:pt idx="17">
                    <c:v>0.12117558439433009</c:v>
                  </c:pt>
                  <c:pt idx="18">
                    <c:v>7.4154640181869499E-2</c:v>
                  </c:pt>
                  <c:pt idx="19">
                    <c:v>1.9490390106338865E-2</c:v>
                  </c:pt>
                  <c:pt idx="20">
                    <c:v>1.515830769675733E-2</c:v>
                  </c:pt>
                </c:numCache>
              </c:numRef>
            </c:plus>
            <c:minus>
              <c:numRef>
                <c:f>'pooled normalised values'!$B$76:$V$76</c:f>
                <c:numCache>
                  <c:formatCode>General</c:formatCode>
                  <c:ptCount val="21"/>
                  <c:pt idx="0">
                    <c:v>1.8001575821951346E-2</c:v>
                  </c:pt>
                  <c:pt idx="1">
                    <c:v>1.57951906911501E-2</c:v>
                  </c:pt>
                  <c:pt idx="2">
                    <c:v>2.4056605885886279E-2</c:v>
                  </c:pt>
                  <c:pt idx="3">
                    <c:v>0.23637233895369975</c:v>
                  </c:pt>
                  <c:pt idx="4">
                    <c:v>0.13361115258286485</c:v>
                  </c:pt>
                  <c:pt idx="5">
                    <c:v>0.28982401917304818</c:v>
                  </c:pt>
                  <c:pt idx="6">
                    <c:v>0.24523047917587631</c:v>
                  </c:pt>
                  <c:pt idx="7">
                    <c:v>2.0087598960168075E-2</c:v>
                  </c:pt>
                  <c:pt idx="8">
                    <c:v>1.2533610873063121E-2</c:v>
                  </c:pt>
                  <c:pt idx="9">
                    <c:v>1.7494352233662087E-2</c:v>
                  </c:pt>
                  <c:pt idx="10">
                    <c:v>1.4198697831983074E-2</c:v>
                  </c:pt>
                  <c:pt idx="11">
                    <c:v>1.4737553163573598E-2</c:v>
                  </c:pt>
                  <c:pt idx="13">
                    <c:v>0.12393063652009778</c:v>
                  </c:pt>
                  <c:pt idx="14">
                    <c:v>0.17976357790537403</c:v>
                  </c:pt>
                  <c:pt idx="15">
                    <c:v>2.6967403454898696E-2</c:v>
                  </c:pt>
                  <c:pt idx="16">
                    <c:v>0.1302917453040916</c:v>
                  </c:pt>
                  <c:pt idx="17">
                    <c:v>0.12117558439433009</c:v>
                  </c:pt>
                  <c:pt idx="18">
                    <c:v>7.4154640181869499E-2</c:v>
                  </c:pt>
                  <c:pt idx="19">
                    <c:v>1.9490390106338865E-2</c:v>
                  </c:pt>
                  <c:pt idx="20">
                    <c:v>1.515830769675733E-2</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Fadrozole 0,016µg/L</c:v>
                </c:pt>
                <c:pt idx="8">
                  <c:v>Fadrozole 0,08µg/L</c:v>
                </c:pt>
                <c:pt idx="9">
                  <c:v>Fadrozole 0,4µg/L</c:v>
                </c:pt>
                <c:pt idx="10">
                  <c:v>Fadrozole 2µg/L</c:v>
                </c:pt>
                <c:pt idx="11">
                  <c:v>Fadrozole 10µg/L</c:v>
                </c:pt>
                <c:pt idx="13">
                  <c:v>Testo -30µg/L</c:v>
                </c:pt>
                <c:pt idx="14">
                  <c:v>Testo 30µg/L + EE2 -64ng/L</c:v>
                </c:pt>
                <c:pt idx="15">
                  <c:v>Testo 30µg/L + FAD-10µg/L</c:v>
                </c:pt>
                <c:pt idx="16">
                  <c:v>Fadrozole-0,016 µg/L + Testostérone</c:v>
                </c:pt>
                <c:pt idx="17">
                  <c:v>Fadrozole-0,08µg/L + Testostérone</c:v>
                </c:pt>
                <c:pt idx="18">
                  <c:v>Fadrozole-0,4µg/L + Testostérone</c:v>
                </c:pt>
                <c:pt idx="19">
                  <c:v>Fadrozole-2µg/L + Testostérone</c:v>
                </c:pt>
                <c:pt idx="20">
                  <c:v>Fadrozole-10 µg/L + Testostérone</c:v>
                </c:pt>
              </c:strCache>
            </c:strRef>
          </c:cat>
          <c:val>
            <c:numRef>
              <c:f>'pooled normalised values'!$B$75:$V$75</c:f>
              <c:numCache>
                <c:formatCode>0.0000</c:formatCode>
                <c:ptCount val="21"/>
                <c:pt idx="0">
                  <c:v>8.907159649761319E-2</c:v>
                </c:pt>
                <c:pt idx="1">
                  <c:v>0.11484962257040959</c:v>
                </c:pt>
                <c:pt idx="2">
                  <c:v>0.13558337676372739</c:v>
                </c:pt>
                <c:pt idx="3">
                  <c:v>0.60384793834634198</c:v>
                </c:pt>
                <c:pt idx="4">
                  <c:v>1.0659566449900963</c:v>
                </c:pt>
                <c:pt idx="5">
                  <c:v>1.7008267573109381</c:v>
                </c:pt>
                <c:pt idx="6">
                  <c:v>3.2394646853039188</c:v>
                </c:pt>
                <c:pt idx="7">
                  <c:v>9.6651875135805074E-2</c:v>
                </c:pt>
                <c:pt idx="8">
                  <c:v>6.7743271337803376E-2</c:v>
                </c:pt>
                <c:pt idx="9">
                  <c:v>8.3597802463363569E-2</c:v>
                </c:pt>
                <c:pt idx="10">
                  <c:v>9.1676968984657173E-2</c:v>
                </c:pt>
                <c:pt idx="11">
                  <c:v>9.3652607154951772E-2</c:v>
                </c:pt>
                <c:pt idx="13">
                  <c:v>1</c:v>
                </c:pt>
                <c:pt idx="14">
                  <c:v>1.6184482696749121</c:v>
                </c:pt>
                <c:pt idx="15">
                  <c:v>9.0282833742067026E-2</c:v>
                </c:pt>
                <c:pt idx="16">
                  <c:v>0.75370850845562165</c:v>
                </c:pt>
                <c:pt idx="17">
                  <c:v>0.77066933673192339</c:v>
                </c:pt>
                <c:pt idx="18">
                  <c:v>0.2940893982738404</c:v>
                </c:pt>
                <c:pt idx="19">
                  <c:v>8.4316386219502951E-2</c:v>
                </c:pt>
                <c:pt idx="20">
                  <c:v>6.8605039947136306E-2</c:v>
                </c:pt>
              </c:numCache>
            </c:numRef>
          </c:val>
          <c:extLst>
            <c:ext xmlns:c15="http://schemas.microsoft.com/office/drawing/2012/chart" uri="{02D57815-91ED-43cb-92C2-25804820EDAC}">
              <c15:datalabelsRange>
                <c15:f>'pooled normalised values'!$B$83:$V$83</c15:f>
                <c15:dlblRangeCache>
                  <c:ptCount val="21"/>
                  <c:pt idx="1">
                    <c:v>NS</c:v>
                  </c:pt>
                  <c:pt idx="2">
                    <c:v>NS</c:v>
                  </c:pt>
                  <c:pt idx="3">
                    <c:v>*</c:v>
                  </c:pt>
                  <c:pt idx="4">
                    <c:v>***</c:v>
                  </c:pt>
                  <c:pt idx="5">
                    <c:v>***</c:v>
                  </c:pt>
                  <c:pt idx="6">
                    <c:v>***</c:v>
                  </c:pt>
                  <c:pt idx="7">
                    <c:v>NS</c:v>
                  </c:pt>
                  <c:pt idx="8">
                    <c:v>NS</c:v>
                  </c:pt>
                  <c:pt idx="9">
                    <c:v>NS</c:v>
                  </c:pt>
                  <c:pt idx="10">
                    <c:v>NS</c:v>
                  </c:pt>
                  <c:pt idx="11">
                    <c:v>NS</c:v>
                  </c:pt>
                  <c:pt idx="13">
                    <c:v>***</c:v>
                  </c:pt>
                  <c:pt idx="14">
                    <c:v>**</c:v>
                  </c:pt>
                  <c:pt idx="15">
                    <c:v>***</c:v>
                  </c:pt>
                  <c:pt idx="16">
                    <c:v>NS</c:v>
                  </c:pt>
                  <c:pt idx="17">
                    <c:v>NS</c:v>
                  </c:pt>
                  <c:pt idx="18">
                    <c:v>***</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Fadrozole-0,016µg/L : 0%</c:v>
                  </c:pt>
                  <c:pt idx="1">
                    <c:v>Fadrozole-0,08µg/L : 0%</c:v>
                  </c:pt>
                  <c:pt idx="2">
                    <c:v>Fadrozole-0,4µg/L : 0%</c:v>
                  </c:pt>
                  <c:pt idx="3">
                    <c:v>Fadrozole-2µg/L : 0%</c:v>
                  </c:pt>
                  <c:pt idx="4">
                    <c:v>Fadrozole-10 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Fadrozole-0,016 µg/L : 0%</c:v>
                  </c:pt>
                  <c:pt idx="1">
                    <c:v>Fadrozole-0,08µg/L : 0%</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Fadrozole-0,016µg/L : 0%</c:v>
                  </c:pt>
                  <c:pt idx="1">
                    <c:v>Fadrozole-0,08µg/L : 0%</c:v>
                  </c:pt>
                  <c:pt idx="2">
                    <c:v>Fadrozole-0,4µg/L : 0%</c:v>
                  </c:pt>
                  <c:pt idx="3">
                    <c:v>Fadrozole-2µg/L : 0%</c:v>
                  </c:pt>
                  <c:pt idx="4">
                    <c:v>Fadrozole-10 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Fadrozole-0,016 µg/L : 0%</c:v>
                  </c:pt>
                  <c:pt idx="1">
                    <c:v>Fadrozole-0,08µg/L : 0%</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Fadrozole 0,08µg/L</c:v>
                </c:pt>
                <c:pt idx="2">
                  <c:v>Fadrozole 0,4µg/L</c:v>
                </c:pt>
                <c:pt idx="3">
                  <c:v>Fadrozole 2µg/L</c:v>
                </c:pt>
                <c:pt idx="4">
                  <c:v>Fadrozole 10µg/L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Fadrozole 0,08µg/L</c:v>
                </c:pt>
                <c:pt idx="2">
                  <c:v>Fadrozole 0,4µg/L</c:v>
                </c:pt>
                <c:pt idx="3">
                  <c:v>Fadrozole 2µg/L</c:v>
                </c:pt>
                <c:pt idx="4">
                  <c:v>Fadrozole 10µg/L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Fadrozole 0,08µg/L</c:v>
                </c:pt>
                <c:pt idx="2">
                  <c:v>Fadrozole 0,4µg/L</c:v>
                </c:pt>
                <c:pt idx="3">
                  <c:v>Fadrozole 2µg/L</c:v>
                </c:pt>
                <c:pt idx="4">
                  <c:v>Fadrozole 10µg/L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220C066D-1801-424E-ABD6-E4BE852CFCF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DF9916B2-40E6-4027-A29F-BC898EBE9D8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EE2F570D-6F60-4D95-8903-D50B79931AD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47305B61-A30F-4A17-B3DF-D815D4A16C3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D0960588-B634-4B91-ADA4-702AFB48D47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C4D8AD15-06AB-4DF8-BB8E-05F3F14D1EF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8224AA65-378B-4BE6-8CD6-E0B87408E75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3E65C692-0014-4007-951A-F31FA669A10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94E17985-DB6E-4540-BD15-078B63126C1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70BE9065-AB8A-4D36-A633-8EA54A5F127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918E53E1-31EA-4AA5-A158-D09BE50E23E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BAD5080C-B611-46BA-8C58-FB127D09E46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F8B5CBF1-4C81-4B9E-B6B8-508DAC67AF6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5F8A0619-FF98-4D04-A074-86063CC3CE1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1.2533610873063121E-2</c:v>
                  </c:pt>
                  <c:pt idx="2">
                    <c:v>1.7494352233662087E-2</c:v>
                  </c:pt>
                  <c:pt idx="3">
                    <c:v>1.4198697831983074E-2</c:v>
                  </c:pt>
                  <c:pt idx="4">
                    <c:v>1.4737553163573598E-2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1.2533610873063121E-2</c:v>
                  </c:pt>
                  <c:pt idx="2">
                    <c:v>1.7494352233662087E-2</c:v>
                  </c:pt>
                  <c:pt idx="3">
                    <c:v>1.4198697831983074E-2</c:v>
                  </c:pt>
                  <c:pt idx="4">
                    <c:v>1.4737553163573598E-2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Fadrozole 0,08µg/L</c:v>
                </c:pt>
                <c:pt idx="2">
                  <c:v>Fadrozole 0,4µg/L</c:v>
                </c:pt>
                <c:pt idx="3">
                  <c:v>Fadrozole 2µg/L</c:v>
                </c:pt>
                <c:pt idx="4">
                  <c:v>Fadrozole 10µg/L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6.7743271337803376E-2</c:v>
                </c:pt>
                <c:pt idx="2">
                  <c:v>8.3597802463363569E-2</c:v>
                </c:pt>
                <c:pt idx="3">
                  <c:v>9.1676968984657173E-2</c:v>
                </c:pt>
                <c:pt idx="4">
                  <c:v>9.3652607154951772E-2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8.907159649761319E-2</c:v>
                </c:pt>
                <c:pt idx="1">
                  <c:v>8.907159649761319E-2</c:v>
                </c:pt>
                <c:pt idx="2">
                  <c:v>8.907159649761319E-2</c:v>
                </c:pt>
                <c:pt idx="3">
                  <c:v>8.907159649761319E-2</c:v>
                </c:pt>
                <c:pt idx="4">
                  <c:v>8.907159649761319E-2</c:v>
                </c:pt>
                <c:pt idx="5">
                  <c:v>8.907159649761319E-2</c:v>
                </c:pt>
                <c:pt idx="6">
                  <c:v>8.907159649761319E-2</c:v>
                </c:pt>
                <c:pt idx="7">
                  <c:v>8.907159649761319E-2</c:v>
                </c:pt>
                <c:pt idx="8">
                  <c:v>8.907159649761319E-2</c:v>
                </c:pt>
                <c:pt idx="9">
                  <c:v>8.907159649761319E-2</c:v>
                </c:pt>
                <c:pt idx="10">
                  <c:v>8.907159649761319E-2</c:v>
                </c:pt>
                <c:pt idx="11">
                  <c:v>8.907159649761319E-2</c:v>
                </c:pt>
                <c:pt idx="12">
                  <c:v>8.907159649761319E-2</c:v>
                </c:pt>
                <c:pt idx="13">
                  <c:v>8.907159649761319E-2</c:v>
                </c:pt>
                <c:pt idx="14">
                  <c:v>8.907159649761319E-2</c:v>
                </c:pt>
                <c:pt idx="15">
                  <c:v>8.907159649761319E-2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Fadrozole-0,016 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9.0282833742067026E-2</c:v>
                </c:pt>
                <c:pt idx="1">
                  <c:v>9.0282833742067026E-2</c:v>
                </c:pt>
                <c:pt idx="2">
                  <c:v>9.0282833742067026E-2</c:v>
                </c:pt>
                <c:pt idx="3">
                  <c:v>9.0282833742067026E-2</c:v>
                </c:pt>
                <c:pt idx="4">
                  <c:v>9.0282833742067026E-2</c:v>
                </c:pt>
                <c:pt idx="5">
                  <c:v>9.0282833742067026E-2</c:v>
                </c:pt>
                <c:pt idx="6">
                  <c:v>9.0282833742067026E-2</c:v>
                </c:pt>
                <c:pt idx="7">
                  <c:v>9.0282833742067026E-2</c:v>
                </c:pt>
                <c:pt idx="8">
                  <c:v>9.0282833742067026E-2</c:v>
                </c:pt>
                <c:pt idx="9">
                  <c:v>9.0282833742067026E-2</c:v>
                </c:pt>
                <c:pt idx="10">
                  <c:v>9.0282833742067026E-2</c:v>
                </c:pt>
                <c:pt idx="11">
                  <c:v>9.0282833742067026E-2</c:v>
                </c:pt>
                <c:pt idx="12">
                  <c:v>9.0282833742067026E-2</c:v>
                </c:pt>
                <c:pt idx="13">
                  <c:v>9.0282833742067026E-2</c:v>
                </c:pt>
                <c:pt idx="14">
                  <c:v>9.0282833742067026E-2</c:v>
                </c:pt>
                <c:pt idx="15">
                  <c:v>9.0282833742067026E-2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Fadrozole-0,016 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1.5281654359328449</c:v>
                </c:pt>
                <c:pt idx="1">
                  <c:v>1.5281654359328449</c:v>
                </c:pt>
                <c:pt idx="2">
                  <c:v>1.5281654359328449</c:v>
                </c:pt>
                <c:pt idx="3">
                  <c:v>1.5281654359328449</c:v>
                </c:pt>
                <c:pt idx="4">
                  <c:v>1.5281654359328449</c:v>
                </c:pt>
                <c:pt idx="5">
                  <c:v>1.5281654359328449</c:v>
                </c:pt>
                <c:pt idx="6">
                  <c:v>1.5281654359328449</c:v>
                </c:pt>
                <c:pt idx="7">
                  <c:v>1.5281654359328449</c:v>
                </c:pt>
                <c:pt idx="8">
                  <c:v>1.5281654359328449</c:v>
                </c:pt>
                <c:pt idx="9">
                  <c:v>1.5281654359328449</c:v>
                </c:pt>
                <c:pt idx="10">
                  <c:v>1.5281654359328449</c:v>
                </c:pt>
                <c:pt idx="11">
                  <c:v>1.5281654359328449</c:v>
                </c:pt>
                <c:pt idx="12">
                  <c:v>1.5281654359328449</c:v>
                </c:pt>
                <c:pt idx="13">
                  <c:v>1.5281654359328449</c:v>
                </c:pt>
                <c:pt idx="14">
                  <c:v>1.5281654359328449</c:v>
                </c:pt>
                <c:pt idx="15">
                  <c:v>1.5281654359328449</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Fadrozole-0,016 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0.97183456406715507</c:v>
                </c:pt>
                <c:pt idx="1">
                  <c:v>0.97183456406715507</c:v>
                </c:pt>
                <c:pt idx="2">
                  <c:v>0.97183456406715507</c:v>
                </c:pt>
                <c:pt idx="3">
                  <c:v>0.97183456406715507</c:v>
                </c:pt>
                <c:pt idx="4">
                  <c:v>0.97183456406715507</c:v>
                </c:pt>
                <c:pt idx="5">
                  <c:v>0.97183456406715507</c:v>
                </c:pt>
                <c:pt idx="6">
                  <c:v>0.97183456406715507</c:v>
                </c:pt>
                <c:pt idx="7">
                  <c:v>0.97183456406715507</c:v>
                </c:pt>
                <c:pt idx="8">
                  <c:v>0.97183456406715507</c:v>
                </c:pt>
                <c:pt idx="9">
                  <c:v>0.97183456406715507</c:v>
                </c:pt>
                <c:pt idx="10">
                  <c:v>0.97183456406715507</c:v>
                </c:pt>
                <c:pt idx="11">
                  <c:v>0.97183456406715507</c:v>
                </c:pt>
                <c:pt idx="12">
                  <c:v>0.97183456406715507</c:v>
                </c:pt>
                <c:pt idx="13">
                  <c:v>0.97183456406715507</c:v>
                </c:pt>
                <c:pt idx="14">
                  <c:v>0.97183456406715507</c:v>
                </c:pt>
                <c:pt idx="15">
                  <c:v>0.97183456406715507</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59F00F48-CFBD-4FBE-ABD0-1E45AD8DB8E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F95FCDD5-4E5E-4506-89BE-59887135A00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4BD4B2DC-A44C-4857-A0EF-8A5476EF8EC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DFCDDB39-B8F2-4F2D-90FD-F1A5A079AD8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6E4A275D-A534-4122-8569-5310E5FA9C2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3EF2FED5-A24A-4A27-850C-36047F16374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A491FB6F-121F-41E5-959D-8684C64B175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4AB30587-1A39-481A-8938-7BA186852B2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03F8E0EB-E3F3-4FB3-A12C-43534DA0370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06AC200C-76DE-4A8B-BB00-8578FDB335D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CBFE1908-A72C-49BD-9EB0-7600E6EF7EA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20F840CB-8243-4E08-A90F-18B6E8AFA93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C2D6BA4A-7110-47AB-B117-8CA1C238B40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637F3CD8-326D-4E10-81A2-58D4FE475D1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0.1302917453040916</c:v>
                  </c:pt>
                  <c:pt idx="2">
                    <c:v>0.12117558439433009</c:v>
                  </c:pt>
                  <c:pt idx="3">
                    <c:v>7.4154640181869499E-2</c:v>
                  </c:pt>
                  <c:pt idx="4">
                    <c:v>1.9490390106338865E-2</c:v>
                  </c:pt>
                  <c:pt idx="5">
                    <c:v>1.515830769675733E-2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0.1302917453040916</c:v>
                  </c:pt>
                  <c:pt idx="2">
                    <c:v>0.12117558439433009</c:v>
                  </c:pt>
                  <c:pt idx="3">
                    <c:v>7.4154640181869499E-2</c:v>
                  </c:pt>
                  <c:pt idx="4">
                    <c:v>1.9490390106338865E-2</c:v>
                  </c:pt>
                  <c:pt idx="5">
                    <c:v>1.515830769675733E-2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Fadrozole-0,016 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0.75370850845562165</c:v>
                </c:pt>
                <c:pt idx="2">
                  <c:v>0.77066933673192339</c:v>
                </c:pt>
                <c:pt idx="3">
                  <c:v>0.2940893982738404</c:v>
                </c:pt>
                <c:pt idx="4">
                  <c:v>8.4316386219502951E-2</c:v>
                </c:pt>
                <c:pt idx="5">
                  <c:v>6.8605039947136306E-2</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Fadrozole-0,016 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Fadrozole 0,08µg/L</c:v>
                </c:pt>
                <c:pt idx="2">
                  <c:v>Fadrozole 0,4µg/L</c:v>
                </c:pt>
                <c:pt idx="3">
                  <c:v>Fadrozole 2µg/L</c:v>
                </c:pt>
                <c:pt idx="4">
                  <c:v>Fadrozole 10µg/L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Fadrozole 0,08µg/L</c:v>
                </c:pt>
                <c:pt idx="2">
                  <c:v>Fadrozole 0,4µg/L</c:v>
                </c:pt>
                <c:pt idx="3">
                  <c:v>Fadrozole 2µg/L</c:v>
                </c:pt>
                <c:pt idx="4">
                  <c:v>Fadrozole 10µg/L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Fadrozole 0,08µg/L</c:v>
                </c:pt>
                <c:pt idx="2">
                  <c:v>Fadrozole 0,4µg/L</c:v>
                </c:pt>
                <c:pt idx="3">
                  <c:v>Fadrozole 2µg/L</c:v>
                </c:pt>
                <c:pt idx="4">
                  <c:v>Fadrozole 10µg/L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0FD8EFE2-0761-49FB-811E-1656DB5146E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FBD43E65-7138-422A-B851-9341F3D7531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56AE7EB9-783E-4FBC-A955-39CA679EDA3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00830AAB-B9DD-4680-AF0F-FC3CBDB3315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80D5E9CE-A22E-4442-B8AB-21C953B227F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EF7876F7-6F17-48AA-9F51-ADAE0CA4C25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6E8A313C-5CED-45E9-B3EE-3882AB96BF6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76B520CD-2570-4BAC-916C-3D8D7A1866F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9DCAF2D9-D7BC-4316-9A47-5198C2206F1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B74EEA37-48CA-4BEE-90E7-91300C38EA4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35609EC0-F85F-4158-A63E-3FB14C9AB74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5C39C709-3231-4B43-B69B-85C171A1F9F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45C9BDBB-E943-4ED3-912C-2A23BC28B7F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6BC69BA7-5620-438D-B259-C0F09C86DE5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1.2533610873063121E-2</c:v>
                  </c:pt>
                  <c:pt idx="2">
                    <c:v>1.7494352233662087E-2</c:v>
                  </c:pt>
                  <c:pt idx="3">
                    <c:v>1.4198697831983074E-2</c:v>
                  </c:pt>
                  <c:pt idx="4">
                    <c:v>1.4737553163573598E-2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1.2533610873063121E-2</c:v>
                  </c:pt>
                  <c:pt idx="2">
                    <c:v>1.7494352233662087E-2</c:v>
                  </c:pt>
                  <c:pt idx="3">
                    <c:v>1.4198697831983074E-2</c:v>
                  </c:pt>
                  <c:pt idx="4">
                    <c:v>1.4737553163573598E-2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Fadrozole 0,08µg/L</c:v>
                </c:pt>
                <c:pt idx="2">
                  <c:v>Fadrozole 0,4µg/L</c:v>
                </c:pt>
                <c:pt idx="3">
                  <c:v>Fadrozole 2µg/L</c:v>
                </c:pt>
                <c:pt idx="4">
                  <c:v>Fadrozole 10µg/L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6.7743271337803376E-2</c:v>
                </c:pt>
                <c:pt idx="2">
                  <c:v>8.3597802463363569E-2</c:v>
                </c:pt>
                <c:pt idx="3">
                  <c:v>9.1676968984657173E-2</c:v>
                </c:pt>
                <c:pt idx="4">
                  <c:v>9.3652607154951772E-2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8.907159649761319E-2</c:v>
                </c:pt>
                <c:pt idx="1">
                  <c:v>8.907159649761319E-2</c:v>
                </c:pt>
                <c:pt idx="2">
                  <c:v>8.907159649761319E-2</c:v>
                </c:pt>
                <c:pt idx="3">
                  <c:v>8.907159649761319E-2</c:v>
                </c:pt>
                <c:pt idx="4">
                  <c:v>8.907159649761319E-2</c:v>
                </c:pt>
                <c:pt idx="5">
                  <c:v>8.907159649761319E-2</c:v>
                </c:pt>
                <c:pt idx="6">
                  <c:v>8.907159649761319E-2</c:v>
                </c:pt>
                <c:pt idx="7">
                  <c:v>8.907159649761319E-2</c:v>
                </c:pt>
                <c:pt idx="8">
                  <c:v>8.907159649761319E-2</c:v>
                </c:pt>
                <c:pt idx="9">
                  <c:v>8.907159649761319E-2</c:v>
                </c:pt>
                <c:pt idx="10">
                  <c:v>8.907159649761319E-2</c:v>
                </c:pt>
                <c:pt idx="11">
                  <c:v>8.907159649761319E-2</c:v>
                </c:pt>
                <c:pt idx="12">
                  <c:v>8.907159649761319E-2</c:v>
                </c:pt>
                <c:pt idx="13">
                  <c:v>8.907159649761319E-2</c:v>
                </c:pt>
                <c:pt idx="14">
                  <c:v>8.907159649761319E-2</c:v>
                </c:pt>
                <c:pt idx="15">
                  <c:v>8.907159649761319E-2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Fadrozole-0,016 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9.0282833742067026E-2</c:v>
                </c:pt>
                <c:pt idx="1">
                  <c:v>9.0282833742067026E-2</c:v>
                </c:pt>
                <c:pt idx="2">
                  <c:v>9.0282833742067026E-2</c:v>
                </c:pt>
                <c:pt idx="3">
                  <c:v>9.0282833742067026E-2</c:v>
                </c:pt>
                <c:pt idx="4">
                  <c:v>9.0282833742067026E-2</c:v>
                </c:pt>
                <c:pt idx="5">
                  <c:v>9.0282833742067026E-2</c:v>
                </c:pt>
                <c:pt idx="6">
                  <c:v>9.0282833742067026E-2</c:v>
                </c:pt>
                <c:pt idx="7">
                  <c:v>9.0282833742067026E-2</c:v>
                </c:pt>
                <c:pt idx="8">
                  <c:v>9.0282833742067026E-2</c:v>
                </c:pt>
                <c:pt idx="9">
                  <c:v>9.0282833742067026E-2</c:v>
                </c:pt>
                <c:pt idx="10">
                  <c:v>9.0282833742067026E-2</c:v>
                </c:pt>
                <c:pt idx="11">
                  <c:v>9.0282833742067026E-2</c:v>
                </c:pt>
                <c:pt idx="12">
                  <c:v>9.0282833742067026E-2</c:v>
                </c:pt>
                <c:pt idx="13">
                  <c:v>9.0282833742067026E-2</c:v>
                </c:pt>
                <c:pt idx="14">
                  <c:v>9.0282833742067026E-2</c:v>
                </c:pt>
                <c:pt idx="15">
                  <c:v>9.0282833742067026E-2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Fadrozole-0,016 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1.5281654359328449</c:v>
                </c:pt>
                <c:pt idx="1">
                  <c:v>1.5281654359328449</c:v>
                </c:pt>
                <c:pt idx="2">
                  <c:v>1.5281654359328449</c:v>
                </c:pt>
                <c:pt idx="3">
                  <c:v>1.5281654359328449</c:v>
                </c:pt>
                <c:pt idx="4">
                  <c:v>1.5281654359328449</c:v>
                </c:pt>
                <c:pt idx="5">
                  <c:v>1.5281654359328449</c:v>
                </c:pt>
                <c:pt idx="6">
                  <c:v>1.5281654359328449</c:v>
                </c:pt>
                <c:pt idx="7">
                  <c:v>1.5281654359328449</c:v>
                </c:pt>
                <c:pt idx="8">
                  <c:v>1.5281654359328449</c:v>
                </c:pt>
                <c:pt idx="9">
                  <c:v>1.5281654359328449</c:v>
                </c:pt>
                <c:pt idx="10">
                  <c:v>1.5281654359328449</c:v>
                </c:pt>
                <c:pt idx="11">
                  <c:v>1.5281654359328449</c:v>
                </c:pt>
                <c:pt idx="12">
                  <c:v>1.5281654359328449</c:v>
                </c:pt>
                <c:pt idx="13">
                  <c:v>1.5281654359328449</c:v>
                </c:pt>
                <c:pt idx="14">
                  <c:v>1.5281654359328449</c:v>
                </c:pt>
                <c:pt idx="15">
                  <c:v>1.5281654359328449</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Fadrozole-0,016 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0.97183456406715507</c:v>
                </c:pt>
                <c:pt idx="1">
                  <c:v>0.97183456406715507</c:v>
                </c:pt>
                <c:pt idx="2">
                  <c:v>0.97183456406715507</c:v>
                </c:pt>
                <c:pt idx="3">
                  <c:v>0.97183456406715507</c:v>
                </c:pt>
                <c:pt idx="4">
                  <c:v>0.97183456406715507</c:v>
                </c:pt>
                <c:pt idx="5">
                  <c:v>0.97183456406715507</c:v>
                </c:pt>
                <c:pt idx="6">
                  <c:v>0.97183456406715507</c:v>
                </c:pt>
                <c:pt idx="7">
                  <c:v>0.97183456406715507</c:v>
                </c:pt>
                <c:pt idx="8">
                  <c:v>0.97183456406715507</c:v>
                </c:pt>
                <c:pt idx="9">
                  <c:v>0.97183456406715507</c:v>
                </c:pt>
                <c:pt idx="10">
                  <c:v>0.97183456406715507</c:v>
                </c:pt>
                <c:pt idx="11">
                  <c:v>0.97183456406715507</c:v>
                </c:pt>
                <c:pt idx="12">
                  <c:v>0.97183456406715507</c:v>
                </c:pt>
                <c:pt idx="13">
                  <c:v>0.97183456406715507</c:v>
                </c:pt>
                <c:pt idx="14">
                  <c:v>0.97183456406715507</c:v>
                </c:pt>
                <c:pt idx="15">
                  <c:v>0.97183456406715507</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BB53C16D-CDE5-453D-8330-BEF6C86EA74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EFDBA1CD-FA96-4D0F-A86B-24448A7250F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3DFC7E3C-405D-4A4E-B20C-3E701A0F9AC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4B3139DE-325E-4EB2-9A9C-87734968D41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D6660054-59C2-4682-B67B-C19CDFF6C97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B1ABD12E-6656-472B-B4D1-9695C5C502E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E98FBA0A-AF0D-4955-8515-AE241047CBC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144C83E9-1430-476C-A821-BDCC9B868D3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9BE4A24C-0586-4E03-85A8-EC0A166F56A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33B06201-A3DD-4DE5-A3B4-6936634AFF6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8C85AF0E-BA0C-4728-8AA6-A534E82BFBE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943CF287-D839-43B7-B540-839400547F7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ADBA7045-1C3B-4385-872F-75DA71711A7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143E39DE-04AB-472A-BF46-091BEE827E1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0.1302917453040916</c:v>
                  </c:pt>
                  <c:pt idx="2">
                    <c:v>0.12117558439433009</c:v>
                  </c:pt>
                  <c:pt idx="3">
                    <c:v>7.4154640181869499E-2</c:v>
                  </c:pt>
                  <c:pt idx="4">
                    <c:v>1.9490390106338865E-2</c:v>
                  </c:pt>
                  <c:pt idx="5">
                    <c:v>1.515830769675733E-2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0.1302917453040916</c:v>
                  </c:pt>
                  <c:pt idx="2">
                    <c:v>0.12117558439433009</c:v>
                  </c:pt>
                  <c:pt idx="3">
                    <c:v>7.4154640181869499E-2</c:v>
                  </c:pt>
                  <c:pt idx="4">
                    <c:v>1.9490390106338865E-2</c:v>
                  </c:pt>
                  <c:pt idx="5">
                    <c:v>1.515830769675733E-2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Fadrozole-0,016 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0.75370850845562165</c:v>
                </c:pt>
                <c:pt idx="2">
                  <c:v>0.77066933673192339</c:v>
                </c:pt>
                <c:pt idx="3">
                  <c:v>0.2940893982738404</c:v>
                </c:pt>
                <c:pt idx="4">
                  <c:v>8.4316386219502951E-2</c:v>
                </c:pt>
                <c:pt idx="5">
                  <c:v>6.8605039947136306E-2</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Fadrozole-0,016 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Fadrozole 0,08µg/L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Fadrozole 0,08µg/L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Fadrozole 0,08µg/L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E4D3F533-8A69-445E-893F-53D53517931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5B893306-EDA0-4040-BEF8-2FD7EA1C643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1.2533610873063121E-2</c:v>
                  </c:pt>
                </c:numCache>
              </c:numRef>
            </c:plus>
            <c:minus>
              <c:numRef>
                <c:f>'Graph format rapport CHG 1éch'!$E$4:$G$4</c:f>
                <c:numCache>
                  <c:formatCode>General</c:formatCode>
                  <c:ptCount val="3"/>
                  <c:pt idx="1">
                    <c:v>1.2533610873063121E-2</c:v>
                  </c:pt>
                </c:numCache>
              </c:numRef>
            </c:minus>
          </c:errBars>
          <c:cat>
            <c:strRef>
              <c:f>'Graph format rapport CHG 1éch'!$E$2:$G$2</c:f>
              <c:strCache>
                <c:ptCount val="2"/>
                <c:pt idx="1">
                  <c:v>Fadrozole 0,08µg/L</c:v>
                </c:pt>
              </c:strCache>
            </c:strRef>
          </c:cat>
          <c:val>
            <c:numRef>
              <c:f>'Graph format rapport CHG 1éch'!$E$3:$G$3</c:f>
              <c:numCache>
                <c:formatCode>General</c:formatCode>
                <c:ptCount val="3"/>
                <c:pt idx="1">
                  <c:v>6.7743271337803376E-2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8.907159649761319E-2</c:v>
                </c:pt>
                <c:pt idx="1">
                  <c:v>8.907159649761319E-2</c:v>
                </c:pt>
                <c:pt idx="2">
                  <c:v>8.907159649761319E-2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Fadrozole-0,016 µg/L + Testostérone</c:v>
                </c:pt>
              </c:strCache>
            </c:strRef>
          </c:cat>
          <c:val>
            <c:numRef>
              <c:f>'Graph format rapport CHG 1éch'!$H$8:$J$8</c:f>
              <c:numCache>
                <c:formatCode>General</c:formatCode>
                <c:ptCount val="3"/>
                <c:pt idx="0">
                  <c:v>9.0282833742067026E-2</c:v>
                </c:pt>
                <c:pt idx="1">
                  <c:v>9.0282833742067026E-2</c:v>
                </c:pt>
                <c:pt idx="2">
                  <c:v>9.0282833742067026E-2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Fadrozole-0,016 µg/L + Testostérone</c:v>
                </c:pt>
              </c:strCache>
            </c:strRef>
          </c:cat>
          <c:val>
            <c:numRef>
              <c:f>'Graph format rapport CHG 1éch'!$H$9:$J$9</c:f>
              <c:numCache>
                <c:formatCode>General</c:formatCode>
                <c:ptCount val="3"/>
                <c:pt idx="0">
                  <c:v>1.5281654359328449</c:v>
                </c:pt>
                <c:pt idx="1">
                  <c:v>1.5281654359328449</c:v>
                </c:pt>
                <c:pt idx="2">
                  <c:v>1.5281654359328449</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Fadrozole-0,016 µg/L + Testostérone</c:v>
                </c:pt>
              </c:strCache>
            </c:strRef>
          </c:cat>
          <c:val>
            <c:numRef>
              <c:f>'Graph format rapport CHG 1éch'!$H$10:$J$10</c:f>
              <c:numCache>
                <c:formatCode>General</c:formatCode>
                <c:ptCount val="3"/>
                <c:pt idx="0">
                  <c:v>0.97183456406715507</c:v>
                </c:pt>
                <c:pt idx="1">
                  <c:v>0.97183456406715507</c:v>
                </c:pt>
                <c:pt idx="2">
                  <c:v>0.97183456406715507</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BEA4E4A5-115C-4272-82F0-7B5960320E4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54350F8C-E53B-4C49-AA1D-7946D740DD2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0.1302917453040916</c:v>
                  </c:pt>
                </c:numCache>
              </c:numRef>
            </c:plus>
            <c:minus>
              <c:numRef>
                <c:f>'Graph format rapport CHG 1éch'!$H$4:$J$4</c:f>
                <c:numCache>
                  <c:formatCode>General</c:formatCode>
                  <c:ptCount val="3"/>
                  <c:pt idx="1">
                    <c:v>0.1302917453040916</c:v>
                  </c:pt>
                </c:numCache>
              </c:numRef>
            </c:minus>
          </c:errBars>
          <c:cat>
            <c:strRef>
              <c:f>'Graph format rapport CHG 1éch'!$H$2:$J$2</c:f>
              <c:strCache>
                <c:ptCount val="2"/>
                <c:pt idx="1">
                  <c:v>Fadrozole-0,016 µg/L + Testostérone</c:v>
                </c:pt>
              </c:strCache>
            </c:strRef>
          </c:cat>
          <c:val>
            <c:numRef>
              <c:f>'Graph format rapport CHG 1éch'!$H$3:$J$3</c:f>
              <c:numCache>
                <c:formatCode>General</c:formatCode>
                <c:ptCount val="3"/>
                <c:pt idx="1">
                  <c:v>0.75370850845562165</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Fadrozole-0,016 µg/L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Fadrozole 0,08µg/L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Fadrozole 0,08µg/L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Fadrozole 0,08µg/L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A9E9CDC1-1E03-4D11-8AB1-BDAD1969D98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258D88F2-A2B1-4AC2-AABE-AB41DF88D0F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1.2533610873063121E-2</c:v>
                  </c:pt>
                </c:numCache>
              </c:numRef>
            </c:plus>
            <c:minus>
              <c:numRef>
                <c:f>'Graph format rapport CHG 1éch'!$E$4:$G$4</c:f>
                <c:numCache>
                  <c:formatCode>General</c:formatCode>
                  <c:ptCount val="3"/>
                  <c:pt idx="1">
                    <c:v>1.2533610873063121E-2</c:v>
                  </c:pt>
                </c:numCache>
              </c:numRef>
            </c:minus>
          </c:errBars>
          <c:cat>
            <c:strRef>
              <c:f>'Graph format rapport CHG 1éch'!$E$2:$G$2</c:f>
              <c:strCache>
                <c:ptCount val="2"/>
                <c:pt idx="1">
                  <c:v>Fadrozole 0,08µg/L</c:v>
                </c:pt>
              </c:strCache>
            </c:strRef>
          </c:cat>
          <c:val>
            <c:numRef>
              <c:f>'Graph format rapport CHG 1éch'!$E$3:$G$3</c:f>
              <c:numCache>
                <c:formatCode>General</c:formatCode>
                <c:ptCount val="3"/>
                <c:pt idx="1">
                  <c:v>6.7743271337803376E-2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8.907159649761319E-2</c:v>
                </c:pt>
                <c:pt idx="1">
                  <c:v>8.907159649761319E-2</c:v>
                </c:pt>
                <c:pt idx="2">
                  <c:v>8.907159649761319E-2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Fadrozole-0,016 µg/L + Testostérone</c:v>
                </c:pt>
              </c:strCache>
            </c:strRef>
          </c:cat>
          <c:val>
            <c:numRef>
              <c:f>'Graph format rapport CHG 1éch'!$H$8:$J$8</c:f>
              <c:numCache>
                <c:formatCode>General</c:formatCode>
                <c:ptCount val="3"/>
                <c:pt idx="0">
                  <c:v>9.0282833742067026E-2</c:v>
                </c:pt>
                <c:pt idx="1">
                  <c:v>9.0282833742067026E-2</c:v>
                </c:pt>
                <c:pt idx="2">
                  <c:v>9.0282833742067026E-2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Fadrozole-0,016 µg/L + Testostérone</c:v>
                </c:pt>
              </c:strCache>
            </c:strRef>
          </c:cat>
          <c:val>
            <c:numRef>
              <c:f>'Graph format rapport CHG 1éch'!$H$9:$J$9</c:f>
              <c:numCache>
                <c:formatCode>General</c:formatCode>
                <c:ptCount val="3"/>
                <c:pt idx="0">
                  <c:v>1.5281654359328449</c:v>
                </c:pt>
                <c:pt idx="1">
                  <c:v>1.5281654359328449</c:v>
                </c:pt>
                <c:pt idx="2">
                  <c:v>1.5281654359328449</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Fadrozole-0,016 µg/L + Testostérone</c:v>
                </c:pt>
              </c:strCache>
            </c:strRef>
          </c:cat>
          <c:val>
            <c:numRef>
              <c:f>'Graph format rapport CHG 1éch'!$H$10:$J$10</c:f>
              <c:numCache>
                <c:formatCode>General</c:formatCode>
                <c:ptCount val="3"/>
                <c:pt idx="0">
                  <c:v>0.97183456406715507</c:v>
                </c:pt>
                <c:pt idx="1">
                  <c:v>0.97183456406715507</c:v>
                </c:pt>
                <c:pt idx="2">
                  <c:v>0.97183456406715507</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F766CF06-1FAF-4784-B569-DEEE58F2A75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BEBA20C6-1C32-44E0-AA8B-22A00F4AB93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0.1302917453040916</c:v>
                  </c:pt>
                </c:numCache>
              </c:numRef>
            </c:plus>
            <c:minus>
              <c:numRef>
                <c:f>'Graph format rapport CHG 1éch'!$H$4:$J$4</c:f>
                <c:numCache>
                  <c:formatCode>General</c:formatCode>
                  <c:ptCount val="3"/>
                  <c:pt idx="1">
                    <c:v>0.1302917453040916</c:v>
                  </c:pt>
                </c:numCache>
              </c:numRef>
            </c:minus>
          </c:errBars>
          <c:cat>
            <c:strRef>
              <c:f>'Graph format rapport CHG 1éch'!$H$2:$J$2</c:f>
              <c:strCache>
                <c:ptCount val="2"/>
                <c:pt idx="1">
                  <c:v>Fadrozole-0,016 µg/L + Testostérone</c:v>
                </c:pt>
              </c:strCache>
            </c:strRef>
          </c:cat>
          <c:val>
            <c:numRef>
              <c:f>'Graph format rapport CHG 1éch'!$H$3:$J$3</c:f>
              <c:numCache>
                <c:formatCode>General</c:formatCode>
                <c:ptCount val="3"/>
                <c:pt idx="1">
                  <c:v>0.75370850845562165</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Fadrozole-0,016 µg/L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34" workbookViewId="0"/>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16"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6"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tabSelected="1" zoomScale="115" workbookViewId="0"/>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3321" cy="6049086"/>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0.64855</cdr:x>
      <cdr:y>0.06845</cdr:y>
    </cdr:to>
    <cdr:sp macro="" textlink="">
      <cdr:nvSpPr>
        <cdr:cNvPr id="2" name="ZoneTexte 1"/>
        <cdr:cNvSpPr txBox="1"/>
      </cdr:nvSpPr>
      <cdr:spPr>
        <a:xfrm xmlns:a="http://schemas.openxmlformats.org/drawingml/2006/main">
          <a:off x="3944854" y="102592"/>
          <a:ext cx="2075799"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Fadrozole-Low</a:t>
          </a:r>
          <a:r>
            <a:rPr lang="fr-FR" sz="1400" b="1" baseline="0"/>
            <a:t> concs R1</a:t>
          </a:r>
          <a:endParaRPr lang="fr-FR" sz="1400" b="1"/>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0.60389</cdr:x>
      <cdr:y>0.06651</cdr:y>
    </cdr:to>
    <cdr:sp macro="" textlink="">
      <cdr:nvSpPr>
        <cdr:cNvPr id="2" name="ZoneTexte 1"/>
        <cdr:cNvSpPr txBox="1"/>
      </cdr:nvSpPr>
      <cdr:spPr>
        <a:xfrm xmlns:a="http://schemas.openxmlformats.org/drawingml/2006/main">
          <a:off x="3482020" y="91017"/>
          <a:ext cx="21262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Fadrozole-Low</a:t>
          </a:r>
          <a:r>
            <a:rPr lang="fr-FR" sz="1400" b="1" baseline="0"/>
            <a:t> concs R2</a:t>
          </a:r>
          <a:endParaRPr lang="fr-FR" sz="1400" b="1"/>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0.60477</cdr:x>
      <cdr:y>0.06651</cdr:y>
    </cdr:to>
    <cdr:sp macro="" textlink="">
      <cdr:nvSpPr>
        <cdr:cNvPr id="2" name="ZoneTexte 1"/>
        <cdr:cNvSpPr txBox="1"/>
      </cdr:nvSpPr>
      <cdr:spPr>
        <a:xfrm xmlns:a="http://schemas.openxmlformats.org/drawingml/2006/main">
          <a:off x="3482020" y="91017"/>
          <a:ext cx="2134445"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baseline="0"/>
            <a:t>Fadrozole-Low concs R3</a:t>
          </a:r>
          <a:endParaRPr lang="fr-FR" sz="1400" b="1"/>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4804" cy="6046304"/>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19448319" y="10275875"/>
          <a:ext cx="8012986" cy="1097383"/>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19611795" y="3904262"/>
          <a:ext cx="8012986" cy="1097383"/>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8343680" y="10275875"/>
          <a:ext cx="8012986" cy="1097383"/>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8507156" y="3904262"/>
          <a:ext cx="8012986" cy="1097383"/>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s>
    <definedNames>
      <definedName name="DP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284.372660069443" createdVersion="5" refreshedVersion="6" minRefreshableVersion="3" recordCount="1556" xr:uid="{00000000-000A-0000-FFFF-FFFF0C000000}">
  <cacheSource type="worksheet">
    <worksheetSource name="Tableau4"/>
  </cacheSource>
  <cacheFields count="10">
    <cacheField name="Nom groupe" numFmtId="0">
      <sharedItems containsBlank="1" count="23">
        <s v="01 Evian + 0.2% DMSO"/>
        <s v=""/>
        <s v="02 EE2 33.8"/>
        <s v="03 EE2 50.6"/>
        <s v="04 EE2 76"/>
        <s v="05 EE2 114"/>
        <s v="06 EE2 170.9"/>
        <s v="07 EE2 488"/>
        <s v="08 Fadrozole 0.016 µg_L"/>
        <s v="09 Fadrozole 0.08 µg_L"/>
        <s v="10 Fadrozole 0.4 µg_L"/>
        <s v="11 Fadrozole 2 µg_L"/>
        <s v="12 Fadrozole 10 µg_L"/>
        <s v="01 Testo 30"/>
        <s v="02 Testo 30"/>
        <s v="03 Testo+ EE2 64"/>
        <s v="04 Testo+ FAD"/>
        <s v="05 Fadrozole 0.016 µg_L Dopé"/>
        <s v="06  Fadrozole 0.08 µg_L Dopé"/>
        <s v="07  Fadrozole 0.4 µg_L Dopé"/>
        <s v="08  Fadrozole 2 µg_L Dopé"/>
        <s v="09  Fadrozole 10 µg_L Dopé"/>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2" maxValue="69"/>
    </cacheField>
    <cacheField name=" " numFmtId="0">
      <sharedItems containsBlank="1" count="24">
        <s v=" "/>
        <m/>
        <s v=" SD mean fluo "/>
        <s v=" 3.364 "/>
        <s v=" 2.4479 "/>
        <s v=" 2.738 "/>
        <s v=" 5.2504 "/>
        <s v=" 1.5853 "/>
        <s v=" 8.0468 "/>
        <s v=" 4.6025 "/>
        <s v=" 2.5241 "/>
        <s v=" 1.7371 "/>
        <s v=" 1.2817 "/>
        <s v=" 3.335 "/>
        <s v=" 2.8381 "/>
        <s v=" 4.9771 "/>
        <s v=" 3.5107 "/>
        <s v=" 3.0542 "/>
        <s v=" 5.0793 "/>
        <s v=" 2.7457 "/>
        <s v=" 3.0232 "/>
        <s v=" 2.0513 "/>
        <s v=" 5.3312 "/>
        <s v=" 2.3584 "/>
      </sharedItems>
    </cacheField>
    <cacheField name=" total fluorescence" numFmtId="0">
      <sharedItems containsBlank="1" containsMixedTypes="1" containsNumber="1" containsInteger="1" minValue="4391" maxValue="8423806"/>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284.372660300927" createdVersion="5" refreshedVersion="6" minRefreshableVersion="3" recordCount="1530" xr:uid="{00000000-000A-0000-FFFF-FFFF10000000}">
  <cacheSource type="worksheet">
    <worksheetSource name="Tableau46"/>
  </cacheSource>
  <cacheFields count="10">
    <cacheField name="Nom groupe" numFmtId="0">
      <sharedItems count="22">
        <s v="01 Evian + 0.2% DMSO"/>
        <s v=""/>
        <s v="02 EE2 33.8"/>
        <s v="03 EE2 50.6"/>
        <s v="04 EE2 76"/>
        <s v="05 EE2 114"/>
        <s v="06 EE2 170.9"/>
        <s v="07 EE2 488"/>
        <s v="08 Fadrozole 0.016 µg_L"/>
        <s v="09 Fadrozole 0.08 µg_L"/>
        <s v="10 Fadrozole 0.4 µg_L"/>
        <s v="11 Fadrozole 2 µg_L"/>
        <s v="12 Fadrozole 10 µg_L"/>
        <s v="01 Testo 30"/>
        <s v="02 Testo 30"/>
        <s v="03 Testo+ EE2 64"/>
        <s v="04 Testo+ FAD"/>
        <s v="05 Fadrozole 0.016 µg_L Dopé"/>
        <s v="06  Fadrozole 0.08 µg_L Dopé"/>
        <s v="07  Fadrozole 0.4 µg_L Dopé"/>
        <s v="08  Fadrozole 2 µg_L Dopé"/>
        <s v="09  Fadrozole 10 µg_L Dopé"/>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77"/>
    </cacheField>
    <cacheField name=" " numFmtId="0">
      <sharedItems containsBlank="1" count="24">
        <s v=" "/>
        <m/>
        <s v=" SD mean fluo "/>
        <s v=" 2.3807 "/>
        <s v=" 4.2608 "/>
        <s v=" 2.7634 "/>
        <s v=" 5.7411 "/>
        <s v=" 3.0279 "/>
        <s v=" 3.418 "/>
        <s v=" 6.5728 "/>
        <s v=" 2.9222 "/>
        <s v=" 2.8035 "/>
        <s v=" 3.2584 "/>
        <s v=" 2.7864 "/>
        <s v=" 2.9559 "/>
        <s v=" 5.1274 "/>
        <s v=" 4.4643 "/>
        <s v=" 6.2928 "/>
        <s v=" 3.3124 "/>
        <s v=" 3.2466 "/>
        <s v=" 2.6194 "/>
        <s v=" 2.1297 "/>
        <s v=" 3.1718 "/>
        <s v=" 4.2 "/>
      </sharedItems>
    </cacheField>
    <cacheField name=" total fluorescence" numFmtId="0">
      <sharedItems containsBlank="1" containsMixedTypes="1" containsNumber="1" containsInteger="1" minValue="4607" maxValue="8669392"/>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284.372660300927" createdVersion="5" refreshedVersion="6" minRefreshableVersion="3" recordCount="1710" xr:uid="{00000000-000A-0000-FFFF-FFFF14000000}">
  <cacheSource type="worksheet">
    <worksheetSource name="Tableau467"/>
  </cacheSource>
  <cacheFields count="10">
    <cacheField name="Nom groupe" numFmtId="0">
      <sharedItems count="22">
        <s v="01 Evian + 0.2% DMSO"/>
        <s v=""/>
        <s v="02 EE2 33.8"/>
        <s v="03 EE2 50.6"/>
        <s v="04 EE2 76"/>
        <s v="05 EE2 114"/>
        <s v="06 EE2 170.9"/>
        <s v="07 EE2 488"/>
        <s v="08 Fadrozole 0.016 µg_L"/>
        <s v="09 Fadrozole 0.08 µg_L"/>
        <s v="10 Fadrozole 0.4 µg_L"/>
        <s v="11 Fadrozole 2 µg_L"/>
        <s v="12 Fadrozole 10 µg_L"/>
        <s v="01 Testo 30"/>
        <s v="02 Testo 30"/>
        <s v="03 Testo+ EE2 64"/>
        <s v="04 Testo+ FAD"/>
        <s v="05 Fadrozole 0.016 µg_L Dopé"/>
        <s v="06  Fadrozole 0.08 µg_L Dopé"/>
        <s v="07  Fadrozole 0.4 µg_L Dopé"/>
        <s v="08  Fadrozole 2 µg_L Dopé"/>
        <s v="09  Fadrozole 10 µg_L Dopé"/>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2" maxValue="76"/>
    </cacheField>
    <cacheField name=" " numFmtId="0">
      <sharedItems containsBlank="1" count="24">
        <m/>
        <s v=" "/>
        <s v=" SD mean fluo "/>
        <s v=" 1.7089 "/>
        <s v=" 2.8098 "/>
        <s v=" 4.8301 "/>
        <s v=" 3.0955 "/>
        <s v=" 5.0717 "/>
        <s v=" 6.2338 "/>
        <s v=" 8.7888 "/>
        <s v=" 4.1428 "/>
        <s v=" 3.5672 "/>
        <s v=" 3.9031 "/>
        <s v=" 2.6005 "/>
        <s v=" 2.0938 "/>
        <s v=" 3.3974 "/>
        <s v=" 5.3267 "/>
        <s v=" 5.3588 "/>
        <s v=" 1.8068 "/>
        <s v=" 5.6952 "/>
        <s v=" 4.4843 "/>
        <s v=" 1.6192 "/>
        <s v=" 3.2681 "/>
        <s v=" 1.7139 "/>
      </sharedItems>
    </cacheField>
    <cacheField name=" total fluorescence" numFmtId="0">
      <sharedItems containsBlank="1" containsMixedTypes="1" containsNumber="1" containsInteger="1" minValue="4261" maxValue="7506374"/>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284.372660416666" createdVersion="6" refreshedVersion="6" minRefreshableVersion="3" recordCount="52" xr:uid="{8DEF666A-6C7D-4C16-AD6D-82242760D5D9}">
  <cacheSource type="worksheet">
    <worksheetSource name="liste_groupe"/>
  </cacheSource>
  <cacheFields count="6">
    <cacheField name="Nom sur le graphique" numFmtId="0">
      <sharedItems count="24">
        <s v="Témoin solvant"/>
        <s v="EE2-22,5ng/L"/>
        <s v="EE2-33,8ng/L"/>
        <s v="EE2-50,6ng/L"/>
        <s v="EE2-76ng/L"/>
        <s v="EE2-114ng/L"/>
        <s v="EE2-170,9ng/L"/>
        <s v="EE2-488ng/L"/>
        <s v="Fadrozole 0,016µg/L"/>
        <s v="Fadrozole 0,08µg/L"/>
        <s v="Fadrozole 0,4µg/L"/>
        <s v="Fadrozole 2µg/L"/>
        <s v="Fadrozole 10µg/L"/>
        <s v=" "/>
        <s v="Testo -30µg/L"/>
        <s v="Testo 30µg/L + EE2 -64ng/L"/>
        <s v="Testo 30µg/L + FAD-10µg/L"/>
        <s v="Fadrozole-0,016 µg/L + Testostérone"/>
        <s v="Fadrozole-0,08µg/L + Testostérone"/>
        <s v="Fadrozole-0,4µg/L + Testostérone"/>
        <s v="Fadrozole-2µg/L + Testostérone"/>
        <s v="Fadrozole-10 µg/L + Testostérone"/>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images\20210318\plaque 1/@01 Evian + 0.2% DMSO/A1_01.tif "/>
    <s v=" 1968.3204 "/>
    <s v=" 64.3516 "/>
    <x v="0"/>
    <n v="126665"/>
    <m/>
    <m/>
    <m/>
  </r>
  <r>
    <x v="0"/>
    <x v="0"/>
    <s v="F:\images\20210318\plaque 1/@01 Evian + 0.2% DMSO/A1_02.tif "/>
    <s v=" 1989.9503 "/>
    <s v=" 65.3261 "/>
    <x v="0"/>
    <n v="129996"/>
    <m/>
    <m/>
    <m/>
  </r>
  <r>
    <x v="0"/>
    <x v="0"/>
    <s v="F:\images\20210318\plaque 1/@01 Evian + 0.2% DMSO/A1_03.tif "/>
    <s v=" 1795.2813 "/>
    <s v=" 65.6386 "/>
    <x v="0"/>
    <n v="117840"/>
    <m/>
    <m/>
    <m/>
  </r>
  <r>
    <x v="0"/>
    <x v="1"/>
    <s v="F:\images\20210318\plaque 1/@01 Evian + 0.2% DMSO/B1_01.tif "/>
    <s v=" 3352.6337 "/>
    <s v=" 67.7161 "/>
    <x v="0"/>
    <n v="227027"/>
    <m/>
    <m/>
    <m/>
  </r>
  <r>
    <x v="0"/>
    <x v="1"/>
    <s v="F:\images\20210318\plaque 1/@01 Evian + 0.2% DMSO/B1_02.tif "/>
    <s v=" 4282.7191 "/>
    <s v=" 68.7576 "/>
    <x v="0"/>
    <n v="294469"/>
    <m/>
    <m/>
    <m/>
  </r>
  <r>
    <x v="0"/>
    <x v="1"/>
    <s v="F:\images\20210318\plaque 1/@01 Evian + 0.2% DMSO/B1_03.tif "/>
    <s v=" 2184.6194 "/>
    <s v=" 65.2277 "/>
    <x v="0"/>
    <n v="142498"/>
    <m/>
    <m/>
    <m/>
  </r>
  <r>
    <x v="0"/>
    <x v="2"/>
    <s v="F:\images\20210318\plaque 1/@01 Evian + 0.2% DMSO/C1_01.tif "/>
    <s v=" 713.7865 "/>
    <s v=" 63.3939 "/>
    <x v="0"/>
    <n v="45250"/>
    <m/>
    <m/>
    <m/>
  </r>
  <r>
    <x v="0"/>
    <x v="2"/>
    <s v="F:\images\20210318\plaque 1/@01 Evian + 0.2% DMSO/C1_02.tif "/>
    <s v=" 692.1566 "/>
    <s v=" 62.9688 "/>
    <x v="0"/>
    <n v="43584"/>
    <m/>
    <m/>
    <m/>
  </r>
  <r>
    <x v="0"/>
    <x v="2"/>
    <s v="F:\images\20210318\plaque 1/@01 Evian + 0.2% DMSO/C1_03.tif "/>
    <s v=" 1103.1246 "/>
    <s v=" 63.4118 "/>
    <x v="0"/>
    <n v="69951"/>
    <m/>
    <m/>
    <m/>
  </r>
  <r>
    <x v="0"/>
    <x v="3"/>
    <s v="F:\images\20210318\plaque 1/@01 Evian + 0.2% DMSO/D1_01.tif "/>
    <s v=" 2336.0286 "/>
    <s v=" 64.5926 "/>
    <x v="0"/>
    <n v="150890"/>
    <m/>
    <m/>
    <m/>
  </r>
  <r>
    <x v="0"/>
    <x v="3"/>
    <s v="F:\images\20210318\plaque 1/@01 Evian + 0.2% DMSO/D1_02.tif "/>
    <s v=" 8219.36 "/>
    <s v=" 65.2105 "/>
    <x v="0"/>
    <n v="535989"/>
    <m/>
    <m/>
    <m/>
  </r>
  <r>
    <x v="0"/>
    <x v="3"/>
    <s v="F:\images\20210318\plaque 1/@01 Evian + 0.2% DMSO/D1_03.tif "/>
    <s v=" 7635.3528 "/>
    <s v=" 68.6261 "/>
    <x v="0"/>
    <n v="523984"/>
    <m/>
    <m/>
    <m/>
  </r>
  <r>
    <x v="0"/>
    <x v="4"/>
    <s v="F:\images\20210318\plaque 1/@01 Evian + 0.2% DMSO/E1_01.tif "/>
    <s v=" 6748.5271 "/>
    <s v=" 71.4968 "/>
    <x v="0"/>
    <n v="482498"/>
    <m/>
    <m/>
    <m/>
  </r>
  <r>
    <x v="0"/>
    <x v="4"/>
    <s v="F:\images\20210318\plaque 1/@01 Evian + 0.2% DMSO/E1_02.tif "/>
    <s v=" 713.7865 "/>
    <s v=" 64.5152 "/>
    <x v="0"/>
    <n v="46050"/>
    <m/>
    <m/>
    <m/>
  </r>
  <r>
    <x v="0"/>
    <x v="4"/>
    <s v="F:\images\20210318\plaque 1/@01 Evian + 0.2% DMSO/E1_03.tif "/>
    <s v=" 4239.4593 "/>
    <s v=" 72.4388 "/>
    <x v="0"/>
    <n v="307101"/>
    <m/>
    <m/>
    <m/>
  </r>
  <r>
    <x v="0"/>
    <x v="5"/>
    <s v="F:\images\20210318\plaque 1/@01 Evian + 0.2% DMSO/F1_01.tif "/>
    <s v=" 757.0463 "/>
    <s v=" 63.3714 "/>
    <x v="0"/>
    <n v="47975"/>
    <m/>
    <m/>
    <m/>
  </r>
  <r>
    <x v="0"/>
    <x v="5"/>
    <s v="F:\images\20210318\plaque 1/@01 Evian + 0.2% DMSO/F1_02.tif "/>
    <s v=" 194.6691 "/>
    <s v=" 63.5556 "/>
    <x v="0"/>
    <n v="12372"/>
    <m/>
    <m/>
    <m/>
  </r>
  <r>
    <x v="0"/>
    <x v="5"/>
    <s v="F:\images\20210318\plaque 1/@01 Evian + 0.2% DMSO/F1_03.tif "/>
    <s v=" 367.7082 "/>
    <s v=" 63.1765 "/>
    <x v="0"/>
    <n v="23231"/>
    <m/>
    <m/>
    <m/>
  </r>
  <r>
    <x v="0"/>
    <x v="6"/>
    <s v="F:\images\20210318\plaque 1/@01 Evian + 0.2% DMSO/G1_01.tif "/>
    <s v=" 2119.7297 "/>
    <s v=" 65.3469 "/>
    <x v="0"/>
    <n v="138518"/>
    <m/>
    <m/>
    <m/>
  </r>
  <r>
    <x v="0"/>
    <x v="6"/>
    <s v="F:\images\20210318\plaque 1/@01 Evian + 0.2% DMSO/G1_02.tif "/>
    <s v=" 173.0392 "/>
    <s v=" 63.375 "/>
    <x v="0"/>
    <n v="10966"/>
    <m/>
    <m/>
    <m/>
  </r>
  <r>
    <x v="0"/>
    <x v="6"/>
    <s v="F:\images\20210318\plaque 1/@01 Evian + 0.2% DMSO/G1_03.tif "/>
    <s v=" 4585.5377 "/>
    <s v=" 70.3113 "/>
    <x v="0"/>
    <n v="322415"/>
    <m/>
    <m/>
    <m/>
  </r>
  <r>
    <x v="0"/>
    <x v="7"/>
    <s v="F:\images\20210318\plaque 1/@01 Evian + 0.2% DMSO/H1_01.tif "/>
    <s v=" 7246.0147 "/>
    <s v=" 72.8687 "/>
    <x v="0"/>
    <n v="528007"/>
    <m/>
    <m/>
    <m/>
  </r>
  <r>
    <x v="0"/>
    <x v="7"/>
    <s v="F:\images\20210318\plaque 1/@01 Evian + 0.2% DMSO/H1_02.tif "/>
    <s v=" 5969.8509 "/>
    <s v=" 71.6594 "/>
    <x v="0"/>
    <n v="427796"/>
    <m/>
    <m/>
    <m/>
  </r>
  <r>
    <x v="0"/>
    <x v="7"/>
    <s v="F:\images\20210318\plaque 1/@01 Evian + 0.2% DMSO/H1_03.tif "/>
    <s v=" 540.7474 "/>
    <s v=" 62.12 "/>
    <x v="0"/>
    <n v="33591"/>
    <m/>
    <m/>
    <m/>
  </r>
  <r>
    <x v="1"/>
    <x v="8"/>
    <s v=" "/>
    <m/>
    <m/>
    <x v="1"/>
    <m/>
    <m/>
    <m/>
    <m/>
  </r>
  <r>
    <x v="1"/>
    <x v="8"/>
    <s v="group "/>
    <s v=" "/>
    <s v=" mean of mean fluo "/>
    <x v="2"/>
    <s v=" mean of total fluo "/>
    <s v=" SD total fluo "/>
    <s v=" n fluorescent "/>
    <s v=" n total"/>
  </r>
  <r>
    <x v="0"/>
    <x v="9"/>
    <s v="F:\images\20210318\plaque 1/@01 Evian + 0.2% DMSO/ "/>
    <s v=" "/>
    <s v=" 66.2274 "/>
    <x v="3"/>
    <s v=" 199527.625 "/>
    <s v=" 181992.29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318\plaque 1/@02 EE2 33.8/A2_01.tif "/>
    <s v=" 108.1495 "/>
    <s v=" 66.4 "/>
    <x v="0"/>
    <n v="7181"/>
    <m/>
    <m/>
    <m/>
  </r>
  <r>
    <x v="2"/>
    <x v="0"/>
    <s v="F:\images\20210318\plaque 1/@02 EE2 33.8/A2_02.tif "/>
    <s v=" 432.5979 "/>
    <s v=" 62.4 "/>
    <x v="0"/>
    <n v="26994"/>
    <m/>
    <m/>
    <m/>
  </r>
  <r>
    <x v="2"/>
    <x v="0"/>
    <s v="F:\images\20210318\plaque 1/@02 EE2 33.8/A2_03.tif "/>
    <s v=" 389.3381 "/>
    <s v=" 62.1111 "/>
    <x v="0"/>
    <n v="24182"/>
    <m/>
    <m/>
    <m/>
  </r>
  <r>
    <x v="2"/>
    <x v="1"/>
    <s v="F:\images\20210318\plaque 1/@02 EE2 33.8/B2_01.tif "/>
    <s v=" 865.1958 "/>
    <s v=" 64.15 "/>
    <x v="0"/>
    <n v="55502"/>
    <m/>
    <m/>
    <m/>
  </r>
  <r>
    <x v="2"/>
    <x v="1"/>
    <s v="F:\images\20210318\plaque 1/@02 EE2 33.8/B2_02.tif "/>
    <s v=" 346.0783 "/>
    <s v=" 64.25 "/>
    <x v="0"/>
    <n v="22236"/>
    <m/>
    <m/>
    <m/>
  </r>
  <r>
    <x v="2"/>
    <x v="1"/>
    <s v="F:\images\20210318\plaque 1/@02 EE2 33.8/B2_03.tif "/>
    <s v=" 3244.4842 "/>
    <s v=" 68.2467 "/>
    <x v="0"/>
    <n v="221425"/>
    <m/>
    <m/>
    <m/>
  </r>
  <r>
    <x v="2"/>
    <x v="2"/>
    <s v="F:\images\20210318\plaque 1/@02 EE2 33.8/C2_01.tif "/>
    <s v=" 843.5659 "/>
    <n v="64"/>
    <x v="0"/>
    <n v="53988"/>
    <m/>
    <m/>
    <m/>
  </r>
  <r>
    <x v="2"/>
    <x v="2"/>
    <s v="F:\images\20210318\plaque 1/@02 EE2 33.8/C2_02.tif "/>
    <s v=" 1124.7545 "/>
    <s v=" 62.5769 "/>
    <x v="0"/>
    <n v="70384"/>
    <m/>
    <m/>
    <m/>
  </r>
  <r>
    <x v="2"/>
    <x v="2"/>
    <s v="F:\images\20210318\plaque 1/@02 EE2 33.8/C2_03- exclu.tif"/>
    <m/>
    <m/>
    <x v="1"/>
    <m/>
    <m/>
    <m/>
    <m/>
  </r>
  <r>
    <x v="2"/>
    <x v="3"/>
    <s v="F:\images\20210318\plaque 1/@02 EE2 33.8/D2_01.tif "/>
    <s v=" 1665.5019 "/>
    <s v=" 63.8052 "/>
    <x v="0"/>
    <n v="106268"/>
    <m/>
    <m/>
    <m/>
  </r>
  <r>
    <x v="2"/>
    <x v="3"/>
    <s v="F:\images\20210318\plaque 1/@02 EE2 33.8/D2_02.tif "/>
    <s v=" 432.5979 "/>
    <s v=" 62.65 "/>
    <x v="0"/>
    <n v="27102"/>
    <m/>
    <m/>
    <m/>
  </r>
  <r>
    <x v="2"/>
    <x v="3"/>
    <s v="F:\images\20210318\plaque 1/@02 EE2 33.8/D2_03.tif "/>
    <s v=" 1103.1246 "/>
    <s v=" 64.902 "/>
    <x v="0"/>
    <n v="71595"/>
    <m/>
    <m/>
    <m/>
  </r>
  <r>
    <x v="2"/>
    <x v="4"/>
    <s v="F:\images\20210318\plaque 1/@02 EE2 33.8/E2_01.tif "/>
    <s v=" 216.2989 "/>
    <n v="63"/>
    <x v="0"/>
    <n v="13627"/>
    <m/>
    <m/>
    <m/>
  </r>
  <r>
    <x v="2"/>
    <x v="4"/>
    <s v="F:\images\20210318\plaque 1/@02 EE2 33.8/E2_02.tif "/>
    <s v=" 216.2989 "/>
    <s v=" 67.7 "/>
    <x v="0"/>
    <n v="14643"/>
    <m/>
    <m/>
    <m/>
  </r>
  <r>
    <x v="2"/>
    <x v="4"/>
    <s v="F:\images\20210318\plaque 1/@02 EE2 33.8/E2_03.tif "/>
    <s v=" 151.4093 "/>
    <s v=" 61.5714 "/>
    <x v="0"/>
    <n v="9322"/>
    <m/>
    <m/>
    <m/>
  </r>
  <r>
    <x v="2"/>
    <x v="5"/>
    <s v="F:\images\20210318\plaque 1/@02 EE2 33.8/F2_01.tif "/>
    <s v=" 3179.5945 "/>
    <s v=" 68.1293 "/>
    <x v="0"/>
    <n v="216623"/>
    <m/>
    <m/>
    <m/>
  </r>
  <r>
    <x v="2"/>
    <x v="5"/>
    <s v="F:\images\20210318\plaque 1/@02 EE2 33.8/F2_02.tif "/>
    <s v=" 1449.2029 "/>
    <s v=" 64.0896 "/>
    <x v="0"/>
    <n v="92879"/>
    <m/>
    <m/>
    <m/>
  </r>
  <r>
    <x v="2"/>
    <x v="5"/>
    <s v="F:\images\20210318\plaque 1/@02 EE2 33.8/F2_03.tif "/>
    <s v=" 1752.0215 "/>
    <s v=" 64.0741 "/>
    <x v="0"/>
    <n v="112259"/>
    <m/>
    <m/>
    <m/>
  </r>
  <r>
    <x v="2"/>
    <x v="6"/>
    <s v="F:\images\20210318\plaque 1/@02 EE2 33.8/G2_01.tif "/>
    <s v=" 4131.3099 "/>
    <n v="69"/>
    <x v="0"/>
    <n v="285060"/>
    <m/>
    <m/>
    <m/>
  </r>
  <r>
    <x v="2"/>
    <x v="6"/>
    <s v="F:\images\20210318\plaque 1/@02 EE2 33.8/G2_02.tif "/>
    <s v=" 6337.5591 "/>
    <s v=" 67.785 "/>
    <x v="0"/>
    <n v="429591"/>
    <m/>
    <m/>
    <m/>
  </r>
  <r>
    <x v="2"/>
    <x v="6"/>
    <s v="F:\images\20210318\plaque 1/@02 EE2 33.8/G2_03.tif "/>
    <s v=" 2617.2173 "/>
    <s v=" 65.1983 "/>
    <x v="0"/>
    <n v="170638"/>
    <m/>
    <m/>
    <m/>
  </r>
  <r>
    <x v="2"/>
    <x v="7"/>
    <s v="F:\images\20210318\plaque 1/@02 EE2 33.8/H2_01.tif "/>
    <s v=" 3460.7831 "/>
    <s v=" 64.425 "/>
    <x v="0"/>
    <n v="222961"/>
    <m/>
    <m/>
    <m/>
  </r>
  <r>
    <x v="2"/>
    <x v="7"/>
    <s v="F:\images\20210318\plaque 1/@02 EE2 33.8/H2_02.tif "/>
    <s v=" 2011.5802 "/>
    <s v=" 68.3656 "/>
    <x v="0"/>
    <n v="137523"/>
    <m/>
    <m/>
    <m/>
  </r>
  <r>
    <x v="2"/>
    <x v="7"/>
    <s v="F:\images\20210318\plaque 1/@02 EE2 33.8/H2_03.tif "/>
    <s v=" 4499.0181 "/>
    <s v=" 69.7212 "/>
    <x v="0"/>
    <n v="313677"/>
    <m/>
    <m/>
    <m/>
  </r>
  <r>
    <x v="1"/>
    <x v="8"/>
    <s v=" "/>
    <m/>
    <m/>
    <x v="1"/>
    <m/>
    <m/>
    <m/>
    <m/>
  </r>
  <r>
    <x v="1"/>
    <x v="8"/>
    <s v="group "/>
    <s v=" "/>
    <s v=" mean of mean fluo "/>
    <x v="2"/>
    <s v=" mean of total fluo "/>
    <s v=" SD total fluo "/>
    <s v=" n fluorescent "/>
    <s v=" n total"/>
  </r>
  <r>
    <x v="2"/>
    <x v="9"/>
    <s v="F:\images\20210318\plaque 1/@02 EE2 33.8/ "/>
    <s v=" "/>
    <s v=" 65.0762 "/>
    <x v="4"/>
    <s v=" 113762.333 "/>
    <s v=" 114127.3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318\plaque 1/@03 EE2 50.6/A3_01.tif "/>
    <s v=" 3482.413 "/>
    <s v=" 64.1863 "/>
    <x v="0"/>
    <n v="223523"/>
    <m/>
    <m/>
    <m/>
  </r>
  <r>
    <x v="3"/>
    <x v="0"/>
    <s v="F:\images\20210318\plaque 1/@03 EE2 50.6/A3_02.tif "/>
    <s v=" 821.936 "/>
    <s v=" 64.0263 "/>
    <x v="0"/>
    <n v="52626"/>
    <m/>
    <m/>
    <m/>
  </r>
  <r>
    <x v="3"/>
    <x v="0"/>
    <s v="F:\images\20210318\plaque 1/@03 EE2 50.6/A3_03.tif "/>
    <s v=" 627.2669 "/>
    <s v=" 63.8276 "/>
    <x v="0"/>
    <n v="40037"/>
    <m/>
    <m/>
    <m/>
  </r>
  <r>
    <x v="3"/>
    <x v="1"/>
    <s v="F:\images\20210318\plaque 1/@03 EE2 50.6/B3_01.tif "/>
    <s v=" 908.4556 "/>
    <s v=" 62.4286 "/>
    <x v="0"/>
    <n v="56714"/>
    <m/>
    <m/>
    <m/>
  </r>
  <r>
    <x v="3"/>
    <x v="1"/>
    <s v="F:\images\20210318\plaque 1/@03 EE2 50.6/B3_02.tif "/>
    <s v=" 670.5267 "/>
    <s v=" 63.7419 "/>
    <x v="0"/>
    <n v="42741"/>
    <m/>
    <m/>
    <m/>
  </r>
  <r>
    <x v="3"/>
    <x v="1"/>
    <s v="F:\images\20210318\plaque 1/@03 EE2 50.6/B3_03.tif "/>
    <s v=" 497.4876 "/>
    <s v=" 62.913 "/>
    <x v="0"/>
    <n v="31298"/>
    <m/>
    <m/>
    <m/>
  </r>
  <r>
    <x v="3"/>
    <x v="2"/>
    <s v="F:\images\20210318\plaque 1/@03 EE2 50.6/C3_01.tif "/>
    <s v=" 2638.8471 "/>
    <s v=" 67.8033 "/>
    <x v="0"/>
    <n v="178922"/>
    <m/>
    <m/>
    <m/>
  </r>
  <r>
    <x v="3"/>
    <x v="2"/>
    <s v="F:\images\20210318\plaque 1/@03 EE2 50.6/C3_02.tif "/>
    <s v=" 4325.9789 "/>
    <s v=" 68.61 "/>
    <x v="0"/>
    <n v="296805"/>
    <m/>
    <m/>
    <m/>
  </r>
  <r>
    <x v="3"/>
    <x v="2"/>
    <s v="F:\images\20210318\plaque 1/@03 EE2 50.6/C3_03.tif "/>
    <s v=" 4088.0501 "/>
    <s v=" 69.7619 "/>
    <x v="0"/>
    <n v="285190"/>
    <m/>
    <m/>
    <m/>
  </r>
  <r>
    <x v="3"/>
    <x v="3"/>
    <s v="F:\images\20210318\plaque 1/@03 EE2 50.6/D3_01.tif "/>
    <s v=" 973.3453 "/>
    <s v=" 62.9778 "/>
    <x v="0"/>
    <n v="61299"/>
    <m/>
    <m/>
    <m/>
  </r>
  <r>
    <x v="3"/>
    <x v="3"/>
    <s v="F:\images\20210318\plaque 1/@03 EE2 50.6/D3_02.tif "/>
    <s v=" 627.2669 "/>
    <s v=" 63.2069 "/>
    <x v="0"/>
    <n v="39648"/>
    <m/>
    <m/>
    <m/>
  </r>
  <r>
    <x v="3"/>
    <x v="3"/>
    <s v="F:\images\20210318\plaque 1/@03 EE2 50.6/D3_03.tif "/>
    <s v=" 648.8968 "/>
    <s v=" 62.8 "/>
    <x v="0"/>
    <n v="40751"/>
    <m/>
    <m/>
    <m/>
  </r>
  <r>
    <x v="3"/>
    <x v="4"/>
    <s v="F:\images\20210318\plaque 1/@03 EE2 50.6/E3_01.tif "/>
    <s v=" 475.8577 "/>
    <s v=" 63.1364 "/>
    <x v="0"/>
    <n v="30044"/>
    <m/>
    <m/>
    <m/>
  </r>
  <r>
    <x v="3"/>
    <x v="4"/>
    <s v="F:\images\20210318\plaque 1/@03 EE2 50.6/E3_02.tif "/>
    <s v=" 389.3381 "/>
    <s v=" 62.4444 "/>
    <x v="0"/>
    <n v="24312"/>
    <m/>
    <m/>
    <m/>
  </r>
  <r>
    <x v="3"/>
    <x v="4"/>
    <s v="F:\images\20210318\plaque 1/@03 EE2 50.6/E3_03.tif "/>
    <s v=" 1925.0606 "/>
    <s v=" 64.2697 "/>
    <x v="0"/>
    <n v="123723"/>
    <m/>
    <m/>
    <m/>
  </r>
  <r>
    <x v="3"/>
    <x v="5"/>
    <s v="F:\images\20210318\plaque 1/@03 EE2 50.6/F3_01.tif "/>
    <s v=" 3785.2316 "/>
    <s v=" 63.9657 "/>
    <x v="0"/>
    <n v="242125"/>
    <m/>
    <m/>
    <m/>
  </r>
  <r>
    <x v="3"/>
    <x v="5"/>
    <s v="F:\images\20210318\plaque 1/@03 EE2 50.6/F3_02.tif "/>
    <s v=" 6510.5983 "/>
    <s v=" 71.1196 "/>
    <x v="0"/>
    <n v="463031"/>
    <m/>
    <m/>
    <m/>
  </r>
  <r>
    <x v="3"/>
    <x v="5"/>
    <s v="F:\images\20210318\plaque 1/@03 EE2 50.6/F3_03.tif "/>
    <s v=" 5429.1036 "/>
    <s v=" 68.4024 "/>
    <x v="0"/>
    <n v="371364"/>
    <m/>
    <m/>
    <m/>
  </r>
  <r>
    <x v="3"/>
    <x v="6"/>
    <s v="F:\images\20210318\plaque 1/@03 EE2 50.6/G3_01.tif "/>
    <s v=" 3763.6017 "/>
    <s v=" 65.931 "/>
    <x v="0"/>
    <n v="248138"/>
    <m/>
    <m/>
    <m/>
  </r>
  <r>
    <x v="3"/>
    <x v="6"/>
    <s v="F:\images\20210318\plaque 1/@03 EE2 50.6/G3_02.tif "/>
    <s v=" 4152.9398 "/>
    <s v=" 67.7188 "/>
    <x v="0"/>
    <n v="281232"/>
    <m/>
    <m/>
    <m/>
  </r>
  <r>
    <x v="3"/>
    <x v="6"/>
    <s v="F:\images\20210318\plaque 1/@03 EE2 50.6/G3_03.tif "/>
    <s v=" 4131.3099 "/>
    <s v=" 68.7644 "/>
    <x v="0"/>
    <n v="284087"/>
    <m/>
    <m/>
    <m/>
  </r>
  <r>
    <x v="3"/>
    <x v="7"/>
    <s v="F:\images\20210318\plaque 1/@03 EE2 50.6/H3_01.tif "/>
    <s v=" 692.1566 "/>
    <s v=" 61.9375 "/>
    <x v="0"/>
    <n v="42870"/>
    <m/>
    <m/>
    <m/>
  </r>
  <r>
    <x v="3"/>
    <x v="7"/>
    <s v="F:\images\20210318\plaque 1/@03 EE2 50.6/H3_02.tif "/>
    <s v=" 1081.4947 "/>
    <s v=" 62.72 "/>
    <x v="0"/>
    <n v="67831"/>
    <m/>
    <m/>
    <m/>
  </r>
  <r>
    <x v="3"/>
    <x v="7"/>
    <s v="F:\images\20210318\plaque 1/@03 EE2 50.6/H3_03.tif "/>
    <s v=" 908.4556 "/>
    <s v=" 63.119 "/>
    <x v="0"/>
    <n v="57341"/>
    <m/>
    <m/>
    <m/>
  </r>
  <r>
    <x v="1"/>
    <x v="8"/>
    <s v=" "/>
    <m/>
    <m/>
    <x v="1"/>
    <m/>
    <m/>
    <m/>
    <m/>
  </r>
  <r>
    <x v="1"/>
    <x v="8"/>
    <s v="group "/>
    <s v=" "/>
    <s v=" mean of mean fluo "/>
    <x v="2"/>
    <s v=" mean of total fluo "/>
    <s v=" SD total fluo "/>
    <s v=" n fluorescent "/>
    <s v=" n total"/>
  </r>
  <r>
    <x v="3"/>
    <x v="9"/>
    <s v="F:\images\20210318\plaque 1/@03 EE2 50.6/ "/>
    <s v=" "/>
    <s v=" 64.9922 "/>
    <x v="5"/>
    <s v=" 149402.167 "/>
    <s v=" 130536.38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318\plaque 1/@04 EE2 76/A4_01.tif "/>
    <s v=" 2119.7297 "/>
    <s v=" 63.4388 "/>
    <x v="0"/>
    <n v="134473"/>
    <m/>
    <m/>
    <m/>
  </r>
  <r>
    <x v="4"/>
    <x v="0"/>
    <s v="F:\images\20210318\plaque 1/@04 EE2 76/A4_02.tif "/>
    <s v=" 4239.4593 "/>
    <s v=" 69.3061 "/>
    <x v="0"/>
    <n v="293820"/>
    <m/>
    <m/>
    <m/>
  </r>
  <r>
    <x v="4"/>
    <x v="0"/>
    <s v="F:\images\20210318\plaque 1/@04 EE2 76/A4_03.tif "/>
    <s v=" 1557.3524 "/>
    <s v=" 63.0417 "/>
    <x v="0"/>
    <n v="98178"/>
    <m/>
    <m/>
    <m/>
  </r>
  <r>
    <x v="4"/>
    <x v="1"/>
    <s v="F:\images\20210318\plaque 1/@04 EE2 76/B4_01.tif "/>
    <s v=" 302.8185 "/>
    <s v=" 64.8571 "/>
    <x v="0"/>
    <n v="19640"/>
    <m/>
    <m/>
    <m/>
  </r>
  <r>
    <x v="4"/>
    <x v="1"/>
    <s v="F:\images\20210318\plaque 1/@04 EE2 76/B4_02- exclu.tif"/>
    <m/>
    <m/>
    <x v="1"/>
    <m/>
    <m/>
    <m/>
    <m/>
  </r>
  <r>
    <x v="4"/>
    <x v="1"/>
    <s v="F:\images\20210318\plaque 1/@04 EE2 76/B4_03.tif "/>
    <s v=" 259.5587 "/>
    <s v=" 63.5 "/>
    <x v="0"/>
    <n v="16482"/>
    <m/>
    <m/>
    <m/>
  </r>
  <r>
    <x v="4"/>
    <x v="2"/>
    <s v="F:\images\20210318\plaque 1/@04 EE2 76/C4_01.tif "/>
    <s v=" 2855.1461 "/>
    <s v=" 65.6136 "/>
    <x v="0"/>
    <n v="187337"/>
    <m/>
    <m/>
    <m/>
  </r>
  <r>
    <x v="4"/>
    <x v="2"/>
    <s v="F:\images\20210318\plaque 1/@04 EE2 76/C4_02.tif "/>
    <s v=" 843.5659 "/>
    <s v=" 63.3333 "/>
    <x v="0"/>
    <n v="53426"/>
    <m/>
    <m/>
    <m/>
  </r>
  <r>
    <x v="4"/>
    <x v="2"/>
    <s v="F:\images\20210318\plaque 1/@04 EE2 76/C4_03.tif "/>
    <s v=" 1059.8648 "/>
    <s v=" 63.4898 "/>
    <x v="0"/>
    <n v="67291"/>
    <m/>
    <m/>
    <m/>
  </r>
  <r>
    <x v="4"/>
    <x v="3"/>
    <s v="F:\images\20210318\plaque 1/@04 EE2 76/D4_01.tif "/>
    <s v=" 1687.1318 "/>
    <s v=" 63.3077 "/>
    <x v="0"/>
    <n v="106808"/>
    <m/>
    <m/>
    <m/>
  </r>
  <r>
    <x v="4"/>
    <x v="3"/>
    <s v="F:\images\20210318\plaque 1/@04 EE2 76/D4_02.tif "/>
    <s v=" 1276.1638 "/>
    <s v=" 63.6271 "/>
    <x v="0"/>
    <n v="81199"/>
    <m/>
    <m/>
    <m/>
  </r>
  <r>
    <x v="4"/>
    <x v="3"/>
    <s v="F:\images\20210318\plaque 1/@04 EE2 76/D4_03.tif "/>
    <s v=" 2141.3596 "/>
    <s v=" 63.1414 "/>
    <x v="0"/>
    <n v="135208"/>
    <m/>
    <m/>
    <m/>
  </r>
  <r>
    <x v="4"/>
    <x v="4"/>
    <s v="F:\images\20210318\plaque 1/@04 EE2 76/E4_01.tif "/>
    <s v=" 2660.477 "/>
    <s v=" 64.4309 "/>
    <x v="0"/>
    <n v="171417"/>
    <m/>
    <m/>
    <m/>
  </r>
  <r>
    <x v="4"/>
    <x v="4"/>
    <s v="F:\images\20210318\plaque 1/@04 EE2 76/E4_02.tif "/>
    <s v=" 4001.5305 "/>
    <s v=" 69.2486 "/>
    <x v="0"/>
    <n v="277101"/>
    <m/>
    <m/>
    <m/>
  </r>
  <r>
    <x v="4"/>
    <x v="4"/>
    <s v="F:\images\20210318\plaque 1/@04 EE2 76/E4_03.tif "/>
    <s v=" 2379.2884 "/>
    <s v=" 67.4545 "/>
    <x v="0"/>
    <n v="160494"/>
    <m/>
    <m/>
    <m/>
  </r>
  <r>
    <x v="4"/>
    <x v="5"/>
    <s v="F:\images\20210318\plaque 1/@04 EE2 76/F4_01.tif "/>
    <s v=" 8760.1073 "/>
    <s v=" 69.5457 "/>
    <x v="0"/>
    <n v="609228"/>
    <m/>
    <m/>
    <m/>
  </r>
  <r>
    <x v="4"/>
    <x v="5"/>
    <s v="F:\images\20210318\plaque 1/@04 EE2 76/F4_02.tif "/>
    <s v=" 3439.1532 "/>
    <s v=" 66.434 "/>
    <x v="0"/>
    <n v="228477"/>
    <m/>
    <m/>
    <m/>
  </r>
  <r>
    <x v="4"/>
    <x v="5"/>
    <s v="F:\images\20210318\plaque 1/@04 EE2 76/F4_03.tif "/>
    <s v=" 5450.7334 "/>
    <s v=" 69.9484 "/>
    <x v="0"/>
    <n v="381270"/>
    <m/>
    <m/>
    <m/>
  </r>
  <r>
    <x v="4"/>
    <x v="6"/>
    <s v="F:\images\20210318\plaque 1/@04 EE2 76/G4_01- exclu.tif"/>
    <m/>
    <m/>
    <x v="1"/>
    <m/>
    <m/>
    <m/>
    <m/>
  </r>
  <r>
    <x v="4"/>
    <x v="6"/>
    <s v="F:\images\20210318\plaque 1/@04 EE2 76/G4_02.tif "/>
    <s v=" 88639.3082 "/>
    <s v=" 80.3021 "/>
    <x v="0"/>
    <n v="7117922"/>
    <m/>
    <m/>
    <m/>
  </r>
  <r>
    <x v="4"/>
    <x v="6"/>
    <s v="F:\images\20210318\plaque 1/@04 EE2 76/G4_03.tif "/>
    <s v=" 81047.2152 "/>
    <s v=" 75.8321 "/>
    <x v="0"/>
    <n v="6145983"/>
    <m/>
    <m/>
    <m/>
  </r>
  <r>
    <x v="4"/>
    <x v="7"/>
    <s v="F:\images\20210318\plaque 1/@04 EE2 76/H4_01.tif "/>
    <s v=" 2703.7368 "/>
    <s v=" 63.928 "/>
    <x v="0"/>
    <n v="172844"/>
    <m/>
    <m/>
    <m/>
  </r>
  <r>
    <x v="4"/>
    <x v="7"/>
    <s v="F:\images\20210318\plaque 1/@04 EE2 76/H4_02.tif "/>
    <s v=" 3590.5625 "/>
    <s v=" 66.0843 "/>
    <x v="0"/>
    <n v="237280"/>
    <m/>
    <m/>
    <m/>
  </r>
  <r>
    <x v="4"/>
    <x v="7"/>
    <s v="F:\images\20210318\plaque 1/@04 EE2 76/H4_03.tif "/>
    <s v=" 908.4556 "/>
    <s v=" 62.4048 "/>
    <x v="0"/>
    <n v="56692"/>
    <m/>
    <m/>
    <m/>
  </r>
  <r>
    <x v="1"/>
    <x v="8"/>
    <s v=" "/>
    <m/>
    <m/>
    <x v="1"/>
    <m/>
    <m/>
    <m/>
    <m/>
  </r>
  <r>
    <x v="1"/>
    <x v="8"/>
    <s v="group "/>
    <s v=" "/>
    <s v=" mean of mean fluo "/>
    <x v="2"/>
    <s v=" mean of total fluo "/>
    <s v=" SD total fluo "/>
    <s v=" n fluorescent "/>
    <s v=" n total"/>
  </r>
  <r>
    <x v="4"/>
    <x v="9"/>
    <s v="F:\images\20210318\plaque 1/@04 EE2 76/ "/>
    <s v=" "/>
    <s v=" 66.9711 "/>
    <x v="6"/>
    <s v=" 945641.875 "/>
    <s v=" 2117514.7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318\plaque 1/@05 EE2 114/A5_01.tif "/>
    <s v=" 38825.6609 "/>
    <s v=" 69.6095 "/>
    <x v="0"/>
    <n v="2702634"/>
    <m/>
    <m/>
    <m/>
  </r>
  <r>
    <x v="5"/>
    <x v="0"/>
    <s v="F:\images\20210318\plaque 1/@05 EE2 114/A5_02.tif "/>
    <s v=" 34672.7211 "/>
    <s v=" 67.7654 "/>
    <x v="0"/>
    <n v="2349612"/>
    <m/>
    <m/>
    <m/>
  </r>
  <r>
    <x v="5"/>
    <x v="0"/>
    <s v="F:\images\20210318\plaque 1/@05 EE2 114/A5_03.tif "/>
    <s v=" 34326.6428 "/>
    <s v=" 70.1141 "/>
    <x v="0"/>
    <n v="2406780"/>
    <m/>
    <m/>
    <m/>
  </r>
  <r>
    <x v="5"/>
    <x v="1"/>
    <s v="F:\images\20210318\plaque 1/@05 EE2 114/B5_01.tif "/>
    <s v=" 40188.3442 "/>
    <s v=" 66.8633 "/>
    <x v="0"/>
    <n v="2687125"/>
    <m/>
    <m/>
    <m/>
  </r>
  <r>
    <x v="5"/>
    <x v="1"/>
    <s v="F:\images\20210318\plaque 1/@05 EE2 114/B5_02- exclu.tif"/>
    <m/>
    <m/>
    <x v="1"/>
    <m/>
    <m/>
    <m/>
    <m/>
  </r>
  <r>
    <x v="5"/>
    <x v="1"/>
    <s v="F:\images\20210318\plaque 1/@05 EE2 114/B5_03.tif "/>
    <s v=" 30930.7493 "/>
    <s v=" 66.5846 "/>
    <x v="0"/>
    <n v="2059512"/>
    <m/>
    <m/>
    <m/>
  </r>
  <r>
    <x v="5"/>
    <x v="2"/>
    <s v="F:\images\20210318\plaque 1/@05 EE2 114/C5_01.tif "/>
    <s v=" 12956.3069 "/>
    <s v=" 66.0801 "/>
    <x v="0"/>
    <n v="856154"/>
    <m/>
    <m/>
    <m/>
  </r>
  <r>
    <x v="5"/>
    <x v="2"/>
    <s v="F:\images\20210318\plaque 1/@05 EE2 114/C5_02.tif "/>
    <s v=" 11831.5524 "/>
    <s v=" 66.5411 "/>
    <x v="0"/>
    <n v="787285"/>
    <m/>
    <m/>
    <m/>
  </r>
  <r>
    <x v="5"/>
    <x v="2"/>
    <s v="F:\images\20210318\plaque 1/@05 EE2 114/C5_03.tif "/>
    <s v=" 10036.2711 "/>
    <s v=" 65.4763 "/>
    <x v="0"/>
    <n v="657138"/>
    <m/>
    <m/>
    <m/>
  </r>
  <r>
    <x v="5"/>
    <x v="3"/>
    <s v="F:\images\20210318\plaque 1/@05 EE2 114/D5_01.tif "/>
    <s v=" 22970.9481 "/>
    <s v=" 67.7778 "/>
    <x v="0"/>
    <n v="1556920"/>
    <m/>
    <m/>
    <m/>
  </r>
  <r>
    <x v="5"/>
    <x v="3"/>
    <s v="F:\images\20210318\plaque 1/@05 EE2 114/D5_02.tif "/>
    <s v=" 10836.5772 "/>
    <s v=" 65.2176 "/>
    <x v="0"/>
    <n v="706735"/>
    <m/>
    <m/>
    <m/>
  </r>
  <r>
    <x v="5"/>
    <x v="3"/>
    <s v="F:\images\20210318\plaque 1/@05 EE2 114/D5_03.tif "/>
    <s v=" 8024.6909 "/>
    <s v=" 63.7736 "/>
    <x v="0"/>
    <n v="511763"/>
    <m/>
    <m/>
    <m/>
  </r>
  <r>
    <x v="5"/>
    <x v="4"/>
    <s v="F:\images\20210318\plaque 1/@05 EE2 114/E5_01.tif "/>
    <s v=" 24333.6315 "/>
    <s v=" 66.4382 "/>
    <x v="0"/>
    <n v="1616683"/>
    <m/>
    <m/>
    <m/>
  </r>
  <r>
    <x v="5"/>
    <x v="4"/>
    <s v="F:\images\20210318\plaque 1/@05 EE2 114/E5_02.tif "/>
    <s v=" 26756.1797 "/>
    <s v=" 67.785 "/>
    <x v="0"/>
    <n v="1813667"/>
    <m/>
    <m/>
    <m/>
  </r>
  <r>
    <x v="5"/>
    <x v="4"/>
    <s v="F:\images\20210318\plaque 1/@05 EE2 114/E5_03.tif "/>
    <s v=" 21413.5957 "/>
    <s v=" 67.498 "/>
    <x v="0"/>
    <n v="1445374"/>
    <m/>
    <m/>
    <m/>
  </r>
  <r>
    <x v="5"/>
    <x v="5"/>
    <s v="F:\images\20210318\plaque 1/@05 EE2 114/F5_01.tif "/>
    <s v=" 27707.895 "/>
    <s v=" 66.9493 "/>
    <x v="0"/>
    <n v="1855023"/>
    <m/>
    <m/>
    <m/>
  </r>
  <r>
    <x v="5"/>
    <x v="5"/>
    <s v="F:\images\20210318\plaque 1/@05 EE2 114/F5_02.tif "/>
    <s v=" 22300.4214 "/>
    <s v=" 66.161 "/>
    <x v="0"/>
    <n v="1475418"/>
    <m/>
    <m/>
    <m/>
  </r>
  <r>
    <x v="5"/>
    <x v="5"/>
    <s v="F:\images\20210318\plaque 1/@05 EE2 114/F5_03.tif "/>
    <s v=" 14492.0294 "/>
    <s v=" 65.2672 "/>
    <x v="0"/>
    <n v="945854"/>
    <m/>
    <m/>
    <m/>
  </r>
  <r>
    <x v="5"/>
    <x v="6"/>
    <s v="F:\images\20210318\plaque 1/@05 EE2 114/G5_01.tif "/>
    <s v=" 23598.215 "/>
    <s v=" 67.6783 "/>
    <x v="0"/>
    <n v="1597087"/>
    <m/>
    <m/>
    <m/>
  </r>
  <r>
    <x v="5"/>
    <x v="6"/>
    <s v="F:\images\20210318\plaque 1/@05 EE2 114/G5_02- exclu.tif"/>
    <m/>
    <m/>
    <x v="1"/>
    <m/>
    <m/>
    <m/>
    <m/>
  </r>
  <r>
    <x v="5"/>
    <x v="6"/>
    <s v="F:\images\20210318\plaque 1/@05 EE2 114/G5_03.tif "/>
    <s v=" 24831.119 "/>
    <s v=" 68.1071 "/>
    <x v="0"/>
    <n v="1691177"/>
    <m/>
    <m/>
    <m/>
  </r>
  <r>
    <x v="5"/>
    <x v="7"/>
    <s v="F:\images\20210318\plaque 1/@05 EE2 114/H5_01.tif "/>
    <s v=" 32228.543 "/>
    <s v=" 70.0752 "/>
    <x v="0"/>
    <n v="2258421"/>
    <m/>
    <m/>
    <m/>
  </r>
  <r>
    <x v="5"/>
    <x v="7"/>
    <s v="F:\images\20210318\plaque 1/@05 EE2 114/H5_02.tif "/>
    <s v=" 31276.8276 "/>
    <s v=" 68.4212 "/>
    <x v="0"/>
    <n v="2139997"/>
    <m/>
    <m/>
    <m/>
  </r>
  <r>
    <x v="5"/>
    <x v="7"/>
    <s v="F:\images\20210318\plaque 1/@05 EE2 114/H5_03.tif "/>
    <s v=" 43367.9387 "/>
    <s v=" 69.2913 "/>
    <x v="0"/>
    <n v="3005020"/>
    <m/>
    <m/>
    <m/>
  </r>
  <r>
    <x v="1"/>
    <x v="8"/>
    <s v=" "/>
    <m/>
    <m/>
    <x v="1"/>
    <m/>
    <m/>
    <m/>
    <m/>
  </r>
  <r>
    <x v="1"/>
    <x v="8"/>
    <s v="group "/>
    <s v=" "/>
    <s v=" mean of mean fluo "/>
    <x v="2"/>
    <s v=" mean of total fluo "/>
    <s v=" SD total fluo "/>
    <s v=" n fluorescent "/>
    <s v=" n total"/>
  </r>
  <r>
    <x v="5"/>
    <x v="9"/>
    <s v="F:\images\20210318\plaque 1/@05 EE2 114/ "/>
    <s v=" "/>
    <s v=" 67.1876 "/>
    <x v="7"/>
    <s v=" 1676558.42 "/>
    <s v=" 705530.46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318\plaque 1/@06 EE2 170.9/A6_01.tif "/>
    <s v=" 23079.0976 "/>
    <s v=" 68.2999 "/>
    <x v="0"/>
    <n v="1576300"/>
    <m/>
    <m/>
    <m/>
  </r>
  <r>
    <x v="6"/>
    <x v="0"/>
    <s v="F:\images\20210318\plaque 1/@06 EE2 170.9/A6_02.tif "/>
    <s v=" 20743.0689 "/>
    <s v=" 67.682 "/>
    <x v="0"/>
    <n v="1403932"/>
    <m/>
    <m/>
    <m/>
  </r>
  <r>
    <x v="6"/>
    <x v="0"/>
    <s v="F:\images\20210318\plaque 1/@06 EE2 170.9/A6_03.tif "/>
    <s v=" 19856.2433 "/>
    <s v=" 66.6917 "/>
    <x v="0"/>
    <n v="1324247"/>
    <m/>
    <m/>
    <m/>
  </r>
  <r>
    <x v="6"/>
    <x v="1"/>
    <s v="F:\images\20210318\plaque 1/@06 EE2 170.9/B6_01.tif "/>
    <s v=" 93051.8067 "/>
    <s v=" 88.6106 "/>
    <x v="0"/>
    <n v="8245381"/>
    <m/>
    <m/>
    <m/>
  </r>
  <r>
    <x v="6"/>
    <x v="1"/>
    <s v="F:\images\20210318\plaque 1/@06 EE2 170.9/B6_02.tif "/>
    <s v=" 95993.4724 "/>
    <s v=" 87.7539 "/>
    <x v="0"/>
    <n v="8423806"/>
    <m/>
    <m/>
    <m/>
  </r>
  <r>
    <x v="6"/>
    <x v="1"/>
    <s v="F:\images\20210318\plaque 1/@06 EE2 170.9/B6_03.tif "/>
    <s v=" 91364.6749 "/>
    <s v=" 87.9432 "/>
    <x v="0"/>
    <n v="8034900"/>
    <m/>
    <m/>
    <m/>
  </r>
  <r>
    <x v="6"/>
    <x v="2"/>
    <s v="F:\images\20210318\plaque 1/@06 EE2 170.9/C6_01.tif "/>
    <s v=" 48104.8857 "/>
    <s v=" 86.3772 "/>
    <x v="0"/>
    <n v="4155168"/>
    <m/>
    <m/>
    <m/>
  </r>
  <r>
    <x v="6"/>
    <x v="2"/>
    <s v="F:\images\20210318\plaque 1/@06 EE2 170.9/C6_02.tif "/>
    <s v=" 51890.1172 "/>
    <s v=" 77.6311 "/>
    <x v="0"/>
    <n v="4028287"/>
    <m/>
    <m/>
    <m/>
  </r>
  <r>
    <x v="6"/>
    <x v="2"/>
    <s v="F:\images\20210318\plaque 1/@06 EE2 170.9/C6_03.tif "/>
    <s v=" 50895.1421 "/>
    <s v=" 81.6736 "/>
    <x v="0"/>
    <n v="4156790"/>
    <m/>
    <m/>
    <m/>
  </r>
  <r>
    <x v="6"/>
    <x v="3"/>
    <s v="F:\images\20210318\plaque 1/@06 EE2 170.9/D6_01.tif "/>
    <s v=" 33699.3758 "/>
    <s v=" 68.197 "/>
    <x v="0"/>
    <n v="2298198"/>
    <m/>
    <m/>
    <m/>
  </r>
  <r>
    <x v="6"/>
    <x v="3"/>
    <s v="F:\images\20210318\plaque 1/@06 EE2 170.9/D6_02.tif "/>
    <s v=" 31947.3544 "/>
    <s v=" 67.784 "/>
    <x v="0"/>
    <n v="2165520"/>
    <m/>
    <m/>
    <m/>
  </r>
  <r>
    <x v="6"/>
    <x v="3"/>
    <s v="F:\images\20210318\plaque 1/@06 EE2 170.9/D6_03.tif "/>
    <s v=" 30411.6318 "/>
    <s v=" 67.7518 "/>
    <x v="0"/>
    <n v="2060442"/>
    <m/>
    <m/>
    <m/>
  </r>
  <r>
    <x v="6"/>
    <x v="4"/>
    <s v="F:\images\20210318\plaque 1/@06 EE2 170.9/E6_01.tif "/>
    <s v=" 46655.6827 "/>
    <s v=" 71.8057 "/>
    <x v="0"/>
    <n v="3350146"/>
    <m/>
    <m/>
    <m/>
  </r>
  <r>
    <x v="6"/>
    <x v="4"/>
    <s v="F:\images\20210318\plaque 1/@06 EE2 170.9/E6_02.tif "/>
    <s v=" 40772.3514 "/>
    <s v=" 69.3629 "/>
    <x v="0"/>
    <n v="2828087"/>
    <m/>
    <m/>
    <m/>
  </r>
  <r>
    <x v="6"/>
    <x v="4"/>
    <s v="F:\images\20210318\plaque 1/@06 EE2 170.9/E6_03.tif "/>
    <s v=" 41810.5863 "/>
    <s v=" 70.2131 "/>
    <x v="0"/>
    <n v="2935653"/>
    <m/>
    <m/>
    <m/>
  </r>
  <r>
    <x v="6"/>
    <x v="5"/>
    <s v="F:\images\20210318\plaque 1/@06 EE2 170.9/F6_01.tif "/>
    <s v=" 26712.9199 "/>
    <s v=" 73.0947 "/>
    <x v="0"/>
    <n v="1952574"/>
    <m/>
    <m/>
    <m/>
  </r>
  <r>
    <x v="6"/>
    <x v="5"/>
    <s v="F:\images\20210318\plaque 1/@06 EE2 170.9/F6_02.tif "/>
    <s v=" 24549.9304 "/>
    <s v=" 75.6996 "/>
    <x v="0"/>
    <n v="1858419"/>
    <m/>
    <m/>
    <m/>
  </r>
  <r>
    <x v="6"/>
    <x v="5"/>
    <s v="F:\images\20210318\plaque 1/@06 EE2 170.9/F6_03.tif "/>
    <s v=" 22300.4214 "/>
    <s v=" 74.1183 "/>
    <x v="0"/>
    <n v="1652870"/>
    <m/>
    <m/>
    <m/>
  </r>
  <r>
    <x v="6"/>
    <x v="6"/>
    <s v="F:\images\20210318\plaque 1/@06 EE2 170.9/G6_01.tif "/>
    <s v=" 47888.5867 "/>
    <s v=" 73.6825 "/>
    <x v="0"/>
    <n v="3528550"/>
    <m/>
    <m/>
    <m/>
  </r>
  <r>
    <x v="6"/>
    <x v="6"/>
    <s v="F:\images\20210318\plaque 1/@06 EE2 170.9/G6_02.tif "/>
    <s v=" 46352.8642 "/>
    <s v=" 71.5105 "/>
    <x v="0"/>
    <n v="3314716"/>
    <m/>
    <m/>
    <m/>
  </r>
  <r>
    <x v="6"/>
    <x v="6"/>
    <s v="F:\images\20210318\plaque 1/@06 EE2 170.9/G6_03- exclu.tif"/>
    <m/>
    <m/>
    <x v="1"/>
    <m/>
    <m/>
    <m/>
    <m/>
  </r>
  <r>
    <x v="6"/>
    <x v="7"/>
    <s v="F:\images\20210318\plaque 1/@06 EE2 170.9/H6_01.tif "/>
    <s v=" 36987.1198 "/>
    <s v=" 86.0076 "/>
    <x v="0"/>
    <n v="3181173"/>
    <m/>
    <m/>
    <m/>
  </r>
  <r>
    <x v="6"/>
    <x v="7"/>
    <s v="F:\images\20210318\plaque 1/@06 EE2 170.9/H6_02.tif "/>
    <s v=" 37203.4188 "/>
    <s v=" 85.6145 "/>
    <x v="0"/>
    <n v="3185153"/>
    <m/>
    <m/>
    <m/>
  </r>
  <r>
    <x v="6"/>
    <x v="7"/>
    <s v="F:\images\20210318\plaque 1/@06 EE2 170.9/H6_03.tif "/>
    <s v=" 36035.4045 "/>
    <s v=" 88.4934 "/>
    <x v="0"/>
    <n v="3188895"/>
    <m/>
    <m/>
    <m/>
  </r>
  <r>
    <x v="1"/>
    <x v="8"/>
    <s v=" "/>
    <m/>
    <m/>
    <x v="1"/>
    <m/>
    <m/>
    <m/>
    <m/>
  </r>
  <r>
    <x v="1"/>
    <x v="8"/>
    <s v="group "/>
    <s v=" "/>
    <s v=" mean of mean fluo "/>
    <x v="2"/>
    <s v=" mean of total fluo "/>
    <s v=" SD total fluo "/>
    <s v=" n fluorescent "/>
    <s v=" n total"/>
  </r>
  <r>
    <x v="6"/>
    <x v="9"/>
    <s v="F:\images\20210318\plaque 1/@06 EE2 170.9/ "/>
    <s v=" "/>
    <s v=" 76.1735 "/>
    <x v="8"/>
    <s v=" 3414421.25 "/>
    <s v=" 2045207.4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318\plaque 1/@07 EE2 488/A7_01.tif "/>
    <s v=" 37311.5682 "/>
    <s v=" 85.0887 "/>
    <x v="0"/>
    <n v="3174793"/>
    <m/>
    <m/>
    <m/>
  </r>
  <r>
    <x v="7"/>
    <x v="0"/>
    <s v="F:\images\20210318\plaque 1/@07 EE2 488/A7_02.tif "/>
    <s v=" 28875.9093 "/>
    <s v=" 92.6232 "/>
    <x v="0"/>
    <n v="2674580"/>
    <m/>
    <m/>
    <m/>
  </r>
  <r>
    <x v="7"/>
    <x v="0"/>
    <s v="F:\images\20210318\plaque 1/@07 EE2 488/A7_03.tif "/>
    <s v=" 35797.4756 "/>
    <s v=" 85.9879 "/>
    <x v="0"/>
    <n v="3078150"/>
    <m/>
    <m/>
    <m/>
  </r>
  <r>
    <x v="7"/>
    <x v="1"/>
    <s v="F:\images\20210318\plaque 1/@07 EE2 488/B7_01.tif "/>
    <s v=" 74688.0262 "/>
    <s v=" 86.5769 "/>
    <x v="0"/>
    <n v="6466257"/>
    <m/>
    <m/>
    <m/>
  </r>
  <r>
    <x v="7"/>
    <x v="1"/>
    <s v="F:\images\20210318\plaque 1/@07 EE2 488/B7_02.tif "/>
    <s v=" 61493.7904 "/>
    <s v=" 87.2445 "/>
    <x v="0"/>
    <n v="5364993"/>
    <m/>
    <m/>
    <m/>
  </r>
  <r>
    <x v="7"/>
    <x v="1"/>
    <s v="F:\images\20210318\plaque 1/@07 EE2 488/B7_03.tif "/>
    <s v=" 77499.9125 "/>
    <s v=" 87.6606 "/>
    <x v="0"/>
    <n v="6793690"/>
    <m/>
    <m/>
    <m/>
  </r>
  <r>
    <x v="7"/>
    <x v="2"/>
    <s v="F:\images\20210318\plaque 1/@07 EE2 488/C7_01.tif "/>
    <s v=" 42199.9244 "/>
    <s v=" 88.8093 "/>
    <x v="0"/>
    <n v="3747747"/>
    <m/>
    <m/>
    <m/>
  </r>
  <r>
    <x v="7"/>
    <x v="2"/>
    <s v="F:\images\20210318\plaque 1/@07 EE2 488/C7_02.tif "/>
    <s v=" 50635.5833 "/>
    <s v=" 82.6053 "/>
    <x v="0"/>
    <n v="4182767"/>
    <m/>
    <m/>
    <m/>
  </r>
  <r>
    <x v="7"/>
    <x v="2"/>
    <s v="F:\images\20210318\plaque 1/@07 EE2 488/C7_03.tif "/>
    <s v=" 46547.5332 "/>
    <s v=" 86.6227 "/>
    <x v="0"/>
    <n v="4032072"/>
    <m/>
    <m/>
    <m/>
  </r>
  <r>
    <x v="7"/>
    <x v="3"/>
    <s v="F:\images\20210318\plaque 1/@07 EE2 488/D7_01.tif "/>
    <s v=" 56973.1425 "/>
    <s v=" 91.4301 "/>
    <x v="0"/>
    <n v="5209063"/>
    <m/>
    <m/>
    <m/>
  </r>
  <r>
    <x v="7"/>
    <x v="3"/>
    <s v="F:\images\20210318\plaque 1/@07 EE2 488/D7_02.tif "/>
    <s v=" 57449.0001 "/>
    <s v=" 90.7289 "/>
    <x v="0"/>
    <n v="5212285"/>
    <m/>
    <m/>
    <m/>
  </r>
  <r>
    <x v="7"/>
    <x v="3"/>
    <s v="F:\images\20210318\plaque 1/@07 EE2 488/D7_03.tif "/>
    <s v=" 53339.3202 "/>
    <s v=" 98.8605 "/>
    <x v="0"/>
    <n v="5273152"/>
    <m/>
    <m/>
    <m/>
  </r>
  <r>
    <x v="7"/>
    <x v="4"/>
    <s v="F:\images\20210318\plaque 1/@07 EE2 488/E7_01.tif "/>
    <s v=" 72784.5954 "/>
    <s v=" 90.7964 "/>
    <x v="0"/>
    <n v="6608582"/>
    <m/>
    <m/>
    <m/>
  </r>
  <r>
    <x v="7"/>
    <x v="4"/>
    <s v="F:\images\20210318\plaque 1/@07 EE2 488/E7_02.tif "/>
    <s v=" 72676.446 "/>
    <s v=" 88.0414 "/>
    <x v="0"/>
    <n v="6398534"/>
    <m/>
    <m/>
    <m/>
  </r>
  <r>
    <x v="7"/>
    <x v="4"/>
    <s v="F:\images\20210318\plaque 1/@07 EE2 488/E7_03.tif "/>
    <s v=" 67290.6022 "/>
    <s v=" 87.558 "/>
    <x v="0"/>
    <n v="5891832"/>
    <m/>
    <m/>
    <m/>
  </r>
  <r>
    <x v="7"/>
    <x v="5"/>
    <s v="F:\images\20210318\plaque 1/@07 EE2 488/F7_01.tif "/>
    <s v=" 36446.3724 "/>
    <s v=" 80.7591 "/>
    <x v="0"/>
    <n v="2943374"/>
    <m/>
    <m/>
    <m/>
  </r>
  <r>
    <x v="7"/>
    <x v="5"/>
    <s v="F:\images\20210318\plaque 1/@07 EE2 488/F7_02.tif "/>
    <s v=" 38674.2516 "/>
    <s v=" 78.0313 "/>
    <x v="0"/>
    <n v="3017803"/>
    <m/>
    <m/>
    <m/>
  </r>
  <r>
    <x v="7"/>
    <x v="5"/>
    <s v="F:\images\20210318\plaque 1/@07 EE2 488/F7_03.tif "/>
    <s v=" 34283.383 "/>
    <s v=" 82.1634 "/>
    <x v="0"/>
    <n v="2816840"/>
    <m/>
    <m/>
    <m/>
  </r>
  <r>
    <x v="7"/>
    <x v="6"/>
    <s v="F:\images\20210318\plaque 1/@07 EE2 488/G7_01.tif "/>
    <s v=" 59698.5092 "/>
    <s v=" 89.2362 "/>
    <x v="0"/>
    <n v="5327270"/>
    <m/>
    <m/>
    <m/>
  </r>
  <r>
    <x v="7"/>
    <x v="6"/>
    <s v="F:\images\20210318\plaque 1/@07 EE2 488/G7_02.tif "/>
    <s v=" 50289.505 "/>
    <s v=" 80.3609 "/>
    <x v="0"/>
    <n v="4041308"/>
    <m/>
    <m/>
    <m/>
  </r>
  <r>
    <x v="7"/>
    <x v="6"/>
    <s v="F:\images\20210318\plaque 1/@07 EE2 488/G7_03.tif "/>
    <s v=" 53079.7614 "/>
    <s v=" 82.3688 "/>
    <x v="0"/>
    <n v="4372115"/>
    <m/>
    <m/>
    <m/>
  </r>
  <r>
    <x v="7"/>
    <x v="7"/>
    <s v="F:\images\20210318\plaque 1/@07 EE2 488/H7_01.tif "/>
    <s v=" 81393.2935 "/>
    <s v=" 86.8126 "/>
    <x v="0"/>
    <n v="7065967"/>
    <m/>
    <m/>
    <m/>
  </r>
  <r>
    <x v="7"/>
    <x v="7"/>
    <s v="F:\images\20210318\plaque 1/@07 EE2 488/H7_02.tif "/>
    <s v=" 81912.411 "/>
    <s v=" 86.8735 "/>
    <x v="0"/>
    <n v="7116019"/>
    <m/>
    <m/>
    <m/>
  </r>
  <r>
    <x v="7"/>
    <x v="7"/>
    <s v="F:\images\20210318\plaque 1/@07 EE2 488/H7_03.tif "/>
    <s v=" 78711.1866 "/>
    <s v=" 81.7535 "/>
    <x v="0"/>
    <n v="6434915"/>
    <m/>
    <m/>
    <m/>
  </r>
  <r>
    <x v="1"/>
    <x v="8"/>
    <s v=" "/>
    <m/>
    <m/>
    <x v="1"/>
    <m/>
    <m/>
    <m/>
    <m/>
  </r>
  <r>
    <x v="1"/>
    <x v="8"/>
    <s v="group "/>
    <s v=" "/>
    <s v=" mean of mean fluo "/>
    <x v="2"/>
    <s v=" mean of total fluo "/>
    <s v=" SD total fluo "/>
    <s v=" n fluorescent "/>
    <s v=" n total"/>
  </r>
  <r>
    <x v="7"/>
    <x v="9"/>
    <s v="F:\images\20210318\plaque 1/@07 EE2 488/ "/>
    <s v=" "/>
    <s v=" 86.6247 "/>
    <x v="9"/>
    <s v=" 4885171.17 "/>
    <s v=" 1495525.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318\plaque 1/@08 Fadrozole 0.016 µg_L/A8_01.tif "/>
    <s v=" 713.7865 "/>
    <s v=" 63.4242 "/>
    <x v="0"/>
    <n v="45271"/>
    <m/>
    <m/>
    <m/>
  </r>
  <r>
    <x v="8"/>
    <x v="0"/>
    <s v="F:\images\20210318\plaque 1/@08 Fadrozole 0.016 µg_L/A8_02.tif "/>
    <s v=" 800.3061 "/>
    <s v=" 62.8649 "/>
    <x v="0"/>
    <n v="50311"/>
    <m/>
    <m/>
    <m/>
  </r>
  <r>
    <x v="8"/>
    <x v="0"/>
    <s v="F:\images\20210318\plaque 1/@08 Fadrozole 0.016 µg_L/A8_03.tif "/>
    <s v=" 930.0855 "/>
    <s v=" 67.3721 "/>
    <x v="0"/>
    <n v="62662"/>
    <m/>
    <m/>
    <m/>
  </r>
  <r>
    <x v="8"/>
    <x v="1"/>
    <s v="F:\images\20210318\plaque 1/@08 Fadrozole 0.016 µg_L/B8_01.tif "/>
    <s v=" 281.1886 "/>
    <s v=" 63.8462 "/>
    <x v="0"/>
    <n v="17953"/>
    <m/>
    <m/>
    <m/>
  </r>
  <r>
    <x v="8"/>
    <x v="1"/>
    <s v="F:\images\20210318\plaque 1/@08 Fadrozole 0.016 µg_L/B8_02.tif "/>
    <s v=" 259.5587 "/>
    <s v=" 62.3333 "/>
    <x v="0"/>
    <n v="16179"/>
    <m/>
    <m/>
    <m/>
  </r>
  <r>
    <x v="8"/>
    <x v="1"/>
    <s v="F:\images\20210318\plaque 1/@08 Fadrozole 0.016 µg_L/B8_03.tif "/>
    <s v=" 194.6691 "/>
    <s v=" 62.4444 "/>
    <x v="0"/>
    <n v="12156"/>
    <m/>
    <m/>
    <m/>
  </r>
  <r>
    <x v="8"/>
    <x v="2"/>
    <s v="F:\images\20210318\plaque 1/@08 Fadrozole 0.016 µg_L/C8_01.tif "/>
    <s v=" 1773.6514 "/>
    <s v=" 67.1098 "/>
    <x v="0"/>
    <n v="119029"/>
    <m/>
    <m/>
    <m/>
  </r>
  <r>
    <x v="8"/>
    <x v="2"/>
    <s v="F:\images\20210318\plaque 1/@08 Fadrozole 0.016 µg_L/C8_02- exclu.tif"/>
    <m/>
    <m/>
    <x v="1"/>
    <m/>
    <m/>
    <m/>
    <m/>
  </r>
  <r>
    <x v="8"/>
    <x v="2"/>
    <s v="F:\images\20210318\plaque 1/@08 Fadrozole 0.016 µg_L/C8_03.tif "/>
    <s v=" 108.1495 "/>
    <s v=" 60.6 "/>
    <x v="0"/>
    <n v="6554"/>
    <m/>
    <m/>
    <m/>
  </r>
  <r>
    <x v="8"/>
    <x v="3"/>
    <s v="F:\images\20210318\plaque 1/@08 Fadrozole 0.016 µg_L/D8_01.tif "/>
    <s v=" 4109.68 "/>
    <s v=" 67.5895 "/>
    <x v="0"/>
    <n v="277771"/>
    <m/>
    <m/>
    <m/>
  </r>
  <r>
    <x v="8"/>
    <x v="3"/>
    <s v="F:\images\20210318\plaque 1/@08 Fadrozole 0.016 µg_L/D8_02.tif "/>
    <s v=" 6964.8261 "/>
    <s v=" 71.0932 "/>
    <x v="0"/>
    <n v="495152"/>
    <m/>
    <m/>
    <m/>
  </r>
  <r>
    <x v="8"/>
    <x v="3"/>
    <s v="F:\images\20210318\plaque 1/@08 Fadrozole 0.016 µg_L/D8_03- exclu.tif"/>
    <m/>
    <m/>
    <x v="1"/>
    <m/>
    <m/>
    <m/>
    <m/>
  </r>
  <r>
    <x v="8"/>
    <x v="4"/>
    <s v="F:\images\20210318\plaque 1/@08 Fadrozole 0.016 µg_L/E8_01.tif "/>
    <s v=" 4996.5057 "/>
    <s v=" 63.9048 "/>
    <x v="0"/>
    <n v="319301"/>
    <m/>
    <m/>
    <m/>
  </r>
  <r>
    <x v="8"/>
    <x v="4"/>
    <s v="F:\images\20210318\plaque 1/@08 Fadrozole 0.016 µg_L/E8_02.tif "/>
    <s v=" 1276.1638 "/>
    <s v=" 62.2203 "/>
    <x v="0"/>
    <n v="79403"/>
    <m/>
    <m/>
    <m/>
  </r>
  <r>
    <x v="8"/>
    <x v="4"/>
    <s v="F:\images\20210318\plaque 1/@08 Fadrozole 0.016 µg_L/E8_03.tif "/>
    <s v=" 735.4164 "/>
    <s v=" 62.8824 "/>
    <x v="0"/>
    <n v="46245"/>
    <m/>
    <m/>
    <m/>
  </r>
  <r>
    <x v="8"/>
    <x v="5"/>
    <s v="F:\images\20210318\plaque 1/@08 Fadrozole 0.016 µg_L/F8_01.tif "/>
    <s v=" 324.4484 "/>
    <s v=" 62.4667 "/>
    <x v="0"/>
    <n v="20267"/>
    <m/>
    <m/>
    <m/>
  </r>
  <r>
    <x v="8"/>
    <x v="5"/>
    <s v="F:\images\20210318\plaque 1/@08 Fadrozole 0.016 µg_L/F8_02.tif "/>
    <s v=" 519.1175 "/>
    <s v=" 62.875 "/>
    <x v="0"/>
    <n v="32640"/>
    <m/>
    <m/>
    <m/>
  </r>
  <r>
    <x v="8"/>
    <x v="5"/>
    <s v="F:\images\20210318\plaque 1/@08 Fadrozole 0.016 µg_L/F8_03.tif "/>
    <s v=" 367.7082 "/>
    <s v=" 62.8235 "/>
    <x v="0"/>
    <n v="23101"/>
    <m/>
    <m/>
    <m/>
  </r>
  <r>
    <x v="8"/>
    <x v="6"/>
    <s v="F:\images\20210318\plaque 1/@08 Fadrozole 0.016 µg_L/G8_01.tif "/>
    <s v=" 540.7474 "/>
    <s v=" 63.88 "/>
    <x v="0"/>
    <n v="34543"/>
    <m/>
    <m/>
    <m/>
  </r>
  <r>
    <x v="8"/>
    <x v="6"/>
    <s v="F:\images\20210318\plaque 1/@08 Fadrozole 0.016 µg_L/G8_02.tif "/>
    <s v=" 2141.3596 "/>
    <s v=" 64.7677 "/>
    <x v="0"/>
    <n v="138691"/>
    <m/>
    <m/>
    <m/>
  </r>
  <r>
    <x v="8"/>
    <x v="6"/>
    <s v="F:\images\20210318\plaque 1/@08 Fadrozole 0.016 µg_L/G8_03.tif "/>
    <s v=" 1470.8328 "/>
    <s v=" 64.3529 "/>
    <x v="0"/>
    <n v="94652"/>
    <m/>
    <m/>
    <m/>
  </r>
  <r>
    <x v="8"/>
    <x v="7"/>
    <s v="F:\images\20210318\plaque 1/@08 Fadrozole 0.016 µg_L/H8_01.tif "/>
    <s v=" 3374.2636 "/>
    <s v=" 68.7821 "/>
    <x v="0"/>
    <n v="232089"/>
    <m/>
    <m/>
    <m/>
  </r>
  <r>
    <x v="8"/>
    <x v="7"/>
    <s v="F:\images\20210318\plaque 1/@08 Fadrozole 0.016 µg_L/H8_02.tif "/>
    <s v=" 1557.3524 "/>
    <s v=" 66.2778 "/>
    <x v="0"/>
    <n v="103218"/>
    <m/>
    <m/>
    <m/>
  </r>
  <r>
    <x v="8"/>
    <x v="7"/>
    <s v="F:\images\20210318\plaque 1/@08 Fadrozole 0.016 µg_L/H8_03.tif "/>
    <s v=" 1146.3844 "/>
    <s v=" 63.434 "/>
    <x v="0"/>
    <n v="72720"/>
    <m/>
    <m/>
    <m/>
  </r>
  <r>
    <x v="1"/>
    <x v="8"/>
    <s v=" "/>
    <m/>
    <m/>
    <x v="1"/>
    <m/>
    <m/>
    <m/>
    <m/>
  </r>
  <r>
    <x v="1"/>
    <x v="8"/>
    <s v="group "/>
    <s v=" "/>
    <s v=" mean of mean fluo "/>
    <x v="2"/>
    <s v=" mean of total fluo "/>
    <s v=" SD total fluo "/>
    <s v=" n fluorescent "/>
    <s v=" n total"/>
  </r>
  <r>
    <x v="8"/>
    <x v="9"/>
    <s v="F:\images\20210318\plaque 1/@08 Fadrozole 0.016 µg_L/ "/>
    <s v=" "/>
    <s v=" 64.3342 "/>
    <x v="10"/>
    <s v=" 97092.125 "/>
    <s v=" 120075.64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318\plaque 1/@09 Fadrozole 0.08 µg_L/A9_01.tif "/>
    <s v=" 173.0392 "/>
    <s v=" 62.875 "/>
    <x v="0"/>
    <n v="10880"/>
    <m/>
    <m/>
    <m/>
  </r>
  <r>
    <x v="9"/>
    <x v="0"/>
    <s v="F:\images\20210318\plaque 1/@09 Fadrozole 0.08 µg_L/A9_02.tif "/>
    <s v=" 2141.3596 "/>
    <s v=" 66.3737 "/>
    <x v="0"/>
    <n v="142130"/>
    <m/>
    <m/>
    <m/>
  </r>
  <r>
    <x v="9"/>
    <x v="0"/>
    <s v="F:\images\20210318\plaque 1/@09 Fadrozole 0.08 µg_L/A9_03.tif "/>
    <s v=" 432.5979 "/>
    <s v=" 64.25 "/>
    <x v="0"/>
    <n v="27794"/>
    <m/>
    <m/>
    <m/>
  </r>
  <r>
    <x v="9"/>
    <x v="1"/>
    <s v="F:\images\20210318\plaque 1/@09 Fadrozole 0.08 µg_L/B9_01.tif "/>
    <s v=" 281.1886 "/>
    <s v=" 62.6923 "/>
    <x v="0"/>
    <n v="17628"/>
    <m/>
    <m/>
    <m/>
  </r>
  <r>
    <x v="9"/>
    <x v="1"/>
    <s v="F:\images\20210318\plaque 1/@09 Fadrozole 0.08 µg_L/B9_02.tif "/>
    <s v=" 346.0783 "/>
    <s v=" 66.4375 "/>
    <x v="0"/>
    <n v="22993"/>
    <m/>
    <m/>
    <m/>
  </r>
  <r>
    <x v="9"/>
    <x v="1"/>
    <s v="F:\images\20210318\plaque 1/@09 Fadrozole 0.08 µg_L/B9_03.tif "/>
    <s v=" 302.8185 "/>
    <s v=" 62.7857 "/>
    <x v="0"/>
    <n v="19013"/>
    <m/>
    <m/>
    <m/>
  </r>
  <r>
    <x v="9"/>
    <x v="2"/>
    <s v="F:\images\20210318\plaque 1/@09 Fadrozole 0.08 µg_L/C9_01.tif "/>
    <s v=" 2054.84 "/>
    <s v=" 64.8947 "/>
    <x v="0"/>
    <n v="133348"/>
    <m/>
    <m/>
    <m/>
  </r>
  <r>
    <x v="9"/>
    <x v="2"/>
    <s v="F:\images\20210318\plaque 1/@09 Fadrozole 0.08 µg_L/C9_02.tif "/>
    <s v=" 302.8185 "/>
    <n v="62"/>
    <x v="0"/>
    <n v="18775"/>
    <m/>
    <m/>
    <m/>
  </r>
  <r>
    <x v="9"/>
    <x v="2"/>
    <s v="F:\images\20210318\plaque 1/@09 Fadrozole 0.08 µg_L/C9_03.tif "/>
    <s v=" 1254.5339 "/>
    <s v=" 63.9828 "/>
    <x v="0"/>
    <n v="80269"/>
    <m/>
    <m/>
    <m/>
  </r>
  <r>
    <x v="9"/>
    <x v="3"/>
    <s v="F:\images\20210318\plaque 1/@09 Fadrozole 0.08 µg_L/D9_01.tif "/>
    <s v=" 259.5587 "/>
    <s v=" 64.9167 "/>
    <x v="0"/>
    <n v="16850"/>
    <m/>
    <m/>
    <m/>
  </r>
  <r>
    <x v="9"/>
    <x v="3"/>
    <s v="F:\images\20210318\plaque 1/@09 Fadrozole 0.08 µg_L/D9_02.tif "/>
    <s v=" 281.1886 "/>
    <s v=" 63.7692 "/>
    <x v="0"/>
    <n v="17931"/>
    <m/>
    <m/>
    <m/>
  </r>
  <r>
    <x v="9"/>
    <x v="3"/>
    <s v="F:\images\20210318\plaque 1/@09 Fadrozole 0.08 µg_L/D9_03.tif "/>
    <s v=" 497.4876 "/>
    <n v="64"/>
    <x v="0"/>
    <n v="31839"/>
    <m/>
    <m/>
    <m/>
  </r>
  <r>
    <x v="9"/>
    <x v="4"/>
    <s v="F:\images\20210318\plaque 1/@09 Fadrozole 0.08 µg_L/E9_01.tif "/>
    <s v=" 2422.5482 "/>
    <s v=" 66.7411 "/>
    <x v="0"/>
    <n v="161683"/>
    <m/>
    <m/>
    <m/>
  </r>
  <r>
    <x v="9"/>
    <x v="4"/>
    <s v="F:\images\20210318\plaque 1/@09 Fadrozole 0.08 µg_L/E9_02.tif "/>
    <s v=" 302.8185 "/>
    <s v=" 63.5 "/>
    <x v="0"/>
    <n v="19229"/>
    <m/>
    <m/>
    <m/>
  </r>
  <r>
    <x v="9"/>
    <x v="4"/>
    <s v="F:\images\20210318\plaque 1/@09 Fadrozole 0.08 µg_L/E9_03.tif "/>
    <s v=" 216.2989 "/>
    <s v=" 62.3 "/>
    <x v="0"/>
    <n v="13475"/>
    <m/>
    <m/>
    <m/>
  </r>
  <r>
    <x v="9"/>
    <x v="5"/>
    <s v="F:\images\20210318\plaque 1/@09 Fadrozole 0.08 µg_L/F9_01.tif "/>
    <s v=" 648.8968 "/>
    <s v=" 62.9 "/>
    <x v="0"/>
    <n v="40816"/>
    <m/>
    <m/>
    <m/>
  </r>
  <r>
    <x v="9"/>
    <x v="5"/>
    <s v="F:\images\20210318\plaque 1/@09 Fadrozole 0.08 µg_L/F9_02.tif "/>
    <s v=" 281.1886 "/>
    <s v=" 62.3846 "/>
    <x v="0"/>
    <n v="17542"/>
    <m/>
    <m/>
    <m/>
  </r>
  <r>
    <x v="9"/>
    <x v="5"/>
    <s v="F:\images\20210318\plaque 1/@09 Fadrozole 0.08 µg_L/F9_03.tif "/>
    <s v=" 605.637 "/>
    <s v=" 62.5357 "/>
    <x v="0"/>
    <n v="37874"/>
    <m/>
    <m/>
    <m/>
  </r>
  <r>
    <x v="9"/>
    <x v="6"/>
    <s v="F:\images\20210318\plaque 1/@09 Fadrozole 0.08 µg_L/G9_01.tif "/>
    <s v=" 302.8185 "/>
    <s v=" 63.7857 "/>
    <x v="0"/>
    <n v="19315"/>
    <m/>
    <m/>
    <m/>
  </r>
  <r>
    <x v="9"/>
    <x v="6"/>
    <s v="F:\images\20210318\plaque 1/@09 Fadrozole 0.08 µg_L/G9_02.tif "/>
    <s v=" 216.2989 "/>
    <s v=" 61.5 "/>
    <x v="0"/>
    <n v="13302"/>
    <m/>
    <m/>
    <m/>
  </r>
  <r>
    <x v="9"/>
    <x v="6"/>
    <s v="F:\images\20210318\plaque 1/@09 Fadrozole 0.08 µg_L/G9_03.tif "/>
    <s v=" 346.0783 "/>
    <n v="64"/>
    <x v="0"/>
    <n v="22149"/>
    <m/>
    <m/>
    <m/>
  </r>
  <r>
    <x v="9"/>
    <x v="7"/>
    <s v="F:\images\20210318\plaque 1/@09 Fadrozole 0.08 µg_L/H9_01.tif "/>
    <s v=" 2855.1461 "/>
    <s v=" 67.8864 "/>
    <x v="0"/>
    <n v="193825"/>
    <m/>
    <m/>
    <m/>
  </r>
  <r>
    <x v="9"/>
    <x v="7"/>
    <s v="F:\images\20210318\plaque 1/@09 Fadrozole 0.08 µg_L/H9_02.tif "/>
    <s v=" 1989.9503 "/>
    <s v=" 66.8913 "/>
    <x v="0"/>
    <n v="133110"/>
    <m/>
    <m/>
    <m/>
  </r>
  <r>
    <x v="9"/>
    <x v="7"/>
    <s v="F:\images\20210318\plaque 1/@09 Fadrozole 0.08 µg_L/H9_03.tif "/>
    <s v=" 562.3773 "/>
    <s v=" 62.8846 "/>
    <x v="0"/>
    <n v="35365"/>
    <m/>
    <m/>
    <m/>
  </r>
  <r>
    <x v="1"/>
    <x v="8"/>
    <s v=" "/>
    <m/>
    <m/>
    <x v="1"/>
    <m/>
    <m/>
    <m/>
    <m/>
  </r>
  <r>
    <x v="1"/>
    <x v="8"/>
    <s v="group "/>
    <s v=" "/>
    <s v=" mean of mean fluo "/>
    <x v="2"/>
    <s v=" mean of total fluo "/>
    <s v=" SD total fluo "/>
    <s v=" n fluorescent "/>
    <s v=" n total"/>
  </r>
  <r>
    <x v="9"/>
    <x v="9"/>
    <s v="F:\images\20210318\plaque 1/@09 Fadrozole 0.08 µg_L/ "/>
    <s v=" "/>
    <s v=" 64.012 "/>
    <x v="11"/>
    <s v=" 51963.9583 "/>
    <s v=" 55701.705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318\plaque 1/@10 Fadrozole 0.4 µg_L/A10_01.tif "/>
    <s v=" 216.2989 "/>
    <s v=" 63.3 "/>
    <x v="0"/>
    <n v="13692"/>
    <m/>
    <m/>
    <m/>
  </r>
  <r>
    <x v="10"/>
    <x v="0"/>
    <s v="F:\images\20210318\plaque 1/@10 Fadrozole 0.4 µg_L/A10_02.tif "/>
    <s v=" 151.4093 "/>
    <s v=" 64.7143 "/>
    <x v="0"/>
    <n v="9798"/>
    <m/>
    <m/>
    <m/>
  </r>
  <r>
    <x v="10"/>
    <x v="0"/>
    <s v="F:\images\20210318\plaque 1/@10 Fadrozole 0.4 µg_L/A10_03.tif "/>
    <s v=" 302.8185 "/>
    <s v=" 64.1429 "/>
    <x v="0"/>
    <n v="19424"/>
    <m/>
    <m/>
    <m/>
  </r>
  <r>
    <x v="10"/>
    <x v="1"/>
    <s v="F:\images\20210318\plaque 1/@10 Fadrozole 0.4 µg_L/B10_01.tif "/>
    <s v=" 2530.6977 "/>
    <s v=" 65.5214 "/>
    <x v="0"/>
    <n v="165815"/>
    <m/>
    <m/>
    <m/>
  </r>
  <r>
    <x v="10"/>
    <x v="1"/>
    <s v="F:\images\20210318\plaque 1/@10 Fadrozole 0.4 µg_L/B10_02.tif "/>
    <s v=" 540.7474 "/>
    <s v=" 62.48 "/>
    <x v="0"/>
    <n v="33786"/>
    <m/>
    <m/>
    <m/>
  </r>
  <r>
    <x v="10"/>
    <x v="1"/>
    <s v="F:\images\20210318\plaque 1/@10 Fadrozole 0.4 µg_L/B10_03.tif "/>
    <s v=" 627.2669 "/>
    <s v=" 63.1724 "/>
    <x v="0"/>
    <n v="39626"/>
    <m/>
    <m/>
    <m/>
  </r>
  <r>
    <x v="10"/>
    <x v="2"/>
    <s v="F:\images\20210318\plaque 1/@10 Fadrozole 0.4 µg_L/C10_01.tif "/>
    <s v=" 367.7082 "/>
    <s v=" 63.2941 "/>
    <x v="0"/>
    <n v="23274"/>
    <m/>
    <m/>
    <m/>
  </r>
  <r>
    <x v="10"/>
    <x v="2"/>
    <s v="F:\images\20210318\plaque 1/@10 Fadrozole 0.4 µg_L/C10_02.tif "/>
    <s v=" 194.6691 "/>
    <s v=" 63.8889 "/>
    <x v="0"/>
    <n v="12437"/>
    <m/>
    <m/>
    <m/>
  </r>
  <r>
    <x v="10"/>
    <x v="2"/>
    <s v="F:\images\20210318\plaque 1/@10 Fadrozole 0.4 µg_L/C10_03.tif "/>
    <s v=" 194.6691 "/>
    <s v=" 61.8889 "/>
    <x v="0"/>
    <n v="12048"/>
    <m/>
    <m/>
    <m/>
  </r>
  <r>
    <x v="10"/>
    <x v="3"/>
    <s v="F:\images\20210318\plaque 1/@10 Fadrozole 0.4 µg_L/D10_01.tif "/>
    <s v=" 237.9288 "/>
    <s v=" 63.2727 "/>
    <x v="0"/>
    <n v="15054"/>
    <m/>
    <m/>
    <m/>
  </r>
  <r>
    <x v="10"/>
    <x v="3"/>
    <s v="F:\images\20210318\plaque 1/@10 Fadrozole 0.4 µg_L/D10_02.tif "/>
    <s v=" 194.6691 "/>
    <s v=" 64.7778 "/>
    <x v="0"/>
    <n v="12610"/>
    <m/>
    <m/>
    <m/>
  </r>
  <r>
    <x v="10"/>
    <x v="3"/>
    <s v="F:\images\20210318\plaque 1/@10 Fadrozole 0.4 µg_L/D10_03.tif "/>
    <s v=" 129.7794 "/>
    <s v=" 61.8333 "/>
    <x v="0"/>
    <n v="8025"/>
    <m/>
    <m/>
    <m/>
  </r>
  <r>
    <x v="10"/>
    <x v="4"/>
    <s v="F:\images\20210318\plaque 1/@10 Fadrozole 0.4 µg_L/E10_01.tif "/>
    <s v=" 454.2278 "/>
    <s v=" 61.9048 "/>
    <x v="0"/>
    <n v="28119"/>
    <m/>
    <m/>
    <m/>
  </r>
  <r>
    <x v="10"/>
    <x v="4"/>
    <s v="F:\images\20210318\plaque 1/@10 Fadrozole 0.4 µg_L/E10_02.tif "/>
    <s v=" 2855.1461 "/>
    <s v=" 65.8864 "/>
    <x v="0"/>
    <n v="188115"/>
    <m/>
    <m/>
    <m/>
  </r>
  <r>
    <x v="10"/>
    <x v="4"/>
    <s v="F:\images\20210318\plaque 1/@10 Fadrozole 0.4 µg_L/E10_03.tif "/>
    <s v=" 951.7154 "/>
    <s v=" 63.2045 "/>
    <x v="0"/>
    <n v="60153"/>
    <m/>
    <m/>
    <m/>
  </r>
  <r>
    <x v="10"/>
    <x v="5"/>
    <s v="F:\images\20210318\plaque 1/@10 Fadrozole 0.4 µg_L/F10_01.tif "/>
    <s v=" 735.4164 "/>
    <s v=" 62.5882 "/>
    <x v="0"/>
    <n v="46028"/>
    <m/>
    <m/>
    <m/>
  </r>
  <r>
    <x v="10"/>
    <x v="5"/>
    <s v="F:\images\20210318\plaque 1/@10 Fadrozole 0.4 µg_L/F10_02.tif "/>
    <s v=" 216.2989 "/>
    <s v=" 65.4 "/>
    <x v="0"/>
    <n v="14146"/>
    <m/>
    <m/>
    <m/>
  </r>
  <r>
    <x v="10"/>
    <x v="5"/>
    <s v="F:\images\20210318\plaque 1/@10 Fadrozole 0.4 µg_L/F10_03.tif "/>
    <s v=" 475.8577 "/>
    <s v=" 62.3636 "/>
    <x v="0"/>
    <n v="29676"/>
    <m/>
    <m/>
    <m/>
  </r>
  <r>
    <x v="10"/>
    <x v="6"/>
    <s v="F:\images\20210318\plaque 1/@10 Fadrozole 0.4 µg_L/G10_01.tif "/>
    <s v=" 865.1958 "/>
    <s v=" 63.45 "/>
    <x v="0"/>
    <n v="54897"/>
    <m/>
    <m/>
    <m/>
  </r>
  <r>
    <x v="10"/>
    <x v="6"/>
    <s v="F:\images\20210318\plaque 1/@10 Fadrozole 0.4 µg_L/G10_02.tif "/>
    <s v=" 605.637 "/>
    <s v=" 62.8929 "/>
    <x v="0"/>
    <n v="38090"/>
    <m/>
    <m/>
    <m/>
  </r>
  <r>
    <x v="10"/>
    <x v="6"/>
    <s v="F:\images\20210318\plaque 1/@10 Fadrozole 0.4 µg_L/G10_03.tif "/>
    <s v=" 237.9288 "/>
    <s v=" 61.4545 "/>
    <x v="0"/>
    <n v="14622"/>
    <m/>
    <m/>
    <m/>
  </r>
  <r>
    <x v="10"/>
    <x v="7"/>
    <s v="F:\images\20210318\plaque 1/@10 Fadrozole 0.4 µg_L/H10_01.tif "/>
    <s v=" 648.8968 "/>
    <s v=" 63.4667 "/>
    <x v="0"/>
    <n v="41183"/>
    <m/>
    <m/>
    <m/>
  </r>
  <r>
    <x v="10"/>
    <x v="7"/>
    <s v="F:\images\20210318\plaque 1/@10 Fadrozole 0.4 µg_L/H10_02.tif "/>
    <s v=" 346.0783 "/>
    <s v=" 63.25 "/>
    <x v="0"/>
    <n v="21889"/>
    <m/>
    <m/>
    <m/>
  </r>
  <r>
    <x v="10"/>
    <x v="7"/>
    <s v="F:\images\20210318\plaque 1/@10 Fadrozole 0.4 µg_L/H10_03.tif "/>
    <s v=" 2336.0286 "/>
    <s v=" 65.6667 "/>
    <x v="0"/>
    <n v="153399"/>
    <m/>
    <m/>
    <m/>
  </r>
  <r>
    <x v="1"/>
    <x v="8"/>
    <s v=" "/>
    <m/>
    <m/>
    <x v="1"/>
    <m/>
    <m/>
    <m/>
    <m/>
  </r>
  <r>
    <x v="1"/>
    <x v="8"/>
    <s v="group "/>
    <s v=" "/>
    <s v=" mean of mean fluo "/>
    <x v="2"/>
    <s v=" mean of total fluo "/>
    <s v=" SD total fluo "/>
    <s v=" n fluorescent "/>
    <s v=" n total"/>
  </r>
  <r>
    <x v="10"/>
    <x v="9"/>
    <s v="F:\images\20210318\plaque 1/@10 Fadrozole 0.4 µg_L/ "/>
    <s v=" "/>
    <s v=" 63.4923 "/>
    <x v="12"/>
    <s v=" 43996.0833 "/>
    <s v=" 50683.729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318\plaque 1/@11 Fadrozole 2 µg_L/A11_01.tif "/>
    <s v=" 713.7865 "/>
    <s v=" 62.4242 "/>
    <x v="0"/>
    <n v="44558"/>
    <m/>
    <m/>
    <m/>
  </r>
  <r>
    <x v="11"/>
    <x v="0"/>
    <s v="F:\images\20210318\plaque 1/@11 Fadrozole 2 µg_L/A11_02.tif "/>
    <s v=" 410.968 "/>
    <s v=" 62.6842 "/>
    <x v="0"/>
    <n v="25761"/>
    <m/>
    <m/>
    <m/>
  </r>
  <r>
    <x v="11"/>
    <x v="0"/>
    <s v="F:\images\20210318\plaque 1/@11 Fadrozole 2 µg_L/A11_03.tif "/>
    <s v=" 475.8577 "/>
    <s v=" 62.7727 "/>
    <x v="0"/>
    <n v="29871"/>
    <m/>
    <m/>
    <m/>
  </r>
  <r>
    <x v="11"/>
    <x v="1"/>
    <s v="F:\images\20210318\plaque 1/@11 Fadrozole 2 µg_L/B11_01.tif "/>
    <s v=" 2984.9255 "/>
    <s v=" 67.8333 "/>
    <x v="0"/>
    <n v="202477"/>
    <m/>
    <m/>
    <m/>
  </r>
  <r>
    <x v="11"/>
    <x v="1"/>
    <s v="F:\images\20210318\plaque 1/@11 Fadrozole 2 µg_L/B11_02.tif "/>
    <s v=" 6142.8901 "/>
    <s v=" 72.0141 "/>
    <x v="0"/>
    <n v="442375"/>
    <m/>
    <m/>
    <m/>
  </r>
  <r>
    <x v="11"/>
    <x v="1"/>
    <s v="F:\images\20210318\plaque 1/@11 Fadrozole 2 µg_L/B11_03.tif "/>
    <s v=" 1860.1709 "/>
    <s v=" 65.1279 "/>
    <x v="0"/>
    <n v="121149"/>
    <m/>
    <m/>
    <m/>
  </r>
  <r>
    <x v="11"/>
    <x v="2"/>
    <s v="F:\images\20210318\plaque 1/@11 Fadrozole 2 µg_L/C11_01.tif "/>
    <s v=" 6899.9364 "/>
    <s v=" 71.1191 "/>
    <x v="0"/>
    <n v="490717"/>
    <m/>
    <m/>
    <m/>
  </r>
  <r>
    <x v="11"/>
    <x v="2"/>
    <s v="F:\images\20210318\plaque 1/@11 Fadrozole 2 µg_L/C11_02.tif "/>
    <s v=" 627.2669 "/>
    <s v=" 62.4828 "/>
    <x v="0"/>
    <n v="39193"/>
    <m/>
    <m/>
    <m/>
  </r>
  <r>
    <x v="11"/>
    <x v="2"/>
    <s v="F:\images\20210318\plaque 1/@11 Fadrozole 2 µg_L/C11_03.tif "/>
    <s v=" 7267.6446 "/>
    <s v=" 71.9613 "/>
    <x v="0"/>
    <n v="522989"/>
    <m/>
    <m/>
    <m/>
  </r>
  <r>
    <x v="11"/>
    <x v="3"/>
    <s v="F:\images\20210318\plaque 1/@11 Fadrozole 2 µg_L/D11_01.tif "/>
    <s v=" 973.3453 "/>
    <s v=" 62.5556 "/>
    <x v="0"/>
    <n v="60888"/>
    <m/>
    <m/>
    <m/>
  </r>
  <r>
    <x v="11"/>
    <x v="3"/>
    <s v="F:\images\20210318\plaque 1/@11 Fadrozole 2 µg_L/D11_02.tif "/>
    <s v=" 627.2669 "/>
    <s v=" 64.3448 "/>
    <x v="0"/>
    <n v="40361"/>
    <m/>
    <m/>
    <m/>
  </r>
  <r>
    <x v="11"/>
    <x v="3"/>
    <s v="F:\images\20210318\plaque 1/@11 Fadrozole 2 µg_L/D11_03.tif "/>
    <s v=" 281.1886 "/>
    <s v=" 62.6923 "/>
    <x v="0"/>
    <n v="17628"/>
    <m/>
    <m/>
    <m/>
  </r>
  <r>
    <x v="11"/>
    <x v="4"/>
    <s v="F:\images\20210318\plaque 1/@11 Fadrozole 2 µg_L/E11_01.tif "/>
    <s v=" 692.1566 "/>
    <s v=" 62.375 "/>
    <x v="0"/>
    <n v="43173"/>
    <m/>
    <m/>
    <m/>
  </r>
  <r>
    <x v="11"/>
    <x v="4"/>
    <s v="F:\images\20210318\plaque 1/@11 Fadrozole 2 µg_L/E11_02.tif "/>
    <s v=" 367.7082 "/>
    <s v=" 63.4706 "/>
    <x v="0"/>
    <n v="23339"/>
    <m/>
    <m/>
    <m/>
  </r>
  <r>
    <x v="11"/>
    <x v="4"/>
    <s v="F:\images\20210318\plaque 1/@11 Fadrozole 2 µg_L/E11_03.tif "/>
    <s v=" 6921.5663 "/>
    <s v=" 72.0375 "/>
    <x v="0"/>
    <n v="498612"/>
    <m/>
    <m/>
    <m/>
  </r>
  <r>
    <x v="11"/>
    <x v="5"/>
    <s v="F:\images\20210318\plaque 1/@11 Fadrozole 2 µg_L/F11_01.tif "/>
    <s v=" 908.4556 "/>
    <s v=" 64.5714 "/>
    <x v="0"/>
    <n v="58660"/>
    <m/>
    <m/>
    <m/>
  </r>
  <r>
    <x v="11"/>
    <x v="5"/>
    <s v="F:\images\20210318\plaque 1/@11 Fadrozole 2 µg_L/F11_02.tif "/>
    <s v=" 2119.7297 "/>
    <s v=" 66.2959 "/>
    <x v="0"/>
    <n v="140529"/>
    <m/>
    <m/>
    <m/>
  </r>
  <r>
    <x v="11"/>
    <x v="5"/>
    <s v="F:\images\20210318\plaque 1/@11 Fadrozole 2 µg_L/F11_03.tif "/>
    <s v=" 1362.6834 "/>
    <s v=" 66.9365 "/>
    <x v="0"/>
    <n v="91213"/>
    <m/>
    <m/>
    <m/>
  </r>
  <r>
    <x v="11"/>
    <x v="6"/>
    <s v="F:\images\20210318\plaque 1/@11 Fadrozole 2 µg_L/G11_01.tif "/>
    <s v=" 605.637 "/>
    <s v=" 64.1071 "/>
    <x v="0"/>
    <n v="38826"/>
    <m/>
    <m/>
    <m/>
  </r>
  <r>
    <x v="11"/>
    <x v="6"/>
    <s v="F:\images\20210318\plaque 1/@11 Fadrozole 2 µg_L/G11_02.tif "/>
    <s v=" 259.5587 "/>
    <s v=" 63.6667 "/>
    <x v="0"/>
    <n v="16525"/>
    <m/>
    <m/>
    <m/>
  </r>
  <r>
    <x v="11"/>
    <x v="6"/>
    <s v="F:\images\20210318\plaque 1/@11 Fadrozole 2 µg_L/G11_03.tif "/>
    <s v=" 475.8577 "/>
    <s v=" 62.0455 "/>
    <x v="0"/>
    <n v="29525"/>
    <m/>
    <m/>
    <m/>
  </r>
  <r>
    <x v="11"/>
    <x v="7"/>
    <s v="F:\images\20210318\plaque 1/@11 Fadrozole 2 µg_L/H11_01.tif "/>
    <s v=" 324.4484 "/>
    <s v=" 64.6667 "/>
    <x v="0"/>
    <n v="20981"/>
    <m/>
    <m/>
    <m/>
  </r>
  <r>
    <x v="11"/>
    <x v="7"/>
    <s v="F:\images\20210318\plaque 1/@11 Fadrozole 2 µg_L/H11_02.tif "/>
    <s v=" 865.1958 "/>
    <s v=" 64.85 "/>
    <x v="0"/>
    <n v="56108"/>
    <m/>
    <m/>
    <m/>
  </r>
  <r>
    <x v="11"/>
    <x v="7"/>
    <s v="F:\images\20210318\plaque 1/@11 Fadrozole 2 µg_L/H11_03.tif "/>
    <s v=" 735.4164 "/>
    <s v=" 63.1471 "/>
    <x v="0"/>
    <n v="46439"/>
    <m/>
    <m/>
    <m/>
  </r>
  <r>
    <x v="1"/>
    <x v="8"/>
    <s v=" "/>
    <m/>
    <m/>
    <x v="1"/>
    <m/>
    <m/>
    <m/>
    <m/>
  </r>
  <r>
    <x v="1"/>
    <x v="8"/>
    <s v="group "/>
    <s v=" "/>
    <s v=" mean of mean fluo "/>
    <x v="2"/>
    <s v=" mean of total fluo "/>
    <s v=" SD total fluo "/>
    <s v=" n fluorescent "/>
    <s v=" n total"/>
  </r>
  <r>
    <x v="11"/>
    <x v="9"/>
    <s v="F:\images\20210318\plaque 1/@11 Fadrozole 2 µg_L/ "/>
    <s v=" "/>
    <s v=" 65.2576 "/>
    <x v="13"/>
    <s v=" 129245.708 "/>
    <s v=" 170221.96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318\plaque 1/@12 Fadrozole 10 µg_L/A12_01.tif "/>
    <s v=" 4780.2067 "/>
    <s v=" 71.1629 "/>
    <x v="0"/>
    <n v="340173"/>
    <m/>
    <m/>
    <m/>
  </r>
  <r>
    <x v="12"/>
    <x v="0"/>
    <s v="F:\images\20210318\plaque 1/@12 Fadrozole 10 µg_L/A12_02.tif "/>
    <s v=" 3417.5234 "/>
    <s v=" 71.6266 "/>
    <x v="0"/>
    <n v="244786"/>
    <m/>
    <m/>
    <m/>
  </r>
  <r>
    <x v="12"/>
    <x v="0"/>
    <s v="F:\images\20210318\plaque 1/@12 Fadrozole 10 µg_L/A12_03.tif "/>
    <s v=" 3828.4913 "/>
    <s v=" 70.7345 "/>
    <x v="0"/>
    <n v="270806"/>
    <m/>
    <m/>
    <m/>
  </r>
  <r>
    <x v="12"/>
    <x v="1"/>
    <s v="F:\images\20210318\plaque 1/@12 Fadrozole 10 µg_L/B12_01.tif "/>
    <s v=" 5840.0715 "/>
    <s v=" 67.3333 "/>
    <x v="0"/>
    <n v="393231"/>
    <m/>
    <m/>
    <m/>
  </r>
  <r>
    <x v="12"/>
    <x v="1"/>
    <s v="F:\images\20210318\plaque 1/@12 Fadrozole 10 µg_L/B12_02.tif "/>
    <s v=" 3136.3347 "/>
    <s v=" 66.0897 "/>
    <x v="0"/>
    <n v="207279"/>
    <m/>
    <m/>
    <m/>
  </r>
  <r>
    <x v="12"/>
    <x v="1"/>
    <s v="F:\images\20210318\plaque 1/@12 Fadrozole 10 µg_L/B12_03.tif "/>
    <s v=" 4758.5768 "/>
    <s v=" 66.4273 "/>
    <x v="0"/>
    <n v="316099"/>
    <m/>
    <m/>
    <m/>
  </r>
  <r>
    <x v="12"/>
    <x v="2"/>
    <s v="F:\images\20210318\plaque 1/@12 Fadrozole 10 µg_L/C12_01.tif "/>
    <s v=" 259.5587 "/>
    <s v=" 62.9167 "/>
    <x v="0"/>
    <n v="16331"/>
    <m/>
    <m/>
    <m/>
  </r>
  <r>
    <x v="12"/>
    <x v="2"/>
    <s v="F:\images\20210318\plaque 1/@12 Fadrozole 10 µg_L/C12_02.tif "/>
    <s v=" 151.4093 "/>
    <s v=" 63.8571 "/>
    <x v="0"/>
    <n v="9669"/>
    <m/>
    <m/>
    <m/>
  </r>
  <r>
    <x v="12"/>
    <x v="2"/>
    <s v="F:\images\20210318\plaque 1/@12 Fadrozole 10 µg_L/C12_03.tif "/>
    <s v=" 173.0392 "/>
    <s v=" 64.125 "/>
    <x v="0"/>
    <n v="11096"/>
    <m/>
    <m/>
    <m/>
  </r>
  <r>
    <x v="12"/>
    <x v="3"/>
    <s v="F:\images\20210318\plaque 1/@12 Fadrozole 10 µg_L/D12_01.tif "/>
    <s v=" 2422.5482 "/>
    <s v=" 64.0179 "/>
    <x v="0"/>
    <n v="155086"/>
    <m/>
    <m/>
    <m/>
  </r>
  <r>
    <x v="12"/>
    <x v="3"/>
    <s v="F:\images\20210318\plaque 1/@12 Fadrozole 10 µg_L/D12_02.tif "/>
    <s v=" 1470.8328 "/>
    <s v=" 63.1618 "/>
    <x v="0"/>
    <n v="92900"/>
    <m/>
    <m/>
    <m/>
  </r>
  <r>
    <x v="12"/>
    <x v="3"/>
    <s v="F:\images\20210318\plaque 1/@12 Fadrozole 10 µg_L/D12_03.tif "/>
    <s v=" 670.5267 "/>
    <s v=" 62.871 "/>
    <x v="0"/>
    <n v="42157"/>
    <m/>
    <m/>
    <m/>
  </r>
  <r>
    <x v="12"/>
    <x v="4"/>
    <s v="F:\images\20210318\plaque 1/@12 Fadrozole 10 µg_L/E12_01.tif "/>
    <s v=" 627.2669 "/>
    <s v=" 63.1034 "/>
    <x v="0"/>
    <n v="39583"/>
    <m/>
    <m/>
    <m/>
  </r>
  <r>
    <x v="12"/>
    <x v="4"/>
    <s v="F:\images\20210318\plaque 1/@12 Fadrozole 10 µg_L/E12_02.tif "/>
    <s v=" 454.2278 "/>
    <s v=" 63.3333 "/>
    <x v="0"/>
    <n v="28768"/>
    <m/>
    <m/>
    <m/>
  </r>
  <r>
    <x v="12"/>
    <x v="4"/>
    <s v="F:\images\20210318\plaque 1/@12 Fadrozole 10 µg_L/E12_03.tif "/>
    <s v=" 562.3773 "/>
    <s v=" 63.4615 "/>
    <x v="0"/>
    <n v="35689"/>
    <m/>
    <m/>
    <m/>
  </r>
  <r>
    <x v="12"/>
    <x v="5"/>
    <s v="F:\images\20210318\plaque 1/@12 Fadrozole 10 µg_L/F12_01.tif "/>
    <s v=" 389.3381 "/>
    <s v=" 63.2222 "/>
    <x v="0"/>
    <n v="24615"/>
    <m/>
    <m/>
    <m/>
  </r>
  <r>
    <x v="12"/>
    <x v="5"/>
    <s v="F:\images\20210318\plaque 1/@12 Fadrozole 10 µg_L/F12_02.tif "/>
    <s v=" 475.8577 "/>
    <s v=" 63.9545 "/>
    <x v="0"/>
    <n v="30433"/>
    <m/>
    <m/>
    <m/>
  </r>
  <r>
    <x v="12"/>
    <x v="5"/>
    <s v="F:\images\20210318\plaque 1/@12 Fadrozole 10 µg_L/F12_03.tif "/>
    <s v=" 432.5979 "/>
    <s v=" 63.3 "/>
    <x v="0"/>
    <n v="27383"/>
    <m/>
    <m/>
    <m/>
  </r>
  <r>
    <x v="12"/>
    <x v="6"/>
    <s v="F:\images\20210318\plaque 1/@12 Fadrozole 10 µg_L/G12_01.tif "/>
    <s v=" 3331.0038 "/>
    <s v=" 64.4675 "/>
    <x v="0"/>
    <n v="214742"/>
    <m/>
    <m/>
    <m/>
  </r>
  <r>
    <x v="12"/>
    <x v="6"/>
    <s v="F:\images\20210318\plaque 1/@12 Fadrozole 10 µg_L/G12_02.tif "/>
    <s v=" 2011.5802 "/>
    <s v=" 63.7097 "/>
    <x v="0"/>
    <n v="128157"/>
    <m/>
    <m/>
    <m/>
  </r>
  <r>
    <x v="12"/>
    <x v="6"/>
    <s v="F:\images\20210318\plaque 1/@12 Fadrozole 10 µg_L/G12_03.tif "/>
    <s v=" 692.1566 "/>
    <s v=" 63.375 "/>
    <x v="0"/>
    <n v="43865"/>
    <m/>
    <m/>
    <m/>
  </r>
  <r>
    <x v="12"/>
    <x v="7"/>
    <s v="F:\images\20210318\plaque 1/@12 Fadrozole 10 µg_L/H12_01.tif "/>
    <s v=" 259.5587 "/>
    <s v=" 64.9167 "/>
    <x v="0"/>
    <n v="16850"/>
    <m/>
    <m/>
    <m/>
  </r>
  <r>
    <x v="12"/>
    <x v="7"/>
    <s v="F:\images\20210318\plaque 1/@12 Fadrozole 10 µg_L/H12_02.tif "/>
    <s v=" 540.7474 "/>
    <s v=" 63.52 "/>
    <x v="0"/>
    <n v="34348"/>
    <m/>
    <m/>
    <m/>
  </r>
  <r>
    <x v="12"/>
    <x v="7"/>
    <s v="F:\images\20210318\plaque 1/@12 Fadrozole 10 µg_L/H12_03.tif "/>
    <s v=" 5277.6943 "/>
    <s v=" 69.9754 "/>
    <x v="0"/>
    <n v="369309"/>
    <m/>
    <m/>
    <m/>
  </r>
  <r>
    <x v="1"/>
    <x v="8"/>
    <s v=" "/>
    <m/>
    <m/>
    <x v="1"/>
    <m/>
    <m/>
    <m/>
    <m/>
  </r>
  <r>
    <x v="1"/>
    <x v="8"/>
    <s v="group "/>
    <s v=" "/>
    <s v=" mean of mean fluo "/>
    <x v="2"/>
    <s v=" mean of total fluo "/>
    <s v=" SD total fluo "/>
    <s v=" n fluorescent "/>
    <s v=" n total"/>
  </r>
  <r>
    <x v="12"/>
    <x v="9"/>
    <s v="F:\images\20210318\plaque 1/@12 Fadrozole 10 µg_L/ "/>
    <s v=" "/>
    <s v=" 65.1943 "/>
    <x v="14"/>
    <s v=" 128889.792 "/>
    <s v=" 130382.97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318\plaque 2/@01 Testo 30/A1_01.tif "/>
    <s v=" 6078.0004 "/>
    <s v=" 67.6762 "/>
    <x v="0"/>
    <n v="411336"/>
    <m/>
    <m/>
    <m/>
  </r>
  <r>
    <x v="13"/>
    <x v="0"/>
    <s v="F:\images\20210318\plaque 2/@01 Testo 30/A1_02.tif "/>
    <s v=" 5861.7014 "/>
    <s v=" 66.8118 "/>
    <x v="0"/>
    <n v="391631"/>
    <m/>
    <m/>
    <m/>
  </r>
  <r>
    <x v="13"/>
    <x v="0"/>
    <s v="F:\images\20210318\plaque 2/@01 Testo 30/A1_03.tif "/>
    <s v=" 5104.6551 "/>
    <s v=" 66.8347 "/>
    <x v="0"/>
    <n v="341168"/>
    <m/>
    <m/>
    <m/>
  </r>
  <r>
    <x v="13"/>
    <x v="1"/>
    <s v="F:\images\20210318\plaque 2/@01 Testo 30/B1_01.tif "/>
    <s v=" 843.5659 "/>
    <s v=" 63.1282 "/>
    <x v="0"/>
    <n v="53253"/>
    <m/>
    <m/>
    <m/>
  </r>
  <r>
    <x v="13"/>
    <x v="1"/>
    <s v="F:\images\20210318\plaque 2/@01 Testo 30/B1_02.tif "/>
    <s v=" 519.1175 "/>
    <s v=" 64.2083 "/>
    <x v="0"/>
    <n v="33332"/>
    <m/>
    <m/>
    <m/>
  </r>
  <r>
    <x v="13"/>
    <x v="1"/>
    <s v="F:\images\20210318\plaque 2/@01 Testo 30/B1_03.tif "/>
    <s v=" 1578.9823 "/>
    <s v=" 65.0685 "/>
    <x v="0"/>
    <n v="102742"/>
    <m/>
    <m/>
    <m/>
  </r>
  <r>
    <x v="13"/>
    <x v="2"/>
    <s v="F:\images\20210318\plaque 2/@01 Testo 30/C1_01.tif "/>
    <s v=" 10771.6875 "/>
    <s v=" 65.0301 "/>
    <x v="0"/>
    <n v="700484"/>
    <m/>
    <m/>
    <m/>
  </r>
  <r>
    <x v="13"/>
    <x v="2"/>
    <s v="F:\images\20210318\plaque 2/@01 Testo 30/C1_02.tif "/>
    <s v=" 9365.7444 "/>
    <s v=" 65.3995 "/>
    <x v="0"/>
    <n v="612515"/>
    <m/>
    <m/>
    <m/>
  </r>
  <r>
    <x v="13"/>
    <x v="2"/>
    <s v="F:\images\20210318\plaque 2/@01 Testo 30/C1_03.tif "/>
    <s v=" 3677.0821 "/>
    <s v=" 63.7235 "/>
    <x v="0"/>
    <n v="234317"/>
    <m/>
    <m/>
    <m/>
  </r>
  <r>
    <x v="13"/>
    <x v="3"/>
    <s v="F:\images\20210318\plaque 2/@01 Testo 30/D1_01.tif "/>
    <s v=" 4650.4273 "/>
    <s v=" 65.1581 "/>
    <x v="0"/>
    <n v="303013"/>
    <m/>
    <m/>
    <m/>
  </r>
  <r>
    <x v="13"/>
    <x v="3"/>
    <s v="F:\images\20210318\plaque 2/@01 Testo 30/D1_02.tif "/>
    <s v=" 2054.84 "/>
    <s v=" 64.4316 "/>
    <x v="0"/>
    <n v="132397"/>
    <m/>
    <m/>
    <m/>
  </r>
  <r>
    <x v="13"/>
    <x v="3"/>
    <s v="F:\images\20210318\plaque 2/@01 Testo 30/D1_03.tif "/>
    <s v=" 3741.9718 "/>
    <s v=" 64.1445 "/>
    <x v="0"/>
    <n v="240027"/>
    <m/>
    <m/>
    <m/>
  </r>
  <r>
    <x v="13"/>
    <x v="4"/>
    <s v="F:\images\20210318\plaque 2/@01 Testo 30/E1_01.tif "/>
    <s v=" 43649.1274 "/>
    <s v=" 78.5312 "/>
    <x v="0"/>
    <n v="3427819"/>
    <m/>
    <m/>
    <m/>
  </r>
  <r>
    <x v="13"/>
    <x v="4"/>
    <s v="F:\images\20210318\plaque 2/@01 Testo 30/E1_02.tif "/>
    <s v=" 42567.6326 "/>
    <s v=" 76.9451 "/>
    <x v="0"/>
    <n v="3275372"/>
    <m/>
    <m/>
    <m/>
  </r>
  <r>
    <x v="13"/>
    <x v="4"/>
    <s v="F:\images\20210318\plaque 2/@01 Testo 30/E1_03.tif "/>
    <s v=" 42243.1842 "/>
    <s v=" 80.4414 "/>
    <x v="0"/>
    <n v="3398100"/>
    <m/>
    <m/>
    <m/>
  </r>
  <r>
    <x v="13"/>
    <x v="5"/>
    <s v="F:\images\20210318\plaque 2/@01 Testo 30/F1_01.tif "/>
    <s v=" 19618.3144 "/>
    <s v=" 68.2304 "/>
    <x v="0"/>
    <n v="1338566"/>
    <m/>
    <m/>
    <m/>
  </r>
  <r>
    <x v="13"/>
    <x v="5"/>
    <s v="F:\images\20210318\plaque 2/@01 Testo 30/F1_02.tif "/>
    <s v=" 20807.9586 "/>
    <s v=" 67.659 "/>
    <x v="0"/>
    <n v="1407847"/>
    <m/>
    <m/>
    <m/>
  </r>
  <r>
    <x v="13"/>
    <x v="5"/>
    <s v="F:\images\20210318\plaque 2/@01 Testo 30/F1_03.tif "/>
    <s v=" 15703.3035 "/>
    <s v=" 66.5813 "/>
    <x v="0"/>
    <n v="1045546"/>
    <m/>
    <m/>
    <m/>
  </r>
  <r>
    <x v="13"/>
    <x v="6"/>
    <s v="F:\images\20210318\plaque 2/@01 Testo 30/G1_01.tif "/>
    <s v=" 58746.7938 "/>
    <s v=" 74.3012 "/>
    <x v="0"/>
    <n v="4364956"/>
    <m/>
    <m/>
    <m/>
  </r>
  <r>
    <x v="13"/>
    <x v="6"/>
    <s v="F:\images\20210318\plaque 2/@01 Testo 30/G1_02.tif "/>
    <s v=" 50549.0637 "/>
    <s v=" 73.454 "/>
    <x v="0"/>
    <n v="3713031"/>
    <m/>
    <m/>
    <m/>
  </r>
  <r>
    <x v="13"/>
    <x v="6"/>
    <s v="F:\images\20210318\plaque 2/@01 Testo 30/G1_03.tif "/>
    <s v=" 46504.2735 "/>
    <s v=" 72.5367 "/>
    <x v="0"/>
    <n v="3373269"/>
    <m/>
    <m/>
    <m/>
  </r>
  <r>
    <x v="13"/>
    <x v="7"/>
    <s v="F:\images\20210318\plaque 2/@01 Testo 30/H1_01.tif "/>
    <s v=" 7137.8652 "/>
    <s v=" 67.8424 "/>
    <x v="0"/>
    <n v="484250"/>
    <m/>
    <m/>
    <m/>
  </r>
  <r>
    <x v="13"/>
    <x v="7"/>
    <s v="F:\images\20210318\plaque 2/@01 Testo 30/H1_02.tif "/>
    <s v=" 3850.1212 "/>
    <s v=" 64.2079 "/>
    <x v="0"/>
    <n v="247208"/>
    <m/>
    <m/>
    <m/>
  </r>
  <r>
    <x v="13"/>
    <x v="7"/>
    <s v="F:\images\20210318\plaque 2/@01 Testo 30/H1_03.tif "/>
    <s v=" 5602.1427 "/>
    <s v=" 67.1892 "/>
    <x v="0"/>
    <n v="376403"/>
    <m/>
    <m/>
    <m/>
  </r>
  <r>
    <x v="1"/>
    <x v="8"/>
    <s v=" "/>
    <m/>
    <m/>
    <x v="1"/>
    <m/>
    <m/>
    <m/>
    <m/>
  </r>
  <r>
    <x v="1"/>
    <x v="8"/>
    <s v="group "/>
    <s v=" "/>
    <s v=" mean of mean fluo "/>
    <x v="2"/>
    <s v=" mean of total fluo "/>
    <s v=" SD total fluo "/>
    <s v=" n fluorescent "/>
    <s v=" n total"/>
  </r>
  <r>
    <x v="13"/>
    <x v="9"/>
    <s v="F:\images\20210318\plaque 2/@01 Testo 30/ "/>
    <s v=" "/>
    <s v=" 68.314 "/>
    <x v="15"/>
    <s v=" 1250357.58 "/>
    <s v=" 1438106.3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318\plaque 2/@02 Testo 30/A2_01.tif "/>
    <s v=" 9300.8547 "/>
    <s v=" 74.9256 "/>
    <x v="0"/>
    <n v="696872"/>
    <m/>
    <m/>
    <m/>
  </r>
  <r>
    <x v="14"/>
    <x v="0"/>
    <s v="F:\images\20210318\plaque 2/@02 Testo 30/A2_02.tif "/>
    <s v=" 6013.1107 "/>
    <s v=" 67.9173 "/>
    <x v="0"/>
    <n v="408394"/>
    <m/>
    <m/>
    <m/>
  </r>
  <r>
    <x v="14"/>
    <x v="0"/>
    <s v="F:\images\20210318\plaque 2/@02 Testo 30/A2_03.tif "/>
    <s v=" 9062.9258 "/>
    <s v=" 70.8305 "/>
    <x v="0"/>
    <n v="641932"/>
    <m/>
    <m/>
    <m/>
  </r>
  <r>
    <x v="14"/>
    <x v="1"/>
    <s v="F:\images\20210318\plaque 2/@02 Testo 30/B2_01.tif "/>
    <s v=" 17368.8054 "/>
    <s v=" 68.9913 "/>
    <x v="0"/>
    <n v="1198296"/>
    <m/>
    <m/>
    <m/>
  </r>
  <r>
    <x v="14"/>
    <x v="1"/>
    <s v="F:\images\20210318\plaque 2/@02 Testo 30/B2_02.tif "/>
    <s v=" 16828.058 "/>
    <s v=" 69.3419 "/>
    <x v="0"/>
    <n v="1166890"/>
    <m/>
    <m/>
    <m/>
  </r>
  <r>
    <x v="14"/>
    <x v="1"/>
    <s v="F:\images\20210318\plaque 2/@02 Testo 30/B2_03.tif "/>
    <s v=" 13929.6521 "/>
    <s v=" 67.4581 "/>
    <x v="0"/>
    <n v="939668"/>
    <m/>
    <m/>
    <m/>
  </r>
  <r>
    <x v="14"/>
    <x v="2"/>
    <s v="F:\images\20210318\plaque 2/@02 Testo 30/C2_01.tif "/>
    <s v=" 40664.2019 "/>
    <s v=" 72.4968 "/>
    <x v="0"/>
    <n v="2948025"/>
    <m/>
    <m/>
    <m/>
  </r>
  <r>
    <x v="14"/>
    <x v="2"/>
    <s v="F:\images\20210318\plaque 2/@02 Testo 30/C2_02.tif "/>
    <s v=" 39647.5969 "/>
    <s v=" 70.2264 "/>
    <x v="0"/>
    <n v="2784308"/>
    <m/>
    <m/>
    <m/>
  </r>
  <r>
    <x v="14"/>
    <x v="2"/>
    <s v="F:\images\20210318\plaque 2/@02 Testo 30/C2_03.tif "/>
    <s v=" 38111.8743 "/>
    <s v=" 71.6356 "/>
    <x v="0"/>
    <n v="2730169"/>
    <m/>
    <m/>
    <m/>
  </r>
  <r>
    <x v="14"/>
    <x v="3"/>
    <s v="F:\images\20210318\plaque 2/@02 Testo 30/D2_01.tif "/>
    <s v=" 1254.5339 "/>
    <s v=" 64.1379 "/>
    <x v="0"/>
    <n v="80463"/>
    <m/>
    <m/>
    <m/>
  </r>
  <r>
    <x v="14"/>
    <x v="3"/>
    <s v="F:\images\20210318\plaque 2/@02 Testo 30/D2_02.tif "/>
    <s v=" 1146.3844 "/>
    <s v=" 64.566 "/>
    <x v="0"/>
    <n v="74017"/>
    <m/>
    <m/>
    <m/>
  </r>
  <r>
    <x v="14"/>
    <x v="3"/>
    <s v="F:\images\20210318\plaque 2/@02 Testo 30/D2_03.tif "/>
    <s v=" 1254.5339 "/>
    <s v=" 62.6379 "/>
    <x v="0"/>
    <n v="78581"/>
    <m/>
    <m/>
    <m/>
  </r>
  <r>
    <x v="14"/>
    <x v="4"/>
    <s v="F:\images\20210318\plaque 2/@02 Testo 30/E2_01.tif "/>
    <s v=" 302.8185 "/>
    <s v=" 62.7143 "/>
    <x v="0"/>
    <n v="18991"/>
    <m/>
    <m/>
    <m/>
  </r>
  <r>
    <x v="14"/>
    <x v="4"/>
    <s v="F:\images\20210318\plaque 2/@02 Testo 30/E2_02.tif "/>
    <s v=" 519.1175 "/>
    <s v=" 62.2917 "/>
    <x v="0"/>
    <n v="32337"/>
    <m/>
    <m/>
    <m/>
  </r>
  <r>
    <x v="14"/>
    <x v="4"/>
    <s v="F:\images\20210318\plaque 2/@02 Testo 30/E2_03.tif "/>
    <s v=" 2768.6265 "/>
    <s v=" 68.3672 "/>
    <x v="0"/>
    <n v="189283"/>
    <m/>
    <m/>
    <m/>
  </r>
  <r>
    <x v="14"/>
    <x v="5"/>
    <s v="F:\images\20210318\plaque 2/@02 Testo 30/F2_01.tif "/>
    <s v=" 24982.5283 "/>
    <s v=" 68.6658 "/>
    <x v="0"/>
    <n v="1715445"/>
    <m/>
    <m/>
    <m/>
  </r>
  <r>
    <x v="14"/>
    <x v="5"/>
    <s v="F:\images\20210318\plaque 2/@02 Testo 30/F2_02.tif "/>
    <s v=" 24463.4108 "/>
    <s v=" 69.3546 "/>
    <x v="0"/>
    <n v="1696649"/>
    <m/>
    <m/>
    <m/>
  </r>
  <r>
    <x v="14"/>
    <x v="5"/>
    <s v="F:\images\20210318\plaque 2/@02 Testo 30/F2_03.tif "/>
    <s v=" 26864.3291 "/>
    <s v=" 67.6586 "/>
    <x v="0"/>
    <n v="1817603"/>
    <m/>
    <m/>
    <m/>
  </r>
  <r>
    <x v="14"/>
    <x v="6"/>
    <s v="F:\images\20210318\plaque 2/@02 Testo 30/G2_01.tif "/>
    <s v=" 43000.2305 "/>
    <s v=" 70.8647 "/>
    <x v="0"/>
    <n v="3047198"/>
    <m/>
    <m/>
    <m/>
  </r>
  <r>
    <x v="14"/>
    <x v="6"/>
    <s v="F:\images\20210318\plaque 2/@02 Testo 30/G2_02.tif "/>
    <s v=" 34088.7139 "/>
    <s v=" 69.7563 "/>
    <x v="0"/>
    <n v="2377904"/>
    <m/>
    <m/>
    <m/>
  </r>
  <r>
    <x v="14"/>
    <x v="6"/>
    <s v="F:\images\20210318\plaque 2/@02 Testo 30/G2_03.tif "/>
    <s v=" 34305.0129 "/>
    <s v=" 69.4672 "/>
    <x v="0"/>
    <n v="2383074"/>
    <m/>
    <m/>
    <m/>
  </r>
  <r>
    <x v="14"/>
    <x v="7"/>
    <s v="F:\images\20210318\plaque 2/@02 Testo 30/H2_01.tif "/>
    <s v=" 3331.0038 "/>
    <s v=" 63.7922 "/>
    <x v="0"/>
    <n v="212492"/>
    <m/>
    <m/>
    <m/>
  </r>
  <r>
    <x v="14"/>
    <x v="7"/>
    <s v="F:\images\20210318\plaque 2/@02 Testo 30/H2_02.tif "/>
    <s v=" 3395.8935 "/>
    <s v=" 63.4522 "/>
    <x v="0"/>
    <n v="215477"/>
    <m/>
    <m/>
    <m/>
  </r>
  <r>
    <x v="14"/>
    <x v="7"/>
    <s v="F:\images\20210318\plaque 2/@02 Testo 30/H2_03.tif "/>
    <s v=" 2119.7297 "/>
    <s v=" 63.8163 "/>
    <x v="0"/>
    <n v="135273"/>
    <m/>
    <m/>
    <m/>
  </r>
  <r>
    <x v="1"/>
    <x v="8"/>
    <s v=" "/>
    <m/>
    <m/>
    <x v="1"/>
    <m/>
    <m/>
    <m/>
    <m/>
  </r>
  <r>
    <x v="1"/>
    <x v="8"/>
    <s v="group "/>
    <s v=" "/>
    <s v=" mean of mean fluo "/>
    <x v="2"/>
    <s v=" mean of total fluo "/>
    <s v=" SD total fluo "/>
    <s v=" n fluorescent "/>
    <s v=" n total"/>
  </r>
  <r>
    <x v="14"/>
    <x v="9"/>
    <s v="F:\images\20210318\plaque 2/@02 Testo 30/ "/>
    <s v=" "/>
    <s v=" 67.7236 "/>
    <x v="16"/>
    <s v=" 1149555.88 "/>
    <s v=" 1080172.0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318\plaque 2/@03 Testo+ EE2 64/A3_01.tif "/>
    <s v=" 45703.9674 "/>
    <s v=" 71.7392 "/>
    <x v="0"/>
    <n v="3278768"/>
    <m/>
    <m/>
    <m/>
  </r>
  <r>
    <x v="15"/>
    <x v="0"/>
    <s v="F:\images\20210318\plaque 2/@03 Testo+ EE2 64/A3_02.tif "/>
    <s v=" 37873.9455 "/>
    <s v=" 72.4814 "/>
    <x v="0"/>
    <n v="2745158"/>
    <m/>
    <m/>
    <m/>
  </r>
  <r>
    <x v="15"/>
    <x v="0"/>
    <s v="F:\images\20210318\plaque 2/@03 Testo+ EE2 64/A3_03.tif "/>
    <s v=" 34651.0912 "/>
    <s v=" 72.7022 "/>
    <x v="0"/>
    <n v="2519212"/>
    <m/>
    <m/>
    <m/>
  </r>
  <r>
    <x v="15"/>
    <x v="1"/>
    <s v="F:\images\20210318\plaque 2/@03 Testo+ EE2 64/B3_01.tif "/>
    <s v=" 23663.1047 "/>
    <s v=" 76.3894 "/>
    <x v="0"/>
    <n v="1807610"/>
    <m/>
    <m/>
    <m/>
  </r>
  <r>
    <x v="15"/>
    <x v="1"/>
    <s v="F:\images\20210318\plaque 2/@03 Testo+ EE2 64/B3_02.tif "/>
    <s v=" 27232.0373 "/>
    <s v=" 71.8872 "/>
    <x v="0"/>
    <n v="1957635"/>
    <m/>
    <m/>
    <m/>
  </r>
  <r>
    <x v="15"/>
    <x v="1"/>
    <s v="F:\images\20210318\plaque 2/@03 Testo+ EE2 64/B3_03.tif "/>
    <s v=" 24874.3788 "/>
    <s v=" 75.147 "/>
    <x v="0"/>
    <n v="1869234"/>
    <m/>
    <m/>
    <m/>
  </r>
  <r>
    <x v="15"/>
    <x v="2"/>
    <s v="F:\images\20210318\plaque 2/@03 Testo+ EE2 64/C3_01.tif "/>
    <s v=" 46958.5012 "/>
    <s v=" 74.4652 "/>
    <x v="0"/>
    <n v="3496775"/>
    <m/>
    <m/>
    <m/>
  </r>
  <r>
    <x v="15"/>
    <x v="2"/>
    <s v="F:\images\20210318\plaque 2/@03 Testo+ EE2 64/C3_02.tif "/>
    <s v=" 41269.839 "/>
    <s v=" 73.8449 "/>
    <x v="0"/>
    <n v="3047566"/>
    <m/>
    <m/>
    <m/>
  </r>
  <r>
    <x v="15"/>
    <x v="2"/>
    <s v="F:\images\20210318\plaque 2/@03 Testo+ EE2 64/C3_03.tif "/>
    <s v=" 45703.9674 "/>
    <s v=" 74.6413 "/>
    <x v="0"/>
    <n v="3411402"/>
    <m/>
    <m/>
    <m/>
  </r>
  <r>
    <x v="15"/>
    <x v="3"/>
    <s v="F:\images\20210318\plaque 2/@03 Testo+ EE2 64/D3_01.tif "/>
    <s v=" 46504.2735 "/>
    <s v=" 78.1581 "/>
    <x v="0"/>
    <n v="3634687"/>
    <m/>
    <m/>
    <m/>
  </r>
  <r>
    <x v="15"/>
    <x v="3"/>
    <s v="F:\images\20210318\plaque 2/@03 Testo+ EE2 64/D3_02.tif "/>
    <s v=" 44752.252 "/>
    <s v=" 78.5162 "/>
    <x v="0"/>
    <n v="3513776"/>
    <m/>
    <m/>
    <m/>
  </r>
  <r>
    <x v="15"/>
    <x v="3"/>
    <s v="F:\images\20210318\plaque 2/@03 Testo+ EE2 64/D3_03.tif "/>
    <s v=" 44557.5829 "/>
    <s v=" 77.5039 "/>
    <x v="0"/>
    <n v="3453386"/>
    <m/>
    <m/>
    <m/>
  </r>
  <r>
    <x v="15"/>
    <x v="4"/>
    <s v="F:\images\20210318\plaque 2/@03 Testo+ EE2 64/E3_01.tif "/>
    <s v=" 35537.9169 "/>
    <s v=" 67.6975 "/>
    <x v="0"/>
    <n v="2405828"/>
    <m/>
    <m/>
    <m/>
  </r>
  <r>
    <x v="15"/>
    <x v="4"/>
    <s v="F:\images\20210318\plaque 2/@03 Testo+ EE2 64/E3_02.tif "/>
    <s v=" 34002.1944 "/>
    <s v=" 70.9497 "/>
    <x v="0"/>
    <n v="2412447"/>
    <m/>
    <m/>
    <m/>
  </r>
  <r>
    <x v="15"/>
    <x v="4"/>
    <s v="F:\images\20210318\plaque 2/@03 Testo+ EE2 64/E3_03.tif "/>
    <s v=" 33612.8563 "/>
    <s v=" 76.1731 "/>
    <x v="0"/>
    <n v="2560396"/>
    <m/>
    <m/>
    <m/>
  </r>
  <r>
    <x v="15"/>
    <x v="5"/>
    <s v="F:\images\20210318\plaque 2/@03 Testo+ EE2 64/F3_01.tif "/>
    <s v=" 50570.6936 "/>
    <s v=" 73.8653 "/>
    <x v="0"/>
    <n v="3735418"/>
    <m/>
    <m/>
    <m/>
  </r>
  <r>
    <x v="15"/>
    <x v="5"/>
    <s v="F:\images\20210318\plaque 2/@03 Testo+ EE2 64/F3_02.tif "/>
    <s v=" 53598.8789 "/>
    <s v=" 73.638 "/>
    <x v="0"/>
    <n v="3946915"/>
    <m/>
    <m/>
    <m/>
  </r>
  <r>
    <x v="15"/>
    <x v="5"/>
    <s v="F:\images\20210318\plaque 2/@03 Testo+ EE2 64/F3_03.tif "/>
    <s v=" 54507.3345 "/>
    <s v=" 73.2802 "/>
    <x v="0"/>
    <n v="3994306"/>
    <m/>
    <m/>
    <m/>
  </r>
  <r>
    <x v="15"/>
    <x v="6"/>
    <s v="F:\images\20210318\plaque 2/@03 Testo+ EE2 64/G3_01.tif "/>
    <s v=" 36121.924 "/>
    <s v=" 70.7491 "/>
    <x v="0"/>
    <n v="2555594"/>
    <m/>
    <m/>
    <m/>
  </r>
  <r>
    <x v="15"/>
    <x v="6"/>
    <s v="F:\images\20210318\plaque 2/@03 Testo+ EE2 64/G3_02.tif "/>
    <s v=" 34845.7602 "/>
    <s v=" 69.7685 "/>
    <x v="0"/>
    <n v="2431135"/>
    <m/>
    <m/>
    <m/>
  </r>
  <r>
    <x v="15"/>
    <x v="6"/>
    <s v="F:\images\20210318\plaque 2/@03 Testo+ EE2 64/G3_03.tif "/>
    <s v=" 45271.3695 "/>
    <s v=" 72.5356 "/>
    <x v="0"/>
    <n v="3283786"/>
    <m/>
    <m/>
    <m/>
  </r>
  <r>
    <x v="15"/>
    <x v="7"/>
    <s v="F:\images\20210318\plaque 2/@03 Testo+ EE2 64/H3_01.tif "/>
    <s v=" 30736.0803 "/>
    <s v=" 69.0591 "/>
    <x v="0"/>
    <n v="2122606"/>
    <m/>
    <m/>
    <m/>
  </r>
  <r>
    <x v="15"/>
    <x v="7"/>
    <s v="F:\images\20210318\plaque 2/@03 Testo+ EE2 64/H3_02.tif "/>
    <s v=" 33958.9346 "/>
    <s v=" 69.5682 "/>
    <x v="0"/>
    <n v="2362460"/>
    <m/>
    <m/>
    <m/>
  </r>
  <r>
    <x v="15"/>
    <x v="7"/>
    <s v="F:\images\20210318\plaque 2/@03 Testo+ EE2 64/H3_03.tif "/>
    <s v=" 28573.0908 "/>
    <s v=" 67.9258 "/>
    <x v="0"/>
    <n v="1940850"/>
    <m/>
    <m/>
    <m/>
  </r>
  <r>
    <x v="1"/>
    <x v="8"/>
    <s v=" "/>
    <m/>
    <m/>
    <x v="1"/>
    <m/>
    <m/>
    <m/>
    <m/>
  </r>
  <r>
    <x v="1"/>
    <x v="8"/>
    <s v="group "/>
    <s v=" "/>
    <s v=" mean of mean fluo "/>
    <x v="2"/>
    <s v=" mean of total fluo "/>
    <s v=" SD total fluo "/>
    <s v=" n fluorescent "/>
    <s v=" n total"/>
  </r>
  <r>
    <x v="15"/>
    <x v="9"/>
    <s v="F:\images\20210318\plaque 2/@03 Testo+ EE2 64/ "/>
    <s v=" "/>
    <s v=" 73.0286 "/>
    <x v="17"/>
    <s v=" 2853622.92 "/>
    <s v=" 696405.14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318\plaque 2/@04 Testo+ FAD/A4_01.tif "/>
    <s v=" 9884.8618 "/>
    <s v=" 78.5602 "/>
    <x v="0"/>
    <n v="776556"/>
    <m/>
    <m/>
    <m/>
  </r>
  <r>
    <x v="16"/>
    <x v="0"/>
    <s v="F:\images\20210318\plaque 2/@04 Testo+ FAD/A4_02.tif "/>
    <s v=" 9668.5629 "/>
    <s v=" 78.8501 "/>
    <x v="0"/>
    <n v="762367"/>
    <m/>
    <m/>
    <m/>
  </r>
  <r>
    <x v="16"/>
    <x v="0"/>
    <s v="F:\images\20210318\plaque 2/@04 Testo+ FAD/A4_03- exclu.tif"/>
    <m/>
    <m/>
    <x v="1"/>
    <m/>
    <m/>
    <m/>
    <m/>
  </r>
  <r>
    <x v="16"/>
    <x v="1"/>
    <s v="F:\images\20210318\plaque 2/@04 Testo+ FAD/B4_01.tif "/>
    <s v=" 6986.456 "/>
    <s v=" 74.3467 "/>
    <x v="0"/>
    <n v="519420"/>
    <m/>
    <m/>
    <m/>
  </r>
  <r>
    <x v="16"/>
    <x v="1"/>
    <s v="F:\images\20210318\plaque 2/@04 Testo+ FAD/B4_02.tif "/>
    <s v=" 302.8185 "/>
    <s v=" 63.2857 "/>
    <x v="0"/>
    <n v="19164"/>
    <m/>
    <m/>
    <m/>
  </r>
  <r>
    <x v="16"/>
    <x v="1"/>
    <s v="F:\images\20210318\plaque 2/@04 Testo+ FAD/B4_03.tif "/>
    <s v=" 6791.7869 "/>
    <s v=" 72.6624 "/>
    <x v="0"/>
    <n v="493508"/>
    <m/>
    <m/>
    <m/>
  </r>
  <r>
    <x v="16"/>
    <x v="2"/>
    <s v="F:\images\20210318\plaque 2/@04 Testo+ FAD/C4_01.tif "/>
    <s v=" 259.5587 "/>
    <s v=" 62.1667 "/>
    <x v="0"/>
    <n v="16136"/>
    <m/>
    <m/>
    <m/>
  </r>
  <r>
    <x v="16"/>
    <x v="2"/>
    <s v="F:\images\20210318\plaque 2/@04 Testo+ FAD/C4_02.tif "/>
    <s v=" 151.4093 "/>
    <s v=" 64.7143 "/>
    <x v="0"/>
    <n v="9798"/>
    <m/>
    <m/>
    <m/>
  </r>
  <r>
    <x v="16"/>
    <x v="2"/>
    <s v="F:\images\20210318\plaque 2/@04 Testo+ FAD/C4_03.tif "/>
    <s v=" 237.9288 "/>
    <s v=" 63.4545 "/>
    <x v="0"/>
    <n v="15098"/>
    <m/>
    <m/>
    <m/>
  </r>
  <r>
    <x v="16"/>
    <x v="3"/>
    <s v="F:\images\20210318\plaque 2/@04 Testo+ FAD/D4_01.tif "/>
    <s v=" 670.5267 "/>
    <s v=" 62.7742 "/>
    <x v="0"/>
    <n v="42092"/>
    <m/>
    <m/>
    <m/>
  </r>
  <r>
    <x v="16"/>
    <x v="3"/>
    <s v="F:\images\20210318\plaque 2/@04 Testo+ FAD/D4_02.tif "/>
    <s v=" 886.8257 "/>
    <s v=" 63.6829 "/>
    <x v="0"/>
    <n v="56476"/>
    <m/>
    <m/>
    <m/>
  </r>
  <r>
    <x v="16"/>
    <x v="3"/>
    <s v="F:\images\20210318\plaque 2/@04 Testo+ FAD/D4_03.tif "/>
    <s v=" 778.6762 "/>
    <s v=" 63.3333 "/>
    <x v="0"/>
    <n v="49316"/>
    <m/>
    <m/>
    <m/>
  </r>
  <r>
    <x v="16"/>
    <x v="4"/>
    <s v="F:\images\20210318\plaque 2/@04 Testo+ FAD/E4_01.tif "/>
    <s v=" 1773.6514 "/>
    <s v=" 65.8049 "/>
    <x v="0"/>
    <n v="116715"/>
    <m/>
    <m/>
    <m/>
  </r>
  <r>
    <x v="16"/>
    <x v="4"/>
    <s v="F:\images\20210318\plaque 2/@04 Testo+ FAD/E4_02.tif "/>
    <s v=" 302.8185 "/>
    <s v=" 63.3571 "/>
    <x v="0"/>
    <n v="19186"/>
    <m/>
    <m/>
    <m/>
  </r>
  <r>
    <x v="16"/>
    <x v="4"/>
    <s v="F:\images\20210318\plaque 2/@04 Testo+ FAD/E4_03.tif "/>
    <s v=" 540.7474 "/>
    <s v=" 62.92 "/>
    <x v="0"/>
    <n v="34024"/>
    <m/>
    <m/>
    <m/>
  </r>
  <r>
    <x v="16"/>
    <x v="5"/>
    <s v="F:\images\20210318\plaque 2/@04 Testo+ FAD/F4_01.tif "/>
    <s v=" 1059.8648 "/>
    <s v=" 63.3673 "/>
    <x v="0"/>
    <n v="67161"/>
    <m/>
    <m/>
    <m/>
  </r>
  <r>
    <x v="16"/>
    <x v="5"/>
    <s v="F:\images\20210318\plaque 2/@04 Testo+ FAD/F4_02.tif "/>
    <s v=" 821.936 "/>
    <s v=" 62.9737 "/>
    <x v="0"/>
    <n v="51760"/>
    <m/>
    <m/>
    <m/>
  </r>
  <r>
    <x v="16"/>
    <x v="5"/>
    <s v="F:\images\20210318\plaque 2/@04 Testo+ FAD/F4_03.tif "/>
    <s v=" 2141.3596 "/>
    <s v=" 64.6364 "/>
    <x v="0"/>
    <n v="138410"/>
    <m/>
    <m/>
    <m/>
  </r>
  <r>
    <x v="16"/>
    <x v="6"/>
    <s v="F:\images\20210318\plaque 2/@04 Testo+ FAD/G4_01.tif "/>
    <s v=" 519.1175 "/>
    <s v=" 63.4167 "/>
    <x v="0"/>
    <n v="32921"/>
    <m/>
    <m/>
    <m/>
  </r>
  <r>
    <x v="16"/>
    <x v="6"/>
    <s v="F:\images\20210318\plaque 2/@04 Testo+ FAD/G4_02.tif "/>
    <s v=" 670.5267 "/>
    <s v=" 62.9032 "/>
    <x v="0"/>
    <n v="42178"/>
    <m/>
    <m/>
    <m/>
  </r>
  <r>
    <x v="16"/>
    <x v="6"/>
    <s v="F:\images\20210318\plaque 2/@04 Testo+ FAD/G4_03.tif "/>
    <s v=" 367.7082 "/>
    <s v=" 63.4118 "/>
    <x v="0"/>
    <n v="23317"/>
    <m/>
    <m/>
    <m/>
  </r>
  <r>
    <x v="16"/>
    <x v="7"/>
    <s v="F:\images\20210318\plaque 2/@04 Testo+ FAD/H4_01.tif "/>
    <s v=" 1795.2813 "/>
    <s v=" 63.4337 "/>
    <x v="0"/>
    <n v="113881"/>
    <m/>
    <m/>
    <m/>
  </r>
  <r>
    <x v="16"/>
    <x v="7"/>
    <s v="F:\images\20210318\plaque 2/@04 Testo+ FAD/H4_02.tif "/>
    <s v=" 648.8968 "/>
    <s v=" 63.0333 "/>
    <x v="0"/>
    <n v="40902"/>
    <m/>
    <m/>
    <m/>
  </r>
  <r>
    <x v="16"/>
    <x v="7"/>
    <s v="F:\images\20210318\plaque 2/@04 Testo+ FAD/H4_03.tif "/>
    <s v=" 346.0783 "/>
    <s v=" 63.5 "/>
    <x v="0"/>
    <n v="21976"/>
    <m/>
    <m/>
    <m/>
  </r>
  <r>
    <x v="1"/>
    <x v="8"/>
    <s v=" "/>
    <m/>
    <m/>
    <x v="1"/>
    <m/>
    <m/>
    <m/>
    <m/>
  </r>
  <r>
    <x v="1"/>
    <x v="8"/>
    <s v="group "/>
    <s v=" "/>
    <s v=" mean of mean fluo "/>
    <x v="2"/>
    <s v=" mean of total fluo "/>
    <s v=" SD total fluo "/>
    <s v=" n fluorescent "/>
    <s v=" n total"/>
  </r>
  <r>
    <x v="16"/>
    <x v="9"/>
    <s v="F:\images\20210318\plaque 2/@04 Testo+ FAD/ "/>
    <s v=" "/>
    <s v=" 65.4579 "/>
    <x v="18"/>
    <s v=" 144537.25 "/>
    <s v=" 234485.51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318\plaque 2/@05 Fadrozole 0.016 µg_L Dopé/A5_01.tif "/>
    <s v=" 32466.4718 "/>
    <s v=" 71.547 "/>
    <x v="0"/>
    <n v="2322878"/>
    <m/>
    <m/>
    <m/>
  </r>
  <r>
    <x v="17"/>
    <x v="0"/>
    <s v="F:\images\20210318\plaque 2/@05 Fadrozole 0.016 µg_L Dopé/A5_02.tif "/>
    <s v=" 28811.0196 "/>
    <s v=" 69.6269 "/>
    <x v="0"/>
    <n v="2006021"/>
    <m/>
    <m/>
    <m/>
  </r>
  <r>
    <x v="17"/>
    <x v="0"/>
    <s v="F:\images\20210318\plaque 2/@05 Fadrozole 0.016 µg_L Dopé/A5_03.tif "/>
    <s v=" 29784.3649 "/>
    <s v=" 70.2375 "/>
    <x v="0"/>
    <n v="2091979"/>
    <m/>
    <m/>
    <m/>
  </r>
  <r>
    <x v="17"/>
    <x v="1"/>
    <s v="F:\images\20210318\plaque 2/@05 Fadrozole 0.016 µg_L Dopé/B5_01.tif "/>
    <s v=" 27621.3754 "/>
    <s v=" 69.166 "/>
    <x v="0"/>
    <n v="1910460"/>
    <m/>
    <m/>
    <m/>
  </r>
  <r>
    <x v="17"/>
    <x v="1"/>
    <s v="F:\images\20210318\plaque 2/@05 Fadrozole 0.016 µg_L Dopé/B5_02- exclu.tif"/>
    <m/>
    <m/>
    <x v="1"/>
    <m/>
    <m/>
    <m/>
    <m/>
  </r>
  <r>
    <x v="17"/>
    <x v="1"/>
    <s v="F:\images\20210318\plaque 2/@05 Fadrozole 0.016 µg_L Dopé/B5_03.tif "/>
    <s v=" 29092.2083 "/>
    <s v=" 68.8439 "/>
    <x v="0"/>
    <n v="2002820"/>
    <m/>
    <m/>
    <m/>
  </r>
  <r>
    <x v="17"/>
    <x v="2"/>
    <s v="F:\images\20210318\plaque 2/@05 Fadrozole 0.016 µg_L Dopé/C5_01.tif "/>
    <s v=" 4109.68 "/>
    <s v=" 64.1474 "/>
    <x v="0"/>
    <n v="263625"/>
    <m/>
    <m/>
    <m/>
  </r>
  <r>
    <x v="17"/>
    <x v="2"/>
    <s v="F:\images\20210318\plaque 2/@05 Fadrozole 0.016 µg_L Dopé/C5_02.tif "/>
    <s v=" 2162.9895 "/>
    <s v=" 64.1 "/>
    <x v="0"/>
    <n v="138648"/>
    <m/>
    <m/>
    <m/>
  </r>
  <r>
    <x v="17"/>
    <x v="2"/>
    <s v="F:\images\20210318\plaque 2/@05 Fadrozole 0.016 µg_L Dopé/C5_03.tif "/>
    <s v=" 5667.0324 "/>
    <s v=" 64.5725 "/>
    <x v="0"/>
    <n v="365935"/>
    <m/>
    <m/>
    <m/>
  </r>
  <r>
    <x v="17"/>
    <x v="3"/>
    <s v="F:\images\20210318\plaque 2/@05 Fadrozole 0.016 µg_L Dopé/D5_01.tif "/>
    <s v=" 21932.7132 "/>
    <s v=" 68.4497 "/>
    <x v="0"/>
    <n v="1501288"/>
    <m/>
    <m/>
    <m/>
  </r>
  <r>
    <x v="17"/>
    <x v="3"/>
    <s v="F:\images\20210318\plaque 2/@05 Fadrozole 0.016 µg_L Dopé/D5_02.tif "/>
    <s v=" 26020.7632 "/>
    <s v=" 68.3857 "/>
    <x v="0"/>
    <n v="1779448"/>
    <m/>
    <m/>
    <m/>
  </r>
  <r>
    <x v="17"/>
    <x v="3"/>
    <s v="F:\images\20210318\plaque 2/@05 Fadrozole 0.016 µg_L Dopé/D5_03.tif "/>
    <s v=" 24658.0799 "/>
    <s v=" 68.5053 "/>
    <x v="0"/>
    <n v="1689208"/>
    <m/>
    <m/>
    <m/>
  </r>
  <r>
    <x v="17"/>
    <x v="4"/>
    <s v="F:\images\20210318\plaque 2/@05 Fadrozole 0.016 µg_L Dopé/E5_01.tif "/>
    <s v=" 25934.2437 "/>
    <s v=" 70.0801 "/>
    <x v="0"/>
    <n v="1817474"/>
    <m/>
    <m/>
    <m/>
  </r>
  <r>
    <x v="17"/>
    <x v="4"/>
    <s v="F:\images\20210318\plaque 2/@05 Fadrozole 0.016 µg_L Dopé/E5_02.tif "/>
    <s v=" 27405.0765 "/>
    <s v=" 72.0284 "/>
    <x v="0"/>
    <n v="1973944"/>
    <m/>
    <m/>
    <m/>
  </r>
  <r>
    <x v="17"/>
    <x v="4"/>
    <s v="F:\images\20210318\plaque 2/@05 Fadrozole 0.016 µg_L Dopé/E5_03.tif "/>
    <s v=" 32012.2441 "/>
    <s v=" 73.325 "/>
    <x v="0"/>
    <n v="2347298"/>
    <m/>
    <m/>
    <m/>
  </r>
  <r>
    <x v="17"/>
    <x v="5"/>
    <s v="F:\images\20210318\plaque 2/@05 Fadrozole 0.016 µg_L Dopé/F5_01.tif "/>
    <s v=" 26085.6529 "/>
    <s v=" 71.0688 "/>
    <x v="0"/>
    <n v="1853877"/>
    <m/>
    <m/>
    <m/>
  </r>
  <r>
    <x v="17"/>
    <x v="5"/>
    <s v="F:\images\20210318\plaque 2/@05 Fadrozole 0.016 µg_L Dopé/F5_02.tif "/>
    <s v=" 26907.5889 "/>
    <s v=" 71.2162 "/>
    <x v="0"/>
    <n v="1916257"/>
    <m/>
    <m/>
    <m/>
  </r>
  <r>
    <x v="17"/>
    <x v="5"/>
    <s v="F:\images\20210318\plaque 2/@05 Fadrozole 0.016 µg_L Dopé/F5_03.tif "/>
    <s v=" 25826.0942 "/>
    <s v=" 70.0704 "/>
    <x v="0"/>
    <n v="1809644"/>
    <m/>
    <m/>
    <m/>
  </r>
  <r>
    <x v="17"/>
    <x v="6"/>
    <s v="F:\images\20210318\plaque 2/@05 Fadrozole 0.016 µg_L Dopé/G5_01.tif "/>
    <s v=" 38804.031 "/>
    <s v=" 68.3796 "/>
    <x v="0"/>
    <n v="2653404"/>
    <m/>
    <m/>
    <m/>
  </r>
  <r>
    <x v="17"/>
    <x v="6"/>
    <s v="F:\images\20210318\plaque 2/@05 Fadrozole 0.016 µg_L Dopé/G5_02.tif "/>
    <s v=" 33785.8954 "/>
    <s v=" 67.5314 "/>
    <x v="0"/>
    <n v="2281608"/>
    <m/>
    <m/>
    <m/>
  </r>
  <r>
    <x v="17"/>
    <x v="6"/>
    <s v="F:\images\20210318\plaque 2/@05 Fadrozole 0.016 µg_L Dopé/G5_03.tif "/>
    <s v=" 27859.3043 "/>
    <s v=" 67.3866 "/>
    <x v="0"/>
    <n v="1877345"/>
    <m/>
    <m/>
    <m/>
  </r>
  <r>
    <x v="17"/>
    <x v="7"/>
    <s v="F:\images\20210318\plaque 2/@05 Fadrozole 0.016 µg_L Dopé/H5_01.tif "/>
    <s v=" 11507.1039 "/>
    <s v=" 64.1767 "/>
    <x v="0"/>
    <n v="738488"/>
    <m/>
    <m/>
    <m/>
  </r>
  <r>
    <x v="17"/>
    <x v="7"/>
    <s v="F:\images\20210318\plaque 2/@05 Fadrozole 0.016 µg_L Dopé/H5_02.tif "/>
    <s v=" 12047.8513 "/>
    <s v=" 65.5961 "/>
    <x v="0"/>
    <n v="790291"/>
    <m/>
    <m/>
    <m/>
  </r>
  <r>
    <x v="17"/>
    <x v="7"/>
    <s v="F:\images\20210318\plaque 2/@05 Fadrozole 0.016 µg_L Dopé/H5_03.tif "/>
    <s v=" 15162.5561 "/>
    <s v=" 70.3652 "/>
    <x v="0"/>
    <n v="1066916"/>
    <m/>
    <m/>
    <m/>
  </r>
  <r>
    <x v="1"/>
    <x v="8"/>
    <s v=" "/>
    <m/>
    <m/>
    <x v="1"/>
    <m/>
    <m/>
    <m/>
    <m/>
  </r>
  <r>
    <x v="1"/>
    <x v="8"/>
    <s v="group "/>
    <s v=" "/>
    <s v=" mean of mean fluo "/>
    <x v="2"/>
    <s v=" mean of total fluo "/>
    <s v=" SD total fluo "/>
    <s v=" n fluorescent "/>
    <s v=" n total"/>
  </r>
  <r>
    <x v="17"/>
    <x v="9"/>
    <s v="F:\images\20210318\plaque 2/@05 Fadrozole 0.016 µg_L Dopé/ "/>
    <s v=" "/>
    <s v=" 68.4606 "/>
    <x v="19"/>
    <s v=" 1575661.25 "/>
    <s v=" 719951.58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318\plaque 2/@06  Fadrozole 0.08 µg_L Dopé/A6_01.tif "/>
    <s v=" 16914.5776 "/>
    <s v=" 67.7442 "/>
    <x v="0"/>
    <n v="1145865"/>
    <m/>
    <m/>
    <m/>
  </r>
  <r>
    <x v="18"/>
    <x v="0"/>
    <s v="F:\images\20210318\plaque 2/@06  Fadrozole 0.08 µg_L Dopé/A6_02.tif "/>
    <s v=" 15508.6344 "/>
    <s v=" 67.0669 "/>
    <x v="0"/>
    <n v="1040117"/>
    <m/>
    <m/>
    <m/>
  </r>
  <r>
    <x v="18"/>
    <x v="0"/>
    <s v="F:\images\20210318\plaque 2/@06  Fadrozole 0.08 µg_L Dopé/A6_03.tif "/>
    <s v=" 16611.7591 "/>
    <s v=" 67.2969 "/>
    <x v="0"/>
    <n v="1117919"/>
    <m/>
    <m/>
    <m/>
  </r>
  <r>
    <x v="18"/>
    <x v="1"/>
    <s v="F:\images\20210318\plaque 2/@06  Fadrozole 0.08 µg_L Dopé/B6_01.tif "/>
    <s v=" 39712.4865 "/>
    <s v=" 71.7996 "/>
    <x v="0"/>
    <n v="2851339"/>
    <m/>
    <m/>
    <m/>
  </r>
  <r>
    <x v="18"/>
    <x v="1"/>
    <s v="F:\images\20210318\plaque 2/@06  Fadrozole 0.08 µg_L Dopé/B6_02.tif "/>
    <s v=" 37614.3868 "/>
    <s v=" 71.176 "/>
    <x v="0"/>
    <n v="2677240"/>
    <m/>
    <m/>
    <m/>
  </r>
  <r>
    <x v="18"/>
    <x v="1"/>
    <s v="F:\images\20210318\plaque 2/@06  Fadrozole 0.08 µg_L Dopé/B6_03.tif "/>
    <s v=" 37160.159 "/>
    <s v=" 69.8434 "/>
    <x v="0"/>
    <n v="2595393"/>
    <m/>
    <m/>
    <m/>
  </r>
  <r>
    <x v="18"/>
    <x v="2"/>
    <s v="F:\images\20210318\plaque 2/@06  Fadrozole 0.08 µg_L Dopé/C6_01.tif "/>
    <s v=" 12112.741 "/>
    <s v=" 64.3625 "/>
    <x v="0"/>
    <n v="779606"/>
    <m/>
    <m/>
    <m/>
  </r>
  <r>
    <x v="18"/>
    <x v="2"/>
    <s v="F:\images\20210318\plaque 2/@06  Fadrozole 0.08 µg_L Dopé/C6_02.tif "/>
    <s v=" 15011.1469 "/>
    <s v=" 65.866 "/>
    <x v="0"/>
    <n v="988724"/>
    <m/>
    <m/>
    <m/>
  </r>
  <r>
    <x v="18"/>
    <x v="2"/>
    <s v="F:\images\20210318\plaque 2/@06  Fadrozole 0.08 µg_L Dopé/C6_03.tif "/>
    <s v=" 9906.4917 "/>
    <s v=" 64.2074 "/>
    <x v="0"/>
    <n v="636070"/>
    <m/>
    <m/>
    <m/>
  </r>
  <r>
    <x v="18"/>
    <x v="3"/>
    <s v="F:\images\20210318\plaque 2/@06  Fadrozole 0.08 µg_L Dopé/D6_01.tif "/>
    <s v=" 16633.389 "/>
    <s v=" 66.7269 "/>
    <x v="0"/>
    <n v="1109895"/>
    <m/>
    <m/>
    <m/>
  </r>
  <r>
    <x v="18"/>
    <x v="3"/>
    <s v="F:\images\20210318\plaque 2/@06  Fadrozole 0.08 µg_L Dopé/D6_02.tif "/>
    <s v=" 21305.4462 "/>
    <s v=" 67.134 "/>
    <x v="0"/>
    <n v="1430320"/>
    <m/>
    <m/>
    <m/>
  </r>
  <r>
    <x v="18"/>
    <x v="3"/>
    <s v="F:\images\20210318\plaque 2/@06  Fadrozole 0.08 µg_L Dopé/D6_03- exclu.tif"/>
    <m/>
    <m/>
    <x v="1"/>
    <m/>
    <m/>
    <m/>
    <m/>
  </r>
  <r>
    <x v="18"/>
    <x v="4"/>
    <s v="F:\images\20210318\plaque 2/@06  Fadrozole 0.08 µg_L Dopé/E6_01.tif "/>
    <s v=" 24160.5923 "/>
    <s v=" 71.6723 "/>
    <x v="0"/>
    <n v="1731646"/>
    <m/>
    <m/>
    <m/>
  </r>
  <r>
    <x v="18"/>
    <x v="4"/>
    <s v="F:\images\20210318\plaque 2/@06  Fadrozole 0.08 µg_L Dopé/E6_02.tif "/>
    <s v=" 15011.1469 "/>
    <s v=" 72.8501 "/>
    <x v="0"/>
    <n v="1093564"/>
    <m/>
    <m/>
    <m/>
  </r>
  <r>
    <x v="18"/>
    <x v="4"/>
    <s v="F:\images\20210318\plaque 2/@06  Fadrozole 0.08 µg_L Dopé/E6_03.tif "/>
    <s v=" 17217.3961 "/>
    <s v=" 68.5477 "/>
    <x v="0"/>
    <n v="1180214"/>
    <m/>
    <m/>
    <m/>
  </r>
  <r>
    <x v="18"/>
    <x v="5"/>
    <s v="F:\images\20210318\plaque 2/@06  Fadrozole 0.08 µg_L Dopé/F6_01.tif "/>
    <s v=" 2119.7297 "/>
    <s v=" 63.8776 "/>
    <x v="0"/>
    <n v="135403"/>
    <m/>
    <m/>
    <m/>
  </r>
  <r>
    <x v="18"/>
    <x v="5"/>
    <s v="F:\images\20210318\plaque 2/@06  Fadrozole 0.08 µg_L Dopé/F6_02.tif "/>
    <s v=" 2400.9183 "/>
    <s v=" 63.7658 "/>
    <x v="0"/>
    <n v="153096"/>
    <m/>
    <m/>
    <m/>
  </r>
  <r>
    <x v="18"/>
    <x v="5"/>
    <s v="F:\images\20210318\plaque 2/@06  Fadrozole 0.08 µg_L Dopé/F6_03.tif "/>
    <s v=" 1643.872 "/>
    <s v=" 63.0132 "/>
    <x v="0"/>
    <n v="103586"/>
    <m/>
    <m/>
    <m/>
  </r>
  <r>
    <x v="18"/>
    <x v="6"/>
    <s v="F:\images\20210318\plaque 2/@06  Fadrozole 0.08 µg_L Dopé/G6_01.tif "/>
    <s v=" 36186.8137 "/>
    <s v=" 68.838 "/>
    <x v="0"/>
    <n v="2491028"/>
    <m/>
    <m/>
    <m/>
  </r>
  <r>
    <x v="18"/>
    <x v="6"/>
    <s v="F:\images\20210318\plaque 2/@06  Fadrozole 0.08 µg_L Dopé/G6_02.tif "/>
    <s v=" 27037.3683 "/>
    <s v=" 66.3552 "/>
    <x v="0"/>
    <n v="1794070"/>
    <m/>
    <m/>
    <m/>
  </r>
  <r>
    <x v="18"/>
    <x v="6"/>
    <s v="F:\images\20210318\plaque 2/@06  Fadrozole 0.08 µg_L Dopé/G6_03.tif "/>
    <s v=" 30541.4112 "/>
    <s v=" 66.614 "/>
    <x v="0"/>
    <n v="2034486"/>
    <m/>
    <m/>
    <m/>
  </r>
  <r>
    <x v="18"/>
    <x v="7"/>
    <s v="F:\images\20210318\plaque 2/@06  Fadrozole 0.08 µg_L Dopé/H6_01.tif "/>
    <s v=" 562.3773 "/>
    <s v=" 63.1923 "/>
    <x v="0"/>
    <n v="35538"/>
    <m/>
    <m/>
    <m/>
  </r>
  <r>
    <x v="18"/>
    <x v="7"/>
    <s v="F:\images\20210318\plaque 2/@06  Fadrozole 0.08 µg_L Dopé/H6_02.tif "/>
    <s v=" 778.6762 "/>
    <s v=" 62.8333 "/>
    <x v="0"/>
    <n v="48927"/>
    <m/>
    <m/>
    <m/>
  </r>
  <r>
    <x v="18"/>
    <x v="7"/>
    <s v="F:\images\20210318\plaque 2/@06  Fadrozole 0.08 µg_L Dopé/H6_03.tif "/>
    <s v=" 1319.4236 "/>
    <s v=" 63.4754 "/>
    <x v="0"/>
    <n v="83751"/>
    <m/>
    <m/>
    <m/>
  </r>
  <r>
    <x v="1"/>
    <x v="8"/>
    <s v=" "/>
    <m/>
    <m/>
    <x v="1"/>
    <m/>
    <m/>
    <m/>
    <m/>
  </r>
  <r>
    <x v="1"/>
    <x v="8"/>
    <s v="group "/>
    <s v=" "/>
    <s v=" mean of mean fluo "/>
    <x v="2"/>
    <s v=" mean of total fluo "/>
    <s v=" SD total fluo "/>
    <s v=" n fluorescent "/>
    <s v=" n total"/>
  </r>
  <r>
    <x v="18"/>
    <x v="9"/>
    <s v="F:\images\20210318\plaque 2/@06  Fadrozole 0.08 µg_L Dopé/ "/>
    <s v=" "/>
    <s v=" 66.9469 "/>
    <x v="20"/>
    <s v=" 1156845.12 "/>
    <s v=" 891924.78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318\plaque 2/@07  Fadrozole 0.4 µg_L Dopé/A7_01.tif "/>
    <s v=" 432.5979 "/>
    <s v=" 63.55 "/>
    <x v="0"/>
    <n v="27492"/>
    <m/>
    <m/>
    <m/>
  </r>
  <r>
    <x v="19"/>
    <x v="0"/>
    <s v="F:\images\20210318\plaque 2/@07  Fadrozole 0.4 µg_L Dopé/A7_02.tif "/>
    <s v=" 497.4876 "/>
    <s v=" 62.8261 "/>
    <x v="0"/>
    <n v="31255"/>
    <m/>
    <m/>
    <m/>
  </r>
  <r>
    <x v="19"/>
    <x v="0"/>
    <s v="F:\images\20210318\plaque 2/@07  Fadrozole 0.4 µg_L Dopé/A7_03.tif "/>
    <s v=" 2725.3667 "/>
    <s v=" 68.3571 "/>
    <x v="0"/>
    <n v="186298"/>
    <m/>
    <m/>
    <m/>
  </r>
  <r>
    <x v="19"/>
    <x v="1"/>
    <s v="F:\images\20210318\plaque 2/@07  Fadrozole 0.4 µg_L Dopé/B7_01.tif "/>
    <s v=" 3266.1141 "/>
    <s v=" 64.1987 "/>
    <x v="0"/>
    <n v="209680"/>
    <m/>
    <m/>
    <m/>
  </r>
  <r>
    <x v="19"/>
    <x v="1"/>
    <s v="F:\images\20210318\plaque 2/@07  Fadrozole 0.4 µg_L Dopé/B7_02.tif "/>
    <s v=" 3785.2316 "/>
    <s v=" 63.6971 "/>
    <x v="0"/>
    <n v="241108"/>
    <m/>
    <m/>
    <m/>
  </r>
  <r>
    <x v="19"/>
    <x v="1"/>
    <s v="F:\images\20210318\plaque 2/@07  Fadrozole 0.4 µg_L Dopé/B7_03.tif "/>
    <s v=" 1578.9823 "/>
    <s v=" 63.1507 "/>
    <x v="0"/>
    <n v="99714"/>
    <m/>
    <m/>
    <m/>
  </r>
  <r>
    <x v="19"/>
    <x v="2"/>
    <s v="F:\images\20210318\plaque 2/@07  Fadrozole 0.4 µg_L Dopé/C7_01.tif "/>
    <s v=" 4304.349 "/>
    <s v=" 68.5176 "/>
    <x v="0"/>
    <n v="294924"/>
    <m/>
    <m/>
    <m/>
  </r>
  <r>
    <x v="19"/>
    <x v="2"/>
    <s v="F:\images\20210318\plaque 2/@07  Fadrozole 0.4 µg_L Dopé/C7_02.tif "/>
    <s v=" 4585.5377 "/>
    <s v=" 71.0472 "/>
    <x v="0"/>
    <n v="325789"/>
    <m/>
    <m/>
    <m/>
  </r>
  <r>
    <x v="19"/>
    <x v="2"/>
    <s v="F:\images\20210318\plaque 2/@07  Fadrozole 0.4 µg_L Dopé/C7_03.tif "/>
    <s v=" 843.5659 "/>
    <s v=" 62.7436 "/>
    <x v="0"/>
    <n v="52928"/>
    <m/>
    <m/>
    <m/>
  </r>
  <r>
    <x v="19"/>
    <x v="3"/>
    <s v="F:\images\20210318\plaque 2/@07  Fadrozole 0.4 µg_L Dopé/D7_01.tif "/>
    <s v=" 13583.5738 "/>
    <s v=" 64.6927 "/>
    <x v="0"/>
    <n v="878758"/>
    <m/>
    <m/>
    <m/>
  </r>
  <r>
    <x v="19"/>
    <x v="3"/>
    <s v="F:\images\20210318\plaque 2/@07  Fadrozole 0.4 µg_L Dopé/D7_02.tif "/>
    <s v=" 13605.2037 "/>
    <s v=" 65.1097 "/>
    <x v="0"/>
    <n v="885831"/>
    <m/>
    <m/>
    <m/>
  </r>
  <r>
    <x v="19"/>
    <x v="3"/>
    <s v="F:\images\20210318\plaque 2/@07  Fadrozole 0.4 µg_L Dopé/D7_03.tif "/>
    <s v=" 15551.8942 "/>
    <s v=" 65.3199 "/>
    <x v="0"/>
    <n v="1015848"/>
    <m/>
    <m/>
    <m/>
  </r>
  <r>
    <x v="19"/>
    <x v="4"/>
    <s v="F:\images\20210318\plaque 2/@07  Fadrozole 0.4 µg_L Dopé/E7_01.tif "/>
    <s v=" 5169.5448 "/>
    <s v=" 66.6946 "/>
    <x v="0"/>
    <n v="344781"/>
    <m/>
    <m/>
    <m/>
  </r>
  <r>
    <x v="19"/>
    <x v="4"/>
    <s v="F:\images\20210318\plaque 2/@07  Fadrozole 0.4 µg_L Dopé/E7_02.tif "/>
    <s v=" 2098.0998 "/>
    <s v=" 63.6186 "/>
    <x v="0"/>
    <n v="133478"/>
    <m/>
    <m/>
    <m/>
  </r>
  <r>
    <x v="19"/>
    <x v="4"/>
    <s v="F:\images\20210318\plaque 2/@07  Fadrozole 0.4 µg_L Dopé/E7_03.tif "/>
    <s v=" 2530.6977 "/>
    <s v=" 63.4017 "/>
    <x v="0"/>
    <n v="160451"/>
    <m/>
    <m/>
    <m/>
  </r>
  <r>
    <x v="19"/>
    <x v="5"/>
    <s v="F:\images\20210318\plaque 2/@07  Fadrozole 0.4 µg_L Dopé/F7_01.tif "/>
    <s v=" 4066.4202 "/>
    <s v=" 64.633 "/>
    <x v="0"/>
    <n v="262825"/>
    <m/>
    <m/>
    <m/>
  </r>
  <r>
    <x v="19"/>
    <x v="5"/>
    <s v="F:\images\20210318\plaque 2/@07  Fadrozole 0.4 µg_L Dopé/F7_02.tif "/>
    <s v=" 5320.9541 "/>
    <s v=" 65.4228 "/>
    <x v="0"/>
    <n v="348112"/>
    <m/>
    <m/>
    <m/>
  </r>
  <r>
    <x v="19"/>
    <x v="5"/>
    <s v="F:\images\20210318\plaque 2/@07  Fadrozole 0.4 µg_L Dopé/F7_03.tif "/>
    <s v=" 6424.0787 "/>
    <s v=" 66.5657 "/>
    <x v="0"/>
    <n v="427623"/>
    <m/>
    <m/>
    <m/>
  </r>
  <r>
    <x v="19"/>
    <x v="6"/>
    <s v="F:\images\20210318\plaque 2/@07  Fadrozole 0.4 µg_L Dopé/G7_01.tif "/>
    <s v=" 23295.3965 "/>
    <s v=" 66.9331 "/>
    <x v="0"/>
    <n v="1559234"/>
    <m/>
    <m/>
    <m/>
  </r>
  <r>
    <x v="19"/>
    <x v="6"/>
    <s v="F:\images\20210318\plaque 2/@07  Fadrozole 0.4 µg_L Dopé/G7_02.tif "/>
    <s v=" 21781.3039 "/>
    <s v=" 67.5303 "/>
    <x v="0"/>
    <n v="1470898"/>
    <m/>
    <m/>
    <m/>
  </r>
  <r>
    <x v="19"/>
    <x v="6"/>
    <s v="F:\images\20210318\plaque 2/@07  Fadrozole 0.4 µg_L Dopé/G7_03.tif "/>
    <s v=" 23533.3254 "/>
    <s v=" 66.4237 "/>
    <x v="0"/>
    <n v="1563171"/>
    <m/>
    <m/>
    <m/>
  </r>
  <r>
    <x v="19"/>
    <x v="7"/>
    <s v="F:\images\20210318\plaque 2/@07  Fadrozole 0.4 µg_L Dopé/H7_01.tif "/>
    <s v=" 23879.4037 "/>
    <s v=" 64.9547 "/>
    <x v="0"/>
    <n v="1551080"/>
    <m/>
    <m/>
    <m/>
  </r>
  <r>
    <x v="19"/>
    <x v="7"/>
    <s v="F:\images\20210318\plaque 2/@07  Fadrozole 0.4 µg_L Dopé/H7_02.tif "/>
    <s v=" 15703.3035 "/>
    <s v=" 65.9807 "/>
    <x v="0"/>
    <n v="1036115"/>
    <m/>
    <m/>
    <m/>
  </r>
  <r>
    <x v="19"/>
    <x v="7"/>
    <s v="F:\images\20210318\plaque 2/@07  Fadrozole 0.4 µg_L Dopé/H7_03.tif "/>
    <s v=" 16590.1292 "/>
    <s v=" 65.8083 "/>
    <x v="0"/>
    <n v="1091769"/>
    <m/>
    <m/>
    <m/>
  </r>
  <r>
    <x v="1"/>
    <x v="8"/>
    <s v=" "/>
    <m/>
    <m/>
    <x v="1"/>
    <m/>
    <m/>
    <m/>
    <m/>
  </r>
  <r>
    <x v="1"/>
    <x v="8"/>
    <s v="group "/>
    <s v=" "/>
    <s v=" mean of mean fluo "/>
    <x v="2"/>
    <s v=" mean of total fluo "/>
    <s v=" SD total fluo "/>
    <s v=" n fluorescent "/>
    <s v=" n total"/>
  </r>
  <r>
    <x v="19"/>
    <x v="9"/>
    <s v="F:\images\20210318\plaque 2/@07  Fadrozole 0.4 µg_L Dopé/ "/>
    <s v=" "/>
    <s v=" 65.4657 "/>
    <x v="21"/>
    <s v=" 591631.75 "/>
    <s v=" 542848.32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318\plaque 2/@08  Fadrozole 2 µg_L Dopé/A8_01.tif "/>
    <s v=" 324.4484 "/>
    <s v=" 63.6 "/>
    <x v="0"/>
    <n v="20635"/>
    <m/>
    <m/>
    <m/>
  </r>
  <r>
    <x v="20"/>
    <x v="0"/>
    <s v="F:\images\20210318\plaque 2/@08  Fadrozole 2 µg_L Dopé/A8_02.tif "/>
    <s v=" 129.7794 "/>
    <s v=" 63.6667 "/>
    <x v="0"/>
    <n v="8263"/>
    <m/>
    <m/>
    <m/>
  </r>
  <r>
    <x v="20"/>
    <x v="0"/>
    <s v="F:\images\20210318\plaque 2/@08  Fadrozole 2 µg_L Dopé/A8_03.tif "/>
    <s v=" 216.2989 "/>
    <s v=" 62.7 "/>
    <x v="0"/>
    <n v="13562"/>
    <m/>
    <m/>
    <m/>
  </r>
  <r>
    <x v="20"/>
    <x v="1"/>
    <s v="F:\images\20210318\plaque 2/@08  Fadrozole 2 µg_L Dopé/B8_01.tif "/>
    <s v=" 11182.6555 "/>
    <s v=" 76.3482 "/>
    <x v="0"/>
    <n v="853775"/>
    <m/>
    <m/>
    <m/>
  </r>
  <r>
    <x v="20"/>
    <x v="1"/>
    <s v="F:\images\20210318\plaque 2/@08  Fadrozole 2 µg_L Dopé/B8_02.tif "/>
    <s v=" 1103.1246 "/>
    <s v=" 63.3922 "/>
    <x v="0"/>
    <n v="69929"/>
    <m/>
    <m/>
    <m/>
  </r>
  <r>
    <x v="20"/>
    <x v="1"/>
    <s v="F:\images\20210318\plaque 2/@08  Fadrozole 2 µg_L Dopé/B8_03.tif "/>
    <s v=" 8111.2105 "/>
    <s v=" 75.512 "/>
    <x v="0"/>
    <n v="612494"/>
    <m/>
    <m/>
    <m/>
  </r>
  <r>
    <x v="20"/>
    <x v="2"/>
    <s v="F:\images\20210318\plaque 2/@08  Fadrozole 2 µg_L Dopé/C8_01.tif "/>
    <s v=" 432.5979 "/>
    <s v=" 62.9 "/>
    <x v="0"/>
    <n v="27210"/>
    <m/>
    <m/>
    <m/>
  </r>
  <r>
    <x v="20"/>
    <x v="2"/>
    <s v="F:\images\20210318\plaque 2/@08  Fadrozole 2 µg_L Dopé/C8_02.tif "/>
    <s v=" 1038.2349 "/>
    <s v=" 63.6667 "/>
    <x v="0"/>
    <n v="66101"/>
    <m/>
    <m/>
    <m/>
  </r>
  <r>
    <x v="20"/>
    <x v="2"/>
    <s v="F:\images\20210318\plaque 2/@08  Fadrozole 2 µg_L Dopé/C8_03.tif "/>
    <s v=" 324.4484 "/>
    <s v=" 62.0667 "/>
    <x v="0"/>
    <n v="20137"/>
    <m/>
    <m/>
    <m/>
  </r>
  <r>
    <x v="20"/>
    <x v="3"/>
    <s v="F:\images\20210318\plaque 2/@08  Fadrozole 2 µg_L Dopé/D8_01.tif "/>
    <s v=" 237.9288 "/>
    <s v=" 62.9091 "/>
    <x v="0"/>
    <n v="14968"/>
    <m/>
    <m/>
    <m/>
  </r>
  <r>
    <x v="20"/>
    <x v="3"/>
    <s v="F:\images\20210318\plaque 2/@08  Fadrozole 2 µg_L Dopé/D8_02.tif "/>
    <s v=" 259.5587 "/>
    <s v=" 62.5833 "/>
    <x v="0"/>
    <n v="16244"/>
    <m/>
    <m/>
    <m/>
  </r>
  <r>
    <x v="20"/>
    <x v="3"/>
    <s v="F:\images\20210318\plaque 2/@08  Fadrozole 2 µg_L Dopé/D8_03.tif "/>
    <s v=" 259.5587 "/>
    <s v=" 62.5 "/>
    <x v="0"/>
    <n v="16222"/>
    <m/>
    <m/>
    <m/>
  </r>
  <r>
    <x v="20"/>
    <x v="4"/>
    <s v="F:\images\20210318\plaque 2/@08  Fadrozole 2 µg_L Dopé/E8_01.tif "/>
    <s v=" 2552.3276 "/>
    <s v=" 65.1525 "/>
    <x v="0"/>
    <n v="166291"/>
    <m/>
    <m/>
    <m/>
  </r>
  <r>
    <x v="20"/>
    <x v="4"/>
    <s v="F:\images\20210318\plaque 2/@08  Fadrozole 2 µg_L Dopé/E8_02.tif "/>
    <s v=" 1470.8328 "/>
    <s v=" 64.3676 "/>
    <x v="0"/>
    <n v="94674"/>
    <m/>
    <m/>
    <m/>
  </r>
  <r>
    <x v="20"/>
    <x v="4"/>
    <s v="F:\images\20210318\plaque 2/@08  Fadrozole 2 µg_L Dopé/E8_03.tif "/>
    <s v=" 1211.2741 "/>
    <s v=" 65.3036 "/>
    <x v="0"/>
    <n v="79101"/>
    <m/>
    <m/>
    <m/>
  </r>
  <r>
    <x v="20"/>
    <x v="5"/>
    <s v="F:\images\20210318\plaque 2/@08  Fadrozole 2 µg_L Dopé/F8_01.tif "/>
    <s v=" 5731.9221 "/>
    <s v=" 80.7698 "/>
    <x v="0"/>
    <n v="462966"/>
    <m/>
    <m/>
    <m/>
  </r>
  <r>
    <x v="20"/>
    <x v="5"/>
    <s v="F:\images\20210318\plaque 2/@08  Fadrozole 2 µg_L Dopé/F8_02.tif "/>
    <s v=" 173.0392 "/>
    <s v=" 63.375 "/>
    <x v="0"/>
    <n v="10966"/>
    <m/>
    <m/>
    <m/>
  </r>
  <r>
    <x v="20"/>
    <x v="5"/>
    <s v="F:\images\20210318\plaque 2/@08  Fadrozole 2 µg_L Dopé/F8_03.tif "/>
    <s v=" 3482.413 "/>
    <s v=" 75.7453 "/>
    <x v="0"/>
    <n v="263777"/>
    <m/>
    <m/>
    <m/>
  </r>
  <r>
    <x v="20"/>
    <x v="6"/>
    <s v="F:\images\20210318\plaque 2/@08  Fadrozole 2 µg_L Dopé/G8_01.tif "/>
    <s v=" 475.8577 "/>
    <s v=" 63.1364 "/>
    <x v="0"/>
    <n v="30044"/>
    <m/>
    <m/>
    <m/>
  </r>
  <r>
    <x v="20"/>
    <x v="6"/>
    <s v="F:\images\20210318\plaque 2/@08  Fadrozole 2 µg_L Dopé/G8_02.tif "/>
    <s v=" 367.7082 "/>
    <s v=" 62.3529 "/>
    <x v="0"/>
    <n v="22928"/>
    <m/>
    <m/>
    <m/>
  </r>
  <r>
    <x v="20"/>
    <x v="6"/>
    <s v="F:\images\20210318\plaque 2/@08  Fadrozole 2 µg_L Dopé/G8_03.tif "/>
    <s v=" 562.3773 "/>
    <s v=" 63.2308 "/>
    <x v="0"/>
    <n v="35560"/>
    <m/>
    <m/>
    <m/>
  </r>
  <r>
    <x v="20"/>
    <x v="7"/>
    <s v="F:\images\20210318\plaque 2/@08  Fadrozole 2 µg_L Dopé/H8_01.tif "/>
    <s v=" 1514.0926 "/>
    <s v=" 64.2286 "/>
    <x v="0"/>
    <n v="97248"/>
    <m/>
    <m/>
    <m/>
  </r>
  <r>
    <x v="20"/>
    <x v="7"/>
    <s v="F:\images\20210318\plaque 2/@08  Fadrozole 2 µg_L Dopé/H8_02.tif "/>
    <s v=" 64.8897 "/>
    <s v=" 67.6667 "/>
    <x v="0"/>
    <n v="4391"/>
    <m/>
    <m/>
    <m/>
  </r>
  <r>
    <x v="20"/>
    <x v="7"/>
    <s v="F:\images\20210318\plaque 2/@08  Fadrozole 2 µg_L Dopé/H8_03.tif "/>
    <s v=" 281.1886 "/>
    <s v=" 63.8462 "/>
    <x v="0"/>
    <n v="17953"/>
    <m/>
    <m/>
    <m/>
  </r>
  <r>
    <x v="1"/>
    <x v="8"/>
    <s v=" "/>
    <m/>
    <m/>
    <x v="1"/>
    <m/>
    <m/>
    <m/>
    <m/>
  </r>
  <r>
    <x v="1"/>
    <x v="8"/>
    <s v="group "/>
    <s v=" "/>
    <s v=" mean of mean fluo "/>
    <x v="2"/>
    <s v=" mean of total fluo "/>
    <s v=" SD total fluo "/>
    <s v=" n fluorescent "/>
    <s v=" n total"/>
  </r>
  <r>
    <x v="20"/>
    <x v="9"/>
    <s v="F:\images\20210318\plaque 2/@08  Fadrozole 2 µg_L Dopé/ "/>
    <s v=" "/>
    <s v=" 65.8758 "/>
    <x v="22"/>
    <s v=" 126059.958 "/>
    <s v=" 216084.60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318\plaque 2/@09  Fadrozole 10 µg_L Dopé/A9_01.tif "/>
    <s v=" 216.2989 "/>
    <s v=" 64.9 "/>
    <x v="0"/>
    <n v="14038"/>
    <m/>
    <m/>
    <m/>
  </r>
  <r>
    <x v="21"/>
    <x v="0"/>
    <s v="F:\images\20210318\plaque 2/@09  Fadrozole 10 µg_L Dopé/A9_02.tif "/>
    <s v=" 173.0392 "/>
    <s v=" 63.25 "/>
    <x v="0"/>
    <n v="10945"/>
    <m/>
    <m/>
    <m/>
  </r>
  <r>
    <x v="21"/>
    <x v="0"/>
    <s v="F:\images\20210318\plaque 2/@09  Fadrozole 10 µg_L Dopé/A9_03.tif "/>
    <s v=" 237.9288 "/>
    <s v=" 62.0909 "/>
    <x v="0"/>
    <n v="14773"/>
    <m/>
    <m/>
    <m/>
  </r>
  <r>
    <x v="21"/>
    <x v="1"/>
    <s v="F:\images\20210318\plaque 2/@09  Fadrozole 10 µg_L Dopé/B9_01.tif "/>
    <s v=" 389.3381 "/>
    <s v=" 62.7222 "/>
    <x v="0"/>
    <n v="24420"/>
    <m/>
    <m/>
    <m/>
  </r>
  <r>
    <x v="21"/>
    <x v="1"/>
    <s v="F:\images\20210318\plaque 2/@09  Fadrozole 10 µg_L Dopé/B9_02- exclu.tif"/>
    <m/>
    <m/>
    <x v="1"/>
    <m/>
    <m/>
    <m/>
    <m/>
  </r>
  <r>
    <x v="21"/>
    <x v="1"/>
    <s v="F:\images\20210318\plaque 2/@09  Fadrozole 10 µg_L Dopé/B9_03.tif "/>
    <s v=" 129.7794 "/>
    <s v=" 65.6667 "/>
    <x v="0"/>
    <n v="8522"/>
    <m/>
    <m/>
    <m/>
  </r>
  <r>
    <x v="21"/>
    <x v="2"/>
    <s v="F:\images\20210318\plaque 2/@09  Fadrozole 10 µg_L Dopé/C9_01.tif "/>
    <s v=" 129.7794 "/>
    <s v=" 62.3333 "/>
    <x v="0"/>
    <n v="8090"/>
    <m/>
    <m/>
    <m/>
  </r>
  <r>
    <x v="21"/>
    <x v="2"/>
    <s v="F:\images\20210318\plaque 2/@09  Fadrozole 10 µg_L Dopé/C9_02.tif "/>
    <s v=" 1968.3204 "/>
    <s v=" 63.1209 "/>
    <x v="0"/>
    <n v="124242"/>
    <m/>
    <m/>
    <m/>
  </r>
  <r>
    <x v="21"/>
    <x v="2"/>
    <s v="F:\images\20210318\plaque 2/@09  Fadrozole 10 µg_L Dopé/C9_03.tif "/>
    <s v=" 367.7082 "/>
    <s v=" 63.2353 "/>
    <x v="0"/>
    <n v="23252"/>
    <m/>
    <m/>
    <m/>
  </r>
  <r>
    <x v="21"/>
    <x v="3"/>
    <s v="F:\images\20210318\plaque 2/@09  Fadrozole 10 µg_L Dopé/D9_01.tif "/>
    <s v=" 173.0392 "/>
    <s v=" 64.875 "/>
    <x v="0"/>
    <n v="11226"/>
    <m/>
    <m/>
    <m/>
  </r>
  <r>
    <x v="21"/>
    <x v="3"/>
    <s v="F:\images\20210318\plaque 2/@09  Fadrozole 10 µg_L Dopé/D9_02.tif "/>
    <s v=" 346.0783 "/>
    <n v="63"/>
    <x v="0"/>
    <n v="21803"/>
    <m/>
    <m/>
    <m/>
  </r>
  <r>
    <x v="21"/>
    <x v="3"/>
    <s v="F:\images\20210318\plaque 2/@09  Fadrozole 10 µg_L Dopé/D9_03.tif "/>
    <s v=" 194.6691 "/>
    <s v=" 63.5556 "/>
    <x v="0"/>
    <n v="12372"/>
    <m/>
    <m/>
    <m/>
  </r>
  <r>
    <x v="21"/>
    <x v="4"/>
    <s v="F:\images\20210318\plaque 2/@09  Fadrozole 10 µg_L Dopé/E9_01.tif "/>
    <s v=" 432.5979 "/>
    <s v=" 62.65 "/>
    <x v="0"/>
    <n v="27102"/>
    <m/>
    <m/>
    <m/>
  </r>
  <r>
    <x v="21"/>
    <x v="4"/>
    <s v="F:\images\20210318\plaque 2/@09  Fadrozole 10 µg_L Dopé/E9_02.tif "/>
    <s v=" 151.4093 "/>
    <n v="62"/>
    <x v="0"/>
    <n v="9387"/>
    <m/>
    <m/>
    <m/>
  </r>
  <r>
    <x v="21"/>
    <x v="4"/>
    <s v="F:\images\20210318\plaque 2/@09  Fadrozole 10 µg_L Dopé/E9_03- exclu.tif"/>
    <m/>
    <m/>
    <x v="1"/>
    <m/>
    <m/>
    <m/>
    <m/>
  </r>
  <r>
    <x v="21"/>
    <x v="5"/>
    <s v="F:\images\20210318\plaque 2/@09  Fadrozole 10 µg_L Dopé/F9_01.tif "/>
    <s v=" 497.4876 "/>
    <s v=" 62.2174 "/>
    <x v="0"/>
    <n v="30952"/>
    <m/>
    <m/>
    <m/>
  </r>
  <r>
    <x v="21"/>
    <x v="5"/>
    <s v="F:\images\20210318\plaque 2/@09  Fadrozole 10 µg_L Dopé/F9_02- exclu.tif"/>
    <m/>
    <m/>
    <x v="1"/>
    <m/>
    <m/>
    <m/>
    <m/>
  </r>
  <r>
    <x v="21"/>
    <x v="5"/>
    <s v="F:\images\20210318\plaque 2/@09  Fadrozole 10 µg_L Dopé/F9_03.tif "/>
    <s v=" 302.8185 "/>
    <s v=" 63.5 "/>
    <x v="0"/>
    <n v="19229"/>
    <m/>
    <m/>
    <m/>
  </r>
  <r>
    <x v="21"/>
    <x v="6"/>
    <s v="F:\images\20210318\plaque 2/@09  Fadrozole 10 µg_L Dopé/G9_01.tif "/>
    <s v=" 4801.8366 "/>
    <s v=" 69.4279 "/>
    <x v="0"/>
    <n v="333382"/>
    <m/>
    <m/>
    <m/>
  </r>
  <r>
    <x v="21"/>
    <x v="6"/>
    <s v="F:\images\20210318\plaque 2/@09  Fadrozole 10 µg_L Dopé/G9_02.tif "/>
    <s v=" 3806.8615 "/>
    <s v=" 68.983 "/>
    <x v="0"/>
    <n v="262609"/>
    <m/>
    <m/>
    <m/>
  </r>
  <r>
    <x v="21"/>
    <x v="6"/>
    <s v="F:\images\20210318\plaque 2/@09  Fadrozole 10 µg_L Dopé/G9_03.tif "/>
    <s v=" 3157.9646 "/>
    <s v=" 68.2534 "/>
    <x v="0"/>
    <n v="215542"/>
    <m/>
    <m/>
    <m/>
  </r>
  <r>
    <x v="21"/>
    <x v="7"/>
    <s v="F:\images\20210318\plaque 2/@09  Fadrozole 10 µg_L Dopé/H9_01.tif "/>
    <s v=" 151.4093 "/>
    <n v="66"/>
    <x v="0"/>
    <n v="9993"/>
    <m/>
    <m/>
    <m/>
  </r>
  <r>
    <x v="21"/>
    <x v="7"/>
    <s v="F:\images\20210318\plaque 2/@09  Fadrozole 10 µg_L Dopé/H9_02.tif "/>
    <s v=" 129.7794 "/>
    <s v=" 65.5 "/>
    <x v="0"/>
    <n v="8501"/>
    <m/>
    <m/>
    <m/>
  </r>
  <r>
    <x v="21"/>
    <x v="7"/>
    <s v="F:\images\20210318\plaque 2/@09  Fadrozole 10 µg_L Dopé/H9_03.tif "/>
    <s v=" 129.7794 "/>
    <s v=" 63.3333 "/>
    <x v="0"/>
    <n v="8219"/>
    <m/>
    <m/>
    <m/>
  </r>
  <r>
    <x v="1"/>
    <x v="8"/>
    <s v=" "/>
    <m/>
    <m/>
    <x v="1"/>
    <m/>
    <m/>
    <m/>
    <m/>
  </r>
  <r>
    <x v="1"/>
    <x v="8"/>
    <s v="group "/>
    <s v=" "/>
    <s v=" mean of mean fluo "/>
    <x v="2"/>
    <s v=" mean of total fluo "/>
    <s v=" SD total fluo "/>
    <s v=" n fluorescent "/>
    <s v=" n total"/>
  </r>
  <r>
    <x v="21"/>
    <x v="9"/>
    <s v="F:\images\20210318\plaque 2/@09  Fadrozole 10 µg_L Dopé/ "/>
    <s v=" "/>
    <s v=" 64.4414 "/>
    <x v="23"/>
    <s v=" 56776.6667 "/>
    <s v=" 90292.9683 "/>
    <n v="24"/>
    <n v="24"/>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mages\20210324\plaque 1/@01 Evian + 0.2% DMSO/A1_01.tif "/>
    <s v=" 1470.8328 "/>
    <s v=" 65.4853 "/>
    <x v="0"/>
    <n v="96318"/>
    <m/>
    <m/>
    <m/>
  </r>
  <r>
    <x v="0"/>
    <x v="0"/>
    <s v="F:\images\20210324\plaque 1/@01 Evian + 0.2% DMSO/A1_02.tif "/>
    <s v=" 908.4556 "/>
    <s v=" 64.9762 "/>
    <x v="0"/>
    <n v="59028"/>
    <m/>
    <m/>
    <m/>
  </r>
  <r>
    <x v="0"/>
    <x v="0"/>
    <s v="F:\images\20210324\plaque 1/@01 Evian + 0.2% DMSO/A1_03.tif "/>
    <s v=" 173.0392 "/>
    <s v=" 62.5 "/>
    <x v="0"/>
    <n v="10815"/>
    <m/>
    <m/>
    <m/>
  </r>
  <r>
    <x v="0"/>
    <x v="1"/>
    <s v="F:\images\20210324\plaque 1/@01 Evian + 0.2% DMSO/B1_01.tif "/>
    <s v=" 1968.3204 "/>
    <s v=" 64.9231 "/>
    <x v="0"/>
    <n v="127789"/>
    <m/>
    <m/>
    <m/>
  </r>
  <r>
    <x v="0"/>
    <x v="1"/>
    <s v="F:\images\20210324\plaque 1/@01 Evian + 0.2% DMSO/B1_02.tif "/>
    <s v=" 562.3773 "/>
    <s v=" 63.0769 "/>
    <x v="0"/>
    <n v="35473"/>
    <m/>
    <m/>
    <m/>
  </r>
  <r>
    <x v="0"/>
    <x v="1"/>
    <s v="F:\images\20210324\plaque 1/@01 Evian + 0.2% DMSO/B1_03.tif "/>
    <s v=" 3720.3419 "/>
    <s v=" 66.1744 "/>
    <x v="0"/>
    <n v="246191"/>
    <m/>
    <m/>
    <m/>
  </r>
  <r>
    <x v="0"/>
    <x v="2"/>
    <s v="F:\images\20210324\plaque 1/@01 Evian + 0.2% DMSO/C1_01.tif "/>
    <s v=" 3871.7511 "/>
    <s v=" 65.9218 "/>
    <x v="0"/>
    <n v="255233"/>
    <m/>
    <m/>
    <m/>
  </r>
  <r>
    <x v="0"/>
    <x v="2"/>
    <s v="F:\images\20210324\plaque 1/@01 Evian + 0.2% DMSO/C1_02.tif "/>
    <s v=" 194.6691 "/>
    <s v=" 63.4444 "/>
    <x v="0"/>
    <n v="12351"/>
    <m/>
    <m/>
    <m/>
  </r>
  <r>
    <x v="0"/>
    <x v="2"/>
    <s v="F:\images\20210324\plaque 1/@01 Evian + 0.2% DMSO/C1_03.tif "/>
    <s v=" 540.7474 "/>
    <s v=" 63.04 "/>
    <x v="0"/>
    <n v="34089"/>
    <m/>
    <m/>
    <m/>
  </r>
  <r>
    <x v="0"/>
    <x v="3"/>
    <s v="F:\images\20210324\plaque 1/@01 Evian + 0.2% DMSO/D1_01.tif "/>
    <s v=" 6056.3705 "/>
    <s v=" 71.5857 "/>
    <x v="0"/>
    <n v="433550"/>
    <m/>
    <m/>
    <m/>
  </r>
  <r>
    <x v="0"/>
    <x v="3"/>
    <s v="F:\images\20210324\plaque 1/@01 Evian + 0.2% DMSO/D1_02.tif "/>
    <s v=" 2509.0678 "/>
    <s v=" 64.5862 "/>
    <x v="0"/>
    <n v="162051"/>
    <m/>
    <m/>
    <m/>
  </r>
  <r>
    <x v="0"/>
    <x v="3"/>
    <s v="F:\images\20210324\plaque 1/@01 Evian + 0.2% DMSO/D1_03.tif "/>
    <s v=" 4542.2779 "/>
    <s v=" 71.1524 "/>
    <x v="0"/>
    <n v="323194"/>
    <m/>
    <m/>
    <m/>
  </r>
  <r>
    <x v="0"/>
    <x v="4"/>
    <s v="F:\images\20210324\plaque 1/@01 Evian + 0.2% DMSO/E1_01.tif "/>
    <s v=" 1838.541 "/>
    <s v=" 65.0235 "/>
    <x v="0"/>
    <n v="119548"/>
    <m/>
    <m/>
    <m/>
  </r>
  <r>
    <x v="0"/>
    <x v="4"/>
    <s v="F:\images\20210324\plaque 1/@01 Evian + 0.2% DMSO/E1_02.tif "/>
    <s v=" 1427.573 "/>
    <s v=" 66.4697 "/>
    <x v="0"/>
    <n v="94890"/>
    <m/>
    <m/>
    <m/>
  </r>
  <r>
    <x v="0"/>
    <x v="4"/>
    <s v="F:\images\20210324\plaque 1/@01 Evian + 0.2% DMSO/E1_03.tif "/>
    <s v=" 1600.6122 "/>
    <s v=" 66.3649 "/>
    <x v="0"/>
    <n v="106224"/>
    <m/>
    <m/>
    <m/>
  </r>
  <r>
    <x v="0"/>
    <x v="5"/>
    <s v="F:\images\20210324\plaque 1/@01 Evian + 0.2% DMSO/F1_01.tif "/>
    <s v=" 1643.872 "/>
    <s v=" 63.7632 "/>
    <x v="0"/>
    <n v="104818"/>
    <m/>
    <m/>
    <m/>
  </r>
  <r>
    <x v="0"/>
    <x v="5"/>
    <s v="F:\images\20210324\plaque 1/@01 Evian + 0.2% DMSO/F1_02.tif "/>
    <s v=" 865.1958 "/>
    <s v=" 63.55 "/>
    <x v="0"/>
    <n v="54983"/>
    <m/>
    <m/>
    <m/>
  </r>
  <r>
    <x v="0"/>
    <x v="5"/>
    <s v="F:\images\20210324\plaque 1/@01 Evian + 0.2% DMSO/F1_03.tif "/>
    <s v=" 5904.9612 "/>
    <s v=" 66.9927 "/>
    <x v="0"/>
    <n v="395589"/>
    <m/>
    <m/>
    <m/>
  </r>
  <r>
    <x v="0"/>
    <x v="6"/>
    <s v="F:\images\20210324\plaque 1/@01 Evian + 0.2% DMSO/G1_01.tif "/>
    <s v=" 237.9288 "/>
    <s v=" 63.1818 "/>
    <x v="0"/>
    <n v="15033"/>
    <m/>
    <m/>
    <m/>
  </r>
  <r>
    <x v="0"/>
    <x v="6"/>
    <s v="F:\images\20210324\plaque 1/@01 Evian + 0.2% DMSO/G1_02.tif "/>
    <s v=" 584.0072 "/>
    <s v=" 64.0741 "/>
    <x v="0"/>
    <n v="37420"/>
    <m/>
    <m/>
    <m/>
  </r>
  <r>
    <x v="0"/>
    <x v="6"/>
    <s v="F:\images\20210324\plaque 1/@01 Evian + 0.2% DMSO/G1_03.tif "/>
    <s v=" 2141.3596 "/>
    <s v=" 64.7071 "/>
    <x v="0"/>
    <n v="138561"/>
    <m/>
    <m/>
    <m/>
  </r>
  <r>
    <x v="0"/>
    <x v="7"/>
    <s v="F:\images\20210324\plaque 1/@01 Evian + 0.2% DMSO/H1_01.tif "/>
    <s v=" 1016.605 "/>
    <s v=" 66.6383 "/>
    <x v="0"/>
    <n v="67745"/>
    <m/>
    <m/>
    <m/>
  </r>
  <r>
    <x v="0"/>
    <x v="7"/>
    <s v="F:\images\20210324\plaque 1/@01 Evian + 0.2% DMSO/H1_02.tif "/>
    <s v=" 259.5587 "/>
    <s v=" 61.6667 "/>
    <x v="0"/>
    <n v="16006"/>
    <m/>
    <m/>
    <m/>
  </r>
  <r>
    <x v="0"/>
    <x v="7"/>
    <s v="F:\images\20210324\plaque 1/@01 Evian + 0.2% DMSO/H1_03.tif "/>
    <s v=" 108.1495 "/>
    <s v=" 66.4 "/>
    <x v="0"/>
    <n v="7181"/>
    <m/>
    <m/>
    <m/>
  </r>
  <r>
    <x v="1"/>
    <x v="8"/>
    <s v=" "/>
    <m/>
    <m/>
    <x v="1"/>
    <m/>
    <m/>
    <m/>
    <m/>
  </r>
  <r>
    <x v="1"/>
    <x v="8"/>
    <s v="group "/>
    <s v=" "/>
    <s v=" mean of mean fluo "/>
    <x v="2"/>
    <s v=" mean of total fluo "/>
    <s v=" SD total fluo "/>
    <s v=" n fluorescent "/>
    <s v=" n total"/>
  </r>
  <r>
    <x v="0"/>
    <x v="9"/>
    <s v="F:\images\20210324\plaque 1/@01 Evian + 0.2% DMSO/ "/>
    <s v=" "/>
    <s v=" 65.2374 "/>
    <x v="3"/>
    <s v=" 123086.667 "/>
    <s v=" 122192.01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324\plaque 1/@02 EE2 33.8/A2_01.tif "/>
    <s v=" 4931.616 "/>
    <s v=" 70.1842 "/>
    <x v="0"/>
    <n v="346122"/>
    <m/>
    <m/>
    <m/>
  </r>
  <r>
    <x v="2"/>
    <x v="0"/>
    <s v="F:\images\20210324\plaque 1/@02 EE2 33.8/A2_02- exclu.tif"/>
    <m/>
    <m/>
    <x v="1"/>
    <m/>
    <m/>
    <m/>
    <m/>
  </r>
  <r>
    <x v="2"/>
    <x v="0"/>
    <s v="F:\images\20210324\plaque 1/@02 EE2 33.8/A2_03.tif "/>
    <s v=" 5840.0715 "/>
    <s v=" 67.9444 "/>
    <x v="0"/>
    <n v="396800"/>
    <m/>
    <m/>
    <m/>
  </r>
  <r>
    <x v="2"/>
    <x v="1"/>
    <s v="F:\images\20210324\plaque 1/@02 EE2 33.8/B2_01.tif "/>
    <s v=" 3828.4913 "/>
    <s v=" 63.2486 "/>
    <x v="0"/>
    <n v="242147"/>
    <m/>
    <m/>
    <m/>
  </r>
  <r>
    <x v="2"/>
    <x v="1"/>
    <s v="F:\images\20210324\plaque 1/@02 EE2 33.8/B2_02.tif "/>
    <s v=" 3093.0749 "/>
    <s v=" 63.2727 "/>
    <x v="0"/>
    <n v="195707"/>
    <m/>
    <m/>
    <m/>
  </r>
  <r>
    <x v="2"/>
    <x v="1"/>
    <s v="F:\images\20210324\plaque 1/@02 EE2 33.8/B2_03.tif "/>
    <s v=" 4628.7975 "/>
    <s v=" 65.528 "/>
    <x v="0"/>
    <n v="303316"/>
    <m/>
    <m/>
    <m/>
  </r>
  <r>
    <x v="2"/>
    <x v="2"/>
    <s v="F:\images\20210324\plaque 1/@02 EE2 33.8/C2_01.tif "/>
    <s v=" 7786.7621 "/>
    <s v=" 66.6528 "/>
    <x v="0"/>
    <n v="519009"/>
    <m/>
    <m/>
    <m/>
  </r>
  <r>
    <x v="2"/>
    <x v="2"/>
    <s v="F:\images\20210324\plaque 1/@02 EE2 33.8/C2_02.tif "/>
    <s v=" 9863.232 "/>
    <s v=" 67.9693 "/>
    <x v="0"/>
    <n v="670397"/>
    <m/>
    <m/>
    <m/>
  </r>
  <r>
    <x v="2"/>
    <x v="2"/>
    <s v="F:\images\20210324\plaque 1/@02 EE2 33.8/C2_03.tif "/>
    <s v=" 5277.6943 "/>
    <s v=" 69.0328 "/>
    <x v="0"/>
    <n v="364334"/>
    <m/>
    <m/>
    <m/>
  </r>
  <r>
    <x v="2"/>
    <x v="3"/>
    <s v="F:\images\20210324\plaque 1/@02 EE2 33.8/D2_01.tif "/>
    <s v=" 9127.8155 "/>
    <s v=" 72.9953 "/>
    <x v="0"/>
    <n v="666287"/>
    <m/>
    <m/>
    <m/>
  </r>
  <r>
    <x v="2"/>
    <x v="3"/>
    <s v="F:\images\20210324\plaque 1/@02 EE2 33.8/D2_02.tif "/>
    <s v=" 9646.933 "/>
    <s v=" 73.843 "/>
    <x v="0"/>
    <n v="712359"/>
    <m/>
    <m/>
    <m/>
  </r>
  <r>
    <x v="2"/>
    <x v="3"/>
    <s v="F:\images\20210324\plaque 1/@02 EE2 33.8/D2_03.tif "/>
    <s v=" 7830.0219 "/>
    <s v=" 75.6354 "/>
    <x v="0"/>
    <n v="592227"/>
    <m/>
    <m/>
    <m/>
  </r>
  <r>
    <x v="2"/>
    <x v="4"/>
    <s v="F:\images\20210324\plaque 1/@02 EE2 33.8/E2_01.tif "/>
    <s v=" 821.936 "/>
    <s v=" 63.2895 "/>
    <x v="0"/>
    <n v="52020"/>
    <m/>
    <m/>
    <m/>
  </r>
  <r>
    <x v="2"/>
    <x v="4"/>
    <s v="F:\images\20210324\plaque 1/@02 EE2 33.8/E2_02.tif "/>
    <s v=" 865.1958 "/>
    <s v=" 64.175 "/>
    <x v="0"/>
    <n v="55524"/>
    <m/>
    <m/>
    <m/>
  </r>
  <r>
    <x v="2"/>
    <x v="4"/>
    <s v="F:\images\20210324\plaque 1/@02 EE2 33.8/E2_03.tif "/>
    <s v=" 2768.6265 "/>
    <s v=" 66.9141 "/>
    <x v="0"/>
    <n v="185260"/>
    <m/>
    <m/>
    <m/>
  </r>
  <r>
    <x v="2"/>
    <x v="5"/>
    <s v="F:\images\20210324\plaque 1/@02 EE2 33.8/F2_01.tif "/>
    <s v=" 5796.8118 "/>
    <s v=" 72.2537 "/>
    <x v="0"/>
    <n v="418841"/>
    <m/>
    <m/>
    <m/>
  </r>
  <r>
    <x v="2"/>
    <x v="5"/>
    <s v="F:\images\20210324\plaque 1/@02 EE2 33.8/F2_02.tif "/>
    <s v=" 2703.7368 "/>
    <s v=" 68.32 "/>
    <x v="0"/>
    <n v="184719"/>
    <m/>
    <m/>
    <m/>
  </r>
  <r>
    <x v="2"/>
    <x v="5"/>
    <s v="F:\images\20210324\plaque 1/@02 EE2 33.8/F2_03.tif "/>
    <s v=" 757.0463 "/>
    <s v=" 66.0286 "/>
    <x v="0"/>
    <n v="49987"/>
    <m/>
    <m/>
    <m/>
  </r>
  <r>
    <x v="2"/>
    <x v="6"/>
    <s v="F:\images\20210324\plaque 1/@02 EE2 33.8/G2_01.tif "/>
    <s v=" 302.8185 "/>
    <s v=" 62.4286 "/>
    <x v="0"/>
    <n v="18905"/>
    <m/>
    <m/>
    <m/>
  </r>
  <r>
    <x v="2"/>
    <x v="6"/>
    <s v="F:\images\20210324\plaque 1/@02 EE2 33.8/G2_02.tif "/>
    <s v=" 389.3381 "/>
    <s v=" 63.1111 "/>
    <x v="0"/>
    <n v="24572"/>
    <m/>
    <m/>
    <m/>
  </r>
  <r>
    <x v="2"/>
    <x v="6"/>
    <s v="F:\images\20210324\plaque 1/@02 EE2 33.8/G2_03.tif "/>
    <s v=" 86.5196 "/>
    <s v=" 61.25 "/>
    <x v="0"/>
    <n v="5299"/>
    <m/>
    <m/>
    <m/>
  </r>
  <r>
    <x v="2"/>
    <x v="7"/>
    <s v="F:\images\20210324\plaque 1/@02 EE2 33.8/H2_01- exclu.tif"/>
    <m/>
    <m/>
    <x v="1"/>
    <m/>
    <m/>
    <m/>
    <m/>
  </r>
  <r>
    <x v="2"/>
    <x v="7"/>
    <s v="F:\images\20210324\plaque 1/@02 EE2 33.8/H2_02.tif "/>
    <s v=" 5039.7654 "/>
    <s v=" 69.6438 "/>
    <x v="0"/>
    <n v="350988"/>
    <m/>
    <m/>
    <m/>
  </r>
  <r>
    <x v="2"/>
    <x v="7"/>
    <s v="F:\images\20210324\plaque 1/@02 EE2 33.8/H2_03.tif "/>
    <s v=" 4347.6088 "/>
    <s v=" 68.7264 "/>
    <x v="0"/>
    <n v="298795"/>
    <m/>
    <m/>
    <m/>
  </r>
  <r>
    <x v="1"/>
    <x v="8"/>
    <s v=" "/>
    <m/>
    <m/>
    <x v="1"/>
    <m/>
    <m/>
    <m/>
    <m/>
  </r>
  <r>
    <x v="1"/>
    <x v="8"/>
    <s v="group "/>
    <s v=" "/>
    <s v=" mean of mean fluo "/>
    <x v="2"/>
    <s v=" mean of total fluo "/>
    <s v=" SD total fluo "/>
    <s v=" n fluorescent "/>
    <s v=" n total"/>
  </r>
  <r>
    <x v="2"/>
    <x v="9"/>
    <s v="F:\images\20210324\plaque 1/@02 EE2 33.8/ "/>
    <s v=" "/>
    <s v=" 67.5324 "/>
    <x v="4"/>
    <s v=" 305334.792 "/>
    <s v=" 237005.49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324\plaque 1/@03 EE2 50.6/A3_01.tif "/>
    <s v=" 3439.1532 "/>
    <s v=" 66.717 "/>
    <x v="0"/>
    <n v="229450"/>
    <m/>
    <m/>
    <m/>
  </r>
  <r>
    <x v="3"/>
    <x v="0"/>
    <s v="F:\images\20210324\plaque 1/@03 EE2 50.6/A3_02.tif "/>
    <s v=" 2076.4699 "/>
    <s v=" 65.7812 "/>
    <x v="0"/>
    <n v="136593"/>
    <m/>
    <m/>
    <m/>
  </r>
  <r>
    <x v="3"/>
    <x v="0"/>
    <s v="F:\images\20210324\plaque 1/@03 EE2 50.6/A3_03.tif "/>
    <s v=" 1838.541 "/>
    <s v=" 65.2235 "/>
    <x v="0"/>
    <n v="119916"/>
    <m/>
    <m/>
    <m/>
  </r>
  <r>
    <x v="3"/>
    <x v="1"/>
    <s v="F:\images\20210324\plaque 1/@03 EE2 50.6/B3_01.tif "/>
    <s v=" 4585.5377 "/>
    <s v=" 68.6085 "/>
    <x v="0"/>
    <n v="314607"/>
    <m/>
    <m/>
    <m/>
  </r>
  <r>
    <x v="3"/>
    <x v="1"/>
    <s v="F:\images\20210324\plaque 1/@03 EE2 50.6/B3_02.tif "/>
    <s v=" 1622.2421 "/>
    <s v=" 66.76 "/>
    <x v="0"/>
    <n v="108301"/>
    <m/>
    <m/>
    <m/>
  </r>
  <r>
    <x v="3"/>
    <x v="1"/>
    <s v="F:\images\20210324\plaque 1/@03 EE2 50.6/B3_03.tif "/>
    <s v=" 821.936 "/>
    <s v=" 64.7105 "/>
    <x v="0"/>
    <n v="53188"/>
    <m/>
    <m/>
    <m/>
  </r>
  <r>
    <x v="3"/>
    <x v="2"/>
    <s v="F:\images\20210324\plaque 1/@03 EE2 50.6/C3_01.tif "/>
    <s v=" 670.5267 "/>
    <s v=" 64.5484 "/>
    <x v="0"/>
    <n v="43281"/>
    <m/>
    <m/>
    <m/>
  </r>
  <r>
    <x v="3"/>
    <x v="2"/>
    <s v="F:\images\20210324\plaque 1/@03 EE2 50.6/C3_02.tif "/>
    <s v=" 389.3381 "/>
    <s v=" 68.8333 "/>
    <x v="0"/>
    <n v="26799"/>
    <m/>
    <m/>
    <m/>
  </r>
  <r>
    <x v="3"/>
    <x v="2"/>
    <s v="F:\images\20210324\plaque 1/@03 EE2 50.6/C3_03.tif "/>
    <s v=" 497.4876 "/>
    <s v=" 63.6957 "/>
    <x v="0"/>
    <n v="31688"/>
    <m/>
    <m/>
    <m/>
  </r>
  <r>
    <x v="3"/>
    <x v="3"/>
    <s v="F:\images\20210324\plaque 1/@03 EE2 50.6/D3_01.tif "/>
    <s v=" 4044.7903 "/>
    <s v=" 66.6096 "/>
    <x v="0"/>
    <n v="269422"/>
    <m/>
    <m/>
    <m/>
  </r>
  <r>
    <x v="3"/>
    <x v="3"/>
    <s v="F:\images\20210324\plaque 1/@03 EE2 50.6/D3_02.tif "/>
    <s v=" 670.5267 "/>
    <s v=" 63.6774 "/>
    <x v="0"/>
    <n v="42697"/>
    <m/>
    <m/>
    <m/>
  </r>
  <r>
    <x v="3"/>
    <x v="3"/>
    <s v="F:\images\20210324\plaque 1/@03 EE2 50.6/D3_03.tif "/>
    <s v=" 5169.5448 "/>
    <s v=" 69.4561 "/>
    <x v="0"/>
    <n v="359056"/>
    <m/>
    <m/>
    <m/>
  </r>
  <r>
    <x v="3"/>
    <x v="4"/>
    <s v="F:\images\20210324\plaque 1/@03 EE2 50.6/E3_01.tif "/>
    <s v=" 12437.1894 "/>
    <s v=" 65.5165 "/>
    <x v="0"/>
    <n v="814841"/>
    <m/>
    <m/>
    <m/>
  </r>
  <r>
    <x v="3"/>
    <x v="4"/>
    <s v="F:\images\20210324\plaque 1/@03 EE2 50.6/E3_02.tif "/>
    <s v=" 11290.805 "/>
    <s v=" 65.3295 "/>
    <x v="0"/>
    <n v="737623"/>
    <m/>
    <m/>
    <m/>
  </r>
  <r>
    <x v="3"/>
    <x v="4"/>
    <s v="F:\images\20210324\plaque 1/@03 EE2 50.6/E3_03.tif "/>
    <s v=" 15162.5561 "/>
    <s v=" 65.0485 "/>
    <x v="0"/>
    <n v="986302"/>
    <m/>
    <m/>
    <m/>
  </r>
  <r>
    <x v="3"/>
    <x v="5"/>
    <s v="F:\images\20210324\plaque 1/@03 EE2 50.6/F3_01.tif "/>
    <s v=" 454.2278 "/>
    <s v=" 69.9048 "/>
    <x v="0"/>
    <n v="31753"/>
    <m/>
    <m/>
    <m/>
  </r>
  <r>
    <x v="3"/>
    <x v="5"/>
    <s v="F:\images\20210324\plaque 1/@03 EE2 50.6/F3_02.tif "/>
    <s v=" 324.4484 "/>
    <s v=" 64.8 "/>
    <x v="0"/>
    <n v="21024"/>
    <m/>
    <m/>
    <m/>
  </r>
  <r>
    <x v="3"/>
    <x v="5"/>
    <s v="F:\images\20210324\plaque 1/@03 EE2 50.6/F3_03.tif "/>
    <s v=" 259.5587 "/>
    <s v=" 62.3333 "/>
    <x v="0"/>
    <n v="16179"/>
    <m/>
    <m/>
    <m/>
  </r>
  <r>
    <x v="3"/>
    <x v="6"/>
    <s v="F:\images\20210324\plaque 1/@03 EE2 50.6/G3_01.tif "/>
    <s v=" 6488.9684 "/>
    <s v=" 68.4033 "/>
    <x v="0"/>
    <n v="443867"/>
    <m/>
    <m/>
    <m/>
  </r>
  <r>
    <x v="3"/>
    <x v="6"/>
    <s v="F:\images\20210324\plaque 1/@03 EE2 50.6/G3_02.tif "/>
    <s v=" 3136.3347 "/>
    <s v=" 66.4207 "/>
    <x v="0"/>
    <n v="208318"/>
    <m/>
    <m/>
    <m/>
  </r>
  <r>
    <x v="3"/>
    <x v="6"/>
    <s v="F:\images\20210324\plaque 1/@03 EE2 50.6/G3_03.tif "/>
    <s v=" 1124.7545 "/>
    <s v=" 63.0769 "/>
    <x v="0"/>
    <n v="70946"/>
    <m/>
    <m/>
    <m/>
  </r>
  <r>
    <x v="3"/>
    <x v="7"/>
    <s v="F:\images\20210324\plaque 1/@03 EE2 50.6/H3_01.tif "/>
    <s v=" 4845.0964 "/>
    <s v=" 69.3973 "/>
    <x v="0"/>
    <n v="336237"/>
    <m/>
    <m/>
    <m/>
  </r>
  <r>
    <x v="3"/>
    <x v="7"/>
    <s v="F:\images\20210324\plaque 1/@03 EE2 50.6/H3_02.tif "/>
    <s v=" 6770.157 "/>
    <s v=" 73.3131 "/>
    <x v="0"/>
    <n v="496341"/>
    <m/>
    <m/>
    <m/>
  </r>
  <r>
    <x v="3"/>
    <x v="7"/>
    <s v="F:\images\20210324\plaque 1/@03 EE2 50.6/H3_03.tif "/>
    <s v=" 5169.5448 "/>
    <s v=" 71.6025 "/>
    <x v="0"/>
    <n v="370152"/>
    <m/>
    <m/>
    <m/>
  </r>
  <r>
    <x v="1"/>
    <x v="8"/>
    <s v=" "/>
    <m/>
    <m/>
    <x v="1"/>
    <m/>
    <m/>
    <m/>
    <m/>
  </r>
  <r>
    <x v="1"/>
    <x v="8"/>
    <s v="group "/>
    <s v=" "/>
    <s v=" mean of mean fluo "/>
    <x v="2"/>
    <s v=" mean of total fluo "/>
    <s v=" SD total fluo "/>
    <s v=" n fluorescent "/>
    <s v=" n total"/>
  </r>
  <r>
    <x v="3"/>
    <x v="9"/>
    <s v="F:\images\20210324\plaque 1/@03 EE2 50.6/ "/>
    <s v=" "/>
    <s v=" 66.657 "/>
    <x v="5"/>
    <s v=" 261190.875 "/>
    <s v=" 271331.60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324\plaque 1/@04 EE2 76/A4_01.tif "/>
    <s v=" 3547.3027 "/>
    <s v=" 64.9207 "/>
    <x v="0"/>
    <n v="230293"/>
    <m/>
    <m/>
    <m/>
  </r>
  <r>
    <x v="4"/>
    <x v="0"/>
    <s v="F:\images\20210324\plaque 1/@04 EE2 76/A4_02.tif "/>
    <s v=" 2530.6977 "/>
    <s v=" 64.3932 "/>
    <x v="0"/>
    <n v="162960"/>
    <m/>
    <m/>
    <m/>
  </r>
  <r>
    <x v="4"/>
    <x v="0"/>
    <s v="F:\images\20210324\plaque 1/@04 EE2 76/A4_03.tif "/>
    <s v=" 2811.8863 "/>
    <s v=" 64.9692 "/>
    <x v="0"/>
    <n v="182686"/>
    <m/>
    <m/>
    <m/>
  </r>
  <r>
    <x v="4"/>
    <x v="1"/>
    <s v="F:\images\20210324\plaque 1/@04 EE2 76/B4_01.tif "/>
    <s v=" 8111.2105 "/>
    <s v=" 64.832 "/>
    <x v="0"/>
    <n v="525866"/>
    <m/>
    <m/>
    <m/>
  </r>
  <r>
    <x v="4"/>
    <x v="1"/>
    <s v="F:\images\20210324\plaque 1/@04 EE2 76/B4_02.tif "/>
    <s v=" 8781.7372 "/>
    <s v=" 64.6527 "/>
    <x v="0"/>
    <n v="567763"/>
    <m/>
    <m/>
    <m/>
  </r>
  <r>
    <x v="4"/>
    <x v="1"/>
    <s v="F:\images\20210324\plaque 1/@04 EE2 76/B4_03.tif "/>
    <s v=" 7548.8332 "/>
    <s v=" 64.3438 "/>
    <x v="0"/>
    <n v="485721"/>
    <m/>
    <m/>
    <m/>
  </r>
  <r>
    <x v="4"/>
    <x v="2"/>
    <s v="F:\images\20210324\plaque 1/@04 EE2 76/C4_01- exclu.tif"/>
    <m/>
    <m/>
    <x v="1"/>
    <m/>
    <m/>
    <m/>
    <m/>
  </r>
  <r>
    <x v="4"/>
    <x v="2"/>
    <s v="F:\images\20210324\plaque 1/@04 EE2 76/C4_02.tif "/>
    <s v=" 7159.4951 "/>
    <s v=" 70.4894 "/>
    <x v="0"/>
    <n v="504669"/>
    <m/>
    <m/>
    <m/>
  </r>
  <r>
    <x v="4"/>
    <x v="2"/>
    <s v="F:\images\20210324\plaque 1/@04 EE2 76/C4_03- exclu.tif"/>
    <m/>
    <m/>
    <x v="1"/>
    <m/>
    <m/>
    <m/>
    <m/>
  </r>
  <r>
    <x v="4"/>
    <x v="3"/>
    <s v="F:\images\20210324\plaque 1/@04 EE2 76/D4_01.tif "/>
    <s v=" 9214.3351 "/>
    <s v=" 67.4085 "/>
    <x v="0"/>
    <n v="621124"/>
    <m/>
    <m/>
    <m/>
  </r>
  <r>
    <x v="4"/>
    <x v="3"/>
    <s v="F:\images\20210324\plaque 1/@04 EE2 76/D4_02.tif "/>
    <s v=" 8998.0362 "/>
    <s v=" 73.2236 "/>
    <x v="0"/>
    <n v="658868"/>
    <m/>
    <m/>
    <m/>
  </r>
  <r>
    <x v="4"/>
    <x v="3"/>
    <s v="F:\images\20210324\plaque 1/@04 EE2 76/D4_03.tif "/>
    <s v=" 1578.9823 "/>
    <s v=" 63.2877 "/>
    <x v="0"/>
    <n v="99930"/>
    <m/>
    <m/>
    <m/>
  </r>
  <r>
    <x v="4"/>
    <x v="4"/>
    <s v="F:\images\20210324\plaque 1/@04 EE2 76/E4_01- exclu.tif"/>
    <m/>
    <m/>
    <x v="1"/>
    <m/>
    <m/>
    <m/>
    <m/>
  </r>
  <r>
    <x v="4"/>
    <x v="4"/>
    <s v="F:\images\20210324\plaque 1/@04 EE2 76/E4_02.tif "/>
    <s v=" 58487.2351 "/>
    <s v=" 86.8584 "/>
    <x v="0"/>
    <n v="5080105"/>
    <m/>
    <m/>
    <m/>
  </r>
  <r>
    <x v="4"/>
    <x v="4"/>
    <s v="F:\images\20210324\plaque 1/@04 EE2 76/E4_03.tif "/>
    <s v=" 60931.4132 "/>
    <s v=" 78.7487 "/>
    <x v="0"/>
    <n v="4798268"/>
    <m/>
    <m/>
    <m/>
  </r>
  <r>
    <x v="4"/>
    <x v="5"/>
    <s v="F:\images\20210324\plaque 1/@04 EE2 76/F4_01.tif "/>
    <s v=" 6186.1499 "/>
    <s v=" 68.6364 "/>
    <x v="0"/>
    <n v="424595"/>
    <m/>
    <m/>
    <m/>
  </r>
  <r>
    <x v="4"/>
    <x v="5"/>
    <s v="F:\images\20210324\plaque 1/@04 EE2 76/F4_02.tif "/>
    <s v=" 865.1958 "/>
    <s v=" 62.825 "/>
    <x v="0"/>
    <n v="54356"/>
    <m/>
    <m/>
    <m/>
  </r>
  <r>
    <x v="4"/>
    <x v="5"/>
    <s v="F:\images\20210324\plaque 1/@04 EE2 76/F4_03.tif "/>
    <s v=" 1081.4947 "/>
    <s v=" 64.88 "/>
    <x v="0"/>
    <n v="70167"/>
    <m/>
    <m/>
    <m/>
  </r>
  <r>
    <x v="4"/>
    <x v="6"/>
    <s v="F:\images\20210324\plaque 1/@04 EE2 76/G4_01.tif "/>
    <s v=" 41853.8461 "/>
    <s v=" 70.9189 "/>
    <x v="0"/>
    <n v="2968227"/>
    <m/>
    <m/>
    <m/>
  </r>
  <r>
    <x v="4"/>
    <x v="6"/>
    <s v="F:\images\20210324\plaque 1/@04 EE2 76/G4_02.tif "/>
    <s v=" 36446.3724 "/>
    <s v=" 70.422 "/>
    <x v="0"/>
    <n v="2566625"/>
    <m/>
    <m/>
    <m/>
  </r>
  <r>
    <x v="4"/>
    <x v="6"/>
    <s v="F:\images\20210324\plaque 1/@04 EE2 76/G4_03.tif "/>
    <s v=" 40750.7215 "/>
    <s v=" 69.853 "/>
    <x v="0"/>
    <n v="2846559"/>
    <m/>
    <m/>
    <m/>
  </r>
  <r>
    <x v="4"/>
    <x v="7"/>
    <s v="F:\images\20210324\plaque 1/@04 EE2 76/H4_01.tif "/>
    <s v=" 5861.7014 "/>
    <n v="77"/>
    <x v="0"/>
    <n v="451351"/>
    <m/>
    <m/>
    <m/>
  </r>
  <r>
    <x v="4"/>
    <x v="7"/>
    <s v="F:\images\20210324\plaque 1/@04 EE2 76/H4_02.tif "/>
    <s v=" 4845.0964 "/>
    <s v=" 70.1384 "/>
    <x v="0"/>
    <n v="339827"/>
    <m/>
    <m/>
    <m/>
  </r>
  <r>
    <x v="4"/>
    <x v="7"/>
    <s v="F:\images\20210324\plaque 1/@04 EE2 76/H4_03.tif "/>
    <s v=" 173.0392 "/>
    <s v=" 65.875 "/>
    <x v="0"/>
    <n v="11399"/>
    <m/>
    <m/>
    <m/>
  </r>
  <r>
    <x v="1"/>
    <x v="8"/>
    <s v=" "/>
    <m/>
    <m/>
    <x v="1"/>
    <m/>
    <m/>
    <m/>
    <m/>
  </r>
  <r>
    <x v="1"/>
    <x v="8"/>
    <s v="group "/>
    <s v=" "/>
    <s v=" mean of mean fluo "/>
    <x v="2"/>
    <s v=" mean of total fluo "/>
    <s v=" SD total fluo "/>
    <s v=" n fluorescent "/>
    <s v=" n total"/>
  </r>
  <r>
    <x v="4"/>
    <x v="9"/>
    <s v="F:\images\20210324\plaque 1/@04 EE2 76/ "/>
    <s v=" "/>
    <s v=" 68.8375 "/>
    <x v="6"/>
    <s v=" 1216604.92 "/>
    <s v=" 1697010.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324\plaque 1/@05 EE2 114/A5_01.tif "/>
    <s v=" 15076.0366 "/>
    <s v=" 68.5122 "/>
    <x v="0"/>
    <n v="1032892"/>
    <m/>
    <m/>
    <m/>
  </r>
  <r>
    <x v="5"/>
    <x v="0"/>
    <s v="F:\images\20210324\plaque 1/@05 EE2 114/A5_02.tif "/>
    <s v=" 13497.0542 "/>
    <s v=" 66.8686 "/>
    <x v="0"/>
    <n v="902529"/>
    <m/>
    <m/>
    <m/>
  </r>
  <r>
    <x v="5"/>
    <x v="0"/>
    <s v="F:\images\20210324\plaque 1/@05 EE2 114/A5_03.tif "/>
    <s v=" 9928.1216 "/>
    <s v=" 64.3072 "/>
    <x v="0"/>
    <n v="638450"/>
    <m/>
    <m/>
    <m/>
  </r>
  <r>
    <x v="5"/>
    <x v="1"/>
    <s v="F:\images\20210324\plaque 1/@05 EE2 114/B5_01.tif "/>
    <s v=" 15660.0437 "/>
    <s v=" 65.7983 "/>
    <x v="0"/>
    <n v="1030405"/>
    <m/>
    <m/>
    <m/>
  </r>
  <r>
    <x v="5"/>
    <x v="1"/>
    <s v="F:\images\20210324\plaque 1/@05 EE2 114/B5_02.tif "/>
    <s v=" 18623.3393 "/>
    <s v=" 65.6969 "/>
    <x v="0"/>
    <n v="1223495"/>
    <m/>
    <m/>
    <m/>
  </r>
  <r>
    <x v="5"/>
    <x v="1"/>
    <s v="F:\images\20210324\plaque 1/@05 EE2 114/B5_03.tif "/>
    <s v=" 16957.8374 "/>
    <s v=" 65.9617 "/>
    <x v="0"/>
    <n v="1118568"/>
    <m/>
    <m/>
    <m/>
  </r>
  <r>
    <x v="5"/>
    <x v="2"/>
    <s v="F:\images\20210324\plaque 1/@05 EE2 114/C5_01.tif "/>
    <s v=" 865.1958 "/>
    <s v=" 63.225 "/>
    <x v="0"/>
    <n v="54702"/>
    <m/>
    <m/>
    <m/>
  </r>
  <r>
    <x v="5"/>
    <x v="2"/>
    <s v="F:\images\20210324\plaque 1/@05 EE2 114/C5_02.tif "/>
    <s v=" 2119.7297 "/>
    <s v=" 63.1837 "/>
    <x v="0"/>
    <n v="133932"/>
    <m/>
    <m/>
    <m/>
  </r>
  <r>
    <x v="5"/>
    <x v="2"/>
    <s v="F:\images\20210324\plaque 1/@05 EE2 114/C5_03.tif "/>
    <s v=" 1600.6122 "/>
    <s v=" 65.7297 "/>
    <x v="0"/>
    <n v="105208"/>
    <m/>
    <m/>
    <m/>
  </r>
  <r>
    <x v="5"/>
    <x v="3"/>
    <s v="F:\images\20210324\plaque 1/@05 EE2 114/D5_01.tif "/>
    <s v=" 8500.5486 "/>
    <s v=" 71.8346 "/>
    <x v="0"/>
    <n v="610634"/>
    <m/>
    <m/>
    <m/>
  </r>
  <r>
    <x v="5"/>
    <x v="3"/>
    <s v="F:\images\20210324\plaque 1/@05 EE2 114/D5_02.tif "/>
    <s v=" 10122.7907 "/>
    <s v=" 73.7906 "/>
    <x v="0"/>
    <n v="746967"/>
    <m/>
    <m/>
    <m/>
  </r>
  <r>
    <x v="5"/>
    <x v="3"/>
    <s v="F:\images\20210324\plaque 1/@05 EE2 114/D5_03.tif "/>
    <s v=" 8716.8475 "/>
    <s v=" 74.0025 "/>
    <x v="0"/>
    <n v="645068"/>
    <m/>
    <m/>
    <m/>
  </r>
  <r>
    <x v="5"/>
    <x v="4"/>
    <s v="F:\images\20210324\plaque 1/@05 EE2 114/E5_01.tif "/>
    <s v=" 5385.8438 "/>
    <s v=" 64.988 "/>
    <x v="0"/>
    <n v="350015"/>
    <m/>
    <m/>
    <m/>
  </r>
  <r>
    <x v="5"/>
    <x v="4"/>
    <s v="F:\images\20210324\plaque 1/@05 EE2 114/E5_02.tif "/>
    <s v=" 4499.0181 "/>
    <s v=" 63.8317 "/>
    <x v="0"/>
    <n v="287180"/>
    <m/>
    <m/>
    <m/>
  </r>
  <r>
    <x v="5"/>
    <x v="4"/>
    <s v="F:\images\20210324\plaque 1/@05 EE2 114/E5_03.tif "/>
    <s v=" 7332.5343 "/>
    <s v=" 64.7404 "/>
    <x v="0"/>
    <n v="474711"/>
    <m/>
    <m/>
    <m/>
  </r>
  <r>
    <x v="5"/>
    <x v="5"/>
    <s v="F:\images\20210324\plaque 1/@05 EE2 114/F5_01.tif "/>
    <s v=" 30152.0731 "/>
    <s v=" 66.7654 "/>
    <x v="0"/>
    <n v="2013116"/>
    <m/>
    <m/>
    <m/>
  </r>
  <r>
    <x v="5"/>
    <x v="5"/>
    <s v="F:\images\20210324\plaque 1/@05 EE2 114/F5_02.tif "/>
    <s v=" 32639.511 "/>
    <s v=" 67.6083 "/>
    <x v="0"/>
    <n v="2206703"/>
    <m/>
    <m/>
    <m/>
  </r>
  <r>
    <x v="5"/>
    <x v="5"/>
    <s v="F:\images\20210324\plaque 1/@05 EE2 114/F5_03.tif "/>
    <s v=" 29524.8062 "/>
    <s v=" 66.8418 "/>
    <x v="0"/>
    <n v="1973490"/>
    <m/>
    <m/>
    <m/>
  </r>
  <r>
    <x v="5"/>
    <x v="6"/>
    <s v="F:\images\20210324\plaque 1/@05 EE2 114/G5_01.tif "/>
    <s v=" 37657.6465 "/>
    <s v=" 69.5146 "/>
    <x v="0"/>
    <n v="2617758"/>
    <m/>
    <m/>
    <m/>
  </r>
  <r>
    <x v="5"/>
    <x v="6"/>
    <s v="F:\images\20210324\plaque 1/@05 EE2 114/G5_02.tif "/>
    <s v=" 37960.4651 "/>
    <s v=" 69.4234 "/>
    <x v="0"/>
    <n v="2635343"/>
    <m/>
    <m/>
    <m/>
  </r>
  <r>
    <x v="5"/>
    <x v="6"/>
    <s v="F:\images\20210324\plaque 1/@05 EE2 114/G5_03.tif "/>
    <s v=" 39907.1556 "/>
    <s v=" 68.6374 "/>
    <x v="0"/>
    <n v="2739123"/>
    <m/>
    <m/>
    <m/>
  </r>
  <r>
    <x v="5"/>
    <x v="7"/>
    <s v="F:\images\20210324\plaque 1/@05 EE2 114/H5_01.tif "/>
    <s v=" 32444.8419 "/>
    <s v=" 68.2887 "/>
    <x v="0"/>
    <n v="2215615"/>
    <m/>
    <m/>
    <m/>
  </r>
  <r>
    <x v="5"/>
    <x v="7"/>
    <s v="F:\images\20210324\plaque 1/@05 EE2 114/H5_02.tif "/>
    <s v=" 32293.4327 "/>
    <s v=" 69.5988 "/>
    <x v="0"/>
    <n v="2247584"/>
    <m/>
    <m/>
    <m/>
  </r>
  <r>
    <x v="5"/>
    <x v="7"/>
    <s v="F:\images\20210324\plaque 1/@05 EE2 114/H5_03- exclu.tif"/>
    <m/>
    <m/>
    <x v="1"/>
    <m/>
    <m/>
    <m/>
    <m/>
  </r>
  <r>
    <x v="1"/>
    <x v="8"/>
    <s v=" "/>
    <m/>
    <m/>
    <x v="1"/>
    <m/>
    <m/>
    <m/>
    <m/>
  </r>
  <r>
    <x v="1"/>
    <x v="8"/>
    <s v="group "/>
    <s v=" "/>
    <s v=" mean of mean fluo "/>
    <x v="2"/>
    <s v=" mean of total fluo "/>
    <s v=" SD total fluo "/>
    <s v=" n fluorescent "/>
    <s v=" n total"/>
  </r>
  <r>
    <x v="5"/>
    <x v="9"/>
    <s v="F:\images\20210324\plaque 1/@05 EE2 114/ "/>
    <s v=" "/>
    <s v=" 67.2332 "/>
    <x v="7"/>
    <s v=" 1197131.71 "/>
    <s v=" 887610.8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324\plaque 1/@06 EE2 170.9/A6_01.tif "/>
    <s v=" 22084.1224 "/>
    <s v=" 74.9922 "/>
    <x v="0"/>
    <n v="1656136"/>
    <m/>
    <m/>
    <m/>
  </r>
  <r>
    <x v="6"/>
    <x v="0"/>
    <s v="F:\images\20210324\plaque 1/@06 EE2 170.9/A6_02.tif "/>
    <s v=" 18753.1186 "/>
    <s v=" 77.1234 "/>
    <x v="0"/>
    <n v="1446305"/>
    <m/>
    <m/>
    <m/>
  </r>
  <r>
    <x v="6"/>
    <x v="0"/>
    <s v="F:\images\20210324\plaque 1/@06 EE2 170.9/A6_03.tif "/>
    <s v=" 17844.6631 "/>
    <s v=" 76.9527 "/>
    <x v="0"/>
    <n v="1373195"/>
    <m/>
    <m/>
    <m/>
  </r>
  <r>
    <x v="6"/>
    <x v="1"/>
    <s v="F:\images\20210324\plaque 1/@06 EE2 170.9/B6_01.tif "/>
    <s v=" 25804.4643 "/>
    <s v=" 69.938 "/>
    <x v="0"/>
    <n v="1804712"/>
    <m/>
    <m/>
    <m/>
  </r>
  <r>
    <x v="6"/>
    <x v="1"/>
    <s v="F:\images\20210324\plaque 1/@06 EE2 170.9/B6_02.tif "/>
    <s v=" 20613.2896 "/>
    <s v=" 66.1228 "/>
    <x v="0"/>
    <n v="1363008"/>
    <m/>
    <m/>
    <m/>
  </r>
  <r>
    <x v="6"/>
    <x v="1"/>
    <s v="F:\images\20210324\plaque 1/@06 EE2 170.9/B6_03.tif "/>
    <s v=" 28897.5392 "/>
    <s v=" 69.982 "/>
    <x v="0"/>
    <n v="2022309"/>
    <m/>
    <m/>
    <m/>
  </r>
  <r>
    <x v="6"/>
    <x v="2"/>
    <s v="F:\images\20210324\plaque 1/@06 EE2 170.9/C6_01.tif "/>
    <s v=" 43865.4263 "/>
    <s v=" 74.4403 "/>
    <x v="0"/>
    <n v="3265357"/>
    <m/>
    <m/>
    <m/>
  </r>
  <r>
    <x v="6"/>
    <x v="2"/>
    <s v="F:\images\20210324\plaque 1/@06 EE2 170.9/C6_02.tif "/>
    <s v=" 46807.092 "/>
    <s v=" 76.3683 "/>
    <x v="0"/>
    <n v="3574578"/>
    <m/>
    <m/>
    <m/>
  </r>
  <r>
    <x v="6"/>
    <x v="2"/>
    <s v="F:\images\20210324\plaque 1/@06 EE2 170.9/C6_03.tif "/>
    <s v=" 44730.6221 "/>
    <s v=" 74.089 "/>
    <x v="0"/>
    <n v="3314046"/>
    <m/>
    <m/>
    <m/>
  </r>
  <r>
    <x v="6"/>
    <x v="3"/>
    <s v="F:\images\20210324\plaque 1/@06 EE2 170.9/D6_01.tif "/>
    <s v=" 41399.6183 "/>
    <s v=" 73.9404 "/>
    <x v="0"/>
    <n v="3061106"/>
    <m/>
    <m/>
    <m/>
  </r>
  <r>
    <x v="6"/>
    <x v="3"/>
    <s v="F:\images\20210324\plaque 1/@06 EE2 170.9/D6_02.tif "/>
    <s v=" 36424.7426 "/>
    <s v=" 72.6336 "/>
    <x v="0"/>
    <n v="2645661"/>
    <m/>
    <m/>
    <m/>
  </r>
  <r>
    <x v="6"/>
    <x v="3"/>
    <s v="F:\images\20210324\plaque 1/@06 EE2 170.9/D6_03.tif "/>
    <s v=" 38782.4011 "/>
    <s v=" 73.5053 "/>
    <x v="0"/>
    <n v="2850712"/>
    <m/>
    <m/>
    <m/>
  </r>
  <r>
    <x v="6"/>
    <x v="4"/>
    <s v="F:\images\20210324\plaque 1/@06 EE2 170.9/E6_01.tif "/>
    <s v=" 22819.5388 "/>
    <s v=" 75.7299 "/>
    <x v="0"/>
    <n v="1728120"/>
    <m/>
    <m/>
    <m/>
  </r>
  <r>
    <x v="6"/>
    <x v="4"/>
    <s v="F:\images\20210324\plaque 1/@06 EE2 170.9/E6_02.tif "/>
    <s v=" 20634.9195 "/>
    <s v=" 75.0755 "/>
    <x v="0"/>
    <n v="1549176"/>
    <m/>
    <m/>
    <m/>
  </r>
  <r>
    <x v="6"/>
    <x v="4"/>
    <s v="F:\images\20210324\plaque 1/@06 EE2 170.9/E6_03.tif "/>
    <s v=" 26474.991 "/>
    <s v=" 72.7672 "/>
    <x v="0"/>
    <n v="1926510"/>
    <m/>
    <m/>
    <m/>
  </r>
  <r>
    <x v="6"/>
    <x v="5"/>
    <s v="F:\images\20210324\plaque 1/@06 EE2 170.9/F6_01.tif "/>
    <s v=" 37333.1981 "/>
    <s v=" 73.555 "/>
    <x v="0"/>
    <n v="2746045"/>
    <m/>
    <m/>
    <m/>
  </r>
  <r>
    <x v="6"/>
    <x v="5"/>
    <s v="F:\images\20210324\plaque 1/@06 EE2 170.9/F6_02.tif "/>
    <s v=" 33829.1552 "/>
    <s v=" 72.0384 "/>
    <x v="0"/>
    <n v="2436997"/>
    <m/>
    <m/>
    <m/>
  </r>
  <r>
    <x v="6"/>
    <x v="5"/>
    <s v="F:\images\20210324\plaque 1/@06 EE2 170.9/F6_03.tif "/>
    <s v=" 19575.0546 "/>
    <s v=" 65.7569 "/>
    <x v="0"/>
    <n v="1287195"/>
    <m/>
    <m/>
    <m/>
  </r>
  <r>
    <x v="6"/>
    <x v="6"/>
    <s v="F:\images\20210324\plaque 1/@06 EE2 170.9/G6_01.tif "/>
    <s v=" 31860.8348 "/>
    <s v=" 72.7217 "/>
    <x v="0"/>
    <n v="2316973"/>
    <m/>
    <m/>
    <m/>
  </r>
  <r>
    <x v="6"/>
    <x v="6"/>
    <s v="F:\images\20210324\plaque 1/@06 EE2 170.9/G6_02.tif "/>
    <s v=" 29373.3969 "/>
    <s v=" 72.9772 "/>
    <x v="0"/>
    <n v="2143587"/>
    <m/>
    <m/>
    <m/>
  </r>
  <r>
    <x v="6"/>
    <x v="6"/>
    <s v="F:\images\20210324\plaque 1/@06 EE2 170.9/G6_03.tif "/>
    <s v=" 26972.4786 "/>
    <s v=" 74.5397 "/>
    <x v="0"/>
    <n v="2010520"/>
    <m/>
    <m/>
    <m/>
  </r>
  <r>
    <x v="6"/>
    <x v="7"/>
    <s v="F:\images\20210324\plaque 1/@06 EE2 170.9/H6_01.tif "/>
    <s v=" 37787.4259 "/>
    <s v=" 69.0601 "/>
    <x v="0"/>
    <n v="2609604"/>
    <m/>
    <m/>
    <m/>
  </r>
  <r>
    <x v="6"/>
    <x v="7"/>
    <s v="F:\images\20210324\plaque 1/@06 EE2 170.9/H6_02.tif "/>
    <s v=" 27556.4858 "/>
    <s v=" 65.1907 "/>
    <x v="0"/>
    <n v="1796428"/>
    <m/>
    <m/>
    <m/>
  </r>
  <r>
    <x v="6"/>
    <x v="7"/>
    <s v="F:\images\20210324\plaque 1/@06 EE2 170.9/H6_03.tif "/>
    <s v=" 40404.6432 "/>
    <s v=" 69.3715 "/>
    <x v="0"/>
    <n v="2802932"/>
    <m/>
    <m/>
    <m/>
  </r>
  <r>
    <x v="1"/>
    <x v="8"/>
    <s v=" "/>
    <m/>
    <m/>
    <x v="1"/>
    <m/>
    <m/>
    <m/>
    <m/>
  </r>
  <r>
    <x v="1"/>
    <x v="8"/>
    <s v="group "/>
    <s v=" "/>
    <s v=" mean of mean fluo "/>
    <x v="2"/>
    <s v=" mean of total fluo "/>
    <s v=" SD total fluo "/>
    <s v=" n fluorescent "/>
    <s v=" n total"/>
  </r>
  <r>
    <x v="6"/>
    <x v="9"/>
    <s v="F:\images\20210324\plaque 1/@06 EE2 170.9/ "/>
    <s v=" "/>
    <s v=" 72.453 "/>
    <x v="8"/>
    <s v=" 2238800.5 "/>
    <s v=" 681568.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324\plaque 1/@07 EE2 488/A7_01.tif "/>
    <s v=" 59914.8081 "/>
    <s v=" 93.3874 "/>
    <x v="0"/>
    <n v="5595286"/>
    <m/>
    <m/>
    <m/>
  </r>
  <r>
    <x v="7"/>
    <x v="0"/>
    <s v="F:\images\20210324\plaque 1/@07 EE2 488/A7_02.tif "/>
    <s v=" 60260.8864 "/>
    <s v=" 91.2638 "/>
    <x v="0"/>
    <n v="5499639"/>
    <m/>
    <m/>
    <m/>
  </r>
  <r>
    <x v="7"/>
    <x v="0"/>
    <s v="F:\images\20210324\plaque 1/@07 EE2 488/A7_03.tif "/>
    <s v=" 56540.5446 "/>
    <s v=" 93.3558 "/>
    <x v="0"/>
    <n v="5278386"/>
    <m/>
    <m/>
    <m/>
  </r>
  <r>
    <x v="7"/>
    <x v="1"/>
    <s v="F:\images\20210324\plaque 1/@07 EE2 488/B7_01.tif "/>
    <s v=" 72741.3356 "/>
    <s v=" 98.8371 "/>
    <x v="0"/>
    <n v="7189539"/>
    <m/>
    <m/>
    <m/>
  </r>
  <r>
    <x v="7"/>
    <x v="1"/>
    <s v="F:\images\20210324\plaque 1/@07 EE2 488/B7_02.tif "/>
    <s v=" 69215.6628 "/>
    <s v=" 100.4903 "/>
    <x v="0"/>
    <n v="6955504"/>
    <m/>
    <m/>
    <m/>
  </r>
  <r>
    <x v="7"/>
    <x v="1"/>
    <s v="F:\images\20210324\plaque 1/@07 EE2 488/B7_03.tif "/>
    <s v=" 72568.2965 "/>
    <s v=" 99.9791 "/>
    <x v="0"/>
    <n v="7255316"/>
    <m/>
    <m/>
    <m/>
  </r>
  <r>
    <x v="7"/>
    <x v="2"/>
    <s v="F:\images\20210324\plaque 1/@07 EE2 488/C7_01.tif "/>
    <s v=" 86908.9166 "/>
    <s v=" 95.9433 "/>
    <x v="0"/>
    <n v="8338324"/>
    <m/>
    <m/>
    <m/>
  </r>
  <r>
    <x v="7"/>
    <x v="2"/>
    <s v="F:\images\20210324\plaque 1/@07 EE2 488/C7_02.tif "/>
    <s v=" 93159.9562 "/>
    <s v=" 93.0592 "/>
    <x v="0"/>
    <n v="8669392"/>
    <m/>
    <m/>
    <m/>
  </r>
  <r>
    <x v="7"/>
    <x v="2"/>
    <s v="F:\images\20210324\plaque 1/@07 EE2 488/C7_03.tif "/>
    <s v=" 91040.2265 "/>
    <s v=" 91.4897 "/>
    <x v="0"/>
    <n v="8329240"/>
    <m/>
    <m/>
    <m/>
  </r>
  <r>
    <x v="7"/>
    <x v="3"/>
    <s v="F:\images\20210324\plaque 1/@07 EE2 488/D7_01.tif "/>
    <s v=" 67506.9011 "/>
    <s v=" 90.1749 "/>
    <x v="0"/>
    <n v="6087431"/>
    <m/>
    <m/>
    <m/>
  </r>
  <r>
    <x v="7"/>
    <x v="3"/>
    <s v="F:\images\20210324\plaque 1/@07 EE2 488/D7_02.tif "/>
    <s v=" 63505.3706 "/>
    <s v=" 90.577 "/>
    <x v="0"/>
    <n v="5752124"/>
    <m/>
    <m/>
    <m/>
  </r>
  <r>
    <x v="7"/>
    <x v="3"/>
    <s v="F:\images\20210324\plaque 1/@07 EE2 488/D7_03.tif "/>
    <s v=" 62942.9934 "/>
    <s v=" 90.8457 "/>
    <x v="0"/>
    <n v="5718101"/>
    <m/>
    <m/>
    <m/>
  </r>
  <r>
    <x v="7"/>
    <x v="4"/>
    <s v="F:\images\20210324\plaque 1/@07 EE2 488/E7_01.tif "/>
    <s v=" 55069.7117 "/>
    <s v=" 116.2274 "/>
    <x v="0"/>
    <n v="6400610"/>
    <m/>
    <m/>
    <m/>
  </r>
  <r>
    <x v="7"/>
    <x v="4"/>
    <s v="F:\images\20210324\plaque 1/@07 EE2 488/E7_02.tif "/>
    <s v=" 62294.0965 "/>
    <s v=" 108.6188 "/>
    <x v="0"/>
    <n v="6766307"/>
    <m/>
    <m/>
    <m/>
  </r>
  <r>
    <x v="7"/>
    <x v="4"/>
    <s v="F:\images\20210324\plaque 1/@07 EE2 488/E7_03.tif "/>
    <s v=" 65235.7622 "/>
    <s v=" 100.8694 "/>
    <x v="0"/>
    <n v="6580290"/>
    <m/>
    <m/>
    <m/>
  </r>
  <r>
    <x v="7"/>
    <x v="5"/>
    <s v="F:\images\20210324\plaque 1/@07 EE2 488/F7_01.tif "/>
    <s v=" 76959.1651 "/>
    <s v=" 92.6256 "/>
    <x v="0"/>
    <n v="7128391"/>
    <m/>
    <m/>
    <m/>
  </r>
  <r>
    <x v="7"/>
    <x v="5"/>
    <s v="F:\images\20210324\plaque 1/@07 EE2 488/F7_02.tif "/>
    <s v=" 79922.4607 "/>
    <s v=" 91.4853 "/>
    <x v="0"/>
    <n v="7311726"/>
    <m/>
    <m/>
    <m/>
  </r>
  <r>
    <x v="7"/>
    <x v="5"/>
    <s v="F:\images\20210324\plaque 1/@07 EE2 488/F7_03.tif "/>
    <s v=" 79944.0905 "/>
    <s v=" 92.5947 "/>
    <x v="0"/>
    <n v="7402399"/>
    <m/>
    <m/>
    <m/>
  </r>
  <r>
    <x v="7"/>
    <x v="6"/>
    <s v="F:\images\20210324\plaque 1/@07 EE2 488/G7_01.tif "/>
    <s v=" 82842.4964 "/>
    <s v=" 92.277 "/>
    <x v="0"/>
    <n v="7644459"/>
    <m/>
    <m/>
    <m/>
  </r>
  <r>
    <x v="7"/>
    <x v="6"/>
    <s v="F:\images\20210324\plaque 1/@07 EE2 488/G7_02.tif "/>
    <s v=" 82431.5284 "/>
    <s v=" 91.9554 "/>
    <x v="0"/>
    <n v="7580024"/>
    <m/>
    <m/>
    <m/>
  </r>
  <r>
    <x v="7"/>
    <x v="6"/>
    <s v="F:\images\20210324\plaque 1/@07 EE2 488/G7_03.tif "/>
    <s v=" 80636.2472 "/>
    <s v=" 92.6974 "/>
    <x v="0"/>
    <n v="7474772"/>
    <m/>
    <m/>
    <m/>
  </r>
  <r>
    <x v="7"/>
    <x v="7"/>
    <s v="F:\images\20210324\plaque 1/@07 EE2 488/H7_01.tif "/>
    <s v=" 47629.028 "/>
    <s v=" 101.4464 "/>
    <x v="0"/>
    <n v="4831794"/>
    <m/>
    <m/>
    <m/>
  </r>
  <r>
    <x v="7"/>
    <x v="7"/>
    <s v="F:\images\20210324\plaque 1/@07 EE2 488/H7_02.tif "/>
    <s v=" 43843.7964 "/>
    <s v=" 102.2526 "/>
    <x v="0"/>
    <n v="4483142"/>
    <m/>
    <m/>
    <m/>
  </r>
  <r>
    <x v="7"/>
    <x v="7"/>
    <s v="F:\images\20210324\plaque 1/@07 EE2 488/H7_03.tif "/>
    <s v=" 43540.9779 "/>
    <s v=" 103.4138 "/>
    <x v="0"/>
    <n v="4502738"/>
    <m/>
    <m/>
    <m/>
  </r>
  <r>
    <x v="1"/>
    <x v="8"/>
    <s v=" "/>
    <m/>
    <m/>
    <x v="1"/>
    <m/>
    <m/>
    <m/>
    <m/>
  </r>
  <r>
    <x v="1"/>
    <x v="8"/>
    <s v="group "/>
    <s v=" "/>
    <s v=" mean of mean fluo "/>
    <x v="2"/>
    <s v=" mean of total fluo "/>
    <s v=" SD total fluo "/>
    <s v=" n fluorescent "/>
    <s v=" n total"/>
  </r>
  <r>
    <x v="7"/>
    <x v="9"/>
    <s v="F:\images\20210324\plaque 1/@07 EE2 488/ "/>
    <s v=" "/>
    <s v=" 96.4945 "/>
    <x v="9"/>
    <s v=" 6615622.25 "/>
    <s v=" 1202141.8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324\plaque 1/@08 Fadrozole 0.016 µg_L/A8_01.tif "/>
    <s v=" 2336.0286 "/>
    <s v=" 67.2593 "/>
    <x v="0"/>
    <n v="157120"/>
    <m/>
    <m/>
    <m/>
  </r>
  <r>
    <x v="8"/>
    <x v="0"/>
    <s v="F:\images\20210324\plaque 1/@08 Fadrozole 0.016 µg_L/A8_02.tif "/>
    <s v=" 4152.9398 "/>
    <s v=" 66.5469 "/>
    <x v="0"/>
    <n v="276365"/>
    <m/>
    <m/>
    <m/>
  </r>
  <r>
    <x v="8"/>
    <x v="0"/>
    <s v="F:\images\20210324\plaque 1/@08 Fadrozole 0.016 µg_L/A8_03.tif "/>
    <s v=" 1708.7617 "/>
    <s v=" 68.4684 "/>
    <x v="0"/>
    <n v="116996"/>
    <m/>
    <m/>
    <m/>
  </r>
  <r>
    <x v="8"/>
    <x v="1"/>
    <s v="F:\images\20210324\plaque 1/@08 Fadrozole 0.016 µg_L/B8_01.tif "/>
    <s v=" 5753.552 "/>
    <s v=" 68.7444 "/>
    <x v="0"/>
    <n v="395524"/>
    <m/>
    <m/>
    <m/>
  </r>
  <r>
    <x v="8"/>
    <x v="1"/>
    <s v="F:\images\20210324\plaque 1/@08 Fadrozole 0.016 µg_L/B8_02.tif "/>
    <s v=" 1903.4307 "/>
    <s v=" 66.2386 "/>
    <x v="0"/>
    <n v="126081"/>
    <m/>
    <m/>
    <m/>
  </r>
  <r>
    <x v="8"/>
    <x v="1"/>
    <s v="F:\images\20210324\plaque 1/@08 Fadrozole 0.016 µg_L/B8_03.tif "/>
    <s v=" 3266.1141 "/>
    <s v=" 66.3907 "/>
    <x v="0"/>
    <n v="216840"/>
    <m/>
    <m/>
    <m/>
  </r>
  <r>
    <x v="8"/>
    <x v="2"/>
    <s v="F:\images\20210324\plaque 1/@08 Fadrozole 0.016 µg_L/C8_01.tif "/>
    <s v=" 1211.2741 "/>
    <s v=" 63.4107 "/>
    <x v="0"/>
    <n v="76808"/>
    <m/>
    <m/>
    <m/>
  </r>
  <r>
    <x v="8"/>
    <x v="2"/>
    <s v="F:\images\20210324\plaque 1/@08 Fadrozole 0.016 µg_L/C8_02- exclu.tif"/>
    <m/>
    <m/>
    <x v="1"/>
    <m/>
    <m/>
    <m/>
    <m/>
  </r>
  <r>
    <x v="8"/>
    <x v="2"/>
    <s v="F:\images\20210324\plaque 1/@08 Fadrozole 0.016 µg_L/C8_03.tif "/>
    <s v=" 5429.1036 "/>
    <s v=" 66.4701 "/>
    <x v="0"/>
    <n v="360873"/>
    <m/>
    <m/>
    <m/>
  </r>
  <r>
    <x v="8"/>
    <x v="3"/>
    <s v="F:\images\20210324\plaque 1/@08 Fadrozole 0.016 µg_L/D8_01.tif "/>
    <s v=" 2487.4379 "/>
    <s v=" 64.1565 "/>
    <x v="0"/>
    <n v="159585"/>
    <m/>
    <m/>
    <m/>
  </r>
  <r>
    <x v="8"/>
    <x v="3"/>
    <s v="F:\images\20210324\plaque 1/@08 Fadrozole 0.016 µg_L/D8_02.tif "/>
    <s v=" 1059.8648 "/>
    <s v=" 65.0816 "/>
    <x v="0"/>
    <n v="68978"/>
    <m/>
    <m/>
    <m/>
  </r>
  <r>
    <x v="8"/>
    <x v="3"/>
    <s v="F:\images\20210324\plaque 1/@08 Fadrozole 0.016 µg_L/D8_03.tif "/>
    <s v=" 2054.84 "/>
    <s v=" 64.4211 "/>
    <x v="0"/>
    <n v="132375"/>
    <m/>
    <m/>
    <m/>
  </r>
  <r>
    <x v="8"/>
    <x v="4"/>
    <s v="F:\images\20210324\plaque 1/@08 Fadrozole 0.016 µg_L/E8_01.tif "/>
    <s v=" 7656.9827 "/>
    <s v=" 71.8362 "/>
    <x v="0"/>
    <n v="550048"/>
    <m/>
    <m/>
    <m/>
  </r>
  <r>
    <x v="8"/>
    <x v="4"/>
    <s v="F:\images\20210324\plaque 1/@08 Fadrozole 0.016 µg_L/E8_02.tif "/>
    <s v=" 7116.2353 "/>
    <s v=" 71.0091 "/>
    <x v="0"/>
    <n v="505318"/>
    <m/>
    <m/>
    <m/>
  </r>
  <r>
    <x v="8"/>
    <x v="4"/>
    <s v="F:\images\20210324\plaque 1/@08 Fadrozole 0.016 µg_L/E8_03.tif "/>
    <s v=" 4780.2067 "/>
    <s v=" 65.6606 "/>
    <x v="0"/>
    <n v="313871"/>
    <m/>
    <m/>
    <m/>
  </r>
  <r>
    <x v="8"/>
    <x v="5"/>
    <s v="F:\images\20210324\plaque 1/@08 Fadrozole 0.016 µg_L/F8_01.tif "/>
    <s v=" 2379.2884 "/>
    <s v=" 66.7636 "/>
    <x v="0"/>
    <n v="158850"/>
    <m/>
    <m/>
    <m/>
  </r>
  <r>
    <x v="8"/>
    <x v="5"/>
    <s v="F:\images\20210324\plaque 1/@08 Fadrozole 0.016 µg_L/F8_02.tif "/>
    <s v=" 3633.8223 "/>
    <s v=" 67.1131 "/>
    <x v="0"/>
    <n v="243877"/>
    <m/>
    <m/>
    <m/>
  </r>
  <r>
    <x v="8"/>
    <x v="5"/>
    <s v="F:\images\20210324\plaque 1/@08 Fadrozole 0.016 µg_L/F8_03- exclu.tif"/>
    <m/>
    <m/>
    <x v="1"/>
    <m/>
    <m/>
    <m/>
    <m/>
  </r>
  <r>
    <x v="8"/>
    <x v="6"/>
    <s v="F:\images\20210324\plaque 1/@08 Fadrozole 0.016 µg_L/G8_01.tif "/>
    <s v=" 1319.4236 "/>
    <s v=" 64.8197 "/>
    <x v="0"/>
    <n v="85525"/>
    <m/>
    <m/>
    <m/>
  </r>
  <r>
    <x v="8"/>
    <x v="6"/>
    <s v="F:\images\20210324\plaque 1/@08 Fadrozole 0.016 µg_L/G8_02.tif "/>
    <s v=" 1622.2421 "/>
    <s v=" 64.5333 "/>
    <x v="0"/>
    <n v="104689"/>
    <m/>
    <m/>
    <m/>
  </r>
  <r>
    <x v="8"/>
    <x v="6"/>
    <s v="F:\images\20210324\plaque 1/@08 Fadrozole 0.016 µg_L/G8_03.tif "/>
    <s v=" 1752.0215 "/>
    <s v=" 64.8889 "/>
    <x v="0"/>
    <n v="113687"/>
    <m/>
    <m/>
    <m/>
  </r>
  <r>
    <x v="8"/>
    <x v="7"/>
    <s v="F:\images\20210324\plaque 1/@08 Fadrozole 0.016 µg_L/H8_01.tif "/>
    <s v=" 4780.2067 "/>
    <s v=" 70.8326 "/>
    <x v="0"/>
    <n v="338594"/>
    <m/>
    <m/>
    <m/>
  </r>
  <r>
    <x v="8"/>
    <x v="7"/>
    <s v="F:\images\20210324\plaque 1/@08 Fadrozole 0.016 µg_L/H8_02.tif "/>
    <s v=" 6705.2673 "/>
    <s v=" 72.571 "/>
    <x v="0"/>
    <n v="486608"/>
    <m/>
    <m/>
    <m/>
  </r>
  <r>
    <x v="8"/>
    <x v="7"/>
    <s v="F:\images\20210324\plaque 1/@08 Fadrozole 0.016 µg_L/H8_03.tif "/>
    <s v=" 4282.7191 "/>
    <s v=" 70.8182 "/>
    <x v="0"/>
    <n v="303294"/>
    <m/>
    <m/>
    <m/>
  </r>
  <r>
    <x v="1"/>
    <x v="8"/>
    <s v=" "/>
    <m/>
    <m/>
    <x v="1"/>
    <m/>
    <m/>
    <m/>
    <m/>
  </r>
  <r>
    <x v="1"/>
    <x v="8"/>
    <s v="group "/>
    <s v=" "/>
    <s v=" mean of mean fluo "/>
    <x v="2"/>
    <s v=" mean of total fluo "/>
    <s v=" SD total fluo "/>
    <s v=" n fluorescent "/>
    <s v=" n total"/>
  </r>
  <r>
    <x v="8"/>
    <x v="9"/>
    <s v="F:\images\20210324\plaque 1/@08 Fadrozole 0.016 µg_L/ "/>
    <s v=" "/>
    <s v=" 66.7856 "/>
    <x v="10"/>
    <s v=" 224279.5 "/>
    <s v=" 152053.76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324\plaque 1/@09 Fadrozole 0.08 µg_L/A9_01.tif "/>
    <s v=" 1925.0606 "/>
    <s v=" 65.8989 "/>
    <x v="0"/>
    <n v="126859"/>
    <m/>
    <m/>
    <m/>
  </r>
  <r>
    <x v="9"/>
    <x v="0"/>
    <s v="F:\images\20210324\plaque 1/@09 Fadrozole 0.08 µg_L/A9_02.tif "/>
    <s v=" 4369.2387 "/>
    <s v=" 66.3267 "/>
    <x v="0"/>
    <n v="289797"/>
    <m/>
    <m/>
    <m/>
  </r>
  <r>
    <x v="9"/>
    <x v="0"/>
    <s v="F:\images\20210324\plaque 1/@09 Fadrozole 0.08 µg_L/A9_03.tif "/>
    <s v=" 3266.1141 "/>
    <s v=" 67.1788 "/>
    <x v="0"/>
    <n v="219414"/>
    <m/>
    <m/>
    <m/>
  </r>
  <r>
    <x v="9"/>
    <x v="1"/>
    <s v="F:\images\20210324\plaque 1/@09 Fadrozole 0.08 µg_L/B9_01.tif "/>
    <s v=" 1124.7545 "/>
    <s v=" 65.9038 "/>
    <x v="0"/>
    <n v="74126"/>
    <m/>
    <m/>
    <m/>
  </r>
  <r>
    <x v="9"/>
    <x v="1"/>
    <s v="F:\images\20210324\plaque 1/@09 Fadrozole 0.08 µg_L/B9_02.tif "/>
    <s v=" 4931.616 "/>
    <s v=" 68.2544 "/>
    <x v="0"/>
    <n v="336604"/>
    <m/>
    <m/>
    <m/>
  </r>
  <r>
    <x v="9"/>
    <x v="1"/>
    <s v="F:\images\20210324\plaque 1/@09 Fadrozole 0.08 µg_L/B9_03.tif "/>
    <s v=" 5061.3953 "/>
    <s v=" 70.0385 "/>
    <x v="0"/>
    <n v="354492"/>
    <m/>
    <m/>
    <m/>
  </r>
  <r>
    <x v="9"/>
    <x v="2"/>
    <s v="F:\images\20210324\plaque 1/@09 Fadrozole 0.08 µg_L/C9_01.tif "/>
    <s v=" 4477.3882 "/>
    <s v=" 66.8792 "/>
    <x v="0"/>
    <n v="299444"/>
    <m/>
    <m/>
    <m/>
  </r>
  <r>
    <x v="9"/>
    <x v="2"/>
    <s v="F:\images\20210324\plaque 1/@09 Fadrozole 0.08 µg_L/C9_02.tif "/>
    <s v=" 4974.8758 "/>
    <s v=" 70.287 "/>
    <x v="0"/>
    <n v="349669"/>
    <m/>
    <m/>
    <m/>
  </r>
  <r>
    <x v="9"/>
    <x v="2"/>
    <s v="F:\images\20210324\plaque 1/@09 Fadrozole 0.08 µg_L/C9_03.tif "/>
    <s v=" 3828.4913 "/>
    <s v=" 68.2938 "/>
    <x v="0"/>
    <n v="261462"/>
    <m/>
    <m/>
    <m/>
  </r>
  <r>
    <x v="9"/>
    <x v="3"/>
    <s v="F:\images\20210324\plaque 1/@09 Fadrozole 0.08 µg_L/D9_01.tif "/>
    <s v=" 216.2989 "/>
    <s v=" 66.4 "/>
    <x v="0"/>
    <n v="14362"/>
    <m/>
    <m/>
    <m/>
  </r>
  <r>
    <x v="9"/>
    <x v="3"/>
    <s v="F:\images\20210324\plaque 1/@09 Fadrozole 0.08 µg_L/D9_02.tif "/>
    <s v=" 194.6691 "/>
    <s v=" 63.4444 "/>
    <x v="0"/>
    <n v="12351"/>
    <m/>
    <m/>
    <m/>
  </r>
  <r>
    <x v="9"/>
    <x v="3"/>
    <s v="F:\images\20210324\plaque 1/@09 Fadrozole 0.08 µg_L/D9_03.tif "/>
    <s v=" 389.3381 "/>
    <s v=" 68.8333 "/>
    <x v="0"/>
    <n v="26799"/>
    <m/>
    <m/>
    <m/>
  </r>
  <r>
    <x v="9"/>
    <x v="4"/>
    <s v="F:\images\20210324\plaque 1/@09 Fadrozole 0.08 µg_L/E9_01.tif "/>
    <s v=" 281.1886 "/>
    <s v=" 64.0769 "/>
    <x v="0"/>
    <n v="18018"/>
    <m/>
    <m/>
    <m/>
  </r>
  <r>
    <x v="9"/>
    <x v="4"/>
    <s v="F:\images\20210324\plaque 1/@09 Fadrozole 0.08 µg_L/E9_02.tif "/>
    <s v=" 584.0072 "/>
    <s v=" 64.4074 "/>
    <x v="0"/>
    <n v="37614"/>
    <m/>
    <m/>
    <m/>
  </r>
  <r>
    <x v="9"/>
    <x v="4"/>
    <s v="F:\images\20210324\plaque 1/@09 Fadrozole 0.08 µg_L/E9_03.tif "/>
    <s v=" 259.5587 "/>
    <s v=" 63.6667 "/>
    <x v="0"/>
    <n v="16525"/>
    <m/>
    <m/>
    <m/>
  </r>
  <r>
    <x v="9"/>
    <x v="5"/>
    <s v="F:\images\20210324\plaque 1/@09 Fadrozole 0.08 µg_L/F9_01.tif "/>
    <s v=" 3071.445 "/>
    <s v=" 64.4225 "/>
    <x v="0"/>
    <n v="197870"/>
    <m/>
    <m/>
    <m/>
  </r>
  <r>
    <x v="9"/>
    <x v="5"/>
    <s v="F:\images\20210324\plaque 1/@09 Fadrozole 0.08 µg_L/F9_02.tif "/>
    <s v=" 410.968 "/>
    <n v="63"/>
    <x v="0"/>
    <n v="25891"/>
    <m/>
    <m/>
    <m/>
  </r>
  <r>
    <x v="9"/>
    <x v="5"/>
    <s v="F:\images\20210324\plaque 1/@09 Fadrozole 0.08 µg_L/F9_03.tif "/>
    <s v=" 1752.0215 "/>
    <s v=" 63.5309 "/>
    <x v="0"/>
    <n v="111307"/>
    <m/>
    <m/>
    <m/>
  </r>
  <r>
    <x v="9"/>
    <x v="6"/>
    <s v="F:\images\20210324\plaque 1/@09 Fadrozole 0.08 µg_L/G9_01.tif "/>
    <s v=" 7375.7941 "/>
    <s v=" 74.4106 "/>
    <x v="0"/>
    <n v="548837"/>
    <m/>
    <m/>
    <m/>
  </r>
  <r>
    <x v="9"/>
    <x v="6"/>
    <s v="F:\images\20210324\plaque 1/@09 Fadrozole 0.08 µg_L/G9_02.tif "/>
    <s v=" 1319.4236 "/>
    <s v=" 65.5082 "/>
    <x v="0"/>
    <n v="86433"/>
    <m/>
    <m/>
    <m/>
  </r>
  <r>
    <x v="9"/>
    <x v="6"/>
    <s v="F:\images\20210324\plaque 1/@09 Fadrozole 0.08 µg_L/G9_03.tif "/>
    <s v=" 259.5587 "/>
    <s v=" 62.8333 "/>
    <x v="0"/>
    <n v="16309"/>
    <m/>
    <m/>
    <m/>
  </r>
  <r>
    <x v="9"/>
    <x v="7"/>
    <s v="F:\images\20210324\plaque 1/@09 Fadrozole 0.08 µg_L/H9_01.tif "/>
    <s v=" 1752.0215 "/>
    <s v=" 64.7037 "/>
    <x v="0"/>
    <n v="113362"/>
    <m/>
    <m/>
    <m/>
  </r>
  <r>
    <x v="9"/>
    <x v="7"/>
    <s v="F:\images\20210324\plaque 1/@09 Fadrozole 0.08 µg_L/H9_02.tif "/>
    <s v=" 2941.6657 "/>
    <s v=" 63.9485 "/>
    <x v="0"/>
    <n v="188115"/>
    <m/>
    <m/>
    <m/>
  </r>
  <r>
    <x v="9"/>
    <x v="7"/>
    <s v="F:\images\20210324\plaque 1/@09 Fadrozole 0.08 µg_L/H9_03.tif "/>
    <s v=" 5083.0252 "/>
    <s v=" 68.0553 "/>
    <x v="0"/>
    <n v="345927"/>
    <m/>
    <m/>
    <m/>
  </r>
  <r>
    <x v="1"/>
    <x v="8"/>
    <s v=" "/>
    <m/>
    <m/>
    <x v="1"/>
    <m/>
    <m/>
    <m/>
    <m/>
  </r>
  <r>
    <x v="1"/>
    <x v="8"/>
    <s v="group "/>
    <s v=" "/>
    <s v=" mean of mean fluo "/>
    <x v="2"/>
    <s v=" mean of total fluo "/>
    <s v=" SD total fluo "/>
    <s v=" n fluorescent "/>
    <s v=" n total"/>
  </r>
  <r>
    <x v="9"/>
    <x v="9"/>
    <s v="F:\images\20210324\plaque 1/@09 Fadrozole 0.08 µg_L/ "/>
    <s v=" "/>
    <s v=" 66.2626 "/>
    <x v="11"/>
    <s v=" 169649.458 "/>
    <s v=" 149549.83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324\plaque 1/@10 Fadrozole 0.4 µg_L/A10_01.tif "/>
    <s v=" 973.3453 "/>
    <s v=" 64.8222 "/>
    <x v="0"/>
    <n v="63094"/>
    <m/>
    <m/>
    <m/>
  </r>
  <r>
    <x v="10"/>
    <x v="0"/>
    <s v="F:\images\20210324\plaque 1/@10 Fadrozole 0.4 µg_L/A10_02.tif "/>
    <s v=" 908.4556 "/>
    <s v=" 64.7143 "/>
    <x v="0"/>
    <n v="58790"/>
    <m/>
    <m/>
    <m/>
  </r>
  <r>
    <x v="10"/>
    <x v="0"/>
    <s v="F:\images\20210324\plaque 1/@10 Fadrozole 0.4 µg_L/A10_03.tif "/>
    <s v=" 173.0392 "/>
    <n v="63"/>
    <x v="0"/>
    <n v="10901"/>
    <m/>
    <m/>
    <m/>
  </r>
  <r>
    <x v="10"/>
    <x v="1"/>
    <s v="F:\images\20210324\plaque 1/@10 Fadrozole 0.4 µg_L/B10_01.tif "/>
    <s v=" 2746.9966 "/>
    <s v=" 64.2913 "/>
    <x v="0"/>
    <n v="176608"/>
    <m/>
    <m/>
    <m/>
  </r>
  <r>
    <x v="10"/>
    <x v="1"/>
    <s v="F:\images\20210324\plaque 1/@10 Fadrozole 0.4 µg_L/B10_02.tif "/>
    <s v=" 2444.1781 "/>
    <s v=" 64.2301 "/>
    <x v="0"/>
    <n v="156990"/>
    <m/>
    <m/>
    <m/>
  </r>
  <r>
    <x v="10"/>
    <x v="1"/>
    <s v="F:\images\20210324\plaque 1/@10 Fadrozole 0.4 µg_L/B10_03.tif "/>
    <s v=" 7159.4951 "/>
    <s v=" 65.3082 "/>
    <x v="0"/>
    <n v="467573"/>
    <m/>
    <m/>
    <m/>
  </r>
  <r>
    <x v="10"/>
    <x v="2"/>
    <s v="F:\images\20210324\plaque 1/@10 Fadrozole 0.4 µg_L/C10_01.tif "/>
    <s v=" 9084.5557 "/>
    <s v=" 75.069 "/>
    <x v="0"/>
    <n v="681969"/>
    <m/>
    <m/>
    <m/>
  </r>
  <r>
    <x v="10"/>
    <x v="2"/>
    <s v="F:\images\20210324\plaque 1/@10 Fadrozole 0.4 µg_L/C10_02.tif "/>
    <s v=" 4001.5305 "/>
    <s v=" 68.2108 "/>
    <x v="0"/>
    <n v="272948"/>
    <m/>
    <m/>
    <m/>
  </r>
  <r>
    <x v="10"/>
    <x v="2"/>
    <s v="F:\images\20210324\plaque 1/@10 Fadrozole 0.4 µg_L/C10_03.tif "/>
    <s v=" 6402.4488 "/>
    <s v=" 71.1824 "/>
    <x v="0"/>
    <n v="455742"/>
    <m/>
    <m/>
    <m/>
  </r>
  <r>
    <x v="10"/>
    <x v="3"/>
    <s v="F:\images\20210324\plaque 1/@10 Fadrozole 0.4 µg_L/D10_01.tif "/>
    <s v=" 5796.8118 "/>
    <s v=" 67.0373 "/>
    <x v="0"/>
    <n v="388603"/>
    <m/>
    <m/>
    <m/>
  </r>
  <r>
    <x v="10"/>
    <x v="3"/>
    <s v="F:\images\20210324\plaque 1/@10 Fadrozole 0.4 µg_L/D10_02.tif "/>
    <s v=" 7527.2033 "/>
    <s v=" 68.3506 "/>
    <x v="0"/>
    <n v="514489"/>
    <m/>
    <m/>
    <m/>
  </r>
  <r>
    <x v="10"/>
    <x v="3"/>
    <s v="F:\images\20210324\plaque 1/@10 Fadrozole 0.4 µg_L/D10_03.tif "/>
    <s v=" 562.3773 "/>
    <s v=" 62.1923 "/>
    <x v="0"/>
    <n v="34976"/>
    <m/>
    <m/>
    <m/>
  </r>
  <r>
    <x v="10"/>
    <x v="4"/>
    <s v="F:\images\20210324\plaque 1/@10 Fadrozole 0.4 µg_L/E10_01.tif "/>
    <s v=" 237.9288 "/>
    <n v="63"/>
    <x v="0"/>
    <n v="14990"/>
    <m/>
    <m/>
    <m/>
  </r>
  <r>
    <x v="10"/>
    <x v="4"/>
    <s v="F:\images\20210324\plaque 1/@10 Fadrozole 0.4 µg_L/E10_02.tif "/>
    <s v=" 951.7154 "/>
    <s v=" 64.4773 "/>
    <x v="0"/>
    <n v="61364"/>
    <m/>
    <m/>
    <m/>
  </r>
  <r>
    <x v="10"/>
    <x v="4"/>
    <s v="F:\images\20210324\plaque 1/@10 Fadrozole 0.4 µg_L/E10_03.tif "/>
    <s v=" 584.0072 "/>
    <s v=" 63.2222 "/>
    <x v="0"/>
    <n v="36922"/>
    <m/>
    <m/>
    <m/>
  </r>
  <r>
    <x v="10"/>
    <x v="5"/>
    <s v="F:\images\20210324\plaque 1/@10 Fadrozole 0.4 µg_L/F10_01.tif "/>
    <s v=" 497.4876 "/>
    <n v="68"/>
    <x v="0"/>
    <n v="33829"/>
    <m/>
    <m/>
    <m/>
  </r>
  <r>
    <x v="10"/>
    <x v="5"/>
    <s v="F:\images\20210324\plaque 1/@10 Fadrozole 0.4 µg_L/F10_02.tif "/>
    <s v=" 692.1566 "/>
    <s v=" 64.4062 "/>
    <x v="0"/>
    <n v="44579"/>
    <m/>
    <m/>
    <m/>
  </r>
  <r>
    <x v="10"/>
    <x v="5"/>
    <s v="F:\images\20210324\plaque 1/@10 Fadrozole 0.4 µg_L/F10_03.tif "/>
    <s v=" 346.0783 "/>
    <n v="63"/>
    <x v="0"/>
    <n v="21803"/>
    <m/>
    <m/>
    <m/>
  </r>
  <r>
    <x v="10"/>
    <x v="6"/>
    <s v="F:\images\20210324\plaque 1/@10 Fadrozole 0.4 µg_L/G10_01.tif "/>
    <s v=" 9279.2248 "/>
    <s v=" 68.3007 "/>
    <x v="0"/>
    <n v="633778"/>
    <m/>
    <m/>
    <m/>
  </r>
  <r>
    <x v="10"/>
    <x v="6"/>
    <s v="F:\images\20210324\plaque 1/@10 Fadrozole 0.4 µg_L/G10_02.tif "/>
    <s v=" 6229.4097 "/>
    <s v=" 71.5694 "/>
    <x v="0"/>
    <n v="445835"/>
    <m/>
    <m/>
    <m/>
  </r>
  <r>
    <x v="10"/>
    <x v="6"/>
    <s v="F:\images\20210324\plaque 1/@10 Fadrozole 0.4 µg_L/G10_03.tif "/>
    <s v=" 3460.7831 "/>
    <s v=" 67.3625 "/>
    <x v="0"/>
    <n v="233127"/>
    <m/>
    <m/>
    <m/>
  </r>
  <r>
    <x v="10"/>
    <x v="7"/>
    <s v="F:\images\20210324\plaque 1/@10 Fadrozole 0.4 µg_L/H10_01.tif "/>
    <s v=" 302.8185 "/>
    <s v=" 65.4286 "/>
    <x v="0"/>
    <n v="19813"/>
    <m/>
    <m/>
    <m/>
  </r>
  <r>
    <x v="10"/>
    <x v="7"/>
    <s v="F:\images\20210324\plaque 1/@10 Fadrozole 0.4 µg_L/H10_02.tif "/>
    <s v=" 129.7794 "/>
    <s v=" 64.3333 "/>
    <x v="0"/>
    <n v="8349"/>
    <m/>
    <m/>
    <m/>
  </r>
  <r>
    <x v="10"/>
    <x v="7"/>
    <s v="F:\images\20210324\plaque 1/@10 Fadrozole 0.4 µg_L/H10_03.tif "/>
    <s v=" 259.5587 "/>
    <s v=" 62.1667 "/>
    <x v="0"/>
    <n v="16136"/>
    <m/>
    <m/>
    <m/>
  </r>
  <r>
    <x v="1"/>
    <x v="8"/>
    <s v=" "/>
    <m/>
    <m/>
    <x v="1"/>
    <m/>
    <m/>
    <m/>
    <m/>
  </r>
  <r>
    <x v="1"/>
    <x v="8"/>
    <s v="group "/>
    <s v=" "/>
    <s v=" mean of mean fluo "/>
    <x v="2"/>
    <s v=" mean of total fluo "/>
    <s v=" SD total fluo "/>
    <s v=" n fluorescent "/>
    <s v=" n total"/>
  </r>
  <r>
    <x v="10"/>
    <x v="9"/>
    <s v="F:\images\20210324\plaque 1/@10 Fadrozole 0.4 µg_L/ "/>
    <s v=" "/>
    <s v=" 65.9865 "/>
    <x v="12"/>
    <n v="202217"/>
    <s v=" 221585.97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324\plaque 1/@11 Fadrozole 2 µg_L/A11_01.tif "/>
    <s v=" 3309.3739 "/>
    <s v=" 66.4771 "/>
    <x v="0"/>
    <n v="219998"/>
    <m/>
    <m/>
    <m/>
  </r>
  <r>
    <x v="11"/>
    <x v="0"/>
    <s v="F:\images\20210324\plaque 1/@11 Fadrozole 2 µg_L/A11_02.tif "/>
    <s v=" 3157.9646 "/>
    <s v=" 66.089 "/>
    <x v="0"/>
    <n v="208707"/>
    <m/>
    <m/>
    <m/>
  </r>
  <r>
    <x v="11"/>
    <x v="0"/>
    <s v="F:\images\20210324\plaque 1/@11 Fadrozole 2 µg_L/A11_03.tif "/>
    <s v=" 757.0463 "/>
    <s v=" 62.2857 "/>
    <x v="0"/>
    <n v="47153"/>
    <m/>
    <m/>
    <m/>
  </r>
  <r>
    <x v="11"/>
    <x v="1"/>
    <s v="F:\images\20210324\plaque 1/@11 Fadrozole 2 µg_L/B11_01.tif "/>
    <s v=" 930.0855 "/>
    <s v=" 63.1395 "/>
    <x v="0"/>
    <n v="58725"/>
    <m/>
    <m/>
    <m/>
  </r>
  <r>
    <x v="11"/>
    <x v="1"/>
    <s v="F:\images\20210324\plaque 1/@11 Fadrozole 2 µg_L/B11_02.tif "/>
    <s v=" 4434.1284 "/>
    <s v=" 67.6878 "/>
    <x v="0"/>
    <n v="300136"/>
    <m/>
    <m/>
    <m/>
  </r>
  <r>
    <x v="11"/>
    <x v="1"/>
    <s v="F:\images\20210324\plaque 1/@11 Fadrozole 2 µg_L/B11_03.tif "/>
    <s v=" 389.3381 "/>
    <s v=" 63.1111 "/>
    <x v="0"/>
    <n v="24572"/>
    <m/>
    <m/>
    <m/>
  </r>
  <r>
    <x v="11"/>
    <x v="2"/>
    <s v="F:\images\20210324\plaque 1/@11 Fadrozole 2 µg_L/C11_01.tif "/>
    <s v=" 1232.904 "/>
    <s v=" 64.4912 "/>
    <x v="0"/>
    <n v="79511"/>
    <m/>
    <m/>
    <m/>
  </r>
  <r>
    <x v="11"/>
    <x v="2"/>
    <s v="F:\images\20210324\plaque 1/@11 Fadrozole 2 µg_L/C11_02.tif "/>
    <s v=" 2855.1461 "/>
    <s v=" 64.0758 "/>
    <x v="0"/>
    <n v="182946"/>
    <m/>
    <m/>
    <m/>
  </r>
  <r>
    <x v="11"/>
    <x v="2"/>
    <s v="F:\images\20210324\plaque 1/@11 Fadrozole 2 µg_L/C11_03.tif "/>
    <s v=" 5537.253 "/>
    <s v=" 68.5352 "/>
    <x v="0"/>
    <n v="379497"/>
    <m/>
    <m/>
    <m/>
  </r>
  <r>
    <x v="11"/>
    <x v="3"/>
    <s v="F:\images\20210324\plaque 1/@11 Fadrozole 2 µg_L/D11_01.tif "/>
    <s v=" 6164.52 "/>
    <s v=" 69.0561 "/>
    <x v="0"/>
    <n v="425698"/>
    <m/>
    <m/>
    <m/>
  </r>
  <r>
    <x v="11"/>
    <x v="3"/>
    <s v="F:\images\20210324\plaque 1/@11 Fadrozole 2 µg_L/D11_02.tif "/>
    <s v=" 5623.7726 "/>
    <s v=" 72.7115 "/>
    <x v="0"/>
    <n v="408913"/>
    <m/>
    <m/>
    <m/>
  </r>
  <r>
    <x v="11"/>
    <x v="3"/>
    <s v="F:\images\20210324\plaque 1/@11 Fadrozole 2 µg_L/D11_03.tif "/>
    <s v=" 1189.6442 "/>
    <s v=" 65.2545 "/>
    <x v="0"/>
    <n v="77630"/>
    <m/>
    <m/>
    <m/>
  </r>
  <r>
    <x v="11"/>
    <x v="4"/>
    <s v="F:\images\20210324\plaque 1/@11 Fadrozole 2 µg_L/E11_01.tif "/>
    <s v=" 2595.5874 "/>
    <s v=" 67.3583 "/>
    <x v="0"/>
    <n v="174834"/>
    <m/>
    <m/>
    <m/>
  </r>
  <r>
    <x v="11"/>
    <x v="4"/>
    <s v="F:\images\20210324\plaque 1/@11 Fadrozole 2 µg_L/E11_02- exclu.tif"/>
    <m/>
    <m/>
    <x v="1"/>
    <m/>
    <m/>
    <m/>
    <m/>
  </r>
  <r>
    <x v="11"/>
    <x v="4"/>
    <s v="F:\images\20210324\plaque 1/@11 Fadrozole 2 µg_L/E11_03.tif "/>
    <s v=" 519.1175 "/>
    <s v=" 62.2917 "/>
    <x v="0"/>
    <n v="32337"/>
    <m/>
    <m/>
    <m/>
  </r>
  <r>
    <x v="11"/>
    <x v="5"/>
    <s v="F:\images\20210324\plaque 1/@11 Fadrozole 2 µg_L/F11_01.tif "/>
    <s v=" 6294.2993 "/>
    <s v=" 70.5155 "/>
    <x v="0"/>
    <n v="443845"/>
    <m/>
    <m/>
    <m/>
  </r>
  <r>
    <x v="11"/>
    <x v="5"/>
    <s v="F:\images\20210324\plaque 1/@11 Fadrozole 2 µg_L/F11_02.tif "/>
    <s v=" 4845.0964 "/>
    <s v=" 67.9821 "/>
    <x v="0"/>
    <n v="329380"/>
    <m/>
    <m/>
    <m/>
  </r>
  <r>
    <x v="11"/>
    <x v="5"/>
    <s v="F:\images\20210324\plaque 1/@11 Fadrozole 2 µg_L/F11_03.tif "/>
    <s v=" 3331.0038 "/>
    <s v=" 66.5584 "/>
    <x v="0"/>
    <n v="221706"/>
    <m/>
    <m/>
    <m/>
  </r>
  <r>
    <x v="11"/>
    <x v="6"/>
    <s v="F:\images\20210324\plaque 1/@11 Fadrozole 2 µg_L/G11_01.tif "/>
    <s v=" 865.1958 "/>
    <s v=" 65.025 "/>
    <x v="0"/>
    <n v="56259"/>
    <m/>
    <m/>
    <m/>
  </r>
  <r>
    <x v="11"/>
    <x v="6"/>
    <s v="F:\images\20210324\plaque 1/@11 Fadrozole 2 µg_L/G11_02.tif "/>
    <s v=" 5580.5128 "/>
    <s v=" 69.4225 "/>
    <x v="0"/>
    <n v="387413"/>
    <m/>
    <m/>
    <m/>
  </r>
  <r>
    <x v="11"/>
    <x v="6"/>
    <s v="F:\images\20210324\plaque 1/@11 Fadrozole 2 µg_L/G11_03.tif "/>
    <s v=" 2984.9255 "/>
    <s v=" 66.5072 "/>
    <x v="0"/>
    <n v="198519"/>
    <m/>
    <m/>
    <m/>
  </r>
  <r>
    <x v="11"/>
    <x v="7"/>
    <s v="F:\images\20210324\plaque 1/@11 Fadrozole 2 µg_L/H11_01.tif "/>
    <s v=" 1514.0926 "/>
    <s v=" 64.6571 "/>
    <x v="0"/>
    <n v="97897"/>
    <m/>
    <m/>
    <m/>
  </r>
  <r>
    <x v="11"/>
    <x v="7"/>
    <s v="F:\images\20210324\plaque 1/@11 Fadrozole 2 µg_L/H11_02.tif "/>
    <s v=" 1059.8648 "/>
    <s v=" 65.1837 "/>
    <x v="0"/>
    <n v="69086"/>
    <m/>
    <m/>
    <m/>
  </r>
  <r>
    <x v="11"/>
    <x v="7"/>
    <s v="F:\images\20210324\plaque 1/@11 Fadrozole 2 µg_L/H11_03.tif "/>
    <s v=" 5277.6943 "/>
    <s v=" 71.25 "/>
    <x v="0"/>
    <n v="376036"/>
    <m/>
    <m/>
    <m/>
  </r>
  <r>
    <x v="1"/>
    <x v="8"/>
    <s v=" "/>
    <m/>
    <m/>
    <x v="1"/>
    <m/>
    <m/>
    <m/>
    <m/>
  </r>
  <r>
    <x v="1"/>
    <x v="8"/>
    <s v="group "/>
    <s v=" "/>
    <s v=" mean of mean fluo "/>
    <x v="2"/>
    <s v=" mean of total fluo "/>
    <s v=" SD total fluo "/>
    <s v=" n fluorescent "/>
    <s v=" n total"/>
  </r>
  <r>
    <x v="11"/>
    <x v="9"/>
    <s v="F:\images\20210324\plaque 1/@11 Fadrozole 2 µg_L/ "/>
    <s v=" "/>
    <s v=" 66.4757 "/>
    <x v="13"/>
    <s v=" 200270.292 "/>
    <s v=" 147249.33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324\plaque 1/@12 Fadrozole 10 µg_L/A12_01.tif "/>
    <s v=" 4499.0181 "/>
    <s v=" 67.1971 "/>
    <x v="0"/>
    <n v="302321"/>
    <m/>
    <m/>
    <m/>
  </r>
  <r>
    <x v="12"/>
    <x v="0"/>
    <s v="F:\images\20210324\plaque 1/@12 Fadrozole 10 µg_L/A12_02.tif "/>
    <s v=" 6510.5983 "/>
    <s v=" 71.206 "/>
    <x v="0"/>
    <n v="463594"/>
    <m/>
    <m/>
    <m/>
  </r>
  <r>
    <x v="12"/>
    <x v="0"/>
    <s v="F:\images\20210324\plaque 1/@12 Fadrozole 10 µg_L/A12_03.tif "/>
    <s v=" 6964.8261 "/>
    <s v=" 70.4037 "/>
    <x v="0"/>
    <n v="490350"/>
    <m/>
    <m/>
    <m/>
  </r>
  <r>
    <x v="12"/>
    <x v="1"/>
    <s v="F:\images\20210324\plaque 1/@12 Fadrozole 10 µg_L/B12_01.tif "/>
    <s v=" 9755.0825 "/>
    <s v=" 74.02 "/>
    <x v="0"/>
    <n v="722071"/>
    <m/>
    <m/>
    <m/>
  </r>
  <r>
    <x v="12"/>
    <x v="1"/>
    <s v="F:\images\20210324\plaque 1/@12 Fadrozole 10 µg_L/B12_02.tif "/>
    <s v=" 5364.2139 "/>
    <s v=" 67.7379 "/>
    <x v="0"/>
    <n v="363361"/>
    <m/>
    <m/>
    <m/>
  </r>
  <r>
    <x v="12"/>
    <x v="1"/>
    <s v="F:\images\20210324\plaque 1/@12 Fadrozole 10 µg_L/B12_03.tif "/>
    <s v=" 4023.1604 "/>
    <s v=" 66.7151 "/>
    <x v="0"/>
    <n v="268405"/>
    <m/>
    <m/>
    <m/>
  </r>
  <r>
    <x v="12"/>
    <x v="2"/>
    <s v="F:\images\20210324\plaque 1/@12 Fadrozole 10 µg_L/C12_01.tif "/>
    <s v=" 3201.2244 "/>
    <s v=" 66.7635 "/>
    <x v="0"/>
    <n v="213725"/>
    <m/>
    <m/>
    <m/>
  </r>
  <r>
    <x v="12"/>
    <x v="2"/>
    <s v="F:\images\20210324\plaque 1/@12 Fadrozole 10 µg_L/C12_02.tif "/>
    <s v=" 5472.3633 "/>
    <s v=" 66.8142 "/>
    <x v="0"/>
    <n v="365632"/>
    <m/>
    <m/>
    <m/>
  </r>
  <r>
    <x v="12"/>
    <x v="2"/>
    <s v="F:\images\20210324\plaque 1/@12 Fadrozole 10 µg_L/C12_03.tif "/>
    <s v=" 5320.9541 "/>
    <s v=" 68.3293 "/>
    <x v="0"/>
    <n v="363577"/>
    <m/>
    <m/>
    <m/>
  </r>
  <r>
    <x v="12"/>
    <x v="3"/>
    <s v="F:\images\20210324\plaque 1/@12 Fadrozole 10 µg_L/D12_01.tif "/>
    <s v=" 1514.0926 "/>
    <s v=" 65.0714 "/>
    <x v="0"/>
    <n v="98524"/>
    <m/>
    <m/>
    <m/>
  </r>
  <r>
    <x v="12"/>
    <x v="3"/>
    <s v="F:\images\20210324\plaque 1/@12 Fadrozole 10 µg_L/D12_02.tif "/>
    <s v=" 1405.9432 "/>
    <s v=" 63.2769 "/>
    <x v="0"/>
    <n v="88964"/>
    <m/>
    <m/>
    <m/>
  </r>
  <r>
    <x v="12"/>
    <x v="3"/>
    <s v="F:\images\20210324\plaque 1/@12 Fadrozole 10 µg_L/D12_03.tif "/>
    <s v=" 2379.2884 "/>
    <s v=" 65.6727 "/>
    <x v="0"/>
    <n v="156254"/>
    <m/>
    <m/>
    <m/>
  </r>
  <r>
    <x v="12"/>
    <x v="4"/>
    <s v="F:\images\20210324\plaque 1/@12 Fadrozole 10 µg_L/E12_01.tif "/>
    <s v=" 3049.8151 "/>
    <s v=" 67.9504 "/>
    <x v="0"/>
    <n v="207236"/>
    <m/>
    <m/>
    <m/>
  </r>
  <r>
    <x v="12"/>
    <x v="4"/>
    <s v="F:\images\20210324\plaque 1/@12 Fadrozole 10 µg_L/E12_02.tif "/>
    <s v=" 973.3453 "/>
    <s v=" 65.1556 "/>
    <x v="0"/>
    <n v="63419"/>
    <m/>
    <m/>
    <m/>
  </r>
  <r>
    <x v="12"/>
    <x v="4"/>
    <s v="F:\images\20210324\plaque 1/@12 Fadrozole 10 µg_L/E12_03.tif "/>
    <s v=" 5602.1427 "/>
    <s v=" 69.2432 "/>
    <x v="0"/>
    <n v="387911"/>
    <m/>
    <m/>
    <m/>
  </r>
  <r>
    <x v="12"/>
    <x v="5"/>
    <s v="F:\images\20210324\plaque 1/@12 Fadrozole 10 µg_L/F12_01.tif "/>
    <s v=" 8197.7301 "/>
    <s v=" 68.5726 "/>
    <x v="0"/>
    <n v="562139"/>
    <m/>
    <m/>
    <m/>
  </r>
  <r>
    <x v="12"/>
    <x v="5"/>
    <s v="F:\images\20210324\plaque 1/@12 Fadrozole 10 µg_L/F12_02.tif "/>
    <s v=" 346.0783 "/>
    <s v=" 62.8125 "/>
    <x v="0"/>
    <n v="21738"/>
    <m/>
    <m/>
    <m/>
  </r>
  <r>
    <x v="12"/>
    <x v="5"/>
    <s v="F:\images\20210324\plaque 1/@12 Fadrozole 10 µg_L/F12_03.tif "/>
    <s v=" 64.8897 "/>
    <n v="71"/>
    <x v="0"/>
    <n v="4607"/>
    <m/>
    <m/>
    <m/>
  </r>
  <r>
    <x v="12"/>
    <x v="6"/>
    <s v="F:\images\20210324\plaque 1/@12 Fadrozole 10 µg_L/G12_01.tif "/>
    <s v=" 843.5659 "/>
    <s v=" 66.0513 "/>
    <x v="0"/>
    <n v="55719"/>
    <m/>
    <m/>
    <m/>
  </r>
  <r>
    <x v="12"/>
    <x v="6"/>
    <s v="F:\images\20210324\plaque 1/@12 Fadrozole 10 µg_L/G12_02.tif "/>
    <s v=" 346.0783 "/>
    <s v=" 62.8125 "/>
    <x v="0"/>
    <n v="21738"/>
    <m/>
    <m/>
    <m/>
  </r>
  <r>
    <x v="12"/>
    <x v="6"/>
    <s v="F:\images\20210324\plaque 1/@12 Fadrozole 10 µg_L/G12_03.tif "/>
    <s v=" 713.7865 "/>
    <s v=" 64.2424 "/>
    <x v="0"/>
    <n v="45855"/>
    <m/>
    <m/>
    <m/>
  </r>
  <r>
    <x v="12"/>
    <x v="7"/>
    <s v="F:\images\20210324\plaque 1/@12 Fadrozole 10 µg_L/H12_01.tif "/>
    <s v=" 2984.9255 "/>
    <s v=" 66.0652 "/>
    <x v="0"/>
    <n v="197200"/>
    <m/>
    <m/>
    <m/>
  </r>
  <r>
    <x v="12"/>
    <x v="7"/>
    <s v="F:\images\20210324\plaque 1/@12 Fadrozole 10 µg_L/H12_02.tif "/>
    <s v=" 605.637 "/>
    <s v=" 62.3929 "/>
    <x v="0"/>
    <n v="37787"/>
    <m/>
    <m/>
    <m/>
  </r>
  <r>
    <x v="12"/>
    <x v="7"/>
    <s v="F:\images\20210324\plaque 1/@12 Fadrozole 10 µg_L/H12_03.tif "/>
    <s v=" 1168.0143 "/>
    <s v=" 64.2037 "/>
    <x v="0"/>
    <n v="74991"/>
    <m/>
    <m/>
    <m/>
  </r>
  <r>
    <x v="1"/>
    <x v="8"/>
    <s v=" "/>
    <m/>
    <m/>
    <x v="1"/>
    <m/>
    <m/>
    <m/>
    <m/>
  </r>
  <r>
    <x v="1"/>
    <x v="8"/>
    <s v="group "/>
    <s v=" "/>
    <s v=" mean of mean fluo "/>
    <x v="2"/>
    <s v=" mean of total fluo "/>
    <s v=" SD total fluo "/>
    <s v=" n fluorescent "/>
    <s v=" n total"/>
  </r>
  <r>
    <x v="12"/>
    <x v="9"/>
    <s v="F:\images\20210324\plaque 1/@12 Fadrozole 10 µg_L/ "/>
    <s v=" "/>
    <s v=" 66.8213 "/>
    <x v="14"/>
    <s v=" 232379.917 "/>
    <s v=" 197303.16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324\plaque 2/@01 Testo 30/A1_01.tif "/>
    <s v=" 51652.1884 "/>
    <s v=" 76.3488 "/>
    <x v="0"/>
    <n v="3943584"/>
    <m/>
    <m/>
    <m/>
  </r>
  <r>
    <x v="13"/>
    <x v="0"/>
    <s v="F:\images\20210324\plaque 2/@01 Testo 30/A1_02.tif "/>
    <s v=" 53036.5016 "/>
    <s v=" 77.4621 "/>
    <x v="0"/>
    <n v="4108317"/>
    <m/>
    <m/>
    <m/>
  </r>
  <r>
    <x v="13"/>
    <x v="0"/>
    <s v="F:\images\20210324\plaque 2/@01 Testo 30/A1_03.tif "/>
    <s v=" 48688.8928 "/>
    <s v=" 79.6273 "/>
    <x v="0"/>
    <n v="3876964"/>
    <m/>
    <m/>
    <m/>
  </r>
  <r>
    <x v="13"/>
    <x v="1"/>
    <s v="F:\images\20210324\plaque 2/@01 Testo 30/B1_01.tif "/>
    <s v=" 14924.6273 "/>
    <s v=" 66.8609 "/>
    <x v="0"/>
    <n v="997874"/>
    <m/>
    <m/>
    <m/>
  </r>
  <r>
    <x v="13"/>
    <x v="1"/>
    <s v="F:\images\20210324\plaque 2/@01 Testo 30/B1_02.tif "/>
    <s v=" 9603.6732 "/>
    <s v=" 64.3964 "/>
    <x v="0"/>
    <n v="618442"/>
    <m/>
    <m/>
    <m/>
  </r>
  <r>
    <x v="13"/>
    <x v="1"/>
    <s v="F:\images\20210324\plaque 2/@01 Testo 30/B1_03.tif "/>
    <s v=" 5212.8046 "/>
    <s v=" 63.751 "/>
    <x v="0"/>
    <n v="332322"/>
    <m/>
    <m/>
    <m/>
  </r>
  <r>
    <x v="13"/>
    <x v="2"/>
    <s v="F:\images\20210324\plaque 2/@01 Testo 30/C1_01.tif "/>
    <s v=" 55913.2776 "/>
    <s v=" 76.4209 "/>
    <x v="0"/>
    <n v="4272942"/>
    <m/>
    <m/>
    <m/>
  </r>
  <r>
    <x v="13"/>
    <x v="2"/>
    <s v="F:\images\20210324\plaque 2/@01 Testo 30/C1_02.tif "/>
    <s v=" 50289.505 "/>
    <s v=" 76.5751 "/>
    <x v="0"/>
    <n v="3850922"/>
    <m/>
    <m/>
    <m/>
  </r>
  <r>
    <x v="13"/>
    <x v="2"/>
    <s v="F:\images\20210324\plaque 2/@01 Testo 30/C1_03.tif "/>
    <s v=" 42156.6646 "/>
    <s v=" 77.2935 "/>
    <x v="0"/>
    <n v="3258435"/>
    <m/>
    <m/>
    <m/>
  </r>
  <r>
    <x v="13"/>
    <x v="3"/>
    <s v="F:\images\20210324\plaque 2/@01 Testo 30/D1_01.tif "/>
    <s v=" 4261.0892 "/>
    <s v=" 65.467 "/>
    <x v="0"/>
    <n v="278961"/>
    <m/>
    <m/>
    <m/>
  </r>
  <r>
    <x v="13"/>
    <x v="3"/>
    <s v="F:\images\20210324\plaque 2/@01 Testo 30/D1_02.tif "/>
    <s v=" 7224.3848 "/>
    <s v=" 69.1557 "/>
    <x v="0"/>
    <n v="499607"/>
    <m/>
    <m/>
    <m/>
  </r>
  <r>
    <x v="13"/>
    <x v="3"/>
    <s v="F:\images\20210324\plaque 2/@01 Testo 30/D1_03.tif "/>
    <s v=" 6142.8901 "/>
    <s v=" 67.6127 "/>
    <x v="0"/>
    <n v="415337"/>
    <m/>
    <m/>
    <m/>
  </r>
  <r>
    <x v="13"/>
    <x v="4"/>
    <s v="F:\images\20210324\plaque 2/@01 Testo 30/E1_01.tif "/>
    <s v=" 45985.156 "/>
    <s v=" 77.0809 "/>
    <x v="0"/>
    <n v="3544577"/>
    <m/>
    <m/>
    <m/>
  </r>
  <r>
    <x v="13"/>
    <x v="4"/>
    <s v="F:\images\20210324\plaque 2/@01 Testo 30/E1_02.tif "/>
    <s v=" 44514.3231 "/>
    <s v=" 75.4825 "/>
    <x v="0"/>
    <n v="3360053"/>
    <m/>
    <m/>
    <m/>
  </r>
  <r>
    <x v="13"/>
    <x v="4"/>
    <s v="F:\images\20210324\plaque 2/@01 Testo 30/E1_03.tif "/>
    <s v=" 46590.793 "/>
    <s v=" 77.5975 "/>
    <x v="0"/>
    <n v="3615329"/>
    <m/>
    <m/>
    <m/>
  </r>
  <r>
    <x v="13"/>
    <x v="5"/>
    <s v="F:\images\20210324\plaque 2/@01 Testo 30/F1_01.tif "/>
    <s v=" 26431.7312 "/>
    <s v=" 68.865 "/>
    <x v="0"/>
    <n v="1820221"/>
    <m/>
    <m/>
    <m/>
  </r>
  <r>
    <x v="13"/>
    <x v="5"/>
    <s v="F:\images\20210324\plaque 2/@01 Testo 30/F1_02.tif "/>
    <s v=" 21975.9729 "/>
    <s v=" 68.7766 "/>
    <x v="0"/>
    <n v="1511432"/>
    <m/>
    <m/>
    <m/>
  </r>
  <r>
    <x v="13"/>
    <x v="5"/>
    <s v="F:\images\20210324\plaque 2/@01 Testo 30/F1_03.tif "/>
    <s v=" 15357.2252 "/>
    <s v=" 65.7028 "/>
    <x v="0"/>
    <n v="1009013"/>
    <m/>
    <m/>
    <m/>
  </r>
  <r>
    <x v="13"/>
    <x v="6"/>
    <s v="F:\images\20210324\plaque 2/@01 Testo 30/G1_01.tif "/>
    <s v=" 34564.5716 "/>
    <s v=" 68.9199 "/>
    <x v="0"/>
    <n v="2382187"/>
    <m/>
    <m/>
    <m/>
  </r>
  <r>
    <x v="13"/>
    <x v="6"/>
    <s v="F:\images\20210324\plaque 2/@01 Testo 30/G1_02.tif "/>
    <s v=" 34218.4933 "/>
    <s v=" 71.2282 "/>
    <x v="0"/>
    <n v="2437321"/>
    <m/>
    <m/>
    <m/>
  </r>
  <r>
    <x v="13"/>
    <x v="6"/>
    <s v="F:\images\20210324\plaque 2/@01 Testo 30/G1_03.tif "/>
    <s v=" 31817.575 "/>
    <s v=" 70.9388 "/>
    <x v="0"/>
    <n v="2257101"/>
    <m/>
    <m/>
    <m/>
  </r>
  <r>
    <x v="13"/>
    <x v="7"/>
    <s v="F:\images\20210324\plaque 2/@01 Testo 30/H1_01.tif "/>
    <s v=" 13626.8336 "/>
    <s v=" 66.3635 "/>
    <x v="0"/>
    <n v="904324"/>
    <m/>
    <m/>
    <m/>
  </r>
  <r>
    <x v="13"/>
    <x v="7"/>
    <s v="F:\images\20210324\plaque 2/@01 Testo 30/H1_02.tif "/>
    <s v=" 9668.5629 "/>
    <s v=" 66.0582 "/>
    <x v="0"/>
    <n v="638688"/>
    <m/>
    <m/>
    <m/>
  </r>
  <r>
    <x v="13"/>
    <x v="7"/>
    <s v="F:\images\20210324\plaque 2/@01 Testo 30/H1_03.tif "/>
    <s v=" 12372.2997 "/>
    <s v=" 67.4423 "/>
    <x v="0"/>
    <n v="834416"/>
    <m/>
    <m/>
    <m/>
  </r>
  <r>
    <x v="1"/>
    <x v="8"/>
    <s v=" "/>
    <m/>
    <m/>
    <x v="1"/>
    <m/>
    <m/>
    <m/>
    <m/>
  </r>
  <r>
    <x v="1"/>
    <x v="8"/>
    <s v="group "/>
    <s v=" "/>
    <s v=" mean of mean fluo "/>
    <x v="2"/>
    <s v=" mean of total fluo "/>
    <s v=" SD total fluo "/>
    <s v=" n fluorescent "/>
    <s v=" n total"/>
  </r>
  <r>
    <x v="13"/>
    <x v="9"/>
    <s v="F:\images\20210324\plaque 2/@01 Testo 30/ "/>
    <s v=" "/>
    <s v=" 71.0595 "/>
    <x v="15"/>
    <s v=" 2115348.71 "/>
    <s v=" 1443635.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324\plaque 2/@02 Testo 30/A2_01.tif "/>
    <s v=" 19683.2041 "/>
    <s v=" 69.0495 "/>
    <x v="0"/>
    <n v="1359114"/>
    <m/>
    <m/>
    <m/>
  </r>
  <r>
    <x v="14"/>
    <x v="0"/>
    <s v="F:\images\20210324\plaque 2/@02 Testo 30/A2_02.tif "/>
    <s v=" 16265.6808 "/>
    <s v=" 65.5638 "/>
    <x v="0"/>
    <n v="1066440"/>
    <m/>
    <m/>
    <m/>
  </r>
  <r>
    <x v="14"/>
    <x v="0"/>
    <s v="F:\images\20210324\plaque 2/@02 Testo 30/A2_03.tif "/>
    <s v=" 15984.4921 "/>
    <s v=" 66.5467 "/>
    <x v="0"/>
    <n v="1063715"/>
    <m/>
    <m/>
    <m/>
  </r>
  <r>
    <x v="14"/>
    <x v="1"/>
    <s v="F:\images\20210324\plaque 2/@02 Testo 30/B2_01.tif "/>
    <s v=" 60498.8153 "/>
    <s v=" 81.5181 "/>
    <x v="0"/>
    <n v="4931746"/>
    <m/>
    <m/>
    <m/>
  </r>
  <r>
    <x v="14"/>
    <x v="1"/>
    <s v="F:\images\20210324\plaque 2/@02 Testo 30/B2_02.tif "/>
    <s v=" 52474.1244 "/>
    <s v=" 80.3054 "/>
    <x v="0"/>
    <n v="4213958"/>
    <m/>
    <m/>
    <m/>
  </r>
  <r>
    <x v="14"/>
    <x v="1"/>
    <s v="F:\images\20210324\plaque 2/@02 Testo 30/B2_03.tif "/>
    <s v=" 49121.4907 "/>
    <s v=" 78.8063 "/>
    <x v="0"/>
    <n v="3871081"/>
    <m/>
    <m/>
    <m/>
  </r>
  <r>
    <x v="14"/>
    <x v="2"/>
    <s v="F:\images\20210324\plaque 2/@02 Testo 30/C2_01.tif "/>
    <s v=" 34067.084 "/>
    <s v=" 71.3314 "/>
    <x v="0"/>
    <n v="2430054"/>
    <m/>
    <m/>
    <m/>
  </r>
  <r>
    <x v="14"/>
    <x v="2"/>
    <s v="F:\images\20210324\plaque 2/@02 Testo 30/C2_02.tif "/>
    <s v=" 31406.607 "/>
    <s v=" 69.3106 "/>
    <x v="0"/>
    <n v="2176811"/>
    <m/>
    <m/>
    <m/>
  </r>
  <r>
    <x v="14"/>
    <x v="2"/>
    <s v="F:\images\20210324\plaque 2/@02 Testo 30/C2_03.tif "/>
    <s v=" 32682.7708 "/>
    <s v=" 69.7161 "/>
    <x v="0"/>
    <n v="2278515"/>
    <m/>
    <m/>
    <m/>
  </r>
  <r>
    <x v="14"/>
    <x v="3"/>
    <s v="F:\images\20210324\plaque 2/@02 Testo 30/D2_01.tif "/>
    <s v=" 52906.7223 "/>
    <s v=" 76.4215 "/>
    <x v="0"/>
    <n v="4043211"/>
    <m/>
    <m/>
    <m/>
  </r>
  <r>
    <x v="14"/>
    <x v="3"/>
    <s v="F:\images\20210324\plaque 2/@02 Testo 30/D2_02.tif "/>
    <s v=" 55696.9787 "/>
    <s v=" 76.4287 "/>
    <x v="0"/>
    <n v="4256850"/>
    <m/>
    <m/>
    <m/>
  </r>
  <r>
    <x v="14"/>
    <x v="3"/>
    <s v="F:\images\20210324\plaque 2/@02 Testo 30/D2_03.tif "/>
    <s v=" 51565.6688 "/>
    <s v=" 78.1909 "/>
    <x v="0"/>
    <n v="4031964"/>
    <m/>
    <m/>
    <m/>
  </r>
  <r>
    <x v="14"/>
    <x v="4"/>
    <s v="F:\images\20210324\plaque 2/@02 Testo 30/E2_01.tif "/>
    <s v=" 31406.607 "/>
    <s v=" 70.6625 "/>
    <x v="0"/>
    <n v="2219270"/>
    <m/>
    <m/>
    <m/>
  </r>
  <r>
    <x v="14"/>
    <x v="4"/>
    <s v="F:\images\20210324\plaque 2/@02 Testo 30/E2_02.tif "/>
    <s v=" 30563.0411 "/>
    <s v=" 69.0757 "/>
    <x v="0"/>
    <n v="2111164"/>
    <m/>
    <m/>
    <m/>
  </r>
  <r>
    <x v="14"/>
    <x v="4"/>
    <s v="F:\images\20210324\plaque 2/@02 Testo 30/E2_03.tif "/>
    <s v=" 25090.6778 "/>
    <s v=" 68.694 "/>
    <x v="0"/>
    <n v="1723578"/>
    <m/>
    <m/>
    <m/>
  </r>
  <r>
    <x v="14"/>
    <x v="5"/>
    <s v="F:\images\20210324\plaque 2/@02 Testo 30/F2_01.tif "/>
    <s v=" 35992.1447 "/>
    <s v=" 71.4369 "/>
    <x v="0"/>
    <n v="2571167"/>
    <m/>
    <m/>
    <m/>
  </r>
  <r>
    <x v="14"/>
    <x v="5"/>
    <s v="F:\images\20210324\plaque 2/@02 Testo 30/F2_02.tif "/>
    <s v=" 32855.8099 "/>
    <s v=" 70.5635 "/>
    <x v="0"/>
    <n v="2318422"/>
    <m/>
    <m/>
    <m/>
  </r>
  <r>
    <x v="14"/>
    <x v="5"/>
    <s v="F:\images\20210324\plaque 2/@02 Testo 30/F2_03.tif "/>
    <s v=" 33569.5965 "/>
    <s v=" 70.5348 "/>
    <x v="0"/>
    <n v="2367825"/>
    <m/>
    <m/>
    <m/>
  </r>
  <r>
    <x v="14"/>
    <x v="6"/>
    <s v="F:\images\20210324\plaque 2/@02 Testo 30/G2_01.tif "/>
    <s v=" 17887.9229 "/>
    <s v=" 70.451 "/>
    <x v="0"/>
    <n v="1260223"/>
    <m/>
    <m/>
    <m/>
  </r>
  <r>
    <x v="14"/>
    <x v="6"/>
    <s v="F:\images\20210324\plaque 2/@02 Testo 30/G2_02.tif "/>
    <s v=" 16741.5384 "/>
    <s v=" 68.2842 "/>
    <x v="0"/>
    <n v="1143183"/>
    <m/>
    <m/>
    <m/>
  </r>
  <r>
    <x v="14"/>
    <x v="6"/>
    <s v="F:\images\20210324\plaque 2/@02 Testo 30/G2_03.tif "/>
    <s v=" 15205.8159 "/>
    <s v=" 68.1337 "/>
    <x v="0"/>
    <n v="1036029"/>
    <m/>
    <m/>
    <m/>
  </r>
  <r>
    <x v="14"/>
    <x v="7"/>
    <s v="F:\images\20210324\plaque 2/@02 Testo 30/H2_01.tif "/>
    <s v=" 35559.5468 "/>
    <s v=" 69.1484 "/>
    <x v="0"/>
    <n v="2458886"/>
    <m/>
    <m/>
    <m/>
  </r>
  <r>
    <x v="14"/>
    <x v="7"/>
    <s v="F:\images\20210324\plaque 2/@02 Testo 30/H2_02.tif "/>
    <s v=" 37398.0878 "/>
    <s v=" 69.0133 "/>
    <x v="0"/>
    <n v="2580966"/>
    <m/>
    <m/>
    <m/>
  </r>
  <r>
    <x v="14"/>
    <x v="7"/>
    <s v="F:\images\20210324\plaque 2/@02 Testo 30/H2_03.tif "/>
    <s v=" 31190.3081 "/>
    <s v=" 68.4334 "/>
    <x v="0"/>
    <n v="2134460"/>
    <m/>
    <m/>
    <m/>
  </r>
  <r>
    <x v="1"/>
    <x v="8"/>
    <s v=" "/>
    <m/>
    <m/>
    <x v="1"/>
    <m/>
    <m/>
    <m/>
    <m/>
  </r>
  <r>
    <x v="1"/>
    <x v="8"/>
    <s v="group "/>
    <s v=" "/>
    <s v=" mean of mean fluo "/>
    <x v="2"/>
    <s v=" mean of total fluo "/>
    <s v=" SD total fluo "/>
    <s v=" n fluorescent "/>
    <s v=" n total"/>
  </r>
  <r>
    <x v="14"/>
    <x v="9"/>
    <s v="F:\images\20210324\plaque 2/@02 Testo 30/ "/>
    <s v=" "/>
    <s v=" 71.5675 "/>
    <x v="16"/>
    <s v=" 2485359.67 "/>
    <s v=" 1154765.9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324\plaque 2/@03 Testo+ EE2 64/A3_01.tif "/>
    <s v=" 57730.1888 "/>
    <s v=" 83.5444 "/>
    <x v="0"/>
    <n v="4823034"/>
    <m/>
    <m/>
    <m/>
  </r>
  <r>
    <x v="15"/>
    <x v="0"/>
    <s v="F:\images\20210324\plaque 2/@03 Testo+ EE2 64/A3_02.tif "/>
    <s v=" 56648.694 "/>
    <s v=" 86.7896 "/>
    <x v="0"/>
    <n v="4916518"/>
    <m/>
    <m/>
    <m/>
  </r>
  <r>
    <x v="15"/>
    <x v="0"/>
    <s v="F:\images\20210324\plaque 2/@03 Testo+ EE2 64/A3_03.tif "/>
    <s v=" 48472.5939 "/>
    <s v=" 87.004 "/>
    <x v="0"/>
    <n v="4217310"/>
    <m/>
    <m/>
    <m/>
  </r>
  <r>
    <x v="15"/>
    <x v="1"/>
    <s v="F:\images\20210324\plaque 2/@03 Testo+ EE2 64/B3_01.tif "/>
    <s v=" 54312.6654 "/>
    <s v=" 86.8658 "/>
    <x v="0"/>
    <n v="4717913"/>
    <m/>
    <m/>
    <m/>
  </r>
  <r>
    <x v="15"/>
    <x v="1"/>
    <s v="F:\images\20210324\plaque 2/@03 Testo+ EE2 64/B3_02.tif "/>
    <s v=" 55372.5302 "/>
    <s v=" 81.4047 "/>
    <x v="0"/>
    <n v="4507584"/>
    <m/>
    <m/>
    <m/>
  </r>
  <r>
    <x v="15"/>
    <x v="1"/>
    <s v="F:\images\20210324\plaque 2/@03 Testo+ EE2 64/B3_03.tif "/>
    <s v=" 49208.0103 "/>
    <s v=" 81.4954 "/>
    <x v="0"/>
    <n v="4010226"/>
    <m/>
    <m/>
    <m/>
  </r>
  <r>
    <x v="15"/>
    <x v="2"/>
    <s v="F:\images\20210324\plaque 2/@03 Testo+ EE2 64/C3_01.tif "/>
    <s v=" 11528.7338 "/>
    <s v=" 68.5159 "/>
    <x v="0"/>
    <n v="789902"/>
    <m/>
    <m/>
    <m/>
  </r>
  <r>
    <x v="15"/>
    <x v="2"/>
    <s v="F:\images\20210324\plaque 2/@03 Testo+ EE2 64/C3_02.tif "/>
    <s v=" 8824.997 "/>
    <s v=" 69.0613 "/>
    <x v="0"/>
    <n v="609466"/>
    <m/>
    <m/>
    <m/>
  </r>
  <r>
    <x v="15"/>
    <x v="2"/>
    <s v="F:\images\20210324\plaque 2/@03 Testo+ EE2 64/C3_03.tif "/>
    <s v=" 11117.7658 "/>
    <s v=" 69.5603 "/>
    <x v="0"/>
    <n v="773355"/>
    <m/>
    <m/>
    <m/>
  </r>
  <r>
    <x v="15"/>
    <x v="3"/>
    <s v="F:\images\20210324\plaque 2/@03 Testo+ EE2 64/D3_01.tif "/>
    <s v=" 59936.438 "/>
    <s v=" 77.5215 "/>
    <x v="0"/>
    <n v="4646361"/>
    <m/>
    <m/>
    <m/>
  </r>
  <r>
    <x v="15"/>
    <x v="3"/>
    <s v="F:\images\20210324\plaque 2/@03 Testo+ EE2 64/D3_02- exclu.tif"/>
    <m/>
    <m/>
    <x v="1"/>
    <m/>
    <m/>
    <m/>
    <m/>
  </r>
  <r>
    <x v="15"/>
    <x v="3"/>
    <s v="F:\images\20210324\plaque 2/@03 Testo+ EE2 64/D3_03.tif "/>
    <s v=" 57600.4094 "/>
    <s v=" 73.9681 "/>
    <x v="0"/>
    <n v="4260592"/>
    <m/>
    <m/>
    <m/>
  </r>
  <r>
    <x v="15"/>
    <x v="4"/>
    <s v="F:\images\20210324\plaque 2/@03 Testo+ EE2 64/E3_01.tif "/>
    <s v=" 38501.2124 "/>
    <s v=" 73.2185 "/>
    <x v="0"/>
    <n v="2819003"/>
    <m/>
    <m/>
    <m/>
  </r>
  <r>
    <x v="15"/>
    <x v="4"/>
    <s v="F:\images\20210324\plaque 2/@03 Testo+ EE2 64/E3_02.tif "/>
    <s v=" 37073.6394 "/>
    <s v=" 70.7853 "/>
    <x v="0"/>
    <n v="2624269"/>
    <m/>
    <m/>
    <m/>
  </r>
  <r>
    <x v="15"/>
    <x v="4"/>
    <s v="F:\images\20210324\plaque 2/@03 Testo+ EE2 64/E3_03- exclu.tif"/>
    <m/>
    <m/>
    <x v="1"/>
    <m/>
    <m/>
    <m/>
    <m/>
  </r>
  <r>
    <x v="15"/>
    <x v="5"/>
    <s v="F:\images\20210324\plaque 2/@03 Testo+ EE2 64/F3_01.tif "/>
    <s v=" 16914.5776 "/>
    <s v=" 71.8261 "/>
    <x v="0"/>
    <n v="1214908"/>
    <m/>
    <m/>
    <m/>
  </r>
  <r>
    <x v="15"/>
    <x v="5"/>
    <s v="F:\images\20210324\plaque 2/@03 Testo+ EE2 64/F3_02.tif "/>
    <s v=" 19099.197 "/>
    <s v=" 71.3228 "/>
    <x v="0"/>
    <n v="1362208"/>
    <m/>
    <m/>
    <m/>
  </r>
  <r>
    <x v="15"/>
    <x v="5"/>
    <s v="F:\images\20210324\plaque 2/@03 Testo+ EE2 64/F3_03.tif "/>
    <s v=" 23317.0264 "/>
    <s v=" 70.769 "/>
    <x v="0"/>
    <n v="1650123"/>
    <m/>
    <m/>
    <m/>
  </r>
  <r>
    <x v="15"/>
    <x v="6"/>
    <s v="F:\images\20210324\plaque 2/@03 Testo+ EE2 64/G3_01.tif "/>
    <s v=" 50938.4019 "/>
    <s v=" 82.9665 "/>
    <x v="0"/>
    <n v="4226179"/>
    <m/>
    <m/>
    <m/>
  </r>
  <r>
    <x v="15"/>
    <x v="6"/>
    <s v="F:\images\20210324\plaque 2/@03 Testo+ EE2 64/G3_02.tif "/>
    <s v=" 54658.7437 "/>
    <s v=" 79.1856 "/>
    <x v="0"/>
    <n v="4328185"/>
    <m/>
    <m/>
    <m/>
  </r>
  <r>
    <x v="15"/>
    <x v="6"/>
    <s v="F:\images\20210324\plaque 2/@03 Testo+ EE2 64/G3_03.tif "/>
    <s v=" 53144.6511 "/>
    <s v=" 81.4103 "/>
    <x v="0"/>
    <n v="4326520"/>
    <m/>
    <m/>
    <m/>
  </r>
  <r>
    <x v="15"/>
    <x v="7"/>
    <s v="F:\images\20210324\plaque 2/@03 Testo+ EE2 64/H3_01- exclu.tif"/>
    <m/>
    <m/>
    <x v="1"/>
    <m/>
    <m/>
    <m/>
    <m/>
  </r>
  <r>
    <x v="15"/>
    <x v="7"/>
    <s v="F:\images\20210324\plaque 2/@03 Testo+ EE2 64/H3_02- exclu.tif"/>
    <m/>
    <m/>
    <x v="1"/>
    <m/>
    <m/>
    <m/>
    <m/>
  </r>
  <r>
    <x v="15"/>
    <x v="7"/>
    <s v="F:\images\20210324\plaque 2/@03 Testo+ EE2 64/H3_03- exclu.tif"/>
    <m/>
    <m/>
    <x v="1"/>
    <m/>
    <m/>
    <m/>
    <m/>
  </r>
  <r>
    <x v="1"/>
    <x v="8"/>
    <s v=" "/>
    <m/>
    <m/>
    <x v="1"/>
    <m/>
    <m/>
    <m/>
    <m/>
  </r>
  <r>
    <x v="1"/>
    <x v="8"/>
    <s v="group "/>
    <s v=" "/>
    <s v=" mean of mean fluo "/>
    <x v="2"/>
    <s v=" mean of total fluo "/>
    <s v=" SD total fluo "/>
    <s v=" n fluorescent "/>
    <s v=" n total"/>
  </r>
  <r>
    <x v="15"/>
    <x v="9"/>
    <s v="F:\images\20210324\plaque 2/@03 Testo+ EE2 64/ "/>
    <s v=" "/>
    <s v=" 76.5369 "/>
    <x v="17"/>
    <s v=" 3242111.33 "/>
    <s v=" 1497909.3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324\plaque 2/@04 Testo+ FAD/A4_01.tif "/>
    <s v=" 605.637 "/>
    <s v=" 64.75 "/>
    <x v="0"/>
    <n v="39215"/>
    <m/>
    <m/>
    <m/>
  </r>
  <r>
    <x v="16"/>
    <x v="0"/>
    <s v="F:\images\20210324\plaque 2/@04 Testo+ FAD/A4_02.tif "/>
    <s v=" 3698.712 "/>
    <s v=" 64.6842 "/>
    <x v="0"/>
    <n v="239248"/>
    <m/>
    <m/>
    <m/>
  </r>
  <r>
    <x v="16"/>
    <x v="0"/>
    <s v="F:\images\20210324\plaque 2/@04 Testo+ FAD/A4_03.tif "/>
    <s v=" 3244.4842 "/>
    <s v=" 66.6667 "/>
    <x v="0"/>
    <n v="216299"/>
    <m/>
    <m/>
    <m/>
  </r>
  <r>
    <x v="16"/>
    <x v="1"/>
    <s v="F:\images\20210324\plaque 2/@04 Testo+ FAD/B4_01.tif "/>
    <s v=" 519.1175 "/>
    <s v=" 67.4167 "/>
    <x v="0"/>
    <n v="34997"/>
    <m/>
    <m/>
    <m/>
  </r>
  <r>
    <x v="16"/>
    <x v="1"/>
    <s v="F:\images\20210324\plaque 2/@04 Testo+ FAD/B4_02.tif "/>
    <s v=" 237.9288 "/>
    <s v=" 62.6364 "/>
    <x v="0"/>
    <n v="14903"/>
    <m/>
    <m/>
    <m/>
  </r>
  <r>
    <x v="16"/>
    <x v="1"/>
    <s v="F:\images\20210324\plaque 2/@04 Testo+ FAD/B4_03- exclu.tif"/>
    <m/>
    <m/>
    <x v="1"/>
    <m/>
    <m/>
    <m/>
    <m/>
  </r>
  <r>
    <x v="16"/>
    <x v="2"/>
    <s v="F:\images\20210324\plaque 2/@04 Testo+ FAD/C4_01.tif "/>
    <s v=" 3179.5945 "/>
    <s v=" 67.8095 "/>
    <x v="0"/>
    <n v="215607"/>
    <m/>
    <m/>
    <m/>
  </r>
  <r>
    <x v="16"/>
    <x v="2"/>
    <s v="F:\images\20210324\plaque 2/@04 Testo+ FAD/C4_02.tif "/>
    <s v=" 1881.8008 "/>
    <s v=" 67.8506 "/>
    <x v="0"/>
    <n v="127681"/>
    <m/>
    <m/>
    <m/>
  </r>
  <r>
    <x v="16"/>
    <x v="2"/>
    <s v="F:\images\20210324\plaque 2/@04 Testo+ FAD/C4_03.tif "/>
    <s v=" 2682.1069 "/>
    <s v=" 64.5323 "/>
    <x v="0"/>
    <n v="173082"/>
    <m/>
    <m/>
    <m/>
  </r>
  <r>
    <x v="16"/>
    <x v="3"/>
    <s v="F:\images\20210324\plaque 2/@04 Testo+ FAD/D4_01- exclu.tif"/>
    <m/>
    <m/>
    <x v="1"/>
    <m/>
    <m/>
    <m/>
    <m/>
  </r>
  <r>
    <x v="16"/>
    <x v="3"/>
    <s v="F:\images\20210324\plaque 2/@04 Testo+ FAD/D4_02.tif "/>
    <s v=" 497.4876 "/>
    <s v=" 63.3043 "/>
    <x v="0"/>
    <n v="31493"/>
    <m/>
    <m/>
    <m/>
  </r>
  <r>
    <x v="16"/>
    <x v="3"/>
    <s v="F:\images\20210324\plaque 2/@04 Testo+ FAD/D4_03.tif "/>
    <s v=" 324.4484 "/>
    <s v=" 62.6 "/>
    <x v="0"/>
    <n v="20310"/>
    <m/>
    <m/>
    <m/>
  </r>
  <r>
    <x v="16"/>
    <x v="4"/>
    <s v="F:\images\20210324\plaque 2/@04 Testo+ FAD/E4_01.tif "/>
    <s v=" 4412.4985 "/>
    <s v=" 65.9755 "/>
    <x v="0"/>
    <n v="291117"/>
    <m/>
    <m/>
    <m/>
  </r>
  <r>
    <x v="16"/>
    <x v="4"/>
    <s v="F:\images\20210324\plaque 2/@04 Testo+ FAD/E4_02.tif "/>
    <s v=" 3958.2707 "/>
    <s v=" 67.6066 "/>
    <x v="0"/>
    <n v="267605"/>
    <m/>
    <m/>
    <m/>
  </r>
  <r>
    <x v="16"/>
    <x v="4"/>
    <s v="F:\images\20210324\plaque 2/@04 Testo+ FAD/E4_03.tif "/>
    <s v=" 4801.8366 "/>
    <s v=" 70.4505 "/>
    <x v="0"/>
    <n v="338292"/>
    <m/>
    <m/>
    <m/>
  </r>
  <r>
    <x v="16"/>
    <x v="5"/>
    <s v="F:\images\20210324\plaque 2/@04 Testo+ FAD/F4_01.tif "/>
    <s v=" 1925.0606 "/>
    <s v=" 65.0112 "/>
    <x v="0"/>
    <n v="125151"/>
    <m/>
    <m/>
    <m/>
  </r>
  <r>
    <x v="16"/>
    <x v="5"/>
    <s v="F:\images\20210324\plaque 2/@04 Testo+ FAD/F4_02.tif "/>
    <s v=" 3915.0109 "/>
    <s v=" 64.779 "/>
    <x v="0"/>
    <n v="253611"/>
    <m/>
    <m/>
    <m/>
  </r>
  <r>
    <x v="16"/>
    <x v="5"/>
    <s v="F:\images\20210324\plaque 2/@04 Testo+ FAD/F4_03.tif "/>
    <s v=" 2855.1461 "/>
    <s v=" 65.9167 "/>
    <x v="0"/>
    <n v="188202"/>
    <m/>
    <m/>
    <m/>
  </r>
  <r>
    <x v="16"/>
    <x v="6"/>
    <s v="F:\images\20210324\plaque 2/@04 Testo+ FAD/G4_01.tif "/>
    <s v=" 5039.7654 "/>
    <s v=" 66.0558 "/>
    <x v="0"/>
    <n v="332906"/>
    <m/>
    <m/>
    <m/>
  </r>
  <r>
    <x v="16"/>
    <x v="6"/>
    <s v="F:\images\20210324\plaque 2/@04 Testo+ FAD/G4_02.tif "/>
    <s v=" 5667.0324 "/>
    <s v=" 72.7023 "/>
    <x v="0"/>
    <n v="412006"/>
    <m/>
    <m/>
    <m/>
  </r>
  <r>
    <x v="16"/>
    <x v="6"/>
    <s v="F:\images\20210324\plaque 2/@04 Testo+ FAD/G4_03.tif "/>
    <s v=" 1881.8008 "/>
    <s v=" 68.6092 "/>
    <x v="0"/>
    <n v="129109"/>
    <m/>
    <m/>
    <m/>
  </r>
  <r>
    <x v="16"/>
    <x v="7"/>
    <s v="F:\images\20210324\plaque 2/@04 Testo+ FAD/H4_01.tif "/>
    <s v=" 4866.7263 "/>
    <s v=" 73.9156 "/>
    <x v="0"/>
    <n v="359727"/>
    <m/>
    <m/>
    <m/>
  </r>
  <r>
    <x v="16"/>
    <x v="7"/>
    <s v="F:\images\20210324\plaque 2/@04 Testo+ FAD/H4_02- exclu.tif"/>
    <m/>
    <m/>
    <x v="1"/>
    <m/>
    <m/>
    <m/>
    <m/>
  </r>
  <r>
    <x v="16"/>
    <x v="7"/>
    <s v="F:\images\20210324\plaque 2/@04 Testo+ FAD/H4_03.tif "/>
    <s v=" 951.7154 "/>
    <s v=" 63.0455 "/>
    <x v="0"/>
    <n v="60001"/>
    <m/>
    <m/>
    <m/>
  </r>
  <r>
    <x v="1"/>
    <x v="8"/>
    <s v=" "/>
    <m/>
    <m/>
    <x v="1"/>
    <m/>
    <m/>
    <m/>
    <m/>
  </r>
  <r>
    <x v="1"/>
    <x v="8"/>
    <s v="group "/>
    <s v=" "/>
    <s v=" mean of mean fluo "/>
    <x v="2"/>
    <s v=" mean of total fluo "/>
    <s v=" SD total fluo "/>
    <s v=" n fluorescent "/>
    <s v=" n total"/>
  </r>
  <r>
    <x v="16"/>
    <x v="9"/>
    <s v="F:\images\20210324\plaque 2/@04 Testo+ FAD/ "/>
    <s v=" "/>
    <s v=" 66.4283 "/>
    <x v="18"/>
    <s v=" 183952.333 "/>
    <s v=" 140077.8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324\plaque 2/@05 Fadrozole 0.016 µg_L Dopé/A5_01.tif "/>
    <s v=" 10447.2391 "/>
    <s v=" 66.441 "/>
    <x v="0"/>
    <n v="694125"/>
    <m/>
    <m/>
    <m/>
  </r>
  <r>
    <x v="17"/>
    <x v="0"/>
    <s v="F:\images\20210324\plaque 2/@05 Fadrozole 0.016 µg_L Dopé/A5_02.tif "/>
    <s v=" 17996.0723 "/>
    <s v=" 67.6839 "/>
    <x v="0"/>
    <n v="1218044"/>
    <m/>
    <m/>
    <m/>
  </r>
  <r>
    <x v="17"/>
    <x v="0"/>
    <s v="F:\images\20210324\plaque 2/@05 Fadrozole 0.016 µg_L Dopé/A5_03.tif "/>
    <s v=" 10555.3886 "/>
    <s v=" 68.252 "/>
    <x v="0"/>
    <n v="720427"/>
    <m/>
    <m/>
    <m/>
  </r>
  <r>
    <x v="17"/>
    <x v="1"/>
    <s v="F:\images\20210324\plaque 2/@05 Fadrozole 0.016 µg_L Dopé/B5_01- exclu.tif"/>
    <m/>
    <m/>
    <x v="1"/>
    <m/>
    <m/>
    <m/>
    <m/>
  </r>
  <r>
    <x v="17"/>
    <x v="1"/>
    <s v="F:\images\20210324\plaque 2/@05 Fadrozole 0.016 µg_L Dopé/B5_02.tif "/>
    <s v=" 3633.8223 "/>
    <s v=" 66.6131 "/>
    <x v="0"/>
    <n v="242060"/>
    <m/>
    <m/>
    <m/>
  </r>
  <r>
    <x v="17"/>
    <x v="1"/>
    <s v="F:\images\20210324\plaque 2/@05 Fadrozole 0.016 µg_L Dopé/B5_03.tif "/>
    <s v=" 1989.9503 "/>
    <s v=" 63.8913 "/>
    <x v="0"/>
    <n v="127141"/>
    <m/>
    <m/>
    <m/>
  </r>
  <r>
    <x v="17"/>
    <x v="2"/>
    <s v="F:\images\20210324\plaque 2/@05 Fadrozole 0.016 µg_L Dopé/C5_01.tif "/>
    <s v=" 30433.2617 "/>
    <s v=" 69.8259 "/>
    <x v="0"/>
    <n v="2125029"/>
    <m/>
    <m/>
    <m/>
  </r>
  <r>
    <x v="17"/>
    <x v="2"/>
    <s v="F:\images\20210324\plaque 2/@05 Fadrozole 0.016 µg_L Dopé/C5_02.tif "/>
    <s v=" 32574.6213 "/>
    <s v=" 70.4163 "/>
    <x v="0"/>
    <n v="2293785"/>
    <m/>
    <m/>
    <m/>
  </r>
  <r>
    <x v="17"/>
    <x v="2"/>
    <s v="F:\images\20210324\plaque 2/@05 Fadrozole 0.016 µg_L Dopé/C5_03.tif "/>
    <s v=" 29546.4361 "/>
    <s v=" 69.5234 "/>
    <x v="0"/>
    <n v="2054169"/>
    <m/>
    <m/>
    <m/>
  </r>
  <r>
    <x v="17"/>
    <x v="3"/>
    <s v="F:\images\20210324\plaque 2/@05 Fadrozole 0.016 µg_L Dopé/D5_01.tif "/>
    <s v=" 9949.7515 "/>
    <s v=" 69.9196 "/>
    <x v="0"/>
    <n v="695682"/>
    <m/>
    <m/>
    <m/>
  </r>
  <r>
    <x v="17"/>
    <x v="3"/>
    <s v="F:\images\20210324\plaque 2/@05 Fadrozole 0.016 µg_L Dopé/D5_02.tif "/>
    <s v=" 10230.9402 "/>
    <s v=" 69.778 "/>
    <x v="0"/>
    <n v="713895"/>
    <m/>
    <m/>
    <m/>
  </r>
  <r>
    <x v="17"/>
    <x v="3"/>
    <s v="F:\images\20210324\plaque 2/@05 Fadrozole 0.016 µg_L Dopé/D5_03.tif "/>
    <s v=" 7808.392 "/>
    <s v=" 68.1025 "/>
    <x v="0"/>
    <n v="531771"/>
    <m/>
    <m/>
    <m/>
  </r>
  <r>
    <x v="17"/>
    <x v="4"/>
    <s v="F:\images\20210324\plaque 2/@05 Fadrozole 0.016 µg_L Dopé/E5_01.tif "/>
    <s v=" 39755.7463 "/>
    <s v=" 71.0147 "/>
    <x v="0"/>
    <n v="2823242"/>
    <m/>
    <m/>
    <m/>
  </r>
  <r>
    <x v="17"/>
    <x v="4"/>
    <s v="F:\images\20210324\plaque 2/@05 Fadrozole 0.016 µg_L Dopé/E5_02.tif "/>
    <s v=" 37787.4259 "/>
    <s v=" 70.8306 "/>
    <x v="0"/>
    <n v="2676505"/>
    <m/>
    <m/>
    <m/>
  </r>
  <r>
    <x v="17"/>
    <x v="4"/>
    <s v="F:\images\20210324\plaque 2/@05 Fadrozole 0.016 µg_L Dopé/E5_03.tif "/>
    <s v=" 41810.5863 "/>
    <s v=" 71.4982 "/>
    <x v="0"/>
    <n v="2989381"/>
    <m/>
    <m/>
    <m/>
  </r>
  <r>
    <x v="17"/>
    <x v="5"/>
    <s v="F:\images\20210324\plaque 2/@05 Fadrozole 0.016 µg_L Dopé/F5_01.tif "/>
    <s v=" 6726.8972 "/>
    <s v=" 64.5016 "/>
    <x v="0"/>
    <n v="433896"/>
    <m/>
    <m/>
    <m/>
  </r>
  <r>
    <x v="17"/>
    <x v="5"/>
    <s v="F:\images\20210324\plaque 2/@05 Fadrozole 0.016 µg_L Dopé/F5_02- exclu.tif"/>
    <m/>
    <m/>
    <x v="1"/>
    <m/>
    <m/>
    <m/>
    <m/>
  </r>
  <r>
    <x v="17"/>
    <x v="5"/>
    <s v="F:\images\20210324\plaque 2/@05 Fadrozole 0.016 µg_L Dopé/F5_03.tif "/>
    <s v=" 8457.2888 "/>
    <s v=" 65.9284 "/>
    <x v="0"/>
    <n v="557575"/>
    <m/>
    <m/>
    <m/>
  </r>
  <r>
    <x v="17"/>
    <x v="6"/>
    <s v="F:\images\20210324\plaque 2/@05 Fadrozole 0.016 µg_L Dopé/G5_01.tif "/>
    <s v=" 44644.1025 "/>
    <s v=" 74.4075 "/>
    <x v="0"/>
    <n v="3321854"/>
    <m/>
    <m/>
    <m/>
  </r>
  <r>
    <x v="17"/>
    <x v="6"/>
    <s v="F:\images\20210324\plaque 2/@05 Fadrozole 0.016 µg_L Dopé/G5_02.tif "/>
    <s v=" 38847.2908 "/>
    <s v=" 74.6275 "/>
    <x v="0"/>
    <n v="2899076"/>
    <m/>
    <m/>
    <m/>
  </r>
  <r>
    <x v="17"/>
    <x v="6"/>
    <s v="F:\images\20210324\plaque 2/@05 Fadrozole 0.016 µg_L Dopé/G5_03.tif "/>
    <s v=" 37506.2373 "/>
    <s v=" 74.9193 "/>
    <x v="0"/>
    <n v="2809940"/>
    <m/>
    <m/>
    <m/>
  </r>
  <r>
    <x v="17"/>
    <x v="7"/>
    <s v="F:\images\20210324\plaque 2/@05 Fadrozole 0.016 µg_L Dopé/H5_01.tif "/>
    <s v=" 5753.552 "/>
    <s v=" 66.5752 "/>
    <x v="0"/>
    <n v="383044"/>
    <m/>
    <m/>
    <m/>
  </r>
  <r>
    <x v="17"/>
    <x v="7"/>
    <s v="F:\images\20210324\plaque 2/@05 Fadrozole 0.016 µg_L Dopé/H5_02.tif "/>
    <s v=" 8414.029 "/>
    <s v=" 71.8638 "/>
    <x v="0"/>
    <n v="604664"/>
    <m/>
    <m/>
    <m/>
  </r>
  <r>
    <x v="17"/>
    <x v="7"/>
    <s v="F:\images\20210324\plaque 2/@05 Fadrozole 0.016 µg_L Dopé/H5_03.tif "/>
    <s v=" 1643.872 "/>
    <s v=" 64.5 "/>
    <x v="0"/>
    <n v="106030"/>
    <m/>
    <m/>
    <m/>
  </r>
  <r>
    <x v="1"/>
    <x v="8"/>
    <s v=" "/>
    <m/>
    <m/>
    <x v="1"/>
    <m/>
    <m/>
    <m/>
    <m/>
  </r>
  <r>
    <x v="1"/>
    <x v="8"/>
    <s v="group "/>
    <s v=" "/>
    <s v=" mean of mean fluo "/>
    <x v="2"/>
    <s v=" mean of total fluo "/>
    <s v=" SD total fluo "/>
    <s v=" n fluorescent "/>
    <s v=" n total"/>
  </r>
  <r>
    <x v="17"/>
    <x v="9"/>
    <s v="F:\images\20210324\plaque 2/@05 Fadrozole 0.016 µg_L Dopé/ "/>
    <s v=" "/>
    <s v=" 68.8567 "/>
    <x v="19"/>
    <s v=" 1318369.12 "/>
    <s v=" 1119842.9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324\plaque 2/@06  Fadrozole 0.08 µg_L Dopé/A6_01.tif "/>
    <s v=" 23468.4357 "/>
    <s v=" 66.4 "/>
    <x v="0"/>
    <n v="1558304"/>
    <m/>
    <m/>
    <m/>
  </r>
  <r>
    <x v="18"/>
    <x v="0"/>
    <s v="F:\images\20210324\plaque 2/@06  Fadrozole 0.08 µg_L Dopé/A6_02.tif "/>
    <s v=" 21370.3359 "/>
    <s v=" 65.9251 "/>
    <x v="0"/>
    <n v="1408842"/>
    <m/>
    <m/>
    <m/>
  </r>
  <r>
    <x v="18"/>
    <x v="0"/>
    <s v="F:\images\20210324\plaque 2/@06  Fadrozole 0.08 µg_L Dopé/A6_03.tif "/>
    <s v=" 19185.7165 "/>
    <s v=" 66.3427 "/>
    <x v="0"/>
    <n v="1272833"/>
    <m/>
    <m/>
    <m/>
  </r>
  <r>
    <x v="18"/>
    <x v="1"/>
    <s v="F:\images\20210324\plaque 2/@06  Fadrozole 0.08 µg_L Dopé/B6_01.tif "/>
    <s v=" 34889.02 "/>
    <s v=" 69.1742 "/>
    <x v="0"/>
    <n v="2413420"/>
    <m/>
    <m/>
    <m/>
  </r>
  <r>
    <x v="18"/>
    <x v="1"/>
    <s v="F:\images\20210324\plaque 2/@06  Fadrozole 0.08 µg_L Dopé/B6_02.tif "/>
    <s v=" 28702.8702 "/>
    <s v=" 68.8636 "/>
    <x v="0"/>
    <n v="1976583"/>
    <m/>
    <m/>
    <m/>
  </r>
  <r>
    <x v="18"/>
    <x v="1"/>
    <s v="F:\images\20210324\plaque 2/@06  Fadrozole 0.08 µg_L Dopé/B6_03.tif "/>
    <s v=" 28053.9733 "/>
    <s v=" 68.1619 "/>
    <x v="0"/>
    <n v="1912212"/>
    <m/>
    <m/>
    <m/>
  </r>
  <r>
    <x v="18"/>
    <x v="2"/>
    <s v="F:\images\20210324\plaque 2/@06  Fadrozole 0.08 µg_L Dopé/C6_01.tif "/>
    <s v=" 17671.6239 "/>
    <s v=" 65.7748 "/>
    <x v="0"/>
    <n v="1162347"/>
    <m/>
    <m/>
    <m/>
  </r>
  <r>
    <x v="18"/>
    <x v="2"/>
    <s v="F:\images\20210324\plaque 2/@06  Fadrozole 0.08 µg_L Dopé/C6_02.tif "/>
    <s v=" 11442.2143 "/>
    <s v=" 64.5633 "/>
    <x v="0"/>
    <n v="738747"/>
    <m/>
    <m/>
    <m/>
  </r>
  <r>
    <x v="18"/>
    <x v="2"/>
    <s v="F:\images\20210324\plaque 2/@06  Fadrozole 0.08 µg_L Dopé/C6_03.tif "/>
    <s v=" 12653.4884 "/>
    <s v=" 65.4974 "/>
    <x v="0"/>
    <n v="828771"/>
    <m/>
    <m/>
    <m/>
  </r>
  <r>
    <x v="18"/>
    <x v="3"/>
    <s v="F:\images\20210324\plaque 2/@06  Fadrozole 0.08 µg_L Dopé/D6_01.tif "/>
    <s v=" 30887.4895 "/>
    <s v=" 73.9118 "/>
    <x v="0"/>
    <n v="2282949"/>
    <m/>
    <m/>
    <m/>
  </r>
  <r>
    <x v="18"/>
    <x v="3"/>
    <s v="F:\images\20210324\plaque 2/@06  Fadrozole 0.08 µg_L Dopé/D6_02.tif "/>
    <s v=" 34629.4613 "/>
    <s v=" 74.1387 "/>
    <x v="0"/>
    <n v="2567382"/>
    <m/>
    <m/>
    <m/>
  </r>
  <r>
    <x v="18"/>
    <x v="3"/>
    <s v="F:\images\20210324\plaque 2/@06  Fadrozole 0.08 µg_L Dopé/D6_03.tif "/>
    <s v=" 32163.6533 "/>
    <s v=" 73.2293 "/>
    <x v="0"/>
    <n v="2355322"/>
    <m/>
    <m/>
    <m/>
  </r>
  <r>
    <x v="18"/>
    <x v="4"/>
    <s v="F:\images\20210324\plaque 2/@06  Fadrozole 0.08 µg_L Dopé/E6_01.tif "/>
    <s v=" 35191.8386 "/>
    <s v=" 67.6669 "/>
    <x v="0"/>
    <n v="2381322"/>
    <m/>
    <m/>
    <m/>
  </r>
  <r>
    <x v="18"/>
    <x v="4"/>
    <s v="F:\images\20210324\plaque 2/@06  Fadrozole 0.08 µg_L Dopé/E6_02.tif "/>
    <s v=" 25177.1973 "/>
    <s v=" 67.3136 "/>
    <x v="0"/>
    <n v="1694767"/>
    <m/>
    <m/>
    <m/>
  </r>
  <r>
    <x v="18"/>
    <x v="4"/>
    <s v="F:\images\20210324\plaque 2/@06  Fadrozole 0.08 µg_L Dopé/E6_03.tif "/>
    <s v=" 26950.8487 "/>
    <s v=" 68.2055 "/>
    <x v="0"/>
    <n v="1838195"/>
    <m/>
    <m/>
    <m/>
  </r>
  <r>
    <x v="18"/>
    <x v="5"/>
    <s v="F:\images\20210324\plaque 2/@06  Fadrozole 0.08 µg_L Dopé/F6_01.tif "/>
    <s v=" 13843.1326 "/>
    <s v=" 66.1828 "/>
    <x v="0"/>
    <n v="916177"/>
    <m/>
    <m/>
    <m/>
  </r>
  <r>
    <x v="18"/>
    <x v="5"/>
    <s v="F:\images\20210324\plaque 2/@06  Fadrozole 0.08 µg_L Dopé/F6_02.tif "/>
    <s v=" 14794.8479 "/>
    <s v=" 65.9503 "/>
    <x v="0"/>
    <n v="975725"/>
    <m/>
    <m/>
    <m/>
  </r>
  <r>
    <x v="18"/>
    <x v="5"/>
    <s v="F:\images\20210324\plaque 2/@06  Fadrozole 0.08 µg_L Dopé/F6_03.tif "/>
    <s v=" 11831.5524 "/>
    <s v=" 65.7916 "/>
    <x v="0"/>
    <n v="778417"/>
    <m/>
    <m/>
    <m/>
  </r>
  <r>
    <x v="18"/>
    <x v="6"/>
    <s v="F:\images\20210324\plaque 2/@06  Fadrozole 0.08 µg_L Dopé/G6_01.tif "/>
    <s v=" 29892.5144 "/>
    <s v=" 68.3271 "/>
    <x v="0"/>
    <n v="2042468"/>
    <m/>
    <m/>
    <m/>
  </r>
  <r>
    <x v="18"/>
    <x v="6"/>
    <s v="F:\images\20210324\plaque 2/@06  Fadrozole 0.08 µg_L Dopé/G6_02.tif "/>
    <s v=" 23987.5531 "/>
    <s v=" 67.3571 "/>
    <x v="0"/>
    <n v="1615731"/>
    <m/>
    <m/>
    <m/>
  </r>
  <r>
    <x v="18"/>
    <x v="6"/>
    <s v="F:\images\20210324\plaque 2/@06  Fadrozole 0.08 µg_L Dopé/G6_03.tif "/>
    <s v=" 24355.2614 "/>
    <s v=" 67.0861 "/>
    <x v="0"/>
    <n v="1633901"/>
    <m/>
    <m/>
    <m/>
  </r>
  <r>
    <x v="18"/>
    <x v="7"/>
    <s v="F:\images\20210324\plaque 2/@06  Fadrozole 0.08 µg_L Dopé/H6_01.tif "/>
    <s v=" 33829.1552 "/>
    <s v=" 68.4847 "/>
    <x v="0"/>
    <n v="2316778"/>
    <m/>
    <m/>
    <m/>
  </r>
  <r>
    <x v="18"/>
    <x v="7"/>
    <s v="F:\images\20210324\plaque 2/@06  Fadrozole 0.08 µg_L Dopé/H6_02.tif "/>
    <s v=" 33785.8954 "/>
    <s v=" 68.7638 "/>
    <x v="0"/>
    <n v="2323245"/>
    <m/>
    <m/>
    <m/>
  </r>
  <r>
    <x v="18"/>
    <x v="7"/>
    <s v="F:\images\20210324\plaque 2/@06  Fadrozole 0.08 µg_L Dopé/H6_03.tif "/>
    <s v=" 34780.8706 "/>
    <s v=" 70.8327 "/>
    <x v="0"/>
    <n v="2463623"/>
    <m/>
    <m/>
    <m/>
  </r>
  <r>
    <x v="1"/>
    <x v="8"/>
    <s v=" "/>
    <m/>
    <m/>
    <x v="1"/>
    <m/>
    <m/>
    <m/>
    <m/>
  </r>
  <r>
    <x v="1"/>
    <x v="8"/>
    <s v="group "/>
    <s v=" "/>
    <s v=" mean of mean fluo "/>
    <x v="2"/>
    <s v=" mean of total fluo "/>
    <s v=" SD total fluo "/>
    <s v=" n fluorescent "/>
    <s v=" n total"/>
  </r>
  <r>
    <x v="18"/>
    <x v="9"/>
    <s v="F:\images\20210324\plaque 2/@06  Fadrozole 0.08 µg_L Dopé/ "/>
    <s v=" "/>
    <s v=" 68.081 "/>
    <x v="20"/>
    <s v=" 1727419.21 "/>
    <s v=" 602380.86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324\plaque 2/@07  Fadrozole 0.4 µg_L Dopé/A7_01- exclu.tif"/>
    <m/>
    <m/>
    <x v="1"/>
    <m/>
    <m/>
    <m/>
    <m/>
  </r>
  <r>
    <x v="19"/>
    <x v="0"/>
    <s v="F:\images\20210324\plaque 2/@07  Fadrozole 0.4 µg_L Dopé/A7_02.tif "/>
    <s v=" 1297.7937 "/>
    <s v=" 63.5 "/>
    <x v="0"/>
    <n v="82410"/>
    <m/>
    <m/>
    <m/>
  </r>
  <r>
    <x v="19"/>
    <x v="0"/>
    <s v="F:\images\20210324\plaque 2/@07  Fadrozole 0.4 µg_L Dopé/A7_03.tif "/>
    <s v=" 1297.7937 "/>
    <s v=" 63.1667 "/>
    <x v="0"/>
    <n v="81977"/>
    <m/>
    <m/>
    <m/>
  </r>
  <r>
    <x v="19"/>
    <x v="1"/>
    <s v="F:\images\20210324\plaque 2/@07  Fadrozole 0.4 µg_L Dopé/B7_01.tif "/>
    <s v=" 410.968 "/>
    <s v=" 63.5789 "/>
    <x v="0"/>
    <n v="26129"/>
    <m/>
    <m/>
    <m/>
  </r>
  <r>
    <x v="19"/>
    <x v="1"/>
    <s v="F:\images\20210324\plaque 2/@07  Fadrozole 0.4 µg_L Dopé/B7_02.tif "/>
    <s v=" 173.0392 "/>
    <s v=" 62.625 "/>
    <x v="0"/>
    <n v="10837"/>
    <m/>
    <m/>
    <m/>
  </r>
  <r>
    <x v="19"/>
    <x v="1"/>
    <s v="F:\images\20210324\plaque 2/@07  Fadrozole 0.4 µg_L Dopé/B7_03.tif "/>
    <s v=" 324.4484 "/>
    <s v=" 63.9333 "/>
    <x v="0"/>
    <n v="20743"/>
    <m/>
    <m/>
    <m/>
  </r>
  <r>
    <x v="19"/>
    <x v="2"/>
    <s v="F:\images\20210324\plaque 2/@07  Fadrozole 0.4 µg_L Dopé/C7_01.tif "/>
    <s v=" 10144.4206 "/>
    <s v=" 69.5245 "/>
    <x v="0"/>
    <n v="705286"/>
    <m/>
    <m/>
    <m/>
  </r>
  <r>
    <x v="19"/>
    <x v="2"/>
    <s v="F:\images\20210324\plaque 2/@07  Fadrozole 0.4 µg_L Dopé/C7_02- exclu.tif"/>
    <m/>
    <m/>
    <x v="1"/>
    <m/>
    <m/>
    <m/>
    <m/>
  </r>
  <r>
    <x v="19"/>
    <x v="2"/>
    <s v="F:\images\20210324\plaque 2/@07  Fadrozole 0.4 µg_L Dopé/C7_03.tif "/>
    <s v=" 9841.6021 "/>
    <s v=" 71.2637 "/>
    <x v="0"/>
    <n v="701349"/>
    <m/>
    <m/>
    <m/>
  </r>
  <r>
    <x v="19"/>
    <x v="3"/>
    <s v="F:\images\20210324\plaque 2/@07  Fadrozole 0.4 µg_L Dopé/D7_01.tif "/>
    <s v=" 237.9288 "/>
    <n v="64"/>
    <x v="0"/>
    <n v="15227"/>
    <m/>
    <m/>
    <m/>
  </r>
  <r>
    <x v="19"/>
    <x v="3"/>
    <s v="F:\images\20210324\plaque 2/@07  Fadrozole 0.4 µg_L Dopé/D7_02.tif "/>
    <s v=" 367.7082 "/>
    <s v=" 65.1176 "/>
    <x v="0"/>
    <n v="23944"/>
    <m/>
    <m/>
    <m/>
  </r>
  <r>
    <x v="19"/>
    <x v="3"/>
    <s v="F:\images\20210324\plaque 2/@07  Fadrozole 0.4 µg_L Dopé/D7_03.tif "/>
    <s v=" 129.7794 "/>
    <n v="63"/>
    <x v="0"/>
    <n v="8176"/>
    <m/>
    <m/>
    <m/>
  </r>
  <r>
    <x v="19"/>
    <x v="4"/>
    <s v="F:\images\20210324\plaque 2/@07  Fadrozole 0.4 µg_L Dopé/E7_01.tif "/>
    <s v=" 259.5587 "/>
    <n v="65"/>
    <x v="0"/>
    <n v="16871"/>
    <m/>
    <m/>
    <m/>
  </r>
  <r>
    <x v="19"/>
    <x v="4"/>
    <s v="F:\images\20210324\plaque 2/@07  Fadrozole 0.4 µg_L Dopé/E7_02- exclu.tif"/>
    <m/>
    <m/>
    <x v="1"/>
    <m/>
    <m/>
    <m/>
    <m/>
  </r>
  <r>
    <x v="19"/>
    <x v="4"/>
    <s v="F:\images\20210324\plaque 2/@07  Fadrozole 0.4 µg_L Dopé/E7_03.tif "/>
    <s v=" 475.8577 "/>
    <s v=" 64.8182 "/>
    <x v="0"/>
    <n v="30844"/>
    <m/>
    <m/>
    <m/>
  </r>
  <r>
    <x v="19"/>
    <x v="5"/>
    <s v="F:\images\20210324\plaque 2/@07  Fadrozole 0.4 µg_L Dopé/F7_01.tif "/>
    <s v=" 8327.5094 "/>
    <s v=" 67.5636 "/>
    <x v="0"/>
    <n v="562637"/>
    <m/>
    <m/>
    <m/>
  </r>
  <r>
    <x v="19"/>
    <x v="5"/>
    <s v="F:\images\20210324\plaque 2/@07  Fadrozole 0.4 µg_L Dopé/F7_02.tif "/>
    <s v=" 9344.1145 "/>
    <s v=" 66.3032 "/>
    <x v="0"/>
    <n v="619545"/>
    <m/>
    <m/>
    <m/>
  </r>
  <r>
    <x v="19"/>
    <x v="5"/>
    <s v="F:\images\20210324\plaque 2/@07  Fadrozole 0.4 µg_L Dopé/F7_03.tif "/>
    <s v=" 5969.8509 "/>
    <s v=" 65.8551 "/>
    <x v="0"/>
    <n v="393145"/>
    <m/>
    <m/>
    <m/>
  </r>
  <r>
    <x v="19"/>
    <x v="6"/>
    <s v="F:\images\20210324\plaque 2/@07  Fadrozole 0.4 µg_L Dopé/G7_01.tif "/>
    <s v=" 1189.6442 "/>
    <s v=" 64.7273 "/>
    <x v="0"/>
    <n v="77002"/>
    <m/>
    <m/>
    <m/>
  </r>
  <r>
    <x v="19"/>
    <x v="6"/>
    <s v="F:\images\20210324\plaque 2/@07  Fadrozole 0.4 µg_L Dopé/G7_02.tif "/>
    <s v=" 1016.605 "/>
    <s v=" 63.6596 "/>
    <x v="0"/>
    <n v="64717"/>
    <m/>
    <m/>
    <m/>
  </r>
  <r>
    <x v="19"/>
    <x v="6"/>
    <s v="F:\images\20210324\plaque 2/@07  Fadrozole 0.4 µg_L Dopé/G7_03.tif "/>
    <s v=" 951.7154 "/>
    <s v=" 65.75 "/>
    <x v="0"/>
    <n v="62575"/>
    <m/>
    <m/>
    <m/>
  </r>
  <r>
    <x v="19"/>
    <x v="7"/>
    <s v="F:\images\20210324\plaque 2/@07  Fadrozole 0.4 µg_L Dopé/H7_01.tif "/>
    <s v=" 14578.549 "/>
    <s v=" 67.0341 "/>
    <x v="0"/>
    <n v="977260"/>
    <m/>
    <m/>
    <m/>
  </r>
  <r>
    <x v="19"/>
    <x v="7"/>
    <s v="F:\images\20210324\plaque 2/@07  Fadrozole 0.4 µg_L Dopé/H7_02.tif "/>
    <s v=" 15487.0046 "/>
    <s v=" 66.9623 "/>
    <x v="0"/>
    <n v="1037045"/>
    <m/>
    <m/>
    <m/>
  </r>
  <r>
    <x v="19"/>
    <x v="7"/>
    <s v="F:\images\20210324\plaque 2/@07  Fadrozole 0.4 µg_L Dopé/H7_03.tif "/>
    <s v=" 15162.5561 "/>
    <s v=" 67.719 "/>
    <x v="0"/>
    <n v="1026793"/>
    <m/>
    <m/>
    <m/>
  </r>
  <r>
    <x v="1"/>
    <x v="8"/>
    <s v=" "/>
    <m/>
    <m/>
    <x v="1"/>
    <m/>
    <m/>
    <m/>
    <m/>
  </r>
  <r>
    <x v="1"/>
    <x v="8"/>
    <s v="group "/>
    <s v=" "/>
    <s v=" mean of mean fluo "/>
    <x v="2"/>
    <s v=" mean of total fluo "/>
    <s v=" SD total fluo "/>
    <s v=" n fluorescent "/>
    <s v=" n total"/>
  </r>
  <r>
    <x v="19"/>
    <x v="9"/>
    <s v="F:\images\20210324\plaque 2/@07  Fadrozole 0.4 µg_L Dopé/ "/>
    <s v=" "/>
    <s v=" 65.403 "/>
    <x v="21"/>
    <s v=" 293725.75 "/>
    <s v=" 361927.22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324\plaque 2/@08  Fadrozole 2 µg_L Dopé/A8_01.tif "/>
    <s v=" 692.1566 "/>
    <s v=" 65.6875 "/>
    <x v="0"/>
    <n v="45466"/>
    <m/>
    <m/>
    <m/>
  </r>
  <r>
    <x v="20"/>
    <x v="0"/>
    <s v="F:\images\20210324\plaque 2/@08  Fadrozole 2 µg_L Dopé/A8_02.tif "/>
    <s v=" 519.1175 "/>
    <s v=" 64.2083 "/>
    <x v="0"/>
    <n v="33332"/>
    <m/>
    <m/>
    <m/>
  </r>
  <r>
    <x v="20"/>
    <x v="0"/>
    <s v="F:\images\20210324\plaque 2/@08  Fadrozole 2 µg_L Dopé/A8_03.tif "/>
    <s v=" 8587.0682 "/>
    <s v=" 71.6599 "/>
    <x v="0"/>
    <n v="615349"/>
    <m/>
    <m/>
    <m/>
  </r>
  <r>
    <x v="20"/>
    <x v="1"/>
    <s v="F:\images\20210324\plaque 2/@08  Fadrozole 2 µg_L Dopé/B8_01.tif "/>
    <s v=" 2357.6585 "/>
    <s v=" 64.1009 "/>
    <x v="0"/>
    <n v="151128"/>
    <m/>
    <m/>
    <m/>
  </r>
  <r>
    <x v="20"/>
    <x v="1"/>
    <s v="F:\images\20210324\plaque 2/@08  Fadrozole 2 µg_L Dopé/B8_02.tif "/>
    <s v=" 670.5267 "/>
    <s v=" 63.6774 "/>
    <x v="0"/>
    <n v="42697"/>
    <m/>
    <m/>
    <m/>
  </r>
  <r>
    <x v="20"/>
    <x v="1"/>
    <s v="F:\images\20210324\plaque 2/@08  Fadrozole 2 µg_L Dopé/B8_03.tif "/>
    <s v=" 3806.8615 "/>
    <s v=" 67.9602 "/>
    <x v="0"/>
    <n v="258715"/>
    <m/>
    <m/>
    <m/>
  </r>
  <r>
    <x v="20"/>
    <x v="2"/>
    <s v="F:\images\20210324\plaque 2/@08  Fadrozole 2 µg_L Dopé/C8_01.tif "/>
    <s v=" 6445.7086 "/>
    <s v=" 67.5067 "/>
    <x v="0"/>
    <n v="435129"/>
    <m/>
    <m/>
    <m/>
  </r>
  <r>
    <x v="20"/>
    <x v="2"/>
    <s v="F:\images\20210324\plaque 2/@08  Fadrozole 2 µg_L Dopé/C8_02.tif "/>
    <s v=" 2811.8863 "/>
    <s v=" 63.9462 "/>
    <x v="0"/>
    <n v="179809"/>
    <m/>
    <m/>
    <m/>
  </r>
  <r>
    <x v="20"/>
    <x v="2"/>
    <s v="F:\images\20210324\plaque 2/@08  Fadrozole 2 µg_L Dopé/C8_03.tif "/>
    <s v=" 1124.7545 "/>
    <s v=" 63.8654 "/>
    <x v="0"/>
    <n v="71833"/>
    <m/>
    <m/>
    <m/>
  </r>
  <r>
    <x v="20"/>
    <x v="3"/>
    <s v="F:\images\20210324\plaque 2/@08  Fadrozole 2 µg_L Dopé/D8_01- exclu.tif"/>
    <m/>
    <m/>
    <x v="1"/>
    <m/>
    <m/>
    <m/>
    <m/>
  </r>
  <r>
    <x v="20"/>
    <x v="3"/>
    <s v="F:\images\20210324\plaque 2/@08  Fadrozole 2 µg_L Dopé/D8_02.tif "/>
    <s v=" 713.7865 "/>
    <s v=" 63.3636 "/>
    <x v="0"/>
    <n v="45228"/>
    <m/>
    <m/>
    <m/>
  </r>
  <r>
    <x v="20"/>
    <x v="3"/>
    <s v="F:\images\20210324\plaque 2/@08  Fadrozole 2 µg_L Dopé/D8_03- exclu.tif"/>
    <m/>
    <m/>
    <x v="1"/>
    <m/>
    <m/>
    <m/>
    <m/>
  </r>
  <r>
    <x v="20"/>
    <x v="4"/>
    <s v="F:\images\20210324\plaque 2/@08  Fadrozole 2 µg_L Dopé/E8_01.tif "/>
    <s v=" 1103.1246 "/>
    <s v=" 64.2941 "/>
    <x v="0"/>
    <n v="70924"/>
    <m/>
    <m/>
    <m/>
  </r>
  <r>
    <x v="20"/>
    <x v="4"/>
    <s v="F:\images\20210324\plaque 2/@08  Fadrozole 2 µg_L Dopé/E8_02.tif "/>
    <s v=" 5277.6943 "/>
    <s v=" 69.6434 "/>
    <x v="0"/>
    <n v="367557"/>
    <m/>
    <m/>
    <m/>
  </r>
  <r>
    <x v="20"/>
    <x v="4"/>
    <s v="F:\images\20210324\plaque 2/@08  Fadrozole 2 µg_L Dopé/E8_03.tif "/>
    <s v=" 1816.9111 "/>
    <s v=" 69.8929 "/>
    <x v="0"/>
    <n v="126989"/>
    <m/>
    <m/>
    <m/>
  </r>
  <r>
    <x v="20"/>
    <x v="5"/>
    <s v="F:\images\20210324\plaque 2/@08  Fadrozole 2 µg_L Dopé/F8_01.tif "/>
    <s v=" 9344.1145 "/>
    <s v=" 74.5764 "/>
    <x v="0"/>
    <n v="696850"/>
    <m/>
    <m/>
    <m/>
  </r>
  <r>
    <x v="20"/>
    <x v="5"/>
    <s v="F:\images\20210324\plaque 2/@08  Fadrozole 2 µg_L Dopé/F8_02.tif "/>
    <s v=" 7894.9115 "/>
    <s v=" 69.7041 "/>
    <x v="0"/>
    <n v="550308"/>
    <m/>
    <m/>
    <m/>
  </r>
  <r>
    <x v="20"/>
    <x v="5"/>
    <s v="F:\images\20210324\plaque 2/@08  Fadrozole 2 µg_L Dopé/F8_03.tif "/>
    <s v=" 8024.6909 "/>
    <s v=" 71.1941 "/>
    <x v="0"/>
    <n v="571310"/>
    <m/>
    <m/>
    <m/>
  </r>
  <r>
    <x v="20"/>
    <x v="6"/>
    <s v="F:\images\20210324\plaque 2/@08  Fadrozole 2 µg_L Dopé/G8_01.tif "/>
    <s v=" 562.3773 "/>
    <s v=" 67.2308 "/>
    <x v="0"/>
    <n v="37809"/>
    <m/>
    <m/>
    <m/>
  </r>
  <r>
    <x v="20"/>
    <x v="6"/>
    <s v="F:\images\20210324\plaque 2/@08  Fadrozole 2 µg_L Dopé/G8_02.tif "/>
    <s v=" 367.7082 "/>
    <s v=" 64.2941 "/>
    <x v="0"/>
    <n v="23641"/>
    <m/>
    <m/>
    <m/>
  </r>
  <r>
    <x v="20"/>
    <x v="6"/>
    <s v="F:\images\20210324\plaque 2/@08  Fadrozole 2 µg_L Dopé/G8_03.tif "/>
    <s v=" 281.1886 "/>
    <s v=" 63.2308 "/>
    <x v="0"/>
    <n v="17780"/>
    <m/>
    <m/>
    <m/>
  </r>
  <r>
    <x v="20"/>
    <x v="7"/>
    <s v="F:\images\20210324\plaque 2/@08  Fadrozole 2 µg_L Dopé/H8_01.tif "/>
    <s v=" 3331.0038 "/>
    <s v=" 67.5325 "/>
    <x v="0"/>
    <n v="224951"/>
    <m/>
    <m/>
    <m/>
  </r>
  <r>
    <x v="20"/>
    <x v="7"/>
    <s v="F:\images\20210324\plaque 2/@08  Fadrozole 2 µg_L Dopé/H8_02.tif "/>
    <s v=" 475.8577 "/>
    <s v=" 65.5455 "/>
    <x v="0"/>
    <n v="31190"/>
    <m/>
    <m/>
    <m/>
  </r>
  <r>
    <x v="20"/>
    <x v="7"/>
    <s v="F:\images\20210324\plaque 2/@08  Fadrozole 2 µg_L Dopé/H8_03.tif "/>
    <s v=" 3114.7048 "/>
    <s v=" 65.8681 "/>
    <x v="0"/>
    <n v="205160"/>
    <m/>
    <m/>
    <m/>
  </r>
  <r>
    <x v="1"/>
    <x v="8"/>
    <s v=" "/>
    <m/>
    <m/>
    <x v="1"/>
    <m/>
    <m/>
    <m/>
    <m/>
  </r>
  <r>
    <x v="1"/>
    <x v="8"/>
    <s v="group "/>
    <s v=" "/>
    <s v=" mean of mean fluo "/>
    <x v="2"/>
    <s v=" mean of total fluo "/>
    <s v=" SD total fluo "/>
    <s v=" n fluorescent "/>
    <s v=" n total"/>
  </r>
  <r>
    <x v="20"/>
    <x v="9"/>
    <s v="F:\images\20210324\plaque 2/@08  Fadrozole 2 µg_L Dopé/ "/>
    <s v=" "/>
    <s v=" 66.6801 "/>
    <x v="22"/>
    <s v=" 215737.417 "/>
    <s v=" 216603.02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324\plaque 2/@09  Fadrozole 10 µg_L Dopé/A9_01.tif "/>
    <s v=" 6251.0395 "/>
    <s v=" 70.827 "/>
    <x v="0"/>
    <n v="442742"/>
    <m/>
    <m/>
    <m/>
  </r>
  <r>
    <x v="21"/>
    <x v="0"/>
    <s v="F:\images\20210324\plaque 2/@09  Fadrozole 10 µg_L Dopé/A9_02.tif "/>
    <s v=" 7786.7621 "/>
    <s v=" 69.0361 "/>
    <x v="0"/>
    <n v="537568"/>
    <m/>
    <m/>
    <m/>
  </r>
  <r>
    <x v="21"/>
    <x v="0"/>
    <s v="F:\images\20210324\plaque 2/@09  Fadrozole 10 µg_L Dopé/A9_03.tif "/>
    <s v=" 1687.1318 "/>
    <s v=" 64.2564 "/>
    <x v="0"/>
    <n v="108409"/>
    <m/>
    <m/>
    <m/>
  </r>
  <r>
    <x v="21"/>
    <x v="1"/>
    <s v="F:\images\20210324\plaque 2/@09  Fadrozole 10 µg_L Dopé/B9_01.tif "/>
    <s v=" 3374.2636 "/>
    <s v=" 65.4167 "/>
    <x v="0"/>
    <n v="220733"/>
    <m/>
    <m/>
    <m/>
  </r>
  <r>
    <x v="21"/>
    <x v="1"/>
    <s v="F:\images\20210324\plaque 2/@09  Fadrozole 10 µg_L Dopé/B9_02- exclu.tif"/>
    <m/>
    <m/>
    <x v="1"/>
    <m/>
    <m/>
    <m/>
    <m/>
  </r>
  <r>
    <x v="21"/>
    <x v="1"/>
    <s v="F:\images\20210324\plaque 2/@09  Fadrozole 10 µg_L Dopé/B9_03.tif "/>
    <s v=" 1557.3524 "/>
    <s v=" 64.8056 "/>
    <x v="0"/>
    <n v="100925"/>
    <m/>
    <m/>
    <m/>
  </r>
  <r>
    <x v="21"/>
    <x v="2"/>
    <s v="F:\images\20210324\plaque 2/@09  Fadrozole 10 µg_L Dopé/C9_01.tif "/>
    <s v=" 2227.8791 "/>
    <s v=" 63.9806 "/>
    <x v="0"/>
    <n v="142541"/>
    <m/>
    <m/>
    <m/>
  </r>
  <r>
    <x v="21"/>
    <x v="2"/>
    <s v="F:\images\20210324\plaque 2/@09  Fadrozole 10 µg_L Dopé/C9_02.tif "/>
    <s v=" 6099.6303 "/>
    <s v=" 66.1773 "/>
    <x v="0"/>
    <n v="403657"/>
    <m/>
    <m/>
    <m/>
  </r>
  <r>
    <x v="21"/>
    <x v="2"/>
    <s v="F:\images\20210324\plaque 2/@09  Fadrozole 10 µg_L Dopé/C9_03.tif "/>
    <s v=" 2876.776 "/>
    <s v=" 63.6316 "/>
    <x v="0"/>
    <n v="183054"/>
    <m/>
    <m/>
    <m/>
  </r>
  <r>
    <x v="21"/>
    <x v="3"/>
    <s v="F:\images\20210324\plaque 2/@09  Fadrozole 10 µg_L Dopé/D9_01.tif "/>
    <s v=" 8998.0362 "/>
    <s v=" 80.6322 "/>
    <x v="0"/>
    <n v="725532"/>
    <m/>
    <m/>
    <m/>
  </r>
  <r>
    <x v="21"/>
    <x v="3"/>
    <s v="F:\images\20210324\plaque 2/@09  Fadrozole 10 µg_L Dopé/D9_02.tif "/>
    <s v=" 2833.5162 "/>
    <s v=" 70.0916 "/>
    <x v="0"/>
    <n v="198606"/>
    <m/>
    <m/>
    <m/>
  </r>
  <r>
    <x v="21"/>
    <x v="3"/>
    <s v="F:\images\20210324\plaque 2/@09  Fadrozole 10 µg_L Dopé/D9_03.tif "/>
    <s v=" 10447.2391 "/>
    <s v=" 77.6563 "/>
    <x v="0"/>
    <n v="811294"/>
    <m/>
    <m/>
    <m/>
  </r>
  <r>
    <x v="21"/>
    <x v="4"/>
    <s v="F:\images\20210324\plaque 2/@09  Fadrozole 10 µg_L Dopé/E9_01.tif "/>
    <s v=" 7981.4311 "/>
    <s v=" 70.4038 "/>
    <x v="0"/>
    <n v="561923"/>
    <m/>
    <m/>
    <m/>
  </r>
  <r>
    <x v="21"/>
    <x v="4"/>
    <s v="F:\images\20210324\plaque 2/@09  Fadrozole 10 µg_L Dopé/E9_02.tif "/>
    <s v=" 4434.1284 "/>
    <s v=" 65.2732 "/>
    <x v="0"/>
    <n v="289430"/>
    <m/>
    <m/>
    <m/>
  </r>
  <r>
    <x v="21"/>
    <x v="4"/>
    <s v="F:\images\20210324\plaque 2/@09  Fadrozole 10 µg_L Dopé/E9_03.tif "/>
    <s v=" 1514.0926 "/>
    <s v=" 64.7286 "/>
    <x v="0"/>
    <n v="98005"/>
    <m/>
    <m/>
    <m/>
  </r>
  <r>
    <x v="21"/>
    <x v="5"/>
    <s v="F:\images\20210324\plaque 2/@09  Fadrozole 10 µg_L Dopé/F9_01.tif "/>
    <s v=" 2725.3667 "/>
    <s v=" 66.381 "/>
    <x v="0"/>
    <n v="180912"/>
    <m/>
    <m/>
    <m/>
  </r>
  <r>
    <x v="21"/>
    <x v="5"/>
    <s v="F:\images\20210324\plaque 2/@09  Fadrozole 10 µg_L Dopé/F9_02.tif "/>
    <s v=" 540.7474 "/>
    <s v=" 64.52 "/>
    <x v="0"/>
    <n v="34889"/>
    <m/>
    <m/>
    <m/>
  </r>
  <r>
    <x v="21"/>
    <x v="5"/>
    <s v="F:\images\20210324\plaque 2/@09  Fadrozole 10 µg_L Dopé/F9_03.tif "/>
    <s v=" 108.1495 "/>
    <s v=" 63.6 "/>
    <x v="0"/>
    <n v="6878"/>
    <m/>
    <m/>
    <m/>
  </r>
  <r>
    <x v="21"/>
    <x v="6"/>
    <s v="F:\images\20210324\plaque 2/@09  Fadrozole 10 µg_L Dopé/G9_01.tif "/>
    <s v=" 1449.2029 "/>
    <s v=" 68.791 "/>
    <x v="0"/>
    <n v="99692"/>
    <m/>
    <m/>
    <m/>
  </r>
  <r>
    <x v="21"/>
    <x v="6"/>
    <s v="F:\images\20210324\plaque 2/@09  Fadrozole 10 µg_L Dopé/G9_02.tif "/>
    <s v=" 3157.9646 "/>
    <s v=" 67.3767 "/>
    <x v="0"/>
    <n v="212773"/>
    <m/>
    <m/>
    <m/>
  </r>
  <r>
    <x v="21"/>
    <x v="6"/>
    <s v="F:\images\20210324\plaque 2/@09  Fadrozole 10 µg_L Dopé/G9_03.tif "/>
    <s v=" 735.4164 "/>
    <s v=" 67.7353 "/>
    <x v="0"/>
    <n v="49814"/>
    <m/>
    <m/>
    <m/>
  </r>
  <r>
    <x v="21"/>
    <x v="7"/>
    <s v="F:\images\20210324\plaque 2/@09  Fadrozole 10 µg_L Dopé/H9_01.tif "/>
    <s v=" 4845.0964 "/>
    <s v=" 68.2902 "/>
    <x v="0"/>
    <n v="330872"/>
    <m/>
    <m/>
    <m/>
  </r>
  <r>
    <x v="21"/>
    <x v="7"/>
    <s v="F:\images\20210324\plaque 2/@09  Fadrozole 10 µg_L Dopé/H9_02.tif "/>
    <s v=" 5364.2139 "/>
    <s v=" 67.7137 "/>
    <x v="0"/>
    <n v="363231"/>
    <m/>
    <m/>
    <m/>
  </r>
  <r>
    <x v="21"/>
    <x v="7"/>
    <s v="F:\images\20210324\plaque 2/@09  Fadrozole 10 µg_L Dopé/H9_03.tif "/>
    <s v=" 5580.5128 "/>
    <s v=" 66.8411 "/>
    <x v="0"/>
    <n v="373008"/>
    <m/>
    <m/>
    <m/>
  </r>
  <r>
    <x v="1"/>
    <x v="8"/>
    <s v=" "/>
    <m/>
    <m/>
    <x v="1"/>
    <m/>
    <m/>
    <m/>
    <m/>
  </r>
  <r>
    <x v="1"/>
    <x v="8"/>
    <s v="group "/>
    <s v=" "/>
    <s v=" mean of mean fluo "/>
    <x v="2"/>
    <s v=" mean of total fluo "/>
    <s v=" SD total fluo "/>
    <s v=" n fluorescent "/>
    <s v=" n total"/>
  </r>
  <r>
    <x v="21"/>
    <x v="9"/>
    <s v="F:\images\20210324\plaque 2/@09  Fadrozole 10 µg_L Dopé/ "/>
    <s v=" "/>
    <s v=" 67.6059 "/>
    <x v="23"/>
    <s v=" 272638.5 "/>
    <s v=" 218526.396 "/>
    <n v="24"/>
    <n v="24"/>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images\2021-CHG-ACH-FAD 3\plaque 1/@01 Evian + 0.2% DMSO/A1_01- exclu.tif"/>
    <m/>
    <m/>
    <x v="0"/>
    <m/>
    <m/>
    <m/>
    <m/>
  </r>
  <r>
    <x v="0"/>
    <x v="0"/>
    <s v="F:\images\2021-CHG-ACH-FAD 3\plaque 1/@01 Evian + 0.2% DMSO/A1_02.tif "/>
    <s v=" 237.9288 "/>
    <s v=" 63.5455 "/>
    <x v="1"/>
    <n v="15119"/>
    <m/>
    <m/>
    <m/>
  </r>
  <r>
    <x v="0"/>
    <x v="0"/>
    <s v="F:\images\2021-CHG-ACH-FAD 3\plaque 1/@01 Evian + 0.2% DMSO/A1_03.tif "/>
    <s v=" 367.7082 "/>
    <s v=" 62.2941 "/>
    <x v="1"/>
    <n v="22906"/>
    <m/>
    <m/>
    <m/>
  </r>
  <r>
    <x v="0"/>
    <x v="1"/>
    <s v="F:\images\2021-CHG-ACH-FAD 3\plaque 1/@01 Evian + 0.2% DMSO/B1_01.tif "/>
    <s v=" 2162.9895 "/>
    <s v=" 66.62 "/>
    <x v="1"/>
    <n v="144098"/>
    <m/>
    <m/>
    <m/>
  </r>
  <r>
    <x v="0"/>
    <x v="1"/>
    <s v="F:\images\2021-CHG-ACH-FAD 3\plaque 1/@01 Evian + 0.2% DMSO/B1_02- exclu.tif"/>
    <m/>
    <m/>
    <x v="0"/>
    <m/>
    <m/>
    <m/>
    <m/>
  </r>
  <r>
    <x v="0"/>
    <x v="1"/>
    <s v="F:\images\2021-CHG-ACH-FAD 3\plaque 1/@01 Evian + 0.2% DMSO/B1_03.tif "/>
    <s v=" 1405.9432 "/>
    <s v=" 65.5692 "/>
    <x v="1"/>
    <n v="92187"/>
    <m/>
    <m/>
    <m/>
  </r>
  <r>
    <x v="0"/>
    <x v="2"/>
    <s v="F:\images\2021-CHG-ACH-FAD 3\plaque 1/@01 Evian + 0.2% DMSO/C1_01- exclu.tif"/>
    <m/>
    <m/>
    <x v="0"/>
    <m/>
    <m/>
    <m/>
    <m/>
  </r>
  <r>
    <x v="0"/>
    <x v="2"/>
    <s v="F:\images\2021-CHG-ACH-FAD 3\plaque 1/@01 Evian + 0.2% DMSO/C1_02.tif "/>
    <s v=" 64.8897 "/>
    <n v="67"/>
    <x v="1"/>
    <n v="4348"/>
    <m/>
    <m/>
    <m/>
  </r>
  <r>
    <x v="0"/>
    <x v="2"/>
    <s v="F:\images\2021-CHG-ACH-FAD 3\plaque 1/@01 Evian + 0.2% DMSO/C1_03.tif "/>
    <s v=" 194.6691 "/>
    <s v=" 63.3333 "/>
    <x v="1"/>
    <n v="12329"/>
    <m/>
    <m/>
    <m/>
  </r>
  <r>
    <x v="0"/>
    <x v="3"/>
    <s v="F:\images\2021-CHG-ACH-FAD 3\plaque 1/@01 Evian + 0.2% DMSO/D1_01.tif "/>
    <s v=" 865.1958 "/>
    <n v="65"/>
    <x v="1"/>
    <n v="56238"/>
    <m/>
    <m/>
    <m/>
  </r>
  <r>
    <x v="0"/>
    <x v="3"/>
    <s v="F:\images\2021-CHG-ACH-FAD 3\plaque 1/@01 Evian + 0.2% DMSO/D1_02.tif "/>
    <s v=" 562.3773 "/>
    <s v=" 63.6923 "/>
    <x v="1"/>
    <n v="35819"/>
    <m/>
    <m/>
    <m/>
  </r>
  <r>
    <x v="0"/>
    <x v="3"/>
    <s v="F:\images\2021-CHG-ACH-FAD 3\plaque 1/@01 Evian + 0.2% DMSO/D1_03.tif "/>
    <s v=" 216.2989 "/>
    <s v=" 63.8 "/>
    <x v="1"/>
    <n v="13800"/>
    <m/>
    <m/>
    <m/>
  </r>
  <r>
    <x v="0"/>
    <x v="4"/>
    <s v="F:\images\2021-CHG-ACH-FAD 3\plaque 1/@01 Evian + 0.2% DMSO/E1_01.tif "/>
    <s v=" 3525.6728 "/>
    <s v=" 67.0184 "/>
    <x v="1"/>
    <n v="236285"/>
    <m/>
    <m/>
    <m/>
  </r>
  <r>
    <x v="0"/>
    <x v="4"/>
    <s v="F:\images\2021-CHG-ACH-FAD 3\plaque 1/@01 Evian + 0.2% DMSO/E1_02.tif "/>
    <s v=" 713.7865 "/>
    <s v=" 64.303 "/>
    <x v="1"/>
    <n v="45899"/>
    <m/>
    <m/>
    <m/>
  </r>
  <r>
    <x v="0"/>
    <x v="4"/>
    <s v="F:\images\2021-CHG-ACH-FAD 3\plaque 1/@01 Evian + 0.2% DMSO/E1_03.tif "/>
    <s v=" 2444.1781 "/>
    <s v=" 65.7876 "/>
    <x v="1"/>
    <n v="160797"/>
    <m/>
    <m/>
    <m/>
  </r>
  <r>
    <x v="0"/>
    <x v="5"/>
    <s v="F:\images\2021-CHG-ACH-FAD 3\plaque 1/@01 Evian + 0.2% DMSO/F1_01.tif "/>
    <s v=" 1297.7937 "/>
    <s v=" 64.5833 "/>
    <x v="1"/>
    <n v="83816"/>
    <m/>
    <m/>
    <m/>
  </r>
  <r>
    <x v="0"/>
    <x v="5"/>
    <s v="F:\images\2021-CHG-ACH-FAD 3\plaque 1/@01 Evian + 0.2% DMSO/F1_02- exclu.tif"/>
    <m/>
    <m/>
    <x v="0"/>
    <m/>
    <m/>
    <m/>
    <m/>
  </r>
  <r>
    <x v="0"/>
    <x v="5"/>
    <s v="F:\images\2021-CHG-ACH-FAD 3\plaque 1/@01 Evian + 0.2% DMSO/F1_03.tif "/>
    <s v=" 3309.3739 "/>
    <s v=" 67.098 "/>
    <x v="1"/>
    <n v="222052"/>
    <m/>
    <m/>
    <m/>
  </r>
  <r>
    <x v="0"/>
    <x v="6"/>
    <s v="F:\images\2021-CHG-ACH-FAD 3\plaque 1/@01 Evian + 0.2% DMSO/G1_01.tif "/>
    <s v=" 432.5979 "/>
    <s v=" 62.6 "/>
    <x v="1"/>
    <n v="27081"/>
    <m/>
    <m/>
    <m/>
  </r>
  <r>
    <x v="0"/>
    <x v="6"/>
    <s v="F:\images\2021-CHG-ACH-FAD 3\plaque 1/@01 Evian + 0.2% DMSO/G1_02- exclu.tif"/>
    <m/>
    <m/>
    <x v="0"/>
    <m/>
    <m/>
    <m/>
    <m/>
  </r>
  <r>
    <x v="0"/>
    <x v="6"/>
    <s v="F:\images\2021-CHG-ACH-FAD 3\plaque 1/@01 Evian + 0.2% DMSO/G1_03.tif "/>
    <s v=" 194.6691 "/>
    <s v=" 62.5556 "/>
    <x v="1"/>
    <n v="12178"/>
    <m/>
    <m/>
    <m/>
  </r>
  <r>
    <x v="0"/>
    <x v="7"/>
    <s v="F:\images\2021-CHG-ACH-FAD 3\plaque 1/@01 Evian + 0.2% DMSO/H1_01.tif "/>
    <s v=" 324.4484 "/>
    <s v=" 65.9333 "/>
    <x v="1"/>
    <n v="21392"/>
    <m/>
    <m/>
    <m/>
  </r>
  <r>
    <x v="0"/>
    <x v="7"/>
    <s v="F:\images\2021-CHG-ACH-FAD 3\plaque 1/@01 Evian + 0.2% DMSO/H1_02.tif "/>
    <s v=" 2963.2956 "/>
    <s v=" 67.8905 "/>
    <x v="1"/>
    <n v="201180"/>
    <m/>
    <m/>
    <m/>
  </r>
  <r>
    <x v="0"/>
    <x v="7"/>
    <s v="F:\images\2021-CHG-ACH-FAD 3\plaque 1/@01 Evian + 0.2% DMSO/H1_03.tif "/>
    <s v=" 173.0392 "/>
    <n v="65"/>
    <x v="1"/>
    <n v="11248"/>
    <m/>
    <m/>
    <m/>
  </r>
  <r>
    <x v="1"/>
    <x v="8"/>
    <s v=" "/>
    <m/>
    <m/>
    <x v="0"/>
    <m/>
    <m/>
    <m/>
    <m/>
  </r>
  <r>
    <x v="1"/>
    <x v="8"/>
    <s v="group "/>
    <s v=" "/>
    <s v=" mean of mean fluo "/>
    <x v="2"/>
    <s v=" mean of total fluo "/>
    <s v=" SD total fluo "/>
    <s v=" n fluorescent "/>
    <s v=" n total"/>
  </r>
  <r>
    <x v="0"/>
    <x v="9"/>
    <s v="F:\images\2021-CHG-ACH-FAD 3\plaque 1/@01 Evian + 0.2% DMSO/ "/>
    <s v=" "/>
    <s v=" 64.618 "/>
    <x v="3"/>
    <s v=" 61224.4583 "/>
    <s v=" 74445.0798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2"/>
    <x v="0"/>
    <s v="F:\images\2021-CHG-ACH-FAD 3\plaque 1/@02 EE2 33.8/A2_01.tif "/>
    <s v=" 4131.3099 "/>
    <s v=" 67.7906 "/>
    <x v="1"/>
    <n v="280064"/>
    <m/>
    <m/>
    <m/>
  </r>
  <r>
    <x v="2"/>
    <x v="0"/>
    <s v="F:\images\2021-CHG-ACH-FAD 3\plaque 1/@02 EE2 33.8/A2_02.tif "/>
    <s v=" 475.8577 "/>
    <s v=" 64.7273 "/>
    <x v="1"/>
    <n v="30801"/>
    <m/>
    <m/>
    <m/>
  </r>
  <r>
    <x v="2"/>
    <x v="0"/>
    <s v="F:\images\2021-CHG-ACH-FAD 3\plaque 1/@02 EE2 33.8/A2_03.tif "/>
    <s v=" 2746.9966 "/>
    <s v=" 65.2992 "/>
    <x v="1"/>
    <n v="179377"/>
    <m/>
    <m/>
    <m/>
  </r>
  <r>
    <x v="2"/>
    <x v="1"/>
    <s v="F:\images\2021-CHG-ACH-FAD 3\plaque 1/@02 EE2 33.8/B2_01.tif "/>
    <s v=" 281.1886 "/>
    <s v=" 63.3846 "/>
    <x v="1"/>
    <n v="17823"/>
    <m/>
    <m/>
    <m/>
  </r>
  <r>
    <x v="2"/>
    <x v="1"/>
    <s v="F:\images\2021-CHG-ACH-FAD 3\plaque 1/@02 EE2 33.8/B2_02.tif "/>
    <s v=" 1124.7545 "/>
    <s v=" 65.3846 "/>
    <x v="1"/>
    <n v="73542"/>
    <m/>
    <m/>
    <m/>
  </r>
  <r>
    <x v="2"/>
    <x v="1"/>
    <s v="F:\images\2021-CHG-ACH-FAD 3\plaque 1/@02 EE2 33.8/B2_03.tif "/>
    <s v=" 2941.6657 "/>
    <s v=" 65.3456 "/>
    <x v="1"/>
    <n v="192225"/>
    <m/>
    <m/>
    <m/>
  </r>
  <r>
    <x v="2"/>
    <x v="2"/>
    <s v="F:\images\2021-CHG-ACH-FAD 3\plaque 1/@02 EE2 33.8/C2_01.tif "/>
    <s v=" 6943.1962 "/>
    <s v=" 68.3894 "/>
    <x v="1"/>
    <n v="474841"/>
    <m/>
    <m/>
    <m/>
  </r>
  <r>
    <x v="2"/>
    <x v="2"/>
    <s v="F:\images\2021-CHG-ACH-FAD 3\plaque 1/@02 EE2 33.8/C2_02.tif "/>
    <s v=" 367.7082 "/>
    <s v=" 62.7647 "/>
    <x v="1"/>
    <n v="23079"/>
    <m/>
    <m/>
    <m/>
  </r>
  <r>
    <x v="2"/>
    <x v="2"/>
    <s v="F:\images\2021-CHG-ACH-FAD 3\plaque 1/@02 EE2 33.8/C2_03.tif "/>
    <s v=" 5450.7334 "/>
    <s v=" 75.5635 "/>
    <x v="1"/>
    <n v="411876"/>
    <m/>
    <m/>
    <m/>
  </r>
  <r>
    <x v="2"/>
    <x v="3"/>
    <s v="F:\images\2021-CHG-ACH-FAD 3\plaque 1/@02 EE2 33.8/D2_01.tif "/>
    <s v=" 735.4164 "/>
    <s v=" 64.3529 "/>
    <x v="1"/>
    <n v="47326"/>
    <m/>
    <m/>
    <m/>
  </r>
  <r>
    <x v="2"/>
    <x v="3"/>
    <s v="F:\images\2021-CHG-ACH-FAD 3\plaque 1/@02 EE2 33.8/D2_02.tif "/>
    <s v=" 410.968 "/>
    <s v=" 62.8421 "/>
    <x v="1"/>
    <n v="25826"/>
    <m/>
    <m/>
    <m/>
  </r>
  <r>
    <x v="2"/>
    <x v="3"/>
    <s v="F:\images\2021-CHG-ACH-FAD 3\plaque 1/@02 EE2 33.8/D2_03.tif "/>
    <s v=" 302.8185 "/>
    <s v=" 64.6429 "/>
    <x v="1"/>
    <n v="19575"/>
    <m/>
    <m/>
    <m/>
  </r>
  <r>
    <x v="2"/>
    <x v="4"/>
    <s v="F:\images\2021-CHG-ACH-FAD 3\plaque 1/@02 EE2 33.8/E2_01.tif "/>
    <s v=" 3633.8223 "/>
    <s v=" 66.5952 "/>
    <x v="1"/>
    <n v="241995"/>
    <m/>
    <m/>
    <m/>
  </r>
  <r>
    <x v="2"/>
    <x v="4"/>
    <s v="F:\images\2021-CHG-ACH-FAD 3\plaque 1/@02 EE2 33.8/E2_02.tif "/>
    <s v=" 3374.2636 "/>
    <s v=" 69.75 "/>
    <x v="1"/>
    <n v="235355"/>
    <m/>
    <m/>
    <m/>
  </r>
  <r>
    <x v="2"/>
    <x v="4"/>
    <s v="F:\images\2021-CHG-ACH-FAD 3\plaque 1/@02 EE2 33.8/E2_03.tif "/>
    <s v=" 3525.6728 "/>
    <s v=" 68.3865 "/>
    <x v="1"/>
    <n v="241108"/>
    <m/>
    <m/>
    <m/>
  </r>
  <r>
    <x v="2"/>
    <x v="5"/>
    <s v="F:\images\2021-CHG-ACH-FAD 3\plaque 1/@02 EE2 33.8/F2_01.tif "/>
    <s v=" 5061.3953 "/>
    <s v=" 66.2778 "/>
    <x v="1"/>
    <n v="335458"/>
    <m/>
    <m/>
    <m/>
  </r>
  <r>
    <x v="2"/>
    <x v="5"/>
    <s v="F:\images\2021-CHG-ACH-FAD 3\plaque 1/@02 EE2 33.8/F2_02.tif "/>
    <s v=" 692.1566 "/>
    <s v=" 65.3438 "/>
    <x v="1"/>
    <n v="45228"/>
    <m/>
    <m/>
    <m/>
  </r>
  <r>
    <x v="2"/>
    <x v="5"/>
    <s v="F:\images\2021-CHG-ACH-FAD 3\plaque 1/@02 EE2 33.8/F2_03.tif "/>
    <s v=" 4088.0501 "/>
    <s v=" 66.3175 "/>
    <x v="1"/>
    <n v="271109"/>
    <m/>
    <m/>
    <m/>
  </r>
  <r>
    <x v="2"/>
    <x v="6"/>
    <s v="F:\images\2021-CHG-ACH-FAD 3\plaque 1/@02 EE2 33.8/G2_01.tif "/>
    <s v=" 2617.2173 "/>
    <s v=" 68.8017 "/>
    <x v="1"/>
    <n v="180069"/>
    <m/>
    <m/>
    <m/>
  </r>
  <r>
    <x v="2"/>
    <x v="6"/>
    <s v="F:\images\2021-CHG-ACH-FAD 3\plaque 1/@02 EE2 33.8/G2_02.tif "/>
    <s v=" 1081.4947 "/>
    <s v=" 65.36 "/>
    <x v="1"/>
    <n v="70686"/>
    <m/>
    <m/>
    <m/>
  </r>
  <r>
    <x v="2"/>
    <x v="6"/>
    <s v="F:\images\2021-CHG-ACH-FAD 3\plaque 1/@02 EE2 33.8/G2_03.tif "/>
    <s v=" 1535.7225 "/>
    <s v=" 63.7887 "/>
    <x v="1"/>
    <n v="97962"/>
    <m/>
    <m/>
    <m/>
  </r>
  <r>
    <x v="2"/>
    <x v="7"/>
    <s v="F:\images\2021-CHG-ACH-FAD 3\plaque 1/@02 EE2 33.8/H2_01.tif "/>
    <s v=" 5796.8118 "/>
    <s v=" 64.4142 "/>
    <x v="1"/>
    <n v="373397"/>
    <m/>
    <m/>
    <m/>
  </r>
  <r>
    <x v="2"/>
    <x v="7"/>
    <s v="F:\images\2021-CHG-ACH-FAD 3\plaque 1/@02 EE2 33.8/H2_02.tif "/>
    <s v=" 4996.5057 "/>
    <s v=" 65.1082 "/>
    <x v="1"/>
    <n v="325314"/>
    <m/>
    <m/>
    <m/>
  </r>
  <r>
    <x v="2"/>
    <x v="7"/>
    <s v="F:\images\2021-CHG-ACH-FAD 3\plaque 1/@02 EE2 33.8/H2_03.tif "/>
    <s v=" 454.2278 "/>
    <s v=" 62.9524 "/>
    <x v="1"/>
    <n v="28595"/>
    <m/>
    <m/>
    <m/>
  </r>
  <r>
    <x v="1"/>
    <x v="8"/>
    <s v=" "/>
    <m/>
    <m/>
    <x v="0"/>
    <m/>
    <m/>
    <m/>
    <m/>
  </r>
  <r>
    <x v="1"/>
    <x v="8"/>
    <s v="group "/>
    <s v=" "/>
    <s v=" mean of mean fluo "/>
    <x v="2"/>
    <s v=" mean of total fluo "/>
    <s v=" SD total fluo "/>
    <s v=" n fluorescent "/>
    <s v=" n total"/>
  </r>
  <r>
    <x v="2"/>
    <x v="9"/>
    <s v="F:\images\2021-CHG-ACH-FAD 3\plaque 1/@02 EE2 33.8/ "/>
    <s v=" "/>
    <s v=" 65.9826 "/>
    <x v="4"/>
    <s v=" 175942.958 "/>
    <s v=" 141956.488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3"/>
    <x v="0"/>
    <s v="F:\images\2021-CHG-ACH-FAD 3\plaque 1/@03 EE2 50.6/A3_01.tif "/>
    <s v=" 6899.9364 "/>
    <s v=" 66.2508 "/>
    <x v="1"/>
    <n v="457126"/>
    <m/>
    <m/>
    <m/>
  </r>
  <r>
    <x v="3"/>
    <x v="0"/>
    <s v="F:\images\2021-CHG-ACH-FAD 3\plaque 1/@03 EE2 50.6/A3_02.tif "/>
    <s v=" 4607.1676 "/>
    <s v=" 66.0845 "/>
    <x v="1"/>
    <n v="304462"/>
    <m/>
    <m/>
    <m/>
  </r>
  <r>
    <x v="3"/>
    <x v="0"/>
    <s v="F:\images\2021-CHG-ACH-FAD 3\plaque 1/@03 EE2 50.6/A3_03.tif "/>
    <s v=" 346.0783 "/>
    <s v=" 62.875 "/>
    <x v="1"/>
    <n v="21760"/>
    <m/>
    <m/>
    <m/>
  </r>
  <r>
    <x v="3"/>
    <x v="1"/>
    <s v="F:\images\2021-CHG-ACH-FAD 3\plaque 1/@03 EE2 50.6/B3_01.tif "/>
    <s v=" 1557.3524 "/>
    <s v=" 64.4861 "/>
    <x v="1"/>
    <n v="100428"/>
    <m/>
    <m/>
    <m/>
  </r>
  <r>
    <x v="3"/>
    <x v="1"/>
    <s v="F:\images\2021-CHG-ACH-FAD 3\plaque 1/@03 EE2 50.6/B3_02.tif "/>
    <s v=" 1341.0535 "/>
    <s v=" 67.129 "/>
    <x v="1"/>
    <n v="90024"/>
    <m/>
    <m/>
    <m/>
  </r>
  <r>
    <x v="3"/>
    <x v="1"/>
    <s v="F:\images\2021-CHG-ACH-FAD 3\plaque 1/@03 EE2 50.6/B3_03.tif "/>
    <s v=" 1341.0535 "/>
    <s v=" 62.9677 "/>
    <x v="1"/>
    <n v="84443"/>
    <m/>
    <m/>
    <m/>
  </r>
  <r>
    <x v="3"/>
    <x v="2"/>
    <s v="F:\images\2021-CHG-ACH-FAD 3\plaque 1/@03 EE2 50.6/C3_01.tif "/>
    <s v=" 3179.5945 "/>
    <s v=" 65.7755 "/>
    <x v="1"/>
    <n v="209139"/>
    <m/>
    <m/>
    <m/>
  </r>
  <r>
    <x v="3"/>
    <x v="2"/>
    <s v="F:\images\2021-CHG-ACH-FAD 3\plaque 1/@03 EE2 50.6/C3_02.tif "/>
    <s v=" 584.0072 "/>
    <s v=" 63.2593 "/>
    <x v="1"/>
    <n v="36944"/>
    <m/>
    <m/>
    <m/>
  </r>
  <r>
    <x v="3"/>
    <x v="2"/>
    <s v="F:\images\2021-CHG-ACH-FAD 3\plaque 1/@03 EE2 50.6/C3_03.tif "/>
    <s v=" 540.7474 "/>
    <s v=" 63.08 "/>
    <x v="1"/>
    <n v="34110"/>
    <m/>
    <m/>
    <m/>
  </r>
  <r>
    <x v="3"/>
    <x v="3"/>
    <s v="F:\images\2021-CHG-ACH-FAD 3\plaque 1/@03 EE2 50.6/D3_01.tif "/>
    <s v=" 1059.8648 "/>
    <s v=" 63.5714 "/>
    <x v="1"/>
    <n v="67377"/>
    <m/>
    <m/>
    <m/>
  </r>
  <r>
    <x v="3"/>
    <x v="3"/>
    <s v="F:\images\2021-CHG-ACH-FAD 3\plaque 1/@03 EE2 50.6/D3_02.tif "/>
    <s v=" 367.7082 "/>
    <s v=" 63.0588 "/>
    <x v="1"/>
    <n v="23187"/>
    <m/>
    <m/>
    <m/>
  </r>
  <r>
    <x v="3"/>
    <x v="3"/>
    <s v="F:\images\2021-CHG-ACH-FAD 3\plaque 1/@03 EE2 50.6/D3_03.tif "/>
    <s v=" 194.6691 "/>
    <n v="62"/>
    <x v="1"/>
    <n v="12069"/>
    <m/>
    <m/>
    <m/>
  </r>
  <r>
    <x v="3"/>
    <x v="4"/>
    <s v="F:\images\2021-CHG-ACH-FAD 3\plaque 1/@03 EE2 50.6/E3_01.tif "/>
    <s v=" 9971.3814 "/>
    <s v=" 74.7744 "/>
    <x v="1"/>
    <n v="745604"/>
    <m/>
    <m/>
    <m/>
  </r>
  <r>
    <x v="3"/>
    <x v="4"/>
    <s v="F:\images\2021-CHG-ACH-FAD 3\plaque 1/@03 EE2 50.6/E3_02.tif "/>
    <s v=" 11247.5452 "/>
    <s v=" 74.0519 "/>
    <x v="1"/>
    <n v="832902"/>
    <m/>
    <m/>
    <m/>
  </r>
  <r>
    <x v="3"/>
    <x v="4"/>
    <s v="F:\images\2021-CHG-ACH-FAD 3\plaque 1/@03 EE2 50.6/E3_03.tif "/>
    <s v=" 3222.8543 "/>
    <s v=" 64.1409 "/>
    <x v="1"/>
    <n v="206717"/>
    <m/>
    <m/>
    <m/>
  </r>
  <r>
    <x v="3"/>
    <x v="5"/>
    <s v="F:\images\2021-CHG-ACH-FAD 3\plaque 1/@03 EE2 50.6/F3_01.tif "/>
    <s v=" 4693.6871 "/>
    <s v=" 77.9677 "/>
    <x v="1"/>
    <n v="365956"/>
    <m/>
    <m/>
    <m/>
  </r>
  <r>
    <x v="3"/>
    <x v="5"/>
    <s v="F:\images\2021-CHG-ACH-FAD 3\plaque 1/@03 EE2 50.6/F3_02.tif "/>
    <s v=" 10793.3174 "/>
    <s v=" 78.8317 "/>
    <x v="1"/>
    <n v="850855"/>
    <m/>
    <m/>
    <m/>
  </r>
  <r>
    <x v="3"/>
    <x v="5"/>
    <s v="F:\images\2021-CHG-ACH-FAD 3\plaque 1/@03 EE2 50.6/F3_03.tif "/>
    <s v=" 6705.2673 "/>
    <s v=" 71.3935 "/>
    <x v="1"/>
    <n v="478713"/>
    <m/>
    <m/>
    <m/>
  </r>
  <r>
    <x v="3"/>
    <x v="6"/>
    <s v="F:\images\2021-CHG-ACH-FAD 3\plaque 1/@03 EE2 50.6/G3_01.tif "/>
    <s v=" 3049.8151 "/>
    <s v=" 64.8156 "/>
    <x v="1"/>
    <n v="197676"/>
    <m/>
    <m/>
    <m/>
  </r>
  <r>
    <x v="3"/>
    <x v="6"/>
    <s v="F:\images\2021-CHG-ACH-FAD 3\plaque 1/@03 EE2 50.6/G3_02.tif "/>
    <s v=" 4239.4593 "/>
    <s v=" 66.4796 "/>
    <x v="1"/>
    <n v="281838"/>
    <m/>
    <m/>
    <m/>
  </r>
  <r>
    <x v="3"/>
    <x v="6"/>
    <s v="F:\images\2021-CHG-ACH-FAD 3\plaque 1/@03 EE2 50.6/G3_03.tif "/>
    <s v=" 2314.3987 "/>
    <s v=" 64.9813 "/>
    <x v="1"/>
    <n v="150393"/>
    <m/>
    <m/>
    <m/>
  </r>
  <r>
    <x v="3"/>
    <x v="7"/>
    <s v="F:\images\2021-CHG-ACH-FAD 3\plaque 1/@03 EE2 50.6/H3_01.tif "/>
    <s v=" 2963.2956 "/>
    <s v=" 67.6496 "/>
    <x v="1"/>
    <n v="200466"/>
    <m/>
    <m/>
    <m/>
  </r>
  <r>
    <x v="3"/>
    <x v="7"/>
    <s v="F:\images\2021-CHG-ACH-FAD 3\plaque 1/@03 EE2 50.6/H3_02.tif "/>
    <s v=" 3439.1532 "/>
    <s v=" 68.8365 "/>
    <x v="1"/>
    <n v="236739"/>
    <m/>
    <m/>
    <m/>
  </r>
  <r>
    <x v="3"/>
    <x v="7"/>
    <s v="F:\images\2021-CHG-ACH-FAD 3\plaque 1/@03 EE2 50.6/H3_03.tif "/>
    <s v=" 2876.776 "/>
    <s v=" 65.6692 "/>
    <x v="1"/>
    <n v="188915"/>
    <m/>
    <m/>
    <m/>
  </r>
  <r>
    <x v="1"/>
    <x v="8"/>
    <s v=" "/>
    <m/>
    <m/>
    <x v="0"/>
    <m/>
    <m/>
    <m/>
    <m/>
  </r>
  <r>
    <x v="1"/>
    <x v="8"/>
    <s v="group "/>
    <s v=" "/>
    <s v=" mean of mean fluo "/>
    <x v="2"/>
    <s v=" mean of total fluo "/>
    <s v=" SD total fluo "/>
    <s v=" n fluorescent "/>
    <s v=" n total"/>
  </r>
  <r>
    <x v="3"/>
    <x v="9"/>
    <s v="F:\images\2021-CHG-ACH-FAD 3\plaque 1/@03 EE2 50.6/ "/>
    <s v=" "/>
    <s v=" 67.0888 "/>
    <x v="5"/>
    <s v=" 257410.125 "/>
    <s v=" 250319.892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4"/>
    <x v="0"/>
    <s v="F:\images\2021-CHG-ACH-FAD 3\plaque 1/@04 EE2 76/A4_01.tif "/>
    <s v=" 4845.0964 "/>
    <s v=" 64.5268 "/>
    <x v="1"/>
    <n v="312638"/>
    <m/>
    <m/>
    <m/>
  </r>
  <r>
    <x v="4"/>
    <x v="0"/>
    <s v="F:\images\2021-CHG-ACH-FAD 3\plaque 1/@04 EE2 76/A4_02.tif "/>
    <s v=" 4304.349 "/>
    <s v=" 65.2915 "/>
    <x v="1"/>
    <n v="281037"/>
    <m/>
    <m/>
    <m/>
  </r>
  <r>
    <x v="4"/>
    <x v="0"/>
    <s v="F:\images\2021-CHG-ACH-FAD 3\plaque 1/@04 EE2 76/A4_03.tif "/>
    <s v=" 4152.9398 "/>
    <s v=" 63.9479 "/>
    <x v="1"/>
    <n v="265572"/>
    <m/>
    <m/>
    <m/>
  </r>
  <r>
    <x v="4"/>
    <x v="1"/>
    <s v="F:\images\2021-CHG-ACH-FAD 3\plaque 1/@04 EE2 76/B4_01.tif "/>
    <s v=" 12220.8905 "/>
    <s v=" 65.7062 "/>
    <x v="1"/>
    <n v="802988"/>
    <m/>
    <m/>
    <m/>
  </r>
  <r>
    <x v="4"/>
    <x v="1"/>
    <s v="F:\images\2021-CHG-ACH-FAD 3\plaque 1/@04 EE2 76/B4_02.tif "/>
    <s v=" 12783.2677 "/>
    <s v=" 66.2318 "/>
    <x v="1"/>
    <n v="846659"/>
    <m/>
    <m/>
    <m/>
  </r>
  <r>
    <x v="4"/>
    <x v="1"/>
    <s v="F:\images\2021-CHG-ACH-FAD 3\plaque 1/@04 EE2 76/B4_03.tif "/>
    <s v=" 8543.8084 "/>
    <s v=" 64.9418 "/>
    <x v="1"/>
    <n v="554850"/>
    <m/>
    <m/>
    <m/>
  </r>
  <r>
    <x v="4"/>
    <x v="2"/>
    <s v="F:\images\2021-CHG-ACH-FAD 3\plaque 1/@04 EE2 76/C4_01.tif "/>
    <s v=" 26864.3291 "/>
    <s v=" 74.496 "/>
    <x v="1"/>
    <n v="2001284"/>
    <m/>
    <m/>
    <m/>
  </r>
  <r>
    <x v="4"/>
    <x v="2"/>
    <s v="F:\images\2021-CHG-ACH-FAD 3\plaque 1/@04 EE2 76/C4_02.tif "/>
    <s v=" 26712.9199 "/>
    <s v=" 71.1887 "/>
    <x v="1"/>
    <n v="1901657"/>
    <m/>
    <m/>
    <m/>
  </r>
  <r>
    <x v="4"/>
    <x v="2"/>
    <s v="F:\images\2021-CHG-ACH-FAD 3\plaque 1/@04 EE2 76/C4_03.tif "/>
    <s v=" 26583.1405 "/>
    <s v=" 72.3409 "/>
    <x v="1"/>
    <n v="1923049"/>
    <m/>
    <m/>
    <m/>
  </r>
  <r>
    <x v="4"/>
    <x v="3"/>
    <s v="F:\images\2021-CHG-ACH-FAD 3\plaque 1/@04 EE2 76/D4_01.tif "/>
    <s v=" 7656.9827 "/>
    <s v=" 64.6469 "/>
    <x v="1"/>
    <n v="495000"/>
    <m/>
    <m/>
    <m/>
  </r>
  <r>
    <x v="4"/>
    <x v="3"/>
    <s v="F:\images\2021-CHG-ACH-FAD 3\plaque 1/@04 EE2 76/D4_02.tif "/>
    <s v=" 9841.6021 "/>
    <s v=" 64.6681 "/>
    <x v="1"/>
    <n v="636438"/>
    <m/>
    <m/>
    <m/>
  </r>
  <r>
    <x v="4"/>
    <x v="3"/>
    <s v="F:\images\2021-CHG-ACH-FAD 3\plaque 1/@04 EE2 76/D4_03.tif "/>
    <s v=" 4196.1996 "/>
    <s v=" 63.9227 "/>
    <x v="1"/>
    <n v="268232"/>
    <m/>
    <m/>
    <m/>
  </r>
  <r>
    <x v="4"/>
    <x v="4"/>
    <s v="F:\images\2021-CHG-ACH-FAD 3\plaque 1/@04 EE2 76/E4_01.tif "/>
    <s v=" 4780.2067 "/>
    <s v=" 64.8824 "/>
    <x v="1"/>
    <n v="310151"/>
    <m/>
    <m/>
    <m/>
  </r>
  <r>
    <x v="4"/>
    <x v="4"/>
    <s v="F:\images\2021-CHG-ACH-FAD 3\plaque 1/@04 EE2 76/E4_02.tif "/>
    <s v=" 800.3061 "/>
    <s v=" 64.3514 "/>
    <x v="1"/>
    <n v="51501"/>
    <m/>
    <m/>
    <m/>
  </r>
  <r>
    <x v="4"/>
    <x v="4"/>
    <s v="F:\images\2021-CHG-ACH-FAD 3\plaque 1/@04 EE2 76/E4_03- exclu.tif"/>
    <m/>
    <m/>
    <x v="0"/>
    <m/>
    <m/>
    <m/>
    <m/>
  </r>
  <r>
    <x v="4"/>
    <x v="5"/>
    <s v="F:\images\2021-CHG-ACH-FAD 3\plaque 1/@04 EE2 76/F4_01.tif "/>
    <s v=" 14210.8408 "/>
    <s v=" 65.382 "/>
    <x v="1"/>
    <n v="929134"/>
    <m/>
    <m/>
    <m/>
  </r>
  <r>
    <x v="4"/>
    <x v="5"/>
    <s v="F:\images\2021-CHG-ACH-FAD 3\plaque 1/@04 EE2 76/F4_02.tif "/>
    <s v=" 14621.8088 "/>
    <s v=" 67.4275 "/>
    <x v="1"/>
    <n v="985912"/>
    <m/>
    <m/>
    <m/>
  </r>
  <r>
    <x v="4"/>
    <x v="5"/>
    <s v="F:\images\2021-CHG-ACH-FAD 3\plaque 1/@04 EE2 76/F4_03.tif "/>
    <s v=" 5645.4025 "/>
    <s v=" 64.2644 "/>
    <x v="1"/>
    <n v="362798"/>
    <m/>
    <m/>
    <m/>
  </r>
  <r>
    <x v="4"/>
    <x v="6"/>
    <s v="F:\images\2021-CHG-ACH-FAD 3\plaque 1/@04 EE2 76/G4_01.tif "/>
    <s v=" 8305.8795 "/>
    <s v=" 66.3516 "/>
    <x v="1"/>
    <n v="551108"/>
    <m/>
    <m/>
    <m/>
  </r>
  <r>
    <x v="4"/>
    <x v="6"/>
    <s v="F:\images\2021-CHG-ACH-FAD 3\plaque 1/@04 EE2 76/G4_02.tif "/>
    <s v=" 10036.2711 "/>
    <s v=" 67.6703 "/>
    <x v="1"/>
    <n v="679157"/>
    <m/>
    <m/>
    <m/>
  </r>
  <r>
    <x v="4"/>
    <x v="6"/>
    <s v="F:\images\2021-CHG-ACH-FAD 3\plaque 1/@04 EE2 76/G4_03.tif "/>
    <s v=" 7483.9435 "/>
    <s v=" 66.6185 "/>
    <x v="1"/>
    <n v="498569"/>
    <m/>
    <m/>
    <m/>
  </r>
  <r>
    <x v="4"/>
    <x v="7"/>
    <s v="F:\images\2021-CHG-ACH-FAD 3\plaque 1/@04 EE2 76/H4_01.tif "/>
    <s v=" 11485.474 "/>
    <s v=" 73.4218 "/>
    <x v="1"/>
    <n v="843285"/>
    <m/>
    <m/>
    <m/>
  </r>
  <r>
    <x v="4"/>
    <x v="7"/>
    <s v="F:\images\2021-CHG-ACH-FAD 3\plaque 1/@04 EE2 76/H4_02.tif "/>
    <s v=" 9235.965 "/>
    <s v=" 68.2576 "/>
    <x v="1"/>
    <n v="630425"/>
    <m/>
    <m/>
    <m/>
  </r>
  <r>
    <x v="4"/>
    <x v="7"/>
    <s v="F:\images\2021-CHG-ACH-FAD 3\plaque 1/@04 EE2 76/H4_03.tif "/>
    <s v=" 9538.7835 "/>
    <s v=" 66.5465 "/>
    <x v="1"/>
    <n v="634773"/>
    <m/>
    <m/>
    <m/>
  </r>
  <r>
    <x v="1"/>
    <x v="8"/>
    <s v=" "/>
    <m/>
    <m/>
    <x v="0"/>
    <m/>
    <m/>
    <m/>
    <m/>
  </r>
  <r>
    <x v="1"/>
    <x v="8"/>
    <s v="group "/>
    <s v=" "/>
    <s v=" mean of mean fluo "/>
    <x v="2"/>
    <s v=" mean of total fluo "/>
    <s v=" SD total fluo "/>
    <s v=" n fluorescent "/>
    <s v=" n total"/>
  </r>
  <r>
    <x v="4"/>
    <x v="9"/>
    <s v="F:\images\2021-CHG-ACH-FAD 3\plaque 1/@04 EE2 76/ "/>
    <s v=" "/>
    <s v=" 66.7118 "/>
    <x v="6"/>
    <s v=" 699111.5 "/>
    <s v=" 544503.434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5"/>
    <x v="0"/>
    <s v="F:\images\2021-CHG-ACH-FAD 3\plaque 1/@05 EE2 114/A5_01.tif "/>
    <s v=" 26885.959 "/>
    <s v=" 74.6943 "/>
    <x v="1"/>
    <n v="2008228"/>
    <m/>
    <m/>
    <m/>
  </r>
  <r>
    <x v="5"/>
    <x v="0"/>
    <s v="F:\images\2021-CHG-ACH-FAD 3\plaque 1/@05 EE2 114/A5_02.tif "/>
    <s v=" 21521.7452 "/>
    <s v=" 74.7317 "/>
    <x v="1"/>
    <n v="1608356"/>
    <m/>
    <m/>
    <m/>
  </r>
  <r>
    <x v="5"/>
    <x v="0"/>
    <s v="F:\images\2021-CHG-ACH-FAD 3\plaque 1/@05 EE2 114/A5_03.tif "/>
    <s v=" 26626.4003 "/>
    <s v=" 72.7254 "/>
    <x v="1"/>
    <n v="1936416"/>
    <m/>
    <m/>
    <m/>
  </r>
  <r>
    <x v="5"/>
    <x v="1"/>
    <s v="F:\images\2021-CHG-ACH-FAD 3\plaque 1/@05 EE2 114/B5_01.tif "/>
    <s v=" 31320.0874 "/>
    <s v=" 82.2486 "/>
    <x v="1"/>
    <n v="2576034"/>
    <m/>
    <m/>
    <m/>
  </r>
  <r>
    <x v="5"/>
    <x v="1"/>
    <s v="F:\images\2021-CHG-ACH-FAD 3\plaque 1/@05 EE2 114/B5_02.tif "/>
    <s v=" 25198.8272 "/>
    <s v=" 73.4876 "/>
    <x v="1"/>
    <n v="1851800"/>
    <m/>
    <m/>
    <m/>
  </r>
  <r>
    <x v="5"/>
    <x v="1"/>
    <s v="F:\images\2021-CHG-ACH-FAD 3\plaque 1/@05 EE2 114/B5_03.tif "/>
    <s v=" 32271.8028 "/>
    <s v=" 80.681 "/>
    <x v="1"/>
    <n v="2603720"/>
    <m/>
    <m/>
    <m/>
  </r>
  <r>
    <x v="5"/>
    <x v="2"/>
    <s v="F:\images\2021-CHG-ACH-FAD 3\plaque 1/@05 EE2 114/C5_01.tif "/>
    <s v=" 50289.505 "/>
    <n v="76"/>
    <x v="1"/>
    <n v="3822002"/>
    <m/>
    <m/>
    <m/>
  </r>
  <r>
    <x v="5"/>
    <x v="2"/>
    <s v="F:\images\2021-CHG-ACH-FAD 3\plaque 1/@05 EE2 114/C5_02.tif "/>
    <s v=" 51781.9677 "/>
    <s v=" 75.2281 "/>
    <x v="1"/>
    <n v="3895458"/>
    <m/>
    <m/>
    <m/>
  </r>
  <r>
    <x v="5"/>
    <x v="2"/>
    <s v="F:\images\2021-CHG-ACH-FAD 3\plaque 1/@05 EE2 114/C5_03.tif "/>
    <s v=" 46374.4941 "/>
    <s v=" 74.548 "/>
    <x v="1"/>
    <n v="3457128"/>
    <m/>
    <m/>
    <m/>
  </r>
  <r>
    <x v="5"/>
    <x v="3"/>
    <s v="F:\images\2021-CHG-ACH-FAD 3\plaque 1/@05 EE2 114/D5_01.tif "/>
    <s v=" 24268.7418 "/>
    <s v=" 72.0642 "/>
    <x v="1"/>
    <n v="1748907"/>
    <m/>
    <m/>
    <m/>
  </r>
  <r>
    <x v="5"/>
    <x v="3"/>
    <s v="F:\images\2021-CHG-ACH-FAD 3\plaque 1/@05 EE2 114/D5_02.tif "/>
    <s v=" 19986.0226 "/>
    <s v=" 72.8193 "/>
    <x v="1"/>
    <n v="1455367"/>
    <m/>
    <m/>
    <m/>
  </r>
  <r>
    <x v="5"/>
    <x v="3"/>
    <s v="F:\images\2021-CHG-ACH-FAD 3\plaque 1/@05 EE2 114/D5_03.tif "/>
    <s v=" 15746.5633 "/>
    <s v=" 71.4203 "/>
    <x v="1"/>
    <n v="1124625"/>
    <m/>
    <m/>
    <m/>
  </r>
  <r>
    <x v="5"/>
    <x v="4"/>
    <s v="F:\images\2021-CHG-ACH-FAD 3\plaque 1/@05 EE2 114/E5_01.tif "/>
    <s v=" 22235.5317 "/>
    <s v=" 67.1119 "/>
    <x v="1"/>
    <n v="1492268"/>
    <m/>
    <m/>
    <m/>
  </r>
  <r>
    <x v="5"/>
    <x v="4"/>
    <s v="F:\images\2021-CHG-ACH-FAD 3\plaque 1/@05 EE2 114/E5_02.tif "/>
    <s v=" 25674.6849 "/>
    <s v=" 68.6259 "/>
    <x v="1"/>
    <n v="1761950"/>
    <m/>
    <m/>
    <m/>
  </r>
  <r>
    <x v="5"/>
    <x v="4"/>
    <s v="F:\images\2021-CHG-ACH-FAD 3\plaque 1/@05 EE2 114/E5_03.tif "/>
    <s v=" 17801.4033 "/>
    <s v=" 66.8651 "/>
    <x v="1"/>
    <n v="1190293"/>
    <m/>
    <m/>
    <m/>
  </r>
  <r>
    <x v="5"/>
    <x v="5"/>
    <s v="F:\images\2021-CHG-ACH-FAD 3\plaque 1/@05 EE2 114/F5_01.tif "/>
    <s v=" 15833.0829 "/>
    <s v=" 71.0929 "/>
    <x v="1"/>
    <n v="1125620"/>
    <m/>
    <m/>
    <m/>
  </r>
  <r>
    <x v="5"/>
    <x v="5"/>
    <s v="F:\images\2021-CHG-ACH-FAD 3\plaque 1/@05 EE2 114/F5_02.tif "/>
    <s v=" 15032.7768 "/>
    <s v=" 72.459 "/>
    <x v="1"/>
    <n v="1089260"/>
    <m/>
    <m/>
    <m/>
  </r>
  <r>
    <x v="5"/>
    <x v="5"/>
    <s v="F:\images\2021-CHG-ACH-FAD 3\plaque 1/@05 EE2 114/F5_03.tif "/>
    <s v=" 4845.0964 "/>
    <s v=" 65.4375 "/>
    <x v="1"/>
    <n v="317051"/>
    <m/>
    <m/>
    <m/>
  </r>
  <r>
    <x v="5"/>
    <x v="6"/>
    <s v="F:\images\2021-CHG-ACH-FAD 3\plaque 1/@05 EE2 114/G5_01.tif "/>
    <s v=" 26042.3931 "/>
    <s v=" 74.2733 "/>
    <x v="1"/>
    <n v="1934253"/>
    <m/>
    <m/>
    <m/>
  </r>
  <r>
    <x v="5"/>
    <x v="6"/>
    <s v="F:\images\2021-CHG-ACH-FAD 3\plaque 1/@05 EE2 114/G5_02.tif "/>
    <s v=" 22451.8306 "/>
    <s v=" 73.9865 "/>
    <x v="1"/>
    <n v="1661133"/>
    <m/>
    <m/>
    <m/>
  </r>
  <r>
    <x v="5"/>
    <x v="6"/>
    <s v="F:\images\2021-CHG-ACH-FAD 3\plaque 1/@05 EE2 114/G5_03.tif "/>
    <s v=" 16460.3498 "/>
    <s v=" 72.6491 "/>
    <x v="1"/>
    <n v="1195830"/>
    <m/>
    <m/>
    <m/>
  </r>
  <r>
    <x v="5"/>
    <x v="7"/>
    <s v="F:\images\2021-CHG-ACH-FAD 3\plaque 1/@05 EE2 114/H5_01- exclu.tif"/>
    <m/>
    <m/>
    <x v="0"/>
    <m/>
    <m/>
    <m/>
    <m/>
  </r>
  <r>
    <x v="5"/>
    <x v="7"/>
    <s v="F:\images\2021-CHG-ACH-FAD 3\plaque 1/@05 EE2 114/H5_02- exclu.tif"/>
    <m/>
    <m/>
    <x v="0"/>
    <m/>
    <m/>
    <m/>
    <m/>
  </r>
  <r>
    <x v="5"/>
    <x v="7"/>
    <s v="F:\images\2021-CHG-ACH-FAD 3\plaque 1/@05 EE2 114/H5_03- exclu.tif"/>
    <m/>
    <m/>
    <x v="0"/>
    <m/>
    <m/>
    <m/>
    <m/>
  </r>
  <r>
    <x v="1"/>
    <x v="8"/>
    <s v=" "/>
    <m/>
    <m/>
    <x v="0"/>
    <m/>
    <m/>
    <m/>
    <m/>
  </r>
  <r>
    <x v="1"/>
    <x v="8"/>
    <s v="group "/>
    <s v=" "/>
    <s v=" mean of mean fluo "/>
    <x v="2"/>
    <s v=" mean of total fluo "/>
    <s v=" SD total fluo "/>
    <s v=" n fluorescent "/>
    <s v=" n total"/>
  </r>
  <r>
    <x v="5"/>
    <x v="9"/>
    <s v="F:\images\2021-CHG-ACH-FAD 3\plaque 1/@05 EE2 114/ "/>
    <s v=" "/>
    <s v=" 71.7518 "/>
    <x v="7"/>
    <s v=" 1661673.46 "/>
    <s v=" 1070449.13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6"/>
    <x v="0"/>
    <s v="F:\images\2021-CHG-ACH-FAD 3\plaque 1/@06 EE2 170.9/A6_01.tif "/>
    <s v=" 32790.9203 "/>
    <s v=" 74.4789 "/>
    <x v="1"/>
    <n v="2442231"/>
    <m/>
    <m/>
    <m/>
  </r>
  <r>
    <x v="6"/>
    <x v="0"/>
    <s v="F:\images\2021-CHG-ACH-FAD 3\plaque 1/@06 EE2 170.9/A6_02.tif "/>
    <s v=" 38155.1341 "/>
    <s v=" 74.8124 "/>
    <x v="1"/>
    <n v="2854476"/>
    <m/>
    <m/>
    <m/>
  </r>
  <r>
    <x v="6"/>
    <x v="0"/>
    <s v="F:\images\2021-CHG-ACH-FAD 3\plaque 1/@06 EE2 170.9/A6_03.tif "/>
    <s v=" 35473.0272 "/>
    <s v=" 70.5951 "/>
    <x v="1"/>
    <n v="2504223"/>
    <m/>
    <m/>
    <m/>
  </r>
  <r>
    <x v="6"/>
    <x v="1"/>
    <s v="F:\images\2021-CHG-ACH-FAD 3\plaque 1/@06 EE2 170.9/B6_01.tif "/>
    <s v=" 24463.4108 "/>
    <s v=" 72.9204 "/>
    <x v="1"/>
    <n v="1783882"/>
    <m/>
    <m/>
    <m/>
  </r>
  <r>
    <x v="6"/>
    <x v="1"/>
    <s v="F:\images\2021-CHG-ACH-FAD 3\plaque 1/@06 EE2 170.9/B6_02.tif "/>
    <s v=" 23014.2079 "/>
    <s v=" 72.2387 "/>
    <x v="1"/>
    <n v="1662517"/>
    <m/>
    <m/>
    <m/>
  </r>
  <r>
    <x v="6"/>
    <x v="1"/>
    <s v="F:\images\2021-CHG-ACH-FAD 3\plaque 1/@06 EE2 170.9/B6_03.tif "/>
    <s v=" 19661.5742 "/>
    <s v=" 70.8977 "/>
    <x v="1"/>
    <n v="1393960"/>
    <m/>
    <m/>
    <m/>
  </r>
  <r>
    <x v="6"/>
    <x v="2"/>
    <s v="F:\images\2021-CHG-ACH-FAD 3\plaque 1/@06 EE2 170.9/C6_01.tif "/>
    <s v=" 13086.0863 "/>
    <s v=" 69.3471 "/>
    <x v="1"/>
    <n v="907482"/>
    <m/>
    <m/>
    <m/>
  </r>
  <r>
    <x v="6"/>
    <x v="2"/>
    <s v="F:\images\2021-CHG-ACH-FAD 3\plaque 1/@06 EE2 170.9/C6_02.tif "/>
    <s v=" 2444.1781 "/>
    <s v=" 63.1947 "/>
    <x v="1"/>
    <n v="154459"/>
    <m/>
    <m/>
    <m/>
  </r>
  <r>
    <x v="6"/>
    <x v="2"/>
    <s v="F:\images\2021-CHG-ACH-FAD 3\plaque 1/@06 EE2 170.9/C6_03.tif "/>
    <s v=" 11636.8833 "/>
    <s v=" 74.1004 "/>
    <x v="1"/>
    <n v="862297"/>
    <m/>
    <m/>
    <m/>
  </r>
  <r>
    <x v="6"/>
    <x v="3"/>
    <s v="F:\images\2021-CHG-ACH-FAD 3\plaque 1/@06 EE2 170.9/D6_01.tif "/>
    <s v=" 8305.8795 "/>
    <s v=" 67.9974 "/>
    <x v="1"/>
    <n v="564778"/>
    <m/>
    <m/>
    <m/>
  </r>
  <r>
    <x v="6"/>
    <x v="3"/>
    <s v="F:\images\2021-CHG-ACH-FAD 3\plaque 1/@06 EE2 170.9/D6_02.tif "/>
    <s v=" 9863.232 "/>
    <s v=" 67.1162 "/>
    <x v="1"/>
    <n v="661983"/>
    <m/>
    <m/>
    <m/>
  </r>
  <r>
    <x v="6"/>
    <x v="3"/>
    <s v="F:\images\2021-CHG-ACH-FAD 3\plaque 1/@06 EE2 170.9/D6_03.tif "/>
    <s v=" 7570.4631 "/>
    <s v=" 66.4943 "/>
    <x v="1"/>
    <n v="503393"/>
    <m/>
    <m/>
    <m/>
  </r>
  <r>
    <x v="6"/>
    <x v="4"/>
    <s v="F:\images\2021-CHG-ACH-FAD 3\plaque 1/@06 EE2 170.9/E6_01.tif "/>
    <s v=" 20591.6597 "/>
    <s v=" 72.0987 "/>
    <x v="1"/>
    <n v="1484633"/>
    <m/>
    <m/>
    <m/>
  </r>
  <r>
    <x v="6"/>
    <x v="4"/>
    <s v="F:\images\2021-CHG-ACH-FAD 3\plaque 1/@06 EE2 170.9/E6_02.tif "/>
    <s v=" 16244.0509 "/>
    <s v=" 68.6378 "/>
    <x v="1"/>
    <n v="1114956"/>
    <m/>
    <m/>
    <m/>
  </r>
  <r>
    <x v="6"/>
    <x v="4"/>
    <s v="F:\images\2021-CHG-ACH-FAD 3\plaque 1/@06 EE2 170.9/E6_03.tif "/>
    <s v=" 15530.2643 "/>
    <s v=" 67.4694 "/>
    <x v="1"/>
    <n v="1047817"/>
    <m/>
    <m/>
    <m/>
  </r>
  <r>
    <x v="6"/>
    <x v="5"/>
    <s v="F:\images\2021-CHG-ACH-FAD 3\plaque 1/@06 EE2 170.9/F6_01- exclu.tif"/>
    <m/>
    <m/>
    <x v="0"/>
    <m/>
    <m/>
    <m/>
    <m/>
  </r>
  <r>
    <x v="6"/>
    <x v="5"/>
    <s v="F:\images\2021-CHG-ACH-FAD 3\plaque 1/@06 EE2 170.9/F6_02- exclu.tif"/>
    <m/>
    <m/>
    <x v="0"/>
    <m/>
    <m/>
    <m/>
    <m/>
  </r>
  <r>
    <x v="6"/>
    <x v="5"/>
    <s v="F:\images\2021-CHG-ACH-FAD 3\plaque 1/@06 EE2 170.9/F6_03- exclu.tif"/>
    <m/>
    <m/>
    <x v="0"/>
    <m/>
    <m/>
    <m/>
    <m/>
  </r>
  <r>
    <x v="6"/>
    <x v="6"/>
    <s v="F:\images\2021-CHG-ACH-FAD 3\plaque 1/@06 EE2 170.9/G6_01.tif "/>
    <s v=" 38868.9206 "/>
    <s v=" 80.7451 "/>
    <x v="1"/>
    <n v="3138476"/>
    <m/>
    <m/>
    <m/>
  </r>
  <r>
    <x v="6"/>
    <x v="6"/>
    <s v="F:\images\2021-CHG-ACH-FAD 3\plaque 1/@06 EE2 170.9/G6_02.tif "/>
    <s v=" 37636.0167 "/>
    <s v=" 79.5862 "/>
    <x v="1"/>
    <n v="2995308"/>
    <m/>
    <m/>
    <m/>
  </r>
  <r>
    <x v="6"/>
    <x v="6"/>
    <s v="F:\images\2021-CHG-ACH-FAD 3\plaque 1/@06 EE2 170.9/G6_03.tif "/>
    <s v=" 39301.5185 "/>
    <s v=" 76.8277 "/>
    <x v="1"/>
    <n v="3019447"/>
    <m/>
    <m/>
    <m/>
  </r>
  <r>
    <x v="6"/>
    <x v="7"/>
    <s v="F:\images\2021-CHG-ACH-FAD 3\plaque 1/@06 EE2 170.9/H6_01.tif "/>
    <s v=" 44514.3231 "/>
    <s v=" 82.4048 "/>
    <x v="1"/>
    <n v="3668192"/>
    <m/>
    <m/>
    <m/>
  </r>
  <r>
    <x v="6"/>
    <x v="7"/>
    <s v="F:\images\2021-CHG-ACH-FAD 3\plaque 1/@06 EE2 170.9/H6_02.tif "/>
    <s v=" 32574.6213 "/>
    <s v=" 82.1361 "/>
    <x v="1"/>
    <n v="2675553"/>
    <m/>
    <m/>
    <m/>
  </r>
  <r>
    <x v="6"/>
    <x v="7"/>
    <s v="F:\images\2021-CHG-ACH-FAD 3\plaque 1/@06 EE2 170.9/H6_03.tif "/>
    <s v=" 41248.2091 "/>
    <s v=" 81.7971 "/>
    <x v="1"/>
    <n v="3373982"/>
    <m/>
    <m/>
    <m/>
  </r>
  <r>
    <x v="1"/>
    <x v="8"/>
    <s v=" "/>
    <m/>
    <m/>
    <x v="0"/>
    <m/>
    <m/>
    <m/>
    <m/>
  </r>
  <r>
    <x v="1"/>
    <x v="8"/>
    <s v="group "/>
    <s v=" "/>
    <s v=" mean of mean fluo "/>
    <x v="2"/>
    <s v=" mean of total fluo "/>
    <s v=" SD total fluo "/>
    <s v=" n fluorescent "/>
    <s v=" n total"/>
  </r>
  <r>
    <x v="6"/>
    <x v="9"/>
    <s v="F:\images\2021-CHG-ACH-FAD 3\plaque 1/@06 EE2 170.9/ "/>
    <s v=" "/>
    <s v=" 72.8442 "/>
    <x v="8"/>
    <s v=" 1743921.08 "/>
    <s v=" 1153829.3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7"/>
    <x v="0"/>
    <s v="F:\images\2021-CHG-ACH-FAD 3\plaque 1/@07 EE2 488/A7_01.tif "/>
    <s v=" 67766.4599 "/>
    <s v=" 91.3916 "/>
    <x v="1"/>
    <n v="6193288"/>
    <m/>
    <m/>
    <m/>
  </r>
  <r>
    <x v="7"/>
    <x v="0"/>
    <s v="F:\images\2021-CHG-ACH-FAD 3\plaque 1/@07 EE2 488/A7_02.tif "/>
    <s v=" 69150.7731 "/>
    <s v=" 86.2731 "/>
    <x v="1"/>
    <n v="5965849"/>
    <m/>
    <m/>
    <m/>
  </r>
  <r>
    <x v="7"/>
    <x v="0"/>
    <s v="F:\images\2021-CHG-ACH-FAD 3\plaque 1/@07 EE2 488/A7_03.tif "/>
    <s v=" 64608.4953 "/>
    <s v=" 88.932 "/>
    <x v="1"/>
    <n v="5745765"/>
    <m/>
    <m/>
    <m/>
  </r>
  <r>
    <x v="7"/>
    <x v="1"/>
    <s v="F:\images\2021-CHG-ACH-FAD 3\plaque 1/@07 EE2 488/B7_01.tif "/>
    <s v=" 22235.5317 "/>
    <s v=" 75.4329 "/>
    <x v="1"/>
    <n v="1677290"/>
    <m/>
    <m/>
    <m/>
  </r>
  <r>
    <x v="7"/>
    <x v="1"/>
    <s v="F:\images\2021-CHG-ACH-FAD 3\plaque 1/@07 EE2 488/B7_02.tif "/>
    <s v=" 23295.3965 "/>
    <s v=" 78.7233 "/>
    <x v="1"/>
    <n v="1833891"/>
    <m/>
    <m/>
    <m/>
  </r>
  <r>
    <x v="7"/>
    <x v="1"/>
    <s v="F:\images\2021-CHG-ACH-FAD 3\plaque 1/@07 EE2 488/B7_03.tif "/>
    <s v=" 24679.7098 "/>
    <s v=" 76.7134 "/>
    <x v="1"/>
    <n v="1893265"/>
    <m/>
    <m/>
    <m/>
  </r>
  <r>
    <x v="7"/>
    <x v="2"/>
    <s v="F:\images\2021-CHG-ACH-FAD 3\plaque 1/@07 EE2 488/C7_01.tif "/>
    <s v=" 33007.2192 "/>
    <s v=" 88.1533 "/>
    <x v="1"/>
    <n v="2909697"/>
    <m/>
    <m/>
    <m/>
  </r>
  <r>
    <x v="7"/>
    <x v="2"/>
    <s v="F:\images\2021-CHG-ACH-FAD 3\plaque 1/@07 EE2 488/C7_02- exclu.tif"/>
    <m/>
    <m/>
    <x v="0"/>
    <m/>
    <m/>
    <m/>
    <m/>
  </r>
  <r>
    <x v="7"/>
    <x v="2"/>
    <s v="F:\images\2021-CHG-ACH-FAD 3\plaque 1/@07 EE2 488/C7_03.tif "/>
    <s v=" 24528.3005 "/>
    <s v=" 69.1631 "/>
    <x v="1"/>
    <n v="1696454"/>
    <m/>
    <m/>
    <m/>
  </r>
  <r>
    <x v="7"/>
    <x v="3"/>
    <s v="F:\images\2021-CHG-ACH-FAD 3\plaque 1/@07 EE2 488/D7_01.tif "/>
    <s v=" 39366.4082 "/>
    <s v=" 91.6758 "/>
    <x v="1"/>
    <n v="3608948"/>
    <m/>
    <m/>
    <m/>
  </r>
  <r>
    <x v="7"/>
    <x v="3"/>
    <s v="F:\images\2021-CHG-ACH-FAD 3\plaque 1/@07 EE2 488/D7_02.tif "/>
    <s v=" 41356.3585 "/>
    <s v=" 82.3039 "/>
    <x v="1"/>
    <n v="3403788"/>
    <m/>
    <m/>
    <m/>
  </r>
  <r>
    <x v="7"/>
    <x v="3"/>
    <s v="F:\images\2021-CHG-ACH-FAD 3\plaque 1/@07 EE2 488/D7_03.tif "/>
    <s v=" 42286.444 "/>
    <s v=" 84.3708 "/>
    <x v="1"/>
    <n v="3567743"/>
    <m/>
    <m/>
    <m/>
  </r>
  <r>
    <x v="7"/>
    <x v="4"/>
    <s v="F:\images\2021-CHG-ACH-FAD 3\plaque 1/@07 EE2 488/E7_01.tif "/>
    <s v=" 34867.3901 "/>
    <s v=" 93.9218 "/>
    <x v="1"/>
    <n v="3274809"/>
    <m/>
    <m/>
    <m/>
  </r>
  <r>
    <x v="7"/>
    <x v="4"/>
    <s v="F:\images\2021-CHG-ACH-FAD 3\plaque 1/@07 EE2 488/E7_02.tif "/>
    <s v=" 32920.6996 "/>
    <s v=" 93.5118 "/>
    <x v="1"/>
    <n v="3078475"/>
    <m/>
    <m/>
    <m/>
  </r>
  <r>
    <x v="7"/>
    <x v="4"/>
    <s v="F:\images\2021-CHG-ACH-FAD 3\plaque 1/@07 EE2 488/E7_03.tif "/>
    <s v=" 29568.066 "/>
    <s v=" 93.8018 "/>
    <x v="1"/>
    <n v="2773536"/>
    <m/>
    <m/>
    <m/>
  </r>
  <r>
    <x v="7"/>
    <x v="5"/>
    <s v="F:\images\2021-CHG-ACH-FAD 3\plaque 1/@07 EE2 488/F7_01.tif "/>
    <s v=" 79879.2009 "/>
    <s v=" 93.9716 "/>
    <x v="1"/>
    <n v="7506374"/>
    <m/>
    <m/>
    <m/>
  </r>
  <r>
    <x v="7"/>
    <x v="5"/>
    <s v="F:\images\2021-CHG-ACH-FAD 3\plaque 1/@07 EE2 488/F7_02.tif "/>
    <s v=" 79424.9731 "/>
    <s v=" 89.9093 "/>
    <x v="1"/>
    <n v="7141045"/>
    <m/>
    <m/>
    <m/>
  </r>
  <r>
    <x v="7"/>
    <x v="5"/>
    <s v="F:\images\2021-CHG-ACH-FAD 3\plaque 1/@07 EE2 488/F7_03.tif "/>
    <s v=" 73714.6809 "/>
    <s v=" 89.2342 "/>
    <x v="1"/>
    <n v="6577867"/>
    <m/>
    <m/>
    <m/>
  </r>
  <r>
    <x v="7"/>
    <x v="6"/>
    <s v="F:\images\2021-CHG-ACH-FAD 3\plaque 1/@07 EE2 488/G7_01.tif "/>
    <s v=" 69713.1504 "/>
    <s v=" 92.4592 "/>
    <x v="1"/>
    <n v="6445622"/>
    <m/>
    <m/>
    <m/>
  </r>
  <r>
    <x v="7"/>
    <x v="6"/>
    <s v="F:\images\2021-CHG-ACH-FAD 3\plaque 1/@07 EE2 488/G7_02.tif "/>
    <s v=" 63483.7407 "/>
    <s v=" 94.9421 "/>
    <x v="1"/>
    <n v="6027278"/>
    <m/>
    <m/>
    <m/>
  </r>
  <r>
    <x v="7"/>
    <x v="6"/>
    <s v="F:\images\2021-CHG-ACH-FAD 3\plaque 1/@07 EE2 488/G7_03.tif "/>
    <s v=" 65646.7302 "/>
    <s v=" 95.6959 "/>
    <x v="1"/>
    <n v="6282122"/>
    <m/>
    <m/>
    <m/>
  </r>
  <r>
    <x v="7"/>
    <x v="7"/>
    <s v="F:\images\2021-CHG-ACH-FAD 3\plaque 1/@07 EE2 488/H7_01.tif "/>
    <s v=" 42913.7109 "/>
    <s v=" 102.9869 "/>
    <x v="1"/>
    <n v="4419550"/>
    <m/>
    <m/>
    <m/>
  </r>
  <r>
    <x v="7"/>
    <x v="7"/>
    <s v="F:\images\2021-CHG-ACH-FAD 3\plaque 1/@07 EE2 488/H7_02.tif "/>
    <s v=" 42805.5615 "/>
    <s v=" 94.0379 "/>
    <x v="1"/>
    <n v="4025345"/>
    <m/>
    <m/>
    <m/>
  </r>
  <r>
    <x v="7"/>
    <x v="7"/>
    <s v="F:\images\2021-CHG-ACH-FAD 3\plaque 1/@07 EE2 488/H7_03.tif "/>
    <s v=" 43865.4263 "/>
    <s v=" 71.5089 "/>
    <x v="1"/>
    <n v="3136767"/>
    <m/>
    <m/>
    <m/>
  </r>
  <r>
    <x v="1"/>
    <x v="8"/>
    <s v=" "/>
    <m/>
    <m/>
    <x v="0"/>
    <m/>
    <m/>
    <m/>
    <m/>
  </r>
  <r>
    <x v="1"/>
    <x v="8"/>
    <s v="group "/>
    <s v=" "/>
    <s v=" mean of mean fluo "/>
    <x v="2"/>
    <s v=" mean of total fluo "/>
    <s v=" SD total fluo "/>
    <s v=" n fluorescent "/>
    <s v=" n total"/>
  </r>
  <r>
    <x v="7"/>
    <x v="9"/>
    <s v="F:\images\2021-CHG-ACH-FAD 3\plaque 1/@07 EE2 488/ "/>
    <s v=" "/>
    <s v=" 87.2219 "/>
    <x v="9"/>
    <s v=" 4166273.67 "/>
    <s v=" 1987834.8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8"/>
    <x v="0"/>
    <s v="F:\images\2021-CHG-ACH-FAD 3\plaque 1/@08 Fadrozole 0.016 µg_L/A8_01.tif "/>
    <s v=" 410.968 "/>
    <s v=" 62.6316 "/>
    <x v="1"/>
    <n v="25740"/>
    <m/>
    <m/>
    <m/>
  </r>
  <r>
    <x v="8"/>
    <x v="0"/>
    <s v="F:\images\2021-CHG-ACH-FAD 3\plaque 1/@08 Fadrozole 0.016 µg_L/A8_02.tif "/>
    <s v=" 129.7794 "/>
    <s v=" 64.6667 "/>
    <x v="1"/>
    <n v="8392"/>
    <m/>
    <m/>
    <m/>
  </r>
  <r>
    <x v="8"/>
    <x v="0"/>
    <s v="F:\images\2021-CHG-ACH-FAD 3\plaque 1/@08 Fadrozole 0.016 µg_L/A8_03.tif "/>
    <s v=" 281.1886 "/>
    <s v=" 62.6923 "/>
    <x v="1"/>
    <n v="17628"/>
    <m/>
    <m/>
    <m/>
  </r>
  <r>
    <x v="8"/>
    <x v="1"/>
    <s v="F:\images\2021-CHG-ACH-FAD 3\plaque 1/@08 Fadrozole 0.016 µg_L/B8_01.tif "/>
    <s v=" 8760.1073 "/>
    <s v=" 74.1926 "/>
    <x v="1"/>
    <n v="649935"/>
    <m/>
    <m/>
    <m/>
  </r>
  <r>
    <x v="8"/>
    <x v="1"/>
    <s v="F:\images\2021-CHG-ACH-FAD 3\plaque 1/@08 Fadrozole 0.016 µg_L/B8_02.tif "/>
    <s v=" 7873.2816 "/>
    <s v=" 75.4203 "/>
    <x v="1"/>
    <n v="593805"/>
    <m/>
    <m/>
    <m/>
  </r>
  <r>
    <x v="8"/>
    <x v="1"/>
    <s v="F:\images\2021-CHG-ACH-FAD 3\plaque 1/@08 Fadrozole 0.016 µg_L/B8_03.tif "/>
    <s v=" 8976.4063 "/>
    <s v=" 77.412 "/>
    <x v="1"/>
    <n v="694882"/>
    <m/>
    <m/>
    <m/>
  </r>
  <r>
    <x v="8"/>
    <x v="2"/>
    <s v="F:\images\2021-CHG-ACH-FAD 3\plaque 1/@08 Fadrozole 0.016 µg_L/C8_01.tif "/>
    <s v=" 3136.3347 "/>
    <s v=" 67.6966 "/>
    <x v="1"/>
    <n v="212319"/>
    <m/>
    <m/>
    <m/>
  </r>
  <r>
    <x v="8"/>
    <x v="2"/>
    <s v="F:\images\2021-CHG-ACH-FAD 3\plaque 1/@08 Fadrozole 0.016 µg_L/C8_02.tif "/>
    <s v=" 2811.8863 "/>
    <s v=" 68.2308 "/>
    <x v="1"/>
    <n v="191857"/>
    <m/>
    <m/>
    <m/>
  </r>
  <r>
    <x v="8"/>
    <x v="2"/>
    <s v="F:\images\2021-CHG-ACH-FAD 3\plaque 1/@08 Fadrozole 0.016 µg_L/C8_03.tif "/>
    <s v=" 1146.3844 "/>
    <s v=" 64.4717 "/>
    <x v="1"/>
    <n v="73909"/>
    <m/>
    <m/>
    <m/>
  </r>
  <r>
    <x v="8"/>
    <x v="3"/>
    <s v="F:\images\2021-CHG-ACH-FAD 3\plaque 1/@08 Fadrozole 0.016 µg_L/D8_01.tif "/>
    <s v=" 757.0463 "/>
    <s v=" 65.3429 "/>
    <x v="1"/>
    <n v="49468"/>
    <m/>
    <m/>
    <m/>
  </r>
  <r>
    <x v="8"/>
    <x v="3"/>
    <s v="F:\images\2021-CHG-ACH-FAD 3\plaque 1/@08 Fadrozole 0.016 µg_L/D8_02.tif "/>
    <s v=" 389.3381 "/>
    <s v=" 61.3333 "/>
    <x v="1"/>
    <n v="23879"/>
    <m/>
    <m/>
    <m/>
  </r>
  <r>
    <x v="8"/>
    <x v="3"/>
    <s v="F:\images\2021-CHG-ACH-FAD 3\plaque 1/@08 Fadrozole 0.016 µg_L/D8_03.tif "/>
    <s v=" 367.7082 "/>
    <s v=" 62.5294 "/>
    <x v="1"/>
    <n v="22993"/>
    <m/>
    <m/>
    <m/>
  </r>
  <r>
    <x v="8"/>
    <x v="4"/>
    <s v="F:\images\2021-CHG-ACH-FAD 3\plaque 1/@08 Fadrozole 0.016 µg_L/E8_01.tif "/>
    <s v=" 562.3773 "/>
    <s v=" 64.4231 "/>
    <x v="1"/>
    <n v="36230"/>
    <m/>
    <m/>
    <m/>
  </r>
  <r>
    <x v="8"/>
    <x v="4"/>
    <s v="F:\images\2021-CHG-ACH-FAD 3\plaque 1/@08 Fadrozole 0.016 µg_L/E8_02.tif "/>
    <s v=" 1168.0143 "/>
    <s v=" 62.9444 "/>
    <x v="1"/>
    <n v="73520"/>
    <m/>
    <m/>
    <m/>
  </r>
  <r>
    <x v="8"/>
    <x v="4"/>
    <s v="F:\images\2021-CHG-ACH-FAD 3\plaque 1/@08 Fadrozole 0.016 µg_L/E8_03.tif "/>
    <s v=" 1600.6122 "/>
    <s v=" 64.9054 "/>
    <x v="1"/>
    <n v="103888"/>
    <m/>
    <m/>
    <m/>
  </r>
  <r>
    <x v="8"/>
    <x v="5"/>
    <s v="F:\images\2021-CHG-ACH-FAD 3\plaque 1/@08 Fadrozole 0.016 µg_L/F8_01.tif "/>
    <s v=" 389.3381 "/>
    <s v=" 62.7222 "/>
    <x v="1"/>
    <n v="24420"/>
    <m/>
    <m/>
    <m/>
  </r>
  <r>
    <x v="8"/>
    <x v="5"/>
    <s v="F:\images\2021-CHG-ACH-FAD 3\plaque 1/@08 Fadrozole 0.016 µg_L/F8_02.tif "/>
    <s v=" 367.7082 "/>
    <s v=" 63.5294 "/>
    <x v="1"/>
    <n v="23360"/>
    <m/>
    <m/>
    <m/>
  </r>
  <r>
    <x v="8"/>
    <x v="5"/>
    <s v="F:\images\2021-CHG-ACH-FAD 3\plaque 1/@08 Fadrozole 0.016 µg_L/F8_03.tif "/>
    <s v=" 389.3381 "/>
    <s v=" 64.5556 "/>
    <x v="1"/>
    <n v="25134"/>
    <m/>
    <m/>
    <m/>
  </r>
  <r>
    <x v="8"/>
    <x v="6"/>
    <s v="F:\images\2021-CHG-ACH-FAD 3\plaque 1/@08 Fadrozole 0.016 µg_L/G8_01.tif "/>
    <s v=" 1189.6442 "/>
    <s v=" 66.4909 "/>
    <x v="1"/>
    <n v="79101"/>
    <m/>
    <m/>
    <m/>
  </r>
  <r>
    <x v="8"/>
    <x v="6"/>
    <s v="F:\images\2021-CHG-ACH-FAD 3\plaque 1/@08 Fadrozole 0.016 µg_L/G8_02.tif "/>
    <s v=" 627.2669 "/>
    <s v=" 65.6897 "/>
    <x v="1"/>
    <n v="41205"/>
    <m/>
    <m/>
    <m/>
  </r>
  <r>
    <x v="8"/>
    <x v="6"/>
    <s v="F:\images\2021-CHG-ACH-FAD 3\plaque 1/@08 Fadrozole 0.016 µg_L/G8_03.tif "/>
    <s v=" 1276.1638 "/>
    <s v=" 64.3729 "/>
    <x v="1"/>
    <n v="82150"/>
    <m/>
    <m/>
    <m/>
  </r>
  <r>
    <x v="8"/>
    <x v="7"/>
    <s v="F:\images\2021-CHG-ACH-FAD 3\plaque 1/@08 Fadrozole 0.016 µg_L/H8_01.tif "/>
    <s v=" 1384.3133 "/>
    <s v=" 64.5 "/>
    <x v="1"/>
    <n v="89288"/>
    <m/>
    <m/>
    <m/>
  </r>
  <r>
    <x v="8"/>
    <x v="7"/>
    <s v="F:\images\2021-CHG-ACH-FAD 3\plaque 1/@08 Fadrozole 0.016 µg_L/H8_02.tif "/>
    <s v=" 627.2669 "/>
    <s v=" 64.3793 "/>
    <x v="1"/>
    <n v="40383"/>
    <m/>
    <m/>
    <m/>
  </r>
  <r>
    <x v="8"/>
    <x v="7"/>
    <s v="F:\images\2021-CHG-ACH-FAD 3\plaque 1/@08 Fadrozole 0.016 µg_L/H8_03.tif "/>
    <s v=" 2249.509 "/>
    <s v=" 66.7212 "/>
    <x v="1"/>
    <n v="150090"/>
    <m/>
    <m/>
    <m/>
  </r>
  <r>
    <x v="1"/>
    <x v="8"/>
    <s v=" "/>
    <m/>
    <m/>
    <x v="0"/>
    <m/>
    <m/>
    <m/>
    <m/>
  </r>
  <r>
    <x v="1"/>
    <x v="8"/>
    <s v="group "/>
    <s v=" "/>
    <s v=" mean of mean fluo "/>
    <x v="2"/>
    <s v=" mean of total fluo "/>
    <s v=" SD total fluo "/>
    <s v=" n fluorescent "/>
    <s v=" n total"/>
  </r>
  <r>
    <x v="8"/>
    <x v="9"/>
    <s v="F:\images\2021-CHG-ACH-FAD 3\plaque 1/@08 Fadrozole 0.016 µg_L/ "/>
    <s v=" "/>
    <s v=" 65.9106 "/>
    <x v="10"/>
    <n v="138899"/>
    <s v=" 203545.641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9"/>
    <x v="0"/>
    <s v="F:\images\2021-CHG-ACH-FAD 3\plaque 1/@09 Fadrozole 0.08 µg_L/A9_01.tif "/>
    <s v=" 692.1566 "/>
    <s v=" 63.75 "/>
    <x v="1"/>
    <n v="44125"/>
    <m/>
    <m/>
    <m/>
  </r>
  <r>
    <x v="9"/>
    <x v="0"/>
    <s v="F:\images\2021-CHG-ACH-FAD 3\plaque 1/@09 Fadrozole 0.08 µg_L/A9_02.tif "/>
    <s v=" 7916.5414 "/>
    <s v=" 70.8552 "/>
    <x v="1"/>
    <n v="560928"/>
    <m/>
    <m/>
    <m/>
  </r>
  <r>
    <x v="9"/>
    <x v="0"/>
    <s v="F:\images\2021-CHG-ACH-FAD 3\plaque 1/@09 Fadrozole 0.08 µg_L/A9_03.tif "/>
    <s v=" 4866.7263 "/>
    <s v=" 70.3778 "/>
    <x v="1"/>
    <n v="342509"/>
    <m/>
    <m/>
    <m/>
  </r>
  <r>
    <x v="9"/>
    <x v="1"/>
    <s v="F:\images\2021-CHG-ACH-FAD 3\plaque 1/@09 Fadrozole 0.08 µg_L/B9_01.tif "/>
    <s v=" 475.8577 "/>
    <s v=" 63.8636 "/>
    <x v="1"/>
    <n v="30390"/>
    <m/>
    <m/>
    <m/>
  </r>
  <r>
    <x v="9"/>
    <x v="1"/>
    <s v="F:\images\2021-CHG-ACH-FAD 3\plaque 1/@09 Fadrozole 0.08 µg_L/B9_02.tif "/>
    <s v=" 237.9288 "/>
    <s v=" 62.9091 "/>
    <x v="1"/>
    <n v="14968"/>
    <m/>
    <m/>
    <m/>
  </r>
  <r>
    <x v="9"/>
    <x v="1"/>
    <s v="F:\images\2021-CHG-ACH-FAD 3\plaque 1/@09 Fadrozole 0.08 µg_L/B9_03.tif "/>
    <s v=" 281.1886 "/>
    <s v=" 63.9231 "/>
    <x v="1"/>
    <n v="17974"/>
    <m/>
    <m/>
    <m/>
  </r>
  <r>
    <x v="9"/>
    <x v="2"/>
    <s v="F:\images\2021-CHG-ACH-FAD 3\plaque 1/@09 Fadrozole 0.08 µg_L/C9_01.tif "/>
    <s v=" 3460.7831 "/>
    <n v="68"/>
    <x v="1"/>
    <n v="235333"/>
    <m/>
    <m/>
    <m/>
  </r>
  <r>
    <x v="9"/>
    <x v="2"/>
    <s v="F:\images\2021-CHG-ACH-FAD 3\plaque 1/@09 Fadrozole 0.08 µg_L/C9_02.tif "/>
    <s v=" 2920.0358 "/>
    <s v=" 67.763 "/>
    <x v="1"/>
    <n v="197870"/>
    <m/>
    <m/>
    <m/>
  </r>
  <r>
    <x v="9"/>
    <x v="2"/>
    <s v="F:\images\2021-CHG-ACH-FAD 3\plaque 1/@09 Fadrozole 0.08 µg_L/C9_03.tif "/>
    <s v=" 2098.0998 "/>
    <s v=" 66.1753 "/>
    <x v="1"/>
    <n v="138842"/>
    <m/>
    <m/>
    <m/>
  </r>
  <r>
    <x v="9"/>
    <x v="3"/>
    <s v="F:\images\2021-CHG-ACH-FAD 3\plaque 1/@09 Fadrozole 0.08 µg_L/D9_01.tif "/>
    <s v=" 3915.0109 "/>
    <s v=" 68.7569 "/>
    <x v="1"/>
    <n v="269184"/>
    <m/>
    <m/>
    <m/>
  </r>
  <r>
    <x v="9"/>
    <x v="3"/>
    <s v="F:\images\2021-CHG-ACH-FAD 3\plaque 1/@09 Fadrozole 0.08 µg_L/D9_02.tif "/>
    <s v=" 432.5979 "/>
    <s v=" 61.95 "/>
    <x v="1"/>
    <n v="26799"/>
    <m/>
    <m/>
    <m/>
  </r>
  <r>
    <x v="9"/>
    <x v="3"/>
    <s v="F:\images\2021-CHG-ACH-FAD 3\plaque 1/@09 Fadrozole 0.08 µg_L/D9_03.tif "/>
    <s v=" 302.8185 "/>
    <s v=" 63.2857 "/>
    <x v="1"/>
    <n v="19164"/>
    <m/>
    <m/>
    <m/>
  </r>
  <r>
    <x v="9"/>
    <x v="4"/>
    <s v="F:\images\2021-CHG-ACH-FAD 3\plaque 1/@09 Fadrozole 0.08 µg_L/E9_01.tif "/>
    <s v=" 173.0392 "/>
    <s v=" 61.875 "/>
    <x v="1"/>
    <n v="10707"/>
    <m/>
    <m/>
    <m/>
  </r>
  <r>
    <x v="9"/>
    <x v="4"/>
    <s v="F:\images\2021-CHG-ACH-FAD 3\plaque 1/@09 Fadrozole 0.08 µg_L/E9_02.tif "/>
    <s v=" 259.5587 "/>
    <s v=" 65.25 "/>
    <x v="1"/>
    <n v="16936"/>
    <m/>
    <m/>
    <m/>
  </r>
  <r>
    <x v="9"/>
    <x v="4"/>
    <s v="F:\images\2021-CHG-ACH-FAD 3\plaque 1/@09 Fadrozole 0.08 µg_L/E9_03.tif "/>
    <s v=" 281.1886 "/>
    <s v=" 63.7692 "/>
    <x v="1"/>
    <n v="17931"/>
    <m/>
    <m/>
    <m/>
  </r>
  <r>
    <x v="9"/>
    <x v="5"/>
    <s v="F:\images\2021-CHG-ACH-FAD 3\plaque 1/@09 Fadrozole 0.08 µg_L/F9_01.tif "/>
    <s v=" 6532.2282 "/>
    <s v=" 73.2914 "/>
    <x v="1"/>
    <n v="478756"/>
    <m/>
    <m/>
    <m/>
  </r>
  <r>
    <x v="9"/>
    <x v="5"/>
    <s v="F:\images\2021-CHG-ACH-FAD 3\plaque 1/@09 Fadrozole 0.08 µg_L/F9_02.tif "/>
    <s v=" 6186.1499 "/>
    <s v=" 74.6538 "/>
    <x v="1"/>
    <n v="461820"/>
    <m/>
    <m/>
    <m/>
  </r>
  <r>
    <x v="9"/>
    <x v="5"/>
    <s v="F:\images\2021-CHG-ACH-FAD 3\plaque 1/@09 Fadrozole 0.08 µg_L/F9_03.tif "/>
    <s v=" 1708.7617 "/>
    <s v=" 65.6203 "/>
    <x v="1"/>
    <n v="112129"/>
    <m/>
    <m/>
    <m/>
  </r>
  <r>
    <x v="9"/>
    <x v="6"/>
    <s v="F:\images\2021-CHG-ACH-FAD 3\plaque 1/@09 Fadrozole 0.08 µg_L/G9_01.tif "/>
    <s v=" 1081.4947 "/>
    <s v=" 63.56 "/>
    <x v="1"/>
    <n v="68740"/>
    <m/>
    <m/>
    <m/>
  </r>
  <r>
    <x v="9"/>
    <x v="6"/>
    <s v="F:\images\2021-CHG-ACH-FAD 3\plaque 1/@09 Fadrozole 0.08 µg_L/G9_02.tif "/>
    <s v=" 454.2278 "/>
    <s v=" 63.9048 "/>
    <x v="1"/>
    <n v="29027"/>
    <m/>
    <m/>
    <m/>
  </r>
  <r>
    <x v="9"/>
    <x v="6"/>
    <s v="F:\images\2021-CHG-ACH-FAD 3\plaque 1/@09 Fadrozole 0.08 µg_L/G9_03.tif "/>
    <s v=" 281.1886 "/>
    <s v=" 63.1538 "/>
    <x v="1"/>
    <n v="17758"/>
    <m/>
    <m/>
    <m/>
  </r>
  <r>
    <x v="9"/>
    <x v="7"/>
    <s v="F:\images\2021-CHG-ACH-FAD 3\plaque 1/@09 Fadrozole 0.08 µg_L/H9_01.tif "/>
    <s v=" 216.2989 "/>
    <s v=" 63.3 "/>
    <x v="1"/>
    <n v="13692"/>
    <m/>
    <m/>
    <m/>
  </r>
  <r>
    <x v="9"/>
    <x v="7"/>
    <s v="F:\images\2021-CHG-ACH-FAD 3\plaque 1/@09 Fadrozole 0.08 µg_L/H9_02.tif "/>
    <s v=" 237.9288 "/>
    <s v=" 62.9091 "/>
    <x v="1"/>
    <n v="14968"/>
    <m/>
    <m/>
    <m/>
  </r>
  <r>
    <x v="9"/>
    <x v="7"/>
    <s v="F:\images\2021-CHG-ACH-FAD 3\plaque 1/@09 Fadrozole 0.08 µg_L/H9_03.tif "/>
    <s v=" 237.9288 "/>
    <n v="64"/>
    <x v="1"/>
    <n v="15227"/>
    <m/>
    <m/>
    <m/>
  </r>
  <r>
    <x v="1"/>
    <x v="8"/>
    <s v=" "/>
    <m/>
    <m/>
    <x v="0"/>
    <m/>
    <m/>
    <m/>
    <m/>
  </r>
  <r>
    <x v="1"/>
    <x v="8"/>
    <s v="group "/>
    <s v=" "/>
    <s v=" mean of mean fluo "/>
    <x v="2"/>
    <s v=" mean of total fluo "/>
    <s v=" SD total fluo "/>
    <s v=" n fluorescent "/>
    <s v=" n total"/>
  </r>
  <r>
    <x v="9"/>
    <x v="9"/>
    <s v="F:\images\2021-CHG-ACH-FAD 3\plaque 1/@09 Fadrozole 0.08 µg_L/ "/>
    <s v=" "/>
    <s v=" 65.704 "/>
    <x v="11"/>
    <s v=" 131490.708 "/>
    <s v=" 170686.476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0"/>
    <x v="0"/>
    <s v="F:\images\2021-CHG-ACH-FAD 3\plaque 1/@10 Fadrozole 0.4 µg_L/A10_01.tif "/>
    <s v=" 5212.8046 "/>
    <s v=" 68.0705 "/>
    <x v="1"/>
    <n v="354838"/>
    <m/>
    <m/>
    <m/>
  </r>
  <r>
    <x v="10"/>
    <x v="0"/>
    <s v="F:\images\2021-CHG-ACH-FAD 3\plaque 1/@10 Fadrozole 0.4 µg_L/A10_02.tif "/>
    <s v=" 367.7082 "/>
    <s v=" 63.3529 "/>
    <x v="1"/>
    <n v="23295"/>
    <m/>
    <m/>
    <m/>
  </r>
  <r>
    <x v="10"/>
    <x v="0"/>
    <s v="F:\images\2021-CHG-ACH-FAD 3\plaque 1/@10 Fadrozole 0.4 µg_L/A10_03.tif "/>
    <s v=" 4931.616 "/>
    <s v=" 71.0307 "/>
    <x v="1"/>
    <n v="350296"/>
    <m/>
    <m/>
    <m/>
  </r>
  <r>
    <x v="10"/>
    <x v="1"/>
    <s v="F:\images\2021-CHG-ACH-FAD 3\plaque 1/@10 Fadrozole 0.4 µg_L/B10_01.tif "/>
    <s v=" 7289.2745 "/>
    <s v=" 72.5786 "/>
    <x v="1"/>
    <n v="529046"/>
    <m/>
    <m/>
    <m/>
  </r>
  <r>
    <x v="10"/>
    <x v="1"/>
    <s v="F:\images\2021-CHG-ACH-FAD 3\plaque 1/@10 Fadrozole 0.4 µg_L/B10_02.tif "/>
    <s v=" 3871.7511 "/>
    <s v=" 65.4581 "/>
    <x v="1"/>
    <n v="253437"/>
    <m/>
    <m/>
    <m/>
  </r>
  <r>
    <x v="10"/>
    <x v="1"/>
    <s v="F:\images\2021-CHG-ACH-FAD 3\plaque 1/@10 Fadrozole 0.4 µg_L/B10_03.tif "/>
    <s v=" 2595.5874 "/>
    <s v=" 65.1667 "/>
    <x v="1"/>
    <n v="169146"/>
    <m/>
    <m/>
    <m/>
  </r>
  <r>
    <x v="10"/>
    <x v="2"/>
    <s v="F:\images\2021-CHG-ACH-FAD 3\plaque 1/@10 Fadrozole 0.4 µg_L/C10_01.tif "/>
    <s v=" 6121.2602 "/>
    <s v=" 78.8905 "/>
    <x v="1"/>
    <n v="482909"/>
    <m/>
    <m/>
    <m/>
  </r>
  <r>
    <x v="10"/>
    <x v="2"/>
    <s v="F:\images\2021-CHG-ACH-FAD 3\plaque 1/@10 Fadrozole 0.4 µg_L/C10_02.tif "/>
    <s v=" 5710.2922 "/>
    <s v=" 72.4167 "/>
    <x v="1"/>
    <n v="413520"/>
    <m/>
    <m/>
    <m/>
  </r>
  <r>
    <x v="10"/>
    <x v="2"/>
    <s v="F:\images\2021-CHG-ACH-FAD 3\plaque 1/@10 Fadrozole 0.4 µg_L/C10_03.tif "/>
    <s v=" 4801.8366 "/>
    <s v=" 66.4279 "/>
    <x v="1"/>
    <n v="318976"/>
    <m/>
    <m/>
    <m/>
  </r>
  <r>
    <x v="10"/>
    <x v="3"/>
    <s v="F:\images\2021-CHG-ACH-FAD 3\plaque 1/@10 Fadrozole 0.4 µg_L/D10_01- exclu.tif"/>
    <m/>
    <m/>
    <x v="0"/>
    <m/>
    <m/>
    <m/>
    <m/>
  </r>
  <r>
    <x v="10"/>
    <x v="3"/>
    <s v="F:\images\2021-CHG-ACH-FAD 3\plaque 1/@10 Fadrozole 0.4 µg_L/D10_02- exclu.tif"/>
    <m/>
    <m/>
    <x v="0"/>
    <m/>
    <m/>
    <m/>
    <m/>
  </r>
  <r>
    <x v="10"/>
    <x v="3"/>
    <s v="F:\images\2021-CHG-ACH-FAD 3\plaque 1/@10 Fadrozole 0.4 µg_L/D10_03.tif "/>
    <s v=" 281.1886 "/>
    <s v=" 65.6154 "/>
    <x v="1"/>
    <n v="18450"/>
    <m/>
    <m/>
    <m/>
  </r>
  <r>
    <x v="10"/>
    <x v="4"/>
    <s v="F:\images\2021-CHG-ACH-FAD 3\plaque 1/@10 Fadrozole 0.4 µg_L/E10_01.tif "/>
    <s v=" 562.3773 "/>
    <s v=" 66.9615 "/>
    <x v="1"/>
    <n v="37658"/>
    <m/>
    <m/>
    <m/>
  </r>
  <r>
    <x v="10"/>
    <x v="4"/>
    <s v="F:\images\2021-CHG-ACH-FAD 3\plaque 1/@10 Fadrozole 0.4 µg_L/E10_02.tif "/>
    <s v=" 865.1958 "/>
    <s v=" 67.85 "/>
    <x v="1"/>
    <n v="58704"/>
    <m/>
    <m/>
    <m/>
  </r>
  <r>
    <x v="10"/>
    <x v="4"/>
    <s v="F:\images\2021-CHG-ACH-FAD 3\plaque 1/@10 Fadrozole 0.4 µg_L/E10_03.tif "/>
    <s v=" 346.0783 "/>
    <s v=" 62.4375 "/>
    <x v="1"/>
    <n v="21608"/>
    <m/>
    <m/>
    <m/>
  </r>
  <r>
    <x v="10"/>
    <x v="5"/>
    <s v="F:\images\2021-CHG-ACH-FAD 3\plaque 1/@10 Fadrozole 0.4 µg_L/F10_01.tif "/>
    <s v=" 670.5267 "/>
    <s v=" 63.7097 "/>
    <x v="1"/>
    <n v="42719"/>
    <m/>
    <m/>
    <m/>
  </r>
  <r>
    <x v="10"/>
    <x v="5"/>
    <s v="F:\images\2021-CHG-ACH-FAD 3\plaque 1/@10 Fadrozole 0.4 µg_L/F10_02.tif "/>
    <s v=" 1168.0143 "/>
    <s v=" 62.9074 "/>
    <x v="1"/>
    <n v="73477"/>
    <m/>
    <m/>
    <m/>
  </r>
  <r>
    <x v="10"/>
    <x v="5"/>
    <s v="F:\images\2021-CHG-ACH-FAD 3\plaque 1/@10 Fadrozole 0.4 µg_L/F10_03.tif "/>
    <s v=" 64.8897 "/>
    <s v=" 65.6667 "/>
    <x v="1"/>
    <n v="4261"/>
    <m/>
    <m/>
    <m/>
  </r>
  <r>
    <x v="10"/>
    <x v="6"/>
    <s v="F:\images\2021-CHG-ACH-FAD 3\plaque 1/@10 Fadrozole 0.4 µg_L/G10_01.tif "/>
    <s v=" 2141.3596 "/>
    <s v=" 65.8384 "/>
    <x v="1"/>
    <n v="140984"/>
    <m/>
    <m/>
    <m/>
  </r>
  <r>
    <x v="10"/>
    <x v="6"/>
    <s v="F:\images\2021-CHG-ACH-FAD 3\plaque 1/@10 Fadrozole 0.4 µg_L/G10_02.tif "/>
    <s v=" 6078.0004 "/>
    <s v=" 68.8968 "/>
    <x v="1"/>
    <n v="418755"/>
    <m/>
    <m/>
    <m/>
  </r>
  <r>
    <x v="10"/>
    <x v="6"/>
    <s v="F:\images\2021-CHG-ACH-FAD 3\plaque 1/@10 Fadrozole 0.4 µg_L/G10_03.tif "/>
    <s v=" 8868.2568 "/>
    <s v=" 69.8683 "/>
    <x v="1"/>
    <n v="619610"/>
    <m/>
    <m/>
    <m/>
  </r>
  <r>
    <x v="10"/>
    <x v="7"/>
    <s v="F:\images\2021-CHG-ACH-FAD 3\plaque 1/@10 Fadrozole 0.4 µg_L/H10_01.tif "/>
    <s v=" 2314.3987 "/>
    <s v=" 66.4486 "/>
    <x v="1"/>
    <n v="153789"/>
    <m/>
    <m/>
    <m/>
  </r>
  <r>
    <x v="10"/>
    <x v="7"/>
    <s v="F:\images\2021-CHG-ACH-FAD 3\plaque 1/@10 Fadrozole 0.4 µg_L/H10_02.tif "/>
    <s v=" 237.9288 "/>
    <s v=" 64.4545 "/>
    <x v="1"/>
    <n v="15336"/>
    <m/>
    <m/>
    <m/>
  </r>
  <r>
    <x v="10"/>
    <x v="7"/>
    <s v="F:\images\2021-CHG-ACH-FAD 3\plaque 1/@10 Fadrozole 0.4 µg_L/H10_03- exclu.tif"/>
    <m/>
    <m/>
    <x v="0"/>
    <m/>
    <m/>
    <m/>
    <m/>
  </r>
  <r>
    <x v="1"/>
    <x v="8"/>
    <s v=" "/>
    <m/>
    <m/>
    <x v="0"/>
    <m/>
    <m/>
    <m/>
    <m/>
  </r>
  <r>
    <x v="1"/>
    <x v="8"/>
    <s v="group "/>
    <s v=" "/>
    <s v=" mean of mean fluo "/>
    <x v="2"/>
    <s v=" mean of total fluo "/>
    <s v=" SD total fluo "/>
    <s v=" n fluorescent "/>
    <s v=" n total"/>
  </r>
  <r>
    <x v="10"/>
    <x v="9"/>
    <s v="F:\images\2021-CHG-ACH-FAD 3\plaque 1/@10 Fadrozole 0.4 µg_L/ "/>
    <s v=" "/>
    <s v=" 66.9476 "/>
    <x v="12"/>
    <n v="204170"/>
    <s v=" 195419.676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1"/>
    <x v="0"/>
    <s v="F:\images\2021-CHG-ACH-FAD 3\plaque 1/@11 Fadrozole 2 µg_L/A11_01.tif "/>
    <s v=" 2876.776 "/>
    <s v=" 64.7594 "/>
    <x v="1"/>
    <n v="186298"/>
    <m/>
    <m/>
    <m/>
  </r>
  <r>
    <x v="11"/>
    <x v="0"/>
    <s v="F:\images\2021-CHG-ACH-FAD 3\plaque 1/@11 Fadrozole 2 µg_L/A11_02.tif "/>
    <s v=" 2249.509 "/>
    <s v=" 65.9904 "/>
    <x v="1"/>
    <n v="148446"/>
    <m/>
    <m/>
    <m/>
  </r>
  <r>
    <x v="11"/>
    <x v="0"/>
    <s v="F:\images\2021-CHG-ACH-FAD 3\plaque 1/@11 Fadrozole 2 µg_L/A11_03.tif "/>
    <s v=" 2249.509 "/>
    <s v=" 63.7981 "/>
    <x v="1"/>
    <n v="143514"/>
    <m/>
    <m/>
    <m/>
  </r>
  <r>
    <x v="11"/>
    <x v="1"/>
    <s v="F:\images\2021-CHG-ACH-FAD 3\plaque 1/@11 Fadrozole 2 µg_L/B11_01.tif "/>
    <s v=" 1773.6514 "/>
    <s v=" 64.561 "/>
    <x v="1"/>
    <n v="114509"/>
    <m/>
    <m/>
    <m/>
  </r>
  <r>
    <x v="11"/>
    <x v="1"/>
    <s v="F:\images\2021-CHG-ACH-FAD 3\plaque 1/@11 Fadrozole 2 µg_L/B11_02.tif "/>
    <s v=" 259.5587 "/>
    <s v=" 63.5833 "/>
    <x v="1"/>
    <n v="16504"/>
    <m/>
    <m/>
    <m/>
  </r>
  <r>
    <x v="11"/>
    <x v="1"/>
    <s v="F:\images\2021-CHG-ACH-FAD 3\plaque 1/@11 Fadrozole 2 µg_L/B11_03.tif "/>
    <s v=" 4304.349 "/>
    <s v=" 70.4925 "/>
    <x v="1"/>
    <n v="303424"/>
    <m/>
    <m/>
    <m/>
  </r>
  <r>
    <x v="11"/>
    <x v="2"/>
    <s v="F:\images\2021-CHG-ACH-FAD 3\plaque 1/@11 Fadrozole 2 µg_L/C11_01.tif "/>
    <s v=" 108.1495 "/>
    <s v=" 61.6 "/>
    <x v="1"/>
    <n v="6662"/>
    <m/>
    <m/>
    <m/>
  </r>
  <r>
    <x v="11"/>
    <x v="2"/>
    <s v="F:\images\2021-CHG-ACH-FAD 3\plaque 1/@11 Fadrozole 2 µg_L/C11_02.tif "/>
    <s v=" 151.4093 "/>
    <s v=" 61.2857 "/>
    <x v="1"/>
    <n v="9279"/>
    <m/>
    <m/>
    <m/>
  </r>
  <r>
    <x v="11"/>
    <x v="2"/>
    <s v="F:\images\2021-CHG-ACH-FAD 3\plaque 1/@11 Fadrozole 2 µg_L/C11_03.tif "/>
    <s v=" 129.7794 "/>
    <s v=" 63.6667 "/>
    <x v="1"/>
    <n v="8263"/>
    <m/>
    <m/>
    <m/>
  </r>
  <r>
    <x v="11"/>
    <x v="3"/>
    <s v="F:\images\2021-CHG-ACH-FAD 3\plaque 1/@11 Fadrozole 2 µg_L/D11_01.tif "/>
    <s v=" 562.3773 "/>
    <s v=" 66.1923 "/>
    <x v="1"/>
    <n v="37225"/>
    <m/>
    <m/>
    <m/>
  </r>
  <r>
    <x v="11"/>
    <x v="3"/>
    <s v="F:\images\2021-CHG-ACH-FAD 3\plaque 1/@11 Fadrozole 2 µg_L/D11_02.tif "/>
    <s v=" 346.0783 "/>
    <s v=" 63.3125 "/>
    <x v="1"/>
    <n v="21911"/>
    <m/>
    <m/>
    <m/>
  </r>
  <r>
    <x v="11"/>
    <x v="3"/>
    <s v="F:\images\2021-CHG-ACH-FAD 3\plaque 1/@11 Fadrozole 2 µg_L/D11_03.tif "/>
    <s v=" 540.7474 "/>
    <s v=" 65.28 "/>
    <x v="1"/>
    <n v="35300"/>
    <m/>
    <m/>
    <m/>
  </r>
  <r>
    <x v="11"/>
    <x v="4"/>
    <s v="F:\images\2021-CHG-ACH-FAD 3\plaque 1/@11 Fadrozole 2 µg_L/E11_01.tif "/>
    <s v=" 7851.6518 "/>
    <s v=" 71.3333 "/>
    <x v="1"/>
    <n v="560084"/>
    <m/>
    <m/>
    <m/>
  </r>
  <r>
    <x v="11"/>
    <x v="4"/>
    <s v="F:\images\2021-CHG-ACH-FAD 3\plaque 1/@11 Fadrozole 2 µg_L/E11_02.tif "/>
    <s v=" 389.3381 "/>
    <s v=" 62.5556 "/>
    <x v="1"/>
    <n v="24355"/>
    <m/>
    <m/>
    <m/>
  </r>
  <r>
    <x v="11"/>
    <x v="4"/>
    <s v="F:\images\2021-CHG-ACH-FAD 3\plaque 1/@11 Fadrozole 2 µg_L/E11_03.tif "/>
    <s v=" 1860.1709 "/>
    <s v=" 64.4535 "/>
    <x v="1"/>
    <n v="119895"/>
    <m/>
    <m/>
    <m/>
  </r>
  <r>
    <x v="11"/>
    <x v="5"/>
    <s v="F:\images\2021-CHG-ACH-FAD 3\plaque 1/@11 Fadrozole 2 µg_L/F11_01.tif "/>
    <s v=" 6597.1179 "/>
    <s v=" 69.0984 "/>
    <x v="1"/>
    <n v="455850"/>
    <m/>
    <m/>
    <m/>
  </r>
  <r>
    <x v="11"/>
    <x v="5"/>
    <s v="F:\images\2021-CHG-ACH-FAD 3\plaque 1/@11 Fadrozole 2 µg_L/F11_02- exclu.tif"/>
    <m/>
    <m/>
    <x v="0"/>
    <m/>
    <m/>
    <m/>
    <m/>
  </r>
  <r>
    <x v="11"/>
    <x v="5"/>
    <s v="F:\images\2021-CHG-ACH-FAD 3\plaque 1/@11 Fadrozole 2 µg_L/F11_03.tif "/>
    <s v=" 540.7474 "/>
    <s v=" 64.12 "/>
    <x v="1"/>
    <n v="34673"/>
    <m/>
    <m/>
    <m/>
  </r>
  <r>
    <x v="11"/>
    <x v="6"/>
    <s v="F:\images\2021-CHG-ACH-FAD 3\plaque 1/@11 Fadrozole 2 µg_L/G11_01.tif "/>
    <s v=" 3612.1924 "/>
    <s v=" 67.6527 "/>
    <x v="1"/>
    <n v="244375"/>
    <m/>
    <m/>
    <m/>
  </r>
  <r>
    <x v="11"/>
    <x v="6"/>
    <s v="F:\images\2021-CHG-ACH-FAD 3\plaque 1/@11 Fadrozole 2 µg_L/G11_02.tif "/>
    <s v=" 627.2669 "/>
    <s v=" 64.1034 "/>
    <x v="1"/>
    <n v="40210"/>
    <m/>
    <m/>
    <m/>
  </r>
  <r>
    <x v="11"/>
    <x v="6"/>
    <s v="F:\images\2021-CHG-ACH-FAD 3\plaque 1/@11 Fadrozole 2 µg_L/G11_03.tif "/>
    <s v=" 973.3453 "/>
    <s v=" 64.3556 "/>
    <x v="1"/>
    <n v="62640"/>
    <m/>
    <m/>
    <m/>
  </r>
  <r>
    <x v="11"/>
    <x v="7"/>
    <s v="F:\images\2021-CHG-ACH-FAD 3\plaque 1/@11 Fadrozole 2 µg_L/H11_01.tif "/>
    <s v=" 475.8577 "/>
    <s v=" 62.4091 "/>
    <x v="1"/>
    <n v="29698"/>
    <m/>
    <m/>
    <m/>
  </r>
  <r>
    <x v="11"/>
    <x v="7"/>
    <s v="F:\images\2021-CHG-ACH-FAD 3\plaque 1/@11 Fadrozole 2 µg_L/H11_02.tif "/>
    <s v=" 237.9288 "/>
    <s v=" 62.7273 "/>
    <x v="1"/>
    <n v="14925"/>
    <m/>
    <m/>
    <m/>
  </r>
  <r>
    <x v="11"/>
    <x v="7"/>
    <s v="F:\images\2021-CHG-ACH-FAD 3\plaque 1/@11 Fadrozole 2 µg_L/H11_03.tif "/>
    <s v=" 173.0392 "/>
    <s v=" 63.375 "/>
    <x v="1"/>
    <n v="10966"/>
    <m/>
    <m/>
    <m/>
  </r>
  <r>
    <x v="1"/>
    <x v="8"/>
    <s v=" "/>
    <m/>
    <m/>
    <x v="0"/>
    <m/>
    <m/>
    <m/>
    <m/>
  </r>
  <r>
    <x v="1"/>
    <x v="8"/>
    <s v="group "/>
    <s v=" "/>
    <s v=" mean of mean fluo "/>
    <x v="2"/>
    <s v=" mean of total fluo "/>
    <s v=" SD total fluo "/>
    <s v=" n fluorescent "/>
    <s v=" n total"/>
  </r>
  <r>
    <x v="11"/>
    <x v="9"/>
    <s v="F:\images\2021-CHG-ACH-FAD 3\plaque 1/@11 Fadrozole 2 µg_L/ "/>
    <s v=" "/>
    <s v=" 64.8903 "/>
    <x v="13"/>
    <s v=" 114348.25 "/>
    <s v=" 145921.759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2"/>
    <x v="0"/>
    <s v="F:\images\2021-CHG-ACH-FAD 3\plaque 1/@12 Fadrozole 10 µg_L/A12_01.tif "/>
    <s v=" 4282.7191 "/>
    <s v=" 66.2677 "/>
    <x v="1"/>
    <n v="283806"/>
    <m/>
    <m/>
    <m/>
  </r>
  <r>
    <x v="12"/>
    <x v="0"/>
    <s v="F:\images\2021-CHG-ACH-FAD 3\plaque 1/@12 Fadrozole 10 µg_L/A12_02.tif "/>
    <s v=" 3201.2244 "/>
    <s v=" 64.8784 "/>
    <x v="1"/>
    <n v="207690"/>
    <m/>
    <m/>
    <m/>
  </r>
  <r>
    <x v="12"/>
    <x v="0"/>
    <s v="F:\images\2021-CHG-ACH-FAD 3\plaque 1/@12 Fadrozole 10 µg_L/A12_03.tif "/>
    <s v=" 194.6691 "/>
    <s v=" 62.5556 "/>
    <x v="1"/>
    <n v="12178"/>
    <m/>
    <m/>
    <m/>
  </r>
  <r>
    <x v="12"/>
    <x v="1"/>
    <s v="F:\images\2021-CHG-ACH-FAD 3\plaque 1/@12 Fadrozole 10 µg_L/B12_01.tif "/>
    <s v=" 735.4164 "/>
    <s v=" 62.6765 "/>
    <x v="1"/>
    <n v="46093"/>
    <m/>
    <m/>
    <m/>
  </r>
  <r>
    <x v="12"/>
    <x v="1"/>
    <s v="F:\images\2021-CHG-ACH-FAD 3\plaque 1/@12 Fadrozole 10 µg_L/B12_02.tif "/>
    <s v=" 281.1886 "/>
    <s v=" 62.9231 "/>
    <x v="1"/>
    <n v="17693"/>
    <m/>
    <m/>
    <m/>
  </r>
  <r>
    <x v="12"/>
    <x v="1"/>
    <s v="F:\images\2021-CHG-ACH-FAD 3\plaque 1/@12 Fadrozole 10 µg_L/B12_03.tif "/>
    <s v=" 216.2989 "/>
    <s v=" 66.2 "/>
    <x v="1"/>
    <n v="14319"/>
    <m/>
    <m/>
    <m/>
  </r>
  <r>
    <x v="12"/>
    <x v="2"/>
    <s v="F:\images\2021-CHG-ACH-FAD 3\plaque 1/@12 Fadrozole 10 µg_L/C12_01.tif "/>
    <s v=" 5926.5911 "/>
    <s v=" 71.4343 "/>
    <x v="1"/>
    <n v="423362"/>
    <m/>
    <m/>
    <m/>
  </r>
  <r>
    <x v="12"/>
    <x v="2"/>
    <s v="F:\images\2021-CHG-ACH-FAD 3\plaque 1/@12 Fadrozole 10 µg_L/C12_02.tif "/>
    <s v=" 821.936 "/>
    <s v=" 66.0526 "/>
    <x v="1"/>
    <n v="54291"/>
    <m/>
    <m/>
    <m/>
  </r>
  <r>
    <x v="12"/>
    <x v="2"/>
    <s v="F:\images\2021-CHG-ACH-FAD 3\plaque 1/@12 Fadrozole 10 µg_L/C12_03.tif "/>
    <s v=" 3806.8615 "/>
    <s v=" 68.1023 "/>
    <x v="1"/>
    <n v="259256"/>
    <m/>
    <m/>
    <m/>
  </r>
  <r>
    <x v="12"/>
    <x v="3"/>
    <s v="F:\images\2021-CHG-ACH-FAD 3\plaque 1/@12 Fadrozole 10 µg_L/D12_01.tif "/>
    <s v=" 475.8577 "/>
    <s v=" 65.2273 "/>
    <x v="1"/>
    <n v="31039"/>
    <m/>
    <m/>
    <m/>
  </r>
  <r>
    <x v="12"/>
    <x v="3"/>
    <s v="F:\images\2021-CHG-ACH-FAD 3\plaque 1/@12 Fadrozole 10 µg_L/D12_02.tif "/>
    <s v=" 129.7794 "/>
    <n v="64"/>
    <x v="1"/>
    <n v="8306"/>
    <m/>
    <m/>
    <m/>
  </r>
  <r>
    <x v="12"/>
    <x v="3"/>
    <s v="F:\images\2021-CHG-ACH-FAD 3\plaque 1/@12 Fadrozole 10 µg_L/D12_03.tif "/>
    <s v=" 216.2989 "/>
    <s v=" 63.1 "/>
    <x v="1"/>
    <n v="13648"/>
    <m/>
    <m/>
    <m/>
  </r>
  <r>
    <x v="12"/>
    <x v="4"/>
    <s v="F:\images\2021-CHG-ACH-FAD 3\plaque 1/@12 Fadrozole 10 µg_L/E12_01.tif "/>
    <s v=" 3093.0749 "/>
    <s v=" 65.4615 "/>
    <x v="1"/>
    <n v="202477"/>
    <m/>
    <m/>
    <m/>
  </r>
  <r>
    <x v="12"/>
    <x v="4"/>
    <s v="F:\images\2021-CHG-ACH-FAD 3\plaque 1/@12 Fadrozole 10 µg_L/E12_02.tif "/>
    <s v=" 259.5587 "/>
    <s v=" 63.6667 "/>
    <x v="1"/>
    <n v="16525"/>
    <m/>
    <m/>
    <m/>
  </r>
  <r>
    <x v="12"/>
    <x v="4"/>
    <s v="F:\images\2021-CHG-ACH-FAD 3\plaque 1/@12 Fadrozole 10 µg_L/E12_03- exclu.tif"/>
    <m/>
    <m/>
    <x v="0"/>
    <m/>
    <m/>
    <m/>
    <m/>
  </r>
  <r>
    <x v="12"/>
    <x v="5"/>
    <s v="F:\images\2021-CHG-ACH-FAD 3\plaque 1/@12 Fadrozole 10 µg_L/F12_01.tif "/>
    <s v=" 129.7794 "/>
    <s v=" 64.1667 "/>
    <x v="1"/>
    <n v="8328"/>
    <m/>
    <m/>
    <m/>
  </r>
  <r>
    <x v="12"/>
    <x v="5"/>
    <s v="F:\images\2021-CHG-ACH-FAD 3\plaque 1/@12 Fadrozole 10 µg_L/F12_02.tif "/>
    <s v=" 129.7794 "/>
    <s v=" 63.6667 "/>
    <x v="1"/>
    <n v="8263"/>
    <m/>
    <m/>
    <m/>
  </r>
  <r>
    <x v="12"/>
    <x v="5"/>
    <s v="F:\images\2021-CHG-ACH-FAD 3\plaque 1/@12 Fadrozole 10 µg_L/F12_03.tif "/>
    <s v=" 108.1495 "/>
    <s v=" 64.8 "/>
    <x v="1"/>
    <n v="7008"/>
    <m/>
    <m/>
    <m/>
  </r>
  <r>
    <x v="12"/>
    <x v="6"/>
    <s v="F:\images\2021-CHG-ACH-FAD 3\plaque 1/@12 Fadrozole 10 µg_L/G12_01.tif "/>
    <s v=" 2833.5162 "/>
    <s v=" 64.8473 "/>
    <x v="1"/>
    <n v="183746"/>
    <m/>
    <m/>
    <m/>
  </r>
  <r>
    <x v="12"/>
    <x v="6"/>
    <s v="F:\images\2021-CHG-ACH-FAD 3\plaque 1/@12 Fadrozole 10 µg_L/G12_02.tif "/>
    <s v=" 1103.1246 "/>
    <s v=" 64.3922 "/>
    <x v="1"/>
    <n v="71033"/>
    <m/>
    <m/>
    <m/>
  </r>
  <r>
    <x v="12"/>
    <x v="6"/>
    <s v="F:\images\2021-CHG-ACH-FAD 3\plaque 1/@12 Fadrozole 10 µg_L/G12_03.tif "/>
    <s v=" 3568.9326 "/>
    <s v=" 65.5273 "/>
    <x v="1"/>
    <n v="233862"/>
    <m/>
    <m/>
    <m/>
  </r>
  <r>
    <x v="12"/>
    <x v="7"/>
    <s v="F:\images\2021-CHG-ACH-FAD 3\plaque 1/@12 Fadrozole 10 µg_L/H12_01.tif "/>
    <s v=" 281.1886 "/>
    <s v=" 61.8462 "/>
    <x v="1"/>
    <n v="17390"/>
    <m/>
    <m/>
    <m/>
  </r>
  <r>
    <x v="12"/>
    <x v="7"/>
    <s v="F:\images\2021-CHG-ACH-FAD 3\plaque 1/@12 Fadrozole 10 µg_L/H12_02.tif "/>
    <s v=" 367.7082 "/>
    <s v=" 61.9412 "/>
    <x v="1"/>
    <n v="22776"/>
    <m/>
    <m/>
    <m/>
  </r>
  <r>
    <x v="12"/>
    <x v="7"/>
    <s v="F:\images\2021-CHG-ACH-FAD 3\plaque 1/@12 Fadrozole 10 µg_L/H12_03.tif "/>
    <s v=" 6078.0004 "/>
    <s v=" 66.363 "/>
    <x v="1"/>
    <n v="403354"/>
    <m/>
    <m/>
    <m/>
  </r>
  <r>
    <x v="1"/>
    <x v="8"/>
    <s v=" "/>
    <m/>
    <m/>
    <x v="0"/>
    <m/>
    <m/>
    <m/>
    <m/>
  </r>
  <r>
    <x v="1"/>
    <x v="8"/>
    <s v="group "/>
    <s v=" "/>
    <s v=" mean of mean fluo "/>
    <x v="2"/>
    <s v=" mean of total fluo "/>
    <s v=" SD total fluo "/>
    <s v=" n fluorescent "/>
    <s v=" n total"/>
  </r>
  <r>
    <x v="12"/>
    <x v="9"/>
    <s v="F:\images\2021-CHG-ACH-FAD 3\plaque 1/@12 Fadrozole 10 µg_L/ "/>
    <s v=" "/>
    <s v=" 64.7873 "/>
    <x v="14"/>
    <s v=" 106393.792 "/>
    <s v=" 132523.506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3"/>
    <x v="0"/>
    <s v="F:\images\2021-CHG-ACH-FAD 3\plaque 2/@01 Testo 30/A1_01.tif "/>
    <s v=" 22668.1296 "/>
    <s v=" 69.333 "/>
    <x v="1"/>
    <n v="1571650"/>
    <m/>
    <m/>
    <m/>
  </r>
  <r>
    <x v="13"/>
    <x v="0"/>
    <s v="F:\images\2021-CHG-ACH-FAD 3\plaque 2/@01 Testo 30/A1_02.tif "/>
    <s v=" 23273.7666 "/>
    <s v=" 68.8857 "/>
    <x v="1"/>
    <n v="1603229"/>
    <m/>
    <m/>
    <m/>
  </r>
  <r>
    <x v="13"/>
    <x v="0"/>
    <s v="F:\images\2021-CHG-ACH-FAD 3\plaque 2/@01 Testo 30/A1_03.tif "/>
    <s v=" 3439.1532 "/>
    <s v=" 63.6604 "/>
    <x v="1"/>
    <n v="218938"/>
    <m/>
    <m/>
    <m/>
  </r>
  <r>
    <x v="13"/>
    <x v="1"/>
    <s v="F:\images\2021-CHG-ACH-FAD 3\plaque 2/@01 Testo 30/B1_01.tif "/>
    <s v=" 4499.0181 "/>
    <s v=" 66.0625 "/>
    <x v="1"/>
    <n v="297216"/>
    <m/>
    <m/>
    <m/>
  </r>
  <r>
    <x v="13"/>
    <x v="1"/>
    <s v="F:\images\2021-CHG-ACH-FAD 3\plaque 2/@01 Testo 30/B1_02.tif "/>
    <s v=" 4585.5377 "/>
    <s v=" 67.533 "/>
    <x v="1"/>
    <n v="309675"/>
    <m/>
    <m/>
    <m/>
  </r>
  <r>
    <x v="13"/>
    <x v="1"/>
    <s v="F:\images\2021-CHG-ACH-FAD 3\plaque 2/@01 Testo 30/B1_03.tif "/>
    <s v=" 648.8968 "/>
    <s v=" 62.6333 "/>
    <x v="1"/>
    <n v="40643"/>
    <m/>
    <m/>
    <m/>
  </r>
  <r>
    <x v="13"/>
    <x v="2"/>
    <s v="F:\images\2021-CHG-ACH-FAD 3\plaque 2/@01 Testo 30/C1_01.tif "/>
    <s v=" 2941.6657 "/>
    <s v=" 64.2059 "/>
    <x v="1"/>
    <n v="188872"/>
    <m/>
    <m/>
    <m/>
  </r>
  <r>
    <x v="13"/>
    <x v="2"/>
    <s v="F:\images\2021-CHG-ACH-FAD 3\plaque 2/@01 Testo 30/C1_02.tif "/>
    <s v=" 3006.5554 "/>
    <s v=" 64.1583 "/>
    <x v="1"/>
    <n v="192895"/>
    <m/>
    <m/>
    <m/>
  </r>
  <r>
    <x v="13"/>
    <x v="2"/>
    <s v="F:\images\2021-CHG-ACH-FAD 3\plaque 2/@01 Testo 30/C1_03.tif "/>
    <s v=" 3049.8151 "/>
    <s v=" 64.5887 "/>
    <x v="1"/>
    <n v="196983"/>
    <m/>
    <m/>
    <m/>
  </r>
  <r>
    <x v="13"/>
    <x v="3"/>
    <s v="F:\images\2021-CHG-ACH-FAD 3\plaque 2/@01 Testo 30/D1_01.tif "/>
    <s v=" 8608.6981 "/>
    <s v=" 67.5477 "/>
    <x v="1"/>
    <n v="581498"/>
    <m/>
    <m/>
    <m/>
  </r>
  <r>
    <x v="13"/>
    <x v="3"/>
    <s v="F:\images\2021-CHG-ACH-FAD 3\plaque 2/@01 Testo 30/D1_02.tif "/>
    <s v=" 7137.8652 "/>
    <s v=" 69.7394 "/>
    <x v="1"/>
    <n v="497790"/>
    <m/>
    <m/>
    <m/>
  </r>
  <r>
    <x v="13"/>
    <x v="3"/>
    <s v="F:\images\2021-CHG-ACH-FAD 3\plaque 2/@01 Testo 30/D1_03.tif "/>
    <s v=" 8738.4774 "/>
    <s v=" 68.8465 "/>
    <x v="1"/>
    <n v="601614"/>
    <m/>
    <m/>
    <m/>
  </r>
  <r>
    <x v="13"/>
    <x v="4"/>
    <s v="F:\images\2021-CHG-ACH-FAD 3\plaque 2/@01 Testo 30/E1_01.tif "/>
    <s v=" 605.637 "/>
    <s v=" 63.3214 "/>
    <x v="1"/>
    <n v="38350"/>
    <m/>
    <m/>
    <m/>
  </r>
  <r>
    <x v="13"/>
    <x v="4"/>
    <s v="F:\images\2021-CHG-ACH-FAD 3\plaque 2/@01 Testo 30/E1_02.tif "/>
    <s v=" 4931.616 "/>
    <s v=" 65.7719 "/>
    <x v="1"/>
    <n v="324362"/>
    <m/>
    <m/>
    <m/>
  </r>
  <r>
    <x v="13"/>
    <x v="4"/>
    <s v="F:\images\2021-CHG-ACH-FAD 3\plaque 2/@01 Testo 30/E1_03.tif "/>
    <s v=" 4520.648 "/>
    <s v=" 65.1005 "/>
    <x v="1"/>
    <n v="294296"/>
    <m/>
    <m/>
    <m/>
  </r>
  <r>
    <x v="13"/>
    <x v="5"/>
    <s v="F:\images\2021-CHG-ACH-FAD 3\plaque 2/@01 Testo 30/F1_01.tif "/>
    <s v=" 17801.4033 "/>
    <s v=" 70.7339 "/>
    <x v="1"/>
    <n v="1259163"/>
    <m/>
    <m/>
    <m/>
  </r>
  <r>
    <x v="13"/>
    <x v="5"/>
    <s v="F:\images\2021-CHG-ACH-FAD 3\plaque 2/@01 Testo 30/F1_02.tif "/>
    <s v=" 22170.642 "/>
    <s v=" 70.0293 "/>
    <x v="1"/>
    <n v="1552594"/>
    <m/>
    <m/>
    <m/>
  </r>
  <r>
    <x v="13"/>
    <x v="5"/>
    <s v="F:\images\2021-CHG-ACH-FAD 3\plaque 2/@01 Testo 30/F1_03.tif "/>
    <s v=" 17455.325 "/>
    <s v=" 67.8377 "/>
    <x v="1"/>
    <n v="1184129"/>
    <m/>
    <m/>
    <m/>
  </r>
  <r>
    <x v="13"/>
    <x v="6"/>
    <s v="F:\images\2021-CHG-ACH-FAD 3\plaque 2/@01 Testo 30/G1_01.tif "/>
    <s v=" 33353.2975 "/>
    <s v=" 73.8852 "/>
    <x v="1"/>
    <n v="2464316"/>
    <m/>
    <m/>
    <m/>
  </r>
  <r>
    <x v="13"/>
    <x v="6"/>
    <s v="F:\images\2021-CHG-ACH-FAD 3\plaque 2/@01 Testo 30/G1_02.tif "/>
    <s v=" 31644.5358 "/>
    <s v=" 74.2816 "/>
    <x v="1"/>
    <n v="2350607"/>
    <m/>
    <m/>
    <m/>
  </r>
  <r>
    <x v="13"/>
    <x v="6"/>
    <s v="F:\images\2021-CHG-ACH-FAD 3\plaque 2/@01 Testo 30/G1_03.tif "/>
    <s v=" 31731.0554 "/>
    <s v=" 74.4717 "/>
    <x v="1"/>
    <n v="2363066"/>
    <m/>
    <m/>
    <m/>
  </r>
  <r>
    <x v="13"/>
    <x v="7"/>
    <s v="F:\images\2021-CHG-ACH-FAD 3\plaque 2/@01 Testo 30/H1_01.tif "/>
    <s v=" 20959.3679 "/>
    <s v=" 67.1723 "/>
    <x v="1"/>
    <n v="1407890"/>
    <m/>
    <m/>
    <m/>
  </r>
  <r>
    <x v="13"/>
    <x v="7"/>
    <s v="F:\images\2021-CHG-ACH-FAD 3\plaque 2/@01 Testo 30/H1_02.tif "/>
    <s v=" 15465.3747 "/>
    <s v=" 66.3147 "/>
    <x v="1"/>
    <n v="1025581"/>
    <m/>
    <m/>
    <m/>
  </r>
  <r>
    <x v="13"/>
    <x v="7"/>
    <s v="F:\images\2021-CHG-ACH-FAD 3\plaque 2/@01 Testo 30/H1_03.tif "/>
    <s v=" 13172.6058 "/>
    <s v=" 65.9228 "/>
    <x v="1"/>
    <n v="868375"/>
    <m/>
    <m/>
    <m/>
  </r>
  <r>
    <x v="1"/>
    <x v="8"/>
    <s v=" "/>
    <m/>
    <m/>
    <x v="0"/>
    <m/>
    <m/>
    <m/>
    <m/>
  </r>
  <r>
    <x v="1"/>
    <x v="8"/>
    <s v="group "/>
    <s v=" "/>
    <s v=" mean of mean fluo "/>
    <x v="2"/>
    <s v=" mean of total fluo "/>
    <s v=" SD total fluo "/>
    <s v=" n fluorescent "/>
    <s v=" n total"/>
  </r>
  <r>
    <x v="13"/>
    <x v="9"/>
    <s v="F:\images\2021-CHG-ACH-FAD 3\plaque 2/@01 Testo 30/ "/>
    <s v=" "/>
    <s v=" 67.5849 "/>
    <x v="15"/>
    <s v=" 893072.167 "/>
    <s v=" 773297.927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4"/>
    <x v="0"/>
    <s v="F:\images\2021-CHG-ACH-FAD 3\plaque 2/@02 Testo 30/A2_01.tif "/>
    <s v=" 36597.7817 "/>
    <s v=" 69.5963 "/>
    <x v="1"/>
    <n v="2547072"/>
    <m/>
    <m/>
    <m/>
  </r>
  <r>
    <x v="14"/>
    <x v="0"/>
    <s v="F:\images\2021-CHG-ACH-FAD 3\plaque 2/@02 Testo 30/A2_02.tif "/>
    <s v=" 35299.988 "/>
    <s v=" 68.6409 "/>
    <x v="1"/>
    <n v="2423024"/>
    <m/>
    <m/>
    <m/>
  </r>
  <r>
    <x v="14"/>
    <x v="0"/>
    <s v="F:\images\2021-CHG-ACH-FAD 3\plaque 2/@02 Testo 30/A2_03.tif "/>
    <s v=" 38241.6537 "/>
    <s v=" 69.2534 "/>
    <x v="1"/>
    <n v="2648364"/>
    <m/>
    <m/>
    <m/>
  </r>
  <r>
    <x v="14"/>
    <x v="1"/>
    <s v="F:\images\2021-CHG-ACH-FAD 3\plaque 2/@02 Testo 30/B2_01.tif "/>
    <s v=" 67139.1929 "/>
    <s v=" 90.8705 "/>
    <x v="1"/>
    <n v="6100971"/>
    <m/>
    <m/>
    <m/>
  </r>
  <r>
    <x v="14"/>
    <x v="1"/>
    <s v="F:\images\2021-CHG-ACH-FAD 3\plaque 2/@02 Testo 30/B2_02.tif "/>
    <s v=" 70837.9049 "/>
    <s v=" 76.6046 "/>
    <x v="1"/>
    <n v="5426508"/>
    <m/>
    <m/>
    <m/>
  </r>
  <r>
    <x v="14"/>
    <x v="1"/>
    <s v="F:\images\2021-CHG-ACH-FAD 3\plaque 2/@02 Testo 30/B2_03.tif "/>
    <s v=" 66663.3352 "/>
    <s v=" 73.7969 "/>
    <x v="1"/>
    <n v="4919546"/>
    <m/>
    <m/>
    <m/>
  </r>
  <r>
    <x v="14"/>
    <x v="2"/>
    <s v="F:\images\2021-CHG-ACH-FAD 3\plaque 2/@02 Testo 30/C2_01- exclu.tif"/>
    <m/>
    <m/>
    <x v="0"/>
    <m/>
    <m/>
    <m/>
    <m/>
  </r>
  <r>
    <x v="14"/>
    <x v="2"/>
    <s v="F:\images\2021-CHG-ACH-FAD 3\plaque 2/@02 Testo 30/C2_02- exclu.tif"/>
    <m/>
    <m/>
    <x v="0"/>
    <m/>
    <m/>
    <m/>
    <m/>
  </r>
  <r>
    <x v="14"/>
    <x v="2"/>
    <s v="F:\images\2021-CHG-ACH-FAD 3\plaque 2/@02 Testo 30/C2_03- exclu.tif"/>
    <m/>
    <m/>
    <x v="0"/>
    <m/>
    <m/>
    <m/>
    <m/>
  </r>
  <r>
    <x v="14"/>
    <x v="3"/>
    <s v="F:\images\2021-CHG-ACH-FAD 3\plaque 2/@02 Testo 30/D2_01.tif "/>
    <s v=" 24030.8129 "/>
    <s v=" 70.9982 "/>
    <x v="1"/>
    <n v="1706144"/>
    <m/>
    <m/>
    <m/>
  </r>
  <r>
    <x v="14"/>
    <x v="3"/>
    <s v="F:\images\2021-CHG-ACH-FAD 3\plaque 2/@02 Testo 30/D2_02.tif "/>
    <s v=" 26950.8487 "/>
    <s v=" 70.2785 "/>
    <x v="1"/>
    <n v="1894065"/>
    <m/>
    <m/>
    <m/>
  </r>
  <r>
    <x v="14"/>
    <x v="3"/>
    <s v="F:\images\2021-CHG-ACH-FAD 3\plaque 2/@02 Testo 30/D2_03.tif "/>
    <s v=" 23122.3574 "/>
    <s v=" 71.3246 "/>
    <x v="1"/>
    <n v="1649193"/>
    <m/>
    <m/>
    <m/>
  </r>
  <r>
    <x v="14"/>
    <x v="4"/>
    <s v="F:\images\2021-CHG-ACH-FAD 3\plaque 2/@02 Testo 30/E2_01.tif "/>
    <s v=" 40988.6503 "/>
    <s v=" 73.8016 "/>
    <x v="1"/>
    <n v="3025027"/>
    <m/>
    <m/>
    <m/>
  </r>
  <r>
    <x v="14"/>
    <x v="4"/>
    <s v="F:\images\2021-CHG-ACH-FAD 3\plaque 2/@02 Testo 30/E2_02.tif "/>
    <s v=" 30454.8916 "/>
    <s v=" 72.8523 "/>
    <x v="1"/>
    <n v="2218708"/>
    <m/>
    <m/>
    <m/>
  </r>
  <r>
    <x v="14"/>
    <x v="4"/>
    <s v="F:\images\2021-CHG-ACH-FAD 3\plaque 2/@02 Testo 30/E2_03.tif "/>
    <s v=" 29373.3969 "/>
    <s v=" 75.2761 "/>
    <x v="1"/>
    <n v="2211116"/>
    <m/>
    <m/>
    <m/>
  </r>
  <r>
    <x v="14"/>
    <x v="5"/>
    <s v="F:\images\2021-CHG-ACH-FAD 3\plaque 2/@02 Testo 30/F2_01.tif "/>
    <s v=" 24679.7098 "/>
    <s v=" 71.3883 "/>
    <x v="1"/>
    <n v="1761841"/>
    <m/>
    <m/>
    <m/>
  </r>
  <r>
    <x v="14"/>
    <x v="5"/>
    <s v="F:\images\2021-CHG-ACH-FAD 3\plaque 2/@02 Testo 30/F2_02.tif "/>
    <s v=" 24960.8984 "/>
    <s v=" 71.688 "/>
    <x v="1"/>
    <n v="1789398"/>
    <m/>
    <m/>
    <m/>
  </r>
  <r>
    <x v="14"/>
    <x v="5"/>
    <s v="F:\images\2021-CHG-ACH-FAD 3\plaque 2/@02 Testo 30/F2_03.tif "/>
    <s v=" 27513.226 "/>
    <s v=" 69.9646 "/>
    <x v="1"/>
    <n v="1924952"/>
    <m/>
    <m/>
    <m/>
  </r>
  <r>
    <x v="14"/>
    <x v="6"/>
    <s v="F:\images\2021-CHG-ACH-FAD 3\plaque 2/@02 Testo 30/G2_01- exclu.tif"/>
    <m/>
    <m/>
    <x v="0"/>
    <m/>
    <m/>
    <m/>
    <m/>
  </r>
  <r>
    <x v="14"/>
    <x v="6"/>
    <s v="F:\images\2021-CHG-ACH-FAD 3\plaque 2/@02 Testo 30/G2_02.tif "/>
    <s v=" 17195.7662 "/>
    <s v=" 68.5912 "/>
    <x v="1"/>
    <n v="1179478"/>
    <m/>
    <m/>
    <m/>
  </r>
  <r>
    <x v="14"/>
    <x v="6"/>
    <s v="F:\images\2021-CHG-ACH-FAD 3\plaque 2/@02 Testo 30/G2_03.tif "/>
    <s v=" 19812.9835 "/>
    <s v=" 68.5524 "/>
    <x v="1"/>
    <n v="1358228"/>
    <m/>
    <m/>
    <m/>
  </r>
  <r>
    <x v="14"/>
    <x v="7"/>
    <s v="F:\images\2021-CHG-ACH-FAD 3\plaque 2/@02 Testo 30/H2_01.tif "/>
    <s v=" 4628.7975 "/>
    <s v=" 64.9673 "/>
    <x v="1"/>
    <n v="300720"/>
    <m/>
    <m/>
    <m/>
  </r>
  <r>
    <x v="14"/>
    <x v="7"/>
    <s v="F:\images\2021-CHG-ACH-FAD 3\plaque 2/@02 Testo 30/H2_02.tif "/>
    <s v=" 7505.5734 "/>
    <s v=" 66.8963 "/>
    <x v="1"/>
    <n v="502095"/>
    <m/>
    <m/>
    <m/>
  </r>
  <r>
    <x v="14"/>
    <x v="7"/>
    <s v="F:\images\2021-CHG-ACH-FAD 3\plaque 2/@02 Testo 30/H2_03.tif "/>
    <s v=" 5623.7726 "/>
    <s v=" 66.5 "/>
    <x v="1"/>
    <n v="373981"/>
    <m/>
    <m/>
    <m/>
  </r>
  <r>
    <x v="1"/>
    <x v="8"/>
    <s v=" "/>
    <m/>
    <m/>
    <x v="0"/>
    <m/>
    <m/>
    <m/>
    <m/>
  </r>
  <r>
    <x v="1"/>
    <x v="8"/>
    <s v="group "/>
    <s v=" "/>
    <s v=" mean of mean fluo "/>
    <x v="2"/>
    <s v=" mean of total fluo "/>
    <s v=" SD total fluo "/>
    <s v=" n fluorescent "/>
    <s v=" n total"/>
  </r>
  <r>
    <x v="14"/>
    <x v="9"/>
    <s v="F:\images\2021-CHG-ACH-FAD 3\plaque 2/@02 Testo 30/ "/>
    <s v=" "/>
    <s v=" 71.9281 "/>
    <x v="16"/>
    <s v=" 1999408.79 "/>
    <s v=" 1581955.17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5"/>
    <x v="0"/>
    <s v="F:\images\2021-CHG-ACH-FAD 3\plaque 2/@03 Testo+ EE2 64/A3_01.tif "/>
    <s v=" 28875.9093 "/>
    <s v=" 80.5933 "/>
    <x v="1"/>
    <n v="2327204"/>
    <m/>
    <m/>
    <m/>
  </r>
  <r>
    <x v="15"/>
    <x v="0"/>
    <s v="F:\images\2021-CHG-ACH-FAD 3\plaque 2/@03 Testo+ EE2 64/A3_02.tif "/>
    <s v=" 35083.6891 "/>
    <s v=" 79.0043 "/>
    <x v="1"/>
    <n v="2771763"/>
    <m/>
    <m/>
    <m/>
  </r>
  <r>
    <x v="15"/>
    <x v="0"/>
    <s v="F:\images\2021-CHG-ACH-FAD 3\plaque 2/@03 Testo+ EE2 64/A3_03.tif "/>
    <s v=" 33526.3367 "/>
    <s v=" 79.4858 "/>
    <x v="1"/>
    <n v="2664868"/>
    <m/>
    <m/>
    <m/>
  </r>
  <r>
    <x v="15"/>
    <x v="1"/>
    <s v="F:\images\2021-CHG-ACH-FAD 3\plaque 2/@03 Testo+ EE2 64/B3_01.tif "/>
    <s v=" 7397.424 "/>
    <s v=" 65.4678 "/>
    <x v="1"/>
    <n v="484293"/>
    <m/>
    <m/>
    <m/>
  </r>
  <r>
    <x v="15"/>
    <x v="1"/>
    <s v="F:\images\2021-CHG-ACH-FAD 3\plaque 2/@03 Testo+ EE2 64/B3_02.tif "/>
    <s v=" 4174.5697 "/>
    <s v=" 64.0984 "/>
    <x v="1"/>
    <n v="267583"/>
    <m/>
    <m/>
    <m/>
  </r>
  <r>
    <x v="15"/>
    <x v="1"/>
    <s v="F:\images\2021-CHG-ACH-FAD 3\plaque 2/@03 Testo+ EE2 64/B3_03.tif "/>
    <s v=" 6964.8261 "/>
    <s v=" 64.0311 "/>
    <x v="1"/>
    <n v="445965"/>
    <m/>
    <m/>
    <m/>
  </r>
  <r>
    <x v="15"/>
    <x v="2"/>
    <s v="F:\images\2021-CHG-ACH-FAD 3\plaque 2/@03 Testo+ EE2 64/C3_01.tif "/>
    <s v=" 42372.9636 "/>
    <s v=" 82.1485 "/>
    <x v="1"/>
    <n v="3480877"/>
    <m/>
    <m/>
    <m/>
  </r>
  <r>
    <x v="15"/>
    <x v="2"/>
    <s v="F:\images\2021-CHG-ACH-FAD 3\plaque 2/@03 Testo+ EE2 64/C3_02.tif "/>
    <s v=" 47866.9568 "/>
    <s v=" 78.9372 "/>
    <x v="1"/>
    <n v="3778483"/>
    <m/>
    <m/>
    <m/>
  </r>
  <r>
    <x v="15"/>
    <x v="2"/>
    <s v="F:\images\2021-CHG-ACH-FAD 3\plaque 2/@03 Testo+ EE2 64/C3_03.tif "/>
    <s v=" 47174.8002 "/>
    <s v=" 80.0032 "/>
    <x v="1"/>
    <n v="3774135"/>
    <m/>
    <m/>
    <m/>
  </r>
  <r>
    <x v="15"/>
    <x v="3"/>
    <s v="F:\images\2021-CHG-ACH-FAD 3\plaque 2/@03 Testo+ EE2 64/D3_01.tif "/>
    <s v=" 24549.9304 "/>
    <s v=" 75.7066 "/>
    <x v="1"/>
    <n v="1858592"/>
    <m/>
    <m/>
    <m/>
  </r>
  <r>
    <x v="15"/>
    <x v="3"/>
    <s v="F:\images\2021-CHG-ACH-FAD 3\plaque 2/@03 Testo+ EE2 64/D3_02.tif "/>
    <s v=" 17001.0972 "/>
    <s v=" 68.43 "/>
    <x v="1"/>
    <n v="1163386"/>
    <m/>
    <m/>
    <m/>
  </r>
  <r>
    <x v="15"/>
    <x v="3"/>
    <s v="F:\images\2021-CHG-ACH-FAD 3\plaque 2/@03 Testo+ EE2 64/D3_03.tif "/>
    <s v=" 24420.151 "/>
    <s v=" 75.8919 "/>
    <x v="1"/>
    <n v="1853293"/>
    <m/>
    <m/>
    <m/>
  </r>
  <r>
    <x v="15"/>
    <x v="4"/>
    <s v="F:\images\2021-CHG-ACH-FAD 3\plaque 2/@03 Testo+ EE2 64/E3_01.tif "/>
    <s v=" 20223.9515 "/>
    <s v=" 71.8449 "/>
    <x v="1"/>
    <n v="1452988"/>
    <m/>
    <m/>
    <m/>
  </r>
  <r>
    <x v="15"/>
    <x v="4"/>
    <s v="F:\images\2021-CHG-ACH-FAD 3\plaque 2/@03 Testo+ EE2 64/E3_02.tif "/>
    <s v=" 19769.7237 "/>
    <s v=" 75.1466 "/>
    <x v="1"/>
    <n v="1485628"/>
    <m/>
    <m/>
    <m/>
  </r>
  <r>
    <x v="15"/>
    <x v="4"/>
    <s v="F:\images\2021-CHG-ACH-FAD 3\plaque 2/@03 Testo+ EE2 64/E3_03.tif "/>
    <s v=" 19423.6454 "/>
    <s v=" 71.3252 "/>
    <x v="1"/>
    <n v="1385395"/>
    <m/>
    <m/>
    <m/>
  </r>
  <r>
    <x v="15"/>
    <x v="5"/>
    <s v="F:\images\2021-CHG-ACH-FAD 3\plaque 2/@03 Testo+ EE2 64/F3_01.tif "/>
    <s v=" 11052.8762 "/>
    <s v=" 71.2035 "/>
    <x v="1"/>
    <n v="787004"/>
    <m/>
    <m/>
    <m/>
  </r>
  <r>
    <x v="15"/>
    <x v="5"/>
    <s v="F:\images\2021-CHG-ACH-FAD 3\plaque 2/@03 Testo+ EE2 64/F3_02.tif "/>
    <s v=" 10598.6484 "/>
    <s v=" 71.0857 "/>
    <x v="1"/>
    <n v="753412"/>
    <m/>
    <m/>
    <m/>
  </r>
  <r>
    <x v="15"/>
    <x v="5"/>
    <s v="F:\images\2021-CHG-ACH-FAD 3\plaque 2/@03 Testo+ EE2 64/F3_03.tif "/>
    <s v=" 8500.5486 "/>
    <s v=" 69.3003 "/>
    <x v="1"/>
    <n v="589090"/>
    <m/>
    <m/>
    <m/>
  </r>
  <r>
    <x v="15"/>
    <x v="6"/>
    <s v="F:\images\2021-CHG-ACH-FAD 3\plaque 2/@03 Testo+ EE2 64/G3_01.tif "/>
    <s v=" 16222.421 "/>
    <s v=" 74.0387 "/>
    <x v="1"/>
    <n v="1201086"/>
    <m/>
    <m/>
    <m/>
  </r>
  <r>
    <x v="15"/>
    <x v="6"/>
    <s v="F:\images\2021-CHG-ACH-FAD 3\plaque 2/@03 Testo+ EE2 64/G3_02.tif "/>
    <s v=" 16265.6808 "/>
    <s v=" 74.2859 "/>
    <x v="1"/>
    <n v="1208311"/>
    <m/>
    <m/>
    <m/>
  </r>
  <r>
    <x v="15"/>
    <x v="6"/>
    <s v="F:\images\2021-CHG-ACH-FAD 3\plaque 2/@03 Testo+ EE2 64/G3_03.tif "/>
    <s v=" 16936.2075 "/>
    <s v=" 72.7727 "/>
    <x v="1"/>
    <n v="1232493"/>
    <m/>
    <m/>
    <m/>
  </r>
  <r>
    <x v="15"/>
    <x v="7"/>
    <s v="F:\images\2021-CHG-ACH-FAD 3\plaque 2/@03 Testo+ EE2 64/H3_01.tif "/>
    <s v=" 20050.9123 "/>
    <s v=" 73.7681 "/>
    <x v="1"/>
    <n v="1479117"/>
    <m/>
    <m/>
    <m/>
  </r>
  <r>
    <x v="15"/>
    <x v="7"/>
    <s v="F:\images\2021-CHG-ACH-FAD 3\plaque 2/@03 Testo+ EE2 64/H3_02.tif "/>
    <s v=" 13561.9439 "/>
    <s v=" 68.2121 "/>
    <x v="1"/>
    <n v="925089"/>
    <m/>
    <m/>
    <m/>
  </r>
  <r>
    <x v="15"/>
    <x v="7"/>
    <s v="F:\images\2021-CHG-ACH-FAD 3\plaque 2/@03 Testo+ EE2 64/H3_03.tif "/>
    <s v=" 12631.8585 "/>
    <s v=" 66.0616 "/>
    <x v="1"/>
    <n v="834481"/>
    <m/>
    <m/>
    <m/>
  </r>
  <r>
    <x v="1"/>
    <x v="8"/>
    <s v=" "/>
    <m/>
    <m/>
    <x v="0"/>
    <m/>
    <m/>
    <m/>
    <m/>
  </r>
  <r>
    <x v="1"/>
    <x v="8"/>
    <s v="group "/>
    <s v=" "/>
    <s v=" mean of mean fluo "/>
    <x v="2"/>
    <s v=" mean of total fluo "/>
    <s v=" SD total fluo "/>
    <s v=" n fluorescent "/>
    <s v=" n total"/>
  </r>
  <r>
    <x v="15"/>
    <x v="9"/>
    <s v="F:\images\2021-CHG-ACH-FAD 3\plaque 2/@03 Testo+ EE2 64/ "/>
    <s v=" "/>
    <s v=" 73.0351 "/>
    <x v="17"/>
    <s v=" 1591855.67 "/>
    <s v=" 1036345.19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6"/>
    <x v="0"/>
    <s v="F:\images\2021-CHG-ACH-FAD 3\plaque 2/@04 Testo+ FAD/A4_01.tif "/>
    <s v=" 194.6691 "/>
    <s v=" 61.6667 "/>
    <x v="1"/>
    <n v="12005"/>
    <m/>
    <m/>
    <m/>
  </r>
  <r>
    <x v="16"/>
    <x v="0"/>
    <s v="F:\images\2021-CHG-ACH-FAD 3\plaque 2/@04 Testo+ FAD/A4_02.tif "/>
    <s v=" 2076.4699 "/>
    <s v=" 65.6979 "/>
    <x v="1"/>
    <n v="136420"/>
    <m/>
    <m/>
    <m/>
  </r>
  <r>
    <x v="16"/>
    <x v="0"/>
    <s v="F:\images\2021-CHG-ACH-FAD 3\plaque 2/@04 Testo+ FAD/A4_03.tif "/>
    <s v=" 4131.3099 "/>
    <s v=" 69.1466 "/>
    <x v="1"/>
    <n v="285666"/>
    <m/>
    <m/>
    <m/>
  </r>
  <r>
    <x v="16"/>
    <x v="1"/>
    <s v="F:\images\2021-CHG-ACH-FAD 3\plaque 2/@04 Testo+ FAD/B4_01.tif "/>
    <s v=" 173.0392 "/>
    <s v=" 64.5 "/>
    <x v="1"/>
    <n v="11161"/>
    <m/>
    <m/>
    <m/>
  </r>
  <r>
    <x v="16"/>
    <x v="1"/>
    <s v="F:\images\2021-CHG-ACH-FAD 3\plaque 2/@04 Testo+ FAD/B4_02.tif "/>
    <s v=" 129.7794 "/>
    <n v="63"/>
    <x v="1"/>
    <n v="8176"/>
    <m/>
    <m/>
    <m/>
  </r>
  <r>
    <x v="16"/>
    <x v="1"/>
    <s v="F:\images\2021-CHG-ACH-FAD 3\plaque 2/@04 Testo+ FAD/B4_03.tif "/>
    <s v=" 86.5196 "/>
    <s v=" 63.75 "/>
    <x v="1"/>
    <n v="5516"/>
    <m/>
    <m/>
    <m/>
  </r>
  <r>
    <x v="16"/>
    <x v="2"/>
    <s v="F:\images\2021-CHG-ACH-FAD 3\plaque 2/@04 Testo+ FAD/C4_01.tif "/>
    <s v=" 389.3381 "/>
    <s v=" 62.6111 "/>
    <x v="1"/>
    <n v="24377"/>
    <m/>
    <m/>
    <m/>
  </r>
  <r>
    <x v="16"/>
    <x v="2"/>
    <s v="F:\images\2021-CHG-ACH-FAD 3\plaque 2/@04 Testo+ FAD/C4_02.tif "/>
    <s v=" 2206.2493 "/>
    <s v=" 65.8725 "/>
    <x v="1"/>
    <n v="145331"/>
    <m/>
    <m/>
    <m/>
  </r>
  <r>
    <x v="16"/>
    <x v="2"/>
    <s v="F:\images\2021-CHG-ACH-FAD 3\plaque 2/@04 Testo+ FAD/C4_03.tif "/>
    <s v=" 2855.1461 "/>
    <s v=" 65.6591 "/>
    <x v="1"/>
    <n v="187466"/>
    <m/>
    <m/>
    <m/>
  </r>
  <r>
    <x v="16"/>
    <x v="3"/>
    <s v="F:\images\2021-CHG-ACH-FAD 3\plaque 2/@04 Testo+ FAD/D4_01.tif "/>
    <s v=" 497.4876 "/>
    <s v=" 64.3043 "/>
    <x v="1"/>
    <n v="31991"/>
    <m/>
    <m/>
    <m/>
  </r>
  <r>
    <x v="16"/>
    <x v="3"/>
    <s v="F:\images\2021-CHG-ACH-FAD 3\plaque 2/@04 Testo+ FAD/D4_02.tif "/>
    <s v=" 216.2989 "/>
    <s v=" 63.3 "/>
    <x v="1"/>
    <n v="13692"/>
    <m/>
    <m/>
    <m/>
  </r>
  <r>
    <x v="16"/>
    <x v="3"/>
    <s v="F:\images\2021-CHG-ACH-FAD 3\plaque 2/@04 Testo+ FAD/D4_03.tif "/>
    <s v=" 173.0392 "/>
    <s v=" 61.875 "/>
    <x v="1"/>
    <n v="10707"/>
    <m/>
    <m/>
    <m/>
  </r>
  <r>
    <x v="16"/>
    <x v="4"/>
    <s v="F:\images\2021-CHG-ACH-FAD 3\plaque 2/@04 Testo+ FAD/E4_01.tif "/>
    <s v=" 432.5979 "/>
    <s v=" 68.2 "/>
    <x v="1"/>
    <n v="29503"/>
    <m/>
    <m/>
    <m/>
  </r>
  <r>
    <x v="16"/>
    <x v="4"/>
    <s v="F:\images\2021-CHG-ACH-FAD 3\plaque 2/@04 Testo+ FAD/E4_02.tif "/>
    <s v=" 216.2989 "/>
    <s v=" 64.8 "/>
    <x v="1"/>
    <n v="14016"/>
    <m/>
    <m/>
    <m/>
  </r>
  <r>
    <x v="16"/>
    <x v="4"/>
    <s v="F:\images\2021-CHG-ACH-FAD 3\plaque 2/@04 Testo+ FAD/E4_03.tif "/>
    <s v=" 497.4876 "/>
    <s v=" 64.4783 "/>
    <x v="1"/>
    <n v="32077"/>
    <m/>
    <m/>
    <m/>
  </r>
  <r>
    <x v="16"/>
    <x v="5"/>
    <s v="F:\images\2021-CHG-ACH-FAD 3\plaque 2/@04 Testo+ FAD/F4_01.tif "/>
    <s v=" 497.4876 "/>
    <s v=" 66.4348 "/>
    <x v="1"/>
    <n v="33050"/>
    <m/>
    <m/>
    <m/>
  </r>
  <r>
    <x v="16"/>
    <x v="5"/>
    <s v="F:\images\2021-CHG-ACH-FAD 3\plaque 2/@04 Testo+ FAD/F4_02.tif "/>
    <s v=" 1211.2741 "/>
    <s v=" 64.6071 "/>
    <x v="1"/>
    <n v="78257"/>
    <m/>
    <m/>
    <m/>
  </r>
  <r>
    <x v="16"/>
    <x v="5"/>
    <s v="F:\images\2021-CHG-ACH-FAD 3\plaque 2/@04 Testo+ FAD/F4_03.tif "/>
    <s v=" 605.637 "/>
    <s v=" 66.6786 "/>
    <x v="1"/>
    <n v="40383"/>
    <m/>
    <m/>
    <m/>
  </r>
  <r>
    <x v="16"/>
    <x v="6"/>
    <s v="F:\images\2021-CHG-ACH-FAD 3\plaque 2/@04 Testo+ FAD/G4_01.tif "/>
    <s v=" 4758.5768 "/>
    <s v=" 64.4773 "/>
    <x v="1"/>
    <n v="306820"/>
    <m/>
    <m/>
    <m/>
  </r>
  <r>
    <x v="16"/>
    <x v="6"/>
    <s v="F:\images\2021-CHG-ACH-FAD 3\plaque 2/@04 Testo+ FAD/G4_02.tif "/>
    <s v=" 3157.9646 "/>
    <s v=" 64.4521 "/>
    <x v="1"/>
    <n v="203537"/>
    <m/>
    <m/>
    <m/>
  </r>
  <r>
    <x v="16"/>
    <x v="6"/>
    <s v="F:\images\2021-CHG-ACH-FAD 3\plaque 2/@04 Testo+ FAD/G4_03.tif "/>
    <s v=" 735.4164 "/>
    <n v="63"/>
    <x v="1"/>
    <n v="46331"/>
    <m/>
    <m/>
    <m/>
  </r>
  <r>
    <x v="16"/>
    <x v="7"/>
    <s v="F:\images\2021-CHG-ACH-FAD 3\plaque 2/@04 Testo+ FAD/H4_01.tif "/>
    <s v=" 692.1566 "/>
    <s v=" 63.3125 "/>
    <x v="1"/>
    <n v="43822"/>
    <m/>
    <m/>
    <m/>
  </r>
  <r>
    <x v="16"/>
    <x v="7"/>
    <s v="F:\images\2021-CHG-ACH-FAD 3\plaque 2/@04 Testo+ FAD/H4_02.tif "/>
    <s v=" 973.3453 "/>
    <s v=" 65.2 "/>
    <x v="1"/>
    <n v="63462"/>
    <m/>
    <m/>
    <m/>
  </r>
  <r>
    <x v="16"/>
    <x v="7"/>
    <s v="F:\images\2021-CHG-ACH-FAD 3\plaque 2/@04 Testo+ FAD/H4_03.tif "/>
    <s v=" 519.1175 "/>
    <s v=" 64.25 "/>
    <x v="1"/>
    <n v="33353"/>
    <m/>
    <m/>
    <m/>
  </r>
  <r>
    <x v="1"/>
    <x v="8"/>
    <s v=" "/>
    <m/>
    <m/>
    <x v="0"/>
    <m/>
    <m/>
    <m/>
    <m/>
  </r>
  <r>
    <x v="1"/>
    <x v="8"/>
    <s v="group "/>
    <s v=" "/>
    <s v=" mean of mean fluo "/>
    <x v="2"/>
    <s v=" mean of total fluo "/>
    <s v=" SD total fluo "/>
    <s v=" n fluorescent "/>
    <s v=" n total"/>
  </r>
  <r>
    <x v="16"/>
    <x v="9"/>
    <s v="F:\images\2021-CHG-ACH-FAD 3\plaque 2/@04 Testo+ FAD/ "/>
    <s v=" "/>
    <s v=" 64.6364 "/>
    <x v="18"/>
    <s v=" 74879.9583 "/>
    <s v=" 88443.8597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7"/>
    <x v="0"/>
    <s v="F:\images\2021-CHG-ACH-FAD 3\plaque 2/@05 Fadrozole 0.016 µg_L Dopé/A5_01.tif "/>
    <s v=" 3850.1212 "/>
    <s v=" 63.2472 "/>
    <x v="1"/>
    <n v="243509"/>
    <m/>
    <m/>
    <m/>
  </r>
  <r>
    <x v="17"/>
    <x v="0"/>
    <s v="F:\images\2021-CHG-ACH-FAD 3\plaque 2/@05 Fadrozole 0.016 µg_L Dopé/A5_02.tif "/>
    <s v=" 1816.9111 "/>
    <s v=" 63.7738 "/>
    <x v="1"/>
    <n v="115871"/>
    <m/>
    <m/>
    <m/>
  </r>
  <r>
    <x v="17"/>
    <x v="0"/>
    <s v="F:\images\2021-CHG-ACH-FAD 3\plaque 2/@05 Fadrozole 0.016 µg_L Dopé/A5_03.tif "/>
    <s v=" 2617.2173 "/>
    <s v=" 64.1157 "/>
    <x v="1"/>
    <n v="167805"/>
    <m/>
    <m/>
    <m/>
  </r>
  <r>
    <x v="17"/>
    <x v="1"/>
    <s v="F:\images\2021-CHG-ACH-FAD 3\plaque 2/@05 Fadrozole 0.016 µg_L Dopé/B5_01.tif "/>
    <s v=" 713.7865 "/>
    <s v=" 64.3333 "/>
    <x v="1"/>
    <n v="45920"/>
    <m/>
    <m/>
    <m/>
  </r>
  <r>
    <x v="17"/>
    <x v="1"/>
    <s v="F:\images\2021-CHG-ACH-FAD 3\plaque 2/@05 Fadrozole 0.016 µg_L Dopé/B5_02.tif "/>
    <s v=" 757.0463 "/>
    <s v=" 64.8571 "/>
    <x v="1"/>
    <n v="49100"/>
    <m/>
    <m/>
    <m/>
  </r>
  <r>
    <x v="17"/>
    <x v="1"/>
    <s v="F:\images\2021-CHG-ACH-FAD 3\plaque 2/@05 Fadrozole 0.016 µg_L Dopé/B5_03.tif "/>
    <s v=" 994.9752 "/>
    <s v=" 65.7609 "/>
    <x v="1"/>
    <n v="65430"/>
    <m/>
    <m/>
    <m/>
  </r>
  <r>
    <x v="17"/>
    <x v="2"/>
    <s v="F:\images\2021-CHG-ACH-FAD 3\plaque 2/@05 Fadrozole 0.016 µg_L Dopé/C5_01- exclu.tif"/>
    <m/>
    <m/>
    <x v="0"/>
    <m/>
    <m/>
    <m/>
    <m/>
  </r>
  <r>
    <x v="17"/>
    <x v="2"/>
    <s v="F:\images\2021-CHG-ACH-FAD 3\plaque 2/@05 Fadrozole 0.016 µg_L Dopé/C5_02.tif "/>
    <s v=" 15011.1469 "/>
    <s v=" 68.0648 "/>
    <x v="1"/>
    <n v="1021731"/>
    <m/>
    <m/>
    <m/>
  </r>
  <r>
    <x v="17"/>
    <x v="2"/>
    <s v="F:\images\2021-CHG-ACH-FAD 3\plaque 2/@05 Fadrozole 0.016 µg_L Dopé/C5_03.tif "/>
    <s v=" 19921.133 "/>
    <s v=" 67.8089 "/>
    <x v="1"/>
    <n v="1350830"/>
    <m/>
    <m/>
    <m/>
  </r>
  <r>
    <x v="17"/>
    <x v="3"/>
    <s v="F:\images\2021-CHG-ACH-FAD 3\plaque 2/@05 Fadrozole 0.016 µg_L Dopé/D5_01.tif "/>
    <s v=" 4823.4665 "/>
    <s v=" 65.009 "/>
    <x v="1"/>
    <n v="313569"/>
    <m/>
    <m/>
    <m/>
  </r>
  <r>
    <x v="17"/>
    <x v="3"/>
    <s v="F:\images\2021-CHG-ACH-FAD 3\plaque 2/@05 Fadrozole 0.016 µg_L Dopé/D5_02.tif "/>
    <s v=" 4499.0181 "/>
    <s v=" 64.8798 "/>
    <x v="1"/>
    <n v="291895"/>
    <m/>
    <m/>
    <m/>
  </r>
  <r>
    <x v="17"/>
    <x v="3"/>
    <s v="F:\images\2021-CHG-ACH-FAD 3\plaque 2/@05 Fadrozole 0.016 µg_L Dopé/D5_03.tif "/>
    <s v=" 3633.8223 "/>
    <s v=" 64.4286 "/>
    <x v="1"/>
    <n v="234122"/>
    <m/>
    <m/>
    <m/>
  </r>
  <r>
    <x v="17"/>
    <x v="4"/>
    <s v="F:\images\2021-CHG-ACH-FAD 3\plaque 2/@05 Fadrozole 0.016 µg_L Dopé/E5_01- exclu.tif"/>
    <m/>
    <m/>
    <x v="0"/>
    <m/>
    <m/>
    <m/>
    <m/>
  </r>
  <r>
    <x v="17"/>
    <x v="4"/>
    <s v="F:\images\2021-CHG-ACH-FAD 3\plaque 2/@05 Fadrozole 0.016 µg_L Dopé/E5_02- exclu.tif"/>
    <m/>
    <m/>
    <x v="0"/>
    <m/>
    <m/>
    <m/>
    <m/>
  </r>
  <r>
    <x v="17"/>
    <x v="4"/>
    <s v="F:\images\2021-CHG-ACH-FAD 3\plaque 2/@05 Fadrozole 0.016 µg_L Dopé/E5_03.tif "/>
    <s v=" 1730.3916 "/>
    <s v=" 63.325 "/>
    <x v="1"/>
    <n v="109577"/>
    <m/>
    <m/>
    <m/>
  </r>
  <r>
    <x v="17"/>
    <x v="5"/>
    <s v="F:\images\2021-CHG-ACH-FAD 3\plaque 2/@05 Fadrozole 0.016 µg_L Dopé/F5_01.tif "/>
    <s v=" 14297.3603 "/>
    <s v=" 67.9682 "/>
    <x v="1"/>
    <n v="971766"/>
    <m/>
    <m/>
    <m/>
  </r>
  <r>
    <x v="17"/>
    <x v="5"/>
    <s v="F:\images\2021-CHG-ACH-FAD 3\plaque 2/@05 Fadrozole 0.016 µg_L Dopé/F5_02.tif "/>
    <s v=" 14340.6201 "/>
    <s v=" 66.7783 "/>
    <x v="1"/>
    <n v="957642"/>
    <m/>
    <m/>
    <m/>
  </r>
  <r>
    <x v="17"/>
    <x v="5"/>
    <s v="F:\images\2021-CHG-ACH-FAD 3\plaque 2/@05 Fadrozole 0.016 µg_L Dopé/F5_03- exclu.tif"/>
    <m/>
    <m/>
    <x v="0"/>
    <m/>
    <m/>
    <m/>
    <m/>
  </r>
  <r>
    <x v="17"/>
    <x v="6"/>
    <s v="F:\images\2021-CHG-ACH-FAD 3\plaque 2/@05 Fadrozole 0.016 µg_L Dopé/G5_01.tif "/>
    <s v=" 4866.7263 "/>
    <s v=" 64.9467 "/>
    <x v="1"/>
    <n v="316078"/>
    <m/>
    <m/>
    <m/>
  </r>
  <r>
    <x v="17"/>
    <x v="6"/>
    <s v="F:\images\2021-CHG-ACH-FAD 3\plaque 2/@05 Fadrozole 0.016 µg_L Dopé/G5_02.tif "/>
    <s v=" 8240.9899 "/>
    <s v=" 66.6535 "/>
    <x v="1"/>
    <n v="549291"/>
    <m/>
    <m/>
    <m/>
  </r>
  <r>
    <x v="17"/>
    <x v="6"/>
    <s v="F:\images\2021-CHG-ACH-FAD 3\plaque 2/@05 Fadrozole 0.016 µg_L Dopé/G5_03.tif "/>
    <s v=" 9041.296 "/>
    <s v=" 66.5191 "/>
    <x v="1"/>
    <n v="601419"/>
    <m/>
    <m/>
    <m/>
  </r>
  <r>
    <x v="17"/>
    <x v="7"/>
    <s v="F:\images\2021-CHG-ACH-FAD 3\plaque 2/@05 Fadrozole 0.016 µg_L Dopé/H5_01.tif "/>
    <s v=" 9560.4134 "/>
    <s v=" 69.871 "/>
    <x v="1"/>
    <n v="667996"/>
    <m/>
    <m/>
    <m/>
  </r>
  <r>
    <x v="17"/>
    <x v="7"/>
    <s v="F:\images\2021-CHG-ACH-FAD 3\plaque 2/@05 Fadrozole 0.016 µg_L Dopé/H5_02.tif "/>
    <s v=" 6294.2993 "/>
    <s v=" 68.7698 "/>
    <x v="1"/>
    <n v="432857"/>
    <m/>
    <m/>
    <m/>
  </r>
  <r>
    <x v="17"/>
    <x v="7"/>
    <s v="F:\images\2021-CHG-ACH-FAD 3\plaque 2/@05 Fadrozole 0.016 µg_L Dopé/H5_03.tif "/>
    <s v=" 12069.4812 "/>
    <s v=" 91.8871 "/>
    <x v="1"/>
    <n v="1109030"/>
    <m/>
    <m/>
    <m/>
  </r>
  <r>
    <x v="1"/>
    <x v="8"/>
    <s v=" "/>
    <m/>
    <m/>
    <x v="0"/>
    <m/>
    <m/>
    <m/>
    <m/>
  </r>
  <r>
    <x v="1"/>
    <x v="8"/>
    <s v="group "/>
    <s v=" "/>
    <s v=" mean of mean fluo "/>
    <x v="2"/>
    <s v=" mean of total fluo "/>
    <s v=" SD total fluo "/>
    <s v=" n fluorescent "/>
    <s v=" n total"/>
  </r>
  <r>
    <x v="17"/>
    <x v="9"/>
    <s v="F:\images\2021-CHG-ACH-FAD 3\plaque 2/@05 Fadrozole 0.016 µg_L Dopé/ "/>
    <s v=" "/>
    <s v=" 67.4687 "/>
    <x v="19"/>
    <n v="535931"/>
    <s v=" 422621.976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8"/>
    <x v="0"/>
    <s v="F:\images\2021-CHG-ACH-FAD 3\plaque 2/@06  Fadrozole 0.08 µg_L Dopé/A6_01.tif "/>
    <s v=" 713.7865 "/>
    <s v=" 64.303 "/>
    <x v="1"/>
    <n v="45899"/>
    <m/>
    <m/>
    <m/>
  </r>
  <r>
    <x v="18"/>
    <x v="0"/>
    <s v="F:\images\2021-CHG-ACH-FAD 3\plaque 2/@06  Fadrozole 0.08 µg_L Dopé/A6_02.tif "/>
    <s v=" 562.3773 "/>
    <s v=" 65.1154 "/>
    <x v="1"/>
    <n v="36619"/>
    <m/>
    <m/>
    <m/>
  </r>
  <r>
    <x v="18"/>
    <x v="0"/>
    <s v="F:\images\2021-CHG-ACH-FAD 3\plaque 2/@06  Fadrozole 0.08 µg_L Dopé/A6_03.tif "/>
    <s v=" 324.4484 "/>
    <s v=" 62.8667 "/>
    <x v="1"/>
    <n v="20397"/>
    <m/>
    <m/>
    <m/>
  </r>
  <r>
    <x v="18"/>
    <x v="1"/>
    <s v="F:\images\2021-CHG-ACH-FAD 3\plaque 2/@06  Fadrozole 0.08 µg_L Dopé/B6_01.tif "/>
    <s v=" 40512.7926 "/>
    <s v=" 74.3743 "/>
    <x v="1"/>
    <n v="3013109"/>
    <m/>
    <m/>
    <m/>
  </r>
  <r>
    <x v="18"/>
    <x v="1"/>
    <s v="F:\images\2021-CHG-ACH-FAD 3\plaque 2/@06  Fadrozole 0.08 µg_L Dopé/B6_02.tif "/>
    <s v=" 27167.1477 "/>
    <s v=" 77.1075 "/>
    <x v="1"/>
    <n v="2094790"/>
    <m/>
    <m/>
    <m/>
  </r>
  <r>
    <x v="18"/>
    <x v="1"/>
    <s v="F:\images\2021-CHG-ACH-FAD 3\plaque 2/@06  Fadrozole 0.08 µg_L Dopé/B6_03.tif "/>
    <s v=" 22235.5317 "/>
    <s v=" 78.9027 "/>
    <x v="1"/>
    <n v="1754444"/>
    <m/>
    <m/>
    <m/>
  </r>
  <r>
    <x v="18"/>
    <x v="2"/>
    <s v="F:\images\2021-CHG-ACH-FAD 3\plaque 2/@06  Fadrozole 0.08 µg_L Dopé/C6_01.tif "/>
    <s v=" 713.7865 "/>
    <s v=" 63.5152 "/>
    <x v="1"/>
    <n v="45336"/>
    <m/>
    <m/>
    <m/>
  </r>
  <r>
    <x v="18"/>
    <x v="2"/>
    <s v="F:\images\2021-CHG-ACH-FAD 3\plaque 2/@06  Fadrozole 0.08 µg_L Dopé/C6_02.tif "/>
    <s v=" 648.8968 "/>
    <s v=" 63.8333 "/>
    <x v="1"/>
    <n v="41421"/>
    <m/>
    <m/>
    <m/>
  </r>
  <r>
    <x v="18"/>
    <x v="2"/>
    <s v="F:\images\2021-CHG-ACH-FAD 3\plaque 2/@06  Fadrozole 0.08 µg_L Dopé/C6_03.tif "/>
    <s v=" 994.9752 "/>
    <s v=" 63.4783 "/>
    <x v="1"/>
    <n v="63159"/>
    <m/>
    <m/>
    <m/>
  </r>
  <r>
    <x v="18"/>
    <x v="3"/>
    <s v="F:\images\2021-CHG-ACH-FAD 3\plaque 2/@06  Fadrozole 0.08 µg_L Dopé/D6_01.tif "/>
    <s v=" 30844.2297 "/>
    <s v=" 67.594 "/>
    <x v="1"/>
    <n v="2084884"/>
    <m/>
    <m/>
    <m/>
  </r>
  <r>
    <x v="18"/>
    <x v="3"/>
    <s v="F:\images\2021-CHG-ACH-FAD 3\plaque 2/@06  Fadrozole 0.08 µg_L Dopé/D6_02.tif "/>
    <s v=" 25761.2045 "/>
    <s v=" 66.7271 "/>
    <x v="1"/>
    <n v="1718971"/>
    <m/>
    <m/>
    <m/>
  </r>
  <r>
    <x v="18"/>
    <x v="3"/>
    <s v="F:\images\2021-CHG-ACH-FAD 3\plaque 2/@06  Fadrozole 0.08 µg_L Dopé/D6_03.tif "/>
    <s v=" 22970.9481 "/>
    <s v=" 66.0311 "/>
    <x v="1"/>
    <n v="1516796"/>
    <m/>
    <m/>
    <m/>
  </r>
  <r>
    <x v="18"/>
    <x v="4"/>
    <s v="F:\images\2021-CHG-ACH-FAD 3\plaque 2/@06  Fadrozole 0.08 µg_L Dopé/E6_01.tif "/>
    <s v=" 27643.0053 "/>
    <s v=" 72.0125 "/>
    <x v="1"/>
    <n v="1990642"/>
    <m/>
    <m/>
    <m/>
  </r>
  <r>
    <x v="18"/>
    <x v="4"/>
    <s v="F:\images\2021-CHG-ACH-FAD 3\plaque 2/@06  Fadrozole 0.08 µg_L Dopé/E6_02.tif "/>
    <s v=" 29048.9485 "/>
    <s v=" 72.2219 "/>
    <x v="1"/>
    <n v="2097970"/>
    <m/>
    <m/>
    <m/>
  </r>
  <r>
    <x v="18"/>
    <x v="4"/>
    <s v="F:\images\2021-CHG-ACH-FAD 3\plaque 2/@06  Fadrozole 0.08 µg_L Dopé/E6_03.tif "/>
    <s v=" 29395.0268 "/>
    <s v=" 71.0007 "/>
    <x v="1"/>
    <n v="2087069"/>
    <m/>
    <m/>
    <m/>
  </r>
  <r>
    <x v="18"/>
    <x v="5"/>
    <s v="F:\images\2021-CHG-ACH-FAD 3\plaque 2/@06  Fadrozole 0.08 µg_L Dopé/F6_01.tif "/>
    <s v=" 6294.2993 "/>
    <s v=" 64.512 "/>
    <x v="1"/>
    <n v="406058"/>
    <m/>
    <m/>
    <m/>
  </r>
  <r>
    <x v="18"/>
    <x v="5"/>
    <s v="F:\images\2021-CHG-ACH-FAD 3\plaque 2/@06  Fadrozole 0.08 µg_L Dopé/F6_02.tif "/>
    <s v=" 8067.9507 "/>
    <s v=" 65.4611 "/>
    <x v="1"/>
    <n v="528137"/>
    <m/>
    <m/>
    <m/>
  </r>
  <r>
    <x v="18"/>
    <x v="5"/>
    <s v="F:\images\2021-CHG-ACH-FAD 3\plaque 2/@06  Fadrozole 0.08 µg_L Dopé/F6_03.tif "/>
    <s v=" 7181.125 "/>
    <s v=" 65.3313 "/>
    <x v="1"/>
    <n v="469152"/>
    <m/>
    <m/>
    <m/>
  </r>
  <r>
    <x v="18"/>
    <x v="6"/>
    <s v="F:\images\2021-CHG-ACH-FAD 3\plaque 2/@06  Fadrozole 0.08 µg_L Dopé/G6_01.tif "/>
    <s v=" 1578.9823 "/>
    <s v=" 64.9726 "/>
    <x v="1"/>
    <n v="102591"/>
    <m/>
    <m/>
    <m/>
  </r>
  <r>
    <x v="18"/>
    <x v="6"/>
    <s v="F:\images\2021-CHG-ACH-FAD 3\plaque 2/@06  Fadrozole 0.08 µg_L Dopé/G6_02.tif "/>
    <s v=" 1773.6514 "/>
    <s v=" 64.9512 "/>
    <x v="1"/>
    <n v="115201"/>
    <m/>
    <m/>
    <m/>
  </r>
  <r>
    <x v="18"/>
    <x v="6"/>
    <s v="F:\images\2021-CHG-ACH-FAD 3\plaque 2/@06  Fadrozole 0.08 µg_L Dopé/G6_03.tif "/>
    <s v=" 1319.4236 "/>
    <s v=" 66.1967 "/>
    <x v="1"/>
    <n v="87342"/>
    <m/>
    <m/>
    <m/>
  </r>
  <r>
    <x v="18"/>
    <x v="7"/>
    <s v="F:\images\2021-CHG-ACH-FAD 3\plaque 2/@06  Fadrozole 0.08 µg_L Dopé/H6_01.tif "/>
    <s v=" 4715.317 "/>
    <s v=" 65.8486 "/>
    <x v="1"/>
    <n v="310497"/>
    <m/>
    <m/>
    <m/>
  </r>
  <r>
    <x v="18"/>
    <x v="7"/>
    <s v="F:\images\2021-CHG-ACH-FAD 3\plaque 2/@06  Fadrozole 0.08 µg_L Dopé/H6_02.tif "/>
    <s v=" 2184.6194 "/>
    <s v=" 64.3168 "/>
    <x v="1"/>
    <n v="140508"/>
    <m/>
    <m/>
    <m/>
  </r>
  <r>
    <x v="18"/>
    <x v="7"/>
    <s v="F:\images\2021-CHG-ACH-FAD 3\plaque 2/@06  Fadrozole 0.08 µg_L Dopé/H6_03.tif "/>
    <s v=" 1860.1709 "/>
    <s v=" 64.6628 "/>
    <x v="1"/>
    <n v="120284"/>
    <m/>
    <m/>
    <m/>
  </r>
  <r>
    <x v="1"/>
    <x v="8"/>
    <s v=" "/>
    <m/>
    <m/>
    <x v="0"/>
    <m/>
    <m/>
    <m/>
    <m/>
  </r>
  <r>
    <x v="1"/>
    <x v="8"/>
    <s v="group "/>
    <s v=" "/>
    <s v=" mean of mean fluo "/>
    <x v="2"/>
    <s v=" mean of total fluo "/>
    <s v=" SD total fluo "/>
    <s v=" n fluorescent "/>
    <s v=" n total"/>
  </r>
  <r>
    <x v="18"/>
    <x v="9"/>
    <s v="F:\images\2021-CHG-ACH-FAD 3\plaque 2/@06  Fadrozole 0.08 µg_L Dopé/ "/>
    <s v=" "/>
    <s v=" 67.3057 "/>
    <x v="20"/>
    <s v=" 870469.833 "/>
    <s v=" 967283.64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9"/>
    <x v="0"/>
    <s v="F:\images\2021-CHG-ACH-FAD 3\plaque 2/@07  Fadrozole 0.4 µg_L Dopé/A7_01.tif "/>
    <s v=" 1038.2349 "/>
    <s v=" 65.0833 "/>
    <x v="1"/>
    <n v="67572"/>
    <m/>
    <m/>
    <m/>
  </r>
  <r>
    <x v="19"/>
    <x v="0"/>
    <s v="F:\images\2021-CHG-ACH-FAD 3\plaque 2/@07  Fadrozole 0.4 µg_L Dopé/A7_02.tif "/>
    <s v=" 735.4164 "/>
    <s v=" 62.5 "/>
    <x v="1"/>
    <n v="45964"/>
    <m/>
    <m/>
    <m/>
  </r>
  <r>
    <x v="19"/>
    <x v="0"/>
    <s v="F:\images\2021-CHG-ACH-FAD 3\plaque 2/@07  Fadrozole 0.4 µg_L Dopé/A7_03.tif "/>
    <s v=" 1860.1709 "/>
    <s v=" 67.407 "/>
    <x v="1"/>
    <n v="125388"/>
    <m/>
    <m/>
    <m/>
  </r>
  <r>
    <x v="19"/>
    <x v="1"/>
    <s v="F:\images\2021-CHG-ACH-FAD 3\plaque 2/@07  Fadrozole 0.4 µg_L Dopé/B7_01.tif "/>
    <s v=" 1860.1709 "/>
    <s v=" 62.907 "/>
    <x v="1"/>
    <n v="117018"/>
    <m/>
    <m/>
    <m/>
  </r>
  <r>
    <x v="19"/>
    <x v="1"/>
    <s v="F:\images\2021-CHG-ACH-FAD 3\plaque 2/@07  Fadrozole 0.4 µg_L Dopé/B7_02- exclu.tif"/>
    <m/>
    <m/>
    <x v="0"/>
    <m/>
    <m/>
    <m/>
    <m/>
  </r>
  <r>
    <x v="19"/>
    <x v="1"/>
    <s v="F:\images\2021-CHG-ACH-FAD 3\plaque 2/@07  Fadrozole 0.4 µg_L Dopé/B7_03.tif "/>
    <s v=" 1449.2029 "/>
    <s v=" 63.6269 "/>
    <x v="1"/>
    <n v="92208"/>
    <m/>
    <m/>
    <m/>
  </r>
  <r>
    <x v="19"/>
    <x v="2"/>
    <s v="F:\images\2021-CHG-ACH-FAD 3\plaque 2/@07  Fadrozole 0.4 µg_L Dopé/C7_01.tif "/>
    <s v=" 22192.2719 "/>
    <s v=" 66.1082 "/>
    <x v="1"/>
    <n v="1467091"/>
    <m/>
    <m/>
    <m/>
  </r>
  <r>
    <x v="19"/>
    <x v="2"/>
    <s v="F:\images\2021-CHG-ACH-FAD 3\plaque 2/@07  Fadrozole 0.4 µg_L Dopé/C7_02.tif "/>
    <s v=" 17541.8445 "/>
    <s v=" 65.1221 "/>
    <x v="1"/>
    <n v="1142361"/>
    <m/>
    <m/>
    <m/>
  </r>
  <r>
    <x v="19"/>
    <x v="2"/>
    <s v="F:\images\2021-CHG-ACH-FAD 3\plaque 2/@07  Fadrozole 0.4 µg_L Dopé/C7_03.tif "/>
    <s v=" 13367.2749 "/>
    <s v=" 64.1861 "/>
    <x v="1"/>
    <n v="857993"/>
    <m/>
    <m/>
    <m/>
  </r>
  <r>
    <x v="19"/>
    <x v="3"/>
    <s v="F:\images\2021-CHG-ACH-FAD 3\plaque 2/@07  Fadrozole 0.4 µg_L Dopé/D7_01.tif "/>
    <s v=" 302.8185 "/>
    <s v=" 65.1429 "/>
    <x v="1"/>
    <n v="19726"/>
    <m/>
    <m/>
    <m/>
  </r>
  <r>
    <x v="19"/>
    <x v="3"/>
    <s v="F:\images\2021-CHG-ACH-FAD 3\plaque 2/@07  Fadrozole 0.4 µg_L Dopé/D7_02.tif "/>
    <s v=" 410.968 "/>
    <s v=" 65.6316 "/>
    <x v="1"/>
    <n v="26972"/>
    <m/>
    <m/>
    <m/>
  </r>
  <r>
    <x v="19"/>
    <x v="3"/>
    <s v="F:\images\2021-CHG-ACH-FAD 3\plaque 2/@07  Fadrozole 0.4 µg_L Dopé/D7_03.tif "/>
    <s v=" 173.0392 "/>
    <s v=" 65.125 "/>
    <x v="1"/>
    <n v="11269"/>
    <m/>
    <m/>
    <m/>
  </r>
  <r>
    <x v="19"/>
    <x v="4"/>
    <s v="F:\images\2021-CHG-ACH-FAD 3\plaque 2/@07  Fadrozole 0.4 µg_L Dopé/E7_01.tif "/>
    <s v=" 3720.3419 "/>
    <s v=" 68.1395 "/>
    <x v="1"/>
    <n v="253502"/>
    <m/>
    <m/>
    <m/>
  </r>
  <r>
    <x v="19"/>
    <x v="4"/>
    <s v="F:\images\2021-CHG-ACH-FAD 3\plaque 2/@07  Fadrozole 0.4 µg_L Dopé/E7_02.tif "/>
    <s v=" 2206.2493 "/>
    <s v=" 64.7941 "/>
    <x v="1"/>
    <n v="142952"/>
    <m/>
    <m/>
    <m/>
  </r>
  <r>
    <x v="19"/>
    <x v="4"/>
    <s v="F:\images\2021-CHG-ACH-FAD 3\plaque 2/@07  Fadrozole 0.4 µg_L Dopé/E7_03.tif "/>
    <s v=" 1341.0535 "/>
    <s v=" 64.4194 "/>
    <x v="1"/>
    <n v="86390"/>
    <m/>
    <m/>
    <m/>
  </r>
  <r>
    <x v="19"/>
    <x v="5"/>
    <s v="F:\images\2021-CHG-ACH-FAD 3\plaque 2/@07  Fadrozole 0.4 µg_L Dopé/F7_01.tif "/>
    <s v=" 1925.0606 "/>
    <s v=" 67.3708 "/>
    <x v="1"/>
    <n v="129693"/>
    <m/>
    <m/>
    <m/>
  </r>
  <r>
    <x v="19"/>
    <x v="5"/>
    <s v="F:\images\2021-CHG-ACH-FAD 3\plaque 2/@07  Fadrozole 0.4 µg_L Dopé/F7_02.tif "/>
    <s v=" 1103.1246 "/>
    <s v=" 65.4314 "/>
    <x v="1"/>
    <n v="72179"/>
    <m/>
    <m/>
    <m/>
  </r>
  <r>
    <x v="19"/>
    <x v="5"/>
    <s v="F:\images\2021-CHG-ACH-FAD 3\plaque 2/@07  Fadrozole 0.4 µg_L Dopé/F7_03.tif "/>
    <s v=" 1730.3916 "/>
    <s v=" 65.9625 "/>
    <x v="1"/>
    <n v="114141"/>
    <m/>
    <m/>
    <m/>
  </r>
  <r>
    <x v="19"/>
    <x v="6"/>
    <s v="F:\images\2021-CHG-ACH-FAD 3\plaque 2/@07  Fadrozole 0.4 µg_L Dopé/G7_01.tif "/>
    <s v=" 1881.8008 "/>
    <s v=" 63.2874 "/>
    <x v="1"/>
    <n v="119094"/>
    <m/>
    <m/>
    <m/>
  </r>
  <r>
    <x v="19"/>
    <x v="6"/>
    <s v="F:\images\2021-CHG-ACH-FAD 3\plaque 2/@07  Fadrozole 0.4 µg_L Dopé/G7_02.tif "/>
    <s v=" 5277.6943 "/>
    <s v=" 67.7418 "/>
    <x v="1"/>
    <n v="357521"/>
    <m/>
    <m/>
    <m/>
  </r>
  <r>
    <x v="19"/>
    <x v="6"/>
    <s v="F:\images\2021-CHG-ACH-FAD 3\plaque 2/@07  Fadrozole 0.4 µg_L Dopé/G7_03.tif "/>
    <s v=" 2768.6265 "/>
    <s v=" 65.1641 "/>
    <x v="1"/>
    <n v="180415"/>
    <m/>
    <m/>
    <m/>
  </r>
  <r>
    <x v="19"/>
    <x v="7"/>
    <s v="F:\images\2021-CHG-ACH-FAD 3\plaque 2/@07  Fadrozole 0.4 µg_L Dopé/H7_01.tif "/>
    <s v=" 19964.3927 "/>
    <s v=" 67.2546 "/>
    <x v="1"/>
    <n v="1342697"/>
    <m/>
    <m/>
    <m/>
  </r>
  <r>
    <x v="19"/>
    <x v="7"/>
    <s v="F:\images\2021-CHG-ACH-FAD 3\plaque 2/@07  Fadrozole 0.4 µg_L Dopé/H7_02.tif "/>
    <s v=" 18234.0012 "/>
    <s v=" 66.5409 "/>
    <x v="1"/>
    <n v="1213307"/>
    <m/>
    <m/>
    <m/>
  </r>
  <r>
    <x v="19"/>
    <x v="7"/>
    <s v="F:\images\2021-CHG-ACH-FAD 3\plaque 2/@07  Fadrozole 0.4 µg_L Dopé/H7_03.tif "/>
    <s v=" 19402.0155 "/>
    <s v=" 66.2575 "/>
    <x v="1"/>
    <n v="1285530"/>
    <m/>
    <m/>
    <m/>
  </r>
  <r>
    <x v="1"/>
    <x v="8"/>
    <s v=" "/>
    <m/>
    <m/>
    <x v="0"/>
    <m/>
    <m/>
    <m/>
    <m/>
  </r>
  <r>
    <x v="1"/>
    <x v="8"/>
    <s v="group "/>
    <s v=" "/>
    <s v=" mean of mean fluo "/>
    <x v="2"/>
    <s v=" mean of total fluo "/>
    <s v=" SD total fluo "/>
    <s v=" n fluorescent "/>
    <s v=" n total"/>
  </r>
  <r>
    <x v="19"/>
    <x v="9"/>
    <s v="F:\images\2021-CHG-ACH-FAD 3\plaque 2/@07  Fadrozole 0.4 µg_L Dopé/ "/>
    <s v=" "/>
    <s v=" 65.3256 "/>
    <x v="21"/>
    <s v=" 387306.667 "/>
    <s v=" 505151.146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20"/>
    <x v="0"/>
    <s v="F:\images\2021-CHG-ACH-FAD 3\plaque 2/@08  Fadrozole 2 µg_L Dopé/A8_01.tif "/>
    <s v=" 3504.0429 "/>
    <s v=" 64.0123 "/>
    <x v="1"/>
    <n v="224302"/>
    <m/>
    <m/>
    <m/>
  </r>
  <r>
    <x v="20"/>
    <x v="0"/>
    <s v="F:\images\2021-CHG-ACH-FAD 3\plaque 2/@08  Fadrozole 2 µg_L Dopé/A8_02.tif "/>
    <s v=" 2638.8471 "/>
    <s v=" 64.1148 "/>
    <x v="1"/>
    <n v="169189"/>
    <m/>
    <m/>
    <m/>
  </r>
  <r>
    <x v="20"/>
    <x v="0"/>
    <s v="F:\images\2021-CHG-ACH-FAD 3\plaque 2/@08  Fadrozole 2 µg_L Dopé/A8_03.tif "/>
    <s v=" 562.3773 "/>
    <s v=" 62.6154 "/>
    <x v="1"/>
    <n v="35213"/>
    <m/>
    <m/>
    <m/>
  </r>
  <r>
    <x v="20"/>
    <x v="1"/>
    <s v="F:\images\2021-CHG-ACH-FAD 3\plaque 2/@08  Fadrozole 2 µg_L Dopé/B8_01.tif "/>
    <s v=" 1211.2741 "/>
    <s v=" 63.4286 "/>
    <x v="1"/>
    <n v="76829"/>
    <m/>
    <m/>
    <m/>
  </r>
  <r>
    <x v="20"/>
    <x v="1"/>
    <s v="F:\images\2021-CHG-ACH-FAD 3\plaque 2/@08  Fadrozole 2 µg_L Dopé/B8_02.tif "/>
    <s v=" 2292.7688 "/>
    <s v=" 66.1415 "/>
    <x v="1"/>
    <n v="151647"/>
    <m/>
    <m/>
    <m/>
  </r>
  <r>
    <x v="20"/>
    <x v="1"/>
    <s v="F:\images\2021-CHG-ACH-FAD 3\plaque 2/@08  Fadrozole 2 µg_L Dopé/B8_03.tif "/>
    <s v=" 843.5659 "/>
    <s v=" 65.7436 "/>
    <x v="1"/>
    <n v="55459"/>
    <m/>
    <m/>
    <m/>
  </r>
  <r>
    <x v="20"/>
    <x v="2"/>
    <s v="F:\images\2021-CHG-ACH-FAD 3\plaque 2/@08  Fadrozole 2 µg_L Dopé/C8_01.tif "/>
    <s v=" 173.0392 "/>
    <s v=" 62.625 "/>
    <x v="1"/>
    <n v="10837"/>
    <m/>
    <m/>
    <m/>
  </r>
  <r>
    <x v="20"/>
    <x v="2"/>
    <s v="F:\images\2021-CHG-ACH-FAD 3\plaque 2/@08  Fadrozole 2 µg_L Dopé/C8_02.tif "/>
    <s v=" 237.9288 "/>
    <s v=" 64.0909 "/>
    <x v="1"/>
    <n v="15249"/>
    <m/>
    <m/>
    <m/>
  </r>
  <r>
    <x v="20"/>
    <x v="2"/>
    <s v="F:\images\2021-CHG-ACH-FAD 3\plaque 2/@08  Fadrozole 2 µg_L Dopé/C8_03.tif "/>
    <s v=" 173.0392 "/>
    <s v=" 65.125 "/>
    <x v="1"/>
    <n v="11269"/>
    <m/>
    <m/>
    <m/>
  </r>
  <r>
    <x v="20"/>
    <x v="3"/>
    <s v="F:\images\2021-CHG-ACH-FAD 3\plaque 2/@08  Fadrozole 2 µg_L Dopé/D8_01.tif "/>
    <s v=" 605.637 "/>
    <s v=" 63.8929 "/>
    <x v="1"/>
    <n v="38696"/>
    <m/>
    <m/>
    <m/>
  </r>
  <r>
    <x v="20"/>
    <x v="3"/>
    <s v="F:\images\2021-CHG-ACH-FAD 3\plaque 2/@08  Fadrozole 2 µg_L Dopé/D8_02.tif "/>
    <s v=" 2530.6977 "/>
    <s v=" 65.1966 "/>
    <x v="1"/>
    <n v="164993"/>
    <m/>
    <m/>
    <m/>
  </r>
  <r>
    <x v="20"/>
    <x v="3"/>
    <s v="F:\images\2021-CHG-ACH-FAD 3\plaque 2/@08  Fadrozole 2 µg_L Dopé/D8_03.tif "/>
    <s v=" 973.3453 "/>
    <s v=" 62.5333 "/>
    <x v="1"/>
    <n v="60867"/>
    <m/>
    <m/>
    <m/>
  </r>
  <r>
    <x v="20"/>
    <x v="4"/>
    <s v="F:\images\2021-CHG-ACH-FAD 3\plaque 2/@08  Fadrozole 2 µg_L Dopé/E8_01.tif "/>
    <s v=" 216.2989 "/>
    <s v=" 62.6 "/>
    <x v="1"/>
    <n v="13540"/>
    <m/>
    <m/>
    <m/>
  </r>
  <r>
    <x v="20"/>
    <x v="4"/>
    <s v="F:\images\2021-CHG-ACH-FAD 3\plaque 2/@08  Fadrozole 2 µg_L Dopé/E8_02.tif "/>
    <s v=" 843.5659 "/>
    <s v=" 63.359 "/>
    <x v="1"/>
    <n v="53447"/>
    <m/>
    <m/>
    <m/>
  </r>
  <r>
    <x v="20"/>
    <x v="4"/>
    <s v="F:\images\2021-CHG-ACH-FAD 3\plaque 2/@08  Fadrozole 2 µg_L Dopé/E8_03.tif "/>
    <s v=" 475.8577 "/>
    <s v=" 63.8636 "/>
    <x v="1"/>
    <n v="30390"/>
    <m/>
    <m/>
    <m/>
  </r>
  <r>
    <x v="20"/>
    <x v="5"/>
    <s v="F:\images\2021-CHG-ACH-FAD 3\plaque 2/@08  Fadrozole 2 µg_L Dopé/F8_01.tif "/>
    <s v=" 6748.5271 "/>
    <s v=" 78.5513 "/>
    <x v="1"/>
    <n v="530105"/>
    <m/>
    <m/>
    <m/>
  </r>
  <r>
    <x v="20"/>
    <x v="5"/>
    <s v="F:\images\2021-CHG-ACH-FAD 3\plaque 2/@08  Fadrozole 2 µg_L Dopé/F8_02.tif "/>
    <s v=" 237.9288 "/>
    <s v=" 62.6364 "/>
    <x v="1"/>
    <n v="14903"/>
    <m/>
    <m/>
    <m/>
  </r>
  <r>
    <x v="20"/>
    <x v="5"/>
    <s v="F:\images\2021-CHG-ACH-FAD 3\plaque 2/@08  Fadrozole 2 µg_L Dopé/F8_03.tif "/>
    <s v=" 389.3381 "/>
    <s v=" 63.7222 "/>
    <x v="1"/>
    <n v="24809"/>
    <m/>
    <m/>
    <m/>
  </r>
  <r>
    <x v="20"/>
    <x v="6"/>
    <s v="F:\images\2021-CHG-ACH-FAD 3\plaque 2/@08  Fadrozole 2 µg_L Dopé/G8_01.tif "/>
    <s v=" 757.0463 "/>
    <s v=" 62.9429 "/>
    <x v="1"/>
    <n v="47651"/>
    <m/>
    <m/>
    <m/>
  </r>
  <r>
    <x v="20"/>
    <x v="6"/>
    <s v="F:\images\2021-CHG-ACH-FAD 3\plaque 2/@08  Fadrozole 2 µg_L Dopé/G8_02.tif "/>
    <s v=" 951.7154 "/>
    <s v=" 68.2273 "/>
    <x v="1"/>
    <n v="64933"/>
    <m/>
    <m/>
    <m/>
  </r>
  <r>
    <x v="20"/>
    <x v="6"/>
    <s v="F:\images\2021-CHG-ACH-FAD 3\plaque 2/@08  Fadrozole 2 µg_L Dopé/G8_03.tif "/>
    <s v=" 324.4484 "/>
    <s v=" 66.1333 "/>
    <x v="1"/>
    <n v="21457"/>
    <m/>
    <m/>
    <m/>
  </r>
  <r>
    <x v="20"/>
    <x v="7"/>
    <s v="F:\images\2021-CHG-ACH-FAD 3\plaque 2/@08  Fadrozole 2 µg_L Dopé/H8_01.tif "/>
    <s v=" 1276.1638 "/>
    <s v=" 64.7288 "/>
    <x v="1"/>
    <n v="82605"/>
    <m/>
    <m/>
    <m/>
  </r>
  <r>
    <x v="20"/>
    <x v="7"/>
    <s v="F:\images\2021-CHG-ACH-FAD 3\plaque 2/@08  Fadrozole 2 µg_L Dopé/H8_02.tif "/>
    <s v=" 2422.5482 "/>
    <s v=" 65.6161 "/>
    <x v="1"/>
    <n v="158958"/>
    <m/>
    <m/>
    <m/>
  </r>
  <r>
    <x v="20"/>
    <x v="7"/>
    <s v="F:\images\2021-CHG-ACH-FAD 3\plaque 2/@08  Fadrozole 2 µg_L Dopé/H8_03.tif "/>
    <s v=" 1687.1318 "/>
    <s v=" 66.7692 "/>
    <x v="1"/>
    <n v="112648"/>
    <m/>
    <m/>
    <m/>
  </r>
  <r>
    <x v="1"/>
    <x v="8"/>
    <s v=" "/>
    <m/>
    <m/>
    <x v="0"/>
    <m/>
    <m/>
    <m/>
    <m/>
  </r>
  <r>
    <x v="1"/>
    <x v="8"/>
    <s v="group "/>
    <s v=" "/>
    <s v=" mean of mean fluo "/>
    <x v="2"/>
    <s v=" mean of total fluo "/>
    <s v=" SD total fluo "/>
    <s v=" n fluorescent "/>
    <s v=" n total"/>
  </r>
  <r>
    <x v="20"/>
    <x v="9"/>
    <s v="F:\images\2021-CHG-ACH-FAD 3\plaque 2/@08  Fadrozole 2 µg_L Dopé/ "/>
    <s v=" "/>
    <s v=" 64.9446 "/>
    <x v="22"/>
    <s v=" 90416.5 "/>
    <s v=" 111587.426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21"/>
    <x v="0"/>
    <s v="F:\images\2021-CHG-ACH-FAD 3\plaque 2/@09  Fadrozole 10 µg_L Dopé/A9_01.tif "/>
    <s v=" 497.4876 "/>
    <s v=" 65.8696 "/>
    <x v="1"/>
    <n v="32769"/>
    <m/>
    <m/>
    <m/>
  </r>
  <r>
    <x v="21"/>
    <x v="0"/>
    <s v="F:\images\2021-CHG-ACH-FAD 3\plaque 2/@09  Fadrozole 10 µg_L Dopé/A9_02.tif "/>
    <s v=" 324.4484 "/>
    <s v=" 65.6667 "/>
    <x v="1"/>
    <n v="21305"/>
    <m/>
    <m/>
    <m/>
  </r>
  <r>
    <x v="21"/>
    <x v="0"/>
    <s v="F:\images\2021-CHG-ACH-FAD 3\plaque 2/@09  Fadrozole 10 µg_L Dopé/A9_03.tif "/>
    <s v=" 562.3773 "/>
    <s v=" 66.8846 "/>
    <x v="1"/>
    <n v="37614"/>
    <m/>
    <m/>
    <m/>
  </r>
  <r>
    <x v="21"/>
    <x v="1"/>
    <s v="F:\images\2021-CHG-ACH-FAD 3\plaque 2/@09  Fadrozole 10 µg_L Dopé/B9_01.tif "/>
    <s v=" 324.4484 "/>
    <s v=" 64.8 "/>
    <x v="1"/>
    <n v="21024"/>
    <m/>
    <m/>
    <m/>
  </r>
  <r>
    <x v="21"/>
    <x v="1"/>
    <s v="F:\images\2021-CHG-ACH-FAD 3\plaque 2/@09  Fadrozole 10 µg_L Dopé/B9_02.tif "/>
    <s v=" 173.0392 "/>
    <s v=" 61.25 "/>
    <x v="1"/>
    <n v="10599"/>
    <m/>
    <m/>
    <m/>
  </r>
  <r>
    <x v="21"/>
    <x v="1"/>
    <s v="F:\images\2021-CHG-ACH-FAD 3\plaque 2/@09  Fadrozole 10 µg_L Dopé/B9_03.tif "/>
    <s v=" 346.0783 "/>
    <s v=" 63.25 "/>
    <x v="1"/>
    <n v="21889"/>
    <m/>
    <m/>
    <m/>
  </r>
  <r>
    <x v="21"/>
    <x v="2"/>
    <s v="F:\images\2021-CHG-ACH-FAD 3\plaque 2/@09  Fadrozole 10 µg_L Dopé/C9_01.tif "/>
    <s v=" 5212.8046 "/>
    <s v=" 66.5062 "/>
    <x v="1"/>
    <n v="346684"/>
    <m/>
    <m/>
    <m/>
  </r>
  <r>
    <x v="21"/>
    <x v="2"/>
    <s v="F:\images\2021-CHG-ACH-FAD 3\plaque 2/@09  Fadrozole 10 µg_L Dopé/C9_02.tif "/>
    <s v=" 3612.1924 "/>
    <s v=" 67.6886 "/>
    <x v="1"/>
    <n v="244504"/>
    <m/>
    <m/>
    <m/>
  </r>
  <r>
    <x v="21"/>
    <x v="2"/>
    <s v="F:\images\2021-CHG-ACH-FAD 3\plaque 2/@09  Fadrozole 10 µg_L Dopé/C9_03.tif "/>
    <s v=" 2811.8863 "/>
    <s v=" 64.8385 "/>
    <x v="1"/>
    <n v="182318"/>
    <m/>
    <m/>
    <m/>
  </r>
  <r>
    <x v="21"/>
    <x v="3"/>
    <s v="F:\images\2021-CHG-ACH-FAD 3\plaque 2/@09  Fadrozole 10 µg_L Dopé/D9_01.tif "/>
    <s v=" 194.6691 "/>
    <s v=" 65.2222 "/>
    <x v="1"/>
    <n v="12697"/>
    <m/>
    <m/>
    <m/>
  </r>
  <r>
    <x v="21"/>
    <x v="3"/>
    <s v="F:\images\2021-CHG-ACH-FAD 3\plaque 2/@09  Fadrozole 10 µg_L Dopé/D9_02.tif "/>
    <s v=" 173.0392 "/>
    <s v=" 63.5 "/>
    <x v="1"/>
    <n v="10988"/>
    <m/>
    <m/>
    <m/>
  </r>
  <r>
    <x v="21"/>
    <x v="3"/>
    <s v="F:\images\2021-CHG-ACH-FAD 3\plaque 2/@09  Fadrozole 10 µg_L Dopé/D9_03.tif "/>
    <s v=" 216.2989 "/>
    <s v=" 64.4 "/>
    <x v="1"/>
    <n v="13930"/>
    <m/>
    <m/>
    <m/>
  </r>
  <r>
    <x v="21"/>
    <x v="4"/>
    <s v="F:\images\2021-CHG-ACH-FAD 3\plaque 2/@09  Fadrozole 10 µg_L Dopé/E9_01.tif "/>
    <s v=" 173.0392 "/>
    <s v=" 64.75 "/>
    <x v="1"/>
    <n v="11204"/>
    <m/>
    <m/>
    <m/>
  </r>
  <r>
    <x v="21"/>
    <x v="4"/>
    <s v="F:\images\2021-CHG-ACH-FAD 3\plaque 2/@09  Fadrozole 10 µg_L Dopé/E9_02.tif "/>
    <s v=" 194.6691 "/>
    <s v=" 64.6667 "/>
    <x v="1"/>
    <n v="12589"/>
    <m/>
    <m/>
    <m/>
  </r>
  <r>
    <x v="21"/>
    <x v="4"/>
    <s v="F:\images\2021-CHG-ACH-FAD 3\plaque 2/@09  Fadrozole 10 µg_L Dopé/E9_03.tif "/>
    <s v=" 410.968 "/>
    <s v=" 63.5789 "/>
    <x v="1"/>
    <n v="26129"/>
    <m/>
    <m/>
    <m/>
  </r>
  <r>
    <x v="21"/>
    <x v="5"/>
    <s v="F:\images\2021-CHG-ACH-FAD 3\plaque 2/@09  Fadrozole 10 µg_L Dopé/F9_01.tif "/>
    <s v=" 930.0855 "/>
    <s v=" 64.3721 "/>
    <x v="1"/>
    <n v="59872"/>
    <m/>
    <m/>
    <m/>
  </r>
  <r>
    <x v="21"/>
    <x v="5"/>
    <s v="F:\images\2021-CHG-ACH-FAD 3\plaque 2/@09  Fadrozole 10 µg_L Dopé/F9_02.tif "/>
    <s v=" 1946.6905 "/>
    <s v=" 66.4 "/>
    <x v="1"/>
    <n v="129260"/>
    <m/>
    <m/>
    <m/>
  </r>
  <r>
    <x v="21"/>
    <x v="5"/>
    <s v="F:\images\2021-CHG-ACH-FAD 3\plaque 2/@09  Fadrozole 10 µg_L Dopé/F9_03.tif "/>
    <s v=" 994.9752 "/>
    <s v=" 63.413 "/>
    <x v="1"/>
    <n v="63094"/>
    <m/>
    <m/>
    <m/>
  </r>
  <r>
    <x v="21"/>
    <x v="6"/>
    <s v="F:\images\2021-CHG-ACH-FAD 3\plaque 2/@09  Fadrozole 10 µg_L Dopé/G9_01.tif "/>
    <s v=" 713.7865 "/>
    <s v=" 66.5152 "/>
    <x v="1"/>
    <n v="47478"/>
    <m/>
    <m/>
    <m/>
  </r>
  <r>
    <x v="21"/>
    <x v="6"/>
    <s v="F:\images\2021-CHG-ACH-FAD 3\plaque 2/@09  Fadrozole 10 µg_L Dopé/G9_02.tif "/>
    <s v=" 2292.7688 "/>
    <s v=" 68.5849 "/>
    <x v="1"/>
    <n v="157249"/>
    <m/>
    <m/>
    <m/>
  </r>
  <r>
    <x v="21"/>
    <x v="6"/>
    <s v="F:\images\2021-CHG-ACH-FAD 3\plaque 2/@09  Fadrozole 10 µg_L Dopé/G9_03.tif "/>
    <s v=" 519.1175 "/>
    <s v=" 65.5 "/>
    <x v="1"/>
    <n v="34002"/>
    <m/>
    <m/>
    <m/>
  </r>
  <r>
    <x v="21"/>
    <x v="7"/>
    <s v="F:\images\2021-CHG-ACH-FAD 3\plaque 2/@09  Fadrozole 10 µg_L Dopé/H9_01.tif "/>
    <s v=" 151.4093 "/>
    <s v=" 64.1429 "/>
    <x v="1"/>
    <n v="9712"/>
    <m/>
    <m/>
    <m/>
  </r>
  <r>
    <x v="21"/>
    <x v="7"/>
    <s v="F:\images\2021-CHG-ACH-FAD 3\plaque 2/@09  Fadrozole 10 µg_L Dopé/H9_02.tif "/>
    <s v=" 216.2989 "/>
    <s v=" 64.6 "/>
    <x v="1"/>
    <n v="13973"/>
    <m/>
    <m/>
    <m/>
  </r>
  <r>
    <x v="21"/>
    <x v="7"/>
    <s v="F:\images\2021-CHG-ACH-FAD 3\plaque 2/@09  Fadrozole 10 µg_L Dopé/H9_03.tif "/>
    <s v=" 216.2989 "/>
    <s v=" 61.8 "/>
    <x v="1"/>
    <n v="13367"/>
    <m/>
    <m/>
    <m/>
  </r>
  <r>
    <x v="1"/>
    <x v="8"/>
    <s v=" "/>
    <m/>
    <m/>
    <x v="0"/>
    <m/>
    <m/>
    <m/>
    <m/>
  </r>
  <r>
    <x v="1"/>
    <x v="8"/>
    <s v="group "/>
    <s v=" "/>
    <s v=" mean of mean fluo "/>
    <x v="2"/>
    <s v=" mean of total fluo "/>
    <s v=" SD total fluo "/>
    <s v=" n fluorescent "/>
    <s v=" n total"/>
  </r>
  <r>
    <x v="21"/>
    <x v="9"/>
    <s v="F:\images\2021-CHG-ACH-FAD 3\plaque 2/@09  Fadrozole 10 µg_L Dopé/ "/>
    <s v=" "/>
    <s v=" 64.925 "/>
    <x v="23"/>
    <s v=" 63927.0833 "/>
    <s v=" 86835.6529 "/>
    <n v="24"/>
    <n v="24"/>
  </r>
  <r>
    <x v="1"/>
    <x v="8"/>
    <s v=" "/>
    <m/>
    <m/>
    <x v="0"/>
    <m/>
    <m/>
    <m/>
    <m/>
  </r>
  <r>
    <x v="1"/>
    <x v="8"/>
    <s v=" "/>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n v="1.6E-2"/>
    <s v="µg/L"/>
    <s v="Fadrozole"/>
    <x v="0"/>
  </r>
  <r>
    <x v="9"/>
    <x v="1"/>
    <n v="0.08"/>
    <s v="µg/L"/>
    <s v="Fadrozole"/>
    <x v="0"/>
  </r>
  <r>
    <x v="10"/>
    <x v="1"/>
    <n v="0.4"/>
    <s v="µg/L"/>
    <s v="Fadrozole"/>
    <x v="0"/>
  </r>
  <r>
    <x v="11"/>
    <x v="1"/>
    <n v="2"/>
    <s v="µg/L"/>
    <s v="Fadrozole"/>
    <x v="0"/>
  </r>
  <r>
    <x v="12"/>
    <x v="1"/>
    <n v="10"/>
    <s v=" µg/L"/>
    <s v="Fadrozole"/>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4"/>
    <x v="0"/>
    <n v="30"/>
    <s v="µg/L"/>
    <s v="Testo "/>
    <x v="0"/>
  </r>
  <r>
    <x v="15"/>
    <x v="0"/>
    <n v="64"/>
    <s v="ng/L"/>
    <s v="Testo 30µg/L + EE2 "/>
    <x v="0"/>
  </r>
  <r>
    <x v="16"/>
    <x v="0"/>
    <n v="10"/>
    <s v="µg/L"/>
    <s v="Testo 30µg/L + FAD"/>
    <x v="0"/>
  </r>
  <r>
    <x v="17"/>
    <x v="2"/>
    <n v="1.6E-2"/>
    <s v=" µg/L"/>
    <s v="Fadrozole"/>
    <x v="1"/>
  </r>
  <r>
    <x v="18"/>
    <x v="2"/>
    <n v="0.08"/>
    <s v="µg/L"/>
    <s v="Fadrozole"/>
    <x v="1"/>
  </r>
  <r>
    <x v="19"/>
    <x v="2"/>
    <n v="0.4"/>
    <s v="µg/L"/>
    <s v="Fadrozole"/>
    <x v="1"/>
  </r>
  <r>
    <x v="20"/>
    <x v="2"/>
    <n v="2"/>
    <s v="µg/L"/>
    <s v="Fadrozole"/>
    <x v="1"/>
  </r>
  <r>
    <x v="21"/>
    <x v="2"/>
    <n v="10"/>
    <s v=" µg/L"/>
    <s v="Fadrozole"/>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0"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h="1" m="1" x="22"/>
        <item h="1"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Q5:Q11" firstHeaderRow="1" firstDataRow="1" firstDataCol="1" rowPageCount="2" colPageCount="1"/>
  <pivotFields count="6">
    <pivotField axis="axisRow" showAll="0" defaultSubtotal="0">
      <items count="24">
        <item x="22"/>
        <item x="13"/>
        <item x="1"/>
        <item x="2"/>
        <item x="3"/>
        <item x="4"/>
        <item x="5"/>
        <item x="6"/>
        <item x="7"/>
        <item x="15"/>
        <item m="1" x="23"/>
        <item x="14"/>
        <item x="0"/>
        <item x="8"/>
        <item x="9"/>
        <item x="10"/>
        <item x="11"/>
        <item x="12"/>
        <item x="16"/>
        <item x="17"/>
        <item x="18"/>
        <item x="19"/>
        <item x="20"/>
        <item x="2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v="1"/>
    </i>
    <i>
      <x v="13"/>
    </i>
    <i>
      <x v="14"/>
    </i>
    <i>
      <x v="15"/>
    </i>
    <i>
      <x v="16"/>
    </i>
    <i>
      <x v="17"/>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U5:U11" firstHeaderRow="1" firstDataRow="1" firstDataCol="1" rowPageCount="2" colPageCount="1"/>
  <pivotFields count="6">
    <pivotField axis="axisRow" showAll="0" defaultSubtotal="0">
      <items count="24">
        <item x="22"/>
        <item x="13"/>
        <item x="1"/>
        <item x="2"/>
        <item x="3"/>
        <item x="4"/>
        <item x="5"/>
        <item x="6"/>
        <item x="7"/>
        <item x="15"/>
        <item m="1" x="23"/>
        <item x="14"/>
        <item x="0"/>
        <item x="8"/>
        <item x="9"/>
        <item x="10"/>
        <item x="11"/>
        <item x="12"/>
        <item x="16"/>
        <item x="17"/>
        <item x="18"/>
        <item x="19"/>
        <item x="20"/>
        <item x="2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i>
    <i>
      <x v="19"/>
    </i>
    <i>
      <x v="20"/>
    </i>
    <i>
      <x v="21"/>
    </i>
    <i>
      <x v="22"/>
    </i>
    <i>
      <x v="23"/>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004656E2-6209-4AB9-AF59-3139027C622E}" name="Colonne1"/>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A294FD4B-8C43-4618-A4B7-70B8036F4058}"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836B0085-D14A-4F1E-A8D3-1E582AD6FD3F}"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zoomScale="55" zoomScaleNormal="55" workbookViewId="0">
      <selection activeCell="E41" sqref="E41"/>
    </sheetView>
  </sheetViews>
  <sheetFormatPr baseColWidth="10" defaultRowHeight="39" customHeight="1" x14ac:dyDescent="0.25"/>
  <cols>
    <col min="1" max="1" width="42" bestFit="1" customWidth="1"/>
    <col min="2" max="2" width="33.85546875" style="44" bestFit="1" customWidth="1"/>
    <col min="3" max="3" width="21.28515625" customWidth="1"/>
    <col min="4" max="4" width="30.42578125" customWidth="1"/>
    <col min="5" max="5" width="62.28515625" style="159"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198" t="s">
        <v>36</v>
      </c>
      <c r="B1" s="199"/>
      <c r="C1" s="199"/>
      <c r="D1" s="199"/>
      <c r="E1" s="199"/>
      <c r="F1" s="199"/>
      <c r="G1" s="199"/>
      <c r="H1" s="199"/>
      <c r="I1" s="200"/>
    </row>
    <row r="2" spans="1:9" ht="21" x14ac:dyDescent="0.35">
      <c r="A2" s="188" t="s">
        <v>17</v>
      </c>
      <c r="B2" s="42" t="s">
        <v>115</v>
      </c>
      <c r="C2" s="201"/>
      <c r="D2" s="202"/>
      <c r="E2" s="42" t="s">
        <v>21</v>
      </c>
      <c r="F2" s="213"/>
      <c r="G2" s="214"/>
      <c r="H2" s="214"/>
      <c r="I2" s="215"/>
    </row>
    <row r="3" spans="1:9" ht="21" x14ac:dyDescent="0.35">
      <c r="A3" s="189" t="s">
        <v>18</v>
      </c>
      <c r="B3" s="43" t="s">
        <v>115</v>
      </c>
      <c r="C3" s="203"/>
      <c r="D3" s="204"/>
      <c r="E3" s="43" t="s">
        <v>21</v>
      </c>
      <c r="F3" s="210"/>
      <c r="G3" s="211"/>
      <c r="H3" s="211"/>
      <c r="I3" s="212"/>
    </row>
    <row r="4" spans="1:9" ht="21.75" thickBot="1" x14ac:dyDescent="0.4">
      <c r="A4" s="190" t="s">
        <v>22</v>
      </c>
      <c r="B4" s="178" t="s">
        <v>115</v>
      </c>
      <c r="C4" s="205"/>
      <c r="D4" s="206"/>
      <c r="E4" s="178" t="s">
        <v>21</v>
      </c>
      <c r="F4" s="207"/>
      <c r="G4" s="208"/>
      <c r="H4" s="208"/>
      <c r="I4" s="209"/>
    </row>
    <row r="5" spans="1:9" s="1" customFormat="1" ht="65.25" customHeight="1" thickBot="1" x14ac:dyDescent="0.3">
      <c r="A5" s="198" t="s">
        <v>37</v>
      </c>
      <c r="B5" s="199"/>
      <c r="C5" s="199"/>
      <c r="D5" s="199"/>
      <c r="E5" s="199"/>
      <c r="F5" s="199"/>
      <c r="G5" s="199"/>
      <c r="H5" s="199"/>
      <c r="I5" s="200"/>
    </row>
    <row r="6" spans="1:9" s="109" customFormat="1" ht="39" customHeight="1" x14ac:dyDescent="0.35">
      <c r="A6" s="75" t="s">
        <v>35</v>
      </c>
      <c r="B6" s="100" t="s">
        <v>7</v>
      </c>
      <c r="C6" s="64" t="s">
        <v>19</v>
      </c>
      <c r="D6" s="64" t="s">
        <v>75</v>
      </c>
      <c r="E6" s="156" t="s">
        <v>51</v>
      </c>
      <c r="F6" s="108" t="s">
        <v>78</v>
      </c>
    </row>
    <row r="7" spans="1:9" s="165" customFormat="1" ht="39" customHeight="1" x14ac:dyDescent="0.35">
      <c r="A7"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1" t="s">
        <v>123</v>
      </c>
      <c r="C7" s="162"/>
      <c r="D7" s="163"/>
      <c r="E7" s="164" t="s">
        <v>125</v>
      </c>
      <c r="F7" s="110"/>
    </row>
    <row r="8" spans="1:9" s="165" customFormat="1" ht="39" customHeight="1" x14ac:dyDescent="0.35">
      <c r="A8"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1" t="s">
        <v>123</v>
      </c>
      <c r="C8" s="162">
        <v>22.5</v>
      </c>
      <c r="D8" s="163" t="s">
        <v>124</v>
      </c>
      <c r="E8" s="164" t="s">
        <v>126</v>
      </c>
      <c r="F8" s="110"/>
    </row>
    <row r="9" spans="1:9" s="165" customFormat="1" ht="39" customHeight="1" x14ac:dyDescent="0.35">
      <c r="A9"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1" t="s">
        <v>123</v>
      </c>
      <c r="C9" s="162">
        <v>33.799999999999997</v>
      </c>
      <c r="D9" s="163" t="s">
        <v>124</v>
      </c>
      <c r="E9" s="164" t="s">
        <v>126</v>
      </c>
      <c r="F9" s="110"/>
    </row>
    <row r="10" spans="1:9" s="165" customFormat="1" ht="39" customHeight="1" x14ac:dyDescent="0.35">
      <c r="A10"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1" t="s">
        <v>123</v>
      </c>
      <c r="C10" s="162">
        <v>50.6</v>
      </c>
      <c r="D10" s="163" t="s">
        <v>124</v>
      </c>
      <c r="E10" s="164" t="s">
        <v>126</v>
      </c>
      <c r="F10" s="110"/>
    </row>
    <row r="11" spans="1:9" s="165" customFormat="1" ht="39" customHeight="1" x14ac:dyDescent="0.35">
      <c r="A11"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1" t="s">
        <v>123</v>
      </c>
      <c r="C11" s="162">
        <v>76</v>
      </c>
      <c r="D11" s="163" t="s">
        <v>124</v>
      </c>
      <c r="E11" s="164" t="s">
        <v>126</v>
      </c>
      <c r="F11" s="110"/>
    </row>
    <row r="12" spans="1:9" s="165" customFormat="1" ht="39" customHeight="1" x14ac:dyDescent="0.35">
      <c r="A12"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1" t="s">
        <v>123</v>
      </c>
      <c r="C12" s="162">
        <v>114</v>
      </c>
      <c r="D12" s="163" t="s">
        <v>124</v>
      </c>
      <c r="E12" s="164" t="s">
        <v>126</v>
      </c>
      <c r="F12" s="110"/>
    </row>
    <row r="13" spans="1:9" s="165" customFormat="1" ht="39" customHeight="1" x14ac:dyDescent="0.35">
      <c r="A13"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1" t="s">
        <v>123</v>
      </c>
      <c r="C13" s="162">
        <v>170.9</v>
      </c>
      <c r="D13" s="163" t="s">
        <v>124</v>
      </c>
      <c r="E13" s="164" t="s">
        <v>126</v>
      </c>
      <c r="F13" s="110"/>
    </row>
    <row r="14" spans="1:9" s="165" customFormat="1" ht="39" customHeight="1" x14ac:dyDescent="0.35">
      <c r="A14"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1" t="s">
        <v>123</v>
      </c>
      <c r="C14" s="162">
        <v>488</v>
      </c>
      <c r="D14" s="163" t="s">
        <v>124</v>
      </c>
      <c r="E14" s="164" t="s">
        <v>126</v>
      </c>
      <c r="F14" s="110"/>
    </row>
    <row r="15" spans="1:9" s="165" customFormat="1" ht="39" customHeight="1" x14ac:dyDescent="0.35">
      <c r="A15" s="160" t="s">
        <v>165</v>
      </c>
      <c r="B15" s="161"/>
      <c r="C15" s="162">
        <v>1.6E-2</v>
      </c>
      <c r="D15" s="163" t="s">
        <v>127</v>
      </c>
      <c r="E15" s="164" t="s">
        <v>170</v>
      </c>
      <c r="F15" s="110"/>
    </row>
    <row r="16" spans="1:9" s="111" customFormat="1" ht="39" customHeight="1" x14ac:dyDescent="0.25">
      <c r="A16" s="160" t="s">
        <v>166</v>
      </c>
      <c r="B16" s="40"/>
      <c r="C16" s="105">
        <v>0.08</v>
      </c>
      <c r="D16" s="163" t="s">
        <v>127</v>
      </c>
      <c r="E16" s="164" t="s">
        <v>170</v>
      </c>
      <c r="F16" s="110"/>
    </row>
    <row r="17" spans="1:6" s="111" customFormat="1" ht="39" customHeight="1" x14ac:dyDescent="0.25">
      <c r="A17" s="160" t="s">
        <v>167</v>
      </c>
      <c r="B17" s="101"/>
      <c r="C17" s="105">
        <v>0.4</v>
      </c>
      <c r="D17" s="163" t="s">
        <v>127</v>
      </c>
      <c r="E17" s="164" t="s">
        <v>170</v>
      </c>
      <c r="F17" s="110"/>
    </row>
    <row r="18" spans="1:6" s="111" customFormat="1" ht="39" customHeight="1" x14ac:dyDescent="0.25">
      <c r="A18" s="160" t="s">
        <v>168</v>
      </c>
      <c r="B18" s="40"/>
      <c r="C18" s="105">
        <v>2</v>
      </c>
      <c r="D18" s="163" t="s">
        <v>127</v>
      </c>
      <c r="E18" s="164" t="s">
        <v>170</v>
      </c>
      <c r="F18" s="110"/>
    </row>
    <row r="19" spans="1:6" s="111" customFormat="1" ht="39" customHeight="1" x14ac:dyDescent="0.25">
      <c r="A19" s="160" t="s">
        <v>169</v>
      </c>
      <c r="B19" s="101"/>
      <c r="C19" s="105">
        <v>10</v>
      </c>
      <c r="D19" s="163" t="s">
        <v>171</v>
      </c>
      <c r="E19" s="164" t="s">
        <v>170</v>
      </c>
      <c r="F19" s="110"/>
    </row>
    <row r="20" spans="1:6" s="111" customFormat="1" ht="39" customHeight="1" x14ac:dyDescent="0.2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2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2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2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2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2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2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2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2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2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2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2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2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2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2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3">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6"/>
      <c r="C35" s="167"/>
      <c r="D35" s="115"/>
      <c r="E35" s="166"/>
      <c r="F35" s="110"/>
    </row>
    <row r="36" spans="1:6" s="111" customFormat="1" ht="39" customHeight="1" x14ac:dyDescent="0.25">
      <c r="A36" s="1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7" t="s">
        <v>20</v>
      </c>
      <c r="F36" s="169"/>
    </row>
    <row r="37" spans="1:6" s="111" customFormat="1" ht="39" customHeight="1" x14ac:dyDescent="0.25">
      <c r="A37" s="17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8" t="s">
        <v>128</v>
      </c>
      <c r="F37" s="171"/>
    </row>
    <row r="38" spans="1:6" s="111" customFormat="1" ht="39" customHeight="1" thickBot="1" x14ac:dyDescent="0.3">
      <c r="A38" s="1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3" t="s">
        <v>123</v>
      </c>
      <c r="C38" s="174">
        <v>10</v>
      </c>
      <c r="D38" s="175" t="s">
        <v>127</v>
      </c>
      <c r="E38" s="176" t="s">
        <v>129</v>
      </c>
      <c r="F38" s="177"/>
    </row>
    <row r="39" spans="1:6" s="111" customFormat="1" ht="39" customHeight="1" x14ac:dyDescent="0.2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Fadrozole-0,016 µg/L + Testostérone</v>
      </c>
      <c r="B39" s="191">
        <f>B15</f>
        <v>0</v>
      </c>
      <c r="C39" s="195">
        <f t="shared" ref="C39:E39" si="0">C15</f>
        <v>1.6E-2</v>
      </c>
      <c r="D39" s="195" t="str">
        <f>D19</f>
        <v xml:space="preserve"> µg/L</v>
      </c>
      <c r="E39" s="195" t="str">
        <f t="shared" si="0"/>
        <v>Fadrozole</v>
      </c>
      <c r="F39" s="112" t="s">
        <v>50</v>
      </c>
    </row>
    <row r="40" spans="1:6" s="111" customFormat="1" ht="39" customHeight="1" x14ac:dyDescent="0.25">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Fadrozole-0,08µg/L + Testostérone</v>
      </c>
      <c r="B40" s="193">
        <f t="shared" ref="B40:E40" si="1">B16</f>
        <v>0</v>
      </c>
      <c r="C40" s="107">
        <f t="shared" si="1"/>
        <v>0.08</v>
      </c>
      <c r="D40" s="107" t="str">
        <f t="shared" si="1"/>
        <v>µg/L</v>
      </c>
      <c r="E40" s="107" t="str">
        <f t="shared" si="1"/>
        <v>Fadrozole</v>
      </c>
      <c r="F40" s="113" t="s">
        <v>50</v>
      </c>
    </row>
    <row r="41" spans="1:6" s="111" customFormat="1" ht="39" customHeight="1" x14ac:dyDescent="0.25">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Fadrozole-0,4µg/L + Testostérone</v>
      </c>
      <c r="B41" s="193">
        <f t="shared" ref="B41:E41" si="2">B17</f>
        <v>0</v>
      </c>
      <c r="C41" s="107">
        <f t="shared" si="2"/>
        <v>0.4</v>
      </c>
      <c r="D41" s="107" t="str">
        <f t="shared" si="2"/>
        <v>µg/L</v>
      </c>
      <c r="E41" s="107" t="str">
        <f t="shared" si="2"/>
        <v>Fadrozole</v>
      </c>
      <c r="F41" s="113" t="s">
        <v>50</v>
      </c>
    </row>
    <row r="42" spans="1:6" s="111" customFormat="1" ht="39" customHeight="1" x14ac:dyDescent="0.25">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Fadrozole-2µg/L + Testostérone</v>
      </c>
      <c r="B42" s="193">
        <f t="shared" ref="B42:E43" si="3">B18</f>
        <v>0</v>
      </c>
      <c r="C42" s="107">
        <f t="shared" si="3"/>
        <v>2</v>
      </c>
      <c r="D42" s="107" t="str">
        <f t="shared" si="3"/>
        <v>µg/L</v>
      </c>
      <c r="E42" s="107" t="str">
        <f t="shared" si="3"/>
        <v>Fadrozole</v>
      </c>
      <c r="F42" s="113" t="s">
        <v>50</v>
      </c>
    </row>
    <row r="43" spans="1:6" s="111" customFormat="1" ht="39" customHeight="1" x14ac:dyDescent="0.25">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Fadrozole-10 µg/L + Testostérone</v>
      </c>
      <c r="B43" s="193">
        <f t="shared" ref="B43:E43" si="4">B19</f>
        <v>0</v>
      </c>
      <c r="C43" s="107">
        <f t="shared" si="4"/>
        <v>10</v>
      </c>
      <c r="D43" s="107" t="str">
        <f t="shared" si="3"/>
        <v xml:space="preserve"> µg/L</v>
      </c>
      <c r="E43" s="107" t="str">
        <f t="shared" si="4"/>
        <v>Fadrozole</v>
      </c>
      <c r="F43" s="113" t="s">
        <v>50</v>
      </c>
    </row>
    <row r="44" spans="1:6" s="111" customFormat="1" ht="39" customHeight="1" x14ac:dyDescent="0.25">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25">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25">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25">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25">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25">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25">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25">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25">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25">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25">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25">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25">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25">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25">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A20:A52 C16:C38 D20:D38"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5" x14ac:dyDescent="0.25"/>
  <cols>
    <col min="1" max="1" width="14.140625" customWidth="1"/>
    <col min="2" max="2" width="14" customWidth="1"/>
    <col min="3" max="3" width="11.5703125" customWidth="1"/>
    <col min="4" max="4" width="12.42578125" customWidth="1"/>
    <col min="5" max="5" width="17.28515625" customWidth="1"/>
    <col min="7" max="7" width="19.5703125" customWidth="1"/>
    <col min="9" max="9" width="15.7109375" customWidth="1"/>
  </cols>
  <sheetData>
    <row r="1" spans="1:9" x14ac:dyDescent="0.25">
      <c r="A1" t="s">
        <v>107</v>
      </c>
      <c r="B1" t="s">
        <v>108</v>
      </c>
      <c r="C1" t="s">
        <v>109</v>
      </c>
      <c r="D1" t="s">
        <v>110</v>
      </c>
      <c r="E1" t="s">
        <v>111</v>
      </c>
      <c r="F1" t="s">
        <v>112</v>
      </c>
      <c r="G1" t="s">
        <v>113</v>
      </c>
      <c r="H1" t="s">
        <v>117</v>
      </c>
      <c r="I1" t="s">
        <v>118</v>
      </c>
    </row>
    <row r="2" spans="1:9" x14ac:dyDescent="0.25">
      <c r="A2" t="s">
        <v>152</v>
      </c>
      <c r="B2" t="s">
        <v>163</v>
      </c>
      <c r="C2" t="s">
        <v>143</v>
      </c>
      <c r="D2" t="s">
        <v>146</v>
      </c>
      <c r="E2" t="s">
        <v>147</v>
      </c>
      <c r="F2" t="s">
        <v>112</v>
      </c>
      <c r="G2">
        <v>360268</v>
      </c>
    </row>
    <row r="3" spans="1:9" x14ac:dyDescent="0.25">
      <c r="A3" t="s">
        <v>152</v>
      </c>
      <c r="B3" t="s">
        <v>163</v>
      </c>
      <c r="C3" t="s">
        <v>144</v>
      </c>
      <c r="D3" t="s">
        <v>148</v>
      </c>
      <c r="E3" t="s">
        <v>149</v>
      </c>
      <c r="F3" t="s">
        <v>112</v>
      </c>
      <c r="G3">
        <v>372315</v>
      </c>
    </row>
    <row r="4" spans="1:9" x14ac:dyDescent="0.25">
      <c r="A4" t="s">
        <v>152</v>
      </c>
      <c r="B4" t="s">
        <v>163</v>
      </c>
      <c r="C4" t="s">
        <v>145</v>
      </c>
      <c r="D4" t="s">
        <v>150</v>
      </c>
      <c r="E4" t="s">
        <v>151</v>
      </c>
      <c r="F4" t="s">
        <v>112</v>
      </c>
      <c r="G4">
        <v>237626</v>
      </c>
    </row>
    <row r="5" spans="1:9" x14ac:dyDescent="0.25">
      <c r="A5" t="s">
        <v>152</v>
      </c>
      <c r="B5" t="s">
        <v>163</v>
      </c>
      <c r="C5" t="s">
        <v>160</v>
      </c>
      <c r="D5" t="s">
        <v>161</v>
      </c>
      <c r="E5" t="s">
        <v>162</v>
      </c>
      <c r="F5" t="s">
        <v>112</v>
      </c>
      <c r="G5">
        <v>1439015</v>
      </c>
    </row>
    <row r="6" spans="1:9" x14ac:dyDescent="0.25">
      <c r="A6" t="s">
        <v>152</v>
      </c>
      <c r="B6" t="s">
        <v>163</v>
      </c>
      <c r="C6" t="s">
        <v>157</v>
      </c>
      <c r="D6" t="s">
        <v>158</v>
      </c>
      <c r="E6" t="s">
        <v>159</v>
      </c>
      <c r="F6" t="s">
        <v>112</v>
      </c>
      <c r="G6">
        <v>1433586</v>
      </c>
    </row>
    <row r="7" spans="1:9" x14ac:dyDescent="0.25">
      <c r="A7" t="s">
        <v>152</v>
      </c>
      <c r="B7" t="s">
        <v>163</v>
      </c>
      <c r="C7" t="s">
        <v>154</v>
      </c>
      <c r="D7" t="s">
        <v>155</v>
      </c>
      <c r="E7" t="s">
        <v>156</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G1" zoomScale="70" zoomScaleNormal="70" workbookViewId="0">
      <selection activeCell="Z5" sqref="Z5:AF12"/>
    </sheetView>
  </sheetViews>
  <sheetFormatPr baseColWidth="10" defaultColWidth="11.42578125" defaultRowHeight="15" x14ac:dyDescent="0.25"/>
  <cols>
    <col min="1" max="1" width="15" style="1" customWidth="1"/>
    <col min="2" max="2" width="26.5703125" style="1" customWidth="1"/>
    <col min="3" max="3" width="87.140625" style="1" bestFit="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5.42578125" style="1" customWidth="1"/>
    <col min="12" max="12" width="15.42578125" style="1" customWidth="1"/>
    <col min="13" max="14" width="12.85546875" style="1" customWidth="1"/>
    <col min="15" max="20" width="12.28515625" style="1" customWidth="1"/>
    <col min="21" max="21" width="17.42578125" style="1" customWidth="1"/>
    <col min="22" max="25" width="12.28515625" style="1" customWidth="1"/>
    <col min="26" max="27" width="15.5703125" style="1" customWidth="1"/>
    <col min="28" max="28" width="14.28515625" style="1" customWidth="1"/>
    <col min="29" max="16384" width="11.42578125" style="1"/>
  </cols>
  <sheetData>
    <row r="1" spans="1:144" x14ac:dyDescent="0.25">
      <c r="A1" s="1" t="s">
        <v>107</v>
      </c>
      <c r="B1" s="1" t="s">
        <v>108</v>
      </c>
      <c r="C1" s="1" t="s">
        <v>109</v>
      </c>
      <c r="D1" s="1" t="s">
        <v>110</v>
      </c>
      <c r="E1" s="1" t="s">
        <v>111</v>
      </c>
      <c r="F1" s="1" t="s">
        <v>112</v>
      </c>
      <c r="G1" s="1" t="s">
        <v>113</v>
      </c>
      <c r="H1" s="1" t="s">
        <v>117</v>
      </c>
      <c r="I1" s="1" t="s">
        <v>118</v>
      </c>
      <c r="J1" s="1" t="s">
        <v>1564</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172</v>
      </c>
      <c r="D2" s="1" t="s">
        <v>173</v>
      </c>
      <c r="E2" s="1" t="s">
        <v>174</v>
      </c>
      <c r="F2" s="1" t="s">
        <v>112</v>
      </c>
      <c r="G2" s="1">
        <v>126665</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175</v>
      </c>
      <c r="D3" s="1" t="s">
        <v>176</v>
      </c>
      <c r="E3" s="1" t="s">
        <v>177</v>
      </c>
      <c r="F3" s="1" t="s">
        <v>112</v>
      </c>
      <c r="G3" s="1">
        <v>129996</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178</v>
      </c>
      <c r="D4" s="1" t="s">
        <v>179</v>
      </c>
      <c r="E4" s="1" t="s">
        <v>180</v>
      </c>
      <c r="F4" s="1" t="s">
        <v>112</v>
      </c>
      <c r="G4" s="1">
        <v>117840</v>
      </c>
      <c r="K4" s="118" t="s">
        <v>100</v>
      </c>
      <c r="L4" s="1" t="s">
        <v>1565</v>
      </c>
      <c r="M4" s="1" t="s">
        <v>1566</v>
      </c>
      <c r="N4" s="1" t="s">
        <v>1567</v>
      </c>
      <c r="O4" s="1" t="s">
        <v>1568</v>
      </c>
      <c r="P4" s="1" t="s">
        <v>1569</v>
      </c>
      <c r="Q4" s="1" t="s">
        <v>1570</v>
      </c>
      <c r="R4" s="1" t="s">
        <v>1571</v>
      </c>
      <c r="S4" s="1" t="s">
        <v>1572</v>
      </c>
      <c r="T4" s="1" t="s">
        <v>1573</v>
      </c>
      <c r="U4" s="1" t="s">
        <v>1574</v>
      </c>
      <c r="V4" s="1" t="s">
        <v>1575</v>
      </c>
      <c r="W4" s="1" t="s">
        <v>1576</v>
      </c>
      <c r="X4" s="1" t="s">
        <v>1577</v>
      </c>
      <c r="Y4" s="1" t="s">
        <v>1578</v>
      </c>
      <c r="Z4" s="1" t="s">
        <v>1579</v>
      </c>
      <c r="AA4" s="1" t="s">
        <v>1580</v>
      </c>
      <c r="AB4" s="1" t="s">
        <v>1581</v>
      </c>
      <c r="AC4" s="1" t="s">
        <v>1582</v>
      </c>
      <c r="AD4" s="1" t="s">
        <v>1583</v>
      </c>
      <c r="AE4" s="1" t="s">
        <v>1584</v>
      </c>
      <c r="AF4" s="1" t="s">
        <v>1585</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181</v>
      </c>
      <c r="D5" s="1" t="s">
        <v>182</v>
      </c>
      <c r="E5" s="1" t="s">
        <v>183</v>
      </c>
      <c r="F5" s="1" t="s">
        <v>112</v>
      </c>
      <c r="G5" s="1">
        <v>227027</v>
      </c>
      <c r="K5" s="145" t="s">
        <v>163</v>
      </c>
      <c r="L5" s="44">
        <v>124833.66666666667</v>
      </c>
      <c r="M5" s="44">
        <v>19452.333333333332</v>
      </c>
      <c r="N5" s="44">
        <v>105395.33333333333</v>
      </c>
      <c r="O5" s="44">
        <v>175490.33333333334</v>
      </c>
      <c r="P5" s="44">
        <v>2486342</v>
      </c>
      <c r="Q5" s="44">
        <v>1434826.3333333333</v>
      </c>
      <c r="R5" s="44">
        <v>2975841</v>
      </c>
      <c r="S5" s="44">
        <v>52748</v>
      </c>
      <c r="T5" s="44">
        <v>60268</v>
      </c>
      <c r="U5" s="44">
        <v>14304.666666666666</v>
      </c>
      <c r="V5" s="44">
        <v>33396.666666666664</v>
      </c>
      <c r="W5" s="44">
        <v>285255</v>
      </c>
      <c r="X5" s="44">
        <v>381378.33333333331</v>
      </c>
      <c r="Y5" s="44">
        <v>582399.33333333337</v>
      </c>
      <c r="Z5" s="44">
        <v>2847712.6666666665</v>
      </c>
      <c r="AA5" s="44">
        <v>769461.5</v>
      </c>
      <c r="AB5" s="44">
        <v>2140292.6666666665</v>
      </c>
      <c r="AC5" s="44">
        <v>1101300.3333333333</v>
      </c>
      <c r="AD5" s="44">
        <v>81681.666666666672</v>
      </c>
      <c r="AE5" s="44">
        <v>14153.333333333334</v>
      </c>
      <c r="AF5" s="44">
        <v>13252</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184</v>
      </c>
      <c r="D6" s="1" t="s">
        <v>185</v>
      </c>
      <c r="E6" s="1" t="s">
        <v>186</v>
      </c>
      <c r="F6" s="1" t="s">
        <v>112</v>
      </c>
      <c r="G6" s="1">
        <v>294469</v>
      </c>
      <c r="K6" s="145" t="s">
        <v>1586</v>
      </c>
      <c r="L6" s="44">
        <v>221331.33333333334</v>
      </c>
      <c r="M6" s="44">
        <v>99721</v>
      </c>
      <c r="N6" s="44">
        <v>43584.333333333336</v>
      </c>
      <c r="O6" s="44">
        <v>18061</v>
      </c>
      <c r="P6" s="44">
        <v>2373318.5</v>
      </c>
      <c r="Q6" s="44">
        <v>8234695.666666667</v>
      </c>
      <c r="R6" s="44">
        <v>6208313.333333333</v>
      </c>
      <c r="S6" s="44">
        <v>15429.333333333334</v>
      </c>
      <c r="T6" s="44">
        <v>19878</v>
      </c>
      <c r="U6" s="44">
        <v>79742.333333333328</v>
      </c>
      <c r="V6" s="44">
        <v>255333.66666666666</v>
      </c>
      <c r="W6" s="44">
        <v>305536.33333333331</v>
      </c>
      <c r="X6" s="44">
        <v>63109</v>
      </c>
      <c r="Y6" s="44">
        <v>1101618</v>
      </c>
      <c r="Z6" s="44">
        <v>1878159.6666666667</v>
      </c>
      <c r="AA6" s="44">
        <v>344030.66666666669</v>
      </c>
      <c r="AB6" s="44">
        <v>1956640</v>
      </c>
      <c r="AC6" s="44">
        <v>2707990.6666666665</v>
      </c>
      <c r="AD6" s="44">
        <v>183500.66666666666</v>
      </c>
      <c r="AE6" s="44">
        <v>512066</v>
      </c>
      <c r="AF6" s="44">
        <v>16471</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187</v>
      </c>
      <c r="D7" s="1" t="s">
        <v>188</v>
      </c>
      <c r="E7" s="1" t="s">
        <v>189</v>
      </c>
      <c r="F7" s="1" t="s">
        <v>112</v>
      </c>
      <c r="G7" s="1">
        <v>142498</v>
      </c>
      <c r="K7" s="145" t="s">
        <v>1587</v>
      </c>
      <c r="L7" s="44">
        <v>52928.333333333336</v>
      </c>
      <c r="M7" s="44">
        <v>62186</v>
      </c>
      <c r="N7" s="44">
        <v>253639</v>
      </c>
      <c r="O7" s="44">
        <v>102684.66666666667</v>
      </c>
      <c r="P7" s="44">
        <v>766859</v>
      </c>
      <c r="Q7" s="44">
        <v>4113415</v>
      </c>
      <c r="R7" s="44">
        <v>3987528.6666666665</v>
      </c>
      <c r="S7" s="44">
        <v>62791.5</v>
      </c>
      <c r="T7" s="44">
        <v>77464</v>
      </c>
      <c r="U7" s="44">
        <v>15919.666666666666</v>
      </c>
      <c r="V7" s="44">
        <v>350966.33333333331</v>
      </c>
      <c r="W7" s="44">
        <v>12365.333333333334</v>
      </c>
      <c r="X7" s="44">
        <v>515772</v>
      </c>
      <c r="Y7" s="44">
        <v>2820834</v>
      </c>
      <c r="Z7" s="44">
        <v>3318581</v>
      </c>
      <c r="AA7" s="44">
        <v>13677.333333333334</v>
      </c>
      <c r="AB7" s="44">
        <v>256069.33333333334</v>
      </c>
      <c r="AC7" s="44">
        <v>801466.66666666663</v>
      </c>
      <c r="AD7" s="44">
        <v>224547</v>
      </c>
      <c r="AE7" s="44">
        <v>37816</v>
      </c>
      <c r="AF7" s="44">
        <v>51861.333333333336</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190</v>
      </c>
      <c r="D8" s="1" t="s">
        <v>191</v>
      </c>
      <c r="E8" s="1" t="s">
        <v>192</v>
      </c>
      <c r="F8" s="1" t="s">
        <v>112</v>
      </c>
      <c r="G8" s="1">
        <v>45250</v>
      </c>
      <c r="K8" s="145" t="s">
        <v>1588</v>
      </c>
      <c r="L8" s="44">
        <v>403621</v>
      </c>
      <c r="M8" s="44">
        <v>68321.666666666672</v>
      </c>
      <c r="N8" s="44">
        <v>47232.666666666664</v>
      </c>
      <c r="O8" s="44">
        <v>107738.33333333333</v>
      </c>
      <c r="P8" s="44">
        <v>925139.33333333337</v>
      </c>
      <c r="Q8" s="44">
        <v>2174720</v>
      </c>
      <c r="R8" s="44">
        <v>5231500</v>
      </c>
      <c r="S8" s="44">
        <v>386461.5</v>
      </c>
      <c r="T8" s="44">
        <v>22206.666666666668</v>
      </c>
      <c r="U8" s="44">
        <v>11896.333333333334</v>
      </c>
      <c r="V8" s="44">
        <v>39625.666666666664</v>
      </c>
      <c r="W8" s="44">
        <v>96714.333333333328</v>
      </c>
      <c r="X8" s="44">
        <v>225145.66666666666</v>
      </c>
      <c r="Y8" s="44">
        <v>77687</v>
      </c>
      <c r="Z8" s="44">
        <v>3533949.6666666665</v>
      </c>
      <c r="AA8" s="44">
        <v>49294.666666666664</v>
      </c>
      <c r="AB8" s="44">
        <v>1656648</v>
      </c>
      <c r="AC8" s="44">
        <v>1270107.5</v>
      </c>
      <c r="AD8" s="44">
        <v>926812.33333333337</v>
      </c>
      <c r="AE8" s="44">
        <v>15811.333333333334</v>
      </c>
      <c r="AF8" s="44">
        <v>15133.666666666666</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193</v>
      </c>
      <c r="D9" s="1" t="s">
        <v>194</v>
      </c>
      <c r="E9" s="1" t="s">
        <v>195</v>
      </c>
      <c r="F9" s="1" t="s">
        <v>112</v>
      </c>
      <c r="G9" s="1">
        <v>43584</v>
      </c>
      <c r="K9" s="145" t="s">
        <v>1589</v>
      </c>
      <c r="L9" s="44">
        <v>278549.66666666669</v>
      </c>
      <c r="M9" s="44">
        <v>12530.666666666666</v>
      </c>
      <c r="N9" s="44">
        <v>59359.666666666664</v>
      </c>
      <c r="O9" s="44">
        <v>203004</v>
      </c>
      <c r="P9" s="44">
        <v>1625241.3333333333</v>
      </c>
      <c r="Q9" s="44">
        <v>3037962</v>
      </c>
      <c r="R9" s="44">
        <v>6299649.333333333</v>
      </c>
      <c r="S9" s="44">
        <v>148316.33333333334</v>
      </c>
      <c r="T9" s="44">
        <v>64795.666666666664</v>
      </c>
      <c r="U9" s="44">
        <v>92129</v>
      </c>
      <c r="V9" s="44">
        <v>188374.66666666666</v>
      </c>
      <c r="W9" s="44">
        <v>34680</v>
      </c>
      <c r="X9" s="44">
        <v>3367097</v>
      </c>
      <c r="Y9" s="44">
        <v>80203.666666666672</v>
      </c>
      <c r="Z9" s="44">
        <v>2459557</v>
      </c>
      <c r="AA9" s="44">
        <v>56641.666666666664</v>
      </c>
      <c r="AB9" s="44">
        <v>2046238.6666666667</v>
      </c>
      <c r="AC9" s="44">
        <v>1335141.3333333333</v>
      </c>
      <c r="AD9" s="44">
        <v>212903.33333333334</v>
      </c>
      <c r="AE9" s="44">
        <v>113355.33333333333</v>
      </c>
      <c r="AF9" s="44">
        <v>18244.5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196</v>
      </c>
      <c r="D10" s="1" t="s">
        <v>197</v>
      </c>
      <c r="E10" s="1" t="s">
        <v>198</v>
      </c>
      <c r="F10" s="1" t="s">
        <v>112</v>
      </c>
      <c r="G10" s="1">
        <v>69951</v>
      </c>
      <c r="K10" s="145" t="s">
        <v>1590</v>
      </c>
      <c r="L10" s="44">
        <v>27859.333333333332</v>
      </c>
      <c r="M10" s="44">
        <v>140587</v>
      </c>
      <c r="N10" s="44">
        <v>358840</v>
      </c>
      <c r="O10" s="44">
        <v>406325</v>
      </c>
      <c r="P10" s="44">
        <v>1425431.6666666667</v>
      </c>
      <c r="Q10" s="44">
        <v>1821287.6666666667</v>
      </c>
      <c r="R10" s="44">
        <v>2926005.6666666665</v>
      </c>
      <c r="S10" s="44">
        <v>25336</v>
      </c>
      <c r="T10" s="44">
        <v>32077.333333333332</v>
      </c>
      <c r="U10" s="44">
        <v>29950</v>
      </c>
      <c r="V10" s="44">
        <v>96800.666666666672</v>
      </c>
      <c r="W10" s="44">
        <v>27477</v>
      </c>
      <c r="X10" s="44">
        <v>1263986.3333333333</v>
      </c>
      <c r="Y10" s="44">
        <v>1743232.3333333333</v>
      </c>
      <c r="Z10" s="44">
        <v>3892213</v>
      </c>
      <c r="AA10" s="44">
        <v>85777</v>
      </c>
      <c r="AB10" s="44">
        <v>1859926</v>
      </c>
      <c r="AC10" s="44">
        <v>130695</v>
      </c>
      <c r="AD10" s="44">
        <v>346186.66666666669</v>
      </c>
      <c r="AE10" s="44">
        <v>245903</v>
      </c>
      <c r="AF10" s="44">
        <v>25090.5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199</v>
      </c>
      <c r="D11" s="1" t="s">
        <v>200</v>
      </c>
      <c r="E11" s="1" t="s">
        <v>201</v>
      </c>
      <c r="F11" s="1" t="s">
        <v>112</v>
      </c>
      <c r="G11" s="1">
        <v>150890</v>
      </c>
      <c r="K11" s="145" t="s">
        <v>1591</v>
      </c>
      <c r="L11" s="44">
        <v>157299.66666666666</v>
      </c>
      <c r="M11" s="44">
        <v>295096.33333333331</v>
      </c>
      <c r="N11" s="44">
        <v>271152.33333333331</v>
      </c>
      <c r="O11" s="44">
        <v>6631952.5</v>
      </c>
      <c r="P11" s="44">
        <v>1644132</v>
      </c>
      <c r="Q11" s="44">
        <v>3421633</v>
      </c>
      <c r="R11" s="44">
        <v>4580231</v>
      </c>
      <c r="S11" s="44">
        <v>89295.333333333328</v>
      </c>
      <c r="T11" s="44">
        <v>18255.333333333332</v>
      </c>
      <c r="U11" s="44">
        <v>35869.666666666664</v>
      </c>
      <c r="V11" s="44">
        <v>28292</v>
      </c>
      <c r="W11" s="44">
        <v>128921.33333333333</v>
      </c>
      <c r="X11" s="44">
        <v>3817085.3333333335</v>
      </c>
      <c r="Y11" s="44">
        <v>2602725.3333333335</v>
      </c>
      <c r="Z11" s="44">
        <v>2756838.3333333335</v>
      </c>
      <c r="AA11" s="44">
        <v>32805.333333333336</v>
      </c>
      <c r="AB11" s="44">
        <v>2270785.6666666665</v>
      </c>
      <c r="AC11" s="44">
        <v>2106528</v>
      </c>
      <c r="AD11" s="44">
        <v>1531101</v>
      </c>
      <c r="AE11" s="44">
        <v>29510.666666666668</v>
      </c>
      <c r="AF11" s="44">
        <v>270511</v>
      </c>
      <c r="AG11"/>
    </row>
    <row r="12" spans="1:144" x14ac:dyDescent="0.25">
      <c r="A12" s="1" t="str">
        <f t="shared" si="0"/>
        <v>01 Evian + 0.2% DMSO</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202</v>
      </c>
      <c r="D12" s="1" t="s">
        <v>203</v>
      </c>
      <c r="E12" s="1" t="s">
        <v>204</v>
      </c>
      <c r="F12" s="1" t="s">
        <v>112</v>
      </c>
      <c r="G12" s="1">
        <v>535989</v>
      </c>
      <c r="K12" s="145" t="s">
        <v>1592</v>
      </c>
      <c r="L12" s="44">
        <v>329798</v>
      </c>
      <c r="M12" s="44">
        <v>224720.33333333334</v>
      </c>
      <c r="N12" s="44">
        <v>56014</v>
      </c>
      <c r="O12" s="44">
        <v>155605.33333333334</v>
      </c>
      <c r="P12" s="44">
        <v>2467812.6666666665</v>
      </c>
      <c r="Q12" s="44">
        <v>3185073.6666666665</v>
      </c>
      <c r="R12" s="44">
        <v>6872300.333333333</v>
      </c>
      <c r="S12" s="44">
        <v>136009</v>
      </c>
      <c r="T12" s="44">
        <v>120766.66666666667</v>
      </c>
      <c r="U12" s="44">
        <v>72157</v>
      </c>
      <c r="V12" s="44">
        <v>41176</v>
      </c>
      <c r="W12" s="44">
        <v>140169</v>
      </c>
      <c r="X12" s="44">
        <v>369287</v>
      </c>
      <c r="Y12" s="44">
        <v>187747.33333333334</v>
      </c>
      <c r="Z12" s="44">
        <v>2141972</v>
      </c>
      <c r="AA12" s="44">
        <v>58919.666666666664</v>
      </c>
      <c r="AB12" s="44">
        <v>865231.66666666663</v>
      </c>
      <c r="AC12" s="44">
        <v>56072</v>
      </c>
      <c r="AD12" s="44">
        <v>1226321.3333333333</v>
      </c>
      <c r="AE12" s="44">
        <v>39864</v>
      </c>
      <c r="AF12" s="44">
        <v>8904.3333333333339</v>
      </c>
      <c r="AG12"/>
    </row>
    <row r="13" spans="1:144" x14ac:dyDescent="0.25">
      <c r="A13" s="1" t="str">
        <f t="shared" si="0"/>
        <v>01 Evian + 0.2% DMSO</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205</v>
      </c>
      <c r="D13" s="1" t="s">
        <v>206</v>
      </c>
      <c r="E13" s="1" t="s">
        <v>207</v>
      </c>
      <c r="F13" s="1" t="s">
        <v>112</v>
      </c>
      <c r="G13" s="1">
        <v>523984</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208</v>
      </c>
      <c r="D14" s="1" t="s">
        <v>209</v>
      </c>
      <c r="E14" s="1" t="s">
        <v>210</v>
      </c>
      <c r="F14" s="1" t="s">
        <v>112</v>
      </c>
      <c r="G14" s="1">
        <v>482498</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211</v>
      </c>
      <c r="D15" s="1" t="s">
        <v>191</v>
      </c>
      <c r="E15" s="1" t="s">
        <v>212</v>
      </c>
      <c r="F15" s="1" t="s">
        <v>112</v>
      </c>
      <c r="G15" s="1">
        <v>46050</v>
      </c>
    </row>
    <row r="16" spans="1:144" x14ac:dyDescent="0.25">
      <c r="A16" s="1" t="str">
        <f t="shared" si="0"/>
        <v>01 Evian + 0.2% DMSO</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213</v>
      </c>
      <c r="D16" s="1" t="s">
        <v>214</v>
      </c>
      <c r="E16" s="1" t="s">
        <v>215</v>
      </c>
      <c r="F16" s="1" t="s">
        <v>112</v>
      </c>
      <c r="G16" s="1">
        <v>307101</v>
      </c>
      <c r="M16"/>
      <c r="N16"/>
      <c r="O16"/>
      <c r="P16"/>
      <c r="Q16"/>
      <c r="R16"/>
      <c r="S16"/>
      <c r="T16"/>
      <c r="U16"/>
      <c r="V16"/>
      <c r="W16"/>
      <c r="X16"/>
      <c r="Y16"/>
      <c r="Z16"/>
      <c r="AA16"/>
      <c r="AB16"/>
      <c r="AC16"/>
      <c r="AD16"/>
      <c r="AE16"/>
      <c r="AF16"/>
      <c r="AG16"/>
      <c r="AH16"/>
    </row>
    <row r="17" spans="1:34" x14ac:dyDescent="0.25">
      <c r="A17" s="1" t="str">
        <f t="shared" si="0"/>
        <v>01 Evian + 0.2% DMSO</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216</v>
      </c>
      <c r="D17" s="1" t="s">
        <v>217</v>
      </c>
      <c r="E17" s="1" t="s">
        <v>218</v>
      </c>
      <c r="F17" s="1" t="s">
        <v>112</v>
      </c>
      <c r="G17" s="1">
        <v>47975</v>
      </c>
      <c r="M17"/>
      <c r="N17"/>
      <c r="O17"/>
      <c r="P17"/>
      <c r="Q17"/>
      <c r="R17"/>
      <c r="S17"/>
      <c r="T17"/>
      <c r="U17"/>
      <c r="V17"/>
      <c r="W17"/>
      <c r="X17"/>
      <c r="Y17"/>
      <c r="Z17"/>
      <c r="AA17"/>
      <c r="AB17"/>
      <c r="AC17"/>
      <c r="AD17"/>
      <c r="AE17"/>
      <c r="AF17"/>
      <c r="AG17"/>
      <c r="AH17"/>
    </row>
    <row r="18" spans="1:34" x14ac:dyDescent="0.25">
      <c r="A18" s="1" t="str">
        <f t="shared" si="0"/>
        <v>01 Evian + 0.2% DMSO</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219</v>
      </c>
      <c r="D18" s="1" t="s">
        <v>220</v>
      </c>
      <c r="E18" s="1" t="s">
        <v>221</v>
      </c>
      <c r="F18" s="1" t="s">
        <v>112</v>
      </c>
      <c r="G18" s="1">
        <v>12372</v>
      </c>
      <c r="M18"/>
      <c r="N18"/>
      <c r="O18"/>
      <c r="P18"/>
      <c r="Q18"/>
      <c r="R18"/>
      <c r="S18"/>
      <c r="T18"/>
      <c r="U18"/>
      <c r="V18"/>
      <c r="W18"/>
      <c r="X18"/>
      <c r="Y18"/>
      <c r="Z18"/>
      <c r="AA18"/>
      <c r="AB18"/>
      <c r="AC18"/>
      <c r="AD18"/>
      <c r="AE18"/>
      <c r="AF18"/>
      <c r="AG18"/>
      <c r="AH18"/>
    </row>
    <row r="19" spans="1:34" x14ac:dyDescent="0.25">
      <c r="A19" s="1" t="str">
        <f t="shared" si="0"/>
        <v>01 Evian + 0.2% DMSO</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222</v>
      </c>
      <c r="D19" s="1" t="s">
        <v>223</v>
      </c>
      <c r="E19" s="1" t="s">
        <v>224</v>
      </c>
      <c r="F19" s="1" t="s">
        <v>112</v>
      </c>
      <c r="G19" s="1">
        <v>23231</v>
      </c>
      <c r="K19"/>
      <c r="L19"/>
      <c r="M19"/>
      <c r="N19"/>
      <c r="O19"/>
      <c r="P19"/>
      <c r="Q19"/>
      <c r="R19"/>
      <c r="S19"/>
      <c r="T19"/>
      <c r="U19"/>
      <c r="V19"/>
      <c r="W19"/>
      <c r="X19"/>
      <c r="Y19"/>
      <c r="Z19"/>
      <c r="AA19"/>
      <c r="AB19"/>
      <c r="AC19"/>
      <c r="AD19"/>
      <c r="AE19"/>
      <c r="AF19"/>
      <c r="AG19"/>
      <c r="AH19"/>
    </row>
    <row r="20" spans="1:34" x14ac:dyDescent="0.25">
      <c r="A20" s="1" t="str">
        <f t="shared" si="0"/>
        <v>01 Evian + 0.2% DMSO</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225</v>
      </c>
      <c r="D20" s="1" t="s">
        <v>226</v>
      </c>
      <c r="E20" s="1" t="s">
        <v>227</v>
      </c>
      <c r="F20" s="1" t="s">
        <v>112</v>
      </c>
      <c r="G20" s="1">
        <v>138518</v>
      </c>
      <c r="K20"/>
      <c r="L20"/>
      <c r="M20"/>
      <c r="N20"/>
      <c r="O20"/>
      <c r="P20"/>
      <c r="Q20"/>
      <c r="R20"/>
      <c r="S20"/>
      <c r="T20"/>
      <c r="U20"/>
      <c r="V20"/>
      <c r="W20"/>
      <c r="X20"/>
      <c r="Y20"/>
      <c r="Z20"/>
      <c r="AA20"/>
      <c r="AB20"/>
      <c r="AC20"/>
      <c r="AD20"/>
      <c r="AE20"/>
      <c r="AF20"/>
      <c r="AG20"/>
      <c r="AH20"/>
    </row>
    <row r="21" spans="1:34" x14ac:dyDescent="0.25">
      <c r="A21" s="1" t="str">
        <f t="shared" si="0"/>
        <v>01 Evian + 0.2% DMSO</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228</v>
      </c>
      <c r="D21" s="1" t="s">
        <v>229</v>
      </c>
      <c r="E21" s="1" t="s">
        <v>230</v>
      </c>
      <c r="F21" s="1" t="s">
        <v>112</v>
      </c>
      <c r="G21" s="1">
        <v>10966</v>
      </c>
      <c r="K21"/>
      <c r="L21"/>
      <c r="M21"/>
      <c r="N21"/>
      <c r="O21"/>
      <c r="P21"/>
      <c r="Q21"/>
      <c r="R21"/>
      <c r="S21"/>
      <c r="T21"/>
      <c r="U21"/>
      <c r="V21"/>
      <c r="W21"/>
      <c r="X21"/>
      <c r="Y21"/>
      <c r="Z21"/>
      <c r="AA21"/>
      <c r="AB21"/>
      <c r="AC21"/>
      <c r="AD21"/>
      <c r="AE21"/>
      <c r="AF21"/>
      <c r="AG21"/>
      <c r="AH21"/>
    </row>
    <row r="22" spans="1:34" x14ac:dyDescent="0.25">
      <c r="A22" s="1" t="str">
        <f t="shared" si="0"/>
        <v>01 Evian + 0.2% DMSO</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231</v>
      </c>
      <c r="D22" s="1" t="s">
        <v>232</v>
      </c>
      <c r="E22" s="1" t="s">
        <v>233</v>
      </c>
      <c r="F22" s="1" t="s">
        <v>112</v>
      </c>
      <c r="G22" s="1">
        <v>322415</v>
      </c>
      <c r="K22"/>
      <c r="L22"/>
      <c r="M22"/>
      <c r="N22"/>
      <c r="O22"/>
      <c r="P22"/>
      <c r="Q22"/>
      <c r="R22"/>
      <c r="S22"/>
      <c r="T22"/>
      <c r="U22"/>
      <c r="V22"/>
      <c r="W22"/>
      <c r="X22"/>
      <c r="Y22"/>
      <c r="Z22"/>
      <c r="AA22"/>
      <c r="AB22"/>
      <c r="AC22"/>
      <c r="AD22"/>
      <c r="AE22"/>
      <c r="AF22"/>
      <c r="AG22"/>
      <c r="AH22"/>
    </row>
    <row r="23" spans="1:34" x14ac:dyDescent="0.25">
      <c r="A23" s="1" t="str">
        <f t="shared" si="0"/>
        <v>01 Evian + 0.2% DMSO</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234</v>
      </c>
      <c r="D23" s="1" t="s">
        <v>235</v>
      </c>
      <c r="E23" s="1" t="s">
        <v>236</v>
      </c>
      <c r="F23" s="1" t="s">
        <v>112</v>
      </c>
      <c r="G23" s="1">
        <v>528007</v>
      </c>
      <c r="K23"/>
      <c r="L23"/>
      <c r="M23"/>
      <c r="N23"/>
      <c r="O23"/>
      <c r="P23"/>
      <c r="Q23"/>
      <c r="R23"/>
      <c r="S23"/>
      <c r="T23"/>
      <c r="U23"/>
      <c r="V23"/>
      <c r="W23"/>
      <c r="X23"/>
      <c r="Y23"/>
      <c r="Z23"/>
      <c r="AA23"/>
      <c r="AB23"/>
      <c r="AC23"/>
      <c r="AD23"/>
      <c r="AE23"/>
      <c r="AF23"/>
      <c r="AG23"/>
      <c r="AH23"/>
    </row>
    <row r="24" spans="1:34" x14ac:dyDescent="0.25">
      <c r="A24" s="1" t="str">
        <f t="shared" si="0"/>
        <v>01 Evian + 0.2% DMSO</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237</v>
      </c>
      <c r="D24" s="1" t="s">
        <v>238</v>
      </c>
      <c r="E24" s="1" t="s">
        <v>239</v>
      </c>
      <c r="F24" s="1" t="s">
        <v>112</v>
      </c>
      <c r="G24" s="1">
        <v>427796</v>
      </c>
      <c r="K24"/>
      <c r="L24"/>
      <c r="M24"/>
      <c r="N24"/>
      <c r="O24"/>
      <c r="P24"/>
      <c r="Q24"/>
      <c r="R24"/>
      <c r="S24"/>
      <c r="T24"/>
      <c r="U24"/>
      <c r="V24"/>
      <c r="W24"/>
      <c r="X24"/>
      <c r="Y24"/>
      <c r="Z24"/>
      <c r="AA24"/>
      <c r="AB24"/>
      <c r="AC24"/>
      <c r="AD24"/>
      <c r="AE24"/>
      <c r="AF24"/>
      <c r="AG24"/>
      <c r="AH24"/>
    </row>
    <row r="25" spans="1:34" x14ac:dyDescent="0.25">
      <c r="A25" s="1" t="str">
        <f t="shared" si="0"/>
        <v>01 Evian + 0.2% DMSO</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240</v>
      </c>
      <c r="D25" s="1" t="s">
        <v>241</v>
      </c>
      <c r="E25" s="1" t="s">
        <v>242</v>
      </c>
      <c r="F25" s="1" t="s">
        <v>112</v>
      </c>
      <c r="G25" s="1">
        <v>33591</v>
      </c>
      <c r="K25"/>
      <c r="L25"/>
      <c r="M25"/>
      <c r="N25"/>
      <c r="O25"/>
      <c r="P25"/>
      <c r="Q25"/>
      <c r="R25"/>
      <c r="S25"/>
      <c r="T25"/>
      <c r="U25"/>
      <c r="V25"/>
      <c r="W25"/>
      <c r="X25"/>
      <c r="Y25"/>
      <c r="Z25"/>
      <c r="AA25"/>
      <c r="AB25"/>
      <c r="AC25"/>
      <c r="AD25"/>
      <c r="AE25"/>
      <c r="AF25"/>
      <c r="AG25"/>
      <c r="AH25"/>
    </row>
    <row r="26" spans="1:34" x14ac:dyDescent="0.2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2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243</v>
      </c>
      <c r="D27" s="1" t="s">
        <v>112</v>
      </c>
      <c r="E27" s="1" t="s">
        <v>244</v>
      </c>
      <c r="F27" s="1" t="s">
        <v>245</v>
      </c>
      <c r="G27" s="1" t="s">
        <v>246</v>
      </c>
      <c r="H27" s="1" t="s">
        <v>247</v>
      </c>
      <c r="I27" s="1" t="s">
        <v>248</v>
      </c>
      <c r="J27" s="1" t="s">
        <v>249</v>
      </c>
      <c r="K27"/>
      <c r="L27"/>
      <c r="M27"/>
      <c r="N27"/>
      <c r="O27"/>
      <c r="P27"/>
      <c r="Q27"/>
      <c r="R27"/>
      <c r="S27"/>
      <c r="T27"/>
      <c r="U27"/>
      <c r="V27"/>
      <c r="W27"/>
      <c r="X27"/>
      <c r="Y27"/>
      <c r="Z27"/>
      <c r="AA27"/>
      <c r="AB27"/>
      <c r="AC27"/>
      <c r="AD27"/>
      <c r="AE27"/>
      <c r="AF27"/>
      <c r="AG27"/>
      <c r="AH27"/>
    </row>
    <row r="28" spans="1:34" x14ac:dyDescent="0.25">
      <c r="A28" s="1" t="str">
        <f t="shared" si="0"/>
        <v>01 Evian + 0.2% DMSO</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250</v>
      </c>
      <c r="D28" s="1" t="s">
        <v>112</v>
      </c>
      <c r="E28" s="1" t="s">
        <v>251</v>
      </c>
      <c r="F28" s="1" t="s">
        <v>252</v>
      </c>
      <c r="G28" s="1" t="s">
        <v>253</v>
      </c>
      <c r="H28" s="1" t="s">
        <v>254</v>
      </c>
      <c r="I28" s="1">
        <v>24</v>
      </c>
      <c r="J28" s="1">
        <v>24</v>
      </c>
      <c r="K28"/>
      <c r="L28"/>
      <c r="M28"/>
      <c r="N28"/>
      <c r="O28"/>
      <c r="P28"/>
      <c r="Q28"/>
      <c r="R28"/>
      <c r="S28"/>
      <c r="T28"/>
      <c r="U28"/>
      <c r="V28"/>
      <c r="W28"/>
      <c r="X28"/>
      <c r="Y28"/>
      <c r="Z28"/>
      <c r="AA28"/>
      <c r="AB28"/>
      <c r="AC28"/>
      <c r="AD28"/>
      <c r="AE28"/>
      <c r="AF28"/>
      <c r="AG28"/>
      <c r="AH28"/>
    </row>
    <row r="29" spans="1:34" x14ac:dyDescent="0.2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2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2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2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2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2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255</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25">
      <c r="A35" s="1" t="str">
        <f t="shared" si="0"/>
        <v>02 EE2 33.8</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256</v>
      </c>
      <c r="D35" s="1" t="s">
        <v>257</v>
      </c>
      <c r="E35" s="1" t="s">
        <v>258</v>
      </c>
      <c r="F35" s="1" t="s">
        <v>112</v>
      </c>
      <c r="G35" s="1">
        <v>7181</v>
      </c>
      <c r="K35"/>
      <c r="L35"/>
      <c r="M35"/>
      <c r="N35"/>
      <c r="O35"/>
      <c r="P35"/>
      <c r="Q35"/>
      <c r="R35"/>
      <c r="S35"/>
      <c r="T35"/>
      <c r="U35"/>
      <c r="V35"/>
      <c r="W35"/>
      <c r="X35"/>
      <c r="Y35"/>
      <c r="Z35"/>
      <c r="AA35"/>
      <c r="AB35"/>
      <c r="AC35"/>
      <c r="AD35"/>
      <c r="AE35"/>
      <c r="AF35"/>
      <c r="AG35"/>
      <c r="AH35"/>
    </row>
    <row r="36" spans="1:34" x14ac:dyDescent="0.25">
      <c r="A36" s="1" t="str">
        <f t="shared" si="0"/>
        <v>02 EE2 33.8</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259</v>
      </c>
      <c r="D36" s="1" t="s">
        <v>260</v>
      </c>
      <c r="E36" s="1" t="s">
        <v>261</v>
      </c>
      <c r="F36" s="1" t="s">
        <v>112</v>
      </c>
      <c r="G36" s="1">
        <v>26994</v>
      </c>
      <c r="K36"/>
      <c r="L36"/>
      <c r="M36"/>
      <c r="N36"/>
      <c r="O36"/>
      <c r="P36"/>
      <c r="Q36"/>
      <c r="R36"/>
      <c r="S36"/>
      <c r="T36"/>
      <c r="U36"/>
      <c r="V36"/>
      <c r="W36"/>
      <c r="X36"/>
      <c r="Y36"/>
      <c r="Z36"/>
      <c r="AA36"/>
      <c r="AB36"/>
      <c r="AC36"/>
      <c r="AD36"/>
      <c r="AE36"/>
      <c r="AF36"/>
      <c r="AG36"/>
      <c r="AH36"/>
    </row>
    <row r="37" spans="1:34" x14ac:dyDescent="0.25">
      <c r="A37" s="1" t="str">
        <f t="shared" si="0"/>
        <v>02 EE2 33.8</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262</v>
      </c>
      <c r="D37" s="1" t="s">
        <v>263</v>
      </c>
      <c r="E37" s="1" t="s">
        <v>264</v>
      </c>
      <c r="F37" s="1" t="s">
        <v>112</v>
      </c>
      <c r="G37" s="1">
        <v>24182</v>
      </c>
      <c r="K37"/>
      <c r="L37"/>
      <c r="M37"/>
      <c r="N37"/>
      <c r="O37"/>
      <c r="P37"/>
      <c r="Q37"/>
      <c r="R37"/>
      <c r="S37"/>
      <c r="T37"/>
      <c r="U37"/>
      <c r="V37"/>
      <c r="W37"/>
      <c r="X37"/>
      <c r="Y37"/>
      <c r="Z37"/>
      <c r="AA37"/>
      <c r="AB37"/>
      <c r="AC37"/>
      <c r="AD37"/>
      <c r="AE37"/>
      <c r="AF37"/>
      <c r="AG37"/>
      <c r="AH37"/>
    </row>
    <row r="38" spans="1:34" x14ac:dyDescent="0.25">
      <c r="A38" s="1" t="str">
        <f t="shared" si="0"/>
        <v>02 EE2 33.8</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265</v>
      </c>
      <c r="D38" s="1" t="s">
        <v>266</v>
      </c>
      <c r="E38" s="1" t="s">
        <v>267</v>
      </c>
      <c r="F38" s="1" t="s">
        <v>112</v>
      </c>
      <c r="G38" s="1">
        <v>55502</v>
      </c>
      <c r="K38"/>
      <c r="L38"/>
      <c r="M38"/>
      <c r="N38"/>
      <c r="O38"/>
      <c r="P38"/>
      <c r="Q38"/>
      <c r="R38"/>
      <c r="S38"/>
      <c r="T38"/>
      <c r="U38"/>
      <c r="V38"/>
      <c r="W38"/>
      <c r="X38"/>
      <c r="Y38"/>
      <c r="Z38"/>
      <c r="AA38"/>
      <c r="AB38"/>
      <c r="AC38"/>
      <c r="AD38"/>
      <c r="AE38"/>
      <c r="AF38"/>
      <c r="AG38"/>
      <c r="AH38"/>
    </row>
    <row r="39" spans="1:34" x14ac:dyDescent="0.25">
      <c r="A39" s="1" t="str">
        <f t="shared" si="0"/>
        <v>02 EE2 33.8</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268</v>
      </c>
      <c r="D39" s="1" t="s">
        <v>269</v>
      </c>
      <c r="E39" s="1" t="s">
        <v>270</v>
      </c>
      <c r="F39" s="1" t="s">
        <v>112</v>
      </c>
      <c r="G39" s="1">
        <v>22236</v>
      </c>
    </row>
    <row r="40" spans="1:34" x14ac:dyDescent="0.25">
      <c r="A40" s="1" t="str">
        <f t="shared" si="0"/>
        <v>02 EE2 33.8</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271</v>
      </c>
      <c r="D40" s="1" t="s">
        <v>272</v>
      </c>
      <c r="E40" s="1" t="s">
        <v>273</v>
      </c>
      <c r="F40" s="1" t="s">
        <v>112</v>
      </c>
      <c r="G40" s="1">
        <v>221425</v>
      </c>
    </row>
    <row r="41" spans="1:34" x14ac:dyDescent="0.25">
      <c r="A41" s="1" t="str">
        <f t="shared" si="0"/>
        <v>02 EE2 33.8</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274</v>
      </c>
      <c r="D41" s="1" t="s">
        <v>275</v>
      </c>
      <c r="E41" s="1">
        <v>64</v>
      </c>
      <c r="F41" s="1" t="s">
        <v>112</v>
      </c>
      <c r="G41" s="1">
        <v>53988</v>
      </c>
    </row>
    <row r="42" spans="1:34" x14ac:dyDescent="0.25">
      <c r="A42" s="1" t="str">
        <f t="shared" si="0"/>
        <v>02 EE2 33.8</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276</v>
      </c>
      <c r="D42" s="1" t="s">
        <v>277</v>
      </c>
      <c r="E42" s="1" t="s">
        <v>278</v>
      </c>
      <c r="F42" s="1" t="s">
        <v>112</v>
      </c>
      <c r="G42" s="1">
        <v>70384</v>
      </c>
    </row>
    <row r="43" spans="1:34" x14ac:dyDescent="0.25">
      <c r="A43" s="1" t="str">
        <f t="shared" si="0"/>
        <v>02 EE2 33.8</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279</v>
      </c>
    </row>
    <row r="44" spans="1:34" x14ac:dyDescent="0.25">
      <c r="A44" s="1" t="str">
        <f t="shared" si="0"/>
        <v>02 EE2 33.8</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280</v>
      </c>
      <c r="D44" s="1" t="s">
        <v>281</v>
      </c>
      <c r="E44" s="1" t="s">
        <v>282</v>
      </c>
      <c r="F44" s="1" t="s">
        <v>112</v>
      </c>
      <c r="G44" s="1">
        <v>106268</v>
      </c>
    </row>
    <row r="45" spans="1:34" x14ac:dyDescent="0.25">
      <c r="A45" s="1" t="str">
        <f t="shared" si="0"/>
        <v>02 EE2 33.8</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283</v>
      </c>
      <c r="D45" s="1" t="s">
        <v>260</v>
      </c>
      <c r="E45" s="1" t="s">
        <v>284</v>
      </c>
      <c r="F45" s="1" t="s">
        <v>112</v>
      </c>
      <c r="G45" s="1">
        <v>27102</v>
      </c>
    </row>
    <row r="46" spans="1:34" x14ac:dyDescent="0.25">
      <c r="A46" s="1" t="str">
        <f t="shared" si="0"/>
        <v>02 EE2 33.8</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285</v>
      </c>
      <c r="D46" s="1" t="s">
        <v>197</v>
      </c>
      <c r="E46" s="1" t="s">
        <v>286</v>
      </c>
      <c r="F46" s="1" t="s">
        <v>112</v>
      </c>
      <c r="G46" s="1">
        <v>71595</v>
      </c>
    </row>
    <row r="47" spans="1:34" x14ac:dyDescent="0.25">
      <c r="A47" s="1" t="str">
        <f t="shared" si="0"/>
        <v>02 EE2 33.8</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287</v>
      </c>
      <c r="D47" s="1" t="s">
        <v>288</v>
      </c>
      <c r="E47" s="1">
        <v>63</v>
      </c>
      <c r="F47" s="1" t="s">
        <v>112</v>
      </c>
      <c r="G47" s="1">
        <v>13627</v>
      </c>
    </row>
    <row r="48" spans="1:34" x14ac:dyDescent="0.25">
      <c r="A48" s="1" t="str">
        <f t="shared" si="0"/>
        <v>02 EE2 33.8</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289</v>
      </c>
      <c r="D48" s="1" t="s">
        <v>288</v>
      </c>
      <c r="E48" s="1" t="s">
        <v>290</v>
      </c>
      <c r="F48" s="1" t="s">
        <v>112</v>
      </c>
      <c r="G48" s="1">
        <v>14643</v>
      </c>
    </row>
    <row r="49" spans="1:10" x14ac:dyDescent="0.25">
      <c r="A49" s="1" t="str">
        <f t="shared" si="0"/>
        <v>02 EE2 33.8</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291</v>
      </c>
      <c r="D49" s="1" t="s">
        <v>292</v>
      </c>
      <c r="E49" s="1" t="s">
        <v>293</v>
      </c>
      <c r="F49" s="1" t="s">
        <v>112</v>
      </c>
      <c r="G49" s="1">
        <v>9322</v>
      </c>
    </row>
    <row r="50" spans="1:10" x14ac:dyDescent="0.25">
      <c r="A50" s="1" t="str">
        <f t="shared" si="0"/>
        <v>02 EE2 33.8</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294</v>
      </c>
      <c r="D50" s="1" t="s">
        <v>295</v>
      </c>
      <c r="E50" s="1" t="s">
        <v>296</v>
      </c>
      <c r="F50" s="1" t="s">
        <v>112</v>
      </c>
      <c r="G50" s="1">
        <v>216623</v>
      </c>
    </row>
    <row r="51" spans="1:10" x14ac:dyDescent="0.25">
      <c r="A51" s="1" t="str">
        <f t="shared" si="0"/>
        <v>02 EE2 33.8</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297</v>
      </c>
      <c r="D51" s="1" t="s">
        <v>298</v>
      </c>
      <c r="E51" s="1" t="s">
        <v>299</v>
      </c>
      <c r="F51" s="1" t="s">
        <v>112</v>
      </c>
      <c r="G51" s="1">
        <v>92879</v>
      </c>
    </row>
    <row r="52" spans="1:10" x14ac:dyDescent="0.25">
      <c r="A52" s="1" t="str">
        <f t="shared" si="0"/>
        <v>02 EE2 33.8</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300</v>
      </c>
      <c r="D52" s="1" t="s">
        <v>301</v>
      </c>
      <c r="E52" s="1" t="s">
        <v>302</v>
      </c>
      <c r="F52" s="1" t="s">
        <v>112</v>
      </c>
      <c r="G52" s="1">
        <v>112259</v>
      </c>
    </row>
    <row r="53" spans="1:10" x14ac:dyDescent="0.25">
      <c r="A53" s="1" t="str">
        <f t="shared" si="0"/>
        <v>02 EE2 33.8</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303</v>
      </c>
      <c r="D53" s="1" t="s">
        <v>304</v>
      </c>
      <c r="E53" s="1">
        <v>69</v>
      </c>
      <c r="F53" s="1" t="s">
        <v>112</v>
      </c>
      <c r="G53" s="1">
        <v>285060</v>
      </c>
    </row>
    <row r="54" spans="1:10" x14ac:dyDescent="0.25">
      <c r="A54" s="1" t="str">
        <f t="shared" si="0"/>
        <v>02 EE2 33.8</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305</v>
      </c>
      <c r="D54" s="1" t="s">
        <v>306</v>
      </c>
      <c r="E54" s="1" t="s">
        <v>307</v>
      </c>
      <c r="F54" s="1" t="s">
        <v>112</v>
      </c>
      <c r="G54" s="1">
        <v>429591</v>
      </c>
    </row>
    <row r="55" spans="1:10" x14ac:dyDescent="0.25">
      <c r="A55" s="1" t="str">
        <f t="shared" si="0"/>
        <v>02 EE2 33.8</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308</v>
      </c>
      <c r="D55" s="1" t="s">
        <v>309</v>
      </c>
      <c r="E55" s="1" t="s">
        <v>310</v>
      </c>
      <c r="F55" s="1" t="s">
        <v>112</v>
      </c>
      <c r="G55" s="1">
        <v>170638</v>
      </c>
    </row>
    <row r="56" spans="1:10" x14ac:dyDescent="0.25">
      <c r="A56" s="1" t="str">
        <f t="shared" si="0"/>
        <v>02 EE2 33.8</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311</v>
      </c>
      <c r="D56" s="1" t="s">
        <v>312</v>
      </c>
      <c r="E56" s="1" t="s">
        <v>313</v>
      </c>
      <c r="F56" s="1" t="s">
        <v>112</v>
      </c>
      <c r="G56" s="1">
        <v>222961</v>
      </c>
    </row>
    <row r="57" spans="1:10" x14ac:dyDescent="0.25">
      <c r="A57" s="1" t="str">
        <f t="shared" si="0"/>
        <v>02 EE2 33.8</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314</v>
      </c>
      <c r="D57" s="1" t="s">
        <v>315</v>
      </c>
      <c r="E57" s="1" t="s">
        <v>316</v>
      </c>
      <c r="F57" s="1" t="s">
        <v>112</v>
      </c>
      <c r="G57" s="1">
        <v>137523</v>
      </c>
    </row>
    <row r="58" spans="1:10" x14ac:dyDescent="0.25">
      <c r="A58" s="1" t="str">
        <f t="shared" si="0"/>
        <v>02 EE2 33.8</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317</v>
      </c>
      <c r="D58" s="1" t="s">
        <v>318</v>
      </c>
      <c r="E58" s="1" t="s">
        <v>319</v>
      </c>
      <c r="F58" s="1" t="s">
        <v>112</v>
      </c>
      <c r="G58" s="1">
        <v>313677</v>
      </c>
    </row>
    <row r="59" spans="1:10" x14ac:dyDescent="0.2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10" x14ac:dyDescent="0.2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243</v>
      </c>
      <c r="D60" s="1" t="s">
        <v>112</v>
      </c>
      <c r="E60" s="1" t="s">
        <v>244</v>
      </c>
      <c r="F60" s="1" t="s">
        <v>245</v>
      </c>
      <c r="G60" s="1" t="s">
        <v>246</v>
      </c>
      <c r="H60" s="1" t="s">
        <v>247</v>
      </c>
      <c r="I60" s="1" t="s">
        <v>248</v>
      </c>
      <c r="J60" s="1" t="s">
        <v>249</v>
      </c>
    </row>
    <row r="61" spans="1:10" x14ac:dyDescent="0.25">
      <c r="A61" s="1" t="str">
        <f t="shared" si="0"/>
        <v>02 EE2 33.8</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320</v>
      </c>
      <c r="D61" s="1" t="s">
        <v>112</v>
      </c>
      <c r="E61" s="1" t="s">
        <v>321</v>
      </c>
      <c r="F61" s="1" t="s">
        <v>322</v>
      </c>
      <c r="G61" s="1" t="s">
        <v>323</v>
      </c>
      <c r="H61" s="1" t="s">
        <v>324</v>
      </c>
      <c r="I61" s="1">
        <v>24</v>
      </c>
      <c r="J61" s="1">
        <v>24</v>
      </c>
    </row>
    <row r="62" spans="1:10" x14ac:dyDescent="0.2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10" x14ac:dyDescent="0.2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10" x14ac:dyDescent="0.2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2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2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2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255</v>
      </c>
      <c r="D67" s="1" t="s">
        <v>110</v>
      </c>
      <c r="E67" s="1" t="s">
        <v>111</v>
      </c>
      <c r="F67" s="1" t="s">
        <v>112</v>
      </c>
      <c r="G67" s="1" t="s">
        <v>113</v>
      </c>
    </row>
    <row r="68" spans="1:7" x14ac:dyDescent="0.25">
      <c r="A68" s="1" t="str">
        <f t="shared" si="1"/>
        <v>03 EE2 50.6</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325</v>
      </c>
      <c r="D68" s="1" t="s">
        <v>326</v>
      </c>
      <c r="E68" s="1" t="s">
        <v>327</v>
      </c>
      <c r="F68" s="1" t="s">
        <v>112</v>
      </c>
      <c r="G68" s="1">
        <v>223523</v>
      </c>
    </row>
    <row r="69" spans="1:7" x14ac:dyDescent="0.25">
      <c r="A69" s="1" t="str">
        <f t="shared" si="1"/>
        <v>03 EE2 50.6</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328</v>
      </c>
      <c r="D69" s="1" t="s">
        <v>329</v>
      </c>
      <c r="E69" s="1" t="s">
        <v>330</v>
      </c>
      <c r="F69" s="1" t="s">
        <v>112</v>
      </c>
      <c r="G69" s="1">
        <v>52626</v>
      </c>
    </row>
    <row r="70" spans="1:7" x14ac:dyDescent="0.25">
      <c r="A70" s="1" t="str">
        <f t="shared" si="1"/>
        <v>03 EE2 50.6</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331</v>
      </c>
      <c r="D70" s="1" t="s">
        <v>332</v>
      </c>
      <c r="E70" s="1" t="s">
        <v>333</v>
      </c>
      <c r="F70" s="1" t="s">
        <v>112</v>
      </c>
      <c r="G70" s="1">
        <v>40037</v>
      </c>
    </row>
    <row r="71" spans="1:7" x14ac:dyDescent="0.25">
      <c r="A71" s="1" t="str">
        <f t="shared" si="1"/>
        <v>03 EE2 50.6</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334</v>
      </c>
      <c r="D71" s="1" t="s">
        <v>335</v>
      </c>
      <c r="E71" s="1" t="s">
        <v>336</v>
      </c>
      <c r="F71" s="1" t="s">
        <v>112</v>
      </c>
      <c r="G71" s="1">
        <v>56714</v>
      </c>
    </row>
    <row r="72" spans="1:7" x14ac:dyDescent="0.25">
      <c r="A72" s="1" t="str">
        <f t="shared" si="1"/>
        <v>03 EE2 50.6</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337</v>
      </c>
      <c r="D72" s="1" t="s">
        <v>338</v>
      </c>
      <c r="E72" s="1" t="s">
        <v>339</v>
      </c>
      <c r="F72" s="1" t="s">
        <v>112</v>
      </c>
      <c r="G72" s="1">
        <v>42741</v>
      </c>
    </row>
    <row r="73" spans="1:7" x14ac:dyDescent="0.25">
      <c r="A73" s="1" t="str">
        <f t="shared" si="1"/>
        <v>03 EE2 50.6</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340</v>
      </c>
      <c r="D73" s="1" t="s">
        <v>341</v>
      </c>
      <c r="E73" s="1" t="s">
        <v>342</v>
      </c>
      <c r="F73" s="1" t="s">
        <v>112</v>
      </c>
      <c r="G73" s="1">
        <v>31298</v>
      </c>
    </row>
    <row r="74" spans="1:7" x14ac:dyDescent="0.25">
      <c r="A74" s="1" t="str">
        <f t="shared" si="1"/>
        <v>03 EE2 50.6</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343</v>
      </c>
      <c r="D74" s="1" t="s">
        <v>344</v>
      </c>
      <c r="E74" s="1" t="s">
        <v>345</v>
      </c>
      <c r="F74" s="1" t="s">
        <v>112</v>
      </c>
      <c r="G74" s="1">
        <v>178922</v>
      </c>
    </row>
    <row r="75" spans="1:7" x14ac:dyDescent="0.25">
      <c r="A75" s="1" t="str">
        <f t="shared" si="1"/>
        <v>03 EE2 50.6</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346</v>
      </c>
      <c r="D75" s="1" t="s">
        <v>347</v>
      </c>
      <c r="E75" s="1" t="s">
        <v>348</v>
      </c>
      <c r="F75" s="1" t="s">
        <v>112</v>
      </c>
      <c r="G75" s="1">
        <v>296805</v>
      </c>
    </row>
    <row r="76" spans="1:7" x14ac:dyDescent="0.25">
      <c r="A76" s="1" t="str">
        <f t="shared" si="1"/>
        <v>03 EE2 50.6</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349</v>
      </c>
      <c r="D76" s="1" t="s">
        <v>350</v>
      </c>
      <c r="E76" s="1" t="s">
        <v>351</v>
      </c>
      <c r="F76" s="1" t="s">
        <v>112</v>
      </c>
      <c r="G76" s="1">
        <v>285190</v>
      </c>
    </row>
    <row r="77" spans="1:7" x14ac:dyDescent="0.25">
      <c r="A77" s="1" t="str">
        <f t="shared" si="1"/>
        <v>03 EE2 50.6</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352</v>
      </c>
      <c r="D77" s="1" t="s">
        <v>353</v>
      </c>
      <c r="E77" s="1" t="s">
        <v>354</v>
      </c>
      <c r="F77" s="1" t="s">
        <v>112</v>
      </c>
      <c r="G77" s="1">
        <v>61299</v>
      </c>
    </row>
    <row r="78" spans="1:7" x14ac:dyDescent="0.25">
      <c r="A78" s="1" t="str">
        <f t="shared" si="1"/>
        <v>03 EE2 50.6</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355</v>
      </c>
      <c r="D78" s="1" t="s">
        <v>332</v>
      </c>
      <c r="E78" s="1" t="s">
        <v>356</v>
      </c>
      <c r="F78" s="1" t="s">
        <v>112</v>
      </c>
      <c r="G78" s="1">
        <v>39648</v>
      </c>
    </row>
    <row r="79" spans="1:7" x14ac:dyDescent="0.25">
      <c r="A79" s="1" t="str">
        <f t="shared" si="1"/>
        <v>03 EE2 50.6</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357</v>
      </c>
      <c r="D79" s="1" t="s">
        <v>358</v>
      </c>
      <c r="E79" s="1" t="s">
        <v>359</v>
      </c>
      <c r="F79" s="1" t="s">
        <v>112</v>
      </c>
      <c r="G79" s="1">
        <v>40751</v>
      </c>
    </row>
    <row r="80" spans="1:7" x14ac:dyDescent="0.25">
      <c r="A80" s="1" t="str">
        <f t="shared" si="1"/>
        <v>03 EE2 50.6</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360</v>
      </c>
      <c r="D80" s="1" t="s">
        <v>361</v>
      </c>
      <c r="E80" s="1" t="s">
        <v>362</v>
      </c>
      <c r="F80" s="1" t="s">
        <v>112</v>
      </c>
      <c r="G80" s="1">
        <v>30044</v>
      </c>
    </row>
    <row r="81" spans="1:10" x14ac:dyDescent="0.25">
      <c r="A81" s="1" t="str">
        <f t="shared" si="1"/>
        <v>03 EE2 50.6</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363</v>
      </c>
      <c r="D81" s="1" t="s">
        <v>263</v>
      </c>
      <c r="E81" s="1" t="s">
        <v>364</v>
      </c>
      <c r="F81" s="1" t="s">
        <v>112</v>
      </c>
      <c r="G81" s="1">
        <v>24312</v>
      </c>
    </row>
    <row r="82" spans="1:10" x14ac:dyDescent="0.25">
      <c r="A82" s="1" t="str">
        <f t="shared" si="1"/>
        <v>03 EE2 50.6</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365</v>
      </c>
      <c r="D82" s="1" t="s">
        <v>366</v>
      </c>
      <c r="E82" s="1" t="s">
        <v>367</v>
      </c>
      <c r="F82" s="1" t="s">
        <v>112</v>
      </c>
      <c r="G82" s="1">
        <v>123723</v>
      </c>
    </row>
    <row r="83" spans="1:10" x14ac:dyDescent="0.25">
      <c r="A83" s="1" t="str">
        <f t="shared" si="1"/>
        <v>03 EE2 50.6</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368</v>
      </c>
      <c r="D83" s="1" t="s">
        <v>369</v>
      </c>
      <c r="E83" s="1" t="s">
        <v>370</v>
      </c>
      <c r="F83" s="1" t="s">
        <v>112</v>
      </c>
      <c r="G83" s="1">
        <v>242125</v>
      </c>
    </row>
    <row r="84" spans="1:10" x14ac:dyDescent="0.25">
      <c r="A84" s="1" t="str">
        <f t="shared" si="1"/>
        <v>03 EE2 50.6</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371</v>
      </c>
      <c r="D84" s="1" t="s">
        <v>372</v>
      </c>
      <c r="E84" s="1" t="s">
        <v>373</v>
      </c>
      <c r="F84" s="1" t="s">
        <v>112</v>
      </c>
      <c r="G84" s="1">
        <v>463031</v>
      </c>
    </row>
    <row r="85" spans="1:10" x14ac:dyDescent="0.25">
      <c r="A85" s="1" t="str">
        <f t="shared" si="1"/>
        <v>03 EE2 50.6</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374</v>
      </c>
      <c r="D85" s="1" t="s">
        <v>375</v>
      </c>
      <c r="E85" s="1" t="s">
        <v>376</v>
      </c>
      <c r="F85" s="1" t="s">
        <v>112</v>
      </c>
      <c r="G85" s="1">
        <v>371364</v>
      </c>
    </row>
    <row r="86" spans="1:10" x14ac:dyDescent="0.25">
      <c r="A86" s="1" t="str">
        <f t="shared" si="1"/>
        <v>03 EE2 50.6</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377</v>
      </c>
      <c r="D86" s="1" t="s">
        <v>378</v>
      </c>
      <c r="E86" s="1" t="s">
        <v>379</v>
      </c>
      <c r="F86" s="1" t="s">
        <v>112</v>
      </c>
      <c r="G86" s="1">
        <v>248138</v>
      </c>
    </row>
    <row r="87" spans="1:10" x14ac:dyDescent="0.25">
      <c r="A87" s="1" t="str">
        <f t="shared" si="1"/>
        <v>03 EE2 50.6</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380</v>
      </c>
      <c r="D87" s="1" t="s">
        <v>381</v>
      </c>
      <c r="E87" s="1" t="s">
        <v>382</v>
      </c>
      <c r="F87" s="1" t="s">
        <v>112</v>
      </c>
      <c r="G87" s="1">
        <v>281232</v>
      </c>
    </row>
    <row r="88" spans="1:10" x14ac:dyDescent="0.25">
      <c r="A88" s="1" t="str">
        <f t="shared" si="1"/>
        <v>03 EE2 50.6</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383</v>
      </c>
      <c r="D88" s="1" t="s">
        <v>304</v>
      </c>
      <c r="E88" s="1" t="s">
        <v>384</v>
      </c>
      <c r="F88" s="1" t="s">
        <v>112</v>
      </c>
      <c r="G88" s="1">
        <v>284087</v>
      </c>
    </row>
    <row r="89" spans="1:10" x14ac:dyDescent="0.25">
      <c r="A89" s="1" t="str">
        <f t="shared" si="1"/>
        <v>03 EE2 50.6</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385</v>
      </c>
      <c r="D89" s="1" t="s">
        <v>194</v>
      </c>
      <c r="E89" s="1" t="s">
        <v>386</v>
      </c>
      <c r="F89" s="1" t="s">
        <v>112</v>
      </c>
      <c r="G89" s="1">
        <v>42870</v>
      </c>
    </row>
    <row r="90" spans="1:10" x14ac:dyDescent="0.25">
      <c r="A90" s="1" t="str">
        <f t="shared" si="1"/>
        <v>03 EE2 50.6</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387</v>
      </c>
      <c r="D90" s="1" t="s">
        <v>388</v>
      </c>
      <c r="E90" s="1" t="s">
        <v>389</v>
      </c>
      <c r="F90" s="1" t="s">
        <v>112</v>
      </c>
      <c r="G90" s="1">
        <v>67831</v>
      </c>
    </row>
    <row r="91" spans="1:10" x14ac:dyDescent="0.25">
      <c r="A91" s="1" t="str">
        <f t="shared" si="1"/>
        <v>03 EE2 50.6</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390</v>
      </c>
      <c r="D91" s="1" t="s">
        <v>335</v>
      </c>
      <c r="E91" s="1" t="s">
        <v>391</v>
      </c>
      <c r="F91" s="1" t="s">
        <v>112</v>
      </c>
      <c r="G91" s="1">
        <v>57341</v>
      </c>
    </row>
    <row r="92" spans="1:10" x14ac:dyDescent="0.2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10" x14ac:dyDescent="0.2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243</v>
      </c>
      <c r="D93" s="1" t="s">
        <v>112</v>
      </c>
      <c r="E93" s="1" t="s">
        <v>244</v>
      </c>
      <c r="F93" s="1" t="s">
        <v>245</v>
      </c>
      <c r="G93" s="1" t="s">
        <v>246</v>
      </c>
      <c r="H93" s="1" t="s">
        <v>247</v>
      </c>
      <c r="I93" s="1" t="s">
        <v>248</v>
      </c>
      <c r="J93" s="1" t="s">
        <v>249</v>
      </c>
    </row>
    <row r="94" spans="1:10" x14ac:dyDescent="0.25">
      <c r="A94" s="1" t="str">
        <f t="shared" si="1"/>
        <v>03 EE2 50.6</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392</v>
      </c>
      <c r="D94" s="1" t="s">
        <v>112</v>
      </c>
      <c r="E94" s="1" t="s">
        <v>393</v>
      </c>
      <c r="F94" s="1" t="s">
        <v>394</v>
      </c>
      <c r="G94" s="1" t="s">
        <v>395</v>
      </c>
      <c r="H94" s="1" t="s">
        <v>396</v>
      </c>
      <c r="I94" s="1">
        <v>24</v>
      </c>
      <c r="J94" s="1">
        <v>24</v>
      </c>
    </row>
    <row r="95" spans="1:10" x14ac:dyDescent="0.2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10" x14ac:dyDescent="0.2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2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2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2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2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255</v>
      </c>
      <c r="D100" s="1" t="s">
        <v>110</v>
      </c>
      <c r="E100" s="1" t="s">
        <v>111</v>
      </c>
      <c r="F100" s="1" t="s">
        <v>112</v>
      </c>
      <c r="G100" s="1" t="s">
        <v>113</v>
      </c>
    </row>
    <row r="101" spans="1:7" x14ac:dyDescent="0.25">
      <c r="A101" s="1" t="str">
        <f t="shared" si="1"/>
        <v>04 EE2 76</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397</v>
      </c>
      <c r="D101" s="1" t="s">
        <v>226</v>
      </c>
      <c r="E101" s="1" t="s">
        <v>398</v>
      </c>
      <c r="F101" s="1" t="s">
        <v>112</v>
      </c>
      <c r="G101" s="1">
        <v>134473</v>
      </c>
    </row>
    <row r="102" spans="1:7" x14ac:dyDescent="0.25">
      <c r="A102" s="1" t="str">
        <f t="shared" si="1"/>
        <v>04 EE2 76</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399</v>
      </c>
      <c r="D102" s="1" t="s">
        <v>214</v>
      </c>
      <c r="E102" s="1" t="s">
        <v>400</v>
      </c>
      <c r="F102" s="1" t="s">
        <v>112</v>
      </c>
      <c r="G102" s="1">
        <v>293820</v>
      </c>
    </row>
    <row r="103" spans="1:7" x14ac:dyDescent="0.25">
      <c r="A103" s="1" t="str">
        <f t="shared" si="1"/>
        <v>04 EE2 76</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401</v>
      </c>
      <c r="D103" s="1" t="s">
        <v>402</v>
      </c>
      <c r="E103" s="1" t="s">
        <v>403</v>
      </c>
      <c r="F103" s="1" t="s">
        <v>112</v>
      </c>
      <c r="G103" s="1">
        <v>98178</v>
      </c>
    </row>
    <row r="104" spans="1:7" x14ac:dyDescent="0.25">
      <c r="A104" s="1" t="str">
        <f t="shared" si="1"/>
        <v>04 EE2 76</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404</v>
      </c>
      <c r="D104" s="1" t="s">
        <v>405</v>
      </c>
      <c r="E104" s="1" t="s">
        <v>406</v>
      </c>
      <c r="F104" s="1" t="s">
        <v>112</v>
      </c>
      <c r="G104" s="1">
        <v>19640</v>
      </c>
    </row>
    <row r="105" spans="1:7" x14ac:dyDescent="0.25">
      <c r="A105" s="1" t="str">
        <f t="shared" si="1"/>
        <v>04 EE2 76</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407</v>
      </c>
    </row>
    <row r="106" spans="1:7" x14ac:dyDescent="0.25">
      <c r="A106" s="1" t="str">
        <f t="shared" si="1"/>
        <v>04 EE2 76</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408</v>
      </c>
      <c r="D106" s="1" t="s">
        <v>409</v>
      </c>
      <c r="E106" s="1" t="s">
        <v>410</v>
      </c>
      <c r="F106" s="1" t="s">
        <v>112</v>
      </c>
      <c r="G106" s="1">
        <v>16482</v>
      </c>
    </row>
    <row r="107" spans="1:7" x14ac:dyDescent="0.25">
      <c r="A107" s="1" t="str">
        <f t="shared" si="1"/>
        <v>04 EE2 76</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411</v>
      </c>
      <c r="D107" s="1" t="s">
        <v>412</v>
      </c>
      <c r="E107" s="1" t="s">
        <v>413</v>
      </c>
      <c r="F107" s="1" t="s">
        <v>112</v>
      </c>
      <c r="G107" s="1">
        <v>187337</v>
      </c>
    </row>
    <row r="108" spans="1:7" x14ac:dyDescent="0.25">
      <c r="A108" s="1" t="str">
        <f t="shared" si="1"/>
        <v>04 EE2 76</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414</v>
      </c>
      <c r="D108" s="1" t="s">
        <v>275</v>
      </c>
      <c r="E108" s="1" t="s">
        <v>415</v>
      </c>
      <c r="F108" s="1" t="s">
        <v>112</v>
      </c>
      <c r="G108" s="1">
        <v>53426</v>
      </c>
    </row>
    <row r="109" spans="1:7" x14ac:dyDescent="0.25">
      <c r="A109" s="1" t="str">
        <f t="shared" si="1"/>
        <v>04 EE2 76</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416</v>
      </c>
      <c r="D109" s="1" t="s">
        <v>417</v>
      </c>
      <c r="E109" s="1" t="s">
        <v>418</v>
      </c>
      <c r="F109" s="1" t="s">
        <v>112</v>
      </c>
      <c r="G109" s="1">
        <v>67291</v>
      </c>
    </row>
    <row r="110" spans="1:7" x14ac:dyDescent="0.25">
      <c r="A110" s="1" t="str">
        <f t="shared" si="1"/>
        <v>04 EE2 76</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419</v>
      </c>
      <c r="D110" s="1" t="s">
        <v>420</v>
      </c>
      <c r="E110" s="1" t="s">
        <v>421</v>
      </c>
      <c r="F110" s="1" t="s">
        <v>112</v>
      </c>
      <c r="G110" s="1">
        <v>106808</v>
      </c>
    </row>
    <row r="111" spans="1:7" x14ac:dyDescent="0.25">
      <c r="A111" s="1" t="str">
        <f t="shared" si="1"/>
        <v>04 EE2 76</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422</v>
      </c>
      <c r="D111" s="1" t="s">
        <v>423</v>
      </c>
      <c r="E111" s="1" t="s">
        <v>424</v>
      </c>
      <c r="F111" s="1" t="s">
        <v>112</v>
      </c>
      <c r="G111" s="1">
        <v>81199</v>
      </c>
    </row>
    <row r="112" spans="1:7" x14ac:dyDescent="0.25">
      <c r="A112" s="1" t="str">
        <f t="shared" si="1"/>
        <v>04 EE2 76</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425</v>
      </c>
      <c r="D112" s="1" t="s">
        <v>426</v>
      </c>
      <c r="E112" s="1" t="s">
        <v>427</v>
      </c>
      <c r="F112" s="1" t="s">
        <v>112</v>
      </c>
      <c r="G112" s="1">
        <v>135208</v>
      </c>
    </row>
    <row r="113" spans="1:10" x14ac:dyDescent="0.25">
      <c r="A113" s="1" t="str">
        <f t="shared" si="1"/>
        <v>04 EE2 76</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428</v>
      </c>
      <c r="D113" s="1" t="s">
        <v>429</v>
      </c>
      <c r="E113" s="1" t="s">
        <v>430</v>
      </c>
      <c r="F113" s="1" t="s">
        <v>112</v>
      </c>
      <c r="G113" s="1">
        <v>171417</v>
      </c>
    </row>
    <row r="114" spans="1:10" x14ac:dyDescent="0.25">
      <c r="A114" s="1" t="str">
        <f t="shared" si="1"/>
        <v>04 EE2 76</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431</v>
      </c>
      <c r="D114" s="1" t="s">
        <v>432</v>
      </c>
      <c r="E114" s="1" t="s">
        <v>433</v>
      </c>
      <c r="F114" s="1" t="s">
        <v>112</v>
      </c>
      <c r="G114" s="1">
        <v>277101</v>
      </c>
    </row>
    <row r="115" spans="1:10" x14ac:dyDescent="0.25">
      <c r="A115" s="1" t="str">
        <f t="shared" si="1"/>
        <v>04 EE2 76</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434</v>
      </c>
      <c r="D115" s="1" t="s">
        <v>435</v>
      </c>
      <c r="E115" s="1" t="s">
        <v>436</v>
      </c>
      <c r="F115" s="1" t="s">
        <v>112</v>
      </c>
      <c r="G115" s="1">
        <v>160494</v>
      </c>
    </row>
    <row r="116" spans="1:10" x14ac:dyDescent="0.25">
      <c r="A116" s="1" t="str">
        <f t="shared" si="1"/>
        <v>04 EE2 76</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437</v>
      </c>
      <c r="D116" s="1" t="s">
        <v>438</v>
      </c>
      <c r="E116" s="1" t="s">
        <v>439</v>
      </c>
      <c r="F116" s="1" t="s">
        <v>112</v>
      </c>
      <c r="G116" s="1">
        <v>609228</v>
      </c>
    </row>
    <row r="117" spans="1:10" x14ac:dyDescent="0.25">
      <c r="A117" s="1" t="str">
        <f t="shared" si="1"/>
        <v>04 EE2 76</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440</v>
      </c>
      <c r="D117" s="1" t="s">
        <v>441</v>
      </c>
      <c r="E117" s="1" t="s">
        <v>442</v>
      </c>
      <c r="F117" s="1" t="s">
        <v>112</v>
      </c>
      <c r="G117" s="1">
        <v>228477</v>
      </c>
    </row>
    <row r="118" spans="1:10" x14ac:dyDescent="0.25">
      <c r="A118" s="1" t="str">
        <f t="shared" si="1"/>
        <v>04 EE2 76</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443</v>
      </c>
      <c r="D118" s="1" t="s">
        <v>444</v>
      </c>
      <c r="E118" s="1" t="s">
        <v>445</v>
      </c>
      <c r="F118" s="1" t="s">
        <v>112</v>
      </c>
      <c r="G118" s="1">
        <v>381270</v>
      </c>
    </row>
    <row r="119" spans="1:10" x14ac:dyDescent="0.25">
      <c r="A119" s="1" t="str">
        <f t="shared" si="1"/>
        <v>04 EE2 76</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446</v>
      </c>
    </row>
    <row r="120" spans="1:10" x14ac:dyDescent="0.25">
      <c r="A120" s="1" t="str">
        <f t="shared" si="1"/>
        <v>04 EE2 76</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447</v>
      </c>
      <c r="D120" s="1" t="s">
        <v>448</v>
      </c>
      <c r="E120" s="1" t="s">
        <v>449</v>
      </c>
      <c r="F120" s="1" t="s">
        <v>112</v>
      </c>
      <c r="G120" s="1">
        <v>7117922</v>
      </c>
    </row>
    <row r="121" spans="1:10" x14ac:dyDescent="0.25">
      <c r="A121" s="1" t="str">
        <f t="shared" si="1"/>
        <v>04 EE2 76</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450</v>
      </c>
      <c r="D121" s="1" t="s">
        <v>451</v>
      </c>
      <c r="E121" s="1" t="s">
        <v>452</v>
      </c>
      <c r="F121" s="1" t="s">
        <v>112</v>
      </c>
      <c r="G121" s="1">
        <v>6145983</v>
      </c>
    </row>
    <row r="122" spans="1:10" x14ac:dyDescent="0.25">
      <c r="A122" s="1" t="str">
        <f t="shared" si="1"/>
        <v>04 EE2 76</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453</v>
      </c>
      <c r="D122" s="1" t="s">
        <v>454</v>
      </c>
      <c r="E122" s="1" t="s">
        <v>455</v>
      </c>
      <c r="F122" s="1" t="s">
        <v>112</v>
      </c>
      <c r="G122" s="1">
        <v>172844</v>
      </c>
    </row>
    <row r="123" spans="1:10" x14ac:dyDescent="0.25">
      <c r="A123" s="1" t="str">
        <f t="shared" si="1"/>
        <v>04 EE2 76</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456</v>
      </c>
      <c r="D123" s="1" t="s">
        <v>457</v>
      </c>
      <c r="E123" s="1" t="s">
        <v>458</v>
      </c>
      <c r="F123" s="1" t="s">
        <v>112</v>
      </c>
      <c r="G123" s="1">
        <v>237280</v>
      </c>
    </row>
    <row r="124" spans="1:10" x14ac:dyDescent="0.25">
      <c r="A124" s="1" t="str">
        <f t="shared" si="1"/>
        <v>04 EE2 76</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459</v>
      </c>
      <c r="D124" s="1" t="s">
        <v>335</v>
      </c>
      <c r="E124" s="1" t="s">
        <v>460</v>
      </c>
      <c r="F124" s="1" t="s">
        <v>112</v>
      </c>
      <c r="G124" s="1">
        <v>56692</v>
      </c>
    </row>
    <row r="125" spans="1:10" x14ac:dyDescent="0.2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10" x14ac:dyDescent="0.2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243</v>
      </c>
      <c r="D126" s="1" t="s">
        <v>112</v>
      </c>
      <c r="E126" s="1" t="s">
        <v>244</v>
      </c>
      <c r="F126" s="1" t="s">
        <v>245</v>
      </c>
      <c r="G126" s="1" t="s">
        <v>246</v>
      </c>
      <c r="H126" s="1" t="s">
        <v>247</v>
      </c>
      <c r="I126" s="1" t="s">
        <v>248</v>
      </c>
      <c r="J126" s="1" t="s">
        <v>249</v>
      </c>
    </row>
    <row r="127" spans="1:10" x14ac:dyDescent="0.25">
      <c r="A127" s="1" t="str">
        <f t="shared" si="1"/>
        <v>04 EE2 76</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461</v>
      </c>
      <c r="D127" s="1" t="s">
        <v>112</v>
      </c>
      <c r="E127" s="1" t="s">
        <v>462</v>
      </c>
      <c r="F127" s="1" t="s">
        <v>463</v>
      </c>
      <c r="G127" s="1" t="s">
        <v>464</v>
      </c>
      <c r="H127" s="1" t="s">
        <v>465</v>
      </c>
      <c r="I127" s="1">
        <v>24</v>
      </c>
      <c r="J127" s="1">
        <v>24</v>
      </c>
    </row>
    <row r="128" spans="1:10" x14ac:dyDescent="0.2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2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2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2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2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2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255</v>
      </c>
      <c r="D133" s="1" t="s">
        <v>110</v>
      </c>
      <c r="E133" s="1" t="s">
        <v>111</v>
      </c>
      <c r="F133" s="1" t="s">
        <v>112</v>
      </c>
      <c r="G133" s="1" t="s">
        <v>113</v>
      </c>
    </row>
    <row r="134" spans="1:7" x14ac:dyDescent="0.25">
      <c r="A134" s="1" t="str">
        <f t="shared" si="2"/>
        <v>05 EE2 114</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466</v>
      </c>
      <c r="D134" s="1" t="s">
        <v>467</v>
      </c>
      <c r="E134" s="1" t="s">
        <v>468</v>
      </c>
      <c r="F134" s="1" t="s">
        <v>112</v>
      </c>
      <c r="G134" s="1">
        <v>2702634</v>
      </c>
    </row>
    <row r="135" spans="1:7" x14ac:dyDescent="0.25">
      <c r="A135" s="1" t="str">
        <f t="shared" si="2"/>
        <v>05 EE2 114</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469</v>
      </c>
      <c r="D135" s="1" t="s">
        <v>470</v>
      </c>
      <c r="E135" s="1" t="s">
        <v>471</v>
      </c>
      <c r="F135" s="1" t="s">
        <v>112</v>
      </c>
      <c r="G135" s="1">
        <v>2349612</v>
      </c>
    </row>
    <row r="136" spans="1:7" x14ac:dyDescent="0.25">
      <c r="A136" s="1" t="str">
        <f t="shared" si="2"/>
        <v>05 EE2 114</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472</v>
      </c>
      <c r="D136" s="1" t="s">
        <v>473</v>
      </c>
      <c r="E136" s="1" t="s">
        <v>474</v>
      </c>
      <c r="F136" s="1" t="s">
        <v>112</v>
      </c>
      <c r="G136" s="1">
        <v>2406780</v>
      </c>
    </row>
    <row r="137" spans="1:7" x14ac:dyDescent="0.25">
      <c r="A137" s="1" t="str">
        <f t="shared" si="2"/>
        <v>05 EE2 114</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475</v>
      </c>
      <c r="D137" s="1" t="s">
        <v>476</v>
      </c>
      <c r="E137" s="1" t="s">
        <v>477</v>
      </c>
      <c r="F137" s="1" t="s">
        <v>112</v>
      </c>
      <c r="G137" s="1">
        <v>2687125</v>
      </c>
    </row>
    <row r="138" spans="1:7" x14ac:dyDescent="0.25">
      <c r="A138" s="1" t="str">
        <f t="shared" si="2"/>
        <v>05 EE2 114</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478</v>
      </c>
    </row>
    <row r="139" spans="1:7" x14ac:dyDescent="0.25">
      <c r="A139" s="1" t="str">
        <f t="shared" si="2"/>
        <v>05 EE2 114</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479</v>
      </c>
      <c r="D139" s="1" t="s">
        <v>480</v>
      </c>
      <c r="E139" s="1" t="s">
        <v>481</v>
      </c>
      <c r="F139" s="1" t="s">
        <v>112</v>
      </c>
      <c r="G139" s="1">
        <v>2059512</v>
      </c>
    </row>
    <row r="140" spans="1:7" x14ac:dyDescent="0.25">
      <c r="A140" s="1" t="str">
        <f t="shared" si="2"/>
        <v>05 EE2 114</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482</v>
      </c>
      <c r="D140" s="1" t="s">
        <v>483</v>
      </c>
      <c r="E140" s="1" t="s">
        <v>484</v>
      </c>
      <c r="F140" s="1" t="s">
        <v>112</v>
      </c>
      <c r="G140" s="1">
        <v>856154</v>
      </c>
    </row>
    <row r="141" spans="1:7" x14ac:dyDescent="0.25">
      <c r="A141" s="1" t="str">
        <f t="shared" si="2"/>
        <v>05 EE2 114</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485</v>
      </c>
      <c r="D141" s="1" t="s">
        <v>486</v>
      </c>
      <c r="E141" s="1" t="s">
        <v>487</v>
      </c>
      <c r="F141" s="1" t="s">
        <v>112</v>
      </c>
      <c r="G141" s="1">
        <v>787285</v>
      </c>
    </row>
    <row r="142" spans="1:7" x14ac:dyDescent="0.25">
      <c r="A142" s="1" t="str">
        <f t="shared" si="2"/>
        <v>05 EE2 114</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488</v>
      </c>
      <c r="D142" s="1" t="s">
        <v>489</v>
      </c>
      <c r="E142" s="1" t="s">
        <v>490</v>
      </c>
      <c r="F142" s="1" t="s">
        <v>112</v>
      </c>
      <c r="G142" s="1">
        <v>657138</v>
      </c>
    </row>
    <row r="143" spans="1:7" x14ac:dyDescent="0.25">
      <c r="A143" s="1" t="str">
        <f t="shared" si="2"/>
        <v>05 EE2 114</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491</v>
      </c>
      <c r="D143" s="1" t="s">
        <v>492</v>
      </c>
      <c r="E143" s="1" t="s">
        <v>493</v>
      </c>
      <c r="F143" s="1" t="s">
        <v>112</v>
      </c>
      <c r="G143" s="1">
        <v>1556920</v>
      </c>
    </row>
    <row r="144" spans="1:7" x14ac:dyDescent="0.25">
      <c r="A144" s="1" t="str">
        <f t="shared" si="2"/>
        <v>05 EE2 114</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494</v>
      </c>
      <c r="D144" s="1" t="s">
        <v>495</v>
      </c>
      <c r="E144" s="1" t="s">
        <v>496</v>
      </c>
      <c r="F144" s="1" t="s">
        <v>112</v>
      </c>
      <c r="G144" s="1">
        <v>706735</v>
      </c>
    </row>
    <row r="145" spans="1:10" x14ac:dyDescent="0.25">
      <c r="A145" s="1" t="str">
        <f t="shared" si="2"/>
        <v>05 EE2 114</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497</v>
      </c>
      <c r="D145" s="1" t="s">
        <v>498</v>
      </c>
      <c r="E145" s="1" t="s">
        <v>499</v>
      </c>
      <c r="F145" s="1" t="s">
        <v>112</v>
      </c>
      <c r="G145" s="1">
        <v>511763</v>
      </c>
    </row>
    <row r="146" spans="1:10" x14ac:dyDescent="0.25">
      <c r="A146" s="1" t="str">
        <f t="shared" si="2"/>
        <v>05 EE2 114</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500</v>
      </c>
      <c r="D146" s="1" t="s">
        <v>501</v>
      </c>
      <c r="E146" s="1" t="s">
        <v>502</v>
      </c>
      <c r="F146" s="1" t="s">
        <v>112</v>
      </c>
      <c r="G146" s="1">
        <v>1616683</v>
      </c>
    </row>
    <row r="147" spans="1:10" x14ac:dyDescent="0.25">
      <c r="A147" s="1" t="str">
        <f t="shared" si="2"/>
        <v>05 EE2 114</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503</v>
      </c>
      <c r="D147" s="1" t="s">
        <v>504</v>
      </c>
      <c r="E147" s="1" t="s">
        <v>307</v>
      </c>
      <c r="F147" s="1" t="s">
        <v>112</v>
      </c>
      <c r="G147" s="1">
        <v>1813667</v>
      </c>
    </row>
    <row r="148" spans="1:10" x14ac:dyDescent="0.25">
      <c r="A148" s="1" t="str">
        <f t="shared" si="2"/>
        <v>05 EE2 114</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505</v>
      </c>
      <c r="D148" s="1" t="s">
        <v>506</v>
      </c>
      <c r="E148" s="1" t="s">
        <v>507</v>
      </c>
      <c r="F148" s="1" t="s">
        <v>112</v>
      </c>
      <c r="G148" s="1">
        <v>1445374</v>
      </c>
    </row>
    <row r="149" spans="1:10" x14ac:dyDescent="0.25">
      <c r="A149" s="1" t="str">
        <f t="shared" si="2"/>
        <v>05 EE2 114</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508</v>
      </c>
      <c r="D149" s="1" t="s">
        <v>509</v>
      </c>
      <c r="E149" s="1" t="s">
        <v>510</v>
      </c>
      <c r="F149" s="1" t="s">
        <v>112</v>
      </c>
      <c r="G149" s="1">
        <v>1855023</v>
      </c>
    </row>
    <row r="150" spans="1:10" x14ac:dyDescent="0.25">
      <c r="A150" s="1" t="str">
        <f t="shared" si="2"/>
        <v>05 EE2 114</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511</v>
      </c>
      <c r="D150" s="1" t="s">
        <v>512</v>
      </c>
      <c r="E150" s="1" t="s">
        <v>513</v>
      </c>
      <c r="F150" s="1" t="s">
        <v>112</v>
      </c>
      <c r="G150" s="1">
        <v>1475418</v>
      </c>
    </row>
    <row r="151" spans="1:10" x14ac:dyDescent="0.25">
      <c r="A151" s="1" t="str">
        <f t="shared" si="2"/>
        <v>05 EE2 114</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514</v>
      </c>
      <c r="D151" s="1" t="s">
        <v>515</v>
      </c>
      <c r="E151" s="1" t="s">
        <v>516</v>
      </c>
      <c r="F151" s="1" t="s">
        <v>112</v>
      </c>
      <c r="G151" s="1">
        <v>945854</v>
      </c>
    </row>
    <row r="152" spans="1:10" x14ac:dyDescent="0.25">
      <c r="A152" s="1" t="str">
        <f t="shared" si="2"/>
        <v>05 EE2 114</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517</v>
      </c>
      <c r="D152" s="1" t="s">
        <v>518</v>
      </c>
      <c r="E152" s="1" t="s">
        <v>519</v>
      </c>
      <c r="F152" s="1" t="s">
        <v>112</v>
      </c>
      <c r="G152" s="1">
        <v>1597087</v>
      </c>
    </row>
    <row r="153" spans="1:10" x14ac:dyDescent="0.25">
      <c r="A153" s="1" t="str">
        <f t="shared" si="2"/>
        <v>05 EE2 114</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520</v>
      </c>
    </row>
    <row r="154" spans="1:10" x14ac:dyDescent="0.25">
      <c r="A154" s="1" t="str">
        <f t="shared" si="2"/>
        <v>05 EE2 114</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521</v>
      </c>
      <c r="D154" s="1" t="s">
        <v>522</v>
      </c>
      <c r="E154" s="1" t="s">
        <v>523</v>
      </c>
      <c r="F154" s="1" t="s">
        <v>112</v>
      </c>
      <c r="G154" s="1">
        <v>1691177</v>
      </c>
    </row>
    <row r="155" spans="1:10" x14ac:dyDescent="0.25">
      <c r="A155" s="1" t="str">
        <f t="shared" si="2"/>
        <v>05 EE2 114</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524</v>
      </c>
      <c r="D155" s="1" t="s">
        <v>525</v>
      </c>
      <c r="E155" s="1" t="s">
        <v>526</v>
      </c>
      <c r="F155" s="1" t="s">
        <v>112</v>
      </c>
      <c r="G155" s="1">
        <v>2258421</v>
      </c>
    </row>
    <row r="156" spans="1:10" x14ac:dyDescent="0.25">
      <c r="A156" s="1" t="str">
        <f t="shared" si="2"/>
        <v>05 EE2 114</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527</v>
      </c>
      <c r="D156" s="1" t="s">
        <v>528</v>
      </c>
      <c r="E156" s="1" t="s">
        <v>529</v>
      </c>
      <c r="F156" s="1" t="s">
        <v>112</v>
      </c>
      <c r="G156" s="1">
        <v>2139997</v>
      </c>
    </row>
    <row r="157" spans="1:10" x14ac:dyDescent="0.25">
      <c r="A157" s="1" t="str">
        <f t="shared" si="2"/>
        <v>05 EE2 114</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530</v>
      </c>
      <c r="D157" s="1" t="s">
        <v>531</v>
      </c>
      <c r="E157" s="1" t="s">
        <v>532</v>
      </c>
      <c r="F157" s="1" t="s">
        <v>112</v>
      </c>
      <c r="G157" s="1">
        <v>3005020</v>
      </c>
    </row>
    <row r="158" spans="1:10" x14ac:dyDescent="0.2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10" x14ac:dyDescent="0.2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243</v>
      </c>
      <c r="D159" s="1" t="s">
        <v>112</v>
      </c>
      <c r="E159" s="1" t="s">
        <v>244</v>
      </c>
      <c r="F159" s="1" t="s">
        <v>245</v>
      </c>
      <c r="G159" s="1" t="s">
        <v>246</v>
      </c>
      <c r="H159" s="1" t="s">
        <v>247</v>
      </c>
      <c r="I159" s="1" t="s">
        <v>248</v>
      </c>
      <c r="J159" s="1" t="s">
        <v>249</v>
      </c>
    </row>
    <row r="160" spans="1:10" x14ac:dyDescent="0.25">
      <c r="A160" s="1" t="str">
        <f t="shared" si="2"/>
        <v>05 EE2 114</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533</v>
      </c>
      <c r="D160" s="1" t="s">
        <v>112</v>
      </c>
      <c r="E160" s="1" t="s">
        <v>534</v>
      </c>
      <c r="F160" s="1" t="s">
        <v>535</v>
      </c>
      <c r="G160" s="1" t="s">
        <v>536</v>
      </c>
      <c r="H160" s="1" t="s">
        <v>537</v>
      </c>
      <c r="I160" s="1">
        <v>24</v>
      </c>
      <c r="J160" s="1">
        <v>24</v>
      </c>
    </row>
    <row r="161" spans="1:7" x14ac:dyDescent="0.2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2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2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2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2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2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255</v>
      </c>
      <c r="D166" s="1" t="s">
        <v>110</v>
      </c>
      <c r="E166" s="1" t="s">
        <v>111</v>
      </c>
      <c r="F166" s="1" t="s">
        <v>112</v>
      </c>
      <c r="G166" s="1" t="s">
        <v>113</v>
      </c>
    </row>
    <row r="167" spans="1:7" x14ac:dyDescent="0.25">
      <c r="A167" s="1" t="str">
        <f t="shared" si="2"/>
        <v>06 EE2 170.9</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538</v>
      </c>
      <c r="D167" s="1" t="s">
        <v>539</v>
      </c>
      <c r="E167" s="1" t="s">
        <v>540</v>
      </c>
      <c r="F167" s="1" t="s">
        <v>112</v>
      </c>
      <c r="G167" s="1">
        <v>1576300</v>
      </c>
    </row>
    <row r="168" spans="1:7" x14ac:dyDescent="0.25">
      <c r="A168" s="1" t="str">
        <f t="shared" si="2"/>
        <v>06 EE2 170.9</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541</v>
      </c>
      <c r="D168" s="1" t="s">
        <v>542</v>
      </c>
      <c r="E168" s="1" t="s">
        <v>543</v>
      </c>
      <c r="F168" s="1" t="s">
        <v>112</v>
      </c>
      <c r="G168" s="1">
        <v>1403932</v>
      </c>
    </row>
    <row r="169" spans="1:7" x14ac:dyDescent="0.25">
      <c r="A169" s="1" t="str">
        <f t="shared" si="2"/>
        <v>06 EE2 170.9</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544</v>
      </c>
      <c r="D169" s="1" t="s">
        <v>545</v>
      </c>
      <c r="E169" s="1" t="s">
        <v>546</v>
      </c>
      <c r="F169" s="1" t="s">
        <v>112</v>
      </c>
      <c r="G169" s="1">
        <v>1324247</v>
      </c>
    </row>
    <row r="170" spans="1:7" x14ac:dyDescent="0.25">
      <c r="A170" s="1" t="str">
        <f t="shared" si="2"/>
        <v>06 EE2 170.9</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547</v>
      </c>
      <c r="D170" s="1" t="s">
        <v>548</v>
      </c>
      <c r="E170" s="1" t="s">
        <v>549</v>
      </c>
      <c r="F170" s="1" t="s">
        <v>112</v>
      </c>
      <c r="G170" s="1">
        <v>8245381</v>
      </c>
    </row>
    <row r="171" spans="1:7" x14ac:dyDescent="0.25">
      <c r="A171" s="1" t="str">
        <f t="shared" si="2"/>
        <v>06 EE2 170.9</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550</v>
      </c>
      <c r="D171" s="1" t="s">
        <v>551</v>
      </c>
      <c r="E171" s="1" t="s">
        <v>552</v>
      </c>
      <c r="F171" s="1" t="s">
        <v>112</v>
      </c>
      <c r="G171" s="1">
        <v>8423806</v>
      </c>
    </row>
    <row r="172" spans="1:7" x14ac:dyDescent="0.25">
      <c r="A172" s="1" t="str">
        <f t="shared" si="2"/>
        <v>06 EE2 170.9</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553</v>
      </c>
      <c r="D172" s="1" t="s">
        <v>554</v>
      </c>
      <c r="E172" s="1" t="s">
        <v>555</v>
      </c>
      <c r="F172" s="1" t="s">
        <v>112</v>
      </c>
      <c r="G172" s="1">
        <v>8034900</v>
      </c>
    </row>
    <row r="173" spans="1:7" x14ac:dyDescent="0.25">
      <c r="A173" s="1" t="str">
        <f t="shared" si="2"/>
        <v>06 EE2 170.9</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556</v>
      </c>
      <c r="D173" s="1" t="s">
        <v>557</v>
      </c>
      <c r="E173" s="1" t="s">
        <v>558</v>
      </c>
      <c r="F173" s="1" t="s">
        <v>112</v>
      </c>
      <c r="G173" s="1">
        <v>4155168</v>
      </c>
    </row>
    <row r="174" spans="1:7" x14ac:dyDescent="0.25">
      <c r="A174" s="1" t="str">
        <f t="shared" si="2"/>
        <v>06 EE2 170.9</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559</v>
      </c>
      <c r="D174" s="1" t="s">
        <v>560</v>
      </c>
      <c r="E174" s="1" t="s">
        <v>561</v>
      </c>
      <c r="F174" s="1" t="s">
        <v>112</v>
      </c>
      <c r="G174" s="1">
        <v>4028287</v>
      </c>
    </row>
    <row r="175" spans="1:7" x14ac:dyDescent="0.25">
      <c r="A175" s="1" t="str">
        <f t="shared" si="2"/>
        <v>06 EE2 170.9</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562</v>
      </c>
      <c r="D175" s="1" t="s">
        <v>563</v>
      </c>
      <c r="E175" s="1" t="s">
        <v>564</v>
      </c>
      <c r="F175" s="1" t="s">
        <v>112</v>
      </c>
      <c r="G175" s="1">
        <v>4156790</v>
      </c>
    </row>
    <row r="176" spans="1:7" x14ac:dyDescent="0.25">
      <c r="A176" s="1" t="str">
        <f t="shared" si="2"/>
        <v>06 EE2 170.9</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565</v>
      </c>
      <c r="D176" s="1" t="s">
        <v>566</v>
      </c>
      <c r="E176" s="1" t="s">
        <v>567</v>
      </c>
      <c r="F176" s="1" t="s">
        <v>112</v>
      </c>
      <c r="G176" s="1">
        <v>2298198</v>
      </c>
    </row>
    <row r="177" spans="1:10" x14ac:dyDescent="0.25">
      <c r="A177" s="1" t="str">
        <f t="shared" si="2"/>
        <v>06 EE2 170.9</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568</v>
      </c>
      <c r="D177" s="1" t="s">
        <v>569</v>
      </c>
      <c r="E177" s="1" t="s">
        <v>570</v>
      </c>
      <c r="F177" s="1" t="s">
        <v>112</v>
      </c>
      <c r="G177" s="1">
        <v>2165520</v>
      </c>
    </row>
    <row r="178" spans="1:10" x14ac:dyDescent="0.25">
      <c r="A178" s="1" t="str">
        <f t="shared" si="2"/>
        <v>06 EE2 170.9</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571</v>
      </c>
      <c r="D178" s="1" t="s">
        <v>572</v>
      </c>
      <c r="E178" s="1" t="s">
        <v>573</v>
      </c>
      <c r="F178" s="1" t="s">
        <v>112</v>
      </c>
      <c r="G178" s="1">
        <v>2060442</v>
      </c>
    </row>
    <row r="179" spans="1:10" x14ac:dyDescent="0.25">
      <c r="A179" s="1" t="str">
        <f t="shared" si="2"/>
        <v>06 EE2 170.9</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574</v>
      </c>
      <c r="D179" s="1" t="s">
        <v>575</v>
      </c>
      <c r="E179" s="1" t="s">
        <v>576</v>
      </c>
      <c r="F179" s="1" t="s">
        <v>112</v>
      </c>
      <c r="G179" s="1">
        <v>3350146</v>
      </c>
    </row>
    <row r="180" spans="1:10" x14ac:dyDescent="0.25">
      <c r="A180" s="1" t="str">
        <f t="shared" si="2"/>
        <v>06 EE2 170.9</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577</v>
      </c>
      <c r="D180" s="1" t="s">
        <v>578</v>
      </c>
      <c r="E180" s="1" t="s">
        <v>579</v>
      </c>
      <c r="F180" s="1" t="s">
        <v>112</v>
      </c>
      <c r="G180" s="1">
        <v>2828087</v>
      </c>
    </row>
    <row r="181" spans="1:10" x14ac:dyDescent="0.25">
      <c r="A181" s="1" t="str">
        <f t="shared" si="2"/>
        <v>06 EE2 170.9</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580</v>
      </c>
      <c r="D181" s="1" t="s">
        <v>581</v>
      </c>
      <c r="E181" s="1" t="s">
        <v>582</v>
      </c>
      <c r="F181" s="1" t="s">
        <v>112</v>
      </c>
      <c r="G181" s="1">
        <v>2935653</v>
      </c>
    </row>
    <row r="182" spans="1:10" x14ac:dyDescent="0.25">
      <c r="A182" s="1" t="str">
        <f t="shared" si="2"/>
        <v>06 EE2 170.9</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583</v>
      </c>
      <c r="D182" s="1" t="s">
        <v>584</v>
      </c>
      <c r="E182" s="1" t="s">
        <v>585</v>
      </c>
      <c r="F182" s="1" t="s">
        <v>112</v>
      </c>
      <c r="G182" s="1">
        <v>1952574</v>
      </c>
    </row>
    <row r="183" spans="1:10" x14ac:dyDescent="0.25">
      <c r="A183" s="1" t="str">
        <f t="shared" si="2"/>
        <v>06 EE2 170.9</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586</v>
      </c>
      <c r="D183" s="1" t="s">
        <v>587</v>
      </c>
      <c r="E183" s="1" t="s">
        <v>588</v>
      </c>
      <c r="F183" s="1" t="s">
        <v>112</v>
      </c>
      <c r="G183" s="1">
        <v>1858419</v>
      </c>
    </row>
    <row r="184" spans="1:10" x14ac:dyDescent="0.25">
      <c r="A184" s="1" t="str">
        <f t="shared" si="2"/>
        <v>06 EE2 170.9</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589</v>
      </c>
      <c r="D184" s="1" t="s">
        <v>512</v>
      </c>
      <c r="E184" s="1" t="s">
        <v>590</v>
      </c>
      <c r="F184" s="1" t="s">
        <v>112</v>
      </c>
      <c r="G184" s="1">
        <v>1652870</v>
      </c>
    </row>
    <row r="185" spans="1:10" x14ac:dyDescent="0.25">
      <c r="A185" s="1" t="str">
        <f t="shared" si="2"/>
        <v>06 EE2 170.9</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591</v>
      </c>
      <c r="D185" s="1" t="s">
        <v>592</v>
      </c>
      <c r="E185" s="1" t="s">
        <v>593</v>
      </c>
      <c r="F185" s="1" t="s">
        <v>112</v>
      </c>
      <c r="G185" s="1">
        <v>3528550</v>
      </c>
    </row>
    <row r="186" spans="1:10" x14ac:dyDescent="0.25">
      <c r="A186" s="1" t="str">
        <f t="shared" si="2"/>
        <v>06 EE2 170.9</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594</v>
      </c>
      <c r="D186" s="1" t="s">
        <v>595</v>
      </c>
      <c r="E186" s="1" t="s">
        <v>596</v>
      </c>
      <c r="F186" s="1" t="s">
        <v>112</v>
      </c>
      <c r="G186" s="1">
        <v>3314716</v>
      </c>
    </row>
    <row r="187" spans="1:10" x14ac:dyDescent="0.25">
      <c r="A187" s="1" t="str">
        <f t="shared" si="2"/>
        <v>06 EE2 170.9</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597</v>
      </c>
    </row>
    <row r="188" spans="1:10" x14ac:dyDescent="0.25">
      <c r="A188" s="1" t="str">
        <f t="shared" si="2"/>
        <v>06 EE2 170.9</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598</v>
      </c>
      <c r="D188" s="1" t="s">
        <v>599</v>
      </c>
      <c r="E188" s="1" t="s">
        <v>600</v>
      </c>
      <c r="F188" s="1" t="s">
        <v>112</v>
      </c>
      <c r="G188" s="1">
        <v>3181173</v>
      </c>
    </row>
    <row r="189" spans="1:10" x14ac:dyDescent="0.25">
      <c r="A189" s="1" t="str">
        <f t="shared" si="2"/>
        <v>06 EE2 170.9</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601</v>
      </c>
      <c r="D189" s="1" t="s">
        <v>602</v>
      </c>
      <c r="E189" s="1" t="s">
        <v>603</v>
      </c>
      <c r="F189" s="1" t="s">
        <v>112</v>
      </c>
      <c r="G189" s="1">
        <v>3185153</v>
      </c>
    </row>
    <row r="190" spans="1:10" x14ac:dyDescent="0.25">
      <c r="A190" s="1" t="str">
        <f t="shared" si="2"/>
        <v>06 EE2 170.9</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604</v>
      </c>
      <c r="D190" s="1" t="s">
        <v>605</v>
      </c>
      <c r="E190" s="1" t="s">
        <v>606</v>
      </c>
      <c r="F190" s="1" t="s">
        <v>112</v>
      </c>
      <c r="G190" s="1">
        <v>3188895</v>
      </c>
    </row>
    <row r="191" spans="1:10" x14ac:dyDescent="0.2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10" x14ac:dyDescent="0.2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243</v>
      </c>
      <c r="D192" s="1" t="s">
        <v>112</v>
      </c>
      <c r="E192" s="1" t="s">
        <v>244</v>
      </c>
      <c r="F192" s="1" t="s">
        <v>245</v>
      </c>
      <c r="G192" s="1" t="s">
        <v>246</v>
      </c>
      <c r="H192" s="1" t="s">
        <v>247</v>
      </c>
      <c r="I192" s="1" t="s">
        <v>248</v>
      </c>
      <c r="J192" s="1" t="s">
        <v>249</v>
      </c>
    </row>
    <row r="193" spans="1:10" x14ac:dyDescent="0.25">
      <c r="A193" s="1" t="str">
        <f t="shared" si="2"/>
        <v>06 EE2 170.9</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607</v>
      </c>
      <c r="D193" s="1" t="s">
        <v>112</v>
      </c>
      <c r="E193" s="1" t="s">
        <v>608</v>
      </c>
      <c r="F193" s="1" t="s">
        <v>609</v>
      </c>
      <c r="G193" s="1" t="s">
        <v>610</v>
      </c>
      <c r="H193" s="1" t="s">
        <v>611</v>
      </c>
      <c r="I193" s="1">
        <v>24</v>
      </c>
      <c r="J193" s="1">
        <v>24</v>
      </c>
    </row>
    <row r="194" spans="1:10" x14ac:dyDescent="0.2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10" x14ac:dyDescent="0.2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10" x14ac:dyDescent="0.2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10" x14ac:dyDescent="0.2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10" x14ac:dyDescent="0.2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10" x14ac:dyDescent="0.2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255</v>
      </c>
      <c r="D199" s="1" t="s">
        <v>110</v>
      </c>
      <c r="E199" s="1" t="s">
        <v>111</v>
      </c>
      <c r="F199" s="1" t="s">
        <v>112</v>
      </c>
      <c r="G199" s="1" t="s">
        <v>113</v>
      </c>
    </row>
    <row r="200" spans="1:10" x14ac:dyDescent="0.25">
      <c r="A200" s="1" t="str">
        <f t="shared" si="3"/>
        <v>07 EE2 488</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612</v>
      </c>
      <c r="D200" s="1" t="s">
        <v>613</v>
      </c>
      <c r="E200" s="1" t="s">
        <v>614</v>
      </c>
      <c r="F200" s="1" t="s">
        <v>112</v>
      </c>
      <c r="G200" s="1">
        <v>3174793</v>
      </c>
    </row>
    <row r="201" spans="1:10" x14ac:dyDescent="0.25">
      <c r="A201" s="1" t="str">
        <f t="shared" si="3"/>
        <v>07 EE2 488</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615</v>
      </c>
      <c r="D201" s="1" t="s">
        <v>616</v>
      </c>
      <c r="E201" s="1" t="s">
        <v>617</v>
      </c>
      <c r="F201" s="1" t="s">
        <v>112</v>
      </c>
      <c r="G201" s="1">
        <v>2674580</v>
      </c>
    </row>
    <row r="202" spans="1:10" x14ac:dyDescent="0.25">
      <c r="A202" s="1" t="str">
        <f t="shared" si="3"/>
        <v>07 EE2 488</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618</v>
      </c>
      <c r="D202" s="1" t="s">
        <v>619</v>
      </c>
      <c r="E202" s="1" t="s">
        <v>620</v>
      </c>
      <c r="F202" s="1" t="s">
        <v>112</v>
      </c>
      <c r="G202" s="1">
        <v>3078150</v>
      </c>
    </row>
    <row r="203" spans="1:10" x14ac:dyDescent="0.25">
      <c r="A203" s="1" t="str">
        <f t="shared" si="3"/>
        <v>07 EE2 488</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621</v>
      </c>
      <c r="D203" s="1" t="s">
        <v>622</v>
      </c>
      <c r="E203" s="1" t="s">
        <v>623</v>
      </c>
      <c r="F203" s="1" t="s">
        <v>112</v>
      </c>
      <c r="G203" s="1">
        <v>6466257</v>
      </c>
    </row>
    <row r="204" spans="1:10" x14ac:dyDescent="0.25">
      <c r="A204" s="1" t="str">
        <f t="shared" si="3"/>
        <v>07 EE2 488</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624</v>
      </c>
      <c r="D204" s="1" t="s">
        <v>625</v>
      </c>
      <c r="E204" s="1" t="s">
        <v>626</v>
      </c>
      <c r="F204" s="1" t="s">
        <v>112</v>
      </c>
      <c r="G204" s="1">
        <v>5364993</v>
      </c>
    </row>
    <row r="205" spans="1:10" x14ac:dyDescent="0.25">
      <c r="A205" s="1" t="str">
        <f t="shared" si="3"/>
        <v>07 EE2 488</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627</v>
      </c>
      <c r="D205" s="1" t="s">
        <v>628</v>
      </c>
      <c r="E205" s="1" t="s">
        <v>629</v>
      </c>
      <c r="F205" s="1" t="s">
        <v>112</v>
      </c>
      <c r="G205" s="1">
        <v>6793690</v>
      </c>
    </row>
    <row r="206" spans="1:10" x14ac:dyDescent="0.25">
      <c r="A206" s="1" t="str">
        <f t="shared" si="3"/>
        <v>07 EE2 488</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630</v>
      </c>
      <c r="D206" s="1" t="s">
        <v>631</v>
      </c>
      <c r="E206" s="1" t="s">
        <v>632</v>
      </c>
      <c r="F206" s="1" t="s">
        <v>112</v>
      </c>
      <c r="G206" s="1">
        <v>3747747</v>
      </c>
    </row>
    <row r="207" spans="1:10" x14ac:dyDescent="0.25">
      <c r="A207" s="1" t="str">
        <f t="shared" si="3"/>
        <v>07 EE2 488</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633</v>
      </c>
      <c r="D207" s="1" t="s">
        <v>634</v>
      </c>
      <c r="E207" s="1" t="s">
        <v>635</v>
      </c>
      <c r="F207" s="1" t="s">
        <v>112</v>
      </c>
      <c r="G207" s="1">
        <v>4182767</v>
      </c>
    </row>
    <row r="208" spans="1:10" x14ac:dyDescent="0.25">
      <c r="A208" s="1" t="str">
        <f t="shared" si="3"/>
        <v>07 EE2 488</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636</v>
      </c>
      <c r="D208" s="1" t="s">
        <v>637</v>
      </c>
      <c r="E208" s="1" t="s">
        <v>638</v>
      </c>
      <c r="F208" s="1" t="s">
        <v>112</v>
      </c>
      <c r="G208" s="1">
        <v>4032072</v>
      </c>
    </row>
    <row r="209" spans="1:7" x14ac:dyDescent="0.25">
      <c r="A209" s="1" t="str">
        <f t="shared" si="3"/>
        <v>07 EE2 488</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639</v>
      </c>
      <c r="D209" s="1" t="s">
        <v>640</v>
      </c>
      <c r="E209" s="1" t="s">
        <v>641</v>
      </c>
      <c r="F209" s="1" t="s">
        <v>112</v>
      </c>
      <c r="G209" s="1">
        <v>5209063</v>
      </c>
    </row>
    <row r="210" spans="1:7" x14ac:dyDescent="0.25">
      <c r="A210" s="1" t="str">
        <f t="shared" si="3"/>
        <v>07 EE2 488</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642</v>
      </c>
      <c r="D210" s="1" t="s">
        <v>643</v>
      </c>
      <c r="E210" s="1" t="s">
        <v>644</v>
      </c>
      <c r="F210" s="1" t="s">
        <v>112</v>
      </c>
      <c r="G210" s="1">
        <v>5212285</v>
      </c>
    </row>
    <row r="211" spans="1:7" x14ac:dyDescent="0.25">
      <c r="A211" s="1" t="str">
        <f t="shared" si="3"/>
        <v>07 EE2 488</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645</v>
      </c>
      <c r="D211" s="1" t="s">
        <v>646</v>
      </c>
      <c r="E211" s="1" t="s">
        <v>647</v>
      </c>
      <c r="F211" s="1" t="s">
        <v>112</v>
      </c>
      <c r="G211" s="1">
        <v>5273152</v>
      </c>
    </row>
    <row r="212" spans="1:7" x14ac:dyDescent="0.25">
      <c r="A212" s="1" t="str">
        <f t="shared" si="3"/>
        <v>07 EE2 488</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648</v>
      </c>
      <c r="D212" s="1" t="s">
        <v>649</v>
      </c>
      <c r="E212" s="1" t="s">
        <v>650</v>
      </c>
      <c r="F212" s="1" t="s">
        <v>112</v>
      </c>
      <c r="G212" s="1">
        <v>6608582</v>
      </c>
    </row>
    <row r="213" spans="1:7" x14ac:dyDescent="0.25">
      <c r="A213" s="1" t="str">
        <f t="shared" si="3"/>
        <v>07 EE2 488</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651</v>
      </c>
      <c r="D213" s="1" t="s">
        <v>652</v>
      </c>
      <c r="E213" s="1" t="s">
        <v>653</v>
      </c>
      <c r="F213" s="1" t="s">
        <v>112</v>
      </c>
      <c r="G213" s="1">
        <v>6398534</v>
      </c>
    </row>
    <row r="214" spans="1:7" x14ac:dyDescent="0.25">
      <c r="A214" s="1" t="str">
        <f t="shared" si="3"/>
        <v>07 EE2 488</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654</v>
      </c>
      <c r="D214" s="1" t="s">
        <v>655</v>
      </c>
      <c r="E214" s="1" t="s">
        <v>656</v>
      </c>
      <c r="F214" s="1" t="s">
        <v>112</v>
      </c>
      <c r="G214" s="1">
        <v>5891832</v>
      </c>
    </row>
    <row r="215" spans="1:7" x14ac:dyDescent="0.25">
      <c r="A215" s="1" t="str">
        <f t="shared" si="3"/>
        <v>07 EE2 488</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657</v>
      </c>
      <c r="D215" s="1" t="s">
        <v>658</v>
      </c>
      <c r="E215" s="1" t="s">
        <v>659</v>
      </c>
      <c r="F215" s="1" t="s">
        <v>112</v>
      </c>
      <c r="G215" s="1">
        <v>2943374</v>
      </c>
    </row>
    <row r="216" spans="1:7" x14ac:dyDescent="0.25">
      <c r="A216" s="1" t="str">
        <f t="shared" si="3"/>
        <v>07 EE2 488</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660</v>
      </c>
      <c r="D216" s="1" t="s">
        <v>661</v>
      </c>
      <c r="E216" s="1" t="s">
        <v>662</v>
      </c>
      <c r="F216" s="1" t="s">
        <v>112</v>
      </c>
      <c r="G216" s="1">
        <v>3017803</v>
      </c>
    </row>
    <row r="217" spans="1:7" x14ac:dyDescent="0.25">
      <c r="A217" s="1" t="str">
        <f t="shared" si="3"/>
        <v>07 EE2 488</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663</v>
      </c>
      <c r="D217" s="1" t="s">
        <v>664</v>
      </c>
      <c r="E217" s="1" t="s">
        <v>665</v>
      </c>
      <c r="F217" s="1" t="s">
        <v>112</v>
      </c>
      <c r="G217" s="1">
        <v>2816840</v>
      </c>
    </row>
    <row r="218" spans="1:7" x14ac:dyDescent="0.25">
      <c r="A218" s="1" t="str">
        <f t="shared" si="3"/>
        <v>07 EE2 488</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666</v>
      </c>
      <c r="D218" s="1" t="s">
        <v>667</v>
      </c>
      <c r="E218" s="1" t="s">
        <v>668</v>
      </c>
      <c r="F218" s="1" t="s">
        <v>112</v>
      </c>
      <c r="G218" s="1">
        <v>5327270</v>
      </c>
    </row>
    <row r="219" spans="1:7" x14ac:dyDescent="0.25">
      <c r="A219" s="1" t="str">
        <f t="shared" si="3"/>
        <v>07 EE2 488</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669</v>
      </c>
      <c r="D219" s="1" t="s">
        <v>670</v>
      </c>
      <c r="E219" s="1" t="s">
        <v>671</v>
      </c>
      <c r="F219" s="1" t="s">
        <v>112</v>
      </c>
      <c r="G219" s="1">
        <v>4041308</v>
      </c>
    </row>
    <row r="220" spans="1:7" x14ac:dyDescent="0.25">
      <c r="A220" s="1" t="str">
        <f t="shared" si="3"/>
        <v>07 EE2 488</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672</v>
      </c>
      <c r="D220" s="1" t="s">
        <v>673</v>
      </c>
      <c r="E220" s="1" t="s">
        <v>674</v>
      </c>
      <c r="F220" s="1" t="s">
        <v>112</v>
      </c>
      <c r="G220" s="1">
        <v>4372115</v>
      </c>
    </row>
    <row r="221" spans="1:7" x14ac:dyDescent="0.25">
      <c r="A221" s="1" t="str">
        <f t="shared" si="3"/>
        <v>07 EE2 488</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675</v>
      </c>
      <c r="D221" s="1" t="s">
        <v>676</v>
      </c>
      <c r="E221" s="1" t="s">
        <v>677</v>
      </c>
      <c r="F221" s="1" t="s">
        <v>112</v>
      </c>
      <c r="G221" s="1">
        <v>7065967</v>
      </c>
    </row>
    <row r="222" spans="1:7" x14ac:dyDescent="0.25">
      <c r="A222" s="1" t="str">
        <f t="shared" si="3"/>
        <v>07 EE2 488</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678</v>
      </c>
      <c r="D222" s="1" t="s">
        <v>679</v>
      </c>
      <c r="E222" s="1" t="s">
        <v>680</v>
      </c>
      <c r="F222" s="1" t="s">
        <v>112</v>
      </c>
      <c r="G222" s="1">
        <v>7116019</v>
      </c>
    </row>
    <row r="223" spans="1:7" x14ac:dyDescent="0.25">
      <c r="A223" s="1" t="str">
        <f t="shared" si="3"/>
        <v>07 EE2 488</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681</v>
      </c>
      <c r="D223" s="1" t="s">
        <v>682</v>
      </c>
      <c r="E223" s="1" t="s">
        <v>683</v>
      </c>
      <c r="F223" s="1" t="s">
        <v>112</v>
      </c>
      <c r="G223" s="1">
        <v>6434915</v>
      </c>
    </row>
    <row r="224" spans="1:7" x14ac:dyDescent="0.2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10" x14ac:dyDescent="0.2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243</v>
      </c>
      <c r="D225" s="1" t="s">
        <v>112</v>
      </c>
      <c r="E225" s="1" t="s">
        <v>244</v>
      </c>
      <c r="F225" s="1" t="s">
        <v>245</v>
      </c>
      <c r="G225" s="1" t="s">
        <v>246</v>
      </c>
      <c r="H225" s="1" t="s">
        <v>247</v>
      </c>
      <c r="I225" s="1" t="s">
        <v>248</v>
      </c>
      <c r="J225" s="1" t="s">
        <v>249</v>
      </c>
    </row>
    <row r="226" spans="1:10" x14ac:dyDescent="0.25">
      <c r="A226" s="1" t="str">
        <f t="shared" si="3"/>
        <v>07 EE2 488</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684</v>
      </c>
      <c r="D226" s="1" t="s">
        <v>112</v>
      </c>
      <c r="E226" s="1" t="s">
        <v>685</v>
      </c>
      <c r="F226" s="1" t="s">
        <v>686</v>
      </c>
      <c r="G226" s="1" t="s">
        <v>687</v>
      </c>
      <c r="H226" s="1" t="s">
        <v>688</v>
      </c>
      <c r="I226" s="1">
        <v>24</v>
      </c>
      <c r="J226" s="1">
        <v>24</v>
      </c>
    </row>
    <row r="227" spans="1:10" x14ac:dyDescent="0.2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10" x14ac:dyDescent="0.2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10" x14ac:dyDescent="0.2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10" x14ac:dyDescent="0.2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10" x14ac:dyDescent="0.2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10" x14ac:dyDescent="0.2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255</v>
      </c>
      <c r="D232" s="1" t="s">
        <v>110</v>
      </c>
      <c r="E232" s="1" t="s">
        <v>111</v>
      </c>
      <c r="F232" s="1" t="s">
        <v>112</v>
      </c>
      <c r="G232" s="1" t="s">
        <v>113</v>
      </c>
    </row>
    <row r="233" spans="1:10" x14ac:dyDescent="0.25">
      <c r="A233" s="1" t="str">
        <f t="shared" si="3"/>
        <v>08 Fadrozole 0.016 µg_L</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689</v>
      </c>
      <c r="D233" s="1" t="s">
        <v>191</v>
      </c>
      <c r="E233" s="1" t="s">
        <v>690</v>
      </c>
      <c r="F233" s="1" t="s">
        <v>112</v>
      </c>
      <c r="G233" s="1">
        <v>45271</v>
      </c>
    </row>
    <row r="234" spans="1:10" x14ac:dyDescent="0.25">
      <c r="A234" s="1" t="str">
        <f t="shared" si="3"/>
        <v>08 Fadrozole 0.016 µg_L</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691</v>
      </c>
      <c r="D234" s="1" t="s">
        <v>692</v>
      </c>
      <c r="E234" s="1" t="s">
        <v>693</v>
      </c>
      <c r="F234" s="1" t="s">
        <v>112</v>
      </c>
      <c r="G234" s="1">
        <v>50311</v>
      </c>
    </row>
    <row r="235" spans="1:10" x14ac:dyDescent="0.25">
      <c r="A235" s="1" t="str">
        <f t="shared" si="3"/>
        <v>08 Fadrozole 0.016 µg_L</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694</v>
      </c>
      <c r="D235" s="1" t="s">
        <v>695</v>
      </c>
      <c r="E235" s="1" t="s">
        <v>696</v>
      </c>
      <c r="F235" s="1" t="s">
        <v>112</v>
      </c>
      <c r="G235" s="1">
        <v>62662</v>
      </c>
    </row>
    <row r="236" spans="1:10" x14ac:dyDescent="0.25">
      <c r="A236" s="1" t="str">
        <f t="shared" si="3"/>
        <v>08 Fadrozole 0.016 µg_L</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697</v>
      </c>
      <c r="D236" s="1" t="s">
        <v>698</v>
      </c>
      <c r="E236" s="1" t="s">
        <v>699</v>
      </c>
      <c r="F236" s="1" t="s">
        <v>112</v>
      </c>
      <c r="G236" s="1">
        <v>17953</v>
      </c>
    </row>
    <row r="237" spans="1:10" x14ac:dyDescent="0.25">
      <c r="A237" s="1" t="str">
        <f t="shared" si="3"/>
        <v>08 Fadrozole 0.016 µg_L</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700</v>
      </c>
      <c r="D237" s="1" t="s">
        <v>409</v>
      </c>
      <c r="E237" s="1" t="s">
        <v>701</v>
      </c>
      <c r="F237" s="1" t="s">
        <v>112</v>
      </c>
      <c r="G237" s="1">
        <v>16179</v>
      </c>
    </row>
    <row r="238" spans="1:10" x14ac:dyDescent="0.25">
      <c r="A238" s="1" t="str">
        <f t="shared" si="3"/>
        <v>08 Fadrozole 0.016 µg_L</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702</v>
      </c>
      <c r="D238" s="1" t="s">
        <v>220</v>
      </c>
      <c r="E238" s="1" t="s">
        <v>364</v>
      </c>
      <c r="F238" s="1" t="s">
        <v>112</v>
      </c>
      <c r="G238" s="1">
        <v>12156</v>
      </c>
    </row>
    <row r="239" spans="1:10" x14ac:dyDescent="0.25">
      <c r="A239" s="1" t="str">
        <f t="shared" si="3"/>
        <v>08 Fadrozole 0.016 µg_L</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703</v>
      </c>
      <c r="D239" s="1" t="s">
        <v>704</v>
      </c>
      <c r="E239" s="1" t="s">
        <v>705</v>
      </c>
      <c r="F239" s="1" t="s">
        <v>112</v>
      </c>
      <c r="G239" s="1">
        <v>119029</v>
      </c>
    </row>
    <row r="240" spans="1:10" x14ac:dyDescent="0.25">
      <c r="A240" s="1" t="str">
        <f t="shared" si="3"/>
        <v>08 Fadrozole 0.016 µg_L</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706</v>
      </c>
    </row>
    <row r="241" spans="1:7" x14ac:dyDescent="0.25">
      <c r="A241" s="1" t="str">
        <f t="shared" si="3"/>
        <v>08 Fadrozole 0.016 µg_L</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707</v>
      </c>
      <c r="D241" s="1" t="s">
        <v>257</v>
      </c>
      <c r="E241" s="1" t="s">
        <v>708</v>
      </c>
      <c r="F241" s="1" t="s">
        <v>112</v>
      </c>
      <c r="G241" s="1">
        <v>6554</v>
      </c>
    </row>
    <row r="242" spans="1:7" x14ac:dyDescent="0.25">
      <c r="A242" s="1" t="str">
        <f t="shared" si="3"/>
        <v>08 Fadrozole 0.016 µg_L</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709</v>
      </c>
      <c r="D242" s="1" t="s">
        <v>710</v>
      </c>
      <c r="E242" s="1" t="s">
        <v>711</v>
      </c>
      <c r="F242" s="1" t="s">
        <v>112</v>
      </c>
      <c r="G242" s="1">
        <v>277771</v>
      </c>
    </row>
    <row r="243" spans="1:7" x14ac:dyDescent="0.25">
      <c r="A243" s="1" t="str">
        <f t="shared" si="3"/>
        <v>08 Fadrozole 0.016 µg_L</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712</v>
      </c>
      <c r="D243" s="1" t="s">
        <v>713</v>
      </c>
      <c r="E243" s="1" t="s">
        <v>714</v>
      </c>
      <c r="F243" s="1" t="s">
        <v>112</v>
      </c>
      <c r="G243" s="1">
        <v>495152</v>
      </c>
    </row>
    <row r="244" spans="1:7" x14ac:dyDescent="0.25">
      <c r="A244" s="1" t="str">
        <f t="shared" si="3"/>
        <v>08 Fadrozole 0.016 µg_L</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715</v>
      </c>
    </row>
    <row r="245" spans="1:7" x14ac:dyDescent="0.25">
      <c r="A245" s="1" t="str">
        <f t="shared" si="3"/>
        <v>08 Fadrozole 0.016 µg_L</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716</v>
      </c>
      <c r="D245" s="1" t="s">
        <v>717</v>
      </c>
      <c r="E245" s="1" t="s">
        <v>718</v>
      </c>
      <c r="F245" s="1" t="s">
        <v>112</v>
      </c>
      <c r="G245" s="1">
        <v>319301</v>
      </c>
    </row>
    <row r="246" spans="1:7" x14ac:dyDescent="0.25">
      <c r="A246" s="1" t="str">
        <f t="shared" si="3"/>
        <v>08 Fadrozole 0.016 µg_L</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719</v>
      </c>
      <c r="D246" s="1" t="s">
        <v>423</v>
      </c>
      <c r="E246" s="1" t="s">
        <v>720</v>
      </c>
      <c r="F246" s="1" t="s">
        <v>112</v>
      </c>
      <c r="G246" s="1">
        <v>79403</v>
      </c>
    </row>
    <row r="247" spans="1:7" x14ac:dyDescent="0.25">
      <c r="A247" s="1" t="str">
        <f t="shared" si="3"/>
        <v>08 Fadrozole 0.016 µg_L</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721</v>
      </c>
      <c r="D247" s="1" t="s">
        <v>722</v>
      </c>
      <c r="E247" s="1" t="s">
        <v>723</v>
      </c>
      <c r="F247" s="1" t="s">
        <v>112</v>
      </c>
      <c r="G247" s="1">
        <v>46245</v>
      </c>
    </row>
    <row r="248" spans="1:7" x14ac:dyDescent="0.25">
      <c r="A248" s="1" t="str">
        <f t="shared" si="3"/>
        <v>08 Fadrozole 0.016 µg_L</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724</v>
      </c>
      <c r="D248" s="1" t="s">
        <v>725</v>
      </c>
      <c r="E248" s="1" t="s">
        <v>726</v>
      </c>
      <c r="F248" s="1" t="s">
        <v>112</v>
      </c>
      <c r="G248" s="1">
        <v>20267</v>
      </c>
    </row>
    <row r="249" spans="1:7" x14ac:dyDescent="0.25">
      <c r="A249" s="1" t="str">
        <f t="shared" si="3"/>
        <v>08 Fadrozole 0.016 µg_L</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727</v>
      </c>
      <c r="D249" s="1" t="s">
        <v>728</v>
      </c>
      <c r="E249" s="1" t="s">
        <v>729</v>
      </c>
      <c r="F249" s="1" t="s">
        <v>112</v>
      </c>
      <c r="G249" s="1">
        <v>32640</v>
      </c>
    </row>
    <row r="250" spans="1:7" x14ac:dyDescent="0.25">
      <c r="A250" s="1" t="str">
        <f t="shared" si="3"/>
        <v>08 Fadrozole 0.016 µg_L</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730</v>
      </c>
      <c r="D250" s="1" t="s">
        <v>223</v>
      </c>
      <c r="E250" s="1" t="s">
        <v>731</v>
      </c>
      <c r="F250" s="1" t="s">
        <v>112</v>
      </c>
      <c r="G250" s="1">
        <v>23101</v>
      </c>
    </row>
    <row r="251" spans="1:7" x14ac:dyDescent="0.25">
      <c r="A251" s="1" t="str">
        <f t="shared" si="3"/>
        <v>08 Fadrozole 0.016 µg_L</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732</v>
      </c>
      <c r="D251" s="1" t="s">
        <v>241</v>
      </c>
      <c r="E251" s="1" t="s">
        <v>733</v>
      </c>
      <c r="F251" s="1" t="s">
        <v>112</v>
      </c>
      <c r="G251" s="1">
        <v>34543</v>
      </c>
    </row>
    <row r="252" spans="1:7" x14ac:dyDescent="0.25">
      <c r="A252" s="1" t="str">
        <f t="shared" si="3"/>
        <v>08 Fadrozole 0.016 µg_L</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734</v>
      </c>
      <c r="D252" s="1" t="s">
        <v>426</v>
      </c>
      <c r="E252" s="1" t="s">
        <v>735</v>
      </c>
      <c r="F252" s="1" t="s">
        <v>112</v>
      </c>
      <c r="G252" s="1">
        <v>138691</v>
      </c>
    </row>
    <row r="253" spans="1:7" x14ac:dyDescent="0.25">
      <c r="A253" s="1" t="str">
        <f t="shared" si="3"/>
        <v>08 Fadrozole 0.016 µg_L</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736</v>
      </c>
      <c r="D253" s="1" t="s">
        <v>737</v>
      </c>
      <c r="E253" s="1" t="s">
        <v>738</v>
      </c>
      <c r="F253" s="1" t="s">
        <v>112</v>
      </c>
      <c r="G253" s="1">
        <v>94652</v>
      </c>
    </row>
    <row r="254" spans="1:7" x14ac:dyDescent="0.25">
      <c r="A254" s="1" t="str">
        <f t="shared" si="3"/>
        <v>08 Fadrozole 0.016 µg_L</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739</v>
      </c>
      <c r="D254" s="1" t="s">
        <v>740</v>
      </c>
      <c r="E254" s="1" t="s">
        <v>741</v>
      </c>
      <c r="F254" s="1" t="s">
        <v>112</v>
      </c>
      <c r="G254" s="1">
        <v>232089</v>
      </c>
    </row>
    <row r="255" spans="1:7" x14ac:dyDescent="0.25">
      <c r="A255" s="1" t="str">
        <f t="shared" si="3"/>
        <v>08 Fadrozole 0.016 µg_L</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742</v>
      </c>
      <c r="D255" s="1" t="s">
        <v>402</v>
      </c>
      <c r="E255" s="1" t="s">
        <v>743</v>
      </c>
      <c r="F255" s="1" t="s">
        <v>112</v>
      </c>
      <c r="G255" s="1">
        <v>103218</v>
      </c>
    </row>
    <row r="256" spans="1:7" x14ac:dyDescent="0.25">
      <c r="A256" s="1" t="str">
        <f t="shared" si="3"/>
        <v>08 Fadrozole 0.016 µg_L</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744</v>
      </c>
      <c r="D256" s="1" t="s">
        <v>745</v>
      </c>
      <c r="E256" s="1" t="s">
        <v>746</v>
      </c>
      <c r="F256" s="1" t="s">
        <v>112</v>
      </c>
      <c r="G256" s="1">
        <v>72720</v>
      </c>
    </row>
    <row r="257" spans="1:10" x14ac:dyDescent="0.2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10" x14ac:dyDescent="0.2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243</v>
      </c>
      <c r="D258" s="1" t="s">
        <v>112</v>
      </c>
      <c r="E258" s="1" t="s">
        <v>244</v>
      </c>
      <c r="F258" s="1" t="s">
        <v>245</v>
      </c>
      <c r="G258" s="1" t="s">
        <v>246</v>
      </c>
      <c r="H258" s="1" t="s">
        <v>247</v>
      </c>
      <c r="I258" s="1" t="s">
        <v>248</v>
      </c>
      <c r="J258" s="1" t="s">
        <v>249</v>
      </c>
    </row>
    <row r="259" spans="1:10" x14ac:dyDescent="0.25">
      <c r="A259" s="1" t="str">
        <f t="shared" si="4"/>
        <v>08 Fadrozole 0.016 µg_L</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747</v>
      </c>
      <c r="D259" s="1" t="s">
        <v>112</v>
      </c>
      <c r="E259" s="1" t="s">
        <v>748</v>
      </c>
      <c r="F259" s="1" t="s">
        <v>749</v>
      </c>
      <c r="G259" s="1" t="s">
        <v>750</v>
      </c>
      <c r="H259" s="1" t="s">
        <v>751</v>
      </c>
      <c r="I259" s="1">
        <v>24</v>
      </c>
      <c r="J259" s="1">
        <v>24</v>
      </c>
    </row>
    <row r="260" spans="1:10" x14ac:dyDescent="0.2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10" x14ac:dyDescent="0.2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10" x14ac:dyDescent="0.2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10" x14ac:dyDescent="0.2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10" x14ac:dyDescent="0.2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10" x14ac:dyDescent="0.2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255</v>
      </c>
      <c r="D265" s="1" t="s">
        <v>110</v>
      </c>
      <c r="E265" s="1" t="s">
        <v>111</v>
      </c>
      <c r="F265" s="1" t="s">
        <v>112</v>
      </c>
      <c r="G265" s="1" t="s">
        <v>113</v>
      </c>
    </row>
    <row r="266" spans="1:10" x14ac:dyDescent="0.25">
      <c r="A266" s="1" t="str">
        <f t="shared" si="4"/>
        <v>09 Fadrozole 0.08 µg_L</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752</v>
      </c>
      <c r="D266" s="1" t="s">
        <v>229</v>
      </c>
      <c r="E266" s="1" t="s">
        <v>729</v>
      </c>
      <c r="F266" s="1" t="s">
        <v>112</v>
      </c>
      <c r="G266" s="1">
        <v>10880</v>
      </c>
    </row>
    <row r="267" spans="1:10" x14ac:dyDescent="0.25">
      <c r="A267" s="1" t="str">
        <f t="shared" si="4"/>
        <v>09 Fadrozole 0.08 µg_L</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753</v>
      </c>
      <c r="D267" s="1" t="s">
        <v>426</v>
      </c>
      <c r="E267" s="1" t="s">
        <v>754</v>
      </c>
      <c r="F267" s="1" t="s">
        <v>112</v>
      </c>
      <c r="G267" s="1">
        <v>142130</v>
      </c>
    </row>
    <row r="268" spans="1:10" x14ac:dyDescent="0.25">
      <c r="A268" s="1" t="str">
        <f t="shared" si="4"/>
        <v>09 Fadrozole 0.08 µg_L</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755</v>
      </c>
      <c r="D268" s="1" t="s">
        <v>260</v>
      </c>
      <c r="E268" s="1" t="s">
        <v>270</v>
      </c>
      <c r="F268" s="1" t="s">
        <v>112</v>
      </c>
      <c r="G268" s="1">
        <v>27794</v>
      </c>
    </row>
    <row r="269" spans="1:10" x14ac:dyDescent="0.25">
      <c r="A269" s="1" t="str">
        <f t="shared" si="4"/>
        <v>09 Fadrozole 0.08 µg_L</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756</v>
      </c>
      <c r="D269" s="1" t="s">
        <v>698</v>
      </c>
      <c r="E269" s="1" t="s">
        <v>757</v>
      </c>
      <c r="F269" s="1" t="s">
        <v>112</v>
      </c>
      <c r="G269" s="1">
        <v>17628</v>
      </c>
    </row>
    <row r="270" spans="1:10" x14ac:dyDescent="0.25">
      <c r="A270" s="1" t="str">
        <f t="shared" si="4"/>
        <v>09 Fadrozole 0.08 µg_L</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758</v>
      </c>
      <c r="D270" s="1" t="s">
        <v>269</v>
      </c>
      <c r="E270" s="1" t="s">
        <v>759</v>
      </c>
      <c r="F270" s="1" t="s">
        <v>112</v>
      </c>
      <c r="G270" s="1">
        <v>22993</v>
      </c>
    </row>
    <row r="271" spans="1:10" x14ac:dyDescent="0.25">
      <c r="A271" s="1" t="str">
        <f t="shared" si="4"/>
        <v>09 Fadrozole 0.08 µg_L</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760</v>
      </c>
      <c r="D271" s="1" t="s">
        <v>405</v>
      </c>
      <c r="E271" s="1" t="s">
        <v>761</v>
      </c>
      <c r="F271" s="1" t="s">
        <v>112</v>
      </c>
      <c r="G271" s="1">
        <v>19013</v>
      </c>
    </row>
    <row r="272" spans="1:10" x14ac:dyDescent="0.25">
      <c r="A272" s="1" t="str">
        <f t="shared" si="4"/>
        <v>09 Fadrozole 0.08 µg_L</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762</v>
      </c>
      <c r="D272" s="1" t="s">
        <v>763</v>
      </c>
      <c r="E272" s="1" t="s">
        <v>764</v>
      </c>
      <c r="F272" s="1" t="s">
        <v>112</v>
      </c>
      <c r="G272" s="1">
        <v>133348</v>
      </c>
    </row>
    <row r="273" spans="1:7" x14ac:dyDescent="0.25">
      <c r="A273" s="1" t="str">
        <f t="shared" si="4"/>
        <v>09 Fadrozole 0.08 µg_L</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765</v>
      </c>
      <c r="D273" s="1" t="s">
        <v>405</v>
      </c>
      <c r="E273" s="1">
        <v>62</v>
      </c>
      <c r="F273" s="1" t="s">
        <v>112</v>
      </c>
      <c r="G273" s="1">
        <v>18775</v>
      </c>
    </row>
    <row r="274" spans="1:7" x14ac:dyDescent="0.25">
      <c r="A274" s="1" t="str">
        <f t="shared" si="4"/>
        <v>09 Fadrozole 0.08 µg_L</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766</v>
      </c>
      <c r="D274" s="1" t="s">
        <v>767</v>
      </c>
      <c r="E274" s="1" t="s">
        <v>768</v>
      </c>
      <c r="F274" s="1" t="s">
        <v>112</v>
      </c>
      <c r="G274" s="1">
        <v>80269</v>
      </c>
    </row>
    <row r="275" spans="1:7" x14ac:dyDescent="0.25">
      <c r="A275" s="1" t="str">
        <f t="shared" si="4"/>
        <v>09 Fadrozole 0.08 µg_L</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769</v>
      </c>
      <c r="D275" s="1" t="s">
        <v>409</v>
      </c>
      <c r="E275" s="1" t="s">
        <v>770</v>
      </c>
      <c r="F275" s="1" t="s">
        <v>112</v>
      </c>
      <c r="G275" s="1">
        <v>16850</v>
      </c>
    </row>
    <row r="276" spans="1:7" x14ac:dyDescent="0.25">
      <c r="A276" s="1" t="str">
        <f t="shared" si="4"/>
        <v>09 Fadrozole 0.08 µg_L</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771</v>
      </c>
      <c r="D276" s="1" t="s">
        <v>698</v>
      </c>
      <c r="E276" s="1" t="s">
        <v>772</v>
      </c>
      <c r="F276" s="1" t="s">
        <v>112</v>
      </c>
      <c r="G276" s="1">
        <v>17931</v>
      </c>
    </row>
    <row r="277" spans="1:7" x14ac:dyDescent="0.25">
      <c r="A277" s="1" t="str">
        <f t="shared" si="4"/>
        <v>09 Fadrozole 0.08 µg_L</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773</v>
      </c>
      <c r="D277" s="1" t="s">
        <v>341</v>
      </c>
      <c r="E277" s="1">
        <v>64</v>
      </c>
      <c r="F277" s="1" t="s">
        <v>112</v>
      </c>
      <c r="G277" s="1">
        <v>31839</v>
      </c>
    </row>
    <row r="278" spans="1:7" x14ac:dyDescent="0.25">
      <c r="A278" s="1" t="str">
        <f t="shared" si="4"/>
        <v>09 Fadrozole 0.08 µg_L</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774</v>
      </c>
      <c r="D278" s="1" t="s">
        <v>775</v>
      </c>
      <c r="E278" s="1" t="s">
        <v>776</v>
      </c>
      <c r="F278" s="1" t="s">
        <v>112</v>
      </c>
      <c r="G278" s="1">
        <v>161683</v>
      </c>
    </row>
    <row r="279" spans="1:7" x14ac:dyDescent="0.25">
      <c r="A279" s="1" t="str">
        <f t="shared" si="4"/>
        <v>09 Fadrozole 0.08 µg_L</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777</v>
      </c>
      <c r="D279" s="1" t="s">
        <v>405</v>
      </c>
      <c r="E279" s="1" t="s">
        <v>410</v>
      </c>
      <c r="F279" s="1" t="s">
        <v>112</v>
      </c>
      <c r="G279" s="1">
        <v>19229</v>
      </c>
    </row>
    <row r="280" spans="1:7" x14ac:dyDescent="0.25">
      <c r="A280" s="1" t="str">
        <f t="shared" si="4"/>
        <v>09 Fadrozole 0.08 µg_L</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778</v>
      </c>
      <c r="D280" s="1" t="s">
        <v>288</v>
      </c>
      <c r="E280" s="1" t="s">
        <v>779</v>
      </c>
      <c r="F280" s="1" t="s">
        <v>112</v>
      </c>
      <c r="G280" s="1">
        <v>13475</v>
      </c>
    </row>
    <row r="281" spans="1:7" x14ac:dyDescent="0.25">
      <c r="A281" s="1" t="str">
        <f t="shared" si="4"/>
        <v>09 Fadrozole 0.08 µg_L</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780</v>
      </c>
      <c r="D281" s="1" t="s">
        <v>358</v>
      </c>
      <c r="E281" s="1" t="s">
        <v>781</v>
      </c>
      <c r="F281" s="1" t="s">
        <v>112</v>
      </c>
      <c r="G281" s="1">
        <v>40816</v>
      </c>
    </row>
    <row r="282" spans="1:7" x14ac:dyDescent="0.25">
      <c r="A282" s="1" t="str">
        <f t="shared" si="4"/>
        <v>09 Fadrozole 0.08 µg_L</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782</v>
      </c>
      <c r="D282" s="1" t="s">
        <v>698</v>
      </c>
      <c r="E282" s="1" t="s">
        <v>783</v>
      </c>
      <c r="F282" s="1" t="s">
        <v>112</v>
      </c>
      <c r="G282" s="1">
        <v>17542</v>
      </c>
    </row>
    <row r="283" spans="1:7" x14ac:dyDescent="0.25">
      <c r="A283" s="1" t="str">
        <f t="shared" si="4"/>
        <v>09 Fadrozole 0.08 µg_L</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784</v>
      </c>
      <c r="D283" s="1" t="s">
        <v>785</v>
      </c>
      <c r="E283" s="1" t="s">
        <v>786</v>
      </c>
      <c r="F283" s="1" t="s">
        <v>112</v>
      </c>
      <c r="G283" s="1">
        <v>37874</v>
      </c>
    </row>
    <row r="284" spans="1:7" x14ac:dyDescent="0.25">
      <c r="A284" s="1" t="str">
        <f t="shared" si="4"/>
        <v>09 Fadrozole 0.08 µg_L</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787</v>
      </c>
      <c r="D284" s="1" t="s">
        <v>405</v>
      </c>
      <c r="E284" s="1" t="s">
        <v>788</v>
      </c>
      <c r="F284" s="1" t="s">
        <v>112</v>
      </c>
      <c r="G284" s="1">
        <v>19315</v>
      </c>
    </row>
    <row r="285" spans="1:7" x14ac:dyDescent="0.25">
      <c r="A285" s="1" t="str">
        <f t="shared" si="4"/>
        <v>09 Fadrozole 0.08 µg_L</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789</v>
      </c>
      <c r="D285" s="1" t="s">
        <v>288</v>
      </c>
      <c r="E285" s="1" t="s">
        <v>790</v>
      </c>
      <c r="F285" s="1" t="s">
        <v>112</v>
      </c>
      <c r="G285" s="1">
        <v>13302</v>
      </c>
    </row>
    <row r="286" spans="1:7" x14ac:dyDescent="0.25">
      <c r="A286" s="1" t="str">
        <f t="shared" si="4"/>
        <v>09 Fadrozole 0.08 µg_L</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791</v>
      </c>
      <c r="D286" s="1" t="s">
        <v>269</v>
      </c>
      <c r="E286" s="1">
        <v>64</v>
      </c>
      <c r="F286" s="1" t="s">
        <v>112</v>
      </c>
      <c r="G286" s="1">
        <v>22149</v>
      </c>
    </row>
    <row r="287" spans="1:7" x14ac:dyDescent="0.25">
      <c r="A287" s="1" t="str">
        <f t="shared" si="4"/>
        <v>09 Fadrozole 0.08 µg_L</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792</v>
      </c>
      <c r="D287" s="1" t="s">
        <v>412</v>
      </c>
      <c r="E287" s="1" t="s">
        <v>793</v>
      </c>
      <c r="F287" s="1" t="s">
        <v>112</v>
      </c>
      <c r="G287" s="1">
        <v>193825</v>
      </c>
    </row>
    <row r="288" spans="1:7" x14ac:dyDescent="0.25">
      <c r="A288" s="1" t="str">
        <f t="shared" si="4"/>
        <v>09 Fadrozole 0.08 µg_L</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794</v>
      </c>
      <c r="D288" s="1" t="s">
        <v>176</v>
      </c>
      <c r="E288" s="1" t="s">
        <v>795</v>
      </c>
      <c r="F288" s="1" t="s">
        <v>112</v>
      </c>
      <c r="G288" s="1">
        <v>133110</v>
      </c>
    </row>
    <row r="289" spans="1:10" x14ac:dyDescent="0.25">
      <c r="A289" s="1" t="str">
        <f t="shared" si="4"/>
        <v>09 Fadrozole 0.08 µg_L</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796</v>
      </c>
      <c r="D289" s="1" t="s">
        <v>797</v>
      </c>
      <c r="E289" s="1" t="s">
        <v>798</v>
      </c>
      <c r="F289" s="1" t="s">
        <v>112</v>
      </c>
      <c r="G289" s="1">
        <v>35365</v>
      </c>
    </row>
    <row r="290" spans="1:10" x14ac:dyDescent="0.2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10" x14ac:dyDescent="0.2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243</v>
      </c>
      <c r="D291" s="1" t="s">
        <v>112</v>
      </c>
      <c r="E291" s="1" t="s">
        <v>244</v>
      </c>
      <c r="F291" s="1" t="s">
        <v>245</v>
      </c>
      <c r="G291" s="1" t="s">
        <v>246</v>
      </c>
      <c r="H291" s="1" t="s">
        <v>247</v>
      </c>
      <c r="I291" s="1" t="s">
        <v>248</v>
      </c>
      <c r="J291" s="1" t="s">
        <v>249</v>
      </c>
    </row>
    <row r="292" spans="1:10" x14ac:dyDescent="0.25">
      <c r="A292" s="1" t="str">
        <f t="shared" si="4"/>
        <v>09 Fadrozole 0.08 µg_L</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799</v>
      </c>
      <c r="D292" s="1" t="s">
        <v>112</v>
      </c>
      <c r="E292" s="1" t="s">
        <v>800</v>
      </c>
      <c r="F292" s="1" t="s">
        <v>801</v>
      </c>
      <c r="G292" s="1" t="s">
        <v>802</v>
      </c>
      <c r="H292" s="1" t="s">
        <v>803</v>
      </c>
      <c r="I292" s="1">
        <v>24</v>
      </c>
      <c r="J292" s="1">
        <v>24</v>
      </c>
    </row>
    <row r="293" spans="1:10" x14ac:dyDescent="0.2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10" x14ac:dyDescent="0.2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10" x14ac:dyDescent="0.2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10" x14ac:dyDescent="0.2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10" x14ac:dyDescent="0.2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10" x14ac:dyDescent="0.2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255</v>
      </c>
      <c r="D298" s="1" t="s">
        <v>110</v>
      </c>
      <c r="E298" s="1" t="s">
        <v>111</v>
      </c>
      <c r="F298" s="1" t="s">
        <v>112</v>
      </c>
      <c r="G298" s="1" t="s">
        <v>113</v>
      </c>
    </row>
    <row r="299" spans="1:10" x14ac:dyDescent="0.25">
      <c r="A299" s="1" t="str">
        <f t="shared" si="4"/>
        <v>10 Fadrozole 0.4 µg_L</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804</v>
      </c>
      <c r="D299" s="1" t="s">
        <v>288</v>
      </c>
      <c r="E299" s="1" t="s">
        <v>805</v>
      </c>
      <c r="F299" s="1" t="s">
        <v>112</v>
      </c>
      <c r="G299" s="1">
        <v>13692</v>
      </c>
    </row>
    <row r="300" spans="1:10" x14ac:dyDescent="0.25">
      <c r="A300" s="1" t="str">
        <f t="shared" si="4"/>
        <v>10 Fadrozole 0.4 µg_L</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806</v>
      </c>
      <c r="D300" s="1" t="s">
        <v>292</v>
      </c>
      <c r="E300" s="1" t="s">
        <v>807</v>
      </c>
      <c r="F300" s="1" t="s">
        <v>112</v>
      </c>
      <c r="G300" s="1">
        <v>9798</v>
      </c>
    </row>
    <row r="301" spans="1:10" x14ac:dyDescent="0.25">
      <c r="A301" s="1" t="str">
        <f t="shared" si="4"/>
        <v>10 Fadrozole 0.4 µg_L</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808</v>
      </c>
      <c r="D301" s="1" t="s">
        <v>405</v>
      </c>
      <c r="E301" s="1" t="s">
        <v>809</v>
      </c>
      <c r="F301" s="1" t="s">
        <v>112</v>
      </c>
      <c r="G301" s="1">
        <v>19424</v>
      </c>
    </row>
    <row r="302" spans="1:10" x14ac:dyDescent="0.25">
      <c r="A302" s="1" t="str">
        <f t="shared" si="4"/>
        <v>10 Fadrozole 0.4 µg_L</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810</v>
      </c>
      <c r="D302" s="1" t="s">
        <v>811</v>
      </c>
      <c r="E302" s="1" t="s">
        <v>812</v>
      </c>
      <c r="F302" s="1" t="s">
        <v>112</v>
      </c>
      <c r="G302" s="1">
        <v>165815</v>
      </c>
    </row>
    <row r="303" spans="1:10" x14ac:dyDescent="0.25">
      <c r="A303" s="1" t="str">
        <f t="shared" si="4"/>
        <v>10 Fadrozole 0.4 µg_L</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813</v>
      </c>
      <c r="D303" s="1" t="s">
        <v>241</v>
      </c>
      <c r="E303" s="1" t="s">
        <v>814</v>
      </c>
      <c r="F303" s="1" t="s">
        <v>112</v>
      </c>
      <c r="G303" s="1">
        <v>33786</v>
      </c>
    </row>
    <row r="304" spans="1:10" x14ac:dyDescent="0.25">
      <c r="A304" s="1" t="str">
        <f t="shared" si="4"/>
        <v>10 Fadrozole 0.4 µg_L</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815</v>
      </c>
      <c r="D304" s="1" t="s">
        <v>332</v>
      </c>
      <c r="E304" s="1" t="s">
        <v>816</v>
      </c>
      <c r="F304" s="1" t="s">
        <v>112</v>
      </c>
      <c r="G304" s="1">
        <v>39626</v>
      </c>
    </row>
    <row r="305" spans="1:7" x14ac:dyDescent="0.25">
      <c r="A305" s="1" t="str">
        <f t="shared" si="4"/>
        <v>10 Fadrozole 0.4 µg_L</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817</v>
      </c>
      <c r="D305" s="1" t="s">
        <v>223</v>
      </c>
      <c r="E305" s="1" t="s">
        <v>818</v>
      </c>
      <c r="F305" s="1" t="s">
        <v>112</v>
      </c>
      <c r="G305" s="1">
        <v>23274</v>
      </c>
    </row>
    <row r="306" spans="1:7" x14ac:dyDescent="0.25">
      <c r="A306" s="1" t="str">
        <f t="shared" si="4"/>
        <v>10 Fadrozole 0.4 µg_L</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819</v>
      </c>
      <c r="D306" s="1" t="s">
        <v>220</v>
      </c>
      <c r="E306" s="1" t="s">
        <v>820</v>
      </c>
      <c r="F306" s="1" t="s">
        <v>112</v>
      </c>
      <c r="G306" s="1">
        <v>12437</v>
      </c>
    </row>
    <row r="307" spans="1:7" x14ac:dyDescent="0.25">
      <c r="A307" s="1" t="str">
        <f t="shared" si="4"/>
        <v>10 Fadrozole 0.4 µg_L</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821</v>
      </c>
      <c r="D307" s="1" t="s">
        <v>220</v>
      </c>
      <c r="E307" s="1" t="s">
        <v>822</v>
      </c>
      <c r="F307" s="1" t="s">
        <v>112</v>
      </c>
      <c r="G307" s="1">
        <v>12048</v>
      </c>
    </row>
    <row r="308" spans="1:7" x14ac:dyDescent="0.25">
      <c r="A308" s="1" t="str">
        <f t="shared" si="4"/>
        <v>10 Fadrozole 0.4 µg_L</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823</v>
      </c>
      <c r="D308" s="1" t="s">
        <v>824</v>
      </c>
      <c r="E308" s="1" t="s">
        <v>825</v>
      </c>
      <c r="F308" s="1" t="s">
        <v>112</v>
      </c>
      <c r="G308" s="1">
        <v>15054</v>
      </c>
    </row>
    <row r="309" spans="1:7" x14ac:dyDescent="0.25">
      <c r="A309" s="1" t="str">
        <f t="shared" si="4"/>
        <v>10 Fadrozole 0.4 µg_L</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826</v>
      </c>
      <c r="D309" s="1" t="s">
        <v>220</v>
      </c>
      <c r="E309" s="1" t="s">
        <v>827</v>
      </c>
      <c r="F309" s="1" t="s">
        <v>112</v>
      </c>
      <c r="G309" s="1">
        <v>12610</v>
      </c>
    </row>
    <row r="310" spans="1:7" x14ac:dyDescent="0.25">
      <c r="A310" s="1" t="str">
        <f t="shared" si="4"/>
        <v>10 Fadrozole 0.4 µg_L</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828</v>
      </c>
      <c r="D310" s="1" t="s">
        <v>829</v>
      </c>
      <c r="E310" s="1" t="s">
        <v>830</v>
      </c>
      <c r="F310" s="1" t="s">
        <v>112</v>
      </c>
      <c r="G310" s="1">
        <v>8025</v>
      </c>
    </row>
    <row r="311" spans="1:7" x14ac:dyDescent="0.25">
      <c r="A311" s="1" t="str">
        <f t="shared" si="4"/>
        <v>10 Fadrozole 0.4 µg_L</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831</v>
      </c>
      <c r="D311" s="1" t="s">
        <v>832</v>
      </c>
      <c r="E311" s="1" t="s">
        <v>833</v>
      </c>
      <c r="F311" s="1" t="s">
        <v>112</v>
      </c>
      <c r="G311" s="1">
        <v>28119</v>
      </c>
    </row>
    <row r="312" spans="1:7" x14ac:dyDescent="0.25">
      <c r="A312" s="1" t="str">
        <f t="shared" si="4"/>
        <v>10 Fadrozole 0.4 µg_L</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834</v>
      </c>
      <c r="D312" s="1" t="s">
        <v>412</v>
      </c>
      <c r="E312" s="1" t="s">
        <v>835</v>
      </c>
      <c r="F312" s="1" t="s">
        <v>112</v>
      </c>
      <c r="G312" s="1">
        <v>188115</v>
      </c>
    </row>
    <row r="313" spans="1:7" x14ac:dyDescent="0.25">
      <c r="A313" s="1" t="str">
        <f t="shared" si="4"/>
        <v>10 Fadrozole 0.4 µg_L</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836</v>
      </c>
      <c r="D313" s="1" t="s">
        <v>837</v>
      </c>
      <c r="E313" s="1" t="s">
        <v>838</v>
      </c>
      <c r="F313" s="1" t="s">
        <v>112</v>
      </c>
      <c r="G313" s="1">
        <v>60153</v>
      </c>
    </row>
    <row r="314" spans="1:7" x14ac:dyDescent="0.25">
      <c r="A314" s="1" t="str">
        <f t="shared" si="4"/>
        <v>10 Fadrozole 0.4 µg_L</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839</v>
      </c>
      <c r="D314" s="1" t="s">
        <v>722</v>
      </c>
      <c r="E314" s="1" t="s">
        <v>840</v>
      </c>
      <c r="F314" s="1" t="s">
        <v>112</v>
      </c>
      <c r="G314" s="1">
        <v>46028</v>
      </c>
    </row>
    <row r="315" spans="1:7" x14ac:dyDescent="0.25">
      <c r="A315" s="1" t="str">
        <f t="shared" si="4"/>
        <v>10 Fadrozole 0.4 µg_L</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841</v>
      </c>
      <c r="D315" s="1" t="s">
        <v>288</v>
      </c>
      <c r="E315" s="1" t="s">
        <v>842</v>
      </c>
      <c r="F315" s="1" t="s">
        <v>112</v>
      </c>
      <c r="G315" s="1">
        <v>14146</v>
      </c>
    </row>
    <row r="316" spans="1:7" x14ac:dyDescent="0.25">
      <c r="A316" s="1" t="str">
        <f t="shared" si="4"/>
        <v>10 Fadrozole 0.4 µg_L</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843</v>
      </c>
      <c r="D316" s="1" t="s">
        <v>361</v>
      </c>
      <c r="E316" s="1" t="s">
        <v>844</v>
      </c>
      <c r="F316" s="1" t="s">
        <v>112</v>
      </c>
      <c r="G316" s="1">
        <v>29676</v>
      </c>
    </row>
    <row r="317" spans="1:7" x14ac:dyDescent="0.25">
      <c r="A317" s="1" t="str">
        <f t="shared" si="4"/>
        <v>10 Fadrozole 0.4 µg_L</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845</v>
      </c>
      <c r="D317" s="1" t="s">
        <v>266</v>
      </c>
      <c r="E317" s="1" t="s">
        <v>846</v>
      </c>
      <c r="F317" s="1" t="s">
        <v>112</v>
      </c>
      <c r="G317" s="1">
        <v>54897</v>
      </c>
    </row>
    <row r="318" spans="1:7" x14ac:dyDescent="0.25">
      <c r="A318" s="1" t="str">
        <f t="shared" si="4"/>
        <v>10 Fadrozole 0.4 µg_L</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847</v>
      </c>
      <c r="D318" s="1" t="s">
        <v>785</v>
      </c>
      <c r="E318" s="1" t="s">
        <v>848</v>
      </c>
      <c r="F318" s="1" t="s">
        <v>112</v>
      </c>
      <c r="G318" s="1">
        <v>38090</v>
      </c>
    </row>
    <row r="319" spans="1:7" x14ac:dyDescent="0.25">
      <c r="A319" s="1" t="str">
        <f t="shared" si="4"/>
        <v>10 Fadrozole 0.4 µg_L</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849</v>
      </c>
      <c r="D319" s="1" t="s">
        <v>824</v>
      </c>
      <c r="E319" s="1" t="s">
        <v>850</v>
      </c>
      <c r="F319" s="1" t="s">
        <v>112</v>
      </c>
      <c r="G319" s="1">
        <v>14622</v>
      </c>
    </row>
    <row r="320" spans="1:7" x14ac:dyDescent="0.25">
      <c r="A320" s="1" t="str">
        <f t="shared" si="4"/>
        <v>10 Fadrozole 0.4 µg_L</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851</v>
      </c>
      <c r="D320" s="1" t="s">
        <v>358</v>
      </c>
      <c r="E320" s="1" t="s">
        <v>852</v>
      </c>
      <c r="F320" s="1" t="s">
        <v>112</v>
      </c>
      <c r="G320" s="1">
        <v>41183</v>
      </c>
    </row>
    <row r="321" spans="1:10" x14ac:dyDescent="0.25">
      <c r="A321" s="1" t="str">
        <f t="shared" si="4"/>
        <v>10 Fadrozole 0.4 µg_L</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853</v>
      </c>
      <c r="D321" s="1" t="s">
        <v>269</v>
      </c>
      <c r="E321" s="1" t="s">
        <v>854</v>
      </c>
      <c r="F321" s="1" t="s">
        <v>112</v>
      </c>
      <c r="G321" s="1">
        <v>21889</v>
      </c>
    </row>
    <row r="322" spans="1:10" x14ac:dyDescent="0.25">
      <c r="A322" s="1" t="str">
        <f t="shared" ref="A322:A385" si="5">IFERROR(LEFT(RIGHT(C322,LEN(C322)-SEARCH("@",C322)),SEARCH("/",RIGHT(C322,LEN(C322)-SEARCH("@",C322)-1))),"")</f>
        <v>10 Fadrozole 0.4 µg_L</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855</v>
      </c>
      <c r="D322" s="1" t="s">
        <v>200</v>
      </c>
      <c r="E322" s="1" t="s">
        <v>856</v>
      </c>
      <c r="F322" s="1" t="s">
        <v>112</v>
      </c>
      <c r="G322" s="1">
        <v>153399</v>
      </c>
    </row>
    <row r="323" spans="1:10" x14ac:dyDescent="0.2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10" x14ac:dyDescent="0.2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243</v>
      </c>
      <c r="D324" s="1" t="s">
        <v>112</v>
      </c>
      <c r="E324" s="1" t="s">
        <v>244</v>
      </c>
      <c r="F324" s="1" t="s">
        <v>245</v>
      </c>
      <c r="G324" s="1" t="s">
        <v>246</v>
      </c>
      <c r="H324" s="1" t="s">
        <v>247</v>
      </c>
      <c r="I324" s="1" t="s">
        <v>248</v>
      </c>
      <c r="J324" s="1" t="s">
        <v>249</v>
      </c>
    </row>
    <row r="325" spans="1:10" x14ac:dyDescent="0.25">
      <c r="A325" s="1" t="str">
        <f t="shared" si="5"/>
        <v>10 Fadrozole 0.4 µg_L</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857</v>
      </c>
      <c r="D325" s="1" t="s">
        <v>112</v>
      </c>
      <c r="E325" s="1" t="s">
        <v>858</v>
      </c>
      <c r="F325" s="1" t="s">
        <v>859</v>
      </c>
      <c r="G325" s="1" t="s">
        <v>860</v>
      </c>
      <c r="H325" s="1" t="s">
        <v>861</v>
      </c>
      <c r="I325" s="1">
        <v>24</v>
      </c>
      <c r="J325" s="1">
        <v>24</v>
      </c>
    </row>
    <row r="326" spans="1:10" x14ac:dyDescent="0.2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10" x14ac:dyDescent="0.2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10" x14ac:dyDescent="0.2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10" x14ac:dyDescent="0.2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10" x14ac:dyDescent="0.2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10" x14ac:dyDescent="0.2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255</v>
      </c>
      <c r="D331" s="1" t="s">
        <v>110</v>
      </c>
      <c r="E331" s="1" t="s">
        <v>111</v>
      </c>
      <c r="F331" s="1" t="s">
        <v>112</v>
      </c>
      <c r="G331" s="1" t="s">
        <v>113</v>
      </c>
    </row>
    <row r="332" spans="1:10" x14ac:dyDescent="0.25">
      <c r="A332" s="1" t="str">
        <f t="shared" si="5"/>
        <v>11 Fadrozole 2 µg_L</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862</v>
      </c>
      <c r="D332" s="1" t="s">
        <v>191</v>
      </c>
      <c r="E332" s="1" t="s">
        <v>863</v>
      </c>
      <c r="F332" s="1" t="s">
        <v>112</v>
      </c>
      <c r="G332" s="1">
        <v>44558</v>
      </c>
    </row>
    <row r="333" spans="1:10" x14ac:dyDescent="0.25">
      <c r="A333" s="1" t="str">
        <f t="shared" si="5"/>
        <v>11 Fadrozole 2 µg_L</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864</v>
      </c>
      <c r="D333" s="1" t="s">
        <v>865</v>
      </c>
      <c r="E333" s="1" t="s">
        <v>866</v>
      </c>
      <c r="F333" s="1" t="s">
        <v>112</v>
      </c>
      <c r="G333" s="1">
        <v>25761</v>
      </c>
    </row>
    <row r="334" spans="1:10" x14ac:dyDescent="0.25">
      <c r="A334" s="1" t="str">
        <f t="shared" si="5"/>
        <v>11 Fadrozole 2 µg_L</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867</v>
      </c>
      <c r="D334" s="1" t="s">
        <v>361</v>
      </c>
      <c r="E334" s="1" t="s">
        <v>868</v>
      </c>
      <c r="F334" s="1" t="s">
        <v>112</v>
      </c>
      <c r="G334" s="1">
        <v>29871</v>
      </c>
    </row>
    <row r="335" spans="1:10" x14ac:dyDescent="0.25">
      <c r="A335" s="1" t="str">
        <f t="shared" si="5"/>
        <v>11 Fadrozole 2 µg_L</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869</v>
      </c>
      <c r="D335" s="1" t="s">
        <v>870</v>
      </c>
      <c r="E335" s="1" t="s">
        <v>871</v>
      </c>
      <c r="F335" s="1" t="s">
        <v>112</v>
      </c>
      <c r="G335" s="1">
        <v>202477</v>
      </c>
    </row>
    <row r="336" spans="1:10" x14ac:dyDescent="0.25">
      <c r="A336" s="1" t="str">
        <f t="shared" si="5"/>
        <v>11 Fadrozole 2 µg_L</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872</v>
      </c>
      <c r="D336" s="1" t="s">
        <v>873</v>
      </c>
      <c r="E336" s="1" t="s">
        <v>874</v>
      </c>
      <c r="F336" s="1" t="s">
        <v>112</v>
      </c>
      <c r="G336" s="1">
        <v>442375</v>
      </c>
    </row>
    <row r="337" spans="1:7" x14ac:dyDescent="0.25">
      <c r="A337" s="1" t="str">
        <f t="shared" si="5"/>
        <v>11 Fadrozole 2 µg_L</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875</v>
      </c>
      <c r="D337" s="1" t="s">
        <v>876</v>
      </c>
      <c r="E337" s="1" t="s">
        <v>877</v>
      </c>
      <c r="F337" s="1" t="s">
        <v>112</v>
      </c>
      <c r="G337" s="1">
        <v>121149</v>
      </c>
    </row>
    <row r="338" spans="1:7" x14ac:dyDescent="0.25">
      <c r="A338" s="1" t="str">
        <f t="shared" si="5"/>
        <v>11 Fadrozole 2 µg_L</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878</v>
      </c>
      <c r="D338" s="1" t="s">
        <v>879</v>
      </c>
      <c r="E338" s="1" t="s">
        <v>880</v>
      </c>
      <c r="F338" s="1" t="s">
        <v>112</v>
      </c>
      <c r="G338" s="1">
        <v>490717</v>
      </c>
    </row>
    <row r="339" spans="1:7" x14ac:dyDescent="0.25">
      <c r="A339" s="1" t="str">
        <f t="shared" si="5"/>
        <v>11 Fadrozole 2 µg_L</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881</v>
      </c>
      <c r="D339" s="1" t="s">
        <v>332</v>
      </c>
      <c r="E339" s="1" t="s">
        <v>882</v>
      </c>
      <c r="F339" s="1" t="s">
        <v>112</v>
      </c>
      <c r="G339" s="1">
        <v>39193</v>
      </c>
    </row>
    <row r="340" spans="1:7" x14ac:dyDescent="0.25">
      <c r="A340" s="1" t="str">
        <f t="shared" si="5"/>
        <v>11 Fadrozole 2 µg_L</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883</v>
      </c>
      <c r="D340" s="1" t="s">
        <v>884</v>
      </c>
      <c r="E340" s="1" t="s">
        <v>885</v>
      </c>
      <c r="F340" s="1" t="s">
        <v>112</v>
      </c>
      <c r="G340" s="1">
        <v>522989</v>
      </c>
    </row>
    <row r="341" spans="1:7" x14ac:dyDescent="0.25">
      <c r="A341" s="1" t="str">
        <f t="shared" si="5"/>
        <v>11 Fadrozole 2 µg_L</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886</v>
      </c>
      <c r="D341" s="1" t="s">
        <v>353</v>
      </c>
      <c r="E341" s="1" t="s">
        <v>887</v>
      </c>
      <c r="F341" s="1" t="s">
        <v>112</v>
      </c>
      <c r="G341" s="1">
        <v>60888</v>
      </c>
    </row>
    <row r="342" spans="1:7" x14ac:dyDescent="0.25">
      <c r="A342" s="1" t="str">
        <f t="shared" si="5"/>
        <v>11 Fadrozole 2 µg_L</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888</v>
      </c>
      <c r="D342" s="1" t="s">
        <v>332</v>
      </c>
      <c r="E342" s="1" t="s">
        <v>889</v>
      </c>
      <c r="F342" s="1" t="s">
        <v>112</v>
      </c>
      <c r="G342" s="1">
        <v>40361</v>
      </c>
    </row>
    <row r="343" spans="1:7" x14ac:dyDescent="0.25">
      <c r="A343" s="1" t="str">
        <f t="shared" si="5"/>
        <v>11 Fadrozole 2 µg_L</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890</v>
      </c>
      <c r="D343" s="1" t="s">
        <v>698</v>
      </c>
      <c r="E343" s="1" t="s">
        <v>757</v>
      </c>
      <c r="F343" s="1" t="s">
        <v>112</v>
      </c>
      <c r="G343" s="1">
        <v>17628</v>
      </c>
    </row>
    <row r="344" spans="1:7" x14ac:dyDescent="0.25">
      <c r="A344" s="1" t="str">
        <f t="shared" si="5"/>
        <v>11 Fadrozole 2 µg_L</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891</v>
      </c>
      <c r="D344" s="1" t="s">
        <v>194</v>
      </c>
      <c r="E344" s="1" t="s">
        <v>892</v>
      </c>
      <c r="F344" s="1" t="s">
        <v>112</v>
      </c>
      <c r="G344" s="1">
        <v>43173</v>
      </c>
    </row>
    <row r="345" spans="1:7" x14ac:dyDescent="0.25">
      <c r="A345" s="1" t="str">
        <f t="shared" si="5"/>
        <v>11 Fadrozole 2 µg_L</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893</v>
      </c>
      <c r="D345" s="1" t="s">
        <v>223</v>
      </c>
      <c r="E345" s="1" t="s">
        <v>894</v>
      </c>
      <c r="F345" s="1" t="s">
        <v>112</v>
      </c>
      <c r="G345" s="1">
        <v>23339</v>
      </c>
    </row>
    <row r="346" spans="1:7" x14ac:dyDescent="0.25">
      <c r="A346" s="1" t="str">
        <f t="shared" si="5"/>
        <v>11 Fadrozole 2 µg_L</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895</v>
      </c>
      <c r="D346" s="1" t="s">
        <v>896</v>
      </c>
      <c r="E346" s="1" t="s">
        <v>897</v>
      </c>
      <c r="F346" s="1" t="s">
        <v>112</v>
      </c>
      <c r="G346" s="1">
        <v>498612</v>
      </c>
    </row>
    <row r="347" spans="1:7" x14ac:dyDescent="0.25">
      <c r="A347" s="1" t="str">
        <f t="shared" si="5"/>
        <v>11 Fadrozole 2 µg_L</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898</v>
      </c>
      <c r="D347" s="1" t="s">
        <v>335</v>
      </c>
      <c r="E347" s="1" t="s">
        <v>899</v>
      </c>
      <c r="F347" s="1" t="s">
        <v>112</v>
      </c>
      <c r="G347" s="1">
        <v>58660</v>
      </c>
    </row>
    <row r="348" spans="1:7" x14ac:dyDescent="0.25">
      <c r="A348" s="1" t="str">
        <f t="shared" si="5"/>
        <v>11 Fadrozole 2 µg_L</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900</v>
      </c>
      <c r="D348" s="1" t="s">
        <v>226</v>
      </c>
      <c r="E348" s="1" t="s">
        <v>901</v>
      </c>
      <c r="F348" s="1" t="s">
        <v>112</v>
      </c>
      <c r="G348" s="1">
        <v>140529</v>
      </c>
    </row>
    <row r="349" spans="1:7" x14ac:dyDescent="0.25">
      <c r="A349" s="1" t="str">
        <f t="shared" si="5"/>
        <v>11 Fadrozole 2 µg_L</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902</v>
      </c>
      <c r="D349" s="1" t="s">
        <v>903</v>
      </c>
      <c r="E349" s="1" t="s">
        <v>904</v>
      </c>
      <c r="F349" s="1" t="s">
        <v>112</v>
      </c>
      <c r="G349" s="1">
        <v>91213</v>
      </c>
    </row>
    <row r="350" spans="1:7" x14ac:dyDescent="0.25">
      <c r="A350" s="1" t="str">
        <f t="shared" si="5"/>
        <v>11 Fadrozole 2 µg_L</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905</v>
      </c>
      <c r="D350" s="1" t="s">
        <v>785</v>
      </c>
      <c r="E350" s="1" t="s">
        <v>906</v>
      </c>
      <c r="F350" s="1" t="s">
        <v>112</v>
      </c>
      <c r="G350" s="1">
        <v>38826</v>
      </c>
    </row>
    <row r="351" spans="1:7" x14ac:dyDescent="0.25">
      <c r="A351" s="1" t="str">
        <f t="shared" si="5"/>
        <v>11 Fadrozole 2 µg_L</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907</v>
      </c>
      <c r="D351" s="1" t="s">
        <v>409</v>
      </c>
      <c r="E351" s="1" t="s">
        <v>908</v>
      </c>
      <c r="F351" s="1" t="s">
        <v>112</v>
      </c>
      <c r="G351" s="1">
        <v>16525</v>
      </c>
    </row>
    <row r="352" spans="1:7" x14ac:dyDescent="0.25">
      <c r="A352" s="1" t="str">
        <f t="shared" si="5"/>
        <v>11 Fadrozole 2 µg_L</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909</v>
      </c>
      <c r="D352" s="1" t="s">
        <v>361</v>
      </c>
      <c r="E352" s="1" t="s">
        <v>910</v>
      </c>
      <c r="F352" s="1" t="s">
        <v>112</v>
      </c>
      <c r="G352" s="1">
        <v>29525</v>
      </c>
    </row>
    <row r="353" spans="1:10" x14ac:dyDescent="0.25">
      <c r="A353" s="1" t="str">
        <f t="shared" si="5"/>
        <v>11 Fadrozole 2 µg_L</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911</v>
      </c>
      <c r="D353" s="1" t="s">
        <v>725</v>
      </c>
      <c r="E353" s="1" t="s">
        <v>912</v>
      </c>
      <c r="F353" s="1" t="s">
        <v>112</v>
      </c>
      <c r="G353" s="1">
        <v>20981</v>
      </c>
    </row>
    <row r="354" spans="1:10" x14ac:dyDescent="0.25">
      <c r="A354" s="1" t="str">
        <f t="shared" si="5"/>
        <v>11 Fadrozole 2 µg_L</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913</v>
      </c>
      <c r="D354" s="1" t="s">
        <v>266</v>
      </c>
      <c r="E354" s="1" t="s">
        <v>914</v>
      </c>
      <c r="F354" s="1" t="s">
        <v>112</v>
      </c>
      <c r="G354" s="1">
        <v>56108</v>
      </c>
    </row>
    <row r="355" spans="1:10" x14ac:dyDescent="0.25">
      <c r="A355" s="1" t="str">
        <f t="shared" si="5"/>
        <v>11 Fadrozole 2 µg_L</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915</v>
      </c>
      <c r="D355" s="1" t="s">
        <v>722</v>
      </c>
      <c r="E355" s="1" t="s">
        <v>916</v>
      </c>
      <c r="F355" s="1" t="s">
        <v>112</v>
      </c>
      <c r="G355" s="1">
        <v>46439</v>
      </c>
    </row>
    <row r="356" spans="1:10" x14ac:dyDescent="0.2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10" x14ac:dyDescent="0.2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243</v>
      </c>
      <c r="D357" s="1" t="s">
        <v>112</v>
      </c>
      <c r="E357" s="1" t="s">
        <v>244</v>
      </c>
      <c r="F357" s="1" t="s">
        <v>245</v>
      </c>
      <c r="G357" s="1" t="s">
        <v>246</v>
      </c>
      <c r="H357" s="1" t="s">
        <v>247</v>
      </c>
      <c r="I357" s="1" t="s">
        <v>248</v>
      </c>
      <c r="J357" s="1" t="s">
        <v>249</v>
      </c>
    </row>
    <row r="358" spans="1:10" x14ac:dyDescent="0.25">
      <c r="A358" s="1" t="str">
        <f t="shared" si="5"/>
        <v>11 Fadrozole 2 µg_L</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917</v>
      </c>
      <c r="D358" s="1" t="s">
        <v>112</v>
      </c>
      <c r="E358" s="1" t="s">
        <v>918</v>
      </c>
      <c r="F358" s="1" t="s">
        <v>919</v>
      </c>
      <c r="G358" s="1" t="s">
        <v>920</v>
      </c>
      <c r="H358" s="1" t="s">
        <v>921</v>
      </c>
      <c r="I358" s="1">
        <v>24</v>
      </c>
      <c r="J358" s="1">
        <v>24</v>
      </c>
    </row>
    <row r="359" spans="1:10" x14ac:dyDescent="0.2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10" x14ac:dyDescent="0.2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10" x14ac:dyDescent="0.2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10" x14ac:dyDescent="0.2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10" x14ac:dyDescent="0.2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10" x14ac:dyDescent="0.2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255</v>
      </c>
      <c r="D364" s="1" t="s">
        <v>110</v>
      </c>
      <c r="E364" s="1" t="s">
        <v>111</v>
      </c>
      <c r="F364" s="1" t="s">
        <v>112</v>
      </c>
      <c r="G364" s="1" t="s">
        <v>113</v>
      </c>
    </row>
    <row r="365" spans="1:10" x14ac:dyDescent="0.25">
      <c r="A365" s="1" t="str">
        <f t="shared" si="5"/>
        <v>12 Fadrozole 10 µg_L</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922</v>
      </c>
      <c r="D365" s="1" t="s">
        <v>923</v>
      </c>
      <c r="E365" s="1" t="s">
        <v>924</v>
      </c>
      <c r="F365" s="1" t="s">
        <v>112</v>
      </c>
      <c r="G365" s="1">
        <v>340173</v>
      </c>
    </row>
    <row r="366" spans="1:10" x14ac:dyDescent="0.25">
      <c r="A366" s="1" t="str">
        <f t="shared" si="5"/>
        <v>12 Fadrozole 10 µg_L</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925</v>
      </c>
      <c r="D366" s="1" t="s">
        <v>926</v>
      </c>
      <c r="E366" s="1" t="s">
        <v>927</v>
      </c>
      <c r="F366" s="1" t="s">
        <v>112</v>
      </c>
      <c r="G366" s="1">
        <v>244786</v>
      </c>
    </row>
    <row r="367" spans="1:10" x14ac:dyDescent="0.25">
      <c r="A367" s="1" t="str">
        <f t="shared" si="5"/>
        <v>12 Fadrozole 10 µg_L</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928</v>
      </c>
      <c r="D367" s="1" t="s">
        <v>929</v>
      </c>
      <c r="E367" s="1" t="s">
        <v>930</v>
      </c>
      <c r="F367" s="1" t="s">
        <v>112</v>
      </c>
      <c r="G367" s="1">
        <v>270806</v>
      </c>
    </row>
    <row r="368" spans="1:10" x14ac:dyDescent="0.25">
      <c r="A368" s="1" t="str">
        <f t="shared" si="5"/>
        <v>12 Fadrozole 10 µg_L</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931</v>
      </c>
      <c r="D368" s="1" t="s">
        <v>932</v>
      </c>
      <c r="E368" s="1" t="s">
        <v>933</v>
      </c>
      <c r="F368" s="1" t="s">
        <v>112</v>
      </c>
      <c r="G368" s="1">
        <v>393231</v>
      </c>
    </row>
    <row r="369" spans="1:7" x14ac:dyDescent="0.25">
      <c r="A369" s="1" t="str">
        <f t="shared" si="5"/>
        <v>12 Fadrozole 10 µg_L</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934</v>
      </c>
      <c r="D369" s="1" t="s">
        <v>935</v>
      </c>
      <c r="E369" s="1" t="s">
        <v>936</v>
      </c>
      <c r="F369" s="1" t="s">
        <v>112</v>
      </c>
      <c r="G369" s="1">
        <v>207279</v>
      </c>
    </row>
    <row r="370" spans="1:7" x14ac:dyDescent="0.25">
      <c r="A370" s="1" t="str">
        <f t="shared" si="5"/>
        <v>12 Fadrozole 10 µg_L</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937</v>
      </c>
      <c r="D370" s="1" t="s">
        <v>938</v>
      </c>
      <c r="E370" s="1" t="s">
        <v>939</v>
      </c>
      <c r="F370" s="1" t="s">
        <v>112</v>
      </c>
      <c r="G370" s="1">
        <v>316099</v>
      </c>
    </row>
    <row r="371" spans="1:7" x14ac:dyDescent="0.25">
      <c r="A371" s="1" t="str">
        <f t="shared" si="5"/>
        <v>12 Fadrozole 10 µg_L</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940</v>
      </c>
      <c r="D371" s="1" t="s">
        <v>409</v>
      </c>
      <c r="E371" s="1" t="s">
        <v>941</v>
      </c>
      <c r="F371" s="1" t="s">
        <v>112</v>
      </c>
      <c r="G371" s="1">
        <v>16331</v>
      </c>
    </row>
    <row r="372" spans="1:7" x14ac:dyDescent="0.25">
      <c r="A372" s="1" t="str">
        <f t="shared" si="5"/>
        <v>12 Fadrozole 10 µg_L</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942</v>
      </c>
      <c r="D372" s="1" t="s">
        <v>292</v>
      </c>
      <c r="E372" s="1" t="s">
        <v>943</v>
      </c>
      <c r="F372" s="1" t="s">
        <v>112</v>
      </c>
      <c r="G372" s="1">
        <v>9669</v>
      </c>
    </row>
    <row r="373" spans="1:7" x14ac:dyDescent="0.25">
      <c r="A373" s="1" t="str">
        <f t="shared" si="5"/>
        <v>12 Fadrozole 10 µg_L</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944</v>
      </c>
      <c r="D373" s="1" t="s">
        <v>229</v>
      </c>
      <c r="E373" s="1" t="s">
        <v>945</v>
      </c>
      <c r="F373" s="1" t="s">
        <v>112</v>
      </c>
      <c r="G373" s="1">
        <v>11096</v>
      </c>
    </row>
    <row r="374" spans="1:7" x14ac:dyDescent="0.25">
      <c r="A374" s="1" t="str">
        <f t="shared" si="5"/>
        <v>12 Fadrozole 10 µg_L</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946</v>
      </c>
      <c r="D374" s="1" t="s">
        <v>775</v>
      </c>
      <c r="E374" s="1" t="s">
        <v>947</v>
      </c>
      <c r="F374" s="1" t="s">
        <v>112</v>
      </c>
      <c r="G374" s="1">
        <v>155086</v>
      </c>
    </row>
    <row r="375" spans="1:7" x14ac:dyDescent="0.25">
      <c r="A375" s="1" t="str">
        <f t="shared" si="5"/>
        <v>12 Fadrozole 10 µg_L</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948</v>
      </c>
      <c r="D375" s="1" t="s">
        <v>737</v>
      </c>
      <c r="E375" s="1" t="s">
        <v>949</v>
      </c>
      <c r="F375" s="1" t="s">
        <v>112</v>
      </c>
      <c r="G375" s="1">
        <v>92900</v>
      </c>
    </row>
    <row r="376" spans="1:7" x14ac:dyDescent="0.25">
      <c r="A376" s="1" t="str">
        <f t="shared" si="5"/>
        <v>12 Fadrozole 10 µg_L</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950</v>
      </c>
      <c r="D376" s="1" t="s">
        <v>338</v>
      </c>
      <c r="E376" s="1" t="s">
        <v>951</v>
      </c>
      <c r="F376" s="1" t="s">
        <v>112</v>
      </c>
      <c r="G376" s="1">
        <v>42157</v>
      </c>
    </row>
    <row r="377" spans="1:7" x14ac:dyDescent="0.25">
      <c r="A377" s="1" t="str">
        <f t="shared" si="5"/>
        <v>12 Fadrozole 10 µg_L</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952</v>
      </c>
      <c r="D377" s="1" t="s">
        <v>332</v>
      </c>
      <c r="E377" s="1" t="s">
        <v>953</v>
      </c>
      <c r="F377" s="1" t="s">
        <v>112</v>
      </c>
      <c r="G377" s="1">
        <v>39583</v>
      </c>
    </row>
    <row r="378" spans="1:7" x14ac:dyDescent="0.25">
      <c r="A378" s="1" t="str">
        <f t="shared" si="5"/>
        <v>12 Fadrozole 10 µg_L</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954</v>
      </c>
      <c r="D378" s="1" t="s">
        <v>832</v>
      </c>
      <c r="E378" s="1" t="s">
        <v>415</v>
      </c>
      <c r="F378" s="1" t="s">
        <v>112</v>
      </c>
      <c r="G378" s="1">
        <v>28768</v>
      </c>
    </row>
    <row r="379" spans="1:7" x14ac:dyDescent="0.25">
      <c r="A379" s="1" t="str">
        <f t="shared" si="5"/>
        <v>12 Fadrozole 10 µg_L</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955</v>
      </c>
      <c r="D379" s="1" t="s">
        <v>797</v>
      </c>
      <c r="E379" s="1" t="s">
        <v>956</v>
      </c>
      <c r="F379" s="1" t="s">
        <v>112</v>
      </c>
      <c r="G379" s="1">
        <v>35689</v>
      </c>
    </row>
    <row r="380" spans="1:7" x14ac:dyDescent="0.25">
      <c r="A380" s="1" t="str">
        <f t="shared" si="5"/>
        <v>12 Fadrozole 10 µg_L</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957</v>
      </c>
      <c r="D380" s="1" t="s">
        <v>263</v>
      </c>
      <c r="E380" s="1" t="s">
        <v>958</v>
      </c>
      <c r="F380" s="1" t="s">
        <v>112</v>
      </c>
      <c r="G380" s="1">
        <v>24615</v>
      </c>
    </row>
    <row r="381" spans="1:7" x14ac:dyDescent="0.25">
      <c r="A381" s="1" t="str">
        <f t="shared" si="5"/>
        <v>12 Fadrozole 10 µg_L</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959</v>
      </c>
      <c r="D381" s="1" t="s">
        <v>361</v>
      </c>
      <c r="E381" s="1" t="s">
        <v>960</v>
      </c>
      <c r="F381" s="1" t="s">
        <v>112</v>
      </c>
      <c r="G381" s="1">
        <v>30433</v>
      </c>
    </row>
    <row r="382" spans="1:7" x14ac:dyDescent="0.25">
      <c r="A382" s="1" t="str">
        <f t="shared" si="5"/>
        <v>12 Fadrozole 10 µg_L</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961</v>
      </c>
      <c r="D382" s="1" t="s">
        <v>260</v>
      </c>
      <c r="E382" s="1" t="s">
        <v>805</v>
      </c>
      <c r="F382" s="1" t="s">
        <v>112</v>
      </c>
      <c r="G382" s="1">
        <v>27383</v>
      </c>
    </row>
    <row r="383" spans="1:7" x14ac:dyDescent="0.25">
      <c r="A383" s="1" t="str">
        <f t="shared" si="5"/>
        <v>12 Fadrozole 10 µg_L</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962</v>
      </c>
      <c r="D383" s="1" t="s">
        <v>963</v>
      </c>
      <c r="E383" s="1" t="s">
        <v>964</v>
      </c>
      <c r="F383" s="1" t="s">
        <v>112</v>
      </c>
      <c r="G383" s="1">
        <v>214742</v>
      </c>
    </row>
    <row r="384" spans="1:7" x14ac:dyDescent="0.25">
      <c r="A384" s="1" t="str">
        <f t="shared" si="5"/>
        <v>12 Fadrozole 10 µg_L</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965</v>
      </c>
      <c r="D384" s="1" t="s">
        <v>315</v>
      </c>
      <c r="E384" s="1" t="s">
        <v>966</v>
      </c>
      <c r="F384" s="1" t="s">
        <v>112</v>
      </c>
      <c r="G384" s="1">
        <v>128157</v>
      </c>
    </row>
    <row r="385" spans="1:10" x14ac:dyDescent="0.25">
      <c r="A385" s="1" t="str">
        <f t="shared" si="5"/>
        <v>12 Fadrozole 10 µg_L</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967</v>
      </c>
      <c r="D385" s="1" t="s">
        <v>194</v>
      </c>
      <c r="E385" s="1" t="s">
        <v>230</v>
      </c>
      <c r="F385" s="1" t="s">
        <v>112</v>
      </c>
      <c r="G385" s="1">
        <v>43865</v>
      </c>
    </row>
    <row r="386" spans="1:10" x14ac:dyDescent="0.25">
      <c r="A386" s="1" t="str">
        <f t="shared" ref="A386:A449" si="6">IFERROR(LEFT(RIGHT(C386,LEN(C386)-SEARCH("@",C386)),SEARCH("/",RIGHT(C386,LEN(C386)-SEARCH("@",C386)-1))),"")</f>
        <v>12 Fadrozole 10 µg_L</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968</v>
      </c>
      <c r="D386" s="1" t="s">
        <v>409</v>
      </c>
      <c r="E386" s="1" t="s">
        <v>770</v>
      </c>
      <c r="F386" s="1" t="s">
        <v>112</v>
      </c>
      <c r="G386" s="1">
        <v>16850</v>
      </c>
    </row>
    <row r="387" spans="1:10" x14ac:dyDescent="0.25">
      <c r="A387" s="1" t="str">
        <f t="shared" si="6"/>
        <v>12 Fadrozole 10 µg_L</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969</v>
      </c>
      <c r="D387" s="1" t="s">
        <v>241</v>
      </c>
      <c r="E387" s="1" t="s">
        <v>970</v>
      </c>
      <c r="F387" s="1" t="s">
        <v>112</v>
      </c>
      <c r="G387" s="1">
        <v>34348</v>
      </c>
    </row>
    <row r="388" spans="1:10" x14ac:dyDescent="0.25">
      <c r="A388" s="1" t="str">
        <f t="shared" si="6"/>
        <v>12 Fadrozole 10 µg_L</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971</v>
      </c>
      <c r="D388" s="1" t="s">
        <v>972</v>
      </c>
      <c r="E388" s="1" t="s">
        <v>973</v>
      </c>
      <c r="F388" s="1" t="s">
        <v>112</v>
      </c>
      <c r="G388" s="1">
        <v>369309</v>
      </c>
    </row>
    <row r="389" spans="1:10" x14ac:dyDescent="0.2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10" x14ac:dyDescent="0.2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243</v>
      </c>
      <c r="D390" s="1" t="s">
        <v>112</v>
      </c>
      <c r="E390" s="1" t="s">
        <v>244</v>
      </c>
      <c r="F390" s="1" t="s">
        <v>245</v>
      </c>
      <c r="G390" s="1" t="s">
        <v>246</v>
      </c>
      <c r="H390" s="1" t="s">
        <v>247</v>
      </c>
      <c r="I390" s="1" t="s">
        <v>248</v>
      </c>
      <c r="J390" s="1" t="s">
        <v>249</v>
      </c>
    </row>
    <row r="391" spans="1:10" x14ac:dyDescent="0.25">
      <c r="A391" s="1" t="str">
        <f t="shared" si="6"/>
        <v>12 Fadrozole 10 µg_L</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974</v>
      </c>
      <c r="D391" s="1" t="s">
        <v>112</v>
      </c>
      <c r="E391" s="1" t="s">
        <v>975</v>
      </c>
      <c r="F391" s="1" t="s">
        <v>976</v>
      </c>
      <c r="G391" s="1" t="s">
        <v>977</v>
      </c>
      <c r="H391" s="1" t="s">
        <v>978</v>
      </c>
      <c r="I391" s="1">
        <v>24</v>
      </c>
      <c r="J391" s="1">
        <v>24</v>
      </c>
    </row>
    <row r="392" spans="1:10" x14ac:dyDescent="0.2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10" x14ac:dyDescent="0.2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10" x14ac:dyDescent="0.2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10" x14ac:dyDescent="0.2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10" x14ac:dyDescent="0.2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10" x14ac:dyDescent="0.2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255</v>
      </c>
      <c r="D397" s="1" t="s">
        <v>110</v>
      </c>
      <c r="E397" s="1" t="s">
        <v>111</v>
      </c>
      <c r="F397" s="1" t="s">
        <v>112</v>
      </c>
      <c r="G397" s="1" t="s">
        <v>113</v>
      </c>
    </row>
    <row r="398" spans="1:10" x14ac:dyDescent="0.25">
      <c r="A398" s="1" t="str">
        <f t="shared" si="6"/>
        <v>01 Testo 30</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979</v>
      </c>
      <c r="D398" s="1" t="s">
        <v>980</v>
      </c>
      <c r="E398" s="1" t="s">
        <v>981</v>
      </c>
      <c r="F398" s="1" t="s">
        <v>112</v>
      </c>
      <c r="G398" s="1">
        <v>411336</v>
      </c>
    </row>
    <row r="399" spans="1:10" x14ac:dyDescent="0.25">
      <c r="A399" s="1" t="str">
        <f t="shared" si="6"/>
        <v>01 Testo 30</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982</v>
      </c>
      <c r="D399" s="1" t="s">
        <v>983</v>
      </c>
      <c r="E399" s="1" t="s">
        <v>984</v>
      </c>
      <c r="F399" s="1" t="s">
        <v>112</v>
      </c>
      <c r="G399" s="1">
        <v>391631</v>
      </c>
    </row>
    <row r="400" spans="1:10" x14ac:dyDescent="0.25">
      <c r="A400" s="1" t="str">
        <f t="shared" si="6"/>
        <v>01 Testo 30</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985</v>
      </c>
      <c r="D400" s="1" t="s">
        <v>986</v>
      </c>
      <c r="E400" s="1" t="s">
        <v>987</v>
      </c>
      <c r="F400" s="1" t="s">
        <v>112</v>
      </c>
      <c r="G400" s="1">
        <v>341168</v>
      </c>
    </row>
    <row r="401" spans="1:7" x14ac:dyDescent="0.25">
      <c r="A401" s="1" t="str">
        <f t="shared" si="6"/>
        <v>01 Testo 30</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988</v>
      </c>
      <c r="D401" s="1" t="s">
        <v>275</v>
      </c>
      <c r="E401" s="1" t="s">
        <v>989</v>
      </c>
      <c r="F401" s="1" t="s">
        <v>112</v>
      </c>
      <c r="G401" s="1">
        <v>53253</v>
      </c>
    </row>
    <row r="402" spans="1:7" x14ac:dyDescent="0.25">
      <c r="A402" s="1" t="str">
        <f t="shared" si="6"/>
        <v>01 Testo 30</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990</v>
      </c>
      <c r="D402" s="1" t="s">
        <v>728</v>
      </c>
      <c r="E402" s="1" t="s">
        <v>991</v>
      </c>
      <c r="F402" s="1" t="s">
        <v>112</v>
      </c>
      <c r="G402" s="1">
        <v>33332</v>
      </c>
    </row>
    <row r="403" spans="1:7" x14ac:dyDescent="0.25">
      <c r="A403" s="1" t="str">
        <f t="shared" si="6"/>
        <v>01 Testo 30</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992</v>
      </c>
      <c r="D403" s="1" t="s">
        <v>993</v>
      </c>
      <c r="E403" s="1" t="s">
        <v>994</v>
      </c>
      <c r="F403" s="1" t="s">
        <v>112</v>
      </c>
      <c r="G403" s="1">
        <v>102742</v>
      </c>
    </row>
    <row r="404" spans="1:7" x14ac:dyDescent="0.25">
      <c r="A404" s="1" t="str">
        <f t="shared" si="6"/>
        <v>01 Testo 30</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995</v>
      </c>
      <c r="D404" s="1" t="s">
        <v>996</v>
      </c>
      <c r="E404" s="1" t="s">
        <v>997</v>
      </c>
      <c r="F404" s="1" t="s">
        <v>112</v>
      </c>
      <c r="G404" s="1">
        <v>700484</v>
      </c>
    </row>
    <row r="405" spans="1:7" x14ac:dyDescent="0.25">
      <c r="A405" s="1" t="str">
        <f t="shared" si="6"/>
        <v>01 Testo 30</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998</v>
      </c>
      <c r="D405" s="1" t="s">
        <v>999</v>
      </c>
      <c r="E405" s="1" t="s">
        <v>1000</v>
      </c>
      <c r="F405" s="1" t="s">
        <v>112</v>
      </c>
      <c r="G405" s="1">
        <v>612515</v>
      </c>
    </row>
    <row r="406" spans="1:7" x14ac:dyDescent="0.25">
      <c r="A406" s="1" t="str">
        <f t="shared" si="6"/>
        <v>01 Testo 30</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1001</v>
      </c>
      <c r="D406" s="1" t="s">
        <v>1002</v>
      </c>
      <c r="E406" s="1" t="s">
        <v>1003</v>
      </c>
      <c r="F406" s="1" t="s">
        <v>112</v>
      </c>
      <c r="G406" s="1">
        <v>234317</v>
      </c>
    </row>
    <row r="407" spans="1:7" x14ac:dyDescent="0.25">
      <c r="A407" s="1" t="str">
        <f t="shared" si="6"/>
        <v>01 Testo 30</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1004</v>
      </c>
      <c r="D407" s="1" t="s">
        <v>1005</v>
      </c>
      <c r="E407" s="1" t="s">
        <v>1006</v>
      </c>
      <c r="F407" s="1" t="s">
        <v>112</v>
      </c>
      <c r="G407" s="1">
        <v>303013</v>
      </c>
    </row>
    <row r="408" spans="1:7" x14ac:dyDescent="0.25">
      <c r="A408" s="1" t="str">
        <f t="shared" si="6"/>
        <v>01 Testo 30</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1007</v>
      </c>
      <c r="D408" s="1" t="s">
        <v>763</v>
      </c>
      <c r="E408" s="1" t="s">
        <v>1008</v>
      </c>
      <c r="F408" s="1" t="s">
        <v>112</v>
      </c>
      <c r="G408" s="1">
        <v>132397</v>
      </c>
    </row>
    <row r="409" spans="1:7" x14ac:dyDescent="0.25">
      <c r="A409" s="1" t="str">
        <f t="shared" si="6"/>
        <v>01 Testo 30</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1009</v>
      </c>
      <c r="D409" s="1" t="s">
        <v>1010</v>
      </c>
      <c r="E409" s="1" t="s">
        <v>1011</v>
      </c>
      <c r="F409" s="1" t="s">
        <v>112</v>
      </c>
      <c r="G409" s="1">
        <v>240027</v>
      </c>
    </row>
    <row r="410" spans="1:7" x14ac:dyDescent="0.25">
      <c r="A410" s="1" t="str">
        <f t="shared" si="6"/>
        <v>01 Testo 30</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1012</v>
      </c>
      <c r="D410" s="1" t="s">
        <v>1013</v>
      </c>
      <c r="E410" s="1" t="s">
        <v>1014</v>
      </c>
      <c r="F410" s="1" t="s">
        <v>112</v>
      </c>
      <c r="G410" s="1">
        <v>3427819</v>
      </c>
    </row>
    <row r="411" spans="1:7" x14ac:dyDescent="0.25">
      <c r="A411" s="1" t="str">
        <f t="shared" si="6"/>
        <v>01 Testo 30</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1015</v>
      </c>
      <c r="D411" s="1" t="s">
        <v>1016</v>
      </c>
      <c r="E411" s="1" t="s">
        <v>1017</v>
      </c>
      <c r="F411" s="1" t="s">
        <v>112</v>
      </c>
      <c r="G411" s="1">
        <v>3275372</v>
      </c>
    </row>
    <row r="412" spans="1:7" x14ac:dyDescent="0.25">
      <c r="A412" s="1" t="str">
        <f t="shared" si="6"/>
        <v>01 Testo 30</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1018</v>
      </c>
      <c r="D412" s="1" t="s">
        <v>1019</v>
      </c>
      <c r="E412" s="1" t="s">
        <v>1020</v>
      </c>
      <c r="F412" s="1" t="s">
        <v>112</v>
      </c>
      <c r="G412" s="1">
        <v>3398100</v>
      </c>
    </row>
    <row r="413" spans="1:7" x14ac:dyDescent="0.25">
      <c r="A413" s="1" t="str">
        <f t="shared" si="6"/>
        <v>01 Testo 30</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1021</v>
      </c>
      <c r="D413" s="1" t="s">
        <v>1022</v>
      </c>
      <c r="E413" s="1" t="s">
        <v>1023</v>
      </c>
      <c r="F413" s="1" t="s">
        <v>112</v>
      </c>
      <c r="G413" s="1">
        <v>1338566</v>
      </c>
    </row>
    <row r="414" spans="1:7" x14ac:dyDescent="0.25">
      <c r="A414" s="1" t="str">
        <f t="shared" si="6"/>
        <v>01 Testo 30</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1024</v>
      </c>
      <c r="D414" s="1" t="s">
        <v>1025</v>
      </c>
      <c r="E414" s="1" t="s">
        <v>1026</v>
      </c>
      <c r="F414" s="1" t="s">
        <v>112</v>
      </c>
      <c r="G414" s="1">
        <v>1407847</v>
      </c>
    </row>
    <row r="415" spans="1:7" x14ac:dyDescent="0.25">
      <c r="A415" s="1" t="str">
        <f t="shared" si="6"/>
        <v>01 Testo 30</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1027</v>
      </c>
      <c r="D415" s="1" t="s">
        <v>1028</v>
      </c>
      <c r="E415" s="1" t="s">
        <v>1029</v>
      </c>
      <c r="F415" s="1" t="s">
        <v>112</v>
      </c>
      <c r="G415" s="1">
        <v>1045546</v>
      </c>
    </row>
    <row r="416" spans="1:7" x14ac:dyDescent="0.25">
      <c r="A416" s="1" t="str">
        <f t="shared" si="6"/>
        <v>01 Testo 30</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1030</v>
      </c>
      <c r="D416" s="1" t="s">
        <v>1031</v>
      </c>
      <c r="E416" s="1" t="s">
        <v>1032</v>
      </c>
      <c r="F416" s="1" t="s">
        <v>112</v>
      </c>
      <c r="G416" s="1">
        <v>4364956</v>
      </c>
    </row>
    <row r="417" spans="1:10" x14ac:dyDescent="0.25">
      <c r="A417" s="1" t="str">
        <f t="shared" si="6"/>
        <v>01 Testo 30</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1033</v>
      </c>
      <c r="D417" s="1" t="s">
        <v>1034</v>
      </c>
      <c r="E417" s="1" t="s">
        <v>1035</v>
      </c>
      <c r="F417" s="1" t="s">
        <v>112</v>
      </c>
      <c r="G417" s="1">
        <v>3713031</v>
      </c>
    </row>
    <row r="418" spans="1:10" x14ac:dyDescent="0.25">
      <c r="A418" s="1" t="str">
        <f t="shared" si="6"/>
        <v>01 Testo 30</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1036</v>
      </c>
      <c r="D418" s="1" t="s">
        <v>1037</v>
      </c>
      <c r="E418" s="1" t="s">
        <v>1038</v>
      </c>
      <c r="F418" s="1" t="s">
        <v>112</v>
      </c>
      <c r="G418" s="1">
        <v>3373269</v>
      </c>
    </row>
    <row r="419" spans="1:10" x14ac:dyDescent="0.25">
      <c r="A419" s="1" t="str">
        <f t="shared" si="6"/>
        <v>01 Testo 30</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1039</v>
      </c>
      <c r="D419" s="1" t="s">
        <v>1040</v>
      </c>
      <c r="E419" s="1" t="s">
        <v>1041</v>
      </c>
      <c r="F419" s="1" t="s">
        <v>112</v>
      </c>
      <c r="G419" s="1">
        <v>484250</v>
      </c>
    </row>
    <row r="420" spans="1:10" x14ac:dyDescent="0.25">
      <c r="A420" s="1" t="str">
        <f t="shared" si="6"/>
        <v>01 Testo 30</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1042</v>
      </c>
      <c r="D420" s="1" t="s">
        <v>1043</v>
      </c>
      <c r="E420" s="1" t="s">
        <v>1044</v>
      </c>
      <c r="F420" s="1" t="s">
        <v>112</v>
      </c>
      <c r="G420" s="1">
        <v>247208</v>
      </c>
    </row>
    <row r="421" spans="1:10" x14ac:dyDescent="0.25">
      <c r="A421" s="1" t="str">
        <f t="shared" si="6"/>
        <v>01 Testo 30</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1045</v>
      </c>
      <c r="D421" s="1" t="s">
        <v>1046</v>
      </c>
      <c r="E421" s="1" t="s">
        <v>1047</v>
      </c>
      <c r="F421" s="1" t="s">
        <v>112</v>
      </c>
      <c r="G421" s="1">
        <v>376403</v>
      </c>
    </row>
    <row r="422" spans="1:10" x14ac:dyDescent="0.2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10" x14ac:dyDescent="0.2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243</v>
      </c>
      <c r="D423" s="1" t="s">
        <v>112</v>
      </c>
      <c r="E423" s="1" t="s">
        <v>244</v>
      </c>
      <c r="F423" s="1" t="s">
        <v>245</v>
      </c>
      <c r="G423" s="1" t="s">
        <v>246</v>
      </c>
      <c r="H423" s="1" t="s">
        <v>247</v>
      </c>
      <c r="I423" s="1" t="s">
        <v>248</v>
      </c>
      <c r="J423" s="1" t="s">
        <v>249</v>
      </c>
    </row>
    <row r="424" spans="1:10" x14ac:dyDescent="0.25">
      <c r="A424" s="1" t="str">
        <f t="shared" si="6"/>
        <v>01 Testo 30</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1048</v>
      </c>
      <c r="D424" s="1" t="s">
        <v>112</v>
      </c>
      <c r="E424" s="1" t="s">
        <v>1049</v>
      </c>
      <c r="F424" s="1" t="s">
        <v>1050</v>
      </c>
      <c r="G424" s="1" t="s">
        <v>1051</v>
      </c>
      <c r="H424" s="1" t="s">
        <v>1052</v>
      </c>
      <c r="I424" s="1">
        <v>24</v>
      </c>
      <c r="J424" s="1">
        <v>24</v>
      </c>
    </row>
    <row r="425" spans="1:10" x14ac:dyDescent="0.2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10" x14ac:dyDescent="0.2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10" x14ac:dyDescent="0.2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10" x14ac:dyDescent="0.2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10" x14ac:dyDescent="0.2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10" x14ac:dyDescent="0.2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255</v>
      </c>
      <c r="D430" s="1" t="s">
        <v>110</v>
      </c>
      <c r="E430" s="1" t="s">
        <v>111</v>
      </c>
      <c r="F430" s="1" t="s">
        <v>112</v>
      </c>
      <c r="G430" s="1" t="s">
        <v>113</v>
      </c>
    </row>
    <row r="431" spans="1:10" x14ac:dyDescent="0.25">
      <c r="A431" s="1" t="str">
        <f t="shared" si="6"/>
        <v>02 Testo 30</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1053</v>
      </c>
      <c r="D431" s="1" t="s">
        <v>1054</v>
      </c>
      <c r="E431" s="1" t="s">
        <v>1055</v>
      </c>
      <c r="F431" s="1" t="s">
        <v>112</v>
      </c>
      <c r="G431" s="1">
        <v>696872</v>
      </c>
    </row>
    <row r="432" spans="1:10" x14ac:dyDescent="0.25">
      <c r="A432" s="1" t="str">
        <f t="shared" si="6"/>
        <v>02 Testo 30</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1056</v>
      </c>
      <c r="D432" s="1" t="s">
        <v>1057</v>
      </c>
      <c r="E432" s="1" t="s">
        <v>1058</v>
      </c>
      <c r="F432" s="1" t="s">
        <v>112</v>
      </c>
      <c r="G432" s="1">
        <v>408394</v>
      </c>
    </row>
    <row r="433" spans="1:7" x14ac:dyDescent="0.25">
      <c r="A433" s="1" t="str">
        <f t="shared" si="6"/>
        <v>02 Testo 30</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1059</v>
      </c>
      <c r="D433" s="1" t="s">
        <v>1060</v>
      </c>
      <c r="E433" s="1" t="s">
        <v>1061</v>
      </c>
      <c r="F433" s="1" t="s">
        <v>112</v>
      </c>
      <c r="G433" s="1">
        <v>641932</v>
      </c>
    </row>
    <row r="434" spans="1:7" x14ac:dyDescent="0.25">
      <c r="A434" s="1" t="str">
        <f t="shared" si="6"/>
        <v>02 Testo 30</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1062</v>
      </c>
      <c r="D434" s="1" t="s">
        <v>1063</v>
      </c>
      <c r="E434" s="1" t="s">
        <v>1064</v>
      </c>
      <c r="F434" s="1" t="s">
        <v>112</v>
      </c>
      <c r="G434" s="1">
        <v>1198296</v>
      </c>
    </row>
    <row r="435" spans="1:7" x14ac:dyDescent="0.25">
      <c r="A435" s="1" t="str">
        <f t="shared" si="6"/>
        <v>02 Testo 30</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1065</v>
      </c>
      <c r="D435" s="1" t="s">
        <v>1066</v>
      </c>
      <c r="E435" s="1" t="s">
        <v>1067</v>
      </c>
      <c r="F435" s="1" t="s">
        <v>112</v>
      </c>
      <c r="G435" s="1">
        <v>1166890</v>
      </c>
    </row>
    <row r="436" spans="1:7" x14ac:dyDescent="0.25">
      <c r="A436" s="1" t="str">
        <f t="shared" si="6"/>
        <v>02 Testo 30</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1068</v>
      </c>
      <c r="D436" s="1" t="s">
        <v>1069</v>
      </c>
      <c r="E436" s="1" t="s">
        <v>1070</v>
      </c>
      <c r="F436" s="1" t="s">
        <v>112</v>
      </c>
      <c r="G436" s="1">
        <v>939668</v>
      </c>
    </row>
    <row r="437" spans="1:7" x14ac:dyDescent="0.25">
      <c r="A437" s="1" t="str">
        <f t="shared" si="6"/>
        <v>02 Testo 30</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1071</v>
      </c>
      <c r="D437" s="1" t="s">
        <v>1072</v>
      </c>
      <c r="E437" s="1" t="s">
        <v>1073</v>
      </c>
      <c r="F437" s="1" t="s">
        <v>112</v>
      </c>
      <c r="G437" s="1">
        <v>2948025</v>
      </c>
    </row>
    <row r="438" spans="1:7" x14ac:dyDescent="0.25">
      <c r="A438" s="1" t="str">
        <f t="shared" si="6"/>
        <v>02 Testo 30</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1074</v>
      </c>
      <c r="D438" s="1" t="s">
        <v>1075</v>
      </c>
      <c r="E438" s="1" t="s">
        <v>1076</v>
      </c>
      <c r="F438" s="1" t="s">
        <v>112</v>
      </c>
      <c r="G438" s="1">
        <v>2784308</v>
      </c>
    </row>
    <row r="439" spans="1:7" x14ac:dyDescent="0.25">
      <c r="A439" s="1" t="str">
        <f t="shared" si="6"/>
        <v>02 Testo 30</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1077</v>
      </c>
      <c r="D439" s="1" t="s">
        <v>1078</v>
      </c>
      <c r="E439" s="1" t="s">
        <v>1079</v>
      </c>
      <c r="F439" s="1" t="s">
        <v>112</v>
      </c>
      <c r="G439" s="1">
        <v>2730169</v>
      </c>
    </row>
    <row r="440" spans="1:7" x14ac:dyDescent="0.25">
      <c r="A440" s="1" t="str">
        <f t="shared" si="6"/>
        <v>02 Testo 30</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1080</v>
      </c>
      <c r="D440" s="1" t="s">
        <v>767</v>
      </c>
      <c r="E440" s="1" t="s">
        <v>1081</v>
      </c>
      <c r="F440" s="1" t="s">
        <v>112</v>
      </c>
      <c r="G440" s="1">
        <v>80463</v>
      </c>
    </row>
    <row r="441" spans="1:7" x14ac:dyDescent="0.25">
      <c r="A441" s="1" t="str">
        <f t="shared" si="6"/>
        <v>02 Testo 30</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1082</v>
      </c>
      <c r="D441" s="1" t="s">
        <v>745</v>
      </c>
      <c r="E441" s="1" t="s">
        <v>1083</v>
      </c>
      <c r="F441" s="1" t="s">
        <v>112</v>
      </c>
      <c r="G441" s="1">
        <v>74017</v>
      </c>
    </row>
    <row r="442" spans="1:7" x14ac:dyDescent="0.25">
      <c r="A442" s="1" t="str">
        <f t="shared" si="6"/>
        <v>02 Testo 30</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1084</v>
      </c>
      <c r="D442" s="1" t="s">
        <v>767</v>
      </c>
      <c r="E442" s="1" t="s">
        <v>1085</v>
      </c>
      <c r="F442" s="1" t="s">
        <v>112</v>
      </c>
      <c r="G442" s="1">
        <v>78581</v>
      </c>
    </row>
    <row r="443" spans="1:7" x14ac:dyDescent="0.25">
      <c r="A443" s="1" t="str">
        <f t="shared" si="6"/>
        <v>02 Testo 30</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1086</v>
      </c>
      <c r="D443" s="1" t="s">
        <v>405</v>
      </c>
      <c r="E443" s="1" t="s">
        <v>1087</v>
      </c>
      <c r="F443" s="1" t="s">
        <v>112</v>
      </c>
      <c r="G443" s="1">
        <v>18991</v>
      </c>
    </row>
    <row r="444" spans="1:7" x14ac:dyDescent="0.25">
      <c r="A444" s="1" t="str">
        <f t="shared" si="6"/>
        <v>02 Testo 30</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1088</v>
      </c>
      <c r="D444" s="1" t="s">
        <v>728</v>
      </c>
      <c r="E444" s="1" t="s">
        <v>1089</v>
      </c>
      <c r="F444" s="1" t="s">
        <v>112</v>
      </c>
      <c r="G444" s="1">
        <v>32337</v>
      </c>
    </row>
    <row r="445" spans="1:7" x14ac:dyDescent="0.25">
      <c r="A445" s="1" t="str">
        <f t="shared" si="6"/>
        <v>02 Testo 30</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1090</v>
      </c>
      <c r="D445" s="1" t="s">
        <v>1091</v>
      </c>
      <c r="E445" s="1" t="s">
        <v>1092</v>
      </c>
      <c r="F445" s="1" t="s">
        <v>112</v>
      </c>
      <c r="G445" s="1">
        <v>189283</v>
      </c>
    </row>
    <row r="446" spans="1:7" x14ac:dyDescent="0.25">
      <c r="A446" s="1" t="str">
        <f t="shared" si="6"/>
        <v>02 Testo 30</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1093</v>
      </c>
      <c r="D446" s="1" t="s">
        <v>1094</v>
      </c>
      <c r="E446" s="1" t="s">
        <v>1095</v>
      </c>
      <c r="F446" s="1" t="s">
        <v>112</v>
      </c>
      <c r="G446" s="1">
        <v>1715445</v>
      </c>
    </row>
    <row r="447" spans="1:7" x14ac:dyDescent="0.25">
      <c r="A447" s="1" t="str">
        <f t="shared" si="6"/>
        <v>02 Testo 30</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1096</v>
      </c>
      <c r="D447" s="1" t="s">
        <v>1097</v>
      </c>
      <c r="E447" s="1" t="s">
        <v>1098</v>
      </c>
      <c r="F447" s="1" t="s">
        <v>112</v>
      </c>
      <c r="G447" s="1">
        <v>1696649</v>
      </c>
    </row>
    <row r="448" spans="1:7" x14ac:dyDescent="0.25">
      <c r="A448" s="1" t="str">
        <f t="shared" si="6"/>
        <v>02 Testo 30</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1099</v>
      </c>
      <c r="D448" s="1" t="s">
        <v>1100</v>
      </c>
      <c r="E448" s="1" t="s">
        <v>1101</v>
      </c>
      <c r="F448" s="1" t="s">
        <v>112</v>
      </c>
      <c r="G448" s="1">
        <v>1817603</v>
      </c>
    </row>
    <row r="449" spans="1:10" x14ac:dyDescent="0.25">
      <c r="A449" s="1" t="str">
        <f t="shared" si="6"/>
        <v>02 Testo 30</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1102</v>
      </c>
      <c r="D449" s="1" t="s">
        <v>1103</v>
      </c>
      <c r="E449" s="1" t="s">
        <v>1104</v>
      </c>
      <c r="F449" s="1" t="s">
        <v>112</v>
      </c>
      <c r="G449" s="1">
        <v>3047198</v>
      </c>
    </row>
    <row r="450" spans="1:10" x14ac:dyDescent="0.25">
      <c r="A450" s="1" t="str">
        <f t="shared" ref="A450:A513" si="7">IFERROR(LEFT(RIGHT(C450,LEN(C450)-SEARCH("@",C450)),SEARCH("/",RIGHT(C450,LEN(C450)-SEARCH("@",C450)-1))),"")</f>
        <v>02 Testo 30</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1105</v>
      </c>
      <c r="D450" s="1" t="s">
        <v>1106</v>
      </c>
      <c r="E450" s="1" t="s">
        <v>1107</v>
      </c>
      <c r="F450" s="1" t="s">
        <v>112</v>
      </c>
      <c r="G450" s="1">
        <v>2377904</v>
      </c>
    </row>
    <row r="451" spans="1:10" x14ac:dyDescent="0.25">
      <c r="A451" s="1" t="str">
        <f t="shared" si="7"/>
        <v>02 Testo 30</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1108</v>
      </c>
      <c r="D451" s="1" t="s">
        <v>1109</v>
      </c>
      <c r="E451" s="1" t="s">
        <v>1110</v>
      </c>
      <c r="F451" s="1" t="s">
        <v>112</v>
      </c>
      <c r="G451" s="1">
        <v>2383074</v>
      </c>
    </row>
    <row r="452" spans="1:10" x14ac:dyDescent="0.25">
      <c r="A452" s="1" t="str">
        <f t="shared" si="7"/>
        <v>02 Testo 30</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1111</v>
      </c>
      <c r="D452" s="1" t="s">
        <v>963</v>
      </c>
      <c r="E452" s="1" t="s">
        <v>1112</v>
      </c>
      <c r="F452" s="1" t="s">
        <v>112</v>
      </c>
      <c r="G452" s="1">
        <v>212492</v>
      </c>
    </row>
    <row r="453" spans="1:10" x14ac:dyDescent="0.25">
      <c r="A453" s="1" t="str">
        <f t="shared" si="7"/>
        <v>02 Testo 30</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1113</v>
      </c>
      <c r="D453" s="1" t="s">
        <v>1114</v>
      </c>
      <c r="E453" s="1" t="s">
        <v>1115</v>
      </c>
      <c r="F453" s="1" t="s">
        <v>112</v>
      </c>
      <c r="G453" s="1">
        <v>215477</v>
      </c>
    </row>
    <row r="454" spans="1:10" x14ac:dyDescent="0.25">
      <c r="A454" s="1" t="str">
        <f t="shared" si="7"/>
        <v>02 Testo 30</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1116</v>
      </c>
      <c r="D454" s="1" t="s">
        <v>226</v>
      </c>
      <c r="E454" s="1" t="s">
        <v>1117</v>
      </c>
      <c r="F454" s="1" t="s">
        <v>112</v>
      </c>
      <c r="G454" s="1">
        <v>135273</v>
      </c>
    </row>
    <row r="455" spans="1:10" x14ac:dyDescent="0.2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10" x14ac:dyDescent="0.2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243</v>
      </c>
      <c r="D456" s="1" t="s">
        <v>112</v>
      </c>
      <c r="E456" s="1" t="s">
        <v>244</v>
      </c>
      <c r="F456" s="1" t="s">
        <v>245</v>
      </c>
      <c r="G456" s="1" t="s">
        <v>246</v>
      </c>
      <c r="H456" s="1" t="s">
        <v>247</v>
      </c>
      <c r="I456" s="1" t="s">
        <v>248</v>
      </c>
      <c r="J456" s="1" t="s">
        <v>249</v>
      </c>
    </row>
    <row r="457" spans="1:10" x14ac:dyDescent="0.25">
      <c r="A457" s="1" t="str">
        <f t="shared" si="7"/>
        <v>02 Testo 30</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1118</v>
      </c>
      <c r="D457" s="1" t="s">
        <v>112</v>
      </c>
      <c r="E457" s="1" t="s">
        <v>1119</v>
      </c>
      <c r="F457" s="1" t="s">
        <v>1120</v>
      </c>
      <c r="G457" s="1" t="s">
        <v>1121</v>
      </c>
      <c r="H457" s="1" t="s">
        <v>1122</v>
      </c>
      <c r="I457" s="1">
        <v>24</v>
      </c>
      <c r="J457" s="1">
        <v>24</v>
      </c>
    </row>
    <row r="458" spans="1:10" x14ac:dyDescent="0.2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10" x14ac:dyDescent="0.2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10" x14ac:dyDescent="0.2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10" x14ac:dyDescent="0.2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10" x14ac:dyDescent="0.2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10" x14ac:dyDescent="0.2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255</v>
      </c>
      <c r="D463" s="1" t="s">
        <v>110</v>
      </c>
      <c r="E463" s="1" t="s">
        <v>111</v>
      </c>
      <c r="F463" s="1" t="s">
        <v>112</v>
      </c>
      <c r="G463" s="1" t="s">
        <v>113</v>
      </c>
    </row>
    <row r="464" spans="1:10" x14ac:dyDescent="0.25">
      <c r="A464" s="1" t="str">
        <f t="shared" si="7"/>
        <v>03 Testo+ EE2 64</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1123</v>
      </c>
      <c r="D464" s="1" t="s">
        <v>1124</v>
      </c>
      <c r="E464" s="1" t="s">
        <v>1125</v>
      </c>
      <c r="F464" s="1" t="s">
        <v>112</v>
      </c>
      <c r="G464" s="1">
        <v>3278768</v>
      </c>
    </row>
    <row r="465" spans="1:7" x14ac:dyDescent="0.25">
      <c r="A465" s="1" t="str">
        <f t="shared" si="7"/>
        <v>03 Testo+ EE2 64</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1126</v>
      </c>
      <c r="D465" s="1" t="s">
        <v>1127</v>
      </c>
      <c r="E465" s="1" t="s">
        <v>1128</v>
      </c>
      <c r="F465" s="1" t="s">
        <v>112</v>
      </c>
      <c r="G465" s="1">
        <v>2745158</v>
      </c>
    </row>
    <row r="466" spans="1:7" x14ac:dyDescent="0.25">
      <c r="A466" s="1" t="str">
        <f t="shared" si="7"/>
        <v>03 Testo+ EE2 64</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1129</v>
      </c>
      <c r="D466" s="1" t="s">
        <v>1130</v>
      </c>
      <c r="E466" s="1" t="s">
        <v>1131</v>
      </c>
      <c r="F466" s="1" t="s">
        <v>112</v>
      </c>
      <c r="G466" s="1">
        <v>2519212</v>
      </c>
    </row>
    <row r="467" spans="1:7" x14ac:dyDescent="0.25">
      <c r="A467" s="1" t="str">
        <f t="shared" si="7"/>
        <v>03 Testo+ EE2 64</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1132</v>
      </c>
      <c r="D467" s="1" t="s">
        <v>1133</v>
      </c>
      <c r="E467" s="1" t="s">
        <v>1134</v>
      </c>
      <c r="F467" s="1" t="s">
        <v>112</v>
      </c>
      <c r="G467" s="1">
        <v>1807610</v>
      </c>
    </row>
    <row r="468" spans="1:7" x14ac:dyDescent="0.25">
      <c r="A468" s="1" t="str">
        <f t="shared" si="7"/>
        <v>03 Testo+ EE2 64</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1135</v>
      </c>
      <c r="D468" s="1" t="s">
        <v>1136</v>
      </c>
      <c r="E468" s="1" t="s">
        <v>1137</v>
      </c>
      <c r="F468" s="1" t="s">
        <v>112</v>
      </c>
      <c r="G468" s="1">
        <v>1957635</v>
      </c>
    </row>
    <row r="469" spans="1:7" x14ac:dyDescent="0.25">
      <c r="A469" s="1" t="str">
        <f t="shared" si="7"/>
        <v>03 Testo+ EE2 64</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1138</v>
      </c>
      <c r="D469" s="1" t="s">
        <v>1139</v>
      </c>
      <c r="E469" s="1" t="s">
        <v>1140</v>
      </c>
      <c r="F469" s="1" t="s">
        <v>112</v>
      </c>
      <c r="G469" s="1">
        <v>1869234</v>
      </c>
    </row>
    <row r="470" spans="1:7" x14ac:dyDescent="0.25">
      <c r="A470" s="1" t="str">
        <f t="shared" si="7"/>
        <v>03 Testo+ EE2 64</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1141</v>
      </c>
      <c r="D470" s="1" t="s">
        <v>1142</v>
      </c>
      <c r="E470" s="1" t="s">
        <v>1143</v>
      </c>
      <c r="F470" s="1" t="s">
        <v>112</v>
      </c>
      <c r="G470" s="1">
        <v>3496775</v>
      </c>
    </row>
    <row r="471" spans="1:7" x14ac:dyDescent="0.25">
      <c r="A471" s="1" t="str">
        <f t="shared" si="7"/>
        <v>03 Testo+ EE2 64</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1144</v>
      </c>
      <c r="D471" s="1" t="s">
        <v>1145</v>
      </c>
      <c r="E471" s="1" t="s">
        <v>1146</v>
      </c>
      <c r="F471" s="1" t="s">
        <v>112</v>
      </c>
      <c r="G471" s="1">
        <v>3047566</v>
      </c>
    </row>
    <row r="472" spans="1:7" x14ac:dyDescent="0.25">
      <c r="A472" s="1" t="str">
        <f t="shared" si="7"/>
        <v>03 Testo+ EE2 64</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1147</v>
      </c>
      <c r="D472" s="1" t="s">
        <v>1124</v>
      </c>
      <c r="E472" s="1" t="s">
        <v>1148</v>
      </c>
      <c r="F472" s="1" t="s">
        <v>112</v>
      </c>
      <c r="G472" s="1">
        <v>3411402</v>
      </c>
    </row>
    <row r="473" spans="1:7" x14ac:dyDescent="0.25">
      <c r="A473" s="1" t="str">
        <f t="shared" si="7"/>
        <v>03 Testo+ EE2 64</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1149</v>
      </c>
      <c r="D473" s="1" t="s">
        <v>1037</v>
      </c>
      <c r="E473" s="1" t="s">
        <v>1150</v>
      </c>
      <c r="F473" s="1" t="s">
        <v>112</v>
      </c>
      <c r="G473" s="1">
        <v>3634687</v>
      </c>
    </row>
    <row r="474" spans="1:7" x14ac:dyDescent="0.25">
      <c r="A474" s="1" t="str">
        <f t="shared" si="7"/>
        <v>03 Testo+ EE2 64</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1151</v>
      </c>
      <c r="D474" s="1" t="s">
        <v>1152</v>
      </c>
      <c r="E474" s="1" t="s">
        <v>1153</v>
      </c>
      <c r="F474" s="1" t="s">
        <v>112</v>
      </c>
      <c r="G474" s="1">
        <v>3513776</v>
      </c>
    </row>
    <row r="475" spans="1:7" x14ac:dyDescent="0.25">
      <c r="A475" s="1" t="str">
        <f t="shared" si="7"/>
        <v>03 Testo+ EE2 64</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1154</v>
      </c>
      <c r="D475" s="1" t="s">
        <v>1155</v>
      </c>
      <c r="E475" s="1" t="s">
        <v>1156</v>
      </c>
      <c r="F475" s="1" t="s">
        <v>112</v>
      </c>
      <c r="G475" s="1">
        <v>3453386</v>
      </c>
    </row>
    <row r="476" spans="1:7" x14ac:dyDescent="0.25">
      <c r="A476" s="1" t="str">
        <f t="shared" si="7"/>
        <v>03 Testo+ EE2 64</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1157</v>
      </c>
      <c r="D476" s="1" t="s">
        <v>1158</v>
      </c>
      <c r="E476" s="1" t="s">
        <v>1159</v>
      </c>
      <c r="F476" s="1" t="s">
        <v>112</v>
      </c>
      <c r="G476" s="1">
        <v>2405828</v>
      </c>
    </row>
    <row r="477" spans="1:7" x14ac:dyDescent="0.25">
      <c r="A477" s="1" t="str">
        <f t="shared" si="7"/>
        <v>03 Testo+ EE2 64</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1160</v>
      </c>
      <c r="D477" s="1" t="s">
        <v>1161</v>
      </c>
      <c r="E477" s="1" t="s">
        <v>1162</v>
      </c>
      <c r="F477" s="1" t="s">
        <v>112</v>
      </c>
      <c r="G477" s="1">
        <v>2412447</v>
      </c>
    </row>
    <row r="478" spans="1:7" x14ac:dyDescent="0.25">
      <c r="A478" s="1" t="str">
        <f t="shared" si="7"/>
        <v>03 Testo+ EE2 64</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1163</v>
      </c>
      <c r="D478" s="1" t="s">
        <v>1164</v>
      </c>
      <c r="E478" s="1" t="s">
        <v>1165</v>
      </c>
      <c r="F478" s="1" t="s">
        <v>112</v>
      </c>
      <c r="G478" s="1">
        <v>2560396</v>
      </c>
    </row>
    <row r="479" spans="1:7" x14ac:dyDescent="0.25">
      <c r="A479" s="1" t="str">
        <f t="shared" si="7"/>
        <v>03 Testo+ EE2 64</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1166</v>
      </c>
      <c r="D479" s="1" t="s">
        <v>1167</v>
      </c>
      <c r="E479" s="1" t="s">
        <v>1168</v>
      </c>
      <c r="F479" s="1" t="s">
        <v>112</v>
      </c>
      <c r="G479" s="1">
        <v>3735418</v>
      </c>
    </row>
    <row r="480" spans="1:7" x14ac:dyDescent="0.25">
      <c r="A480" s="1" t="str">
        <f t="shared" si="7"/>
        <v>03 Testo+ EE2 64</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1169</v>
      </c>
      <c r="D480" s="1" t="s">
        <v>1170</v>
      </c>
      <c r="E480" s="1" t="s">
        <v>1171</v>
      </c>
      <c r="F480" s="1" t="s">
        <v>112</v>
      </c>
      <c r="G480" s="1">
        <v>3946915</v>
      </c>
    </row>
    <row r="481" spans="1:10" x14ac:dyDescent="0.25">
      <c r="A481" s="1" t="str">
        <f t="shared" si="7"/>
        <v>03 Testo+ EE2 64</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1172</v>
      </c>
      <c r="D481" s="1" t="s">
        <v>1173</v>
      </c>
      <c r="E481" s="1" t="s">
        <v>1174</v>
      </c>
      <c r="F481" s="1" t="s">
        <v>112</v>
      </c>
      <c r="G481" s="1">
        <v>3994306</v>
      </c>
    </row>
    <row r="482" spans="1:10" x14ac:dyDescent="0.25">
      <c r="A482" s="1" t="str">
        <f t="shared" si="7"/>
        <v>03 Testo+ EE2 64</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1175</v>
      </c>
      <c r="D482" s="1" t="s">
        <v>1176</v>
      </c>
      <c r="E482" s="1" t="s">
        <v>1177</v>
      </c>
      <c r="F482" s="1" t="s">
        <v>112</v>
      </c>
      <c r="G482" s="1">
        <v>2555594</v>
      </c>
    </row>
    <row r="483" spans="1:10" x14ac:dyDescent="0.25">
      <c r="A483" s="1" t="str">
        <f t="shared" si="7"/>
        <v>03 Testo+ EE2 64</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1178</v>
      </c>
      <c r="D483" s="1" t="s">
        <v>1179</v>
      </c>
      <c r="E483" s="1" t="s">
        <v>1180</v>
      </c>
      <c r="F483" s="1" t="s">
        <v>112</v>
      </c>
      <c r="G483" s="1">
        <v>2431135</v>
      </c>
    </row>
    <row r="484" spans="1:10" x14ac:dyDescent="0.25">
      <c r="A484" s="1" t="str">
        <f t="shared" si="7"/>
        <v>03 Testo+ EE2 64</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1181</v>
      </c>
      <c r="D484" s="1" t="s">
        <v>1182</v>
      </c>
      <c r="E484" s="1" t="s">
        <v>1183</v>
      </c>
      <c r="F484" s="1" t="s">
        <v>112</v>
      </c>
      <c r="G484" s="1">
        <v>3283786</v>
      </c>
    </row>
    <row r="485" spans="1:10" x14ac:dyDescent="0.25">
      <c r="A485" s="1" t="str">
        <f t="shared" si="7"/>
        <v>03 Testo+ EE2 64</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1184</v>
      </c>
      <c r="D485" s="1" t="s">
        <v>1185</v>
      </c>
      <c r="E485" s="1" t="s">
        <v>1186</v>
      </c>
      <c r="F485" s="1" t="s">
        <v>112</v>
      </c>
      <c r="G485" s="1">
        <v>2122606</v>
      </c>
    </row>
    <row r="486" spans="1:10" x14ac:dyDescent="0.25">
      <c r="A486" s="1" t="str">
        <f t="shared" si="7"/>
        <v>03 Testo+ EE2 64</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1187</v>
      </c>
      <c r="D486" s="1" t="s">
        <v>1188</v>
      </c>
      <c r="E486" s="1" t="s">
        <v>1189</v>
      </c>
      <c r="F486" s="1" t="s">
        <v>112</v>
      </c>
      <c r="G486" s="1">
        <v>2362460</v>
      </c>
    </row>
    <row r="487" spans="1:10" x14ac:dyDescent="0.25">
      <c r="A487" s="1" t="str">
        <f t="shared" si="7"/>
        <v>03 Testo+ EE2 64</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1190</v>
      </c>
      <c r="D487" s="1" t="s">
        <v>1191</v>
      </c>
      <c r="E487" s="1" t="s">
        <v>1192</v>
      </c>
      <c r="F487" s="1" t="s">
        <v>112</v>
      </c>
      <c r="G487" s="1">
        <v>1940850</v>
      </c>
    </row>
    <row r="488" spans="1:10" x14ac:dyDescent="0.2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10" x14ac:dyDescent="0.2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243</v>
      </c>
      <c r="D489" s="1" t="s">
        <v>112</v>
      </c>
      <c r="E489" s="1" t="s">
        <v>244</v>
      </c>
      <c r="F489" s="1" t="s">
        <v>245</v>
      </c>
      <c r="G489" s="1" t="s">
        <v>246</v>
      </c>
      <c r="H489" s="1" t="s">
        <v>247</v>
      </c>
      <c r="I489" s="1" t="s">
        <v>248</v>
      </c>
      <c r="J489" s="1" t="s">
        <v>249</v>
      </c>
    </row>
    <row r="490" spans="1:10" x14ac:dyDescent="0.25">
      <c r="A490" s="1" t="str">
        <f t="shared" si="7"/>
        <v>03 Testo+ EE2 64</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1193</v>
      </c>
      <c r="D490" s="1" t="s">
        <v>112</v>
      </c>
      <c r="E490" s="1" t="s">
        <v>1194</v>
      </c>
      <c r="F490" s="1" t="s">
        <v>1195</v>
      </c>
      <c r="G490" s="1" t="s">
        <v>1196</v>
      </c>
      <c r="H490" s="1" t="s">
        <v>1197</v>
      </c>
      <c r="I490" s="1">
        <v>24</v>
      </c>
      <c r="J490" s="1">
        <v>24</v>
      </c>
    </row>
    <row r="491" spans="1:10" x14ac:dyDescent="0.2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10" x14ac:dyDescent="0.2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10" x14ac:dyDescent="0.2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10" x14ac:dyDescent="0.2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10" x14ac:dyDescent="0.2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10" x14ac:dyDescent="0.2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255</v>
      </c>
      <c r="D496" s="1" t="s">
        <v>110</v>
      </c>
      <c r="E496" s="1" t="s">
        <v>111</v>
      </c>
      <c r="F496" s="1" t="s">
        <v>112</v>
      </c>
      <c r="G496" s="1" t="s">
        <v>113</v>
      </c>
    </row>
    <row r="497" spans="1:7" x14ac:dyDescent="0.25">
      <c r="A497" s="1" t="str">
        <f t="shared" si="7"/>
        <v>04 Testo+ FAD</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1198</v>
      </c>
      <c r="D497" s="1" t="s">
        <v>1199</v>
      </c>
      <c r="E497" s="1" t="s">
        <v>1200</v>
      </c>
      <c r="F497" s="1" t="s">
        <v>112</v>
      </c>
      <c r="G497" s="1">
        <v>776556</v>
      </c>
    </row>
    <row r="498" spans="1:7" x14ac:dyDescent="0.25">
      <c r="A498" s="1" t="str">
        <f t="shared" si="7"/>
        <v>04 Testo+ FAD</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1201</v>
      </c>
      <c r="D498" s="1" t="s">
        <v>1202</v>
      </c>
      <c r="E498" s="1" t="s">
        <v>1203</v>
      </c>
      <c r="F498" s="1" t="s">
        <v>112</v>
      </c>
      <c r="G498" s="1">
        <v>762367</v>
      </c>
    </row>
    <row r="499" spans="1:7" x14ac:dyDescent="0.25">
      <c r="A499" s="1" t="str">
        <f t="shared" si="7"/>
        <v>04 Testo+ FAD</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1204</v>
      </c>
    </row>
    <row r="500" spans="1:7" x14ac:dyDescent="0.25">
      <c r="A500" s="1" t="str">
        <f t="shared" si="7"/>
        <v>04 Testo+ FAD</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1205</v>
      </c>
      <c r="D500" s="1" t="s">
        <v>1206</v>
      </c>
      <c r="E500" s="1" t="s">
        <v>1207</v>
      </c>
      <c r="F500" s="1" t="s">
        <v>112</v>
      </c>
      <c r="G500" s="1">
        <v>519420</v>
      </c>
    </row>
    <row r="501" spans="1:7" x14ac:dyDescent="0.25">
      <c r="A501" s="1" t="str">
        <f t="shared" si="7"/>
        <v>04 Testo+ FAD</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1208</v>
      </c>
      <c r="D501" s="1" t="s">
        <v>405</v>
      </c>
      <c r="E501" s="1" t="s">
        <v>1209</v>
      </c>
      <c r="F501" s="1" t="s">
        <v>112</v>
      </c>
      <c r="G501" s="1">
        <v>19164</v>
      </c>
    </row>
    <row r="502" spans="1:7" x14ac:dyDescent="0.25">
      <c r="A502" s="1" t="str">
        <f t="shared" si="7"/>
        <v>04 Testo+ FAD</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1210</v>
      </c>
      <c r="D502" s="1" t="s">
        <v>1211</v>
      </c>
      <c r="E502" s="1" t="s">
        <v>1212</v>
      </c>
      <c r="F502" s="1" t="s">
        <v>112</v>
      </c>
      <c r="G502" s="1">
        <v>493508</v>
      </c>
    </row>
    <row r="503" spans="1:7" x14ac:dyDescent="0.25">
      <c r="A503" s="1" t="str">
        <f t="shared" si="7"/>
        <v>04 Testo+ FAD</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1213</v>
      </c>
      <c r="D503" s="1" t="s">
        <v>409</v>
      </c>
      <c r="E503" s="1" t="s">
        <v>1214</v>
      </c>
      <c r="F503" s="1" t="s">
        <v>112</v>
      </c>
      <c r="G503" s="1">
        <v>16136</v>
      </c>
    </row>
    <row r="504" spans="1:7" x14ac:dyDescent="0.25">
      <c r="A504" s="1" t="str">
        <f t="shared" si="7"/>
        <v>04 Testo+ FAD</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1215</v>
      </c>
      <c r="D504" s="1" t="s">
        <v>292</v>
      </c>
      <c r="E504" s="1" t="s">
        <v>807</v>
      </c>
      <c r="F504" s="1" t="s">
        <v>112</v>
      </c>
      <c r="G504" s="1">
        <v>9798</v>
      </c>
    </row>
    <row r="505" spans="1:7" x14ac:dyDescent="0.25">
      <c r="A505" s="1" t="str">
        <f t="shared" si="7"/>
        <v>04 Testo+ FAD</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1216</v>
      </c>
      <c r="D505" s="1" t="s">
        <v>824</v>
      </c>
      <c r="E505" s="1" t="s">
        <v>1217</v>
      </c>
      <c r="F505" s="1" t="s">
        <v>112</v>
      </c>
      <c r="G505" s="1">
        <v>15098</v>
      </c>
    </row>
    <row r="506" spans="1:7" x14ac:dyDescent="0.25">
      <c r="A506" s="1" t="str">
        <f t="shared" si="7"/>
        <v>04 Testo+ FAD</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1218</v>
      </c>
      <c r="D506" s="1" t="s">
        <v>338</v>
      </c>
      <c r="E506" s="1" t="s">
        <v>1219</v>
      </c>
      <c r="F506" s="1" t="s">
        <v>112</v>
      </c>
      <c r="G506" s="1">
        <v>42092</v>
      </c>
    </row>
    <row r="507" spans="1:7" x14ac:dyDescent="0.25">
      <c r="A507" s="1" t="str">
        <f t="shared" si="7"/>
        <v>04 Testo+ FAD</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1220</v>
      </c>
      <c r="D507" s="1" t="s">
        <v>1221</v>
      </c>
      <c r="E507" s="1" t="s">
        <v>1222</v>
      </c>
      <c r="F507" s="1" t="s">
        <v>112</v>
      </c>
      <c r="G507" s="1">
        <v>56476</v>
      </c>
    </row>
    <row r="508" spans="1:7" x14ac:dyDescent="0.25">
      <c r="A508" s="1" t="str">
        <f t="shared" si="7"/>
        <v>04 Testo+ FAD</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1223</v>
      </c>
      <c r="D508" s="1" t="s">
        <v>1224</v>
      </c>
      <c r="E508" s="1" t="s">
        <v>415</v>
      </c>
      <c r="F508" s="1" t="s">
        <v>112</v>
      </c>
      <c r="G508" s="1">
        <v>49316</v>
      </c>
    </row>
    <row r="509" spans="1:7" x14ac:dyDescent="0.25">
      <c r="A509" s="1" t="str">
        <f t="shared" si="7"/>
        <v>04 Testo+ FAD</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1225</v>
      </c>
      <c r="D509" s="1" t="s">
        <v>704</v>
      </c>
      <c r="E509" s="1" t="s">
        <v>1226</v>
      </c>
      <c r="F509" s="1" t="s">
        <v>112</v>
      </c>
      <c r="G509" s="1">
        <v>116715</v>
      </c>
    </row>
    <row r="510" spans="1:7" x14ac:dyDescent="0.25">
      <c r="A510" s="1" t="str">
        <f t="shared" si="7"/>
        <v>04 Testo+ FAD</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1227</v>
      </c>
      <c r="D510" s="1" t="s">
        <v>405</v>
      </c>
      <c r="E510" s="1" t="s">
        <v>1228</v>
      </c>
      <c r="F510" s="1" t="s">
        <v>112</v>
      </c>
      <c r="G510" s="1">
        <v>19186</v>
      </c>
    </row>
    <row r="511" spans="1:7" x14ac:dyDescent="0.25">
      <c r="A511" s="1" t="str">
        <f t="shared" si="7"/>
        <v>04 Testo+ FAD</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1229</v>
      </c>
      <c r="D511" s="1" t="s">
        <v>241</v>
      </c>
      <c r="E511" s="1" t="s">
        <v>1230</v>
      </c>
      <c r="F511" s="1" t="s">
        <v>112</v>
      </c>
      <c r="G511" s="1">
        <v>34024</v>
      </c>
    </row>
    <row r="512" spans="1:7" x14ac:dyDescent="0.25">
      <c r="A512" s="1" t="str">
        <f t="shared" si="7"/>
        <v>04 Testo+ FAD</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1231</v>
      </c>
      <c r="D512" s="1" t="s">
        <v>417</v>
      </c>
      <c r="E512" s="1" t="s">
        <v>1232</v>
      </c>
      <c r="F512" s="1" t="s">
        <v>112</v>
      </c>
      <c r="G512" s="1">
        <v>67161</v>
      </c>
    </row>
    <row r="513" spans="1:10" x14ac:dyDescent="0.25">
      <c r="A513" s="1" t="str">
        <f t="shared" si="7"/>
        <v>04 Testo+ FAD</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1233</v>
      </c>
      <c r="D513" s="1" t="s">
        <v>329</v>
      </c>
      <c r="E513" s="1" t="s">
        <v>1234</v>
      </c>
      <c r="F513" s="1" t="s">
        <v>112</v>
      </c>
      <c r="G513" s="1">
        <v>51760</v>
      </c>
    </row>
    <row r="514" spans="1:10" x14ac:dyDescent="0.25">
      <c r="A514" s="1" t="str">
        <f t="shared" ref="A514:A577" si="8">IFERROR(LEFT(RIGHT(C514,LEN(C514)-SEARCH("@",C514)),SEARCH("/",RIGHT(C514,LEN(C514)-SEARCH("@",C514)-1))),"")</f>
        <v>04 Testo+ FAD</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1235</v>
      </c>
      <c r="D514" s="1" t="s">
        <v>426</v>
      </c>
      <c r="E514" s="1" t="s">
        <v>1236</v>
      </c>
      <c r="F514" s="1" t="s">
        <v>112</v>
      </c>
      <c r="G514" s="1">
        <v>138410</v>
      </c>
    </row>
    <row r="515" spans="1:10" x14ac:dyDescent="0.25">
      <c r="A515" s="1" t="str">
        <f t="shared" si="8"/>
        <v>04 Testo+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1237</v>
      </c>
      <c r="D515" s="1" t="s">
        <v>728</v>
      </c>
      <c r="E515" s="1" t="s">
        <v>1238</v>
      </c>
      <c r="F515" s="1" t="s">
        <v>112</v>
      </c>
      <c r="G515" s="1">
        <v>32921</v>
      </c>
    </row>
    <row r="516" spans="1:10" x14ac:dyDescent="0.25">
      <c r="A516" s="1" t="str">
        <f t="shared" si="8"/>
        <v>04 Testo+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1239</v>
      </c>
      <c r="D516" s="1" t="s">
        <v>338</v>
      </c>
      <c r="E516" s="1" t="s">
        <v>1240</v>
      </c>
      <c r="F516" s="1" t="s">
        <v>112</v>
      </c>
      <c r="G516" s="1">
        <v>42178</v>
      </c>
    </row>
    <row r="517" spans="1:10" x14ac:dyDescent="0.25">
      <c r="A517" s="1" t="str">
        <f t="shared" si="8"/>
        <v>04 Testo+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1241</v>
      </c>
      <c r="D517" s="1" t="s">
        <v>223</v>
      </c>
      <c r="E517" s="1" t="s">
        <v>198</v>
      </c>
      <c r="F517" s="1" t="s">
        <v>112</v>
      </c>
      <c r="G517" s="1">
        <v>23317</v>
      </c>
    </row>
    <row r="518" spans="1:10" x14ac:dyDescent="0.25">
      <c r="A518" s="1" t="str">
        <f t="shared" si="8"/>
        <v>04 Testo+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1242</v>
      </c>
      <c r="D518" s="1" t="s">
        <v>179</v>
      </c>
      <c r="E518" s="1" t="s">
        <v>1243</v>
      </c>
      <c r="F518" s="1" t="s">
        <v>112</v>
      </c>
      <c r="G518" s="1">
        <v>113881</v>
      </c>
    </row>
    <row r="519" spans="1:10" x14ac:dyDescent="0.25">
      <c r="A519" s="1" t="str">
        <f t="shared" si="8"/>
        <v>04 Testo+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1244</v>
      </c>
      <c r="D519" s="1" t="s">
        <v>358</v>
      </c>
      <c r="E519" s="1" t="s">
        <v>1245</v>
      </c>
      <c r="F519" s="1" t="s">
        <v>112</v>
      </c>
      <c r="G519" s="1">
        <v>40902</v>
      </c>
    </row>
    <row r="520" spans="1:10" x14ac:dyDescent="0.25">
      <c r="A520" s="1" t="str">
        <f t="shared" si="8"/>
        <v>04 Testo+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1246</v>
      </c>
      <c r="D520" s="1" t="s">
        <v>269</v>
      </c>
      <c r="E520" s="1" t="s">
        <v>410</v>
      </c>
      <c r="F520" s="1" t="s">
        <v>112</v>
      </c>
      <c r="G520" s="1">
        <v>21976</v>
      </c>
    </row>
    <row r="521" spans="1:10" x14ac:dyDescent="0.2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10" x14ac:dyDescent="0.2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243</v>
      </c>
      <c r="D522" s="1" t="s">
        <v>112</v>
      </c>
      <c r="E522" s="1" t="s">
        <v>244</v>
      </c>
      <c r="F522" s="1" t="s">
        <v>245</v>
      </c>
      <c r="G522" s="1" t="s">
        <v>246</v>
      </c>
      <c r="H522" s="1" t="s">
        <v>247</v>
      </c>
      <c r="I522" s="1" t="s">
        <v>248</v>
      </c>
      <c r="J522" s="1" t="s">
        <v>249</v>
      </c>
    </row>
    <row r="523" spans="1:10" x14ac:dyDescent="0.25">
      <c r="A523" s="1" t="str">
        <f t="shared" si="8"/>
        <v>04 Testo+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1247</v>
      </c>
      <c r="D523" s="1" t="s">
        <v>112</v>
      </c>
      <c r="E523" s="1" t="s">
        <v>1248</v>
      </c>
      <c r="F523" s="1" t="s">
        <v>1249</v>
      </c>
      <c r="G523" s="1" t="s">
        <v>1250</v>
      </c>
      <c r="H523" s="1" t="s">
        <v>1251</v>
      </c>
      <c r="I523" s="1">
        <v>24</v>
      </c>
      <c r="J523" s="1">
        <v>24</v>
      </c>
    </row>
    <row r="524" spans="1:10" x14ac:dyDescent="0.2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10" x14ac:dyDescent="0.2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10" x14ac:dyDescent="0.2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10" x14ac:dyDescent="0.2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10" x14ac:dyDescent="0.2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2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255</v>
      </c>
      <c r="D529" s="1" t="s">
        <v>110</v>
      </c>
      <c r="E529" s="1" t="s">
        <v>111</v>
      </c>
      <c r="F529" s="1" t="s">
        <v>112</v>
      </c>
      <c r="G529" s="1" t="s">
        <v>113</v>
      </c>
    </row>
    <row r="530" spans="1:7" x14ac:dyDescent="0.25">
      <c r="A530" s="1" t="str">
        <f t="shared" si="8"/>
        <v>05 Fadrozole 0.016 µg_L Dopé</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1252</v>
      </c>
      <c r="D530" s="1" t="s">
        <v>1253</v>
      </c>
      <c r="E530" s="1" t="s">
        <v>1254</v>
      </c>
      <c r="F530" s="1" t="s">
        <v>112</v>
      </c>
      <c r="G530" s="1">
        <v>2322878</v>
      </c>
    </row>
    <row r="531" spans="1:7" x14ac:dyDescent="0.25">
      <c r="A531" s="1" t="str">
        <f t="shared" si="8"/>
        <v>05 Fadrozole 0.016 µg_L Dopé</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1255</v>
      </c>
      <c r="D531" s="1" t="s">
        <v>1256</v>
      </c>
      <c r="E531" s="1" t="s">
        <v>1257</v>
      </c>
      <c r="F531" s="1" t="s">
        <v>112</v>
      </c>
      <c r="G531" s="1">
        <v>2006021</v>
      </c>
    </row>
    <row r="532" spans="1:7" x14ac:dyDescent="0.25">
      <c r="A532" s="1" t="str">
        <f t="shared" si="8"/>
        <v>05 Fadrozole 0.016 µg_L Dopé</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1258</v>
      </c>
      <c r="D532" s="1" t="s">
        <v>1259</v>
      </c>
      <c r="E532" s="1" t="s">
        <v>1260</v>
      </c>
      <c r="F532" s="1" t="s">
        <v>112</v>
      </c>
      <c r="G532" s="1">
        <v>2091979</v>
      </c>
    </row>
    <row r="533" spans="1:7" x14ac:dyDescent="0.25">
      <c r="A533" s="1" t="str">
        <f t="shared" si="8"/>
        <v>05 Fadrozole 0.016 µg_L Dopé</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1261</v>
      </c>
      <c r="D533" s="1" t="s">
        <v>1262</v>
      </c>
      <c r="E533" s="1" t="s">
        <v>1263</v>
      </c>
      <c r="F533" s="1" t="s">
        <v>112</v>
      </c>
      <c r="G533" s="1">
        <v>1910460</v>
      </c>
    </row>
    <row r="534" spans="1:7" x14ac:dyDescent="0.25">
      <c r="A534" s="1" t="str">
        <f t="shared" si="8"/>
        <v>05 Fadrozole 0.016 µg_L Dopé</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1264</v>
      </c>
    </row>
    <row r="535" spans="1:7" x14ac:dyDescent="0.25">
      <c r="A535" s="1" t="str">
        <f t="shared" si="8"/>
        <v>05 Fadrozole 0.016 µg_L Dopé</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1265</v>
      </c>
      <c r="D535" s="1" t="s">
        <v>1266</v>
      </c>
      <c r="E535" s="1" t="s">
        <v>1267</v>
      </c>
      <c r="F535" s="1" t="s">
        <v>112</v>
      </c>
      <c r="G535" s="1">
        <v>2002820</v>
      </c>
    </row>
    <row r="536" spans="1:7" x14ac:dyDescent="0.25">
      <c r="A536" s="1" t="str">
        <f t="shared" si="8"/>
        <v>05 Fadrozole 0.016 µg_L Dopé</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1268</v>
      </c>
      <c r="D536" s="1" t="s">
        <v>710</v>
      </c>
      <c r="E536" s="1" t="s">
        <v>1269</v>
      </c>
      <c r="F536" s="1" t="s">
        <v>112</v>
      </c>
      <c r="G536" s="1">
        <v>263625</v>
      </c>
    </row>
    <row r="537" spans="1:7" x14ac:dyDescent="0.25">
      <c r="A537" s="1" t="str">
        <f t="shared" si="8"/>
        <v>05 Fadrozole 0.016 µg_L Dopé</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1270</v>
      </c>
      <c r="D537" s="1" t="s">
        <v>1271</v>
      </c>
      <c r="E537" s="1" t="s">
        <v>1272</v>
      </c>
      <c r="F537" s="1" t="s">
        <v>112</v>
      </c>
      <c r="G537" s="1">
        <v>138648</v>
      </c>
    </row>
    <row r="538" spans="1:7" x14ac:dyDescent="0.25">
      <c r="A538" s="1" t="str">
        <f t="shared" si="8"/>
        <v>05 Fadrozole 0.016 µg_L Dopé</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1273</v>
      </c>
      <c r="D538" s="1" t="s">
        <v>1274</v>
      </c>
      <c r="E538" s="1" t="s">
        <v>1275</v>
      </c>
      <c r="F538" s="1" t="s">
        <v>112</v>
      </c>
      <c r="G538" s="1">
        <v>365935</v>
      </c>
    </row>
    <row r="539" spans="1:7" x14ac:dyDescent="0.25">
      <c r="A539" s="1" t="str">
        <f t="shared" si="8"/>
        <v>05 Fadrozole 0.016 µg_L Dopé</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1276</v>
      </c>
      <c r="D539" s="1" t="s">
        <v>1277</v>
      </c>
      <c r="E539" s="1" t="s">
        <v>1278</v>
      </c>
      <c r="F539" s="1" t="s">
        <v>112</v>
      </c>
      <c r="G539" s="1">
        <v>1501288</v>
      </c>
    </row>
    <row r="540" spans="1:7" x14ac:dyDescent="0.25">
      <c r="A540" s="1" t="str">
        <f t="shared" si="8"/>
        <v>05 Fadrozole 0.016 µg_L Dopé</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1279</v>
      </c>
      <c r="D540" s="1" t="s">
        <v>1280</v>
      </c>
      <c r="E540" s="1" t="s">
        <v>1281</v>
      </c>
      <c r="F540" s="1" t="s">
        <v>112</v>
      </c>
      <c r="G540" s="1">
        <v>1779448</v>
      </c>
    </row>
    <row r="541" spans="1:7" x14ac:dyDescent="0.25">
      <c r="A541" s="1" t="str">
        <f t="shared" si="8"/>
        <v>05 Fadrozole 0.016 µg_L Dopé</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1282</v>
      </c>
      <c r="D541" s="1" t="s">
        <v>1283</v>
      </c>
      <c r="E541" s="1" t="s">
        <v>1284</v>
      </c>
      <c r="F541" s="1" t="s">
        <v>112</v>
      </c>
      <c r="G541" s="1">
        <v>1689208</v>
      </c>
    </row>
    <row r="542" spans="1:7" x14ac:dyDescent="0.25">
      <c r="A542" s="1" t="str">
        <f t="shared" si="8"/>
        <v>05 Fadrozole 0.016 µg_L Dopé</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1285</v>
      </c>
      <c r="D542" s="1" t="s">
        <v>1286</v>
      </c>
      <c r="E542" s="1" t="s">
        <v>1287</v>
      </c>
      <c r="F542" s="1" t="s">
        <v>112</v>
      </c>
      <c r="G542" s="1">
        <v>1817474</v>
      </c>
    </row>
    <row r="543" spans="1:7" x14ac:dyDescent="0.25">
      <c r="A543" s="1" t="str">
        <f t="shared" si="8"/>
        <v>05 Fadrozole 0.016 µg_L Dopé</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1288</v>
      </c>
      <c r="D543" s="1" t="s">
        <v>1289</v>
      </c>
      <c r="E543" s="1" t="s">
        <v>1290</v>
      </c>
      <c r="F543" s="1" t="s">
        <v>112</v>
      </c>
      <c r="G543" s="1">
        <v>1973944</v>
      </c>
    </row>
    <row r="544" spans="1:7" x14ac:dyDescent="0.25">
      <c r="A544" s="1" t="str">
        <f t="shared" si="8"/>
        <v>05 Fadrozole 0.016 µg_L Dopé</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1291</v>
      </c>
      <c r="D544" s="1" t="s">
        <v>1292</v>
      </c>
      <c r="E544" s="1" t="s">
        <v>1293</v>
      </c>
      <c r="F544" s="1" t="s">
        <v>112</v>
      </c>
      <c r="G544" s="1">
        <v>2347298</v>
      </c>
    </row>
    <row r="545" spans="1:10" x14ac:dyDescent="0.25">
      <c r="A545" s="1" t="str">
        <f t="shared" si="8"/>
        <v>05 Fadrozole 0.016 µg_L Dopé</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1294</v>
      </c>
      <c r="D545" s="1" t="s">
        <v>1295</v>
      </c>
      <c r="E545" s="1" t="s">
        <v>1296</v>
      </c>
      <c r="F545" s="1" t="s">
        <v>112</v>
      </c>
      <c r="G545" s="1">
        <v>1853877</v>
      </c>
    </row>
    <row r="546" spans="1:10" x14ac:dyDescent="0.25">
      <c r="A546" s="1" t="str">
        <f t="shared" si="8"/>
        <v>05 Fadrozole 0.016 µg_L Dopé</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1297</v>
      </c>
      <c r="D546" s="1" t="s">
        <v>1298</v>
      </c>
      <c r="E546" s="1" t="s">
        <v>1299</v>
      </c>
      <c r="F546" s="1" t="s">
        <v>112</v>
      </c>
      <c r="G546" s="1">
        <v>1916257</v>
      </c>
    </row>
    <row r="547" spans="1:10" x14ac:dyDescent="0.25">
      <c r="A547" s="1" t="str">
        <f t="shared" si="8"/>
        <v>05 Fadrozole 0.016 µg_L Dopé</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1300</v>
      </c>
      <c r="D547" s="1" t="s">
        <v>1301</v>
      </c>
      <c r="E547" s="1" t="s">
        <v>1302</v>
      </c>
      <c r="F547" s="1" t="s">
        <v>112</v>
      </c>
      <c r="G547" s="1">
        <v>1809644</v>
      </c>
    </row>
    <row r="548" spans="1:10" x14ac:dyDescent="0.25">
      <c r="A548" s="1" t="str">
        <f t="shared" si="8"/>
        <v>05 Fadrozole 0.016 µg_L Dopé</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1303</v>
      </c>
      <c r="D548" s="1" t="s">
        <v>1304</v>
      </c>
      <c r="E548" s="1" t="s">
        <v>1305</v>
      </c>
      <c r="F548" s="1" t="s">
        <v>112</v>
      </c>
      <c r="G548" s="1">
        <v>2653404</v>
      </c>
    </row>
    <row r="549" spans="1:10" x14ac:dyDescent="0.25">
      <c r="A549" s="1" t="str">
        <f t="shared" si="8"/>
        <v>05 Fadrozole 0.016 µg_L Dopé</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1306</v>
      </c>
      <c r="D549" s="1" t="s">
        <v>1307</v>
      </c>
      <c r="E549" s="1" t="s">
        <v>1308</v>
      </c>
      <c r="F549" s="1" t="s">
        <v>112</v>
      </c>
      <c r="G549" s="1">
        <v>2281608</v>
      </c>
    </row>
    <row r="550" spans="1:10" x14ac:dyDescent="0.25">
      <c r="A550" s="1" t="str">
        <f t="shared" si="8"/>
        <v>05 Fadrozole 0.016 µg_L Dopé</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1309</v>
      </c>
      <c r="D550" s="1" t="s">
        <v>1310</v>
      </c>
      <c r="E550" s="1" t="s">
        <v>1311</v>
      </c>
      <c r="F550" s="1" t="s">
        <v>112</v>
      </c>
      <c r="G550" s="1">
        <v>1877345</v>
      </c>
    </row>
    <row r="551" spans="1:10" x14ac:dyDescent="0.25">
      <c r="A551" s="1" t="str">
        <f t="shared" si="8"/>
        <v>05 Fadrozole 0.016 µg_L Dopé</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1312</v>
      </c>
      <c r="D551" s="1" t="s">
        <v>1313</v>
      </c>
      <c r="E551" s="1" t="s">
        <v>1314</v>
      </c>
      <c r="F551" s="1" t="s">
        <v>112</v>
      </c>
      <c r="G551" s="1">
        <v>738488</v>
      </c>
    </row>
    <row r="552" spans="1:10" x14ac:dyDescent="0.25">
      <c r="A552" s="1" t="str">
        <f t="shared" si="8"/>
        <v>05 Fadrozole 0.016 µg_L Dopé</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1315</v>
      </c>
      <c r="D552" s="1" t="s">
        <v>1316</v>
      </c>
      <c r="E552" s="1" t="s">
        <v>1317</v>
      </c>
      <c r="F552" s="1" t="s">
        <v>112</v>
      </c>
      <c r="G552" s="1">
        <v>790291</v>
      </c>
    </row>
    <row r="553" spans="1:10" x14ac:dyDescent="0.25">
      <c r="A553" s="1" t="str">
        <f t="shared" si="8"/>
        <v>05 Fadrozole 0.016 µg_L Dopé</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1318</v>
      </c>
      <c r="D553" s="1" t="s">
        <v>1319</v>
      </c>
      <c r="E553" s="1" t="s">
        <v>1320</v>
      </c>
      <c r="F553" s="1" t="s">
        <v>112</v>
      </c>
      <c r="G553" s="1">
        <v>1066916</v>
      </c>
    </row>
    <row r="554" spans="1:10" x14ac:dyDescent="0.2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10" x14ac:dyDescent="0.2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243</v>
      </c>
      <c r="D555" s="1" t="s">
        <v>112</v>
      </c>
      <c r="E555" s="1" t="s">
        <v>244</v>
      </c>
      <c r="F555" s="1" t="s">
        <v>245</v>
      </c>
      <c r="G555" s="1" t="s">
        <v>246</v>
      </c>
      <c r="H555" s="1" t="s">
        <v>247</v>
      </c>
      <c r="I555" s="1" t="s">
        <v>248</v>
      </c>
      <c r="J555" s="1" t="s">
        <v>249</v>
      </c>
    </row>
    <row r="556" spans="1:10" x14ac:dyDescent="0.25">
      <c r="A556" s="1" t="str">
        <f t="shared" si="8"/>
        <v>05 Fadrozole 0.016 µg_L Dopé</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1321</v>
      </c>
      <c r="D556" s="1" t="s">
        <v>112</v>
      </c>
      <c r="E556" s="1" t="s">
        <v>1322</v>
      </c>
      <c r="F556" s="1" t="s">
        <v>1323</v>
      </c>
      <c r="G556" s="1" t="s">
        <v>1324</v>
      </c>
      <c r="H556" s="1" t="s">
        <v>1325</v>
      </c>
      <c r="I556" s="1">
        <v>24</v>
      </c>
      <c r="J556" s="1">
        <v>24</v>
      </c>
    </row>
    <row r="557" spans="1:10" x14ac:dyDescent="0.2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10" x14ac:dyDescent="0.2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10" x14ac:dyDescent="0.2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10" x14ac:dyDescent="0.2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2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2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255</v>
      </c>
      <c r="D562" s="1" t="s">
        <v>110</v>
      </c>
      <c r="E562" s="1" t="s">
        <v>111</v>
      </c>
      <c r="F562" s="1" t="s">
        <v>112</v>
      </c>
      <c r="G562" s="1" t="s">
        <v>113</v>
      </c>
    </row>
    <row r="563" spans="1:7" x14ac:dyDescent="0.25">
      <c r="A563" s="1" t="str">
        <f t="shared" si="8"/>
        <v>06  Fadrozole 0.08 µg_L Dopé</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1326</v>
      </c>
      <c r="D563" s="1" t="s">
        <v>1327</v>
      </c>
      <c r="E563" s="1" t="s">
        <v>1328</v>
      </c>
      <c r="F563" s="1" t="s">
        <v>112</v>
      </c>
      <c r="G563" s="1">
        <v>1145865</v>
      </c>
    </row>
    <row r="564" spans="1:7" x14ac:dyDescent="0.25">
      <c r="A564" s="1" t="str">
        <f t="shared" si="8"/>
        <v>06  Fadrozole 0.08 µg_L Dopé</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1329</v>
      </c>
      <c r="D564" s="1" t="s">
        <v>1330</v>
      </c>
      <c r="E564" s="1" t="s">
        <v>1331</v>
      </c>
      <c r="F564" s="1" t="s">
        <v>112</v>
      </c>
      <c r="G564" s="1">
        <v>1040117</v>
      </c>
    </row>
    <row r="565" spans="1:7" x14ac:dyDescent="0.25">
      <c r="A565" s="1" t="str">
        <f t="shared" si="8"/>
        <v>06  Fadrozole 0.08 µg_L Dopé</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1332</v>
      </c>
      <c r="D565" s="1" t="s">
        <v>1333</v>
      </c>
      <c r="E565" s="1" t="s">
        <v>1334</v>
      </c>
      <c r="F565" s="1" t="s">
        <v>112</v>
      </c>
      <c r="G565" s="1">
        <v>1117919</v>
      </c>
    </row>
    <row r="566" spans="1:7" x14ac:dyDescent="0.25">
      <c r="A566" s="1" t="str">
        <f t="shared" si="8"/>
        <v>06  Fadrozole 0.08 µg_L Dopé</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1335</v>
      </c>
      <c r="D566" s="1" t="s">
        <v>1336</v>
      </c>
      <c r="E566" s="1" t="s">
        <v>1337</v>
      </c>
      <c r="F566" s="1" t="s">
        <v>112</v>
      </c>
      <c r="G566" s="1">
        <v>2851339</v>
      </c>
    </row>
    <row r="567" spans="1:7" x14ac:dyDescent="0.25">
      <c r="A567" s="1" t="str">
        <f t="shared" si="8"/>
        <v>06  Fadrozole 0.08 µg_L Dopé</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1338</v>
      </c>
      <c r="D567" s="1" t="s">
        <v>1339</v>
      </c>
      <c r="E567" s="1" t="s">
        <v>1340</v>
      </c>
      <c r="F567" s="1" t="s">
        <v>112</v>
      </c>
      <c r="G567" s="1">
        <v>2677240</v>
      </c>
    </row>
    <row r="568" spans="1:7" x14ac:dyDescent="0.25">
      <c r="A568" s="1" t="str">
        <f t="shared" si="8"/>
        <v>06  Fadrozole 0.08 µg_L Dopé</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1341</v>
      </c>
      <c r="D568" s="1" t="s">
        <v>1342</v>
      </c>
      <c r="E568" s="1" t="s">
        <v>1343</v>
      </c>
      <c r="F568" s="1" t="s">
        <v>112</v>
      </c>
      <c r="G568" s="1">
        <v>2595393</v>
      </c>
    </row>
    <row r="569" spans="1:7" x14ac:dyDescent="0.25">
      <c r="A569" s="1" t="str">
        <f t="shared" si="8"/>
        <v>06  Fadrozole 0.08 µg_L Dopé</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1344</v>
      </c>
      <c r="D569" s="1" t="s">
        <v>1345</v>
      </c>
      <c r="E569" s="1" t="s">
        <v>1346</v>
      </c>
      <c r="F569" s="1" t="s">
        <v>112</v>
      </c>
      <c r="G569" s="1">
        <v>779606</v>
      </c>
    </row>
    <row r="570" spans="1:7" x14ac:dyDescent="0.25">
      <c r="A570" s="1" t="str">
        <f t="shared" si="8"/>
        <v>06  Fadrozole 0.08 µg_L Dopé</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1347</v>
      </c>
      <c r="D570" s="1" t="s">
        <v>1348</v>
      </c>
      <c r="E570" s="1" t="s">
        <v>1349</v>
      </c>
      <c r="F570" s="1" t="s">
        <v>112</v>
      </c>
      <c r="G570" s="1">
        <v>988724</v>
      </c>
    </row>
    <row r="571" spans="1:7" x14ac:dyDescent="0.25">
      <c r="A571" s="1" t="str">
        <f t="shared" si="8"/>
        <v>06  Fadrozole 0.08 µg_L Dopé</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1350</v>
      </c>
      <c r="D571" s="1" t="s">
        <v>1351</v>
      </c>
      <c r="E571" s="1" t="s">
        <v>1352</v>
      </c>
      <c r="F571" s="1" t="s">
        <v>112</v>
      </c>
      <c r="G571" s="1">
        <v>636070</v>
      </c>
    </row>
    <row r="572" spans="1:7" x14ac:dyDescent="0.25">
      <c r="A572" s="1" t="str">
        <f t="shared" si="8"/>
        <v>06  Fadrozole 0.08 µg_L Dopé</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1353</v>
      </c>
      <c r="D572" s="1" t="s">
        <v>1354</v>
      </c>
      <c r="E572" s="1" t="s">
        <v>1355</v>
      </c>
      <c r="F572" s="1" t="s">
        <v>112</v>
      </c>
      <c r="G572" s="1">
        <v>1109895</v>
      </c>
    </row>
    <row r="573" spans="1:7" x14ac:dyDescent="0.25">
      <c r="A573" s="1" t="str">
        <f t="shared" si="8"/>
        <v>06  Fadrozole 0.08 µg_L Dopé</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1356</v>
      </c>
      <c r="D573" s="1" t="s">
        <v>1357</v>
      </c>
      <c r="E573" s="1" t="s">
        <v>1358</v>
      </c>
      <c r="F573" s="1" t="s">
        <v>112</v>
      </c>
      <c r="G573" s="1">
        <v>1430320</v>
      </c>
    </row>
    <row r="574" spans="1:7" x14ac:dyDescent="0.25">
      <c r="A574" s="1" t="str">
        <f t="shared" si="8"/>
        <v>06  Fadrozole 0.08 µg_L Dopé</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1359</v>
      </c>
    </row>
    <row r="575" spans="1:7" x14ac:dyDescent="0.25">
      <c r="A575" s="1" t="str">
        <f t="shared" si="8"/>
        <v>06  Fadrozole 0.08 µg_L Dopé</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1360</v>
      </c>
      <c r="D575" s="1" t="s">
        <v>1361</v>
      </c>
      <c r="E575" s="1" t="s">
        <v>1362</v>
      </c>
      <c r="F575" s="1" t="s">
        <v>112</v>
      </c>
      <c r="G575" s="1">
        <v>1731646</v>
      </c>
    </row>
    <row r="576" spans="1:7" x14ac:dyDescent="0.25">
      <c r="A576" s="1" t="str">
        <f t="shared" si="8"/>
        <v>06  Fadrozole 0.08 µg_L Dopé</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1363</v>
      </c>
      <c r="D576" s="1" t="s">
        <v>1348</v>
      </c>
      <c r="E576" s="1" t="s">
        <v>1364</v>
      </c>
      <c r="F576" s="1" t="s">
        <v>112</v>
      </c>
      <c r="G576" s="1">
        <v>1093564</v>
      </c>
    </row>
    <row r="577" spans="1:10" x14ac:dyDescent="0.25">
      <c r="A577" s="1" t="str">
        <f t="shared" si="8"/>
        <v>06  Fadrozole 0.08 µg_L Dopé</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1365</v>
      </c>
      <c r="D577" s="1" t="s">
        <v>1366</v>
      </c>
      <c r="E577" s="1" t="s">
        <v>1367</v>
      </c>
      <c r="F577" s="1" t="s">
        <v>112</v>
      </c>
      <c r="G577" s="1">
        <v>1180214</v>
      </c>
    </row>
    <row r="578" spans="1:10" x14ac:dyDescent="0.25">
      <c r="A578" s="1" t="str">
        <f t="shared" ref="A578:A641" si="9">IFERROR(LEFT(RIGHT(C578,LEN(C578)-SEARCH("@",C578)),SEARCH("/",RIGHT(C578,LEN(C578)-SEARCH("@",C578)-1))),"")</f>
        <v>06  Fadrozole 0.08 µg_L Dopé</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1368</v>
      </c>
      <c r="D578" s="1" t="s">
        <v>226</v>
      </c>
      <c r="E578" s="1" t="s">
        <v>1369</v>
      </c>
      <c r="F578" s="1" t="s">
        <v>112</v>
      </c>
      <c r="G578" s="1">
        <v>135403</v>
      </c>
    </row>
    <row r="579" spans="1:10" x14ac:dyDescent="0.25">
      <c r="A579" s="1" t="str">
        <f t="shared" si="9"/>
        <v>06  Fadrozole 0.08 µg_L Dopé</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1370</v>
      </c>
      <c r="D579" s="1" t="s">
        <v>1371</v>
      </c>
      <c r="E579" s="1" t="s">
        <v>1372</v>
      </c>
      <c r="F579" s="1" t="s">
        <v>112</v>
      </c>
      <c r="G579" s="1">
        <v>153096</v>
      </c>
    </row>
    <row r="580" spans="1:10" x14ac:dyDescent="0.25">
      <c r="A580" s="1" t="str">
        <f t="shared" si="9"/>
        <v>06  Fadrozole 0.08 µg_L Dopé</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1373</v>
      </c>
      <c r="D580" s="1" t="s">
        <v>1374</v>
      </c>
      <c r="E580" s="1" t="s">
        <v>1375</v>
      </c>
      <c r="F580" s="1" t="s">
        <v>112</v>
      </c>
      <c r="G580" s="1">
        <v>103586</v>
      </c>
    </row>
    <row r="581" spans="1:10" x14ac:dyDescent="0.25">
      <c r="A581" s="1" t="str">
        <f t="shared" si="9"/>
        <v>06  Fadrozole 0.08 µg_L Dopé</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1376</v>
      </c>
      <c r="D581" s="1" t="s">
        <v>1377</v>
      </c>
      <c r="E581" s="1" t="s">
        <v>1378</v>
      </c>
      <c r="F581" s="1" t="s">
        <v>112</v>
      </c>
      <c r="G581" s="1">
        <v>2491028</v>
      </c>
    </row>
    <row r="582" spans="1:10" x14ac:dyDescent="0.25">
      <c r="A582" s="1" t="str">
        <f t="shared" si="9"/>
        <v>06  Fadrozole 0.08 µg_L Dopé</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1379</v>
      </c>
      <c r="D582" s="1" t="s">
        <v>1380</v>
      </c>
      <c r="E582" s="1" t="s">
        <v>1381</v>
      </c>
      <c r="F582" s="1" t="s">
        <v>112</v>
      </c>
      <c r="G582" s="1">
        <v>1794070</v>
      </c>
    </row>
    <row r="583" spans="1:10" x14ac:dyDescent="0.25">
      <c r="A583" s="1" t="str">
        <f t="shared" si="9"/>
        <v>06  Fadrozole 0.08 µg_L Dopé</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1382</v>
      </c>
      <c r="D583" s="1" t="s">
        <v>1383</v>
      </c>
      <c r="E583" s="1" t="s">
        <v>1384</v>
      </c>
      <c r="F583" s="1" t="s">
        <v>112</v>
      </c>
      <c r="G583" s="1">
        <v>2034486</v>
      </c>
    </row>
    <row r="584" spans="1:10" x14ac:dyDescent="0.25">
      <c r="A584" s="1" t="str">
        <f t="shared" si="9"/>
        <v>06  Fadrozole 0.08 µg_L Dopé</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1385</v>
      </c>
      <c r="D584" s="1" t="s">
        <v>797</v>
      </c>
      <c r="E584" s="1" t="s">
        <v>1386</v>
      </c>
      <c r="F584" s="1" t="s">
        <v>112</v>
      </c>
      <c r="G584" s="1">
        <v>35538</v>
      </c>
    </row>
    <row r="585" spans="1:10" x14ac:dyDescent="0.25">
      <c r="A585" s="1" t="str">
        <f t="shared" si="9"/>
        <v>06  Fadrozole 0.08 µg_L Dopé</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1387</v>
      </c>
      <c r="D585" s="1" t="s">
        <v>1224</v>
      </c>
      <c r="E585" s="1" t="s">
        <v>1388</v>
      </c>
      <c r="F585" s="1" t="s">
        <v>112</v>
      </c>
      <c r="G585" s="1">
        <v>48927</v>
      </c>
    </row>
    <row r="586" spans="1:10" x14ac:dyDescent="0.25">
      <c r="A586" s="1" t="str">
        <f t="shared" si="9"/>
        <v>06  Fadrozole 0.08 µg_L Dopé</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1389</v>
      </c>
      <c r="D586" s="1" t="s">
        <v>1390</v>
      </c>
      <c r="E586" s="1" t="s">
        <v>1391</v>
      </c>
      <c r="F586" s="1" t="s">
        <v>112</v>
      </c>
      <c r="G586" s="1">
        <v>83751</v>
      </c>
    </row>
    <row r="587" spans="1:10" x14ac:dyDescent="0.2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10" x14ac:dyDescent="0.2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243</v>
      </c>
      <c r="D588" s="1" t="s">
        <v>112</v>
      </c>
      <c r="E588" s="1" t="s">
        <v>244</v>
      </c>
      <c r="F588" s="1" t="s">
        <v>245</v>
      </c>
      <c r="G588" s="1" t="s">
        <v>246</v>
      </c>
      <c r="H588" s="1" t="s">
        <v>247</v>
      </c>
      <c r="I588" s="1" t="s">
        <v>248</v>
      </c>
      <c r="J588" s="1" t="s">
        <v>249</v>
      </c>
    </row>
    <row r="589" spans="1:10" x14ac:dyDescent="0.25">
      <c r="A589" s="1" t="str">
        <f t="shared" si="9"/>
        <v>06  Fadrozole 0.08 µg_L Dopé</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1392</v>
      </c>
      <c r="D589" s="1" t="s">
        <v>112</v>
      </c>
      <c r="E589" s="1" t="s">
        <v>1393</v>
      </c>
      <c r="F589" s="1" t="s">
        <v>1394</v>
      </c>
      <c r="G589" s="1" t="s">
        <v>1395</v>
      </c>
      <c r="H589" s="1" t="s">
        <v>1396</v>
      </c>
      <c r="I589" s="1">
        <v>24</v>
      </c>
      <c r="J589" s="1">
        <v>24</v>
      </c>
    </row>
    <row r="590" spans="1:10" x14ac:dyDescent="0.2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10" x14ac:dyDescent="0.2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10" x14ac:dyDescent="0.2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2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2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2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255</v>
      </c>
      <c r="D595" s="1" t="s">
        <v>110</v>
      </c>
      <c r="E595" s="1" t="s">
        <v>111</v>
      </c>
      <c r="F595" s="1" t="s">
        <v>112</v>
      </c>
      <c r="G595" s="1" t="s">
        <v>113</v>
      </c>
    </row>
    <row r="596" spans="1:7" x14ac:dyDescent="0.25">
      <c r="A596" s="1" t="str">
        <f t="shared" si="9"/>
        <v>07  Fadrozole 0.4 µg_L Dopé</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1397</v>
      </c>
      <c r="D596" s="1" t="s">
        <v>260</v>
      </c>
      <c r="E596" s="1" t="s">
        <v>1398</v>
      </c>
      <c r="F596" s="1" t="s">
        <v>112</v>
      </c>
      <c r="G596" s="1">
        <v>27492</v>
      </c>
    </row>
    <row r="597" spans="1:7" x14ac:dyDescent="0.25">
      <c r="A597" s="1" t="str">
        <f t="shared" si="9"/>
        <v>07  Fadrozole 0.4 µg_L Dopé</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1399</v>
      </c>
      <c r="D597" s="1" t="s">
        <v>341</v>
      </c>
      <c r="E597" s="1" t="s">
        <v>1400</v>
      </c>
      <c r="F597" s="1" t="s">
        <v>112</v>
      </c>
      <c r="G597" s="1">
        <v>31255</v>
      </c>
    </row>
    <row r="598" spans="1:7" x14ac:dyDescent="0.25">
      <c r="A598" s="1" t="str">
        <f t="shared" si="9"/>
        <v>07  Fadrozole 0.4 µg_L Dopé</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1401</v>
      </c>
      <c r="D598" s="1" t="s">
        <v>1402</v>
      </c>
      <c r="E598" s="1" t="s">
        <v>1403</v>
      </c>
      <c r="F598" s="1" t="s">
        <v>112</v>
      </c>
      <c r="G598" s="1">
        <v>186298</v>
      </c>
    </row>
    <row r="599" spans="1:7" x14ac:dyDescent="0.25">
      <c r="A599" s="1" t="str">
        <f t="shared" si="9"/>
        <v>07  Fadrozole 0.4 µg_L Dopé</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1404</v>
      </c>
      <c r="D599" s="1" t="s">
        <v>1405</v>
      </c>
      <c r="E599" s="1" t="s">
        <v>1406</v>
      </c>
      <c r="F599" s="1" t="s">
        <v>112</v>
      </c>
      <c r="G599" s="1">
        <v>209680</v>
      </c>
    </row>
    <row r="600" spans="1:7" x14ac:dyDescent="0.25">
      <c r="A600" s="1" t="str">
        <f t="shared" si="9"/>
        <v>07  Fadrozole 0.4 µg_L Dopé</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1407</v>
      </c>
      <c r="D600" s="1" t="s">
        <v>369</v>
      </c>
      <c r="E600" s="1" t="s">
        <v>1408</v>
      </c>
      <c r="F600" s="1" t="s">
        <v>112</v>
      </c>
      <c r="G600" s="1">
        <v>241108</v>
      </c>
    </row>
    <row r="601" spans="1:7" x14ac:dyDescent="0.25">
      <c r="A601" s="1" t="str">
        <f t="shared" si="9"/>
        <v>07  Fadrozole 0.4 µg_L Dopé</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1409</v>
      </c>
      <c r="D601" s="1" t="s">
        <v>993</v>
      </c>
      <c r="E601" s="1" t="s">
        <v>1410</v>
      </c>
      <c r="F601" s="1" t="s">
        <v>112</v>
      </c>
      <c r="G601" s="1">
        <v>99714</v>
      </c>
    </row>
    <row r="602" spans="1:7" x14ac:dyDescent="0.25">
      <c r="A602" s="1" t="str">
        <f t="shared" si="9"/>
        <v>07  Fadrozole 0.4 µg_L Dopé</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1411</v>
      </c>
      <c r="D602" s="1" t="s">
        <v>1412</v>
      </c>
      <c r="E602" s="1" t="s">
        <v>1413</v>
      </c>
      <c r="F602" s="1" t="s">
        <v>112</v>
      </c>
      <c r="G602" s="1">
        <v>294924</v>
      </c>
    </row>
    <row r="603" spans="1:7" x14ac:dyDescent="0.25">
      <c r="A603" s="1" t="str">
        <f t="shared" si="9"/>
        <v>07  Fadrozole 0.4 µg_L Dopé</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1414</v>
      </c>
      <c r="D603" s="1" t="s">
        <v>232</v>
      </c>
      <c r="E603" s="1" t="s">
        <v>1415</v>
      </c>
      <c r="F603" s="1" t="s">
        <v>112</v>
      </c>
      <c r="G603" s="1">
        <v>325789</v>
      </c>
    </row>
    <row r="604" spans="1:7" x14ac:dyDescent="0.25">
      <c r="A604" s="1" t="str">
        <f t="shared" si="9"/>
        <v>07  Fadrozole 0.4 µg_L Dopé</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1416</v>
      </c>
      <c r="D604" s="1" t="s">
        <v>275</v>
      </c>
      <c r="E604" s="1" t="s">
        <v>1417</v>
      </c>
      <c r="F604" s="1" t="s">
        <v>112</v>
      </c>
      <c r="G604" s="1">
        <v>52928</v>
      </c>
    </row>
    <row r="605" spans="1:7" x14ac:dyDescent="0.25">
      <c r="A605" s="1" t="str">
        <f t="shared" si="9"/>
        <v>07  Fadrozole 0.4 µg_L Dopé</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1418</v>
      </c>
      <c r="D605" s="1" t="s">
        <v>1419</v>
      </c>
      <c r="E605" s="1" t="s">
        <v>1420</v>
      </c>
      <c r="F605" s="1" t="s">
        <v>112</v>
      </c>
      <c r="G605" s="1">
        <v>878758</v>
      </c>
    </row>
    <row r="606" spans="1:7" x14ac:dyDescent="0.25">
      <c r="A606" s="1" t="str">
        <f t="shared" si="9"/>
        <v>07  Fadrozole 0.4 µg_L Dopé</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1421</v>
      </c>
      <c r="D606" s="1" t="s">
        <v>1422</v>
      </c>
      <c r="E606" s="1" t="s">
        <v>1423</v>
      </c>
      <c r="F606" s="1" t="s">
        <v>112</v>
      </c>
      <c r="G606" s="1">
        <v>885831</v>
      </c>
    </row>
    <row r="607" spans="1:7" x14ac:dyDescent="0.25">
      <c r="A607" s="1" t="str">
        <f t="shared" si="9"/>
        <v>07  Fadrozole 0.4 µg_L Dopé</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1424</v>
      </c>
      <c r="D607" s="1" t="s">
        <v>1425</v>
      </c>
      <c r="E607" s="1" t="s">
        <v>1426</v>
      </c>
      <c r="F607" s="1" t="s">
        <v>112</v>
      </c>
      <c r="G607" s="1">
        <v>1015848</v>
      </c>
    </row>
    <row r="608" spans="1:7" x14ac:dyDescent="0.25">
      <c r="A608" s="1" t="str">
        <f t="shared" si="9"/>
        <v>07  Fadrozole 0.4 µg_L Dopé</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1427</v>
      </c>
      <c r="D608" s="1" t="s">
        <v>1428</v>
      </c>
      <c r="E608" s="1" t="s">
        <v>1429</v>
      </c>
      <c r="F608" s="1" t="s">
        <v>112</v>
      </c>
      <c r="G608" s="1">
        <v>344781</v>
      </c>
    </row>
    <row r="609" spans="1:10" x14ac:dyDescent="0.25">
      <c r="A609" s="1" t="str">
        <f t="shared" si="9"/>
        <v>07  Fadrozole 0.4 µg_L Dopé</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1430</v>
      </c>
      <c r="D609" s="1" t="s">
        <v>1431</v>
      </c>
      <c r="E609" s="1" t="s">
        <v>1432</v>
      </c>
      <c r="F609" s="1" t="s">
        <v>112</v>
      </c>
      <c r="G609" s="1">
        <v>133478</v>
      </c>
    </row>
    <row r="610" spans="1:10" x14ac:dyDescent="0.25">
      <c r="A610" s="1" t="str">
        <f t="shared" si="9"/>
        <v>07  Fadrozole 0.4 µg_L Dopé</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1433</v>
      </c>
      <c r="D610" s="1" t="s">
        <v>811</v>
      </c>
      <c r="E610" s="1" t="s">
        <v>1434</v>
      </c>
      <c r="F610" s="1" t="s">
        <v>112</v>
      </c>
      <c r="G610" s="1">
        <v>160451</v>
      </c>
    </row>
    <row r="611" spans="1:10" x14ac:dyDescent="0.25">
      <c r="A611" s="1" t="str">
        <f t="shared" si="9"/>
        <v>07  Fadrozole 0.4 µg_L Dopé</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1435</v>
      </c>
      <c r="D611" s="1" t="s">
        <v>1436</v>
      </c>
      <c r="E611" s="1" t="s">
        <v>1437</v>
      </c>
      <c r="F611" s="1" t="s">
        <v>112</v>
      </c>
      <c r="G611" s="1">
        <v>262825</v>
      </c>
    </row>
    <row r="612" spans="1:10" x14ac:dyDescent="0.25">
      <c r="A612" s="1" t="str">
        <f t="shared" si="9"/>
        <v>07  Fadrozole 0.4 µg_L Dopé</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1438</v>
      </c>
      <c r="D612" s="1" t="s">
        <v>1439</v>
      </c>
      <c r="E612" s="1" t="s">
        <v>1440</v>
      </c>
      <c r="F612" s="1" t="s">
        <v>112</v>
      </c>
      <c r="G612" s="1">
        <v>348112</v>
      </c>
    </row>
    <row r="613" spans="1:10" x14ac:dyDescent="0.25">
      <c r="A613" s="1" t="str">
        <f t="shared" si="9"/>
        <v>07  Fadrozole 0.4 µg_L Dopé</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1441</v>
      </c>
      <c r="D613" s="1" t="s">
        <v>1442</v>
      </c>
      <c r="E613" s="1" t="s">
        <v>1443</v>
      </c>
      <c r="F613" s="1" t="s">
        <v>112</v>
      </c>
      <c r="G613" s="1">
        <v>427623</v>
      </c>
    </row>
    <row r="614" spans="1:10" x14ac:dyDescent="0.25">
      <c r="A614" s="1" t="str">
        <f t="shared" si="9"/>
        <v>07  Fadrozole 0.4 µg_L Dopé</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1444</v>
      </c>
      <c r="D614" s="1" t="s">
        <v>1445</v>
      </c>
      <c r="E614" s="1" t="s">
        <v>1446</v>
      </c>
      <c r="F614" s="1" t="s">
        <v>112</v>
      </c>
      <c r="G614" s="1">
        <v>1559234</v>
      </c>
    </row>
    <row r="615" spans="1:10" x14ac:dyDescent="0.25">
      <c r="A615" s="1" t="str">
        <f t="shared" si="9"/>
        <v>07  Fadrozole 0.4 µg_L Dopé</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1447</v>
      </c>
      <c r="D615" s="1" t="s">
        <v>1448</v>
      </c>
      <c r="E615" s="1" t="s">
        <v>1449</v>
      </c>
      <c r="F615" s="1" t="s">
        <v>112</v>
      </c>
      <c r="G615" s="1">
        <v>1470898</v>
      </c>
    </row>
    <row r="616" spans="1:10" x14ac:dyDescent="0.25">
      <c r="A616" s="1" t="str">
        <f t="shared" si="9"/>
        <v>07  Fadrozole 0.4 µg_L Dopé</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1450</v>
      </c>
      <c r="D616" s="1" t="s">
        <v>1451</v>
      </c>
      <c r="E616" s="1" t="s">
        <v>1452</v>
      </c>
      <c r="F616" s="1" t="s">
        <v>112</v>
      </c>
      <c r="G616" s="1">
        <v>1563171</v>
      </c>
    </row>
    <row r="617" spans="1:10" x14ac:dyDescent="0.25">
      <c r="A617" s="1" t="str">
        <f t="shared" si="9"/>
        <v>07  Fadrozole 0.4 µg_L Dopé</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1453</v>
      </c>
      <c r="D617" s="1" t="s">
        <v>1454</v>
      </c>
      <c r="E617" s="1" t="s">
        <v>1455</v>
      </c>
      <c r="F617" s="1" t="s">
        <v>112</v>
      </c>
      <c r="G617" s="1">
        <v>1551080</v>
      </c>
    </row>
    <row r="618" spans="1:10" x14ac:dyDescent="0.25">
      <c r="A618" s="1" t="str">
        <f t="shared" si="9"/>
        <v>07  Fadrozole 0.4 µg_L Dopé</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1456</v>
      </c>
      <c r="D618" s="1" t="s">
        <v>1028</v>
      </c>
      <c r="E618" s="1" t="s">
        <v>1457</v>
      </c>
      <c r="F618" s="1" t="s">
        <v>112</v>
      </c>
      <c r="G618" s="1">
        <v>1036115</v>
      </c>
    </row>
    <row r="619" spans="1:10" x14ac:dyDescent="0.25">
      <c r="A619" s="1" t="str">
        <f t="shared" si="9"/>
        <v>07  Fadrozole 0.4 µg_L Dopé</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1458</v>
      </c>
      <c r="D619" s="1" t="s">
        <v>1459</v>
      </c>
      <c r="E619" s="1" t="s">
        <v>1460</v>
      </c>
      <c r="F619" s="1" t="s">
        <v>112</v>
      </c>
      <c r="G619" s="1">
        <v>1091769</v>
      </c>
    </row>
    <row r="620" spans="1:10" x14ac:dyDescent="0.2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10" x14ac:dyDescent="0.2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243</v>
      </c>
      <c r="D621" s="1" t="s">
        <v>112</v>
      </c>
      <c r="E621" s="1" t="s">
        <v>244</v>
      </c>
      <c r="F621" s="1" t="s">
        <v>245</v>
      </c>
      <c r="G621" s="1" t="s">
        <v>246</v>
      </c>
      <c r="H621" s="1" t="s">
        <v>247</v>
      </c>
      <c r="I621" s="1" t="s">
        <v>248</v>
      </c>
      <c r="J621" s="1" t="s">
        <v>249</v>
      </c>
    </row>
    <row r="622" spans="1:10" x14ac:dyDescent="0.25">
      <c r="A622" s="1" t="str">
        <f t="shared" si="9"/>
        <v>07  Fadrozole 0.4 µg_L Dopé</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1461</v>
      </c>
      <c r="D622" s="1" t="s">
        <v>112</v>
      </c>
      <c r="E622" s="1" t="s">
        <v>1462</v>
      </c>
      <c r="F622" s="1" t="s">
        <v>1463</v>
      </c>
      <c r="G622" s="1" t="s">
        <v>1464</v>
      </c>
      <c r="H622" s="1" t="s">
        <v>1465</v>
      </c>
      <c r="I622" s="1">
        <v>24</v>
      </c>
      <c r="J622" s="1">
        <v>24</v>
      </c>
    </row>
    <row r="623" spans="1:10" x14ac:dyDescent="0.2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10" x14ac:dyDescent="0.2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2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2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2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2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255</v>
      </c>
      <c r="D628" s="1" t="s">
        <v>110</v>
      </c>
      <c r="E628" s="1" t="s">
        <v>111</v>
      </c>
      <c r="F628" s="1" t="s">
        <v>112</v>
      </c>
      <c r="G628" s="1" t="s">
        <v>113</v>
      </c>
    </row>
    <row r="629" spans="1:7" x14ac:dyDescent="0.25">
      <c r="A629" s="1" t="str">
        <f t="shared" si="9"/>
        <v>08  Fadrozole 2 µg_L Dopé</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1466</v>
      </c>
      <c r="D629" s="1" t="s">
        <v>725</v>
      </c>
      <c r="E629" s="1" t="s">
        <v>1467</v>
      </c>
      <c r="F629" s="1" t="s">
        <v>112</v>
      </c>
      <c r="G629" s="1">
        <v>20635</v>
      </c>
    </row>
    <row r="630" spans="1:7" x14ac:dyDescent="0.25">
      <c r="A630" s="1" t="str">
        <f t="shared" si="9"/>
        <v>08  Fadrozole 2 µg_L Dopé</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1468</v>
      </c>
      <c r="D630" s="1" t="s">
        <v>829</v>
      </c>
      <c r="E630" s="1" t="s">
        <v>908</v>
      </c>
      <c r="F630" s="1" t="s">
        <v>112</v>
      </c>
      <c r="G630" s="1">
        <v>8263</v>
      </c>
    </row>
    <row r="631" spans="1:7" x14ac:dyDescent="0.25">
      <c r="A631" s="1" t="str">
        <f t="shared" si="9"/>
        <v>08  Fadrozole 2 µg_L Dopé</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1469</v>
      </c>
      <c r="D631" s="1" t="s">
        <v>288</v>
      </c>
      <c r="E631" s="1" t="s">
        <v>1470</v>
      </c>
      <c r="F631" s="1" t="s">
        <v>112</v>
      </c>
      <c r="G631" s="1">
        <v>13562</v>
      </c>
    </row>
    <row r="632" spans="1:7" x14ac:dyDescent="0.25">
      <c r="A632" s="1" t="str">
        <f t="shared" si="9"/>
        <v>08  Fadrozole 2 µg_L Dopé</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1471</v>
      </c>
      <c r="D632" s="1" t="s">
        <v>1472</v>
      </c>
      <c r="E632" s="1" t="s">
        <v>1473</v>
      </c>
      <c r="F632" s="1" t="s">
        <v>112</v>
      </c>
      <c r="G632" s="1">
        <v>853775</v>
      </c>
    </row>
    <row r="633" spans="1:7" x14ac:dyDescent="0.25">
      <c r="A633" s="1" t="str">
        <f t="shared" si="9"/>
        <v>08  Fadrozole 2 µg_L Dopé</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1474</v>
      </c>
      <c r="D633" s="1" t="s">
        <v>197</v>
      </c>
      <c r="E633" s="1" t="s">
        <v>1475</v>
      </c>
      <c r="F633" s="1" t="s">
        <v>112</v>
      </c>
      <c r="G633" s="1">
        <v>69929</v>
      </c>
    </row>
    <row r="634" spans="1:7" x14ac:dyDescent="0.25">
      <c r="A634" s="1" t="str">
        <f t="shared" si="9"/>
        <v>08  Fadrozole 2 µg_L Dopé</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1476</v>
      </c>
      <c r="D634" s="1" t="s">
        <v>1477</v>
      </c>
      <c r="E634" s="1" t="s">
        <v>1478</v>
      </c>
      <c r="F634" s="1" t="s">
        <v>112</v>
      </c>
      <c r="G634" s="1">
        <v>612494</v>
      </c>
    </row>
    <row r="635" spans="1:7" x14ac:dyDescent="0.25">
      <c r="A635" s="1" t="str">
        <f t="shared" si="9"/>
        <v>08  Fadrozole 2 µg_L Dopé</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1479</v>
      </c>
      <c r="D635" s="1" t="s">
        <v>260</v>
      </c>
      <c r="E635" s="1" t="s">
        <v>781</v>
      </c>
      <c r="F635" s="1" t="s">
        <v>112</v>
      </c>
      <c r="G635" s="1">
        <v>27210</v>
      </c>
    </row>
    <row r="636" spans="1:7" x14ac:dyDescent="0.25">
      <c r="A636" s="1" t="str">
        <f t="shared" si="9"/>
        <v>08  Fadrozole 2 µg_L Dopé</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1480</v>
      </c>
      <c r="D636" s="1" t="s">
        <v>1481</v>
      </c>
      <c r="E636" s="1" t="s">
        <v>908</v>
      </c>
      <c r="F636" s="1" t="s">
        <v>112</v>
      </c>
      <c r="G636" s="1">
        <v>66101</v>
      </c>
    </row>
    <row r="637" spans="1:7" x14ac:dyDescent="0.25">
      <c r="A637" s="1" t="str">
        <f t="shared" si="9"/>
        <v>08  Fadrozole 2 µg_L Dopé</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1482</v>
      </c>
      <c r="D637" s="1" t="s">
        <v>725</v>
      </c>
      <c r="E637" s="1" t="s">
        <v>1483</v>
      </c>
      <c r="F637" s="1" t="s">
        <v>112</v>
      </c>
      <c r="G637" s="1">
        <v>20137</v>
      </c>
    </row>
    <row r="638" spans="1:7" x14ac:dyDescent="0.25">
      <c r="A638" s="1" t="str">
        <f t="shared" si="9"/>
        <v>08  Fadrozole 2 µg_L Dopé</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1484</v>
      </c>
      <c r="D638" s="1" t="s">
        <v>824</v>
      </c>
      <c r="E638" s="1" t="s">
        <v>1485</v>
      </c>
      <c r="F638" s="1" t="s">
        <v>112</v>
      </c>
      <c r="G638" s="1">
        <v>14968</v>
      </c>
    </row>
    <row r="639" spans="1:7" x14ac:dyDescent="0.25">
      <c r="A639" s="1" t="str">
        <f t="shared" si="9"/>
        <v>08  Fadrozole 2 µg_L Dopé</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1486</v>
      </c>
      <c r="D639" s="1" t="s">
        <v>409</v>
      </c>
      <c r="E639" s="1" t="s">
        <v>1487</v>
      </c>
      <c r="F639" s="1" t="s">
        <v>112</v>
      </c>
      <c r="G639" s="1">
        <v>16244</v>
      </c>
    </row>
    <row r="640" spans="1:7" x14ac:dyDescent="0.25">
      <c r="A640" s="1" t="str">
        <f t="shared" si="9"/>
        <v>08  Fadrozole 2 µg_L Dopé</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1488</v>
      </c>
      <c r="D640" s="1" t="s">
        <v>409</v>
      </c>
      <c r="E640" s="1" t="s">
        <v>1489</v>
      </c>
      <c r="F640" s="1" t="s">
        <v>112</v>
      </c>
      <c r="G640" s="1">
        <v>16222</v>
      </c>
    </row>
    <row r="641" spans="1:10" x14ac:dyDescent="0.25">
      <c r="A641" s="1" t="str">
        <f t="shared" si="9"/>
        <v>08  Fadrozole 2 µg_L Dopé</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1490</v>
      </c>
      <c r="D641" s="1" t="s">
        <v>1491</v>
      </c>
      <c r="E641" s="1" t="s">
        <v>1492</v>
      </c>
      <c r="F641" s="1" t="s">
        <v>112</v>
      </c>
      <c r="G641" s="1">
        <v>166291</v>
      </c>
    </row>
    <row r="642" spans="1:10" x14ac:dyDescent="0.25">
      <c r="A642" s="1" t="str">
        <f t="shared" ref="A642:A705" si="10">IFERROR(LEFT(RIGHT(C642,LEN(C642)-SEARCH("@",C642)),SEARCH("/",RIGHT(C642,LEN(C642)-SEARCH("@",C642)-1))),"")</f>
        <v>08  Fadrozole 2 µg_L Dopé</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1493</v>
      </c>
      <c r="D642" s="1" t="s">
        <v>737</v>
      </c>
      <c r="E642" s="1" t="s">
        <v>1494</v>
      </c>
      <c r="F642" s="1" t="s">
        <v>112</v>
      </c>
      <c r="G642" s="1">
        <v>94674</v>
      </c>
    </row>
    <row r="643" spans="1:10" x14ac:dyDescent="0.25">
      <c r="A643" s="1" t="str">
        <f t="shared" si="10"/>
        <v>08  Fadrozole 2 µg_L Dopé</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1495</v>
      </c>
      <c r="D643" s="1" t="s">
        <v>1496</v>
      </c>
      <c r="E643" s="1" t="s">
        <v>1497</v>
      </c>
      <c r="F643" s="1" t="s">
        <v>112</v>
      </c>
      <c r="G643" s="1">
        <v>79101</v>
      </c>
    </row>
    <row r="644" spans="1:10" x14ac:dyDescent="0.25">
      <c r="A644" s="1" t="str">
        <f t="shared" si="10"/>
        <v>08  Fadrozole 2 µg_L Dopé</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1498</v>
      </c>
      <c r="D644" s="1" t="s">
        <v>1499</v>
      </c>
      <c r="E644" s="1" t="s">
        <v>1500</v>
      </c>
      <c r="F644" s="1" t="s">
        <v>112</v>
      </c>
      <c r="G644" s="1">
        <v>462966</v>
      </c>
    </row>
    <row r="645" spans="1:10" x14ac:dyDescent="0.25">
      <c r="A645" s="1" t="str">
        <f t="shared" si="10"/>
        <v>08  Fadrozole 2 µg_L Dopé</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1501</v>
      </c>
      <c r="D645" s="1" t="s">
        <v>229</v>
      </c>
      <c r="E645" s="1" t="s">
        <v>230</v>
      </c>
      <c r="F645" s="1" t="s">
        <v>112</v>
      </c>
      <c r="G645" s="1">
        <v>10966</v>
      </c>
    </row>
    <row r="646" spans="1:10" x14ac:dyDescent="0.25">
      <c r="A646" s="1" t="str">
        <f t="shared" si="10"/>
        <v>08  Fadrozole 2 µg_L Dopé</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1502</v>
      </c>
      <c r="D646" s="1" t="s">
        <v>326</v>
      </c>
      <c r="E646" s="1" t="s">
        <v>1503</v>
      </c>
      <c r="F646" s="1" t="s">
        <v>112</v>
      </c>
      <c r="G646" s="1">
        <v>263777</v>
      </c>
    </row>
    <row r="647" spans="1:10" x14ac:dyDescent="0.25">
      <c r="A647" s="1" t="str">
        <f t="shared" si="10"/>
        <v>08  Fadrozole 2 µg_L Dopé</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1504</v>
      </c>
      <c r="D647" s="1" t="s">
        <v>361</v>
      </c>
      <c r="E647" s="1" t="s">
        <v>362</v>
      </c>
      <c r="F647" s="1" t="s">
        <v>112</v>
      </c>
      <c r="G647" s="1">
        <v>30044</v>
      </c>
    </row>
    <row r="648" spans="1:10" x14ac:dyDescent="0.25">
      <c r="A648" s="1" t="str">
        <f t="shared" si="10"/>
        <v>08  Fadrozole 2 µg_L Dopé</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1505</v>
      </c>
      <c r="D648" s="1" t="s">
        <v>223</v>
      </c>
      <c r="E648" s="1" t="s">
        <v>1506</v>
      </c>
      <c r="F648" s="1" t="s">
        <v>112</v>
      </c>
      <c r="G648" s="1">
        <v>22928</v>
      </c>
    </row>
    <row r="649" spans="1:10" x14ac:dyDescent="0.25">
      <c r="A649" s="1" t="str">
        <f t="shared" si="10"/>
        <v>08  Fadrozole 2 µg_L Dopé</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1507</v>
      </c>
      <c r="D649" s="1" t="s">
        <v>797</v>
      </c>
      <c r="E649" s="1" t="s">
        <v>1508</v>
      </c>
      <c r="F649" s="1" t="s">
        <v>112</v>
      </c>
      <c r="G649" s="1">
        <v>35560</v>
      </c>
    </row>
    <row r="650" spans="1:10" x14ac:dyDescent="0.25">
      <c r="A650" s="1" t="str">
        <f t="shared" si="10"/>
        <v>08  Fadrozole 2 µg_L Dopé</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1509</v>
      </c>
      <c r="D650" s="1" t="s">
        <v>1510</v>
      </c>
      <c r="E650" s="1" t="s">
        <v>1511</v>
      </c>
      <c r="F650" s="1" t="s">
        <v>112</v>
      </c>
      <c r="G650" s="1">
        <v>97248</v>
      </c>
    </row>
    <row r="651" spans="1:10" x14ac:dyDescent="0.25">
      <c r="A651" s="1" t="str">
        <f t="shared" si="10"/>
        <v>08  Fadrozole 2 µg_L Dopé</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1512</v>
      </c>
      <c r="D651" s="1" t="s">
        <v>1513</v>
      </c>
      <c r="E651" s="1" t="s">
        <v>1514</v>
      </c>
      <c r="F651" s="1" t="s">
        <v>112</v>
      </c>
      <c r="G651" s="1">
        <v>4391</v>
      </c>
    </row>
    <row r="652" spans="1:10" x14ac:dyDescent="0.25">
      <c r="A652" s="1" t="str">
        <f t="shared" si="10"/>
        <v>08  Fadrozole 2 µg_L Dopé</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1515</v>
      </c>
      <c r="D652" s="1" t="s">
        <v>698</v>
      </c>
      <c r="E652" s="1" t="s">
        <v>699</v>
      </c>
      <c r="F652" s="1" t="s">
        <v>112</v>
      </c>
      <c r="G652" s="1">
        <v>17953</v>
      </c>
    </row>
    <row r="653" spans="1:10" x14ac:dyDescent="0.2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10" x14ac:dyDescent="0.2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243</v>
      </c>
      <c r="D654" s="1" t="s">
        <v>112</v>
      </c>
      <c r="E654" s="1" t="s">
        <v>244</v>
      </c>
      <c r="F654" s="1" t="s">
        <v>245</v>
      </c>
      <c r="G654" s="1" t="s">
        <v>246</v>
      </c>
      <c r="H654" s="1" t="s">
        <v>247</v>
      </c>
      <c r="I654" s="1" t="s">
        <v>248</v>
      </c>
      <c r="J654" s="1" t="s">
        <v>249</v>
      </c>
    </row>
    <row r="655" spans="1:10" x14ac:dyDescent="0.25">
      <c r="A655" s="1" t="str">
        <f t="shared" si="10"/>
        <v>08  Fadrozole 2 µg_L Dopé</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1516</v>
      </c>
      <c r="D655" s="1" t="s">
        <v>112</v>
      </c>
      <c r="E655" s="1" t="s">
        <v>1517</v>
      </c>
      <c r="F655" s="1" t="s">
        <v>1518</v>
      </c>
      <c r="G655" s="1" t="s">
        <v>1519</v>
      </c>
      <c r="H655" s="1" t="s">
        <v>1520</v>
      </c>
      <c r="I655" s="1">
        <v>24</v>
      </c>
      <c r="J655" s="1">
        <v>24</v>
      </c>
    </row>
    <row r="656" spans="1:10" x14ac:dyDescent="0.2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2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2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2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2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2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255</v>
      </c>
      <c r="D661" s="1" t="s">
        <v>110</v>
      </c>
      <c r="E661" s="1" t="s">
        <v>111</v>
      </c>
      <c r="F661" s="1" t="s">
        <v>112</v>
      </c>
      <c r="G661" s="1" t="s">
        <v>113</v>
      </c>
    </row>
    <row r="662" spans="1:7" x14ac:dyDescent="0.25">
      <c r="A662" s="1" t="str">
        <f t="shared" si="10"/>
        <v>09  Fadrozole 10 µg_L Dopé</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1521</v>
      </c>
      <c r="D662" s="1" t="s">
        <v>288</v>
      </c>
      <c r="E662" s="1" t="s">
        <v>1522</v>
      </c>
      <c r="F662" s="1" t="s">
        <v>112</v>
      </c>
      <c r="G662" s="1">
        <v>14038</v>
      </c>
    </row>
    <row r="663" spans="1:7" x14ac:dyDescent="0.25">
      <c r="A663" s="1" t="str">
        <f t="shared" si="10"/>
        <v>09  Fadrozole 10 µg_L Dopé</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1523</v>
      </c>
      <c r="D663" s="1" t="s">
        <v>229</v>
      </c>
      <c r="E663" s="1" t="s">
        <v>854</v>
      </c>
      <c r="F663" s="1" t="s">
        <v>112</v>
      </c>
      <c r="G663" s="1">
        <v>10945</v>
      </c>
    </row>
    <row r="664" spans="1:7" x14ac:dyDescent="0.25">
      <c r="A664" s="1" t="str">
        <f t="shared" si="10"/>
        <v>09  Fadrozole 10 µg_L Dopé</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1524</v>
      </c>
      <c r="D664" s="1" t="s">
        <v>824</v>
      </c>
      <c r="E664" s="1" t="s">
        <v>1525</v>
      </c>
      <c r="F664" s="1" t="s">
        <v>112</v>
      </c>
      <c r="G664" s="1">
        <v>14773</v>
      </c>
    </row>
    <row r="665" spans="1:7" x14ac:dyDescent="0.25">
      <c r="A665" s="1" t="str">
        <f t="shared" si="10"/>
        <v>09  Fadrozole 10 µg_L Dopé</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1526</v>
      </c>
      <c r="D665" s="1" t="s">
        <v>263</v>
      </c>
      <c r="E665" s="1" t="s">
        <v>1527</v>
      </c>
      <c r="F665" s="1" t="s">
        <v>112</v>
      </c>
      <c r="G665" s="1">
        <v>24420</v>
      </c>
    </row>
    <row r="666" spans="1:7" x14ac:dyDescent="0.25">
      <c r="A666" s="1" t="str">
        <f t="shared" si="10"/>
        <v>09  Fadrozole 10 µg_L Dopé</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1528</v>
      </c>
    </row>
    <row r="667" spans="1:7" x14ac:dyDescent="0.25">
      <c r="A667" s="1" t="str">
        <f t="shared" si="10"/>
        <v>09  Fadrozole 10 µg_L Dopé</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1529</v>
      </c>
      <c r="D667" s="1" t="s">
        <v>829</v>
      </c>
      <c r="E667" s="1" t="s">
        <v>856</v>
      </c>
      <c r="F667" s="1" t="s">
        <v>112</v>
      </c>
      <c r="G667" s="1">
        <v>8522</v>
      </c>
    </row>
    <row r="668" spans="1:7" x14ac:dyDescent="0.25">
      <c r="A668" s="1" t="str">
        <f t="shared" si="10"/>
        <v>09  Fadrozole 10 µg_L Dopé</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1530</v>
      </c>
      <c r="D668" s="1" t="s">
        <v>829</v>
      </c>
      <c r="E668" s="1" t="s">
        <v>701</v>
      </c>
      <c r="F668" s="1" t="s">
        <v>112</v>
      </c>
      <c r="G668" s="1">
        <v>8090</v>
      </c>
    </row>
    <row r="669" spans="1:7" x14ac:dyDescent="0.25">
      <c r="A669" s="1" t="str">
        <f t="shared" si="10"/>
        <v>09  Fadrozole 10 µg_L Dopé</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1531</v>
      </c>
      <c r="D669" s="1" t="s">
        <v>173</v>
      </c>
      <c r="E669" s="1" t="s">
        <v>1532</v>
      </c>
      <c r="F669" s="1" t="s">
        <v>112</v>
      </c>
      <c r="G669" s="1">
        <v>124242</v>
      </c>
    </row>
    <row r="670" spans="1:7" x14ac:dyDescent="0.25">
      <c r="A670" s="1" t="str">
        <f t="shared" si="10"/>
        <v>09  Fadrozole 10 µg_L Dopé</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1533</v>
      </c>
      <c r="D670" s="1" t="s">
        <v>223</v>
      </c>
      <c r="E670" s="1" t="s">
        <v>1534</v>
      </c>
      <c r="F670" s="1" t="s">
        <v>112</v>
      </c>
      <c r="G670" s="1">
        <v>23252</v>
      </c>
    </row>
    <row r="671" spans="1:7" x14ac:dyDescent="0.25">
      <c r="A671" s="1" t="str">
        <f t="shared" si="10"/>
        <v>09  Fadrozole 10 µg_L Dopé</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1535</v>
      </c>
      <c r="D671" s="1" t="s">
        <v>229</v>
      </c>
      <c r="E671" s="1" t="s">
        <v>1536</v>
      </c>
      <c r="F671" s="1" t="s">
        <v>112</v>
      </c>
      <c r="G671" s="1">
        <v>11226</v>
      </c>
    </row>
    <row r="672" spans="1:7" x14ac:dyDescent="0.25">
      <c r="A672" s="1" t="str">
        <f t="shared" si="10"/>
        <v>09  Fadrozole 10 µg_L Dopé</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1537</v>
      </c>
      <c r="D672" s="1" t="s">
        <v>269</v>
      </c>
      <c r="E672" s="1">
        <v>63</v>
      </c>
      <c r="F672" s="1" t="s">
        <v>112</v>
      </c>
      <c r="G672" s="1">
        <v>21803</v>
      </c>
    </row>
    <row r="673" spans="1:10" x14ac:dyDescent="0.25">
      <c r="A673" s="1" t="str">
        <f t="shared" si="10"/>
        <v>09  Fadrozole 10 µg_L Dopé</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1538</v>
      </c>
      <c r="D673" s="1" t="s">
        <v>220</v>
      </c>
      <c r="E673" s="1" t="s">
        <v>221</v>
      </c>
      <c r="F673" s="1" t="s">
        <v>112</v>
      </c>
      <c r="G673" s="1">
        <v>12372</v>
      </c>
    </row>
    <row r="674" spans="1:10" x14ac:dyDescent="0.25">
      <c r="A674" s="1" t="str">
        <f t="shared" si="10"/>
        <v>09  Fadrozole 10 µg_L Dopé</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1539</v>
      </c>
      <c r="D674" s="1" t="s">
        <v>260</v>
      </c>
      <c r="E674" s="1" t="s">
        <v>284</v>
      </c>
      <c r="F674" s="1" t="s">
        <v>112</v>
      </c>
      <c r="G674" s="1">
        <v>27102</v>
      </c>
    </row>
    <row r="675" spans="1:10" x14ac:dyDescent="0.25">
      <c r="A675" s="1" t="str">
        <f t="shared" si="10"/>
        <v>09  Fadrozole 10 µg_L Dopé</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1540</v>
      </c>
      <c r="D675" s="1" t="s">
        <v>292</v>
      </c>
      <c r="E675" s="1">
        <v>62</v>
      </c>
      <c r="F675" s="1" t="s">
        <v>112</v>
      </c>
      <c r="G675" s="1">
        <v>9387</v>
      </c>
    </row>
    <row r="676" spans="1:10" x14ac:dyDescent="0.25">
      <c r="A676" s="1" t="str">
        <f t="shared" si="10"/>
        <v>09  Fadrozole 10 µg_L Dopé</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1541</v>
      </c>
    </row>
    <row r="677" spans="1:10" x14ac:dyDescent="0.25">
      <c r="A677" s="1" t="str">
        <f t="shared" si="10"/>
        <v>09  Fadrozole 10 µg_L Dopé</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1542</v>
      </c>
      <c r="D677" s="1" t="s">
        <v>341</v>
      </c>
      <c r="E677" s="1" t="s">
        <v>1543</v>
      </c>
      <c r="F677" s="1" t="s">
        <v>112</v>
      </c>
      <c r="G677" s="1">
        <v>30952</v>
      </c>
    </row>
    <row r="678" spans="1:10" x14ac:dyDescent="0.25">
      <c r="A678" s="1" t="str">
        <f t="shared" si="10"/>
        <v>09  Fadrozole 10 µg_L Dopé</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1544</v>
      </c>
    </row>
    <row r="679" spans="1:10" x14ac:dyDescent="0.25">
      <c r="A679" s="1" t="str">
        <f t="shared" si="10"/>
        <v>09  Fadrozole 10 µg_L Dopé</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1545</v>
      </c>
      <c r="D679" s="1" t="s">
        <v>405</v>
      </c>
      <c r="E679" s="1" t="s">
        <v>410</v>
      </c>
      <c r="F679" s="1" t="s">
        <v>112</v>
      </c>
      <c r="G679" s="1">
        <v>19229</v>
      </c>
    </row>
    <row r="680" spans="1:10" x14ac:dyDescent="0.25">
      <c r="A680" s="1" t="str">
        <f t="shared" si="10"/>
        <v>09  Fadrozole 10 µg_L Dopé</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1546</v>
      </c>
      <c r="D680" s="1" t="s">
        <v>1547</v>
      </c>
      <c r="E680" s="1" t="s">
        <v>1548</v>
      </c>
      <c r="F680" s="1" t="s">
        <v>112</v>
      </c>
      <c r="G680" s="1">
        <v>333382</v>
      </c>
    </row>
    <row r="681" spans="1:10" x14ac:dyDescent="0.25">
      <c r="A681" s="1" t="str">
        <f t="shared" si="10"/>
        <v>09  Fadrozole 10 µg_L Dopé</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1549</v>
      </c>
      <c r="D681" s="1" t="s">
        <v>1550</v>
      </c>
      <c r="E681" s="1" t="s">
        <v>1551</v>
      </c>
      <c r="F681" s="1" t="s">
        <v>112</v>
      </c>
      <c r="G681" s="1">
        <v>262609</v>
      </c>
    </row>
    <row r="682" spans="1:10" x14ac:dyDescent="0.25">
      <c r="A682" s="1" t="str">
        <f t="shared" si="10"/>
        <v>09  Fadrozole 10 µg_L Dopé</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1552</v>
      </c>
      <c r="D682" s="1" t="s">
        <v>1553</v>
      </c>
      <c r="E682" s="1" t="s">
        <v>1554</v>
      </c>
      <c r="F682" s="1" t="s">
        <v>112</v>
      </c>
      <c r="G682" s="1">
        <v>215542</v>
      </c>
    </row>
    <row r="683" spans="1:10" x14ac:dyDescent="0.25">
      <c r="A683" s="1" t="str">
        <f t="shared" si="10"/>
        <v>09  Fadrozole 10 µg_L Dopé</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1555</v>
      </c>
      <c r="D683" s="1" t="s">
        <v>292</v>
      </c>
      <c r="E683" s="1">
        <v>66</v>
      </c>
      <c r="F683" s="1" t="s">
        <v>112</v>
      </c>
      <c r="G683" s="1">
        <v>9993</v>
      </c>
    </row>
    <row r="684" spans="1:10" x14ac:dyDescent="0.25">
      <c r="A684" s="1" t="str">
        <f t="shared" si="10"/>
        <v>09  Fadrozole 10 µg_L Dopé</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1556</v>
      </c>
      <c r="D684" s="1" t="s">
        <v>829</v>
      </c>
      <c r="E684" s="1" t="s">
        <v>1557</v>
      </c>
      <c r="F684" s="1" t="s">
        <v>112</v>
      </c>
      <c r="G684" s="1">
        <v>8501</v>
      </c>
    </row>
    <row r="685" spans="1:10" x14ac:dyDescent="0.25">
      <c r="A685" s="1" t="str">
        <f t="shared" si="10"/>
        <v>09  Fadrozole 10 µg_L Dopé</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1558</v>
      </c>
      <c r="D685" s="1" t="s">
        <v>829</v>
      </c>
      <c r="E685" s="1" t="s">
        <v>415</v>
      </c>
      <c r="F685" s="1" t="s">
        <v>112</v>
      </c>
      <c r="G685" s="1">
        <v>8219</v>
      </c>
    </row>
    <row r="686" spans="1:10" x14ac:dyDescent="0.2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10" x14ac:dyDescent="0.2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243</v>
      </c>
      <c r="D687" s="1" t="s">
        <v>112</v>
      </c>
      <c r="E687" s="1" t="s">
        <v>244</v>
      </c>
      <c r="F687" s="1" t="s">
        <v>245</v>
      </c>
      <c r="G687" s="1" t="s">
        <v>246</v>
      </c>
      <c r="H687" s="1" t="s">
        <v>247</v>
      </c>
      <c r="I687" s="1" t="s">
        <v>248</v>
      </c>
      <c r="J687" s="1" t="s">
        <v>249</v>
      </c>
    </row>
    <row r="688" spans="1:10" x14ac:dyDescent="0.25">
      <c r="A688" s="1" t="str">
        <f t="shared" si="10"/>
        <v>09  Fadrozole 10 µg_L Dopé</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1559</v>
      </c>
      <c r="D688" s="1" t="s">
        <v>112</v>
      </c>
      <c r="E688" s="1" t="s">
        <v>1560</v>
      </c>
      <c r="F688" s="1" t="s">
        <v>1561</v>
      </c>
      <c r="G688" s="1" t="s">
        <v>1562</v>
      </c>
      <c r="H688" s="1" t="s">
        <v>1563</v>
      </c>
      <c r="I688" s="1">
        <v>24</v>
      </c>
      <c r="J688" s="1">
        <v>24</v>
      </c>
    </row>
    <row r="689" spans="1:3" x14ac:dyDescent="0.2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3" x14ac:dyDescent="0.2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0" s="1" t="s">
        <v>112</v>
      </c>
    </row>
    <row r="691" spans="1:3" x14ac:dyDescent="0.2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3" x14ac:dyDescent="0.2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3" x14ac:dyDescent="0.2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3" x14ac:dyDescent="0.2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3" x14ac:dyDescent="0.2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3" x14ac:dyDescent="0.2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3" x14ac:dyDescent="0.2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3" x14ac:dyDescent="0.2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3" x14ac:dyDescent="0.2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3" x14ac:dyDescent="0.2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3" x14ac:dyDescent="0.2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3" x14ac:dyDescent="0.2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3" x14ac:dyDescent="0.2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3" x14ac:dyDescent="0.2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2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2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2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2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2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2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2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2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2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2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2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2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2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2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2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2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2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2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2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2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2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2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2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2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2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2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2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2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2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2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2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2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2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2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2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2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2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2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2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2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2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2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2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2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2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2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2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2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2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2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2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2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2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2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2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2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2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2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2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2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2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2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2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2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2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2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2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2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2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2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2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2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2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2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2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2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2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2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2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2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2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2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2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2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2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2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2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2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2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2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2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2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2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2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2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2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2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2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2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2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2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2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2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2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2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2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2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2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2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2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2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2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2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2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2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2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2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2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2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2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2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2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2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2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2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2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2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2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2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2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2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2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2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2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2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2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2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2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2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2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2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2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2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2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2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2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2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2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2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2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2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2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2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2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2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2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2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2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2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2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2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2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2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2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2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2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2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2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2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2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2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2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2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2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2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2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2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2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2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2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2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2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2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2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2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2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2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2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2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2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2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2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2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2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2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2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2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2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2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2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2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2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2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2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2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2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2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2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2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2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2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2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2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2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2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2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2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2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2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2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2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2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2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2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2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2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2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2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2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2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2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2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2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2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2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2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2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2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2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2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2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2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2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2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2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2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2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2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2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2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2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2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2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2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2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2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2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2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2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2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2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2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2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2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2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2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2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2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2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2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2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2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2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2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2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2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2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2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2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2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2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2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2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2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2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2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2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2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2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2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2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2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2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2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2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2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2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2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2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2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2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2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2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2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2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2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2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2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2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2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2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2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2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2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2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2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2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2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2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2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2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2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2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2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2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2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2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2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2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2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2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2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2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2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2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2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2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2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2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2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2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2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2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2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2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2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2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2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2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2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2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2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2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2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2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2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2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2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2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2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2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2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2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2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2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2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2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2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2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2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2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2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2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2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2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2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2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2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2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2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2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2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2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2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2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2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2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2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2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2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2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2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2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2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2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2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2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2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2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2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2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2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2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2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2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2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2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2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2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2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2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2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2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2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2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2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2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2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2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2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2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2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2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2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2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2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2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2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2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2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2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2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2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2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2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2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2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2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2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2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2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2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2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2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2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2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2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2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2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2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2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2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2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2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2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2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2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2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2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2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2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2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2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2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2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2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2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2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2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2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2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2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2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2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2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2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2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2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2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2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2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2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2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2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2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2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2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2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2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2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2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2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2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2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2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2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2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2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2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2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2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2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2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2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2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2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2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2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2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2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2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2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2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2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2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2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2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2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2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2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2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2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2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2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2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2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2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2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2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2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2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2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2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2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2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2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2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2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2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2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2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2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2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2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2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2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2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2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2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2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2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2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2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2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2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2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2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2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2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2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2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2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2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2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2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2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2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2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2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2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2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2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2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2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2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2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2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2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2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2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2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2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2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2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2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2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2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2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2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2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2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2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2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2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2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2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2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2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2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2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2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2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2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2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2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2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2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2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2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2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2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2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2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2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2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2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2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2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2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2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2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2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2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2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2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2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2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2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2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2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2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2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2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2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2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2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2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2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2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2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2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2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2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2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2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2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2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2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2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2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2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2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2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2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2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2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2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2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2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2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2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2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2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2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2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2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2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2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2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2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2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2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2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2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2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2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2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2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2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2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2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2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2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2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2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2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2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2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2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2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2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2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2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2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2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2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2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2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2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2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2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2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2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2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2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2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2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2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2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2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2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2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2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2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2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2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2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2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2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2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2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2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2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2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2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2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2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2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2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2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2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2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2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2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2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2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2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2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2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2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2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2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2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2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2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2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2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2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2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2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2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2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2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2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2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2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2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2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2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2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2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2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2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2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2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2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2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2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2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2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2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2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2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2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2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2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2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2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2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2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2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2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2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2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2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2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2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2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2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2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2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2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2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2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2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2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2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2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2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2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2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2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2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2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2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2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2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2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2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2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2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2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2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2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2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2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2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2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2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2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2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2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2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2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2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2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2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2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2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2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2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2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2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2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2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2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2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2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2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2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2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2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2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2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2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2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2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2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2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2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2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2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2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7"/>
  <sheetViews>
    <sheetView showGridLines="0" topLeftCell="A43" zoomScale="85" zoomScaleNormal="85" zoomScaleSheetLayoutView="40" zoomScalePageLayoutView="30" workbookViewId="0">
      <pane xSplit="1" topLeftCell="N1" activePane="topRight" state="frozen"/>
      <selection pane="topRight" activeCell="V65" sqref="V65"/>
    </sheetView>
  </sheetViews>
  <sheetFormatPr baseColWidth="10"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17.7109375" customWidth="1"/>
    <col min="17" max="18" width="25.85546875" bestFit="1" customWidth="1"/>
    <col min="19" max="22" width="25.85546875" style="1" customWidth="1"/>
  </cols>
  <sheetData>
    <row r="1" spans="1:22" s="1" customFormat="1" ht="27" thickBot="1" x14ac:dyDescent="0.45">
      <c r="A1" s="216" t="s">
        <v>40</v>
      </c>
      <c r="B1" s="217"/>
      <c r="C1" s="217"/>
      <c r="D1" s="217"/>
      <c r="E1" s="217"/>
      <c r="F1" s="217"/>
      <c r="G1" s="217"/>
      <c r="H1" s="217"/>
      <c r="I1" s="217"/>
      <c r="J1" s="217"/>
      <c r="K1" s="217"/>
      <c r="L1" s="217"/>
      <c r="M1" s="217"/>
      <c r="N1" s="217"/>
      <c r="O1" s="217"/>
      <c r="P1" s="217"/>
      <c r="Q1" s="217"/>
      <c r="R1" s="217"/>
      <c r="S1" s="217"/>
      <c r="T1" s="217"/>
      <c r="U1" s="217"/>
      <c r="V1" s="217"/>
    </row>
    <row r="2" spans="1:22" ht="15.75" thickBot="1" x14ac:dyDescent="0.3">
      <c r="A2"/>
      <c r="B2"/>
      <c r="C2"/>
      <c r="D2"/>
      <c r="E2"/>
      <c r="F2"/>
      <c r="G2"/>
      <c r="H2"/>
      <c r="I2"/>
      <c r="J2"/>
      <c r="K2"/>
      <c r="L2"/>
      <c r="M2"/>
      <c r="S2"/>
      <c r="T2"/>
      <c r="U2"/>
      <c r="V2"/>
    </row>
    <row r="3" spans="1:22" ht="15.75" thickBot="1" x14ac:dyDescent="0.3">
      <c r="A3" s="51" t="s">
        <v>17</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Fadrozole 0,016µg/L</v>
      </c>
      <c r="J4" s="35" t="str">
        <f>'Page de garde'!A16</f>
        <v>Fadrozole 0,08µg/L</v>
      </c>
      <c r="K4" s="35" t="str">
        <f>'Page de garde'!A17</f>
        <v>Fadrozole 0,4µg/L</v>
      </c>
      <c r="L4" s="35" t="str">
        <f>'Page de garde'!A18</f>
        <v>Fadrozole 2µg/L</v>
      </c>
      <c r="M4" s="35" t="str">
        <f>'Page de garde'!A19</f>
        <v>Fadrozole 10µg/L</v>
      </c>
      <c r="N4" s="3"/>
      <c r="O4" s="36" t="str">
        <f>'Page de garde'!A36</f>
        <v>Testo -30µg/L</v>
      </c>
      <c r="P4" s="36" t="str">
        <f>'Page de garde'!A37</f>
        <v>Testo 30µg/L + EE2 -64ng/L</v>
      </c>
      <c r="Q4" s="36" t="str">
        <f>'Page de garde'!A38</f>
        <v>Testo 30µg/L + FAD-10µg/L</v>
      </c>
      <c r="R4" s="36" t="str">
        <f>'Page de garde'!A39</f>
        <v>Fadrozole-0,016 µg/L + Testostérone</v>
      </c>
      <c r="S4" s="36" t="str">
        <f>'Page de garde'!A40</f>
        <v>Fadrozole-0,08µg/L + Testostérone</v>
      </c>
      <c r="T4" s="36" t="str">
        <f>'Page de garde'!A41</f>
        <v>Fadrozole-0,4µg/L + Testostérone</v>
      </c>
      <c r="U4" s="36" t="str">
        <f>'Page de garde'!A42</f>
        <v>Fadrozole-2µg/L + Testostérone</v>
      </c>
      <c r="V4" s="36" t="str">
        <f>'Page de garde'!A43</f>
        <v>Fadrozole-10 µg/L + Testostérone</v>
      </c>
    </row>
    <row r="5" spans="1:22" x14ac:dyDescent="0.25">
      <c r="A5" s="220" t="s">
        <v>33</v>
      </c>
      <c r="B5" s="196">
        <v>124833.66666666667</v>
      </c>
      <c r="C5" s="196">
        <v>19452.333333333332</v>
      </c>
      <c r="D5" s="196">
        <v>105395.33333333333</v>
      </c>
      <c r="E5" s="196">
        <v>175490.33333333334</v>
      </c>
      <c r="F5" s="196">
        <v>2486342</v>
      </c>
      <c r="G5" s="196">
        <v>1434826.3333333333</v>
      </c>
      <c r="H5" s="196">
        <v>2975841</v>
      </c>
      <c r="I5" s="196">
        <v>52748</v>
      </c>
      <c r="J5" s="196">
        <v>60268</v>
      </c>
      <c r="K5" s="196">
        <v>14304.666666666666</v>
      </c>
      <c r="L5" s="196">
        <v>33396.666666666664</v>
      </c>
      <c r="M5" s="196">
        <v>285255</v>
      </c>
      <c r="N5" s="3"/>
      <c r="O5" s="196">
        <v>381378.33333333331</v>
      </c>
      <c r="P5" s="196">
        <v>2847712.6666666665</v>
      </c>
      <c r="Q5" s="196">
        <v>769461.5</v>
      </c>
      <c r="R5" s="196">
        <v>2140292.6666666665</v>
      </c>
      <c r="S5" s="196">
        <v>1101300.3333333333</v>
      </c>
      <c r="T5" s="196">
        <v>81681.666666666672</v>
      </c>
      <c r="U5" s="196">
        <v>14153.333333333334</v>
      </c>
      <c r="V5" s="196">
        <v>13252</v>
      </c>
    </row>
    <row r="6" spans="1:22" x14ac:dyDescent="0.25">
      <c r="A6" s="221"/>
      <c r="B6" s="196">
        <v>221331.33333333334</v>
      </c>
      <c r="C6" s="196">
        <v>99721</v>
      </c>
      <c r="D6" s="196">
        <v>43584.333333333336</v>
      </c>
      <c r="E6" s="196">
        <v>18061</v>
      </c>
      <c r="F6" s="196">
        <v>2373318.5</v>
      </c>
      <c r="G6" s="196">
        <v>8234695.666666667</v>
      </c>
      <c r="H6" s="196">
        <v>6208313.333333333</v>
      </c>
      <c r="I6" s="196">
        <v>15429.333333333334</v>
      </c>
      <c r="J6" s="196">
        <v>19878</v>
      </c>
      <c r="K6" s="196">
        <v>79742.333333333328</v>
      </c>
      <c r="L6" s="196">
        <v>255333.66666666666</v>
      </c>
      <c r="M6" s="196">
        <v>305536.33333333331</v>
      </c>
      <c r="N6" s="3"/>
      <c r="O6" s="196">
        <v>63109</v>
      </c>
      <c r="P6" s="196">
        <v>1878159.6666666667</v>
      </c>
      <c r="Q6" s="196">
        <v>344030.66666666669</v>
      </c>
      <c r="R6" s="196">
        <v>1956640</v>
      </c>
      <c r="S6" s="196">
        <v>2707990.6666666665</v>
      </c>
      <c r="T6" s="196">
        <v>183500.66666666666</v>
      </c>
      <c r="U6" s="196">
        <v>512066</v>
      </c>
      <c r="V6" s="196">
        <v>16471</v>
      </c>
    </row>
    <row r="7" spans="1:22" x14ac:dyDescent="0.25">
      <c r="A7" s="221"/>
      <c r="B7" s="196">
        <v>52928.333333333336</v>
      </c>
      <c r="C7" s="196">
        <v>62186</v>
      </c>
      <c r="D7" s="196">
        <v>253639</v>
      </c>
      <c r="E7" s="196">
        <v>102684.66666666667</v>
      </c>
      <c r="F7" s="196">
        <v>766859</v>
      </c>
      <c r="G7" s="196">
        <v>4113415</v>
      </c>
      <c r="H7" s="196">
        <v>3987528.6666666665</v>
      </c>
      <c r="I7" s="196">
        <v>62791.5</v>
      </c>
      <c r="J7" s="196">
        <v>77464</v>
      </c>
      <c r="K7" s="196">
        <v>15919.666666666666</v>
      </c>
      <c r="L7" s="196">
        <v>350966.33333333331</v>
      </c>
      <c r="M7" s="196">
        <v>12365.333333333334</v>
      </c>
      <c r="N7" s="3"/>
      <c r="O7" s="196">
        <v>515772</v>
      </c>
      <c r="P7" s="196">
        <v>3318581</v>
      </c>
      <c r="Q7" s="196">
        <v>13677.333333333334</v>
      </c>
      <c r="R7" s="196">
        <v>256069.33333333334</v>
      </c>
      <c r="S7" s="196">
        <v>801466.66666666663</v>
      </c>
      <c r="T7" s="196">
        <v>224547</v>
      </c>
      <c r="U7" s="196">
        <v>37816</v>
      </c>
      <c r="V7" s="196">
        <v>51861.333333333336</v>
      </c>
    </row>
    <row r="8" spans="1:22" x14ac:dyDescent="0.25">
      <c r="A8" s="221"/>
      <c r="B8" s="196">
        <v>403621</v>
      </c>
      <c r="C8" s="196">
        <v>68321.666666666672</v>
      </c>
      <c r="D8" s="196">
        <v>47232.666666666664</v>
      </c>
      <c r="E8" s="196">
        <v>107738.33333333333</v>
      </c>
      <c r="F8" s="196">
        <v>925139.33333333337</v>
      </c>
      <c r="G8" s="196">
        <v>2174720</v>
      </c>
      <c r="H8" s="196">
        <v>5231500</v>
      </c>
      <c r="I8" s="196">
        <v>386461.5</v>
      </c>
      <c r="J8" s="196">
        <v>22206.666666666668</v>
      </c>
      <c r="K8" s="196">
        <v>11896.333333333334</v>
      </c>
      <c r="L8" s="196">
        <v>39625.666666666664</v>
      </c>
      <c r="M8" s="196">
        <v>96714.333333333328</v>
      </c>
      <c r="N8" s="3"/>
      <c r="O8" s="196">
        <v>225145.66666666666</v>
      </c>
      <c r="P8" s="196">
        <v>3533949.6666666665</v>
      </c>
      <c r="Q8" s="196">
        <v>49294.666666666664</v>
      </c>
      <c r="R8" s="196">
        <v>1656648</v>
      </c>
      <c r="S8" s="196">
        <v>1270107.5</v>
      </c>
      <c r="T8" s="196">
        <v>926812.33333333337</v>
      </c>
      <c r="U8" s="196">
        <v>15811.333333333334</v>
      </c>
      <c r="V8" s="196">
        <v>15133.666666666666</v>
      </c>
    </row>
    <row r="9" spans="1:22" x14ac:dyDescent="0.25">
      <c r="A9" s="221"/>
      <c r="B9" s="196">
        <v>278549.66666666669</v>
      </c>
      <c r="C9" s="196">
        <v>12530.666666666666</v>
      </c>
      <c r="D9" s="196">
        <v>59359.666666666664</v>
      </c>
      <c r="E9" s="196">
        <v>203004</v>
      </c>
      <c r="F9" s="196">
        <v>1625241.3333333333</v>
      </c>
      <c r="G9" s="196">
        <v>3037962</v>
      </c>
      <c r="H9" s="196">
        <v>6299649.333333333</v>
      </c>
      <c r="I9" s="196">
        <v>148316.33333333334</v>
      </c>
      <c r="J9" s="196">
        <v>64795.666666666664</v>
      </c>
      <c r="K9" s="196">
        <v>92129</v>
      </c>
      <c r="L9" s="196">
        <v>188374.66666666666</v>
      </c>
      <c r="M9" s="196">
        <v>34680</v>
      </c>
      <c r="N9" s="3"/>
      <c r="O9" s="196">
        <v>3367097</v>
      </c>
      <c r="P9" s="196">
        <v>2459557</v>
      </c>
      <c r="Q9" s="196">
        <v>56641.666666666664</v>
      </c>
      <c r="R9" s="196">
        <v>2046238.6666666667</v>
      </c>
      <c r="S9" s="196">
        <v>1335141.3333333333</v>
      </c>
      <c r="T9" s="196">
        <v>212903.33333333334</v>
      </c>
      <c r="U9" s="196">
        <v>113355.33333333333</v>
      </c>
      <c r="V9" s="196">
        <v>18244.5</v>
      </c>
    </row>
    <row r="10" spans="1:22" x14ac:dyDescent="0.25">
      <c r="A10" s="221"/>
      <c r="B10" s="196">
        <v>27859.333333333332</v>
      </c>
      <c r="C10" s="196">
        <v>140587</v>
      </c>
      <c r="D10" s="196">
        <v>358840</v>
      </c>
      <c r="E10" s="196">
        <v>406325</v>
      </c>
      <c r="F10" s="196">
        <v>1425431.6666666667</v>
      </c>
      <c r="G10" s="196">
        <v>1821287.6666666667</v>
      </c>
      <c r="H10" s="196">
        <v>2926005.6666666665</v>
      </c>
      <c r="I10" s="196">
        <v>25336</v>
      </c>
      <c r="J10" s="196">
        <v>32077.333333333332</v>
      </c>
      <c r="K10" s="196">
        <v>29950</v>
      </c>
      <c r="L10" s="196">
        <v>96800.666666666672</v>
      </c>
      <c r="M10" s="196">
        <v>27477</v>
      </c>
      <c r="N10" s="3"/>
      <c r="O10" s="196">
        <v>1263986.3333333333</v>
      </c>
      <c r="P10" s="196">
        <v>3892213</v>
      </c>
      <c r="Q10" s="196">
        <v>85777</v>
      </c>
      <c r="R10" s="196">
        <v>1859926</v>
      </c>
      <c r="S10" s="196">
        <v>130695</v>
      </c>
      <c r="T10" s="196">
        <v>346186.66666666669</v>
      </c>
      <c r="U10" s="196">
        <v>245903</v>
      </c>
      <c r="V10" s="196">
        <v>25090.5</v>
      </c>
    </row>
    <row r="11" spans="1:22" x14ac:dyDescent="0.25">
      <c r="A11" s="221"/>
      <c r="B11" s="196">
        <v>157299.66666666666</v>
      </c>
      <c r="C11" s="196">
        <v>295096.33333333331</v>
      </c>
      <c r="D11" s="196">
        <v>271152.33333333331</v>
      </c>
      <c r="E11" s="196">
        <v>6631952.5</v>
      </c>
      <c r="F11" s="196">
        <v>1644132</v>
      </c>
      <c r="G11" s="196">
        <v>3421633</v>
      </c>
      <c r="H11" s="196">
        <v>4580231</v>
      </c>
      <c r="I11" s="196">
        <v>89295.333333333328</v>
      </c>
      <c r="J11" s="196">
        <v>18255.333333333332</v>
      </c>
      <c r="K11" s="196">
        <v>35869.666666666664</v>
      </c>
      <c r="L11" s="196">
        <v>28292</v>
      </c>
      <c r="M11" s="196">
        <v>128921.33333333333</v>
      </c>
      <c r="N11" s="3"/>
      <c r="O11" s="196">
        <v>3817085.3333333335</v>
      </c>
      <c r="P11" s="196">
        <v>2756838.3333333335</v>
      </c>
      <c r="Q11" s="196">
        <v>32805.333333333336</v>
      </c>
      <c r="R11" s="196">
        <v>2270785.6666666665</v>
      </c>
      <c r="S11" s="196">
        <v>2106528</v>
      </c>
      <c r="T11" s="196">
        <v>1531101</v>
      </c>
      <c r="U11" s="196">
        <v>29510.666666666668</v>
      </c>
      <c r="V11" s="196">
        <v>270511</v>
      </c>
    </row>
    <row r="12" spans="1:22" x14ac:dyDescent="0.25">
      <c r="A12" s="221"/>
      <c r="B12" s="196">
        <v>329798</v>
      </c>
      <c r="C12" s="196">
        <v>224720.33333333334</v>
      </c>
      <c r="D12" s="196">
        <v>56014</v>
      </c>
      <c r="E12" s="196">
        <v>155605.33333333334</v>
      </c>
      <c r="F12" s="196">
        <v>2467812.6666666665</v>
      </c>
      <c r="G12" s="196">
        <v>3185073.6666666665</v>
      </c>
      <c r="H12" s="196">
        <v>6872300.333333333</v>
      </c>
      <c r="I12" s="196">
        <v>136009</v>
      </c>
      <c r="J12" s="196">
        <v>120766.66666666667</v>
      </c>
      <c r="K12" s="196">
        <v>72157</v>
      </c>
      <c r="L12" s="196">
        <v>41176</v>
      </c>
      <c r="M12" s="196">
        <v>140169</v>
      </c>
      <c r="N12" s="3"/>
      <c r="O12" s="196">
        <v>369287</v>
      </c>
      <c r="P12" s="196">
        <v>2141972</v>
      </c>
      <c r="Q12" s="196">
        <v>58919.666666666664</v>
      </c>
      <c r="R12" s="196">
        <v>865231.66666666663</v>
      </c>
      <c r="S12" s="196">
        <v>56072</v>
      </c>
      <c r="T12" s="196">
        <v>1226321.3333333333</v>
      </c>
      <c r="U12" s="196">
        <v>39864</v>
      </c>
      <c r="V12" s="196">
        <v>8904.3333333333339</v>
      </c>
    </row>
    <row r="13" spans="1:22" ht="16.5" x14ac:dyDescent="0.25">
      <c r="A13" s="221"/>
      <c r="B13" s="14"/>
      <c r="C13" s="13"/>
      <c r="D13" s="16"/>
      <c r="E13" s="16"/>
      <c r="F13" s="16"/>
      <c r="G13" s="16"/>
      <c r="H13" s="16"/>
      <c r="I13" s="32"/>
      <c r="J13" s="16"/>
      <c r="K13" s="13"/>
      <c r="L13" s="13"/>
      <c r="M13" s="13"/>
      <c r="N13" s="3"/>
      <c r="O13" s="196">
        <v>582399.33333333337</v>
      </c>
      <c r="P13" s="13"/>
      <c r="Q13" s="13"/>
      <c r="R13" s="4"/>
      <c r="S13" s="32"/>
      <c r="T13" s="32"/>
      <c r="U13" s="32"/>
      <c r="V13" s="32"/>
    </row>
    <row r="14" spans="1:22" ht="16.5" x14ac:dyDescent="0.25">
      <c r="A14" s="221"/>
      <c r="B14" s="14"/>
      <c r="C14" s="16"/>
      <c r="D14" s="16"/>
      <c r="E14" s="16"/>
      <c r="F14" s="16"/>
      <c r="G14" s="16"/>
      <c r="H14" s="16"/>
      <c r="I14" s="32"/>
      <c r="J14" s="16"/>
      <c r="K14" s="13"/>
      <c r="L14" s="13"/>
      <c r="M14" s="13"/>
      <c r="N14" s="3"/>
      <c r="O14" s="196">
        <v>1101618</v>
      </c>
      <c r="P14" s="13"/>
      <c r="Q14" s="13"/>
      <c r="R14" s="4"/>
      <c r="S14" s="32"/>
      <c r="T14" s="32"/>
      <c r="U14" s="32"/>
      <c r="V14" s="32"/>
    </row>
    <row r="15" spans="1:22" ht="16.5" x14ac:dyDescent="0.25">
      <c r="A15" s="221"/>
      <c r="B15" s="14"/>
      <c r="C15" s="16"/>
      <c r="D15" s="16"/>
      <c r="E15" s="16"/>
      <c r="F15" s="16"/>
      <c r="G15" s="16"/>
      <c r="H15" s="16"/>
      <c r="I15" s="32"/>
      <c r="J15" s="16"/>
      <c r="K15" s="13"/>
      <c r="L15" s="13"/>
      <c r="M15" s="13"/>
      <c r="N15" s="3"/>
      <c r="O15" s="196">
        <v>2820834</v>
      </c>
      <c r="P15" s="13"/>
      <c r="Q15" s="13"/>
      <c r="R15" s="4"/>
      <c r="S15" s="32"/>
      <c r="T15" s="32"/>
      <c r="U15" s="32"/>
      <c r="V15" s="32"/>
    </row>
    <row r="16" spans="1:22" ht="16.5" x14ac:dyDescent="0.25">
      <c r="A16" s="221"/>
      <c r="B16" s="14"/>
      <c r="C16" s="16"/>
      <c r="D16" s="16"/>
      <c r="E16" s="16"/>
      <c r="F16" s="16"/>
      <c r="G16" s="16"/>
      <c r="H16" s="16"/>
      <c r="I16" s="32"/>
      <c r="J16" s="16"/>
      <c r="K16" s="13"/>
      <c r="L16" s="13"/>
      <c r="M16" s="13"/>
      <c r="N16" s="3"/>
      <c r="O16" s="196">
        <v>77687</v>
      </c>
      <c r="P16" s="13"/>
      <c r="Q16" s="13"/>
      <c r="R16" s="4"/>
      <c r="S16" s="32"/>
      <c r="T16" s="32"/>
      <c r="U16" s="32"/>
      <c r="V16" s="32"/>
    </row>
    <row r="17" spans="1:22" s="1" customFormat="1" ht="16.5" x14ac:dyDescent="0.25">
      <c r="A17" s="221"/>
      <c r="B17" s="14"/>
      <c r="C17" s="32"/>
      <c r="D17" s="32"/>
      <c r="E17" s="32"/>
      <c r="F17" s="32"/>
      <c r="G17" s="32"/>
      <c r="H17" s="32"/>
      <c r="I17" s="32"/>
      <c r="J17" s="32"/>
      <c r="K17" s="13"/>
      <c r="L17" s="13"/>
      <c r="M17" s="13"/>
      <c r="N17" s="3"/>
      <c r="O17" s="196">
        <v>80203.666666666672</v>
      </c>
      <c r="P17" s="13"/>
      <c r="Q17" s="13"/>
      <c r="R17" s="32"/>
      <c r="S17" s="32"/>
      <c r="T17" s="32"/>
      <c r="U17" s="32"/>
      <c r="V17" s="32"/>
    </row>
    <row r="18" spans="1:22" s="1" customFormat="1" ht="16.5" x14ac:dyDescent="0.25">
      <c r="A18" s="221"/>
      <c r="B18" s="14"/>
      <c r="C18" s="32"/>
      <c r="D18" s="32"/>
      <c r="E18" s="32"/>
      <c r="F18" s="32"/>
      <c r="G18" s="32"/>
      <c r="H18" s="32"/>
      <c r="I18" s="32"/>
      <c r="J18" s="32"/>
      <c r="K18" s="13"/>
      <c r="L18" s="13"/>
      <c r="M18" s="13"/>
      <c r="N18" s="3"/>
      <c r="O18" s="196">
        <v>1743232.3333333333</v>
      </c>
      <c r="P18" s="13"/>
      <c r="Q18" s="13"/>
      <c r="R18" s="32"/>
      <c r="S18" s="32"/>
      <c r="T18" s="32"/>
      <c r="U18" s="32"/>
      <c r="V18" s="32"/>
    </row>
    <row r="19" spans="1:22" s="1" customFormat="1" ht="16.5" x14ac:dyDescent="0.25">
      <c r="A19" s="221"/>
      <c r="B19" s="14"/>
      <c r="C19" s="32"/>
      <c r="D19" s="32"/>
      <c r="E19" s="32"/>
      <c r="F19" s="32"/>
      <c r="G19" s="32"/>
      <c r="H19" s="32"/>
      <c r="I19" s="32"/>
      <c r="J19" s="32"/>
      <c r="K19" s="13"/>
      <c r="L19" s="13"/>
      <c r="M19" s="13"/>
      <c r="N19" s="3"/>
      <c r="O19" s="196">
        <v>2602725.3333333335</v>
      </c>
      <c r="P19" s="13"/>
      <c r="Q19" s="13"/>
      <c r="R19" s="32"/>
      <c r="S19" s="32"/>
      <c r="T19" s="32"/>
      <c r="U19" s="32"/>
      <c r="V19" s="32"/>
    </row>
    <row r="20" spans="1:22" ht="16.5" x14ac:dyDescent="0.25">
      <c r="A20" s="221"/>
      <c r="B20" s="14"/>
      <c r="C20" s="16"/>
      <c r="D20" s="16"/>
      <c r="E20" s="16"/>
      <c r="F20" s="16"/>
      <c r="G20" s="16"/>
      <c r="H20" s="16"/>
      <c r="I20" s="32"/>
      <c r="J20" s="16"/>
      <c r="K20" s="13"/>
      <c r="L20" s="13"/>
      <c r="M20" s="13"/>
      <c r="N20" s="3"/>
      <c r="O20" s="196">
        <v>187747.33333333334</v>
      </c>
      <c r="P20" s="13"/>
      <c r="Q20" s="13"/>
      <c r="R20" s="4"/>
      <c r="S20" s="32"/>
      <c r="T20" s="32"/>
      <c r="U20" s="32"/>
      <c r="V20" s="32"/>
    </row>
    <row r="21" spans="1:22" s="1" customFormat="1" ht="16.5" x14ac:dyDescent="0.2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2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Fadrozole 0,016µg/L</v>
      </c>
      <c r="J22" s="68" t="str">
        <f t="shared" si="0"/>
        <v>Fadrozole 0,08µg/L</v>
      </c>
      <c r="K22" s="68" t="str">
        <f t="shared" si="0"/>
        <v>Fadrozole 0,4µg/L</v>
      </c>
      <c r="L22" s="68" t="str">
        <f t="shared" si="0"/>
        <v>Fadrozole 2µg/L</v>
      </c>
      <c r="M22" s="68" t="str">
        <f t="shared" si="0"/>
        <v>Fadrozole 10µg/L</v>
      </c>
      <c r="N22" s="68" t="s">
        <v>47</v>
      </c>
      <c r="O22" s="68" t="str">
        <f t="shared" ref="O22:V22" si="1">O4</f>
        <v>Testo -30µg/L</v>
      </c>
      <c r="P22" s="68" t="str">
        <f t="shared" si="1"/>
        <v>Testo 30µg/L + EE2 -64ng/L</v>
      </c>
      <c r="Q22" s="68" t="str">
        <f t="shared" si="1"/>
        <v>Testo 30µg/L + FAD-10µg/L</v>
      </c>
      <c r="R22" s="68" t="str">
        <f t="shared" si="1"/>
        <v>Fadrozole-0,016 µg/L + Testostérone</v>
      </c>
      <c r="S22" s="68" t="str">
        <f t="shared" si="1"/>
        <v>Fadrozole-0,08µg/L + Testostérone</v>
      </c>
      <c r="T22" s="68" t="str">
        <f t="shared" si="1"/>
        <v>Fadrozole-0,4µg/L + Testostérone</v>
      </c>
      <c r="U22" s="68" t="str">
        <f t="shared" si="1"/>
        <v>Fadrozole-2µg/L + Testostérone</v>
      </c>
      <c r="V22" s="68" t="str">
        <f t="shared" si="1"/>
        <v>Fadrozole-10 µg/L + Testostérone</v>
      </c>
    </row>
    <row r="23" spans="1:22" x14ac:dyDescent="0.25">
      <c r="A23" s="5" t="s">
        <v>0</v>
      </c>
      <c r="B23" s="5">
        <f t="shared" ref="B23:M23" si="2">AVERAGE(B5:B20)</f>
        <v>199527.625</v>
      </c>
      <c r="C23" s="5">
        <f t="shared" si="2"/>
        <v>115326.91666666667</v>
      </c>
      <c r="D23" s="5">
        <f t="shared" si="2"/>
        <v>149402.16666666666</v>
      </c>
      <c r="E23" s="5">
        <f t="shared" si="2"/>
        <v>975107.64583333326</v>
      </c>
      <c r="F23" s="5">
        <f t="shared" si="2"/>
        <v>1714284.5624999998</v>
      </c>
      <c r="G23" s="5">
        <f t="shared" si="2"/>
        <v>3427951.666666667</v>
      </c>
      <c r="H23" s="5">
        <f t="shared" si="2"/>
        <v>4885171.166666667</v>
      </c>
      <c r="I23" s="5">
        <f t="shared" si="2"/>
        <v>114548.375</v>
      </c>
      <c r="J23" s="5">
        <f t="shared" si="2"/>
        <v>51963.958333333328</v>
      </c>
      <c r="K23" s="5">
        <f t="shared" si="2"/>
        <v>43996.083333333336</v>
      </c>
      <c r="L23" s="5">
        <f t="shared" si="2"/>
        <v>129245.70833333331</v>
      </c>
      <c r="M23" s="5">
        <f t="shared" si="2"/>
        <v>128889.79166666667</v>
      </c>
      <c r="N23" s="5" t="s">
        <v>0</v>
      </c>
      <c r="O23" s="5">
        <f t="shared" ref="O23:V23" si="3">AVERAGE(O5:O20)</f>
        <v>1199956.7291666665</v>
      </c>
      <c r="P23" s="5">
        <f t="shared" si="3"/>
        <v>2853622.9166666665</v>
      </c>
      <c r="Q23" s="5">
        <f t="shared" si="3"/>
        <v>176325.97916666669</v>
      </c>
      <c r="R23" s="5">
        <f t="shared" si="3"/>
        <v>1631479</v>
      </c>
      <c r="S23" s="5">
        <f t="shared" si="3"/>
        <v>1188662.6875</v>
      </c>
      <c r="T23" s="5">
        <f t="shared" si="3"/>
        <v>591631.75</v>
      </c>
      <c r="U23" s="5">
        <f t="shared" si="3"/>
        <v>126059.95833333334</v>
      </c>
      <c r="V23" s="5">
        <f t="shared" si="3"/>
        <v>52433.541666666664</v>
      </c>
    </row>
    <row r="24" spans="1:22" x14ac:dyDescent="0.25">
      <c r="A24" s="3" t="s">
        <v>1</v>
      </c>
      <c r="B24" s="3">
        <f t="shared" ref="B24:M24" si="4">STDEV(B5:B20)</f>
        <v>132916.78580719393</v>
      </c>
      <c r="C24" s="3">
        <f t="shared" si="4"/>
        <v>99970.020162356188</v>
      </c>
      <c r="D24" s="3">
        <f t="shared" si="4"/>
        <v>125330.56290086475</v>
      </c>
      <c r="E24" s="3">
        <f t="shared" si="4"/>
        <v>2288477.7532552807</v>
      </c>
      <c r="F24" s="3">
        <f t="shared" si="4"/>
        <v>677690.87818823999</v>
      </c>
      <c r="G24" s="3">
        <f t="shared" si="4"/>
        <v>2135090.3916972987</v>
      </c>
      <c r="H24" s="3">
        <f t="shared" si="4"/>
        <v>1521404.4905842745</v>
      </c>
      <c r="I24" s="3">
        <f t="shared" si="4"/>
        <v>119795.53403912953</v>
      </c>
      <c r="J24" s="3">
        <f t="shared" si="4"/>
        <v>35984.975095848131</v>
      </c>
      <c r="K24" s="3">
        <f t="shared" si="4"/>
        <v>32406.347999897731</v>
      </c>
      <c r="L24" s="3">
        <f t="shared" si="4"/>
        <v>122342.51605245675</v>
      </c>
      <c r="M24" s="3">
        <f t="shared" si="4"/>
        <v>113108.38623939674</v>
      </c>
      <c r="N24" s="3" t="s">
        <v>1</v>
      </c>
      <c r="O24" s="3">
        <f t="shared" ref="O24:V24" si="5">STDEV(O5:O20)</f>
        <v>1276451.6653555017</v>
      </c>
      <c r="P24" s="3">
        <f t="shared" si="5"/>
        <v>694916.80692402623</v>
      </c>
      <c r="Q24" s="3">
        <f t="shared" si="5"/>
        <v>261706.49178928341</v>
      </c>
      <c r="R24" s="3">
        <f t="shared" si="5"/>
        <v>704786.47787987313</v>
      </c>
      <c r="S24" s="3">
        <f t="shared" si="5"/>
        <v>905422.84707345802</v>
      </c>
      <c r="T24" s="3">
        <f t="shared" si="5"/>
        <v>555855.7298965134</v>
      </c>
      <c r="U24" s="3">
        <f t="shared" si="5"/>
        <v>174331.69677593283</v>
      </c>
      <c r="V24" s="3">
        <f t="shared" si="5"/>
        <v>89114.058548436704</v>
      </c>
    </row>
    <row r="25" spans="1:22" ht="15.75" thickBot="1" x14ac:dyDescent="0.3"/>
    <row r="26" spans="1:22" ht="15.75" thickBot="1" x14ac:dyDescent="0.3">
      <c r="B26" s="224" t="s">
        <v>6</v>
      </c>
      <c r="C26" s="225"/>
      <c r="D26" s="225"/>
      <c r="E26" s="225"/>
      <c r="F26" s="225"/>
      <c r="G26" s="225"/>
      <c r="H26" s="225"/>
      <c r="I26" s="225"/>
      <c r="J26" s="225"/>
      <c r="K26" s="225"/>
      <c r="L26" s="225"/>
      <c r="M26" s="225"/>
      <c r="N26" s="1"/>
      <c r="O26" s="224" t="s">
        <v>3</v>
      </c>
      <c r="P26" s="225"/>
      <c r="Q26" s="225"/>
      <c r="R26" s="225"/>
      <c r="S26" s="225"/>
      <c r="T26" s="225"/>
      <c r="U26" s="225"/>
      <c r="V26" s="225"/>
    </row>
    <row r="27" spans="1:22" s="1" customFormat="1" x14ac:dyDescent="0.2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Fadrozole 0,016µg/L</v>
      </c>
      <c r="J27" s="35" t="str">
        <f t="shared" si="6"/>
        <v>Fadrozole 0,08µg/L</v>
      </c>
      <c r="K27" s="35" t="str">
        <f t="shared" si="6"/>
        <v>Fadrozole 0,4µg/L</v>
      </c>
      <c r="L27" s="35" t="str">
        <f t="shared" si="6"/>
        <v>Fadrozole 2µg/L</v>
      </c>
      <c r="M27" s="35" t="str">
        <f t="shared" si="6"/>
        <v>Fadrozole 10µg/L</v>
      </c>
      <c r="N27" s="3"/>
      <c r="O27" s="36" t="str">
        <f t="shared" ref="O27:V27" si="7">O4</f>
        <v>Testo -30µg/L</v>
      </c>
      <c r="P27" s="36" t="str">
        <f t="shared" si="7"/>
        <v>Testo 30µg/L + EE2 -64ng/L</v>
      </c>
      <c r="Q27" s="36" t="str">
        <f t="shared" si="7"/>
        <v>Testo 30µg/L + FAD-10µg/L</v>
      </c>
      <c r="R27" s="36" t="str">
        <f t="shared" si="7"/>
        <v>Fadrozole-0,016 µg/L + Testostérone</v>
      </c>
      <c r="S27" s="36" t="str">
        <f t="shared" si="7"/>
        <v>Fadrozole-0,08µg/L + Testostérone</v>
      </c>
      <c r="T27" s="36" t="str">
        <f t="shared" si="7"/>
        <v>Fadrozole-0,4µg/L + Testostérone</v>
      </c>
      <c r="U27" s="36" t="str">
        <f t="shared" si="7"/>
        <v>Fadrozole-2µg/L + Testostérone</v>
      </c>
      <c r="V27" s="36" t="str">
        <f t="shared" si="7"/>
        <v>Fadrozole-10 µg/L + Testostérone</v>
      </c>
    </row>
    <row r="28" spans="1:22" x14ac:dyDescent="0.25">
      <c r="A28" s="222" t="s">
        <v>34</v>
      </c>
      <c r="B28" s="11">
        <f t="shared" ref="B28:M28" si="8">IF(B5="","",(B5/$O$23))</f>
        <v>0.10403180684136824</v>
      </c>
      <c r="C28" s="11">
        <f t="shared" si="8"/>
        <v>1.6210862325712682E-2</v>
      </c>
      <c r="D28" s="11">
        <f t="shared" si="8"/>
        <v>8.7832611603026037E-2</v>
      </c>
      <c r="E28" s="11">
        <f t="shared" si="8"/>
        <v>0.14624721797693993</v>
      </c>
      <c r="F28" s="11">
        <f t="shared" si="8"/>
        <v>2.0720263819235289</v>
      </c>
      <c r="G28" s="11">
        <f t="shared" si="8"/>
        <v>1.1957317280347071</v>
      </c>
      <c r="H28" s="11">
        <f t="shared" si="8"/>
        <v>2.4799569248356406</v>
      </c>
      <c r="I28" s="11">
        <f t="shared" si="8"/>
        <v>4.3958251758487894E-2</v>
      </c>
      <c r="J28" s="11">
        <f t="shared" si="8"/>
        <v>5.022514440321052E-2</v>
      </c>
      <c r="K28" s="11">
        <f t="shared" si="8"/>
        <v>1.1920985414699764E-2</v>
      </c>
      <c r="L28" s="11">
        <f t="shared" si="8"/>
        <v>2.7831559134519488E-2</v>
      </c>
      <c r="M28" s="11">
        <f t="shared" si="8"/>
        <v>0.2377210719907383</v>
      </c>
      <c r="N28" s="6"/>
      <c r="O28" s="11">
        <f t="shared" ref="O28:V28" si="9">IF(O5="","",(O5/$O$23))</f>
        <v>0.3178267383009627</v>
      </c>
      <c r="P28" s="11">
        <f t="shared" si="9"/>
        <v>2.3731794634330825</v>
      </c>
      <c r="Q28" s="11">
        <f t="shared" si="9"/>
        <v>0.64124103919511133</v>
      </c>
      <c r="R28" s="11">
        <f t="shared" si="9"/>
        <v>1.7836415386020084</v>
      </c>
      <c r="S28" s="11">
        <f t="shared" si="9"/>
        <v>0.91778337215388828</v>
      </c>
      <c r="T28" s="11">
        <f t="shared" si="9"/>
        <v>6.8070510111970545E-2</v>
      </c>
      <c r="U28" s="11">
        <f t="shared" si="9"/>
        <v>1.1794869755980613E-2</v>
      </c>
      <c r="V28" s="11">
        <f t="shared" si="9"/>
        <v>1.1043731559556411E-2</v>
      </c>
    </row>
    <row r="29" spans="1:22" x14ac:dyDescent="0.25">
      <c r="A29" s="223"/>
      <c r="B29" s="11">
        <f t="shared" ref="B29:M29" si="10">IF(B6="","",(B6/$O$23))</f>
        <v>0.18444942884485613</v>
      </c>
      <c r="C29" s="11">
        <f t="shared" si="10"/>
        <v>8.3103829976646906E-2</v>
      </c>
      <c r="D29" s="11">
        <f t="shared" si="10"/>
        <v>3.6321587498910339E-2</v>
      </c>
      <c r="E29" s="11">
        <f t="shared" si="10"/>
        <v>1.5051376071321185E-2</v>
      </c>
      <c r="F29" s="11">
        <f t="shared" si="10"/>
        <v>1.9778367355364534</v>
      </c>
      <c r="G29" s="11">
        <f t="shared" si="10"/>
        <v>6.8624938437450265</v>
      </c>
      <c r="H29" s="11">
        <f t="shared" si="10"/>
        <v>5.1737810059574549</v>
      </c>
      <c r="I29" s="11">
        <f t="shared" si="10"/>
        <v>1.2858241433462803E-2</v>
      </c>
      <c r="J29" s="11">
        <f t="shared" si="10"/>
        <v>1.6565597339334617E-2</v>
      </c>
      <c r="K29" s="11">
        <f t="shared" si="10"/>
        <v>6.6454340723362551E-2</v>
      </c>
      <c r="L29" s="11">
        <f t="shared" si="10"/>
        <v>0.21278572840204674</v>
      </c>
      <c r="M29" s="11">
        <f t="shared" si="10"/>
        <v>0.25462279256146098</v>
      </c>
      <c r="N29" s="6"/>
      <c r="O29" s="11">
        <f t="shared" ref="O29:V29" si="11">IF(O6="","",(O6/$O$23))</f>
        <v>5.2592729776037246E-2</v>
      </c>
      <c r="P29" s="11">
        <f t="shared" si="11"/>
        <v>1.5651894947670251</v>
      </c>
      <c r="Q29" s="11">
        <f t="shared" si="11"/>
        <v>0.28670256043781306</v>
      </c>
      <c r="R29" s="11">
        <f t="shared" si="11"/>
        <v>1.630592130900276</v>
      </c>
      <c r="S29" s="11">
        <f t="shared" si="11"/>
        <v>2.2567402647487826</v>
      </c>
      <c r="T29" s="11">
        <f t="shared" si="11"/>
        <v>0.15292273646742435</v>
      </c>
      <c r="U29" s="11">
        <f t="shared" si="11"/>
        <v>0.42673705438996479</v>
      </c>
      <c r="V29" s="11">
        <f t="shared" si="11"/>
        <v>1.372632829138648E-2</v>
      </c>
    </row>
    <row r="30" spans="1:22" x14ac:dyDescent="0.25">
      <c r="A30" s="223"/>
      <c r="B30" s="11">
        <f t="shared" ref="B30:M30" si="12">IF(B7="","",(B7/$O$23))</f>
        <v>4.4108534955331645E-2</v>
      </c>
      <c r="C30" s="11">
        <f t="shared" si="12"/>
        <v>5.182353537296823E-2</v>
      </c>
      <c r="D30" s="11">
        <f t="shared" si="12"/>
        <v>0.21137345525462786</v>
      </c>
      <c r="E30" s="11">
        <f t="shared" si="12"/>
        <v>8.5573641257862737E-2</v>
      </c>
      <c r="F30" s="11">
        <f t="shared" si="12"/>
        <v>0.6390722109892748</v>
      </c>
      <c r="G30" s="11">
        <f t="shared" si="12"/>
        <v>3.4279694425786853</v>
      </c>
      <c r="H30" s="11">
        <f t="shared" si="12"/>
        <v>3.3230603818821733</v>
      </c>
      <c r="I30" s="11">
        <f t="shared" si="12"/>
        <v>5.2328136901742109E-2</v>
      </c>
      <c r="J30" s="11">
        <f t="shared" si="12"/>
        <v>6.4555661147711885E-2</v>
      </c>
      <c r="K30" s="11">
        <f t="shared" si="12"/>
        <v>1.3266867279224636E-2</v>
      </c>
      <c r="L30" s="11">
        <f t="shared" si="12"/>
        <v>0.29248249107871477</v>
      </c>
      <c r="M30" s="11">
        <f t="shared" si="12"/>
        <v>1.0304816026091776E-2</v>
      </c>
      <c r="N30" s="6"/>
      <c r="O30" s="11">
        <f t="shared" ref="O30:V30" si="13">IF(O7="","",(O7/$O$23))</f>
        <v>0.42982549908961132</v>
      </c>
      <c r="P30" s="11">
        <f t="shared" si="13"/>
        <v>2.7655838909330122</v>
      </c>
      <c r="Q30" s="11">
        <f t="shared" si="13"/>
        <v>1.1398188785383808E-2</v>
      </c>
      <c r="R30" s="11">
        <f t="shared" si="13"/>
        <v>0.21339880606458678</v>
      </c>
      <c r="S30" s="11">
        <f t="shared" si="13"/>
        <v>0.66791297318134202</v>
      </c>
      <c r="T30" s="11">
        <f t="shared" si="13"/>
        <v>0.18712924769874084</v>
      </c>
      <c r="U30" s="11">
        <f t="shared" si="13"/>
        <v>3.1514469714472172E-2</v>
      </c>
      <c r="V30" s="11">
        <f t="shared" si="13"/>
        <v>4.3219336225023261E-2</v>
      </c>
    </row>
    <row r="31" spans="1:22" x14ac:dyDescent="0.25">
      <c r="A31" s="223"/>
      <c r="B31" s="11">
        <f t="shared" ref="B31:M31" si="14">IF(B8="","",(B8/$O$23))</f>
        <v>0.33636296225473272</v>
      </c>
      <c r="C31" s="11">
        <f t="shared" si="14"/>
        <v>5.6936775306984606E-2</v>
      </c>
      <c r="D31" s="11">
        <f t="shared" si="14"/>
        <v>3.9361974910102231E-2</v>
      </c>
      <c r="E31" s="11">
        <f t="shared" si="14"/>
        <v>8.9785182010816617E-2</v>
      </c>
      <c r="F31" s="11">
        <f t="shared" si="14"/>
        <v>0.77097724513434296</v>
      </c>
      <c r="G31" s="11">
        <f t="shared" si="14"/>
        <v>1.8123320175972319</v>
      </c>
      <c r="H31" s="11">
        <f t="shared" si="14"/>
        <v>4.3597405413386179</v>
      </c>
      <c r="I31" s="11">
        <f t="shared" si="14"/>
        <v>0.32206286327373301</v>
      </c>
      <c r="J31" s="11">
        <f t="shared" si="14"/>
        <v>1.850622287196016E-2</v>
      </c>
      <c r="K31" s="11">
        <f t="shared" si="14"/>
        <v>9.913968599180218E-3</v>
      </c>
      <c r="L31" s="11">
        <f t="shared" si="14"/>
        <v>3.3022579651005822E-2</v>
      </c>
      <c r="M31" s="11">
        <f t="shared" si="14"/>
        <v>8.0598184069936005E-2</v>
      </c>
      <c r="N31" s="6"/>
      <c r="O31" s="11">
        <f t="shared" ref="O31:V31" si="15">IF(O8="","",(O8/$O$23))</f>
        <v>0.18762815457772672</v>
      </c>
      <c r="P31" s="11">
        <f t="shared" si="15"/>
        <v>2.9450642517092156</v>
      </c>
      <c r="Q31" s="11">
        <f t="shared" si="15"/>
        <v>4.1080370207099308E-2</v>
      </c>
      <c r="R31" s="11">
        <f t="shared" si="15"/>
        <v>1.3805897827253253</v>
      </c>
      <c r="S31" s="11">
        <f t="shared" si="15"/>
        <v>1.0584610837442872</v>
      </c>
      <c r="T31" s="11">
        <f t="shared" si="15"/>
        <v>0.77237146207511698</v>
      </c>
      <c r="U31" s="11">
        <f t="shared" si="15"/>
        <v>1.3176586246000575E-2</v>
      </c>
      <c r="V31" s="11">
        <f t="shared" si="15"/>
        <v>1.2611843659709744E-2</v>
      </c>
    </row>
    <row r="32" spans="1:22" x14ac:dyDescent="0.25">
      <c r="A32" s="223"/>
      <c r="B32" s="11">
        <f t="shared" ref="B32:M32" si="16">IF(B9="","",(B9/$O$23))</f>
        <v>0.23213309271586066</v>
      </c>
      <c r="C32" s="11">
        <f t="shared" si="16"/>
        <v>1.0442598772181422E-2</v>
      </c>
      <c r="D32" s="11">
        <f t="shared" si="16"/>
        <v>4.9468172663101065E-2</v>
      </c>
      <c r="E32" s="11">
        <f t="shared" si="16"/>
        <v>0.16917610032570099</v>
      </c>
      <c r="F32" s="11">
        <f t="shared" si="16"/>
        <v>1.3544166167241831</v>
      </c>
      <c r="G32" s="11">
        <f t="shared" si="16"/>
        <v>2.5317262915886745</v>
      </c>
      <c r="H32" s="11">
        <f t="shared" si="16"/>
        <v>5.2498970839625594</v>
      </c>
      <c r="I32" s="11">
        <f t="shared" si="16"/>
        <v>0.12360140139081059</v>
      </c>
      <c r="J32" s="11">
        <f t="shared" si="16"/>
        <v>5.3998336016387261E-2</v>
      </c>
      <c r="K32" s="11">
        <f t="shared" si="16"/>
        <v>7.6776935168304597E-2</v>
      </c>
      <c r="L32" s="11">
        <f t="shared" si="16"/>
        <v>0.15698454959912359</v>
      </c>
      <c r="M32" s="11">
        <f t="shared" si="16"/>
        <v>2.8901042143481461E-2</v>
      </c>
      <c r="N32" s="6"/>
      <c r="O32" s="11">
        <f t="shared" ref="O32:V32" si="17">IF(O9="","",(O9/$O$23))</f>
        <v>2.806015348852076</v>
      </c>
      <c r="P32" s="11">
        <f t="shared" si="17"/>
        <v>2.0497047436936229</v>
      </c>
      <c r="Q32" s="11">
        <f t="shared" si="17"/>
        <v>4.7203090986457974E-2</v>
      </c>
      <c r="R32" s="11">
        <f t="shared" si="17"/>
        <v>1.7052603789202609</v>
      </c>
      <c r="S32" s="11">
        <f t="shared" si="17"/>
        <v>1.1126578991398701</v>
      </c>
      <c r="T32" s="11">
        <f t="shared" si="17"/>
        <v>0.17742584224781857</v>
      </c>
      <c r="U32" s="11">
        <f t="shared" si="17"/>
        <v>9.4466184136535625E-2</v>
      </c>
      <c r="V32" s="11">
        <f t="shared" si="17"/>
        <v>1.5204298252213019E-2</v>
      </c>
    </row>
    <row r="33" spans="1:22" x14ac:dyDescent="0.25">
      <c r="A33" s="223"/>
      <c r="B33" s="11">
        <f t="shared" ref="B33:M33" si="18">IF(B10="","",(B10/$O$23))</f>
        <v>2.3216948291694479E-2</v>
      </c>
      <c r="C33" s="11">
        <f t="shared" si="18"/>
        <v>0.11716005801111962</v>
      </c>
      <c r="D33" s="11">
        <f t="shared" si="18"/>
        <v>0.29904411657343966</v>
      </c>
      <c r="E33" s="11">
        <f t="shared" si="18"/>
        <v>0.33861637684400536</v>
      </c>
      <c r="F33" s="11">
        <f t="shared" si="18"/>
        <v>1.1879025568335166</v>
      </c>
      <c r="G33" s="11">
        <f t="shared" si="18"/>
        <v>1.517794452414543</v>
      </c>
      <c r="H33" s="11">
        <f t="shared" si="18"/>
        <v>2.4384259828258044</v>
      </c>
      <c r="I33" s="11">
        <f t="shared" si="18"/>
        <v>2.1114094687060159E-2</v>
      </c>
      <c r="J33" s="11">
        <f t="shared" si="18"/>
        <v>2.6732075043747673E-2</v>
      </c>
      <c r="K33" s="11">
        <f t="shared" si="18"/>
        <v>2.4959233339021621E-2</v>
      </c>
      <c r="L33" s="11">
        <f t="shared" si="18"/>
        <v>8.0670131108720719E-2</v>
      </c>
      <c r="M33" s="11">
        <f t="shared" si="18"/>
        <v>2.2898325691362173E-2</v>
      </c>
      <c r="N33" s="6"/>
      <c r="O33" s="11">
        <f t="shared" ref="O33:V33" si="19">IF(O10="","",(O10/$O$23))</f>
        <v>1.0533599275793331</v>
      </c>
      <c r="P33" s="11">
        <f t="shared" si="19"/>
        <v>3.2436277953981087</v>
      </c>
      <c r="Q33" s="11">
        <f t="shared" si="19"/>
        <v>7.1483410955634638E-2</v>
      </c>
      <c r="R33" s="11">
        <f t="shared" si="19"/>
        <v>1.5499942246181344</v>
      </c>
      <c r="S33" s="11">
        <f t="shared" si="19"/>
        <v>0.10891642742048183</v>
      </c>
      <c r="T33" s="11">
        <f t="shared" si="19"/>
        <v>0.28849929189286916</v>
      </c>
      <c r="U33" s="11">
        <f t="shared" si="19"/>
        <v>0.2049265561190462</v>
      </c>
      <c r="V33" s="11">
        <f t="shared" si="19"/>
        <v>2.0909503976384705E-2</v>
      </c>
    </row>
    <row r="34" spans="1:22" x14ac:dyDescent="0.25">
      <c r="A34" s="223"/>
      <c r="B34" s="11">
        <f t="shared" ref="B34:M34" si="20">IF(B11="","",(B11/$O$23))</f>
        <v>0.13108778245354438</v>
      </c>
      <c r="C34" s="11">
        <f t="shared" si="20"/>
        <v>0.24592247883660667</v>
      </c>
      <c r="D34" s="11">
        <f t="shared" si="20"/>
        <v>0.2259684259795271</v>
      </c>
      <c r="E34" s="11">
        <f t="shared" si="20"/>
        <v>5.5268263753191249</v>
      </c>
      <c r="F34" s="11">
        <f t="shared" si="20"/>
        <v>1.3701594066161034</v>
      </c>
      <c r="G34" s="11">
        <f t="shared" si="20"/>
        <v>2.8514636543404528</v>
      </c>
      <c r="H34" s="11">
        <f t="shared" si="20"/>
        <v>3.8169968038604454</v>
      </c>
      <c r="I34" s="11">
        <f t="shared" si="20"/>
        <v>7.4415461126957655E-2</v>
      </c>
      <c r="J34" s="11">
        <f t="shared" si="20"/>
        <v>1.5213326355535425E-2</v>
      </c>
      <c r="K34" s="11">
        <f t="shared" si="20"/>
        <v>2.9892466782178936E-2</v>
      </c>
      <c r="L34" s="11">
        <f t="shared" si="20"/>
        <v>2.357751684900166E-2</v>
      </c>
      <c r="M34" s="11">
        <f t="shared" si="20"/>
        <v>0.10743831856575801</v>
      </c>
      <c r="N34" s="6"/>
      <c r="O34" s="11">
        <f t="shared" ref="O34:V34" si="21">IF(O11="","",(O11/$O$23))</f>
        <v>3.1810191489022968</v>
      </c>
      <c r="P34" s="11">
        <f t="shared" si="21"/>
        <v>2.2974481215234102</v>
      </c>
      <c r="Q34" s="11">
        <f t="shared" si="21"/>
        <v>2.7338763587013377E-2</v>
      </c>
      <c r="R34" s="11">
        <f t="shared" si="21"/>
        <v>1.8923896266190017</v>
      </c>
      <c r="S34" s="11">
        <f t="shared" si="21"/>
        <v>1.7555033017423218</v>
      </c>
      <c r="T34" s="11">
        <f t="shared" si="21"/>
        <v>1.2759635100036508</v>
      </c>
      <c r="U34" s="11">
        <f t="shared" si="21"/>
        <v>2.459310902582373E-2</v>
      </c>
      <c r="V34" s="11">
        <f t="shared" si="21"/>
        <v>0.22543396226284065</v>
      </c>
    </row>
    <row r="35" spans="1:22" x14ac:dyDescent="0.25">
      <c r="A35" s="223"/>
      <c r="B35" s="11">
        <f t="shared" ref="B35:M35" si="22">IF(B12="","",(B12/$O$23))</f>
        <v>0.27484157718673297</v>
      </c>
      <c r="C35" s="11">
        <f t="shared" si="22"/>
        <v>0.18727369735189933</v>
      </c>
      <c r="D35" s="11">
        <f t="shared" si="22"/>
        <v>4.6680016569347484E-2</v>
      </c>
      <c r="E35" s="11">
        <f t="shared" si="22"/>
        <v>0.12967578709392005</v>
      </c>
      <c r="F35" s="11">
        <f t="shared" si="22"/>
        <v>2.0565847140008851</v>
      </c>
      <c r="G35" s="11">
        <f t="shared" si="22"/>
        <v>2.6543237678900335</v>
      </c>
      <c r="H35" s="11">
        <f t="shared" si="22"/>
        <v>5.7271234589483377</v>
      </c>
      <c r="I35" s="11">
        <f t="shared" si="22"/>
        <v>0.113344920440968</v>
      </c>
      <c r="J35" s="11">
        <f t="shared" si="22"/>
        <v>0.10064251796023967</v>
      </c>
      <c r="K35" s="11">
        <f t="shared" si="22"/>
        <v>6.013300167091095E-2</v>
      </c>
      <c r="L35" s="11">
        <f t="shared" si="22"/>
        <v>3.4314570683390791E-2</v>
      </c>
      <c r="M35" s="11">
        <f t="shared" si="22"/>
        <v>0.11681171211677201</v>
      </c>
      <c r="N35" s="6"/>
      <c r="O35" s="11">
        <f t="shared" ref="O35:V35" si="23">IF(O12="","",(O12/$O$23))</f>
        <v>0.30775026384197918</v>
      </c>
      <c r="P35" s="11">
        <f t="shared" si="23"/>
        <v>1.7850410335108788</v>
      </c>
      <c r="Q35" s="11">
        <f t="shared" si="23"/>
        <v>4.9101492774314102E-2</v>
      </c>
      <c r="R35" s="11">
        <f t="shared" si="23"/>
        <v>0.72105238933702531</v>
      </c>
      <c r="S35" s="11">
        <f t="shared" si="23"/>
        <v>4.6728351645596668E-2</v>
      </c>
      <c r="T35" s="11">
        <f t="shared" si="23"/>
        <v>1.0219712957357856</v>
      </c>
      <c r="U35" s="11">
        <f t="shared" si="23"/>
        <v>3.3221197924098764E-2</v>
      </c>
      <c r="V35" s="11">
        <f t="shared" si="23"/>
        <v>7.420545355428877E-3</v>
      </c>
    </row>
    <row r="36" spans="1:22" s="1" customFormat="1" x14ac:dyDescent="0.25">
      <c r="A36" s="223"/>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0.48535027903697164</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25">
      <c r="A37" s="223"/>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0.9180481039220808</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25">
      <c r="A38" s="223"/>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2.350779766832912</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25">
      <c r="A39" s="223"/>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6.4741501182256175E-2</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25">
      <c r="A40" s="223"/>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6.683879903099979E-2</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25">
      <c r="A41" s="223"/>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1.4527459957193249</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25">
      <c r="A42" s="223"/>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2.1690159903856259</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25">
      <c r="A43" s="223"/>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0.15646175296980763</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25">
      <c r="A44" s="7"/>
      <c r="B44" s="3"/>
      <c r="C44" s="3"/>
      <c r="D44" s="3"/>
      <c r="E44" s="3"/>
      <c r="F44" s="3"/>
      <c r="G44" s="3"/>
      <c r="H44" s="3"/>
      <c r="I44" s="3"/>
      <c r="J44" s="3"/>
      <c r="N44" s="7"/>
      <c r="O44" s="3"/>
      <c r="P44" s="3"/>
      <c r="Q44" s="3"/>
      <c r="R44" s="3"/>
      <c r="S44" s="3"/>
      <c r="T44" s="3"/>
      <c r="U44" s="3"/>
      <c r="V44" s="3"/>
    </row>
    <row r="45" spans="1:22" s="69" customFormat="1" x14ac:dyDescent="0.2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Fadrozole 0,016µg/L</v>
      </c>
      <c r="J45" s="70" t="str">
        <f t="shared" si="46"/>
        <v>Fadrozole 0,08µg/L</v>
      </c>
      <c r="K45" s="70" t="str">
        <f t="shared" si="46"/>
        <v>Fadrozole 0,4µg/L</v>
      </c>
      <c r="L45" s="70" t="str">
        <f t="shared" si="46"/>
        <v>Fadrozole 2µg/L</v>
      </c>
      <c r="M45" s="70" t="str">
        <f t="shared" si="46"/>
        <v>Fadrozole 10µg/L</v>
      </c>
      <c r="N45" s="70" t="str">
        <f>N22</f>
        <v>Nom des groupes</v>
      </c>
      <c r="O45" s="70" t="str">
        <f t="shared" ref="O45:V45" si="47">O4</f>
        <v>Testo -30µg/L</v>
      </c>
      <c r="P45" s="70" t="str">
        <f t="shared" si="47"/>
        <v>Testo 30µg/L + EE2 -64ng/L</v>
      </c>
      <c r="Q45" s="70" t="str">
        <f t="shared" si="47"/>
        <v>Testo 30µg/L + FAD-10µg/L</v>
      </c>
      <c r="R45" s="70" t="str">
        <f t="shared" si="47"/>
        <v>Fadrozole-0,016 µg/L + Testostérone</v>
      </c>
      <c r="S45" s="70" t="str">
        <f t="shared" si="47"/>
        <v>Fadrozole-0,08µg/L + Testostérone</v>
      </c>
      <c r="T45" s="70" t="str">
        <f t="shared" si="47"/>
        <v>Fadrozole-0,4µg/L + Testostérone</v>
      </c>
      <c r="U45" s="70" t="str">
        <f t="shared" si="47"/>
        <v>Fadrozole-2µg/L + Testostérone</v>
      </c>
      <c r="V45" s="70" t="str">
        <f t="shared" si="47"/>
        <v>Fadrozole-10 µg/L + Testostérone</v>
      </c>
    </row>
    <row r="46" spans="1:22" x14ac:dyDescent="0.25">
      <c r="A46" s="8" t="s">
        <v>0</v>
      </c>
      <c r="B46" s="10">
        <f t="shared" ref="B46:H46" si="48">AVERAGE(B28:B43)</f>
        <v>0.16627901669301517</v>
      </c>
      <c r="C46" s="10">
        <f t="shared" si="48"/>
        <v>9.6109229494264939E-2</v>
      </c>
      <c r="D46" s="10">
        <f t="shared" si="48"/>
        <v>0.12450629513151024</v>
      </c>
      <c r="E46" s="10">
        <f t="shared" si="48"/>
        <v>0.81261900711246149</v>
      </c>
      <c r="F46" s="10">
        <f t="shared" si="48"/>
        <v>1.4286219834697862</v>
      </c>
      <c r="G46" s="10">
        <f t="shared" si="48"/>
        <v>2.8567293997736694</v>
      </c>
      <c r="H46" s="10">
        <f t="shared" si="48"/>
        <v>4.0711227729513793</v>
      </c>
      <c r="I46" s="10">
        <f>AVERAGE(I28:I43)</f>
        <v>9.5460421376652768E-2</v>
      </c>
      <c r="J46" s="9">
        <f>AVERAGE(J28:J43)</f>
        <v>4.3304860142265901E-2</v>
      </c>
      <c r="K46" s="9">
        <f>AVERAGE(K28:K43)</f>
        <v>3.6664724872110407E-2</v>
      </c>
      <c r="L46" s="9">
        <f t="shared" ref="L46:M46" si="49">AVERAGE(L28:L43)</f>
        <v>0.10770864081331545</v>
      </c>
      <c r="M46" s="9">
        <f t="shared" si="49"/>
        <v>0.10741203289570009</v>
      </c>
      <c r="N46" s="8" t="s">
        <v>0</v>
      </c>
      <c r="O46" s="10">
        <f>AVERAGE(O28:O43)</f>
        <v>1.0000000000000002</v>
      </c>
      <c r="P46" s="10">
        <f>AVERAGE(P28:P43)</f>
        <v>2.3781048493710446</v>
      </c>
      <c r="Q46" s="10">
        <f>AVERAGE(Q28:Q43)</f>
        <v>0.14694361461610345</v>
      </c>
      <c r="R46" s="10">
        <f>AVERAGE(R28:R43)</f>
        <v>1.3596148597233273</v>
      </c>
      <c r="S46" s="10">
        <f t="shared" ref="S46:V46" si="50">AVERAGE(S28:S43)</f>
        <v>0.99058795922207143</v>
      </c>
      <c r="T46" s="10">
        <f t="shared" si="50"/>
        <v>0.49304423702917211</v>
      </c>
      <c r="U46" s="10">
        <f t="shared" si="50"/>
        <v>0.1050537534139903</v>
      </c>
      <c r="V46" s="10">
        <f t="shared" si="50"/>
        <v>4.3696193697817888E-2</v>
      </c>
    </row>
    <row r="47" spans="1:22" x14ac:dyDescent="0.25">
      <c r="A47" s="8" t="s">
        <v>1</v>
      </c>
      <c r="B47" s="8">
        <f t="shared" ref="B47:K47" si="51">STDEV(B28:B43)</f>
        <v>0.11076798235841437</v>
      </c>
      <c r="C47" s="8">
        <f t="shared" si="51"/>
        <v>8.3311354261734361E-2</v>
      </c>
      <c r="D47" s="8">
        <f t="shared" si="51"/>
        <v>0.10444590196840096</v>
      </c>
      <c r="E47" s="8">
        <f t="shared" si="51"/>
        <v>1.9071335637615523</v>
      </c>
      <c r="F47" s="8">
        <f t="shared" si="51"/>
        <v>0.56476276328636832</v>
      </c>
      <c r="G47" s="8">
        <f t="shared" si="51"/>
        <v>1.7793061531310841</v>
      </c>
      <c r="H47" s="8">
        <f t="shared" si="51"/>
        <v>1.2678827941077886</v>
      </c>
      <c r="I47" s="8">
        <f>STDEV(I28:I43)</f>
        <v>9.9833211587824391E-2</v>
      </c>
      <c r="J47" s="8">
        <f t="shared" si="51"/>
        <v>2.998856060487998E-2</v>
      </c>
      <c r="K47" s="8">
        <f t="shared" si="51"/>
        <v>2.7006263819532035E-2</v>
      </c>
      <c r="L47" s="8">
        <f t="shared" ref="L47:M47" si="52">STDEV(L28:L43)</f>
        <v>0.10195577313643625</v>
      </c>
      <c r="M47" s="8">
        <f t="shared" si="52"/>
        <v>9.4260387470760779E-2</v>
      </c>
      <c r="N47" s="8" t="s">
        <v>1</v>
      </c>
      <c r="O47" s="8">
        <f>STDEV(O28:O43)</f>
        <v>1.0637480788511084</v>
      </c>
      <c r="P47" s="8">
        <f>STDEV(P28:P43)</f>
        <v>0.57911822154339199</v>
      </c>
      <c r="Q47" s="8">
        <f>STDEV(Q28:Q43)</f>
        <v>0.21809660750936463</v>
      </c>
      <c r="R47" s="8">
        <f>STDEV(R28:R43)</f>
        <v>0.58734324392624249</v>
      </c>
      <c r="S47" s="8">
        <f t="shared" ref="S47:V47" si="53">STDEV(S28:S43)</f>
        <v>0.7545462474319774</v>
      </c>
      <c r="T47" s="8">
        <f t="shared" si="53"/>
        <v>0.46322981186374812</v>
      </c>
      <c r="U47" s="8">
        <f t="shared" si="53"/>
        <v>0.14528165269509419</v>
      </c>
      <c r="V47" s="8">
        <f t="shared" si="53"/>
        <v>7.4264393358853639E-2</v>
      </c>
    </row>
    <row r="48" spans="1:22" x14ac:dyDescent="0.25">
      <c r="A48" s="8" t="s">
        <v>2</v>
      </c>
      <c r="B48" s="8">
        <f t="shared" ref="B48:K48" si="54" xml:space="preserve"> B47/SQRT(COUNT(B28:B43))</f>
        <v>3.916239573199333E-2</v>
      </c>
      <c r="C48" s="8">
        <f t="shared" si="54"/>
        <v>2.9455011774153567E-2</v>
      </c>
      <c r="D48" s="8">
        <f t="shared" si="54"/>
        <v>3.6927202774500845E-2</v>
      </c>
      <c r="E48" s="8">
        <f t="shared" si="54"/>
        <v>0.67427353778213017</v>
      </c>
      <c r="F48" s="8">
        <f t="shared" si="54"/>
        <v>0.19967378984072198</v>
      </c>
      <c r="G48" s="8">
        <f t="shared" si="54"/>
        <v>0.62907972334296947</v>
      </c>
      <c r="H48" s="8">
        <f t="shared" si="54"/>
        <v>0.44826426073168224</v>
      </c>
      <c r="I48" s="8">
        <f xml:space="preserve"> I47/SQRT(COUNT(I28:I43))</f>
        <v>3.529637045069102E-2</v>
      </c>
      <c r="J48" s="8">
        <f t="shared" si="54"/>
        <v>1.0602557280867193E-2</v>
      </c>
      <c r="K48" s="8">
        <f t="shared" si="54"/>
        <v>9.548156140652006E-3</v>
      </c>
      <c r="L48" s="8">
        <f t="shared" ref="L48:M48" si="55" xml:space="preserve"> L47/SQRT(COUNT(L28:L43))</f>
        <v>3.6046809282945652E-2</v>
      </c>
      <c r="M48" s="8">
        <f t="shared" si="55"/>
        <v>3.332607958892321E-2</v>
      </c>
      <c r="N48" s="8" t="s">
        <v>2</v>
      </c>
      <c r="O48" s="8">
        <f xml:space="preserve"> O47/SQRT(COUNT(O28:O43))</f>
        <v>0.26593701971277711</v>
      </c>
      <c r="P48" s="8">
        <f xml:space="preserve"> P47/SQRT(COUNT(P28:P43))</f>
        <v>0.20474921078101291</v>
      </c>
      <c r="Q48" s="8">
        <f xml:space="preserve"> Q47/SQRT(COUNT(Q28:Q43))</f>
        <v>7.7108795061826316E-2</v>
      </c>
      <c r="R48" s="8">
        <f xml:space="preserve"> R47/SQRT(COUNT(R28:R43))</f>
        <v>0.20765719533217528</v>
      </c>
      <c r="S48" s="8">
        <f t="shared" ref="S48:V48" si="56" xml:space="preserve"> S47/SQRT(COUNT(S28:S43))</f>
        <v>0.26677238413900689</v>
      </c>
      <c r="T48" s="8">
        <f t="shared" si="56"/>
        <v>0.16377647060831244</v>
      </c>
      <c r="U48" s="8">
        <f t="shared" si="56"/>
        <v>5.1364820901344976E-2</v>
      </c>
      <c r="V48" s="8">
        <f t="shared" si="56"/>
        <v>2.6256428072375305E-2</v>
      </c>
    </row>
    <row r="49" spans="1:22" s="1" customFormat="1"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38</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75" thickBot="1" x14ac:dyDescent="0.3">
      <c r="A51"/>
      <c r="B51"/>
      <c r="C51"/>
      <c r="D51"/>
      <c r="E51"/>
      <c r="F51"/>
      <c r="G51"/>
      <c r="H51"/>
      <c r="I51"/>
      <c r="J51"/>
      <c r="K51"/>
      <c r="L51"/>
      <c r="M51"/>
      <c r="S51"/>
      <c r="T51"/>
      <c r="U51"/>
      <c r="V51"/>
    </row>
    <row r="52" spans="1:22" x14ac:dyDescent="0.2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Fadrozole 0,016µg/L</v>
      </c>
      <c r="J52" s="46" t="str">
        <f>J4</f>
        <v>Fadrozole 0,08µg/L</v>
      </c>
      <c r="K52" s="46" t="str">
        <f>K27</f>
        <v>Fadrozole 0,4µg/L</v>
      </c>
      <c r="L52" s="46" t="str">
        <f t="shared" ref="L52:M52" si="58">L27</f>
        <v>Fadrozole 2µg/L</v>
      </c>
      <c r="M52" s="46" t="str">
        <f t="shared" si="58"/>
        <v>Fadrozole 10µg/L</v>
      </c>
      <c r="N52" s="47"/>
      <c r="O52" s="46" t="str">
        <f>O27</f>
        <v>Testo -30µg/L</v>
      </c>
      <c r="P52" s="46" t="str">
        <f>P27</f>
        <v>Testo 30µg/L + EE2 -64ng/L</v>
      </c>
      <c r="Q52" s="46" t="str">
        <f>Q27</f>
        <v>Testo 30µg/L + FAD-10µg/L</v>
      </c>
      <c r="R52" s="46" t="str">
        <f>R27</f>
        <v>Fadrozole-0,016 µg/L + Testostérone</v>
      </c>
      <c r="S52" s="46" t="str">
        <f t="shared" ref="S52:V52" si="59">S27</f>
        <v>Fadrozole-0,08µg/L + Testostérone</v>
      </c>
      <c r="T52" s="46" t="str">
        <f t="shared" si="59"/>
        <v>Fadrozole-0,4µg/L + Testostérone</v>
      </c>
      <c r="U52" s="46" t="str">
        <f t="shared" si="59"/>
        <v>Fadrozole-2µg/L + Testostérone</v>
      </c>
      <c r="V52" s="46" t="str">
        <f t="shared" si="59"/>
        <v>Fadrozole-10 µg/L + Testostérone</v>
      </c>
    </row>
    <row r="53" spans="1:22" s="3" customFormat="1" x14ac:dyDescent="0.25">
      <c r="A53" s="61" t="s">
        <v>32</v>
      </c>
      <c r="B53" s="141">
        <f t="shared" ref="B53:M53" si="60">B46</f>
        <v>0.16627901669301517</v>
      </c>
      <c r="C53" s="141">
        <f t="shared" si="60"/>
        <v>9.6109229494264939E-2</v>
      </c>
      <c r="D53" s="141">
        <f t="shared" si="60"/>
        <v>0.12450629513151024</v>
      </c>
      <c r="E53" s="141">
        <f t="shared" si="60"/>
        <v>0.81261900711246149</v>
      </c>
      <c r="F53" s="141">
        <f t="shared" si="60"/>
        <v>1.4286219834697862</v>
      </c>
      <c r="G53" s="141">
        <f t="shared" si="60"/>
        <v>2.8567293997736694</v>
      </c>
      <c r="H53" s="141">
        <f t="shared" si="60"/>
        <v>4.0711227729513793</v>
      </c>
      <c r="I53" s="141">
        <f t="shared" si="60"/>
        <v>9.5460421376652768E-2</v>
      </c>
      <c r="J53" s="141">
        <f t="shared" si="60"/>
        <v>4.3304860142265901E-2</v>
      </c>
      <c r="K53" s="141">
        <f t="shared" si="60"/>
        <v>3.6664724872110407E-2</v>
      </c>
      <c r="L53" s="141">
        <f t="shared" si="60"/>
        <v>0.10770864081331545</v>
      </c>
      <c r="M53" s="141">
        <f t="shared" si="60"/>
        <v>0.10741203289570009</v>
      </c>
      <c r="N53" s="141"/>
      <c r="O53" s="141">
        <f t="shared" ref="O53:V53" si="61">O46</f>
        <v>1.0000000000000002</v>
      </c>
      <c r="P53" s="141">
        <f t="shared" si="61"/>
        <v>2.3781048493710446</v>
      </c>
      <c r="Q53" s="141">
        <f t="shared" si="61"/>
        <v>0.14694361461610345</v>
      </c>
      <c r="R53" s="141">
        <f t="shared" si="61"/>
        <v>1.3596148597233273</v>
      </c>
      <c r="S53" s="141">
        <f t="shared" si="61"/>
        <v>0.99058795922207143</v>
      </c>
      <c r="T53" s="141">
        <f t="shared" si="61"/>
        <v>0.49304423702917211</v>
      </c>
      <c r="U53" s="141">
        <f t="shared" si="61"/>
        <v>0.1050537534139903</v>
      </c>
      <c r="V53" s="141">
        <f t="shared" si="61"/>
        <v>4.3696193697817888E-2</v>
      </c>
    </row>
    <row r="54" spans="1:22" s="3" customFormat="1" x14ac:dyDescent="0.25">
      <c r="A54" s="61" t="s">
        <v>2</v>
      </c>
      <c r="B54" s="141">
        <f t="shared" ref="B54:M54" si="62">B48</f>
        <v>3.916239573199333E-2</v>
      </c>
      <c r="C54" s="141">
        <f t="shared" si="62"/>
        <v>2.9455011774153567E-2</v>
      </c>
      <c r="D54" s="141">
        <f t="shared" si="62"/>
        <v>3.6927202774500845E-2</v>
      </c>
      <c r="E54" s="141">
        <f t="shared" si="62"/>
        <v>0.67427353778213017</v>
      </c>
      <c r="F54" s="141">
        <f t="shared" si="62"/>
        <v>0.19967378984072198</v>
      </c>
      <c r="G54" s="141">
        <f t="shared" si="62"/>
        <v>0.62907972334296947</v>
      </c>
      <c r="H54" s="141">
        <f t="shared" si="62"/>
        <v>0.44826426073168224</v>
      </c>
      <c r="I54" s="141">
        <f t="shared" si="62"/>
        <v>3.529637045069102E-2</v>
      </c>
      <c r="J54" s="141">
        <f t="shared" si="62"/>
        <v>1.0602557280867193E-2</v>
      </c>
      <c r="K54" s="141">
        <f t="shared" si="62"/>
        <v>9.548156140652006E-3</v>
      </c>
      <c r="L54" s="141">
        <f t="shared" si="62"/>
        <v>3.6046809282945652E-2</v>
      </c>
      <c r="M54" s="141">
        <f t="shared" si="62"/>
        <v>3.332607958892321E-2</v>
      </c>
      <c r="N54" s="141"/>
      <c r="O54" s="141">
        <f t="shared" ref="O54:V54" si="63">O48</f>
        <v>0.26593701971277711</v>
      </c>
      <c r="P54" s="141">
        <f t="shared" si="63"/>
        <v>0.20474921078101291</v>
      </c>
      <c r="Q54" s="141">
        <f t="shared" si="63"/>
        <v>7.7108795061826316E-2</v>
      </c>
      <c r="R54" s="141">
        <f t="shared" si="63"/>
        <v>0.20765719533217528</v>
      </c>
      <c r="S54" s="141">
        <f t="shared" si="63"/>
        <v>0.26677238413900689</v>
      </c>
      <c r="T54" s="141">
        <f t="shared" si="63"/>
        <v>0.16377647060831244</v>
      </c>
      <c r="U54" s="141">
        <f t="shared" si="63"/>
        <v>5.1364820901344976E-2</v>
      </c>
      <c r="V54" s="141">
        <f t="shared" si="63"/>
        <v>2.6256428072375305E-2</v>
      </c>
    </row>
    <row r="55" spans="1:22" s="3" customFormat="1" x14ac:dyDescent="0.25">
      <c r="A55" s="61" t="s">
        <v>79</v>
      </c>
      <c r="B55" s="141">
        <f t="shared" ref="B55:M55" si="64">(B53*100/$B$53)-100</f>
        <v>0</v>
      </c>
      <c r="C55" s="141">
        <f t="shared" si="64"/>
        <v>-42.200025351543857</v>
      </c>
      <c r="D55" s="141">
        <f t="shared" si="64"/>
        <v>-25.122064342385343</v>
      </c>
      <c r="E55" s="141">
        <f t="shared" si="64"/>
        <v>388.70809033753255</v>
      </c>
      <c r="F55" s="141">
        <f t="shared" si="64"/>
        <v>759.17153702400856</v>
      </c>
      <c r="G55" s="141">
        <f t="shared" si="64"/>
        <v>1618.033613975341</v>
      </c>
      <c r="H55" s="141">
        <f t="shared" si="64"/>
        <v>2348.3683232668486</v>
      </c>
      <c r="I55" s="141">
        <f t="shared" si="64"/>
        <v>-42.590217770596944</v>
      </c>
      <c r="J55" s="141">
        <f t="shared" si="64"/>
        <v>-73.956509363887164</v>
      </c>
      <c r="K55" s="141">
        <f t="shared" si="64"/>
        <v>-77.949878703095209</v>
      </c>
      <c r="L55" s="141">
        <f t="shared" si="64"/>
        <v>-35.224153380599148</v>
      </c>
      <c r="M55" s="141">
        <f t="shared" si="64"/>
        <v>-35.402533024353573</v>
      </c>
      <c r="N55" s="141"/>
      <c r="O55" s="141">
        <f>(O53*100/$O$53)-100</f>
        <v>0</v>
      </c>
      <c r="P55" s="141">
        <f t="shared" ref="P55:V55" si="65">(P53*100/$O$53)-100</f>
        <v>137.81048493710441</v>
      </c>
      <c r="Q55" s="141">
        <f t="shared" si="65"/>
        <v>-85.305638538389658</v>
      </c>
      <c r="R55" s="141">
        <f t="shared" si="65"/>
        <v>35.961485972332696</v>
      </c>
      <c r="S55" s="141">
        <f t="shared" si="65"/>
        <v>-0.94120407779288939</v>
      </c>
      <c r="T55" s="141">
        <f t="shared" si="65"/>
        <v>-50.695576297082802</v>
      </c>
      <c r="U55" s="141">
        <f t="shared" si="65"/>
        <v>-89.494624658600969</v>
      </c>
      <c r="V55" s="141">
        <f t="shared" si="65"/>
        <v>-95.630380630218212</v>
      </c>
    </row>
    <row r="56" spans="1:22" s="3" customFormat="1" x14ac:dyDescent="0.25">
      <c r="A56" s="61" t="s">
        <v>81</v>
      </c>
      <c r="B56" s="141">
        <f>[1]!SWTEST(B28:B43)</f>
        <v>0.85671496207586095</v>
      </c>
      <c r="C56" s="141">
        <f>[1]!SWTEST(C28:C43)</f>
        <v>0.31002129577870241</v>
      </c>
      <c r="D56" s="141">
        <f>[1]!SWTEST(D28:D43)</f>
        <v>3.8314146842307273E-2</v>
      </c>
      <c r="E56" s="141">
        <f>[1]!SWTEST(E28:E43)</f>
        <v>3.586872828198473E-6</v>
      </c>
      <c r="F56" s="141">
        <f>[1]!SWTEST(F28:F43)</f>
        <v>0.25531126817998773</v>
      </c>
      <c r="G56" s="141">
        <f>[1]!SWTEST(G28:G43)</f>
        <v>3.1792830924433191E-2</v>
      </c>
      <c r="H56" s="141">
        <f>[1]!SWTEST(H28:H43)</f>
        <v>0.44495158283763891</v>
      </c>
      <c r="I56" s="141">
        <f>[1]!SWTEST(I28:I43)</f>
        <v>1.6362789422812218E-2</v>
      </c>
      <c r="J56" s="141">
        <f>[1]!SWTEST(J28:J43)</f>
        <v>0.18653414455356787</v>
      </c>
      <c r="K56" s="141">
        <f>[1]!SWTEST(K28:K43)</f>
        <v>0.11508716808107655</v>
      </c>
      <c r="L56" s="141">
        <f>[1]!SWTEST(L28:L43)</f>
        <v>5.7264334221617252E-2</v>
      </c>
      <c r="M56" s="141">
        <f>[1]!SWTEST(M28:M43)</f>
        <v>0.15254881135241294</v>
      </c>
      <c r="N56" s="141"/>
      <c r="O56" s="141">
        <f>[1]!SWTEST(O28:O43)</f>
        <v>6.1622731670341047E-3</v>
      </c>
      <c r="P56" s="141">
        <f>[1]!SWTEST(P28:P43)</f>
        <v>0.92704434197726138</v>
      </c>
      <c r="Q56" s="141">
        <f>[1]!SWTEST(Q28:Q43)</f>
        <v>7.7579290991180994E-4</v>
      </c>
      <c r="R56" s="141">
        <f>[1]!SWTEST(R28:R43)</f>
        <v>5.560260787432747E-2</v>
      </c>
      <c r="S56" s="141">
        <f>[1]!SWTEST(S28:S43)</f>
        <v>0.69196895774677381</v>
      </c>
      <c r="T56" s="141">
        <f>[1]!SWTEST(T28:T43)</f>
        <v>5.743617646066701E-2</v>
      </c>
      <c r="U56" s="141">
        <f>[1]!SWTEST(U28:U43)</f>
        <v>2.9762545013402031E-3</v>
      </c>
      <c r="V56" s="141">
        <f>[1]!SWTEST(V28:V43)</f>
        <v>2.6639949621154457E-5</v>
      </c>
    </row>
    <row r="57" spans="1:22" s="3" customFormat="1" x14ac:dyDescent="0.25">
      <c r="A57" s="61" t="s">
        <v>85</v>
      </c>
      <c r="B57" s="141" t="str">
        <f t="shared" ref="B57:M57" si="66">IF(B56&gt;0.05,"Oui","Non")</f>
        <v>Oui</v>
      </c>
      <c r="C57" s="141" t="str">
        <f t="shared" si="66"/>
        <v>Oui</v>
      </c>
      <c r="D57" s="141" t="str">
        <f t="shared" si="66"/>
        <v>Non</v>
      </c>
      <c r="E57" s="141" t="str">
        <f t="shared" si="66"/>
        <v>Non</v>
      </c>
      <c r="F57" s="141" t="str">
        <f t="shared" si="66"/>
        <v>Oui</v>
      </c>
      <c r="G57" s="141" t="str">
        <f t="shared" si="66"/>
        <v>Non</v>
      </c>
      <c r="H57" s="141" t="str">
        <f t="shared" si="66"/>
        <v>Oui</v>
      </c>
      <c r="I57" s="141" t="str">
        <f t="shared" si="66"/>
        <v>Non</v>
      </c>
      <c r="J57" s="141" t="str">
        <f t="shared" si="66"/>
        <v>Oui</v>
      </c>
      <c r="K57" s="141" t="str">
        <f t="shared" si="66"/>
        <v>Oui</v>
      </c>
      <c r="L57" s="141" t="str">
        <f t="shared" si="66"/>
        <v>Oui</v>
      </c>
      <c r="M57" s="141" t="str">
        <f t="shared" si="66"/>
        <v>Oui</v>
      </c>
      <c r="N57" s="141"/>
      <c r="O57" s="141" t="str">
        <f t="shared" ref="O57:V57" si="67">IF(O56&gt;0.05,"Oui","Non")</f>
        <v>Non</v>
      </c>
      <c r="P57" s="141" t="str">
        <f t="shared" si="67"/>
        <v>Oui</v>
      </c>
      <c r="Q57" s="141" t="str">
        <f t="shared" si="67"/>
        <v>Non</v>
      </c>
      <c r="R57" s="141" t="str">
        <f t="shared" si="67"/>
        <v>Oui</v>
      </c>
      <c r="S57" s="141" t="str">
        <f t="shared" si="67"/>
        <v>Oui</v>
      </c>
      <c r="T57" s="141" t="str">
        <f t="shared" si="67"/>
        <v>Oui</v>
      </c>
      <c r="U57" s="141" t="str">
        <f t="shared" si="67"/>
        <v>Non</v>
      </c>
      <c r="V57" s="141" t="str">
        <f t="shared" si="67"/>
        <v>Non</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1598</v>
      </c>
      <c r="D59" s="150" t="s">
        <v>1598</v>
      </c>
      <c r="E59" s="150" t="s">
        <v>1598</v>
      </c>
      <c r="F59" s="150" t="s">
        <v>1598</v>
      </c>
      <c r="G59" s="150" t="s">
        <v>1598</v>
      </c>
      <c r="H59" s="150" t="s">
        <v>1598</v>
      </c>
      <c r="I59" s="150" t="s">
        <v>1598</v>
      </c>
      <c r="J59" s="150" t="s">
        <v>1598</v>
      </c>
      <c r="K59" s="150" t="s">
        <v>1598</v>
      </c>
      <c r="L59" s="150" t="s">
        <v>1598</v>
      </c>
      <c r="M59" s="150" t="s">
        <v>1598</v>
      </c>
      <c r="N59" s="150"/>
      <c r="O59" s="150" t="str">
        <f>IF($B57="Non",IF(O$57="Non","Mann Withney",IF(O$57="Oui","Mann Withney","")),IF($B$57="Oui",IF(O$57="Oui","T-Test Welch",IF(O$57="Non","Mann Withney",""))))</f>
        <v>Mann Withney</v>
      </c>
      <c r="P59" s="150" t="str">
        <f>IF($O57="Non",IF(P$57="Non","Mann Withney",IF(P$57="Oui","Mann Withney","")),IF($O$57="Oui",IF(P$57="Oui","T-Test Welch",IF(P$57="Non","Mann Withney",""))))</f>
        <v>Mann Withney</v>
      </c>
      <c r="Q59" s="150" t="str">
        <f t="shared" ref="Q59" si="68">IF($O57="Non",IF(Q$57="Non","Mann Withney",IF(Q$57="Oui","Mann Withney","")),IF($O$57="Oui",IF(Q$57="Oui","T-Test Welch",IF(Q$57="Non","Mann Withney",""))))</f>
        <v>Mann Withney</v>
      </c>
      <c r="R59" s="150" t="s">
        <v>1598</v>
      </c>
      <c r="S59" s="150" t="s">
        <v>1598</v>
      </c>
      <c r="T59" s="150" t="s">
        <v>1598</v>
      </c>
      <c r="U59" s="150" t="s">
        <v>1598</v>
      </c>
      <c r="V59" s="150" t="s">
        <v>1598</v>
      </c>
    </row>
    <row r="60" spans="1:22" s="3" customFormat="1" ht="15.75" x14ac:dyDescent="0.25">
      <c r="A60" s="61" t="s">
        <v>83</v>
      </c>
      <c r="B60" s="151"/>
      <c r="C60" s="197">
        <v>0.99990000000000001</v>
      </c>
      <c r="D60" s="197">
        <v>0.99990000000000001</v>
      </c>
      <c r="E60" s="197">
        <v>0.99990000000000001</v>
      </c>
      <c r="F60" s="197">
        <v>0.17030000000000001</v>
      </c>
      <c r="G60" s="197">
        <v>1.12E-2</v>
      </c>
      <c r="H60" s="197">
        <v>1.1000000000000001E-3</v>
      </c>
      <c r="I60" s="197">
        <v>0.90239999999999998</v>
      </c>
      <c r="J60" s="197">
        <v>6.5299999999999997E-2</v>
      </c>
      <c r="K60" s="197">
        <v>2.3900000000000001E-2</v>
      </c>
      <c r="L60" s="197">
        <v>0.99990000000000001</v>
      </c>
      <c r="M60" s="197">
        <v>0.99990000000000001</v>
      </c>
      <c r="N60" s="151"/>
      <c r="O60" s="197">
        <v>2.3E-2</v>
      </c>
      <c r="P60" s="197">
        <v>5.7000000000000002E-3</v>
      </c>
      <c r="Q60" s="197">
        <v>2.8E-3</v>
      </c>
      <c r="R60" s="197">
        <v>0.99990000000000001</v>
      </c>
      <c r="S60" s="197">
        <v>0.99990000000000001</v>
      </c>
      <c r="T60" s="197">
        <v>0.99990000000000001</v>
      </c>
      <c r="U60" s="197">
        <v>1.7500000000000002E-2</v>
      </c>
      <c r="V60" s="197">
        <v>1E-3</v>
      </c>
    </row>
    <row r="61" spans="1:22" s="3" customFormat="1" ht="15.75" thickBot="1" x14ac:dyDescent="0.3">
      <c r="A61" s="62" t="s">
        <v>84</v>
      </c>
      <c r="B61" s="142"/>
      <c r="C61" s="142" t="str">
        <f t="shared" ref="C61:M61" si="69">IF(C60&gt;0.05,"NS",IF(C60&gt;0.01,"*",IF(C60&gt;0.001,"**","***")))</f>
        <v>NS</v>
      </c>
      <c r="D61" s="142" t="str">
        <f t="shared" si="69"/>
        <v>NS</v>
      </c>
      <c r="E61" s="142" t="str">
        <f t="shared" si="69"/>
        <v>NS</v>
      </c>
      <c r="F61" s="142" t="str">
        <f t="shared" si="69"/>
        <v>NS</v>
      </c>
      <c r="G61" s="142" t="str">
        <f t="shared" si="69"/>
        <v>*</v>
      </c>
      <c r="H61" s="142" t="str">
        <f t="shared" si="69"/>
        <v>**</v>
      </c>
      <c r="I61" s="142" t="str">
        <f t="shared" si="69"/>
        <v>NS</v>
      </c>
      <c r="J61" s="142" t="str">
        <f t="shared" si="69"/>
        <v>NS</v>
      </c>
      <c r="K61" s="142" t="str">
        <f t="shared" si="69"/>
        <v>*</v>
      </c>
      <c r="L61" s="142" t="str">
        <f t="shared" si="69"/>
        <v>NS</v>
      </c>
      <c r="M61" s="142" t="str">
        <f t="shared" si="69"/>
        <v>NS</v>
      </c>
      <c r="N61" s="142"/>
      <c r="O61" s="142" t="str">
        <f>IF(O60&gt;0.05,"NS",IF(O60&gt;0.01,"*",IF(O60&gt;0.001,"**","***")))</f>
        <v>*</v>
      </c>
      <c r="P61" s="142" t="str">
        <f>IF(P60&gt;0.05,"NS",IF(P60&gt;0.01,"*",IF(P60&gt;0.001,"**","***")))</f>
        <v>**</v>
      </c>
      <c r="Q61" s="142" t="str">
        <f t="shared" ref="Q61" si="70">IF(Q60&gt;0.05,"NS",IF(Q60&gt;0.01,"*",IF(Q60&gt;0.001,"**","***")))</f>
        <v>**</v>
      </c>
      <c r="R61" s="142" t="str">
        <f t="shared" ref="R61" si="71">IF(R60&gt;0.05,"NS",IF(R60&gt;0.01,"*",IF(R60&gt;0.001,"**","***")))</f>
        <v>NS</v>
      </c>
      <c r="S61" s="142" t="str">
        <f t="shared" ref="S61" si="72">IF(S60&gt;0.05,"NS",IF(S60&gt;0.01,"*",IF(S60&gt;0.001,"**","***")))</f>
        <v>NS</v>
      </c>
      <c r="T61" s="142" t="str">
        <f t="shared" ref="T61" si="73">IF(T60&gt;0.05,"NS",IF(T60&gt;0.01,"*",IF(T60&gt;0.001,"**","***")))</f>
        <v>NS</v>
      </c>
      <c r="U61" s="142" t="str">
        <f t="shared" ref="U61" si="74">IF(U60&gt;0.05,"NS",IF(U60&gt;0.01,"*",IF(U60&gt;0.001,"**","***")))</f>
        <v>*</v>
      </c>
      <c r="V61" s="142" t="str">
        <f t="shared" ref="V61" si="75">IF(V60&gt;0.05,"NS",IF(V60&gt;0.01,"*",IF(V60&gt;0.001,"**","***")))</f>
        <v>***</v>
      </c>
    </row>
    <row r="63" spans="1:22" x14ac:dyDescent="0.25">
      <c r="A63" s="2" t="s">
        <v>39</v>
      </c>
    </row>
    <row r="64" spans="1:22" x14ac:dyDescent="0.25">
      <c r="A64" s="1" t="s">
        <v>23</v>
      </c>
      <c r="B64" s="1">
        <f>B46+(3*B47)</f>
        <v>0.49858296376825828</v>
      </c>
    </row>
    <row r="65" spans="1:22" x14ac:dyDescent="0.25">
      <c r="A65" s="1" t="s">
        <v>24</v>
      </c>
      <c r="B65" s="1">
        <f>B46+(10*B47)</f>
        <v>1.2739588402771589</v>
      </c>
    </row>
    <row r="66" spans="1:22" ht="15.75" thickBot="1" x14ac:dyDescent="0.3"/>
    <row r="67" spans="1:22" s="1" customFormat="1" ht="27" thickBot="1" x14ac:dyDescent="0.45">
      <c r="A67" s="218" t="s">
        <v>52</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N69" s="12"/>
      <c r="O69" s="12"/>
      <c r="P69" s="12"/>
      <c r="Q69" s="12"/>
      <c r="R69" s="197"/>
      <c r="S69" s="12"/>
      <c r="T69" s="12"/>
      <c r="U69" s="12"/>
      <c r="V69" s="12"/>
    </row>
    <row r="70" spans="1:22" ht="16.5" x14ac:dyDescent="0.25">
      <c r="A70" s="12"/>
      <c r="B70" s="12"/>
      <c r="C70" s="12"/>
      <c r="D70" s="12"/>
      <c r="E70" s="12"/>
      <c r="F70" s="12"/>
      <c r="N70" s="12"/>
      <c r="O70" s="12"/>
      <c r="P70" s="12"/>
      <c r="Q70" s="12"/>
      <c r="R70" s="197"/>
      <c r="S70" s="12"/>
      <c r="T70" s="12"/>
      <c r="U70" s="12"/>
      <c r="V70" s="12"/>
    </row>
    <row r="71" spans="1:22" ht="16.5" x14ac:dyDescent="0.25">
      <c r="A71" s="12"/>
      <c r="B71" s="12"/>
      <c r="C71" s="12"/>
      <c r="D71" s="197"/>
      <c r="E71" s="12"/>
      <c r="F71" s="12"/>
      <c r="N71" s="12"/>
      <c r="O71" s="12"/>
      <c r="P71" s="12"/>
      <c r="Q71" s="12"/>
      <c r="R71" s="197"/>
      <c r="S71" s="12"/>
      <c r="T71" s="12"/>
      <c r="U71" s="12"/>
      <c r="V71" s="12"/>
    </row>
    <row r="72" spans="1:22" ht="16.5" x14ac:dyDescent="0.25">
      <c r="A72" s="12"/>
      <c r="B72" s="12"/>
      <c r="C72" s="12"/>
      <c r="D72" s="197"/>
      <c r="E72" s="12"/>
      <c r="F72" s="12"/>
      <c r="N72" s="12"/>
      <c r="O72" s="12"/>
      <c r="P72" s="12"/>
      <c r="Q72" s="12"/>
      <c r="R72" s="197"/>
      <c r="S72" s="12"/>
      <c r="T72" s="12"/>
      <c r="U72" s="12"/>
      <c r="V72" s="12"/>
    </row>
    <row r="73" spans="1:22" ht="16.5" x14ac:dyDescent="0.25">
      <c r="A73" s="12"/>
      <c r="B73" s="12"/>
      <c r="C73" s="12"/>
      <c r="D73" s="197"/>
      <c r="E73" s="12"/>
      <c r="F73" s="12"/>
      <c r="J73" s="197"/>
      <c r="N73" s="12"/>
      <c r="O73" s="12"/>
      <c r="P73" s="12"/>
      <c r="Q73" s="12"/>
      <c r="R73" s="197"/>
      <c r="S73" s="12"/>
      <c r="T73" s="12"/>
      <c r="U73" s="12"/>
      <c r="V73" s="12"/>
    </row>
    <row r="74" spans="1:22" ht="16.5" x14ac:dyDescent="0.25">
      <c r="A74" s="12"/>
      <c r="B74" s="12"/>
      <c r="C74" s="12"/>
      <c r="D74" s="197"/>
      <c r="E74" s="12"/>
      <c r="F74" s="12"/>
      <c r="J74" s="197"/>
      <c r="N74" s="12"/>
      <c r="O74" s="12"/>
      <c r="P74" s="12"/>
      <c r="Q74" s="12"/>
      <c r="R74" s="12"/>
      <c r="S74" s="12"/>
      <c r="T74" s="12"/>
      <c r="U74" s="12"/>
      <c r="V74" s="12"/>
    </row>
    <row r="75" spans="1:22" ht="15.75" x14ac:dyDescent="0.25">
      <c r="D75" s="197"/>
      <c r="J75" s="197"/>
    </row>
    <row r="76" spans="1:22" ht="15.75" x14ac:dyDescent="0.25">
      <c r="D76" s="197"/>
      <c r="J76" s="197"/>
    </row>
    <row r="77" spans="1:22" ht="15.75" x14ac:dyDescent="0.25">
      <c r="J77" s="197"/>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V1" zoomScale="80" zoomScaleNormal="80" workbookViewId="0">
      <selection activeCell="Z5" sqref="Z5:AF12"/>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1564</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1599</v>
      </c>
      <c r="D2" s="1" t="s">
        <v>737</v>
      </c>
      <c r="E2" s="1" t="s">
        <v>1600</v>
      </c>
      <c r="F2" s="1" t="s">
        <v>112</v>
      </c>
      <c r="G2" s="1">
        <v>96318</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1601</v>
      </c>
      <c r="D3" s="1" t="s">
        <v>335</v>
      </c>
      <c r="E3" s="1" t="s">
        <v>1602</v>
      </c>
      <c r="F3" s="1" t="s">
        <v>112</v>
      </c>
      <c r="G3" s="1">
        <v>59028</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1603</v>
      </c>
      <c r="D4" s="1" t="s">
        <v>229</v>
      </c>
      <c r="E4" s="1" t="s">
        <v>1489</v>
      </c>
      <c r="F4" s="1" t="s">
        <v>112</v>
      </c>
      <c r="G4" s="1">
        <v>10815</v>
      </c>
      <c r="K4" s="118" t="s">
        <v>100</v>
      </c>
      <c r="L4" s="1" t="s">
        <v>1565</v>
      </c>
      <c r="M4" s="1" t="s">
        <v>1566</v>
      </c>
      <c r="N4" s="1" t="s">
        <v>1567</v>
      </c>
      <c r="O4" s="1" t="s">
        <v>1568</v>
      </c>
      <c r="P4" s="1" t="s">
        <v>1569</v>
      </c>
      <c r="Q4" s="1" t="s">
        <v>1570</v>
      </c>
      <c r="R4" s="1" t="s">
        <v>1571</v>
      </c>
      <c r="S4" s="1" t="s">
        <v>1572</v>
      </c>
      <c r="T4" s="1" t="s">
        <v>1573</v>
      </c>
      <c r="U4" s="1" t="s">
        <v>1574</v>
      </c>
      <c r="V4" s="1" t="s">
        <v>1575</v>
      </c>
      <c r="W4" s="1" t="s">
        <v>1576</v>
      </c>
      <c r="X4" s="1" t="s">
        <v>1577</v>
      </c>
      <c r="Y4" s="1" t="s">
        <v>1578</v>
      </c>
      <c r="Z4" s="1" t="s">
        <v>1579</v>
      </c>
      <c r="AA4" s="1" t="s">
        <v>1580</v>
      </c>
      <c r="AB4" s="1" t="s">
        <v>1581</v>
      </c>
      <c r="AC4" s="1" t="s">
        <v>1582</v>
      </c>
      <c r="AD4" s="1" t="s">
        <v>1583</v>
      </c>
      <c r="AE4" s="1" t="s">
        <v>1584</v>
      </c>
      <c r="AF4" s="1" t="s">
        <v>1585</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1604</v>
      </c>
      <c r="D5" s="1" t="s">
        <v>173</v>
      </c>
      <c r="E5" s="1" t="s">
        <v>1605</v>
      </c>
      <c r="F5" s="1" t="s">
        <v>112</v>
      </c>
      <c r="G5" s="1">
        <v>127789</v>
      </c>
      <c r="K5" s="145" t="s">
        <v>163</v>
      </c>
      <c r="L5" s="44">
        <v>55387</v>
      </c>
      <c r="M5" s="44">
        <v>371461</v>
      </c>
      <c r="N5" s="44">
        <v>161986.33333333334</v>
      </c>
      <c r="O5" s="44">
        <v>191979.66666666666</v>
      </c>
      <c r="P5" s="44">
        <v>857957</v>
      </c>
      <c r="Q5" s="44">
        <v>1491878.6666666667</v>
      </c>
      <c r="R5" s="44">
        <v>5457770.333333333</v>
      </c>
      <c r="S5" s="44">
        <v>183493.66666666666</v>
      </c>
      <c r="T5" s="44">
        <v>212023.33333333334</v>
      </c>
      <c r="U5" s="44">
        <v>44261.666666666664</v>
      </c>
      <c r="V5" s="44">
        <v>158619.33333333334</v>
      </c>
      <c r="W5" s="44">
        <v>418755</v>
      </c>
      <c r="X5" s="44">
        <v>3976288.3333333335</v>
      </c>
      <c r="Y5" s="44">
        <v>1163089.6666666667</v>
      </c>
      <c r="Z5" s="44">
        <v>4652287.333333333</v>
      </c>
      <c r="AA5" s="44">
        <v>164920.66666666666</v>
      </c>
      <c r="AB5" s="44">
        <v>877532</v>
      </c>
      <c r="AC5" s="44">
        <v>1413326.3333333333</v>
      </c>
      <c r="AD5" s="44">
        <v>82193.5</v>
      </c>
      <c r="AE5" s="44">
        <v>231382.33333333334</v>
      </c>
      <c r="AF5" s="44">
        <v>362906.33333333331</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1606</v>
      </c>
      <c r="D6" s="1" t="s">
        <v>797</v>
      </c>
      <c r="E6" s="1" t="s">
        <v>1607</v>
      </c>
      <c r="F6" s="1" t="s">
        <v>112</v>
      </c>
      <c r="G6" s="1">
        <v>35473</v>
      </c>
      <c r="K6" s="145" t="s">
        <v>1586</v>
      </c>
      <c r="L6" s="44">
        <v>136484.33333333334</v>
      </c>
      <c r="M6" s="44">
        <v>247056.66666666666</v>
      </c>
      <c r="N6" s="44">
        <v>158698.66666666666</v>
      </c>
      <c r="O6" s="44">
        <v>526450</v>
      </c>
      <c r="P6" s="44">
        <v>1124156</v>
      </c>
      <c r="Q6" s="44">
        <v>1730009.6666666667</v>
      </c>
      <c r="R6" s="44">
        <v>7133453</v>
      </c>
      <c r="S6" s="44">
        <v>246148.33333333334</v>
      </c>
      <c r="T6" s="44">
        <v>255074</v>
      </c>
      <c r="U6" s="44">
        <v>267057</v>
      </c>
      <c r="V6" s="44">
        <v>127811</v>
      </c>
      <c r="W6" s="44">
        <v>451279</v>
      </c>
      <c r="X6" s="44">
        <v>649546</v>
      </c>
      <c r="Y6" s="44">
        <v>4338928.333333333</v>
      </c>
      <c r="Z6" s="44">
        <v>4411907.666666667</v>
      </c>
      <c r="AA6" s="44">
        <v>24950</v>
      </c>
      <c r="AB6" s="44">
        <v>184600.5</v>
      </c>
      <c r="AC6" s="44">
        <v>2100738.3333333335</v>
      </c>
      <c r="AD6" s="44">
        <v>19236.333333333332</v>
      </c>
      <c r="AE6" s="44">
        <v>150846.66666666666</v>
      </c>
      <c r="AF6" s="44">
        <v>160829</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1608</v>
      </c>
      <c r="D7" s="1" t="s">
        <v>1609</v>
      </c>
      <c r="E7" s="1" t="s">
        <v>1610</v>
      </c>
      <c r="F7" s="1" t="s">
        <v>112</v>
      </c>
      <c r="G7" s="1">
        <v>246191</v>
      </c>
      <c r="K7" s="145" t="s">
        <v>1587</v>
      </c>
      <c r="L7" s="44">
        <v>100557.66666666667</v>
      </c>
      <c r="M7" s="44">
        <v>517913.33333333331</v>
      </c>
      <c r="N7" s="44">
        <v>33922.666666666664</v>
      </c>
      <c r="O7" s="44">
        <v>504669</v>
      </c>
      <c r="P7" s="44">
        <v>97947.333333333328</v>
      </c>
      <c r="Q7" s="44">
        <v>3384660.3333333335</v>
      </c>
      <c r="R7" s="44">
        <v>8445652</v>
      </c>
      <c r="S7" s="44">
        <v>218840.5</v>
      </c>
      <c r="T7" s="44">
        <v>303525</v>
      </c>
      <c r="U7" s="44">
        <v>470219.66666666669</v>
      </c>
      <c r="V7" s="44">
        <v>213984.66666666666</v>
      </c>
      <c r="W7" s="44">
        <v>314311.33333333331</v>
      </c>
      <c r="X7" s="44">
        <v>3794099.6666666665</v>
      </c>
      <c r="Y7" s="44">
        <v>2295126.6666666665</v>
      </c>
      <c r="Z7" s="44">
        <v>724241</v>
      </c>
      <c r="AA7" s="44">
        <v>172123.33333333334</v>
      </c>
      <c r="AB7" s="44">
        <v>2157661</v>
      </c>
      <c r="AC7" s="44">
        <v>909955</v>
      </c>
      <c r="AD7" s="44">
        <v>703317.5</v>
      </c>
      <c r="AE7" s="44">
        <v>228923.66666666666</v>
      </c>
      <c r="AF7" s="44">
        <v>243084</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1611</v>
      </c>
      <c r="D8" s="1" t="s">
        <v>1612</v>
      </c>
      <c r="E8" s="1" t="s">
        <v>1613</v>
      </c>
      <c r="F8" s="1" t="s">
        <v>112</v>
      </c>
      <c r="G8" s="1">
        <v>255233</v>
      </c>
      <c r="K8" s="145" t="s">
        <v>1588</v>
      </c>
      <c r="L8" s="44">
        <v>306265</v>
      </c>
      <c r="M8" s="44">
        <v>656957.66666666663</v>
      </c>
      <c r="N8" s="44">
        <v>223725</v>
      </c>
      <c r="O8" s="44">
        <v>459974</v>
      </c>
      <c r="P8" s="44">
        <v>667556.33333333337</v>
      </c>
      <c r="Q8" s="44">
        <v>2852493</v>
      </c>
      <c r="R8" s="44">
        <v>5852552</v>
      </c>
      <c r="S8" s="44">
        <v>120312.66666666667</v>
      </c>
      <c r="T8" s="44">
        <v>17837.333333333332</v>
      </c>
      <c r="U8" s="44">
        <v>312689.33333333331</v>
      </c>
      <c r="V8" s="44">
        <v>304080.33333333331</v>
      </c>
      <c r="W8" s="44">
        <v>114580.66666666667</v>
      </c>
      <c r="X8" s="44">
        <v>397968.33333333331</v>
      </c>
      <c r="Y8" s="44">
        <v>4110675</v>
      </c>
      <c r="Z8" s="44">
        <v>4453476.5</v>
      </c>
      <c r="AA8" s="44">
        <v>25901.5</v>
      </c>
      <c r="AB8" s="44">
        <v>647116</v>
      </c>
      <c r="AC8" s="44">
        <v>2401884.3333333335</v>
      </c>
      <c r="AD8" s="44">
        <v>15782.333333333334</v>
      </c>
      <c r="AE8" s="44">
        <v>45228</v>
      </c>
      <c r="AF8" s="44">
        <v>578477.33333333337</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1614</v>
      </c>
      <c r="D9" s="1" t="s">
        <v>220</v>
      </c>
      <c r="E9" s="1" t="s">
        <v>1615</v>
      </c>
      <c r="F9" s="1" t="s">
        <v>112</v>
      </c>
      <c r="G9" s="1">
        <v>12351</v>
      </c>
      <c r="K9" s="145" t="s">
        <v>1589</v>
      </c>
      <c r="L9" s="44">
        <v>106887.33333333333</v>
      </c>
      <c r="M9" s="44">
        <v>97601.333333333328</v>
      </c>
      <c r="N9" s="44">
        <v>846255.33333333337</v>
      </c>
      <c r="O9" s="44">
        <v>4939186.5</v>
      </c>
      <c r="P9" s="44">
        <v>370635.33333333331</v>
      </c>
      <c r="Q9" s="44">
        <v>1734602</v>
      </c>
      <c r="R9" s="44">
        <v>6582402.333333333</v>
      </c>
      <c r="S9" s="44">
        <v>456412.33333333331</v>
      </c>
      <c r="T9" s="44">
        <v>24052.333333333332</v>
      </c>
      <c r="U9" s="44">
        <v>37758.666666666664</v>
      </c>
      <c r="V9" s="44">
        <v>103585.5</v>
      </c>
      <c r="W9" s="44">
        <v>219522</v>
      </c>
      <c r="X9" s="44">
        <v>3506653</v>
      </c>
      <c r="Y9" s="44">
        <v>2018004</v>
      </c>
      <c r="Z9" s="44">
        <v>2721636</v>
      </c>
      <c r="AA9" s="44">
        <v>299004.66666666669</v>
      </c>
      <c r="AB9" s="44">
        <v>2829709.3333333335</v>
      </c>
      <c r="AC9" s="44">
        <v>1971428</v>
      </c>
      <c r="AD9" s="44">
        <v>23857.5</v>
      </c>
      <c r="AE9" s="44">
        <v>188490</v>
      </c>
      <c r="AF9" s="44">
        <v>316452.66666666669</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1616</v>
      </c>
      <c r="D10" s="1" t="s">
        <v>241</v>
      </c>
      <c r="E10" s="1" t="s">
        <v>1617</v>
      </c>
      <c r="F10" s="1" t="s">
        <v>112</v>
      </c>
      <c r="G10" s="1">
        <v>34089</v>
      </c>
      <c r="K10" s="145" t="s">
        <v>1590</v>
      </c>
      <c r="L10" s="44">
        <v>185130</v>
      </c>
      <c r="M10" s="44">
        <v>217849</v>
      </c>
      <c r="N10" s="44">
        <v>22985.333333333332</v>
      </c>
      <c r="O10" s="44">
        <v>183039.33333333334</v>
      </c>
      <c r="P10" s="44">
        <v>2064436.3333333333</v>
      </c>
      <c r="Q10" s="44">
        <v>2156745.6666666665</v>
      </c>
      <c r="R10" s="44">
        <v>7280838.666666667</v>
      </c>
      <c r="S10" s="44">
        <v>201363.5</v>
      </c>
      <c r="T10" s="44">
        <v>111689.33333333333</v>
      </c>
      <c r="U10" s="44">
        <v>33403.666666666664</v>
      </c>
      <c r="V10" s="44">
        <v>331643.66666666669</v>
      </c>
      <c r="W10" s="44">
        <v>196161.33333333334</v>
      </c>
      <c r="X10" s="44">
        <v>1446888.6666666667</v>
      </c>
      <c r="Y10" s="44">
        <v>2419138</v>
      </c>
      <c r="Z10" s="44">
        <v>1409079.6666666667</v>
      </c>
      <c r="AA10" s="44">
        <v>188988</v>
      </c>
      <c r="AB10" s="44">
        <v>495735.5</v>
      </c>
      <c r="AC10" s="44">
        <v>890106.33333333337</v>
      </c>
      <c r="AD10" s="44">
        <v>525109</v>
      </c>
      <c r="AE10" s="44">
        <v>606156</v>
      </c>
      <c r="AF10" s="44">
        <v>74226.333333333328</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1618</v>
      </c>
      <c r="D11" s="1" t="s">
        <v>1619</v>
      </c>
      <c r="E11" s="1" t="s">
        <v>1620</v>
      </c>
      <c r="F11" s="1" t="s">
        <v>112</v>
      </c>
      <c r="G11" s="1">
        <v>433550</v>
      </c>
      <c r="K11" s="145" t="s">
        <v>1591</v>
      </c>
      <c r="L11" s="44">
        <v>63671.333333333336</v>
      </c>
      <c r="M11" s="44">
        <v>16258.666666666666</v>
      </c>
      <c r="N11" s="44">
        <v>241043.66666666666</v>
      </c>
      <c r="O11" s="44">
        <v>2793803.6666666665</v>
      </c>
      <c r="P11" s="44">
        <v>2664074.6666666665</v>
      </c>
      <c r="Q11" s="44">
        <v>2157026.6666666665</v>
      </c>
      <c r="R11" s="44">
        <v>7566418.333333333</v>
      </c>
      <c r="S11" s="44">
        <v>101300.33333333333</v>
      </c>
      <c r="T11" s="44">
        <v>217193</v>
      </c>
      <c r="U11" s="44">
        <v>437580</v>
      </c>
      <c r="V11" s="44">
        <v>214063.66666666666</v>
      </c>
      <c r="W11" s="44">
        <v>41104</v>
      </c>
      <c r="X11" s="44">
        <v>2358869.6666666665</v>
      </c>
      <c r="Y11" s="44">
        <v>1146478.3333333333</v>
      </c>
      <c r="Z11" s="44">
        <v>4293628</v>
      </c>
      <c r="AA11" s="44">
        <v>291340.33333333331</v>
      </c>
      <c r="AB11" s="44">
        <v>3010290</v>
      </c>
      <c r="AC11" s="44">
        <v>1764033.3333333333</v>
      </c>
      <c r="AD11" s="44">
        <v>68098</v>
      </c>
      <c r="AE11" s="44">
        <v>26410</v>
      </c>
      <c r="AF11" s="44">
        <v>120759.66666666667</v>
      </c>
      <c r="AG11"/>
    </row>
    <row r="12" spans="1:144" x14ac:dyDescent="0.25">
      <c r="A12" s="1" t="str">
        <f t="shared" si="0"/>
        <v>01 Evian + 0.2% DMSO</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1621</v>
      </c>
      <c r="D12" s="1" t="s">
        <v>1622</v>
      </c>
      <c r="E12" s="1" t="s">
        <v>1623</v>
      </c>
      <c r="F12" s="1" t="s">
        <v>112</v>
      </c>
      <c r="G12" s="1">
        <v>162051</v>
      </c>
      <c r="K12" s="145" t="s">
        <v>1592</v>
      </c>
      <c r="L12" s="44">
        <v>30310.666666666668</v>
      </c>
      <c r="M12" s="44">
        <v>324891.5</v>
      </c>
      <c r="N12" s="44">
        <v>400910</v>
      </c>
      <c r="O12" s="44">
        <v>267525.66666666669</v>
      </c>
      <c r="P12" s="44">
        <v>2231599.5</v>
      </c>
      <c r="Q12" s="44">
        <v>2402988</v>
      </c>
      <c r="R12" s="44">
        <v>4605891.333333333</v>
      </c>
      <c r="S12" s="44">
        <v>376165.33333333331</v>
      </c>
      <c r="T12" s="44">
        <v>215801.33333333334</v>
      </c>
      <c r="U12" s="44">
        <v>14766</v>
      </c>
      <c r="V12" s="44">
        <v>181006.33333333334</v>
      </c>
      <c r="W12" s="44">
        <v>103326</v>
      </c>
      <c r="X12" s="44">
        <v>792476</v>
      </c>
      <c r="Y12" s="44">
        <v>2391437.3333333335</v>
      </c>
      <c r="Z12" s="44"/>
      <c r="AA12" s="44">
        <v>209864</v>
      </c>
      <c r="AB12" s="44">
        <v>364579.33333333331</v>
      </c>
      <c r="AC12" s="44">
        <v>2367882</v>
      </c>
      <c r="AD12" s="44">
        <v>1013699.3333333334</v>
      </c>
      <c r="AE12" s="44">
        <v>153767</v>
      </c>
      <c r="AF12" s="44">
        <v>355703.66666666669</v>
      </c>
      <c r="AG12"/>
    </row>
    <row r="13" spans="1:144" x14ac:dyDescent="0.25">
      <c r="A13" s="1" t="str">
        <f t="shared" si="0"/>
        <v>01 Evian + 0.2% DMSO</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1624</v>
      </c>
      <c r="D13" s="1" t="s">
        <v>1625</v>
      </c>
      <c r="E13" s="1" t="s">
        <v>1626</v>
      </c>
      <c r="F13" s="1" t="s">
        <v>112</v>
      </c>
      <c r="G13" s="1">
        <v>323194</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1627</v>
      </c>
      <c r="D14" s="1" t="s">
        <v>1628</v>
      </c>
      <c r="E14" s="1" t="s">
        <v>1629</v>
      </c>
      <c r="F14" s="1" t="s">
        <v>112</v>
      </c>
      <c r="G14" s="1">
        <v>119548</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1630</v>
      </c>
      <c r="D15" s="1" t="s">
        <v>1631</v>
      </c>
      <c r="E15" s="1" t="s">
        <v>1632</v>
      </c>
      <c r="F15" s="1" t="s">
        <v>112</v>
      </c>
      <c r="G15" s="1">
        <v>94890</v>
      </c>
    </row>
    <row r="16" spans="1:144" x14ac:dyDescent="0.25">
      <c r="A16" s="1" t="str">
        <f t="shared" si="0"/>
        <v>01 Evian + 0.2% DMSO</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1633</v>
      </c>
      <c r="D16" s="1" t="s">
        <v>1634</v>
      </c>
      <c r="E16" s="1" t="s">
        <v>1635</v>
      </c>
      <c r="F16" s="1" t="s">
        <v>112</v>
      </c>
      <c r="G16" s="1">
        <v>106224</v>
      </c>
    </row>
    <row r="17" spans="1:10" x14ac:dyDescent="0.25">
      <c r="A17" s="1" t="str">
        <f t="shared" si="0"/>
        <v>01 Evian + 0.2% DMSO</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1636</v>
      </c>
      <c r="D17" s="1" t="s">
        <v>1374</v>
      </c>
      <c r="E17" s="1" t="s">
        <v>1637</v>
      </c>
      <c r="F17" s="1" t="s">
        <v>112</v>
      </c>
      <c r="G17" s="1">
        <v>104818</v>
      </c>
    </row>
    <row r="18" spans="1:10" x14ac:dyDescent="0.25">
      <c r="A18" s="1" t="str">
        <f t="shared" si="0"/>
        <v>01 Evian + 0.2% DMSO</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1638</v>
      </c>
      <c r="D18" s="1" t="s">
        <v>266</v>
      </c>
      <c r="E18" s="1" t="s">
        <v>1398</v>
      </c>
      <c r="F18" s="1" t="s">
        <v>112</v>
      </c>
      <c r="G18" s="1">
        <v>54983</v>
      </c>
    </row>
    <row r="19" spans="1:10" x14ac:dyDescent="0.25">
      <c r="A19" s="1" t="str">
        <f t="shared" si="0"/>
        <v>01 Evian + 0.2% DMSO</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1639</v>
      </c>
      <c r="D19" s="1" t="s">
        <v>1640</v>
      </c>
      <c r="E19" s="1" t="s">
        <v>1641</v>
      </c>
      <c r="F19" s="1" t="s">
        <v>112</v>
      </c>
      <c r="G19" s="1">
        <v>395589</v>
      </c>
    </row>
    <row r="20" spans="1:10" x14ac:dyDescent="0.25">
      <c r="A20" s="1" t="str">
        <f t="shared" si="0"/>
        <v>01 Evian + 0.2% DMSO</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1642</v>
      </c>
      <c r="D20" s="1" t="s">
        <v>824</v>
      </c>
      <c r="E20" s="1" t="s">
        <v>1643</v>
      </c>
      <c r="F20" s="1" t="s">
        <v>112</v>
      </c>
      <c r="G20" s="1">
        <v>15033</v>
      </c>
    </row>
    <row r="21" spans="1:10" x14ac:dyDescent="0.25">
      <c r="A21" s="1" t="str">
        <f t="shared" si="0"/>
        <v>01 Evian + 0.2% DMSO</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1644</v>
      </c>
      <c r="D21" s="1" t="s">
        <v>1645</v>
      </c>
      <c r="E21" s="1" t="s">
        <v>302</v>
      </c>
      <c r="F21" s="1" t="s">
        <v>112</v>
      </c>
      <c r="G21" s="1">
        <v>37420</v>
      </c>
    </row>
    <row r="22" spans="1:10" x14ac:dyDescent="0.25">
      <c r="A22" s="1" t="str">
        <f t="shared" si="0"/>
        <v>01 Evian + 0.2% DMSO</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1646</v>
      </c>
      <c r="D22" s="1" t="s">
        <v>426</v>
      </c>
      <c r="E22" s="1" t="s">
        <v>1647</v>
      </c>
      <c r="F22" s="1" t="s">
        <v>112</v>
      </c>
      <c r="G22" s="1">
        <v>138561</v>
      </c>
    </row>
    <row r="23" spans="1:10" x14ac:dyDescent="0.25">
      <c r="A23" s="1" t="str">
        <f t="shared" si="0"/>
        <v>01 Evian + 0.2% DMSO</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1648</v>
      </c>
      <c r="D23" s="1" t="s">
        <v>1649</v>
      </c>
      <c r="E23" s="1" t="s">
        <v>1650</v>
      </c>
      <c r="F23" s="1" t="s">
        <v>112</v>
      </c>
      <c r="G23" s="1">
        <v>67745</v>
      </c>
    </row>
    <row r="24" spans="1:10" x14ac:dyDescent="0.25">
      <c r="A24" s="1" t="str">
        <f t="shared" si="0"/>
        <v>01 Evian + 0.2% DMSO</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1651</v>
      </c>
      <c r="D24" s="1" t="s">
        <v>409</v>
      </c>
      <c r="E24" s="1" t="s">
        <v>1652</v>
      </c>
      <c r="F24" s="1" t="s">
        <v>112</v>
      </c>
      <c r="G24" s="1">
        <v>16006</v>
      </c>
    </row>
    <row r="25" spans="1:10" x14ac:dyDescent="0.25">
      <c r="A25" s="1" t="str">
        <f t="shared" si="0"/>
        <v>01 Evian + 0.2% DMSO</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1653</v>
      </c>
      <c r="D25" s="1" t="s">
        <v>257</v>
      </c>
      <c r="E25" s="1" t="s">
        <v>258</v>
      </c>
      <c r="F25" s="1" t="s">
        <v>112</v>
      </c>
      <c r="G25" s="1">
        <v>7181</v>
      </c>
    </row>
    <row r="26" spans="1:10" x14ac:dyDescent="0.2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10" x14ac:dyDescent="0.2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243</v>
      </c>
      <c r="D27" s="1" t="s">
        <v>112</v>
      </c>
      <c r="E27" s="1" t="s">
        <v>244</v>
      </c>
      <c r="F27" s="1" t="s">
        <v>245</v>
      </c>
      <c r="G27" s="1" t="s">
        <v>246</v>
      </c>
      <c r="H27" s="1" t="s">
        <v>247</v>
      </c>
      <c r="I27" s="1" t="s">
        <v>248</v>
      </c>
      <c r="J27" s="1" t="s">
        <v>249</v>
      </c>
    </row>
    <row r="28" spans="1:10" x14ac:dyDescent="0.25">
      <c r="A28" s="1" t="str">
        <f t="shared" si="0"/>
        <v>01 Evian + 0.2% DMSO</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1654</v>
      </c>
      <c r="D28" s="1" t="s">
        <v>112</v>
      </c>
      <c r="E28" s="1" t="s">
        <v>1655</v>
      </c>
      <c r="F28" s="1" t="s">
        <v>1656</v>
      </c>
      <c r="G28" s="1" t="s">
        <v>1657</v>
      </c>
      <c r="H28" s="1" t="s">
        <v>1658</v>
      </c>
      <c r="I28" s="1">
        <v>24</v>
      </c>
      <c r="J28" s="1">
        <v>24</v>
      </c>
    </row>
    <row r="29" spans="1:10" x14ac:dyDescent="0.2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10" x14ac:dyDescent="0.2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10" x14ac:dyDescent="0.2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10" x14ac:dyDescent="0.2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2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2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255</v>
      </c>
      <c r="D34" s="1" t="s">
        <v>110</v>
      </c>
      <c r="E34" s="1" t="s">
        <v>111</v>
      </c>
      <c r="F34" s="1" t="s">
        <v>112</v>
      </c>
      <c r="G34" s="1" t="s">
        <v>113</v>
      </c>
    </row>
    <row r="35" spans="1:7" x14ac:dyDescent="0.25">
      <c r="A35" s="1" t="str">
        <f t="shared" si="0"/>
        <v>02 EE2 33.8</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1659</v>
      </c>
      <c r="D35" s="1" t="s">
        <v>146</v>
      </c>
      <c r="E35" s="1" t="s">
        <v>1660</v>
      </c>
      <c r="F35" s="1" t="s">
        <v>112</v>
      </c>
      <c r="G35" s="1">
        <v>346122</v>
      </c>
    </row>
    <row r="36" spans="1:7" x14ac:dyDescent="0.25">
      <c r="A36" s="1" t="str">
        <f t="shared" si="0"/>
        <v>02 EE2 33.8</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1661</v>
      </c>
    </row>
    <row r="37" spans="1:7" x14ac:dyDescent="0.25">
      <c r="A37" s="1" t="str">
        <f t="shared" si="0"/>
        <v>02 EE2 33.8</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1662</v>
      </c>
      <c r="D37" s="1" t="s">
        <v>932</v>
      </c>
      <c r="E37" s="1" t="s">
        <v>1663</v>
      </c>
      <c r="F37" s="1" t="s">
        <v>112</v>
      </c>
      <c r="G37" s="1">
        <v>396800</v>
      </c>
    </row>
    <row r="38" spans="1:7" x14ac:dyDescent="0.25">
      <c r="A38" s="1" t="str">
        <f t="shared" si="0"/>
        <v>02 EE2 33.8</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1664</v>
      </c>
      <c r="D38" s="1" t="s">
        <v>929</v>
      </c>
      <c r="E38" s="1" t="s">
        <v>1665</v>
      </c>
      <c r="F38" s="1" t="s">
        <v>112</v>
      </c>
      <c r="G38" s="1">
        <v>242147</v>
      </c>
    </row>
    <row r="39" spans="1:7" x14ac:dyDescent="0.25">
      <c r="A39" s="1" t="str">
        <f t="shared" si="0"/>
        <v>02 EE2 33.8</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1666</v>
      </c>
      <c r="D39" s="1" t="s">
        <v>1667</v>
      </c>
      <c r="E39" s="1" t="s">
        <v>825</v>
      </c>
      <c r="F39" s="1" t="s">
        <v>112</v>
      </c>
      <c r="G39" s="1">
        <v>195707</v>
      </c>
    </row>
    <row r="40" spans="1:7" x14ac:dyDescent="0.25">
      <c r="A40" s="1" t="str">
        <f t="shared" si="0"/>
        <v>02 EE2 33.8</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1668</v>
      </c>
      <c r="D40" s="1" t="s">
        <v>1669</v>
      </c>
      <c r="E40" s="1" t="s">
        <v>1670</v>
      </c>
      <c r="F40" s="1" t="s">
        <v>112</v>
      </c>
      <c r="G40" s="1">
        <v>303316</v>
      </c>
    </row>
    <row r="41" spans="1:7" x14ac:dyDescent="0.25">
      <c r="A41" s="1" t="str">
        <f t="shared" si="0"/>
        <v>02 EE2 33.8</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1671</v>
      </c>
      <c r="D41" s="1" t="s">
        <v>1672</v>
      </c>
      <c r="E41" s="1" t="s">
        <v>1673</v>
      </c>
      <c r="F41" s="1" t="s">
        <v>112</v>
      </c>
      <c r="G41" s="1">
        <v>519009</v>
      </c>
    </row>
    <row r="42" spans="1:7" x14ac:dyDescent="0.25">
      <c r="A42" s="1" t="str">
        <f t="shared" si="0"/>
        <v>02 EE2 33.8</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1674</v>
      </c>
      <c r="D42" s="1" t="s">
        <v>1675</v>
      </c>
      <c r="E42" s="1" t="s">
        <v>1676</v>
      </c>
      <c r="F42" s="1" t="s">
        <v>112</v>
      </c>
      <c r="G42" s="1">
        <v>670397</v>
      </c>
    </row>
    <row r="43" spans="1:7" x14ac:dyDescent="0.25">
      <c r="A43" s="1" t="str">
        <f t="shared" si="0"/>
        <v>02 EE2 33.8</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1677</v>
      </c>
      <c r="D43" s="1" t="s">
        <v>972</v>
      </c>
      <c r="E43" s="1" t="s">
        <v>1678</v>
      </c>
      <c r="F43" s="1" t="s">
        <v>112</v>
      </c>
      <c r="G43" s="1">
        <v>364334</v>
      </c>
    </row>
    <row r="44" spans="1:7" x14ac:dyDescent="0.25">
      <c r="A44" s="1" t="str">
        <f t="shared" si="0"/>
        <v>02 EE2 33.8</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1679</v>
      </c>
      <c r="D44" s="1" t="s">
        <v>1680</v>
      </c>
      <c r="E44" s="1" t="s">
        <v>1681</v>
      </c>
      <c r="F44" s="1" t="s">
        <v>112</v>
      </c>
      <c r="G44" s="1">
        <v>666287</v>
      </c>
    </row>
    <row r="45" spans="1:7" x14ac:dyDescent="0.25">
      <c r="A45" s="1" t="str">
        <f t="shared" si="0"/>
        <v>02 EE2 33.8</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1682</v>
      </c>
      <c r="D45" s="1" t="s">
        <v>1683</v>
      </c>
      <c r="E45" s="1" t="s">
        <v>1684</v>
      </c>
      <c r="F45" s="1" t="s">
        <v>112</v>
      </c>
      <c r="G45" s="1">
        <v>712359</v>
      </c>
    </row>
    <row r="46" spans="1:7" x14ac:dyDescent="0.25">
      <c r="A46" s="1" t="str">
        <f t="shared" si="0"/>
        <v>02 EE2 33.8</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1685</v>
      </c>
      <c r="D46" s="1" t="s">
        <v>1686</v>
      </c>
      <c r="E46" s="1" t="s">
        <v>1687</v>
      </c>
      <c r="F46" s="1" t="s">
        <v>112</v>
      </c>
      <c r="G46" s="1">
        <v>592227</v>
      </c>
    </row>
    <row r="47" spans="1:7" x14ac:dyDescent="0.25">
      <c r="A47" s="1" t="str">
        <f t="shared" si="0"/>
        <v>02 EE2 33.8</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1688</v>
      </c>
      <c r="D47" s="1" t="s">
        <v>329</v>
      </c>
      <c r="E47" s="1" t="s">
        <v>1689</v>
      </c>
      <c r="F47" s="1" t="s">
        <v>112</v>
      </c>
      <c r="G47" s="1">
        <v>52020</v>
      </c>
    </row>
    <row r="48" spans="1:7" x14ac:dyDescent="0.25">
      <c r="A48" s="1" t="str">
        <f t="shared" si="0"/>
        <v>02 EE2 33.8</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1690</v>
      </c>
      <c r="D48" s="1" t="s">
        <v>266</v>
      </c>
      <c r="E48" s="1" t="s">
        <v>1691</v>
      </c>
      <c r="F48" s="1" t="s">
        <v>112</v>
      </c>
      <c r="G48" s="1">
        <v>55524</v>
      </c>
    </row>
    <row r="49" spans="1:10" x14ac:dyDescent="0.25">
      <c r="A49" s="1" t="str">
        <f t="shared" si="0"/>
        <v>02 EE2 33.8</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1692</v>
      </c>
      <c r="D49" s="1" t="s">
        <v>1091</v>
      </c>
      <c r="E49" s="1" t="s">
        <v>1693</v>
      </c>
      <c r="F49" s="1" t="s">
        <v>112</v>
      </c>
      <c r="G49" s="1">
        <v>185260</v>
      </c>
    </row>
    <row r="50" spans="1:10" x14ac:dyDescent="0.25">
      <c r="A50" s="1" t="str">
        <f t="shared" si="0"/>
        <v>02 EE2 33.8</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1694</v>
      </c>
      <c r="D50" s="1" t="s">
        <v>1695</v>
      </c>
      <c r="E50" s="1" t="s">
        <v>1696</v>
      </c>
      <c r="F50" s="1" t="s">
        <v>112</v>
      </c>
      <c r="G50" s="1">
        <v>418841</v>
      </c>
    </row>
    <row r="51" spans="1:10" x14ac:dyDescent="0.25">
      <c r="A51" s="1" t="str">
        <f t="shared" si="0"/>
        <v>02 EE2 33.8</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1697</v>
      </c>
      <c r="D51" s="1" t="s">
        <v>454</v>
      </c>
      <c r="E51" s="1" t="s">
        <v>1698</v>
      </c>
      <c r="F51" s="1" t="s">
        <v>112</v>
      </c>
      <c r="G51" s="1">
        <v>184719</v>
      </c>
    </row>
    <row r="52" spans="1:10" x14ac:dyDescent="0.25">
      <c r="A52" s="1" t="str">
        <f t="shared" si="0"/>
        <v>02 EE2 33.8</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1699</v>
      </c>
      <c r="D52" s="1" t="s">
        <v>217</v>
      </c>
      <c r="E52" s="1" t="s">
        <v>1700</v>
      </c>
      <c r="F52" s="1" t="s">
        <v>112</v>
      </c>
      <c r="G52" s="1">
        <v>49987</v>
      </c>
    </row>
    <row r="53" spans="1:10" x14ac:dyDescent="0.25">
      <c r="A53" s="1" t="str">
        <f t="shared" si="0"/>
        <v>02 EE2 33.8</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1701</v>
      </c>
      <c r="D53" s="1" t="s">
        <v>405</v>
      </c>
      <c r="E53" s="1" t="s">
        <v>336</v>
      </c>
      <c r="F53" s="1" t="s">
        <v>112</v>
      </c>
      <c r="G53" s="1">
        <v>18905</v>
      </c>
    </row>
    <row r="54" spans="1:10" x14ac:dyDescent="0.25">
      <c r="A54" s="1" t="str">
        <f t="shared" si="0"/>
        <v>02 EE2 33.8</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1702</v>
      </c>
      <c r="D54" s="1" t="s">
        <v>263</v>
      </c>
      <c r="E54" s="1" t="s">
        <v>1703</v>
      </c>
      <c r="F54" s="1" t="s">
        <v>112</v>
      </c>
      <c r="G54" s="1">
        <v>24572</v>
      </c>
    </row>
    <row r="55" spans="1:10" x14ac:dyDescent="0.25">
      <c r="A55" s="1" t="str">
        <f t="shared" si="0"/>
        <v>02 EE2 33.8</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1704</v>
      </c>
      <c r="D55" s="1" t="s">
        <v>1705</v>
      </c>
      <c r="E55" s="1" t="s">
        <v>1706</v>
      </c>
      <c r="F55" s="1" t="s">
        <v>112</v>
      </c>
      <c r="G55" s="1">
        <v>5299</v>
      </c>
    </row>
    <row r="56" spans="1:10" x14ac:dyDescent="0.25">
      <c r="A56" s="1" t="str">
        <f t="shared" si="0"/>
        <v>02 EE2 33.8</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1707</v>
      </c>
    </row>
    <row r="57" spans="1:10" x14ac:dyDescent="0.25">
      <c r="A57" s="1" t="str">
        <f t="shared" si="0"/>
        <v>02 EE2 33.8</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1708</v>
      </c>
      <c r="D57" s="1" t="s">
        <v>1709</v>
      </c>
      <c r="E57" s="1" t="s">
        <v>1710</v>
      </c>
      <c r="F57" s="1" t="s">
        <v>112</v>
      </c>
      <c r="G57" s="1">
        <v>350988</v>
      </c>
    </row>
    <row r="58" spans="1:10" x14ac:dyDescent="0.25">
      <c r="A58" s="1" t="str">
        <f t="shared" si="0"/>
        <v>02 EE2 33.8</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1711</v>
      </c>
      <c r="D58" s="1" t="s">
        <v>1712</v>
      </c>
      <c r="E58" s="1" t="s">
        <v>1713</v>
      </c>
      <c r="F58" s="1" t="s">
        <v>112</v>
      </c>
      <c r="G58" s="1">
        <v>298795</v>
      </c>
    </row>
    <row r="59" spans="1:10" x14ac:dyDescent="0.2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10" x14ac:dyDescent="0.2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243</v>
      </c>
      <c r="D60" s="1" t="s">
        <v>112</v>
      </c>
      <c r="E60" s="1" t="s">
        <v>244</v>
      </c>
      <c r="F60" s="1" t="s">
        <v>245</v>
      </c>
      <c r="G60" s="1" t="s">
        <v>246</v>
      </c>
      <c r="H60" s="1" t="s">
        <v>247</v>
      </c>
      <c r="I60" s="1" t="s">
        <v>248</v>
      </c>
      <c r="J60" s="1" t="s">
        <v>249</v>
      </c>
    </row>
    <row r="61" spans="1:10" x14ac:dyDescent="0.25">
      <c r="A61" s="1" t="str">
        <f t="shared" si="0"/>
        <v>02 EE2 33.8</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1714</v>
      </c>
      <c r="D61" s="1" t="s">
        <v>112</v>
      </c>
      <c r="E61" s="1" t="s">
        <v>1715</v>
      </c>
      <c r="F61" s="1" t="s">
        <v>1716</v>
      </c>
      <c r="G61" s="1" t="s">
        <v>1717</v>
      </c>
      <c r="H61" s="1" t="s">
        <v>1718</v>
      </c>
      <c r="I61" s="1">
        <v>24</v>
      </c>
      <c r="J61" s="1">
        <v>24</v>
      </c>
    </row>
    <row r="62" spans="1:10" x14ac:dyDescent="0.2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10" x14ac:dyDescent="0.2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10" x14ac:dyDescent="0.2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2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2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2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255</v>
      </c>
      <c r="D67" s="1" t="s">
        <v>110</v>
      </c>
      <c r="E67" s="1" t="s">
        <v>111</v>
      </c>
      <c r="F67" s="1" t="s">
        <v>112</v>
      </c>
      <c r="G67" s="1" t="s">
        <v>113</v>
      </c>
    </row>
    <row r="68" spans="1:7" x14ac:dyDescent="0.25">
      <c r="A68" s="1" t="str">
        <f t="shared" si="1"/>
        <v>03 EE2 50.6</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1719</v>
      </c>
      <c r="D68" s="1" t="s">
        <v>441</v>
      </c>
      <c r="E68" s="1" t="s">
        <v>1720</v>
      </c>
      <c r="F68" s="1" t="s">
        <v>112</v>
      </c>
      <c r="G68" s="1">
        <v>229450</v>
      </c>
    </row>
    <row r="69" spans="1:7" x14ac:dyDescent="0.25">
      <c r="A69" s="1" t="str">
        <f t="shared" si="1"/>
        <v>03 EE2 50.6</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1721</v>
      </c>
      <c r="D69" s="1" t="s">
        <v>1722</v>
      </c>
      <c r="E69" s="1" t="s">
        <v>1723</v>
      </c>
      <c r="F69" s="1" t="s">
        <v>112</v>
      </c>
      <c r="G69" s="1">
        <v>136593</v>
      </c>
    </row>
    <row r="70" spans="1:7" x14ac:dyDescent="0.25">
      <c r="A70" s="1" t="str">
        <f t="shared" si="1"/>
        <v>03 EE2 50.6</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1724</v>
      </c>
      <c r="D70" s="1" t="s">
        <v>1628</v>
      </c>
      <c r="E70" s="1" t="s">
        <v>1725</v>
      </c>
      <c r="F70" s="1" t="s">
        <v>112</v>
      </c>
      <c r="G70" s="1">
        <v>119916</v>
      </c>
    </row>
    <row r="71" spans="1:7" x14ac:dyDescent="0.25">
      <c r="A71" s="1" t="str">
        <f t="shared" si="1"/>
        <v>03 EE2 50.6</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1726</v>
      </c>
      <c r="D71" s="1" t="s">
        <v>232</v>
      </c>
      <c r="E71" s="1" t="s">
        <v>1727</v>
      </c>
      <c r="F71" s="1" t="s">
        <v>112</v>
      </c>
      <c r="G71" s="1">
        <v>314607</v>
      </c>
    </row>
    <row r="72" spans="1:7" x14ac:dyDescent="0.25">
      <c r="A72" s="1" t="str">
        <f t="shared" si="1"/>
        <v>03 EE2 50.6</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1728</v>
      </c>
      <c r="D72" s="1" t="s">
        <v>1729</v>
      </c>
      <c r="E72" s="1" t="s">
        <v>1730</v>
      </c>
      <c r="F72" s="1" t="s">
        <v>112</v>
      </c>
      <c r="G72" s="1">
        <v>108301</v>
      </c>
    </row>
    <row r="73" spans="1:7" x14ac:dyDescent="0.25">
      <c r="A73" s="1" t="str">
        <f t="shared" si="1"/>
        <v>03 EE2 50.6</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1731</v>
      </c>
      <c r="D73" s="1" t="s">
        <v>329</v>
      </c>
      <c r="E73" s="1" t="s">
        <v>1732</v>
      </c>
      <c r="F73" s="1" t="s">
        <v>112</v>
      </c>
      <c r="G73" s="1">
        <v>53188</v>
      </c>
    </row>
    <row r="74" spans="1:7" x14ac:dyDescent="0.25">
      <c r="A74" s="1" t="str">
        <f t="shared" si="1"/>
        <v>03 EE2 50.6</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1733</v>
      </c>
      <c r="D74" s="1" t="s">
        <v>338</v>
      </c>
      <c r="E74" s="1" t="s">
        <v>1734</v>
      </c>
      <c r="F74" s="1" t="s">
        <v>112</v>
      </c>
      <c r="G74" s="1">
        <v>43281</v>
      </c>
    </row>
    <row r="75" spans="1:7" x14ac:dyDescent="0.25">
      <c r="A75" s="1" t="str">
        <f t="shared" si="1"/>
        <v>03 EE2 50.6</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1735</v>
      </c>
      <c r="D75" s="1" t="s">
        <v>263</v>
      </c>
      <c r="E75" s="1" t="s">
        <v>1736</v>
      </c>
      <c r="F75" s="1" t="s">
        <v>112</v>
      </c>
      <c r="G75" s="1">
        <v>26799</v>
      </c>
    </row>
    <row r="76" spans="1:7" x14ac:dyDescent="0.25">
      <c r="A76" s="1" t="str">
        <f t="shared" si="1"/>
        <v>03 EE2 50.6</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1737</v>
      </c>
      <c r="D76" s="1" t="s">
        <v>341</v>
      </c>
      <c r="E76" s="1" t="s">
        <v>1738</v>
      </c>
      <c r="F76" s="1" t="s">
        <v>112</v>
      </c>
      <c r="G76" s="1">
        <v>31688</v>
      </c>
    </row>
    <row r="77" spans="1:7" x14ac:dyDescent="0.25">
      <c r="A77" s="1" t="str">
        <f t="shared" si="1"/>
        <v>03 EE2 50.6</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1739</v>
      </c>
      <c r="D77" s="1" t="s">
        <v>1740</v>
      </c>
      <c r="E77" s="1" t="s">
        <v>1741</v>
      </c>
      <c r="F77" s="1" t="s">
        <v>112</v>
      </c>
      <c r="G77" s="1">
        <v>269422</v>
      </c>
    </row>
    <row r="78" spans="1:7" x14ac:dyDescent="0.25">
      <c r="A78" s="1" t="str">
        <f t="shared" si="1"/>
        <v>03 EE2 50.6</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1742</v>
      </c>
      <c r="D78" s="1" t="s">
        <v>338</v>
      </c>
      <c r="E78" s="1" t="s">
        <v>1743</v>
      </c>
      <c r="F78" s="1" t="s">
        <v>112</v>
      </c>
      <c r="G78" s="1">
        <v>42697</v>
      </c>
    </row>
    <row r="79" spans="1:7" x14ac:dyDescent="0.25">
      <c r="A79" s="1" t="str">
        <f t="shared" si="1"/>
        <v>03 EE2 50.6</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1744</v>
      </c>
      <c r="D79" s="1" t="s">
        <v>1428</v>
      </c>
      <c r="E79" s="1" t="s">
        <v>1745</v>
      </c>
      <c r="F79" s="1" t="s">
        <v>112</v>
      </c>
      <c r="G79" s="1">
        <v>359056</v>
      </c>
    </row>
    <row r="80" spans="1:7" x14ac:dyDescent="0.25">
      <c r="A80" s="1" t="str">
        <f t="shared" si="1"/>
        <v>03 EE2 50.6</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1746</v>
      </c>
      <c r="D80" s="1" t="s">
        <v>1747</v>
      </c>
      <c r="E80" s="1" t="s">
        <v>1748</v>
      </c>
      <c r="F80" s="1" t="s">
        <v>112</v>
      </c>
      <c r="G80" s="1">
        <v>814841</v>
      </c>
    </row>
    <row r="81" spans="1:10" x14ac:dyDescent="0.25">
      <c r="A81" s="1" t="str">
        <f t="shared" si="1"/>
        <v>03 EE2 50.6</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1749</v>
      </c>
      <c r="D81" s="1" t="s">
        <v>1750</v>
      </c>
      <c r="E81" s="1" t="s">
        <v>1751</v>
      </c>
      <c r="F81" s="1" t="s">
        <v>112</v>
      </c>
      <c r="G81" s="1">
        <v>737623</v>
      </c>
    </row>
    <row r="82" spans="1:10" x14ac:dyDescent="0.25">
      <c r="A82" s="1" t="str">
        <f t="shared" si="1"/>
        <v>03 EE2 50.6</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1752</v>
      </c>
      <c r="D82" s="1" t="s">
        <v>1319</v>
      </c>
      <c r="E82" s="1" t="s">
        <v>1753</v>
      </c>
      <c r="F82" s="1" t="s">
        <v>112</v>
      </c>
      <c r="G82" s="1">
        <v>986302</v>
      </c>
    </row>
    <row r="83" spans="1:10" x14ac:dyDescent="0.25">
      <c r="A83" s="1" t="str">
        <f t="shared" si="1"/>
        <v>03 EE2 50.6</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1754</v>
      </c>
      <c r="D83" s="1" t="s">
        <v>832</v>
      </c>
      <c r="E83" s="1" t="s">
        <v>1755</v>
      </c>
      <c r="F83" s="1" t="s">
        <v>112</v>
      </c>
      <c r="G83" s="1">
        <v>31753</v>
      </c>
    </row>
    <row r="84" spans="1:10" x14ac:dyDescent="0.25">
      <c r="A84" s="1" t="str">
        <f t="shared" si="1"/>
        <v>03 EE2 50.6</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1756</v>
      </c>
      <c r="D84" s="1" t="s">
        <v>725</v>
      </c>
      <c r="E84" s="1" t="s">
        <v>1757</v>
      </c>
      <c r="F84" s="1" t="s">
        <v>112</v>
      </c>
      <c r="G84" s="1">
        <v>21024</v>
      </c>
    </row>
    <row r="85" spans="1:10" x14ac:dyDescent="0.25">
      <c r="A85" s="1" t="str">
        <f t="shared" si="1"/>
        <v>03 EE2 50.6</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1758</v>
      </c>
      <c r="D85" s="1" t="s">
        <v>409</v>
      </c>
      <c r="E85" s="1" t="s">
        <v>701</v>
      </c>
      <c r="F85" s="1" t="s">
        <v>112</v>
      </c>
      <c r="G85" s="1">
        <v>16179</v>
      </c>
    </row>
    <row r="86" spans="1:10" x14ac:dyDescent="0.25">
      <c r="A86" s="1" t="str">
        <f t="shared" si="1"/>
        <v>03 EE2 50.6</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1759</v>
      </c>
      <c r="D86" s="1" t="s">
        <v>1760</v>
      </c>
      <c r="E86" s="1" t="s">
        <v>1761</v>
      </c>
      <c r="F86" s="1" t="s">
        <v>112</v>
      </c>
      <c r="G86" s="1">
        <v>443867</v>
      </c>
    </row>
    <row r="87" spans="1:10" x14ac:dyDescent="0.25">
      <c r="A87" s="1" t="str">
        <f t="shared" si="1"/>
        <v>03 EE2 50.6</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1762</v>
      </c>
      <c r="D87" s="1" t="s">
        <v>935</v>
      </c>
      <c r="E87" s="1" t="s">
        <v>1763</v>
      </c>
      <c r="F87" s="1" t="s">
        <v>112</v>
      </c>
      <c r="G87" s="1">
        <v>208318</v>
      </c>
    </row>
    <row r="88" spans="1:10" x14ac:dyDescent="0.25">
      <c r="A88" s="1" t="str">
        <f t="shared" si="1"/>
        <v>03 EE2 50.6</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1764</v>
      </c>
      <c r="D88" s="1" t="s">
        <v>277</v>
      </c>
      <c r="E88" s="1" t="s">
        <v>1607</v>
      </c>
      <c r="F88" s="1" t="s">
        <v>112</v>
      </c>
      <c r="G88" s="1">
        <v>70946</v>
      </c>
    </row>
    <row r="89" spans="1:10" x14ac:dyDescent="0.25">
      <c r="A89" s="1" t="str">
        <f t="shared" si="1"/>
        <v>03 EE2 50.6</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1765</v>
      </c>
      <c r="D89" s="1" t="s">
        <v>1766</v>
      </c>
      <c r="E89" s="1" t="s">
        <v>1767</v>
      </c>
      <c r="F89" s="1" t="s">
        <v>112</v>
      </c>
      <c r="G89" s="1">
        <v>336237</v>
      </c>
    </row>
    <row r="90" spans="1:10" x14ac:dyDescent="0.25">
      <c r="A90" s="1" t="str">
        <f t="shared" si="1"/>
        <v>03 EE2 50.6</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1768</v>
      </c>
      <c r="D90" s="1" t="s">
        <v>1769</v>
      </c>
      <c r="E90" s="1" t="s">
        <v>1770</v>
      </c>
      <c r="F90" s="1" t="s">
        <v>112</v>
      </c>
      <c r="G90" s="1">
        <v>496341</v>
      </c>
    </row>
    <row r="91" spans="1:10" x14ac:dyDescent="0.25">
      <c r="A91" s="1" t="str">
        <f t="shared" si="1"/>
        <v>03 EE2 50.6</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1771</v>
      </c>
      <c r="D91" s="1" t="s">
        <v>1428</v>
      </c>
      <c r="E91" s="1" t="s">
        <v>1772</v>
      </c>
      <c r="F91" s="1" t="s">
        <v>112</v>
      </c>
      <c r="G91" s="1">
        <v>370152</v>
      </c>
    </row>
    <row r="92" spans="1:10" x14ac:dyDescent="0.2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10" x14ac:dyDescent="0.2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243</v>
      </c>
      <c r="D93" s="1" t="s">
        <v>112</v>
      </c>
      <c r="E93" s="1" t="s">
        <v>244</v>
      </c>
      <c r="F93" s="1" t="s">
        <v>245</v>
      </c>
      <c r="G93" s="1" t="s">
        <v>246</v>
      </c>
      <c r="H93" s="1" t="s">
        <v>247</v>
      </c>
      <c r="I93" s="1" t="s">
        <v>248</v>
      </c>
      <c r="J93" s="1" t="s">
        <v>249</v>
      </c>
    </row>
    <row r="94" spans="1:10" x14ac:dyDescent="0.25">
      <c r="A94" s="1" t="str">
        <f t="shared" si="1"/>
        <v>03 EE2 50.6</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1773</v>
      </c>
      <c r="D94" s="1" t="s">
        <v>112</v>
      </c>
      <c r="E94" s="1" t="s">
        <v>1774</v>
      </c>
      <c r="F94" s="1" t="s">
        <v>1775</v>
      </c>
      <c r="G94" s="1" t="s">
        <v>1776</v>
      </c>
      <c r="H94" s="1" t="s">
        <v>1777</v>
      </c>
      <c r="I94" s="1">
        <v>24</v>
      </c>
      <c r="J94" s="1">
        <v>24</v>
      </c>
    </row>
    <row r="95" spans="1:10" x14ac:dyDescent="0.2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10" x14ac:dyDescent="0.2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2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2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2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2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255</v>
      </c>
      <c r="D100" s="1" t="s">
        <v>110</v>
      </c>
      <c r="E100" s="1" t="s">
        <v>111</v>
      </c>
      <c r="F100" s="1" t="s">
        <v>112</v>
      </c>
      <c r="G100" s="1" t="s">
        <v>113</v>
      </c>
    </row>
    <row r="101" spans="1:7" x14ac:dyDescent="0.25">
      <c r="A101" s="1" t="str">
        <f t="shared" si="1"/>
        <v>04 EE2 76</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1778</v>
      </c>
      <c r="D101" s="1" t="s">
        <v>150</v>
      </c>
      <c r="E101" s="1" t="s">
        <v>1779</v>
      </c>
      <c r="F101" s="1" t="s">
        <v>112</v>
      </c>
      <c r="G101" s="1">
        <v>230293</v>
      </c>
    </row>
    <row r="102" spans="1:7" x14ac:dyDescent="0.25">
      <c r="A102" s="1" t="str">
        <f t="shared" si="1"/>
        <v>04 EE2 76</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1780</v>
      </c>
      <c r="D102" s="1" t="s">
        <v>811</v>
      </c>
      <c r="E102" s="1" t="s">
        <v>1781</v>
      </c>
      <c r="F102" s="1" t="s">
        <v>112</v>
      </c>
      <c r="G102" s="1">
        <v>162960</v>
      </c>
    </row>
    <row r="103" spans="1:7" x14ac:dyDescent="0.25">
      <c r="A103" s="1" t="str">
        <f t="shared" si="1"/>
        <v>04 EE2 76</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1782</v>
      </c>
      <c r="D103" s="1" t="s">
        <v>1783</v>
      </c>
      <c r="E103" s="1" t="s">
        <v>1784</v>
      </c>
      <c r="F103" s="1" t="s">
        <v>112</v>
      </c>
      <c r="G103" s="1">
        <v>182686</v>
      </c>
    </row>
    <row r="104" spans="1:7" x14ac:dyDescent="0.25">
      <c r="A104" s="1" t="str">
        <f t="shared" si="1"/>
        <v>04 EE2 76</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1785</v>
      </c>
      <c r="D104" s="1" t="s">
        <v>1477</v>
      </c>
      <c r="E104" s="1" t="s">
        <v>1786</v>
      </c>
      <c r="F104" s="1" t="s">
        <v>112</v>
      </c>
      <c r="G104" s="1">
        <v>525866</v>
      </c>
    </row>
    <row r="105" spans="1:7" x14ac:dyDescent="0.25">
      <c r="A105" s="1" t="str">
        <f t="shared" si="1"/>
        <v>04 EE2 76</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1787</v>
      </c>
      <c r="D105" s="1" t="s">
        <v>1788</v>
      </c>
      <c r="E105" s="1" t="s">
        <v>1789</v>
      </c>
      <c r="F105" s="1" t="s">
        <v>112</v>
      </c>
      <c r="G105" s="1">
        <v>567763</v>
      </c>
    </row>
    <row r="106" spans="1:7" x14ac:dyDescent="0.25">
      <c r="A106" s="1" t="str">
        <f t="shared" si="1"/>
        <v>04 EE2 76</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1790</v>
      </c>
      <c r="D106" s="1" t="s">
        <v>1791</v>
      </c>
      <c r="E106" s="1" t="s">
        <v>1792</v>
      </c>
      <c r="F106" s="1" t="s">
        <v>112</v>
      </c>
      <c r="G106" s="1">
        <v>485721</v>
      </c>
    </row>
    <row r="107" spans="1:7" x14ac:dyDescent="0.25">
      <c r="A107" s="1" t="str">
        <f t="shared" si="1"/>
        <v>04 EE2 76</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1793</v>
      </c>
    </row>
    <row r="108" spans="1:7" x14ac:dyDescent="0.25">
      <c r="A108" s="1" t="str">
        <f t="shared" si="1"/>
        <v>04 EE2 76</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1794</v>
      </c>
      <c r="D108" s="1" t="s">
        <v>1795</v>
      </c>
      <c r="E108" s="1" t="s">
        <v>1796</v>
      </c>
      <c r="F108" s="1" t="s">
        <v>112</v>
      </c>
      <c r="G108" s="1">
        <v>504669</v>
      </c>
    </row>
    <row r="109" spans="1:7" x14ac:dyDescent="0.25">
      <c r="A109" s="1" t="str">
        <f t="shared" si="1"/>
        <v>04 EE2 76</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1797</v>
      </c>
    </row>
    <row r="110" spans="1:7" x14ac:dyDescent="0.25">
      <c r="A110" s="1" t="str">
        <f t="shared" si="1"/>
        <v>04 EE2 76</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1798</v>
      </c>
      <c r="D110" s="1" t="s">
        <v>1799</v>
      </c>
      <c r="E110" s="1" t="s">
        <v>1800</v>
      </c>
      <c r="F110" s="1" t="s">
        <v>112</v>
      </c>
      <c r="G110" s="1">
        <v>621124</v>
      </c>
    </row>
    <row r="111" spans="1:7" x14ac:dyDescent="0.25">
      <c r="A111" s="1" t="str">
        <f t="shared" si="1"/>
        <v>04 EE2 76</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1801</v>
      </c>
      <c r="D111" s="1" t="s">
        <v>1802</v>
      </c>
      <c r="E111" s="1" t="s">
        <v>1803</v>
      </c>
      <c r="F111" s="1" t="s">
        <v>112</v>
      </c>
      <c r="G111" s="1">
        <v>658868</v>
      </c>
    </row>
    <row r="112" spans="1:7" x14ac:dyDescent="0.25">
      <c r="A112" s="1" t="str">
        <f t="shared" si="1"/>
        <v>04 EE2 76</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1804</v>
      </c>
      <c r="D112" s="1" t="s">
        <v>993</v>
      </c>
      <c r="E112" s="1" t="s">
        <v>1805</v>
      </c>
      <c r="F112" s="1" t="s">
        <v>112</v>
      </c>
      <c r="G112" s="1">
        <v>99930</v>
      </c>
    </row>
    <row r="113" spans="1:10" x14ac:dyDescent="0.25">
      <c r="A113" s="1" t="str">
        <f t="shared" si="1"/>
        <v>04 EE2 76</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1806</v>
      </c>
    </row>
    <row r="114" spans="1:10" x14ac:dyDescent="0.25">
      <c r="A114" s="1" t="str">
        <f t="shared" si="1"/>
        <v>04 EE2 76</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1807</v>
      </c>
      <c r="D114" s="1" t="s">
        <v>1808</v>
      </c>
      <c r="E114" s="1" t="s">
        <v>1809</v>
      </c>
      <c r="F114" s="1" t="s">
        <v>112</v>
      </c>
      <c r="G114" s="1">
        <v>5080105</v>
      </c>
    </row>
    <row r="115" spans="1:10" x14ac:dyDescent="0.25">
      <c r="A115" s="1" t="str">
        <f t="shared" si="1"/>
        <v>04 EE2 76</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1810</v>
      </c>
      <c r="D115" s="1" t="s">
        <v>1811</v>
      </c>
      <c r="E115" s="1" t="s">
        <v>1812</v>
      </c>
      <c r="F115" s="1" t="s">
        <v>112</v>
      </c>
      <c r="G115" s="1">
        <v>4798268</v>
      </c>
    </row>
    <row r="116" spans="1:10" x14ac:dyDescent="0.25">
      <c r="A116" s="1" t="str">
        <f t="shared" si="1"/>
        <v>04 EE2 76</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1813</v>
      </c>
      <c r="D116" s="1" t="s">
        <v>1814</v>
      </c>
      <c r="E116" s="1" t="s">
        <v>1815</v>
      </c>
      <c r="F116" s="1" t="s">
        <v>112</v>
      </c>
      <c r="G116" s="1">
        <v>424595</v>
      </c>
    </row>
    <row r="117" spans="1:10" x14ac:dyDescent="0.25">
      <c r="A117" s="1" t="str">
        <f t="shared" si="1"/>
        <v>04 EE2 76</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1816</v>
      </c>
      <c r="D117" s="1" t="s">
        <v>266</v>
      </c>
      <c r="E117" s="1" t="s">
        <v>1817</v>
      </c>
      <c r="F117" s="1" t="s">
        <v>112</v>
      </c>
      <c r="G117" s="1">
        <v>54356</v>
      </c>
    </row>
    <row r="118" spans="1:10" x14ac:dyDescent="0.25">
      <c r="A118" s="1" t="str">
        <f t="shared" si="1"/>
        <v>04 EE2 76</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1818</v>
      </c>
      <c r="D118" s="1" t="s">
        <v>388</v>
      </c>
      <c r="E118" s="1" t="s">
        <v>1819</v>
      </c>
      <c r="F118" s="1" t="s">
        <v>112</v>
      </c>
      <c r="G118" s="1">
        <v>70167</v>
      </c>
    </row>
    <row r="119" spans="1:10" x14ac:dyDescent="0.25">
      <c r="A119" s="1" t="str">
        <f t="shared" si="1"/>
        <v>04 EE2 76</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1820</v>
      </c>
      <c r="D119" s="1" t="s">
        <v>1821</v>
      </c>
      <c r="E119" s="1" t="s">
        <v>1822</v>
      </c>
      <c r="F119" s="1" t="s">
        <v>112</v>
      </c>
      <c r="G119" s="1">
        <v>2968227</v>
      </c>
    </row>
    <row r="120" spans="1:10" x14ac:dyDescent="0.25">
      <c r="A120" s="1" t="str">
        <f t="shared" si="1"/>
        <v>04 EE2 76</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1823</v>
      </c>
      <c r="D120" s="1" t="s">
        <v>658</v>
      </c>
      <c r="E120" s="1" t="s">
        <v>1824</v>
      </c>
      <c r="F120" s="1" t="s">
        <v>112</v>
      </c>
      <c r="G120" s="1">
        <v>2566625</v>
      </c>
    </row>
    <row r="121" spans="1:10" x14ac:dyDescent="0.25">
      <c r="A121" s="1" t="str">
        <f t="shared" si="1"/>
        <v>04 EE2 76</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1825</v>
      </c>
      <c r="D121" s="1" t="s">
        <v>1826</v>
      </c>
      <c r="E121" s="1" t="s">
        <v>1827</v>
      </c>
      <c r="F121" s="1" t="s">
        <v>112</v>
      </c>
      <c r="G121" s="1">
        <v>2846559</v>
      </c>
    </row>
    <row r="122" spans="1:10" x14ac:dyDescent="0.25">
      <c r="A122" s="1" t="str">
        <f t="shared" si="1"/>
        <v>04 EE2 76</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1828</v>
      </c>
      <c r="D122" s="1" t="s">
        <v>983</v>
      </c>
      <c r="E122" s="1">
        <v>77</v>
      </c>
      <c r="F122" s="1" t="s">
        <v>112</v>
      </c>
      <c r="G122" s="1">
        <v>451351</v>
      </c>
    </row>
    <row r="123" spans="1:10" x14ac:dyDescent="0.25">
      <c r="A123" s="1" t="str">
        <f t="shared" si="1"/>
        <v>04 EE2 76</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1829</v>
      </c>
      <c r="D123" s="1" t="s">
        <v>1766</v>
      </c>
      <c r="E123" s="1" t="s">
        <v>1830</v>
      </c>
      <c r="F123" s="1" t="s">
        <v>112</v>
      </c>
      <c r="G123" s="1">
        <v>339827</v>
      </c>
    </row>
    <row r="124" spans="1:10" x14ac:dyDescent="0.25">
      <c r="A124" s="1" t="str">
        <f t="shared" si="1"/>
        <v>04 EE2 76</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1831</v>
      </c>
      <c r="D124" s="1" t="s">
        <v>229</v>
      </c>
      <c r="E124" s="1" t="s">
        <v>1832</v>
      </c>
      <c r="F124" s="1" t="s">
        <v>112</v>
      </c>
      <c r="G124" s="1">
        <v>11399</v>
      </c>
    </row>
    <row r="125" spans="1:10" x14ac:dyDescent="0.2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10" x14ac:dyDescent="0.2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243</v>
      </c>
      <c r="D126" s="1" t="s">
        <v>112</v>
      </c>
      <c r="E126" s="1" t="s">
        <v>244</v>
      </c>
      <c r="F126" s="1" t="s">
        <v>245</v>
      </c>
      <c r="G126" s="1" t="s">
        <v>246</v>
      </c>
      <c r="H126" s="1" t="s">
        <v>247</v>
      </c>
      <c r="I126" s="1" t="s">
        <v>248</v>
      </c>
      <c r="J126" s="1" t="s">
        <v>249</v>
      </c>
    </row>
    <row r="127" spans="1:10" x14ac:dyDescent="0.25">
      <c r="A127" s="1" t="str">
        <f t="shared" si="1"/>
        <v>04 EE2 76</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1833</v>
      </c>
      <c r="D127" s="1" t="s">
        <v>112</v>
      </c>
      <c r="E127" s="1" t="s">
        <v>1834</v>
      </c>
      <c r="F127" s="1" t="s">
        <v>1835</v>
      </c>
      <c r="G127" s="1" t="s">
        <v>1836</v>
      </c>
      <c r="H127" s="1" t="s">
        <v>1837</v>
      </c>
      <c r="I127" s="1">
        <v>24</v>
      </c>
      <c r="J127" s="1">
        <v>24</v>
      </c>
    </row>
    <row r="128" spans="1:10" x14ac:dyDescent="0.2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2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2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2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2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2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255</v>
      </c>
      <c r="D133" s="1" t="s">
        <v>110</v>
      </c>
      <c r="E133" s="1" t="s">
        <v>111</v>
      </c>
      <c r="F133" s="1" t="s">
        <v>112</v>
      </c>
      <c r="G133" s="1" t="s">
        <v>113</v>
      </c>
    </row>
    <row r="134" spans="1:7" x14ac:dyDescent="0.25">
      <c r="A134" s="1" t="str">
        <f t="shared" si="2"/>
        <v>05 EE2 114</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1838</v>
      </c>
      <c r="D134" s="1" t="s">
        <v>1839</v>
      </c>
      <c r="E134" s="1" t="s">
        <v>1840</v>
      </c>
      <c r="F134" s="1" t="s">
        <v>112</v>
      </c>
      <c r="G134" s="1">
        <v>1032892</v>
      </c>
    </row>
    <row r="135" spans="1:7" x14ac:dyDescent="0.25">
      <c r="A135" s="1" t="str">
        <f t="shared" si="2"/>
        <v>05 EE2 114</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1841</v>
      </c>
      <c r="D135" s="1" t="s">
        <v>1842</v>
      </c>
      <c r="E135" s="1" t="s">
        <v>1843</v>
      </c>
      <c r="F135" s="1" t="s">
        <v>112</v>
      </c>
      <c r="G135" s="1">
        <v>902529</v>
      </c>
    </row>
    <row r="136" spans="1:7" x14ac:dyDescent="0.25">
      <c r="A136" s="1" t="str">
        <f t="shared" si="2"/>
        <v>05 EE2 114</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1844</v>
      </c>
      <c r="D136" s="1" t="s">
        <v>1845</v>
      </c>
      <c r="E136" s="1" t="s">
        <v>1846</v>
      </c>
      <c r="F136" s="1" t="s">
        <v>112</v>
      </c>
      <c r="G136" s="1">
        <v>638450</v>
      </c>
    </row>
    <row r="137" spans="1:7" x14ac:dyDescent="0.25">
      <c r="A137" s="1" t="str">
        <f t="shared" si="2"/>
        <v>05 EE2 114</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1847</v>
      </c>
      <c r="D137" s="1" t="s">
        <v>1848</v>
      </c>
      <c r="E137" s="1" t="s">
        <v>1849</v>
      </c>
      <c r="F137" s="1" t="s">
        <v>112</v>
      </c>
      <c r="G137" s="1">
        <v>1030405</v>
      </c>
    </row>
    <row r="138" spans="1:7" x14ac:dyDescent="0.25">
      <c r="A138" s="1" t="str">
        <f t="shared" si="2"/>
        <v>05 EE2 114</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1850</v>
      </c>
      <c r="D138" s="1" t="s">
        <v>1851</v>
      </c>
      <c r="E138" s="1" t="s">
        <v>1852</v>
      </c>
      <c r="F138" s="1" t="s">
        <v>112</v>
      </c>
      <c r="G138" s="1">
        <v>1223495</v>
      </c>
    </row>
    <row r="139" spans="1:7" x14ac:dyDescent="0.25">
      <c r="A139" s="1" t="str">
        <f t="shared" si="2"/>
        <v>05 EE2 114</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1853</v>
      </c>
      <c r="D139" s="1" t="s">
        <v>1854</v>
      </c>
      <c r="E139" s="1" t="s">
        <v>1855</v>
      </c>
      <c r="F139" s="1" t="s">
        <v>112</v>
      </c>
      <c r="G139" s="1">
        <v>1118568</v>
      </c>
    </row>
    <row r="140" spans="1:7" x14ac:dyDescent="0.25">
      <c r="A140" s="1" t="str">
        <f t="shared" si="2"/>
        <v>05 EE2 114</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1856</v>
      </c>
      <c r="D140" s="1" t="s">
        <v>266</v>
      </c>
      <c r="E140" s="1" t="s">
        <v>1857</v>
      </c>
      <c r="F140" s="1" t="s">
        <v>112</v>
      </c>
      <c r="G140" s="1">
        <v>54702</v>
      </c>
    </row>
    <row r="141" spans="1:7" x14ac:dyDescent="0.25">
      <c r="A141" s="1" t="str">
        <f t="shared" si="2"/>
        <v>05 EE2 114</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1858</v>
      </c>
      <c r="D141" s="1" t="s">
        <v>226</v>
      </c>
      <c r="E141" s="1" t="s">
        <v>1859</v>
      </c>
      <c r="F141" s="1" t="s">
        <v>112</v>
      </c>
      <c r="G141" s="1">
        <v>133932</v>
      </c>
    </row>
    <row r="142" spans="1:7" x14ac:dyDescent="0.25">
      <c r="A142" s="1" t="str">
        <f t="shared" si="2"/>
        <v>05 EE2 114</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1860</v>
      </c>
      <c r="D142" s="1" t="s">
        <v>1634</v>
      </c>
      <c r="E142" s="1" t="s">
        <v>1861</v>
      </c>
      <c r="F142" s="1" t="s">
        <v>112</v>
      </c>
      <c r="G142" s="1">
        <v>105208</v>
      </c>
    </row>
    <row r="143" spans="1:7" x14ac:dyDescent="0.25">
      <c r="A143" s="1" t="str">
        <f t="shared" si="2"/>
        <v>05 EE2 114</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1862</v>
      </c>
      <c r="D143" s="1" t="s">
        <v>1863</v>
      </c>
      <c r="E143" s="1" t="s">
        <v>1864</v>
      </c>
      <c r="F143" s="1" t="s">
        <v>112</v>
      </c>
      <c r="G143" s="1">
        <v>610634</v>
      </c>
    </row>
    <row r="144" spans="1:7" x14ac:dyDescent="0.25">
      <c r="A144" s="1" t="str">
        <f t="shared" si="2"/>
        <v>05 EE2 114</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1865</v>
      </c>
      <c r="D144" s="1" t="s">
        <v>1866</v>
      </c>
      <c r="E144" s="1" t="s">
        <v>1867</v>
      </c>
      <c r="F144" s="1" t="s">
        <v>112</v>
      </c>
      <c r="G144" s="1">
        <v>746967</v>
      </c>
    </row>
    <row r="145" spans="1:10" x14ac:dyDescent="0.25">
      <c r="A145" s="1" t="str">
        <f t="shared" si="2"/>
        <v>05 EE2 114</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1868</v>
      </c>
      <c r="D145" s="1" t="s">
        <v>1869</v>
      </c>
      <c r="E145" s="1" t="s">
        <v>1870</v>
      </c>
      <c r="F145" s="1" t="s">
        <v>112</v>
      </c>
      <c r="G145" s="1">
        <v>645068</v>
      </c>
    </row>
    <row r="146" spans="1:10" x14ac:dyDescent="0.25">
      <c r="A146" s="1" t="str">
        <f t="shared" si="2"/>
        <v>05 EE2 114</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1871</v>
      </c>
      <c r="D146" s="1" t="s">
        <v>1872</v>
      </c>
      <c r="E146" s="1" t="s">
        <v>1873</v>
      </c>
      <c r="F146" s="1" t="s">
        <v>112</v>
      </c>
      <c r="G146" s="1">
        <v>350015</v>
      </c>
    </row>
    <row r="147" spans="1:10" x14ac:dyDescent="0.25">
      <c r="A147" s="1" t="str">
        <f t="shared" si="2"/>
        <v>05 EE2 114</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1874</v>
      </c>
      <c r="D147" s="1" t="s">
        <v>318</v>
      </c>
      <c r="E147" s="1" t="s">
        <v>1875</v>
      </c>
      <c r="F147" s="1" t="s">
        <v>112</v>
      </c>
      <c r="G147" s="1">
        <v>287180</v>
      </c>
    </row>
    <row r="148" spans="1:10" x14ac:dyDescent="0.25">
      <c r="A148" s="1" t="str">
        <f t="shared" si="2"/>
        <v>05 EE2 114</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1876</v>
      </c>
      <c r="D148" s="1" t="s">
        <v>1877</v>
      </c>
      <c r="E148" s="1" t="s">
        <v>1878</v>
      </c>
      <c r="F148" s="1" t="s">
        <v>112</v>
      </c>
      <c r="G148" s="1">
        <v>474711</v>
      </c>
    </row>
    <row r="149" spans="1:10" x14ac:dyDescent="0.25">
      <c r="A149" s="1" t="str">
        <f t="shared" si="2"/>
        <v>05 EE2 114</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1879</v>
      </c>
      <c r="D149" s="1" t="s">
        <v>1880</v>
      </c>
      <c r="E149" s="1" t="s">
        <v>1881</v>
      </c>
      <c r="F149" s="1" t="s">
        <v>112</v>
      </c>
      <c r="G149" s="1">
        <v>2013116</v>
      </c>
    </row>
    <row r="150" spans="1:10" x14ac:dyDescent="0.25">
      <c r="A150" s="1" t="str">
        <f t="shared" si="2"/>
        <v>05 EE2 114</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1882</v>
      </c>
      <c r="D150" s="1" t="s">
        <v>1883</v>
      </c>
      <c r="E150" s="1" t="s">
        <v>1884</v>
      </c>
      <c r="F150" s="1" t="s">
        <v>112</v>
      </c>
      <c r="G150" s="1">
        <v>2206703</v>
      </c>
    </row>
    <row r="151" spans="1:10" x14ac:dyDescent="0.25">
      <c r="A151" s="1" t="str">
        <f t="shared" si="2"/>
        <v>05 EE2 114</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1885</v>
      </c>
      <c r="D151" s="1" t="s">
        <v>1886</v>
      </c>
      <c r="E151" s="1" t="s">
        <v>1887</v>
      </c>
      <c r="F151" s="1" t="s">
        <v>112</v>
      </c>
      <c r="G151" s="1">
        <v>1973490</v>
      </c>
    </row>
    <row r="152" spans="1:10" x14ac:dyDescent="0.25">
      <c r="A152" s="1" t="str">
        <f t="shared" si="2"/>
        <v>05 EE2 114</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1888</v>
      </c>
      <c r="D152" s="1" t="s">
        <v>1889</v>
      </c>
      <c r="E152" s="1" t="s">
        <v>1890</v>
      </c>
      <c r="F152" s="1" t="s">
        <v>112</v>
      </c>
      <c r="G152" s="1">
        <v>2617758</v>
      </c>
    </row>
    <row r="153" spans="1:10" x14ac:dyDescent="0.25">
      <c r="A153" s="1" t="str">
        <f t="shared" si="2"/>
        <v>05 EE2 114</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1891</v>
      </c>
      <c r="D153" s="1" t="s">
        <v>1892</v>
      </c>
      <c r="E153" s="1" t="s">
        <v>1893</v>
      </c>
      <c r="F153" s="1" t="s">
        <v>112</v>
      </c>
      <c r="G153" s="1">
        <v>2635343</v>
      </c>
    </row>
    <row r="154" spans="1:10" x14ac:dyDescent="0.25">
      <c r="A154" s="1" t="str">
        <f t="shared" si="2"/>
        <v>05 EE2 114</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1894</v>
      </c>
      <c r="D154" s="1" t="s">
        <v>1895</v>
      </c>
      <c r="E154" s="1" t="s">
        <v>1896</v>
      </c>
      <c r="F154" s="1" t="s">
        <v>112</v>
      </c>
      <c r="G154" s="1">
        <v>2739123</v>
      </c>
    </row>
    <row r="155" spans="1:10" x14ac:dyDescent="0.25">
      <c r="A155" s="1" t="str">
        <f t="shared" si="2"/>
        <v>05 EE2 114</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1897</v>
      </c>
      <c r="D155" s="1" t="s">
        <v>1898</v>
      </c>
      <c r="E155" s="1" t="s">
        <v>1899</v>
      </c>
      <c r="F155" s="1" t="s">
        <v>112</v>
      </c>
      <c r="G155" s="1">
        <v>2215615</v>
      </c>
    </row>
    <row r="156" spans="1:10" x14ac:dyDescent="0.25">
      <c r="A156" s="1" t="str">
        <f t="shared" si="2"/>
        <v>05 EE2 114</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1900</v>
      </c>
      <c r="D156" s="1" t="s">
        <v>1901</v>
      </c>
      <c r="E156" s="1" t="s">
        <v>1902</v>
      </c>
      <c r="F156" s="1" t="s">
        <v>112</v>
      </c>
      <c r="G156" s="1">
        <v>2247584</v>
      </c>
    </row>
    <row r="157" spans="1:10" x14ac:dyDescent="0.25">
      <c r="A157" s="1" t="str">
        <f t="shared" si="2"/>
        <v>05 EE2 114</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1903</v>
      </c>
    </row>
    <row r="158" spans="1:10" x14ac:dyDescent="0.2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10" x14ac:dyDescent="0.2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243</v>
      </c>
      <c r="D159" s="1" t="s">
        <v>112</v>
      </c>
      <c r="E159" s="1" t="s">
        <v>244</v>
      </c>
      <c r="F159" s="1" t="s">
        <v>245</v>
      </c>
      <c r="G159" s="1" t="s">
        <v>246</v>
      </c>
      <c r="H159" s="1" t="s">
        <v>247</v>
      </c>
      <c r="I159" s="1" t="s">
        <v>248</v>
      </c>
      <c r="J159" s="1" t="s">
        <v>249</v>
      </c>
    </row>
    <row r="160" spans="1:10" x14ac:dyDescent="0.25">
      <c r="A160" s="1" t="str">
        <f t="shared" si="2"/>
        <v>05 EE2 114</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1904</v>
      </c>
      <c r="D160" s="1" t="s">
        <v>112</v>
      </c>
      <c r="E160" s="1" t="s">
        <v>1905</v>
      </c>
      <c r="F160" s="1" t="s">
        <v>1906</v>
      </c>
      <c r="G160" s="1" t="s">
        <v>1907</v>
      </c>
      <c r="H160" s="1" t="s">
        <v>1908</v>
      </c>
      <c r="I160" s="1">
        <v>24</v>
      </c>
      <c r="J160" s="1">
        <v>24</v>
      </c>
    </row>
    <row r="161" spans="1:7" x14ac:dyDescent="0.2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2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2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2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2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2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255</v>
      </c>
      <c r="D166" s="1" t="s">
        <v>110</v>
      </c>
      <c r="E166" s="1" t="s">
        <v>111</v>
      </c>
      <c r="F166" s="1" t="s">
        <v>112</v>
      </c>
      <c r="G166" s="1" t="s">
        <v>113</v>
      </c>
    </row>
    <row r="167" spans="1:7" x14ac:dyDescent="0.25">
      <c r="A167" s="1" t="str">
        <f t="shared" si="2"/>
        <v>06 EE2 170.9</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1909</v>
      </c>
      <c r="D167" s="1" t="s">
        <v>1910</v>
      </c>
      <c r="E167" s="1" t="s">
        <v>1911</v>
      </c>
      <c r="F167" s="1" t="s">
        <v>112</v>
      </c>
      <c r="G167" s="1">
        <v>1656136</v>
      </c>
    </row>
    <row r="168" spans="1:7" x14ac:dyDescent="0.25">
      <c r="A168" s="1" t="str">
        <f t="shared" si="2"/>
        <v>06 EE2 170.9</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1912</v>
      </c>
      <c r="D168" s="1" t="s">
        <v>1913</v>
      </c>
      <c r="E168" s="1" t="s">
        <v>1914</v>
      </c>
      <c r="F168" s="1" t="s">
        <v>112</v>
      </c>
      <c r="G168" s="1">
        <v>1446305</v>
      </c>
    </row>
    <row r="169" spans="1:7" x14ac:dyDescent="0.25">
      <c r="A169" s="1" t="str">
        <f t="shared" si="2"/>
        <v>06 EE2 170.9</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1915</v>
      </c>
      <c r="D169" s="1" t="s">
        <v>1916</v>
      </c>
      <c r="E169" s="1" t="s">
        <v>1917</v>
      </c>
      <c r="F169" s="1" t="s">
        <v>112</v>
      </c>
      <c r="G169" s="1">
        <v>1373195</v>
      </c>
    </row>
    <row r="170" spans="1:7" x14ac:dyDescent="0.25">
      <c r="A170" s="1" t="str">
        <f t="shared" si="2"/>
        <v>06 EE2 170.9</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1918</v>
      </c>
      <c r="D170" s="1" t="s">
        <v>1919</v>
      </c>
      <c r="E170" s="1" t="s">
        <v>1920</v>
      </c>
      <c r="F170" s="1" t="s">
        <v>112</v>
      </c>
      <c r="G170" s="1">
        <v>1804712</v>
      </c>
    </row>
    <row r="171" spans="1:7" x14ac:dyDescent="0.25">
      <c r="A171" s="1" t="str">
        <f t="shared" si="2"/>
        <v>06 EE2 170.9</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1921</v>
      </c>
      <c r="D171" s="1" t="s">
        <v>1922</v>
      </c>
      <c r="E171" s="1" t="s">
        <v>1923</v>
      </c>
      <c r="F171" s="1" t="s">
        <v>112</v>
      </c>
      <c r="G171" s="1">
        <v>1363008</v>
      </c>
    </row>
    <row r="172" spans="1:7" x14ac:dyDescent="0.25">
      <c r="A172" s="1" t="str">
        <f t="shared" si="2"/>
        <v>06 EE2 170.9</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1924</v>
      </c>
      <c r="D172" s="1" t="s">
        <v>1925</v>
      </c>
      <c r="E172" s="1" t="s">
        <v>1926</v>
      </c>
      <c r="F172" s="1" t="s">
        <v>112</v>
      </c>
      <c r="G172" s="1">
        <v>2022309</v>
      </c>
    </row>
    <row r="173" spans="1:7" x14ac:dyDescent="0.25">
      <c r="A173" s="1" t="str">
        <f t="shared" si="2"/>
        <v>06 EE2 170.9</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1927</v>
      </c>
      <c r="D173" s="1" t="s">
        <v>1928</v>
      </c>
      <c r="E173" s="1" t="s">
        <v>1929</v>
      </c>
      <c r="F173" s="1" t="s">
        <v>112</v>
      </c>
      <c r="G173" s="1">
        <v>3265357</v>
      </c>
    </row>
    <row r="174" spans="1:7" x14ac:dyDescent="0.25">
      <c r="A174" s="1" t="str">
        <f t="shared" si="2"/>
        <v>06 EE2 170.9</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1930</v>
      </c>
      <c r="D174" s="1" t="s">
        <v>1931</v>
      </c>
      <c r="E174" s="1" t="s">
        <v>1932</v>
      </c>
      <c r="F174" s="1" t="s">
        <v>112</v>
      </c>
      <c r="G174" s="1">
        <v>3574578</v>
      </c>
    </row>
    <row r="175" spans="1:7" x14ac:dyDescent="0.25">
      <c r="A175" s="1" t="str">
        <f t="shared" si="2"/>
        <v>06 EE2 170.9</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1933</v>
      </c>
      <c r="D175" s="1" t="s">
        <v>1934</v>
      </c>
      <c r="E175" s="1" t="s">
        <v>1935</v>
      </c>
      <c r="F175" s="1" t="s">
        <v>112</v>
      </c>
      <c r="G175" s="1">
        <v>3314046</v>
      </c>
    </row>
    <row r="176" spans="1:7" x14ac:dyDescent="0.25">
      <c r="A176" s="1" t="str">
        <f t="shared" si="2"/>
        <v>06 EE2 170.9</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1936</v>
      </c>
      <c r="D176" s="1" t="s">
        <v>1937</v>
      </c>
      <c r="E176" s="1" t="s">
        <v>1938</v>
      </c>
      <c r="F176" s="1" t="s">
        <v>112</v>
      </c>
      <c r="G176" s="1">
        <v>3061106</v>
      </c>
    </row>
    <row r="177" spans="1:10" x14ac:dyDescent="0.25">
      <c r="A177" s="1" t="str">
        <f t="shared" si="2"/>
        <v>06 EE2 170.9</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1939</v>
      </c>
      <c r="D177" s="1" t="s">
        <v>1940</v>
      </c>
      <c r="E177" s="1" t="s">
        <v>1941</v>
      </c>
      <c r="F177" s="1" t="s">
        <v>112</v>
      </c>
      <c r="G177" s="1">
        <v>2645661</v>
      </c>
    </row>
    <row r="178" spans="1:10" x14ac:dyDescent="0.25">
      <c r="A178" s="1" t="str">
        <f t="shared" si="2"/>
        <v>06 EE2 170.9</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1942</v>
      </c>
      <c r="D178" s="1" t="s">
        <v>1943</v>
      </c>
      <c r="E178" s="1" t="s">
        <v>1944</v>
      </c>
      <c r="F178" s="1" t="s">
        <v>112</v>
      </c>
      <c r="G178" s="1">
        <v>2850712</v>
      </c>
    </row>
    <row r="179" spans="1:10" x14ac:dyDescent="0.25">
      <c r="A179" s="1" t="str">
        <f t="shared" si="2"/>
        <v>06 EE2 170.9</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1945</v>
      </c>
      <c r="D179" s="1" t="s">
        <v>1946</v>
      </c>
      <c r="E179" s="1" t="s">
        <v>1947</v>
      </c>
      <c r="F179" s="1" t="s">
        <v>112</v>
      </c>
      <c r="G179" s="1">
        <v>1728120</v>
      </c>
    </row>
    <row r="180" spans="1:10" x14ac:dyDescent="0.25">
      <c r="A180" s="1" t="str">
        <f t="shared" si="2"/>
        <v>06 EE2 170.9</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1948</v>
      </c>
      <c r="D180" s="1" t="s">
        <v>1949</v>
      </c>
      <c r="E180" s="1" t="s">
        <v>1950</v>
      </c>
      <c r="F180" s="1" t="s">
        <v>112</v>
      </c>
      <c r="G180" s="1">
        <v>1549176</v>
      </c>
    </row>
    <row r="181" spans="1:10" x14ac:dyDescent="0.25">
      <c r="A181" s="1" t="str">
        <f t="shared" si="2"/>
        <v>06 EE2 170.9</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1951</v>
      </c>
      <c r="D181" s="1" t="s">
        <v>1952</v>
      </c>
      <c r="E181" s="1" t="s">
        <v>1953</v>
      </c>
      <c r="F181" s="1" t="s">
        <v>112</v>
      </c>
      <c r="G181" s="1">
        <v>1926510</v>
      </c>
    </row>
    <row r="182" spans="1:10" x14ac:dyDescent="0.25">
      <c r="A182" s="1" t="str">
        <f t="shared" si="2"/>
        <v>06 EE2 170.9</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1954</v>
      </c>
      <c r="D182" s="1" t="s">
        <v>1955</v>
      </c>
      <c r="E182" s="1" t="s">
        <v>1956</v>
      </c>
      <c r="F182" s="1" t="s">
        <v>112</v>
      </c>
      <c r="G182" s="1">
        <v>2746045</v>
      </c>
    </row>
    <row r="183" spans="1:10" x14ac:dyDescent="0.25">
      <c r="A183" s="1" t="str">
        <f t="shared" si="2"/>
        <v>06 EE2 170.9</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1957</v>
      </c>
      <c r="D183" s="1" t="s">
        <v>1958</v>
      </c>
      <c r="E183" s="1" t="s">
        <v>1959</v>
      </c>
      <c r="F183" s="1" t="s">
        <v>112</v>
      </c>
      <c r="G183" s="1">
        <v>2436997</v>
      </c>
    </row>
    <row r="184" spans="1:10" x14ac:dyDescent="0.25">
      <c r="A184" s="1" t="str">
        <f t="shared" si="2"/>
        <v>06 EE2 170.9</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1960</v>
      </c>
      <c r="D184" s="1" t="s">
        <v>1961</v>
      </c>
      <c r="E184" s="1" t="s">
        <v>1962</v>
      </c>
      <c r="F184" s="1" t="s">
        <v>112</v>
      </c>
      <c r="G184" s="1">
        <v>1287195</v>
      </c>
    </row>
    <row r="185" spans="1:10" x14ac:dyDescent="0.25">
      <c r="A185" s="1" t="str">
        <f t="shared" si="2"/>
        <v>06 EE2 170.9</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1963</v>
      </c>
      <c r="D185" s="1" t="s">
        <v>1964</v>
      </c>
      <c r="E185" s="1" t="s">
        <v>1965</v>
      </c>
      <c r="F185" s="1" t="s">
        <v>112</v>
      </c>
      <c r="G185" s="1">
        <v>2316973</v>
      </c>
    </row>
    <row r="186" spans="1:10" x14ac:dyDescent="0.25">
      <c r="A186" s="1" t="str">
        <f t="shared" si="2"/>
        <v>06 EE2 170.9</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1966</v>
      </c>
      <c r="D186" s="1" t="s">
        <v>1967</v>
      </c>
      <c r="E186" s="1" t="s">
        <v>1968</v>
      </c>
      <c r="F186" s="1" t="s">
        <v>112</v>
      </c>
      <c r="G186" s="1">
        <v>2143587</v>
      </c>
    </row>
    <row r="187" spans="1:10" x14ac:dyDescent="0.25">
      <c r="A187" s="1" t="str">
        <f t="shared" si="2"/>
        <v>06 EE2 170.9</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1969</v>
      </c>
      <c r="D187" s="1" t="s">
        <v>1970</v>
      </c>
      <c r="E187" s="1" t="s">
        <v>1971</v>
      </c>
      <c r="F187" s="1" t="s">
        <v>112</v>
      </c>
      <c r="G187" s="1">
        <v>2010520</v>
      </c>
    </row>
    <row r="188" spans="1:10" x14ac:dyDescent="0.25">
      <c r="A188" s="1" t="str">
        <f t="shared" si="2"/>
        <v>06 EE2 170.9</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1972</v>
      </c>
      <c r="D188" s="1" t="s">
        <v>1973</v>
      </c>
      <c r="E188" s="1" t="s">
        <v>1974</v>
      </c>
      <c r="F188" s="1" t="s">
        <v>112</v>
      </c>
      <c r="G188" s="1">
        <v>2609604</v>
      </c>
    </row>
    <row r="189" spans="1:10" x14ac:dyDescent="0.25">
      <c r="A189" s="1" t="str">
        <f t="shared" si="2"/>
        <v>06 EE2 170.9</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1975</v>
      </c>
      <c r="D189" s="1" t="s">
        <v>1976</v>
      </c>
      <c r="E189" s="1" t="s">
        <v>1977</v>
      </c>
      <c r="F189" s="1" t="s">
        <v>112</v>
      </c>
      <c r="G189" s="1">
        <v>1796428</v>
      </c>
    </row>
    <row r="190" spans="1:10" x14ac:dyDescent="0.25">
      <c r="A190" s="1" t="str">
        <f t="shared" si="2"/>
        <v>06 EE2 170.9</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1978</v>
      </c>
      <c r="D190" s="1" t="s">
        <v>1979</v>
      </c>
      <c r="E190" s="1" t="s">
        <v>1980</v>
      </c>
      <c r="F190" s="1" t="s">
        <v>112</v>
      </c>
      <c r="G190" s="1">
        <v>2802932</v>
      </c>
    </row>
    <row r="191" spans="1:10" x14ac:dyDescent="0.2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10" x14ac:dyDescent="0.2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243</v>
      </c>
      <c r="D192" s="1" t="s">
        <v>112</v>
      </c>
      <c r="E192" s="1" t="s">
        <v>244</v>
      </c>
      <c r="F192" s="1" t="s">
        <v>245</v>
      </c>
      <c r="G192" s="1" t="s">
        <v>246</v>
      </c>
      <c r="H192" s="1" t="s">
        <v>247</v>
      </c>
      <c r="I192" s="1" t="s">
        <v>248</v>
      </c>
      <c r="J192" s="1" t="s">
        <v>249</v>
      </c>
    </row>
    <row r="193" spans="1:10" x14ac:dyDescent="0.25">
      <c r="A193" s="1" t="str">
        <f t="shared" si="2"/>
        <v>06 EE2 170.9</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1981</v>
      </c>
      <c r="D193" s="1" t="s">
        <v>112</v>
      </c>
      <c r="E193" s="1" t="s">
        <v>1982</v>
      </c>
      <c r="F193" s="1" t="s">
        <v>1983</v>
      </c>
      <c r="G193" s="1" t="s">
        <v>1984</v>
      </c>
      <c r="H193" s="1" t="s">
        <v>1985</v>
      </c>
      <c r="I193" s="1">
        <v>24</v>
      </c>
      <c r="J193" s="1">
        <v>24</v>
      </c>
    </row>
    <row r="194" spans="1:10" x14ac:dyDescent="0.2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10" x14ac:dyDescent="0.2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10" x14ac:dyDescent="0.2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10" x14ac:dyDescent="0.2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10" x14ac:dyDescent="0.2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10" x14ac:dyDescent="0.2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255</v>
      </c>
      <c r="D199" s="1" t="s">
        <v>110</v>
      </c>
      <c r="E199" s="1" t="s">
        <v>111</v>
      </c>
      <c r="F199" s="1" t="s">
        <v>112</v>
      </c>
      <c r="G199" s="1" t="s">
        <v>113</v>
      </c>
    </row>
    <row r="200" spans="1:10" x14ac:dyDescent="0.25">
      <c r="A200" s="1" t="str">
        <f t="shared" si="3"/>
        <v>07 EE2 488</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1986</v>
      </c>
      <c r="D200" s="1" t="s">
        <v>1987</v>
      </c>
      <c r="E200" s="1" t="s">
        <v>1988</v>
      </c>
      <c r="F200" s="1" t="s">
        <v>112</v>
      </c>
      <c r="G200" s="1">
        <v>5595286</v>
      </c>
    </row>
    <row r="201" spans="1:10" x14ac:dyDescent="0.25">
      <c r="A201" s="1" t="str">
        <f t="shared" si="3"/>
        <v>07 EE2 488</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1989</v>
      </c>
      <c r="D201" s="1" t="s">
        <v>1990</v>
      </c>
      <c r="E201" s="1" t="s">
        <v>1991</v>
      </c>
      <c r="F201" s="1" t="s">
        <v>112</v>
      </c>
      <c r="G201" s="1">
        <v>5499639</v>
      </c>
    </row>
    <row r="202" spans="1:10" x14ac:dyDescent="0.25">
      <c r="A202" s="1" t="str">
        <f t="shared" si="3"/>
        <v>07 EE2 488</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1992</v>
      </c>
      <c r="D202" s="1" t="s">
        <v>1993</v>
      </c>
      <c r="E202" s="1" t="s">
        <v>1994</v>
      </c>
      <c r="F202" s="1" t="s">
        <v>112</v>
      </c>
      <c r="G202" s="1">
        <v>5278386</v>
      </c>
    </row>
    <row r="203" spans="1:10" x14ac:dyDescent="0.25">
      <c r="A203" s="1" t="str">
        <f t="shared" si="3"/>
        <v>07 EE2 488</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1995</v>
      </c>
      <c r="D203" s="1" t="s">
        <v>1996</v>
      </c>
      <c r="E203" s="1" t="s">
        <v>1997</v>
      </c>
      <c r="F203" s="1" t="s">
        <v>112</v>
      </c>
      <c r="G203" s="1">
        <v>7189539</v>
      </c>
    </row>
    <row r="204" spans="1:10" x14ac:dyDescent="0.25">
      <c r="A204" s="1" t="str">
        <f t="shared" si="3"/>
        <v>07 EE2 488</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1998</v>
      </c>
      <c r="D204" s="1" t="s">
        <v>1999</v>
      </c>
      <c r="E204" s="1" t="s">
        <v>2000</v>
      </c>
      <c r="F204" s="1" t="s">
        <v>112</v>
      </c>
      <c r="G204" s="1">
        <v>6955504</v>
      </c>
    </row>
    <row r="205" spans="1:10" x14ac:dyDescent="0.25">
      <c r="A205" s="1" t="str">
        <f t="shared" si="3"/>
        <v>07 EE2 488</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2001</v>
      </c>
      <c r="D205" s="1" t="s">
        <v>2002</v>
      </c>
      <c r="E205" s="1" t="s">
        <v>2003</v>
      </c>
      <c r="F205" s="1" t="s">
        <v>112</v>
      </c>
      <c r="G205" s="1">
        <v>7255316</v>
      </c>
    </row>
    <row r="206" spans="1:10" x14ac:dyDescent="0.25">
      <c r="A206" s="1" t="str">
        <f t="shared" si="3"/>
        <v>07 EE2 488</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2004</v>
      </c>
      <c r="D206" s="1" t="s">
        <v>2005</v>
      </c>
      <c r="E206" s="1" t="s">
        <v>2006</v>
      </c>
      <c r="F206" s="1" t="s">
        <v>112</v>
      </c>
      <c r="G206" s="1">
        <v>8338324</v>
      </c>
    </row>
    <row r="207" spans="1:10" x14ac:dyDescent="0.25">
      <c r="A207" s="1" t="str">
        <f t="shared" si="3"/>
        <v>07 EE2 488</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2007</v>
      </c>
      <c r="D207" s="1" t="s">
        <v>2008</v>
      </c>
      <c r="E207" s="1" t="s">
        <v>2009</v>
      </c>
      <c r="F207" s="1" t="s">
        <v>112</v>
      </c>
      <c r="G207" s="1">
        <v>8669392</v>
      </c>
    </row>
    <row r="208" spans="1:10" x14ac:dyDescent="0.25">
      <c r="A208" s="1" t="str">
        <f t="shared" si="3"/>
        <v>07 EE2 488</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2010</v>
      </c>
      <c r="D208" s="1" t="s">
        <v>2011</v>
      </c>
      <c r="E208" s="1" t="s">
        <v>2012</v>
      </c>
      <c r="F208" s="1" t="s">
        <v>112</v>
      </c>
      <c r="G208" s="1">
        <v>8329240</v>
      </c>
    </row>
    <row r="209" spans="1:7" x14ac:dyDescent="0.25">
      <c r="A209" s="1" t="str">
        <f t="shared" si="3"/>
        <v>07 EE2 488</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2013</v>
      </c>
      <c r="D209" s="1" t="s">
        <v>2014</v>
      </c>
      <c r="E209" s="1" t="s">
        <v>2015</v>
      </c>
      <c r="F209" s="1" t="s">
        <v>112</v>
      </c>
      <c r="G209" s="1">
        <v>6087431</v>
      </c>
    </row>
    <row r="210" spans="1:7" x14ac:dyDescent="0.25">
      <c r="A210" s="1" t="str">
        <f t="shared" si="3"/>
        <v>07 EE2 488</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2016</v>
      </c>
      <c r="D210" s="1" t="s">
        <v>2017</v>
      </c>
      <c r="E210" s="1" t="s">
        <v>2018</v>
      </c>
      <c r="F210" s="1" t="s">
        <v>112</v>
      </c>
      <c r="G210" s="1">
        <v>5752124</v>
      </c>
    </row>
    <row r="211" spans="1:7" x14ac:dyDescent="0.25">
      <c r="A211" s="1" t="str">
        <f t="shared" si="3"/>
        <v>07 EE2 488</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2019</v>
      </c>
      <c r="D211" s="1" t="s">
        <v>2020</v>
      </c>
      <c r="E211" s="1" t="s">
        <v>2021</v>
      </c>
      <c r="F211" s="1" t="s">
        <v>112</v>
      </c>
      <c r="G211" s="1">
        <v>5718101</v>
      </c>
    </row>
    <row r="212" spans="1:7" x14ac:dyDescent="0.25">
      <c r="A212" s="1" t="str">
        <f t="shared" si="3"/>
        <v>07 EE2 488</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2022</v>
      </c>
      <c r="D212" s="1" t="s">
        <v>2023</v>
      </c>
      <c r="E212" s="1" t="s">
        <v>2024</v>
      </c>
      <c r="F212" s="1" t="s">
        <v>112</v>
      </c>
      <c r="G212" s="1">
        <v>6400610</v>
      </c>
    </row>
    <row r="213" spans="1:7" x14ac:dyDescent="0.25">
      <c r="A213" s="1" t="str">
        <f t="shared" si="3"/>
        <v>07 EE2 488</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2025</v>
      </c>
      <c r="D213" s="1" t="s">
        <v>2026</v>
      </c>
      <c r="E213" s="1" t="s">
        <v>2027</v>
      </c>
      <c r="F213" s="1" t="s">
        <v>112</v>
      </c>
      <c r="G213" s="1">
        <v>6766307</v>
      </c>
    </row>
    <row r="214" spans="1:7" x14ac:dyDescent="0.25">
      <c r="A214" s="1" t="str">
        <f t="shared" si="3"/>
        <v>07 EE2 488</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2028</v>
      </c>
      <c r="D214" s="1" t="s">
        <v>2029</v>
      </c>
      <c r="E214" s="1" t="s">
        <v>2030</v>
      </c>
      <c r="F214" s="1" t="s">
        <v>112</v>
      </c>
      <c r="G214" s="1">
        <v>6580290</v>
      </c>
    </row>
    <row r="215" spans="1:7" x14ac:dyDescent="0.25">
      <c r="A215" s="1" t="str">
        <f t="shared" si="3"/>
        <v>07 EE2 488</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2031</v>
      </c>
      <c r="D215" s="1" t="s">
        <v>2032</v>
      </c>
      <c r="E215" s="1" t="s">
        <v>2033</v>
      </c>
      <c r="F215" s="1" t="s">
        <v>112</v>
      </c>
      <c r="G215" s="1">
        <v>7128391</v>
      </c>
    </row>
    <row r="216" spans="1:7" x14ac:dyDescent="0.25">
      <c r="A216" s="1" t="str">
        <f t="shared" si="3"/>
        <v>07 EE2 488</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2034</v>
      </c>
      <c r="D216" s="1" t="s">
        <v>2035</v>
      </c>
      <c r="E216" s="1" t="s">
        <v>2036</v>
      </c>
      <c r="F216" s="1" t="s">
        <v>112</v>
      </c>
      <c r="G216" s="1">
        <v>7311726</v>
      </c>
    </row>
    <row r="217" spans="1:7" x14ac:dyDescent="0.25">
      <c r="A217" s="1" t="str">
        <f t="shared" si="3"/>
        <v>07 EE2 488</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2037</v>
      </c>
      <c r="D217" s="1" t="s">
        <v>2038</v>
      </c>
      <c r="E217" s="1" t="s">
        <v>2039</v>
      </c>
      <c r="F217" s="1" t="s">
        <v>112</v>
      </c>
      <c r="G217" s="1">
        <v>7402399</v>
      </c>
    </row>
    <row r="218" spans="1:7" x14ac:dyDescent="0.25">
      <c r="A218" s="1" t="str">
        <f t="shared" si="3"/>
        <v>07 EE2 488</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2040</v>
      </c>
      <c r="D218" s="1" t="s">
        <v>2041</v>
      </c>
      <c r="E218" s="1" t="s">
        <v>2042</v>
      </c>
      <c r="F218" s="1" t="s">
        <v>112</v>
      </c>
      <c r="G218" s="1">
        <v>7644459</v>
      </c>
    </row>
    <row r="219" spans="1:7" x14ac:dyDescent="0.25">
      <c r="A219" s="1" t="str">
        <f t="shared" si="3"/>
        <v>07 EE2 488</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2043</v>
      </c>
      <c r="D219" s="1" t="s">
        <v>2044</v>
      </c>
      <c r="E219" s="1" t="s">
        <v>2045</v>
      </c>
      <c r="F219" s="1" t="s">
        <v>112</v>
      </c>
      <c r="G219" s="1">
        <v>7580024</v>
      </c>
    </row>
    <row r="220" spans="1:7" x14ac:dyDescent="0.25">
      <c r="A220" s="1" t="str">
        <f t="shared" si="3"/>
        <v>07 EE2 488</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2046</v>
      </c>
      <c r="D220" s="1" t="s">
        <v>2047</v>
      </c>
      <c r="E220" s="1" t="s">
        <v>2048</v>
      </c>
      <c r="F220" s="1" t="s">
        <v>112</v>
      </c>
      <c r="G220" s="1">
        <v>7474772</v>
      </c>
    </row>
    <row r="221" spans="1:7" x14ac:dyDescent="0.25">
      <c r="A221" s="1" t="str">
        <f t="shared" si="3"/>
        <v>07 EE2 488</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2049</v>
      </c>
      <c r="D221" s="1" t="s">
        <v>2050</v>
      </c>
      <c r="E221" s="1" t="s">
        <v>2051</v>
      </c>
      <c r="F221" s="1" t="s">
        <v>112</v>
      </c>
      <c r="G221" s="1">
        <v>4831794</v>
      </c>
    </row>
    <row r="222" spans="1:7" x14ac:dyDescent="0.25">
      <c r="A222" s="1" t="str">
        <f t="shared" si="3"/>
        <v>07 EE2 488</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2052</v>
      </c>
      <c r="D222" s="1" t="s">
        <v>2053</v>
      </c>
      <c r="E222" s="1" t="s">
        <v>2054</v>
      </c>
      <c r="F222" s="1" t="s">
        <v>112</v>
      </c>
      <c r="G222" s="1">
        <v>4483142</v>
      </c>
    </row>
    <row r="223" spans="1:7" x14ac:dyDescent="0.25">
      <c r="A223" s="1" t="str">
        <f t="shared" si="3"/>
        <v>07 EE2 488</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2055</v>
      </c>
      <c r="D223" s="1" t="s">
        <v>2056</v>
      </c>
      <c r="E223" s="1" t="s">
        <v>2057</v>
      </c>
      <c r="F223" s="1" t="s">
        <v>112</v>
      </c>
      <c r="G223" s="1">
        <v>4502738</v>
      </c>
    </row>
    <row r="224" spans="1:7" x14ac:dyDescent="0.2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10" x14ac:dyDescent="0.2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243</v>
      </c>
      <c r="D225" s="1" t="s">
        <v>112</v>
      </c>
      <c r="E225" s="1" t="s">
        <v>244</v>
      </c>
      <c r="F225" s="1" t="s">
        <v>245</v>
      </c>
      <c r="G225" s="1" t="s">
        <v>246</v>
      </c>
      <c r="H225" s="1" t="s">
        <v>247</v>
      </c>
      <c r="I225" s="1" t="s">
        <v>248</v>
      </c>
      <c r="J225" s="1" t="s">
        <v>249</v>
      </c>
    </row>
    <row r="226" spans="1:10" x14ac:dyDescent="0.25">
      <c r="A226" s="1" t="str">
        <f t="shared" si="3"/>
        <v>07 EE2 488</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2058</v>
      </c>
      <c r="D226" s="1" t="s">
        <v>112</v>
      </c>
      <c r="E226" s="1" t="s">
        <v>2059</v>
      </c>
      <c r="F226" s="1" t="s">
        <v>2060</v>
      </c>
      <c r="G226" s="1" t="s">
        <v>2061</v>
      </c>
      <c r="H226" s="1" t="s">
        <v>2062</v>
      </c>
      <c r="I226" s="1">
        <v>24</v>
      </c>
      <c r="J226" s="1">
        <v>24</v>
      </c>
    </row>
    <row r="227" spans="1:10" x14ac:dyDescent="0.2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10" x14ac:dyDescent="0.2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10" x14ac:dyDescent="0.2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10" x14ac:dyDescent="0.2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10" x14ac:dyDescent="0.2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10" x14ac:dyDescent="0.2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255</v>
      </c>
      <c r="D232" s="1" t="s">
        <v>110</v>
      </c>
      <c r="E232" s="1" t="s">
        <v>111</v>
      </c>
      <c r="F232" s="1" t="s">
        <v>112</v>
      </c>
      <c r="G232" s="1" t="s">
        <v>113</v>
      </c>
    </row>
    <row r="233" spans="1:10" x14ac:dyDescent="0.25">
      <c r="A233" s="1" t="str">
        <f t="shared" si="3"/>
        <v>08 Fadrozole 0.016 µg_L</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2063</v>
      </c>
      <c r="D233" s="1" t="s">
        <v>200</v>
      </c>
      <c r="E233" s="1" t="s">
        <v>2064</v>
      </c>
      <c r="F233" s="1" t="s">
        <v>112</v>
      </c>
      <c r="G233" s="1">
        <v>157120</v>
      </c>
    </row>
    <row r="234" spans="1:10" x14ac:dyDescent="0.25">
      <c r="A234" s="1" t="str">
        <f t="shared" si="3"/>
        <v>08 Fadrozole 0.016 µg_L</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2065</v>
      </c>
      <c r="D234" s="1" t="s">
        <v>381</v>
      </c>
      <c r="E234" s="1" t="s">
        <v>2066</v>
      </c>
      <c r="F234" s="1" t="s">
        <v>112</v>
      </c>
      <c r="G234" s="1">
        <v>276365</v>
      </c>
    </row>
    <row r="235" spans="1:10" x14ac:dyDescent="0.25">
      <c r="A235" s="1" t="str">
        <f t="shared" si="3"/>
        <v>08 Fadrozole 0.016 µg_L</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2067</v>
      </c>
      <c r="D235" s="1" t="s">
        <v>2068</v>
      </c>
      <c r="E235" s="1" t="s">
        <v>2069</v>
      </c>
      <c r="F235" s="1" t="s">
        <v>112</v>
      </c>
      <c r="G235" s="1">
        <v>116996</v>
      </c>
    </row>
    <row r="236" spans="1:10" x14ac:dyDescent="0.25">
      <c r="A236" s="1" t="str">
        <f t="shared" si="3"/>
        <v>08 Fadrozole 0.016 µg_L</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2070</v>
      </c>
      <c r="D236" s="1" t="s">
        <v>2071</v>
      </c>
      <c r="E236" s="1" t="s">
        <v>2072</v>
      </c>
      <c r="F236" s="1" t="s">
        <v>112</v>
      </c>
      <c r="G236" s="1">
        <v>395524</v>
      </c>
    </row>
    <row r="237" spans="1:10" x14ac:dyDescent="0.25">
      <c r="A237" s="1" t="str">
        <f t="shared" si="3"/>
        <v>08 Fadrozole 0.016 µg_L</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2073</v>
      </c>
      <c r="D237" s="1" t="s">
        <v>2074</v>
      </c>
      <c r="E237" s="1" t="s">
        <v>2075</v>
      </c>
      <c r="F237" s="1" t="s">
        <v>112</v>
      </c>
      <c r="G237" s="1">
        <v>126081</v>
      </c>
    </row>
    <row r="238" spans="1:10" x14ac:dyDescent="0.25">
      <c r="A238" s="1" t="str">
        <f t="shared" si="3"/>
        <v>08 Fadrozole 0.016 µg_L</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2076</v>
      </c>
      <c r="D238" s="1" t="s">
        <v>1405</v>
      </c>
      <c r="E238" s="1" t="s">
        <v>2077</v>
      </c>
      <c r="F238" s="1" t="s">
        <v>112</v>
      </c>
      <c r="G238" s="1">
        <v>216840</v>
      </c>
    </row>
    <row r="239" spans="1:10" x14ac:dyDescent="0.25">
      <c r="A239" s="1" t="str">
        <f t="shared" si="3"/>
        <v>08 Fadrozole 0.016 µg_L</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2078</v>
      </c>
      <c r="D239" s="1" t="s">
        <v>1496</v>
      </c>
      <c r="E239" s="1" t="s">
        <v>2079</v>
      </c>
      <c r="F239" s="1" t="s">
        <v>112</v>
      </c>
      <c r="G239" s="1">
        <v>76808</v>
      </c>
    </row>
    <row r="240" spans="1:10" x14ac:dyDescent="0.25">
      <c r="A240" s="1" t="str">
        <f t="shared" si="3"/>
        <v>08 Fadrozole 0.016 µg_L</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2080</v>
      </c>
    </row>
    <row r="241" spans="1:7" x14ac:dyDescent="0.25">
      <c r="A241" s="1" t="str">
        <f t="shared" si="3"/>
        <v>08 Fadrozole 0.016 µg_L</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2081</v>
      </c>
      <c r="D241" s="1" t="s">
        <v>375</v>
      </c>
      <c r="E241" s="1" t="s">
        <v>2082</v>
      </c>
      <c r="F241" s="1" t="s">
        <v>112</v>
      </c>
      <c r="G241" s="1">
        <v>360873</v>
      </c>
    </row>
    <row r="242" spans="1:7" x14ac:dyDescent="0.25">
      <c r="A242" s="1" t="str">
        <f t="shared" si="3"/>
        <v>08 Fadrozole 0.016 µg_L</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2083</v>
      </c>
      <c r="D242" s="1" t="s">
        <v>2084</v>
      </c>
      <c r="E242" s="1" t="s">
        <v>2085</v>
      </c>
      <c r="F242" s="1" t="s">
        <v>112</v>
      </c>
      <c r="G242" s="1">
        <v>159585</v>
      </c>
    </row>
    <row r="243" spans="1:7" x14ac:dyDescent="0.25">
      <c r="A243" s="1" t="str">
        <f t="shared" si="3"/>
        <v>08 Fadrozole 0.016 µg_L</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2086</v>
      </c>
      <c r="D243" s="1" t="s">
        <v>417</v>
      </c>
      <c r="E243" s="1" t="s">
        <v>2087</v>
      </c>
      <c r="F243" s="1" t="s">
        <v>112</v>
      </c>
      <c r="G243" s="1">
        <v>68978</v>
      </c>
    </row>
    <row r="244" spans="1:7" x14ac:dyDescent="0.25">
      <c r="A244" s="1" t="str">
        <f t="shared" si="3"/>
        <v>08 Fadrozole 0.016 µg_L</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2088</v>
      </c>
      <c r="D244" s="1" t="s">
        <v>763</v>
      </c>
      <c r="E244" s="1" t="s">
        <v>2089</v>
      </c>
      <c r="F244" s="1" t="s">
        <v>112</v>
      </c>
      <c r="G244" s="1">
        <v>132375</v>
      </c>
    </row>
    <row r="245" spans="1:7" x14ac:dyDescent="0.25">
      <c r="A245" s="1" t="str">
        <f t="shared" si="3"/>
        <v>08 Fadrozole 0.016 µg_L</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2090</v>
      </c>
      <c r="D245" s="1" t="s">
        <v>2091</v>
      </c>
      <c r="E245" s="1" t="s">
        <v>2092</v>
      </c>
      <c r="F245" s="1" t="s">
        <v>112</v>
      </c>
      <c r="G245" s="1">
        <v>550048</v>
      </c>
    </row>
    <row r="246" spans="1:7" x14ac:dyDescent="0.25">
      <c r="A246" s="1" t="str">
        <f t="shared" si="3"/>
        <v>08 Fadrozole 0.016 µg_L</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2093</v>
      </c>
      <c r="D246" s="1" t="s">
        <v>2094</v>
      </c>
      <c r="E246" s="1" t="s">
        <v>2095</v>
      </c>
      <c r="F246" s="1" t="s">
        <v>112</v>
      </c>
      <c r="G246" s="1">
        <v>505318</v>
      </c>
    </row>
    <row r="247" spans="1:7" x14ac:dyDescent="0.25">
      <c r="A247" s="1" t="str">
        <f t="shared" si="3"/>
        <v>08 Fadrozole 0.016 µg_L</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2096</v>
      </c>
      <c r="D247" s="1" t="s">
        <v>923</v>
      </c>
      <c r="E247" s="1" t="s">
        <v>2097</v>
      </c>
      <c r="F247" s="1" t="s">
        <v>112</v>
      </c>
      <c r="G247" s="1">
        <v>313871</v>
      </c>
    </row>
    <row r="248" spans="1:7" x14ac:dyDescent="0.25">
      <c r="A248" s="1" t="str">
        <f t="shared" si="3"/>
        <v>08 Fadrozole 0.016 µg_L</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2098</v>
      </c>
      <c r="D248" s="1" t="s">
        <v>435</v>
      </c>
      <c r="E248" s="1" t="s">
        <v>2099</v>
      </c>
      <c r="F248" s="1" t="s">
        <v>112</v>
      </c>
      <c r="G248" s="1">
        <v>158850</v>
      </c>
    </row>
    <row r="249" spans="1:7" x14ac:dyDescent="0.25">
      <c r="A249" s="1" t="str">
        <f t="shared" si="3"/>
        <v>08 Fadrozole 0.016 µg_L</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2100</v>
      </c>
      <c r="D249" s="1" t="s">
        <v>2101</v>
      </c>
      <c r="E249" s="1" t="s">
        <v>2102</v>
      </c>
      <c r="F249" s="1" t="s">
        <v>112</v>
      </c>
      <c r="G249" s="1">
        <v>243877</v>
      </c>
    </row>
    <row r="250" spans="1:7" x14ac:dyDescent="0.25">
      <c r="A250" s="1" t="str">
        <f t="shared" si="3"/>
        <v>08 Fadrozole 0.016 µg_L</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2103</v>
      </c>
    </row>
    <row r="251" spans="1:7" x14ac:dyDescent="0.25">
      <c r="A251" s="1" t="str">
        <f t="shared" si="3"/>
        <v>08 Fadrozole 0.016 µg_L</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2104</v>
      </c>
      <c r="D251" s="1" t="s">
        <v>1390</v>
      </c>
      <c r="E251" s="1" t="s">
        <v>2105</v>
      </c>
      <c r="F251" s="1" t="s">
        <v>112</v>
      </c>
      <c r="G251" s="1">
        <v>85525</v>
      </c>
    </row>
    <row r="252" spans="1:7" x14ac:dyDescent="0.25">
      <c r="A252" s="1" t="str">
        <f t="shared" si="3"/>
        <v>08 Fadrozole 0.016 µg_L</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2106</v>
      </c>
      <c r="D252" s="1" t="s">
        <v>1729</v>
      </c>
      <c r="E252" s="1" t="s">
        <v>2107</v>
      </c>
      <c r="F252" s="1" t="s">
        <v>112</v>
      </c>
      <c r="G252" s="1">
        <v>104689</v>
      </c>
    </row>
    <row r="253" spans="1:7" x14ac:dyDescent="0.25">
      <c r="A253" s="1" t="str">
        <f t="shared" si="3"/>
        <v>08 Fadrozole 0.016 µg_L</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2108</v>
      </c>
      <c r="D253" s="1" t="s">
        <v>301</v>
      </c>
      <c r="E253" s="1" t="s">
        <v>2109</v>
      </c>
      <c r="F253" s="1" t="s">
        <v>112</v>
      </c>
      <c r="G253" s="1">
        <v>113687</v>
      </c>
    </row>
    <row r="254" spans="1:7" x14ac:dyDescent="0.25">
      <c r="A254" s="1" t="str">
        <f t="shared" si="3"/>
        <v>08 Fadrozole 0.016 µg_L</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2110</v>
      </c>
      <c r="D254" s="1" t="s">
        <v>923</v>
      </c>
      <c r="E254" s="1" t="s">
        <v>2111</v>
      </c>
      <c r="F254" s="1" t="s">
        <v>112</v>
      </c>
      <c r="G254" s="1">
        <v>338594</v>
      </c>
    </row>
    <row r="255" spans="1:7" x14ac:dyDescent="0.25">
      <c r="A255" s="1" t="str">
        <f t="shared" si="3"/>
        <v>08 Fadrozole 0.016 µg_L</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2112</v>
      </c>
      <c r="D255" s="1" t="s">
        <v>2113</v>
      </c>
      <c r="E255" s="1" t="s">
        <v>2114</v>
      </c>
      <c r="F255" s="1" t="s">
        <v>112</v>
      </c>
      <c r="G255" s="1">
        <v>486608</v>
      </c>
    </row>
    <row r="256" spans="1:7" x14ac:dyDescent="0.25">
      <c r="A256" s="1" t="str">
        <f t="shared" si="3"/>
        <v>08 Fadrozole 0.016 µg_L</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2115</v>
      </c>
      <c r="D256" s="1" t="s">
        <v>185</v>
      </c>
      <c r="E256" s="1" t="s">
        <v>2116</v>
      </c>
      <c r="F256" s="1" t="s">
        <v>112</v>
      </c>
      <c r="G256" s="1">
        <v>303294</v>
      </c>
    </row>
    <row r="257" spans="1:10" x14ac:dyDescent="0.2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10" x14ac:dyDescent="0.2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243</v>
      </c>
      <c r="D258" s="1" t="s">
        <v>112</v>
      </c>
      <c r="E258" s="1" t="s">
        <v>244</v>
      </c>
      <c r="F258" s="1" t="s">
        <v>245</v>
      </c>
      <c r="G258" s="1" t="s">
        <v>246</v>
      </c>
      <c r="H258" s="1" t="s">
        <v>247</v>
      </c>
      <c r="I258" s="1" t="s">
        <v>248</v>
      </c>
      <c r="J258" s="1" t="s">
        <v>249</v>
      </c>
    </row>
    <row r="259" spans="1:10" x14ac:dyDescent="0.25">
      <c r="A259" s="1" t="str">
        <f t="shared" si="4"/>
        <v>08 Fadrozole 0.016 µg_L</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2117</v>
      </c>
      <c r="D259" s="1" t="s">
        <v>112</v>
      </c>
      <c r="E259" s="1" t="s">
        <v>2118</v>
      </c>
      <c r="F259" s="1" t="s">
        <v>2119</v>
      </c>
      <c r="G259" s="1" t="s">
        <v>2120</v>
      </c>
      <c r="H259" s="1" t="s">
        <v>2121</v>
      </c>
      <c r="I259" s="1">
        <v>24</v>
      </c>
      <c r="J259" s="1">
        <v>24</v>
      </c>
    </row>
    <row r="260" spans="1:10" x14ac:dyDescent="0.2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10" x14ac:dyDescent="0.2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10" x14ac:dyDescent="0.2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10" x14ac:dyDescent="0.2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10" x14ac:dyDescent="0.2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10" x14ac:dyDescent="0.2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255</v>
      </c>
      <c r="D265" s="1" t="s">
        <v>110</v>
      </c>
      <c r="E265" s="1" t="s">
        <v>111</v>
      </c>
      <c r="F265" s="1" t="s">
        <v>112</v>
      </c>
      <c r="G265" s="1" t="s">
        <v>113</v>
      </c>
    </row>
    <row r="266" spans="1:10" x14ac:dyDescent="0.25">
      <c r="A266" s="1" t="str">
        <f t="shared" si="4"/>
        <v>09 Fadrozole 0.08 µg_L</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2122</v>
      </c>
      <c r="D266" s="1" t="s">
        <v>366</v>
      </c>
      <c r="E266" s="1" t="s">
        <v>2123</v>
      </c>
      <c r="F266" s="1" t="s">
        <v>112</v>
      </c>
      <c r="G266" s="1">
        <v>126859</v>
      </c>
    </row>
    <row r="267" spans="1:10" x14ac:dyDescent="0.25">
      <c r="A267" s="1" t="str">
        <f t="shared" si="4"/>
        <v>09 Fadrozole 0.08 µg_L</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2124</v>
      </c>
      <c r="D267" s="1" t="s">
        <v>2125</v>
      </c>
      <c r="E267" s="1" t="s">
        <v>2126</v>
      </c>
      <c r="F267" s="1" t="s">
        <v>112</v>
      </c>
      <c r="G267" s="1">
        <v>289797</v>
      </c>
    </row>
    <row r="268" spans="1:10" x14ac:dyDescent="0.25">
      <c r="A268" s="1" t="str">
        <f t="shared" si="4"/>
        <v>09 Fadrozole 0.08 µg_L</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2127</v>
      </c>
      <c r="D268" s="1" t="s">
        <v>1405</v>
      </c>
      <c r="E268" s="1" t="s">
        <v>2128</v>
      </c>
      <c r="F268" s="1" t="s">
        <v>112</v>
      </c>
      <c r="G268" s="1">
        <v>219414</v>
      </c>
    </row>
    <row r="269" spans="1:10" x14ac:dyDescent="0.25">
      <c r="A269" s="1" t="str">
        <f t="shared" si="4"/>
        <v>09 Fadrozole 0.08 µg_L</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2129</v>
      </c>
      <c r="D269" s="1" t="s">
        <v>277</v>
      </c>
      <c r="E269" s="1" t="s">
        <v>2130</v>
      </c>
      <c r="F269" s="1" t="s">
        <v>112</v>
      </c>
      <c r="G269" s="1">
        <v>74126</v>
      </c>
    </row>
    <row r="270" spans="1:10" x14ac:dyDescent="0.25">
      <c r="A270" s="1" t="str">
        <f t="shared" si="4"/>
        <v>09 Fadrozole 0.08 µg_L</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2131</v>
      </c>
      <c r="D270" s="1" t="s">
        <v>146</v>
      </c>
      <c r="E270" s="1" t="s">
        <v>2132</v>
      </c>
      <c r="F270" s="1" t="s">
        <v>112</v>
      </c>
      <c r="G270" s="1">
        <v>336604</v>
      </c>
    </row>
    <row r="271" spans="1:10" x14ac:dyDescent="0.25">
      <c r="A271" s="1" t="str">
        <f t="shared" si="4"/>
        <v>09 Fadrozole 0.08 µg_L</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2133</v>
      </c>
      <c r="D271" s="1" t="s">
        <v>2134</v>
      </c>
      <c r="E271" s="1" t="s">
        <v>2135</v>
      </c>
      <c r="F271" s="1" t="s">
        <v>112</v>
      </c>
      <c r="G271" s="1">
        <v>354492</v>
      </c>
    </row>
    <row r="272" spans="1:10" x14ac:dyDescent="0.25">
      <c r="A272" s="1" t="str">
        <f t="shared" si="4"/>
        <v>09 Fadrozole 0.08 µg_L</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2136</v>
      </c>
      <c r="D272" s="1" t="s">
        <v>2137</v>
      </c>
      <c r="E272" s="1" t="s">
        <v>2138</v>
      </c>
      <c r="F272" s="1" t="s">
        <v>112</v>
      </c>
      <c r="G272" s="1">
        <v>299444</v>
      </c>
    </row>
    <row r="273" spans="1:7" x14ac:dyDescent="0.25">
      <c r="A273" s="1" t="str">
        <f t="shared" si="4"/>
        <v>09 Fadrozole 0.08 µg_L</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2139</v>
      </c>
      <c r="D273" s="1" t="s">
        <v>2140</v>
      </c>
      <c r="E273" s="1" t="s">
        <v>2141</v>
      </c>
      <c r="F273" s="1" t="s">
        <v>112</v>
      </c>
      <c r="G273" s="1">
        <v>349669</v>
      </c>
    </row>
    <row r="274" spans="1:7" x14ac:dyDescent="0.25">
      <c r="A274" s="1" t="str">
        <f t="shared" si="4"/>
        <v>09 Fadrozole 0.08 µg_L</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2142</v>
      </c>
      <c r="D274" s="1" t="s">
        <v>929</v>
      </c>
      <c r="E274" s="1" t="s">
        <v>2143</v>
      </c>
      <c r="F274" s="1" t="s">
        <v>112</v>
      </c>
      <c r="G274" s="1">
        <v>261462</v>
      </c>
    </row>
    <row r="275" spans="1:7" x14ac:dyDescent="0.25">
      <c r="A275" s="1" t="str">
        <f t="shared" si="4"/>
        <v>09 Fadrozole 0.08 µg_L</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2144</v>
      </c>
      <c r="D275" s="1" t="s">
        <v>288</v>
      </c>
      <c r="E275" s="1" t="s">
        <v>258</v>
      </c>
      <c r="F275" s="1" t="s">
        <v>112</v>
      </c>
      <c r="G275" s="1">
        <v>14362</v>
      </c>
    </row>
    <row r="276" spans="1:7" x14ac:dyDescent="0.25">
      <c r="A276" s="1" t="str">
        <f t="shared" si="4"/>
        <v>09 Fadrozole 0.08 µg_L</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2145</v>
      </c>
      <c r="D276" s="1" t="s">
        <v>220</v>
      </c>
      <c r="E276" s="1" t="s">
        <v>1615</v>
      </c>
      <c r="F276" s="1" t="s">
        <v>112</v>
      </c>
      <c r="G276" s="1">
        <v>12351</v>
      </c>
    </row>
    <row r="277" spans="1:7" x14ac:dyDescent="0.25">
      <c r="A277" s="1" t="str">
        <f t="shared" si="4"/>
        <v>09 Fadrozole 0.08 µg_L</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2146</v>
      </c>
      <c r="D277" s="1" t="s">
        <v>263</v>
      </c>
      <c r="E277" s="1" t="s">
        <v>1736</v>
      </c>
      <c r="F277" s="1" t="s">
        <v>112</v>
      </c>
      <c r="G277" s="1">
        <v>26799</v>
      </c>
    </row>
    <row r="278" spans="1:7" x14ac:dyDescent="0.25">
      <c r="A278" s="1" t="str">
        <f t="shared" si="4"/>
        <v>09 Fadrozole 0.08 µg_L</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2147</v>
      </c>
      <c r="D278" s="1" t="s">
        <v>698</v>
      </c>
      <c r="E278" s="1" t="s">
        <v>2148</v>
      </c>
      <c r="F278" s="1" t="s">
        <v>112</v>
      </c>
      <c r="G278" s="1">
        <v>18018</v>
      </c>
    </row>
    <row r="279" spans="1:7" x14ac:dyDescent="0.25">
      <c r="A279" s="1" t="str">
        <f t="shared" si="4"/>
        <v>09 Fadrozole 0.08 µg_L</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2149</v>
      </c>
      <c r="D279" s="1" t="s">
        <v>1645</v>
      </c>
      <c r="E279" s="1" t="s">
        <v>2150</v>
      </c>
      <c r="F279" s="1" t="s">
        <v>112</v>
      </c>
      <c r="G279" s="1">
        <v>37614</v>
      </c>
    </row>
    <row r="280" spans="1:7" x14ac:dyDescent="0.25">
      <c r="A280" s="1" t="str">
        <f t="shared" si="4"/>
        <v>09 Fadrozole 0.08 µg_L</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2151</v>
      </c>
      <c r="D280" s="1" t="s">
        <v>409</v>
      </c>
      <c r="E280" s="1" t="s">
        <v>908</v>
      </c>
      <c r="F280" s="1" t="s">
        <v>112</v>
      </c>
      <c r="G280" s="1">
        <v>16525</v>
      </c>
    </row>
    <row r="281" spans="1:7" x14ac:dyDescent="0.25">
      <c r="A281" s="1" t="str">
        <f t="shared" si="4"/>
        <v>09 Fadrozole 0.08 µg_L</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2152</v>
      </c>
      <c r="D281" s="1" t="s">
        <v>2153</v>
      </c>
      <c r="E281" s="1" t="s">
        <v>2154</v>
      </c>
      <c r="F281" s="1" t="s">
        <v>112</v>
      </c>
      <c r="G281" s="1">
        <v>197870</v>
      </c>
    </row>
    <row r="282" spans="1:7" x14ac:dyDescent="0.25">
      <c r="A282" s="1" t="str">
        <f t="shared" si="4"/>
        <v>09 Fadrozole 0.08 µg_L</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2155</v>
      </c>
      <c r="D282" s="1" t="s">
        <v>865</v>
      </c>
      <c r="E282" s="1">
        <v>63</v>
      </c>
      <c r="F282" s="1" t="s">
        <v>112</v>
      </c>
      <c r="G282" s="1">
        <v>25891</v>
      </c>
    </row>
    <row r="283" spans="1:7" x14ac:dyDescent="0.25">
      <c r="A283" s="1" t="str">
        <f t="shared" si="4"/>
        <v>09 Fadrozole 0.08 µg_L</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2156</v>
      </c>
      <c r="D283" s="1" t="s">
        <v>301</v>
      </c>
      <c r="E283" s="1" t="s">
        <v>2157</v>
      </c>
      <c r="F283" s="1" t="s">
        <v>112</v>
      </c>
      <c r="G283" s="1">
        <v>111307</v>
      </c>
    </row>
    <row r="284" spans="1:7" x14ac:dyDescent="0.25">
      <c r="A284" s="1" t="str">
        <f t="shared" si="4"/>
        <v>09 Fadrozole 0.08 µg_L</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2158</v>
      </c>
      <c r="D284" s="1" t="s">
        <v>2159</v>
      </c>
      <c r="E284" s="1" t="s">
        <v>2160</v>
      </c>
      <c r="F284" s="1" t="s">
        <v>112</v>
      </c>
      <c r="G284" s="1">
        <v>548837</v>
      </c>
    </row>
    <row r="285" spans="1:7" x14ac:dyDescent="0.25">
      <c r="A285" s="1" t="str">
        <f t="shared" si="4"/>
        <v>09 Fadrozole 0.08 µg_L</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2161</v>
      </c>
      <c r="D285" s="1" t="s">
        <v>1390</v>
      </c>
      <c r="E285" s="1" t="s">
        <v>2162</v>
      </c>
      <c r="F285" s="1" t="s">
        <v>112</v>
      </c>
      <c r="G285" s="1">
        <v>86433</v>
      </c>
    </row>
    <row r="286" spans="1:7" x14ac:dyDescent="0.25">
      <c r="A286" s="1" t="str">
        <f t="shared" si="4"/>
        <v>09 Fadrozole 0.08 µg_L</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2163</v>
      </c>
      <c r="D286" s="1" t="s">
        <v>409</v>
      </c>
      <c r="E286" s="1" t="s">
        <v>1388</v>
      </c>
      <c r="F286" s="1" t="s">
        <v>112</v>
      </c>
      <c r="G286" s="1">
        <v>16309</v>
      </c>
    </row>
    <row r="287" spans="1:7" x14ac:dyDescent="0.25">
      <c r="A287" s="1" t="str">
        <f t="shared" si="4"/>
        <v>09 Fadrozole 0.08 µg_L</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2164</v>
      </c>
      <c r="D287" s="1" t="s">
        <v>301</v>
      </c>
      <c r="E287" s="1" t="s">
        <v>2165</v>
      </c>
      <c r="F287" s="1" t="s">
        <v>112</v>
      </c>
      <c r="G287" s="1">
        <v>113362</v>
      </c>
    </row>
    <row r="288" spans="1:7" x14ac:dyDescent="0.25">
      <c r="A288" s="1" t="str">
        <f t="shared" si="4"/>
        <v>09 Fadrozole 0.08 µg_L</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2166</v>
      </c>
      <c r="D288" s="1" t="s">
        <v>2167</v>
      </c>
      <c r="E288" s="1" t="s">
        <v>2168</v>
      </c>
      <c r="F288" s="1" t="s">
        <v>112</v>
      </c>
      <c r="G288" s="1">
        <v>188115</v>
      </c>
    </row>
    <row r="289" spans="1:10" x14ac:dyDescent="0.25">
      <c r="A289" s="1" t="str">
        <f t="shared" si="4"/>
        <v>09 Fadrozole 0.08 µg_L</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2169</v>
      </c>
      <c r="D289" s="1" t="s">
        <v>2170</v>
      </c>
      <c r="E289" s="1" t="s">
        <v>2171</v>
      </c>
      <c r="F289" s="1" t="s">
        <v>112</v>
      </c>
      <c r="G289" s="1">
        <v>345927</v>
      </c>
    </row>
    <row r="290" spans="1:10" x14ac:dyDescent="0.2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10" x14ac:dyDescent="0.2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243</v>
      </c>
      <c r="D291" s="1" t="s">
        <v>112</v>
      </c>
      <c r="E291" s="1" t="s">
        <v>244</v>
      </c>
      <c r="F291" s="1" t="s">
        <v>245</v>
      </c>
      <c r="G291" s="1" t="s">
        <v>246</v>
      </c>
      <c r="H291" s="1" t="s">
        <v>247</v>
      </c>
      <c r="I291" s="1" t="s">
        <v>248</v>
      </c>
      <c r="J291" s="1" t="s">
        <v>249</v>
      </c>
    </row>
    <row r="292" spans="1:10" x14ac:dyDescent="0.25">
      <c r="A292" s="1" t="str">
        <f t="shared" si="4"/>
        <v>09 Fadrozole 0.08 µg_L</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2172</v>
      </c>
      <c r="D292" s="1" t="s">
        <v>112</v>
      </c>
      <c r="E292" s="1" t="s">
        <v>2173</v>
      </c>
      <c r="F292" s="1" t="s">
        <v>2174</v>
      </c>
      <c r="G292" s="1" t="s">
        <v>2175</v>
      </c>
      <c r="H292" s="1" t="s">
        <v>2176</v>
      </c>
      <c r="I292" s="1">
        <v>24</v>
      </c>
      <c r="J292" s="1">
        <v>24</v>
      </c>
    </row>
    <row r="293" spans="1:10" x14ac:dyDescent="0.2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10" x14ac:dyDescent="0.2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10" x14ac:dyDescent="0.2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10" x14ac:dyDescent="0.2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10" x14ac:dyDescent="0.2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10" x14ac:dyDescent="0.2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255</v>
      </c>
      <c r="D298" s="1" t="s">
        <v>110</v>
      </c>
      <c r="E298" s="1" t="s">
        <v>111</v>
      </c>
      <c r="F298" s="1" t="s">
        <v>112</v>
      </c>
      <c r="G298" s="1" t="s">
        <v>113</v>
      </c>
    </row>
    <row r="299" spans="1:10" x14ac:dyDescent="0.25">
      <c r="A299" s="1" t="str">
        <f t="shared" si="4"/>
        <v>10 Fadrozole 0.4 µg_L</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2177</v>
      </c>
      <c r="D299" s="1" t="s">
        <v>353</v>
      </c>
      <c r="E299" s="1" t="s">
        <v>2178</v>
      </c>
      <c r="F299" s="1" t="s">
        <v>112</v>
      </c>
      <c r="G299" s="1">
        <v>63094</v>
      </c>
    </row>
    <row r="300" spans="1:10" x14ac:dyDescent="0.25">
      <c r="A300" s="1" t="str">
        <f t="shared" si="4"/>
        <v>10 Fadrozole 0.4 µg_L</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2179</v>
      </c>
      <c r="D300" s="1" t="s">
        <v>335</v>
      </c>
      <c r="E300" s="1" t="s">
        <v>807</v>
      </c>
      <c r="F300" s="1" t="s">
        <v>112</v>
      </c>
      <c r="G300" s="1">
        <v>58790</v>
      </c>
    </row>
    <row r="301" spans="1:10" x14ac:dyDescent="0.25">
      <c r="A301" s="1" t="str">
        <f t="shared" si="4"/>
        <v>10 Fadrozole 0.4 µg_L</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2180</v>
      </c>
      <c r="D301" s="1" t="s">
        <v>229</v>
      </c>
      <c r="E301" s="1">
        <v>63</v>
      </c>
      <c r="F301" s="1" t="s">
        <v>112</v>
      </c>
      <c r="G301" s="1">
        <v>10901</v>
      </c>
    </row>
    <row r="302" spans="1:10" x14ac:dyDescent="0.25">
      <c r="A302" s="1" t="str">
        <f t="shared" si="4"/>
        <v>10 Fadrozole 0.4 µg_L</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2181</v>
      </c>
      <c r="D302" s="1" t="s">
        <v>2182</v>
      </c>
      <c r="E302" s="1" t="s">
        <v>2183</v>
      </c>
      <c r="F302" s="1" t="s">
        <v>112</v>
      </c>
      <c r="G302" s="1">
        <v>176608</v>
      </c>
    </row>
    <row r="303" spans="1:10" x14ac:dyDescent="0.25">
      <c r="A303" s="1" t="str">
        <f t="shared" si="4"/>
        <v>10 Fadrozole 0.4 µg_L</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2184</v>
      </c>
      <c r="D303" s="1" t="s">
        <v>2185</v>
      </c>
      <c r="E303" s="1" t="s">
        <v>2186</v>
      </c>
      <c r="F303" s="1" t="s">
        <v>112</v>
      </c>
      <c r="G303" s="1">
        <v>156990</v>
      </c>
    </row>
    <row r="304" spans="1:10" x14ac:dyDescent="0.25">
      <c r="A304" s="1" t="str">
        <f t="shared" si="4"/>
        <v>10 Fadrozole 0.4 µg_L</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2187</v>
      </c>
      <c r="D304" s="1" t="s">
        <v>1795</v>
      </c>
      <c r="E304" s="1" t="s">
        <v>2188</v>
      </c>
      <c r="F304" s="1" t="s">
        <v>112</v>
      </c>
      <c r="G304" s="1">
        <v>467573</v>
      </c>
    </row>
    <row r="305" spans="1:7" x14ac:dyDescent="0.25">
      <c r="A305" s="1" t="str">
        <f t="shared" si="4"/>
        <v>10 Fadrozole 0.4 µg_L</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2189</v>
      </c>
      <c r="D305" s="1" t="s">
        <v>2190</v>
      </c>
      <c r="E305" s="1" t="s">
        <v>2191</v>
      </c>
      <c r="F305" s="1" t="s">
        <v>112</v>
      </c>
      <c r="G305" s="1">
        <v>681969</v>
      </c>
    </row>
    <row r="306" spans="1:7" x14ac:dyDescent="0.25">
      <c r="A306" s="1" t="str">
        <f t="shared" si="4"/>
        <v>10 Fadrozole 0.4 µg_L</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2192</v>
      </c>
      <c r="D306" s="1" t="s">
        <v>432</v>
      </c>
      <c r="E306" s="1" t="s">
        <v>2193</v>
      </c>
      <c r="F306" s="1" t="s">
        <v>112</v>
      </c>
      <c r="G306" s="1">
        <v>272948</v>
      </c>
    </row>
    <row r="307" spans="1:7" x14ac:dyDescent="0.25">
      <c r="A307" s="1" t="str">
        <f t="shared" si="4"/>
        <v>10 Fadrozole 0.4 µg_L</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2194</v>
      </c>
      <c r="D307" s="1" t="s">
        <v>2195</v>
      </c>
      <c r="E307" s="1" t="s">
        <v>2196</v>
      </c>
      <c r="F307" s="1" t="s">
        <v>112</v>
      </c>
      <c r="G307" s="1">
        <v>455742</v>
      </c>
    </row>
    <row r="308" spans="1:7" x14ac:dyDescent="0.25">
      <c r="A308" s="1" t="str">
        <f t="shared" si="4"/>
        <v>10 Fadrozole 0.4 µg_L</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2197</v>
      </c>
      <c r="D308" s="1" t="s">
        <v>1695</v>
      </c>
      <c r="E308" s="1" t="s">
        <v>2198</v>
      </c>
      <c r="F308" s="1" t="s">
        <v>112</v>
      </c>
      <c r="G308" s="1">
        <v>388603</v>
      </c>
    </row>
    <row r="309" spans="1:7" x14ac:dyDescent="0.25">
      <c r="A309" s="1" t="str">
        <f t="shared" si="4"/>
        <v>10 Fadrozole 0.4 µg_L</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2199</v>
      </c>
      <c r="D309" s="1" t="s">
        <v>2200</v>
      </c>
      <c r="E309" s="1" t="s">
        <v>2201</v>
      </c>
      <c r="F309" s="1" t="s">
        <v>112</v>
      </c>
      <c r="G309" s="1">
        <v>514489</v>
      </c>
    </row>
    <row r="310" spans="1:7" x14ac:dyDescent="0.25">
      <c r="A310" s="1" t="str">
        <f t="shared" si="4"/>
        <v>10 Fadrozole 0.4 µg_L</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2202</v>
      </c>
      <c r="D310" s="1" t="s">
        <v>797</v>
      </c>
      <c r="E310" s="1" t="s">
        <v>2203</v>
      </c>
      <c r="F310" s="1" t="s">
        <v>112</v>
      </c>
      <c r="G310" s="1">
        <v>34976</v>
      </c>
    </row>
    <row r="311" spans="1:7" x14ac:dyDescent="0.25">
      <c r="A311" s="1" t="str">
        <f t="shared" si="4"/>
        <v>10 Fadrozole 0.4 µg_L</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2204</v>
      </c>
      <c r="D311" s="1" t="s">
        <v>824</v>
      </c>
      <c r="E311" s="1">
        <v>63</v>
      </c>
      <c r="F311" s="1" t="s">
        <v>112</v>
      </c>
      <c r="G311" s="1">
        <v>14990</v>
      </c>
    </row>
    <row r="312" spans="1:7" x14ac:dyDescent="0.25">
      <c r="A312" s="1" t="str">
        <f t="shared" si="4"/>
        <v>10 Fadrozole 0.4 µg_L</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2205</v>
      </c>
      <c r="D312" s="1" t="s">
        <v>837</v>
      </c>
      <c r="E312" s="1" t="s">
        <v>2206</v>
      </c>
      <c r="F312" s="1" t="s">
        <v>112</v>
      </c>
      <c r="G312" s="1">
        <v>61364</v>
      </c>
    </row>
    <row r="313" spans="1:7" x14ac:dyDescent="0.25">
      <c r="A313" s="1" t="str">
        <f t="shared" si="4"/>
        <v>10 Fadrozole 0.4 µg_L</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2207</v>
      </c>
      <c r="D313" s="1" t="s">
        <v>1645</v>
      </c>
      <c r="E313" s="1" t="s">
        <v>958</v>
      </c>
      <c r="F313" s="1" t="s">
        <v>112</v>
      </c>
      <c r="G313" s="1">
        <v>36922</v>
      </c>
    </row>
    <row r="314" spans="1:7" x14ac:dyDescent="0.25">
      <c r="A314" s="1" t="str">
        <f t="shared" si="4"/>
        <v>10 Fadrozole 0.4 µg_L</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2208</v>
      </c>
      <c r="D314" s="1" t="s">
        <v>341</v>
      </c>
      <c r="E314" s="1">
        <v>68</v>
      </c>
      <c r="F314" s="1" t="s">
        <v>112</v>
      </c>
      <c r="G314" s="1">
        <v>33829</v>
      </c>
    </row>
    <row r="315" spans="1:7" x14ac:dyDescent="0.25">
      <c r="A315" s="1" t="str">
        <f t="shared" si="4"/>
        <v>10 Fadrozole 0.4 µg_L</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2209</v>
      </c>
      <c r="D315" s="1" t="s">
        <v>194</v>
      </c>
      <c r="E315" s="1" t="s">
        <v>2210</v>
      </c>
      <c r="F315" s="1" t="s">
        <v>112</v>
      </c>
      <c r="G315" s="1">
        <v>44579</v>
      </c>
    </row>
    <row r="316" spans="1:7" x14ac:dyDescent="0.25">
      <c r="A316" s="1" t="str">
        <f t="shared" si="4"/>
        <v>10 Fadrozole 0.4 µg_L</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2211</v>
      </c>
      <c r="D316" s="1" t="s">
        <v>269</v>
      </c>
      <c r="E316" s="1">
        <v>63</v>
      </c>
      <c r="F316" s="1" t="s">
        <v>112</v>
      </c>
      <c r="G316" s="1">
        <v>21803</v>
      </c>
    </row>
    <row r="317" spans="1:7" x14ac:dyDescent="0.25">
      <c r="A317" s="1" t="str">
        <f t="shared" si="4"/>
        <v>10 Fadrozole 0.4 µg_L</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2212</v>
      </c>
      <c r="D317" s="1" t="s">
        <v>2213</v>
      </c>
      <c r="E317" s="1" t="s">
        <v>2214</v>
      </c>
      <c r="F317" s="1" t="s">
        <v>112</v>
      </c>
      <c r="G317" s="1">
        <v>633778</v>
      </c>
    </row>
    <row r="318" spans="1:7" x14ac:dyDescent="0.25">
      <c r="A318" s="1" t="str">
        <f t="shared" si="4"/>
        <v>10 Fadrozole 0.4 µg_L</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2215</v>
      </c>
      <c r="D318" s="1" t="s">
        <v>2216</v>
      </c>
      <c r="E318" s="1" t="s">
        <v>2217</v>
      </c>
      <c r="F318" s="1" t="s">
        <v>112</v>
      </c>
      <c r="G318" s="1">
        <v>445835</v>
      </c>
    </row>
    <row r="319" spans="1:7" x14ac:dyDescent="0.25">
      <c r="A319" s="1" t="str">
        <f t="shared" si="4"/>
        <v>10 Fadrozole 0.4 µg_L</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2218</v>
      </c>
      <c r="D319" s="1" t="s">
        <v>312</v>
      </c>
      <c r="E319" s="1" t="s">
        <v>2219</v>
      </c>
      <c r="F319" s="1" t="s">
        <v>112</v>
      </c>
      <c r="G319" s="1">
        <v>233127</v>
      </c>
    </row>
    <row r="320" spans="1:7" x14ac:dyDescent="0.25">
      <c r="A320" s="1" t="str">
        <f t="shared" si="4"/>
        <v>10 Fadrozole 0.4 µg_L</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2220</v>
      </c>
      <c r="D320" s="1" t="s">
        <v>405</v>
      </c>
      <c r="E320" s="1" t="s">
        <v>2221</v>
      </c>
      <c r="F320" s="1" t="s">
        <v>112</v>
      </c>
      <c r="G320" s="1">
        <v>19813</v>
      </c>
    </row>
    <row r="321" spans="1:10" x14ac:dyDescent="0.25">
      <c r="A321" s="1" t="str">
        <f t="shared" si="4"/>
        <v>10 Fadrozole 0.4 µg_L</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2222</v>
      </c>
      <c r="D321" s="1" t="s">
        <v>829</v>
      </c>
      <c r="E321" s="1" t="s">
        <v>2223</v>
      </c>
      <c r="F321" s="1" t="s">
        <v>112</v>
      </c>
      <c r="G321" s="1">
        <v>8349</v>
      </c>
    </row>
    <row r="322" spans="1:10" x14ac:dyDescent="0.25">
      <c r="A322" s="1" t="str">
        <f t="shared" ref="A322:A385" si="5">IFERROR(LEFT(RIGHT(C322,LEN(C322)-SEARCH("@",C322)),SEARCH("/",RIGHT(C322,LEN(C322)-SEARCH("@",C322)-1))),"")</f>
        <v>10 Fadrozole 0.4 µg_L</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2224</v>
      </c>
      <c r="D322" s="1" t="s">
        <v>409</v>
      </c>
      <c r="E322" s="1" t="s">
        <v>1214</v>
      </c>
      <c r="F322" s="1" t="s">
        <v>112</v>
      </c>
      <c r="G322" s="1">
        <v>16136</v>
      </c>
    </row>
    <row r="323" spans="1:10" x14ac:dyDescent="0.2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10" x14ac:dyDescent="0.2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243</v>
      </c>
      <c r="D324" s="1" t="s">
        <v>112</v>
      </c>
      <c r="E324" s="1" t="s">
        <v>244</v>
      </c>
      <c r="F324" s="1" t="s">
        <v>245</v>
      </c>
      <c r="G324" s="1" t="s">
        <v>246</v>
      </c>
      <c r="H324" s="1" t="s">
        <v>247</v>
      </c>
      <c r="I324" s="1" t="s">
        <v>248</v>
      </c>
      <c r="J324" s="1" t="s">
        <v>249</v>
      </c>
    </row>
    <row r="325" spans="1:10" x14ac:dyDescent="0.25">
      <c r="A325" s="1" t="str">
        <f t="shared" si="5"/>
        <v>10 Fadrozole 0.4 µg_L</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2225</v>
      </c>
      <c r="D325" s="1" t="s">
        <v>112</v>
      </c>
      <c r="E325" s="1" t="s">
        <v>2226</v>
      </c>
      <c r="F325" s="1" t="s">
        <v>2227</v>
      </c>
      <c r="G325" s="1">
        <v>202217</v>
      </c>
      <c r="H325" s="1" t="s">
        <v>2228</v>
      </c>
      <c r="I325" s="1">
        <v>24</v>
      </c>
      <c r="J325" s="1">
        <v>24</v>
      </c>
    </row>
    <row r="326" spans="1:10" x14ac:dyDescent="0.2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10" x14ac:dyDescent="0.2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10" x14ac:dyDescent="0.2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10" x14ac:dyDescent="0.2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10" x14ac:dyDescent="0.2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10" x14ac:dyDescent="0.2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255</v>
      </c>
      <c r="D331" s="1" t="s">
        <v>110</v>
      </c>
      <c r="E331" s="1" t="s">
        <v>111</v>
      </c>
      <c r="F331" s="1" t="s">
        <v>112</v>
      </c>
      <c r="G331" s="1" t="s">
        <v>113</v>
      </c>
    </row>
    <row r="332" spans="1:10" x14ac:dyDescent="0.25">
      <c r="A332" s="1" t="str">
        <f t="shared" si="5"/>
        <v>11 Fadrozole 2 µg_L</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2229</v>
      </c>
      <c r="D332" s="1" t="s">
        <v>2230</v>
      </c>
      <c r="E332" s="1" t="s">
        <v>2231</v>
      </c>
      <c r="F332" s="1" t="s">
        <v>112</v>
      </c>
      <c r="G332" s="1">
        <v>219998</v>
      </c>
    </row>
    <row r="333" spans="1:10" x14ac:dyDescent="0.25">
      <c r="A333" s="1" t="str">
        <f t="shared" si="5"/>
        <v>11 Fadrozole 2 µg_L</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2232</v>
      </c>
      <c r="D333" s="1" t="s">
        <v>1553</v>
      </c>
      <c r="E333" s="1" t="s">
        <v>2233</v>
      </c>
      <c r="F333" s="1" t="s">
        <v>112</v>
      </c>
      <c r="G333" s="1">
        <v>208707</v>
      </c>
    </row>
    <row r="334" spans="1:10" x14ac:dyDescent="0.25">
      <c r="A334" s="1" t="str">
        <f t="shared" si="5"/>
        <v>11 Fadrozole 2 µg_L</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2234</v>
      </c>
      <c r="D334" s="1" t="s">
        <v>217</v>
      </c>
      <c r="E334" s="1" t="s">
        <v>2235</v>
      </c>
      <c r="F334" s="1" t="s">
        <v>112</v>
      </c>
      <c r="G334" s="1">
        <v>47153</v>
      </c>
    </row>
    <row r="335" spans="1:10" x14ac:dyDescent="0.25">
      <c r="A335" s="1" t="str">
        <f t="shared" si="5"/>
        <v>11 Fadrozole 2 µg_L</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2236</v>
      </c>
      <c r="D335" s="1" t="s">
        <v>695</v>
      </c>
      <c r="E335" s="1" t="s">
        <v>2237</v>
      </c>
      <c r="F335" s="1" t="s">
        <v>112</v>
      </c>
      <c r="G335" s="1">
        <v>58725</v>
      </c>
    </row>
    <row r="336" spans="1:10" x14ac:dyDescent="0.25">
      <c r="A336" s="1" t="str">
        <f t="shared" si="5"/>
        <v>11 Fadrozole 2 µg_L</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2238</v>
      </c>
      <c r="D336" s="1" t="s">
        <v>2239</v>
      </c>
      <c r="E336" s="1" t="s">
        <v>2240</v>
      </c>
      <c r="F336" s="1" t="s">
        <v>112</v>
      </c>
      <c r="G336" s="1">
        <v>300136</v>
      </c>
    </row>
    <row r="337" spans="1:7" x14ac:dyDescent="0.25">
      <c r="A337" s="1" t="str">
        <f t="shared" si="5"/>
        <v>11 Fadrozole 2 µg_L</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2241</v>
      </c>
      <c r="D337" s="1" t="s">
        <v>263</v>
      </c>
      <c r="E337" s="1" t="s">
        <v>1703</v>
      </c>
      <c r="F337" s="1" t="s">
        <v>112</v>
      </c>
      <c r="G337" s="1">
        <v>24572</v>
      </c>
    </row>
    <row r="338" spans="1:7" x14ac:dyDescent="0.25">
      <c r="A338" s="1" t="str">
        <f t="shared" si="5"/>
        <v>11 Fadrozole 2 µg_L</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2242</v>
      </c>
      <c r="D338" s="1" t="s">
        <v>2243</v>
      </c>
      <c r="E338" s="1" t="s">
        <v>2244</v>
      </c>
      <c r="F338" s="1" t="s">
        <v>112</v>
      </c>
      <c r="G338" s="1">
        <v>79511</v>
      </c>
    </row>
    <row r="339" spans="1:7" x14ac:dyDescent="0.25">
      <c r="A339" s="1" t="str">
        <f t="shared" si="5"/>
        <v>11 Fadrozole 2 µg_L</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2245</v>
      </c>
      <c r="D339" s="1" t="s">
        <v>412</v>
      </c>
      <c r="E339" s="1" t="s">
        <v>2246</v>
      </c>
      <c r="F339" s="1" t="s">
        <v>112</v>
      </c>
      <c r="G339" s="1">
        <v>182946</v>
      </c>
    </row>
    <row r="340" spans="1:7" x14ac:dyDescent="0.25">
      <c r="A340" s="1" t="str">
        <f t="shared" si="5"/>
        <v>11 Fadrozole 2 µg_L</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2247</v>
      </c>
      <c r="D340" s="1" t="s">
        <v>2248</v>
      </c>
      <c r="E340" s="1" t="s">
        <v>2249</v>
      </c>
      <c r="F340" s="1" t="s">
        <v>112</v>
      </c>
      <c r="G340" s="1">
        <v>379497</v>
      </c>
    </row>
    <row r="341" spans="1:7" x14ac:dyDescent="0.25">
      <c r="A341" s="1" t="str">
        <f t="shared" si="5"/>
        <v>11 Fadrozole 2 µg_L</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2250</v>
      </c>
      <c r="D341" s="1" t="s">
        <v>2251</v>
      </c>
      <c r="E341" s="1" t="s">
        <v>2252</v>
      </c>
      <c r="F341" s="1" t="s">
        <v>112</v>
      </c>
      <c r="G341" s="1">
        <v>425698</v>
      </c>
    </row>
    <row r="342" spans="1:7" x14ac:dyDescent="0.25">
      <c r="A342" s="1" t="str">
        <f t="shared" si="5"/>
        <v>11 Fadrozole 2 µg_L</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2253</v>
      </c>
      <c r="D342" s="1" t="s">
        <v>2254</v>
      </c>
      <c r="E342" s="1" t="s">
        <v>2255</v>
      </c>
      <c r="F342" s="1" t="s">
        <v>112</v>
      </c>
      <c r="G342" s="1">
        <v>408913</v>
      </c>
    </row>
    <row r="343" spans="1:7" x14ac:dyDescent="0.25">
      <c r="A343" s="1" t="str">
        <f t="shared" si="5"/>
        <v>11 Fadrozole 2 µg_L</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2256</v>
      </c>
      <c r="D343" s="1" t="s">
        <v>2257</v>
      </c>
      <c r="E343" s="1" t="s">
        <v>2258</v>
      </c>
      <c r="F343" s="1" t="s">
        <v>112</v>
      </c>
      <c r="G343" s="1">
        <v>77630</v>
      </c>
    </row>
    <row r="344" spans="1:7" x14ac:dyDescent="0.25">
      <c r="A344" s="1" t="str">
        <f t="shared" si="5"/>
        <v>11 Fadrozole 2 µg_L</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2259</v>
      </c>
      <c r="D344" s="1" t="s">
        <v>2260</v>
      </c>
      <c r="E344" s="1" t="s">
        <v>2261</v>
      </c>
      <c r="F344" s="1" t="s">
        <v>112</v>
      </c>
      <c r="G344" s="1">
        <v>174834</v>
      </c>
    </row>
    <row r="345" spans="1:7" x14ac:dyDescent="0.25">
      <c r="A345" s="1" t="str">
        <f t="shared" si="5"/>
        <v>11 Fadrozole 2 µg_L</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2262</v>
      </c>
    </row>
    <row r="346" spans="1:7" x14ac:dyDescent="0.25">
      <c r="A346" s="1" t="str">
        <f t="shared" si="5"/>
        <v>11 Fadrozole 2 µg_L</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2263</v>
      </c>
      <c r="D346" s="1" t="s">
        <v>728</v>
      </c>
      <c r="E346" s="1" t="s">
        <v>1089</v>
      </c>
      <c r="F346" s="1" t="s">
        <v>112</v>
      </c>
      <c r="G346" s="1">
        <v>32337</v>
      </c>
    </row>
    <row r="347" spans="1:7" x14ac:dyDescent="0.25">
      <c r="A347" s="1" t="str">
        <f t="shared" si="5"/>
        <v>11 Fadrozole 2 µg_L</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2264</v>
      </c>
      <c r="D347" s="1" t="s">
        <v>2265</v>
      </c>
      <c r="E347" s="1" t="s">
        <v>2266</v>
      </c>
      <c r="F347" s="1" t="s">
        <v>112</v>
      </c>
      <c r="G347" s="1">
        <v>443845</v>
      </c>
    </row>
    <row r="348" spans="1:7" x14ac:dyDescent="0.25">
      <c r="A348" s="1" t="str">
        <f t="shared" si="5"/>
        <v>11 Fadrozole 2 µg_L</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2267</v>
      </c>
      <c r="D348" s="1" t="s">
        <v>1766</v>
      </c>
      <c r="E348" s="1" t="s">
        <v>2268</v>
      </c>
      <c r="F348" s="1" t="s">
        <v>112</v>
      </c>
      <c r="G348" s="1">
        <v>329380</v>
      </c>
    </row>
    <row r="349" spans="1:7" x14ac:dyDescent="0.25">
      <c r="A349" s="1" t="str">
        <f t="shared" si="5"/>
        <v>11 Fadrozole 2 µg_L</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2269</v>
      </c>
      <c r="D349" s="1" t="s">
        <v>963</v>
      </c>
      <c r="E349" s="1" t="s">
        <v>2270</v>
      </c>
      <c r="F349" s="1" t="s">
        <v>112</v>
      </c>
      <c r="G349" s="1">
        <v>221706</v>
      </c>
    </row>
    <row r="350" spans="1:7" x14ac:dyDescent="0.25">
      <c r="A350" s="1" t="str">
        <f t="shared" si="5"/>
        <v>11 Fadrozole 2 µg_L</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2271</v>
      </c>
      <c r="D350" s="1" t="s">
        <v>266</v>
      </c>
      <c r="E350" s="1" t="s">
        <v>2272</v>
      </c>
      <c r="F350" s="1" t="s">
        <v>112</v>
      </c>
      <c r="G350" s="1">
        <v>56259</v>
      </c>
    </row>
    <row r="351" spans="1:7" x14ac:dyDescent="0.25">
      <c r="A351" s="1" t="str">
        <f t="shared" si="5"/>
        <v>11 Fadrozole 2 µg_L</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2273</v>
      </c>
      <c r="D351" s="1" t="s">
        <v>2274</v>
      </c>
      <c r="E351" s="1" t="s">
        <v>2275</v>
      </c>
      <c r="F351" s="1" t="s">
        <v>112</v>
      </c>
      <c r="G351" s="1">
        <v>387413</v>
      </c>
    </row>
    <row r="352" spans="1:7" x14ac:dyDescent="0.25">
      <c r="A352" s="1" t="str">
        <f t="shared" si="5"/>
        <v>11 Fadrozole 2 µg_L</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2276</v>
      </c>
      <c r="D352" s="1" t="s">
        <v>870</v>
      </c>
      <c r="E352" s="1" t="s">
        <v>2277</v>
      </c>
      <c r="F352" s="1" t="s">
        <v>112</v>
      </c>
      <c r="G352" s="1">
        <v>198519</v>
      </c>
    </row>
    <row r="353" spans="1:10" x14ac:dyDescent="0.25">
      <c r="A353" s="1" t="str">
        <f t="shared" si="5"/>
        <v>11 Fadrozole 2 µg_L</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2278</v>
      </c>
      <c r="D353" s="1" t="s">
        <v>1510</v>
      </c>
      <c r="E353" s="1" t="s">
        <v>2279</v>
      </c>
      <c r="F353" s="1" t="s">
        <v>112</v>
      </c>
      <c r="G353" s="1">
        <v>97897</v>
      </c>
    </row>
    <row r="354" spans="1:10" x14ac:dyDescent="0.25">
      <c r="A354" s="1" t="str">
        <f t="shared" si="5"/>
        <v>11 Fadrozole 2 µg_L</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2280</v>
      </c>
      <c r="D354" s="1" t="s">
        <v>417</v>
      </c>
      <c r="E354" s="1" t="s">
        <v>2281</v>
      </c>
      <c r="F354" s="1" t="s">
        <v>112</v>
      </c>
      <c r="G354" s="1">
        <v>69086</v>
      </c>
    </row>
    <row r="355" spans="1:10" x14ac:dyDescent="0.25">
      <c r="A355" s="1" t="str">
        <f t="shared" si="5"/>
        <v>11 Fadrozole 2 µg_L</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2282</v>
      </c>
      <c r="D355" s="1" t="s">
        <v>972</v>
      </c>
      <c r="E355" s="1" t="s">
        <v>2283</v>
      </c>
      <c r="F355" s="1" t="s">
        <v>112</v>
      </c>
      <c r="G355" s="1">
        <v>376036</v>
      </c>
    </row>
    <row r="356" spans="1:10" x14ac:dyDescent="0.2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10" x14ac:dyDescent="0.2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243</v>
      </c>
      <c r="D357" s="1" t="s">
        <v>112</v>
      </c>
      <c r="E357" s="1" t="s">
        <v>244</v>
      </c>
      <c r="F357" s="1" t="s">
        <v>245</v>
      </c>
      <c r="G357" s="1" t="s">
        <v>246</v>
      </c>
      <c r="H357" s="1" t="s">
        <v>247</v>
      </c>
      <c r="I357" s="1" t="s">
        <v>248</v>
      </c>
      <c r="J357" s="1" t="s">
        <v>249</v>
      </c>
    </row>
    <row r="358" spans="1:10" x14ac:dyDescent="0.25">
      <c r="A358" s="1" t="str">
        <f t="shared" si="5"/>
        <v>11 Fadrozole 2 µg_L</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2284</v>
      </c>
      <c r="D358" s="1" t="s">
        <v>112</v>
      </c>
      <c r="E358" s="1" t="s">
        <v>2285</v>
      </c>
      <c r="F358" s="1" t="s">
        <v>2286</v>
      </c>
      <c r="G358" s="1" t="s">
        <v>2287</v>
      </c>
      <c r="H358" s="1" t="s">
        <v>2288</v>
      </c>
      <c r="I358" s="1">
        <v>24</v>
      </c>
      <c r="J358" s="1">
        <v>24</v>
      </c>
    </row>
    <row r="359" spans="1:10" x14ac:dyDescent="0.2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10" x14ac:dyDescent="0.2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10" x14ac:dyDescent="0.2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10" x14ac:dyDescent="0.2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10" x14ac:dyDescent="0.2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10" x14ac:dyDescent="0.2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255</v>
      </c>
      <c r="D364" s="1" t="s">
        <v>110</v>
      </c>
      <c r="E364" s="1" t="s">
        <v>111</v>
      </c>
      <c r="F364" s="1" t="s">
        <v>112</v>
      </c>
      <c r="G364" s="1" t="s">
        <v>113</v>
      </c>
    </row>
    <row r="365" spans="1:10" x14ac:dyDescent="0.25">
      <c r="A365" s="1" t="str">
        <f t="shared" si="5"/>
        <v>12 Fadrozole 10 µg_L</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2289</v>
      </c>
      <c r="D365" s="1" t="s">
        <v>318</v>
      </c>
      <c r="E365" s="1" t="s">
        <v>2290</v>
      </c>
      <c r="F365" s="1" t="s">
        <v>112</v>
      </c>
      <c r="G365" s="1">
        <v>302321</v>
      </c>
    </row>
    <row r="366" spans="1:10" x14ac:dyDescent="0.25">
      <c r="A366" s="1" t="str">
        <f t="shared" si="5"/>
        <v>12 Fadrozole 10 µg_L</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2291</v>
      </c>
      <c r="D366" s="1" t="s">
        <v>372</v>
      </c>
      <c r="E366" s="1" t="s">
        <v>2292</v>
      </c>
      <c r="F366" s="1" t="s">
        <v>112</v>
      </c>
      <c r="G366" s="1">
        <v>463594</v>
      </c>
    </row>
    <row r="367" spans="1:10" x14ac:dyDescent="0.25">
      <c r="A367" s="1" t="str">
        <f t="shared" si="5"/>
        <v>12 Fadrozole 10 µg_L</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2293</v>
      </c>
      <c r="D367" s="1" t="s">
        <v>713</v>
      </c>
      <c r="E367" s="1" t="s">
        <v>2294</v>
      </c>
      <c r="F367" s="1" t="s">
        <v>112</v>
      </c>
      <c r="G367" s="1">
        <v>490350</v>
      </c>
    </row>
    <row r="368" spans="1:10" x14ac:dyDescent="0.25">
      <c r="A368" s="1" t="str">
        <f t="shared" si="5"/>
        <v>12 Fadrozole 10 µg_L</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2295</v>
      </c>
      <c r="D368" s="1" t="s">
        <v>2296</v>
      </c>
      <c r="E368" s="1" t="s">
        <v>2297</v>
      </c>
      <c r="F368" s="1" t="s">
        <v>112</v>
      </c>
      <c r="G368" s="1">
        <v>722071</v>
      </c>
    </row>
    <row r="369" spans="1:7" x14ac:dyDescent="0.25">
      <c r="A369" s="1" t="str">
        <f t="shared" si="5"/>
        <v>12 Fadrozole 10 µg_L</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2298</v>
      </c>
      <c r="D369" s="1" t="s">
        <v>2299</v>
      </c>
      <c r="E369" s="1" t="s">
        <v>2300</v>
      </c>
      <c r="F369" s="1" t="s">
        <v>112</v>
      </c>
      <c r="G369" s="1">
        <v>363361</v>
      </c>
    </row>
    <row r="370" spans="1:7" x14ac:dyDescent="0.25">
      <c r="A370" s="1" t="str">
        <f t="shared" si="5"/>
        <v>12 Fadrozole 10 µg_L</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2301</v>
      </c>
      <c r="D370" s="1" t="s">
        <v>2302</v>
      </c>
      <c r="E370" s="1" t="s">
        <v>2303</v>
      </c>
      <c r="F370" s="1" t="s">
        <v>112</v>
      </c>
      <c r="G370" s="1">
        <v>268405</v>
      </c>
    </row>
    <row r="371" spans="1:7" x14ac:dyDescent="0.25">
      <c r="A371" s="1" t="str">
        <f t="shared" si="5"/>
        <v>12 Fadrozole 10 µg_L</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2304</v>
      </c>
      <c r="D371" s="1" t="s">
        <v>2305</v>
      </c>
      <c r="E371" s="1" t="s">
        <v>2306</v>
      </c>
      <c r="F371" s="1" t="s">
        <v>112</v>
      </c>
      <c r="G371" s="1">
        <v>213725</v>
      </c>
    </row>
    <row r="372" spans="1:7" x14ac:dyDescent="0.25">
      <c r="A372" s="1" t="str">
        <f t="shared" si="5"/>
        <v>12 Fadrozole 10 µg_L</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2307</v>
      </c>
      <c r="D372" s="1" t="s">
        <v>2308</v>
      </c>
      <c r="E372" s="1" t="s">
        <v>2309</v>
      </c>
      <c r="F372" s="1" t="s">
        <v>112</v>
      </c>
      <c r="G372" s="1">
        <v>365632</v>
      </c>
    </row>
    <row r="373" spans="1:7" x14ac:dyDescent="0.25">
      <c r="A373" s="1" t="str">
        <f t="shared" si="5"/>
        <v>12 Fadrozole 10 µg_L</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2310</v>
      </c>
      <c r="D373" s="1" t="s">
        <v>1439</v>
      </c>
      <c r="E373" s="1" t="s">
        <v>2311</v>
      </c>
      <c r="F373" s="1" t="s">
        <v>112</v>
      </c>
      <c r="G373" s="1">
        <v>363577</v>
      </c>
    </row>
    <row r="374" spans="1:7" x14ac:dyDescent="0.25">
      <c r="A374" s="1" t="str">
        <f t="shared" si="5"/>
        <v>12 Fadrozole 10 µg_L</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2312</v>
      </c>
      <c r="D374" s="1" t="s">
        <v>1510</v>
      </c>
      <c r="E374" s="1" t="s">
        <v>2313</v>
      </c>
      <c r="F374" s="1" t="s">
        <v>112</v>
      </c>
      <c r="G374" s="1">
        <v>98524</v>
      </c>
    </row>
    <row r="375" spans="1:7" x14ac:dyDescent="0.25">
      <c r="A375" s="1" t="str">
        <f t="shared" si="5"/>
        <v>12 Fadrozole 10 µg_L</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2314</v>
      </c>
      <c r="D375" s="1" t="s">
        <v>2315</v>
      </c>
      <c r="E375" s="1" t="s">
        <v>2316</v>
      </c>
      <c r="F375" s="1" t="s">
        <v>112</v>
      </c>
      <c r="G375" s="1">
        <v>88964</v>
      </c>
    </row>
    <row r="376" spans="1:7" x14ac:dyDescent="0.25">
      <c r="A376" s="1" t="str">
        <f t="shared" si="5"/>
        <v>12 Fadrozole 10 µg_L</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2317</v>
      </c>
      <c r="D376" s="1" t="s">
        <v>435</v>
      </c>
      <c r="E376" s="1" t="s">
        <v>2318</v>
      </c>
      <c r="F376" s="1" t="s">
        <v>112</v>
      </c>
      <c r="G376" s="1">
        <v>156254</v>
      </c>
    </row>
    <row r="377" spans="1:7" x14ac:dyDescent="0.25">
      <c r="A377" s="1" t="str">
        <f t="shared" si="5"/>
        <v>12 Fadrozole 10 µg_L</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2319</v>
      </c>
      <c r="D377" s="1" t="s">
        <v>2320</v>
      </c>
      <c r="E377" s="1" t="s">
        <v>2321</v>
      </c>
      <c r="F377" s="1" t="s">
        <v>112</v>
      </c>
      <c r="G377" s="1">
        <v>207236</v>
      </c>
    </row>
    <row r="378" spans="1:7" x14ac:dyDescent="0.25">
      <c r="A378" s="1" t="str">
        <f t="shared" si="5"/>
        <v>12 Fadrozole 10 µg_L</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2322</v>
      </c>
      <c r="D378" s="1" t="s">
        <v>353</v>
      </c>
      <c r="E378" s="1" t="s">
        <v>2323</v>
      </c>
      <c r="F378" s="1" t="s">
        <v>112</v>
      </c>
      <c r="G378" s="1">
        <v>63419</v>
      </c>
    </row>
    <row r="379" spans="1:7" x14ac:dyDescent="0.25">
      <c r="A379" s="1" t="str">
        <f t="shared" si="5"/>
        <v>12 Fadrozole 10 µg_L</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2324</v>
      </c>
      <c r="D379" s="1" t="s">
        <v>1046</v>
      </c>
      <c r="E379" s="1" t="s">
        <v>2325</v>
      </c>
      <c r="F379" s="1" t="s">
        <v>112</v>
      </c>
      <c r="G379" s="1">
        <v>387911</v>
      </c>
    </row>
    <row r="380" spans="1:7" x14ac:dyDescent="0.25">
      <c r="A380" s="1" t="str">
        <f t="shared" si="5"/>
        <v>12 Fadrozole 10 µg_L</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2326</v>
      </c>
      <c r="D380" s="1" t="s">
        <v>2327</v>
      </c>
      <c r="E380" s="1" t="s">
        <v>2328</v>
      </c>
      <c r="F380" s="1" t="s">
        <v>112</v>
      </c>
      <c r="G380" s="1">
        <v>562139</v>
      </c>
    </row>
    <row r="381" spans="1:7" x14ac:dyDescent="0.25">
      <c r="A381" s="1" t="str">
        <f t="shared" si="5"/>
        <v>12 Fadrozole 10 µg_L</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2329</v>
      </c>
      <c r="D381" s="1" t="s">
        <v>269</v>
      </c>
      <c r="E381" s="1" t="s">
        <v>2330</v>
      </c>
      <c r="F381" s="1" t="s">
        <v>112</v>
      </c>
      <c r="G381" s="1">
        <v>21738</v>
      </c>
    </row>
    <row r="382" spans="1:7" x14ac:dyDescent="0.25">
      <c r="A382" s="1" t="str">
        <f t="shared" si="5"/>
        <v>12 Fadrozole 10 µg_L</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2331</v>
      </c>
      <c r="D382" s="1" t="s">
        <v>1513</v>
      </c>
      <c r="E382" s="1">
        <v>71</v>
      </c>
      <c r="F382" s="1" t="s">
        <v>112</v>
      </c>
      <c r="G382" s="1">
        <v>4607</v>
      </c>
    </row>
    <row r="383" spans="1:7" x14ac:dyDescent="0.25">
      <c r="A383" s="1" t="str">
        <f t="shared" si="5"/>
        <v>12 Fadrozole 10 µg_L</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2332</v>
      </c>
      <c r="D383" s="1" t="s">
        <v>275</v>
      </c>
      <c r="E383" s="1" t="s">
        <v>2333</v>
      </c>
      <c r="F383" s="1" t="s">
        <v>112</v>
      </c>
      <c r="G383" s="1">
        <v>55719</v>
      </c>
    </row>
    <row r="384" spans="1:7" x14ac:dyDescent="0.25">
      <c r="A384" s="1" t="str">
        <f t="shared" si="5"/>
        <v>12 Fadrozole 10 µg_L</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2334</v>
      </c>
      <c r="D384" s="1" t="s">
        <v>269</v>
      </c>
      <c r="E384" s="1" t="s">
        <v>2330</v>
      </c>
      <c r="F384" s="1" t="s">
        <v>112</v>
      </c>
      <c r="G384" s="1">
        <v>21738</v>
      </c>
    </row>
    <row r="385" spans="1:10" x14ac:dyDescent="0.25">
      <c r="A385" s="1" t="str">
        <f t="shared" si="5"/>
        <v>12 Fadrozole 10 µg_L</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2335</v>
      </c>
      <c r="D385" s="1" t="s">
        <v>191</v>
      </c>
      <c r="E385" s="1" t="s">
        <v>2336</v>
      </c>
      <c r="F385" s="1" t="s">
        <v>112</v>
      </c>
      <c r="G385" s="1">
        <v>45855</v>
      </c>
    </row>
    <row r="386" spans="1:10" x14ac:dyDescent="0.25">
      <c r="A386" s="1" t="str">
        <f t="shared" ref="A386:A449" si="6">IFERROR(LEFT(RIGHT(C386,LEN(C386)-SEARCH("@",C386)),SEARCH("/",RIGHT(C386,LEN(C386)-SEARCH("@",C386)-1))),"")</f>
        <v>12 Fadrozole 10 µg_L</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2337</v>
      </c>
      <c r="D386" s="1" t="s">
        <v>870</v>
      </c>
      <c r="E386" s="1" t="s">
        <v>2338</v>
      </c>
      <c r="F386" s="1" t="s">
        <v>112</v>
      </c>
      <c r="G386" s="1">
        <v>197200</v>
      </c>
    </row>
    <row r="387" spans="1:10" x14ac:dyDescent="0.25">
      <c r="A387" s="1" t="str">
        <f t="shared" si="6"/>
        <v>12 Fadrozole 10 µg_L</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2339</v>
      </c>
      <c r="D387" s="1" t="s">
        <v>785</v>
      </c>
      <c r="E387" s="1" t="s">
        <v>2340</v>
      </c>
      <c r="F387" s="1" t="s">
        <v>112</v>
      </c>
      <c r="G387" s="1">
        <v>37787</v>
      </c>
    </row>
    <row r="388" spans="1:10" x14ac:dyDescent="0.25">
      <c r="A388" s="1" t="str">
        <f t="shared" si="6"/>
        <v>12 Fadrozole 10 µg_L</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2341</v>
      </c>
      <c r="D388" s="1" t="s">
        <v>2342</v>
      </c>
      <c r="E388" s="1" t="s">
        <v>2343</v>
      </c>
      <c r="F388" s="1" t="s">
        <v>112</v>
      </c>
      <c r="G388" s="1">
        <v>74991</v>
      </c>
    </row>
    <row r="389" spans="1:10" x14ac:dyDescent="0.2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10" x14ac:dyDescent="0.2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243</v>
      </c>
      <c r="D390" s="1" t="s">
        <v>112</v>
      </c>
      <c r="E390" s="1" t="s">
        <v>244</v>
      </c>
      <c r="F390" s="1" t="s">
        <v>245</v>
      </c>
      <c r="G390" s="1" t="s">
        <v>246</v>
      </c>
      <c r="H390" s="1" t="s">
        <v>247</v>
      </c>
      <c r="I390" s="1" t="s">
        <v>248</v>
      </c>
      <c r="J390" s="1" t="s">
        <v>249</v>
      </c>
    </row>
    <row r="391" spans="1:10" x14ac:dyDescent="0.25">
      <c r="A391" s="1" t="str">
        <f t="shared" si="6"/>
        <v>12 Fadrozole 10 µg_L</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2344</v>
      </c>
      <c r="D391" s="1" t="s">
        <v>112</v>
      </c>
      <c r="E391" s="1" t="s">
        <v>2345</v>
      </c>
      <c r="F391" s="1" t="s">
        <v>2346</v>
      </c>
      <c r="G391" s="1" t="s">
        <v>2347</v>
      </c>
      <c r="H391" s="1" t="s">
        <v>2348</v>
      </c>
      <c r="I391" s="1">
        <v>24</v>
      </c>
      <c r="J391" s="1">
        <v>24</v>
      </c>
    </row>
    <row r="392" spans="1:10" x14ac:dyDescent="0.2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10" x14ac:dyDescent="0.2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10" x14ac:dyDescent="0.2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10" x14ac:dyDescent="0.2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10" x14ac:dyDescent="0.2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10" x14ac:dyDescent="0.2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255</v>
      </c>
      <c r="D397" s="1" t="s">
        <v>110</v>
      </c>
      <c r="E397" s="1" t="s">
        <v>111</v>
      </c>
      <c r="F397" s="1" t="s">
        <v>112</v>
      </c>
      <c r="G397" s="1" t="s">
        <v>113</v>
      </c>
    </row>
    <row r="398" spans="1:10" x14ac:dyDescent="0.25">
      <c r="A398" s="1" t="str">
        <f t="shared" si="6"/>
        <v>01 Testo 30</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2349</v>
      </c>
      <c r="D398" s="1" t="s">
        <v>2350</v>
      </c>
      <c r="E398" s="1" t="s">
        <v>2351</v>
      </c>
      <c r="F398" s="1" t="s">
        <v>112</v>
      </c>
      <c r="G398" s="1">
        <v>3943584</v>
      </c>
    </row>
    <row r="399" spans="1:10" x14ac:dyDescent="0.25">
      <c r="A399" s="1" t="str">
        <f t="shared" si="6"/>
        <v>01 Testo 30</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2352</v>
      </c>
      <c r="D399" s="1" t="s">
        <v>2353</v>
      </c>
      <c r="E399" s="1" t="s">
        <v>2354</v>
      </c>
      <c r="F399" s="1" t="s">
        <v>112</v>
      </c>
      <c r="G399" s="1">
        <v>4108317</v>
      </c>
    </row>
    <row r="400" spans="1:10" x14ac:dyDescent="0.25">
      <c r="A400" s="1" t="str">
        <f t="shared" si="6"/>
        <v>01 Testo 30</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2355</v>
      </c>
      <c r="D400" s="1" t="s">
        <v>2356</v>
      </c>
      <c r="E400" s="1" t="s">
        <v>2357</v>
      </c>
      <c r="F400" s="1" t="s">
        <v>112</v>
      </c>
      <c r="G400" s="1">
        <v>3876964</v>
      </c>
    </row>
    <row r="401" spans="1:7" x14ac:dyDescent="0.25">
      <c r="A401" s="1" t="str">
        <f t="shared" si="6"/>
        <v>01 Testo 30</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2358</v>
      </c>
      <c r="D401" s="1" t="s">
        <v>2359</v>
      </c>
      <c r="E401" s="1" t="s">
        <v>2360</v>
      </c>
      <c r="F401" s="1" t="s">
        <v>112</v>
      </c>
      <c r="G401" s="1">
        <v>997874</v>
      </c>
    </row>
    <row r="402" spans="1:7" x14ac:dyDescent="0.25">
      <c r="A402" s="1" t="str">
        <f t="shared" si="6"/>
        <v>01 Testo 30</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2361</v>
      </c>
      <c r="D402" s="1" t="s">
        <v>2362</v>
      </c>
      <c r="E402" s="1" t="s">
        <v>2363</v>
      </c>
      <c r="F402" s="1" t="s">
        <v>112</v>
      </c>
      <c r="G402" s="1">
        <v>618442</v>
      </c>
    </row>
    <row r="403" spans="1:7" x14ac:dyDescent="0.25">
      <c r="A403" s="1" t="str">
        <f t="shared" si="6"/>
        <v>01 Testo 30</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2364</v>
      </c>
      <c r="D403" s="1" t="s">
        <v>2365</v>
      </c>
      <c r="E403" s="1" t="s">
        <v>2366</v>
      </c>
      <c r="F403" s="1" t="s">
        <v>112</v>
      </c>
      <c r="G403" s="1">
        <v>332322</v>
      </c>
    </row>
    <row r="404" spans="1:7" x14ac:dyDescent="0.25">
      <c r="A404" s="1" t="str">
        <f t="shared" si="6"/>
        <v>01 Testo 30</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2367</v>
      </c>
      <c r="D404" s="1" t="s">
        <v>2368</v>
      </c>
      <c r="E404" s="1" t="s">
        <v>2369</v>
      </c>
      <c r="F404" s="1" t="s">
        <v>112</v>
      </c>
      <c r="G404" s="1">
        <v>4272942</v>
      </c>
    </row>
    <row r="405" spans="1:7" x14ac:dyDescent="0.25">
      <c r="A405" s="1" t="str">
        <f t="shared" si="6"/>
        <v>01 Testo 30</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2370</v>
      </c>
      <c r="D405" s="1" t="s">
        <v>670</v>
      </c>
      <c r="E405" s="1" t="s">
        <v>2371</v>
      </c>
      <c r="F405" s="1" t="s">
        <v>112</v>
      </c>
      <c r="G405" s="1">
        <v>3850922</v>
      </c>
    </row>
    <row r="406" spans="1:7" x14ac:dyDescent="0.25">
      <c r="A406" s="1" t="str">
        <f t="shared" si="6"/>
        <v>01 Testo 30</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2372</v>
      </c>
      <c r="D406" s="1" t="s">
        <v>2373</v>
      </c>
      <c r="E406" s="1" t="s">
        <v>2374</v>
      </c>
      <c r="F406" s="1" t="s">
        <v>112</v>
      </c>
      <c r="G406" s="1">
        <v>3258435</v>
      </c>
    </row>
    <row r="407" spans="1:7" x14ac:dyDescent="0.25">
      <c r="A407" s="1" t="str">
        <f t="shared" si="6"/>
        <v>01 Testo 30</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2375</v>
      </c>
      <c r="D407" s="1" t="s">
        <v>2376</v>
      </c>
      <c r="E407" s="1" t="s">
        <v>2377</v>
      </c>
      <c r="F407" s="1" t="s">
        <v>112</v>
      </c>
      <c r="G407" s="1">
        <v>278961</v>
      </c>
    </row>
    <row r="408" spans="1:7" x14ac:dyDescent="0.25">
      <c r="A408" s="1" t="str">
        <f t="shared" si="6"/>
        <v>01 Testo 30</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2378</v>
      </c>
      <c r="D408" s="1" t="s">
        <v>2379</v>
      </c>
      <c r="E408" s="1" t="s">
        <v>2380</v>
      </c>
      <c r="F408" s="1" t="s">
        <v>112</v>
      </c>
      <c r="G408" s="1">
        <v>499607</v>
      </c>
    </row>
    <row r="409" spans="1:7" x14ac:dyDescent="0.25">
      <c r="A409" s="1" t="str">
        <f t="shared" si="6"/>
        <v>01 Testo 30</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2381</v>
      </c>
      <c r="D409" s="1" t="s">
        <v>873</v>
      </c>
      <c r="E409" s="1" t="s">
        <v>2382</v>
      </c>
      <c r="F409" s="1" t="s">
        <v>112</v>
      </c>
      <c r="G409" s="1">
        <v>415337</v>
      </c>
    </row>
    <row r="410" spans="1:7" x14ac:dyDescent="0.25">
      <c r="A410" s="1" t="str">
        <f t="shared" si="6"/>
        <v>01 Testo 30</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2383</v>
      </c>
      <c r="D410" s="1" t="s">
        <v>2384</v>
      </c>
      <c r="E410" s="1" t="s">
        <v>2385</v>
      </c>
      <c r="F410" s="1" t="s">
        <v>112</v>
      </c>
      <c r="G410" s="1">
        <v>3544577</v>
      </c>
    </row>
    <row r="411" spans="1:7" x14ac:dyDescent="0.25">
      <c r="A411" s="1" t="str">
        <f t="shared" si="6"/>
        <v>01 Testo 30</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2386</v>
      </c>
      <c r="D411" s="1" t="s">
        <v>2387</v>
      </c>
      <c r="E411" s="1" t="s">
        <v>2388</v>
      </c>
      <c r="F411" s="1" t="s">
        <v>112</v>
      </c>
      <c r="G411" s="1">
        <v>3360053</v>
      </c>
    </row>
    <row r="412" spans="1:7" x14ac:dyDescent="0.25">
      <c r="A412" s="1" t="str">
        <f t="shared" si="6"/>
        <v>01 Testo 30</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2389</v>
      </c>
      <c r="D412" s="1" t="s">
        <v>2390</v>
      </c>
      <c r="E412" s="1" t="s">
        <v>2391</v>
      </c>
      <c r="F412" s="1" t="s">
        <v>112</v>
      </c>
      <c r="G412" s="1">
        <v>3615329</v>
      </c>
    </row>
    <row r="413" spans="1:7" x14ac:dyDescent="0.25">
      <c r="A413" s="1" t="str">
        <f t="shared" si="6"/>
        <v>01 Testo 30</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2392</v>
      </c>
      <c r="D413" s="1" t="s">
        <v>2393</v>
      </c>
      <c r="E413" s="1" t="s">
        <v>2394</v>
      </c>
      <c r="F413" s="1" t="s">
        <v>112</v>
      </c>
      <c r="G413" s="1">
        <v>1820221</v>
      </c>
    </row>
    <row r="414" spans="1:7" x14ac:dyDescent="0.25">
      <c r="A414" s="1" t="str">
        <f t="shared" si="6"/>
        <v>01 Testo 30</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2395</v>
      </c>
      <c r="D414" s="1" t="s">
        <v>2396</v>
      </c>
      <c r="E414" s="1" t="s">
        <v>2397</v>
      </c>
      <c r="F414" s="1" t="s">
        <v>112</v>
      </c>
      <c r="G414" s="1">
        <v>1511432</v>
      </c>
    </row>
    <row r="415" spans="1:7" x14ac:dyDescent="0.25">
      <c r="A415" s="1" t="str">
        <f t="shared" si="6"/>
        <v>01 Testo 30</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2398</v>
      </c>
      <c r="D415" s="1" t="s">
        <v>2399</v>
      </c>
      <c r="E415" s="1" t="s">
        <v>2400</v>
      </c>
      <c r="F415" s="1" t="s">
        <v>112</v>
      </c>
      <c r="G415" s="1">
        <v>1009013</v>
      </c>
    </row>
    <row r="416" spans="1:7" x14ac:dyDescent="0.25">
      <c r="A416" s="1" t="str">
        <f t="shared" si="6"/>
        <v>01 Testo 30</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2401</v>
      </c>
      <c r="D416" s="1" t="s">
        <v>2402</v>
      </c>
      <c r="E416" s="1" t="s">
        <v>2403</v>
      </c>
      <c r="F416" s="1" t="s">
        <v>112</v>
      </c>
      <c r="G416" s="1">
        <v>2382187</v>
      </c>
    </row>
    <row r="417" spans="1:10" x14ac:dyDescent="0.25">
      <c r="A417" s="1" t="str">
        <f t="shared" si="6"/>
        <v>01 Testo 30</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2404</v>
      </c>
      <c r="D417" s="1" t="s">
        <v>2405</v>
      </c>
      <c r="E417" s="1" t="s">
        <v>2406</v>
      </c>
      <c r="F417" s="1" t="s">
        <v>112</v>
      </c>
      <c r="G417" s="1">
        <v>2437321</v>
      </c>
    </row>
    <row r="418" spans="1:10" x14ac:dyDescent="0.25">
      <c r="A418" s="1" t="str">
        <f t="shared" si="6"/>
        <v>01 Testo 30</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2407</v>
      </c>
      <c r="D418" s="1" t="s">
        <v>2408</v>
      </c>
      <c r="E418" s="1" t="s">
        <v>2409</v>
      </c>
      <c r="F418" s="1" t="s">
        <v>112</v>
      </c>
      <c r="G418" s="1">
        <v>2257101</v>
      </c>
    </row>
    <row r="419" spans="1:10" x14ac:dyDescent="0.25">
      <c r="A419" s="1" t="str">
        <f t="shared" si="6"/>
        <v>01 Testo 30</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2410</v>
      </c>
      <c r="D419" s="1" t="s">
        <v>2411</v>
      </c>
      <c r="E419" s="1" t="s">
        <v>2412</v>
      </c>
      <c r="F419" s="1" t="s">
        <v>112</v>
      </c>
      <c r="G419" s="1">
        <v>904324</v>
      </c>
    </row>
    <row r="420" spans="1:10" x14ac:dyDescent="0.25">
      <c r="A420" s="1" t="str">
        <f t="shared" si="6"/>
        <v>01 Testo 30</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2413</v>
      </c>
      <c r="D420" s="1" t="s">
        <v>1202</v>
      </c>
      <c r="E420" s="1" t="s">
        <v>2414</v>
      </c>
      <c r="F420" s="1" t="s">
        <v>112</v>
      </c>
      <c r="G420" s="1">
        <v>638688</v>
      </c>
    </row>
    <row r="421" spans="1:10" x14ac:dyDescent="0.25">
      <c r="A421" s="1" t="str">
        <f t="shared" si="6"/>
        <v>01 Testo 30</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2415</v>
      </c>
      <c r="D421" s="1" t="s">
        <v>2416</v>
      </c>
      <c r="E421" s="1" t="s">
        <v>2417</v>
      </c>
      <c r="F421" s="1" t="s">
        <v>112</v>
      </c>
      <c r="G421" s="1">
        <v>834416</v>
      </c>
    </row>
    <row r="422" spans="1:10" x14ac:dyDescent="0.2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10" x14ac:dyDescent="0.2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243</v>
      </c>
      <c r="D423" s="1" t="s">
        <v>112</v>
      </c>
      <c r="E423" s="1" t="s">
        <v>244</v>
      </c>
      <c r="F423" s="1" t="s">
        <v>245</v>
      </c>
      <c r="G423" s="1" t="s">
        <v>246</v>
      </c>
      <c r="H423" s="1" t="s">
        <v>247</v>
      </c>
      <c r="I423" s="1" t="s">
        <v>248</v>
      </c>
      <c r="J423" s="1" t="s">
        <v>249</v>
      </c>
    </row>
    <row r="424" spans="1:10" x14ac:dyDescent="0.25">
      <c r="A424" s="1" t="str">
        <f t="shared" si="6"/>
        <v>01 Testo 30</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2418</v>
      </c>
      <c r="D424" s="1" t="s">
        <v>112</v>
      </c>
      <c r="E424" s="1" t="s">
        <v>2419</v>
      </c>
      <c r="F424" s="1" t="s">
        <v>2420</v>
      </c>
      <c r="G424" s="1" t="s">
        <v>2421</v>
      </c>
      <c r="H424" s="1" t="s">
        <v>2422</v>
      </c>
      <c r="I424" s="1">
        <v>24</v>
      </c>
      <c r="J424" s="1">
        <v>24</v>
      </c>
    </row>
    <row r="425" spans="1:10" x14ac:dyDescent="0.2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10" x14ac:dyDescent="0.2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10" x14ac:dyDescent="0.2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10" x14ac:dyDescent="0.2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10" x14ac:dyDescent="0.2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10" x14ac:dyDescent="0.2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255</v>
      </c>
      <c r="D430" s="1" t="s">
        <v>110</v>
      </c>
      <c r="E430" s="1" t="s">
        <v>111</v>
      </c>
      <c r="F430" s="1" t="s">
        <v>112</v>
      </c>
      <c r="G430" s="1" t="s">
        <v>113</v>
      </c>
    </row>
    <row r="431" spans="1:10" x14ac:dyDescent="0.25">
      <c r="A431" s="1" t="str">
        <f t="shared" si="6"/>
        <v>02 Testo 30</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2423</v>
      </c>
      <c r="D431" s="1" t="s">
        <v>2424</v>
      </c>
      <c r="E431" s="1" t="s">
        <v>2425</v>
      </c>
      <c r="F431" s="1" t="s">
        <v>112</v>
      </c>
      <c r="G431" s="1">
        <v>1359114</v>
      </c>
    </row>
    <row r="432" spans="1:10" x14ac:dyDescent="0.25">
      <c r="A432" s="1" t="str">
        <f t="shared" si="6"/>
        <v>02 Testo 30</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2426</v>
      </c>
      <c r="D432" s="1" t="s">
        <v>2427</v>
      </c>
      <c r="E432" s="1" t="s">
        <v>2428</v>
      </c>
      <c r="F432" s="1" t="s">
        <v>112</v>
      </c>
      <c r="G432" s="1">
        <v>1066440</v>
      </c>
    </row>
    <row r="433" spans="1:7" x14ac:dyDescent="0.25">
      <c r="A433" s="1" t="str">
        <f t="shared" si="6"/>
        <v>02 Testo 30</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2429</v>
      </c>
      <c r="D433" s="1" t="s">
        <v>155</v>
      </c>
      <c r="E433" s="1" t="s">
        <v>2430</v>
      </c>
      <c r="F433" s="1" t="s">
        <v>112</v>
      </c>
      <c r="G433" s="1">
        <v>1063715</v>
      </c>
    </row>
    <row r="434" spans="1:7" x14ac:dyDescent="0.25">
      <c r="A434" s="1" t="str">
        <f t="shared" si="6"/>
        <v>02 Testo 30</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2431</v>
      </c>
      <c r="D434" s="1" t="s">
        <v>2432</v>
      </c>
      <c r="E434" s="1" t="s">
        <v>2433</v>
      </c>
      <c r="F434" s="1" t="s">
        <v>112</v>
      </c>
      <c r="G434" s="1">
        <v>4931746</v>
      </c>
    </row>
    <row r="435" spans="1:7" x14ac:dyDescent="0.25">
      <c r="A435" s="1" t="str">
        <f t="shared" si="6"/>
        <v>02 Testo 30</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2434</v>
      </c>
      <c r="D435" s="1" t="s">
        <v>2435</v>
      </c>
      <c r="E435" s="1" t="s">
        <v>2436</v>
      </c>
      <c r="F435" s="1" t="s">
        <v>112</v>
      </c>
      <c r="G435" s="1">
        <v>4213958</v>
      </c>
    </row>
    <row r="436" spans="1:7" x14ac:dyDescent="0.25">
      <c r="A436" s="1" t="str">
        <f t="shared" si="6"/>
        <v>02 Testo 30</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2437</v>
      </c>
      <c r="D436" s="1" t="s">
        <v>2438</v>
      </c>
      <c r="E436" s="1" t="s">
        <v>2439</v>
      </c>
      <c r="F436" s="1" t="s">
        <v>112</v>
      </c>
      <c r="G436" s="1">
        <v>3871081</v>
      </c>
    </row>
    <row r="437" spans="1:7" x14ac:dyDescent="0.25">
      <c r="A437" s="1" t="str">
        <f t="shared" si="6"/>
        <v>02 Testo 30</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2440</v>
      </c>
      <c r="D437" s="1" t="s">
        <v>2441</v>
      </c>
      <c r="E437" s="1" t="s">
        <v>2442</v>
      </c>
      <c r="F437" s="1" t="s">
        <v>112</v>
      </c>
      <c r="G437" s="1">
        <v>2430054</v>
      </c>
    </row>
    <row r="438" spans="1:7" x14ac:dyDescent="0.25">
      <c r="A438" s="1" t="str">
        <f t="shared" si="6"/>
        <v>02 Testo 30</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2443</v>
      </c>
      <c r="D438" s="1" t="s">
        <v>2444</v>
      </c>
      <c r="E438" s="1" t="s">
        <v>2445</v>
      </c>
      <c r="F438" s="1" t="s">
        <v>112</v>
      </c>
      <c r="G438" s="1">
        <v>2176811</v>
      </c>
    </row>
    <row r="439" spans="1:7" x14ac:dyDescent="0.25">
      <c r="A439" s="1" t="str">
        <f t="shared" si="6"/>
        <v>02 Testo 30</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2446</v>
      </c>
      <c r="D439" s="1" t="s">
        <v>2447</v>
      </c>
      <c r="E439" s="1" t="s">
        <v>2448</v>
      </c>
      <c r="F439" s="1" t="s">
        <v>112</v>
      </c>
      <c r="G439" s="1">
        <v>2278515</v>
      </c>
    </row>
    <row r="440" spans="1:7" x14ac:dyDescent="0.25">
      <c r="A440" s="1" t="str">
        <f t="shared" si="6"/>
        <v>02 Testo 30</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2449</v>
      </c>
      <c r="D440" s="1" t="s">
        <v>2450</v>
      </c>
      <c r="E440" s="1" t="s">
        <v>2451</v>
      </c>
      <c r="F440" s="1" t="s">
        <v>112</v>
      </c>
      <c r="G440" s="1">
        <v>4043211</v>
      </c>
    </row>
    <row r="441" spans="1:7" x14ac:dyDescent="0.25">
      <c r="A441" s="1" t="str">
        <f t="shared" si="6"/>
        <v>02 Testo 30</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2452</v>
      </c>
      <c r="D441" s="1" t="s">
        <v>2453</v>
      </c>
      <c r="E441" s="1" t="s">
        <v>2454</v>
      </c>
      <c r="F441" s="1" t="s">
        <v>112</v>
      </c>
      <c r="G441" s="1">
        <v>4256850</v>
      </c>
    </row>
    <row r="442" spans="1:7" x14ac:dyDescent="0.25">
      <c r="A442" s="1" t="str">
        <f t="shared" si="6"/>
        <v>02 Testo 30</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2455</v>
      </c>
      <c r="D442" s="1" t="s">
        <v>2456</v>
      </c>
      <c r="E442" s="1" t="s">
        <v>2457</v>
      </c>
      <c r="F442" s="1" t="s">
        <v>112</v>
      </c>
      <c r="G442" s="1">
        <v>4031964</v>
      </c>
    </row>
    <row r="443" spans="1:7" x14ac:dyDescent="0.25">
      <c r="A443" s="1" t="str">
        <f t="shared" si="6"/>
        <v>02 Testo 30</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2458</v>
      </c>
      <c r="D443" s="1" t="s">
        <v>2444</v>
      </c>
      <c r="E443" s="1" t="s">
        <v>2459</v>
      </c>
      <c r="F443" s="1" t="s">
        <v>112</v>
      </c>
      <c r="G443" s="1">
        <v>2219270</v>
      </c>
    </row>
    <row r="444" spans="1:7" x14ac:dyDescent="0.25">
      <c r="A444" s="1" t="str">
        <f t="shared" si="6"/>
        <v>02 Testo 30</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2460</v>
      </c>
      <c r="D444" s="1" t="s">
        <v>2461</v>
      </c>
      <c r="E444" s="1" t="s">
        <v>2462</v>
      </c>
      <c r="F444" s="1" t="s">
        <v>112</v>
      </c>
      <c r="G444" s="1">
        <v>2111164</v>
      </c>
    </row>
    <row r="445" spans="1:7" x14ac:dyDescent="0.25">
      <c r="A445" s="1" t="str">
        <f t="shared" si="6"/>
        <v>02 Testo 30</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2463</v>
      </c>
      <c r="D445" s="1" t="s">
        <v>2464</v>
      </c>
      <c r="E445" s="1" t="s">
        <v>2465</v>
      </c>
      <c r="F445" s="1" t="s">
        <v>112</v>
      </c>
      <c r="G445" s="1">
        <v>1723578</v>
      </c>
    </row>
    <row r="446" spans="1:7" x14ac:dyDescent="0.25">
      <c r="A446" s="1" t="str">
        <f t="shared" si="6"/>
        <v>02 Testo 30</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2466</v>
      </c>
      <c r="D446" s="1" t="s">
        <v>2467</v>
      </c>
      <c r="E446" s="1" t="s">
        <v>2468</v>
      </c>
      <c r="F446" s="1" t="s">
        <v>112</v>
      </c>
      <c r="G446" s="1">
        <v>2571167</v>
      </c>
    </row>
    <row r="447" spans="1:7" x14ac:dyDescent="0.25">
      <c r="A447" s="1" t="str">
        <f t="shared" si="6"/>
        <v>02 Testo 30</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2469</v>
      </c>
      <c r="D447" s="1" t="s">
        <v>2470</v>
      </c>
      <c r="E447" s="1" t="s">
        <v>2471</v>
      </c>
      <c r="F447" s="1" t="s">
        <v>112</v>
      </c>
      <c r="G447" s="1">
        <v>2318422</v>
      </c>
    </row>
    <row r="448" spans="1:7" x14ac:dyDescent="0.25">
      <c r="A448" s="1" t="str">
        <f t="shared" si="6"/>
        <v>02 Testo 30</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2472</v>
      </c>
      <c r="D448" s="1" t="s">
        <v>2473</v>
      </c>
      <c r="E448" s="1" t="s">
        <v>2474</v>
      </c>
      <c r="F448" s="1" t="s">
        <v>112</v>
      </c>
      <c r="G448" s="1">
        <v>2367825</v>
      </c>
    </row>
    <row r="449" spans="1:10" x14ac:dyDescent="0.25">
      <c r="A449" s="1" t="str">
        <f t="shared" si="6"/>
        <v>02 Testo 30</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2475</v>
      </c>
      <c r="D449" s="1" t="s">
        <v>2476</v>
      </c>
      <c r="E449" s="1" t="s">
        <v>2477</v>
      </c>
      <c r="F449" s="1" t="s">
        <v>112</v>
      </c>
      <c r="G449" s="1">
        <v>1260223</v>
      </c>
    </row>
    <row r="450" spans="1:10" x14ac:dyDescent="0.25">
      <c r="A450" s="1" t="str">
        <f t="shared" ref="A450:A513" si="7">IFERROR(LEFT(RIGHT(C450,LEN(C450)-SEARCH("@",C450)),SEARCH("/",RIGHT(C450,LEN(C450)-SEARCH("@",C450)-1))),"")</f>
        <v>02 Testo 30</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2478</v>
      </c>
      <c r="D450" s="1" t="s">
        <v>2479</v>
      </c>
      <c r="E450" s="1" t="s">
        <v>2480</v>
      </c>
      <c r="F450" s="1" t="s">
        <v>112</v>
      </c>
      <c r="G450" s="1">
        <v>1143183</v>
      </c>
    </row>
    <row r="451" spans="1:10" x14ac:dyDescent="0.25">
      <c r="A451" s="1" t="str">
        <f t="shared" si="7"/>
        <v>02 Testo 30</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2481</v>
      </c>
      <c r="D451" s="1" t="s">
        <v>2482</v>
      </c>
      <c r="E451" s="1" t="s">
        <v>2483</v>
      </c>
      <c r="F451" s="1" t="s">
        <v>112</v>
      </c>
      <c r="G451" s="1">
        <v>1036029</v>
      </c>
    </row>
    <row r="452" spans="1:10" x14ac:dyDescent="0.25">
      <c r="A452" s="1" t="str">
        <f t="shared" si="7"/>
        <v>02 Testo 30</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2484</v>
      </c>
      <c r="D452" s="1" t="s">
        <v>2485</v>
      </c>
      <c r="E452" s="1" t="s">
        <v>2486</v>
      </c>
      <c r="F452" s="1" t="s">
        <v>112</v>
      </c>
      <c r="G452" s="1">
        <v>2458886</v>
      </c>
    </row>
    <row r="453" spans="1:10" x14ac:dyDescent="0.25">
      <c r="A453" s="1" t="str">
        <f t="shared" si="7"/>
        <v>02 Testo 30</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2487</v>
      </c>
      <c r="D453" s="1" t="s">
        <v>2488</v>
      </c>
      <c r="E453" s="1" t="s">
        <v>2489</v>
      </c>
      <c r="F453" s="1" t="s">
        <v>112</v>
      </c>
      <c r="G453" s="1">
        <v>2580966</v>
      </c>
    </row>
    <row r="454" spans="1:10" x14ac:dyDescent="0.25">
      <c r="A454" s="1" t="str">
        <f t="shared" si="7"/>
        <v>02 Testo 30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2490</v>
      </c>
      <c r="D454" s="1" t="s">
        <v>2491</v>
      </c>
      <c r="E454" s="1" t="s">
        <v>2492</v>
      </c>
      <c r="F454" s="1" t="s">
        <v>112</v>
      </c>
      <c r="G454" s="1">
        <v>2134460</v>
      </c>
    </row>
    <row r="455" spans="1:10" x14ac:dyDescent="0.2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10" x14ac:dyDescent="0.2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243</v>
      </c>
      <c r="D456" s="1" t="s">
        <v>112</v>
      </c>
      <c r="E456" s="1" t="s">
        <v>244</v>
      </c>
      <c r="F456" s="1" t="s">
        <v>245</v>
      </c>
      <c r="G456" s="1" t="s">
        <v>246</v>
      </c>
      <c r="H456" s="1" t="s">
        <v>247</v>
      </c>
      <c r="I456" s="1" t="s">
        <v>248</v>
      </c>
      <c r="J456" s="1" t="s">
        <v>249</v>
      </c>
    </row>
    <row r="457" spans="1:10" x14ac:dyDescent="0.25">
      <c r="A457" s="1" t="str">
        <f t="shared" si="7"/>
        <v>02 Testo 30</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2493</v>
      </c>
      <c r="D457" s="1" t="s">
        <v>112</v>
      </c>
      <c r="E457" s="1" t="s">
        <v>2494</v>
      </c>
      <c r="F457" s="1" t="s">
        <v>2495</v>
      </c>
      <c r="G457" s="1" t="s">
        <v>2496</v>
      </c>
      <c r="H457" s="1" t="s">
        <v>2497</v>
      </c>
      <c r="I457" s="1">
        <v>24</v>
      </c>
      <c r="J457" s="1">
        <v>24</v>
      </c>
    </row>
    <row r="458" spans="1:10" x14ac:dyDescent="0.2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10" x14ac:dyDescent="0.2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10" x14ac:dyDescent="0.2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10" x14ac:dyDescent="0.2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10" x14ac:dyDescent="0.2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10" x14ac:dyDescent="0.2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255</v>
      </c>
      <c r="D463" s="1" t="s">
        <v>110</v>
      </c>
      <c r="E463" s="1" t="s">
        <v>111</v>
      </c>
      <c r="F463" s="1" t="s">
        <v>112</v>
      </c>
      <c r="G463" s="1" t="s">
        <v>113</v>
      </c>
    </row>
    <row r="464" spans="1:10" x14ac:dyDescent="0.25">
      <c r="A464" s="1" t="str">
        <f t="shared" si="7"/>
        <v>03 Testo+ EE2 64</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2498</v>
      </c>
      <c r="D464" s="1" t="s">
        <v>2499</v>
      </c>
      <c r="E464" s="1" t="s">
        <v>2500</v>
      </c>
      <c r="F464" s="1" t="s">
        <v>112</v>
      </c>
      <c r="G464" s="1">
        <v>4823034</v>
      </c>
    </row>
    <row r="465" spans="1:7" x14ac:dyDescent="0.25">
      <c r="A465" s="1" t="str">
        <f t="shared" si="7"/>
        <v>03 Testo+ EE2 64</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2501</v>
      </c>
      <c r="D465" s="1" t="s">
        <v>2502</v>
      </c>
      <c r="E465" s="1" t="s">
        <v>2503</v>
      </c>
      <c r="F465" s="1" t="s">
        <v>112</v>
      </c>
      <c r="G465" s="1">
        <v>4916518</v>
      </c>
    </row>
    <row r="466" spans="1:7" x14ac:dyDescent="0.25">
      <c r="A466" s="1" t="str">
        <f t="shared" si="7"/>
        <v>03 Testo+ EE2 64</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2504</v>
      </c>
      <c r="D466" s="1" t="s">
        <v>2505</v>
      </c>
      <c r="E466" s="1" t="s">
        <v>2506</v>
      </c>
      <c r="F466" s="1" t="s">
        <v>112</v>
      </c>
      <c r="G466" s="1">
        <v>4217310</v>
      </c>
    </row>
    <row r="467" spans="1:7" x14ac:dyDescent="0.25">
      <c r="A467" s="1" t="str">
        <f t="shared" si="7"/>
        <v>03 Testo+ EE2 64</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2507</v>
      </c>
      <c r="D467" s="1" t="s">
        <v>2508</v>
      </c>
      <c r="E467" s="1" t="s">
        <v>2509</v>
      </c>
      <c r="F467" s="1" t="s">
        <v>112</v>
      </c>
      <c r="G467" s="1">
        <v>4717913</v>
      </c>
    </row>
    <row r="468" spans="1:7" x14ac:dyDescent="0.25">
      <c r="A468" s="1" t="str">
        <f t="shared" si="7"/>
        <v>03 Testo+ EE2 64</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2510</v>
      </c>
      <c r="D468" s="1" t="s">
        <v>2511</v>
      </c>
      <c r="E468" s="1" t="s">
        <v>2512</v>
      </c>
      <c r="F468" s="1" t="s">
        <v>112</v>
      </c>
      <c r="G468" s="1">
        <v>4507584</v>
      </c>
    </row>
    <row r="469" spans="1:7" x14ac:dyDescent="0.25">
      <c r="A469" s="1" t="str">
        <f t="shared" si="7"/>
        <v>03 Testo+ EE2 64</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2513</v>
      </c>
      <c r="D469" s="1" t="s">
        <v>2514</v>
      </c>
      <c r="E469" s="1" t="s">
        <v>2515</v>
      </c>
      <c r="F469" s="1" t="s">
        <v>112</v>
      </c>
      <c r="G469" s="1">
        <v>4010226</v>
      </c>
    </row>
    <row r="470" spans="1:7" x14ac:dyDescent="0.25">
      <c r="A470" s="1" t="str">
        <f t="shared" si="7"/>
        <v>03 Testo+ EE2 64</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2516</v>
      </c>
      <c r="D470" s="1" t="s">
        <v>2517</v>
      </c>
      <c r="E470" s="1" t="s">
        <v>2518</v>
      </c>
      <c r="F470" s="1" t="s">
        <v>112</v>
      </c>
      <c r="G470" s="1">
        <v>789902</v>
      </c>
    </row>
    <row r="471" spans="1:7" x14ac:dyDescent="0.25">
      <c r="A471" s="1" t="str">
        <f t="shared" si="7"/>
        <v>03 Testo+ EE2 64</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2519</v>
      </c>
      <c r="D471" s="1" t="s">
        <v>2520</v>
      </c>
      <c r="E471" s="1" t="s">
        <v>2521</v>
      </c>
      <c r="F471" s="1" t="s">
        <v>112</v>
      </c>
      <c r="G471" s="1">
        <v>609466</v>
      </c>
    </row>
    <row r="472" spans="1:7" x14ac:dyDescent="0.25">
      <c r="A472" s="1" t="str">
        <f t="shared" si="7"/>
        <v>03 Testo+ EE2 64</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2522</v>
      </c>
      <c r="D472" s="1" t="s">
        <v>2523</v>
      </c>
      <c r="E472" s="1" t="s">
        <v>2524</v>
      </c>
      <c r="F472" s="1" t="s">
        <v>112</v>
      </c>
      <c r="G472" s="1">
        <v>773355</v>
      </c>
    </row>
    <row r="473" spans="1:7" x14ac:dyDescent="0.25">
      <c r="A473" s="1" t="str">
        <f t="shared" si="7"/>
        <v>03 Testo+ EE2 64</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2525</v>
      </c>
      <c r="D473" s="1" t="s">
        <v>2526</v>
      </c>
      <c r="E473" s="1" t="s">
        <v>2527</v>
      </c>
      <c r="F473" s="1" t="s">
        <v>112</v>
      </c>
      <c r="G473" s="1">
        <v>4646361</v>
      </c>
    </row>
    <row r="474" spans="1:7" x14ac:dyDescent="0.25">
      <c r="A474" s="1" t="str">
        <f t="shared" si="7"/>
        <v>03 Testo+ EE2 64</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2528</v>
      </c>
    </row>
    <row r="475" spans="1:7" x14ac:dyDescent="0.25">
      <c r="A475" s="1" t="str">
        <f t="shared" si="7"/>
        <v>03 Testo+ EE2 64</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2529</v>
      </c>
      <c r="D475" s="1" t="s">
        <v>2530</v>
      </c>
      <c r="E475" s="1" t="s">
        <v>2531</v>
      </c>
      <c r="F475" s="1" t="s">
        <v>112</v>
      </c>
      <c r="G475" s="1">
        <v>4260592</v>
      </c>
    </row>
    <row r="476" spans="1:7" x14ac:dyDescent="0.25">
      <c r="A476" s="1" t="str">
        <f t="shared" si="7"/>
        <v>03 Testo+ EE2 64</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2532</v>
      </c>
      <c r="D476" s="1" t="s">
        <v>2533</v>
      </c>
      <c r="E476" s="1" t="s">
        <v>2534</v>
      </c>
      <c r="F476" s="1" t="s">
        <v>112</v>
      </c>
      <c r="G476" s="1">
        <v>2819003</v>
      </c>
    </row>
    <row r="477" spans="1:7" x14ac:dyDescent="0.25">
      <c r="A477" s="1" t="str">
        <f t="shared" si="7"/>
        <v>03 Testo+ EE2 64</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2535</v>
      </c>
      <c r="D477" s="1" t="s">
        <v>2536</v>
      </c>
      <c r="E477" s="1" t="s">
        <v>2537</v>
      </c>
      <c r="F477" s="1" t="s">
        <v>112</v>
      </c>
      <c r="G477" s="1">
        <v>2624269</v>
      </c>
    </row>
    <row r="478" spans="1:7" x14ac:dyDescent="0.25">
      <c r="A478" s="1" t="str">
        <f t="shared" si="7"/>
        <v>03 Testo+ EE2 64</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2538</v>
      </c>
    </row>
    <row r="479" spans="1:7" x14ac:dyDescent="0.25">
      <c r="A479" s="1" t="str">
        <f t="shared" si="7"/>
        <v>03 Testo+ EE2 64</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2539</v>
      </c>
      <c r="D479" s="1" t="s">
        <v>1327</v>
      </c>
      <c r="E479" s="1" t="s">
        <v>2540</v>
      </c>
      <c r="F479" s="1" t="s">
        <v>112</v>
      </c>
      <c r="G479" s="1">
        <v>1214908</v>
      </c>
    </row>
    <row r="480" spans="1:7" x14ac:dyDescent="0.25">
      <c r="A480" s="1" t="str">
        <f t="shared" si="7"/>
        <v>03 Testo+ EE2 64</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2541</v>
      </c>
      <c r="D480" s="1" t="s">
        <v>2542</v>
      </c>
      <c r="E480" s="1" t="s">
        <v>2543</v>
      </c>
      <c r="F480" s="1" t="s">
        <v>112</v>
      </c>
      <c r="G480" s="1">
        <v>1362208</v>
      </c>
    </row>
    <row r="481" spans="1:10" x14ac:dyDescent="0.25">
      <c r="A481" s="1" t="str">
        <f t="shared" si="7"/>
        <v>03 Testo+ EE2 64</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2544</v>
      </c>
      <c r="D481" s="1" t="s">
        <v>2545</v>
      </c>
      <c r="E481" s="1" t="s">
        <v>2546</v>
      </c>
      <c r="F481" s="1" t="s">
        <v>112</v>
      </c>
      <c r="G481" s="1">
        <v>1650123</v>
      </c>
    </row>
    <row r="482" spans="1:10" x14ac:dyDescent="0.25">
      <c r="A482" s="1" t="str">
        <f t="shared" si="7"/>
        <v>03 Testo+ EE2 64</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2547</v>
      </c>
      <c r="D482" s="1" t="s">
        <v>2548</v>
      </c>
      <c r="E482" s="1" t="s">
        <v>2549</v>
      </c>
      <c r="F482" s="1" t="s">
        <v>112</v>
      </c>
      <c r="G482" s="1">
        <v>4226179</v>
      </c>
    </row>
    <row r="483" spans="1:10" x14ac:dyDescent="0.25">
      <c r="A483" s="1" t="str">
        <f t="shared" si="7"/>
        <v>03 Testo+ EE2 64</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2550</v>
      </c>
      <c r="D483" s="1" t="s">
        <v>2551</v>
      </c>
      <c r="E483" s="1" t="s">
        <v>2552</v>
      </c>
      <c r="F483" s="1" t="s">
        <v>112</v>
      </c>
      <c r="G483" s="1">
        <v>4328185</v>
      </c>
    </row>
    <row r="484" spans="1:10" x14ac:dyDescent="0.25">
      <c r="A484" s="1" t="str">
        <f t="shared" si="7"/>
        <v>03 Testo+ EE2 64</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2553</v>
      </c>
      <c r="D484" s="1" t="s">
        <v>2554</v>
      </c>
      <c r="E484" s="1" t="s">
        <v>2555</v>
      </c>
      <c r="F484" s="1" t="s">
        <v>112</v>
      </c>
      <c r="G484" s="1">
        <v>4326520</v>
      </c>
    </row>
    <row r="485" spans="1:10" x14ac:dyDescent="0.25">
      <c r="A485" s="1" t="str">
        <f t="shared" si="7"/>
        <v>03 Testo+ EE2 64</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2556</v>
      </c>
    </row>
    <row r="486" spans="1:10" x14ac:dyDescent="0.25">
      <c r="A486" s="1" t="str">
        <f t="shared" si="7"/>
        <v>03 Testo+ EE2 64</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2557</v>
      </c>
    </row>
    <row r="487" spans="1:10" x14ac:dyDescent="0.25">
      <c r="A487" s="1" t="str">
        <f t="shared" si="7"/>
        <v>03 Testo+ EE2 64</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2558</v>
      </c>
    </row>
    <row r="488" spans="1:10" x14ac:dyDescent="0.2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10" x14ac:dyDescent="0.2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243</v>
      </c>
      <c r="D489" s="1" t="s">
        <v>112</v>
      </c>
      <c r="E489" s="1" t="s">
        <v>244</v>
      </c>
      <c r="F489" s="1" t="s">
        <v>245</v>
      </c>
      <c r="G489" s="1" t="s">
        <v>246</v>
      </c>
      <c r="H489" s="1" t="s">
        <v>247</v>
      </c>
      <c r="I489" s="1" t="s">
        <v>248</v>
      </c>
      <c r="J489" s="1" t="s">
        <v>249</v>
      </c>
    </row>
    <row r="490" spans="1:10" x14ac:dyDescent="0.25">
      <c r="A490" s="1" t="str">
        <f t="shared" si="7"/>
        <v>03 Testo+ EE2 64</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2559</v>
      </c>
      <c r="D490" s="1" t="s">
        <v>112</v>
      </c>
      <c r="E490" s="1" t="s">
        <v>2560</v>
      </c>
      <c r="F490" s="1" t="s">
        <v>2561</v>
      </c>
      <c r="G490" s="1" t="s">
        <v>2562</v>
      </c>
      <c r="H490" s="1" t="s">
        <v>2563</v>
      </c>
      <c r="I490" s="1">
        <v>24</v>
      </c>
      <c r="J490" s="1">
        <v>24</v>
      </c>
    </row>
    <row r="491" spans="1:10" x14ac:dyDescent="0.2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10" x14ac:dyDescent="0.2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10" x14ac:dyDescent="0.2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10" x14ac:dyDescent="0.2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10" x14ac:dyDescent="0.2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10" x14ac:dyDescent="0.2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255</v>
      </c>
      <c r="D496" s="1" t="s">
        <v>110</v>
      </c>
      <c r="E496" s="1" t="s">
        <v>111</v>
      </c>
      <c r="F496" s="1" t="s">
        <v>112</v>
      </c>
      <c r="G496" s="1" t="s">
        <v>113</v>
      </c>
    </row>
    <row r="497" spans="1:7" x14ac:dyDescent="0.25">
      <c r="A497" s="1" t="str">
        <f t="shared" si="7"/>
        <v>04 Testo+ FAD</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2564</v>
      </c>
      <c r="D497" s="1" t="s">
        <v>785</v>
      </c>
      <c r="E497" s="1" t="s">
        <v>2565</v>
      </c>
      <c r="F497" s="1" t="s">
        <v>112</v>
      </c>
      <c r="G497" s="1">
        <v>39215</v>
      </c>
    </row>
    <row r="498" spans="1:7" x14ac:dyDescent="0.25">
      <c r="A498" s="1" t="str">
        <f t="shared" si="7"/>
        <v>04 Testo+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2566</v>
      </c>
      <c r="D498" s="1" t="s">
        <v>2567</v>
      </c>
      <c r="E498" s="1" t="s">
        <v>2568</v>
      </c>
      <c r="F498" s="1" t="s">
        <v>112</v>
      </c>
      <c r="G498" s="1">
        <v>239248</v>
      </c>
    </row>
    <row r="499" spans="1:7" x14ac:dyDescent="0.25">
      <c r="A499" s="1" t="str">
        <f t="shared" si="7"/>
        <v>04 Testo+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2569</v>
      </c>
      <c r="D499" s="1" t="s">
        <v>272</v>
      </c>
      <c r="E499" s="1" t="s">
        <v>2570</v>
      </c>
      <c r="F499" s="1" t="s">
        <v>112</v>
      </c>
      <c r="G499" s="1">
        <v>216299</v>
      </c>
    </row>
    <row r="500" spans="1:7" x14ac:dyDescent="0.25">
      <c r="A500" s="1" t="str">
        <f t="shared" si="7"/>
        <v>04 Testo+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2571</v>
      </c>
      <c r="D500" s="1" t="s">
        <v>728</v>
      </c>
      <c r="E500" s="1" t="s">
        <v>2572</v>
      </c>
      <c r="F500" s="1" t="s">
        <v>112</v>
      </c>
      <c r="G500" s="1">
        <v>34997</v>
      </c>
    </row>
    <row r="501" spans="1:7" x14ac:dyDescent="0.25">
      <c r="A501" s="1" t="str">
        <f t="shared" si="7"/>
        <v>04 Testo+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2573</v>
      </c>
      <c r="D501" s="1" t="s">
        <v>824</v>
      </c>
      <c r="E501" s="1" t="s">
        <v>2574</v>
      </c>
      <c r="F501" s="1" t="s">
        <v>112</v>
      </c>
      <c r="G501" s="1">
        <v>14903</v>
      </c>
    </row>
    <row r="502" spans="1:7" x14ac:dyDescent="0.25">
      <c r="A502" s="1" t="str">
        <f t="shared" si="7"/>
        <v>04 Testo+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2575</v>
      </c>
    </row>
    <row r="503" spans="1:7" x14ac:dyDescent="0.25">
      <c r="A503" s="1" t="str">
        <f t="shared" si="7"/>
        <v>04 Testo+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2576</v>
      </c>
      <c r="D503" s="1" t="s">
        <v>295</v>
      </c>
      <c r="E503" s="1" t="s">
        <v>2577</v>
      </c>
      <c r="F503" s="1" t="s">
        <v>112</v>
      </c>
      <c r="G503" s="1">
        <v>215607</v>
      </c>
    </row>
    <row r="504" spans="1:7" x14ac:dyDescent="0.25">
      <c r="A504" s="1" t="str">
        <f t="shared" si="7"/>
        <v>04 Testo+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2578</v>
      </c>
      <c r="D504" s="1" t="s">
        <v>2579</v>
      </c>
      <c r="E504" s="1" t="s">
        <v>2580</v>
      </c>
      <c r="F504" s="1" t="s">
        <v>112</v>
      </c>
      <c r="G504" s="1">
        <v>127681</v>
      </c>
    </row>
    <row r="505" spans="1:7" x14ac:dyDescent="0.25">
      <c r="A505" s="1" t="str">
        <f t="shared" si="7"/>
        <v>04 Testo+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2581</v>
      </c>
      <c r="D505" s="1" t="s">
        <v>2582</v>
      </c>
      <c r="E505" s="1" t="s">
        <v>2583</v>
      </c>
      <c r="F505" s="1" t="s">
        <v>112</v>
      </c>
      <c r="G505" s="1">
        <v>173082</v>
      </c>
    </row>
    <row r="506" spans="1:7" x14ac:dyDescent="0.25">
      <c r="A506" s="1" t="str">
        <f t="shared" si="7"/>
        <v>04 Testo+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2584</v>
      </c>
    </row>
    <row r="507" spans="1:7" x14ac:dyDescent="0.25">
      <c r="A507" s="1" t="str">
        <f t="shared" si="7"/>
        <v>04 Testo+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2585</v>
      </c>
      <c r="D507" s="1" t="s">
        <v>341</v>
      </c>
      <c r="E507" s="1" t="s">
        <v>2586</v>
      </c>
      <c r="F507" s="1" t="s">
        <v>112</v>
      </c>
      <c r="G507" s="1">
        <v>31493</v>
      </c>
    </row>
    <row r="508" spans="1:7" x14ac:dyDescent="0.25">
      <c r="A508" s="1" t="str">
        <f t="shared" si="7"/>
        <v>04 Testo+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2587</v>
      </c>
      <c r="D508" s="1" t="s">
        <v>725</v>
      </c>
      <c r="E508" s="1" t="s">
        <v>2588</v>
      </c>
      <c r="F508" s="1" t="s">
        <v>112</v>
      </c>
      <c r="G508" s="1">
        <v>20310</v>
      </c>
    </row>
    <row r="509" spans="1:7" x14ac:dyDescent="0.25">
      <c r="A509" s="1" t="str">
        <f t="shared" si="7"/>
        <v>04 Testo+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2589</v>
      </c>
      <c r="D509" s="1" t="s">
        <v>2590</v>
      </c>
      <c r="E509" s="1" t="s">
        <v>2591</v>
      </c>
      <c r="F509" s="1" t="s">
        <v>112</v>
      </c>
      <c r="G509" s="1">
        <v>291117</v>
      </c>
    </row>
    <row r="510" spans="1:7" x14ac:dyDescent="0.25">
      <c r="A510" s="1" t="str">
        <f t="shared" si="7"/>
        <v>04 Testo+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2592</v>
      </c>
      <c r="D510" s="1" t="s">
        <v>2593</v>
      </c>
      <c r="E510" s="1" t="s">
        <v>2594</v>
      </c>
      <c r="F510" s="1" t="s">
        <v>112</v>
      </c>
      <c r="G510" s="1">
        <v>267605</v>
      </c>
    </row>
    <row r="511" spans="1:7" x14ac:dyDescent="0.25">
      <c r="A511" s="1" t="str">
        <f t="shared" si="7"/>
        <v>04 Testo+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2595</v>
      </c>
      <c r="D511" s="1" t="s">
        <v>1547</v>
      </c>
      <c r="E511" s="1" t="s">
        <v>2596</v>
      </c>
      <c r="F511" s="1" t="s">
        <v>112</v>
      </c>
      <c r="G511" s="1">
        <v>338292</v>
      </c>
    </row>
    <row r="512" spans="1:7" x14ac:dyDescent="0.25">
      <c r="A512" s="1" t="str">
        <f t="shared" si="7"/>
        <v>04 Testo+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2597</v>
      </c>
      <c r="D512" s="1" t="s">
        <v>366</v>
      </c>
      <c r="E512" s="1" t="s">
        <v>2598</v>
      </c>
      <c r="F512" s="1" t="s">
        <v>112</v>
      </c>
      <c r="G512" s="1">
        <v>125151</v>
      </c>
    </row>
    <row r="513" spans="1:10" x14ac:dyDescent="0.25">
      <c r="A513" s="1" t="str">
        <f t="shared" si="7"/>
        <v>04 Testo+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2599</v>
      </c>
      <c r="D513" s="1" t="s">
        <v>2600</v>
      </c>
      <c r="E513" s="1" t="s">
        <v>2601</v>
      </c>
      <c r="F513" s="1" t="s">
        <v>112</v>
      </c>
      <c r="G513" s="1">
        <v>253611</v>
      </c>
    </row>
    <row r="514" spans="1:10" x14ac:dyDescent="0.25">
      <c r="A514" s="1" t="str">
        <f t="shared" ref="A514:A577" si="8">IFERROR(LEFT(RIGHT(C514,LEN(C514)-SEARCH("@",C514)),SEARCH("/",RIGHT(C514,LEN(C514)-SEARCH("@",C514)-1))),"")</f>
        <v>04 Testo+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2602</v>
      </c>
      <c r="D514" s="1" t="s">
        <v>412</v>
      </c>
      <c r="E514" s="1" t="s">
        <v>2603</v>
      </c>
      <c r="F514" s="1" t="s">
        <v>112</v>
      </c>
      <c r="G514" s="1">
        <v>188202</v>
      </c>
    </row>
    <row r="515" spans="1:10" x14ac:dyDescent="0.25">
      <c r="A515" s="1" t="str">
        <f t="shared" si="8"/>
        <v>04 Testo+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2604</v>
      </c>
      <c r="D515" s="1" t="s">
        <v>1709</v>
      </c>
      <c r="E515" s="1" t="s">
        <v>2605</v>
      </c>
      <c r="F515" s="1" t="s">
        <v>112</v>
      </c>
      <c r="G515" s="1">
        <v>332906</v>
      </c>
    </row>
    <row r="516" spans="1:10" x14ac:dyDescent="0.25">
      <c r="A516" s="1" t="str">
        <f t="shared" si="8"/>
        <v>04 Testo+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2606</v>
      </c>
      <c r="D516" s="1" t="s">
        <v>1274</v>
      </c>
      <c r="E516" s="1" t="s">
        <v>2607</v>
      </c>
      <c r="F516" s="1" t="s">
        <v>112</v>
      </c>
      <c r="G516" s="1">
        <v>412006</v>
      </c>
    </row>
    <row r="517" spans="1:10" x14ac:dyDescent="0.25">
      <c r="A517" s="1" t="str">
        <f t="shared" si="8"/>
        <v>04 Testo+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2608</v>
      </c>
      <c r="D517" s="1" t="s">
        <v>2579</v>
      </c>
      <c r="E517" s="1" t="s">
        <v>2609</v>
      </c>
      <c r="F517" s="1" t="s">
        <v>112</v>
      </c>
      <c r="G517" s="1">
        <v>129109</v>
      </c>
    </row>
    <row r="518" spans="1:10" x14ac:dyDescent="0.25">
      <c r="A518" s="1" t="str">
        <f t="shared" si="8"/>
        <v>04 Testo+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2610</v>
      </c>
      <c r="D518" s="1" t="s">
        <v>2611</v>
      </c>
      <c r="E518" s="1" t="s">
        <v>2612</v>
      </c>
      <c r="F518" s="1" t="s">
        <v>112</v>
      </c>
      <c r="G518" s="1">
        <v>359727</v>
      </c>
    </row>
    <row r="519" spans="1:10" x14ac:dyDescent="0.25">
      <c r="A519" s="1" t="str">
        <f t="shared" si="8"/>
        <v>04 Testo+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2613</v>
      </c>
    </row>
    <row r="520" spans="1:10" x14ac:dyDescent="0.25">
      <c r="A520" s="1" t="str">
        <f t="shared" si="8"/>
        <v>04 Testo+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2614</v>
      </c>
      <c r="D520" s="1" t="s">
        <v>837</v>
      </c>
      <c r="E520" s="1" t="s">
        <v>2615</v>
      </c>
      <c r="F520" s="1" t="s">
        <v>112</v>
      </c>
      <c r="G520" s="1">
        <v>60001</v>
      </c>
    </row>
    <row r="521" spans="1:10" x14ac:dyDescent="0.2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10" x14ac:dyDescent="0.2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243</v>
      </c>
      <c r="D522" s="1" t="s">
        <v>112</v>
      </c>
      <c r="E522" s="1" t="s">
        <v>244</v>
      </c>
      <c r="F522" s="1" t="s">
        <v>245</v>
      </c>
      <c r="G522" s="1" t="s">
        <v>246</v>
      </c>
      <c r="H522" s="1" t="s">
        <v>247</v>
      </c>
      <c r="I522" s="1" t="s">
        <v>248</v>
      </c>
      <c r="J522" s="1" t="s">
        <v>249</v>
      </c>
    </row>
    <row r="523" spans="1:10" x14ac:dyDescent="0.25">
      <c r="A523" s="1" t="str">
        <f t="shared" si="8"/>
        <v>04 Testo+ FAD</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2616</v>
      </c>
      <c r="D523" s="1" t="s">
        <v>112</v>
      </c>
      <c r="E523" s="1" t="s">
        <v>2617</v>
      </c>
      <c r="F523" s="1" t="s">
        <v>2618</v>
      </c>
      <c r="G523" s="1" t="s">
        <v>2619</v>
      </c>
      <c r="H523" s="1" t="s">
        <v>2620</v>
      </c>
      <c r="I523" s="1">
        <v>24</v>
      </c>
      <c r="J523" s="1">
        <v>24</v>
      </c>
    </row>
    <row r="524" spans="1:10" x14ac:dyDescent="0.2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10" x14ac:dyDescent="0.2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10" x14ac:dyDescent="0.2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10" x14ac:dyDescent="0.2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10" x14ac:dyDescent="0.2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2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255</v>
      </c>
      <c r="D529" s="1" t="s">
        <v>110</v>
      </c>
      <c r="E529" s="1" t="s">
        <v>111</v>
      </c>
      <c r="F529" s="1" t="s">
        <v>112</v>
      </c>
      <c r="G529" s="1" t="s">
        <v>113</v>
      </c>
    </row>
    <row r="530" spans="1:7" x14ac:dyDescent="0.25">
      <c r="A530" s="1" t="str">
        <f t="shared" si="8"/>
        <v>05 Fadrozole 0.016 µg_L Dopé</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2621</v>
      </c>
      <c r="D530" s="1" t="s">
        <v>2622</v>
      </c>
      <c r="E530" s="1" t="s">
        <v>2623</v>
      </c>
      <c r="F530" s="1" t="s">
        <v>112</v>
      </c>
      <c r="G530" s="1">
        <v>694125</v>
      </c>
    </row>
    <row r="531" spans="1:7" x14ac:dyDescent="0.25">
      <c r="A531" s="1" t="str">
        <f t="shared" si="8"/>
        <v>05 Fadrozole 0.016 µg_L Dopé</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2624</v>
      </c>
      <c r="D531" s="1" t="s">
        <v>2625</v>
      </c>
      <c r="E531" s="1" t="s">
        <v>2626</v>
      </c>
      <c r="F531" s="1" t="s">
        <v>112</v>
      </c>
      <c r="G531" s="1">
        <v>1218044</v>
      </c>
    </row>
    <row r="532" spans="1:7" x14ac:dyDescent="0.25">
      <c r="A532" s="1" t="str">
        <f t="shared" si="8"/>
        <v>05 Fadrozole 0.016 µg_L Dopé</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2627</v>
      </c>
      <c r="D532" s="1" t="s">
        <v>2628</v>
      </c>
      <c r="E532" s="1" t="s">
        <v>2629</v>
      </c>
      <c r="F532" s="1" t="s">
        <v>112</v>
      </c>
      <c r="G532" s="1">
        <v>720427</v>
      </c>
    </row>
    <row r="533" spans="1:7" x14ac:dyDescent="0.25">
      <c r="A533" s="1" t="str">
        <f t="shared" si="8"/>
        <v>05 Fadrozole 0.016 µg_L Dopé</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2630</v>
      </c>
    </row>
    <row r="534" spans="1:7" x14ac:dyDescent="0.25">
      <c r="A534" s="1" t="str">
        <f t="shared" si="8"/>
        <v>05 Fadrozole 0.016 µg_L Dopé</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2631</v>
      </c>
      <c r="D534" s="1" t="s">
        <v>2101</v>
      </c>
      <c r="E534" s="1" t="s">
        <v>2632</v>
      </c>
      <c r="F534" s="1" t="s">
        <v>112</v>
      </c>
      <c r="G534" s="1">
        <v>242060</v>
      </c>
    </row>
    <row r="535" spans="1:7" x14ac:dyDescent="0.25">
      <c r="A535" s="1" t="str">
        <f t="shared" si="8"/>
        <v>05 Fadrozole 0.016 µg_L Dopé</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2633</v>
      </c>
      <c r="D535" s="1" t="s">
        <v>176</v>
      </c>
      <c r="E535" s="1" t="s">
        <v>2634</v>
      </c>
      <c r="F535" s="1" t="s">
        <v>112</v>
      </c>
      <c r="G535" s="1">
        <v>127141</v>
      </c>
    </row>
    <row r="536" spans="1:7" x14ac:dyDescent="0.25">
      <c r="A536" s="1" t="str">
        <f t="shared" si="8"/>
        <v>05 Fadrozole 0.016 µg_L Dopé</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2635</v>
      </c>
      <c r="D536" s="1" t="s">
        <v>2636</v>
      </c>
      <c r="E536" s="1" t="s">
        <v>2637</v>
      </c>
      <c r="F536" s="1" t="s">
        <v>112</v>
      </c>
      <c r="G536" s="1">
        <v>2125029</v>
      </c>
    </row>
    <row r="537" spans="1:7" x14ac:dyDescent="0.25">
      <c r="A537" s="1" t="str">
        <f t="shared" si="8"/>
        <v>05 Fadrozole 0.016 µg_L Dopé</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2638</v>
      </c>
      <c r="D537" s="1" t="s">
        <v>2639</v>
      </c>
      <c r="E537" s="1" t="s">
        <v>2640</v>
      </c>
      <c r="F537" s="1" t="s">
        <v>112</v>
      </c>
      <c r="G537" s="1">
        <v>2293785</v>
      </c>
    </row>
    <row r="538" spans="1:7" x14ac:dyDescent="0.25">
      <c r="A538" s="1" t="str">
        <f t="shared" si="8"/>
        <v>05 Fadrozole 0.016 µg_L Dopé</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2641</v>
      </c>
      <c r="D538" s="1" t="s">
        <v>2642</v>
      </c>
      <c r="E538" s="1" t="s">
        <v>2643</v>
      </c>
      <c r="F538" s="1" t="s">
        <v>112</v>
      </c>
      <c r="G538" s="1">
        <v>2054169</v>
      </c>
    </row>
    <row r="539" spans="1:7" x14ac:dyDescent="0.25">
      <c r="A539" s="1" t="str">
        <f t="shared" si="8"/>
        <v>05 Fadrozole 0.016 µg_L Dopé</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2644</v>
      </c>
      <c r="D539" s="1" t="s">
        <v>2645</v>
      </c>
      <c r="E539" s="1" t="s">
        <v>2646</v>
      </c>
      <c r="F539" s="1" t="s">
        <v>112</v>
      </c>
      <c r="G539" s="1">
        <v>695682</v>
      </c>
    </row>
    <row r="540" spans="1:7" x14ac:dyDescent="0.25">
      <c r="A540" s="1" t="str">
        <f t="shared" si="8"/>
        <v>05 Fadrozole 0.016 µg_L Dopé</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2647</v>
      </c>
      <c r="D540" s="1" t="s">
        <v>2648</v>
      </c>
      <c r="E540" s="1" t="s">
        <v>2649</v>
      </c>
      <c r="F540" s="1" t="s">
        <v>112</v>
      </c>
      <c r="G540" s="1">
        <v>713895</v>
      </c>
    </row>
    <row r="541" spans="1:7" x14ac:dyDescent="0.25">
      <c r="A541" s="1" t="str">
        <f t="shared" si="8"/>
        <v>05 Fadrozole 0.016 µg_L Dopé</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2650</v>
      </c>
      <c r="D541" s="1" t="s">
        <v>2651</v>
      </c>
      <c r="E541" s="1" t="s">
        <v>2652</v>
      </c>
      <c r="F541" s="1" t="s">
        <v>112</v>
      </c>
      <c r="G541" s="1">
        <v>531771</v>
      </c>
    </row>
    <row r="542" spans="1:7" x14ac:dyDescent="0.25">
      <c r="A542" s="1" t="str">
        <f t="shared" si="8"/>
        <v>05 Fadrozole 0.016 µg_L Dopé</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2653</v>
      </c>
      <c r="D542" s="1" t="s">
        <v>2654</v>
      </c>
      <c r="E542" s="1" t="s">
        <v>2655</v>
      </c>
      <c r="F542" s="1" t="s">
        <v>112</v>
      </c>
      <c r="G542" s="1">
        <v>2823242</v>
      </c>
    </row>
    <row r="543" spans="1:7" x14ac:dyDescent="0.25">
      <c r="A543" s="1" t="str">
        <f t="shared" si="8"/>
        <v>05 Fadrozole 0.016 µg_L Dopé</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2656</v>
      </c>
      <c r="D543" s="1" t="s">
        <v>1973</v>
      </c>
      <c r="E543" s="1" t="s">
        <v>2657</v>
      </c>
      <c r="F543" s="1" t="s">
        <v>112</v>
      </c>
      <c r="G543" s="1">
        <v>2676505</v>
      </c>
    </row>
    <row r="544" spans="1:7" x14ac:dyDescent="0.25">
      <c r="A544" s="1" t="str">
        <f t="shared" si="8"/>
        <v>05 Fadrozole 0.016 µg_L Dopé</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2658</v>
      </c>
      <c r="D544" s="1" t="s">
        <v>581</v>
      </c>
      <c r="E544" s="1" t="s">
        <v>2659</v>
      </c>
      <c r="F544" s="1" t="s">
        <v>112</v>
      </c>
      <c r="G544" s="1">
        <v>2989381</v>
      </c>
    </row>
    <row r="545" spans="1:10" x14ac:dyDescent="0.25">
      <c r="A545" s="1" t="str">
        <f t="shared" si="8"/>
        <v>05 Fadrozole 0.016 µg_L Dopé</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2660</v>
      </c>
      <c r="D545" s="1" t="s">
        <v>2661</v>
      </c>
      <c r="E545" s="1" t="s">
        <v>2662</v>
      </c>
      <c r="F545" s="1" t="s">
        <v>112</v>
      </c>
      <c r="G545" s="1">
        <v>433896</v>
      </c>
    </row>
    <row r="546" spans="1:10" x14ac:dyDescent="0.25">
      <c r="A546" s="1" t="str">
        <f t="shared" si="8"/>
        <v>05 Fadrozole 0.016 µg_L Dopé</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2663</v>
      </c>
    </row>
    <row r="547" spans="1:10" x14ac:dyDescent="0.25">
      <c r="A547" s="1" t="str">
        <f t="shared" si="8"/>
        <v>05 Fadrozole 0.016 µg_L Dopé</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2664</v>
      </c>
      <c r="D547" s="1" t="s">
        <v>2665</v>
      </c>
      <c r="E547" s="1" t="s">
        <v>2666</v>
      </c>
      <c r="F547" s="1" t="s">
        <v>112</v>
      </c>
      <c r="G547" s="1">
        <v>557575</v>
      </c>
    </row>
    <row r="548" spans="1:10" x14ac:dyDescent="0.25">
      <c r="A548" s="1" t="str">
        <f t="shared" si="8"/>
        <v>05 Fadrozole 0.016 µg_L Dopé</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2667</v>
      </c>
      <c r="D548" s="1" t="s">
        <v>2668</v>
      </c>
      <c r="E548" s="1" t="s">
        <v>2669</v>
      </c>
      <c r="F548" s="1" t="s">
        <v>112</v>
      </c>
      <c r="G548" s="1">
        <v>3321854</v>
      </c>
    </row>
    <row r="549" spans="1:10" x14ac:dyDescent="0.25">
      <c r="A549" s="1" t="str">
        <f t="shared" si="8"/>
        <v>05 Fadrozole 0.016 µg_L Dopé</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2670</v>
      </c>
      <c r="D549" s="1" t="s">
        <v>2671</v>
      </c>
      <c r="E549" s="1" t="s">
        <v>2672</v>
      </c>
      <c r="F549" s="1" t="s">
        <v>112</v>
      </c>
      <c r="G549" s="1">
        <v>2899076</v>
      </c>
    </row>
    <row r="550" spans="1:10" x14ac:dyDescent="0.25">
      <c r="A550" s="1" t="str">
        <f t="shared" si="8"/>
        <v>05 Fadrozole 0.016 µg_L Dopé</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2673</v>
      </c>
      <c r="D550" s="1" t="s">
        <v>2674</v>
      </c>
      <c r="E550" s="1" t="s">
        <v>2675</v>
      </c>
      <c r="F550" s="1" t="s">
        <v>112</v>
      </c>
      <c r="G550" s="1">
        <v>2809940</v>
      </c>
    </row>
    <row r="551" spans="1:10" x14ac:dyDescent="0.25">
      <c r="A551" s="1" t="str">
        <f t="shared" si="8"/>
        <v>05 Fadrozole 0.016 µg_L Dopé</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2676</v>
      </c>
      <c r="D551" s="1" t="s">
        <v>2071</v>
      </c>
      <c r="E551" s="1" t="s">
        <v>2677</v>
      </c>
      <c r="F551" s="1" t="s">
        <v>112</v>
      </c>
      <c r="G551" s="1">
        <v>383044</v>
      </c>
    </row>
    <row r="552" spans="1:10" x14ac:dyDescent="0.25">
      <c r="A552" s="1" t="str">
        <f t="shared" si="8"/>
        <v>05 Fadrozole 0.016 µg_L Dopé</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2678</v>
      </c>
      <c r="D552" s="1" t="s">
        <v>2679</v>
      </c>
      <c r="E552" s="1" t="s">
        <v>2680</v>
      </c>
      <c r="F552" s="1" t="s">
        <v>112</v>
      </c>
      <c r="G552" s="1">
        <v>604664</v>
      </c>
    </row>
    <row r="553" spans="1:10" x14ac:dyDescent="0.25">
      <c r="A553" s="1" t="str">
        <f t="shared" si="8"/>
        <v>05 Fadrozole 0.016 µg_L Dopé</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2681</v>
      </c>
      <c r="D553" s="1" t="s">
        <v>1374</v>
      </c>
      <c r="E553" s="1" t="s">
        <v>2682</v>
      </c>
      <c r="F553" s="1" t="s">
        <v>112</v>
      </c>
      <c r="G553" s="1">
        <v>106030</v>
      </c>
    </row>
    <row r="554" spans="1:10" x14ac:dyDescent="0.2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10" x14ac:dyDescent="0.2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243</v>
      </c>
      <c r="D555" s="1" t="s">
        <v>112</v>
      </c>
      <c r="E555" s="1" t="s">
        <v>244</v>
      </c>
      <c r="F555" s="1" t="s">
        <v>245</v>
      </c>
      <c r="G555" s="1" t="s">
        <v>246</v>
      </c>
      <c r="H555" s="1" t="s">
        <v>247</v>
      </c>
      <c r="I555" s="1" t="s">
        <v>248</v>
      </c>
      <c r="J555" s="1" t="s">
        <v>249</v>
      </c>
    </row>
    <row r="556" spans="1:10" x14ac:dyDescent="0.25">
      <c r="A556" s="1" t="str">
        <f t="shared" si="8"/>
        <v>05 Fadrozole 0.016 µg_L Dopé</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2683</v>
      </c>
      <c r="D556" s="1" t="s">
        <v>112</v>
      </c>
      <c r="E556" s="1" t="s">
        <v>2684</v>
      </c>
      <c r="F556" s="1" t="s">
        <v>2685</v>
      </c>
      <c r="G556" s="1" t="s">
        <v>2686</v>
      </c>
      <c r="H556" s="1" t="s">
        <v>2687</v>
      </c>
      <c r="I556" s="1">
        <v>24</v>
      </c>
      <c r="J556" s="1">
        <v>24</v>
      </c>
    </row>
    <row r="557" spans="1:10" x14ac:dyDescent="0.2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10" x14ac:dyDescent="0.2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10" x14ac:dyDescent="0.2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10" x14ac:dyDescent="0.2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2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2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255</v>
      </c>
      <c r="D562" s="1" t="s">
        <v>110</v>
      </c>
      <c r="E562" s="1" t="s">
        <v>111</v>
      </c>
      <c r="F562" s="1" t="s">
        <v>112</v>
      </c>
      <c r="G562" s="1" t="s">
        <v>113</v>
      </c>
    </row>
    <row r="563" spans="1:7" x14ac:dyDescent="0.25">
      <c r="A563" s="1" t="str">
        <f t="shared" si="8"/>
        <v>06  Fadrozole 0.08 µg_L Dopé</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2688</v>
      </c>
      <c r="D563" s="1" t="s">
        <v>2689</v>
      </c>
      <c r="E563" s="1" t="s">
        <v>258</v>
      </c>
      <c r="F563" s="1" t="s">
        <v>112</v>
      </c>
      <c r="G563" s="1">
        <v>1558304</v>
      </c>
    </row>
    <row r="564" spans="1:7" x14ac:dyDescent="0.25">
      <c r="A564" s="1" t="str">
        <f t="shared" si="8"/>
        <v>06  Fadrozole 0.08 µg_L Dopé</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2690</v>
      </c>
      <c r="D564" s="1" t="s">
        <v>2691</v>
      </c>
      <c r="E564" s="1" t="s">
        <v>2692</v>
      </c>
      <c r="F564" s="1" t="s">
        <v>112</v>
      </c>
      <c r="G564" s="1">
        <v>1408842</v>
      </c>
    </row>
    <row r="565" spans="1:7" x14ac:dyDescent="0.25">
      <c r="A565" s="1" t="str">
        <f t="shared" si="8"/>
        <v>06  Fadrozole 0.08 µg_L Dopé</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2693</v>
      </c>
      <c r="D565" s="1" t="s">
        <v>2694</v>
      </c>
      <c r="E565" s="1" t="s">
        <v>2695</v>
      </c>
      <c r="F565" s="1" t="s">
        <v>112</v>
      </c>
      <c r="G565" s="1">
        <v>1272833</v>
      </c>
    </row>
    <row r="566" spans="1:7" x14ac:dyDescent="0.25">
      <c r="A566" s="1" t="str">
        <f t="shared" si="8"/>
        <v>06  Fadrozole 0.08 µg_L Dopé</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2696</v>
      </c>
      <c r="D566" s="1" t="s">
        <v>2697</v>
      </c>
      <c r="E566" s="1" t="s">
        <v>2698</v>
      </c>
      <c r="F566" s="1" t="s">
        <v>112</v>
      </c>
      <c r="G566" s="1">
        <v>2413420</v>
      </c>
    </row>
    <row r="567" spans="1:7" x14ac:dyDescent="0.25">
      <c r="A567" s="1" t="str">
        <f t="shared" si="8"/>
        <v>06  Fadrozole 0.08 µg_L Dopé</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2699</v>
      </c>
      <c r="D567" s="1" t="s">
        <v>2700</v>
      </c>
      <c r="E567" s="1" t="s">
        <v>2701</v>
      </c>
      <c r="F567" s="1" t="s">
        <v>112</v>
      </c>
      <c r="G567" s="1">
        <v>1976583</v>
      </c>
    </row>
    <row r="568" spans="1:7" x14ac:dyDescent="0.25">
      <c r="A568" s="1" t="str">
        <f t="shared" si="8"/>
        <v>06  Fadrozole 0.08 µg_L Dopé</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2702</v>
      </c>
      <c r="D568" s="1" t="s">
        <v>2703</v>
      </c>
      <c r="E568" s="1" t="s">
        <v>2704</v>
      </c>
      <c r="F568" s="1" t="s">
        <v>112</v>
      </c>
      <c r="G568" s="1">
        <v>1912212</v>
      </c>
    </row>
    <row r="569" spans="1:7" x14ac:dyDescent="0.25">
      <c r="A569" s="1" t="str">
        <f t="shared" si="8"/>
        <v>06  Fadrozole 0.08 µg_L Dopé</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2705</v>
      </c>
      <c r="D569" s="1" t="s">
        <v>2706</v>
      </c>
      <c r="E569" s="1" t="s">
        <v>2707</v>
      </c>
      <c r="F569" s="1" t="s">
        <v>112</v>
      </c>
      <c r="G569" s="1">
        <v>1162347</v>
      </c>
    </row>
    <row r="570" spans="1:7" x14ac:dyDescent="0.25">
      <c r="A570" s="1" t="str">
        <f t="shared" si="8"/>
        <v>06  Fadrozole 0.08 µg_L Dopé</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2708</v>
      </c>
      <c r="D570" s="1" t="s">
        <v>2709</v>
      </c>
      <c r="E570" s="1" t="s">
        <v>2710</v>
      </c>
      <c r="F570" s="1" t="s">
        <v>112</v>
      </c>
      <c r="G570" s="1">
        <v>738747</v>
      </c>
    </row>
    <row r="571" spans="1:7" x14ac:dyDescent="0.25">
      <c r="A571" s="1" t="str">
        <f t="shared" si="8"/>
        <v>06  Fadrozole 0.08 µg_L Dopé</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2711</v>
      </c>
      <c r="D571" s="1" t="s">
        <v>2712</v>
      </c>
      <c r="E571" s="1" t="s">
        <v>2713</v>
      </c>
      <c r="F571" s="1" t="s">
        <v>112</v>
      </c>
      <c r="G571" s="1">
        <v>828771</v>
      </c>
    </row>
    <row r="572" spans="1:7" x14ac:dyDescent="0.25">
      <c r="A572" s="1" t="str">
        <f t="shared" si="8"/>
        <v>06  Fadrozole 0.08 µg_L Dopé</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2714</v>
      </c>
      <c r="D572" s="1" t="s">
        <v>2715</v>
      </c>
      <c r="E572" s="1" t="s">
        <v>2716</v>
      </c>
      <c r="F572" s="1" t="s">
        <v>112</v>
      </c>
      <c r="G572" s="1">
        <v>2282949</v>
      </c>
    </row>
    <row r="573" spans="1:7" x14ac:dyDescent="0.25">
      <c r="A573" s="1" t="str">
        <f t="shared" si="8"/>
        <v>06  Fadrozole 0.08 µg_L Dopé</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2717</v>
      </c>
      <c r="D573" s="1" t="s">
        <v>2718</v>
      </c>
      <c r="E573" s="1" t="s">
        <v>2719</v>
      </c>
      <c r="F573" s="1" t="s">
        <v>112</v>
      </c>
      <c r="G573" s="1">
        <v>2567382</v>
      </c>
    </row>
    <row r="574" spans="1:7" x14ac:dyDescent="0.25">
      <c r="A574" s="1" t="str">
        <f t="shared" si="8"/>
        <v>06  Fadrozole 0.08 µg_L Dopé</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2720</v>
      </c>
      <c r="D574" s="1" t="s">
        <v>2721</v>
      </c>
      <c r="E574" s="1" t="s">
        <v>2722</v>
      </c>
      <c r="F574" s="1" t="s">
        <v>112</v>
      </c>
      <c r="G574" s="1">
        <v>2355322</v>
      </c>
    </row>
    <row r="575" spans="1:7" x14ac:dyDescent="0.25">
      <c r="A575" s="1" t="str">
        <f t="shared" si="8"/>
        <v>06  Fadrozole 0.08 µg_L Dopé</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2723</v>
      </c>
      <c r="D575" s="1" t="s">
        <v>2724</v>
      </c>
      <c r="E575" s="1" t="s">
        <v>2725</v>
      </c>
      <c r="F575" s="1" t="s">
        <v>112</v>
      </c>
      <c r="G575" s="1">
        <v>2381322</v>
      </c>
    </row>
    <row r="576" spans="1:7" x14ac:dyDescent="0.25">
      <c r="A576" s="1" t="str">
        <f t="shared" si="8"/>
        <v>06  Fadrozole 0.08 µg_L Dopé</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2726</v>
      </c>
      <c r="D576" s="1" t="s">
        <v>2727</v>
      </c>
      <c r="E576" s="1" t="s">
        <v>2728</v>
      </c>
      <c r="F576" s="1" t="s">
        <v>112</v>
      </c>
      <c r="G576" s="1">
        <v>1694767</v>
      </c>
    </row>
    <row r="577" spans="1:10" x14ac:dyDescent="0.25">
      <c r="A577" s="1" t="str">
        <f t="shared" si="8"/>
        <v>06  Fadrozole 0.08 µg_L Dopé</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2729</v>
      </c>
      <c r="D577" s="1" t="s">
        <v>2730</v>
      </c>
      <c r="E577" s="1" t="s">
        <v>2731</v>
      </c>
      <c r="F577" s="1" t="s">
        <v>112</v>
      </c>
      <c r="G577" s="1">
        <v>1838195</v>
      </c>
    </row>
    <row r="578" spans="1:10" x14ac:dyDescent="0.25">
      <c r="A578" s="1" t="str">
        <f t="shared" ref="A578:A641" si="9">IFERROR(LEFT(RIGHT(C578,LEN(C578)-SEARCH("@",C578)),SEARCH("/",RIGHT(C578,LEN(C578)-SEARCH("@",C578)-1))),"")</f>
        <v>06  Fadrozole 0.08 µg_L Dopé</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2732</v>
      </c>
      <c r="D578" s="1" t="s">
        <v>2733</v>
      </c>
      <c r="E578" s="1" t="s">
        <v>2734</v>
      </c>
      <c r="F578" s="1" t="s">
        <v>112</v>
      </c>
      <c r="G578" s="1">
        <v>916177</v>
      </c>
    </row>
    <row r="579" spans="1:10" x14ac:dyDescent="0.25">
      <c r="A579" s="1" t="str">
        <f t="shared" si="9"/>
        <v>06  Fadrozole 0.08 µg_L Dopé</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2735</v>
      </c>
      <c r="D579" s="1" t="s">
        <v>2736</v>
      </c>
      <c r="E579" s="1" t="s">
        <v>2737</v>
      </c>
      <c r="F579" s="1" t="s">
        <v>112</v>
      </c>
      <c r="G579" s="1">
        <v>975725</v>
      </c>
    </row>
    <row r="580" spans="1:10" x14ac:dyDescent="0.25">
      <c r="A580" s="1" t="str">
        <f t="shared" si="9"/>
        <v>06  Fadrozole 0.08 µg_L Dopé</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2738</v>
      </c>
      <c r="D580" s="1" t="s">
        <v>486</v>
      </c>
      <c r="E580" s="1" t="s">
        <v>2739</v>
      </c>
      <c r="F580" s="1" t="s">
        <v>112</v>
      </c>
      <c r="G580" s="1">
        <v>778417</v>
      </c>
    </row>
    <row r="581" spans="1:10" x14ac:dyDescent="0.25">
      <c r="A581" s="1" t="str">
        <f t="shared" si="9"/>
        <v>06  Fadrozole 0.08 µg_L Dopé</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2740</v>
      </c>
      <c r="D581" s="1" t="s">
        <v>2741</v>
      </c>
      <c r="E581" s="1" t="s">
        <v>2742</v>
      </c>
      <c r="F581" s="1" t="s">
        <v>112</v>
      </c>
      <c r="G581" s="1">
        <v>2042468</v>
      </c>
    </row>
    <row r="582" spans="1:10" x14ac:dyDescent="0.25">
      <c r="A582" s="1" t="str">
        <f t="shared" si="9"/>
        <v>06  Fadrozole 0.08 µg_L Dopé</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2743</v>
      </c>
      <c r="D582" s="1" t="s">
        <v>2744</v>
      </c>
      <c r="E582" s="1" t="s">
        <v>2745</v>
      </c>
      <c r="F582" s="1" t="s">
        <v>112</v>
      </c>
      <c r="G582" s="1">
        <v>1615731</v>
      </c>
    </row>
    <row r="583" spans="1:10" x14ac:dyDescent="0.25">
      <c r="A583" s="1" t="str">
        <f t="shared" si="9"/>
        <v>06  Fadrozole 0.08 µg_L Dopé</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2746</v>
      </c>
      <c r="D583" s="1" t="s">
        <v>2747</v>
      </c>
      <c r="E583" s="1" t="s">
        <v>2748</v>
      </c>
      <c r="F583" s="1" t="s">
        <v>112</v>
      </c>
      <c r="G583" s="1">
        <v>1633901</v>
      </c>
    </row>
    <row r="584" spans="1:10" x14ac:dyDescent="0.25">
      <c r="A584" s="1" t="str">
        <f t="shared" si="9"/>
        <v>06  Fadrozole 0.08 µg_L Dopé</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2749</v>
      </c>
      <c r="D584" s="1" t="s">
        <v>1958</v>
      </c>
      <c r="E584" s="1" t="s">
        <v>2750</v>
      </c>
      <c r="F584" s="1" t="s">
        <v>112</v>
      </c>
      <c r="G584" s="1">
        <v>2316778</v>
      </c>
    </row>
    <row r="585" spans="1:10" x14ac:dyDescent="0.25">
      <c r="A585" s="1" t="str">
        <f t="shared" si="9"/>
        <v>06  Fadrozole 0.08 µg_L Dopé</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2751</v>
      </c>
      <c r="D585" s="1" t="s">
        <v>1307</v>
      </c>
      <c r="E585" s="1" t="s">
        <v>2752</v>
      </c>
      <c r="F585" s="1" t="s">
        <v>112</v>
      </c>
      <c r="G585" s="1">
        <v>2323245</v>
      </c>
    </row>
    <row r="586" spans="1:10" x14ac:dyDescent="0.25">
      <c r="A586" s="1" t="str">
        <f t="shared" si="9"/>
        <v>06  Fadrozole 0.08 µg_L Dopé</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2753</v>
      </c>
      <c r="D586" s="1" t="s">
        <v>2754</v>
      </c>
      <c r="E586" s="1" t="s">
        <v>2755</v>
      </c>
      <c r="F586" s="1" t="s">
        <v>112</v>
      </c>
      <c r="G586" s="1">
        <v>2463623</v>
      </c>
    </row>
    <row r="587" spans="1:10" x14ac:dyDescent="0.2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10" x14ac:dyDescent="0.2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243</v>
      </c>
      <c r="D588" s="1" t="s">
        <v>112</v>
      </c>
      <c r="E588" s="1" t="s">
        <v>244</v>
      </c>
      <c r="F588" s="1" t="s">
        <v>245</v>
      </c>
      <c r="G588" s="1" t="s">
        <v>246</v>
      </c>
      <c r="H588" s="1" t="s">
        <v>247</v>
      </c>
      <c r="I588" s="1" t="s">
        <v>248</v>
      </c>
      <c r="J588" s="1" t="s">
        <v>249</v>
      </c>
    </row>
    <row r="589" spans="1:10" x14ac:dyDescent="0.25">
      <c r="A589" s="1" t="str">
        <f t="shared" si="9"/>
        <v>06  Fadrozole 0.08 µg_L Dopé</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2756</v>
      </c>
      <c r="D589" s="1" t="s">
        <v>112</v>
      </c>
      <c r="E589" s="1" t="s">
        <v>2757</v>
      </c>
      <c r="F589" s="1" t="s">
        <v>2758</v>
      </c>
      <c r="G589" s="1" t="s">
        <v>2759</v>
      </c>
      <c r="H589" s="1" t="s">
        <v>2760</v>
      </c>
      <c r="I589" s="1">
        <v>24</v>
      </c>
      <c r="J589" s="1">
        <v>24</v>
      </c>
    </row>
    <row r="590" spans="1:10" x14ac:dyDescent="0.2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10" x14ac:dyDescent="0.2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10" x14ac:dyDescent="0.2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2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2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2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255</v>
      </c>
      <c r="D595" s="1" t="s">
        <v>110</v>
      </c>
      <c r="E595" s="1" t="s">
        <v>111</v>
      </c>
      <c r="F595" s="1" t="s">
        <v>112</v>
      </c>
      <c r="G595" s="1" t="s">
        <v>113</v>
      </c>
    </row>
    <row r="596" spans="1:7" x14ac:dyDescent="0.25">
      <c r="A596" s="1" t="str">
        <f t="shared" si="9"/>
        <v>07  Fadrozole 0.4 µg_L Dopé</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2761</v>
      </c>
    </row>
    <row r="597" spans="1:7" x14ac:dyDescent="0.25">
      <c r="A597" s="1" t="str">
        <f t="shared" si="9"/>
        <v>07  Fadrozole 0.4 µg_L Dopé</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2762</v>
      </c>
      <c r="D597" s="1" t="s">
        <v>2763</v>
      </c>
      <c r="E597" s="1" t="s">
        <v>410</v>
      </c>
      <c r="F597" s="1" t="s">
        <v>112</v>
      </c>
      <c r="G597" s="1">
        <v>82410</v>
      </c>
    </row>
    <row r="598" spans="1:7" x14ac:dyDescent="0.25">
      <c r="A598" s="1" t="str">
        <f t="shared" si="9"/>
        <v>07  Fadrozole 0.4 µg_L Dopé</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2764</v>
      </c>
      <c r="D598" s="1" t="s">
        <v>2763</v>
      </c>
      <c r="E598" s="1" t="s">
        <v>2765</v>
      </c>
      <c r="F598" s="1" t="s">
        <v>112</v>
      </c>
      <c r="G598" s="1">
        <v>81977</v>
      </c>
    </row>
    <row r="599" spans="1:7" x14ac:dyDescent="0.25">
      <c r="A599" s="1" t="str">
        <f t="shared" si="9"/>
        <v>07  Fadrozole 0.4 µg_L Dopé</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2766</v>
      </c>
      <c r="D599" s="1" t="s">
        <v>865</v>
      </c>
      <c r="E599" s="1" t="s">
        <v>2767</v>
      </c>
      <c r="F599" s="1" t="s">
        <v>112</v>
      </c>
      <c r="G599" s="1">
        <v>26129</v>
      </c>
    </row>
    <row r="600" spans="1:7" x14ac:dyDescent="0.25">
      <c r="A600" s="1" t="str">
        <f t="shared" si="9"/>
        <v>07  Fadrozole 0.4 µg_L Dopé</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2768</v>
      </c>
      <c r="D600" s="1" t="s">
        <v>229</v>
      </c>
      <c r="E600" s="1" t="s">
        <v>2769</v>
      </c>
      <c r="F600" s="1" t="s">
        <v>112</v>
      </c>
      <c r="G600" s="1">
        <v>10837</v>
      </c>
    </row>
    <row r="601" spans="1:7" x14ac:dyDescent="0.25">
      <c r="A601" s="1" t="str">
        <f t="shared" si="9"/>
        <v>07  Fadrozole 0.4 µg_L Dopé</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2770</v>
      </c>
      <c r="D601" s="1" t="s">
        <v>725</v>
      </c>
      <c r="E601" s="1" t="s">
        <v>2771</v>
      </c>
      <c r="F601" s="1" t="s">
        <v>112</v>
      </c>
      <c r="G601" s="1">
        <v>20743</v>
      </c>
    </row>
    <row r="602" spans="1:7" x14ac:dyDescent="0.25">
      <c r="A602" s="1" t="str">
        <f t="shared" si="9"/>
        <v>07  Fadrozole 0.4 µg_L Dopé</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2772</v>
      </c>
      <c r="D602" s="1" t="s">
        <v>2773</v>
      </c>
      <c r="E602" s="1" t="s">
        <v>2774</v>
      </c>
      <c r="F602" s="1" t="s">
        <v>112</v>
      </c>
      <c r="G602" s="1">
        <v>705286</v>
      </c>
    </row>
    <row r="603" spans="1:7" x14ac:dyDescent="0.25">
      <c r="A603" s="1" t="str">
        <f t="shared" si="9"/>
        <v>07  Fadrozole 0.4 µg_L Dopé</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2775</v>
      </c>
    </row>
    <row r="604" spans="1:7" x14ac:dyDescent="0.25">
      <c r="A604" s="1" t="str">
        <f t="shared" si="9"/>
        <v>07  Fadrozole 0.4 µg_L Dopé</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2776</v>
      </c>
      <c r="D604" s="1" t="s">
        <v>2777</v>
      </c>
      <c r="E604" s="1" t="s">
        <v>2778</v>
      </c>
      <c r="F604" s="1" t="s">
        <v>112</v>
      </c>
      <c r="G604" s="1">
        <v>701349</v>
      </c>
    </row>
    <row r="605" spans="1:7" x14ac:dyDescent="0.25">
      <c r="A605" s="1" t="str">
        <f t="shared" si="9"/>
        <v>07  Fadrozole 0.4 µg_L Dopé</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2779</v>
      </c>
      <c r="D605" s="1" t="s">
        <v>824</v>
      </c>
      <c r="E605" s="1">
        <v>64</v>
      </c>
      <c r="F605" s="1" t="s">
        <v>112</v>
      </c>
      <c r="G605" s="1">
        <v>15227</v>
      </c>
    </row>
    <row r="606" spans="1:7" x14ac:dyDescent="0.25">
      <c r="A606" s="1" t="str">
        <f t="shared" si="9"/>
        <v>07  Fadrozole 0.4 µg_L Dopé</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2780</v>
      </c>
      <c r="D606" s="1" t="s">
        <v>223</v>
      </c>
      <c r="E606" s="1" t="s">
        <v>2781</v>
      </c>
      <c r="F606" s="1" t="s">
        <v>112</v>
      </c>
      <c r="G606" s="1">
        <v>23944</v>
      </c>
    </row>
    <row r="607" spans="1:7" x14ac:dyDescent="0.25">
      <c r="A607" s="1" t="str">
        <f t="shared" si="9"/>
        <v>07  Fadrozole 0.4 µg_L Dopé</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2782</v>
      </c>
      <c r="D607" s="1" t="s">
        <v>829</v>
      </c>
      <c r="E607" s="1">
        <v>63</v>
      </c>
      <c r="F607" s="1" t="s">
        <v>112</v>
      </c>
      <c r="G607" s="1">
        <v>8176</v>
      </c>
    </row>
    <row r="608" spans="1:7" x14ac:dyDescent="0.25">
      <c r="A608" s="1" t="str">
        <f t="shared" si="9"/>
        <v>07  Fadrozole 0.4 µg_L Dopé</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2783</v>
      </c>
      <c r="D608" s="1" t="s">
        <v>409</v>
      </c>
      <c r="E608" s="1">
        <v>65</v>
      </c>
      <c r="F608" s="1" t="s">
        <v>112</v>
      </c>
      <c r="G608" s="1">
        <v>16871</v>
      </c>
    </row>
    <row r="609" spans="1:10" x14ac:dyDescent="0.25">
      <c r="A609" s="1" t="str">
        <f t="shared" si="9"/>
        <v>07  Fadrozole 0.4 µg_L Dopé</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2784</v>
      </c>
    </row>
    <row r="610" spans="1:10" x14ac:dyDescent="0.25">
      <c r="A610" s="1" t="str">
        <f t="shared" si="9"/>
        <v>07  Fadrozole 0.4 µg_L Dopé</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2785</v>
      </c>
      <c r="D610" s="1" t="s">
        <v>361</v>
      </c>
      <c r="E610" s="1" t="s">
        <v>2786</v>
      </c>
      <c r="F610" s="1" t="s">
        <v>112</v>
      </c>
      <c r="G610" s="1">
        <v>30844</v>
      </c>
    </row>
    <row r="611" spans="1:10" x14ac:dyDescent="0.25">
      <c r="A611" s="1" t="str">
        <f t="shared" si="9"/>
        <v>07  Fadrozole 0.4 µg_L Dopé</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2787</v>
      </c>
      <c r="D611" s="1" t="s">
        <v>2788</v>
      </c>
      <c r="E611" s="1" t="s">
        <v>2789</v>
      </c>
      <c r="F611" s="1" t="s">
        <v>112</v>
      </c>
      <c r="G611" s="1">
        <v>562637</v>
      </c>
    </row>
    <row r="612" spans="1:10" x14ac:dyDescent="0.25">
      <c r="A612" s="1" t="str">
        <f t="shared" si="9"/>
        <v>07  Fadrozole 0.4 µg_L Dopé</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2790</v>
      </c>
      <c r="D612" s="1" t="s">
        <v>2791</v>
      </c>
      <c r="E612" s="1" t="s">
        <v>2792</v>
      </c>
      <c r="F612" s="1" t="s">
        <v>112</v>
      </c>
      <c r="G612" s="1">
        <v>619545</v>
      </c>
    </row>
    <row r="613" spans="1:10" x14ac:dyDescent="0.25">
      <c r="A613" s="1" t="str">
        <f t="shared" si="9"/>
        <v>07  Fadrozole 0.4 µg_L Dopé</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2793</v>
      </c>
      <c r="D613" s="1" t="s">
        <v>238</v>
      </c>
      <c r="E613" s="1" t="s">
        <v>2794</v>
      </c>
      <c r="F613" s="1" t="s">
        <v>112</v>
      </c>
      <c r="G613" s="1">
        <v>393145</v>
      </c>
    </row>
    <row r="614" spans="1:10" x14ac:dyDescent="0.25">
      <c r="A614" s="1" t="str">
        <f t="shared" si="9"/>
        <v>07  Fadrozole 0.4 µg_L Dopé</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2795</v>
      </c>
      <c r="D614" s="1" t="s">
        <v>2257</v>
      </c>
      <c r="E614" s="1" t="s">
        <v>2796</v>
      </c>
      <c r="F614" s="1" t="s">
        <v>112</v>
      </c>
      <c r="G614" s="1">
        <v>77002</v>
      </c>
    </row>
    <row r="615" spans="1:10" x14ac:dyDescent="0.25">
      <c r="A615" s="1" t="str">
        <f t="shared" si="9"/>
        <v>07  Fadrozole 0.4 µg_L Dopé</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2797</v>
      </c>
      <c r="D615" s="1" t="s">
        <v>1649</v>
      </c>
      <c r="E615" s="1" t="s">
        <v>2798</v>
      </c>
      <c r="F615" s="1" t="s">
        <v>112</v>
      </c>
      <c r="G615" s="1">
        <v>64717</v>
      </c>
    </row>
    <row r="616" spans="1:10" x14ac:dyDescent="0.25">
      <c r="A616" s="1" t="str">
        <f t="shared" si="9"/>
        <v>07  Fadrozole 0.4 µg_L Dopé</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2799</v>
      </c>
      <c r="D616" s="1" t="s">
        <v>837</v>
      </c>
      <c r="E616" s="1" t="s">
        <v>2800</v>
      </c>
      <c r="F616" s="1" t="s">
        <v>112</v>
      </c>
      <c r="G616" s="1">
        <v>62575</v>
      </c>
    </row>
    <row r="617" spans="1:10" x14ac:dyDescent="0.25">
      <c r="A617" s="1" t="str">
        <f t="shared" si="9"/>
        <v>07  Fadrozole 0.4 µg_L Dopé</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2801</v>
      </c>
      <c r="D617" s="1" t="s">
        <v>2802</v>
      </c>
      <c r="E617" s="1" t="s">
        <v>2803</v>
      </c>
      <c r="F617" s="1" t="s">
        <v>112</v>
      </c>
      <c r="G617" s="1">
        <v>977260</v>
      </c>
    </row>
    <row r="618" spans="1:10" x14ac:dyDescent="0.25">
      <c r="A618" s="1" t="str">
        <f t="shared" si="9"/>
        <v>07  Fadrozole 0.4 µg_L Dopé</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2804</v>
      </c>
      <c r="D618" s="1" t="s">
        <v>2805</v>
      </c>
      <c r="E618" s="1" t="s">
        <v>2806</v>
      </c>
      <c r="F618" s="1" t="s">
        <v>112</v>
      </c>
      <c r="G618" s="1">
        <v>1037045</v>
      </c>
    </row>
    <row r="619" spans="1:10" x14ac:dyDescent="0.25">
      <c r="A619" s="1" t="str">
        <f t="shared" si="9"/>
        <v>07  Fadrozole 0.4 µg_L Dopé</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2807</v>
      </c>
      <c r="D619" s="1" t="s">
        <v>1319</v>
      </c>
      <c r="E619" s="1" t="s">
        <v>2808</v>
      </c>
      <c r="F619" s="1" t="s">
        <v>112</v>
      </c>
      <c r="G619" s="1">
        <v>1026793</v>
      </c>
    </row>
    <row r="620" spans="1:10" x14ac:dyDescent="0.2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10" x14ac:dyDescent="0.2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243</v>
      </c>
      <c r="D621" s="1" t="s">
        <v>112</v>
      </c>
      <c r="E621" s="1" t="s">
        <v>244</v>
      </c>
      <c r="F621" s="1" t="s">
        <v>245</v>
      </c>
      <c r="G621" s="1" t="s">
        <v>246</v>
      </c>
      <c r="H621" s="1" t="s">
        <v>247</v>
      </c>
      <c r="I621" s="1" t="s">
        <v>248</v>
      </c>
      <c r="J621" s="1" t="s">
        <v>249</v>
      </c>
    </row>
    <row r="622" spans="1:10" x14ac:dyDescent="0.25">
      <c r="A622" s="1" t="str">
        <f t="shared" si="9"/>
        <v>07  Fadrozole 0.4 µg_L Dopé</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2809</v>
      </c>
      <c r="D622" s="1" t="s">
        <v>112</v>
      </c>
      <c r="E622" s="1" t="s">
        <v>2810</v>
      </c>
      <c r="F622" s="1" t="s">
        <v>2811</v>
      </c>
      <c r="G622" s="1" t="s">
        <v>2812</v>
      </c>
      <c r="H622" s="1" t="s">
        <v>2813</v>
      </c>
      <c r="I622" s="1">
        <v>24</v>
      </c>
      <c r="J622" s="1">
        <v>24</v>
      </c>
    </row>
    <row r="623" spans="1:10" x14ac:dyDescent="0.2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10" x14ac:dyDescent="0.2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2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2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2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2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255</v>
      </c>
      <c r="D628" s="1" t="s">
        <v>110</v>
      </c>
      <c r="E628" s="1" t="s">
        <v>111</v>
      </c>
      <c r="F628" s="1" t="s">
        <v>112</v>
      </c>
      <c r="G628" s="1" t="s">
        <v>113</v>
      </c>
    </row>
    <row r="629" spans="1:7" x14ac:dyDescent="0.25">
      <c r="A629" s="1" t="str">
        <f t="shared" si="9"/>
        <v>08  Fadrozole 2 µg_L Dopé</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2814</v>
      </c>
      <c r="D629" s="1" t="s">
        <v>194</v>
      </c>
      <c r="E629" s="1" t="s">
        <v>2815</v>
      </c>
      <c r="F629" s="1" t="s">
        <v>112</v>
      </c>
      <c r="G629" s="1">
        <v>45466</v>
      </c>
    </row>
    <row r="630" spans="1:7" x14ac:dyDescent="0.25">
      <c r="A630" s="1" t="str">
        <f t="shared" si="9"/>
        <v>08  Fadrozole 2 µg_L Dopé</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2816</v>
      </c>
      <c r="D630" s="1" t="s">
        <v>728</v>
      </c>
      <c r="E630" s="1" t="s">
        <v>991</v>
      </c>
      <c r="F630" s="1" t="s">
        <v>112</v>
      </c>
      <c r="G630" s="1">
        <v>33332</v>
      </c>
    </row>
    <row r="631" spans="1:7" x14ac:dyDescent="0.25">
      <c r="A631" s="1" t="str">
        <f t="shared" si="9"/>
        <v>08  Fadrozole 2 µg_L Dopé</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2817</v>
      </c>
      <c r="D631" s="1" t="s">
        <v>2818</v>
      </c>
      <c r="E631" s="1" t="s">
        <v>2819</v>
      </c>
      <c r="F631" s="1" t="s">
        <v>112</v>
      </c>
      <c r="G631" s="1">
        <v>615349</v>
      </c>
    </row>
    <row r="632" spans="1:7" x14ac:dyDescent="0.25">
      <c r="A632" s="1" t="str">
        <f t="shared" si="9"/>
        <v>08  Fadrozole 2 µg_L Dopé</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2820</v>
      </c>
      <c r="D632" s="1" t="s">
        <v>2821</v>
      </c>
      <c r="E632" s="1" t="s">
        <v>2822</v>
      </c>
      <c r="F632" s="1" t="s">
        <v>112</v>
      </c>
      <c r="G632" s="1">
        <v>151128</v>
      </c>
    </row>
    <row r="633" spans="1:7" x14ac:dyDescent="0.25">
      <c r="A633" s="1" t="str">
        <f t="shared" si="9"/>
        <v>08  Fadrozole 2 µg_L Dopé</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2823</v>
      </c>
      <c r="D633" s="1" t="s">
        <v>338</v>
      </c>
      <c r="E633" s="1" t="s">
        <v>1743</v>
      </c>
      <c r="F633" s="1" t="s">
        <v>112</v>
      </c>
      <c r="G633" s="1">
        <v>42697</v>
      </c>
    </row>
    <row r="634" spans="1:7" x14ac:dyDescent="0.25">
      <c r="A634" s="1" t="str">
        <f t="shared" si="9"/>
        <v>08  Fadrozole 2 µg_L Dopé</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2824</v>
      </c>
      <c r="D634" s="1" t="s">
        <v>1550</v>
      </c>
      <c r="E634" s="1" t="s">
        <v>2825</v>
      </c>
      <c r="F634" s="1" t="s">
        <v>112</v>
      </c>
      <c r="G634" s="1">
        <v>258715</v>
      </c>
    </row>
    <row r="635" spans="1:7" x14ac:dyDescent="0.25">
      <c r="A635" s="1" t="str">
        <f t="shared" si="9"/>
        <v>08  Fadrozole 2 µg_L Dopé</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2826</v>
      </c>
      <c r="D635" s="1" t="s">
        <v>2827</v>
      </c>
      <c r="E635" s="1" t="s">
        <v>2828</v>
      </c>
      <c r="F635" s="1" t="s">
        <v>112</v>
      </c>
      <c r="G635" s="1">
        <v>435129</v>
      </c>
    </row>
    <row r="636" spans="1:7" x14ac:dyDescent="0.25">
      <c r="A636" s="1" t="str">
        <f t="shared" si="9"/>
        <v>08  Fadrozole 2 µg_L Dopé</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2829</v>
      </c>
      <c r="D636" s="1" t="s">
        <v>1783</v>
      </c>
      <c r="E636" s="1" t="s">
        <v>2830</v>
      </c>
      <c r="F636" s="1" t="s">
        <v>112</v>
      </c>
      <c r="G636" s="1">
        <v>179809</v>
      </c>
    </row>
    <row r="637" spans="1:7" x14ac:dyDescent="0.25">
      <c r="A637" s="1" t="str">
        <f t="shared" si="9"/>
        <v>08  Fadrozole 2 µg_L Dopé</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2831</v>
      </c>
      <c r="D637" s="1" t="s">
        <v>277</v>
      </c>
      <c r="E637" s="1" t="s">
        <v>2832</v>
      </c>
      <c r="F637" s="1" t="s">
        <v>112</v>
      </c>
      <c r="G637" s="1">
        <v>71833</v>
      </c>
    </row>
    <row r="638" spans="1:7" x14ac:dyDescent="0.25">
      <c r="A638" s="1" t="str">
        <f t="shared" si="9"/>
        <v>08  Fadrozole 2 µg_L Dopé</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2833</v>
      </c>
    </row>
    <row r="639" spans="1:7" x14ac:dyDescent="0.25">
      <c r="A639" s="1" t="str">
        <f t="shared" si="9"/>
        <v>08  Fadrozole 2 µg_L Dopé</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2834</v>
      </c>
      <c r="D639" s="1" t="s">
        <v>191</v>
      </c>
      <c r="E639" s="1" t="s">
        <v>2835</v>
      </c>
      <c r="F639" s="1" t="s">
        <v>112</v>
      </c>
      <c r="G639" s="1">
        <v>45228</v>
      </c>
    </row>
    <row r="640" spans="1:7" x14ac:dyDescent="0.25">
      <c r="A640" s="1" t="str">
        <f t="shared" si="9"/>
        <v>08  Fadrozole 2 µg_L Dopé</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2836</v>
      </c>
    </row>
    <row r="641" spans="1:10" x14ac:dyDescent="0.25">
      <c r="A641" s="1" t="str">
        <f t="shared" si="9"/>
        <v>08  Fadrozole 2 µg_L Dopé</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2837</v>
      </c>
      <c r="D641" s="1" t="s">
        <v>197</v>
      </c>
      <c r="E641" s="1" t="s">
        <v>2838</v>
      </c>
      <c r="F641" s="1" t="s">
        <v>112</v>
      </c>
      <c r="G641" s="1">
        <v>70924</v>
      </c>
    </row>
    <row r="642" spans="1:10" x14ac:dyDescent="0.25">
      <c r="A642" s="1" t="str">
        <f t="shared" ref="A642:A705" si="10">IFERROR(LEFT(RIGHT(C642,LEN(C642)-SEARCH("@",C642)),SEARCH("/",RIGHT(C642,LEN(C642)-SEARCH("@",C642)-1))),"")</f>
        <v>08  Fadrozole 2 µg_L Dopé</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2839</v>
      </c>
      <c r="D642" s="1" t="s">
        <v>972</v>
      </c>
      <c r="E642" s="1" t="s">
        <v>2840</v>
      </c>
      <c r="F642" s="1" t="s">
        <v>112</v>
      </c>
      <c r="G642" s="1">
        <v>367557</v>
      </c>
    </row>
    <row r="643" spans="1:10" x14ac:dyDescent="0.25">
      <c r="A643" s="1" t="str">
        <f t="shared" si="10"/>
        <v>08  Fadrozole 2 µg_L Dopé</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2841</v>
      </c>
      <c r="D643" s="1" t="s">
        <v>2842</v>
      </c>
      <c r="E643" s="1" t="s">
        <v>2843</v>
      </c>
      <c r="F643" s="1" t="s">
        <v>112</v>
      </c>
      <c r="G643" s="1">
        <v>126989</v>
      </c>
    </row>
    <row r="644" spans="1:10" x14ac:dyDescent="0.25">
      <c r="A644" s="1" t="str">
        <f t="shared" si="10"/>
        <v>08  Fadrozole 2 µg_L Dopé</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2844</v>
      </c>
      <c r="D644" s="1" t="s">
        <v>2791</v>
      </c>
      <c r="E644" s="1" t="s">
        <v>2845</v>
      </c>
      <c r="F644" s="1" t="s">
        <v>112</v>
      </c>
      <c r="G644" s="1">
        <v>696850</v>
      </c>
    </row>
    <row r="645" spans="1:10" x14ac:dyDescent="0.25">
      <c r="A645" s="1" t="str">
        <f t="shared" si="10"/>
        <v>08  Fadrozole 2 µg_L Dopé</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2846</v>
      </c>
      <c r="D645" s="1" t="s">
        <v>2847</v>
      </c>
      <c r="E645" s="1" t="s">
        <v>2848</v>
      </c>
      <c r="F645" s="1" t="s">
        <v>112</v>
      </c>
      <c r="G645" s="1">
        <v>550308</v>
      </c>
    </row>
    <row r="646" spans="1:10" x14ac:dyDescent="0.25">
      <c r="A646" s="1" t="str">
        <f t="shared" si="10"/>
        <v>08  Fadrozole 2 µg_L Dopé</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2849</v>
      </c>
      <c r="D646" s="1" t="s">
        <v>498</v>
      </c>
      <c r="E646" s="1" t="s">
        <v>2850</v>
      </c>
      <c r="F646" s="1" t="s">
        <v>112</v>
      </c>
      <c r="G646" s="1">
        <v>571310</v>
      </c>
    </row>
    <row r="647" spans="1:10" x14ac:dyDescent="0.25">
      <c r="A647" s="1" t="str">
        <f t="shared" si="10"/>
        <v>08  Fadrozole 2 µg_L Dopé</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2851</v>
      </c>
      <c r="D647" s="1" t="s">
        <v>797</v>
      </c>
      <c r="E647" s="1" t="s">
        <v>2852</v>
      </c>
      <c r="F647" s="1" t="s">
        <v>112</v>
      </c>
      <c r="G647" s="1">
        <v>37809</v>
      </c>
    </row>
    <row r="648" spans="1:10" x14ac:dyDescent="0.25">
      <c r="A648" s="1" t="str">
        <f t="shared" si="10"/>
        <v>08  Fadrozole 2 µg_L Dopé</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2853</v>
      </c>
      <c r="D648" s="1" t="s">
        <v>223</v>
      </c>
      <c r="E648" s="1" t="s">
        <v>2838</v>
      </c>
      <c r="F648" s="1" t="s">
        <v>112</v>
      </c>
      <c r="G648" s="1">
        <v>23641</v>
      </c>
    </row>
    <row r="649" spans="1:10" x14ac:dyDescent="0.25">
      <c r="A649" s="1" t="str">
        <f t="shared" si="10"/>
        <v>08  Fadrozole 2 µg_L Dopé</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2854</v>
      </c>
      <c r="D649" s="1" t="s">
        <v>698</v>
      </c>
      <c r="E649" s="1" t="s">
        <v>1508</v>
      </c>
      <c r="F649" s="1" t="s">
        <v>112</v>
      </c>
      <c r="G649" s="1">
        <v>17780</v>
      </c>
    </row>
    <row r="650" spans="1:10" x14ac:dyDescent="0.25">
      <c r="A650" s="1" t="str">
        <f t="shared" si="10"/>
        <v>08  Fadrozole 2 µg_L Dopé</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2855</v>
      </c>
      <c r="D650" s="1" t="s">
        <v>963</v>
      </c>
      <c r="E650" s="1" t="s">
        <v>2856</v>
      </c>
      <c r="F650" s="1" t="s">
        <v>112</v>
      </c>
      <c r="G650" s="1">
        <v>224951</v>
      </c>
    </row>
    <row r="651" spans="1:10" x14ac:dyDescent="0.25">
      <c r="A651" s="1" t="str">
        <f t="shared" si="10"/>
        <v>08  Fadrozole 2 µg_L Dopé</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2857</v>
      </c>
      <c r="D651" s="1" t="s">
        <v>361</v>
      </c>
      <c r="E651" s="1" t="s">
        <v>2858</v>
      </c>
      <c r="F651" s="1" t="s">
        <v>112</v>
      </c>
      <c r="G651" s="1">
        <v>31190</v>
      </c>
    </row>
    <row r="652" spans="1:10" x14ac:dyDescent="0.25">
      <c r="A652" s="1" t="str">
        <f t="shared" si="10"/>
        <v>08  Fadrozole 2 µg_L Dopé</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2859</v>
      </c>
      <c r="D652" s="1" t="s">
        <v>2860</v>
      </c>
      <c r="E652" s="1" t="s">
        <v>2861</v>
      </c>
      <c r="F652" s="1" t="s">
        <v>112</v>
      </c>
      <c r="G652" s="1">
        <v>205160</v>
      </c>
    </row>
    <row r="653" spans="1:10" x14ac:dyDescent="0.2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10" x14ac:dyDescent="0.2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243</v>
      </c>
      <c r="D654" s="1" t="s">
        <v>112</v>
      </c>
      <c r="E654" s="1" t="s">
        <v>244</v>
      </c>
      <c r="F654" s="1" t="s">
        <v>245</v>
      </c>
      <c r="G654" s="1" t="s">
        <v>246</v>
      </c>
      <c r="H654" s="1" t="s">
        <v>247</v>
      </c>
      <c r="I654" s="1" t="s">
        <v>248</v>
      </c>
      <c r="J654" s="1" t="s">
        <v>249</v>
      </c>
    </row>
    <row r="655" spans="1:10" x14ac:dyDescent="0.25">
      <c r="A655" s="1" t="str">
        <f t="shared" si="10"/>
        <v>08  Fadrozole 2 µg_L Dopé</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2862</v>
      </c>
      <c r="D655" s="1" t="s">
        <v>112</v>
      </c>
      <c r="E655" s="1" t="s">
        <v>2863</v>
      </c>
      <c r="F655" s="1" t="s">
        <v>2864</v>
      </c>
      <c r="G655" s="1" t="s">
        <v>2865</v>
      </c>
      <c r="H655" s="1" t="s">
        <v>2866</v>
      </c>
      <c r="I655" s="1">
        <v>24</v>
      </c>
      <c r="J655" s="1">
        <v>24</v>
      </c>
    </row>
    <row r="656" spans="1:10" x14ac:dyDescent="0.2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2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2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2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2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2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255</v>
      </c>
      <c r="D661" s="1" t="s">
        <v>110</v>
      </c>
      <c r="E661" s="1" t="s">
        <v>111</v>
      </c>
      <c r="F661" s="1" t="s">
        <v>112</v>
      </c>
      <c r="G661" s="1" t="s">
        <v>113</v>
      </c>
    </row>
    <row r="662" spans="1:7" x14ac:dyDescent="0.25">
      <c r="A662" s="1" t="str">
        <f t="shared" si="10"/>
        <v>09  Fadrozole 10 µg_L Dopé</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2867</v>
      </c>
      <c r="D662" s="1" t="s">
        <v>2868</v>
      </c>
      <c r="E662" s="1" t="s">
        <v>2869</v>
      </c>
      <c r="F662" s="1" t="s">
        <v>112</v>
      </c>
      <c r="G662" s="1">
        <v>442742</v>
      </c>
    </row>
    <row r="663" spans="1:7" x14ac:dyDescent="0.25">
      <c r="A663" s="1" t="str">
        <f t="shared" si="10"/>
        <v>09  Fadrozole 10 µg_L Dopé</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2870</v>
      </c>
      <c r="D663" s="1" t="s">
        <v>1672</v>
      </c>
      <c r="E663" s="1" t="s">
        <v>2871</v>
      </c>
      <c r="F663" s="1" t="s">
        <v>112</v>
      </c>
      <c r="G663" s="1">
        <v>537568</v>
      </c>
    </row>
    <row r="664" spans="1:7" x14ac:dyDescent="0.25">
      <c r="A664" s="1" t="str">
        <f t="shared" si="10"/>
        <v>09  Fadrozole 10 µg_L Dopé</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2872</v>
      </c>
      <c r="D664" s="1" t="s">
        <v>420</v>
      </c>
      <c r="E664" s="1" t="s">
        <v>2873</v>
      </c>
      <c r="F664" s="1" t="s">
        <v>112</v>
      </c>
      <c r="G664" s="1">
        <v>108409</v>
      </c>
    </row>
    <row r="665" spans="1:7" x14ac:dyDescent="0.25">
      <c r="A665" s="1" t="str">
        <f t="shared" si="10"/>
        <v>09  Fadrozole 10 µg_L Dopé</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2874</v>
      </c>
      <c r="D665" s="1" t="s">
        <v>740</v>
      </c>
      <c r="E665" s="1" t="s">
        <v>2875</v>
      </c>
      <c r="F665" s="1" t="s">
        <v>112</v>
      </c>
      <c r="G665" s="1">
        <v>220733</v>
      </c>
    </row>
    <row r="666" spans="1:7" x14ac:dyDescent="0.25">
      <c r="A666" s="1" t="str">
        <f t="shared" si="10"/>
        <v>09  Fadrozole 10 µg_L Dopé</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2876</v>
      </c>
    </row>
    <row r="667" spans="1:7" x14ac:dyDescent="0.25">
      <c r="A667" s="1" t="str">
        <f t="shared" si="10"/>
        <v>09  Fadrozole 10 µg_L Dopé</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2877</v>
      </c>
      <c r="D667" s="1" t="s">
        <v>402</v>
      </c>
      <c r="E667" s="1" t="s">
        <v>2878</v>
      </c>
      <c r="F667" s="1" t="s">
        <v>112</v>
      </c>
      <c r="G667" s="1">
        <v>100925</v>
      </c>
    </row>
    <row r="668" spans="1:7" x14ac:dyDescent="0.25">
      <c r="A668" s="1" t="str">
        <f t="shared" si="10"/>
        <v>09  Fadrozole 10 µg_L Dopé</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2879</v>
      </c>
      <c r="D668" s="1" t="s">
        <v>2880</v>
      </c>
      <c r="E668" s="1" t="s">
        <v>2881</v>
      </c>
      <c r="F668" s="1" t="s">
        <v>112</v>
      </c>
      <c r="G668" s="1">
        <v>142541</v>
      </c>
    </row>
    <row r="669" spans="1:7" x14ac:dyDescent="0.25">
      <c r="A669" s="1" t="str">
        <f t="shared" si="10"/>
        <v>09  Fadrozole 10 µg_L Dopé</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2882</v>
      </c>
      <c r="D669" s="1" t="s">
        <v>2883</v>
      </c>
      <c r="E669" s="1" t="s">
        <v>2884</v>
      </c>
      <c r="F669" s="1" t="s">
        <v>112</v>
      </c>
      <c r="G669" s="1">
        <v>403657</v>
      </c>
    </row>
    <row r="670" spans="1:7" x14ac:dyDescent="0.25">
      <c r="A670" s="1" t="str">
        <f t="shared" si="10"/>
        <v>09  Fadrozole 10 µg_L Dopé</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2885</v>
      </c>
      <c r="D670" s="1" t="s">
        <v>2886</v>
      </c>
      <c r="E670" s="1" t="s">
        <v>2887</v>
      </c>
      <c r="F670" s="1" t="s">
        <v>112</v>
      </c>
      <c r="G670" s="1">
        <v>183054</v>
      </c>
    </row>
    <row r="671" spans="1:7" x14ac:dyDescent="0.25">
      <c r="A671" s="1" t="str">
        <f t="shared" si="10"/>
        <v>09  Fadrozole 10 µg_L Dopé</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2888</v>
      </c>
      <c r="D671" s="1" t="s">
        <v>1802</v>
      </c>
      <c r="E671" s="1" t="s">
        <v>2889</v>
      </c>
      <c r="F671" s="1" t="s">
        <v>112</v>
      </c>
      <c r="G671" s="1">
        <v>725532</v>
      </c>
    </row>
    <row r="672" spans="1:7" x14ac:dyDescent="0.25">
      <c r="A672" s="1" t="str">
        <f t="shared" si="10"/>
        <v>09  Fadrozole 10 µg_L Dopé</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2890</v>
      </c>
      <c r="D672" s="1" t="s">
        <v>2891</v>
      </c>
      <c r="E672" s="1" t="s">
        <v>2892</v>
      </c>
      <c r="F672" s="1" t="s">
        <v>112</v>
      </c>
      <c r="G672" s="1">
        <v>198606</v>
      </c>
    </row>
    <row r="673" spans="1:10" x14ac:dyDescent="0.25">
      <c r="A673" s="1" t="str">
        <f t="shared" si="10"/>
        <v>09  Fadrozole 10 µg_L Dopé</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2893</v>
      </c>
      <c r="D673" s="1" t="s">
        <v>2622</v>
      </c>
      <c r="E673" s="1" t="s">
        <v>2894</v>
      </c>
      <c r="F673" s="1" t="s">
        <v>112</v>
      </c>
      <c r="G673" s="1">
        <v>811294</v>
      </c>
    </row>
    <row r="674" spans="1:10" x14ac:dyDescent="0.25">
      <c r="A674" s="1" t="str">
        <f t="shared" si="10"/>
        <v>09  Fadrozole 10 µg_L Dopé</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2895</v>
      </c>
      <c r="D674" s="1" t="s">
        <v>2896</v>
      </c>
      <c r="E674" s="1" t="s">
        <v>2897</v>
      </c>
      <c r="F674" s="1" t="s">
        <v>112</v>
      </c>
      <c r="G674" s="1">
        <v>561923</v>
      </c>
    </row>
    <row r="675" spans="1:10" x14ac:dyDescent="0.25">
      <c r="A675" s="1" t="str">
        <f t="shared" si="10"/>
        <v>09  Fadrozole 10 µg_L Dopé</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2898</v>
      </c>
      <c r="D675" s="1" t="s">
        <v>2239</v>
      </c>
      <c r="E675" s="1" t="s">
        <v>2899</v>
      </c>
      <c r="F675" s="1" t="s">
        <v>112</v>
      </c>
      <c r="G675" s="1">
        <v>289430</v>
      </c>
    </row>
    <row r="676" spans="1:10" x14ac:dyDescent="0.25">
      <c r="A676" s="1" t="str">
        <f t="shared" si="10"/>
        <v>09  Fadrozole 10 µg_L Dopé</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2900</v>
      </c>
      <c r="D676" s="1" t="s">
        <v>1510</v>
      </c>
      <c r="E676" s="1" t="s">
        <v>2901</v>
      </c>
      <c r="F676" s="1" t="s">
        <v>112</v>
      </c>
      <c r="G676" s="1">
        <v>98005</v>
      </c>
    </row>
    <row r="677" spans="1:10" x14ac:dyDescent="0.25">
      <c r="A677" s="1" t="str">
        <f t="shared" si="10"/>
        <v>09  Fadrozole 10 µg_L Dopé</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2902</v>
      </c>
      <c r="D677" s="1" t="s">
        <v>1402</v>
      </c>
      <c r="E677" s="1" t="s">
        <v>2903</v>
      </c>
      <c r="F677" s="1" t="s">
        <v>112</v>
      </c>
      <c r="G677" s="1">
        <v>180912</v>
      </c>
    </row>
    <row r="678" spans="1:10" x14ac:dyDescent="0.25">
      <c r="A678" s="1" t="str">
        <f t="shared" si="10"/>
        <v>09  Fadrozole 10 µg_L Dopé</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2904</v>
      </c>
      <c r="D678" s="1" t="s">
        <v>241</v>
      </c>
      <c r="E678" s="1" t="s">
        <v>2905</v>
      </c>
      <c r="F678" s="1" t="s">
        <v>112</v>
      </c>
      <c r="G678" s="1">
        <v>34889</v>
      </c>
    </row>
    <row r="679" spans="1:10" x14ac:dyDescent="0.25">
      <c r="A679" s="1" t="str">
        <f t="shared" si="10"/>
        <v>09  Fadrozole 10 µg_L Dopé</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2906</v>
      </c>
      <c r="D679" s="1" t="s">
        <v>257</v>
      </c>
      <c r="E679" s="1" t="s">
        <v>1467</v>
      </c>
      <c r="F679" s="1" t="s">
        <v>112</v>
      </c>
      <c r="G679" s="1">
        <v>6878</v>
      </c>
    </row>
    <row r="680" spans="1:10" x14ac:dyDescent="0.25">
      <c r="A680" s="1" t="str">
        <f t="shared" si="10"/>
        <v>09  Fadrozole 10 µg_L Dopé</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2907</v>
      </c>
      <c r="D680" s="1" t="s">
        <v>298</v>
      </c>
      <c r="E680" s="1" t="s">
        <v>2908</v>
      </c>
      <c r="F680" s="1" t="s">
        <v>112</v>
      </c>
      <c r="G680" s="1">
        <v>99692</v>
      </c>
    </row>
    <row r="681" spans="1:10" x14ac:dyDescent="0.25">
      <c r="A681" s="1" t="str">
        <f t="shared" si="10"/>
        <v>09  Fadrozole 10 µg_L Dopé</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2909</v>
      </c>
      <c r="D681" s="1" t="s">
        <v>1553</v>
      </c>
      <c r="E681" s="1" t="s">
        <v>2910</v>
      </c>
      <c r="F681" s="1" t="s">
        <v>112</v>
      </c>
      <c r="G681" s="1">
        <v>212773</v>
      </c>
    </row>
    <row r="682" spans="1:10" x14ac:dyDescent="0.25">
      <c r="A682" s="1" t="str">
        <f t="shared" si="10"/>
        <v>09  Fadrozole 10 µg_L Dopé</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2911</v>
      </c>
      <c r="D682" s="1" t="s">
        <v>722</v>
      </c>
      <c r="E682" s="1" t="s">
        <v>2912</v>
      </c>
      <c r="F682" s="1" t="s">
        <v>112</v>
      </c>
      <c r="G682" s="1">
        <v>49814</v>
      </c>
    </row>
    <row r="683" spans="1:10" x14ac:dyDescent="0.25">
      <c r="A683" s="1" t="str">
        <f t="shared" si="10"/>
        <v>09  Fadrozole 10 µg_L Dopé</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2913</v>
      </c>
      <c r="D683" s="1" t="s">
        <v>1766</v>
      </c>
      <c r="E683" s="1" t="s">
        <v>2914</v>
      </c>
      <c r="F683" s="1" t="s">
        <v>112</v>
      </c>
      <c r="G683" s="1">
        <v>330872</v>
      </c>
    </row>
    <row r="684" spans="1:10" x14ac:dyDescent="0.25">
      <c r="A684" s="1" t="str">
        <f t="shared" si="10"/>
        <v>09  Fadrozole 10 µg_L Dopé</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2915</v>
      </c>
      <c r="D684" s="1" t="s">
        <v>2299</v>
      </c>
      <c r="E684" s="1" t="s">
        <v>2916</v>
      </c>
      <c r="F684" s="1" t="s">
        <v>112</v>
      </c>
      <c r="G684" s="1">
        <v>363231</v>
      </c>
    </row>
    <row r="685" spans="1:10" x14ac:dyDescent="0.25">
      <c r="A685" s="1" t="str">
        <f t="shared" si="10"/>
        <v>09  Fadrozole 10 µg_L Dopé</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2917</v>
      </c>
      <c r="D685" s="1" t="s">
        <v>2274</v>
      </c>
      <c r="E685" s="1" t="s">
        <v>2918</v>
      </c>
      <c r="F685" s="1" t="s">
        <v>112</v>
      </c>
      <c r="G685" s="1">
        <v>373008</v>
      </c>
    </row>
    <row r="686" spans="1:10" x14ac:dyDescent="0.2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10" x14ac:dyDescent="0.2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243</v>
      </c>
      <c r="D687" s="1" t="s">
        <v>112</v>
      </c>
      <c r="E687" s="1" t="s">
        <v>244</v>
      </c>
      <c r="F687" s="1" t="s">
        <v>245</v>
      </c>
      <c r="G687" s="1" t="s">
        <v>246</v>
      </c>
      <c r="H687" s="1" t="s">
        <v>247</v>
      </c>
      <c r="I687" s="1" t="s">
        <v>248</v>
      </c>
      <c r="J687" s="1" t="s">
        <v>249</v>
      </c>
    </row>
    <row r="688" spans="1:10" x14ac:dyDescent="0.25">
      <c r="A688" s="1" t="str">
        <f t="shared" si="10"/>
        <v>09  Fadrozole 10 µg_L Dopé</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2919</v>
      </c>
      <c r="D688" s="1" t="s">
        <v>112</v>
      </c>
      <c r="E688" s="1" t="s">
        <v>2920</v>
      </c>
      <c r="F688" s="1" t="s">
        <v>2921</v>
      </c>
      <c r="G688" s="1" t="s">
        <v>2922</v>
      </c>
      <c r="H688" s="1" t="s">
        <v>2923</v>
      </c>
      <c r="I688" s="1">
        <v>24</v>
      </c>
      <c r="J688" s="1">
        <v>24</v>
      </c>
    </row>
    <row r="689" spans="1:3" x14ac:dyDescent="0.2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3" x14ac:dyDescent="0.2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0" s="1" t="s">
        <v>112</v>
      </c>
    </row>
    <row r="691" spans="1:3" x14ac:dyDescent="0.2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3" x14ac:dyDescent="0.2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3" x14ac:dyDescent="0.2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3" x14ac:dyDescent="0.2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3" x14ac:dyDescent="0.2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3" x14ac:dyDescent="0.2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3" x14ac:dyDescent="0.2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3" x14ac:dyDescent="0.2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3" x14ac:dyDescent="0.2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3" x14ac:dyDescent="0.2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3" x14ac:dyDescent="0.2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3" x14ac:dyDescent="0.2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3" x14ac:dyDescent="0.2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3" x14ac:dyDescent="0.2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2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2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2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2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2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2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2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2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2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2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2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2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2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2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2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2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2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2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2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2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2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2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2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2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2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2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2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2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2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2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2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2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2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2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2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2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2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2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2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2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2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2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2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2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2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2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2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2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2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2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2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2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2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2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2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2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2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2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2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2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2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2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2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2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2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2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2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2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2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2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2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2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2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2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2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2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2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2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2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2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2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2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2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2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2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2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2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2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2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2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2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2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2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2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2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2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2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2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2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2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2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2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2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2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2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2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2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2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2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2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2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2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2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2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2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2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2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2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2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2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2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2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2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2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2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2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2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2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2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2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2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2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2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2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2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2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2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2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2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2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2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2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2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2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2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2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2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2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2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2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2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2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2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2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2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2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2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2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2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2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2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2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2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2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2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2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2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2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2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2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2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2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2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2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2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2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2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2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2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2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2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2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2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2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2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2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2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2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2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2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2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2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2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2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2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2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2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2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2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2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2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2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2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2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2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2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2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2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2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2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2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2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2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2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2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2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2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2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2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2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2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2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2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2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2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2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2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2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2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2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2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2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2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2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2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2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2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2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2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2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2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2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2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2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2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2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2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2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2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2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2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2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2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2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2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2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2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2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2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2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2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2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2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2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2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2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2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2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2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2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2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2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2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2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2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2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2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2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2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2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2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2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2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2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2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2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2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2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2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2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2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2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2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2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2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2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2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2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2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2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2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2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2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2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2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2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2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2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2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2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2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2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2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2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2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2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2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2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2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2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2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2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2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2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2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2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2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2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2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2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2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2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2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2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2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2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2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2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2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2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2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2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2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2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2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2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2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2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2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2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2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2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2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2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2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2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2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2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2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2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2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2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2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2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2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2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2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2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2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2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2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2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2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2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2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2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2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2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2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2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2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2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2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2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2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2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2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2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2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2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2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2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2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2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2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2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2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2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2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2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2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2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2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2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2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2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2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2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2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2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2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2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2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2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2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2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2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2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2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2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2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2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2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2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2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2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2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2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2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2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2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2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2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2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2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2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2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2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2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2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2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2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2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2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2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2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2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2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2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2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2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2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2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2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2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2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2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2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2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2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2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2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2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2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2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2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2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2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2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2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2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2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2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2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2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2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2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2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2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2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2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2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2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2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2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2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2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2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2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2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2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2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2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2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2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2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2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2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2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2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2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2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2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2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2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2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2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2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2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2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2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2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2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2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2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2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2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2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2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2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2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2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2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2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2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2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2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2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2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2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2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2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2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2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2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2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2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2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2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2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2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2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2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2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2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2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2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2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2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2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2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2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2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2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2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2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2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2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2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2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2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2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2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2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2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2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2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2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2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2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2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2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2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2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2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2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2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2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2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2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2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2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2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2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2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2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2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2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2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2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2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2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2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2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2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2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2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2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2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2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2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2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2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2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2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2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2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2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2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2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2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2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2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2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2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2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2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2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2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2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2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2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2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2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2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2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2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2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2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2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2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2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2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2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2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2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2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2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2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2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2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2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2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2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2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2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2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2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2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2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2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2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2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2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2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2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2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2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2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2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2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2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2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2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2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2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2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2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2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2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2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2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2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2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2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2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2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2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2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2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2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2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2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2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2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2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2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2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2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2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2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2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2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2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2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2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2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2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2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2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2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2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2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2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2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2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2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2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2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2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2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2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2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2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2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2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2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2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2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2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2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2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2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2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2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2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2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2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2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2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2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2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2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2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2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2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2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2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2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2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2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2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2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2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2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2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2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2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2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2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2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2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2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2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2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2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2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2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2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2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2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2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2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2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2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2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2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2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2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2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2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2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2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2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2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2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2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2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2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2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2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2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2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2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2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2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2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2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2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2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2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2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2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2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2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2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2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2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2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2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2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2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2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2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2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2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2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2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2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2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2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2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2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2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2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2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2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2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2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2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2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2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2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2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2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2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2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8"/>
  <sheetViews>
    <sheetView showGridLines="0" topLeftCell="L49" zoomScale="85" zoomScaleNormal="85" zoomScaleSheetLayoutView="40" zoomScalePageLayoutView="30" workbookViewId="0">
      <selection activeCell="U63" sqref="U63"/>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6" t="s">
        <v>43</v>
      </c>
      <c r="B1" s="217"/>
      <c r="C1" s="217"/>
      <c r="D1" s="217"/>
      <c r="E1" s="217"/>
      <c r="F1" s="217"/>
      <c r="G1" s="217"/>
      <c r="H1" s="217"/>
      <c r="I1" s="217"/>
      <c r="J1" s="217"/>
      <c r="K1" s="217"/>
      <c r="L1" s="217"/>
      <c r="M1" s="217"/>
      <c r="N1" s="217"/>
      <c r="O1" s="217"/>
      <c r="P1" s="217"/>
      <c r="Q1" s="217"/>
      <c r="R1" s="217"/>
      <c r="S1" s="217"/>
      <c r="T1" s="217"/>
      <c r="U1" s="217"/>
      <c r="V1" s="217"/>
    </row>
    <row r="2" spans="1:22" customFormat="1" ht="15.75" thickBot="1" x14ac:dyDescent="0.3"/>
    <row r="3" spans="1:22" ht="15.75" thickBot="1" x14ac:dyDescent="0.3">
      <c r="A3" s="51" t="s">
        <v>18</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Fadrozole 0,016µg/L</v>
      </c>
      <c r="J4" s="35" t="str">
        <f>'Page de garde'!A16</f>
        <v>Fadrozole 0,08µg/L</v>
      </c>
      <c r="K4" s="35" t="str">
        <f>'Page de garde'!A17</f>
        <v>Fadrozole 0,4µg/L</v>
      </c>
      <c r="L4" s="35" t="str">
        <f>'Page de garde'!A18</f>
        <v>Fadrozole 2µg/L</v>
      </c>
      <c r="M4" s="35" t="str">
        <f>'Page de garde'!A19</f>
        <v>Fadrozole 10µg/L</v>
      </c>
      <c r="N4" s="3"/>
      <c r="O4" s="36" t="str">
        <f>'Page de garde'!A36</f>
        <v>Testo -30µg/L</v>
      </c>
      <c r="P4" s="36" t="str">
        <f>'Page de garde'!A37</f>
        <v>Testo 30µg/L + EE2 -64ng/L</v>
      </c>
      <c r="Q4" s="36" t="str">
        <f>'Page de garde'!A38</f>
        <v>Testo 30µg/L + FAD-10µg/L</v>
      </c>
      <c r="R4" s="36" t="str">
        <f>'Page de garde'!A39</f>
        <v>Fadrozole-0,016 µg/L + Testostérone</v>
      </c>
      <c r="S4" s="36" t="str">
        <f>'Page de garde'!A40</f>
        <v>Fadrozole-0,08µg/L + Testostérone</v>
      </c>
      <c r="T4" s="36" t="str">
        <f>'Page de garde'!A41</f>
        <v>Fadrozole-0,4µg/L + Testostérone</v>
      </c>
      <c r="U4" s="36" t="str">
        <f>'Page de garde'!A42</f>
        <v>Fadrozole-2µg/L + Testostérone</v>
      </c>
      <c r="V4" s="36" t="str">
        <f>'Page de garde'!A43</f>
        <v>Fadrozole-10 µg/L + Testostérone</v>
      </c>
    </row>
    <row r="5" spans="1:22" x14ac:dyDescent="0.25">
      <c r="A5" s="226" t="s">
        <v>33</v>
      </c>
      <c r="B5" s="196">
        <v>55387</v>
      </c>
      <c r="C5" s="196">
        <v>371461</v>
      </c>
      <c r="D5" s="196">
        <v>161986.33333333334</v>
      </c>
      <c r="E5" s="196">
        <v>191979.66666666666</v>
      </c>
      <c r="F5" s="196">
        <v>857957</v>
      </c>
      <c r="G5" s="196">
        <v>1491878.6666666667</v>
      </c>
      <c r="H5" s="196">
        <v>5457770.333333333</v>
      </c>
      <c r="I5" s="196">
        <v>183493.66666666666</v>
      </c>
      <c r="J5" s="196">
        <v>212023.33333333334</v>
      </c>
      <c r="K5" s="196">
        <v>44261.666666666664</v>
      </c>
      <c r="L5" s="196">
        <v>158619.33333333334</v>
      </c>
      <c r="M5" s="196">
        <v>418755</v>
      </c>
      <c r="N5" s="3"/>
      <c r="O5" s="196">
        <v>3976288.3333333335</v>
      </c>
      <c r="P5" s="196">
        <v>4652287.333333333</v>
      </c>
      <c r="Q5" s="196">
        <v>164920.66666666666</v>
      </c>
      <c r="R5" s="196">
        <v>877532</v>
      </c>
      <c r="S5" s="196">
        <v>1413326.3333333333</v>
      </c>
      <c r="T5" s="196">
        <v>82193.5</v>
      </c>
      <c r="U5" s="196">
        <v>231382.33333333334</v>
      </c>
      <c r="V5" s="196">
        <v>362906.33333333331</v>
      </c>
    </row>
    <row r="6" spans="1:22" x14ac:dyDescent="0.25">
      <c r="A6" s="226"/>
      <c r="B6" s="196">
        <v>136484.33333333334</v>
      </c>
      <c r="C6" s="196">
        <v>247056.66666666666</v>
      </c>
      <c r="D6" s="196">
        <v>158698.66666666666</v>
      </c>
      <c r="E6" s="196">
        <v>526450</v>
      </c>
      <c r="F6" s="196">
        <v>1124156</v>
      </c>
      <c r="G6" s="196">
        <v>1730009.6666666667</v>
      </c>
      <c r="H6" s="196">
        <v>7133453</v>
      </c>
      <c r="I6" s="196">
        <v>246148.33333333334</v>
      </c>
      <c r="J6" s="196">
        <v>255074</v>
      </c>
      <c r="K6" s="196">
        <v>267057</v>
      </c>
      <c r="L6" s="196">
        <v>127811</v>
      </c>
      <c r="M6" s="196">
        <v>451279</v>
      </c>
      <c r="N6" s="3"/>
      <c r="O6" s="196">
        <v>649546</v>
      </c>
      <c r="P6" s="196">
        <v>4411907.666666667</v>
      </c>
      <c r="Q6" s="196">
        <v>24950</v>
      </c>
      <c r="R6" s="196">
        <v>184600.5</v>
      </c>
      <c r="S6" s="196">
        <v>2100738.3333333335</v>
      </c>
      <c r="T6" s="196">
        <v>19236.333333333332</v>
      </c>
      <c r="U6" s="196">
        <v>150846.66666666666</v>
      </c>
      <c r="V6" s="196">
        <v>160829</v>
      </c>
    </row>
    <row r="7" spans="1:22" x14ac:dyDescent="0.25">
      <c r="A7" s="226"/>
      <c r="B7" s="196">
        <v>100557.66666666667</v>
      </c>
      <c r="C7" s="196">
        <v>517913.33333333331</v>
      </c>
      <c r="D7" s="196">
        <v>33922.666666666664</v>
      </c>
      <c r="E7" s="196">
        <v>504669</v>
      </c>
      <c r="F7" s="196">
        <v>97947.333333333328</v>
      </c>
      <c r="G7" s="196">
        <v>3384660.3333333335</v>
      </c>
      <c r="H7" s="196">
        <v>8445652</v>
      </c>
      <c r="I7" s="196">
        <v>218840.5</v>
      </c>
      <c r="J7" s="196">
        <v>303525</v>
      </c>
      <c r="K7" s="196">
        <v>470219.66666666669</v>
      </c>
      <c r="L7" s="196">
        <v>213984.66666666666</v>
      </c>
      <c r="M7" s="196">
        <v>314311.33333333331</v>
      </c>
      <c r="N7" s="3"/>
      <c r="O7" s="196">
        <v>3794099.6666666665</v>
      </c>
      <c r="P7" s="196">
        <v>724241</v>
      </c>
      <c r="Q7" s="196">
        <v>172123.33333333334</v>
      </c>
      <c r="R7" s="196">
        <v>2157661</v>
      </c>
      <c r="S7" s="196">
        <v>909955</v>
      </c>
      <c r="T7" s="196">
        <v>703317.5</v>
      </c>
      <c r="U7" s="196">
        <v>228923.66666666666</v>
      </c>
      <c r="V7" s="196">
        <v>243084</v>
      </c>
    </row>
    <row r="8" spans="1:22" x14ac:dyDescent="0.25">
      <c r="A8" s="226"/>
      <c r="B8" s="196">
        <v>306265</v>
      </c>
      <c r="C8" s="196">
        <v>656957.66666666663</v>
      </c>
      <c r="D8" s="196">
        <v>223725</v>
      </c>
      <c r="E8" s="196">
        <v>459974</v>
      </c>
      <c r="F8" s="196">
        <v>667556.33333333337</v>
      </c>
      <c r="G8" s="196">
        <v>2852493</v>
      </c>
      <c r="H8" s="196">
        <v>5852552</v>
      </c>
      <c r="I8" s="196">
        <v>120312.66666666667</v>
      </c>
      <c r="J8" s="196">
        <v>17837.333333333332</v>
      </c>
      <c r="K8" s="196">
        <v>312689.33333333331</v>
      </c>
      <c r="L8" s="196">
        <v>304080.33333333331</v>
      </c>
      <c r="M8" s="196">
        <v>114580.66666666667</v>
      </c>
      <c r="N8" s="3"/>
      <c r="O8" s="196">
        <v>397968.33333333331</v>
      </c>
      <c r="P8" s="196">
        <v>4453476.5</v>
      </c>
      <c r="Q8" s="196">
        <v>25901.5</v>
      </c>
      <c r="R8" s="196">
        <v>647116</v>
      </c>
      <c r="S8" s="196">
        <v>2401884.3333333335</v>
      </c>
      <c r="T8" s="196">
        <v>15782.333333333334</v>
      </c>
      <c r="U8" s="196">
        <v>45228</v>
      </c>
      <c r="V8" s="196">
        <v>578477.33333333337</v>
      </c>
    </row>
    <row r="9" spans="1:22" x14ac:dyDescent="0.25">
      <c r="A9" s="226"/>
      <c r="B9" s="196">
        <v>106887.33333333333</v>
      </c>
      <c r="C9" s="196">
        <v>97601.333333333328</v>
      </c>
      <c r="D9" s="196">
        <v>846255.33333333337</v>
      </c>
      <c r="E9" s="196">
        <v>4939186.5</v>
      </c>
      <c r="F9" s="196">
        <v>370635.33333333331</v>
      </c>
      <c r="G9" s="196">
        <v>1734602</v>
      </c>
      <c r="H9" s="196">
        <v>6582402.333333333</v>
      </c>
      <c r="I9" s="196">
        <v>456412.33333333331</v>
      </c>
      <c r="J9" s="196">
        <v>24052.333333333332</v>
      </c>
      <c r="K9" s="196">
        <v>37758.666666666664</v>
      </c>
      <c r="L9" s="196">
        <v>103585.5</v>
      </c>
      <c r="M9" s="196">
        <v>219522</v>
      </c>
      <c r="N9" s="3"/>
      <c r="O9" s="196">
        <v>3506653</v>
      </c>
      <c r="P9" s="196">
        <v>2721636</v>
      </c>
      <c r="Q9" s="196">
        <v>299004.66666666669</v>
      </c>
      <c r="R9" s="196">
        <v>2829709.3333333335</v>
      </c>
      <c r="S9" s="196">
        <v>1971428</v>
      </c>
      <c r="T9" s="196">
        <v>23857.5</v>
      </c>
      <c r="U9" s="196">
        <v>188490</v>
      </c>
      <c r="V9" s="196">
        <v>316452.66666666669</v>
      </c>
    </row>
    <row r="10" spans="1:22" x14ac:dyDescent="0.25">
      <c r="A10" s="226"/>
      <c r="B10" s="196">
        <v>185130</v>
      </c>
      <c r="C10" s="196">
        <v>217849</v>
      </c>
      <c r="D10" s="196">
        <v>22985.333333333332</v>
      </c>
      <c r="E10" s="196">
        <v>183039.33333333334</v>
      </c>
      <c r="F10" s="196">
        <v>2064436.3333333333</v>
      </c>
      <c r="G10" s="196">
        <v>2156745.6666666665</v>
      </c>
      <c r="H10" s="196">
        <v>7280838.666666667</v>
      </c>
      <c r="I10" s="196">
        <v>201363.5</v>
      </c>
      <c r="J10" s="196">
        <v>111689.33333333333</v>
      </c>
      <c r="K10" s="196">
        <v>33403.666666666664</v>
      </c>
      <c r="L10" s="196">
        <v>331643.66666666669</v>
      </c>
      <c r="M10" s="196">
        <v>196161.33333333334</v>
      </c>
      <c r="N10" s="3"/>
      <c r="O10" s="196">
        <v>1446888.6666666667</v>
      </c>
      <c r="P10" s="196">
        <v>1409079.6666666667</v>
      </c>
      <c r="Q10" s="196">
        <v>188988</v>
      </c>
      <c r="R10" s="196">
        <v>495735.5</v>
      </c>
      <c r="S10" s="196">
        <v>890106.33333333337</v>
      </c>
      <c r="T10" s="196">
        <v>525109</v>
      </c>
      <c r="U10" s="196">
        <v>606156</v>
      </c>
      <c r="V10" s="196">
        <v>74226.333333333328</v>
      </c>
    </row>
    <row r="11" spans="1:22" x14ac:dyDescent="0.25">
      <c r="A11" s="226"/>
      <c r="B11" s="196">
        <v>63671.333333333336</v>
      </c>
      <c r="C11" s="196">
        <v>16258.666666666666</v>
      </c>
      <c r="D11" s="196">
        <v>241043.66666666666</v>
      </c>
      <c r="E11" s="196">
        <v>2793803.6666666665</v>
      </c>
      <c r="F11" s="196">
        <v>2664074.6666666665</v>
      </c>
      <c r="G11" s="196">
        <v>2157026.6666666665</v>
      </c>
      <c r="H11" s="196">
        <v>7566418.333333333</v>
      </c>
      <c r="I11" s="196">
        <v>101300.33333333333</v>
      </c>
      <c r="J11" s="196">
        <v>217193</v>
      </c>
      <c r="K11" s="196">
        <v>437580</v>
      </c>
      <c r="L11" s="196">
        <v>214063.66666666666</v>
      </c>
      <c r="M11" s="196">
        <v>41104</v>
      </c>
      <c r="N11" s="3"/>
      <c r="O11" s="196">
        <v>2358869.6666666665</v>
      </c>
      <c r="P11" s="196">
        <v>4293628</v>
      </c>
      <c r="Q11" s="196">
        <v>291340.33333333331</v>
      </c>
      <c r="R11" s="196">
        <v>3010290</v>
      </c>
      <c r="S11" s="196">
        <v>1764033.3333333333</v>
      </c>
      <c r="T11" s="196">
        <v>68098</v>
      </c>
      <c r="U11" s="196">
        <v>26410</v>
      </c>
      <c r="V11" s="196">
        <v>120759.66666666667</v>
      </c>
    </row>
    <row r="12" spans="1:22" x14ac:dyDescent="0.25">
      <c r="A12" s="226"/>
      <c r="B12" s="196">
        <v>30310.666666666668</v>
      </c>
      <c r="C12" s="196">
        <v>324891.5</v>
      </c>
      <c r="D12" s="196">
        <v>400910</v>
      </c>
      <c r="E12" s="196">
        <v>267525.66666666669</v>
      </c>
      <c r="F12" s="196">
        <v>2231599.5</v>
      </c>
      <c r="G12" s="196">
        <v>2402988</v>
      </c>
      <c r="H12" s="196">
        <v>4605891.333333333</v>
      </c>
      <c r="I12" s="196">
        <v>376165.33333333331</v>
      </c>
      <c r="J12" s="196">
        <v>215801.33333333334</v>
      </c>
      <c r="K12" s="196">
        <v>14766</v>
      </c>
      <c r="L12" s="196">
        <v>181006.33333333334</v>
      </c>
      <c r="M12" s="196">
        <v>103326</v>
      </c>
      <c r="N12" s="3"/>
      <c r="O12" s="196">
        <v>792476</v>
      </c>
      <c r="P12" s="196"/>
      <c r="Q12" s="196">
        <v>209864</v>
      </c>
      <c r="R12" s="196">
        <v>364579.33333333331</v>
      </c>
      <c r="S12" s="196">
        <v>2367882</v>
      </c>
      <c r="T12" s="196">
        <v>1013699.3333333334</v>
      </c>
      <c r="U12" s="196">
        <v>153767</v>
      </c>
      <c r="V12" s="196">
        <v>355703.66666666669</v>
      </c>
    </row>
    <row r="13" spans="1:22" ht="16.5" x14ac:dyDescent="0.25">
      <c r="A13" s="226"/>
      <c r="B13" s="14"/>
      <c r="C13" s="13"/>
      <c r="D13" s="32"/>
      <c r="E13" s="32"/>
      <c r="F13" s="32"/>
      <c r="G13" s="32"/>
      <c r="H13" s="32"/>
      <c r="I13" s="32"/>
      <c r="J13" s="32"/>
      <c r="K13" s="13"/>
      <c r="L13" s="13"/>
      <c r="M13" s="13"/>
      <c r="N13" s="3"/>
      <c r="O13" s="196">
        <v>1163089.6666666667</v>
      </c>
      <c r="P13" s="13"/>
      <c r="Q13" s="13"/>
      <c r="R13" s="32"/>
      <c r="S13" s="32"/>
      <c r="T13" s="32"/>
      <c r="U13" s="32"/>
      <c r="V13" s="32"/>
    </row>
    <row r="14" spans="1:22" ht="16.5" x14ac:dyDescent="0.25">
      <c r="A14" s="226"/>
      <c r="B14" s="14"/>
      <c r="C14" s="32"/>
      <c r="D14" s="32"/>
      <c r="E14" s="32"/>
      <c r="F14" s="32"/>
      <c r="G14" s="32"/>
      <c r="H14" s="32"/>
      <c r="I14" s="32"/>
      <c r="J14" s="32"/>
      <c r="K14" s="13"/>
      <c r="L14" s="13"/>
      <c r="M14" s="13"/>
      <c r="N14" s="3"/>
      <c r="O14" s="196">
        <v>4338928.333333333</v>
      </c>
      <c r="P14" s="13"/>
      <c r="Q14" s="13"/>
      <c r="R14" s="32"/>
      <c r="S14" s="32"/>
      <c r="T14" s="32"/>
      <c r="U14" s="32"/>
      <c r="V14" s="32"/>
    </row>
    <row r="15" spans="1:22" ht="16.5" x14ac:dyDescent="0.25">
      <c r="A15" s="226"/>
      <c r="B15" s="14"/>
      <c r="C15" s="32"/>
      <c r="D15" s="32"/>
      <c r="E15" s="32"/>
      <c r="F15" s="32"/>
      <c r="G15" s="32"/>
      <c r="H15" s="32"/>
      <c r="I15" s="32"/>
      <c r="J15" s="32"/>
      <c r="K15" s="13"/>
      <c r="L15" s="13"/>
      <c r="M15" s="13"/>
      <c r="N15" s="3"/>
      <c r="O15" s="196">
        <v>2295126.6666666665</v>
      </c>
      <c r="P15" s="13"/>
      <c r="Q15" s="13"/>
      <c r="R15" s="32"/>
      <c r="S15" s="32"/>
      <c r="T15" s="32"/>
      <c r="U15" s="32"/>
      <c r="V15" s="32"/>
    </row>
    <row r="16" spans="1:22" ht="16.5" x14ac:dyDescent="0.25">
      <c r="A16" s="226"/>
      <c r="B16" s="14"/>
      <c r="C16" s="32"/>
      <c r="D16" s="32"/>
      <c r="E16" s="32"/>
      <c r="F16" s="32"/>
      <c r="G16" s="32"/>
      <c r="H16" s="32"/>
      <c r="I16" s="32"/>
      <c r="J16" s="32"/>
      <c r="K16" s="13"/>
      <c r="L16" s="13"/>
      <c r="M16" s="13"/>
      <c r="N16" s="3"/>
      <c r="O16" s="196">
        <v>4110675</v>
      </c>
      <c r="P16" s="13"/>
      <c r="Q16" s="13"/>
      <c r="R16" s="32"/>
      <c r="S16" s="32"/>
      <c r="T16" s="32"/>
      <c r="U16" s="32"/>
      <c r="V16" s="32"/>
    </row>
    <row r="17" spans="1:22" ht="16.5" x14ac:dyDescent="0.25">
      <c r="A17" s="226"/>
      <c r="B17" s="14"/>
      <c r="C17" s="32"/>
      <c r="D17" s="32"/>
      <c r="E17" s="32"/>
      <c r="F17" s="32"/>
      <c r="G17" s="32"/>
      <c r="H17" s="32"/>
      <c r="I17" s="32"/>
      <c r="J17" s="32"/>
      <c r="K17" s="13"/>
      <c r="L17" s="13"/>
      <c r="M17" s="13"/>
      <c r="N17" s="3"/>
      <c r="O17" s="196">
        <v>2018004</v>
      </c>
      <c r="P17" s="13"/>
      <c r="Q17" s="13"/>
      <c r="R17" s="32"/>
      <c r="S17" s="32"/>
      <c r="T17" s="32"/>
      <c r="U17" s="32"/>
      <c r="V17" s="32"/>
    </row>
    <row r="18" spans="1:22" ht="16.5" x14ac:dyDescent="0.25">
      <c r="A18" s="226"/>
      <c r="B18" s="14"/>
      <c r="C18" s="32"/>
      <c r="D18" s="32"/>
      <c r="E18" s="32"/>
      <c r="F18" s="32"/>
      <c r="G18" s="32"/>
      <c r="H18" s="32"/>
      <c r="I18" s="32"/>
      <c r="J18" s="32"/>
      <c r="K18" s="13"/>
      <c r="L18" s="13"/>
      <c r="M18" s="13"/>
      <c r="N18" s="3"/>
      <c r="O18" s="196">
        <v>2419138</v>
      </c>
      <c r="P18" s="13"/>
      <c r="Q18" s="13"/>
      <c r="R18" s="32"/>
      <c r="S18" s="32"/>
      <c r="T18" s="32"/>
      <c r="U18" s="32"/>
      <c r="V18" s="32"/>
    </row>
    <row r="19" spans="1:22" ht="16.5" x14ac:dyDescent="0.25">
      <c r="A19" s="226"/>
      <c r="B19" s="14"/>
      <c r="C19" s="32"/>
      <c r="D19" s="32"/>
      <c r="E19" s="32"/>
      <c r="F19" s="32"/>
      <c r="G19" s="32"/>
      <c r="H19" s="32"/>
      <c r="I19" s="32"/>
      <c r="J19" s="32"/>
      <c r="K19" s="13"/>
      <c r="L19" s="13"/>
      <c r="M19" s="13"/>
      <c r="N19" s="3"/>
      <c r="O19" s="196">
        <v>1146478.3333333333</v>
      </c>
      <c r="P19" s="13"/>
      <c r="Q19" s="13"/>
      <c r="R19" s="32"/>
      <c r="S19" s="32"/>
      <c r="T19" s="32"/>
      <c r="U19" s="32"/>
      <c r="V19" s="32"/>
    </row>
    <row r="20" spans="1:22" ht="16.5" x14ac:dyDescent="0.25">
      <c r="A20" s="226"/>
      <c r="B20" s="14"/>
      <c r="C20" s="32"/>
      <c r="D20" s="32"/>
      <c r="E20" s="32"/>
      <c r="F20" s="32"/>
      <c r="G20" s="32"/>
      <c r="H20" s="32"/>
      <c r="I20" s="32"/>
      <c r="J20" s="32"/>
      <c r="K20" s="13"/>
      <c r="L20" s="13"/>
      <c r="M20" s="13"/>
      <c r="N20" s="3"/>
      <c r="O20" s="196">
        <v>2391437.3333333335</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Fadrozole 0,016µg/L</v>
      </c>
      <c r="J22" s="3" t="str">
        <f t="shared" si="0"/>
        <v>Fadrozole 0,08µg/L</v>
      </c>
      <c r="K22" s="3" t="str">
        <f t="shared" si="0"/>
        <v>Fadrozole 0,4µg/L</v>
      </c>
      <c r="L22" s="3" t="str">
        <f t="shared" si="0"/>
        <v>Fadrozole 2µg/L</v>
      </c>
      <c r="M22" s="3" t="str">
        <f t="shared" si="0"/>
        <v>Fadrozole 10µg/L</v>
      </c>
      <c r="N22" s="3" t="s">
        <v>41</v>
      </c>
      <c r="O22" s="3" t="str">
        <f t="shared" si="0"/>
        <v>Testo -30µg/L</v>
      </c>
      <c r="P22" s="3" t="str">
        <f t="shared" si="0"/>
        <v>Testo 30µg/L + EE2 -64ng/L</v>
      </c>
      <c r="Q22" s="3" t="str">
        <f t="shared" si="0"/>
        <v>Testo 30µg/L + FAD-10µg/L</v>
      </c>
      <c r="R22" s="3" t="str">
        <f t="shared" si="0"/>
        <v>Fadrozole-0,016 µg/L + Testostérone</v>
      </c>
      <c r="S22" s="3" t="str">
        <f t="shared" si="0"/>
        <v>Fadrozole-0,08µg/L + Testostérone</v>
      </c>
      <c r="T22" s="3" t="str">
        <f t="shared" si="0"/>
        <v>Fadrozole-0,4µg/L + Testostérone</v>
      </c>
      <c r="U22" s="3" t="str">
        <f t="shared" si="0"/>
        <v>Fadrozole-2µg/L + Testostérone</v>
      </c>
      <c r="V22" s="3" t="str">
        <f t="shared" si="0"/>
        <v>Fadrozole-10 µg/L + Testostérone</v>
      </c>
    </row>
    <row r="23" spans="1:22" x14ac:dyDescent="0.25">
      <c r="A23" s="5" t="s">
        <v>0</v>
      </c>
      <c r="B23" s="5">
        <f t="shared" ref="B23:J23" si="1">AVERAGE(B5:B20)</f>
        <v>123086.66666666667</v>
      </c>
      <c r="C23" s="5">
        <f t="shared" si="1"/>
        <v>306248.64583333331</v>
      </c>
      <c r="D23" s="5">
        <f t="shared" si="1"/>
        <v>261190.875</v>
      </c>
      <c r="E23" s="5">
        <f t="shared" si="1"/>
        <v>1233328.4791666665</v>
      </c>
      <c r="F23" s="5">
        <f t="shared" si="1"/>
        <v>1259795.3125</v>
      </c>
      <c r="G23" s="5">
        <f t="shared" si="1"/>
        <v>2238800.5</v>
      </c>
      <c r="H23" s="5">
        <f t="shared" si="1"/>
        <v>6615622.25</v>
      </c>
      <c r="I23" s="5">
        <f t="shared" si="1"/>
        <v>238004.58333333331</v>
      </c>
      <c r="J23" s="5">
        <f t="shared" si="1"/>
        <v>169649.45833333334</v>
      </c>
      <c r="K23" s="5"/>
      <c r="L23" s="5">
        <f>AVERAGE(L5:L20)</f>
        <v>204349.3125</v>
      </c>
      <c r="M23" s="5"/>
      <c r="N23" s="5" t="s">
        <v>0</v>
      </c>
      <c r="O23" s="5">
        <f>AVERAGE(O5:O20)</f>
        <v>2300354.1875</v>
      </c>
      <c r="P23" s="5">
        <f>AVERAGE(P5:P20)</f>
        <v>3238036.5952380956</v>
      </c>
      <c r="Q23" s="5">
        <f>AVERAGE(Q5:Q20)</f>
        <v>172136.5625</v>
      </c>
      <c r="R23" s="5">
        <f>AVERAGE(R5:R20)</f>
        <v>1320902.9583333335</v>
      </c>
      <c r="S23" s="5">
        <f>AVERAGE(S5:S20)</f>
        <v>1727419.2083333335</v>
      </c>
      <c r="T23" s="5">
        <f t="shared" ref="T23:V23" si="2">AVERAGE(T5:T20)</f>
        <v>306411.6875</v>
      </c>
      <c r="U23" s="5">
        <f t="shared" si="2"/>
        <v>203900.45833333331</v>
      </c>
      <c r="V23" s="5">
        <f t="shared" si="2"/>
        <v>276554.875</v>
      </c>
    </row>
    <row r="24" spans="1:22" x14ac:dyDescent="0.25">
      <c r="A24" s="3" t="s">
        <v>1</v>
      </c>
      <c r="B24" s="3">
        <f t="shared" ref="B24:J24" si="3">STDEV(B5:B20)</f>
        <v>88700.105979428816</v>
      </c>
      <c r="C24" s="3">
        <f t="shared" si="3"/>
        <v>210897.7549116663</v>
      </c>
      <c r="D24" s="3">
        <f t="shared" si="3"/>
        <v>265214.29840383667</v>
      </c>
      <c r="E24" s="3">
        <f t="shared" si="3"/>
        <v>1728643.3642143798</v>
      </c>
      <c r="F24" s="3">
        <f t="shared" si="3"/>
        <v>943774.05830958625</v>
      </c>
      <c r="G24" s="3">
        <f t="shared" si="3"/>
        <v>632564.75641932618</v>
      </c>
      <c r="H24" s="3">
        <f t="shared" si="3"/>
        <v>1249382.8666441899</v>
      </c>
      <c r="I24" s="3">
        <f t="shared" si="3"/>
        <v>121935.2106038936</v>
      </c>
      <c r="J24" s="3">
        <f t="shared" si="3"/>
        <v>106241.47856486565</v>
      </c>
      <c r="K24" s="3"/>
      <c r="L24" s="3">
        <f>STDEV(L5:L20)</f>
        <v>80164.939528095143</v>
      </c>
      <c r="M24" s="3"/>
      <c r="N24" s="3" t="s">
        <v>1</v>
      </c>
      <c r="O24" s="3">
        <f>STDEV(O5:O20)</f>
        <v>1316686.5508037014</v>
      </c>
      <c r="P24" s="3">
        <f>STDEV(P5:P20)</f>
        <v>1627911.0916757069</v>
      </c>
      <c r="Q24" s="3">
        <f>STDEV(Q5:Q20)</f>
        <v>103587.80425630404</v>
      </c>
      <c r="R24" s="3">
        <f>STDEV(R5:R20)</f>
        <v>1156836.5382022918</v>
      </c>
      <c r="S24" s="3">
        <f>STDEV(S5:S20)</f>
        <v>601585.85216483125</v>
      </c>
      <c r="T24" s="3">
        <f t="shared" ref="T24:V24" si="4">STDEV(T5:T20)</f>
        <v>389038.6936526951</v>
      </c>
      <c r="U24" s="3">
        <f t="shared" si="4"/>
        <v>179458.03238958374</v>
      </c>
      <c r="V24" s="3">
        <f t="shared" si="4"/>
        <v>163091.50522455396</v>
      </c>
    </row>
    <row r="25" spans="1:22" ht="15.75" thickBot="1" x14ac:dyDescent="0.3"/>
    <row r="26" spans="1:22" ht="15.75" thickBot="1" x14ac:dyDescent="0.3">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Fadrozole 0,016µg/L</v>
      </c>
      <c r="J27" s="35" t="str">
        <f t="shared" si="5"/>
        <v>Fadrozole 0,08µg/L</v>
      </c>
      <c r="K27" s="35" t="str">
        <f t="shared" si="5"/>
        <v>Fadrozole 0,4µg/L</v>
      </c>
      <c r="L27" s="35" t="str">
        <f t="shared" si="5"/>
        <v>Fadrozole 2µg/L</v>
      </c>
      <c r="M27" s="35" t="str">
        <f t="shared" si="5"/>
        <v>Fadrozole 10µg/L</v>
      </c>
      <c r="N27" s="3"/>
      <c r="O27" s="36" t="str">
        <f>O4</f>
        <v>Testo -30µg/L</v>
      </c>
      <c r="P27" s="36" t="str">
        <f t="shared" ref="P27:R27" si="6">P4</f>
        <v>Testo 30µg/L + EE2 -64ng/L</v>
      </c>
      <c r="Q27" s="36" t="str">
        <f t="shared" si="6"/>
        <v>Testo 30µg/L + FAD-10µg/L</v>
      </c>
      <c r="R27" s="36" t="str">
        <f t="shared" si="6"/>
        <v>Fadrozole-0,016 µg/L + Testostérone</v>
      </c>
      <c r="S27" s="36" t="str">
        <f t="shared" ref="S27:V27" si="7">S4</f>
        <v>Fadrozole-0,08µg/L + Testostérone</v>
      </c>
      <c r="T27" s="36" t="str">
        <f t="shared" si="7"/>
        <v>Fadrozole-0,4µg/L + Testostérone</v>
      </c>
      <c r="U27" s="36" t="str">
        <f t="shared" si="7"/>
        <v>Fadrozole-2µg/L + Testostérone</v>
      </c>
      <c r="V27" s="36" t="str">
        <f t="shared" si="7"/>
        <v>Fadrozole-10 µg/L + Testostérone</v>
      </c>
    </row>
    <row r="28" spans="1:22" x14ac:dyDescent="0.25">
      <c r="A28" s="227" t="s">
        <v>34</v>
      </c>
      <c r="B28" s="11">
        <f t="shared" ref="B28:M28" si="8">IF(B5="","",(B5/$O$23))</f>
        <v>2.4077596528817153E-2</v>
      </c>
      <c r="C28" s="11">
        <f t="shared" si="8"/>
        <v>0.16147991557930469</v>
      </c>
      <c r="D28" s="11">
        <f t="shared" si="8"/>
        <v>7.0417996590941653E-2</v>
      </c>
      <c r="E28" s="11">
        <f t="shared" si="8"/>
        <v>8.345656843188487E-2</v>
      </c>
      <c r="F28" s="11">
        <f t="shared" si="8"/>
        <v>0.37296734766415185</v>
      </c>
      <c r="G28" s="11">
        <f t="shared" si="8"/>
        <v>0.64854302644934181</v>
      </c>
      <c r="H28" s="11">
        <f t="shared" si="8"/>
        <v>2.3725782590309619</v>
      </c>
      <c r="I28" s="11">
        <f t="shared" si="8"/>
        <v>7.9767571300002976E-2</v>
      </c>
      <c r="J28" s="11">
        <f t="shared" si="8"/>
        <v>9.2169864312833499E-2</v>
      </c>
      <c r="K28" s="11">
        <f t="shared" si="8"/>
        <v>1.9241239852185444E-2</v>
      </c>
      <c r="L28" s="11">
        <f t="shared" si="8"/>
        <v>6.8954308947405674E-2</v>
      </c>
      <c r="M28" s="11">
        <f t="shared" si="8"/>
        <v>0.18203935823252435</v>
      </c>
      <c r="N28" s="6"/>
      <c r="O28" s="11">
        <f t="shared" ref="O28:S37" si="9">IF(O5="","",(O5/$O$23))</f>
        <v>1.7285548264438011</v>
      </c>
      <c r="P28" s="11">
        <f t="shared" si="9"/>
        <v>2.0224221811639311</v>
      </c>
      <c r="Q28" s="11">
        <f t="shared" si="9"/>
        <v>7.1693597256820979E-2</v>
      </c>
      <c r="R28" s="11">
        <f t="shared" si="9"/>
        <v>0.38147690680350937</v>
      </c>
      <c r="S28" s="11">
        <f t="shared" si="9"/>
        <v>0.61439509663914882</v>
      </c>
      <c r="T28" s="11">
        <f t="shared" ref="T28:V28" si="10">IF(T5="","",(T5/$O$23))</f>
        <v>3.5730801998507457E-2</v>
      </c>
      <c r="U28" s="11">
        <f t="shared" si="10"/>
        <v>0.10058552486858433</v>
      </c>
      <c r="V28" s="11">
        <f t="shared" si="10"/>
        <v>0.15776106797177003</v>
      </c>
    </row>
    <row r="29" spans="1:22" x14ac:dyDescent="0.25">
      <c r="A29" s="227"/>
      <c r="B29" s="11">
        <f t="shared" ref="B29:M29" si="11">IF(B6="","",(B6/$O$23))</f>
        <v>5.9331877706042757E-2</v>
      </c>
      <c r="C29" s="11">
        <f t="shared" si="11"/>
        <v>0.10739940310459981</v>
      </c>
      <c r="D29" s="11">
        <f t="shared" si="11"/>
        <v>6.8988796390150098E-2</v>
      </c>
      <c r="E29" s="11">
        <f t="shared" si="11"/>
        <v>0.22885606175809828</v>
      </c>
      <c r="F29" s="11">
        <f t="shared" si="11"/>
        <v>0.48868822293045255</v>
      </c>
      <c r="G29" s="11">
        <f t="shared" si="11"/>
        <v>0.75206230243474914</v>
      </c>
      <c r="H29" s="11">
        <f t="shared" si="11"/>
        <v>3.1010237635416309</v>
      </c>
      <c r="I29" s="11">
        <f t="shared" si="11"/>
        <v>0.10700453637569816</v>
      </c>
      <c r="J29" s="11">
        <f t="shared" si="11"/>
        <v>0.11088466349489061</v>
      </c>
      <c r="K29" s="11">
        <f t="shared" si="11"/>
        <v>0.11609386130673845</v>
      </c>
      <c r="L29" s="11">
        <f t="shared" si="11"/>
        <v>5.5561443839613069E-2</v>
      </c>
      <c r="M29" s="11">
        <f t="shared" si="11"/>
        <v>0.19617805051597081</v>
      </c>
      <c r="N29" s="6"/>
      <c r="O29" s="11">
        <f t="shared" si="9"/>
        <v>0.28236782123796317</v>
      </c>
      <c r="P29" s="11">
        <f t="shared" si="9"/>
        <v>1.9179253745535074</v>
      </c>
      <c r="Q29" s="11">
        <f t="shared" si="9"/>
        <v>1.0846155837903984E-2</v>
      </c>
      <c r="R29" s="11">
        <f t="shared" si="9"/>
        <v>8.0248729088376533E-2</v>
      </c>
      <c r="S29" s="11">
        <f t="shared" si="9"/>
        <v>0.91322386124216515</v>
      </c>
      <c r="T29" s="11">
        <f t="shared" ref="T29:V29" si="12">IF(T6="","",(T6/$O$23))</f>
        <v>8.3623354341964048E-3</v>
      </c>
      <c r="U29" s="11">
        <f t="shared" si="12"/>
        <v>6.5575408989780468E-2</v>
      </c>
      <c r="V29" s="11">
        <f t="shared" si="12"/>
        <v>6.9914885661493384E-2</v>
      </c>
    </row>
    <row r="30" spans="1:22" x14ac:dyDescent="0.25">
      <c r="A30" s="227"/>
      <c r="B30" s="11">
        <f t="shared" ref="B30:M30" si="13">IF(B7="","",(B7/$O$23))</f>
        <v>4.3713992920347479E-2</v>
      </c>
      <c r="C30" s="11">
        <f t="shared" si="13"/>
        <v>0.22514503903253086</v>
      </c>
      <c r="D30" s="11">
        <f t="shared" si="13"/>
        <v>1.4746714593344189E-2</v>
      </c>
      <c r="E30" s="11">
        <f t="shared" si="13"/>
        <v>0.21938751986209079</v>
      </c>
      <c r="F30" s="11">
        <f t="shared" si="13"/>
        <v>4.2579240129878189E-2</v>
      </c>
      <c r="G30" s="11">
        <f t="shared" si="13"/>
        <v>1.4713648670823798</v>
      </c>
      <c r="H30" s="11">
        <f t="shared" si="13"/>
        <v>3.6714572242366916</v>
      </c>
      <c r="I30" s="11">
        <f t="shared" si="13"/>
        <v>9.5133393452698473E-2</v>
      </c>
      <c r="J30" s="11">
        <f t="shared" si="13"/>
        <v>0.13194707217233695</v>
      </c>
      <c r="K30" s="11">
        <f t="shared" si="13"/>
        <v>0.20441185501859446</v>
      </c>
      <c r="L30" s="11">
        <f t="shared" si="13"/>
        <v>9.3022486636817822E-2</v>
      </c>
      <c r="M30" s="11">
        <f t="shared" si="13"/>
        <v>0.1366360602385859</v>
      </c>
      <c r="N30" s="6"/>
      <c r="O30" s="11">
        <f t="shared" si="9"/>
        <v>1.6493545590864218</v>
      </c>
      <c r="P30" s="11">
        <f t="shared" si="9"/>
        <v>0.314838907823624</v>
      </c>
      <c r="Q30" s="11">
        <f t="shared" si="9"/>
        <v>7.4824709285484042E-2</v>
      </c>
      <c r="R30" s="11">
        <f t="shared" si="9"/>
        <v>0.93796903612696381</v>
      </c>
      <c r="S30" s="11">
        <f t="shared" si="9"/>
        <v>0.39557169280480636</v>
      </c>
      <c r="T30" s="11">
        <f t="shared" ref="T30:V30" si="14">IF(T7="","",(T7/$O$23))</f>
        <v>0.30574313461022185</v>
      </c>
      <c r="U30" s="11">
        <f t="shared" si="14"/>
        <v>9.9516703953949986E-2</v>
      </c>
      <c r="V30" s="11">
        <f t="shared" si="14"/>
        <v>0.10567242267338886</v>
      </c>
    </row>
    <row r="31" spans="1:22" x14ac:dyDescent="0.25">
      <c r="A31" s="227"/>
      <c r="B31" s="11">
        <f t="shared" ref="B31:M31" si="15">IF(B8="","",(B8/$O$23))</f>
        <v>0.13313819309401456</v>
      </c>
      <c r="C31" s="11">
        <f t="shared" si="15"/>
        <v>0.28558978884057901</v>
      </c>
      <c r="D31" s="11">
        <f t="shared" si="15"/>
        <v>9.7256762117638021E-2</v>
      </c>
      <c r="E31" s="11">
        <f t="shared" si="15"/>
        <v>0.19995790322180548</v>
      </c>
      <c r="F31" s="11">
        <f t="shared" si="15"/>
        <v>0.29019719526705856</v>
      </c>
      <c r="G31" s="11">
        <f t="shared" si="15"/>
        <v>1.2400233909631362</v>
      </c>
      <c r="H31" s="11">
        <f t="shared" si="15"/>
        <v>2.5441960337249152</v>
      </c>
      <c r="I31" s="11">
        <f t="shared" si="15"/>
        <v>5.2301800879377261E-2</v>
      </c>
      <c r="J31" s="11">
        <f t="shared" si="15"/>
        <v>7.75416821907706E-3</v>
      </c>
      <c r="K31" s="11">
        <f t="shared" si="15"/>
        <v>0.13593095143020592</v>
      </c>
      <c r="L31" s="11">
        <f t="shared" si="15"/>
        <v>0.132188484271548</v>
      </c>
      <c r="M31" s="11">
        <f t="shared" si="15"/>
        <v>4.9810010688480844E-2</v>
      </c>
      <c r="N31" s="6"/>
      <c r="O31" s="11">
        <f t="shared" si="9"/>
        <v>0.17300306861259526</v>
      </c>
      <c r="P31" s="11">
        <f t="shared" si="9"/>
        <v>1.9359959975728738</v>
      </c>
      <c r="Q31" s="11">
        <f t="shared" si="9"/>
        <v>1.1259787793004811E-2</v>
      </c>
      <c r="R31" s="11">
        <f t="shared" si="9"/>
        <v>0.28131146217238773</v>
      </c>
      <c r="S31" s="11">
        <f t="shared" si="9"/>
        <v>1.0441367448478338</v>
      </c>
      <c r="T31" s="11">
        <f t="shared" ref="T31:V31" si="16">IF(T8="","",(T8/$O$23))</f>
        <v>6.8608275278188371E-3</v>
      </c>
      <c r="U31" s="11">
        <f t="shared" si="16"/>
        <v>1.966132008964815E-2</v>
      </c>
      <c r="V31" s="11">
        <f t="shared" si="16"/>
        <v>0.25147315855825503</v>
      </c>
    </row>
    <row r="32" spans="1:22" x14ac:dyDescent="0.25">
      <c r="A32" s="227"/>
      <c r="B32" s="11">
        <f t="shared" ref="B32:M32" si="17">IF(B9="","",(B9/$O$23))</f>
        <v>4.6465598173600096E-2</v>
      </c>
      <c r="C32" s="11">
        <f t="shared" si="17"/>
        <v>4.2428828509841518E-2</v>
      </c>
      <c r="D32" s="11">
        <f t="shared" si="17"/>
        <v>0.36788044985934731</v>
      </c>
      <c r="E32" s="11">
        <f t="shared" si="17"/>
        <v>2.147141743145152</v>
      </c>
      <c r="F32" s="11">
        <f t="shared" si="17"/>
        <v>0.16112098534536362</v>
      </c>
      <c r="G32" s="11">
        <f t="shared" si="17"/>
        <v>0.75405866167294289</v>
      </c>
      <c r="H32" s="11">
        <f t="shared" si="17"/>
        <v>2.8614734066178813</v>
      </c>
      <c r="I32" s="11">
        <f t="shared" si="17"/>
        <v>0.19840959092884616</v>
      </c>
      <c r="J32" s="11">
        <f t="shared" si="17"/>
        <v>1.0455926076094024E-2</v>
      </c>
      <c r="K32" s="11">
        <f t="shared" si="17"/>
        <v>1.6414283883692874E-2</v>
      </c>
      <c r="L32" s="11">
        <f t="shared" si="17"/>
        <v>4.5030239500889906E-2</v>
      </c>
      <c r="M32" s="11">
        <f t="shared" si="17"/>
        <v>9.5429652178290914E-2</v>
      </c>
      <c r="N32" s="6"/>
      <c r="O32" s="11">
        <f t="shared" si="9"/>
        <v>1.524396990278698</v>
      </c>
      <c r="P32" s="11">
        <f t="shared" si="9"/>
        <v>1.1831378032084026</v>
      </c>
      <c r="Q32" s="11">
        <f t="shared" si="9"/>
        <v>0.12998201246201208</v>
      </c>
      <c r="R32" s="11">
        <f t="shared" si="9"/>
        <v>1.2301189741605101</v>
      </c>
      <c r="S32" s="11">
        <f t="shared" si="9"/>
        <v>0.85701063371572639</v>
      </c>
      <c r="T32" s="11">
        <f t="shared" ref="T32:V32" si="18">IF(T9="","",(T9/$O$23))</f>
        <v>1.0371228974059891E-2</v>
      </c>
      <c r="U32" s="11">
        <f t="shared" si="18"/>
        <v>8.1939555666794464E-2</v>
      </c>
      <c r="V32" s="11">
        <f t="shared" si="18"/>
        <v>0.13756693138224249</v>
      </c>
    </row>
    <row r="33" spans="1:22" x14ac:dyDescent="0.25">
      <c r="A33" s="227"/>
      <c r="B33" s="11">
        <f t="shared" ref="B33:M33" si="19">IF(B10="","",(B10/$O$23))</f>
        <v>8.0478911032912409E-2</v>
      </c>
      <c r="C33" s="11">
        <f t="shared" si="19"/>
        <v>9.4702372871003804E-2</v>
      </c>
      <c r="D33" s="11">
        <f t="shared" si="19"/>
        <v>9.9920844617035019E-3</v>
      </c>
      <c r="E33" s="11">
        <f t="shared" si="19"/>
        <v>7.9570065482941349E-2</v>
      </c>
      <c r="F33" s="11">
        <f t="shared" si="19"/>
        <v>0.89744281317693098</v>
      </c>
      <c r="G33" s="11">
        <f t="shared" si="19"/>
        <v>0.93757112638840823</v>
      </c>
      <c r="H33" s="11">
        <f t="shared" si="19"/>
        <v>3.1650946216153799</v>
      </c>
      <c r="I33" s="11">
        <f t="shared" si="19"/>
        <v>8.7535867778187532E-2</v>
      </c>
      <c r="J33" s="11">
        <f t="shared" si="19"/>
        <v>4.8553102796189872E-2</v>
      </c>
      <c r="K33" s="11">
        <f t="shared" si="19"/>
        <v>1.4521097163289191E-2</v>
      </c>
      <c r="L33" s="11">
        <f t="shared" si="19"/>
        <v>0.14417069704691582</v>
      </c>
      <c r="M33" s="11">
        <f t="shared" si="19"/>
        <v>8.5274404437048604E-2</v>
      </c>
      <c r="N33" s="6"/>
      <c r="O33" s="11">
        <f t="shared" si="9"/>
        <v>0.62898516868792698</v>
      </c>
      <c r="P33" s="11">
        <f t="shared" si="9"/>
        <v>0.61254900411577018</v>
      </c>
      <c r="Q33" s="11">
        <f t="shared" si="9"/>
        <v>8.2156044067887693E-2</v>
      </c>
      <c r="R33" s="11">
        <f t="shared" si="9"/>
        <v>0.21550398747019039</v>
      </c>
      <c r="S33" s="11">
        <f t="shared" si="9"/>
        <v>0.38694316647850274</v>
      </c>
      <c r="T33" s="11">
        <f t="shared" ref="T33:V33" si="20">IF(T10="","",(T10/$O$23))</f>
        <v>0.22827310805154</v>
      </c>
      <c r="U33" s="11">
        <f t="shared" si="20"/>
        <v>0.26350550854030169</v>
      </c>
      <c r="V33" s="11">
        <f t="shared" si="20"/>
        <v>3.2267349844069752E-2</v>
      </c>
    </row>
    <row r="34" spans="1:22" x14ac:dyDescent="0.25">
      <c r="A34" s="227"/>
      <c r="B34" s="11">
        <f t="shared" ref="B34:M34" si="21">IF(B11="","",(B11/$O$23))</f>
        <v>2.7678926001621799E-2</v>
      </c>
      <c r="C34" s="11">
        <f t="shared" si="21"/>
        <v>7.0678970895070763E-3</v>
      </c>
      <c r="D34" s="11">
        <f t="shared" si="21"/>
        <v>0.1047854578118817</v>
      </c>
      <c r="E34" s="11">
        <f t="shared" si="21"/>
        <v>1.2145102184037764</v>
      </c>
      <c r="F34" s="11">
        <f t="shared" si="21"/>
        <v>1.1581149899189889</v>
      </c>
      <c r="G34" s="11">
        <f t="shared" si="21"/>
        <v>0.9376932814902299</v>
      </c>
      <c r="H34" s="11">
        <f t="shared" si="21"/>
        <v>3.289240576276836</v>
      </c>
      <c r="I34" s="11">
        <f t="shared" si="21"/>
        <v>4.4036841754106326E-2</v>
      </c>
      <c r="J34" s="11">
        <f t="shared" si="21"/>
        <v>9.4417199394864926E-2</v>
      </c>
      <c r="K34" s="11">
        <f t="shared" si="21"/>
        <v>0.19022288062324749</v>
      </c>
      <c r="L34" s="11">
        <f t="shared" si="21"/>
        <v>9.3056829174340633E-2</v>
      </c>
      <c r="M34" s="11">
        <f t="shared" si="21"/>
        <v>1.7868552687823863E-2</v>
      </c>
      <c r="N34" s="6"/>
      <c r="O34" s="11">
        <f t="shared" si="9"/>
        <v>1.025437595429711</v>
      </c>
      <c r="P34" s="11">
        <f t="shared" si="9"/>
        <v>1.8665073506207617</v>
      </c>
      <c r="Q34" s="11">
        <f t="shared" si="9"/>
        <v>0.12665020670141186</v>
      </c>
      <c r="R34" s="11">
        <f t="shared" si="9"/>
        <v>1.308620218728817</v>
      </c>
      <c r="S34" s="11">
        <f t="shared" si="9"/>
        <v>0.7668529233102428</v>
      </c>
      <c r="T34" s="11">
        <f t="shared" ref="T34:V34" si="22">IF(T11="","",(T11/$O$23))</f>
        <v>2.9603267344672765E-2</v>
      </c>
      <c r="U34" s="11">
        <f t="shared" si="22"/>
        <v>1.1480840708578926E-2</v>
      </c>
      <c r="V34" s="11">
        <f t="shared" si="22"/>
        <v>5.2496118781563357E-2</v>
      </c>
    </row>
    <row r="35" spans="1:22" x14ac:dyDescent="0.25">
      <c r="A35" s="227"/>
      <c r="B35" s="11">
        <f t="shared" ref="B35:M35" si="23">IF(B12="","",(B12/$O$23))</f>
        <v>1.3176521611920976E-2</v>
      </c>
      <c r="C35" s="11">
        <f t="shared" si="23"/>
        <v>0.14123542442526582</v>
      </c>
      <c r="D35" s="11">
        <f t="shared" si="23"/>
        <v>0.17428185719335015</v>
      </c>
      <c r="E35" s="11">
        <f t="shared" si="23"/>
        <v>0.11629759804832954</v>
      </c>
      <c r="F35" s="11">
        <f t="shared" si="23"/>
        <v>0.97011126031216877</v>
      </c>
      <c r="G35" s="11">
        <f t="shared" si="23"/>
        <v>1.0446165260366018</v>
      </c>
      <c r="H35" s="11">
        <f t="shared" si="23"/>
        <v>2.0022531131777432</v>
      </c>
      <c r="I35" s="11">
        <f t="shared" si="23"/>
        <v>0.16352496297196117</v>
      </c>
      <c r="J35" s="11">
        <f t="shared" si="23"/>
        <v>9.3812220094621118E-2</v>
      </c>
      <c r="K35" s="11">
        <f t="shared" si="23"/>
        <v>6.4190115071138367E-3</v>
      </c>
      <c r="L35" s="11">
        <f t="shared" si="23"/>
        <v>7.868628853630974E-2</v>
      </c>
      <c r="M35" s="11">
        <f t="shared" si="23"/>
        <v>4.4917430785862404E-2</v>
      </c>
      <c r="N35" s="6"/>
      <c r="O35" s="11">
        <f t="shared" si="9"/>
        <v>0.34450173121438066</v>
      </c>
      <c r="P35" s="11" t="str">
        <f t="shared" si="9"/>
        <v/>
      </c>
      <c r="Q35" s="11">
        <f t="shared" si="9"/>
        <v>9.1231168287209688E-2</v>
      </c>
      <c r="R35" s="11">
        <f t="shared" si="9"/>
        <v>0.15848834727905714</v>
      </c>
      <c r="S35" s="11">
        <f t="shared" si="9"/>
        <v>1.0293553979065235</v>
      </c>
      <c r="T35" s="11">
        <f t="shared" ref="T35:V35" si="24">IF(T12="","",(T12/$O$23))</f>
        <v>0.44067097964379598</v>
      </c>
      <c r="U35" s="11">
        <f t="shared" si="24"/>
        <v>6.6844923636351972E-2</v>
      </c>
      <c r="V35" s="11">
        <f t="shared" si="24"/>
        <v>0.15462995594310699</v>
      </c>
    </row>
    <row r="36" spans="1:22" x14ac:dyDescent="0.25">
      <c r="A36" s="227"/>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f t="shared" si="9"/>
        <v>0.50561329772033936</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25">
      <c r="A37" s="227"/>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f t="shared" si="9"/>
        <v>1.8862001151435002</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25">
      <c r="A38" s="227"/>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1">
        <f t="shared" ref="O38:V38" si="30">IF(O15="","",(O15/$O$23))</f>
        <v>0.99772751480544186</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25">
      <c r="A39" s="227"/>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V39" si="32">IF(O16="","",(O16/$O$23))</f>
        <v>1.7869748155902188</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25">
      <c r="A40" s="227"/>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1">
        <f t="shared" ref="O40:V40" si="34">IF(O17="","",(O17/$O$23))</f>
        <v>0.87725795052158684</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25">
      <c r="A41" s="227"/>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1">
        <f t="shared" ref="O41:V41" si="36">IF(O18="","",(O18/$O$23))</f>
        <v>1.0516371840238623</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25">
      <c r="A42" s="227"/>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1">
        <f t="shared" ref="O42:V42" si="38">IF(O19="","",(O19/$O$23))</f>
        <v>0.49839209090636322</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25">
      <c r="A43" s="227"/>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1">
        <f t="shared" ref="O43:V43" si="40">IF(O20="","",(O20/$O$23))</f>
        <v>1.0395952702971891</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Fadrozole 0,016µg/L</v>
      </c>
      <c r="J45" s="7" t="str">
        <f t="shared" si="41"/>
        <v>Fadrozole 0,08µg/L</v>
      </c>
      <c r="K45" s="7" t="str">
        <f t="shared" ref="K45:M45" si="42">K4</f>
        <v>Fadrozole 0,4µg/L</v>
      </c>
      <c r="L45" s="7" t="str">
        <f t="shared" si="42"/>
        <v>Fadrozole 2µg/L</v>
      </c>
      <c r="M45" s="7" t="str">
        <f t="shared" si="42"/>
        <v>Fadrozole 10µg/L</v>
      </c>
      <c r="N45" s="7"/>
      <c r="O45" s="7" t="str">
        <f t="shared" si="41"/>
        <v>Testo -30µg/L</v>
      </c>
      <c r="P45" s="7" t="str">
        <f t="shared" si="41"/>
        <v>Testo 30µg/L + EE2 -64ng/L</v>
      </c>
      <c r="Q45" s="7" t="str">
        <f t="shared" si="41"/>
        <v>Testo 30µg/L + FAD-10µg/L</v>
      </c>
      <c r="R45" s="7" t="str">
        <f t="shared" si="41"/>
        <v>Fadrozole-0,016 µg/L + Testostérone</v>
      </c>
      <c r="S45" s="7" t="str">
        <f t="shared" ref="S45:V45" si="43">S4</f>
        <v>Fadrozole-0,08µg/L + Testostérone</v>
      </c>
      <c r="T45" s="7" t="str">
        <f t="shared" si="43"/>
        <v>Fadrozole-0,4µg/L + Testostérone</v>
      </c>
      <c r="U45" s="7" t="str">
        <f t="shared" si="43"/>
        <v>Fadrozole-2µg/L + Testostérone</v>
      </c>
      <c r="V45" s="7" t="str">
        <f t="shared" si="43"/>
        <v>Fadrozole-10 µg/L + Testostérone</v>
      </c>
    </row>
    <row r="46" spans="1:22" x14ac:dyDescent="0.25">
      <c r="A46" s="8" t="s">
        <v>0</v>
      </c>
      <c r="B46" s="10">
        <f t="shared" ref="B46:H46" si="44">AVERAGE(B28:B43)</f>
        <v>5.3507702133659643E-2</v>
      </c>
      <c r="C46" s="10">
        <f t="shared" si="44"/>
        <v>0.13313108368157905</v>
      </c>
      <c r="D46" s="10">
        <f t="shared" si="44"/>
        <v>0.11354376487729459</v>
      </c>
      <c r="E46" s="10">
        <f t="shared" si="44"/>
        <v>0.53614720979425978</v>
      </c>
      <c r="F46" s="10">
        <f t="shared" si="44"/>
        <v>0.5476527568431242</v>
      </c>
      <c r="G46" s="10">
        <f t="shared" si="44"/>
        <v>0.97324164781472366</v>
      </c>
      <c r="H46" s="10">
        <f t="shared" si="44"/>
        <v>2.8759146247777552</v>
      </c>
      <c r="I46" s="10">
        <f>AVERAGE(I28:I43)</f>
        <v>0.10346432068010976</v>
      </c>
      <c r="J46" s="9">
        <f>AVERAGE(J28:J43)</f>
        <v>7.37492770701135E-2</v>
      </c>
      <c r="K46" s="9">
        <f t="shared" ref="K46:M46" si="45">AVERAGE(K28:K43)</f>
        <v>8.7906897598133471E-2</v>
      </c>
      <c r="L46" s="9">
        <f t="shared" si="45"/>
        <v>8.8833847244230088E-2</v>
      </c>
      <c r="M46" s="9">
        <f t="shared" si="45"/>
        <v>0.10101918997057345</v>
      </c>
      <c r="N46" s="8" t="s">
        <v>0</v>
      </c>
      <c r="O46" s="10">
        <f t="shared" ref="O46:R46" si="46">AVERAGE(O28:O43)</f>
        <v>0.99999999999999989</v>
      </c>
      <c r="P46" s="10">
        <f t="shared" si="46"/>
        <v>1.4076252312941244</v>
      </c>
      <c r="Q46" s="10">
        <f t="shared" si="46"/>
        <v>7.4830460211466901E-2</v>
      </c>
      <c r="R46" s="10">
        <f t="shared" si="46"/>
        <v>0.57421720772872653</v>
      </c>
      <c r="S46" s="10">
        <f t="shared" ref="S46:V46" si="47">AVERAGE(S28:S43)</f>
        <v>0.7509361896181187</v>
      </c>
      <c r="T46" s="10">
        <f t="shared" si="47"/>
        <v>0.13320196044810168</v>
      </c>
      <c r="U46" s="10">
        <f t="shared" si="47"/>
        <v>8.863872330674874E-2</v>
      </c>
      <c r="V46" s="10">
        <f t="shared" si="47"/>
        <v>0.12022273635198624</v>
      </c>
    </row>
    <row r="47" spans="1:22" x14ac:dyDescent="0.25">
      <c r="A47" s="8" t="s">
        <v>1</v>
      </c>
      <c r="B47" s="8">
        <f t="shared" ref="B47:J47" si="48">STDEV(B28:B43)</f>
        <v>3.8559325542744868E-2</v>
      </c>
      <c r="C47" s="8">
        <f t="shared" si="48"/>
        <v>9.1680557740922389E-2</v>
      </c>
      <c r="D47" s="8">
        <f t="shared" si="48"/>
        <v>0.11529281005724977</v>
      </c>
      <c r="E47" s="8">
        <f t="shared" si="48"/>
        <v>0.75146834935582274</v>
      </c>
      <c r="F47" s="8">
        <f t="shared" si="48"/>
        <v>0.41027336722231872</v>
      </c>
      <c r="G47" s="8">
        <f t="shared" si="48"/>
        <v>0.2749858086448812</v>
      </c>
      <c r="H47" s="8">
        <f t="shared" si="48"/>
        <v>0.54312630352024449</v>
      </c>
      <c r="I47" s="8">
        <f t="shared" si="48"/>
        <v>5.3007146145790447E-2</v>
      </c>
      <c r="J47" s="8">
        <f t="shared" si="48"/>
        <v>4.6184834988531827E-2</v>
      </c>
      <c r="K47" s="8">
        <f t="shared" ref="K47:M47" si="49">STDEV(K28:K43)</f>
        <v>8.3661475867216992E-2</v>
      </c>
      <c r="L47" s="8">
        <f t="shared" si="49"/>
        <v>3.4848954984283288E-2</v>
      </c>
      <c r="M47" s="8">
        <f t="shared" si="49"/>
        <v>6.5302586870989499E-2</v>
      </c>
      <c r="N47" s="8" t="s">
        <v>1</v>
      </c>
      <c r="O47" s="8">
        <f t="shared" ref="O47:R47" si="50">STDEV(O28:O43)</f>
        <v>0.57238426932622166</v>
      </c>
      <c r="P47" s="8">
        <f t="shared" si="50"/>
        <v>0.70767845252774075</v>
      </c>
      <c r="Q47" s="8">
        <f t="shared" si="50"/>
        <v>4.5031241197201075E-2</v>
      </c>
      <c r="R47" s="8">
        <f t="shared" si="50"/>
        <v>0.50289496482258211</v>
      </c>
      <c r="S47" s="8">
        <f t="shared" ref="S47:V47" si="51">STDEV(S28:S43)</f>
        <v>0.26151879368569286</v>
      </c>
      <c r="T47" s="8">
        <f t="shared" si="51"/>
        <v>0.16912121436199268</v>
      </c>
      <c r="U47" s="8">
        <f t="shared" si="51"/>
        <v>7.8013217862166154E-2</v>
      </c>
      <c r="V47" s="8">
        <f t="shared" si="51"/>
        <v>7.0898432124402555E-2</v>
      </c>
    </row>
    <row r="48" spans="1:22" x14ac:dyDescent="0.25">
      <c r="A48" s="8" t="s">
        <v>2</v>
      </c>
      <c r="B48" s="8">
        <f t="shared" ref="B48:J48" si="52" xml:space="preserve"> B47/SQRT(COUNT(B28:B43))</f>
        <v>1.3632780284627274E-2</v>
      </c>
      <c r="C48" s="8">
        <f t="shared" si="52"/>
        <v>3.241397204078552E-2</v>
      </c>
      <c r="D48" s="8">
        <f t="shared" si="52"/>
        <v>4.0762163906766943E-2</v>
      </c>
      <c r="E48" s="8">
        <f t="shared" si="52"/>
        <v>0.26568418283828188</v>
      </c>
      <c r="F48" s="8">
        <f t="shared" si="52"/>
        <v>0.14505354005157009</v>
      </c>
      <c r="G48" s="8">
        <f t="shared" si="52"/>
        <v>9.7222165011430911E-2</v>
      </c>
      <c r="H48" s="8">
        <f t="shared" si="52"/>
        <v>0.19202414612997395</v>
      </c>
      <c r="I48" s="8">
        <f t="shared" si="52"/>
        <v>1.8740856245517395E-2</v>
      </c>
      <c r="J48" s="8">
        <f t="shared" si="52"/>
        <v>1.6328805004186289E-2</v>
      </c>
      <c r="K48" s="8">
        <f t="shared" ref="K48:M48" si="53" xml:space="preserve"> K47/SQRT(COUNT(K28:K43))</f>
        <v>2.9578798454891912E-2</v>
      </c>
      <c r="L48" s="8">
        <f t="shared" si="53"/>
        <v>1.2320966193325723E-2</v>
      </c>
      <c r="M48" s="8">
        <f t="shared" si="53"/>
        <v>2.3087951002750139E-2</v>
      </c>
      <c r="N48" s="8" t="s">
        <v>2</v>
      </c>
      <c r="O48" s="8">
        <f t="shared" ref="O48:R48" si="54" xml:space="preserve"> O47/SQRT(COUNT(O28:O43))</f>
        <v>0.14309606733155542</v>
      </c>
      <c r="P48" s="8">
        <f t="shared" si="54"/>
        <v>0.26747731336963293</v>
      </c>
      <c r="Q48" s="8">
        <f t="shared" si="54"/>
        <v>1.592094800789395E-2</v>
      </c>
      <c r="R48" s="8">
        <f t="shared" si="54"/>
        <v>0.17780021992530903</v>
      </c>
      <c r="S48" s="8">
        <f t="shared" ref="S48:V48" si="55" xml:space="preserve"> S47/SQRT(COUNT(S28:S43))</f>
        <v>9.246085621143954E-2</v>
      </c>
      <c r="T48" s="8">
        <f t="shared" si="55"/>
        <v>5.9793378758934375E-2</v>
      </c>
      <c r="U48" s="8">
        <f t="shared" si="55"/>
        <v>2.7581837686260591E-2</v>
      </c>
      <c r="V48" s="8">
        <f t="shared" si="55"/>
        <v>2.5066381065329602E-2</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customFormat="1" ht="15.75" thickBot="1" x14ac:dyDescent="0.3"/>
    <row r="52" spans="1:22" x14ac:dyDescent="0.25">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Fadrozole 0,016µg/L</v>
      </c>
      <c r="J52" s="46" t="str">
        <f>J4</f>
        <v>Fadrozole 0,08µg/L</v>
      </c>
      <c r="K52" s="46" t="str">
        <f t="shared" ref="K52:M52" si="57">K4</f>
        <v>Fadrozole 0,4µg/L</v>
      </c>
      <c r="L52" s="46" t="str">
        <f t="shared" si="57"/>
        <v>Fadrozole 2µg/L</v>
      </c>
      <c r="M52" s="46" t="str">
        <f t="shared" si="57"/>
        <v>Fadrozole 10µg/L</v>
      </c>
      <c r="N52" s="47"/>
      <c r="O52" s="46" t="str">
        <f>O27</f>
        <v>Testo -30µg/L</v>
      </c>
      <c r="P52" s="46" t="str">
        <f>P27</f>
        <v>Testo 30µg/L + EE2 -64ng/L</v>
      </c>
      <c r="Q52" s="46" t="str">
        <f>Q27</f>
        <v>Testo 30µg/L + FAD-10µg/L</v>
      </c>
      <c r="R52" s="46" t="str">
        <f>R27</f>
        <v>Fadrozole-0,016 µg/L + Testostérone</v>
      </c>
      <c r="S52" s="46" t="str">
        <f t="shared" ref="S52:V52" si="58">S27</f>
        <v>Fadrozole-0,08µg/L + Testostérone</v>
      </c>
      <c r="T52" s="46" t="str">
        <f t="shared" si="58"/>
        <v>Fadrozole-0,4µg/L + Testostérone</v>
      </c>
      <c r="U52" s="46" t="str">
        <f t="shared" si="58"/>
        <v>Fadrozole-2µg/L + Testostérone</v>
      </c>
      <c r="V52" s="46" t="str">
        <f t="shared" si="58"/>
        <v>Fadrozole-10 µg/L + Testostérone</v>
      </c>
    </row>
    <row r="53" spans="1:22" s="3" customFormat="1" x14ac:dyDescent="0.25">
      <c r="A53" s="61" t="s">
        <v>32</v>
      </c>
      <c r="B53" s="141">
        <f t="shared" ref="B53" si="59">B46</f>
        <v>5.3507702133659643E-2</v>
      </c>
      <c r="C53" s="141">
        <f t="shared" ref="C53:V53" si="60">C46</f>
        <v>0.13313108368157905</v>
      </c>
      <c r="D53" s="141">
        <f t="shared" si="60"/>
        <v>0.11354376487729459</v>
      </c>
      <c r="E53" s="141">
        <f t="shared" si="60"/>
        <v>0.53614720979425978</v>
      </c>
      <c r="F53" s="141">
        <f t="shared" si="60"/>
        <v>0.5476527568431242</v>
      </c>
      <c r="G53" s="141">
        <f t="shared" si="60"/>
        <v>0.97324164781472366</v>
      </c>
      <c r="H53" s="141">
        <f t="shared" si="60"/>
        <v>2.8759146247777552</v>
      </c>
      <c r="I53" s="141">
        <f t="shared" si="60"/>
        <v>0.10346432068010976</v>
      </c>
      <c r="J53" s="141">
        <f t="shared" si="60"/>
        <v>7.37492770701135E-2</v>
      </c>
      <c r="K53" s="141">
        <f t="shared" si="60"/>
        <v>8.7906897598133471E-2</v>
      </c>
      <c r="L53" s="141">
        <f t="shared" si="60"/>
        <v>8.8833847244230088E-2</v>
      </c>
      <c r="M53" s="141">
        <f t="shared" si="60"/>
        <v>0.10101918997057345</v>
      </c>
      <c r="N53" s="141"/>
      <c r="O53" s="141">
        <f t="shared" si="60"/>
        <v>0.99999999999999989</v>
      </c>
      <c r="P53" s="141">
        <f t="shared" si="60"/>
        <v>1.4076252312941244</v>
      </c>
      <c r="Q53" s="141">
        <f t="shared" si="60"/>
        <v>7.4830460211466901E-2</v>
      </c>
      <c r="R53" s="141">
        <f t="shared" si="60"/>
        <v>0.57421720772872653</v>
      </c>
      <c r="S53" s="141">
        <f t="shared" si="60"/>
        <v>0.7509361896181187</v>
      </c>
      <c r="T53" s="141">
        <f t="shared" si="60"/>
        <v>0.13320196044810168</v>
      </c>
      <c r="U53" s="141">
        <f t="shared" si="60"/>
        <v>8.863872330674874E-2</v>
      </c>
      <c r="V53" s="141">
        <f t="shared" si="60"/>
        <v>0.12022273635198624</v>
      </c>
    </row>
    <row r="54" spans="1:22" s="3" customFormat="1" x14ac:dyDescent="0.25">
      <c r="A54" s="61" t="s">
        <v>2</v>
      </c>
      <c r="B54" s="141">
        <f t="shared" ref="B54" si="61">B48</f>
        <v>1.3632780284627274E-2</v>
      </c>
      <c r="C54" s="141">
        <f t="shared" ref="C54:V54" si="62">C48</f>
        <v>3.241397204078552E-2</v>
      </c>
      <c r="D54" s="141">
        <f t="shared" si="62"/>
        <v>4.0762163906766943E-2</v>
      </c>
      <c r="E54" s="141">
        <f t="shared" si="62"/>
        <v>0.26568418283828188</v>
      </c>
      <c r="F54" s="141">
        <f t="shared" si="62"/>
        <v>0.14505354005157009</v>
      </c>
      <c r="G54" s="141">
        <f t="shared" si="62"/>
        <v>9.7222165011430911E-2</v>
      </c>
      <c r="H54" s="141">
        <f t="shared" si="62"/>
        <v>0.19202414612997395</v>
      </c>
      <c r="I54" s="141">
        <f t="shared" si="62"/>
        <v>1.8740856245517395E-2</v>
      </c>
      <c r="J54" s="141">
        <f t="shared" si="62"/>
        <v>1.6328805004186289E-2</v>
      </c>
      <c r="K54" s="141">
        <f t="shared" si="62"/>
        <v>2.9578798454891912E-2</v>
      </c>
      <c r="L54" s="141">
        <f t="shared" si="62"/>
        <v>1.2320966193325723E-2</v>
      </c>
      <c r="M54" s="141">
        <f t="shared" si="62"/>
        <v>2.3087951002750139E-2</v>
      </c>
      <c r="N54" s="141"/>
      <c r="O54" s="141">
        <f t="shared" si="62"/>
        <v>0.14309606733155542</v>
      </c>
      <c r="P54" s="141">
        <f t="shared" si="62"/>
        <v>0.26747731336963293</v>
      </c>
      <c r="Q54" s="141">
        <f t="shared" si="62"/>
        <v>1.592094800789395E-2</v>
      </c>
      <c r="R54" s="141">
        <f t="shared" si="62"/>
        <v>0.17780021992530903</v>
      </c>
      <c r="S54" s="141">
        <f t="shared" si="62"/>
        <v>9.246085621143954E-2</v>
      </c>
      <c r="T54" s="141">
        <f t="shared" si="62"/>
        <v>5.9793378758934375E-2</v>
      </c>
      <c r="U54" s="141">
        <f t="shared" si="62"/>
        <v>2.7581837686260591E-2</v>
      </c>
      <c r="V54" s="141">
        <f t="shared" si="62"/>
        <v>2.5066381065329602E-2</v>
      </c>
    </row>
    <row r="55" spans="1:22" s="3" customFormat="1" x14ac:dyDescent="0.25">
      <c r="A55" s="61" t="s">
        <v>79</v>
      </c>
      <c r="B55" s="141">
        <f>(B53*100/$B53)-100</f>
        <v>0</v>
      </c>
      <c r="C55" s="141">
        <f t="shared" ref="C55:M55" si="63">(C53*100/$B53)-100</f>
        <v>148.8073274928235</v>
      </c>
      <c r="D55" s="141">
        <f t="shared" si="63"/>
        <v>112.2007867085523</v>
      </c>
      <c r="E55" s="141">
        <f t="shared" si="63"/>
        <v>902.00006431782481</v>
      </c>
      <c r="F55" s="141">
        <f t="shared" si="63"/>
        <v>923.50266411200801</v>
      </c>
      <c r="G55" s="141">
        <f t="shared" si="63"/>
        <v>1718.8814114715919</v>
      </c>
      <c r="H55" s="141">
        <f t="shared" si="63"/>
        <v>5274.7675756919252</v>
      </c>
      <c r="I55" s="141">
        <f t="shared" si="63"/>
        <v>93.3634160212317</v>
      </c>
      <c r="J55" s="141">
        <f t="shared" si="63"/>
        <v>37.829273411688263</v>
      </c>
      <c r="K55" s="141">
        <f t="shared" si="63"/>
        <v>64.288306342414614</v>
      </c>
      <c r="L55" s="141">
        <f t="shared" si="63"/>
        <v>66.020673102962718</v>
      </c>
      <c r="M55" s="141">
        <f t="shared" si="63"/>
        <v>88.793736120890429</v>
      </c>
      <c r="N55" s="141"/>
      <c r="O55" s="141">
        <f>(O53*100/$O53)-100</f>
        <v>0</v>
      </c>
      <c r="P55" s="141">
        <f t="shared" ref="P55:V55" si="64">(P53*100/$O53)-100</f>
        <v>40.762523129412472</v>
      </c>
      <c r="Q55" s="141">
        <f t="shared" si="64"/>
        <v>-92.516953978853309</v>
      </c>
      <c r="R55" s="141">
        <f t="shared" si="64"/>
        <v>-42.578279227127339</v>
      </c>
      <c r="S55" s="141">
        <f t="shared" si="64"/>
        <v>-24.906381038188115</v>
      </c>
      <c r="T55" s="141">
        <f t="shared" si="64"/>
        <v>-86.679803955189826</v>
      </c>
      <c r="U55" s="141">
        <f t="shared" si="64"/>
        <v>-91.13612766932512</v>
      </c>
      <c r="V55" s="141">
        <f t="shared" si="64"/>
        <v>-87.97772636480137</v>
      </c>
    </row>
    <row r="56" spans="1:22" s="3" customFormat="1" x14ac:dyDescent="0.25">
      <c r="A56" s="61" t="s">
        <v>81</v>
      </c>
      <c r="B56" s="141">
        <f>[1]!SWTEST(B28:B43)</f>
        <v>0.22297622915279158</v>
      </c>
      <c r="C56" s="141">
        <f>[1]!SWTEST(C28:C43)</f>
        <v>0.95415337743839257</v>
      </c>
      <c r="D56" s="141">
        <f>[1]!SWTEST(D28:D43)</f>
        <v>3.7972340069569732E-2</v>
      </c>
      <c r="E56" s="141">
        <f>[1]!SWTEST(E28:E43)</f>
        <v>1.0758294655460743E-3</v>
      </c>
      <c r="F56" s="141">
        <f>[1]!SWTEST(F28:F43)</f>
        <v>0.46778821268035453</v>
      </c>
      <c r="G56" s="141">
        <f>[1]!SWTEST(G28:G43)</f>
        <v>0.55221540268702429</v>
      </c>
      <c r="H56" s="141">
        <f>[1]!SWTEST(H28:H43)</f>
        <v>0.96036870724513823</v>
      </c>
      <c r="I56" s="141">
        <f>[1]!SWTEST(I28:I43)</f>
        <v>0.35403636037990383</v>
      </c>
      <c r="J56" s="141">
        <f>[1]!SWTEST(J28:J43)</f>
        <v>0.21587512914470264</v>
      </c>
      <c r="K56" s="141">
        <f>[1]!SWTEST(K28:K43)</f>
        <v>6.0725164181868019E-2</v>
      </c>
      <c r="L56" s="141">
        <f>[1]!SWTEST(L28:L43)</f>
        <v>0.58256416129648869</v>
      </c>
      <c r="M56" s="141">
        <f>[1]!SWTEST(M28:M43)</f>
        <v>0.55977190451552206</v>
      </c>
      <c r="N56" s="141"/>
      <c r="O56" s="141">
        <f>[1]!SWTEST(O28:O43)</f>
        <v>0.21112701125119682</v>
      </c>
      <c r="P56" s="141">
        <f>[1]!SWTEST(P28:P43)</f>
        <v>6.2790669566117896E-2</v>
      </c>
      <c r="Q56" s="141">
        <f>[1]!SWTEST(Q28:Q43)</f>
        <v>0.235641974179988</v>
      </c>
      <c r="R56" s="141">
        <f>[1]!SWTEST(R28:R43)</f>
        <v>6.3789240303899986E-2</v>
      </c>
      <c r="S56" s="141">
        <f>[1]!SWTEST(S28:S43)</f>
        <v>0.27485991887016525</v>
      </c>
      <c r="T56" s="141">
        <f>[1]!SWTEST(T28:T43)</f>
        <v>1.7192863388698187E-2</v>
      </c>
      <c r="U56" s="141">
        <f>[1]!SWTEST(U28:U43)</f>
        <v>3.0324063106002552E-2</v>
      </c>
      <c r="V56" s="141">
        <f>[1]!SWTEST(V28:V43)</f>
        <v>0.68340902322612651</v>
      </c>
    </row>
    <row r="57" spans="1:22" s="3" customFormat="1" x14ac:dyDescent="0.25">
      <c r="A57" s="61" t="s">
        <v>85</v>
      </c>
      <c r="B57" s="141" t="str">
        <f>IF(B56&gt;0.05,"Oui","Non")</f>
        <v>Oui</v>
      </c>
      <c r="C57" s="141" t="str">
        <f t="shared" ref="C57:V57" si="65">IF(C56&gt;0.05,"Oui","Non")</f>
        <v>Oui</v>
      </c>
      <c r="D57" s="141" t="str">
        <f t="shared" si="65"/>
        <v>Non</v>
      </c>
      <c r="E57" s="141" t="str">
        <f t="shared" si="65"/>
        <v>Non</v>
      </c>
      <c r="F57" s="141" t="str">
        <f t="shared" si="65"/>
        <v>Oui</v>
      </c>
      <c r="G57" s="141" t="str">
        <f t="shared" si="65"/>
        <v>Oui</v>
      </c>
      <c r="H57" s="141" t="str">
        <f t="shared" si="65"/>
        <v>Oui</v>
      </c>
      <c r="I57" s="141" t="str">
        <f t="shared" si="65"/>
        <v>Oui</v>
      </c>
      <c r="J57" s="141" t="str">
        <f t="shared" si="65"/>
        <v>Oui</v>
      </c>
      <c r="K57" s="141" t="str">
        <f t="shared" si="65"/>
        <v>Oui</v>
      </c>
      <c r="L57" s="141" t="str">
        <f t="shared" si="65"/>
        <v>Oui</v>
      </c>
      <c r="M57" s="141" t="str">
        <f t="shared" si="65"/>
        <v>Oui</v>
      </c>
      <c r="N57" s="141"/>
      <c r="O57" s="141" t="str">
        <f t="shared" si="65"/>
        <v>Oui</v>
      </c>
      <c r="P57" s="141" t="str">
        <f t="shared" si="65"/>
        <v>Oui</v>
      </c>
      <c r="Q57" s="141" t="str">
        <f t="shared" si="65"/>
        <v>Oui</v>
      </c>
      <c r="R57" s="141" t="str">
        <f t="shared" si="65"/>
        <v>Oui</v>
      </c>
      <c r="S57" s="141" t="str">
        <f t="shared" si="65"/>
        <v>Oui</v>
      </c>
      <c r="T57" s="141" t="str">
        <f t="shared" si="65"/>
        <v>Non</v>
      </c>
      <c r="U57" s="141" t="str">
        <f t="shared" si="65"/>
        <v>Non</v>
      </c>
      <c r="V57" s="141" t="str">
        <f t="shared" si="65"/>
        <v>Oui</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2924</v>
      </c>
      <c r="D59" s="150" t="s">
        <v>2924</v>
      </c>
      <c r="E59" s="150" t="s">
        <v>2924</v>
      </c>
      <c r="F59" s="150" t="s">
        <v>2924</v>
      </c>
      <c r="G59" s="150" t="s">
        <v>2924</v>
      </c>
      <c r="H59" s="150" t="s">
        <v>2924</v>
      </c>
      <c r="I59" s="150" t="s">
        <v>2925</v>
      </c>
      <c r="J59" s="150" t="s">
        <v>2925</v>
      </c>
      <c r="K59" s="150" t="s">
        <v>2925</v>
      </c>
      <c r="L59" s="150" t="s">
        <v>2925</v>
      </c>
      <c r="M59" s="150" t="s">
        <v>2925</v>
      </c>
      <c r="N59" s="150"/>
      <c r="O59" s="150" t="str">
        <f t="shared" ref="O59" si="66">IF($B57="Non",IF(O57="Non","MW",IF(O57="Oui","MW","")),IF($B57="Oui",IF(O57="Oui","T-Test Welch",IF(O57="Non","MW",""))))</f>
        <v>T-Test Welch</v>
      </c>
      <c r="P59" s="150" t="str">
        <f>IF($O57="Non",IF(P57="Non","MW",IF(P57="Oui","MW","")),IF($O57="Oui",IF(P57="Oui","T-Test Welch",IF(P57="Non","MW",""))))</f>
        <v>T-Test Welch</v>
      </c>
      <c r="Q59" s="150" t="str">
        <f t="shared" ref="Q59" si="67">IF($O57="Non",IF(Q57="Non","MW",IF(Q57="Oui","MW","")),IF($O57="Oui",IF(Q57="Oui","T-Test Welch",IF(Q57="Non","MW",""))))</f>
        <v>T-Test Welch</v>
      </c>
      <c r="R59" s="150" t="s">
        <v>2924</v>
      </c>
      <c r="S59" s="150" t="s">
        <v>2924</v>
      </c>
      <c r="T59" s="150" t="s">
        <v>2924</v>
      </c>
      <c r="U59" s="150" t="s">
        <v>2924</v>
      </c>
      <c r="V59" s="150" t="s">
        <v>2924</v>
      </c>
    </row>
    <row r="60" spans="1:22" s="3" customFormat="1" ht="15.75" x14ac:dyDescent="0.25">
      <c r="A60" s="61" t="s">
        <v>83</v>
      </c>
      <c r="B60" s="151"/>
      <c r="C60" s="197">
        <v>0.99990000000000001</v>
      </c>
      <c r="D60" s="197">
        <v>0.99990000000000001</v>
      </c>
      <c r="E60" s="197">
        <v>0.13420000000000001</v>
      </c>
      <c r="F60" s="197">
        <v>0.04</v>
      </c>
      <c r="G60" s="197">
        <v>8.9999999999999998E-4</v>
      </c>
      <c r="H60" s="197">
        <v>1E-4</v>
      </c>
      <c r="I60" s="197">
        <v>0.27700000000000002</v>
      </c>
      <c r="J60" s="197">
        <v>0.92320000000000002</v>
      </c>
      <c r="K60" s="197">
        <v>0.61899999999999999</v>
      </c>
      <c r="L60" s="197">
        <v>0.59470000000000001</v>
      </c>
      <c r="M60" s="197">
        <v>0.3206</v>
      </c>
      <c r="N60" s="151"/>
      <c r="O60" s="197">
        <v>1E-4</v>
      </c>
      <c r="P60" s="197">
        <v>0.2099</v>
      </c>
      <c r="Q60" s="197">
        <v>1E-4</v>
      </c>
      <c r="R60" s="197">
        <v>0.69710000000000005</v>
      </c>
      <c r="S60" s="197">
        <v>0.99990000000000001</v>
      </c>
      <c r="T60" s="197">
        <v>2.0000000000000001E-4</v>
      </c>
      <c r="U60" s="197">
        <v>1E-4</v>
      </c>
      <c r="V60" s="197">
        <v>6.9999999999999999E-4</v>
      </c>
    </row>
    <row r="61" spans="1:22" s="3" customFormat="1" ht="15.75" thickBot="1" x14ac:dyDescent="0.3">
      <c r="A61" s="62" t="s">
        <v>84</v>
      </c>
      <c r="B61" s="142"/>
      <c r="C61" s="142" t="str">
        <f t="shared" ref="C61:O61" si="68">IF(C60&gt;0.05,"NS",IF(C60&gt;0.01,"*",IF(C60&gt;0.001,"**","***")))</f>
        <v>NS</v>
      </c>
      <c r="D61" s="142" t="str">
        <f t="shared" si="68"/>
        <v>NS</v>
      </c>
      <c r="E61" s="142" t="str">
        <f t="shared" si="68"/>
        <v>NS</v>
      </c>
      <c r="F61" s="142" t="str">
        <f t="shared" si="68"/>
        <v>*</v>
      </c>
      <c r="G61" s="142" t="str">
        <f t="shared" si="68"/>
        <v>***</v>
      </c>
      <c r="H61" s="142" t="str">
        <f t="shared" si="68"/>
        <v>***</v>
      </c>
      <c r="I61" s="142" t="str">
        <f t="shared" si="68"/>
        <v>NS</v>
      </c>
      <c r="J61" s="142" t="str">
        <f t="shared" si="68"/>
        <v>NS</v>
      </c>
      <c r="K61" s="142" t="str">
        <f t="shared" si="68"/>
        <v>NS</v>
      </c>
      <c r="L61" s="142" t="str">
        <f t="shared" si="68"/>
        <v>NS</v>
      </c>
      <c r="M61" s="142" t="str">
        <f t="shared" si="68"/>
        <v>NS</v>
      </c>
      <c r="N61" s="142"/>
      <c r="O61" s="142" t="str">
        <f t="shared" si="68"/>
        <v>***</v>
      </c>
      <c r="P61" s="142" t="str">
        <f>IF(P60&gt;0.05,"NS",IF(P60&gt;0.01,"*",IF(P60&gt;0.001,"**","***")))</f>
        <v>NS</v>
      </c>
      <c r="Q61" s="142" t="str">
        <f t="shared" ref="Q61:V61" si="69">IF(Q60&gt;0.05,"NS",IF(Q60&gt;0.01,"*",IF(Q60&gt;0.001,"**","***")))</f>
        <v>***</v>
      </c>
      <c r="R61" s="142" t="str">
        <f t="shared" si="69"/>
        <v>NS</v>
      </c>
      <c r="S61" s="142" t="str">
        <f t="shared" si="69"/>
        <v>NS</v>
      </c>
      <c r="T61" s="142" t="str">
        <f t="shared" si="69"/>
        <v>***</v>
      </c>
      <c r="U61" s="142" t="str">
        <f t="shared" si="69"/>
        <v>***</v>
      </c>
      <c r="V61" s="142" t="str">
        <f t="shared" si="69"/>
        <v>***</v>
      </c>
    </row>
    <row r="63" spans="1:22" x14ac:dyDescent="0.25">
      <c r="A63" s="2" t="s">
        <v>39</v>
      </c>
    </row>
    <row r="64" spans="1:22" x14ac:dyDescent="0.25">
      <c r="A64" s="1" t="s">
        <v>23</v>
      </c>
      <c r="B64" s="1">
        <f>B46+(3*B47)</f>
        <v>0.16918567876189425</v>
      </c>
    </row>
    <row r="65" spans="1:22" x14ac:dyDescent="0.25">
      <c r="A65" s="1" t="s">
        <v>24</v>
      </c>
      <c r="B65" s="1">
        <f>B46+(10*B47)</f>
        <v>0.43910095756110834</v>
      </c>
    </row>
    <row r="66" spans="1:22" ht="15.75" thickBot="1" x14ac:dyDescent="0.3"/>
    <row r="67" spans="1:22" ht="27" thickBot="1" x14ac:dyDescent="0.4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N69" s="12"/>
      <c r="O69" s="12"/>
      <c r="P69" s="12"/>
      <c r="Q69" s="12"/>
      <c r="R69" s="12"/>
      <c r="S69" s="12"/>
      <c r="T69" s="12"/>
      <c r="U69" s="12"/>
      <c r="V69" s="12"/>
    </row>
    <row r="70" spans="1:22" ht="16.5" x14ac:dyDescent="0.25">
      <c r="A70" s="12"/>
      <c r="B70" s="12"/>
      <c r="C70" s="12"/>
      <c r="D70" s="12"/>
      <c r="E70" s="12"/>
      <c r="F70" s="12"/>
      <c r="N70" s="12"/>
      <c r="O70" s="12"/>
      <c r="P70" s="12"/>
      <c r="Q70" s="12"/>
      <c r="R70" s="12"/>
      <c r="S70" s="12"/>
      <c r="T70" s="12"/>
      <c r="U70" s="12"/>
      <c r="V70" s="12"/>
    </row>
    <row r="71" spans="1:22" ht="16.5" x14ac:dyDescent="0.25">
      <c r="A71" s="12"/>
      <c r="B71" s="12"/>
      <c r="C71" s="12"/>
      <c r="D71" s="12"/>
      <c r="E71" s="12"/>
      <c r="F71" s="12"/>
      <c r="N71" s="12"/>
      <c r="O71" s="12"/>
      <c r="P71" s="12"/>
      <c r="Q71" s="12"/>
      <c r="R71" s="12"/>
      <c r="S71" s="12"/>
      <c r="T71" s="12"/>
      <c r="U71" s="12"/>
      <c r="V71" s="12"/>
    </row>
    <row r="72" spans="1:22" ht="16.5" x14ac:dyDescent="0.25">
      <c r="A72" s="12"/>
      <c r="B72" s="12"/>
      <c r="C72" s="12"/>
      <c r="D72" s="12"/>
      <c r="E72" s="12"/>
      <c r="F72" s="12"/>
      <c r="N72" s="12"/>
      <c r="O72" s="12"/>
      <c r="P72" s="12"/>
      <c r="Q72" s="12"/>
      <c r="R72" s="12"/>
      <c r="S72" s="12"/>
      <c r="T72" s="12"/>
      <c r="U72" s="12"/>
      <c r="V72" s="12"/>
    </row>
    <row r="73" spans="1:22" ht="16.5" x14ac:dyDescent="0.25">
      <c r="A73" s="12"/>
      <c r="B73" s="197"/>
      <c r="C73" s="197"/>
      <c r="D73" s="12"/>
      <c r="E73" s="12"/>
      <c r="F73" s="12"/>
      <c r="N73" s="12"/>
      <c r="O73" s="12"/>
      <c r="P73" s="12"/>
      <c r="Q73" s="12"/>
      <c r="R73" s="197"/>
      <c r="S73" s="12"/>
      <c r="T73" s="12"/>
      <c r="U73" s="12"/>
      <c r="V73" s="12"/>
    </row>
    <row r="74" spans="1:22" ht="16.5" x14ac:dyDescent="0.25">
      <c r="A74" s="12"/>
      <c r="B74" s="197"/>
      <c r="C74" s="197"/>
      <c r="D74" s="12"/>
      <c r="E74" s="12"/>
      <c r="F74" s="12"/>
      <c r="N74" s="12"/>
      <c r="O74" s="12"/>
      <c r="P74" s="12"/>
      <c r="Q74" s="12"/>
      <c r="R74" s="197"/>
      <c r="S74" s="12"/>
      <c r="T74" s="12"/>
      <c r="U74" s="12"/>
      <c r="V74" s="12"/>
    </row>
    <row r="75" spans="1:22" ht="15.75" x14ac:dyDescent="0.25">
      <c r="B75" s="197"/>
      <c r="C75" s="197"/>
      <c r="R75" s="197"/>
    </row>
    <row r="76" spans="1:22" ht="15.75" x14ac:dyDescent="0.25">
      <c r="B76" s="197"/>
      <c r="C76" s="197"/>
      <c r="R76" s="197"/>
    </row>
    <row r="77" spans="1:22" ht="15.75" x14ac:dyDescent="0.25">
      <c r="B77" s="197"/>
      <c r="C77" s="197"/>
      <c r="R77" s="197"/>
    </row>
    <row r="78" spans="1:22" ht="15.75" x14ac:dyDescent="0.25">
      <c r="C78" s="197"/>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Q1" zoomScale="80" zoomScaleNormal="80" workbookViewId="0">
      <selection activeCell="Z5" sqref="Z5:AF12"/>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1564</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2926</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2927</v>
      </c>
      <c r="D3" s="1" t="s">
        <v>824</v>
      </c>
      <c r="E3" s="1" t="s">
        <v>2928</v>
      </c>
      <c r="F3" s="1" t="s">
        <v>112</v>
      </c>
      <c r="G3" s="1">
        <v>15119</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2929</v>
      </c>
      <c r="D4" s="1" t="s">
        <v>223</v>
      </c>
      <c r="E4" s="1" t="s">
        <v>2930</v>
      </c>
      <c r="F4" s="1" t="s">
        <v>112</v>
      </c>
      <c r="G4" s="1">
        <v>22906</v>
      </c>
      <c r="K4" s="118" t="s">
        <v>100</v>
      </c>
      <c r="L4" s="1" t="s">
        <v>1565</v>
      </c>
      <c r="M4" s="1" t="s">
        <v>1566</v>
      </c>
      <c r="N4" s="1" t="s">
        <v>1567</v>
      </c>
      <c r="O4" s="1" t="s">
        <v>1568</v>
      </c>
      <c r="P4" s="1" t="s">
        <v>1569</v>
      </c>
      <c r="Q4" s="1" t="s">
        <v>1570</v>
      </c>
      <c r="R4" s="1" t="s">
        <v>1571</v>
      </c>
      <c r="S4" s="1" t="s">
        <v>1572</v>
      </c>
      <c r="T4" s="1" t="s">
        <v>1573</v>
      </c>
      <c r="U4" s="1" t="s">
        <v>1574</v>
      </c>
      <c r="V4" s="1" t="s">
        <v>1575</v>
      </c>
      <c r="W4" s="1" t="s">
        <v>1576</v>
      </c>
      <c r="X4" s="1" t="s">
        <v>1577</v>
      </c>
      <c r="Y4" s="1" t="s">
        <v>1578</v>
      </c>
      <c r="Z4" s="1" t="s">
        <v>1579</v>
      </c>
      <c r="AA4" s="1" t="s">
        <v>1580</v>
      </c>
      <c r="AB4" s="1" t="s">
        <v>1581</v>
      </c>
      <c r="AC4" s="1" t="s">
        <v>1582</v>
      </c>
      <c r="AD4" s="1" t="s">
        <v>1583</v>
      </c>
      <c r="AE4" s="1" t="s">
        <v>1584</v>
      </c>
      <c r="AF4" s="1" t="s">
        <v>1585</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2931</v>
      </c>
      <c r="D5" s="1" t="s">
        <v>1271</v>
      </c>
      <c r="E5" s="1" t="s">
        <v>2932</v>
      </c>
      <c r="F5" s="1" t="s">
        <v>112</v>
      </c>
      <c r="G5" s="1">
        <v>144098</v>
      </c>
      <c r="K5" s="145" t="s">
        <v>163</v>
      </c>
      <c r="L5" s="44">
        <v>19012.5</v>
      </c>
      <c r="M5" s="44">
        <v>163414</v>
      </c>
      <c r="N5" s="44">
        <v>261116</v>
      </c>
      <c r="O5" s="44">
        <v>286415.66666666669</v>
      </c>
      <c r="P5" s="44">
        <v>1851000</v>
      </c>
      <c r="Q5" s="44">
        <v>2600310</v>
      </c>
      <c r="R5" s="44">
        <v>5968300.666666667</v>
      </c>
      <c r="S5" s="44">
        <v>17253.333333333332</v>
      </c>
      <c r="T5" s="44">
        <v>315854</v>
      </c>
      <c r="U5" s="44">
        <v>242809.66666666666</v>
      </c>
      <c r="V5" s="44">
        <v>159419.33333333334</v>
      </c>
      <c r="W5" s="44">
        <v>167891.33333333334</v>
      </c>
      <c r="X5" s="44">
        <v>1131272.3333333333</v>
      </c>
      <c r="Y5" s="44">
        <v>2539486.6666666665</v>
      </c>
      <c r="Z5" s="44">
        <v>2587945</v>
      </c>
      <c r="AA5" s="44">
        <v>144697</v>
      </c>
      <c r="AB5" s="44">
        <v>175728.33333333334</v>
      </c>
      <c r="AC5" s="44">
        <v>34305</v>
      </c>
      <c r="AD5" s="44">
        <v>79641.333333333328</v>
      </c>
      <c r="AE5" s="44">
        <v>142901.33333333334</v>
      </c>
      <c r="AF5" s="44">
        <v>30562.666666666668</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2933</v>
      </c>
      <c r="K6" s="145" t="s">
        <v>1586</v>
      </c>
      <c r="L6" s="44">
        <v>118142.5</v>
      </c>
      <c r="M6" s="44">
        <v>94530</v>
      </c>
      <c r="N6" s="44">
        <v>91631.666666666672</v>
      </c>
      <c r="O6" s="44">
        <v>734832.33333333337</v>
      </c>
      <c r="P6" s="44">
        <v>2343851.3333333335</v>
      </c>
      <c r="Q6" s="44">
        <v>1613453</v>
      </c>
      <c r="R6" s="44">
        <v>1801482</v>
      </c>
      <c r="S6" s="44">
        <v>646207.33333333337</v>
      </c>
      <c r="T6" s="44">
        <v>21110.666666666668</v>
      </c>
      <c r="U6" s="44">
        <v>317209.66666666669</v>
      </c>
      <c r="V6" s="44">
        <v>144812.33333333334</v>
      </c>
      <c r="W6" s="44">
        <v>26035</v>
      </c>
      <c r="X6" s="44">
        <v>215844.66666666666</v>
      </c>
      <c r="Y6" s="44">
        <v>5482341.666666667</v>
      </c>
      <c r="Z6" s="44">
        <v>399280.33333333331</v>
      </c>
      <c r="AA6" s="44">
        <v>8284.3333333333339</v>
      </c>
      <c r="AB6" s="44">
        <v>53483.333333333336</v>
      </c>
      <c r="AC6" s="44">
        <v>2287447.6666666665</v>
      </c>
      <c r="AD6" s="44">
        <v>104613</v>
      </c>
      <c r="AE6" s="44">
        <v>94645</v>
      </c>
      <c r="AF6" s="44">
        <v>17837.333333333332</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2934</v>
      </c>
      <c r="D7" s="1" t="s">
        <v>2315</v>
      </c>
      <c r="E7" s="1" t="s">
        <v>2935</v>
      </c>
      <c r="F7" s="1" t="s">
        <v>112</v>
      </c>
      <c r="G7" s="1">
        <v>92187</v>
      </c>
      <c r="K7" s="145" t="s">
        <v>1587</v>
      </c>
      <c r="L7" s="44">
        <v>8338.5</v>
      </c>
      <c r="M7" s="44">
        <v>303265.33333333331</v>
      </c>
      <c r="N7" s="44">
        <v>93397.666666666672</v>
      </c>
      <c r="O7" s="44">
        <v>1941996.6666666667</v>
      </c>
      <c r="P7" s="44">
        <v>3724862.6666666665</v>
      </c>
      <c r="Q7" s="44">
        <v>641412.66666666663</v>
      </c>
      <c r="R7" s="44">
        <v>2303075.5</v>
      </c>
      <c r="S7" s="44">
        <v>159361.66666666666</v>
      </c>
      <c r="T7" s="44">
        <v>190681.66666666666</v>
      </c>
      <c r="U7" s="44">
        <v>405135</v>
      </c>
      <c r="V7" s="44">
        <v>8068</v>
      </c>
      <c r="W7" s="44">
        <v>245636.33333333334</v>
      </c>
      <c r="X7" s="44">
        <v>192916.66666666666</v>
      </c>
      <c r="Y7" s="44"/>
      <c r="Z7" s="44">
        <v>3677831.6666666665</v>
      </c>
      <c r="AA7" s="44">
        <v>119058</v>
      </c>
      <c r="AB7" s="44">
        <v>1186280.5</v>
      </c>
      <c r="AC7" s="44">
        <v>49972</v>
      </c>
      <c r="AD7" s="44">
        <v>1155815</v>
      </c>
      <c r="AE7" s="44">
        <v>12451.666666666666</v>
      </c>
      <c r="AF7" s="44">
        <v>257835.33333333334</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2936</v>
      </c>
      <c r="K8" s="145" t="s">
        <v>1588</v>
      </c>
      <c r="L8" s="44">
        <v>35285.666666666664</v>
      </c>
      <c r="M8" s="44">
        <v>30909</v>
      </c>
      <c r="N8" s="44">
        <v>34211</v>
      </c>
      <c r="O8" s="44">
        <v>466556.66666666669</v>
      </c>
      <c r="P8" s="44">
        <v>1442966.3333333333</v>
      </c>
      <c r="Q8" s="44">
        <v>576718</v>
      </c>
      <c r="R8" s="44">
        <v>3526826.3333333335</v>
      </c>
      <c r="S8" s="44">
        <v>32113.333333333332</v>
      </c>
      <c r="T8" s="44">
        <v>105049</v>
      </c>
      <c r="U8" s="44">
        <v>18450</v>
      </c>
      <c r="V8" s="44">
        <v>31478.666666666668</v>
      </c>
      <c r="W8" s="44">
        <v>17664.333333333332</v>
      </c>
      <c r="X8" s="44">
        <v>560300.66666666663</v>
      </c>
      <c r="Y8" s="44">
        <v>1749800.6666666667</v>
      </c>
      <c r="Z8" s="44">
        <v>1625090.3333333333</v>
      </c>
      <c r="AA8" s="44">
        <v>18796.666666666668</v>
      </c>
      <c r="AB8" s="44">
        <v>279862</v>
      </c>
      <c r="AC8" s="44">
        <v>1773550.3333333333</v>
      </c>
      <c r="AD8" s="44">
        <v>19322.333333333332</v>
      </c>
      <c r="AE8" s="44">
        <v>88185.333333333328</v>
      </c>
      <c r="AF8" s="44">
        <v>12538.333333333334</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2937</v>
      </c>
      <c r="D9" s="1" t="s">
        <v>1513</v>
      </c>
      <c r="E9" s="1">
        <v>67</v>
      </c>
      <c r="F9" s="1" t="s">
        <v>112</v>
      </c>
      <c r="G9" s="1">
        <v>4348</v>
      </c>
      <c r="K9" s="145" t="s">
        <v>1589</v>
      </c>
      <c r="L9" s="44">
        <v>147660.33333333334</v>
      </c>
      <c r="M9" s="44">
        <v>239486</v>
      </c>
      <c r="N9" s="44">
        <v>595074.33333333337</v>
      </c>
      <c r="O9" s="44">
        <v>180826</v>
      </c>
      <c r="P9" s="44">
        <v>1481503.6666666667</v>
      </c>
      <c r="Q9" s="44">
        <v>1215802</v>
      </c>
      <c r="R9" s="44">
        <v>3042273.3333333335</v>
      </c>
      <c r="S9" s="44">
        <v>71212.666666666672</v>
      </c>
      <c r="T9" s="44">
        <v>15191.333333333334</v>
      </c>
      <c r="U9" s="44">
        <v>39323.333333333336</v>
      </c>
      <c r="V9" s="44">
        <v>234778</v>
      </c>
      <c r="W9" s="44">
        <v>109501</v>
      </c>
      <c r="X9" s="44">
        <v>219002.66666666666</v>
      </c>
      <c r="Y9" s="44">
        <v>2484950.3333333335</v>
      </c>
      <c r="Z9" s="44">
        <v>1441337</v>
      </c>
      <c r="AA9" s="44">
        <v>25198.666666666668</v>
      </c>
      <c r="AB9" s="44">
        <v>109577</v>
      </c>
      <c r="AC9" s="44">
        <v>2058560.3333333333</v>
      </c>
      <c r="AD9" s="44">
        <v>160948</v>
      </c>
      <c r="AE9" s="44">
        <v>32459</v>
      </c>
      <c r="AF9" s="44">
        <v>16640.666666666668</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2938</v>
      </c>
      <c r="D10" s="1" t="s">
        <v>220</v>
      </c>
      <c r="E10" s="1" t="s">
        <v>415</v>
      </c>
      <c r="F10" s="1" t="s">
        <v>112</v>
      </c>
      <c r="G10" s="1">
        <v>12329</v>
      </c>
      <c r="K10" s="145" t="s">
        <v>1590</v>
      </c>
      <c r="L10" s="44">
        <v>152934</v>
      </c>
      <c r="M10" s="44">
        <v>217265</v>
      </c>
      <c r="N10" s="44">
        <v>565174.66666666663</v>
      </c>
      <c r="O10" s="44">
        <v>759281.33333333337</v>
      </c>
      <c r="P10" s="44">
        <v>843977</v>
      </c>
      <c r="Q10" s="44"/>
      <c r="R10" s="44">
        <v>7075095.333333333</v>
      </c>
      <c r="S10" s="44">
        <v>24304.666666666668</v>
      </c>
      <c r="T10" s="44">
        <v>350901.66666666669</v>
      </c>
      <c r="U10" s="44">
        <v>40152.333333333336</v>
      </c>
      <c r="V10" s="44">
        <v>245261.5</v>
      </c>
      <c r="W10" s="44">
        <v>7866.333333333333</v>
      </c>
      <c r="X10" s="44">
        <v>1331962</v>
      </c>
      <c r="Y10" s="44">
        <v>1825397</v>
      </c>
      <c r="Z10" s="44">
        <v>709835.33333333337</v>
      </c>
      <c r="AA10" s="44">
        <v>50563.333333333336</v>
      </c>
      <c r="AB10" s="44">
        <v>964704</v>
      </c>
      <c r="AC10" s="44">
        <v>467782.33333333331</v>
      </c>
      <c r="AD10" s="44">
        <v>105337.66666666667</v>
      </c>
      <c r="AE10" s="44">
        <v>189939</v>
      </c>
      <c r="AF10" s="44">
        <v>84075.333333333328</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2939</v>
      </c>
      <c r="D11" s="1" t="s">
        <v>266</v>
      </c>
      <c r="E11" s="1">
        <v>65</v>
      </c>
      <c r="F11" s="1" t="s">
        <v>112</v>
      </c>
      <c r="G11" s="1">
        <v>56238</v>
      </c>
      <c r="K11" s="145" t="s">
        <v>1591</v>
      </c>
      <c r="L11" s="44">
        <v>19629.5</v>
      </c>
      <c r="M11" s="44">
        <v>116239</v>
      </c>
      <c r="N11" s="44">
        <v>209969</v>
      </c>
      <c r="O11" s="44">
        <v>576278</v>
      </c>
      <c r="P11" s="44">
        <v>1597072</v>
      </c>
      <c r="Q11" s="44">
        <v>3051077</v>
      </c>
      <c r="R11" s="44">
        <v>6251674</v>
      </c>
      <c r="S11" s="44">
        <v>67485.333333333328</v>
      </c>
      <c r="T11" s="44">
        <v>38508.333333333336</v>
      </c>
      <c r="U11" s="44">
        <v>393116.33333333331</v>
      </c>
      <c r="V11" s="44">
        <v>115741.66666666667</v>
      </c>
      <c r="W11" s="44">
        <v>162880.33333333334</v>
      </c>
      <c r="X11" s="44">
        <v>2392663</v>
      </c>
      <c r="Y11" s="44">
        <v>1268853</v>
      </c>
      <c r="Z11" s="44">
        <v>1213963.3333333333</v>
      </c>
      <c r="AA11" s="44">
        <v>185562.66666666666</v>
      </c>
      <c r="AB11" s="44">
        <v>488929.33333333331</v>
      </c>
      <c r="AC11" s="44">
        <v>101711.33333333333</v>
      </c>
      <c r="AD11" s="44">
        <v>219010</v>
      </c>
      <c r="AE11" s="44">
        <v>44680.333333333336</v>
      </c>
      <c r="AF11" s="44">
        <v>79576.333333333328</v>
      </c>
      <c r="AG11"/>
    </row>
    <row r="12" spans="1:144" x14ac:dyDescent="0.25">
      <c r="A12" s="1" t="str">
        <f t="shared" si="0"/>
        <v>01 Evian + 0.2% DMSO</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2940</v>
      </c>
      <c r="D12" s="1" t="s">
        <v>797</v>
      </c>
      <c r="E12" s="1" t="s">
        <v>2941</v>
      </c>
      <c r="F12" s="1" t="s">
        <v>112</v>
      </c>
      <c r="G12" s="1">
        <v>35819</v>
      </c>
      <c r="K12" s="145" t="s">
        <v>1592</v>
      </c>
      <c r="L12" s="44">
        <v>77940</v>
      </c>
      <c r="M12" s="44">
        <v>242435.33333333334</v>
      </c>
      <c r="N12" s="44">
        <v>208706.66666666666</v>
      </c>
      <c r="O12" s="44">
        <v>702827.66666666663</v>
      </c>
      <c r="P12" s="44"/>
      <c r="Q12" s="44">
        <v>3239242.3333333335</v>
      </c>
      <c r="R12" s="44">
        <v>3860554</v>
      </c>
      <c r="S12" s="44">
        <v>93253.666666666672</v>
      </c>
      <c r="T12" s="44">
        <v>14629</v>
      </c>
      <c r="U12" s="44">
        <v>84562.5</v>
      </c>
      <c r="V12" s="44">
        <v>18529.666666666668</v>
      </c>
      <c r="W12" s="44">
        <v>147840</v>
      </c>
      <c r="X12" s="44">
        <v>1100615.3333333333</v>
      </c>
      <c r="Y12" s="44">
        <v>392265.33333333331</v>
      </c>
      <c r="Z12" s="44">
        <v>1079562.3333333333</v>
      </c>
      <c r="AA12" s="44">
        <v>46879</v>
      </c>
      <c r="AB12" s="44">
        <v>736627.66666666663</v>
      </c>
      <c r="AC12" s="44">
        <v>190429.66666666666</v>
      </c>
      <c r="AD12" s="44">
        <v>1280511.3333333333</v>
      </c>
      <c r="AE12" s="44">
        <v>118070.33333333333</v>
      </c>
      <c r="AF12" s="44">
        <v>12350.666666666666</v>
      </c>
      <c r="AG12"/>
    </row>
    <row r="13" spans="1:144" x14ac:dyDescent="0.25">
      <c r="A13" s="1" t="str">
        <f t="shared" si="0"/>
        <v>01 Evian + 0.2% DMSO</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2942</v>
      </c>
      <c r="D13" s="1" t="s">
        <v>288</v>
      </c>
      <c r="E13" s="1" t="s">
        <v>2943</v>
      </c>
      <c r="F13" s="1" t="s">
        <v>112</v>
      </c>
      <c r="G13" s="1">
        <v>13800</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2944</v>
      </c>
      <c r="D14" s="1" t="s">
        <v>2945</v>
      </c>
      <c r="E14" s="1" t="s">
        <v>2946</v>
      </c>
      <c r="F14" s="1" t="s">
        <v>112</v>
      </c>
      <c r="G14" s="1">
        <v>236285</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2947</v>
      </c>
      <c r="D15" s="1" t="s">
        <v>191</v>
      </c>
      <c r="E15" s="1" t="s">
        <v>2948</v>
      </c>
      <c r="F15" s="1" t="s">
        <v>112</v>
      </c>
      <c r="G15" s="1">
        <v>45899</v>
      </c>
    </row>
    <row r="16" spans="1:144" x14ac:dyDescent="0.25">
      <c r="A16" s="1" t="str">
        <f t="shared" si="0"/>
        <v>01 Evian + 0.2% DMSO</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2949</v>
      </c>
      <c r="D16" s="1" t="s">
        <v>2185</v>
      </c>
      <c r="E16" s="1" t="s">
        <v>2950</v>
      </c>
      <c r="F16" s="1" t="s">
        <v>112</v>
      </c>
      <c r="G16" s="1">
        <v>160797</v>
      </c>
    </row>
    <row r="17" spans="1:10" x14ac:dyDescent="0.25">
      <c r="A17" s="1" t="str">
        <f t="shared" si="0"/>
        <v>01 Evian + 0.2% DMSO</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2951</v>
      </c>
      <c r="D17" s="1" t="s">
        <v>2763</v>
      </c>
      <c r="E17" s="1" t="s">
        <v>2952</v>
      </c>
      <c r="F17" s="1" t="s">
        <v>112</v>
      </c>
      <c r="G17" s="1">
        <v>83816</v>
      </c>
    </row>
    <row r="18" spans="1:10" x14ac:dyDescent="0.25">
      <c r="A18" s="1" t="str">
        <f t="shared" si="0"/>
        <v>01 Evian + 0.2% DMSO</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2953</v>
      </c>
    </row>
    <row r="19" spans="1:10" x14ac:dyDescent="0.25">
      <c r="A19" s="1" t="str">
        <f t="shared" si="0"/>
        <v>01 Evian + 0.2% DMSO</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2954</v>
      </c>
      <c r="D19" s="1" t="s">
        <v>2230</v>
      </c>
      <c r="E19" s="1" t="s">
        <v>2955</v>
      </c>
      <c r="F19" s="1" t="s">
        <v>112</v>
      </c>
      <c r="G19" s="1">
        <v>222052</v>
      </c>
    </row>
    <row r="20" spans="1:10" x14ac:dyDescent="0.25">
      <c r="A20" s="1" t="str">
        <f t="shared" si="0"/>
        <v>01 Evian + 0.2% DMSO</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2956</v>
      </c>
      <c r="D20" s="1" t="s">
        <v>260</v>
      </c>
      <c r="E20" s="1" t="s">
        <v>2588</v>
      </c>
      <c r="F20" s="1" t="s">
        <v>112</v>
      </c>
      <c r="G20" s="1">
        <v>27081</v>
      </c>
    </row>
    <row r="21" spans="1:10" x14ac:dyDescent="0.25">
      <c r="A21" s="1" t="str">
        <f t="shared" si="0"/>
        <v>01 Evian + 0.2% DMSO</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2957</v>
      </c>
    </row>
    <row r="22" spans="1:10" x14ac:dyDescent="0.25">
      <c r="A22" s="1" t="str">
        <f t="shared" si="0"/>
        <v>01 Evian + 0.2% DMSO</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2958</v>
      </c>
      <c r="D22" s="1" t="s">
        <v>220</v>
      </c>
      <c r="E22" s="1" t="s">
        <v>887</v>
      </c>
      <c r="F22" s="1" t="s">
        <v>112</v>
      </c>
      <c r="G22" s="1">
        <v>12178</v>
      </c>
    </row>
    <row r="23" spans="1:10" x14ac:dyDescent="0.25">
      <c r="A23" s="1" t="str">
        <f t="shared" si="0"/>
        <v>01 Evian + 0.2% DMSO</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2959</v>
      </c>
      <c r="D23" s="1" t="s">
        <v>725</v>
      </c>
      <c r="E23" s="1" t="s">
        <v>2960</v>
      </c>
      <c r="F23" s="1" t="s">
        <v>112</v>
      </c>
      <c r="G23" s="1">
        <v>21392</v>
      </c>
    </row>
    <row r="24" spans="1:10" x14ac:dyDescent="0.25">
      <c r="A24" s="1" t="str">
        <f t="shared" si="0"/>
        <v>01 Evian + 0.2% DMSO</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2961</v>
      </c>
      <c r="D24" s="1" t="s">
        <v>2962</v>
      </c>
      <c r="E24" s="1" t="s">
        <v>2963</v>
      </c>
      <c r="F24" s="1" t="s">
        <v>112</v>
      </c>
      <c r="G24" s="1">
        <v>201180</v>
      </c>
    </row>
    <row r="25" spans="1:10" x14ac:dyDescent="0.25">
      <c r="A25" s="1" t="str">
        <f t="shared" si="0"/>
        <v>01 Evian + 0.2% DMSO</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2964</v>
      </c>
      <c r="D25" s="1" t="s">
        <v>229</v>
      </c>
      <c r="E25" s="1">
        <v>65</v>
      </c>
      <c r="F25" s="1" t="s">
        <v>112</v>
      </c>
      <c r="G25" s="1">
        <v>11248</v>
      </c>
    </row>
    <row r="26" spans="1:10" x14ac:dyDescent="0.2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10" x14ac:dyDescent="0.2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243</v>
      </c>
      <c r="D27" s="1" t="s">
        <v>112</v>
      </c>
      <c r="E27" s="1" t="s">
        <v>244</v>
      </c>
      <c r="F27" s="1" t="s">
        <v>245</v>
      </c>
      <c r="G27" s="1" t="s">
        <v>246</v>
      </c>
      <c r="H27" s="1" t="s">
        <v>247</v>
      </c>
      <c r="I27" s="1" t="s">
        <v>248</v>
      </c>
      <c r="J27" s="1" t="s">
        <v>249</v>
      </c>
    </row>
    <row r="28" spans="1:10" x14ac:dyDescent="0.25">
      <c r="A28" s="1" t="str">
        <f t="shared" si="0"/>
        <v>01 Evian + 0.2% DMSO</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2965</v>
      </c>
      <c r="D28" s="1" t="s">
        <v>112</v>
      </c>
      <c r="E28" s="1" t="s">
        <v>2966</v>
      </c>
      <c r="F28" s="1" t="s">
        <v>2967</v>
      </c>
      <c r="G28" s="1" t="s">
        <v>2968</v>
      </c>
      <c r="H28" s="1" t="s">
        <v>2969</v>
      </c>
      <c r="I28" s="1">
        <v>24</v>
      </c>
      <c r="J28" s="1">
        <v>24</v>
      </c>
    </row>
    <row r="29" spans="1:10" x14ac:dyDescent="0.2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10" x14ac:dyDescent="0.2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10" x14ac:dyDescent="0.2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10" x14ac:dyDescent="0.2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2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2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255</v>
      </c>
      <c r="D34" s="1" t="s">
        <v>110</v>
      </c>
      <c r="E34" s="1" t="s">
        <v>111</v>
      </c>
      <c r="F34" s="1" t="s">
        <v>112</v>
      </c>
      <c r="G34" s="1" t="s">
        <v>113</v>
      </c>
    </row>
    <row r="35" spans="1:7" x14ac:dyDescent="0.25">
      <c r="A35" s="1" t="str">
        <f t="shared" si="0"/>
        <v>02 EE2 33.8</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2970</v>
      </c>
      <c r="D35" s="1" t="s">
        <v>304</v>
      </c>
      <c r="E35" s="1" t="s">
        <v>2971</v>
      </c>
      <c r="F35" s="1" t="s">
        <v>112</v>
      </c>
      <c r="G35" s="1">
        <v>280064</v>
      </c>
    </row>
    <row r="36" spans="1:7" x14ac:dyDescent="0.25">
      <c r="A36" s="1" t="str">
        <f t="shared" si="0"/>
        <v>02 EE2 33.8</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2972</v>
      </c>
      <c r="D36" s="1" t="s">
        <v>361</v>
      </c>
      <c r="E36" s="1" t="s">
        <v>2796</v>
      </c>
      <c r="F36" s="1" t="s">
        <v>112</v>
      </c>
      <c r="G36" s="1">
        <v>30801</v>
      </c>
    </row>
    <row r="37" spans="1:7" x14ac:dyDescent="0.25">
      <c r="A37" s="1" t="str">
        <f t="shared" si="0"/>
        <v>02 EE2 33.8</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2973</v>
      </c>
      <c r="D37" s="1" t="s">
        <v>2182</v>
      </c>
      <c r="E37" s="1" t="s">
        <v>2974</v>
      </c>
      <c r="F37" s="1" t="s">
        <v>112</v>
      </c>
      <c r="G37" s="1">
        <v>179377</v>
      </c>
    </row>
    <row r="38" spans="1:7" x14ac:dyDescent="0.25">
      <c r="A38" s="1" t="str">
        <f t="shared" si="0"/>
        <v>02 EE2 33.8</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2975</v>
      </c>
      <c r="D38" s="1" t="s">
        <v>698</v>
      </c>
      <c r="E38" s="1" t="s">
        <v>2976</v>
      </c>
      <c r="F38" s="1" t="s">
        <v>112</v>
      </c>
      <c r="G38" s="1">
        <v>17823</v>
      </c>
    </row>
    <row r="39" spans="1:7" x14ac:dyDescent="0.25">
      <c r="A39" s="1" t="str">
        <f t="shared" si="0"/>
        <v>02 EE2 33.8</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2977</v>
      </c>
      <c r="D39" s="1" t="s">
        <v>277</v>
      </c>
      <c r="E39" s="1" t="s">
        <v>2978</v>
      </c>
      <c r="F39" s="1" t="s">
        <v>112</v>
      </c>
      <c r="G39" s="1">
        <v>73542</v>
      </c>
    </row>
    <row r="40" spans="1:7" x14ac:dyDescent="0.25">
      <c r="A40" s="1" t="str">
        <f t="shared" si="0"/>
        <v>02 EE2 33.8</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2979</v>
      </c>
      <c r="D40" s="1" t="s">
        <v>2167</v>
      </c>
      <c r="E40" s="1" t="s">
        <v>2980</v>
      </c>
      <c r="F40" s="1" t="s">
        <v>112</v>
      </c>
      <c r="G40" s="1">
        <v>192225</v>
      </c>
    </row>
    <row r="41" spans="1:7" x14ac:dyDescent="0.25">
      <c r="A41" s="1" t="str">
        <f t="shared" si="0"/>
        <v>02 EE2 33.8</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2981</v>
      </c>
      <c r="D41" s="1" t="s">
        <v>2982</v>
      </c>
      <c r="E41" s="1" t="s">
        <v>2983</v>
      </c>
      <c r="F41" s="1" t="s">
        <v>112</v>
      </c>
      <c r="G41" s="1">
        <v>474841</v>
      </c>
    </row>
    <row r="42" spans="1:7" x14ac:dyDescent="0.25">
      <c r="A42" s="1" t="str">
        <f t="shared" si="0"/>
        <v>02 EE2 33.8</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2984</v>
      </c>
      <c r="D42" s="1" t="s">
        <v>223</v>
      </c>
      <c r="E42" s="1" t="s">
        <v>2985</v>
      </c>
      <c r="F42" s="1" t="s">
        <v>112</v>
      </c>
      <c r="G42" s="1">
        <v>23079</v>
      </c>
    </row>
    <row r="43" spans="1:7" x14ac:dyDescent="0.25">
      <c r="A43" s="1" t="str">
        <f t="shared" si="0"/>
        <v>02 EE2 33.8</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2986</v>
      </c>
      <c r="D43" s="1" t="s">
        <v>444</v>
      </c>
      <c r="E43" s="1" t="s">
        <v>2987</v>
      </c>
      <c r="F43" s="1" t="s">
        <v>112</v>
      </c>
      <c r="G43" s="1">
        <v>411876</v>
      </c>
    </row>
    <row r="44" spans="1:7" x14ac:dyDescent="0.25">
      <c r="A44" s="1" t="str">
        <f t="shared" si="0"/>
        <v>02 EE2 33.8</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2988</v>
      </c>
      <c r="D44" s="1" t="s">
        <v>722</v>
      </c>
      <c r="E44" s="1" t="s">
        <v>738</v>
      </c>
      <c r="F44" s="1" t="s">
        <v>112</v>
      </c>
      <c r="G44" s="1">
        <v>47326</v>
      </c>
    </row>
    <row r="45" spans="1:7" x14ac:dyDescent="0.25">
      <c r="A45" s="1" t="str">
        <f t="shared" si="0"/>
        <v>02 EE2 33.8</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2989</v>
      </c>
      <c r="D45" s="1" t="s">
        <v>865</v>
      </c>
      <c r="E45" s="1" t="s">
        <v>2990</v>
      </c>
      <c r="F45" s="1" t="s">
        <v>112</v>
      </c>
      <c r="G45" s="1">
        <v>25826</v>
      </c>
    </row>
    <row r="46" spans="1:7" x14ac:dyDescent="0.25">
      <c r="A46" s="1" t="str">
        <f t="shared" si="0"/>
        <v>02 EE2 33.8</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2991</v>
      </c>
      <c r="D46" s="1" t="s">
        <v>405</v>
      </c>
      <c r="E46" s="1" t="s">
        <v>2992</v>
      </c>
      <c r="F46" s="1" t="s">
        <v>112</v>
      </c>
      <c r="G46" s="1">
        <v>19575</v>
      </c>
    </row>
    <row r="47" spans="1:7" x14ac:dyDescent="0.25">
      <c r="A47" s="1" t="str">
        <f t="shared" si="0"/>
        <v>02 EE2 33.8</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2993</v>
      </c>
      <c r="D47" s="1" t="s">
        <v>2101</v>
      </c>
      <c r="E47" s="1" t="s">
        <v>2994</v>
      </c>
      <c r="F47" s="1" t="s">
        <v>112</v>
      </c>
      <c r="G47" s="1">
        <v>241995</v>
      </c>
    </row>
    <row r="48" spans="1:7" x14ac:dyDescent="0.25">
      <c r="A48" s="1" t="str">
        <f t="shared" si="0"/>
        <v>02 EE2 33.8</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2995</v>
      </c>
      <c r="D48" s="1" t="s">
        <v>740</v>
      </c>
      <c r="E48" s="1" t="s">
        <v>2996</v>
      </c>
      <c r="F48" s="1" t="s">
        <v>112</v>
      </c>
      <c r="G48" s="1">
        <v>235355</v>
      </c>
    </row>
    <row r="49" spans="1:10" x14ac:dyDescent="0.25">
      <c r="A49" s="1" t="str">
        <f t="shared" si="0"/>
        <v>02 EE2 33.8</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2997</v>
      </c>
      <c r="D49" s="1" t="s">
        <v>2945</v>
      </c>
      <c r="E49" s="1" t="s">
        <v>2998</v>
      </c>
      <c r="F49" s="1" t="s">
        <v>112</v>
      </c>
      <c r="G49" s="1">
        <v>241108</v>
      </c>
    </row>
    <row r="50" spans="1:10" x14ac:dyDescent="0.25">
      <c r="A50" s="1" t="str">
        <f t="shared" si="0"/>
        <v>02 EE2 33.8</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2999</v>
      </c>
      <c r="D50" s="1" t="s">
        <v>2134</v>
      </c>
      <c r="E50" s="1" t="s">
        <v>743</v>
      </c>
      <c r="F50" s="1" t="s">
        <v>112</v>
      </c>
      <c r="G50" s="1">
        <v>335458</v>
      </c>
    </row>
    <row r="51" spans="1:10" x14ac:dyDescent="0.25">
      <c r="A51" s="1" t="str">
        <f t="shared" si="0"/>
        <v>02 EE2 33.8</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3000</v>
      </c>
      <c r="D51" s="1" t="s">
        <v>194</v>
      </c>
      <c r="E51" s="1" t="s">
        <v>3001</v>
      </c>
      <c r="F51" s="1" t="s">
        <v>112</v>
      </c>
      <c r="G51" s="1">
        <v>45228</v>
      </c>
    </row>
    <row r="52" spans="1:10" x14ac:dyDescent="0.25">
      <c r="A52" s="1" t="str">
        <f t="shared" si="0"/>
        <v>02 EE2 33.8</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3002</v>
      </c>
      <c r="D52" s="1" t="s">
        <v>350</v>
      </c>
      <c r="E52" s="1" t="s">
        <v>3003</v>
      </c>
      <c r="F52" s="1" t="s">
        <v>112</v>
      </c>
      <c r="G52" s="1">
        <v>271109</v>
      </c>
    </row>
    <row r="53" spans="1:10" x14ac:dyDescent="0.25">
      <c r="A53" s="1" t="str">
        <f t="shared" si="0"/>
        <v>02 EE2 33.8</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3004</v>
      </c>
      <c r="D53" s="1" t="s">
        <v>309</v>
      </c>
      <c r="E53" s="1" t="s">
        <v>3005</v>
      </c>
      <c r="F53" s="1" t="s">
        <v>112</v>
      </c>
      <c r="G53" s="1">
        <v>180069</v>
      </c>
    </row>
    <row r="54" spans="1:10" x14ac:dyDescent="0.25">
      <c r="A54" s="1" t="str">
        <f t="shared" si="0"/>
        <v>02 EE2 33.8</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3006</v>
      </c>
      <c r="D54" s="1" t="s">
        <v>388</v>
      </c>
      <c r="E54" s="1" t="s">
        <v>3007</v>
      </c>
      <c r="F54" s="1" t="s">
        <v>112</v>
      </c>
      <c r="G54" s="1">
        <v>70686</v>
      </c>
    </row>
    <row r="55" spans="1:10" x14ac:dyDescent="0.25">
      <c r="A55" s="1" t="str">
        <f t="shared" si="0"/>
        <v>02 EE2 33.8</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3008</v>
      </c>
      <c r="D55" s="1" t="s">
        <v>3009</v>
      </c>
      <c r="E55" s="1" t="s">
        <v>3010</v>
      </c>
      <c r="F55" s="1" t="s">
        <v>112</v>
      </c>
      <c r="G55" s="1">
        <v>97962</v>
      </c>
    </row>
    <row r="56" spans="1:10" x14ac:dyDescent="0.25">
      <c r="A56" s="1" t="str">
        <f t="shared" si="0"/>
        <v>02 EE2 33.8</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3011</v>
      </c>
      <c r="D56" s="1" t="s">
        <v>1695</v>
      </c>
      <c r="E56" s="1" t="s">
        <v>3012</v>
      </c>
      <c r="F56" s="1" t="s">
        <v>112</v>
      </c>
      <c r="G56" s="1">
        <v>373397</v>
      </c>
    </row>
    <row r="57" spans="1:10" x14ac:dyDescent="0.25">
      <c r="A57" s="1" t="str">
        <f t="shared" si="0"/>
        <v>02 EE2 33.8</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3013</v>
      </c>
      <c r="D57" s="1" t="s">
        <v>717</v>
      </c>
      <c r="E57" s="1" t="s">
        <v>3014</v>
      </c>
      <c r="F57" s="1" t="s">
        <v>112</v>
      </c>
      <c r="G57" s="1">
        <v>325314</v>
      </c>
    </row>
    <row r="58" spans="1:10" x14ac:dyDescent="0.25">
      <c r="A58" s="1" t="str">
        <f t="shared" si="0"/>
        <v>02 EE2 33.8</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3015</v>
      </c>
      <c r="D58" s="1" t="s">
        <v>832</v>
      </c>
      <c r="E58" s="1" t="s">
        <v>3016</v>
      </c>
      <c r="F58" s="1" t="s">
        <v>112</v>
      </c>
      <c r="G58" s="1">
        <v>28595</v>
      </c>
    </row>
    <row r="59" spans="1:10" x14ac:dyDescent="0.2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10" x14ac:dyDescent="0.2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243</v>
      </c>
      <c r="D60" s="1" t="s">
        <v>112</v>
      </c>
      <c r="E60" s="1" t="s">
        <v>244</v>
      </c>
      <c r="F60" s="1" t="s">
        <v>245</v>
      </c>
      <c r="G60" s="1" t="s">
        <v>246</v>
      </c>
      <c r="H60" s="1" t="s">
        <v>247</v>
      </c>
      <c r="I60" s="1" t="s">
        <v>248</v>
      </c>
      <c r="J60" s="1" t="s">
        <v>249</v>
      </c>
    </row>
    <row r="61" spans="1:10" x14ac:dyDescent="0.25">
      <c r="A61" s="1" t="str">
        <f t="shared" si="0"/>
        <v>02 EE2 33.8</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3017</v>
      </c>
      <c r="D61" s="1" t="s">
        <v>112</v>
      </c>
      <c r="E61" s="1" t="s">
        <v>3018</v>
      </c>
      <c r="F61" s="1" t="s">
        <v>3019</v>
      </c>
      <c r="G61" s="1" t="s">
        <v>3020</v>
      </c>
      <c r="H61" s="1" t="s">
        <v>3021</v>
      </c>
      <c r="I61" s="1">
        <v>24</v>
      </c>
      <c r="J61" s="1">
        <v>24</v>
      </c>
    </row>
    <row r="62" spans="1:10" x14ac:dyDescent="0.2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10" x14ac:dyDescent="0.2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10" x14ac:dyDescent="0.2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2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2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2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255</v>
      </c>
      <c r="D67" s="1" t="s">
        <v>110</v>
      </c>
      <c r="E67" s="1" t="s">
        <v>111</v>
      </c>
      <c r="F67" s="1" t="s">
        <v>112</v>
      </c>
      <c r="G67" s="1" t="s">
        <v>113</v>
      </c>
    </row>
    <row r="68" spans="1:7" x14ac:dyDescent="0.25">
      <c r="A68" s="1" t="str">
        <f t="shared" si="1"/>
        <v>03 EE2 50.6</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3022</v>
      </c>
      <c r="D68" s="1" t="s">
        <v>879</v>
      </c>
      <c r="E68" s="1" t="s">
        <v>3023</v>
      </c>
      <c r="F68" s="1" t="s">
        <v>112</v>
      </c>
      <c r="G68" s="1">
        <v>457126</v>
      </c>
    </row>
    <row r="69" spans="1:7" x14ac:dyDescent="0.25">
      <c r="A69" s="1" t="str">
        <f t="shared" si="1"/>
        <v>03 EE2 50.6</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3024</v>
      </c>
      <c r="D69" s="1" t="s">
        <v>3025</v>
      </c>
      <c r="E69" s="1" t="s">
        <v>3026</v>
      </c>
      <c r="F69" s="1" t="s">
        <v>112</v>
      </c>
      <c r="G69" s="1">
        <v>304462</v>
      </c>
    </row>
    <row r="70" spans="1:7" x14ac:dyDescent="0.25">
      <c r="A70" s="1" t="str">
        <f t="shared" si="1"/>
        <v>03 EE2 50.6</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3027</v>
      </c>
      <c r="D70" s="1" t="s">
        <v>269</v>
      </c>
      <c r="E70" s="1" t="s">
        <v>729</v>
      </c>
      <c r="F70" s="1" t="s">
        <v>112</v>
      </c>
      <c r="G70" s="1">
        <v>21760</v>
      </c>
    </row>
    <row r="71" spans="1:7" x14ac:dyDescent="0.25">
      <c r="A71" s="1" t="str">
        <f t="shared" si="1"/>
        <v>03 EE2 50.6</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3028</v>
      </c>
      <c r="D71" s="1" t="s">
        <v>402</v>
      </c>
      <c r="E71" s="1" t="s">
        <v>3029</v>
      </c>
      <c r="F71" s="1" t="s">
        <v>112</v>
      </c>
      <c r="G71" s="1">
        <v>100428</v>
      </c>
    </row>
    <row r="72" spans="1:7" x14ac:dyDescent="0.25">
      <c r="A72" s="1" t="str">
        <f t="shared" si="1"/>
        <v>03 EE2 50.6</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3030</v>
      </c>
      <c r="D72" s="1" t="s">
        <v>3031</v>
      </c>
      <c r="E72" s="1" t="s">
        <v>3032</v>
      </c>
      <c r="F72" s="1" t="s">
        <v>112</v>
      </c>
      <c r="G72" s="1">
        <v>90024</v>
      </c>
    </row>
    <row r="73" spans="1:7" x14ac:dyDescent="0.25">
      <c r="A73" s="1" t="str">
        <f t="shared" si="1"/>
        <v>03 EE2 50.6</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3033</v>
      </c>
      <c r="D73" s="1" t="s">
        <v>3031</v>
      </c>
      <c r="E73" s="1" t="s">
        <v>3034</v>
      </c>
      <c r="F73" s="1" t="s">
        <v>112</v>
      </c>
      <c r="G73" s="1">
        <v>84443</v>
      </c>
    </row>
    <row r="74" spans="1:7" x14ac:dyDescent="0.25">
      <c r="A74" s="1" t="str">
        <f t="shared" si="1"/>
        <v>03 EE2 50.6</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3035</v>
      </c>
      <c r="D74" s="1" t="s">
        <v>295</v>
      </c>
      <c r="E74" s="1" t="s">
        <v>3036</v>
      </c>
      <c r="F74" s="1" t="s">
        <v>112</v>
      </c>
      <c r="G74" s="1">
        <v>209139</v>
      </c>
    </row>
    <row r="75" spans="1:7" x14ac:dyDescent="0.25">
      <c r="A75" s="1" t="str">
        <f t="shared" si="1"/>
        <v>03 EE2 50.6</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3037</v>
      </c>
      <c r="D75" s="1" t="s">
        <v>1645</v>
      </c>
      <c r="E75" s="1" t="s">
        <v>3038</v>
      </c>
      <c r="F75" s="1" t="s">
        <v>112</v>
      </c>
      <c r="G75" s="1">
        <v>36944</v>
      </c>
    </row>
    <row r="76" spans="1:7" x14ac:dyDescent="0.25">
      <c r="A76" s="1" t="str">
        <f t="shared" si="1"/>
        <v>03 EE2 50.6</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3039</v>
      </c>
      <c r="D76" s="1" t="s">
        <v>241</v>
      </c>
      <c r="E76" s="1" t="s">
        <v>3040</v>
      </c>
      <c r="F76" s="1" t="s">
        <v>112</v>
      </c>
      <c r="G76" s="1">
        <v>34110</v>
      </c>
    </row>
    <row r="77" spans="1:7" x14ac:dyDescent="0.25">
      <c r="A77" s="1" t="str">
        <f t="shared" si="1"/>
        <v>03 EE2 50.6</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3041</v>
      </c>
      <c r="D77" s="1" t="s">
        <v>417</v>
      </c>
      <c r="E77" s="1" t="s">
        <v>3042</v>
      </c>
      <c r="F77" s="1" t="s">
        <v>112</v>
      </c>
      <c r="G77" s="1">
        <v>67377</v>
      </c>
    </row>
    <row r="78" spans="1:7" x14ac:dyDescent="0.25">
      <c r="A78" s="1" t="str">
        <f t="shared" si="1"/>
        <v>03 EE2 50.6</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3043</v>
      </c>
      <c r="D78" s="1" t="s">
        <v>223</v>
      </c>
      <c r="E78" s="1" t="s">
        <v>3044</v>
      </c>
      <c r="F78" s="1" t="s">
        <v>112</v>
      </c>
      <c r="G78" s="1">
        <v>23187</v>
      </c>
    </row>
    <row r="79" spans="1:7" x14ac:dyDescent="0.25">
      <c r="A79" s="1" t="str">
        <f t="shared" si="1"/>
        <v>03 EE2 50.6</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3045</v>
      </c>
      <c r="D79" s="1" t="s">
        <v>220</v>
      </c>
      <c r="E79" s="1">
        <v>62</v>
      </c>
      <c r="F79" s="1" t="s">
        <v>112</v>
      </c>
      <c r="G79" s="1">
        <v>12069</v>
      </c>
    </row>
    <row r="80" spans="1:7" x14ac:dyDescent="0.25">
      <c r="A80" s="1" t="str">
        <f t="shared" si="1"/>
        <v>03 EE2 50.6</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3046</v>
      </c>
      <c r="D80" s="1" t="s">
        <v>3047</v>
      </c>
      <c r="E80" s="1" t="s">
        <v>3048</v>
      </c>
      <c r="F80" s="1" t="s">
        <v>112</v>
      </c>
      <c r="G80" s="1">
        <v>745604</v>
      </c>
    </row>
    <row r="81" spans="1:10" x14ac:dyDescent="0.25">
      <c r="A81" s="1" t="str">
        <f t="shared" si="1"/>
        <v>03 EE2 50.6</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3049</v>
      </c>
      <c r="D81" s="1" t="s">
        <v>3050</v>
      </c>
      <c r="E81" s="1" t="s">
        <v>3051</v>
      </c>
      <c r="F81" s="1" t="s">
        <v>112</v>
      </c>
      <c r="G81" s="1">
        <v>832902</v>
      </c>
    </row>
    <row r="82" spans="1:10" x14ac:dyDescent="0.25">
      <c r="A82" s="1" t="str">
        <f t="shared" si="1"/>
        <v>03 EE2 50.6</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3052</v>
      </c>
      <c r="D82" s="1" t="s">
        <v>3053</v>
      </c>
      <c r="E82" s="1" t="s">
        <v>3054</v>
      </c>
      <c r="F82" s="1" t="s">
        <v>112</v>
      </c>
      <c r="G82" s="1">
        <v>206717</v>
      </c>
    </row>
    <row r="83" spans="1:10" x14ac:dyDescent="0.25">
      <c r="A83" s="1" t="str">
        <f t="shared" si="1"/>
        <v>03 EE2 50.6</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3055</v>
      </c>
      <c r="D83" s="1" t="s">
        <v>3056</v>
      </c>
      <c r="E83" s="1" t="s">
        <v>3057</v>
      </c>
      <c r="F83" s="1" t="s">
        <v>112</v>
      </c>
      <c r="G83" s="1">
        <v>365956</v>
      </c>
    </row>
    <row r="84" spans="1:10" x14ac:dyDescent="0.25">
      <c r="A84" s="1" t="str">
        <f t="shared" si="1"/>
        <v>03 EE2 50.6</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3058</v>
      </c>
      <c r="D84" s="1" t="s">
        <v>3059</v>
      </c>
      <c r="E84" s="1" t="s">
        <v>3060</v>
      </c>
      <c r="F84" s="1" t="s">
        <v>112</v>
      </c>
      <c r="G84" s="1">
        <v>850855</v>
      </c>
    </row>
    <row r="85" spans="1:10" x14ac:dyDescent="0.25">
      <c r="A85" s="1" t="str">
        <f t="shared" si="1"/>
        <v>03 EE2 50.6</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3061</v>
      </c>
      <c r="D85" s="1" t="s">
        <v>2113</v>
      </c>
      <c r="E85" s="1" t="s">
        <v>3062</v>
      </c>
      <c r="F85" s="1" t="s">
        <v>112</v>
      </c>
      <c r="G85" s="1">
        <v>478713</v>
      </c>
    </row>
    <row r="86" spans="1:10" x14ac:dyDescent="0.25">
      <c r="A86" s="1" t="str">
        <f t="shared" si="1"/>
        <v>03 EE2 50.6</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3063</v>
      </c>
      <c r="D86" s="1" t="s">
        <v>2320</v>
      </c>
      <c r="E86" s="1" t="s">
        <v>3064</v>
      </c>
      <c r="F86" s="1" t="s">
        <v>112</v>
      </c>
      <c r="G86" s="1">
        <v>197676</v>
      </c>
    </row>
    <row r="87" spans="1:10" x14ac:dyDescent="0.25">
      <c r="A87" s="1" t="str">
        <f t="shared" si="1"/>
        <v>03 EE2 50.6</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3065</v>
      </c>
      <c r="D87" s="1" t="s">
        <v>214</v>
      </c>
      <c r="E87" s="1" t="s">
        <v>3066</v>
      </c>
      <c r="F87" s="1" t="s">
        <v>112</v>
      </c>
      <c r="G87" s="1">
        <v>281838</v>
      </c>
    </row>
    <row r="88" spans="1:10" x14ac:dyDescent="0.25">
      <c r="A88" s="1" t="str">
        <f t="shared" si="1"/>
        <v>03 EE2 50.6</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3067</v>
      </c>
      <c r="D88" s="1" t="s">
        <v>3068</v>
      </c>
      <c r="E88" s="1" t="s">
        <v>3069</v>
      </c>
      <c r="F88" s="1" t="s">
        <v>112</v>
      </c>
      <c r="G88" s="1">
        <v>150393</v>
      </c>
    </row>
    <row r="89" spans="1:10" x14ac:dyDescent="0.25">
      <c r="A89" s="1" t="str">
        <f t="shared" si="1"/>
        <v>03 EE2 50.6</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3070</v>
      </c>
      <c r="D89" s="1" t="s">
        <v>2962</v>
      </c>
      <c r="E89" s="1" t="s">
        <v>3071</v>
      </c>
      <c r="F89" s="1" t="s">
        <v>112</v>
      </c>
      <c r="G89" s="1">
        <v>200466</v>
      </c>
    </row>
    <row r="90" spans="1:10" x14ac:dyDescent="0.25">
      <c r="A90" s="1" t="str">
        <f t="shared" si="1"/>
        <v>03 EE2 50.6</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3072</v>
      </c>
      <c r="D90" s="1" t="s">
        <v>441</v>
      </c>
      <c r="E90" s="1" t="s">
        <v>3073</v>
      </c>
      <c r="F90" s="1" t="s">
        <v>112</v>
      </c>
      <c r="G90" s="1">
        <v>236739</v>
      </c>
    </row>
    <row r="91" spans="1:10" x14ac:dyDescent="0.25">
      <c r="A91" s="1" t="str">
        <f t="shared" si="1"/>
        <v>03 EE2 50.6</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3074</v>
      </c>
      <c r="D91" s="1" t="s">
        <v>2886</v>
      </c>
      <c r="E91" s="1" t="s">
        <v>3075</v>
      </c>
      <c r="F91" s="1" t="s">
        <v>112</v>
      </c>
      <c r="G91" s="1">
        <v>188915</v>
      </c>
    </row>
    <row r="92" spans="1:10" x14ac:dyDescent="0.2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10" x14ac:dyDescent="0.2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243</v>
      </c>
      <c r="D93" s="1" t="s">
        <v>112</v>
      </c>
      <c r="E93" s="1" t="s">
        <v>244</v>
      </c>
      <c r="F93" s="1" t="s">
        <v>245</v>
      </c>
      <c r="G93" s="1" t="s">
        <v>246</v>
      </c>
      <c r="H93" s="1" t="s">
        <v>247</v>
      </c>
      <c r="I93" s="1" t="s">
        <v>248</v>
      </c>
      <c r="J93" s="1" t="s">
        <v>249</v>
      </c>
    </row>
    <row r="94" spans="1:10" x14ac:dyDescent="0.25">
      <c r="A94" s="1" t="str">
        <f t="shared" si="1"/>
        <v>03 EE2 50.6</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3076</v>
      </c>
      <c r="D94" s="1" t="s">
        <v>112</v>
      </c>
      <c r="E94" s="1" t="s">
        <v>3077</v>
      </c>
      <c r="F94" s="1" t="s">
        <v>3078</v>
      </c>
      <c r="G94" s="1" t="s">
        <v>3079</v>
      </c>
      <c r="H94" s="1" t="s">
        <v>3080</v>
      </c>
      <c r="I94" s="1">
        <v>24</v>
      </c>
      <c r="J94" s="1">
        <v>24</v>
      </c>
    </row>
    <row r="95" spans="1:10" x14ac:dyDescent="0.2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10" x14ac:dyDescent="0.2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2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2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2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2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255</v>
      </c>
      <c r="D100" s="1" t="s">
        <v>110</v>
      </c>
      <c r="E100" s="1" t="s">
        <v>111</v>
      </c>
      <c r="F100" s="1" t="s">
        <v>112</v>
      </c>
      <c r="G100" s="1" t="s">
        <v>113</v>
      </c>
    </row>
    <row r="101" spans="1:7" x14ac:dyDescent="0.25">
      <c r="A101" s="1" t="str">
        <f t="shared" si="1"/>
        <v>04 EE2 76</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3081</v>
      </c>
      <c r="D101" s="1" t="s">
        <v>1766</v>
      </c>
      <c r="E101" s="1" t="s">
        <v>3082</v>
      </c>
      <c r="F101" s="1" t="s">
        <v>112</v>
      </c>
      <c r="G101" s="1">
        <v>312638</v>
      </c>
    </row>
    <row r="102" spans="1:7" x14ac:dyDescent="0.25">
      <c r="A102" s="1" t="str">
        <f t="shared" si="1"/>
        <v>04 EE2 76</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3083</v>
      </c>
      <c r="D102" s="1" t="s">
        <v>1412</v>
      </c>
      <c r="E102" s="1" t="s">
        <v>3084</v>
      </c>
      <c r="F102" s="1" t="s">
        <v>112</v>
      </c>
      <c r="G102" s="1">
        <v>281037</v>
      </c>
    </row>
    <row r="103" spans="1:7" x14ac:dyDescent="0.25">
      <c r="A103" s="1" t="str">
        <f t="shared" si="1"/>
        <v>04 EE2 76</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3085</v>
      </c>
      <c r="D103" s="1" t="s">
        <v>381</v>
      </c>
      <c r="E103" s="1" t="s">
        <v>3086</v>
      </c>
      <c r="F103" s="1" t="s">
        <v>112</v>
      </c>
      <c r="G103" s="1">
        <v>265572</v>
      </c>
    </row>
    <row r="104" spans="1:7" x14ac:dyDescent="0.25">
      <c r="A104" s="1" t="str">
        <f t="shared" si="1"/>
        <v>04 EE2 76</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3087</v>
      </c>
      <c r="D104" s="1" t="s">
        <v>3088</v>
      </c>
      <c r="E104" s="1" t="s">
        <v>3089</v>
      </c>
      <c r="F104" s="1" t="s">
        <v>112</v>
      </c>
      <c r="G104" s="1">
        <v>802988</v>
      </c>
    </row>
    <row r="105" spans="1:7" x14ac:dyDescent="0.25">
      <c r="A105" s="1" t="str">
        <f t="shared" si="1"/>
        <v>04 EE2 76</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3090</v>
      </c>
      <c r="D105" s="1" t="s">
        <v>3091</v>
      </c>
      <c r="E105" s="1" t="s">
        <v>3092</v>
      </c>
      <c r="F105" s="1" t="s">
        <v>112</v>
      </c>
      <c r="G105" s="1">
        <v>846659</v>
      </c>
    </row>
    <row r="106" spans="1:7" x14ac:dyDescent="0.25">
      <c r="A106" s="1" t="str">
        <f t="shared" si="1"/>
        <v>04 EE2 76</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3093</v>
      </c>
      <c r="D106" s="1" t="s">
        <v>3094</v>
      </c>
      <c r="E106" s="1" t="s">
        <v>3095</v>
      </c>
      <c r="F106" s="1" t="s">
        <v>112</v>
      </c>
      <c r="G106" s="1">
        <v>554850</v>
      </c>
    </row>
    <row r="107" spans="1:7" x14ac:dyDescent="0.25">
      <c r="A107" s="1" t="str">
        <f t="shared" si="1"/>
        <v>04 EE2 76</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3096</v>
      </c>
      <c r="D107" s="1" t="s">
        <v>1100</v>
      </c>
      <c r="E107" s="1" t="s">
        <v>3097</v>
      </c>
      <c r="F107" s="1" t="s">
        <v>112</v>
      </c>
      <c r="G107" s="1">
        <v>2001284</v>
      </c>
    </row>
    <row r="108" spans="1:7" x14ac:dyDescent="0.25">
      <c r="A108" s="1" t="str">
        <f t="shared" si="1"/>
        <v>04 EE2 76</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3098</v>
      </c>
      <c r="D108" s="1" t="s">
        <v>584</v>
      </c>
      <c r="E108" s="1" t="s">
        <v>3099</v>
      </c>
      <c r="F108" s="1" t="s">
        <v>112</v>
      </c>
      <c r="G108" s="1">
        <v>1901657</v>
      </c>
    </row>
    <row r="109" spans="1:7" x14ac:dyDescent="0.25">
      <c r="A109" s="1" t="str">
        <f t="shared" si="1"/>
        <v>04 EE2 76</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3100</v>
      </c>
      <c r="D109" s="1" t="s">
        <v>3101</v>
      </c>
      <c r="E109" s="1" t="s">
        <v>3102</v>
      </c>
      <c r="F109" s="1" t="s">
        <v>112</v>
      </c>
      <c r="G109" s="1">
        <v>1923049</v>
      </c>
    </row>
    <row r="110" spans="1:7" x14ac:dyDescent="0.25">
      <c r="A110" s="1" t="str">
        <f t="shared" si="1"/>
        <v>04 EE2 76</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3103</v>
      </c>
      <c r="D110" s="1" t="s">
        <v>2091</v>
      </c>
      <c r="E110" s="1" t="s">
        <v>3104</v>
      </c>
      <c r="F110" s="1" t="s">
        <v>112</v>
      </c>
      <c r="G110" s="1">
        <v>495000</v>
      </c>
    </row>
    <row r="111" spans="1:7" x14ac:dyDescent="0.25">
      <c r="A111" s="1" t="str">
        <f t="shared" si="1"/>
        <v>04 EE2 76</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3105</v>
      </c>
      <c r="D111" s="1" t="s">
        <v>2777</v>
      </c>
      <c r="E111" s="1" t="s">
        <v>3106</v>
      </c>
      <c r="F111" s="1" t="s">
        <v>112</v>
      </c>
      <c r="G111" s="1">
        <v>636438</v>
      </c>
    </row>
    <row r="112" spans="1:7" x14ac:dyDescent="0.25">
      <c r="A112" s="1" t="str">
        <f t="shared" si="1"/>
        <v>04 EE2 76</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3107</v>
      </c>
      <c r="D112" s="1" t="s">
        <v>3108</v>
      </c>
      <c r="E112" s="1" t="s">
        <v>3109</v>
      </c>
      <c r="F112" s="1" t="s">
        <v>112</v>
      </c>
      <c r="G112" s="1">
        <v>268232</v>
      </c>
    </row>
    <row r="113" spans="1:10" x14ac:dyDescent="0.25">
      <c r="A113" s="1" t="str">
        <f t="shared" si="1"/>
        <v>04 EE2 76</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3110</v>
      </c>
      <c r="D113" s="1" t="s">
        <v>923</v>
      </c>
      <c r="E113" s="1" t="s">
        <v>3111</v>
      </c>
      <c r="F113" s="1" t="s">
        <v>112</v>
      </c>
      <c r="G113" s="1">
        <v>310151</v>
      </c>
    </row>
    <row r="114" spans="1:10" x14ac:dyDescent="0.25">
      <c r="A114" s="1" t="str">
        <f t="shared" si="1"/>
        <v>04 EE2 76</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3112</v>
      </c>
      <c r="D114" s="1" t="s">
        <v>692</v>
      </c>
      <c r="E114" s="1" t="s">
        <v>3113</v>
      </c>
      <c r="F114" s="1" t="s">
        <v>112</v>
      </c>
      <c r="G114" s="1">
        <v>51501</v>
      </c>
    </row>
    <row r="115" spans="1:10" x14ac:dyDescent="0.25">
      <c r="A115" s="1" t="str">
        <f t="shared" si="1"/>
        <v>04 EE2 76</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3114</v>
      </c>
    </row>
    <row r="116" spans="1:10" x14ac:dyDescent="0.25">
      <c r="A116" s="1" t="str">
        <f t="shared" si="1"/>
        <v>04 EE2 76</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3115</v>
      </c>
      <c r="D116" s="1" t="s">
        <v>3116</v>
      </c>
      <c r="E116" s="1" t="s">
        <v>3117</v>
      </c>
      <c r="F116" s="1" t="s">
        <v>112</v>
      </c>
      <c r="G116" s="1">
        <v>929134</v>
      </c>
    </row>
    <row r="117" spans="1:10" x14ac:dyDescent="0.25">
      <c r="A117" s="1" t="str">
        <f t="shared" si="1"/>
        <v>04 EE2 76</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3118</v>
      </c>
      <c r="D117" s="1" t="s">
        <v>3119</v>
      </c>
      <c r="E117" s="1" t="s">
        <v>3120</v>
      </c>
      <c r="F117" s="1" t="s">
        <v>112</v>
      </c>
      <c r="G117" s="1">
        <v>985912</v>
      </c>
    </row>
    <row r="118" spans="1:10" x14ac:dyDescent="0.25">
      <c r="A118" s="1" t="str">
        <f t="shared" si="1"/>
        <v>04 EE2 76</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3121</v>
      </c>
      <c r="D118" s="1" t="s">
        <v>3122</v>
      </c>
      <c r="E118" s="1" t="s">
        <v>3123</v>
      </c>
      <c r="F118" s="1" t="s">
        <v>112</v>
      </c>
      <c r="G118" s="1">
        <v>362798</v>
      </c>
    </row>
    <row r="119" spans="1:10" x14ac:dyDescent="0.25">
      <c r="A119" s="1" t="str">
        <f t="shared" si="1"/>
        <v>04 EE2 76</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3124</v>
      </c>
      <c r="D119" s="1" t="s">
        <v>3125</v>
      </c>
      <c r="E119" s="1" t="s">
        <v>3126</v>
      </c>
      <c r="F119" s="1" t="s">
        <v>112</v>
      </c>
      <c r="G119" s="1">
        <v>551108</v>
      </c>
    </row>
    <row r="120" spans="1:10" x14ac:dyDescent="0.25">
      <c r="A120" s="1" t="str">
        <f t="shared" si="1"/>
        <v>04 EE2 76</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3127</v>
      </c>
      <c r="D120" s="1" t="s">
        <v>489</v>
      </c>
      <c r="E120" s="1" t="s">
        <v>3128</v>
      </c>
      <c r="F120" s="1" t="s">
        <v>112</v>
      </c>
      <c r="G120" s="1">
        <v>679157</v>
      </c>
    </row>
    <row r="121" spans="1:10" x14ac:dyDescent="0.25">
      <c r="A121" s="1" t="str">
        <f t="shared" si="1"/>
        <v>04 EE2 76</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3129</v>
      </c>
      <c r="D121" s="1" t="s">
        <v>3130</v>
      </c>
      <c r="E121" s="1" t="s">
        <v>3131</v>
      </c>
      <c r="F121" s="1" t="s">
        <v>112</v>
      </c>
      <c r="G121" s="1">
        <v>498569</v>
      </c>
    </row>
    <row r="122" spans="1:10" x14ac:dyDescent="0.25">
      <c r="A122" s="1" t="str">
        <f t="shared" si="1"/>
        <v>04 EE2 76</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3132</v>
      </c>
      <c r="D122" s="1" t="s">
        <v>3133</v>
      </c>
      <c r="E122" s="1" t="s">
        <v>3134</v>
      </c>
      <c r="F122" s="1" t="s">
        <v>112</v>
      </c>
      <c r="G122" s="1">
        <v>843285</v>
      </c>
    </row>
    <row r="123" spans="1:10" x14ac:dyDescent="0.25">
      <c r="A123" s="1" t="str">
        <f t="shared" si="1"/>
        <v>04 EE2 76</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3135</v>
      </c>
      <c r="D123" s="1" t="s">
        <v>3136</v>
      </c>
      <c r="E123" s="1" t="s">
        <v>3137</v>
      </c>
      <c r="F123" s="1" t="s">
        <v>112</v>
      </c>
      <c r="G123" s="1">
        <v>630425</v>
      </c>
    </row>
    <row r="124" spans="1:10" x14ac:dyDescent="0.25">
      <c r="A124" s="1" t="str">
        <f t="shared" si="1"/>
        <v>04 EE2 76</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3138</v>
      </c>
      <c r="D124" s="1" t="s">
        <v>3139</v>
      </c>
      <c r="E124" s="1" t="s">
        <v>3140</v>
      </c>
      <c r="F124" s="1" t="s">
        <v>112</v>
      </c>
      <c r="G124" s="1">
        <v>634773</v>
      </c>
    </row>
    <row r="125" spans="1:10" x14ac:dyDescent="0.2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10" x14ac:dyDescent="0.2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243</v>
      </c>
      <c r="D126" s="1" t="s">
        <v>112</v>
      </c>
      <c r="E126" s="1" t="s">
        <v>244</v>
      </c>
      <c r="F126" s="1" t="s">
        <v>245</v>
      </c>
      <c r="G126" s="1" t="s">
        <v>246</v>
      </c>
      <c r="H126" s="1" t="s">
        <v>247</v>
      </c>
      <c r="I126" s="1" t="s">
        <v>248</v>
      </c>
      <c r="J126" s="1" t="s">
        <v>249</v>
      </c>
    </row>
    <row r="127" spans="1:10" x14ac:dyDescent="0.25">
      <c r="A127" s="1" t="str">
        <f t="shared" si="1"/>
        <v>04 EE2 76</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3141</v>
      </c>
      <c r="D127" s="1" t="s">
        <v>112</v>
      </c>
      <c r="E127" s="1" t="s">
        <v>3142</v>
      </c>
      <c r="F127" s="1" t="s">
        <v>3143</v>
      </c>
      <c r="G127" s="1" t="s">
        <v>3144</v>
      </c>
      <c r="H127" s="1" t="s">
        <v>3145</v>
      </c>
      <c r="I127" s="1">
        <v>24</v>
      </c>
      <c r="J127" s="1">
        <v>24</v>
      </c>
    </row>
    <row r="128" spans="1:10" x14ac:dyDescent="0.2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2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2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2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2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2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255</v>
      </c>
      <c r="D133" s="1" t="s">
        <v>110</v>
      </c>
      <c r="E133" s="1" t="s">
        <v>111</v>
      </c>
      <c r="F133" s="1" t="s">
        <v>112</v>
      </c>
      <c r="G133" s="1" t="s">
        <v>113</v>
      </c>
    </row>
    <row r="134" spans="1:7" x14ac:dyDescent="0.25">
      <c r="A134" s="1" t="str">
        <f t="shared" si="2"/>
        <v>05 EE2 114</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3146</v>
      </c>
      <c r="D134" s="1" t="s">
        <v>3147</v>
      </c>
      <c r="E134" s="1" t="s">
        <v>3148</v>
      </c>
      <c r="F134" s="1" t="s">
        <v>112</v>
      </c>
      <c r="G134" s="1">
        <v>2008228</v>
      </c>
    </row>
    <row r="135" spans="1:7" x14ac:dyDescent="0.25">
      <c r="A135" s="1" t="str">
        <f t="shared" si="2"/>
        <v>05 EE2 114</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3149</v>
      </c>
      <c r="D135" s="1" t="s">
        <v>3150</v>
      </c>
      <c r="E135" s="1" t="s">
        <v>3151</v>
      </c>
      <c r="F135" s="1" t="s">
        <v>112</v>
      </c>
      <c r="G135" s="1">
        <v>1608356</v>
      </c>
    </row>
    <row r="136" spans="1:7" x14ac:dyDescent="0.25">
      <c r="A136" s="1" t="str">
        <f t="shared" si="2"/>
        <v>05 EE2 114</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3152</v>
      </c>
      <c r="D136" s="1" t="s">
        <v>3153</v>
      </c>
      <c r="E136" s="1" t="s">
        <v>3154</v>
      </c>
      <c r="F136" s="1" t="s">
        <v>112</v>
      </c>
      <c r="G136" s="1">
        <v>1936416</v>
      </c>
    </row>
    <row r="137" spans="1:7" x14ac:dyDescent="0.25">
      <c r="A137" s="1" t="str">
        <f t="shared" si="2"/>
        <v>05 EE2 114</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3155</v>
      </c>
      <c r="D137" s="1" t="s">
        <v>3156</v>
      </c>
      <c r="E137" s="1" t="s">
        <v>3157</v>
      </c>
      <c r="F137" s="1" t="s">
        <v>112</v>
      </c>
      <c r="G137" s="1">
        <v>2576034</v>
      </c>
    </row>
    <row r="138" spans="1:7" x14ac:dyDescent="0.25">
      <c r="A138" s="1" t="str">
        <f t="shared" si="2"/>
        <v>05 EE2 114</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3158</v>
      </c>
      <c r="D138" s="1" t="s">
        <v>3159</v>
      </c>
      <c r="E138" s="1" t="s">
        <v>3160</v>
      </c>
      <c r="F138" s="1" t="s">
        <v>112</v>
      </c>
      <c r="G138" s="1">
        <v>1851800</v>
      </c>
    </row>
    <row r="139" spans="1:7" x14ac:dyDescent="0.25">
      <c r="A139" s="1" t="str">
        <f t="shared" si="2"/>
        <v>05 EE2 114</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3161</v>
      </c>
      <c r="D139" s="1" t="s">
        <v>3162</v>
      </c>
      <c r="E139" s="1" t="s">
        <v>3163</v>
      </c>
      <c r="F139" s="1" t="s">
        <v>112</v>
      </c>
      <c r="G139" s="1">
        <v>2603720</v>
      </c>
    </row>
    <row r="140" spans="1:7" x14ac:dyDescent="0.25">
      <c r="A140" s="1" t="str">
        <f t="shared" si="2"/>
        <v>05 EE2 114</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3164</v>
      </c>
      <c r="D140" s="1" t="s">
        <v>670</v>
      </c>
      <c r="E140" s="1">
        <v>76</v>
      </c>
      <c r="F140" s="1" t="s">
        <v>112</v>
      </c>
      <c r="G140" s="1">
        <v>3822002</v>
      </c>
    </row>
    <row r="141" spans="1:7" x14ac:dyDescent="0.25">
      <c r="A141" s="1" t="str">
        <f t="shared" si="2"/>
        <v>05 EE2 114</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3165</v>
      </c>
      <c r="D141" s="1" t="s">
        <v>3166</v>
      </c>
      <c r="E141" s="1" t="s">
        <v>3167</v>
      </c>
      <c r="F141" s="1" t="s">
        <v>112</v>
      </c>
      <c r="G141" s="1">
        <v>3895458</v>
      </c>
    </row>
    <row r="142" spans="1:7" x14ac:dyDescent="0.25">
      <c r="A142" s="1" t="str">
        <f t="shared" si="2"/>
        <v>05 EE2 114</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3168</v>
      </c>
      <c r="D142" s="1" t="s">
        <v>3169</v>
      </c>
      <c r="E142" s="1" t="s">
        <v>3170</v>
      </c>
      <c r="F142" s="1" t="s">
        <v>112</v>
      </c>
      <c r="G142" s="1">
        <v>3457128</v>
      </c>
    </row>
    <row r="143" spans="1:7" x14ac:dyDescent="0.25">
      <c r="A143" s="1" t="str">
        <f t="shared" si="2"/>
        <v>05 EE2 114</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3171</v>
      </c>
      <c r="D143" s="1" t="s">
        <v>3172</v>
      </c>
      <c r="E143" s="1" t="s">
        <v>3173</v>
      </c>
      <c r="F143" s="1" t="s">
        <v>112</v>
      </c>
      <c r="G143" s="1">
        <v>1748907</v>
      </c>
    </row>
    <row r="144" spans="1:7" x14ac:dyDescent="0.25">
      <c r="A144" s="1" t="str">
        <f t="shared" si="2"/>
        <v>05 EE2 114</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3174</v>
      </c>
      <c r="D144" s="1" t="s">
        <v>3175</v>
      </c>
      <c r="E144" s="1" t="s">
        <v>3176</v>
      </c>
      <c r="F144" s="1" t="s">
        <v>112</v>
      </c>
      <c r="G144" s="1">
        <v>1455367</v>
      </c>
    </row>
    <row r="145" spans="1:10" x14ac:dyDescent="0.25">
      <c r="A145" s="1" t="str">
        <f t="shared" si="2"/>
        <v>05 EE2 114</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3177</v>
      </c>
      <c r="D145" s="1" t="s">
        <v>3178</v>
      </c>
      <c r="E145" s="1" t="s">
        <v>3179</v>
      </c>
      <c r="F145" s="1" t="s">
        <v>112</v>
      </c>
      <c r="G145" s="1">
        <v>1124625</v>
      </c>
    </row>
    <row r="146" spans="1:10" x14ac:dyDescent="0.25">
      <c r="A146" s="1" t="str">
        <f t="shared" si="2"/>
        <v>05 EE2 114</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3180</v>
      </c>
      <c r="D146" s="1" t="s">
        <v>3181</v>
      </c>
      <c r="E146" s="1" t="s">
        <v>3182</v>
      </c>
      <c r="F146" s="1" t="s">
        <v>112</v>
      </c>
      <c r="G146" s="1">
        <v>1492268</v>
      </c>
    </row>
    <row r="147" spans="1:10" x14ac:dyDescent="0.25">
      <c r="A147" s="1" t="str">
        <f t="shared" si="2"/>
        <v>05 EE2 114</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3183</v>
      </c>
      <c r="D147" s="1" t="s">
        <v>3184</v>
      </c>
      <c r="E147" s="1" t="s">
        <v>3185</v>
      </c>
      <c r="F147" s="1" t="s">
        <v>112</v>
      </c>
      <c r="G147" s="1">
        <v>1761950</v>
      </c>
    </row>
    <row r="148" spans="1:10" x14ac:dyDescent="0.25">
      <c r="A148" s="1" t="str">
        <f t="shared" si="2"/>
        <v>05 EE2 114</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3186</v>
      </c>
      <c r="D148" s="1" t="s">
        <v>3187</v>
      </c>
      <c r="E148" s="1" t="s">
        <v>3188</v>
      </c>
      <c r="F148" s="1" t="s">
        <v>112</v>
      </c>
      <c r="G148" s="1">
        <v>1190293</v>
      </c>
    </row>
    <row r="149" spans="1:10" x14ac:dyDescent="0.25">
      <c r="A149" s="1" t="str">
        <f t="shared" si="2"/>
        <v>05 EE2 114</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3189</v>
      </c>
      <c r="D149" s="1" t="s">
        <v>3190</v>
      </c>
      <c r="E149" s="1" t="s">
        <v>3191</v>
      </c>
      <c r="F149" s="1" t="s">
        <v>112</v>
      </c>
      <c r="G149" s="1">
        <v>1125620</v>
      </c>
    </row>
    <row r="150" spans="1:10" x14ac:dyDescent="0.25">
      <c r="A150" s="1" t="str">
        <f t="shared" si="2"/>
        <v>05 EE2 114</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3192</v>
      </c>
      <c r="D150" s="1" t="s">
        <v>3193</v>
      </c>
      <c r="E150" s="1" t="s">
        <v>3194</v>
      </c>
      <c r="F150" s="1" t="s">
        <v>112</v>
      </c>
      <c r="G150" s="1">
        <v>1089260</v>
      </c>
    </row>
    <row r="151" spans="1:10" x14ac:dyDescent="0.25">
      <c r="A151" s="1" t="str">
        <f t="shared" si="2"/>
        <v>05 EE2 114</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3195</v>
      </c>
      <c r="D151" s="1" t="s">
        <v>1766</v>
      </c>
      <c r="E151" s="1" t="s">
        <v>3196</v>
      </c>
      <c r="F151" s="1" t="s">
        <v>112</v>
      </c>
      <c r="G151" s="1">
        <v>317051</v>
      </c>
    </row>
    <row r="152" spans="1:10" x14ac:dyDescent="0.25">
      <c r="A152" s="1" t="str">
        <f t="shared" si="2"/>
        <v>05 EE2 114</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3197</v>
      </c>
      <c r="D152" s="1" t="s">
        <v>3198</v>
      </c>
      <c r="E152" s="1" t="s">
        <v>3199</v>
      </c>
      <c r="F152" s="1" t="s">
        <v>112</v>
      </c>
      <c r="G152" s="1">
        <v>1934253</v>
      </c>
    </row>
    <row r="153" spans="1:10" x14ac:dyDescent="0.25">
      <c r="A153" s="1" t="str">
        <f t="shared" si="2"/>
        <v>05 EE2 114</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3200</v>
      </c>
      <c r="D153" s="1" t="s">
        <v>3201</v>
      </c>
      <c r="E153" s="1" t="s">
        <v>3202</v>
      </c>
      <c r="F153" s="1" t="s">
        <v>112</v>
      </c>
      <c r="G153" s="1">
        <v>1661133</v>
      </c>
    </row>
    <row r="154" spans="1:10" x14ac:dyDescent="0.25">
      <c r="A154" s="1" t="str">
        <f t="shared" si="2"/>
        <v>05 EE2 114</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3203</v>
      </c>
      <c r="D154" s="1" t="s">
        <v>3204</v>
      </c>
      <c r="E154" s="1" t="s">
        <v>3205</v>
      </c>
      <c r="F154" s="1" t="s">
        <v>112</v>
      </c>
      <c r="G154" s="1">
        <v>1195830</v>
      </c>
    </row>
    <row r="155" spans="1:10" x14ac:dyDescent="0.25">
      <c r="A155" s="1" t="str">
        <f t="shared" si="2"/>
        <v>05 EE2 114</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3206</v>
      </c>
    </row>
    <row r="156" spans="1:10" x14ac:dyDescent="0.25">
      <c r="A156" s="1" t="str">
        <f t="shared" si="2"/>
        <v>05 EE2 114</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3207</v>
      </c>
    </row>
    <row r="157" spans="1:10" x14ac:dyDescent="0.25">
      <c r="A157" s="1" t="str">
        <f t="shared" si="2"/>
        <v>05 EE2 114</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3208</v>
      </c>
    </row>
    <row r="158" spans="1:10" x14ac:dyDescent="0.2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10" x14ac:dyDescent="0.2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243</v>
      </c>
      <c r="D159" s="1" t="s">
        <v>112</v>
      </c>
      <c r="E159" s="1" t="s">
        <v>244</v>
      </c>
      <c r="F159" s="1" t="s">
        <v>245</v>
      </c>
      <c r="G159" s="1" t="s">
        <v>246</v>
      </c>
      <c r="H159" s="1" t="s">
        <v>247</v>
      </c>
      <c r="I159" s="1" t="s">
        <v>248</v>
      </c>
      <c r="J159" s="1" t="s">
        <v>249</v>
      </c>
    </row>
    <row r="160" spans="1:10" x14ac:dyDescent="0.25">
      <c r="A160" s="1" t="str">
        <f t="shared" si="2"/>
        <v>05 EE2 114</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3209</v>
      </c>
      <c r="D160" s="1" t="s">
        <v>112</v>
      </c>
      <c r="E160" s="1" t="s">
        <v>3210</v>
      </c>
      <c r="F160" s="1" t="s">
        <v>3211</v>
      </c>
      <c r="G160" s="1" t="s">
        <v>3212</v>
      </c>
      <c r="H160" s="1" t="s">
        <v>3213</v>
      </c>
      <c r="I160" s="1">
        <v>24</v>
      </c>
      <c r="J160" s="1">
        <v>24</v>
      </c>
    </row>
    <row r="161" spans="1:7" x14ac:dyDescent="0.2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2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2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2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2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2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255</v>
      </c>
      <c r="D166" s="1" t="s">
        <v>110</v>
      </c>
      <c r="E166" s="1" t="s">
        <v>111</v>
      </c>
      <c r="F166" s="1" t="s">
        <v>112</v>
      </c>
      <c r="G166" s="1" t="s">
        <v>113</v>
      </c>
    </row>
    <row r="167" spans="1:7" x14ac:dyDescent="0.25">
      <c r="A167" s="1" t="str">
        <f t="shared" si="2"/>
        <v>06 EE2 170.9</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3214</v>
      </c>
      <c r="D167" s="1" t="s">
        <v>3215</v>
      </c>
      <c r="E167" s="1" t="s">
        <v>3216</v>
      </c>
      <c r="F167" s="1" t="s">
        <v>112</v>
      </c>
      <c r="G167" s="1">
        <v>2442231</v>
      </c>
    </row>
    <row r="168" spans="1:7" x14ac:dyDescent="0.25">
      <c r="A168" s="1" t="str">
        <f t="shared" si="2"/>
        <v>06 EE2 170.9</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3217</v>
      </c>
      <c r="D168" s="1" t="s">
        <v>3218</v>
      </c>
      <c r="E168" s="1" t="s">
        <v>3219</v>
      </c>
      <c r="F168" s="1" t="s">
        <v>112</v>
      </c>
      <c r="G168" s="1">
        <v>2854476</v>
      </c>
    </row>
    <row r="169" spans="1:7" x14ac:dyDescent="0.25">
      <c r="A169" s="1" t="str">
        <f t="shared" si="2"/>
        <v>06 EE2 170.9</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3220</v>
      </c>
      <c r="D169" s="1" t="s">
        <v>3221</v>
      </c>
      <c r="E169" s="1" t="s">
        <v>3222</v>
      </c>
      <c r="F169" s="1" t="s">
        <v>112</v>
      </c>
      <c r="G169" s="1">
        <v>2504223</v>
      </c>
    </row>
    <row r="170" spans="1:7" x14ac:dyDescent="0.25">
      <c r="A170" s="1" t="str">
        <f t="shared" si="2"/>
        <v>06 EE2 170.9</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3223</v>
      </c>
      <c r="D170" s="1" t="s">
        <v>1097</v>
      </c>
      <c r="E170" s="1" t="s">
        <v>3224</v>
      </c>
      <c r="F170" s="1" t="s">
        <v>112</v>
      </c>
      <c r="G170" s="1">
        <v>1783882</v>
      </c>
    </row>
    <row r="171" spans="1:7" x14ac:dyDescent="0.25">
      <c r="A171" s="1" t="str">
        <f t="shared" si="2"/>
        <v>06 EE2 170.9</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3225</v>
      </c>
      <c r="D171" s="1" t="s">
        <v>3226</v>
      </c>
      <c r="E171" s="1" t="s">
        <v>3227</v>
      </c>
      <c r="F171" s="1" t="s">
        <v>112</v>
      </c>
      <c r="G171" s="1">
        <v>1662517</v>
      </c>
    </row>
    <row r="172" spans="1:7" x14ac:dyDescent="0.25">
      <c r="A172" s="1" t="str">
        <f t="shared" si="2"/>
        <v>06 EE2 170.9</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3228</v>
      </c>
      <c r="D172" s="1" t="s">
        <v>3229</v>
      </c>
      <c r="E172" s="1" t="s">
        <v>3230</v>
      </c>
      <c r="F172" s="1" t="s">
        <v>112</v>
      </c>
      <c r="G172" s="1">
        <v>1393960</v>
      </c>
    </row>
    <row r="173" spans="1:7" x14ac:dyDescent="0.25">
      <c r="A173" s="1" t="str">
        <f t="shared" si="2"/>
        <v>06 EE2 170.9</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3231</v>
      </c>
      <c r="D173" s="1" t="s">
        <v>3232</v>
      </c>
      <c r="E173" s="1" t="s">
        <v>3233</v>
      </c>
      <c r="F173" s="1" t="s">
        <v>112</v>
      </c>
      <c r="G173" s="1">
        <v>907482</v>
      </c>
    </row>
    <row r="174" spans="1:7" x14ac:dyDescent="0.25">
      <c r="A174" s="1" t="str">
        <f t="shared" si="2"/>
        <v>06 EE2 170.9</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3234</v>
      </c>
      <c r="D174" s="1" t="s">
        <v>2185</v>
      </c>
      <c r="E174" s="1" t="s">
        <v>3235</v>
      </c>
      <c r="F174" s="1" t="s">
        <v>112</v>
      </c>
      <c r="G174" s="1">
        <v>154459</v>
      </c>
    </row>
    <row r="175" spans="1:7" x14ac:dyDescent="0.25">
      <c r="A175" s="1" t="str">
        <f t="shared" si="2"/>
        <v>06 EE2 170.9</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3236</v>
      </c>
      <c r="D175" s="1" t="s">
        <v>3237</v>
      </c>
      <c r="E175" s="1" t="s">
        <v>3238</v>
      </c>
      <c r="F175" s="1" t="s">
        <v>112</v>
      </c>
      <c r="G175" s="1">
        <v>862297</v>
      </c>
    </row>
    <row r="176" spans="1:7" x14ac:dyDescent="0.25">
      <c r="A176" s="1" t="str">
        <f t="shared" si="2"/>
        <v>06 EE2 170.9</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3239</v>
      </c>
      <c r="D176" s="1" t="s">
        <v>3125</v>
      </c>
      <c r="E176" s="1" t="s">
        <v>3240</v>
      </c>
      <c r="F176" s="1" t="s">
        <v>112</v>
      </c>
      <c r="G176" s="1">
        <v>564778</v>
      </c>
    </row>
    <row r="177" spans="1:10" x14ac:dyDescent="0.25">
      <c r="A177" s="1" t="str">
        <f t="shared" si="2"/>
        <v>06 EE2 170.9</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3241</v>
      </c>
      <c r="D177" s="1" t="s">
        <v>1675</v>
      </c>
      <c r="E177" s="1" t="s">
        <v>3242</v>
      </c>
      <c r="F177" s="1" t="s">
        <v>112</v>
      </c>
      <c r="G177" s="1">
        <v>661983</v>
      </c>
    </row>
    <row r="178" spans="1:10" x14ac:dyDescent="0.25">
      <c r="A178" s="1" t="str">
        <f t="shared" si="2"/>
        <v>06 EE2 170.9</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3243</v>
      </c>
      <c r="D178" s="1" t="s">
        <v>3244</v>
      </c>
      <c r="E178" s="1" t="s">
        <v>3245</v>
      </c>
      <c r="F178" s="1" t="s">
        <v>112</v>
      </c>
      <c r="G178" s="1">
        <v>503393</v>
      </c>
    </row>
    <row r="179" spans="1:10" x14ac:dyDescent="0.25">
      <c r="A179" s="1" t="str">
        <f t="shared" si="2"/>
        <v>06 EE2 170.9</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3246</v>
      </c>
      <c r="D179" s="1" t="s">
        <v>3247</v>
      </c>
      <c r="E179" s="1" t="s">
        <v>3248</v>
      </c>
      <c r="F179" s="1" t="s">
        <v>112</v>
      </c>
      <c r="G179" s="1">
        <v>1484633</v>
      </c>
    </row>
    <row r="180" spans="1:10" x14ac:dyDescent="0.25">
      <c r="A180" s="1" t="str">
        <f t="shared" si="2"/>
        <v>06 EE2 170.9</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3249</v>
      </c>
      <c r="D180" s="1" t="s">
        <v>3250</v>
      </c>
      <c r="E180" s="1" t="s">
        <v>3251</v>
      </c>
      <c r="F180" s="1" t="s">
        <v>112</v>
      </c>
      <c r="G180" s="1">
        <v>1114956</v>
      </c>
    </row>
    <row r="181" spans="1:10" x14ac:dyDescent="0.25">
      <c r="A181" s="1" t="str">
        <f t="shared" si="2"/>
        <v>06 EE2 170.9</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3252</v>
      </c>
      <c r="D181" s="1" t="s">
        <v>3253</v>
      </c>
      <c r="E181" s="1" t="s">
        <v>3254</v>
      </c>
      <c r="F181" s="1" t="s">
        <v>112</v>
      </c>
      <c r="G181" s="1">
        <v>1047817</v>
      </c>
    </row>
    <row r="182" spans="1:10" x14ac:dyDescent="0.25">
      <c r="A182" s="1" t="str">
        <f t="shared" si="2"/>
        <v>06 EE2 170.9</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3255</v>
      </c>
    </row>
    <row r="183" spans="1:10" x14ac:dyDescent="0.25">
      <c r="A183" s="1" t="str">
        <f t="shared" si="2"/>
        <v>06 EE2 170.9</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3256</v>
      </c>
    </row>
    <row r="184" spans="1:10" x14ac:dyDescent="0.25">
      <c r="A184" s="1" t="str">
        <f t="shared" si="2"/>
        <v>06 EE2 170.9</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3257</v>
      </c>
    </row>
    <row r="185" spans="1:10" x14ac:dyDescent="0.25">
      <c r="A185" s="1" t="str">
        <f t="shared" si="2"/>
        <v>06 EE2 170.9</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3258</v>
      </c>
      <c r="D185" s="1" t="s">
        <v>3259</v>
      </c>
      <c r="E185" s="1" t="s">
        <v>3260</v>
      </c>
      <c r="F185" s="1" t="s">
        <v>112</v>
      </c>
      <c r="G185" s="1">
        <v>3138476</v>
      </c>
    </row>
    <row r="186" spans="1:10" x14ac:dyDescent="0.25">
      <c r="A186" s="1" t="str">
        <f t="shared" si="2"/>
        <v>06 EE2 170.9</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3261</v>
      </c>
      <c r="D186" s="1" t="s">
        <v>3262</v>
      </c>
      <c r="E186" s="1" t="s">
        <v>3263</v>
      </c>
      <c r="F186" s="1" t="s">
        <v>112</v>
      </c>
      <c r="G186" s="1">
        <v>2995308</v>
      </c>
    </row>
    <row r="187" spans="1:10" x14ac:dyDescent="0.25">
      <c r="A187" s="1" t="str">
        <f t="shared" si="2"/>
        <v>06 EE2 170.9</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3264</v>
      </c>
      <c r="D187" s="1" t="s">
        <v>3265</v>
      </c>
      <c r="E187" s="1" t="s">
        <v>3266</v>
      </c>
      <c r="F187" s="1" t="s">
        <v>112</v>
      </c>
      <c r="G187" s="1">
        <v>3019447</v>
      </c>
    </row>
    <row r="188" spans="1:10" x14ac:dyDescent="0.25">
      <c r="A188" s="1" t="str">
        <f t="shared" si="2"/>
        <v>06 EE2 170.9</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3267</v>
      </c>
      <c r="D188" s="1" t="s">
        <v>2387</v>
      </c>
      <c r="E188" s="1" t="s">
        <v>3268</v>
      </c>
      <c r="F188" s="1" t="s">
        <v>112</v>
      </c>
      <c r="G188" s="1">
        <v>3668192</v>
      </c>
    </row>
    <row r="189" spans="1:10" x14ac:dyDescent="0.25">
      <c r="A189" s="1" t="str">
        <f t="shared" si="2"/>
        <v>06 EE2 170.9</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3269</v>
      </c>
      <c r="D189" s="1" t="s">
        <v>2639</v>
      </c>
      <c r="E189" s="1" t="s">
        <v>3270</v>
      </c>
      <c r="F189" s="1" t="s">
        <v>112</v>
      </c>
      <c r="G189" s="1">
        <v>2675553</v>
      </c>
    </row>
    <row r="190" spans="1:10" x14ac:dyDescent="0.25">
      <c r="A190" s="1" t="str">
        <f t="shared" si="2"/>
        <v>06 EE2 170.9</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3271</v>
      </c>
      <c r="D190" s="1" t="s">
        <v>3272</v>
      </c>
      <c r="E190" s="1" t="s">
        <v>3273</v>
      </c>
      <c r="F190" s="1" t="s">
        <v>112</v>
      </c>
      <c r="G190" s="1">
        <v>3373982</v>
      </c>
    </row>
    <row r="191" spans="1:10" x14ac:dyDescent="0.2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10" x14ac:dyDescent="0.2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243</v>
      </c>
      <c r="D192" s="1" t="s">
        <v>112</v>
      </c>
      <c r="E192" s="1" t="s">
        <v>244</v>
      </c>
      <c r="F192" s="1" t="s">
        <v>245</v>
      </c>
      <c r="G192" s="1" t="s">
        <v>246</v>
      </c>
      <c r="H192" s="1" t="s">
        <v>247</v>
      </c>
      <c r="I192" s="1" t="s">
        <v>248</v>
      </c>
      <c r="J192" s="1" t="s">
        <v>249</v>
      </c>
    </row>
    <row r="193" spans="1:10" x14ac:dyDescent="0.25">
      <c r="A193" s="1" t="str">
        <f t="shared" si="2"/>
        <v>06 EE2 170.9</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3274</v>
      </c>
      <c r="D193" s="1" t="s">
        <v>112</v>
      </c>
      <c r="E193" s="1" t="s">
        <v>3275</v>
      </c>
      <c r="F193" s="1" t="s">
        <v>3276</v>
      </c>
      <c r="G193" s="1" t="s">
        <v>3277</v>
      </c>
      <c r="H193" s="1" t="s">
        <v>3278</v>
      </c>
      <c r="I193" s="1">
        <v>24</v>
      </c>
      <c r="J193" s="1">
        <v>24</v>
      </c>
    </row>
    <row r="194" spans="1:10" x14ac:dyDescent="0.2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10" x14ac:dyDescent="0.2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10" x14ac:dyDescent="0.2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10" x14ac:dyDescent="0.2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10" x14ac:dyDescent="0.2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10" x14ac:dyDescent="0.2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255</v>
      </c>
      <c r="D199" s="1" t="s">
        <v>110</v>
      </c>
      <c r="E199" s="1" t="s">
        <v>111</v>
      </c>
      <c r="F199" s="1" t="s">
        <v>112</v>
      </c>
      <c r="G199" s="1" t="s">
        <v>113</v>
      </c>
    </row>
    <row r="200" spans="1:10" x14ac:dyDescent="0.25">
      <c r="A200" s="1" t="str">
        <f t="shared" si="3"/>
        <v>07 EE2 488</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3279</v>
      </c>
      <c r="D200" s="1" t="s">
        <v>3280</v>
      </c>
      <c r="E200" s="1" t="s">
        <v>3281</v>
      </c>
      <c r="F200" s="1" t="s">
        <v>112</v>
      </c>
      <c r="G200" s="1">
        <v>6193288</v>
      </c>
    </row>
    <row r="201" spans="1:10" x14ac:dyDescent="0.25">
      <c r="A201" s="1" t="str">
        <f t="shared" si="3"/>
        <v>07 EE2 488</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3282</v>
      </c>
      <c r="D201" s="1" t="s">
        <v>3283</v>
      </c>
      <c r="E201" s="1" t="s">
        <v>3284</v>
      </c>
      <c r="F201" s="1" t="s">
        <v>112</v>
      </c>
      <c r="G201" s="1">
        <v>5965849</v>
      </c>
    </row>
    <row r="202" spans="1:10" x14ac:dyDescent="0.25">
      <c r="A202" s="1" t="str">
        <f t="shared" si="3"/>
        <v>07 EE2 488</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3285</v>
      </c>
      <c r="D202" s="1" t="s">
        <v>3286</v>
      </c>
      <c r="E202" s="1" t="s">
        <v>3287</v>
      </c>
      <c r="F202" s="1" t="s">
        <v>112</v>
      </c>
      <c r="G202" s="1">
        <v>5745765</v>
      </c>
    </row>
    <row r="203" spans="1:10" x14ac:dyDescent="0.25">
      <c r="A203" s="1" t="str">
        <f t="shared" si="3"/>
        <v>07 EE2 488</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3288</v>
      </c>
      <c r="D203" s="1" t="s">
        <v>3181</v>
      </c>
      <c r="E203" s="1" t="s">
        <v>3289</v>
      </c>
      <c r="F203" s="1" t="s">
        <v>112</v>
      </c>
      <c r="G203" s="1">
        <v>1677290</v>
      </c>
    </row>
    <row r="204" spans="1:10" x14ac:dyDescent="0.25">
      <c r="A204" s="1" t="str">
        <f t="shared" si="3"/>
        <v>07 EE2 488</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3290</v>
      </c>
      <c r="D204" s="1" t="s">
        <v>1445</v>
      </c>
      <c r="E204" s="1" t="s">
        <v>3291</v>
      </c>
      <c r="F204" s="1" t="s">
        <v>112</v>
      </c>
      <c r="G204" s="1">
        <v>1833891</v>
      </c>
    </row>
    <row r="205" spans="1:10" x14ac:dyDescent="0.25">
      <c r="A205" s="1" t="str">
        <f t="shared" si="3"/>
        <v>07 EE2 488</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3292</v>
      </c>
      <c r="D205" s="1" t="s">
        <v>3293</v>
      </c>
      <c r="E205" s="1" t="s">
        <v>3294</v>
      </c>
      <c r="F205" s="1" t="s">
        <v>112</v>
      </c>
      <c r="G205" s="1">
        <v>1893265</v>
      </c>
    </row>
    <row r="206" spans="1:10" x14ac:dyDescent="0.25">
      <c r="A206" s="1" t="str">
        <f t="shared" si="3"/>
        <v>07 EE2 488</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3295</v>
      </c>
      <c r="D206" s="1" t="s">
        <v>3296</v>
      </c>
      <c r="E206" s="1" t="s">
        <v>3297</v>
      </c>
      <c r="F206" s="1" t="s">
        <v>112</v>
      </c>
      <c r="G206" s="1">
        <v>2909697</v>
      </c>
    </row>
    <row r="207" spans="1:10" x14ac:dyDescent="0.25">
      <c r="A207" s="1" t="str">
        <f t="shared" si="3"/>
        <v>07 EE2 488</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3298</v>
      </c>
    </row>
    <row r="208" spans="1:10" x14ac:dyDescent="0.25">
      <c r="A208" s="1" t="str">
        <f t="shared" si="3"/>
        <v>07 EE2 488</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3299</v>
      </c>
      <c r="D208" s="1" t="s">
        <v>3300</v>
      </c>
      <c r="E208" s="1" t="s">
        <v>3301</v>
      </c>
      <c r="F208" s="1" t="s">
        <v>112</v>
      </c>
      <c r="G208" s="1">
        <v>1696454</v>
      </c>
    </row>
    <row r="209" spans="1:7" x14ac:dyDescent="0.25">
      <c r="A209" s="1" t="str">
        <f t="shared" si="3"/>
        <v>07 EE2 488</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3302</v>
      </c>
      <c r="D209" s="1" t="s">
        <v>3303</v>
      </c>
      <c r="E209" s="1" t="s">
        <v>3304</v>
      </c>
      <c r="F209" s="1" t="s">
        <v>112</v>
      </c>
      <c r="G209" s="1">
        <v>3608948</v>
      </c>
    </row>
    <row r="210" spans="1:7" x14ac:dyDescent="0.25">
      <c r="A210" s="1" t="str">
        <f t="shared" si="3"/>
        <v>07 EE2 488</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3305</v>
      </c>
      <c r="D210" s="1" t="s">
        <v>3306</v>
      </c>
      <c r="E210" s="1" t="s">
        <v>3307</v>
      </c>
      <c r="F210" s="1" t="s">
        <v>112</v>
      </c>
      <c r="G210" s="1">
        <v>3403788</v>
      </c>
    </row>
    <row r="211" spans="1:7" x14ac:dyDescent="0.25">
      <c r="A211" s="1" t="str">
        <f t="shared" si="3"/>
        <v>07 EE2 488</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3308</v>
      </c>
      <c r="D211" s="1" t="s">
        <v>3309</v>
      </c>
      <c r="E211" s="1" t="s">
        <v>3310</v>
      </c>
      <c r="F211" s="1" t="s">
        <v>112</v>
      </c>
      <c r="G211" s="1">
        <v>3567743</v>
      </c>
    </row>
    <row r="212" spans="1:7" x14ac:dyDescent="0.25">
      <c r="A212" s="1" t="str">
        <f t="shared" si="3"/>
        <v>07 EE2 488</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3311</v>
      </c>
      <c r="D212" s="1" t="s">
        <v>3312</v>
      </c>
      <c r="E212" s="1" t="s">
        <v>3313</v>
      </c>
      <c r="F212" s="1" t="s">
        <v>112</v>
      </c>
      <c r="G212" s="1">
        <v>3274809</v>
      </c>
    </row>
    <row r="213" spans="1:7" x14ac:dyDescent="0.25">
      <c r="A213" s="1" t="str">
        <f t="shared" si="3"/>
        <v>07 EE2 488</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3314</v>
      </c>
      <c r="D213" s="1" t="s">
        <v>3315</v>
      </c>
      <c r="E213" s="1" t="s">
        <v>3316</v>
      </c>
      <c r="F213" s="1" t="s">
        <v>112</v>
      </c>
      <c r="G213" s="1">
        <v>3078475</v>
      </c>
    </row>
    <row r="214" spans="1:7" x14ac:dyDescent="0.25">
      <c r="A214" s="1" t="str">
        <f t="shared" si="3"/>
        <v>07 EE2 488</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3317</v>
      </c>
      <c r="D214" s="1" t="s">
        <v>3318</v>
      </c>
      <c r="E214" s="1" t="s">
        <v>3319</v>
      </c>
      <c r="F214" s="1" t="s">
        <v>112</v>
      </c>
      <c r="G214" s="1">
        <v>2773536</v>
      </c>
    </row>
    <row r="215" spans="1:7" x14ac:dyDescent="0.25">
      <c r="A215" s="1" t="str">
        <f t="shared" si="3"/>
        <v>07 EE2 488</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3320</v>
      </c>
      <c r="D215" s="1" t="s">
        <v>3321</v>
      </c>
      <c r="E215" s="1" t="s">
        <v>3322</v>
      </c>
      <c r="F215" s="1" t="s">
        <v>112</v>
      </c>
      <c r="G215" s="1">
        <v>7506374</v>
      </c>
    </row>
    <row r="216" spans="1:7" x14ac:dyDescent="0.25">
      <c r="A216" s="1" t="str">
        <f t="shared" si="3"/>
        <v>07 EE2 488</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3323</v>
      </c>
      <c r="D216" s="1" t="s">
        <v>3324</v>
      </c>
      <c r="E216" s="1" t="s">
        <v>3325</v>
      </c>
      <c r="F216" s="1" t="s">
        <v>112</v>
      </c>
      <c r="G216" s="1">
        <v>7141045</v>
      </c>
    </row>
    <row r="217" spans="1:7" x14ac:dyDescent="0.25">
      <c r="A217" s="1" t="str">
        <f t="shared" si="3"/>
        <v>07 EE2 488</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3326</v>
      </c>
      <c r="D217" s="1" t="s">
        <v>3327</v>
      </c>
      <c r="E217" s="1" t="s">
        <v>3328</v>
      </c>
      <c r="F217" s="1" t="s">
        <v>112</v>
      </c>
      <c r="G217" s="1">
        <v>6577867</v>
      </c>
    </row>
    <row r="218" spans="1:7" x14ac:dyDescent="0.25">
      <c r="A218" s="1" t="str">
        <f t="shared" si="3"/>
        <v>07 EE2 488</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3329</v>
      </c>
      <c r="D218" s="1" t="s">
        <v>3330</v>
      </c>
      <c r="E218" s="1" t="s">
        <v>3331</v>
      </c>
      <c r="F218" s="1" t="s">
        <v>112</v>
      </c>
      <c r="G218" s="1">
        <v>6445622</v>
      </c>
    </row>
    <row r="219" spans="1:7" x14ac:dyDescent="0.25">
      <c r="A219" s="1" t="str">
        <f t="shared" si="3"/>
        <v>07 EE2 488</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3332</v>
      </c>
      <c r="D219" s="1" t="s">
        <v>3333</v>
      </c>
      <c r="E219" s="1" t="s">
        <v>3334</v>
      </c>
      <c r="F219" s="1" t="s">
        <v>112</v>
      </c>
      <c r="G219" s="1">
        <v>6027278</v>
      </c>
    </row>
    <row r="220" spans="1:7" x14ac:dyDescent="0.25">
      <c r="A220" s="1" t="str">
        <f t="shared" si="3"/>
        <v>07 EE2 488</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3335</v>
      </c>
      <c r="D220" s="1" t="s">
        <v>3336</v>
      </c>
      <c r="E220" s="1" t="s">
        <v>3337</v>
      </c>
      <c r="F220" s="1" t="s">
        <v>112</v>
      </c>
      <c r="G220" s="1">
        <v>6282122</v>
      </c>
    </row>
    <row r="221" spans="1:7" x14ac:dyDescent="0.25">
      <c r="A221" s="1" t="str">
        <f t="shared" si="3"/>
        <v>07 EE2 488</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3338</v>
      </c>
      <c r="D221" s="1" t="s">
        <v>3339</v>
      </c>
      <c r="E221" s="1" t="s">
        <v>3340</v>
      </c>
      <c r="F221" s="1" t="s">
        <v>112</v>
      </c>
      <c r="G221" s="1">
        <v>4419550</v>
      </c>
    </row>
    <row r="222" spans="1:7" x14ac:dyDescent="0.25">
      <c r="A222" s="1" t="str">
        <f t="shared" si="3"/>
        <v>07 EE2 488</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3341</v>
      </c>
      <c r="D222" s="1" t="s">
        <v>3342</v>
      </c>
      <c r="E222" s="1" t="s">
        <v>3343</v>
      </c>
      <c r="F222" s="1" t="s">
        <v>112</v>
      </c>
      <c r="G222" s="1">
        <v>4025345</v>
      </c>
    </row>
    <row r="223" spans="1:7" x14ac:dyDescent="0.25">
      <c r="A223" s="1" t="str">
        <f t="shared" si="3"/>
        <v>07 EE2 488</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3344</v>
      </c>
      <c r="D223" s="1" t="s">
        <v>1928</v>
      </c>
      <c r="E223" s="1" t="s">
        <v>3345</v>
      </c>
      <c r="F223" s="1" t="s">
        <v>112</v>
      </c>
      <c r="G223" s="1">
        <v>3136767</v>
      </c>
    </row>
    <row r="224" spans="1:7" x14ac:dyDescent="0.2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10" x14ac:dyDescent="0.2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243</v>
      </c>
      <c r="D225" s="1" t="s">
        <v>112</v>
      </c>
      <c r="E225" s="1" t="s">
        <v>244</v>
      </c>
      <c r="F225" s="1" t="s">
        <v>245</v>
      </c>
      <c r="G225" s="1" t="s">
        <v>246</v>
      </c>
      <c r="H225" s="1" t="s">
        <v>247</v>
      </c>
      <c r="I225" s="1" t="s">
        <v>248</v>
      </c>
      <c r="J225" s="1" t="s">
        <v>249</v>
      </c>
    </row>
    <row r="226" spans="1:10" x14ac:dyDescent="0.25">
      <c r="A226" s="1" t="str">
        <f t="shared" si="3"/>
        <v>07 EE2 488</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3346</v>
      </c>
      <c r="D226" s="1" t="s">
        <v>112</v>
      </c>
      <c r="E226" s="1" t="s">
        <v>3347</v>
      </c>
      <c r="F226" s="1" t="s">
        <v>3348</v>
      </c>
      <c r="G226" s="1" t="s">
        <v>3349</v>
      </c>
      <c r="H226" s="1" t="s">
        <v>3350</v>
      </c>
      <c r="I226" s="1">
        <v>24</v>
      </c>
      <c r="J226" s="1">
        <v>24</v>
      </c>
    </row>
    <row r="227" spans="1:10" x14ac:dyDescent="0.2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10" x14ac:dyDescent="0.2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10" x14ac:dyDescent="0.2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10" x14ac:dyDescent="0.2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10" x14ac:dyDescent="0.2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10" x14ac:dyDescent="0.2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255</v>
      </c>
      <c r="D232" s="1" t="s">
        <v>110</v>
      </c>
      <c r="E232" s="1" t="s">
        <v>111</v>
      </c>
      <c r="F232" s="1" t="s">
        <v>112</v>
      </c>
      <c r="G232" s="1" t="s">
        <v>113</v>
      </c>
    </row>
    <row r="233" spans="1:10" x14ac:dyDescent="0.25">
      <c r="A233" s="1" t="str">
        <f t="shared" si="3"/>
        <v>08 Fadrozole 0.016 µg_L</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3351</v>
      </c>
      <c r="D233" s="1" t="s">
        <v>865</v>
      </c>
      <c r="E233" s="1" t="s">
        <v>3352</v>
      </c>
      <c r="F233" s="1" t="s">
        <v>112</v>
      </c>
      <c r="G233" s="1">
        <v>25740</v>
      </c>
    </row>
    <row r="234" spans="1:10" x14ac:dyDescent="0.25">
      <c r="A234" s="1" t="str">
        <f t="shared" si="3"/>
        <v>08 Fadrozole 0.016 µg_L</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3353</v>
      </c>
      <c r="D234" s="1" t="s">
        <v>829</v>
      </c>
      <c r="E234" s="1" t="s">
        <v>912</v>
      </c>
      <c r="F234" s="1" t="s">
        <v>112</v>
      </c>
      <c r="G234" s="1">
        <v>8392</v>
      </c>
    </row>
    <row r="235" spans="1:10" x14ac:dyDescent="0.25">
      <c r="A235" s="1" t="str">
        <f t="shared" si="3"/>
        <v>08 Fadrozole 0.016 µg_L</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3354</v>
      </c>
      <c r="D235" s="1" t="s">
        <v>698</v>
      </c>
      <c r="E235" s="1" t="s">
        <v>757</v>
      </c>
      <c r="F235" s="1" t="s">
        <v>112</v>
      </c>
      <c r="G235" s="1">
        <v>17628</v>
      </c>
    </row>
    <row r="236" spans="1:10" x14ac:dyDescent="0.25">
      <c r="A236" s="1" t="str">
        <f t="shared" si="3"/>
        <v>08 Fadrozole 0.016 µg_L</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3355</v>
      </c>
      <c r="D236" s="1" t="s">
        <v>438</v>
      </c>
      <c r="E236" s="1" t="s">
        <v>3356</v>
      </c>
      <c r="F236" s="1" t="s">
        <v>112</v>
      </c>
      <c r="G236" s="1">
        <v>649935</v>
      </c>
    </row>
    <row r="237" spans="1:10" x14ac:dyDescent="0.25">
      <c r="A237" s="1" t="str">
        <f t="shared" si="3"/>
        <v>08 Fadrozole 0.016 µg_L</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3357</v>
      </c>
      <c r="D237" s="1" t="s">
        <v>3358</v>
      </c>
      <c r="E237" s="1" t="s">
        <v>3359</v>
      </c>
      <c r="F237" s="1" t="s">
        <v>112</v>
      </c>
      <c r="G237" s="1">
        <v>593805</v>
      </c>
    </row>
    <row r="238" spans="1:10" x14ac:dyDescent="0.25">
      <c r="A238" s="1" t="str">
        <f t="shared" si="3"/>
        <v>08 Fadrozole 0.016 µg_L</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3360</v>
      </c>
      <c r="D238" s="1" t="s">
        <v>3361</v>
      </c>
      <c r="E238" s="1" t="s">
        <v>3362</v>
      </c>
      <c r="F238" s="1" t="s">
        <v>112</v>
      </c>
      <c r="G238" s="1">
        <v>694882</v>
      </c>
    </row>
    <row r="239" spans="1:10" x14ac:dyDescent="0.25">
      <c r="A239" s="1" t="str">
        <f t="shared" si="3"/>
        <v>08 Fadrozole 0.016 µg_L</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3363</v>
      </c>
      <c r="D239" s="1" t="s">
        <v>935</v>
      </c>
      <c r="E239" s="1" t="s">
        <v>3364</v>
      </c>
      <c r="F239" s="1" t="s">
        <v>112</v>
      </c>
      <c r="G239" s="1">
        <v>212319</v>
      </c>
    </row>
    <row r="240" spans="1:10" x14ac:dyDescent="0.25">
      <c r="A240" s="1" t="str">
        <f t="shared" si="3"/>
        <v>08 Fadrozole 0.016 µg_L</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3365</v>
      </c>
      <c r="D240" s="1" t="s">
        <v>1783</v>
      </c>
      <c r="E240" s="1" t="s">
        <v>3366</v>
      </c>
      <c r="F240" s="1" t="s">
        <v>112</v>
      </c>
      <c r="G240" s="1">
        <v>191857</v>
      </c>
    </row>
    <row r="241" spans="1:7" x14ac:dyDescent="0.25">
      <c r="A241" s="1" t="str">
        <f t="shared" si="3"/>
        <v>08 Fadrozole 0.016 µg_L</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3367</v>
      </c>
      <c r="D241" s="1" t="s">
        <v>745</v>
      </c>
      <c r="E241" s="1" t="s">
        <v>3368</v>
      </c>
      <c r="F241" s="1" t="s">
        <v>112</v>
      </c>
      <c r="G241" s="1">
        <v>73909</v>
      </c>
    </row>
    <row r="242" spans="1:7" x14ac:dyDescent="0.25">
      <c r="A242" s="1" t="str">
        <f t="shared" si="3"/>
        <v>08 Fadrozole 0.016 µg_L</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3369</v>
      </c>
      <c r="D242" s="1" t="s">
        <v>217</v>
      </c>
      <c r="E242" s="1" t="s">
        <v>3370</v>
      </c>
      <c r="F242" s="1" t="s">
        <v>112</v>
      </c>
      <c r="G242" s="1">
        <v>49468</v>
      </c>
    </row>
    <row r="243" spans="1:7" x14ac:dyDescent="0.25">
      <c r="A243" s="1" t="str">
        <f t="shared" si="3"/>
        <v>08 Fadrozole 0.016 µg_L</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3371</v>
      </c>
      <c r="D243" s="1" t="s">
        <v>263</v>
      </c>
      <c r="E243" s="1" t="s">
        <v>3372</v>
      </c>
      <c r="F243" s="1" t="s">
        <v>112</v>
      </c>
      <c r="G243" s="1">
        <v>23879</v>
      </c>
    </row>
    <row r="244" spans="1:7" x14ac:dyDescent="0.25">
      <c r="A244" s="1" t="str">
        <f t="shared" si="3"/>
        <v>08 Fadrozole 0.016 µg_L</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3373</v>
      </c>
      <c r="D244" s="1" t="s">
        <v>223</v>
      </c>
      <c r="E244" s="1" t="s">
        <v>3374</v>
      </c>
      <c r="F244" s="1" t="s">
        <v>112</v>
      </c>
      <c r="G244" s="1">
        <v>22993</v>
      </c>
    </row>
    <row r="245" spans="1:7" x14ac:dyDescent="0.25">
      <c r="A245" s="1" t="str">
        <f t="shared" si="3"/>
        <v>08 Fadrozole 0.016 µg_L</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3375</v>
      </c>
      <c r="D245" s="1" t="s">
        <v>797</v>
      </c>
      <c r="E245" s="1" t="s">
        <v>3376</v>
      </c>
      <c r="F245" s="1" t="s">
        <v>112</v>
      </c>
      <c r="G245" s="1">
        <v>36230</v>
      </c>
    </row>
    <row r="246" spans="1:7" x14ac:dyDescent="0.25">
      <c r="A246" s="1" t="str">
        <f t="shared" si="3"/>
        <v>08 Fadrozole 0.016 µg_L</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3377</v>
      </c>
      <c r="D246" s="1" t="s">
        <v>2342</v>
      </c>
      <c r="E246" s="1" t="s">
        <v>3378</v>
      </c>
      <c r="F246" s="1" t="s">
        <v>112</v>
      </c>
      <c r="G246" s="1">
        <v>73520</v>
      </c>
    </row>
    <row r="247" spans="1:7" x14ac:dyDescent="0.25">
      <c r="A247" s="1" t="str">
        <f t="shared" si="3"/>
        <v>08 Fadrozole 0.016 µg_L</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3379</v>
      </c>
      <c r="D247" s="1" t="s">
        <v>1634</v>
      </c>
      <c r="E247" s="1" t="s">
        <v>3380</v>
      </c>
      <c r="F247" s="1" t="s">
        <v>112</v>
      </c>
      <c r="G247" s="1">
        <v>103888</v>
      </c>
    </row>
    <row r="248" spans="1:7" x14ac:dyDescent="0.25">
      <c r="A248" s="1" t="str">
        <f t="shared" si="3"/>
        <v>08 Fadrozole 0.016 µg_L</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3381</v>
      </c>
      <c r="D248" s="1" t="s">
        <v>263</v>
      </c>
      <c r="E248" s="1" t="s">
        <v>1527</v>
      </c>
      <c r="F248" s="1" t="s">
        <v>112</v>
      </c>
      <c r="G248" s="1">
        <v>24420</v>
      </c>
    </row>
    <row r="249" spans="1:7" x14ac:dyDescent="0.25">
      <c r="A249" s="1" t="str">
        <f t="shared" si="3"/>
        <v>08 Fadrozole 0.016 µg_L</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3382</v>
      </c>
      <c r="D249" s="1" t="s">
        <v>223</v>
      </c>
      <c r="E249" s="1" t="s">
        <v>3383</v>
      </c>
      <c r="F249" s="1" t="s">
        <v>112</v>
      </c>
      <c r="G249" s="1">
        <v>23360</v>
      </c>
    </row>
    <row r="250" spans="1:7" x14ac:dyDescent="0.25">
      <c r="A250" s="1" t="str">
        <f t="shared" si="3"/>
        <v>08 Fadrozole 0.016 µg_L</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3384</v>
      </c>
      <c r="D250" s="1" t="s">
        <v>263</v>
      </c>
      <c r="E250" s="1" t="s">
        <v>3385</v>
      </c>
      <c r="F250" s="1" t="s">
        <v>112</v>
      </c>
      <c r="G250" s="1">
        <v>25134</v>
      </c>
    </row>
    <row r="251" spans="1:7" x14ac:dyDescent="0.25">
      <c r="A251" s="1" t="str">
        <f t="shared" si="3"/>
        <v>08 Fadrozole 0.016 µg_L</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3386</v>
      </c>
      <c r="D251" s="1" t="s">
        <v>2257</v>
      </c>
      <c r="E251" s="1" t="s">
        <v>3387</v>
      </c>
      <c r="F251" s="1" t="s">
        <v>112</v>
      </c>
      <c r="G251" s="1">
        <v>79101</v>
      </c>
    </row>
    <row r="252" spans="1:7" x14ac:dyDescent="0.25">
      <c r="A252" s="1" t="str">
        <f t="shared" si="3"/>
        <v>08 Fadrozole 0.016 µg_L</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3388</v>
      </c>
      <c r="D252" s="1" t="s">
        <v>332</v>
      </c>
      <c r="E252" s="1" t="s">
        <v>3389</v>
      </c>
      <c r="F252" s="1" t="s">
        <v>112</v>
      </c>
      <c r="G252" s="1">
        <v>41205</v>
      </c>
    </row>
    <row r="253" spans="1:7" x14ac:dyDescent="0.25">
      <c r="A253" s="1" t="str">
        <f t="shared" si="3"/>
        <v>08 Fadrozole 0.016 µg_L</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3390</v>
      </c>
      <c r="D253" s="1" t="s">
        <v>423</v>
      </c>
      <c r="E253" s="1" t="s">
        <v>3391</v>
      </c>
      <c r="F253" s="1" t="s">
        <v>112</v>
      </c>
      <c r="G253" s="1">
        <v>82150</v>
      </c>
    </row>
    <row r="254" spans="1:7" x14ac:dyDescent="0.25">
      <c r="A254" s="1" t="str">
        <f t="shared" si="3"/>
        <v>08 Fadrozole 0.016 µg_L</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3392</v>
      </c>
      <c r="D254" s="1" t="s">
        <v>3393</v>
      </c>
      <c r="E254" s="1" t="s">
        <v>2682</v>
      </c>
      <c r="F254" s="1" t="s">
        <v>112</v>
      </c>
      <c r="G254" s="1">
        <v>89288</v>
      </c>
    </row>
    <row r="255" spans="1:7" x14ac:dyDescent="0.25">
      <c r="A255" s="1" t="str">
        <f t="shared" si="3"/>
        <v>08 Fadrozole 0.016 µg_L</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3394</v>
      </c>
      <c r="D255" s="1" t="s">
        <v>332</v>
      </c>
      <c r="E255" s="1" t="s">
        <v>3395</v>
      </c>
      <c r="F255" s="1" t="s">
        <v>112</v>
      </c>
      <c r="G255" s="1">
        <v>40383</v>
      </c>
    </row>
    <row r="256" spans="1:7" x14ac:dyDescent="0.25">
      <c r="A256" s="1" t="str">
        <f t="shared" si="3"/>
        <v>08 Fadrozole 0.016 µg_L</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3396</v>
      </c>
      <c r="D256" s="1" t="s">
        <v>3397</v>
      </c>
      <c r="E256" s="1" t="s">
        <v>3398</v>
      </c>
      <c r="F256" s="1" t="s">
        <v>112</v>
      </c>
      <c r="G256" s="1">
        <v>150090</v>
      </c>
    </row>
    <row r="257" spans="1:10" x14ac:dyDescent="0.2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10" x14ac:dyDescent="0.2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243</v>
      </c>
      <c r="D258" s="1" t="s">
        <v>112</v>
      </c>
      <c r="E258" s="1" t="s">
        <v>244</v>
      </c>
      <c r="F258" s="1" t="s">
        <v>245</v>
      </c>
      <c r="G258" s="1" t="s">
        <v>246</v>
      </c>
      <c r="H258" s="1" t="s">
        <v>247</v>
      </c>
      <c r="I258" s="1" t="s">
        <v>248</v>
      </c>
      <c r="J258" s="1" t="s">
        <v>249</v>
      </c>
    </row>
    <row r="259" spans="1:10" x14ac:dyDescent="0.25">
      <c r="A259" s="1" t="str">
        <f t="shared" si="4"/>
        <v>08 Fadrozole 0.016 µg_L</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3399</v>
      </c>
      <c r="D259" s="1" t="s">
        <v>112</v>
      </c>
      <c r="E259" s="1" t="s">
        <v>3400</v>
      </c>
      <c r="F259" s="1" t="s">
        <v>3401</v>
      </c>
      <c r="G259" s="1">
        <v>138899</v>
      </c>
      <c r="H259" s="1" t="s">
        <v>3402</v>
      </c>
      <c r="I259" s="1">
        <v>24</v>
      </c>
      <c r="J259" s="1">
        <v>24</v>
      </c>
    </row>
    <row r="260" spans="1:10" x14ac:dyDescent="0.2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10" x14ac:dyDescent="0.2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10" x14ac:dyDescent="0.2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10" x14ac:dyDescent="0.2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10" x14ac:dyDescent="0.2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10" x14ac:dyDescent="0.2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255</v>
      </c>
      <c r="D265" s="1" t="s">
        <v>110</v>
      </c>
      <c r="E265" s="1" t="s">
        <v>111</v>
      </c>
      <c r="F265" s="1" t="s">
        <v>112</v>
      </c>
      <c r="G265" s="1" t="s">
        <v>113</v>
      </c>
    </row>
    <row r="266" spans="1:10" x14ac:dyDescent="0.25">
      <c r="A266" s="1" t="str">
        <f t="shared" si="4"/>
        <v>09 Fadrozole 0.08 µg_L</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3403</v>
      </c>
      <c r="D266" s="1" t="s">
        <v>194</v>
      </c>
      <c r="E266" s="1" t="s">
        <v>3404</v>
      </c>
      <c r="F266" s="1" t="s">
        <v>112</v>
      </c>
      <c r="G266" s="1">
        <v>44125</v>
      </c>
    </row>
    <row r="267" spans="1:10" x14ac:dyDescent="0.25">
      <c r="A267" s="1" t="str">
        <f t="shared" si="4"/>
        <v>09 Fadrozole 0.08 µg_L</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3405</v>
      </c>
      <c r="D267" s="1" t="s">
        <v>3406</v>
      </c>
      <c r="E267" s="1" t="s">
        <v>3407</v>
      </c>
      <c r="F267" s="1" t="s">
        <v>112</v>
      </c>
      <c r="G267" s="1">
        <v>560928</v>
      </c>
    </row>
    <row r="268" spans="1:10" x14ac:dyDescent="0.25">
      <c r="A268" s="1" t="str">
        <f t="shared" si="4"/>
        <v>09 Fadrozole 0.08 µg_L</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3408</v>
      </c>
      <c r="D268" s="1" t="s">
        <v>2611</v>
      </c>
      <c r="E268" s="1" t="s">
        <v>3409</v>
      </c>
      <c r="F268" s="1" t="s">
        <v>112</v>
      </c>
      <c r="G268" s="1">
        <v>342509</v>
      </c>
    </row>
    <row r="269" spans="1:10" x14ac:dyDescent="0.25">
      <c r="A269" s="1" t="str">
        <f t="shared" si="4"/>
        <v>09 Fadrozole 0.08 µg_L</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3410</v>
      </c>
      <c r="D269" s="1" t="s">
        <v>361</v>
      </c>
      <c r="E269" s="1" t="s">
        <v>3411</v>
      </c>
      <c r="F269" s="1" t="s">
        <v>112</v>
      </c>
      <c r="G269" s="1">
        <v>30390</v>
      </c>
    </row>
    <row r="270" spans="1:10" x14ac:dyDescent="0.25">
      <c r="A270" s="1" t="str">
        <f t="shared" si="4"/>
        <v>09 Fadrozole 0.08 µg_L</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3412</v>
      </c>
      <c r="D270" s="1" t="s">
        <v>824</v>
      </c>
      <c r="E270" s="1" t="s">
        <v>1485</v>
      </c>
      <c r="F270" s="1" t="s">
        <v>112</v>
      </c>
      <c r="G270" s="1">
        <v>14968</v>
      </c>
    </row>
    <row r="271" spans="1:10" x14ac:dyDescent="0.25">
      <c r="A271" s="1" t="str">
        <f t="shared" si="4"/>
        <v>09 Fadrozole 0.08 µg_L</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3413</v>
      </c>
      <c r="D271" s="1" t="s">
        <v>698</v>
      </c>
      <c r="E271" s="1" t="s">
        <v>3414</v>
      </c>
      <c r="F271" s="1" t="s">
        <v>112</v>
      </c>
      <c r="G271" s="1">
        <v>17974</v>
      </c>
    </row>
    <row r="272" spans="1:10" x14ac:dyDescent="0.25">
      <c r="A272" s="1" t="str">
        <f t="shared" si="4"/>
        <v>09 Fadrozole 0.08 µg_L</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3415</v>
      </c>
      <c r="D272" s="1" t="s">
        <v>312</v>
      </c>
      <c r="E272" s="1">
        <v>68</v>
      </c>
      <c r="F272" s="1" t="s">
        <v>112</v>
      </c>
      <c r="G272" s="1">
        <v>235333</v>
      </c>
    </row>
    <row r="273" spans="1:7" x14ac:dyDescent="0.25">
      <c r="A273" s="1" t="str">
        <f t="shared" si="4"/>
        <v>09 Fadrozole 0.08 µg_L</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3416</v>
      </c>
      <c r="D273" s="1" t="s">
        <v>3417</v>
      </c>
      <c r="E273" s="1" t="s">
        <v>3418</v>
      </c>
      <c r="F273" s="1" t="s">
        <v>112</v>
      </c>
      <c r="G273" s="1">
        <v>197870</v>
      </c>
    </row>
    <row r="274" spans="1:7" x14ac:dyDescent="0.25">
      <c r="A274" s="1" t="str">
        <f t="shared" si="4"/>
        <v>09 Fadrozole 0.08 µg_L</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3419</v>
      </c>
      <c r="D274" s="1" t="s">
        <v>1431</v>
      </c>
      <c r="E274" s="1" t="s">
        <v>3420</v>
      </c>
      <c r="F274" s="1" t="s">
        <v>112</v>
      </c>
      <c r="G274" s="1">
        <v>138842</v>
      </c>
    </row>
    <row r="275" spans="1:7" x14ac:dyDescent="0.25">
      <c r="A275" s="1" t="str">
        <f t="shared" si="4"/>
        <v>09 Fadrozole 0.08 µg_L</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3421</v>
      </c>
      <c r="D275" s="1" t="s">
        <v>2600</v>
      </c>
      <c r="E275" s="1" t="s">
        <v>3422</v>
      </c>
      <c r="F275" s="1" t="s">
        <v>112</v>
      </c>
      <c r="G275" s="1">
        <v>269184</v>
      </c>
    </row>
    <row r="276" spans="1:7" x14ac:dyDescent="0.25">
      <c r="A276" s="1" t="str">
        <f t="shared" si="4"/>
        <v>09 Fadrozole 0.08 µg_L</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3423</v>
      </c>
      <c r="D276" s="1" t="s">
        <v>260</v>
      </c>
      <c r="E276" s="1" t="s">
        <v>3424</v>
      </c>
      <c r="F276" s="1" t="s">
        <v>112</v>
      </c>
      <c r="G276" s="1">
        <v>26799</v>
      </c>
    </row>
    <row r="277" spans="1:7" x14ac:dyDescent="0.25">
      <c r="A277" s="1" t="str">
        <f t="shared" si="4"/>
        <v>09 Fadrozole 0.08 µg_L</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3425</v>
      </c>
      <c r="D277" s="1" t="s">
        <v>405</v>
      </c>
      <c r="E277" s="1" t="s">
        <v>1209</v>
      </c>
      <c r="F277" s="1" t="s">
        <v>112</v>
      </c>
      <c r="G277" s="1">
        <v>19164</v>
      </c>
    </row>
    <row r="278" spans="1:7" x14ac:dyDescent="0.25">
      <c r="A278" s="1" t="str">
        <f t="shared" si="4"/>
        <v>09 Fadrozole 0.08 µg_L</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3426</v>
      </c>
      <c r="D278" s="1" t="s">
        <v>229</v>
      </c>
      <c r="E278" s="1" t="s">
        <v>3427</v>
      </c>
      <c r="F278" s="1" t="s">
        <v>112</v>
      </c>
      <c r="G278" s="1">
        <v>10707</v>
      </c>
    </row>
    <row r="279" spans="1:7" x14ac:dyDescent="0.25">
      <c r="A279" s="1" t="str">
        <f t="shared" si="4"/>
        <v>09 Fadrozole 0.08 µg_L</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3428</v>
      </c>
      <c r="D279" s="1" t="s">
        <v>409</v>
      </c>
      <c r="E279" s="1" t="s">
        <v>3429</v>
      </c>
      <c r="F279" s="1" t="s">
        <v>112</v>
      </c>
      <c r="G279" s="1">
        <v>16936</v>
      </c>
    </row>
    <row r="280" spans="1:7" x14ac:dyDescent="0.25">
      <c r="A280" s="1" t="str">
        <f t="shared" si="4"/>
        <v>09 Fadrozole 0.08 µg_L</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3430</v>
      </c>
      <c r="D280" s="1" t="s">
        <v>698</v>
      </c>
      <c r="E280" s="1" t="s">
        <v>772</v>
      </c>
      <c r="F280" s="1" t="s">
        <v>112</v>
      </c>
      <c r="G280" s="1">
        <v>17931</v>
      </c>
    </row>
    <row r="281" spans="1:7" x14ac:dyDescent="0.25">
      <c r="A281" s="1" t="str">
        <f t="shared" si="4"/>
        <v>09 Fadrozole 0.08 µg_L</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3431</v>
      </c>
      <c r="D281" s="1" t="s">
        <v>3432</v>
      </c>
      <c r="E281" s="1" t="s">
        <v>3433</v>
      </c>
      <c r="F281" s="1" t="s">
        <v>112</v>
      </c>
      <c r="G281" s="1">
        <v>478756</v>
      </c>
    </row>
    <row r="282" spans="1:7" x14ac:dyDescent="0.25">
      <c r="A282" s="1" t="str">
        <f t="shared" si="4"/>
        <v>09 Fadrozole 0.08 µg_L</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3434</v>
      </c>
      <c r="D282" s="1" t="s">
        <v>1814</v>
      </c>
      <c r="E282" s="1" t="s">
        <v>3435</v>
      </c>
      <c r="F282" s="1" t="s">
        <v>112</v>
      </c>
      <c r="G282" s="1">
        <v>461820</v>
      </c>
    </row>
    <row r="283" spans="1:7" x14ac:dyDescent="0.25">
      <c r="A283" s="1" t="str">
        <f t="shared" si="4"/>
        <v>09 Fadrozole 0.08 µg_L</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3436</v>
      </c>
      <c r="D283" s="1" t="s">
        <v>2068</v>
      </c>
      <c r="E283" s="1" t="s">
        <v>3437</v>
      </c>
      <c r="F283" s="1" t="s">
        <v>112</v>
      </c>
      <c r="G283" s="1">
        <v>112129</v>
      </c>
    </row>
    <row r="284" spans="1:7" x14ac:dyDescent="0.25">
      <c r="A284" s="1" t="str">
        <f t="shared" si="4"/>
        <v>09 Fadrozole 0.08 µg_L</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3438</v>
      </c>
      <c r="D284" s="1" t="s">
        <v>388</v>
      </c>
      <c r="E284" s="1" t="s">
        <v>3439</v>
      </c>
      <c r="F284" s="1" t="s">
        <v>112</v>
      </c>
      <c r="G284" s="1">
        <v>68740</v>
      </c>
    </row>
    <row r="285" spans="1:7" x14ac:dyDescent="0.25">
      <c r="A285" s="1" t="str">
        <f t="shared" si="4"/>
        <v>09 Fadrozole 0.08 µg_L</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3440</v>
      </c>
      <c r="D285" s="1" t="s">
        <v>832</v>
      </c>
      <c r="E285" s="1" t="s">
        <v>718</v>
      </c>
      <c r="F285" s="1" t="s">
        <v>112</v>
      </c>
      <c r="G285" s="1">
        <v>29027</v>
      </c>
    </row>
    <row r="286" spans="1:7" x14ac:dyDescent="0.25">
      <c r="A286" s="1" t="str">
        <f t="shared" si="4"/>
        <v>09 Fadrozole 0.08 µg_L</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3441</v>
      </c>
      <c r="D286" s="1" t="s">
        <v>698</v>
      </c>
      <c r="E286" s="1" t="s">
        <v>3442</v>
      </c>
      <c r="F286" s="1" t="s">
        <v>112</v>
      </c>
      <c r="G286" s="1">
        <v>17758</v>
      </c>
    </row>
    <row r="287" spans="1:7" x14ac:dyDescent="0.25">
      <c r="A287" s="1" t="str">
        <f t="shared" si="4"/>
        <v>09 Fadrozole 0.08 µg_L</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3443</v>
      </c>
      <c r="D287" s="1" t="s">
        <v>288</v>
      </c>
      <c r="E287" s="1" t="s">
        <v>805</v>
      </c>
      <c r="F287" s="1" t="s">
        <v>112</v>
      </c>
      <c r="G287" s="1">
        <v>13692</v>
      </c>
    </row>
    <row r="288" spans="1:7" x14ac:dyDescent="0.25">
      <c r="A288" s="1" t="str">
        <f t="shared" si="4"/>
        <v>09 Fadrozole 0.08 µg_L</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3444</v>
      </c>
      <c r="D288" s="1" t="s">
        <v>824</v>
      </c>
      <c r="E288" s="1" t="s">
        <v>1485</v>
      </c>
      <c r="F288" s="1" t="s">
        <v>112</v>
      </c>
      <c r="G288" s="1">
        <v>14968</v>
      </c>
    </row>
    <row r="289" spans="1:10" x14ac:dyDescent="0.25">
      <c r="A289" s="1" t="str">
        <f t="shared" si="4"/>
        <v>09 Fadrozole 0.08 µg_L</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3445</v>
      </c>
      <c r="D289" s="1" t="s">
        <v>824</v>
      </c>
      <c r="E289" s="1">
        <v>64</v>
      </c>
      <c r="F289" s="1" t="s">
        <v>112</v>
      </c>
      <c r="G289" s="1">
        <v>15227</v>
      </c>
    </row>
    <row r="290" spans="1:10" x14ac:dyDescent="0.2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10" x14ac:dyDescent="0.2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243</v>
      </c>
      <c r="D291" s="1" t="s">
        <v>112</v>
      </c>
      <c r="E291" s="1" t="s">
        <v>244</v>
      </c>
      <c r="F291" s="1" t="s">
        <v>245</v>
      </c>
      <c r="G291" s="1" t="s">
        <v>246</v>
      </c>
      <c r="H291" s="1" t="s">
        <v>247</v>
      </c>
      <c r="I291" s="1" t="s">
        <v>248</v>
      </c>
      <c r="J291" s="1" t="s">
        <v>249</v>
      </c>
    </row>
    <row r="292" spans="1:10" x14ac:dyDescent="0.25">
      <c r="A292" s="1" t="str">
        <f t="shared" si="4"/>
        <v>09 Fadrozole 0.08 µg_L</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3446</v>
      </c>
      <c r="D292" s="1" t="s">
        <v>112</v>
      </c>
      <c r="E292" s="1" t="s">
        <v>3447</v>
      </c>
      <c r="F292" s="1" t="s">
        <v>3448</v>
      </c>
      <c r="G292" s="1" t="s">
        <v>3449</v>
      </c>
      <c r="H292" s="1" t="s">
        <v>3450</v>
      </c>
      <c r="I292" s="1">
        <v>24</v>
      </c>
      <c r="J292" s="1">
        <v>24</v>
      </c>
    </row>
    <row r="293" spans="1:10" x14ac:dyDescent="0.2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10" x14ac:dyDescent="0.2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10" x14ac:dyDescent="0.2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10" x14ac:dyDescent="0.2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10" x14ac:dyDescent="0.2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10" x14ac:dyDescent="0.2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255</v>
      </c>
      <c r="D298" s="1" t="s">
        <v>110</v>
      </c>
      <c r="E298" s="1" t="s">
        <v>111</v>
      </c>
      <c r="F298" s="1" t="s">
        <v>112</v>
      </c>
      <c r="G298" s="1" t="s">
        <v>113</v>
      </c>
    </row>
    <row r="299" spans="1:10" x14ac:dyDescent="0.25">
      <c r="A299" s="1" t="str">
        <f t="shared" si="4"/>
        <v>10 Fadrozole 0.4 µg_L</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3451</v>
      </c>
      <c r="D299" s="1" t="s">
        <v>2365</v>
      </c>
      <c r="E299" s="1" t="s">
        <v>3452</v>
      </c>
      <c r="F299" s="1" t="s">
        <v>112</v>
      </c>
      <c r="G299" s="1">
        <v>354838</v>
      </c>
    </row>
    <row r="300" spans="1:10" x14ac:dyDescent="0.25">
      <c r="A300" s="1" t="str">
        <f t="shared" si="4"/>
        <v>10 Fadrozole 0.4 µg_L</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3453</v>
      </c>
      <c r="D300" s="1" t="s">
        <v>223</v>
      </c>
      <c r="E300" s="1" t="s">
        <v>3454</v>
      </c>
      <c r="F300" s="1" t="s">
        <v>112</v>
      </c>
      <c r="G300" s="1">
        <v>23295</v>
      </c>
    </row>
    <row r="301" spans="1:10" x14ac:dyDescent="0.25">
      <c r="A301" s="1" t="str">
        <f t="shared" si="4"/>
        <v>10 Fadrozole 0.4 µg_L</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3455</v>
      </c>
      <c r="D301" s="1" t="s">
        <v>146</v>
      </c>
      <c r="E301" s="1" t="s">
        <v>3456</v>
      </c>
      <c r="F301" s="1" t="s">
        <v>112</v>
      </c>
      <c r="G301" s="1">
        <v>350296</v>
      </c>
    </row>
    <row r="302" spans="1:10" x14ac:dyDescent="0.25">
      <c r="A302" s="1" t="str">
        <f t="shared" si="4"/>
        <v>10 Fadrozole 0.4 µg_L</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3457</v>
      </c>
      <c r="D302" s="1" t="s">
        <v>3458</v>
      </c>
      <c r="E302" s="1" t="s">
        <v>3459</v>
      </c>
      <c r="F302" s="1" t="s">
        <v>112</v>
      </c>
      <c r="G302" s="1">
        <v>529046</v>
      </c>
    </row>
    <row r="303" spans="1:10" x14ac:dyDescent="0.25">
      <c r="A303" s="1" t="str">
        <f t="shared" si="4"/>
        <v>10 Fadrozole 0.4 µg_L</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3460</v>
      </c>
      <c r="D303" s="1" t="s">
        <v>1612</v>
      </c>
      <c r="E303" s="1" t="s">
        <v>3461</v>
      </c>
      <c r="F303" s="1" t="s">
        <v>112</v>
      </c>
      <c r="G303" s="1">
        <v>253437</v>
      </c>
    </row>
    <row r="304" spans="1:10" x14ac:dyDescent="0.25">
      <c r="A304" s="1" t="str">
        <f t="shared" si="4"/>
        <v>10 Fadrozole 0.4 µg_L</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3462</v>
      </c>
      <c r="D304" s="1" t="s">
        <v>2260</v>
      </c>
      <c r="E304" s="1" t="s">
        <v>3463</v>
      </c>
      <c r="F304" s="1" t="s">
        <v>112</v>
      </c>
      <c r="G304" s="1">
        <v>169146</v>
      </c>
    </row>
    <row r="305" spans="1:7" x14ac:dyDescent="0.25">
      <c r="A305" s="1" t="str">
        <f t="shared" si="4"/>
        <v>10 Fadrozole 0.4 µg_L</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3464</v>
      </c>
      <c r="D305" s="1" t="s">
        <v>3465</v>
      </c>
      <c r="E305" s="1" t="s">
        <v>3466</v>
      </c>
      <c r="F305" s="1" t="s">
        <v>112</v>
      </c>
      <c r="G305" s="1">
        <v>482909</v>
      </c>
    </row>
    <row r="306" spans="1:7" x14ac:dyDescent="0.25">
      <c r="A306" s="1" t="str">
        <f t="shared" si="4"/>
        <v>10 Fadrozole 0.4 µg_L</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3467</v>
      </c>
      <c r="D306" s="1" t="s">
        <v>3468</v>
      </c>
      <c r="E306" s="1" t="s">
        <v>3469</v>
      </c>
      <c r="F306" s="1" t="s">
        <v>112</v>
      </c>
      <c r="G306" s="1">
        <v>413520</v>
      </c>
    </row>
    <row r="307" spans="1:7" x14ac:dyDescent="0.25">
      <c r="A307" s="1" t="str">
        <f t="shared" si="4"/>
        <v>10 Fadrozole 0.4 µg_L</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3470</v>
      </c>
      <c r="D307" s="1" t="s">
        <v>1547</v>
      </c>
      <c r="E307" s="1" t="s">
        <v>3471</v>
      </c>
      <c r="F307" s="1" t="s">
        <v>112</v>
      </c>
      <c r="G307" s="1">
        <v>318976</v>
      </c>
    </row>
    <row r="308" spans="1:7" x14ac:dyDescent="0.25">
      <c r="A308" s="1" t="str">
        <f t="shared" si="4"/>
        <v>10 Fadrozole 0.4 µg_L</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3472</v>
      </c>
    </row>
    <row r="309" spans="1:7" x14ac:dyDescent="0.25">
      <c r="A309" s="1" t="str">
        <f t="shared" si="4"/>
        <v>10 Fadrozole 0.4 µg_L</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3473</v>
      </c>
    </row>
    <row r="310" spans="1:7" x14ac:dyDescent="0.25">
      <c r="A310" s="1" t="str">
        <f t="shared" si="4"/>
        <v>10 Fadrozole 0.4 µg_L</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3474</v>
      </c>
      <c r="D310" s="1" t="s">
        <v>698</v>
      </c>
      <c r="E310" s="1" t="s">
        <v>3475</v>
      </c>
      <c r="F310" s="1" t="s">
        <v>112</v>
      </c>
      <c r="G310" s="1">
        <v>18450</v>
      </c>
    </row>
    <row r="311" spans="1:7" x14ac:dyDescent="0.25">
      <c r="A311" s="1" t="str">
        <f t="shared" si="4"/>
        <v>10 Fadrozole 0.4 µg_L</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3476</v>
      </c>
      <c r="D311" s="1" t="s">
        <v>797</v>
      </c>
      <c r="E311" s="1" t="s">
        <v>3477</v>
      </c>
      <c r="F311" s="1" t="s">
        <v>112</v>
      </c>
      <c r="G311" s="1">
        <v>37658</v>
      </c>
    </row>
    <row r="312" spans="1:7" x14ac:dyDescent="0.25">
      <c r="A312" s="1" t="str">
        <f t="shared" si="4"/>
        <v>10 Fadrozole 0.4 µg_L</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3478</v>
      </c>
      <c r="D312" s="1" t="s">
        <v>266</v>
      </c>
      <c r="E312" s="1" t="s">
        <v>3479</v>
      </c>
      <c r="F312" s="1" t="s">
        <v>112</v>
      </c>
      <c r="G312" s="1">
        <v>58704</v>
      </c>
    </row>
    <row r="313" spans="1:7" x14ac:dyDescent="0.25">
      <c r="A313" s="1" t="str">
        <f t="shared" si="4"/>
        <v>10 Fadrozole 0.4 µg_L</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3480</v>
      </c>
      <c r="D313" s="1" t="s">
        <v>269</v>
      </c>
      <c r="E313" s="1" t="s">
        <v>3481</v>
      </c>
      <c r="F313" s="1" t="s">
        <v>112</v>
      </c>
      <c r="G313" s="1">
        <v>21608</v>
      </c>
    </row>
    <row r="314" spans="1:7" x14ac:dyDescent="0.25">
      <c r="A314" s="1" t="str">
        <f t="shared" si="4"/>
        <v>10 Fadrozole 0.4 µg_L</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3482</v>
      </c>
      <c r="D314" s="1" t="s">
        <v>338</v>
      </c>
      <c r="E314" s="1" t="s">
        <v>966</v>
      </c>
      <c r="F314" s="1" t="s">
        <v>112</v>
      </c>
      <c r="G314" s="1">
        <v>42719</v>
      </c>
    </row>
    <row r="315" spans="1:7" x14ac:dyDescent="0.25">
      <c r="A315" s="1" t="str">
        <f t="shared" si="4"/>
        <v>10 Fadrozole 0.4 µg_L</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3483</v>
      </c>
      <c r="D315" s="1" t="s">
        <v>2342</v>
      </c>
      <c r="E315" s="1" t="s">
        <v>3484</v>
      </c>
      <c r="F315" s="1" t="s">
        <v>112</v>
      </c>
      <c r="G315" s="1">
        <v>73477</v>
      </c>
    </row>
    <row r="316" spans="1:7" x14ac:dyDescent="0.25">
      <c r="A316" s="1" t="str">
        <f t="shared" si="4"/>
        <v>10 Fadrozole 0.4 µg_L</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3485</v>
      </c>
      <c r="D316" s="1" t="s">
        <v>1513</v>
      </c>
      <c r="E316" s="1" t="s">
        <v>856</v>
      </c>
      <c r="F316" s="1" t="s">
        <v>112</v>
      </c>
      <c r="G316" s="1">
        <v>4261</v>
      </c>
    </row>
    <row r="317" spans="1:7" x14ac:dyDescent="0.25">
      <c r="A317" s="1" t="str">
        <f t="shared" si="4"/>
        <v>10 Fadrozole 0.4 µg_L</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3486</v>
      </c>
      <c r="D317" s="1" t="s">
        <v>426</v>
      </c>
      <c r="E317" s="1" t="s">
        <v>3487</v>
      </c>
      <c r="F317" s="1" t="s">
        <v>112</v>
      </c>
      <c r="G317" s="1">
        <v>140984</v>
      </c>
    </row>
    <row r="318" spans="1:7" x14ac:dyDescent="0.25">
      <c r="A318" s="1" t="str">
        <f t="shared" si="4"/>
        <v>10 Fadrozole 0.4 µg_L</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3488</v>
      </c>
      <c r="D318" s="1" t="s">
        <v>980</v>
      </c>
      <c r="E318" s="1" t="s">
        <v>3489</v>
      </c>
      <c r="F318" s="1" t="s">
        <v>112</v>
      </c>
      <c r="G318" s="1">
        <v>418755</v>
      </c>
    </row>
    <row r="319" spans="1:7" x14ac:dyDescent="0.25">
      <c r="A319" s="1" t="str">
        <f t="shared" si="4"/>
        <v>10 Fadrozole 0.4 µg_L</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3490</v>
      </c>
      <c r="D319" s="1" t="s">
        <v>3491</v>
      </c>
      <c r="E319" s="1" t="s">
        <v>3492</v>
      </c>
      <c r="F319" s="1" t="s">
        <v>112</v>
      </c>
      <c r="G319" s="1">
        <v>619610</v>
      </c>
    </row>
    <row r="320" spans="1:7" x14ac:dyDescent="0.25">
      <c r="A320" s="1" t="str">
        <f t="shared" si="4"/>
        <v>10 Fadrozole 0.4 µg_L</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3493</v>
      </c>
      <c r="D320" s="1" t="s">
        <v>3068</v>
      </c>
      <c r="E320" s="1" t="s">
        <v>3494</v>
      </c>
      <c r="F320" s="1" t="s">
        <v>112</v>
      </c>
      <c r="G320" s="1">
        <v>153789</v>
      </c>
    </row>
    <row r="321" spans="1:10" x14ac:dyDescent="0.25">
      <c r="A321" s="1" t="str">
        <f t="shared" si="4"/>
        <v>10 Fadrozole 0.4 µg_L</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3495</v>
      </c>
      <c r="D321" s="1" t="s">
        <v>824</v>
      </c>
      <c r="E321" s="1" t="s">
        <v>3496</v>
      </c>
      <c r="F321" s="1" t="s">
        <v>112</v>
      </c>
      <c r="G321" s="1">
        <v>15336</v>
      </c>
    </row>
    <row r="322" spans="1:10" x14ac:dyDescent="0.25">
      <c r="A322" s="1" t="str">
        <f t="shared" ref="A322:A385" si="5">IFERROR(LEFT(RIGHT(C322,LEN(C322)-SEARCH("@",C322)),SEARCH("/",RIGHT(C322,LEN(C322)-SEARCH("@",C322)-1))),"")</f>
        <v>10 Fadrozole 0.4 µg_L</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3497</v>
      </c>
    </row>
    <row r="323" spans="1:10" x14ac:dyDescent="0.2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10" x14ac:dyDescent="0.2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243</v>
      </c>
      <c r="D324" s="1" t="s">
        <v>112</v>
      </c>
      <c r="E324" s="1" t="s">
        <v>244</v>
      </c>
      <c r="F324" s="1" t="s">
        <v>245</v>
      </c>
      <c r="G324" s="1" t="s">
        <v>246</v>
      </c>
      <c r="H324" s="1" t="s">
        <v>247</v>
      </c>
      <c r="I324" s="1" t="s">
        <v>248</v>
      </c>
      <c r="J324" s="1" t="s">
        <v>249</v>
      </c>
    </row>
    <row r="325" spans="1:10" x14ac:dyDescent="0.25">
      <c r="A325" s="1" t="str">
        <f t="shared" si="5"/>
        <v>10 Fadrozole 0.4 µg_L</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3498</v>
      </c>
      <c r="D325" s="1" t="s">
        <v>112</v>
      </c>
      <c r="E325" s="1" t="s">
        <v>3499</v>
      </c>
      <c r="F325" s="1" t="s">
        <v>3500</v>
      </c>
      <c r="G325" s="1">
        <v>204170</v>
      </c>
      <c r="H325" s="1" t="s">
        <v>3501</v>
      </c>
      <c r="I325" s="1">
        <v>24</v>
      </c>
      <c r="J325" s="1">
        <v>24</v>
      </c>
    </row>
    <row r="326" spans="1:10" x14ac:dyDescent="0.2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10" x14ac:dyDescent="0.2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10" x14ac:dyDescent="0.2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10" x14ac:dyDescent="0.2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10" x14ac:dyDescent="0.2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10" x14ac:dyDescent="0.2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255</v>
      </c>
      <c r="D331" s="1" t="s">
        <v>110</v>
      </c>
      <c r="E331" s="1" t="s">
        <v>111</v>
      </c>
      <c r="F331" s="1" t="s">
        <v>112</v>
      </c>
      <c r="G331" s="1" t="s">
        <v>113</v>
      </c>
    </row>
    <row r="332" spans="1:10" x14ac:dyDescent="0.25">
      <c r="A332" s="1" t="str">
        <f t="shared" si="5"/>
        <v>11 Fadrozole 2 µg_L</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3502</v>
      </c>
      <c r="D332" s="1" t="s">
        <v>2886</v>
      </c>
      <c r="E332" s="1" t="s">
        <v>3503</v>
      </c>
      <c r="F332" s="1" t="s">
        <v>112</v>
      </c>
      <c r="G332" s="1">
        <v>186298</v>
      </c>
    </row>
    <row r="333" spans="1:10" x14ac:dyDescent="0.25">
      <c r="A333" s="1" t="str">
        <f t="shared" si="5"/>
        <v>11 Fadrozole 2 µg_L</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3504</v>
      </c>
      <c r="D333" s="1" t="s">
        <v>3397</v>
      </c>
      <c r="E333" s="1" t="s">
        <v>3505</v>
      </c>
      <c r="F333" s="1" t="s">
        <v>112</v>
      </c>
      <c r="G333" s="1">
        <v>148446</v>
      </c>
    </row>
    <row r="334" spans="1:10" x14ac:dyDescent="0.25">
      <c r="A334" s="1" t="str">
        <f t="shared" si="5"/>
        <v>11 Fadrozole 2 µg_L</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3506</v>
      </c>
      <c r="D334" s="1" t="s">
        <v>3397</v>
      </c>
      <c r="E334" s="1" t="s">
        <v>3507</v>
      </c>
      <c r="F334" s="1" t="s">
        <v>112</v>
      </c>
      <c r="G334" s="1">
        <v>143514</v>
      </c>
    </row>
    <row r="335" spans="1:10" x14ac:dyDescent="0.25">
      <c r="A335" s="1" t="str">
        <f t="shared" si="5"/>
        <v>11 Fadrozole 2 µg_L</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3508</v>
      </c>
      <c r="D335" s="1" t="s">
        <v>704</v>
      </c>
      <c r="E335" s="1" t="s">
        <v>3509</v>
      </c>
      <c r="F335" s="1" t="s">
        <v>112</v>
      </c>
      <c r="G335" s="1">
        <v>114509</v>
      </c>
    </row>
    <row r="336" spans="1:10" x14ac:dyDescent="0.25">
      <c r="A336" s="1" t="str">
        <f t="shared" si="5"/>
        <v>11 Fadrozole 2 µg_L</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3510</v>
      </c>
      <c r="D336" s="1" t="s">
        <v>409</v>
      </c>
      <c r="E336" s="1" t="s">
        <v>3511</v>
      </c>
      <c r="F336" s="1" t="s">
        <v>112</v>
      </c>
      <c r="G336" s="1">
        <v>16504</v>
      </c>
    </row>
    <row r="337" spans="1:7" x14ac:dyDescent="0.25">
      <c r="A337" s="1" t="str">
        <f t="shared" si="5"/>
        <v>11 Fadrozole 2 µg_L</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3512</v>
      </c>
      <c r="D337" s="1" t="s">
        <v>1412</v>
      </c>
      <c r="E337" s="1" t="s">
        <v>3513</v>
      </c>
      <c r="F337" s="1" t="s">
        <v>112</v>
      </c>
      <c r="G337" s="1">
        <v>303424</v>
      </c>
    </row>
    <row r="338" spans="1:7" x14ac:dyDescent="0.25">
      <c r="A338" s="1" t="str">
        <f t="shared" si="5"/>
        <v>11 Fadrozole 2 µg_L</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3514</v>
      </c>
      <c r="D338" s="1" t="s">
        <v>257</v>
      </c>
      <c r="E338" s="1" t="s">
        <v>3515</v>
      </c>
      <c r="F338" s="1" t="s">
        <v>112</v>
      </c>
      <c r="G338" s="1">
        <v>6662</v>
      </c>
    </row>
    <row r="339" spans="1:7" x14ac:dyDescent="0.25">
      <c r="A339" s="1" t="str">
        <f t="shared" si="5"/>
        <v>11 Fadrozole 2 µg_L</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3516</v>
      </c>
      <c r="D339" s="1" t="s">
        <v>292</v>
      </c>
      <c r="E339" s="1" t="s">
        <v>3517</v>
      </c>
      <c r="F339" s="1" t="s">
        <v>112</v>
      </c>
      <c r="G339" s="1">
        <v>9279</v>
      </c>
    </row>
    <row r="340" spans="1:7" x14ac:dyDescent="0.25">
      <c r="A340" s="1" t="str">
        <f t="shared" si="5"/>
        <v>11 Fadrozole 2 µg_L</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3518</v>
      </c>
      <c r="D340" s="1" t="s">
        <v>829</v>
      </c>
      <c r="E340" s="1" t="s">
        <v>908</v>
      </c>
      <c r="F340" s="1" t="s">
        <v>112</v>
      </c>
      <c r="G340" s="1">
        <v>8263</v>
      </c>
    </row>
    <row r="341" spans="1:7" x14ac:dyDescent="0.25">
      <c r="A341" s="1" t="str">
        <f t="shared" si="5"/>
        <v>11 Fadrozole 2 µg_L</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3519</v>
      </c>
      <c r="D341" s="1" t="s">
        <v>797</v>
      </c>
      <c r="E341" s="1" t="s">
        <v>3520</v>
      </c>
      <c r="F341" s="1" t="s">
        <v>112</v>
      </c>
      <c r="G341" s="1">
        <v>37225</v>
      </c>
    </row>
    <row r="342" spans="1:7" x14ac:dyDescent="0.25">
      <c r="A342" s="1" t="str">
        <f t="shared" si="5"/>
        <v>11 Fadrozole 2 µg_L</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3521</v>
      </c>
      <c r="D342" s="1" t="s">
        <v>269</v>
      </c>
      <c r="E342" s="1" t="s">
        <v>3522</v>
      </c>
      <c r="F342" s="1" t="s">
        <v>112</v>
      </c>
      <c r="G342" s="1">
        <v>21911</v>
      </c>
    </row>
    <row r="343" spans="1:7" x14ac:dyDescent="0.25">
      <c r="A343" s="1" t="str">
        <f t="shared" si="5"/>
        <v>11 Fadrozole 2 µg_L</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3523</v>
      </c>
      <c r="D343" s="1" t="s">
        <v>241</v>
      </c>
      <c r="E343" s="1" t="s">
        <v>3524</v>
      </c>
      <c r="F343" s="1" t="s">
        <v>112</v>
      </c>
      <c r="G343" s="1">
        <v>35300</v>
      </c>
    </row>
    <row r="344" spans="1:7" x14ac:dyDescent="0.25">
      <c r="A344" s="1" t="str">
        <f t="shared" si="5"/>
        <v>11 Fadrozole 2 µg_L</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3525</v>
      </c>
      <c r="D344" s="1" t="s">
        <v>3526</v>
      </c>
      <c r="E344" s="1" t="s">
        <v>3527</v>
      </c>
      <c r="F344" s="1" t="s">
        <v>112</v>
      </c>
      <c r="G344" s="1">
        <v>560084</v>
      </c>
    </row>
    <row r="345" spans="1:7" x14ac:dyDescent="0.25">
      <c r="A345" s="1" t="str">
        <f t="shared" si="5"/>
        <v>11 Fadrozole 2 µg_L</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3528</v>
      </c>
      <c r="D345" s="1" t="s">
        <v>263</v>
      </c>
      <c r="E345" s="1" t="s">
        <v>887</v>
      </c>
      <c r="F345" s="1" t="s">
        <v>112</v>
      </c>
      <c r="G345" s="1">
        <v>24355</v>
      </c>
    </row>
    <row r="346" spans="1:7" x14ac:dyDescent="0.25">
      <c r="A346" s="1" t="str">
        <f t="shared" si="5"/>
        <v>11 Fadrozole 2 µg_L</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3529</v>
      </c>
      <c r="D346" s="1" t="s">
        <v>876</v>
      </c>
      <c r="E346" s="1" t="s">
        <v>3530</v>
      </c>
      <c r="F346" s="1" t="s">
        <v>112</v>
      </c>
      <c r="G346" s="1">
        <v>119895</v>
      </c>
    </row>
    <row r="347" spans="1:7" x14ac:dyDescent="0.25">
      <c r="A347" s="1" t="str">
        <f t="shared" si="5"/>
        <v>11 Fadrozole 2 µg_L</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3531</v>
      </c>
      <c r="D347" s="1" t="s">
        <v>3532</v>
      </c>
      <c r="E347" s="1" t="s">
        <v>3533</v>
      </c>
      <c r="F347" s="1" t="s">
        <v>112</v>
      </c>
      <c r="G347" s="1">
        <v>455850</v>
      </c>
    </row>
    <row r="348" spans="1:7" x14ac:dyDescent="0.25">
      <c r="A348" s="1" t="str">
        <f t="shared" si="5"/>
        <v>11 Fadrozole 2 µg_L</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3534</v>
      </c>
    </row>
    <row r="349" spans="1:7" x14ac:dyDescent="0.25">
      <c r="A349" s="1" t="str">
        <f t="shared" si="5"/>
        <v>11 Fadrozole 2 µg_L</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3535</v>
      </c>
      <c r="D349" s="1" t="s">
        <v>241</v>
      </c>
      <c r="E349" s="1" t="s">
        <v>3536</v>
      </c>
      <c r="F349" s="1" t="s">
        <v>112</v>
      </c>
      <c r="G349" s="1">
        <v>34673</v>
      </c>
    </row>
    <row r="350" spans="1:7" x14ac:dyDescent="0.25">
      <c r="A350" s="1" t="str">
        <f t="shared" si="5"/>
        <v>11 Fadrozole 2 µg_L</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3537</v>
      </c>
      <c r="D350" s="1" t="s">
        <v>3538</v>
      </c>
      <c r="E350" s="1" t="s">
        <v>3539</v>
      </c>
      <c r="F350" s="1" t="s">
        <v>112</v>
      </c>
      <c r="G350" s="1">
        <v>244375</v>
      </c>
    </row>
    <row r="351" spans="1:7" x14ac:dyDescent="0.25">
      <c r="A351" s="1" t="str">
        <f t="shared" si="5"/>
        <v>11 Fadrozole 2 µg_L</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3540</v>
      </c>
      <c r="D351" s="1" t="s">
        <v>332</v>
      </c>
      <c r="E351" s="1" t="s">
        <v>3541</v>
      </c>
      <c r="F351" s="1" t="s">
        <v>112</v>
      </c>
      <c r="G351" s="1">
        <v>40210</v>
      </c>
    </row>
    <row r="352" spans="1:7" x14ac:dyDescent="0.25">
      <c r="A352" s="1" t="str">
        <f t="shared" si="5"/>
        <v>11 Fadrozole 2 µg_L</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3542</v>
      </c>
      <c r="D352" s="1" t="s">
        <v>353</v>
      </c>
      <c r="E352" s="1" t="s">
        <v>3543</v>
      </c>
      <c r="F352" s="1" t="s">
        <v>112</v>
      </c>
      <c r="G352" s="1">
        <v>62640</v>
      </c>
    </row>
    <row r="353" spans="1:10" x14ac:dyDescent="0.25">
      <c r="A353" s="1" t="str">
        <f t="shared" si="5"/>
        <v>11 Fadrozole 2 µg_L</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3544</v>
      </c>
      <c r="D353" s="1" t="s">
        <v>361</v>
      </c>
      <c r="E353" s="1" t="s">
        <v>3545</v>
      </c>
      <c r="F353" s="1" t="s">
        <v>112</v>
      </c>
      <c r="G353" s="1">
        <v>29698</v>
      </c>
    </row>
    <row r="354" spans="1:10" x14ac:dyDescent="0.25">
      <c r="A354" s="1" t="str">
        <f t="shared" si="5"/>
        <v>11 Fadrozole 2 µg_L</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3546</v>
      </c>
      <c r="D354" s="1" t="s">
        <v>824</v>
      </c>
      <c r="E354" s="1" t="s">
        <v>3547</v>
      </c>
      <c r="F354" s="1" t="s">
        <v>112</v>
      </c>
      <c r="G354" s="1">
        <v>14925</v>
      </c>
    </row>
    <row r="355" spans="1:10" x14ac:dyDescent="0.25">
      <c r="A355" s="1" t="str">
        <f t="shared" si="5"/>
        <v>11 Fadrozole 2 µg_L</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3548</v>
      </c>
      <c r="D355" s="1" t="s">
        <v>229</v>
      </c>
      <c r="E355" s="1" t="s">
        <v>230</v>
      </c>
      <c r="F355" s="1" t="s">
        <v>112</v>
      </c>
      <c r="G355" s="1">
        <v>10966</v>
      </c>
    </row>
    <row r="356" spans="1:10" x14ac:dyDescent="0.2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10" x14ac:dyDescent="0.2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243</v>
      </c>
      <c r="D357" s="1" t="s">
        <v>112</v>
      </c>
      <c r="E357" s="1" t="s">
        <v>244</v>
      </c>
      <c r="F357" s="1" t="s">
        <v>245</v>
      </c>
      <c r="G357" s="1" t="s">
        <v>246</v>
      </c>
      <c r="H357" s="1" t="s">
        <v>247</v>
      </c>
      <c r="I357" s="1" t="s">
        <v>248</v>
      </c>
      <c r="J357" s="1" t="s">
        <v>249</v>
      </c>
    </row>
    <row r="358" spans="1:10" x14ac:dyDescent="0.25">
      <c r="A358" s="1" t="str">
        <f t="shared" si="5"/>
        <v>11 Fadrozole 2 µg_L</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3549</v>
      </c>
      <c r="D358" s="1" t="s">
        <v>112</v>
      </c>
      <c r="E358" s="1" t="s">
        <v>3550</v>
      </c>
      <c r="F358" s="1" t="s">
        <v>3551</v>
      </c>
      <c r="G358" s="1" t="s">
        <v>3552</v>
      </c>
      <c r="H358" s="1" t="s">
        <v>3553</v>
      </c>
      <c r="I358" s="1">
        <v>24</v>
      </c>
      <c r="J358" s="1">
        <v>24</v>
      </c>
    </row>
    <row r="359" spans="1:10" x14ac:dyDescent="0.2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10" x14ac:dyDescent="0.2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10" x14ac:dyDescent="0.2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10" x14ac:dyDescent="0.2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10" x14ac:dyDescent="0.2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10" x14ac:dyDescent="0.2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255</v>
      </c>
      <c r="D364" s="1" t="s">
        <v>110</v>
      </c>
      <c r="E364" s="1" t="s">
        <v>111</v>
      </c>
      <c r="F364" s="1" t="s">
        <v>112</v>
      </c>
      <c r="G364" s="1" t="s">
        <v>113</v>
      </c>
    </row>
    <row r="365" spans="1:10" x14ac:dyDescent="0.25">
      <c r="A365" s="1" t="str">
        <f t="shared" si="5"/>
        <v>12 Fadrozole 10 µg_L</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3554</v>
      </c>
      <c r="D365" s="1" t="s">
        <v>185</v>
      </c>
      <c r="E365" s="1" t="s">
        <v>3555</v>
      </c>
      <c r="F365" s="1" t="s">
        <v>112</v>
      </c>
      <c r="G365" s="1">
        <v>283806</v>
      </c>
    </row>
    <row r="366" spans="1:10" x14ac:dyDescent="0.25">
      <c r="A366" s="1" t="str">
        <f t="shared" si="5"/>
        <v>12 Fadrozole 10 µg_L</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3556</v>
      </c>
      <c r="D366" s="1" t="s">
        <v>2305</v>
      </c>
      <c r="E366" s="1" t="s">
        <v>3557</v>
      </c>
      <c r="F366" s="1" t="s">
        <v>112</v>
      </c>
      <c r="G366" s="1">
        <v>207690</v>
      </c>
    </row>
    <row r="367" spans="1:10" x14ac:dyDescent="0.25">
      <c r="A367" s="1" t="str">
        <f t="shared" si="5"/>
        <v>12 Fadrozole 10 µg_L</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3558</v>
      </c>
      <c r="D367" s="1" t="s">
        <v>220</v>
      </c>
      <c r="E367" s="1" t="s">
        <v>887</v>
      </c>
      <c r="F367" s="1" t="s">
        <v>112</v>
      </c>
      <c r="G367" s="1">
        <v>12178</v>
      </c>
    </row>
    <row r="368" spans="1:10" x14ac:dyDescent="0.25">
      <c r="A368" s="1" t="str">
        <f t="shared" si="5"/>
        <v>12 Fadrozole 10 µg_L</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3559</v>
      </c>
      <c r="D368" s="1" t="s">
        <v>722</v>
      </c>
      <c r="E368" s="1" t="s">
        <v>3560</v>
      </c>
      <c r="F368" s="1" t="s">
        <v>112</v>
      </c>
      <c r="G368" s="1">
        <v>46093</v>
      </c>
    </row>
    <row r="369" spans="1:7" x14ac:dyDescent="0.25">
      <c r="A369" s="1" t="str">
        <f t="shared" si="5"/>
        <v>12 Fadrozole 10 µg_L</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3561</v>
      </c>
      <c r="D369" s="1" t="s">
        <v>698</v>
      </c>
      <c r="E369" s="1" t="s">
        <v>3562</v>
      </c>
      <c r="F369" s="1" t="s">
        <v>112</v>
      </c>
      <c r="G369" s="1">
        <v>17693</v>
      </c>
    </row>
    <row r="370" spans="1:7" x14ac:dyDescent="0.25">
      <c r="A370" s="1" t="str">
        <f t="shared" si="5"/>
        <v>12 Fadrozole 10 µg_L</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3563</v>
      </c>
      <c r="D370" s="1" t="s">
        <v>288</v>
      </c>
      <c r="E370" s="1" t="s">
        <v>3564</v>
      </c>
      <c r="F370" s="1" t="s">
        <v>112</v>
      </c>
      <c r="G370" s="1">
        <v>14319</v>
      </c>
    </row>
    <row r="371" spans="1:7" x14ac:dyDescent="0.25">
      <c r="A371" s="1" t="str">
        <f t="shared" si="5"/>
        <v>12 Fadrozole 10 µg_L</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3565</v>
      </c>
      <c r="D371" s="1" t="s">
        <v>3566</v>
      </c>
      <c r="E371" s="1" t="s">
        <v>3567</v>
      </c>
      <c r="F371" s="1" t="s">
        <v>112</v>
      </c>
      <c r="G371" s="1">
        <v>423362</v>
      </c>
    </row>
    <row r="372" spans="1:7" x14ac:dyDescent="0.25">
      <c r="A372" s="1" t="str">
        <f t="shared" si="5"/>
        <v>12 Fadrozole 10 µg_L</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3568</v>
      </c>
      <c r="D372" s="1" t="s">
        <v>329</v>
      </c>
      <c r="E372" s="1" t="s">
        <v>3569</v>
      </c>
      <c r="F372" s="1" t="s">
        <v>112</v>
      </c>
      <c r="G372" s="1">
        <v>54291</v>
      </c>
    </row>
    <row r="373" spans="1:7" x14ac:dyDescent="0.25">
      <c r="A373" s="1" t="str">
        <f t="shared" si="5"/>
        <v>12 Fadrozole 10 µg_L</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3570</v>
      </c>
      <c r="D373" s="1" t="s">
        <v>1550</v>
      </c>
      <c r="E373" s="1" t="s">
        <v>3571</v>
      </c>
      <c r="F373" s="1" t="s">
        <v>112</v>
      </c>
      <c r="G373" s="1">
        <v>259256</v>
      </c>
    </row>
    <row r="374" spans="1:7" x14ac:dyDescent="0.25">
      <c r="A374" s="1" t="str">
        <f t="shared" si="5"/>
        <v>12 Fadrozole 10 µg_L</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3572</v>
      </c>
      <c r="D374" s="1" t="s">
        <v>361</v>
      </c>
      <c r="E374" s="1" t="s">
        <v>3573</v>
      </c>
      <c r="F374" s="1" t="s">
        <v>112</v>
      </c>
      <c r="G374" s="1">
        <v>31039</v>
      </c>
    </row>
    <row r="375" spans="1:7" x14ac:dyDescent="0.25">
      <c r="A375" s="1" t="str">
        <f t="shared" si="5"/>
        <v>12 Fadrozole 10 µg_L</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3574</v>
      </c>
      <c r="D375" s="1" t="s">
        <v>829</v>
      </c>
      <c r="E375" s="1">
        <v>64</v>
      </c>
      <c r="F375" s="1" t="s">
        <v>112</v>
      </c>
      <c r="G375" s="1">
        <v>8306</v>
      </c>
    </row>
    <row r="376" spans="1:7" x14ac:dyDescent="0.25">
      <c r="A376" s="1" t="str">
        <f t="shared" si="5"/>
        <v>12 Fadrozole 10 µg_L</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3575</v>
      </c>
      <c r="D376" s="1" t="s">
        <v>288</v>
      </c>
      <c r="E376" s="1" t="s">
        <v>3576</v>
      </c>
      <c r="F376" s="1" t="s">
        <v>112</v>
      </c>
      <c r="G376" s="1">
        <v>13648</v>
      </c>
    </row>
    <row r="377" spans="1:7" x14ac:dyDescent="0.25">
      <c r="A377" s="1" t="str">
        <f t="shared" si="5"/>
        <v>12 Fadrozole 10 µg_L</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3577</v>
      </c>
      <c r="D377" s="1" t="s">
        <v>1667</v>
      </c>
      <c r="E377" s="1" t="s">
        <v>3578</v>
      </c>
      <c r="F377" s="1" t="s">
        <v>112</v>
      </c>
      <c r="G377" s="1">
        <v>202477</v>
      </c>
    </row>
    <row r="378" spans="1:7" x14ac:dyDescent="0.25">
      <c r="A378" s="1" t="str">
        <f t="shared" si="5"/>
        <v>12 Fadrozole 10 µg_L</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3579</v>
      </c>
      <c r="D378" s="1" t="s">
        <v>409</v>
      </c>
      <c r="E378" s="1" t="s">
        <v>908</v>
      </c>
      <c r="F378" s="1" t="s">
        <v>112</v>
      </c>
      <c r="G378" s="1">
        <v>16525</v>
      </c>
    </row>
    <row r="379" spans="1:7" x14ac:dyDescent="0.25">
      <c r="A379" s="1" t="str">
        <f t="shared" si="5"/>
        <v>12 Fadrozole 10 µg_L</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3580</v>
      </c>
    </row>
    <row r="380" spans="1:7" x14ac:dyDescent="0.25">
      <c r="A380" s="1" t="str">
        <f t="shared" si="5"/>
        <v>12 Fadrozole 10 µg_L</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3581</v>
      </c>
      <c r="D380" s="1" t="s">
        <v>829</v>
      </c>
      <c r="E380" s="1" t="s">
        <v>3582</v>
      </c>
      <c r="F380" s="1" t="s">
        <v>112</v>
      </c>
      <c r="G380" s="1">
        <v>8328</v>
      </c>
    </row>
    <row r="381" spans="1:7" x14ac:dyDescent="0.25">
      <c r="A381" s="1" t="str">
        <f t="shared" si="5"/>
        <v>12 Fadrozole 10 µg_L</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3583</v>
      </c>
      <c r="D381" s="1" t="s">
        <v>829</v>
      </c>
      <c r="E381" s="1" t="s">
        <v>908</v>
      </c>
      <c r="F381" s="1" t="s">
        <v>112</v>
      </c>
      <c r="G381" s="1">
        <v>8263</v>
      </c>
    </row>
    <row r="382" spans="1:7" x14ac:dyDescent="0.25">
      <c r="A382" s="1" t="str">
        <f t="shared" si="5"/>
        <v>12 Fadrozole 10 µg_L</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3584</v>
      </c>
      <c r="D382" s="1" t="s">
        <v>257</v>
      </c>
      <c r="E382" s="1" t="s">
        <v>1757</v>
      </c>
      <c r="F382" s="1" t="s">
        <v>112</v>
      </c>
      <c r="G382" s="1">
        <v>7008</v>
      </c>
    </row>
    <row r="383" spans="1:7" x14ac:dyDescent="0.25">
      <c r="A383" s="1" t="str">
        <f t="shared" si="5"/>
        <v>12 Fadrozole 10 µg_L</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3585</v>
      </c>
      <c r="D383" s="1" t="s">
        <v>2891</v>
      </c>
      <c r="E383" s="1" t="s">
        <v>3586</v>
      </c>
      <c r="F383" s="1" t="s">
        <v>112</v>
      </c>
      <c r="G383" s="1">
        <v>183746</v>
      </c>
    </row>
    <row r="384" spans="1:7" x14ac:dyDescent="0.25">
      <c r="A384" s="1" t="str">
        <f t="shared" si="5"/>
        <v>12 Fadrozole 10 µg_L</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3587</v>
      </c>
      <c r="D384" s="1" t="s">
        <v>197</v>
      </c>
      <c r="E384" s="1" t="s">
        <v>3588</v>
      </c>
      <c r="F384" s="1" t="s">
        <v>112</v>
      </c>
      <c r="G384" s="1">
        <v>71033</v>
      </c>
    </row>
    <row r="385" spans="1:10" x14ac:dyDescent="0.25">
      <c r="A385" s="1" t="str">
        <f t="shared" si="5"/>
        <v>12 Fadrozole 10 µg_L</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3589</v>
      </c>
      <c r="D385" s="1" t="s">
        <v>3590</v>
      </c>
      <c r="E385" s="1" t="s">
        <v>3591</v>
      </c>
      <c r="F385" s="1" t="s">
        <v>112</v>
      </c>
      <c r="G385" s="1">
        <v>233862</v>
      </c>
    </row>
    <row r="386" spans="1:10" x14ac:dyDescent="0.25">
      <c r="A386" s="1" t="str">
        <f t="shared" ref="A386:A449" si="6">IFERROR(LEFT(RIGHT(C386,LEN(C386)-SEARCH("@",C386)),SEARCH("/",RIGHT(C386,LEN(C386)-SEARCH("@",C386)-1))),"")</f>
        <v>12 Fadrozole 10 µg_L</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3592</v>
      </c>
      <c r="D386" s="1" t="s">
        <v>698</v>
      </c>
      <c r="E386" s="1" t="s">
        <v>3593</v>
      </c>
      <c r="F386" s="1" t="s">
        <v>112</v>
      </c>
      <c r="G386" s="1">
        <v>17390</v>
      </c>
    </row>
    <row r="387" spans="1:10" x14ac:dyDescent="0.25">
      <c r="A387" s="1" t="str">
        <f t="shared" si="6"/>
        <v>12 Fadrozole 10 µg_L</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3594</v>
      </c>
      <c r="D387" s="1" t="s">
        <v>223</v>
      </c>
      <c r="E387" s="1" t="s">
        <v>3595</v>
      </c>
      <c r="F387" s="1" t="s">
        <v>112</v>
      </c>
      <c r="G387" s="1">
        <v>22776</v>
      </c>
    </row>
    <row r="388" spans="1:10" x14ac:dyDescent="0.25">
      <c r="A388" s="1" t="str">
        <f t="shared" si="6"/>
        <v>12 Fadrozole 10 µg_L</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3596</v>
      </c>
      <c r="D388" s="1" t="s">
        <v>980</v>
      </c>
      <c r="E388" s="1" t="s">
        <v>3597</v>
      </c>
      <c r="F388" s="1" t="s">
        <v>112</v>
      </c>
      <c r="G388" s="1">
        <v>403354</v>
      </c>
    </row>
    <row r="389" spans="1:10" x14ac:dyDescent="0.2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10" x14ac:dyDescent="0.2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243</v>
      </c>
      <c r="D390" s="1" t="s">
        <v>112</v>
      </c>
      <c r="E390" s="1" t="s">
        <v>244</v>
      </c>
      <c r="F390" s="1" t="s">
        <v>245</v>
      </c>
      <c r="G390" s="1" t="s">
        <v>246</v>
      </c>
      <c r="H390" s="1" t="s">
        <v>247</v>
      </c>
      <c r="I390" s="1" t="s">
        <v>248</v>
      </c>
      <c r="J390" s="1" t="s">
        <v>249</v>
      </c>
    </row>
    <row r="391" spans="1:10" x14ac:dyDescent="0.25">
      <c r="A391" s="1" t="str">
        <f t="shared" si="6"/>
        <v>12 Fadrozole 10 µg_L</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3598</v>
      </c>
      <c r="D391" s="1" t="s">
        <v>112</v>
      </c>
      <c r="E391" s="1" t="s">
        <v>3599</v>
      </c>
      <c r="F391" s="1" t="s">
        <v>3600</v>
      </c>
      <c r="G391" s="1" t="s">
        <v>3601</v>
      </c>
      <c r="H391" s="1" t="s">
        <v>3602</v>
      </c>
      <c r="I391" s="1">
        <v>24</v>
      </c>
      <c r="J391" s="1">
        <v>24</v>
      </c>
    </row>
    <row r="392" spans="1:10" x14ac:dyDescent="0.2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10" x14ac:dyDescent="0.2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10" x14ac:dyDescent="0.2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10" x14ac:dyDescent="0.2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10" x14ac:dyDescent="0.2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10" x14ac:dyDescent="0.2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255</v>
      </c>
      <c r="D397" s="1" t="s">
        <v>110</v>
      </c>
      <c r="E397" s="1" t="s">
        <v>111</v>
      </c>
      <c r="F397" s="1" t="s">
        <v>112</v>
      </c>
      <c r="G397" s="1" t="s">
        <v>113</v>
      </c>
    </row>
    <row r="398" spans="1:10" x14ac:dyDescent="0.25">
      <c r="A398" s="1" t="str">
        <f t="shared" si="6"/>
        <v>01 Testo 30</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3603</v>
      </c>
      <c r="D398" s="1" t="s">
        <v>3604</v>
      </c>
      <c r="E398" s="1" t="s">
        <v>3605</v>
      </c>
      <c r="F398" s="1" t="s">
        <v>112</v>
      </c>
      <c r="G398" s="1">
        <v>1571650</v>
      </c>
    </row>
    <row r="399" spans="1:10" x14ac:dyDescent="0.25">
      <c r="A399" s="1" t="str">
        <f t="shared" si="6"/>
        <v>01 Testo 30</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3606</v>
      </c>
      <c r="D399" s="1" t="s">
        <v>3607</v>
      </c>
      <c r="E399" s="1" t="s">
        <v>3608</v>
      </c>
      <c r="F399" s="1" t="s">
        <v>112</v>
      </c>
      <c r="G399" s="1">
        <v>1603229</v>
      </c>
    </row>
    <row r="400" spans="1:10" x14ac:dyDescent="0.25">
      <c r="A400" s="1" t="str">
        <f t="shared" si="6"/>
        <v>01 Testo 30</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3609</v>
      </c>
      <c r="D400" s="1" t="s">
        <v>441</v>
      </c>
      <c r="E400" s="1" t="s">
        <v>3610</v>
      </c>
      <c r="F400" s="1" t="s">
        <v>112</v>
      </c>
      <c r="G400" s="1">
        <v>218938</v>
      </c>
    </row>
    <row r="401" spans="1:7" x14ac:dyDescent="0.25">
      <c r="A401" s="1" t="str">
        <f t="shared" si="6"/>
        <v>01 Testo 30</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3611</v>
      </c>
      <c r="D401" s="1" t="s">
        <v>318</v>
      </c>
      <c r="E401" s="1" t="s">
        <v>3612</v>
      </c>
      <c r="F401" s="1" t="s">
        <v>112</v>
      </c>
      <c r="G401" s="1">
        <v>297216</v>
      </c>
    </row>
    <row r="402" spans="1:7" x14ac:dyDescent="0.25">
      <c r="A402" s="1" t="str">
        <f t="shared" si="6"/>
        <v>01 Testo 30</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3613</v>
      </c>
      <c r="D402" s="1" t="s">
        <v>232</v>
      </c>
      <c r="E402" s="1" t="s">
        <v>3614</v>
      </c>
      <c r="F402" s="1" t="s">
        <v>112</v>
      </c>
      <c r="G402" s="1">
        <v>309675</v>
      </c>
    </row>
    <row r="403" spans="1:7" x14ac:dyDescent="0.25">
      <c r="A403" s="1" t="str">
        <f t="shared" si="6"/>
        <v>01 Testo 30</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3615</v>
      </c>
      <c r="D403" s="1" t="s">
        <v>358</v>
      </c>
      <c r="E403" s="1" t="s">
        <v>3616</v>
      </c>
      <c r="F403" s="1" t="s">
        <v>112</v>
      </c>
      <c r="G403" s="1">
        <v>40643</v>
      </c>
    </row>
    <row r="404" spans="1:7" x14ac:dyDescent="0.25">
      <c r="A404" s="1" t="str">
        <f t="shared" si="6"/>
        <v>01 Testo 30</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3617</v>
      </c>
      <c r="D404" s="1" t="s">
        <v>2167</v>
      </c>
      <c r="E404" s="1" t="s">
        <v>3618</v>
      </c>
      <c r="F404" s="1" t="s">
        <v>112</v>
      </c>
      <c r="G404" s="1">
        <v>188872</v>
      </c>
    </row>
    <row r="405" spans="1:7" x14ac:dyDescent="0.25">
      <c r="A405" s="1" t="str">
        <f t="shared" si="6"/>
        <v>01 Testo 30</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3619</v>
      </c>
      <c r="D405" s="1" t="s">
        <v>3620</v>
      </c>
      <c r="E405" s="1" t="s">
        <v>3621</v>
      </c>
      <c r="F405" s="1" t="s">
        <v>112</v>
      </c>
      <c r="G405" s="1">
        <v>192895</v>
      </c>
    </row>
    <row r="406" spans="1:7" x14ac:dyDescent="0.25">
      <c r="A406" s="1" t="str">
        <f t="shared" si="6"/>
        <v>01 Testo 30</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3622</v>
      </c>
      <c r="D406" s="1" t="s">
        <v>2320</v>
      </c>
      <c r="E406" s="1" t="s">
        <v>3623</v>
      </c>
      <c r="F406" s="1" t="s">
        <v>112</v>
      </c>
      <c r="G406" s="1">
        <v>196983</v>
      </c>
    </row>
    <row r="407" spans="1:7" x14ac:dyDescent="0.25">
      <c r="A407" s="1" t="str">
        <f t="shared" si="6"/>
        <v>01 Testo 30</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3624</v>
      </c>
      <c r="D407" s="1" t="s">
        <v>3625</v>
      </c>
      <c r="E407" s="1" t="s">
        <v>3626</v>
      </c>
      <c r="F407" s="1" t="s">
        <v>112</v>
      </c>
      <c r="G407" s="1">
        <v>581498</v>
      </c>
    </row>
    <row r="408" spans="1:7" x14ac:dyDescent="0.25">
      <c r="A408" s="1" t="str">
        <f t="shared" si="6"/>
        <v>01 Testo 30</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3627</v>
      </c>
      <c r="D408" s="1" t="s">
        <v>1040</v>
      </c>
      <c r="E408" s="1" t="s">
        <v>3628</v>
      </c>
      <c r="F408" s="1" t="s">
        <v>112</v>
      </c>
      <c r="G408" s="1">
        <v>497790</v>
      </c>
    </row>
    <row r="409" spans="1:7" x14ac:dyDescent="0.25">
      <c r="A409" s="1" t="str">
        <f t="shared" si="6"/>
        <v>01 Testo 30</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3629</v>
      </c>
      <c r="D409" s="1" t="s">
        <v>3630</v>
      </c>
      <c r="E409" s="1" t="s">
        <v>3631</v>
      </c>
      <c r="F409" s="1" t="s">
        <v>112</v>
      </c>
      <c r="G409" s="1">
        <v>601614</v>
      </c>
    </row>
    <row r="410" spans="1:7" x14ac:dyDescent="0.25">
      <c r="A410" s="1" t="str">
        <f t="shared" si="6"/>
        <v>01 Testo 30</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3632</v>
      </c>
      <c r="D410" s="1" t="s">
        <v>785</v>
      </c>
      <c r="E410" s="1" t="s">
        <v>3633</v>
      </c>
      <c r="F410" s="1" t="s">
        <v>112</v>
      </c>
      <c r="G410" s="1">
        <v>38350</v>
      </c>
    </row>
    <row r="411" spans="1:7" x14ac:dyDescent="0.25">
      <c r="A411" s="1" t="str">
        <f t="shared" si="6"/>
        <v>01 Testo 30</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3634</v>
      </c>
      <c r="D411" s="1" t="s">
        <v>146</v>
      </c>
      <c r="E411" s="1" t="s">
        <v>3635</v>
      </c>
      <c r="F411" s="1" t="s">
        <v>112</v>
      </c>
      <c r="G411" s="1">
        <v>324362</v>
      </c>
    </row>
    <row r="412" spans="1:7" x14ac:dyDescent="0.25">
      <c r="A412" s="1" t="str">
        <f t="shared" si="6"/>
        <v>01 Testo 30</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3636</v>
      </c>
      <c r="D412" s="1" t="s">
        <v>3637</v>
      </c>
      <c r="E412" s="1" t="s">
        <v>3638</v>
      </c>
      <c r="F412" s="1" t="s">
        <v>112</v>
      </c>
      <c r="G412" s="1">
        <v>294296</v>
      </c>
    </row>
    <row r="413" spans="1:7" x14ac:dyDescent="0.25">
      <c r="A413" s="1" t="str">
        <f t="shared" si="6"/>
        <v>01 Testo 30</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3639</v>
      </c>
      <c r="D413" s="1" t="s">
        <v>3187</v>
      </c>
      <c r="E413" s="1" t="s">
        <v>3640</v>
      </c>
      <c r="F413" s="1" t="s">
        <v>112</v>
      </c>
      <c r="G413" s="1">
        <v>1259163</v>
      </c>
    </row>
    <row r="414" spans="1:7" x14ac:dyDescent="0.25">
      <c r="A414" s="1" t="str">
        <f t="shared" si="6"/>
        <v>01 Testo 30</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3641</v>
      </c>
      <c r="D414" s="1" t="s">
        <v>3642</v>
      </c>
      <c r="E414" s="1" t="s">
        <v>3643</v>
      </c>
      <c r="F414" s="1" t="s">
        <v>112</v>
      </c>
      <c r="G414" s="1">
        <v>1552594</v>
      </c>
    </row>
    <row r="415" spans="1:7" x14ac:dyDescent="0.25">
      <c r="A415" s="1" t="str">
        <f t="shared" si="6"/>
        <v>01 Testo 30</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3644</v>
      </c>
      <c r="D415" s="1" t="s">
        <v>3645</v>
      </c>
      <c r="E415" s="1" t="s">
        <v>3646</v>
      </c>
      <c r="F415" s="1" t="s">
        <v>112</v>
      </c>
      <c r="G415" s="1">
        <v>1184129</v>
      </c>
    </row>
    <row r="416" spans="1:7" x14ac:dyDescent="0.25">
      <c r="A416" s="1" t="str">
        <f t="shared" si="6"/>
        <v>01 Testo 30</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3647</v>
      </c>
      <c r="D416" s="1" t="s">
        <v>3648</v>
      </c>
      <c r="E416" s="1" t="s">
        <v>3649</v>
      </c>
      <c r="F416" s="1" t="s">
        <v>112</v>
      </c>
      <c r="G416" s="1">
        <v>2464316</v>
      </c>
    </row>
    <row r="417" spans="1:10" x14ac:dyDescent="0.25">
      <c r="A417" s="1" t="str">
        <f t="shared" si="6"/>
        <v>01 Testo 30</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3650</v>
      </c>
      <c r="D417" s="1" t="s">
        <v>3651</v>
      </c>
      <c r="E417" s="1" t="s">
        <v>3652</v>
      </c>
      <c r="F417" s="1" t="s">
        <v>112</v>
      </c>
      <c r="G417" s="1">
        <v>2350607</v>
      </c>
    </row>
    <row r="418" spans="1:10" x14ac:dyDescent="0.25">
      <c r="A418" s="1" t="str">
        <f t="shared" si="6"/>
        <v>01 Testo 30</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3653</v>
      </c>
      <c r="D418" s="1" t="s">
        <v>3654</v>
      </c>
      <c r="E418" s="1" t="s">
        <v>3655</v>
      </c>
      <c r="F418" s="1" t="s">
        <v>112</v>
      </c>
      <c r="G418" s="1">
        <v>2363066</v>
      </c>
    </row>
    <row r="419" spans="1:10" x14ac:dyDescent="0.25">
      <c r="A419" s="1" t="str">
        <f t="shared" si="6"/>
        <v>01 Testo 30</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3656</v>
      </c>
      <c r="D419" s="1" t="s">
        <v>3657</v>
      </c>
      <c r="E419" s="1" t="s">
        <v>3658</v>
      </c>
      <c r="F419" s="1" t="s">
        <v>112</v>
      </c>
      <c r="G419" s="1">
        <v>1407890</v>
      </c>
    </row>
    <row r="420" spans="1:10" x14ac:dyDescent="0.25">
      <c r="A420" s="1" t="str">
        <f t="shared" si="6"/>
        <v>01 Testo 30</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3659</v>
      </c>
      <c r="D420" s="1" t="s">
        <v>3660</v>
      </c>
      <c r="E420" s="1" t="s">
        <v>3661</v>
      </c>
      <c r="F420" s="1" t="s">
        <v>112</v>
      </c>
      <c r="G420" s="1">
        <v>1025581</v>
      </c>
    </row>
    <row r="421" spans="1:10" x14ac:dyDescent="0.25">
      <c r="A421" s="1" t="str">
        <f t="shared" si="6"/>
        <v>01 Testo 30</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3662</v>
      </c>
      <c r="D421" s="1" t="s">
        <v>3663</v>
      </c>
      <c r="E421" s="1" t="s">
        <v>3664</v>
      </c>
      <c r="F421" s="1" t="s">
        <v>112</v>
      </c>
      <c r="G421" s="1">
        <v>868375</v>
      </c>
    </row>
    <row r="422" spans="1:10" x14ac:dyDescent="0.2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10" x14ac:dyDescent="0.2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243</v>
      </c>
      <c r="D423" s="1" t="s">
        <v>112</v>
      </c>
      <c r="E423" s="1" t="s">
        <v>244</v>
      </c>
      <c r="F423" s="1" t="s">
        <v>245</v>
      </c>
      <c r="G423" s="1" t="s">
        <v>246</v>
      </c>
      <c r="H423" s="1" t="s">
        <v>247</v>
      </c>
      <c r="I423" s="1" t="s">
        <v>248</v>
      </c>
      <c r="J423" s="1" t="s">
        <v>249</v>
      </c>
    </row>
    <row r="424" spans="1:10" x14ac:dyDescent="0.25">
      <c r="A424" s="1" t="str">
        <f t="shared" si="6"/>
        <v>01 Testo 30</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3665</v>
      </c>
      <c r="D424" s="1" t="s">
        <v>112</v>
      </c>
      <c r="E424" s="1" t="s">
        <v>3666</v>
      </c>
      <c r="F424" s="1" t="s">
        <v>3667</v>
      </c>
      <c r="G424" s="1" t="s">
        <v>3668</v>
      </c>
      <c r="H424" s="1" t="s">
        <v>3669</v>
      </c>
      <c r="I424" s="1">
        <v>24</v>
      </c>
      <c r="J424" s="1">
        <v>24</v>
      </c>
    </row>
    <row r="425" spans="1:10" x14ac:dyDescent="0.2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10" x14ac:dyDescent="0.2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10" x14ac:dyDescent="0.2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10" x14ac:dyDescent="0.2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10" x14ac:dyDescent="0.2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10" x14ac:dyDescent="0.2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255</v>
      </c>
      <c r="D430" s="1" t="s">
        <v>110</v>
      </c>
      <c r="E430" s="1" t="s">
        <v>111</v>
      </c>
      <c r="F430" s="1" t="s">
        <v>112</v>
      </c>
      <c r="G430" s="1" t="s">
        <v>113</v>
      </c>
    </row>
    <row r="431" spans="1:10" x14ac:dyDescent="0.25">
      <c r="A431" s="1" t="str">
        <f t="shared" si="6"/>
        <v>02 Testo 30</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3670</v>
      </c>
      <c r="D431" s="1" t="s">
        <v>3671</v>
      </c>
      <c r="E431" s="1" t="s">
        <v>3672</v>
      </c>
      <c r="F431" s="1" t="s">
        <v>112</v>
      </c>
      <c r="G431" s="1">
        <v>2547072</v>
      </c>
    </row>
    <row r="432" spans="1:10" x14ac:dyDescent="0.25">
      <c r="A432" s="1" t="str">
        <f t="shared" si="6"/>
        <v>02 Testo 30</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3673</v>
      </c>
      <c r="D432" s="1" t="s">
        <v>3674</v>
      </c>
      <c r="E432" s="1" t="s">
        <v>3675</v>
      </c>
      <c r="F432" s="1" t="s">
        <v>112</v>
      </c>
      <c r="G432" s="1">
        <v>2423024</v>
      </c>
    </row>
    <row r="433" spans="1:7" x14ac:dyDescent="0.25">
      <c r="A433" s="1" t="str">
        <f t="shared" si="6"/>
        <v>02 Testo 30</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3676</v>
      </c>
      <c r="D433" s="1" t="s">
        <v>3677</v>
      </c>
      <c r="E433" s="1" t="s">
        <v>3678</v>
      </c>
      <c r="F433" s="1" t="s">
        <v>112</v>
      </c>
      <c r="G433" s="1">
        <v>2648364</v>
      </c>
    </row>
    <row r="434" spans="1:7" x14ac:dyDescent="0.25">
      <c r="A434" s="1" t="str">
        <f t="shared" si="6"/>
        <v>02 Testo 30</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3679</v>
      </c>
      <c r="D434" s="1" t="s">
        <v>3680</v>
      </c>
      <c r="E434" s="1" t="s">
        <v>3681</v>
      </c>
      <c r="F434" s="1" t="s">
        <v>112</v>
      </c>
      <c r="G434" s="1">
        <v>6100971</v>
      </c>
    </row>
    <row r="435" spans="1:7" x14ac:dyDescent="0.25">
      <c r="A435" s="1" t="str">
        <f t="shared" si="6"/>
        <v>02 Testo 30</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3682</v>
      </c>
      <c r="D435" s="1" t="s">
        <v>3683</v>
      </c>
      <c r="E435" s="1" t="s">
        <v>3684</v>
      </c>
      <c r="F435" s="1" t="s">
        <v>112</v>
      </c>
      <c r="G435" s="1">
        <v>5426508</v>
      </c>
    </row>
    <row r="436" spans="1:7" x14ac:dyDescent="0.25">
      <c r="A436" s="1" t="str">
        <f t="shared" si="6"/>
        <v>02 Testo 30</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3685</v>
      </c>
      <c r="D436" s="1" t="s">
        <v>3686</v>
      </c>
      <c r="E436" s="1" t="s">
        <v>3687</v>
      </c>
      <c r="F436" s="1" t="s">
        <v>112</v>
      </c>
      <c r="G436" s="1">
        <v>4919546</v>
      </c>
    </row>
    <row r="437" spans="1:7" x14ac:dyDescent="0.25">
      <c r="A437" s="1" t="str">
        <f t="shared" si="6"/>
        <v>02 Testo 30</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3688</v>
      </c>
    </row>
    <row r="438" spans="1:7" x14ac:dyDescent="0.25">
      <c r="A438" s="1" t="str">
        <f t="shared" si="6"/>
        <v>02 Testo 30</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3689</v>
      </c>
    </row>
    <row r="439" spans="1:7" x14ac:dyDescent="0.25">
      <c r="A439" s="1" t="str">
        <f t="shared" si="6"/>
        <v>02 Testo 30</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3690</v>
      </c>
    </row>
    <row r="440" spans="1:7" x14ac:dyDescent="0.25">
      <c r="A440" s="1" t="str">
        <f t="shared" si="6"/>
        <v>02 Testo 30</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3691</v>
      </c>
      <c r="D440" s="1" t="s">
        <v>3692</v>
      </c>
      <c r="E440" s="1" t="s">
        <v>3693</v>
      </c>
      <c r="F440" s="1" t="s">
        <v>112</v>
      </c>
      <c r="G440" s="1">
        <v>1706144</v>
      </c>
    </row>
    <row r="441" spans="1:7" x14ac:dyDescent="0.25">
      <c r="A441" s="1" t="str">
        <f t="shared" si="6"/>
        <v>02 Testo 30</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3694</v>
      </c>
      <c r="D441" s="1" t="s">
        <v>2730</v>
      </c>
      <c r="E441" s="1" t="s">
        <v>3695</v>
      </c>
      <c r="F441" s="1" t="s">
        <v>112</v>
      </c>
      <c r="G441" s="1">
        <v>1894065</v>
      </c>
    </row>
    <row r="442" spans="1:7" x14ac:dyDescent="0.25">
      <c r="A442" s="1" t="str">
        <f t="shared" si="6"/>
        <v>02 Testo 30</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3696</v>
      </c>
      <c r="D442" s="1" t="s">
        <v>3697</v>
      </c>
      <c r="E442" s="1" t="s">
        <v>3698</v>
      </c>
      <c r="F442" s="1" t="s">
        <v>112</v>
      </c>
      <c r="G442" s="1">
        <v>1649193</v>
      </c>
    </row>
    <row r="443" spans="1:7" x14ac:dyDescent="0.25">
      <c r="A443" s="1" t="str">
        <f t="shared" si="6"/>
        <v>02 Testo 30</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3699</v>
      </c>
      <c r="D443" s="1" t="s">
        <v>3700</v>
      </c>
      <c r="E443" s="1" t="s">
        <v>3701</v>
      </c>
      <c r="F443" s="1" t="s">
        <v>112</v>
      </c>
      <c r="G443" s="1">
        <v>3025027</v>
      </c>
    </row>
    <row r="444" spans="1:7" x14ac:dyDescent="0.25">
      <c r="A444" s="1" t="str">
        <f t="shared" si="6"/>
        <v>02 Testo 30</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3702</v>
      </c>
      <c r="D444" s="1" t="s">
        <v>3703</v>
      </c>
      <c r="E444" s="1" t="s">
        <v>3704</v>
      </c>
      <c r="F444" s="1" t="s">
        <v>112</v>
      </c>
      <c r="G444" s="1">
        <v>2218708</v>
      </c>
    </row>
    <row r="445" spans="1:7" x14ac:dyDescent="0.25">
      <c r="A445" s="1" t="str">
        <f t="shared" si="6"/>
        <v>02 Testo 30</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3705</v>
      </c>
      <c r="D445" s="1" t="s">
        <v>1967</v>
      </c>
      <c r="E445" s="1" t="s">
        <v>3706</v>
      </c>
      <c r="F445" s="1" t="s">
        <v>112</v>
      </c>
      <c r="G445" s="1">
        <v>2211116</v>
      </c>
    </row>
    <row r="446" spans="1:7" x14ac:dyDescent="0.25">
      <c r="A446" s="1" t="str">
        <f t="shared" si="6"/>
        <v>02 Testo 30</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3707</v>
      </c>
      <c r="D446" s="1" t="s">
        <v>3293</v>
      </c>
      <c r="E446" s="1" t="s">
        <v>3708</v>
      </c>
      <c r="F446" s="1" t="s">
        <v>112</v>
      </c>
      <c r="G446" s="1">
        <v>1761841</v>
      </c>
    </row>
    <row r="447" spans="1:7" x14ac:dyDescent="0.25">
      <c r="A447" s="1" t="str">
        <f t="shared" si="6"/>
        <v>02 Testo 30</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3709</v>
      </c>
      <c r="D447" s="1" t="s">
        <v>3710</v>
      </c>
      <c r="E447" s="1" t="s">
        <v>3711</v>
      </c>
      <c r="F447" s="1" t="s">
        <v>112</v>
      </c>
      <c r="G447" s="1">
        <v>1789398</v>
      </c>
    </row>
    <row r="448" spans="1:7" x14ac:dyDescent="0.25">
      <c r="A448" s="1" t="str">
        <f t="shared" si="6"/>
        <v>02 Testo 30</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3712</v>
      </c>
      <c r="D448" s="1" t="s">
        <v>3713</v>
      </c>
      <c r="E448" s="1" t="s">
        <v>3714</v>
      </c>
      <c r="F448" s="1" t="s">
        <v>112</v>
      </c>
      <c r="G448" s="1">
        <v>1924952</v>
      </c>
    </row>
    <row r="449" spans="1:10" x14ac:dyDescent="0.25">
      <c r="A449" s="1" t="str">
        <f t="shared" si="6"/>
        <v>02 Testo 30</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3715</v>
      </c>
    </row>
    <row r="450" spans="1:10" x14ac:dyDescent="0.25">
      <c r="A450" s="1" t="str">
        <f t="shared" ref="A450:A513" si="7">IFERROR(LEFT(RIGHT(C450,LEN(C450)-SEARCH("@",C450)),SEARCH("/",RIGHT(C450,LEN(C450)-SEARCH("@",C450)-1))),"")</f>
        <v>02 Testo 30</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3716</v>
      </c>
      <c r="D450" s="1" t="s">
        <v>3717</v>
      </c>
      <c r="E450" s="1" t="s">
        <v>3718</v>
      </c>
      <c r="F450" s="1" t="s">
        <v>112</v>
      </c>
      <c r="G450" s="1">
        <v>1179478</v>
      </c>
    </row>
    <row r="451" spans="1:10" x14ac:dyDescent="0.25">
      <c r="A451" s="1" t="str">
        <f t="shared" si="7"/>
        <v>02 Testo 30</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3719</v>
      </c>
      <c r="D451" s="1" t="s">
        <v>3720</v>
      </c>
      <c r="E451" s="1" t="s">
        <v>3721</v>
      </c>
      <c r="F451" s="1" t="s">
        <v>112</v>
      </c>
      <c r="G451" s="1">
        <v>1358228</v>
      </c>
    </row>
    <row r="452" spans="1:10" x14ac:dyDescent="0.25">
      <c r="A452" s="1" t="str">
        <f t="shared" si="7"/>
        <v>02 Testo 30</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3722</v>
      </c>
      <c r="D452" s="1" t="s">
        <v>1669</v>
      </c>
      <c r="E452" s="1" t="s">
        <v>3723</v>
      </c>
      <c r="F452" s="1" t="s">
        <v>112</v>
      </c>
      <c r="G452" s="1">
        <v>300720</v>
      </c>
    </row>
    <row r="453" spans="1:10" x14ac:dyDescent="0.25">
      <c r="A453" s="1" t="str">
        <f t="shared" si="7"/>
        <v>02 Testo 30</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3724</v>
      </c>
      <c r="D453" s="1" t="s">
        <v>3725</v>
      </c>
      <c r="E453" s="1" t="s">
        <v>3726</v>
      </c>
      <c r="F453" s="1" t="s">
        <v>112</v>
      </c>
      <c r="G453" s="1">
        <v>502095</v>
      </c>
    </row>
    <row r="454" spans="1:10" x14ac:dyDescent="0.25">
      <c r="A454" s="1" t="str">
        <f t="shared" si="7"/>
        <v>02 Testo 30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3727</v>
      </c>
      <c r="D454" s="1" t="s">
        <v>2254</v>
      </c>
      <c r="E454" s="1" t="s">
        <v>3728</v>
      </c>
      <c r="F454" s="1" t="s">
        <v>112</v>
      </c>
      <c r="G454" s="1">
        <v>373981</v>
      </c>
    </row>
    <row r="455" spans="1:10" x14ac:dyDescent="0.2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10" x14ac:dyDescent="0.2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243</v>
      </c>
      <c r="D456" s="1" t="s">
        <v>112</v>
      </c>
      <c r="E456" s="1" t="s">
        <v>244</v>
      </c>
      <c r="F456" s="1" t="s">
        <v>245</v>
      </c>
      <c r="G456" s="1" t="s">
        <v>246</v>
      </c>
      <c r="H456" s="1" t="s">
        <v>247</v>
      </c>
      <c r="I456" s="1" t="s">
        <v>248</v>
      </c>
      <c r="J456" s="1" t="s">
        <v>249</v>
      </c>
    </row>
    <row r="457" spans="1:10" x14ac:dyDescent="0.25">
      <c r="A457" s="1" t="str">
        <f t="shared" si="7"/>
        <v>02 Testo 30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3729</v>
      </c>
      <c r="D457" s="1" t="s">
        <v>112</v>
      </c>
      <c r="E457" s="1" t="s">
        <v>3730</v>
      </c>
      <c r="F457" s="1" t="s">
        <v>3731</v>
      </c>
      <c r="G457" s="1" t="s">
        <v>3732</v>
      </c>
      <c r="H457" s="1" t="s">
        <v>3733</v>
      </c>
      <c r="I457" s="1">
        <v>24</v>
      </c>
      <c r="J457" s="1">
        <v>24</v>
      </c>
    </row>
    <row r="458" spans="1:10" x14ac:dyDescent="0.2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10" x14ac:dyDescent="0.2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10" x14ac:dyDescent="0.2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10" x14ac:dyDescent="0.2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10" x14ac:dyDescent="0.2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10" x14ac:dyDescent="0.2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255</v>
      </c>
      <c r="D463" s="1" t="s">
        <v>110</v>
      </c>
      <c r="E463" s="1" t="s">
        <v>111</v>
      </c>
      <c r="F463" s="1" t="s">
        <v>112</v>
      </c>
      <c r="G463" s="1" t="s">
        <v>113</v>
      </c>
    </row>
    <row r="464" spans="1:10" x14ac:dyDescent="0.25">
      <c r="A464" s="1" t="str">
        <f t="shared" si="7"/>
        <v>03 Testo+ EE2 64</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3734</v>
      </c>
      <c r="D464" s="1" t="s">
        <v>616</v>
      </c>
      <c r="E464" s="1" t="s">
        <v>3735</v>
      </c>
      <c r="F464" s="1" t="s">
        <v>112</v>
      </c>
      <c r="G464" s="1">
        <v>2327204</v>
      </c>
    </row>
    <row r="465" spans="1:7" x14ac:dyDescent="0.25">
      <c r="A465" s="1" t="str">
        <f t="shared" si="7"/>
        <v>03 Testo+ EE2 64</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3736</v>
      </c>
      <c r="D465" s="1" t="s">
        <v>3737</v>
      </c>
      <c r="E465" s="1" t="s">
        <v>3738</v>
      </c>
      <c r="F465" s="1" t="s">
        <v>112</v>
      </c>
      <c r="G465" s="1">
        <v>2771763</v>
      </c>
    </row>
    <row r="466" spans="1:7" x14ac:dyDescent="0.25">
      <c r="A466" s="1" t="str">
        <f t="shared" si="7"/>
        <v>03 Testo+ EE2 64</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3739</v>
      </c>
      <c r="D466" s="1" t="s">
        <v>3740</v>
      </c>
      <c r="E466" s="1" t="s">
        <v>3741</v>
      </c>
      <c r="F466" s="1" t="s">
        <v>112</v>
      </c>
      <c r="G466" s="1">
        <v>2664868</v>
      </c>
    </row>
    <row r="467" spans="1:7" x14ac:dyDescent="0.25">
      <c r="A467" s="1" t="str">
        <f t="shared" si="7"/>
        <v>03 Testo+ EE2 64</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3742</v>
      </c>
      <c r="D467" s="1" t="s">
        <v>3743</v>
      </c>
      <c r="E467" s="1" t="s">
        <v>3744</v>
      </c>
      <c r="F467" s="1" t="s">
        <v>112</v>
      </c>
      <c r="G467" s="1">
        <v>484293</v>
      </c>
    </row>
    <row r="468" spans="1:7" x14ac:dyDescent="0.25">
      <c r="A468" s="1" t="str">
        <f t="shared" si="7"/>
        <v>03 Testo+ EE2 64</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3745</v>
      </c>
      <c r="D468" s="1" t="s">
        <v>3746</v>
      </c>
      <c r="E468" s="1" t="s">
        <v>3747</v>
      </c>
      <c r="F468" s="1" t="s">
        <v>112</v>
      </c>
      <c r="G468" s="1">
        <v>267583</v>
      </c>
    </row>
    <row r="469" spans="1:7" x14ac:dyDescent="0.25">
      <c r="A469" s="1" t="str">
        <f t="shared" si="7"/>
        <v>03 Testo+ EE2 64</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3748</v>
      </c>
      <c r="D469" s="1" t="s">
        <v>713</v>
      </c>
      <c r="E469" s="1" t="s">
        <v>3749</v>
      </c>
      <c r="F469" s="1" t="s">
        <v>112</v>
      </c>
      <c r="G469" s="1">
        <v>445965</v>
      </c>
    </row>
    <row r="470" spans="1:7" x14ac:dyDescent="0.25">
      <c r="A470" s="1" t="str">
        <f t="shared" si="7"/>
        <v>03 Testo+ EE2 64</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3750</v>
      </c>
      <c r="D470" s="1" t="s">
        <v>3751</v>
      </c>
      <c r="E470" s="1" t="s">
        <v>3752</v>
      </c>
      <c r="F470" s="1" t="s">
        <v>112</v>
      </c>
      <c r="G470" s="1">
        <v>3480877</v>
      </c>
    </row>
    <row r="471" spans="1:7" x14ac:dyDescent="0.25">
      <c r="A471" s="1" t="str">
        <f t="shared" si="7"/>
        <v>03 Testo+ EE2 64</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3753</v>
      </c>
      <c r="D471" s="1" t="s">
        <v>3754</v>
      </c>
      <c r="E471" s="1" t="s">
        <v>3755</v>
      </c>
      <c r="F471" s="1" t="s">
        <v>112</v>
      </c>
      <c r="G471" s="1">
        <v>3778483</v>
      </c>
    </row>
    <row r="472" spans="1:7" x14ac:dyDescent="0.25">
      <c r="A472" s="1" t="str">
        <f t="shared" si="7"/>
        <v>03 Testo+ EE2 64</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3756</v>
      </c>
      <c r="D472" s="1" t="s">
        <v>3757</v>
      </c>
      <c r="E472" s="1" t="s">
        <v>3758</v>
      </c>
      <c r="F472" s="1" t="s">
        <v>112</v>
      </c>
      <c r="G472" s="1">
        <v>3774135</v>
      </c>
    </row>
    <row r="473" spans="1:7" x14ac:dyDescent="0.25">
      <c r="A473" s="1" t="str">
        <f t="shared" si="7"/>
        <v>03 Testo+ EE2 64</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3759</v>
      </c>
      <c r="D473" s="1" t="s">
        <v>587</v>
      </c>
      <c r="E473" s="1" t="s">
        <v>3760</v>
      </c>
      <c r="F473" s="1" t="s">
        <v>112</v>
      </c>
      <c r="G473" s="1">
        <v>1858592</v>
      </c>
    </row>
    <row r="474" spans="1:7" x14ac:dyDescent="0.25">
      <c r="A474" s="1" t="str">
        <f t="shared" si="7"/>
        <v>03 Testo+ EE2 64</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3761</v>
      </c>
      <c r="D474" s="1" t="s">
        <v>3762</v>
      </c>
      <c r="E474" s="1" t="s">
        <v>3763</v>
      </c>
      <c r="F474" s="1" t="s">
        <v>112</v>
      </c>
      <c r="G474" s="1">
        <v>1163386</v>
      </c>
    </row>
    <row r="475" spans="1:7" x14ac:dyDescent="0.25">
      <c r="A475" s="1" t="str">
        <f t="shared" si="7"/>
        <v>03 Testo+ EE2 64</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3764</v>
      </c>
      <c r="D475" s="1" t="s">
        <v>3765</v>
      </c>
      <c r="E475" s="1" t="s">
        <v>3766</v>
      </c>
      <c r="F475" s="1" t="s">
        <v>112</v>
      </c>
      <c r="G475" s="1">
        <v>1853293</v>
      </c>
    </row>
    <row r="476" spans="1:7" x14ac:dyDescent="0.25">
      <c r="A476" s="1" t="str">
        <f t="shared" si="7"/>
        <v>03 Testo+ EE2 64</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3767</v>
      </c>
      <c r="D476" s="1" t="s">
        <v>3768</v>
      </c>
      <c r="E476" s="1" t="s">
        <v>3769</v>
      </c>
      <c r="F476" s="1" t="s">
        <v>112</v>
      </c>
      <c r="G476" s="1">
        <v>1452988</v>
      </c>
    </row>
    <row r="477" spans="1:7" x14ac:dyDescent="0.25">
      <c r="A477" s="1" t="str">
        <f t="shared" si="7"/>
        <v>03 Testo+ EE2 64</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3770</v>
      </c>
      <c r="D477" s="1" t="s">
        <v>3771</v>
      </c>
      <c r="E477" s="1" t="s">
        <v>3772</v>
      </c>
      <c r="F477" s="1" t="s">
        <v>112</v>
      </c>
      <c r="G477" s="1">
        <v>1485628</v>
      </c>
    </row>
    <row r="478" spans="1:7" x14ac:dyDescent="0.25">
      <c r="A478" s="1" t="str">
        <f t="shared" si="7"/>
        <v>03 Testo+ EE2 64</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3773</v>
      </c>
      <c r="D478" s="1" t="s">
        <v>3774</v>
      </c>
      <c r="E478" s="1" t="s">
        <v>3775</v>
      </c>
      <c r="F478" s="1" t="s">
        <v>112</v>
      </c>
      <c r="G478" s="1">
        <v>1385395</v>
      </c>
    </row>
    <row r="479" spans="1:7" x14ac:dyDescent="0.25">
      <c r="A479" s="1" t="str">
        <f t="shared" si="7"/>
        <v>03 Testo+ EE2 64</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3776</v>
      </c>
      <c r="D479" s="1" t="s">
        <v>3777</v>
      </c>
      <c r="E479" s="1" t="s">
        <v>3778</v>
      </c>
      <c r="F479" s="1" t="s">
        <v>112</v>
      </c>
      <c r="G479" s="1">
        <v>787004</v>
      </c>
    </row>
    <row r="480" spans="1:7" x14ac:dyDescent="0.25">
      <c r="A480" s="1" t="str">
        <f t="shared" si="7"/>
        <v>03 Testo+ EE2 64</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3779</v>
      </c>
      <c r="D480" s="1" t="s">
        <v>3780</v>
      </c>
      <c r="E480" s="1" t="s">
        <v>3781</v>
      </c>
      <c r="F480" s="1" t="s">
        <v>112</v>
      </c>
      <c r="G480" s="1">
        <v>753412</v>
      </c>
    </row>
    <row r="481" spans="1:10" x14ac:dyDescent="0.25">
      <c r="A481" s="1" t="str">
        <f t="shared" si="7"/>
        <v>03 Testo+ EE2 64</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3782</v>
      </c>
      <c r="D481" s="1" t="s">
        <v>1863</v>
      </c>
      <c r="E481" s="1" t="s">
        <v>3783</v>
      </c>
      <c r="F481" s="1" t="s">
        <v>112</v>
      </c>
      <c r="G481" s="1">
        <v>589090</v>
      </c>
    </row>
    <row r="482" spans="1:10" x14ac:dyDescent="0.25">
      <c r="A482" s="1" t="str">
        <f t="shared" si="7"/>
        <v>03 Testo+ EE2 64</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3784</v>
      </c>
      <c r="D482" s="1" t="s">
        <v>3785</v>
      </c>
      <c r="E482" s="1" t="s">
        <v>3786</v>
      </c>
      <c r="F482" s="1" t="s">
        <v>112</v>
      </c>
      <c r="G482" s="1">
        <v>1201086</v>
      </c>
    </row>
    <row r="483" spans="1:10" x14ac:dyDescent="0.25">
      <c r="A483" s="1" t="str">
        <f t="shared" si="7"/>
        <v>03 Testo+ EE2 64</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3787</v>
      </c>
      <c r="D483" s="1" t="s">
        <v>2427</v>
      </c>
      <c r="E483" s="1" t="s">
        <v>3788</v>
      </c>
      <c r="F483" s="1" t="s">
        <v>112</v>
      </c>
      <c r="G483" s="1">
        <v>1208311</v>
      </c>
    </row>
    <row r="484" spans="1:10" x14ac:dyDescent="0.25">
      <c r="A484" s="1" t="str">
        <f t="shared" si="7"/>
        <v>03 Testo+ EE2 64</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3789</v>
      </c>
      <c r="D484" s="1" t="s">
        <v>3790</v>
      </c>
      <c r="E484" s="1" t="s">
        <v>3791</v>
      </c>
      <c r="F484" s="1" t="s">
        <v>112</v>
      </c>
      <c r="G484" s="1">
        <v>1232493</v>
      </c>
    </row>
    <row r="485" spans="1:10" x14ac:dyDescent="0.25">
      <c r="A485" s="1" t="str">
        <f t="shared" si="7"/>
        <v>03 Testo+ EE2 64</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3792</v>
      </c>
      <c r="D485" s="1" t="s">
        <v>3793</v>
      </c>
      <c r="E485" s="1" t="s">
        <v>3794</v>
      </c>
      <c r="F485" s="1" t="s">
        <v>112</v>
      </c>
      <c r="G485" s="1">
        <v>1479117</v>
      </c>
    </row>
    <row r="486" spans="1:10" x14ac:dyDescent="0.25">
      <c r="A486" s="1" t="str">
        <f t="shared" si="7"/>
        <v>03 Testo+ EE2 64</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3795</v>
      </c>
      <c r="D486" s="1" t="s">
        <v>3796</v>
      </c>
      <c r="E486" s="1" t="s">
        <v>3797</v>
      </c>
      <c r="F486" s="1" t="s">
        <v>112</v>
      </c>
      <c r="G486" s="1">
        <v>925089</v>
      </c>
    </row>
    <row r="487" spans="1:10" x14ac:dyDescent="0.25">
      <c r="A487" s="1" t="str">
        <f t="shared" si="7"/>
        <v>03 Testo+ EE2 64</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3798</v>
      </c>
      <c r="D487" s="1" t="s">
        <v>3799</v>
      </c>
      <c r="E487" s="1" t="s">
        <v>3800</v>
      </c>
      <c r="F487" s="1" t="s">
        <v>112</v>
      </c>
      <c r="G487" s="1">
        <v>834481</v>
      </c>
    </row>
    <row r="488" spans="1:10" x14ac:dyDescent="0.2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10" x14ac:dyDescent="0.2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243</v>
      </c>
      <c r="D489" s="1" t="s">
        <v>112</v>
      </c>
      <c r="E489" s="1" t="s">
        <v>244</v>
      </c>
      <c r="F489" s="1" t="s">
        <v>245</v>
      </c>
      <c r="G489" s="1" t="s">
        <v>246</v>
      </c>
      <c r="H489" s="1" t="s">
        <v>247</v>
      </c>
      <c r="I489" s="1" t="s">
        <v>248</v>
      </c>
      <c r="J489" s="1" t="s">
        <v>249</v>
      </c>
    </row>
    <row r="490" spans="1:10" x14ac:dyDescent="0.25">
      <c r="A490" s="1" t="str">
        <f t="shared" si="7"/>
        <v>03 Testo+ EE2 64</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3801</v>
      </c>
      <c r="D490" s="1" t="s">
        <v>112</v>
      </c>
      <c r="E490" s="1" t="s">
        <v>3802</v>
      </c>
      <c r="F490" s="1" t="s">
        <v>3803</v>
      </c>
      <c r="G490" s="1" t="s">
        <v>3804</v>
      </c>
      <c r="H490" s="1" t="s">
        <v>3805</v>
      </c>
      <c r="I490" s="1">
        <v>24</v>
      </c>
      <c r="J490" s="1">
        <v>24</v>
      </c>
    </row>
    <row r="491" spans="1:10" x14ac:dyDescent="0.2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10" x14ac:dyDescent="0.2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10" x14ac:dyDescent="0.2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10" x14ac:dyDescent="0.2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10" x14ac:dyDescent="0.2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10" x14ac:dyDescent="0.2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255</v>
      </c>
      <c r="D496" s="1" t="s">
        <v>110</v>
      </c>
      <c r="E496" s="1" t="s">
        <v>111</v>
      </c>
      <c r="F496" s="1" t="s">
        <v>112</v>
      </c>
      <c r="G496" s="1" t="s">
        <v>113</v>
      </c>
    </row>
    <row r="497" spans="1:7" x14ac:dyDescent="0.25">
      <c r="A497" s="1" t="str">
        <f t="shared" si="7"/>
        <v>04 Testo+ FAD</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3806</v>
      </c>
      <c r="D497" s="1" t="s">
        <v>220</v>
      </c>
      <c r="E497" s="1" t="s">
        <v>1652</v>
      </c>
      <c r="F497" s="1" t="s">
        <v>112</v>
      </c>
      <c r="G497" s="1">
        <v>12005</v>
      </c>
    </row>
    <row r="498" spans="1:7" x14ac:dyDescent="0.25">
      <c r="A498" s="1" t="str">
        <f t="shared" si="7"/>
        <v>04 Testo+ FAD</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3807</v>
      </c>
      <c r="D498" s="1" t="s">
        <v>1722</v>
      </c>
      <c r="E498" s="1" t="s">
        <v>3808</v>
      </c>
      <c r="F498" s="1" t="s">
        <v>112</v>
      </c>
      <c r="G498" s="1">
        <v>136420</v>
      </c>
    </row>
    <row r="499" spans="1:7" x14ac:dyDescent="0.25">
      <c r="A499" s="1" t="str">
        <f t="shared" si="7"/>
        <v>04 Testo+ FAD</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3809</v>
      </c>
      <c r="D499" s="1" t="s">
        <v>304</v>
      </c>
      <c r="E499" s="1" t="s">
        <v>3810</v>
      </c>
      <c r="F499" s="1" t="s">
        <v>112</v>
      </c>
      <c r="G499" s="1">
        <v>285666</v>
      </c>
    </row>
    <row r="500" spans="1:7" x14ac:dyDescent="0.25">
      <c r="A500" s="1" t="str">
        <f t="shared" si="7"/>
        <v>04 Testo+ FAD</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3811</v>
      </c>
      <c r="D500" s="1" t="s">
        <v>229</v>
      </c>
      <c r="E500" s="1" t="s">
        <v>2682</v>
      </c>
      <c r="F500" s="1" t="s">
        <v>112</v>
      </c>
      <c r="G500" s="1">
        <v>11161</v>
      </c>
    </row>
    <row r="501" spans="1:7" x14ac:dyDescent="0.25">
      <c r="A501" s="1" t="str">
        <f t="shared" si="7"/>
        <v>04 Testo+ FAD</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3812</v>
      </c>
      <c r="D501" s="1" t="s">
        <v>829</v>
      </c>
      <c r="E501" s="1">
        <v>63</v>
      </c>
      <c r="F501" s="1" t="s">
        <v>112</v>
      </c>
      <c r="G501" s="1">
        <v>8176</v>
      </c>
    </row>
    <row r="502" spans="1:7" x14ac:dyDescent="0.25">
      <c r="A502" s="1" t="str">
        <f t="shared" si="7"/>
        <v>04 Testo+ FAD</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3813</v>
      </c>
      <c r="D502" s="1" t="s">
        <v>1705</v>
      </c>
      <c r="E502" s="1" t="s">
        <v>3404</v>
      </c>
      <c r="F502" s="1" t="s">
        <v>112</v>
      </c>
      <c r="G502" s="1">
        <v>5516</v>
      </c>
    </row>
    <row r="503" spans="1:7" x14ac:dyDescent="0.25">
      <c r="A503" s="1" t="str">
        <f t="shared" si="7"/>
        <v>04 Testo+ FAD</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3814</v>
      </c>
      <c r="D503" s="1" t="s">
        <v>263</v>
      </c>
      <c r="E503" s="1" t="s">
        <v>3815</v>
      </c>
      <c r="F503" s="1" t="s">
        <v>112</v>
      </c>
      <c r="G503" s="1">
        <v>24377</v>
      </c>
    </row>
    <row r="504" spans="1:7" x14ac:dyDescent="0.25">
      <c r="A504" s="1" t="str">
        <f t="shared" si="7"/>
        <v>04 Testo+ FAD</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3816</v>
      </c>
      <c r="D504" s="1" t="s">
        <v>3817</v>
      </c>
      <c r="E504" s="1" t="s">
        <v>3818</v>
      </c>
      <c r="F504" s="1" t="s">
        <v>112</v>
      </c>
      <c r="G504" s="1">
        <v>145331</v>
      </c>
    </row>
    <row r="505" spans="1:7" x14ac:dyDescent="0.25">
      <c r="A505" s="1" t="str">
        <f t="shared" si="7"/>
        <v>04 Testo+ FAD</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3819</v>
      </c>
      <c r="D505" s="1" t="s">
        <v>412</v>
      </c>
      <c r="E505" s="1" t="s">
        <v>3820</v>
      </c>
      <c r="F505" s="1" t="s">
        <v>112</v>
      </c>
      <c r="G505" s="1">
        <v>187466</v>
      </c>
    </row>
    <row r="506" spans="1:7" x14ac:dyDescent="0.25">
      <c r="A506" s="1" t="str">
        <f t="shared" si="7"/>
        <v>04 Testo+ FAD</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3821</v>
      </c>
      <c r="D506" s="1" t="s">
        <v>341</v>
      </c>
      <c r="E506" s="1" t="s">
        <v>3822</v>
      </c>
      <c r="F506" s="1" t="s">
        <v>112</v>
      </c>
      <c r="G506" s="1">
        <v>31991</v>
      </c>
    </row>
    <row r="507" spans="1:7" x14ac:dyDescent="0.25">
      <c r="A507" s="1" t="str">
        <f t="shared" si="7"/>
        <v>04 Testo+ FAD</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3823</v>
      </c>
      <c r="D507" s="1" t="s">
        <v>288</v>
      </c>
      <c r="E507" s="1" t="s">
        <v>805</v>
      </c>
      <c r="F507" s="1" t="s">
        <v>112</v>
      </c>
      <c r="G507" s="1">
        <v>13692</v>
      </c>
    </row>
    <row r="508" spans="1:7" x14ac:dyDescent="0.25">
      <c r="A508" s="1" t="str">
        <f t="shared" si="7"/>
        <v>04 Testo+ FAD</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3824</v>
      </c>
      <c r="D508" s="1" t="s">
        <v>229</v>
      </c>
      <c r="E508" s="1" t="s">
        <v>3427</v>
      </c>
      <c r="F508" s="1" t="s">
        <v>112</v>
      </c>
      <c r="G508" s="1">
        <v>10707</v>
      </c>
    </row>
    <row r="509" spans="1:7" x14ac:dyDescent="0.25">
      <c r="A509" s="1" t="str">
        <f t="shared" si="7"/>
        <v>04 Testo+ FAD</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3825</v>
      </c>
      <c r="D509" s="1" t="s">
        <v>260</v>
      </c>
      <c r="E509" s="1" t="s">
        <v>3826</v>
      </c>
      <c r="F509" s="1" t="s">
        <v>112</v>
      </c>
      <c r="G509" s="1">
        <v>29503</v>
      </c>
    </row>
    <row r="510" spans="1:7" x14ac:dyDescent="0.25">
      <c r="A510" s="1" t="str">
        <f t="shared" si="7"/>
        <v>04 Testo+ FAD</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3827</v>
      </c>
      <c r="D510" s="1" t="s">
        <v>288</v>
      </c>
      <c r="E510" s="1" t="s">
        <v>1757</v>
      </c>
      <c r="F510" s="1" t="s">
        <v>112</v>
      </c>
      <c r="G510" s="1">
        <v>14016</v>
      </c>
    </row>
    <row r="511" spans="1:7" x14ac:dyDescent="0.25">
      <c r="A511" s="1" t="str">
        <f t="shared" si="7"/>
        <v>04 Testo+ FAD</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3828</v>
      </c>
      <c r="D511" s="1" t="s">
        <v>341</v>
      </c>
      <c r="E511" s="1" t="s">
        <v>3829</v>
      </c>
      <c r="F511" s="1" t="s">
        <v>112</v>
      </c>
      <c r="G511" s="1">
        <v>32077</v>
      </c>
    </row>
    <row r="512" spans="1:7" x14ac:dyDescent="0.25">
      <c r="A512" s="1" t="str">
        <f t="shared" si="7"/>
        <v>04 Testo+ FAD</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3830</v>
      </c>
      <c r="D512" s="1" t="s">
        <v>341</v>
      </c>
      <c r="E512" s="1" t="s">
        <v>3831</v>
      </c>
      <c r="F512" s="1" t="s">
        <v>112</v>
      </c>
      <c r="G512" s="1">
        <v>33050</v>
      </c>
    </row>
    <row r="513" spans="1:10" x14ac:dyDescent="0.25">
      <c r="A513" s="1" t="str">
        <f t="shared" si="7"/>
        <v>04 Testo+ FAD</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3832</v>
      </c>
      <c r="D513" s="1" t="s">
        <v>1496</v>
      </c>
      <c r="E513" s="1" t="s">
        <v>3833</v>
      </c>
      <c r="F513" s="1" t="s">
        <v>112</v>
      </c>
      <c r="G513" s="1">
        <v>78257</v>
      </c>
    </row>
    <row r="514" spans="1:10" x14ac:dyDescent="0.25">
      <c r="A514" s="1" t="str">
        <f t="shared" ref="A514:A577" si="8">IFERROR(LEFT(RIGHT(C514,LEN(C514)-SEARCH("@",C514)),SEARCH("/",RIGHT(C514,LEN(C514)-SEARCH("@",C514)-1))),"")</f>
        <v>04 Testo+ FAD</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3834</v>
      </c>
      <c r="D514" s="1" t="s">
        <v>785</v>
      </c>
      <c r="E514" s="1" t="s">
        <v>3835</v>
      </c>
      <c r="F514" s="1" t="s">
        <v>112</v>
      </c>
      <c r="G514" s="1">
        <v>40383</v>
      </c>
    </row>
    <row r="515" spans="1:10" x14ac:dyDescent="0.25">
      <c r="A515" s="1" t="str">
        <f t="shared" si="8"/>
        <v>04 Testo+ FAD</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3836</v>
      </c>
      <c r="D515" s="1" t="s">
        <v>938</v>
      </c>
      <c r="E515" s="1" t="s">
        <v>2206</v>
      </c>
      <c r="F515" s="1" t="s">
        <v>112</v>
      </c>
      <c r="G515" s="1">
        <v>306820</v>
      </c>
    </row>
    <row r="516" spans="1:10" x14ac:dyDescent="0.25">
      <c r="A516" s="1" t="str">
        <f t="shared" si="8"/>
        <v>04 Testo+ FAD</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3837</v>
      </c>
      <c r="D516" s="1" t="s">
        <v>1553</v>
      </c>
      <c r="E516" s="1" t="s">
        <v>3838</v>
      </c>
      <c r="F516" s="1" t="s">
        <v>112</v>
      </c>
      <c r="G516" s="1">
        <v>203537</v>
      </c>
    </row>
    <row r="517" spans="1:10" x14ac:dyDescent="0.25">
      <c r="A517" s="1" t="str">
        <f t="shared" si="8"/>
        <v>04 Testo+ FAD</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3839</v>
      </c>
      <c r="D517" s="1" t="s">
        <v>722</v>
      </c>
      <c r="E517" s="1">
        <v>63</v>
      </c>
      <c r="F517" s="1" t="s">
        <v>112</v>
      </c>
      <c r="G517" s="1">
        <v>46331</v>
      </c>
    </row>
    <row r="518" spans="1:10" x14ac:dyDescent="0.25">
      <c r="A518" s="1" t="str">
        <f t="shared" si="8"/>
        <v>04 Testo+ FAD</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3840</v>
      </c>
      <c r="D518" s="1" t="s">
        <v>194</v>
      </c>
      <c r="E518" s="1" t="s">
        <v>3522</v>
      </c>
      <c r="F518" s="1" t="s">
        <v>112</v>
      </c>
      <c r="G518" s="1">
        <v>43822</v>
      </c>
    </row>
    <row r="519" spans="1:10" x14ac:dyDescent="0.25">
      <c r="A519" s="1" t="str">
        <f t="shared" si="8"/>
        <v>04 Testo+ FAD</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3841</v>
      </c>
      <c r="D519" s="1" t="s">
        <v>353</v>
      </c>
      <c r="E519" s="1" t="s">
        <v>3842</v>
      </c>
      <c r="F519" s="1" t="s">
        <v>112</v>
      </c>
      <c r="G519" s="1">
        <v>63462</v>
      </c>
    </row>
    <row r="520" spans="1:10" x14ac:dyDescent="0.25">
      <c r="A520" s="1" t="str">
        <f t="shared" si="8"/>
        <v>04 Testo+ FAD</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3843</v>
      </c>
      <c r="D520" s="1" t="s">
        <v>728</v>
      </c>
      <c r="E520" s="1" t="s">
        <v>270</v>
      </c>
      <c r="F520" s="1" t="s">
        <v>112</v>
      </c>
      <c r="G520" s="1">
        <v>33353</v>
      </c>
    </row>
    <row r="521" spans="1:10" x14ac:dyDescent="0.2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10" x14ac:dyDescent="0.2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243</v>
      </c>
      <c r="D522" s="1" t="s">
        <v>112</v>
      </c>
      <c r="E522" s="1" t="s">
        <v>244</v>
      </c>
      <c r="F522" s="1" t="s">
        <v>245</v>
      </c>
      <c r="G522" s="1" t="s">
        <v>246</v>
      </c>
      <c r="H522" s="1" t="s">
        <v>247</v>
      </c>
      <c r="I522" s="1" t="s">
        <v>248</v>
      </c>
      <c r="J522" s="1" t="s">
        <v>249</v>
      </c>
    </row>
    <row r="523" spans="1:10" x14ac:dyDescent="0.25">
      <c r="A523" s="1" t="str">
        <f t="shared" si="8"/>
        <v>04 Testo+ FAD</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3844</v>
      </c>
      <c r="D523" s="1" t="s">
        <v>112</v>
      </c>
      <c r="E523" s="1" t="s">
        <v>1236</v>
      </c>
      <c r="F523" s="1" t="s">
        <v>3845</v>
      </c>
      <c r="G523" s="1" t="s">
        <v>3846</v>
      </c>
      <c r="H523" s="1" t="s">
        <v>3847</v>
      </c>
      <c r="I523" s="1">
        <v>24</v>
      </c>
      <c r="J523" s="1">
        <v>24</v>
      </c>
    </row>
    <row r="524" spans="1:10" x14ac:dyDescent="0.2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10" x14ac:dyDescent="0.2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10" x14ac:dyDescent="0.2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10" x14ac:dyDescent="0.2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10" x14ac:dyDescent="0.2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2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255</v>
      </c>
      <c r="D529" s="1" t="s">
        <v>110</v>
      </c>
      <c r="E529" s="1" t="s">
        <v>111</v>
      </c>
      <c r="F529" s="1" t="s">
        <v>112</v>
      </c>
      <c r="G529" s="1" t="s">
        <v>113</v>
      </c>
    </row>
    <row r="530" spans="1:7" x14ac:dyDescent="0.25">
      <c r="A530" s="1" t="str">
        <f t="shared" si="8"/>
        <v>05 Fadrozole 0.016 µg_L Dopé</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3848</v>
      </c>
      <c r="D530" s="1" t="s">
        <v>1043</v>
      </c>
      <c r="E530" s="1" t="s">
        <v>3849</v>
      </c>
      <c r="F530" s="1" t="s">
        <v>112</v>
      </c>
      <c r="G530" s="1">
        <v>243509</v>
      </c>
    </row>
    <row r="531" spans="1:7" x14ac:dyDescent="0.25">
      <c r="A531" s="1" t="str">
        <f t="shared" si="8"/>
        <v>05 Fadrozole 0.016 µg_L Dopé</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3850</v>
      </c>
      <c r="D531" s="1" t="s">
        <v>2842</v>
      </c>
      <c r="E531" s="1" t="s">
        <v>3851</v>
      </c>
      <c r="F531" s="1" t="s">
        <v>112</v>
      </c>
      <c r="G531" s="1">
        <v>115871</v>
      </c>
    </row>
    <row r="532" spans="1:7" x14ac:dyDescent="0.25">
      <c r="A532" s="1" t="str">
        <f t="shared" si="8"/>
        <v>05 Fadrozole 0.016 µg_L Dopé</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3852</v>
      </c>
      <c r="D532" s="1" t="s">
        <v>309</v>
      </c>
      <c r="E532" s="1" t="s">
        <v>3853</v>
      </c>
      <c r="F532" s="1" t="s">
        <v>112</v>
      </c>
      <c r="G532" s="1">
        <v>167805</v>
      </c>
    </row>
    <row r="533" spans="1:7" x14ac:dyDescent="0.25">
      <c r="A533" s="1" t="str">
        <f t="shared" si="8"/>
        <v>05 Fadrozole 0.016 µg_L Dopé</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3854</v>
      </c>
      <c r="D533" s="1" t="s">
        <v>191</v>
      </c>
      <c r="E533" s="1" t="s">
        <v>2223</v>
      </c>
      <c r="F533" s="1" t="s">
        <v>112</v>
      </c>
      <c r="G533" s="1">
        <v>45920</v>
      </c>
    </row>
    <row r="534" spans="1:7" x14ac:dyDescent="0.25">
      <c r="A534" s="1" t="str">
        <f t="shared" si="8"/>
        <v>05 Fadrozole 0.016 µg_L Dopé</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3855</v>
      </c>
      <c r="D534" s="1" t="s">
        <v>217</v>
      </c>
      <c r="E534" s="1" t="s">
        <v>406</v>
      </c>
      <c r="F534" s="1" t="s">
        <v>112</v>
      </c>
      <c r="G534" s="1">
        <v>49100</v>
      </c>
    </row>
    <row r="535" spans="1:7" x14ac:dyDescent="0.25">
      <c r="A535" s="1" t="str">
        <f t="shared" si="8"/>
        <v>05 Fadrozole 0.016 µg_L Dopé</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3856</v>
      </c>
      <c r="D535" s="1" t="s">
        <v>3857</v>
      </c>
      <c r="E535" s="1" t="s">
        <v>3858</v>
      </c>
      <c r="F535" s="1" t="s">
        <v>112</v>
      </c>
      <c r="G535" s="1">
        <v>65430</v>
      </c>
    </row>
    <row r="536" spans="1:7" x14ac:dyDescent="0.25">
      <c r="A536" s="1" t="str">
        <f t="shared" si="8"/>
        <v>05 Fadrozole 0.016 µg_L Dopé</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3859</v>
      </c>
    </row>
    <row r="537" spans="1:7" x14ac:dyDescent="0.25">
      <c r="A537" s="1" t="str">
        <f t="shared" si="8"/>
        <v>05 Fadrozole 0.016 µg_L Dopé</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3860</v>
      </c>
      <c r="D537" s="1" t="s">
        <v>1348</v>
      </c>
      <c r="E537" s="1" t="s">
        <v>3861</v>
      </c>
      <c r="F537" s="1" t="s">
        <v>112</v>
      </c>
      <c r="G537" s="1">
        <v>1021731</v>
      </c>
    </row>
    <row r="538" spans="1:7" x14ac:dyDescent="0.25">
      <c r="A538" s="1" t="str">
        <f t="shared" si="8"/>
        <v>05 Fadrozole 0.016 µg_L Dopé</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3862</v>
      </c>
      <c r="D538" s="1" t="s">
        <v>3863</v>
      </c>
      <c r="E538" s="1" t="s">
        <v>3864</v>
      </c>
      <c r="F538" s="1" t="s">
        <v>112</v>
      </c>
      <c r="G538" s="1">
        <v>1350830</v>
      </c>
    </row>
    <row r="539" spans="1:7" x14ac:dyDescent="0.25">
      <c r="A539" s="1" t="str">
        <f t="shared" si="8"/>
        <v>05 Fadrozole 0.016 µg_L Dopé</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3865</v>
      </c>
      <c r="D539" s="1" t="s">
        <v>3866</v>
      </c>
      <c r="E539" s="1" t="s">
        <v>3867</v>
      </c>
      <c r="F539" s="1" t="s">
        <v>112</v>
      </c>
      <c r="G539" s="1">
        <v>313569</v>
      </c>
    </row>
    <row r="540" spans="1:7" x14ac:dyDescent="0.25">
      <c r="A540" s="1" t="str">
        <f t="shared" si="8"/>
        <v>05 Fadrozole 0.016 µg_L Dopé</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3868</v>
      </c>
      <c r="D540" s="1" t="s">
        <v>318</v>
      </c>
      <c r="E540" s="1" t="s">
        <v>3869</v>
      </c>
      <c r="F540" s="1" t="s">
        <v>112</v>
      </c>
      <c r="G540" s="1">
        <v>291895</v>
      </c>
    </row>
    <row r="541" spans="1:7" x14ac:dyDescent="0.25">
      <c r="A541" s="1" t="str">
        <f t="shared" si="8"/>
        <v>05 Fadrozole 0.016 µg_L Dopé</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3870</v>
      </c>
      <c r="D541" s="1" t="s">
        <v>2101</v>
      </c>
      <c r="E541" s="1" t="s">
        <v>3871</v>
      </c>
      <c r="F541" s="1" t="s">
        <v>112</v>
      </c>
      <c r="G541" s="1">
        <v>234122</v>
      </c>
    </row>
    <row r="542" spans="1:7" x14ac:dyDescent="0.25">
      <c r="A542" s="1" t="str">
        <f t="shared" si="8"/>
        <v>05 Fadrozole 0.016 µg_L Dopé</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3872</v>
      </c>
    </row>
    <row r="543" spans="1:7" x14ac:dyDescent="0.25">
      <c r="A543" s="1" t="str">
        <f t="shared" si="8"/>
        <v>05 Fadrozole 0.016 µg_L Dopé</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3873</v>
      </c>
    </row>
    <row r="544" spans="1:7" x14ac:dyDescent="0.25">
      <c r="A544" s="1" t="str">
        <f t="shared" si="8"/>
        <v>05 Fadrozole 0.016 µg_L Dopé</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3874</v>
      </c>
      <c r="D544" s="1" t="s">
        <v>3875</v>
      </c>
      <c r="E544" s="1" t="s">
        <v>3876</v>
      </c>
      <c r="F544" s="1" t="s">
        <v>112</v>
      </c>
      <c r="G544" s="1">
        <v>109577</v>
      </c>
    </row>
    <row r="545" spans="1:10" x14ac:dyDescent="0.25">
      <c r="A545" s="1" t="str">
        <f t="shared" si="8"/>
        <v>05 Fadrozole 0.016 µg_L Dopé</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3877</v>
      </c>
      <c r="D545" s="1" t="s">
        <v>3878</v>
      </c>
      <c r="E545" s="1" t="s">
        <v>3879</v>
      </c>
      <c r="F545" s="1" t="s">
        <v>112</v>
      </c>
      <c r="G545" s="1">
        <v>971766</v>
      </c>
    </row>
    <row r="546" spans="1:10" x14ac:dyDescent="0.25">
      <c r="A546" s="1" t="str">
        <f t="shared" si="8"/>
        <v>05 Fadrozole 0.016 µg_L Dopé</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3880</v>
      </c>
      <c r="D546" s="1" t="s">
        <v>3881</v>
      </c>
      <c r="E546" s="1" t="s">
        <v>3882</v>
      </c>
      <c r="F546" s="1" t="s">
        <v>112</v>
      </c>
      <c r="G546" s="1">
        <v>957642</v>
      </c>
    </row>
    <row r="547" spans="1:10" x14ac:dyDescent="0.25">
      <c r="A547" s="1" t="str">
        <f t="shared" si="8"/>
        <v>05 Fadrozole 0.016 µg_L Dopé</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3883</v>
      </c>
    </row>
    <row r="548" spans="1:10" x14ac:dyDescent="0.25">
      <c r="A548" s="1" t="str">
        <f t="shared" si="8"/>
        <v>05 Fadrozole 0.016 µg_L Dopé</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3884</v>
      </c>
      <c r="D548" s="1" t="s">
        <v>2611</v>
      </c>
      <c r="E548" s="1" t="s">
        <v>3885</v>
      </c>
      <c r="F548" s="1" t="s">
        <v>112</v>
      </c>
      <c r="G548" s="1">
        <v>316078</v>
      </c>
    </row>
    <row r="549" spans="1:10" x14ac:dyDescent="0.25">
      <c r="A549" s="1" t="str">
        <f t="shared" si="8"/>
        <v>05 Fadrozole 0.016 µg_L Dopé</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3886</v>
      </c>
      <c r="D549" s="1" t="s">
        <v>3887</v>
      </c>
      <c r="E549" s="1" t="s">
        <v>3888</v>
      </c>
      <c r="F549" s="1" t="s">
        <v>112</v>
      </c>
      <c r="G549" s="1">
        <v>549291</v>
      </c>
    </row>
    <row r="550" spans="1:10" x14ac:dyDescent="0.25">
      <c r="A550" s="1" t="str">
        <f t="shared" si="8"/>
        <v>05 Fadrozole 0.016 µg_L Dopé</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3889</v>
      </c>
      <c r="D550" s="1" t="s">
        <v>3890</v>
      </c>
      <c r="E550" s="1" t="s">
        <v>3891</v>
      </c>
      <c r="F550" s="1" t="s">
        <v>112</v>
      </c>
      <c r="G550" s="1">
        <v>601419</v>
      </c>
    </row>
    <row r="551" spans="1:10" x14ac:dyDescent="0.25">
      <c r="A551" s="1" t="str">
        <f t="shared" si="8"/>
        <v>05 Fadrozole 0.016 µg_L Dopé</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3892</v>
      </c>
      <c r="D551" s="1" t="s">
        <v>3893</v>
      </c>
      <c r="E551" s="1" t="s">
        <v>3894</v>
      </c>
      <c r="F551" s="1" t="s">
        <v>112</v>
      </c>
      <c r="G551" s="1">
        <v>667996</v>
      </c>
    </row>
    <row r="552" spans="1:10" x14ac:dyDescent="0.25">
      <c r="A552" s="1" t="str">
        <f t="shared" si="8"/>
        <v>05 Fadrozole 0.016 µg_L Dopé</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3895</v>
      </c>
      <c r="D552" s="1" t="s">
        <v>2265</v>
      </c>
      <c r="E552" s="1" t="s">
        <v>3896</v>
      </c>
      <c r="F552" s="1" t="s">
        <v>112</v>
      </c>
      <c r="G552" s="1">
        <v>432857</v>
      </c>
    </row>
    <row r="553" spans="1:10" x14ac:dyDescent="0.25">
      <c r="A553" s="1" t="str">
        <f t="shared" si="8"/>
        <v>05 Fadrozole 0.016 µg_L Dopé</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3897</v>
      </c>
      <c r="D553" s="1" t="s">
        <v>3898</v>
      </c>
      <c r="E553" s="1" t="s">
        <v>3899</v>
      </c>
      <c r="F553" s="1" t="s">
        <v>112</v>
      </c>
      <c r="G553" s="1">
        <v>1109030</v>
      </c>
    </row>
    <row r="554" spans="1:10" x14ac:dyDescent="0.2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10" x14ac:dyDescent="0.2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243</v>
      </c>
      <c r="D555" s="1" t="s">
        <v>112</v>
      </c>
      <c r="E555" s="1" t="s">
        <v>244</v>
      </c>
      <c r="F555" s="1" t="s">
        <v>245</v>
      </c>
      <c r="G555" s="1" t="s">
        <v>246</v>
      </c>
      <c r="H555" s="1" t="s">
        <v>247</v>
      </c>
      <c r="I555" s="1" t="s">
        <v>248</v>
      </c>
      <c r="J555" s="1" t="s">
        <v>249</v>
      </c>
    </row>
    <row r="556" spans="1:10" x14ac:dyDescent="0.25">
      <c r="A556" s="1" t="str">
        <f t="shared" si="8"/>
        <v>05 Fadrozole 0.016 µg_L Dopé</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3900</v>
      </c>
      <c r="D556" s="1" t="s">
        <v>112</v>
      </c>
      <c r="E556" s="1" t="s">
        <v>3901</v>
      </c>
      <c r="F556" s="1" t="s">
        <v>3902</v>
      </c>
      <c r="G556" s="1">
        <v>535931</v>
      </c>
      <c r="H556" s="1" t="s">
        <v>3903</v>
      </c>
      <c r="I556" s="1">
        <v>24</v>
      </c>
      <c r="J556" s="1">
        <v>24</v>
      </c>
    </row>
    <row r="557" spans="1:10" x14ac:dyDescent="0.2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10" x14ac:dyDescent="0.2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10" x14ac:dyDescent="0.2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10" x14ac:dyDescent="0.2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2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2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255</v>
      </c>
      <c r="D562" s="1" t="s">
        <v>110</v>
      </c>
      <c r="E562" s="1" t="s">
        <v>111</v>
      </c>
      <c r="F562" s="1" t="s">
        <v>112</v>
      </c>
      <c r="G562" s="1" t="s">
        <v>113</v>
      </c>
    </row>
    <row r="563" spans="1:7" x14ac:dyDescent="0.25">
      <c r="A563" s="1" t="str">
        <f t="shared" si="8"/>
        <v>06  Fadrozole 0.08 µg_L Dopé</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3904</v>
      </c>
      <c r="D563" s="1" t="s">
        <v>191</v>
      </c>
      <c r="E563" s="1" t="s">
        <v>2948</v>
      </c>
      <c r="F563" s="1" t="s">
        <v>112</v>
      </c>
      <c r="G563" s="1">
        <v>45899</v>
      </c>
    </row>
    <row r="564" spans="1:7" x14ac:dyDescent="0.25">
      <c r="A564" s="1" t="str">
        <f t="shared" si="8"/>
        <v>06  Fadrozole 0.08 µg_L Dopé</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3905</v>
      </c>
      <c r="D564" s="1" t="s">
        <v>797</v>
      </c>
      <c r="E564" s="1" t="s">
        <v>3906</v>
      </c>
      <c r="F564" s="1" t="s">
        <v>112</v>
      </c>
      <c r="G564" s="1">
        <v>36619</v>
      </c>
    </row>
    <row r="565" spans="1:7" x14ac:dyDescent="0.25">
      <c r="A565" s="1" t="str">
        <f t="shared" si="8"/>
        <v>06  Fadrozole 0.08 µg_L Dopé</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3907</v>
      </c>
      <c r="D565" s="1" t="s">
        <v>725</v>
      </c>
      <c r="E565" s="1" t="s">
        <v>3908</v>
      </c>
      <c r="F565" s="1" t="s">
        <v>112</v>
      </c>
      <c r="G565" s="1">
        <v>20397</v>
      </c>
    </row>
    <row r="566" spans="1:7" x14ac:dyDescent="0.25">
      <c r="A566" s="1" t="str">
        <f t="shared" si="8"/>
        <v>06  Fadrozole 0.08 µg_L Dopé</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3909</v>
      </c>
      <c r="D566" s="1" t="s">
        <v>3910</v>
      </c>
      <c r="E566" s="1" t="s">
        <v>3911</v>
      </c>
      <c r="F566" s="1" t="s">
        <v>112</v>
      </c>
      <c r="G566" s="1">
        <v>3013109</v>
      </c>
    </row>
    <row r="567" spans="1:7" x14ac:dyDescent="0.25">
      <c r="A567" s="1" t="str">
        <f t="shared" si="8"/>
        <v>06  Fadrozole 0.08 µg_L Dopé</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3912</v>
      </c>
      <c r="D567" s="1" t="s">
        <v>3913</v>
      </c>
      <c r="E567" s="1" t="s">
        <v>3914</v>
      </c>
      <c r="F567" s="1" t="s">
        <v>112</v>
      </c>
      <c r="G567" s="1">
        <v>2094790</v>
      </c>
    </row>
    <row r="568" spans="1:7" x14ac:dyDescent="0.25">
      <c r="A568" s="1" t="str">
        <f t="shared" si="8"/>
        <v>06  Fadrozole 0.08 µg_L Dopé</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3915</v>
      </c>
      <c r="D568" s="1" t="s">
        <v>3181</v>
      </c>
      <c r="E568" s="1" t="s">
        <v>3916</v>
      </c>
      <c r="F568" s="1" t="s">
        <v>112</v>
      </c>
      <c r="G568" s="1">
        <v>1754444</v>
      </c>
    </row>
    <row r="569" spans="1:7" x14ac:dyDescent="0.25">
      <c r="A569" s="1" t="str">
        <f t="shared" si="8"/>
        <v>06  Fadrozole 0.08 µg_L Dopé</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3917</v>
      </c>
      <c r="D569" s="1" t="s">
        <v>191</v>
      </c>
      <c r="E569" s="1" t="s">
        <v>3918</v>
      </c>
      <c r="F569" s="1" t="s">
        <v>112</v>
      </c>
      <c r="G569" s="1">
        <v>45336</v>
      </c>
    </row>
    <row r="570" spans="1:7" x14ac:dyDescent="0.25">
      <c r="A570" s="1" t="str">
        <f t="shared" si="8"/>
        <v>06  Fadrozole 0.08 µg_L Dopé</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3919</v>
      </c>
      <c r="D570" s="1" t="s">
        <v>358</v>
      </c>
      <c r="E570" s="1" t="s">
        <v>3920</v>
      </c>
      <c r="F570" s="1" t="s">
        <v>112</v>
      </c>
      <c r="G570" s="1">
        <v>41421</v>
      </c>
    </row>
    <row r="571" spans="1:7" x14ac:dyDescent="0.25">
      <c r="A571" s="1" t="str">
        <f t="shared" si="8"/>
        <v>06  Fadrozole 0.08 µg_L Dopé</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3921</v>
      </c>
      <c r="D571" s="1" t="s">
        <v>3857</v>
      </c>
      <c r="E571" s="1" t="s">
        <v>3922</v>
      </c>
      <c r="F571" s="1" t="s">
        <v>112</v>
      </c>
      <c r="G571" s="1">
        <v>63159</v>
      </c>
    </row>
    <row r="572" spans="1:7" x14ac:dyDescent="0.25">
      <c r="A572" s="1" t="str">
        <f t="shared" si="8"/>
        <v>06  Fadrozole 0.08 µg_L Dopé</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3923</v>
      </c>
      <c r="D572" s="1" t="s">
        <v>3924</v>
      </c>
      <c r="E572" s="1" t="s">
        <v>3925</v>
      </c>
      <c r="F572" s="1" t="s">
        <v>112</v>
      </c>
      <c r="G572" s="1">
        <v>2084884</v>
      </c>
    </row>
    <row r="573" spans="1:7" x14ac:dyDescent="0.25">
      <c r="A573" s="1" t="str">
        <f t="shared" si="8"/>
        <v>06  Fadrozole 0.08 µg_L Dopé</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3926</v>
      </c>
      <c r="D573" s="1" t="s">
        <v>3927</v>
      </c>
      <c r="E573" s="1" t="s">
        <v>3928</v>
      </c>
      <c r="F573" s="1" t="s">
        <v>112</v>
      </c>
      <c r="G573" s="1">
        <v>1718971</v>
      </c>
    </row>
    <row r="574" spans="1:7" x14ac:dyDescent="0.25">
      <c r="A574" s="1" t="str">
        <f t="shared" si="8"/>
        <v>06  Fadrozole 0.08 µg_L Dopé</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3929</v>
      </c>
      <c r="D574" s="1" t="s">
        <v>492</v>
      </c>
      <c r="E574" s="1" t="s">
        <v>3930</v>
      </c>
      <c r="F574" s="1" t="s">
        <v>112</v>
      </c>
      <c r="G574" s="1">
        <v>1516796</v>
      </c>
    </row>
    <row r="575" spans="1:7" x14ac:dyDescent="0.25">
      <c r="A575" s="1" t="str">
        <f t="shared" si="8"/>
        <v>06  Fadrozole 0.08 µg_L Dopé</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3931</v>
      </c>
      <c r="D575" s="1" t="s">
        <v>3932</v>
      </c>
      <c r="E575" s="1" t="s">
        <v>3933</v>
      </c>
      <c r="F575" s="1" t="s">
        <v>112</v>
      </c>
      <c r="G575" s="1">
        <v>1990642</v>
      </c>
    </row>
    <row r="576" spans="1:7" x14ac:dyDescent="0.25">
      <c r="A576" s="1" t="str">
        <f t="shared" si="8"/>
        <v>06  Fadrozole 0.08 µg_L Dopé</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3934</v>
      </c>
      <c r="D576" s="1" t="s">
        <v>3935</v>
      </c>
      <c r="E576" s="1" t="s">
        <v>3936</v>
      </c>
      <c r="F576" s="1" t="s">
        <v>112</v>
      </c>
      <c r="G576" s="1">
        <v>2097970</v>
      </c>
    </row>
    <row r="577" spans="1:10" x14ac:dyDescent="0.25">
      <c r="A577" s="1" t="str">
        <f t="shared" si="8"/>
        <v>06  Fadrozole 0.08 µg_L Dopé</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3937</v>
      </c>
      <c r="D577" s="1" t="s">
        <v>3938</v>
      </c>
      <c r="E577" s="1" t="s">
        <v>3939</v>
      </c>
      <c r="F577" s="1" t="s">
        <v>112</v>
      </c>
      <c r="G577" s="1">
        <v>2087069</v>
      </c>
    </row>
    <row r="578" spans="1:10" x14ac:dyDescent="0.25">
      <c r="A578" s="1" t="str">
        <f t="shared" ref="A578:A641" si="9">IFERROR(LEFT(RIGHT(C578,LEN(C578)-SEARCH("@",C578)),SEARCH("/",RIGHT(C578,LEN(C578)-SEARCH("@",C578)-1))),"")</f>
        <v>06  Fadrozole 0.08 µg_L Dopé</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3940</v>
      </c>
      <c r="D578" s="1" t="s">
        <v>2265</v>
      </c>
      <c r="E578" s="1" t="s">
        <v>3941</v>
      </c>
      <c r="F578" s="1" t="s">
        <v>112</v>
      </c>
      <c r="G578" s="1">
        <v>406058</v>
      </c>
    </row>
    <row r="579" spans="1:10" x14ac:dyDescent="0.25">
      <c r="A579" s="1" t="str">
        <f t="shared" si="9"/>
        <v>06  Fadrozole 0.08 µg_L Dopé</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3942</v>
      </c>
      <c r="D579" s="1" t="s">
        <v>3943</v>
      </c>
      <c r="E579" s="1" t="s">
        <v>3944</v>
      </c>
      <c r="F579" s="1" t="s">
        <v>112</v>
      </c>
      <c r="G579" s="1">
        <v>528137</v>
      </c>
    </row>
    <row r="580" spans="1:10" x14ac:dyDescent="0.25">
      <c r="A580" s="1" t="str">
        <f t="shared" si="9"/>
        <v>06  Fadrozole 0.08 µg_L Dopé</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3945</v>
      </c>
      <c r="D580" s="1" t="s">
        <v>3946</v>
      </c>
      <c r="E580" s="1" t="s">
        <v>3947</v>
      </c>
      <c r="F580" s="1" t="s">
        <v>112</v>
      </c>
      <c r="G580" s="1">
        <v>469152</v>
      </c>
    </row>
    <row r="581" spans="1:10" x14ac:dyDescent="0.25">
      <c r="A581" s="1" t="str">
        <f t="shared" si="9"/>
        <v>06  Fadrozole 0.08 µg_L Dopé</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3948</v>
      </c>
      <c r="D581" s="1" t="s">
        <v>993</v>
      </c>
      <c r="E581" s="1" t="s">
        <v>3949</v>
      </c>
      <c r="F581" s="1" t="s">
        <v>112</v>
      </c>
      <c r="G581" s="1">
        <v>102591</v>
      </c>
    </row>
    <row r="582" spans="1:10" x14ac:dyDescent="0.25">
      <c r="A582" s="1" t="str">
        <f t="shared" si="9"/>
        <v>06  Fadrozole 0.08 µg_L Dopé</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3950</v>
      </c>
      <c r="D582" s="1" t="s">
        <v>704</v>
      </c>
      <c r="E582" s="1" t="s">
        <v>3951</v>
      </c>
      <c r="F582" s="1" t="s">
        <v>112</v>
      </c>
      <c r="G582" s="1">
        <v>115201</v>
      </c>
    </row>
    <row r="583" spans="1:10" x14ac:dyDescent="0.25">
      <c r="A583" s="1" t="str">
        <f t="shared" si="9"/>
        <v>06  Fadrozole 0.08 µg_L Dopé</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3952</v>
      </c>
      <c r="D583" s="1" t="s">
        <v>1390</v>
      </c>
      <c r="E583" s="1" t="s">
        <v>3953</v>
      </c>
      <c r="F583" s="1" t="s">
        <v>112</v>
      </c>
      <c r="G583" s="1">
        <v>87342</v>
      </c>
    </row>
    <row r="584" spans="1:10" x14ac:dyDescent="0.25">
      <c r="A584" s="1" t="str">
        <f t="shared" si="9"/>
        <v>06  Fadrozole 0.08 µg_L Dopé</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3954</v>
      </c>
      <c r="D584" s="1" t="s">
        <v>3955</v>
      </c>
      <c r="E584" s="1" t="s">
        <v>3956</v>
      </c>
      <c r="F584" s="1" t="s">
        <v>112</v>
      </c>
      <c r="G584" s="1">
        <v>310497</v>
      </c>
    </row>
    <row r="585" spans="1:10" x14ac:dyDescent="0.25">
      <c r="A585" s="1" t="str">
        <f t="shared" si="9"/>
        <v>06  Fadrozole 0.08 µg_L Dopé</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3957</v>
      </c>
      <c r="D585" s="1" t="s">
        <v>188</v>
      </c>
      <c r="E585" s="1" t="s">
        <v>3958</v>
      </c>
      <c r="F585" s="1" t="s">
        <v>112</v>
      </c>
      <c r="G585" s="1">
        <v>140508</v>
      </c>
    </row>
    <row r="586" spans="1:10" x14ac:dyDescent="0.25">
      <c r="A586" s="1" t="str">
        <f t="shared" si="9"/>
        <v>06  Fadrozole 0.08 µg_L Dopé</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3959</v>
      </c>
      <c r="D586" s="1" t="s">
        <v>876</v>
      </c>
      <c r="E586" s="1" t="s">
        <v>3960</v>
      </c>
      <c r="F586" s="1" t="s">
        <v>112</v>
      </c>
      <c r="G586" s="1">
        <v>120284</v>
      </c>
    </row>
    <row r="587" spans="1:10" x14ac:dyDescent="0.2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10" x14ac:dyDescent="0.2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243</v>
      </c>
      <c r="D588" s="1" t="s">
        <v>112</v>
      </c>
      <c r="E588" s="1" t="s">
        <v>244</v>
      </c>
      <c r="F588" s="1" t="s">
        <v>245</v>
      </c>
      <c r="G588" s="1" t="s">
        <v>246</v>
      </c>
      <c r="H588" s="1" t="s">
        <v>247</v>
      </c>
      <c r="I588" s="1" t="s">
        <v>248</v>
      </c>
      <c r="J588" s="1" t="s">
        <v>249</v>
      </c>
    </row>
    <row r="589" spans="1:10" x14ac:dyDescent="0.25">
      <c r="A589" s="1" t="str">
        <f t="shared" si="9"/>
        <v>06  Fadrozole 0.08 µg_L Dopé</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3961</v>
      </c>
      <c r="D589" s="1" t="s">
        <v>112</v>
      </c>
      <c r="E589" s="1" t="s">
        <v>3962</v>
      </c>
      <c r="F589" s="1" t="s">
        <v>3963</v>
      </c>
      <c r="G589" s="1" t="s">
        <v>3964</v>
      </c>
      <c r="H589" s="1" t="s">
        <v>3965</v>
      </c>
      <c r="I589" s="1">
        <v>24</v>
      </c>
      <c r="J589" s="1">
        <v>24</v>
      </c>
    </row>
    <row r="590" spans="1:10" x14ac:dyDescent="0.2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10" x14ac:dyDescent="0.2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10" x14ac:dyDescent="0.2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2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2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2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255</v>
      </c>
      <c r="D595" s="1" t="s">
        <v>110</v>
      </c>
      <c r="E595" s="1" t="s">
        <v>111</v>
      </c>
      <c r="F595" s="1" t="s">
        <v>112</v>
      </c>
      <c r="G595" s="1" t="s">
        <v>113</v>
      </c>
    </row>
    <row r="596" spans="1:7" x14ac:dyDescent="0.25">
      <c r="A596" s="1" t="str">
        <f t="shared" si="9"/>
        <v>07  Fadrozole 0.4 µg_L Dopé</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3966</v>
      </c>
      <c r="D596" s="1" t="s">
        <v>1481</v>
      </c>
      <c r="E596" s="1" t="s">
        <v>3967</v>
      </c>
      <c r="F596" s="1" t="s">
        <v>112</v>
      </c>
      <c r="G596" s="1">
        <v>67572</v>
      </c>
    </row>
    <row r="597" spans="1:7" x14ac:dyDescent="0.25">
      <c r="A597" s="1" t="str">
        <f t="shared" si="9"/>
        <v>07  Fadrozole 0.4 µg_L Dopé</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3968</v>
      </c>
      <c r="D597" s="1" t="s">
        <v>722</v>
      </c>
      <c r="E597" s="1" t="s">
        <v>1489</v>
      </c>
      <c r="F597" s="1" t="s">
        <v>112</v>
      </c>
      <c r="G597" s="1">
        <v>45964</v>
      </c>
    </row>
    <row r="598" spans="1:7" x14ac:dyDescent="0.25">
      <c r="A598" s="1" t="str">
        <f t="shared" si="9"/>
        <v>07  Fadrozole 0.4 µg_L Dopé</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3969</v>
      </c>
      <c r="D598" s="1" t="s">
        <v>876</v>
      </c>
      <c r="E598" s="1" t="s">
        <v>3970</v>
      </c>
      <c r="F598" s="1" t="s">
        <v>112</v>
      </c>
      <c r="G598" s="1">
        <v>125388</v>
      </c>
    </row>
    <row r="599" spans="1:7" x14ac:dyDescent="0.25">
      <c r="A599" s="1" t="str">
        <f t="shared" si="9"/>
        <v>07  Fadrozole 0.4 µg_L Dopé</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3971</v>
      </c>
      <c r="D599" s="1" t="s">
        <v>876</v>
      </c>
      <c r="E599" s="1" t="s">
        <v>3972</v>
      </c>
      <c r="F599" s="1" t="s">
        <v>112</v>
      </c>
      <c r="G599" s="1">
        <v>117018</v>
      </c>
    </row>
    <row r="600" spans="1:7" x14ac:dyDescent="0.25">
      <c r="A600" s="1" t="str">
        <f t="shared" si="9"/>
        <v>07  Fadrozole 0.4 µg_L Dopé</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3973</v>
      </c>
    </row>
    <row r="601" spans="1:7" x14ac:dyDescent="0.25">
      <c r="A601" s="1" t="str">
        <f t="shared" si="9"/>
        <v>07  Fadrozole 0.4 µg_L Dopé</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3974</v>
      </c>
      <c r="D601" s="1" t="s">
        <v>298</v>
      </c>
      <c r="E601" s="1" t="s">
        <v>3975</v>
      </c>
      <c r="F601" s="1" t="s">
        <v>112</v>
      </c>
      <c r="G601" s="1">
        <v>92208</v>
      </c>
    </row>
    <row r="602" spans="1:7" x14ac:dyDescent="0.25">
      <c r="A602" s="1" t="str">
        <f t="shared" si="9"/>
        <v>07  Fadrozole 0.4 µg_L Dopé</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3976</v>
      </c>
      <c r="D602" s="1" t="s">
        <v>3977</v>
      </c>
      <c r="E602" s="1" t="s">
        <v>3978</v>
      </c>
      <c r="F602" s="1" t="s">
        <v>112</v>
      </c>
      <c r="G602" s="1">
        <v>1467091</v>
      </c>
    </row>
    <row r="603" spans="1:7" x14ac:dyDescent="0.25">
      <c r="A603" s="1" t="str">
        <f t="shared" si="9"/>
        <v>07  Fadrozole 0.4 µg_L Dopé</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3979</v>
      </c>
      <c r="D603" s="1" t="s">
        <v>3980</v>
      </c>
      <c r="E603" s="1" t="s">
        <v>3981</v>
      </c>
      <c r="F603" s="1" t="s">
        <v>112</v>
      </c>
      <c r="G603" s="1">
        <v>1142361</v>
      </c>
    </row>
    <row r="604" spans="1:7" x14ac:dyDescent="0.25">
      <c r="A604" s="1" t="str">
        <f t="shared" si="9"/>
        <v>07  Fadrozole 0.4 µg_L Dopé</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3982</v>
      </c>
      <c r="D604" s="1" t="s">
        <v>3983</v>
      </c>
      <c r="E604" s="1" t="s">
        <v>3984</v>
      </c>
      <c r="F604" s="1" t="s">
        <v>112</v>
      </c>
      <c r="G604" s="1">
        <v>857993</v>
      </c>
    </row>
    <row r="605" spans="1:7" x14ac:dyDescent="0.25">
      <c r="A605" s="1" t="str">
        <f t="shared" si="9"/>
        <v>07  Fadrozole 0.4 µg_L Dopé</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3985</v>
      </c>
      <c r="D605" s="1" t="s">
        <v>405</v>
      </c>
      <c r="E605" s="1" t="s">
        <v>3986</v>
      </c>
      <c r="F605" s="1" t="s">
        <v>112</v>
      </c>
      <c r="G605" s="1">
        <v>19726</v>
      </c>
    </row>
    <row r="606" spans="1:7" x14ac:dyDescent="0.25">
      <c r="A606" s="1" t="str">
        <f t="shared" si="9"/>
        <v>07  Fadrozole 0.4 µg_L Dopé</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3987</v>
      </c>
      <c r="D606" s="1" t="s">
        <v>865</v>
      </c>
      <c r="E606" s="1" t="s">
        <v>3988</v>
      </c>
      <c r="F606" s="1" t="s">
        <v>112</v>
      </c>
      <c r="G606" s="1">
        <v>26972</v>
      </c>
    </row>
    <row r="607" spans="1:7" x14ac:dyDescent="0.25">
      <c r="A607" s="1" t="str">
        <f t="shared" si="9"/>
        <v>07  Fadrozole 0.4 µg_L Dopé</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3989</v>
      </c>
      <c r="D607" s="1" t="s">
        <v>229</v>
      </c>
      <c r="E607" s="1" t="s">
        <v>3990</v>
      </c>
      <c r="F607" s="1" t="s">
        <v>112</v>
      </c>
      <c r="G607" s="1">
        <v>11269</v>
      </c>
    </row>
    <row r="608" spans="1:7" x14ac:dyDescent="0.25">
      <c r="A608" s="1" t="str">
        <f t="shared" si="9"/>
        <v>07  Fadrozole 0.4 µg_L Dopé</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3991</v>
      </c>
      <c r="D608" s="1" t="s">
        <v>1609</v>
      </c>
      <c r="E608" s="1" t="s">
        <v>3992</v>
      </c>
      <c r="F608" s="1" t="s">
        <v>112</v>
      </c>
      <c r="G608" s="1">
        <v>253502</v>
      </c>
    </row>
    <row r="609" spans="1:10" x14ac:dyDescent="0.25">
      <c r="A609" s="1" t="str">
        <f t="shared" si="9"/>
        <v>07  Fadrozole 0.4 µg_L Dopé</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3993</v>
      </c>
      <c r="D609" s="1" t="s">
        <v>3817</v>
      </c>
      <c r="E609" s="1" t="s">
        <v>3994</v>
      </c>
      <c r="F609" s="1" t="s">
        <v>112</v>
      </c>
      <c r="G609" s="1">
        <v>142952</v>
      </c>
    </row>
    <row r="610" spans="1:10" x14ac:dyDescent="0.25">
      <c r="A610" s="1" t="str">
        <f t="shared" si="9"/>
        <v>07  Fadrozole 0.4 µg_L Dopé</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3995</v>
      </c>
      <c r="D610" s="1" t="s">
        <v>3031</v>
      </c>
      <c r="E610" s="1" t="s">
        <v>3996</v>
      </c>
      <c r="F610" s="1" t="s">
        <v>112</v>
      </c>
      <c r="G610" s="1">
        <v>86390</v>
      </c>
    </row>
    <row r="611" spans="1:10" x14ac:dyDescent="0.25">
      <c r="A611" s="1" t="str">
        <f t="shared" si="9"/>
        <v>07  Fadrozole 0.4 µg_L Dopé</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3997</v>
      </c>
      <c r="D611" s="1" t="s">
        <v>366</v>
      </c>
      <c r="E611" s="1" t="s">
        <v>3998</v>
      </c>
      <c r="F611" s="1" t="s">
        <v>112</v>
      </c>
      <c r="G611" s="1">
        <v>129693</v>
      </c>
    </row>
    <row r="612" spans="1:10" x14ac:dyDescent="0.25">
      <c r="A612" s="1" t="str">
        <f t="shared" si="9"/>
        <v>07  Fadrozole 0.4 µg_L Dopé</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3999</v>
      </c>
      <c r="D612" s="1" t="s">
        <v>197</v>
      </c>
      <c r="E612" s="1" t="s">
        <v>4000</v>
      </c>
      <c r="F612" s="1" t="s">
        <v>112</v>
      </c>
      <c r="G612" s="1">
        <v>72179</v>
      </c>
    </row>
    <row r="613" spans="1:10" x14ac:dyDescent="0.25">
      <c r="A613" s="1" t="str">
        <f t="shared" si="9"/>
        <v>07  Fadrozole 0.4 µg_L Dopé</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4001</v>
      </c>
      <c r="D613" s="1" t="s">
        <v>3875</v>
      </c>
      <c r="E613" s="1" t="s">
        <v>4002</v>
      </c>
      <c r="F613" s="1" t="s">
        <v>112</v>
      </c>
      <c r="G613" s="1">
        <v>114141</v>
      </c>
    </row>
    <row r="614" spans="1:10" x14ac:dyDescent="0.25">
      <c r="A614" s="1" t="str">
        <f t="shared" si="9"/>
        <v>07  Fadrozole 0.4 µg_L Dopé</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4003</v>
      </c>
      <c r="D614" s="1" t="s">
        <v>2579</v>
      </c>
      <c r="E614" s="1" t="s">
        <v>4004</v>
      </c>
      <c r="F614" s="1" t="s">
        <v>112</v>
      </c>
      <c r="G614" s="1">
        <v>119094</v>
      </c>
    </row>
    <row r="615" spans="1:10" x14ac:dyDescent="0.25">
      <c r="A615" s="1" t="str">
        <f t="shared" si="9"/>
        <v>07  Fadrozole 0.4 µg_L Dopé</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4005</v>
      </c>
      <c r="D615" s="1" t="s">
        <v>972</v>
      </c>
      <c r="E615" s="1" t="s">
        <v>4006</v>
      </c>
      <c r="F615" s="1" t="s">
        <v>112</v>
      </c>
      <c r="G615" s="1">
        <v>357521</v>
      </c>
    </row>
    <row r="616" spans="1:10" x14ac:dyDescent="0.25">
      <c r="A616" s="1" t="str">
        <f t="shared" si="9"/>
        <v>07  Fadrozole 0.4 µg_L Dopé</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4007</v>
      </c>
      <c r="D616" s="1" t="s">
        <v>1091</v>
      </c>
      <c r="E616" s="1" t="s">
        <v>4008</v>
      </c>
      <c r="F616" s="1" t="s">
        <v>112</v>
      </c>
      <c r="G616" s="1">
        <v>180415</v>
      </c>
    </row>
    <row r="617" spans="1:10" x14ac:dyDescent="0.25">
      <c r="A617" s="1" t="str">
        <f t="shared" si="9"/>
        <v>07  Fadrozole 0.4 µg_L Dopé</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4009</v>
      </c>
      <c r="D617" s="1" t="s">
        <v>4010</v>
      </c>
      <c r="E617" s="1" t="s">
        <v>4011</v>
      </c>
      <c r="F617" s="1" t="s">
        <v>112</v>
      </c>
      <c r="G617" s="1">
        <v>1342697</v>
      </c>
    </row>
    <row r="618" spans="1:10" x14ac:dyDescent="0.25">
      <c r="A618" s="1" t="str">
        <f t="shared" si="9"/>
        <v>07  Fadrozole 0.4 µg_L Dopé</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4012</v>
      </c>
      <c r="D618" s="1" t="s">
        <v>4013</v>
      </c>
      <c r="E618" s="1" t="s">
        <v>4014</v>
      </c>
      <c r="F618" s="1" t="s">
        <v>112</v>
      </c>
      <c r="G618" s="1">
        <v>1213307</v>
      </c>
    </row>
    <row r="619" spans="1:10" x14ac:dyDescent="0.25">
      <c r="A619" s="1" t="str">
        <f t="shared" si="9"/>
        <v>07  Fadrozole 0.4 µg_L Dopé</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4015</v>
      </c>
      <c r="D619" s="1" t="s">
        <v>4016</v>
      </c>
      <c r="E619" s="1" t="s">
        <v>4017</v>
      </c>
      <c r="F619" s="1" t="s">
        <v>112</v>
      </c>
      <c r="G619" s="1">
        <v>1285530</v>
      </c>
    </row>
    <row r="620" spans="1:10" x14ac:dyDescent="0.2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10" x14ac:dyDescent="0.2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243</v>
      </c>
      <c r="D621" s="1" t="s">
        <v>112</v>
      </c>
      <c r="E621" s="1" t="s">
        <v>244</v>
      </c>
      <c r="F621" s="1" t="s">
        <v>245</v>
      </c>
      <c r="G621" s="1" t="s">
        <v>246</v>
      </c>
      <c r="H621" s="1" t="s">
        <v>247</v>
      </c>
      <c r="I621" s="1" t="s">
        <v>248</v>
      </c>
      <c r="J621" s="1" t="s">
        <v>249</v>
      </c>
    </row>
    <row r="622" spans="1:10" x14ac:dyDescent="0.25">
      <c r="A622" s="1" t="str">
        <f t="shared" si="9"/>
        <v>07  Fadrozole 0.4 µg_L Dopé</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4018</v>
      </c>
      <c r="D622" s="1" t="s">
        <v>112</v>
      </c>
      <c r="E622" s="1" t="s">
        <v>4019</v>
      </c>
      <c r="F622" s="1" t="s">
        <v>4020</v>
      </c>
      <c r="G622" s="1" t="s">
        <v>4021</v>
      </c>
      <c r="H622" s="1" t="s">
        <v>4022</v>
      </c>
      <c r="I622" s="1">
        <v>24</v>
      </c>
      <c r="J622" s="1">
        <v>24</v>
      </c>
    </row>
    <row r="623" spans="1:10" x14ac:dyDescent="0.2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10" x14ac:dyDescent="0.2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2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2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2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2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255</v>
      </c>
      <c r="D628" s="1" t="s">
        <v>110</v>
      </c>
      <c r="E628" s="1" t="s">
        <v>111</v>
      </c>
      <c r="F628" s="1" t="s">
        <v>112</v>
      </c>
      <c r="G628" s="1" t="s">
        <v>113</v>
      </c>
    </row>
    <row r="629" spans="1:7" x14ac:dyDescent="0.25">
      <c r="A629" s="1" t="str">
        <f t="shared" si="9"/>
        <v>08  Fadrozole 2 µg_L Dopé</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4023</v>
      </c>
      <c r="D629" s="1" t="s">
        <v>4024</v>
      </c>
      <c r="E629" s="1" t="s">
        <v>4025</v>
      </c>
      <c r="F629" s="1" t="s">
        <v>112</v>
      </c>
      <c r="G629" s="1">
        <v>224302</v>
      </c>
    </row>
    <row r="630" spans="1:7" x14ac:dyDescent="0.25">
      <c r="A630" s="1" t="str">
        <f t="shared" si="9"/>
        <v>08  Fadrozole 2 µg_L Dopé</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4026</v>
      </c>
      <c r="D630" s="1" t="s">
        <v>344</v>
      </c>
      <c r="E630" s="1" t="s">
        <v>4027</v>
      </c>
      <c r="F630" s="1" t="s">
        <v>112</v>
      </c>
      <c r="G630" s="1">
        <v>169189</v>
      </c>
    </row>
    <row r="631" spans="1:7" x14ac:dyDescent="0.25">
      <c r="A631" s="1" t="str">
        <f t="shared" si="9"/>
        <v>08  Fadrozole 2 µg_L Dopé</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4028</v>
      </c>
      <c r="D631" s="1" t="s">
        <v>797</v>
      </c>
      <c r="E631" s="1" t="s">
        <v>4029</v>
      </c>
      <c r="F631" s="1" t="s">
        <v>112</v>
      </c>
      <c r="G631" s="1">
        <v>35213</v>
      </c>
    </row>
    <row r="632" spans="1:7" x14ac:dyDescent="0.25">
      <c r="A632" s="1" t="str">
        <f t="shared" si="9"/>
        <v>08  Fadrozole 2 µg_L Dopé</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4030</v>
      </c>
      <c r="D632" s="1" t="s">
        <v>1496</v>
      </c>
      <c r="E632" s="1" t="s">
        <v>4031</v>
      </c>
      <c r="F632" s="1" t="s">
        <v>112</v>
      </c>
      <c r="G632" s="1">
        <v>76829</v>
      </c>
    </row>
    <row r="633" spans="1:7" x14ac:dyDescent="0.25">
      <c r="A633" s="1" t="str">
        <f t="shared" si="9"/>
        <v>08  Fadrozole 2 µg_L Dopé</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4032</v>
      </c>
      <c r="D633" s="1" t="s">
        <v>4033</v>
      </c>
      <c r="E633" s="1" t="s">
        <v>4034</v>
      </c>
      <c r="F633" s="1" t="s">
        <v>112</v>
      </c>
      <c r="G633" s="1">
        <v>151647</v>
      </c>
    </row>
    <row r="634" spans="1:7" x14ac:dyDescent="0.25">
      <c r="A634" s="1" t="str">
        <f t="shared" si="9"/>
        <v>08  Fadrozole 2 µg_L Dopé</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4035</v>
      </c>
      <c r="D634" s="1" t="s">
        <v>275</v>
      </c>
      <c r="E634" s="1" t="s">
        <v>4036</v>
      </c>
      <c r="F634" s="1" t="s">
        <v>112</v>
      </c>
      <c r="G634" s="1">
        <v>55459</v>
      </c>
    </row>
    <row r="635" spans="1:7" x14ac:dyDescent="0.25">
      <c r="A635" s="1" t="str">
        <f t="shared" si="9"/>
        <v>08  Fadrozole 2 µg_L Dopé</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4037</v>
      </c>
      <c r="D635" s="1" t="s">
        <v>229</v>
      </c>
      <c r="E635" s="1" t="s">
        <v>2769</v>
      </c>
      <c r="F635" s="1" t="s">
        <v>112</v>
      </c>
      <c r="G635" s="1">
        <v>10837</v>
      </c>
    </row>
    <row r="636" spans="1:7" x14ac:dyDescent="0.25">
      <c r="A636" s="1" t="str">
        <f t="shared" si="9"/>
        <v>08  Fadrozole 2 µg_L Dopé</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4038</v>
      </c>
      <c r="D636" s="1" t="s">
        <v>824</v>
      </c>
      <c r="E636" s="1" t="s">
        <v>4039</v>
      </c>
      <c r="F636" s="1" t="s">
        <v>112</v>
      </c>
      <c r="G636" s="1">
        <v>15249</v>
      </c>
    </row>
    <row r="637" spans="1:7" x14ac:dyDescent="0.25">
      <c r="A637" s="1" t="str">
        <f t="shared" si="9"/>
        <v>08  Fadrozole 2 µg_L Dopé</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4040</v>
      </c>
      <c r="D637" s="1" t="s">
        <v>229</v>
      </c>
      <c r="E637" s="1" t="s">
        <v>3990</v>
      </c>
      <c r="F637" s="1" t="s">
        <v>112</v>
      </c>
      <c r="G637" s="1">
        <v>11269</v>
      </c>
    </row>
    <row r="638" spans="1:7" x14ac:dyDescent="0.25">
      <c r="A638" s="1" t="str">
        <f t="shared" si="9"/>
        <v>08  Fadrozole 2 µg_L Dopé</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4041</v>
      </c>
      <c r="D638" s="1" t="s">
        <v>785</v>
      </c>
      <c r="E638" s="1" t="s">
        <v>4042</v>
      </c>
      <c r="F638" s="1" t="s">
        <v>112</v>
      </c>
      <c r="G638" s="1">
        <v>38696</v>
      </c>
    </row>
    <row r="639" spans="1:7" x14ac:dyDescent="0.25">
      <c r="A639" s="1" t="str">
        <f t="shared" si="9"/>
        <v>08  Fadrozole 2 µg_L Dopé</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4043</v>
      </c>
      <c r="D639" s="1" t="s">
        <v>811</v>
      </c>
      <c r="E639" s="1" t="s">
        <v>4044</v>
      </c>
      <c r="F639" s="1" t="s">
        <v>112</v>
      </c>
      <c r="G639" s="1">
        <v>164993</v>
      </c>
    </row>
    <row r="640" spans="1:7" x14ac:dyDescent="0.25">
      <c r="A640" s="1" t="str">
        <f t="shared" si="9"/>
        <v>08  Fadrozole 2 µg_L Dopé</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4045</v>
      </c>
      <c r="D640" s="1" t="s">
        <v>353</v>
      </c>
      <c r="E640" s="1" t="s">
        <v>4046</v>
      </c>
      <c r="F640" s="1" t="s">
        <v>112</v>
      </c>
      <c r="G640" s="1">
        <v>60867</v>
      </c>
    </row>
    <row r="641" spans="1:10" x14ac:dyDescent="0.25">
      <c r="A641" s="1" t="str">
        <f t="shared" si="9"/>
        <v>08  Fadrozole 2 µg_L Dopé</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4047</v>
      </c>
      <c r="D641" s="1" t="s">
        <v>288</v>
      </c>
      <c r="E641" s="1" t="s">
        <v>2588</v>
      </c>
      <c r="F641" s="1" t="s">
        <v>112</v>
      </c>
      <c r="G641" s="1">
        <v>13540</v>
      </c>
    </row>
    <row r="642" spans="1:10" x14ac:dyDescent="0.25">
      <c r="A642" s="1" t="str">
        <f t="shared" ref="A642:A705" si="10">IFERROR(LEFT(RIGHT(C642,LEN(C642)-SEARCH("@",C642)),SEARCH("/",RIGHT(C642,LEN(C642)-SEARCH("@",C642)-1))),"")</f>
        <v>08  Fadrozole 2 µg_L Dopé</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4048</v>
      </c>
      <c r="D642" s="1" t="s">
        <v>275</v>
      </c>
      <c r="E642" s="1" t="s">
        <v>4049</v>
      </c>
      <c r="F642" s="1" t="s">
        <v>112</v>
      </c>
      <c r="G642" s="1">
        <v>53447</v>
      </c>
    </row>
    <row r="643" spans="1:10" x14ac:dyDescent="0.25">
      <c r="A643" s="1" t="str">
        <f t="shared" si="10"/>
        <v>08  Fadrozole 2 µg_L Dopé</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4050</v>
      </c>
      <c r="D643" s="1" t="s">
        <v>361</v>
      </c>
      <c r="E643" s="1" t="s">
        <v>3411</v>
      </c>
      <c r="F643" s="1" t="s">
        <v>112</v>
      </c>
      <c r="G643" s="1">
        <v>30390</v>
      </c>
    </row>
    <row r="644" spans="1:10" x14ac:dyDescent="0.25">
      <c r="A644" s="1" t="str">
        <f t="shared" si="10"/>
        <v>08  Fadrozole 2 µg_L Dopé</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4051</v>
      </c>
      <c r="D644" s="1" t="s">
        <v>209</v>
      </c>
      <c r="E644" s="1" t="s">
        <v>4052</v>
      </c>
      <c r="F644" s="1" t="s">
        <v>112</v>
      </c>
      <c r="G644" s="1">
        <v>530105</v>
      </c>
    </row>
    <row r="645" spans="1:10" x14ac:dyDescent="0.25">
      <c r="A645" s="1" t="str">
        <f t="shared" si="10"/>
        <v>08  Fadrozole 2 µg_L Dopé</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4053</v>
      </c>
      <c r="D645" s="1" t="s">
        <v>824</v>
      </c>
      <c r="E645" s="1" t="s">
        <v>2574</v>
      </c>
      <c r="F645" s="1" t="s">
        <v>112</v>
      </c>
      <c r="G645" s="1">
        <v>14903</v>
      </c>
    </row>
    <row r="646" spans="1:10" x14ac:dyDescent="0.25">
      <c r="A646" s="1" t="str">
        <f t="shared" si="10"/>
        <v>08  Fadrozole 2 µg_L Dopé</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4054</v>
      </c>
      <c r="D646" s="1" t="s">
        <v>263</v>
      </c>
      <c r="E646" s="1" t="s">
        <v>4055</v>
      </c>
      <c r="F646" s="1" t="s">
        <v>112</v>
      </c>
      <c r="G646" s="1">
        <v>24809</v>
      </c>
    </row>
    <row r="647" spans="1:10" x14ac:dyDescent="0.25">
      <c r="A647" s="1" t="str">
        <f t="shared" si="10"/>
        <v>08  Fadrozole 2 µg_L Dopé</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4056</v>
      </c>
      <c r="D647" s="1" t="s">
        <v>217</v>
      </c>
      <c r="E647" s="1" t="s">
        <v>4057</v>
      </c>
      <c r="F647" s="1" t="s">
        <v>112</v>
      </c>
      <c r="G647" s="1">
        <v>47651</v>
      </c>
    </row>
    <row r="648" spans="1:10" x14ac:dyDescent="0.25">
      <c r="A648" s="1" t="str">
        <f t="shared" si="10"/>
        <v>08  Fadrozole 2 µg_L Dopé</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4058</v>
      </c>
      <c r="D648" s="1" t="s">
        <v>837</v>
      </c>
      <c r="E648" s="1" t="s">
        <v>4059</v>
      </c>
      <c r="F648" s="1" t="s">
        <v>112</v>
      </c>
      <c r="G648" s="1">
        <v>64933</v>
      </c>
    </row>
    <row r="649" spans="1:10" x14ac:dyDescent="0.25">
      <c r="A649" s="1" t="str">
        <f t="shared" si="10"/>
        <v>08  Fadrozole 2 µg_L Dopé</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4060</v>
      </c>
      <c r="D649" s="1" t="s">
        <v>725</v>
      </c>
      <c r="E649" s="1" t="s">
        <v>4061</v>
      </c>
      <c r="F649" s="1" t="s">
        <v>112</v>
      </c>
      <c r="G649" s="1">
        <v>21457</v>
      </c>
    </row>
    <row r="650" spans="1:10" x14ac:dyDescent="0.25">
      <c r="A650" s="1" t="str">
        <f t="shared" si="10"/>
        <v>08  Fadrozole 2 µg_L Dopé</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4062</v>
      </c>
      <c r="D650" s="1" t="s">
        <v>423</v>
      </c>
      <c r="E650" s="1" t="s">
        <v>4063</v>
      </c>
      <c r="F650" s="1" t="s">
        <v>112</v>
      </c>
      <c r="G650" s="1">
        <v>82605</v>
      </c>
    </row>
    <row r="651" spans="1:10" x14ac:dyDescent="0.25">
      <c r="A651" s="1" t="str">
        <f t="shared" si="10"/>
        <v>08  Fadrozole 2 µg_L Dopé</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4064</v>
      </c>
      <c r="D651" s="1" t="s">
        <v>775</v>
      </c>
      <c r="E651" s="1" t="s">
        <v>4065</v>
      </c>
      <c r="F651" s="1" t="s">
        <v>112</v>
      </c>
      <c r="G651" s="1">
        <v>158958</v>
      </c>
    </row>
    <row r="652" spans="1:10" x14ac:dyDescent="0.25">
      <c r="A652" s="1" t="str">
        <f t="shared" si="10"/>
        <v>08  Fadrozole 2 µg_L Dopé</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4066</v>
      </c>
      <c r="D652" s="1" t="s">
        <v>420</v>
      </c>
      <c r="E652" s="1" t="s">
        <v>4067</v>
      </c>
      <c r="F652" s="1" t="s">
        <v>112</v>
      </c>
      <c r="G652" s="1">
        <v>112648</v>
      </c>
    </row>
    <row r="653" spans="1:10" x14ac:dyDescent="0.2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10" x14ac:dyDescent="0.2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243</v>
      </c>
      <c r="D654" s="1" t="s">
        <v>112</v>
      </c>
      <c r="E654" s="1" t="s">
        <v>244</v>
      </c>
      <c r="F654" s="1" t="s">
        <v>245</v>
      </c>
      <c r="G654" s="1" t="s">
        <v>246</v>
      </c>
      <c r="H654" s="1" t="s">
        <v>247</v>
      </c>
      <c r="I654" s="1" t="s">
        <v>248</v>
      </c>
      <c r="J654" s="1" t="s">
        <v>249</v>
      </c>
    </row>
    <row r="655" spans="1:10" x14ac:dyDescent="0.25">
      <c r="A655" s="1" t="str">
        <f t="shared" si="10"/>
        <v>08  Fadrozole 2 µg_L Dopé</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4068</v>
      </c>
      <c r="D655" s="1" t="s">
        <v>112</v>
      </c>
      <c r="E655" s="1" t="s">
        <v>4069</v>
      </c>
      <c r="F655" s="1" t="s">
        <v>4070</v>
      </c>
      <c r="G655" s="1" t="s">
        <v>4071</v>
      </c>
      <c r="H655" s="1" t="s">
        <v>4072</v>
      </c>
      <c r="I655" s="1">
        <v>24</v>
      </c>
      <c r="J655" s="1">
        <v>24</v>
      </c>
    </row>
    <row r="656" spans="1:10" x14ac:dyDescent="0.2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2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2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2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2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2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255</v>
      </c>
      <c r="D661" s="1" t="s">
        <v>110</v>
      </c>
      <c r="E661" s="1" t="s">
        <v>111</v>
      </c>
      <c r="F661" s="1" t="s">
        <v>112</v>
      </c>
      <c r="G661" s="1" t="s">
        <v>113</v>
      </c>
    </row>
    <row r="662" spans="1:7" x14ac:dyDescent="0.25">
      <c r="A662" s="1" t="str">
        <f t="shared" si="10"/>
        <v>09  Fadrozole 10 µg_L Dopé</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4073</v>
      </c>
      <c r="D662" s="1" t="s">
        <v>341</v>
      </c>
      <c r="E662" s="1" t="s">
        <v>4074</v>
      </c>
      <c r="F662" s="1" t="s">
        <v>112</v>
      </c>
      <c r="G662" s="1">
        <v>32769</v>
      </c>
    </row>
    <row r="663" spans="1:7" x14ac:dyDescent="0.25">
      <c r="A663" s="1" t="str">
        <f t="shared" si="10"/>
        <v>09  Fadrozole 10 µg_L Dopé</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4075</v>
      </c>
      <c r="D663" s="1" t="s">
        <v>725</v>
      </c>
      <c r="E663" s="1" t="s">
        <v>856</v>
      </c>
      <c r="F663" s="1" t="s">
        <v>112</v>
      </c>
      <c r="G663" s="1">
        <v>21305</v>
      </c>
    </row>
    <row r="664" spans="1:7" x14ac:dyDescent="0.25">
      <c r="A664" s="1" t="str">
        <f t="shared" si="10"/>
        <v>09  Fadrozole 10 µg_L Dopé</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4076</v>
      </c>
      <c r="D664" s="1" t="s">
        <v>797</v>
      </c>
      <c r="E664" s="1" t="s">
        <v>4077</v>
      </c>
      <c r="F664" s="1" t="s">
        <v>112</v>
      </c>
      <c r="G664" s="1">
        <v>37614</v>
      </c>
    </row>
    <row r="665" spans="1:7" x14ac:dyDescent="0.25">
      <c r="A665" s="1" t="str">
        <f t="shared" si="10"/>
        <v>09  Fadrozole 10 µg_L Dopé</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4078</v>
      </c>
      <c r="D665" s="1" t="s">
        <v>725</v>
      </c>
      <c r="E665" s="1" t="s">
        <v>1757</v>
      </c>
      <c r="F665" s="1" t="s">
        <v>112</v>
      </c>
      <c r="G665" s="1">
        <v>21024</v>
      </c>
    </row>
    <row r="666" spans="1:7" x14ac:dyDescent="0.25">
      <c r="A666" s="1" t="str">
        <f t="shared" si="10"/>
        <v>09  Fadrozole 10 µg_L Dopé</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4079</v>
      </c>
      <c r="D666" s="1" t="s">
        <v>229</v>
      </c>
      <c r="E666" s="1" t="s">
        <v>1706</v>
      </c>
      <c r="F666" s="1" t="s">
        <v>112</v>
      </c>
      <c r="G666" s="1">
        <v>10599</v>
      </c>
    </row>
    <row r="667" spans="1:7" x14ac:dyDescent="0.25">
      <c r="A667" s="1" t="str">
        <f t="shared" si="10"/>
        <v>09  Fadrozole 10 µg_L Dopé</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4080</v>
      </c>
      <c r="D667" s="1" t="s">
        <v>269</v>
      </c>
      <c r="E667" s="1" t="s">
        <v>854</v>
      </c>
      <c r="F667" s="1" t="s">
        <v>112</v>
      </c>
      <c r="G667" s="1">
        <v>21889</v>
      </c>
    </row>
    <row r="668" spans="1:7" x14ac:dyDescent="0.25">
      <c r="A668" s="1" t="str">
        <f t="shared" si="10"/>
        <v>09  Fadrozole 10 µg_L Dopé</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4081</v>
      </c>
      <c r="D668" s="1" t="s">
        <v>2365</v>
      </c>
      <c r="E668" s="1" t="s">
        <v>4082</v>
      </c>
      <c r="F668" s="1" t="s">
        <v>112</v>
      </c>
      <c r="G668" s="1">
        <v>346684</v>
      </c>
    </row>
    <row r="669" spans="1:7" x14ac:dyDescent="0.25">
      <c r="A669" s="1" t="str">
        <f t="shared" si="10"/>
        <v>09  Fadrozole 10 µg_L Dopé</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4083</v>
      </c>
      <c r="D669" s="1" t="s">
        <v>3538</v>
      </c>
      <c r="E669" s="1" t="s">
        <v>4084</v>
      </c>
      <c r="F669" s="1" t="s">
        <v>112</v>
      </c>
      <c r="G669" s="1">
        <v>244504</v>
      </c>
    </row>
    <row r="670" spans="1:7" x14ac:dyDescent="0.25">
      <c r="A670" s="1" t="str">
        <f t="shared" si="10"/>
        <v>09  Fadrozole 10 µg_L Dopé</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4085</v>
      </c>
      <c r="D670" s="1" t="s">
        <v>1783</v>
      </c>
      <c r="E670" s="1" t="s">
        <v>4086</v>
      </c>
      <c r="F670" s="1" t="s">
        <v>112</v>
      </c>
      <c r="G670" s="1">
        <v>182318</v>
      </c>
    </row>
    <row r="671" spans="1:7" x14ac:dyDescent="0.25">
      <c r="A671" s="1" t="str">
        <f t="shared" si="10"/>
        <v>09  Fadrozole 10 µg_L Dopé</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4087</v>
      </c>
      <c r="D671" s="1" t="s">
        <v>220</v>
      </c>
      <c r="E671" s="1" t="s">
        <v>4088</v>
      </c>
      <c r="F671" s="1" t="s">
        <v>112</v>
      </c>
      <c r="G671" s="1">
        <v>12697</v>
      </c>
    </row>
    <row r="672" spans="1:7" x14ac:dyDescent="0.25">
      <c r="A672" s="1" t="str">
        <f t="shared" si="10"/>
        <v>09  Fadrozole 10 µg_L Dopé</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4089</v>
      </c>
      <c r="D672" s="1" t="s">
        <v>229</v>
      </c>
      <c r="E672" s="1" t="s">
        <v>410</v>
      </c>
      <c r="F672" s="1" t="s">
        <v>112</v>
      </c>
      <c r="G672" s="1">
        <v>10988</v>
      </c>
    </row>
    <row r="673" spans="1:10" x14ac:dyDescent="0.25">
      <c r="A673" s="1" t="str">
        <f t="shared" si="10"/>
        <v>09  Fadrozole 10 µg_L Dopé</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4090</v>
      </c>
      <c r="D673" s="1" t="s">
        <v>288</v>
      </c>
      <c r="E673" s="1" t="s">
        <v>4091</v>
      </c>
      <c r="F673" s="1" t="s">
        <v>112</v>
      </c>
      <c r="G673" s="1">
        <v>13930</v>
      </c>
    </row>
    <row r="674" spans="1:10" x14ac:dyDescent="0.25">
      <c r="A674" s="1" t="str">
        <f t="shared" si="10"/>
        <v>09  Fadrozole 10 µg_L Dopé</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4092</v>
      </c>
      <c r="D674" s="1" t="s">
        <v>229</v>
      </c>
      <c r="E674" s="1" t="s">
        <v>2565</v>
      </c>
      <c r="F674" s="1" t="s">
        <v>112</v>
      </c>
      <c r="G674" s="1">
        <v>11204</v>
      </c>
    </row>
    <row r="675" spans="1:10" x14ac:dyDescent="0.25">
      <c r="A675" s="1" t="str">
        <f t="shared" si="10"/>
        <v>09  Fadrozole 10 µg_L Dopé</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4093</v>
      </c>
      <c r="D675" s="1" t="s">
        <v>220</v>
      </c>
      <c r="E675" s="1" t="s">
        <v>912</v>
      </c>
      <c r="F675" s="1" t="s">
        <v>112</v>
      </c>
      <c r="G675" s="1">
        <v>12589</v>
      </c>
    </row>
    <row r="676" spans="1:10" x14ac:dyDescent="0.25">
      <c r="A676" s="1" t="str">
        <f t="shared" si="10"/>
        <v>09  Fadrozole 10 µg_L Dopé</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4094</v>
      </c>
      <c r="D676" s="1" t="s">
        <v>865</v>
      </c>
      <c r="E676" s="1" t="s">
        <v>2767</v>
      </c>
      <c r="F676" s="1" t="s">
        <v>112</v>
      </c>
      <c r="G676" s="1">
        <v>26129</v>
      </c>
    </row>
    <row r="677" spans="1:10" x14ac:dyDescent="0.25">
      <c r="A677" s="1" t="str">
        <f t="shared" si="10"/>
        <v>09  Fadrozole 10 µg_L Dopé</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4095</v>
      </c>
      <c r="D677" s="1" t="s">
        <v>695</v>
      </c>
      <c r="E677" s="1" t="s">
        <v>4096</v>
      </c>
      <c r="F677" s="1" t="s">
        <v>112</v>
      </c>
      <c r="G677" s="1">
        <v>59872</v>
      </c>
    </row>
    <row r="678" spans="1:10" x14ac:dyDescent="0.25">
      <c r="A678" s="1" t="str">
        <f t="shared" si="10"/>
        <v>09  Fadrozole 10 µg_L Dopé</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4097</v>
      </c>
      <c r="D678" s="1" t="s">
        <v>4098</v>
      </c>
      <c r="E678" s="1" t="s">
        <v>258</v>
      </c>
      <c r="F678" s="1" t="s">
        <v>112</v>
      </c>
      <c r="G678" s="1">
        <v>129260</v>
      </c>
    </row>
    <row r="679" spans="1:10" x14ac:dyDescent="0.25">
      <c r="A679" s="1" t="str">
        <f t="shared" si="10"/>
        <v>09  Fadrozole 10 µg_L Dopé</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4099</v>
      </c>
      <c r="D679" s="1" t="s">
        <v>3857</v>
      </c>
      <c r="E679" s="1" t="s">
        <v>4100</v>
      </c>
      <c r="F679" s="1" t="s">
        <v>112</v>
      </c>
      <c r="G679" s="1">
        <v>63094</v>
      </c>
    </row>
    <row r="680" spans="1:10" x14ac:dyDescent="0.25">
      <c r="A680" s="1" t="str">
        <f t="shared" si="10"/>
        <v>09  Fadrozole 10 µg_L Dopé</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4101</v>
      </c>
      <c r="D680" s="1" t="s">
        <v>191</v>
      </c>
      <c r="E680" s="1" t="s">
        <v>4102</v>
      </c>
      <c r="F680" s="1" t="s">
        <v>112</v>
      </c>
      <c r="G680" s="1">
        <v>47478</v>
      </c>
    </row>
    <row r="681" spans="1:10" x14ac:dyDescent="0.25">
      <c r="A681" s="1" t="str">
        <f t="shared" si="10"/>
        <v>09  Fadrozole 10 µg_L Dopé</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4103</v>
      </c>
      <c r="D681" s="1" t="s">
        <v>4033</v>
      </c>
      <c r="E681" s="1" t="s">
        <v>4104</v>
      </c>
      <c r="F681" s="1" t="s">
        <v>112</v>
      </c>
      <c r="G681" s="1">
        <v>157249</v>
      </c>
    </row>
    <row r="682" spans="1:10" x14ac:dyDescent="0.25">
      <c r="A682" s="1" t="str">
        <f t="shared" si="10"/>
        <v>09  Fadrozole 10 µg_L Dopé</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4105</v>
      </c>
      <c r="D682" s="1" t="s">
        <v>728</v>
      </c>
      <c r="E682" s="1" t="s">
        <v>1557</v>
      </c>
      <c r="F682" s="1" t="s">
        <v>112</v>
      </c>
      <c r="G682" s="1">
        <v>34002</v>
      </c>
    </row>
    <row r="683" spans="1:10" x14ac:dyDescent="0.25">
      <c r="A683" s="1" t="str">
        <f t="shared" si="10"/>
        <v>09  Fadrozole 10 µg_L Dopé</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4106</v>
      </c>
      <c r="D683" s="1" t="s">
        <v>292</v>
      </c>
      <c r="E683" s="1" t="s">
        <v>809</v>
      </c>
      <c r="F683" s="1" t="s">
        <v>112</v>
      </c>
      <c r="G683" s="1">
        <v>9712</v>
      </c>
    </row>
    <row r="684" spans="1:10" x14ac:dyDescent="0.25">
      <c r="A684" s="1" t="str">
        <f t="shared" si="10"/>
        <v>09  Fadrozole 10 µg_L Dopé</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4107</v>
      </c>
      <c r="D684" s="1" t="s">
        <v>288</v>
      </c>
      <c r="E684" s="1" t="s">
        <v>4108</v>
      </c>
      <c r="F684" s="1" t="s">
        <v>112</v>
      </c>
      <c r="G684" s="1">
        <v>13973</v>
      </c>
    </row>
    <row r="685" spans="1:10" x14ac:dyDescent="0.25">
      <c r="A685" s="1" t="str">
        <f t="shared" si="10"/>
        <v>09  Fadrozole 10 µg_L Dopé</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4109</v>
      </c>
      <c r="D685" s="1" t="s">
        <v>288</v>
      </c>
      <c r="E685" s="1" t="s">
        <v>4110</v>
      </c>
      <c r="F685" s="1" t="s">
        <v>112</v>
      </c>
      <c r="G685" s="1">
        <v>13367</v>
      </c>
    </row>
    <row r="686" spans="1:10" x14ac:dyDescent="0.2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10" x14ac:dyDescent="0.2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243</v>
      </c>
      <c r="D687" s="1" t="s">
        <v>112</v>
      </c>
      <c r="E687" s="1" t="s">
        <v>244</v>
      </c>
      <c r="F687" s="1" t="s">
        <v>245</v>
      </c>
      <c r="G687" s="1" t="s">
        <v>246</v>
      </c>
      <c r="H687" s="1" t="s">
        <v>247</v>
      </c>
      <c r="I687" s="1" t="s">
        <v>248</v>
      </c>
      <c r="J687" s="1" t="s">
        <v>249</v>
      </c>
    </row>
    <row r="688" spans="1:10" x14ac:dyDescent="0.25">
      <c r="A688" s="1" t="str">
        <f t="shared" si="10"/>
        <v>09  Fadrozole 10 µg_L Dopé</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4111</v>
      </c>
      <c r="D688" s="1" t="s">
        <v>112</v>
      </c>
      <c r="E688" s="1" t="s">
        <v>4112</v>
      </c>
      <c r="F688" s="1" t="s">
        <v>4113</v>
      </c>
      <c r="G688" s="1" t="s">
        <v>4114</v>
      </c>
      <c r="H688" s="1" t="s">
        <v>4115</v>
      </c>
      <c r="I688" s="1">
        <v>24</v>
      </c>
      <c r="J688" s="1">
        <v>24</v>
      </c>
    </row>
    <row r="689" spans="1:3" x14ac:dyDescent="0.2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 t="s">
        <v>112</v>
      </c>
    </row>
    <row r="690" spans="1:3" x14ac:dyDescent="0.2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0" s="1" t="s">
        <v>112</v>
      </c>
    </row>
    <row r="691" spans="1:3" x14ac:dyDescent="0.2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3" x14ac:dyDescent="0.2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3" x14ac:dyDescent="0.2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3" x14ac:dyDescent="0.2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3" x14ac:dyDescent="0.2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3" x14ac:dyDescent="0.2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3" x14ac:dyDescent="0.2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3" x14ac:dyDescent="0.2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3" x14ac:dyDescent="0.2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3" x14ac:dyDescent="0.2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3" x14ac:dyDescent="0.2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3" x14ac:dyDescent="0.2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3" x14ac:dyDescent="0.2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3" x14ac:dyDescent="0.2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2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2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2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2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2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2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2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2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2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2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2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2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2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2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2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2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2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2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2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2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2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2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2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2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2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2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2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2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2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2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2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2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2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2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2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2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2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2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2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2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2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2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2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2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2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2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2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2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2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2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2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2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2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2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2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2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2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2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2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2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2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2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2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2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2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2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2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2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2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2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2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2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2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2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2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2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2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2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2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2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2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2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2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2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2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2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2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2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2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2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2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2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2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2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2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2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2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2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2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2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2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2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2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2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2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2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2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2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2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2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2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2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2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2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2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2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2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2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2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2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2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2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2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2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2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2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2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2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2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2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2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2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2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2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2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2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2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2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2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2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2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2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2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2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2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2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2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2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2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2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2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2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2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2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2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2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2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2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2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2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2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2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2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2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2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2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2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2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2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2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2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2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2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2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2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2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2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2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2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2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2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2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2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2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2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2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2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2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2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2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2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2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2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2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2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2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2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2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2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2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2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2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2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2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2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2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2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2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2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2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2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2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2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2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2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2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2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2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2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2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2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2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2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2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2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2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2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2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2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2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2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2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2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2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2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2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2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2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2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2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2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2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2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2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2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2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2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2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2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2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2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2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2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2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2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2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2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2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2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2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2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2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2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2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2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2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2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2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2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2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2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2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2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2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2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2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2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2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2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2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2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2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2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2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2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2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2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2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2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2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2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2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2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2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2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2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2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2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2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2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2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2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2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2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2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2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2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2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2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2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2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2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2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2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2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2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2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2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2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2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2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2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2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2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2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2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2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2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2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2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2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2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2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2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2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2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2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2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2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2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2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2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2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2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2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2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2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2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2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2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2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2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2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2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2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2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2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2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2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2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2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2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2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2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2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2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2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2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2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2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2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2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2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2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2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2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2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2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2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2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2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2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2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2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2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2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2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2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2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2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2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2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2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2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2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2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2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2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2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2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2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2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2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2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2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2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2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2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2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2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2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2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2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2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2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2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2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2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2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2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2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2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2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2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2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2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2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2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2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2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2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2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2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2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2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2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2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2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2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2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2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2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2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2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2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2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2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2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2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2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2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2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2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2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2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2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2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2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2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2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2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2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2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2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2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2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2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2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2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2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2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2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2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2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2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2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2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2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2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2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2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2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2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2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2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2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2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2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2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2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2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2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2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2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2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2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2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2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2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2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2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2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2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2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2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2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2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2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2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2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2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2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2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2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2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2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2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2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2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2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2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2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2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2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2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2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2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2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2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2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2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2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2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2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2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2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2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2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2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2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2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2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2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2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2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2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2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2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2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2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2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2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2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2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2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2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2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2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2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2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2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2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2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2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2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2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2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2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2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2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2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2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2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2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2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2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2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2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2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2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2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2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2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2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2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2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2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2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2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2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2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2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2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2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2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2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2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2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2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2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2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2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2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2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2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2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2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2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2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2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2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2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2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2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2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2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2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2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2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2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2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2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2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2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2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2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2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2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2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2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2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2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2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2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2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2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2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2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2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2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2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2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2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2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2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2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2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2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2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2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2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2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2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2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2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2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2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2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2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2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2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2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2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2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2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2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2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2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2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2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2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2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2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2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2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2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2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2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2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2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2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2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2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2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2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2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2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2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2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2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2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2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2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2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2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2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2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2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2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2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2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2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2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2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2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2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2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2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2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2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2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2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2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2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2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2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2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2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2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2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2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2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2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2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2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2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2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2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2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2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2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2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2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2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2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2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2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2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2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2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2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2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2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2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2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2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2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2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2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2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2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2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2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2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2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2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2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2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2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2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2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2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2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2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2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2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2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2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2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2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2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2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2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2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2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2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2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2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2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2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2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2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2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2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2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2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2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2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2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2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2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2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2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2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2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2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2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2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2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2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2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2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2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2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2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2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2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2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2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2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2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2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2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2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2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2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2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2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2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2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2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2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2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2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2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2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2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2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2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2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2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2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2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2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2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2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2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2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2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2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2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2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2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2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2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2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2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2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2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2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2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2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2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2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2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2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2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2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2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2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2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2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2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2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2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2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2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2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2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2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2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2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2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2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2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2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2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2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2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2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2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2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2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2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2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2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2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2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2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2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2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2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2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2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2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2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2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2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2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2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2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2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2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2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2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2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2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2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2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2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2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2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2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2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2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2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2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2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2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2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2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2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2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2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2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2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2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2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2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2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2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2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2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2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2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2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2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2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2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2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2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2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2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2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2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2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2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2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2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2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2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2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2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2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2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2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2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2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2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2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2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2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2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2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2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2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2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2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2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2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2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2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2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2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2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2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2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2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2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2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2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2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2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2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2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2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2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2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2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2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2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2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2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2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2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2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2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2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2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2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2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2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2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2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2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2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2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6"/>
  <sheetViews>
    <sheetView showGridLines="0" topLeftCell="N47" zoomScaleNormal="100" zoomScaleSheetLayoutView="40" zoomScalePageLayoutView="30" workbookViewId="0">
      <selection activeCell="T74" sqref="T74"/>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6" t="s">
        <v>43</v>
      </c>
      <c r="B1" s="217"/>
      <c r="C1" s="217"/>
      <c r="D1" s="217"/>
      <c r="E1" s="217"/>
      <c r="F1" s="217"/>
      <c r="G1" s="217"/>
      <c r="H1" s="217"/>
      <c r="I1" s="217"/>
      <c r="J1" s="217"/>
      <c r="K1" s="217"/>
      <c r="L1" s="217"/>
      <c r="M1" s="217"/>
      <c r="N1" s="217"/>
      <c r="O1" s="217"/>
      <c r="P1" s="217"/>
      <c r="Q1" s="217"/>
      <c r="R1" s="217"/>
      <c r="S1" s="217"/>
      <c r="T1" s="217"/>
      <c r="U1" s="217"/>
      <c r="V1" s="217"/>
    </row>
    <row r="2" spans="1:22" ht="15.75" thickBot="1" x14ac:dyDescent="0.3"/>
    <row r="3" spans="1:22" ht="15.75" thickBot="1" x14ac:dyDescent="0.3">
      <c r="A3" s="152" t="s">
        <v>22</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Fadrozole 0,016µg/L</v>
      </c>
      <c r="J4" s="35" t="str">
        <f>'Page de garde'!A16</f>
        <v>Fadrozole 0,08µg/L</v>
      </c>
      <c r="K4" s="35" t="str">
        <f>'Page de garde'!A17</f>
        <v>Fadrozole 0,4µg/L</v>
      </c>
      <c r="L4" s="35" t="str">
        <f>'Page de garde'!A18</f>
        <v>Fadrozole 2µg/L</v>
      </c>
      <c r="M4" s="35" t="str">
        <f>'Page de garde'!A19</f>
        <v>Fadrozole 10µg/L</v>
      </c>
      <c r="N4" s="3"/>
      <c r="O4" s="36" t="str">
        <f>'Page de garde'!A36</f>
        <v>Testo -30µg/L</v>
      </c>
      <c r="P4" s="36" t="str">
        <f>'Page de garde'!A37</f>
        <v>Testo 30µg/L + EE2 -64ng/L</v>
      </c>
      <c r="Q4" s="36" t="str">
        <f>'Page de garde'!A38</f>
        <v>Testo 30µg/L + FAD-10µg/L</v>
      </c>
      <c r="R4" s="36" t="str">
        <f>'Page de garde'!A39</f>
        <v>Fadrozole-0,016 µg/L + Testostérone</v>
      </c>
      <c r="S4" s="36" t="str">
        <f>'Page de garde'!A40</f>
        <v>Fadrozole-0,08µg/L + Testostérone</v>
      </c>
      <c r="T4" s="36" t="str">
        <f>'Page de garde'!A41</f>
        <v>Fadrozole-0,4µg/L + Testostérone</v>
      </c>
      <c r="U4" s="36" t="str">
        <f>'Page de garde'!A42</f>
        <v>Fadrozole-2µg/L + Testostérone</v>
      </c>
      <c r="V4" s="36" t="str">
        <f>'Page de garde'!A43</f>
        <v>Fadrozole-10 µg/L + Testostérone</v>
      </c>
    </row>
    <row r="5" spans="1:22" x14ac:dyDescent="0.25">
      <c r="A5" s="226" t="s">
        <v>33</v>
      </c>
      <c r="B5" s="196">
        <v>19012.5</v>
      </c>
      <c r="C5" s="196">
        <v>163414</v>
      </c>
      <c r="D5" s="196">
        <v>261116</v>
      </c>
      <c r="E5" s="196">
        <v>286415.66666666669</v>
      </c>
      <c r="F5" s="196">
        <v>1851000</v>
      </c>
      <c r="G5" s="196">
        <v>2600310</v>
      </c>
      <c r="H5" s="196">
        <v>5968300.666666667</v>
      </c>
      <c r="I5" s="196">
        <v>17253.333333333332</v>
      </c>
      <c r="J5" s="196">
        <v>315854</v>
      </c>
      <c r="K5" s="196">
        <v>242809.66666666666</v>
      </c>
      <c r="L5" s="196">
        <v>159419.33333333334</v>
      </c>
      <c r="M5" s="196">
        <v>167891.33333333334</v>
      </c>
      <c r="N5" s="3"/>
      <c r="O5" s="196">
        <v>1131272.3333333333</v>
      </c>
      <c r="P5" s="196">
        <v>2587945</v>
      </c>
      <c r="Q5" s="196">
        <v>144697</v>
      </c>
      <c r="R5" s="196">
        <v>175728.33333333334</v>
      </c>
      <c r="S5" s="196">
        <v>34305</v>
      </c>
      <c r="T5" s="196">
        <v>79641.333333333328</v>
      </c>
      <c r="U5" s="196">
        <v>142901.33333333334</v>
      </c>
      <c r="V5" s="196">
        <v>30562.666666666668</v>
      </c>
    </row>
    <row r="6" spans="1:22" x14ac:dyDescent="0.25">
      <c r="A6" s="226"/>
      <c r="B6" s="196">
        <v>118142.5</v>
      </c>
      <c r="C6" s="196">
        <v>94530</v>
      </c>
      <c r="D6" s="196">
        <v>91631.666666666672</v>
      </c>
      <c r="E6" s="196">
        <v>734832.33333333337</v>
      </c>
      <c r="F6" s="196">
        <v>2343851.3333333335</v>
      </c>
      <c r="G6" s="196">
        <v>1613453</v>
      </c>
      <c r="H6" s="196">
        <v>1801482</v>
      </c>
      <c r="I6" s="196">
        <v>646207.33333333337</v>
      </c>
      <c r="J6" s="196">
        <v>21110.666666666668</v>
      </c>
      <c r="K6" s="196">
        <v>317209.66666666669</v>
      </c>
      <c r="L6" s="196">
        <v>144812.33333333334</v>
      </c>
      <c r="M6" s="196">
        <v>26035</v>
      </c>
      <c r="N6" s="3"/>
      <c r="O6" s="196">
        <v>215844.66666666666</v>
      </c>
      <c r="P6" s="196">
        <v>399280.33333333331</v>
      </c>
      <c r="Q6" s="196">
        <v>8284.3333333333339</v>
      </c>
      <c r="R6" s="196">
        <v>53483.333333333336</v>
      </c>
      <c r="S6" s="196">
        <v>2287447.6666666665</v>
      </c>
      <c r="T6" s="196">
        <v>104613</v>
      </c>
      <c r="U6" s="196">
        <v>94645</v>
      </c>
      <c r="V6" s="196">
        <v>17837.333333333332</v>
      </c>
    </row>
    <row r="7" spans="1:22" x14ac:dyDescent="0.25">
      <c r="A7" s="226"/>
      <c r="B7" s="196">
        <v>8338.5</v>
      </c>
      <c r="C7" s="196">
        <v>303265.33333333331</v>
      </c>
      <c r="D7" s="196">
        <v>93397.666666666672</v>
      </c>
      <c r="E7" s="196">
        <v>1941996.6666666667</v>
      </c>
      <c r="F7" s="196">
        <v>3724862.6666666665</v>
      </c>
      <c r="G7" s="196">
        <v>641412.66666666663</v>
      </c>
      <c r="H7" s="196">
        <v>2303075.5</v>
      </c>
      <c r="I7" s="196">
        <v>159361.66666666666</v>
      </c>
      <c r="J7" s="196">
        <v>190681.66666666666</v>
      </c>
      <c r="K7" s="196">
        <v>405135</v>
      </c>
      <c r="L7" s="196">
        <v>8068</v>
      </c>
      <c r="M7" s="196">
        <v>245636.33333333334</v>
      </c>
      <c r="N7" s="3"/>
      <c r="O7" s="196">
        <v>192916.66666666666</v>
      </c>
      <c r="P7" s="196">
        <v>3677831.6666666665</v>
      </c>
      <c r="Q7" s="196">
        <v>119058</v>
      </c>
      <c r="R7" s="196">
        <v>1186280.5</v>
      </c>
      <c r="S7" s="196">
        <v>49972</v>
      </c>
      <c r="T7" s="196">
        <v>1155815</v>
      </c>
      <c r="U7" s="196">
        <v>12451.666666666666</v>
      </c>
      <c r="V7" s="196">
        <v>257835.33333333334</v>
      </c>
    </row>
    <row r="8" spans="1:22" x14ac:dyDescent="0.25">
      <c r="A8" s="226"/>
      <c r="B8" s="196">
        <v>35285.666666666664</v>
      </c>
      <c r="C8" s="196">
        <v>30909</v>
      </c>
      <c r="D8" s="196">
        <v>34211</v>
      </c>
      <c r="E8" s="196">
        <v>466556.66666666669</v>
      </c>
      <c r="F8" s="196">
        <v>1442966.3333333333</v>
      </c>
      <c r="G8" s="196">
        <v>576718</v>
      </c>
      <c r="H8" s="196">
        <v>3526826.3333333335</v>
      </c>
      <c r="I8" s="196">
        <v>32113.333333333332</v>
      </c>
      <c r="J8" s="196">
        <v>105049</v>
      </c>
      <c r="K8" s="196">
        <v>18450</v>
      </c>
      <c r="L8" s="196">
        <v>31478.666666666668</v>
      </c>
      <c r="M8" s="196">
        <v>17664.333333333332</v>
      </c>
      <c r="N8" s="3"/>
      <c r="O8" s="196">
        <v>560300.66666666663</v>
      </c>
      <c r="P8" s="196">
        <v>1625090.3333333333</v>
      </c>
      <c r="Q8" s="196">
        <v>18796.666666666668</v>
      </c>
      <c r="R8" s="196">
        <v>279862</v>
      </c>
      <c r="S8" s="196">
        <v>1773550.3333333333</v>
      </c>
      <c r="T8" s="196">
        <v>19322.333333333332</v>
      </c>
      <c r="U8" s="196">
        <v>88185.333333333328</v>
      </c>
      <c r="V8" s="196">
        <v>12538.333333333334</v>
      </c>
    </row>
    <row r="9" spans="1:22" x14ac:dyDescent="0.25">
      <c r="A9" s="226"/>
      <c r="B9" s="196">
        <v>147660.33333333334</v>
      </c>
      <c r="C9" s="196">
        <v>239486</v>
      </c>
      <c r="D9" s="196">
        <v>595074.33333333337</v>
      </c>
      <c r="E9" s="196">
        <v>180826</v>
      </c>
      <c r="F9" s="196">
        <v>1481503.6666666667</v>
      </c>
      <c r="G9" s="196">
        <v>1215802</v>
      </c>
      <c r="H9" s="196">
        <v>3042273.3333333335</v>
      </c>
      <c r="I9" s="196">
        <v>71212.666666666672</v>
      </c>
      <c r="J9" s="196">
        <v>15191.333333333334</v>
      </c>
      <c r="K9" s="196">
        <v>39323.333333333336</v>
      </c>
      <c r="L9" s="196">
        <v>234778</v>
      </c>
      <c r="M9" s="196">
        <v>109501</v>
      </c>
      <c r="N9" s="3"/>
      <c r="O9" s="196">
        <v>219002.66666666666</v>
      </c>
      <c r="P9" s="196">
        <v>1441337</v>
      </c>
      <c r="Q9" s="196">
        <v>25198.666666666668</v>
      </c>
      <c r="R9" s="196">
        <v>109577</v>
      </c>
      <c r="S9" s="196">
        <v>2058560.3333333333</v>
      </c>
      <c r="T9" s="196">
        <v>160948</v>
      </c>
      <c r="U9" s="196">
        <v>32459</v>
      </c>
      <c r="V9" s="196">
        <v>16640.666666666668</v>
      </c>
    </row>
    <row r="10" spans="1:22" x14ac:dyDescent="0.25">
      <c r="A10" s="226"/>
      <c r="B10" s="196">
        <v>152934</v>
      </c>
      <c r="C10" s="196">
        <v>217265</v>
      </c>
      <c r="D10" s="196">
        <v>565174.66666666663</v>
      </c>
      <c r="E10" s="196">
        <v>759281.33333333337</v>
      </c>
      <c r="F10" s="196">
        <v>843977</v>
      </c>
      <c r="G10" s="196"/>
      <c r="H10" s="196">
        <v>7075095.333333333</v>
      </c>
      <c r="I10" s="196">
        <v>24304.666666666668</v>
      </c>
      <c r="J10" s="196">
        <v>350901.66666666669</v>
      </c>
      <c r="K10" s="196">
        <v>40152.333333333336</v>
      </c>
      <c r="L10" s="196">
        <v>245261.5</v>
      </c>
      <c r="M10" s="196">
        <v>7866.333333333333</v>
      </c>
      <c r="N10" s="3"/>
      <c r="O10" s="196">
        <v>1331962</v>
      </c>
      <c r="P10" s="196">
        <v>709835.33333333337</v>
      </c>
      <c r="Q10" s="196">
        <v>50563.333333333336</v>
      </c>
      <c r="R10" s="196">
        <v>964704</v>
      </c>
      <c r="S10" s="196">
        <v>467782.33333333331</v>
      </c>
      <c r="T10" s="196">
        <v>105337.66666666667</v>
      </c>
      <c r="U10" s="196">
        <v>189939</v>
      </c>
      <c r="V10" s="196">
        <v>84075.333333333328</v>
      </c>
    </row>
    <row r="11" spans="1:22" x14ac:dyDescent="0.25">
      <c r="A11" s="226"/>
      <c r="B11" s="196">
        <v>19629.5</v>
      </c>
      <c r="C11" s="196">
        <v>116239</v>
      </c>
      <c r="D11" s="196">
        <v>209969</v>
      </c>
      <c r="E11" s="196">
        <v>576278</v>
      </c>
      <c r="F11" s="196">
        <v>1597072</v>
      </c>
      <c r="G11" s="196">
        <v>3051077</v>
      </c>
      <c r="H11" s="196">
        <v>6251674</v>
      </c>
      <c r="I11" s="196">
        <v>67485.333333333328</v>
      </c>
      <c r="J11" s="196">
        <v>38508.333333333336</v>
      </c>
      <c r="K11" s="196">
        <v>393116.33333333331</v>
      </c>
      <c r="L11" s="196">
        <v>115741.66666666667</v>
      </c>
      <c r="M11" s="196">
        <v>162880.33333333334</v>
      </c>
      <c r="N11" s="3"/>
      <c r="O11" s="196">
        <v>2392663</v>
      </c>
      <c r="P11" s="196">
        <v>1213963.3333333333</v>
      </c>
      <c r="Q11" s="196">
        <v>185562.66666666666</v>
      </c>
      <c r="R11" s="196">
        <v>488929.33333333331</v>
      </c>
      <c r="S11" s="196">
        <v>101711.33333333333</v>
      </c>
      <c r="T11" s="196">
        <v>219010</v>
      </c>
      <c r="U11" s="196">
        <v>44680.333333333336</v>
      </c>
      <c r="V11" s="196">
        <v>79576.333333333328</v>
      </c>
    </row>
    <row r="12" spans="1:22" x14ac:dyDescent="0.25">
      <c r="A12" s="226"/>
      <c r="B12" s="196">
        <v>77940</v>
      </c>
      <c r="C12" s="196">
        <v>242435.33333333334</v>
      </c>
      <c r="D12" s="196">
        <v>208706.66666666666</v>
      </c>
      <c r="E12" s="196">
        <v>702827.66666666663</v>
      </c>
      <c r="F12" s="196"/>
      <c r="G12" s="196">
        <v>3239242.3333333335</v>
      </c>
      <c r="H12" s="196">
        <v>3860554</v>
      </c>
      <c r="I12" s="196">
        <v>93253.666666666672</v>
      </c>
      <c r="J12" s="196">
        <v>14629</v>
      </c>
      <c r="K12" s="196">
        <v>84562.5</v>
      </c>
      <c r="L12" s="196">
        <v>18529.666666666668</v>
      </c>
      <c r="M12" s="196">
        <v>147840</v>
      </c>
      <c r="N12" s="3"/>
      <c r="O12" s="196">
        <v>1100615.3333333333</v>
      </c>
      <c r="P12" s="196">
        <v>1079562.3333333333</v>
      </c>
      <c r="Q12" s="196">
        <v>46879</v>
      </c>
      <c r="R12" s="196">
        <v>736627.66666666663</v>
      </c>
      <c r="S12" s="196">
        <v>190429.66666666666</v>
      </c>
      <c r="T12" s="196">
        <v>1280511.3333333333</v>
      </c>
      <c r="U12" s="196">
        <v>118070.33333333333</v>
      </c>
      <c r="V12" s="196">
        <v>12350.666666666666</v>
      </c>
    </row>
    <row r="13" spans="1:22" ht="16.5" x14ac:dyDescent="0.25">
      <c r="A13" s="226"/>
      <c r="B13" s="14"/>
      <c r="C13" s="13"/>
      <c r="D13" s="32"/>
      <c r="E13" s="32"/>
      <c r="F13" s="32"/>
      <c r="G13" s="32"/>
      <c r="H13" s="32"/>
      <c r="I13" s="32"/>
      <c r="J13" s="32"/>
      <c r="K13" s="13"/>
      <c r="L13" s="13"/>
      <c r="M13" s="13"/>
      <c r="N13" s="3"/>
      <c r="O13" s="196">
        <v>2539486.6666666665</v>
      </c>
      <c r="P13" s="13"/>
      <c r="Q13" s="13"/>
      <c r="R13" s="32"/>
      <c r="S13" s="32"/>
      <c r="T13" s="32"/>
      <c r="U13" s="32"/>
      <c r="V13" s="32"/>
    </row>
    <row r="14" spans="1:22" ht="16.5" x14ac:dyDescent="0.25">
      <c r="A14" s="226"/>
      <c r="B14" s="14"/>
      <c r="C14" s="32"/>
      <c r="D14" s="32"/>
      <c r="E14" s="32"/>
      <c r="F14" s="32"/>
      <c r="G14" s="32"/>
      <c r="H14" s="32"/>
      <c r="I14" s="32"/>
      <c r="J14" s="32"/>
      <c r="K14" s="13"/>
      <c r="L14" s="13"/>
      <c r="M14" s="13"/>
      <c r="N14" s="3"/>
      <c r="O14" s="196">
        <v>5482341.666666667</v>
      </c>
      <c r="P14" s="13"/>
      <c r="Q14" s="13"/>
      <c r="R14" s="32"/>
      <c r="S14" s="32"/>
      <c r="T14" s="32"/>
      <c r="U14" s="32"/>
      <c r="V14" s="32"/>
    </row>
    <row r="15" spans="1:22" ht="16.5" x14ac:dyDescent="0.25">
      <c r="A15" s="226"/>
      <c r="B15" s="14"/>
      <c r="C15" s="32"/>
      <c r="D15" s="32"/>
      <c r="E15" s="32"/>
      <c r="F15" s="32"/>
      <c r="G15" s="32"/>
      <c r="H15" s="32"/>
      <c r="I15" s="32"/>
      <c r="J15" s="32"/>
      <c r="K15" s="13"/>
      <c r="L15" s="13"/>
      <c r="M15" s="13"/>
      <c r="N15" s="3"/>
      <c r="O15" s="196"/>
      <c r="P15" s="13"/>
      <c r="Q15" s="13"/>
      <c r="R15" s="32"/>
      <c r="S15" s="32"/>
      <c r="T15" s="32"/>
      <c r="U15" s="32"/>
      <c r="V15" s="32"/>
    </row>
    <row r="16" spans="1:22" ht="16.5" x14ac:dyDescent="0.25">
      <c r="A16" s="226"/>
      <c r="B16" s="14"/>
      <c r="C16" s="32"/>
      <c r="D16" s="32"/>
      <c r="E16" s="32"/>
      <c r="F16" s="32"/>
      <c r="G16" s="32"/>
      <c r="H16" s="32"/>
      <c r="I16" s="32"/>
      <c r="J16" s="32"/>
      <c r="K16" s="13"/>
      <c r="L16" s="13"/>
      <c r="M16" s="13"/>
      <c r="N16" s="3"/>
      <c r="O16" s="196">
        <v>1749800.6666666667</v>
      </c>
      <c r="P16" s="13"/>
      <c r="Q16" s="13"/>
      <c r="R16" s="32"/>
      <c r="S16" s="32"/>
      <c r="T16" s="32"/>
      <c r="U16" s="32"/>
      <c r="V16" s="32"/>
    </row>
    <row r="17" spans="1:22" ht="16.5" x14ac:dyDescent="0.25">
      <c r="A17" s="226"/>
      <c r="B17" s="14"/>
      <c r="C17" s="32"/>
      <c r="D17" s="32"/>
      <c r="E17" s="32"/>
      <c r="F17" s="32"/>
      <c r="G17" s="32"/>
      <c r="H17" s="32"/>
      <c r="I17" s="32"/>
      <c r="J17" s="32"/>
      <c r="K17" s="13"/>
      <c r="L17" s="13"/>
      <c r="M17" s="13"/>
      <c r="N17" s="3"/>
      <c r="O17" s="196">
        <v>2484950.3333333335</v>
      </c>
      <c r="P17" s="13"/>
      <c r="Q17" s="13"/>
      <c r="R17" s="32"/>
      <c r="S17" s="32"/>
      <c r="T17" s="32"/>
      <c r="U17" s="32"/>
      <c r="V17" s="32"/>
    </row>
    <row r="18" spans="1:22" ht="16.5" x14ac:dyDescent="0.25">
      <c r="A18" s="226"/>
      <c r="B18" s="14"/>
      <c r="C18" s="32"/>
      <c r="D18" s="32"/>
      <c r="E18" s="32"/>
      <c r="F18" s="32"/>
      <c r="G18" s="32"/>
      <c r="H18" s="32"/>
      <c r="I18" s="32"/>
      <c r="J18" s="32"/>
      <c r="K18" s="13"/>
      <c r="L18" s="13"/>
      <c r="M18" s="13"/>
      <c r="N18" s="3"/>
      <c r="O18" s="196">
        <v>1825397</v>
      </c>
      <c r="P18" s="13"/>
      <c r="Q18" s="13"/>
      <c r="R18" s="32"/>
      <c r="S18" s="32"/>
      <c r="T18" s="32"/>
      <c r="U18" s="32"/>
      <c r="V18" s="32"/>
    </row>
    <row r="19" spans="1:22" ht="16.5" x14ac:dyDescent="0.25">
      <c r="A19" s="226"/>
      <c r="B19" s="14"/>
      <c r="C19" s="32"/>
      <c r="D19" s="32"/>
      <c r="E19" s="32"/>
      <c r="F19" s="32"/>
      <c r="G19" s="32"/>
      <c r="H19" s="32"/>
      <c r="I19" s="32"/>
      <c r="J19" s="32"/>
      <c r="K19" s="13"/>
      <c r="L19" s="13"/>
      <c r="M19" s="13"/>
      <c r="N19" s="3"/>
      <c r="O19" s="196">
        <v>1268853</v>
      </c>
      <c r="P19" s="13"/>
      <c r="Q19" s="13"/>
      <c r="R19" s="32"/>
      <c r="S19" s="32"/>
      <c r="T19" s="32"/>
      <c r="U19" s="32"/>
      <c r="V19" s="32"/>
    </row>
    <row r="20" spans="1:22" ht="16.5" x14ac:dyDescent="0.25">
      <c r="A20" s="226"/>
      <c r="B20" s="14"/>
      <c r="C20" s="32"/>
      <c r="D20" s="32"/>
      <c r="E20" s="32"/>
      <c r="F20" s="32"/>
      <c r="G20" s="32"/>
      <c r="H20" s="32"/>
      <c r="I20" s="32"/>
      <c r="J20" s="32"/>
      <c r="K20" s="13"/>
      <c r="L20" s="13"/>
      <c r="M20" s="13"/>
      <c r="N20" s="3"/>
      <c r="O20" s="196">
        <v>392265.33333333331</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Fadrozole 0,016µg/L</v>
      </c>
      <c r="J22" s="3" t="str">
        <f t="shared" si="0"/>
        <v>Fadrozole 0,08µg/L</v>
      </c>
      <c r="K22" s="3" t="str">
        <f t="shared" si="0"/>
        <v>Fadrozole 0,4µg/L</v>
      </c>
      <c r="L22" s="3" t="str">
        <f t="shared" si="0"/>
        <v>Fadrozole 2µg/L</v>
      </c>
      <c r="M22" s="3" t="str">
        <f t="shared" si="0"/>
        <v>Fadrozole 10µg/L</v>
      </c>
      <c r="N22" s="3" t="s">
        <v>41</v>
      </c>
      <c r="O22" s="3" t="str">
        <f t="shared" si="0"/>
        <v>Testo -30µg/L</v>
      </c>
      <c r="P22" s="3" t="str">
        <f t="shared" si="0"/>
        <v>Testo 30µg/L + EE2 -64ng/L</v>
      </c>
      <c r="Q22" s="3" t="str">
        <f t="shared" si="0"/>
        <v>Testo 30µg/L + FAD-10µg/L</v>
      </c>
      <c r="R22" s="3" t="str">
        <f t="shared" si="0"/>
        <v>Fadrozole-0,016 µg/L + Testostérone</v>
      </c>
      <c r="S22" s="3" t="str">
        <f t="shared" si="0"/>
        <v>Fadrozole-0,08µg/L + Testostérone</v>
      </c>
      <c r="T22" s="3" t="str">
        <f t="shared" si="0"/>
        <v>Fadrozole-0,4µg/L + Testostérone</v>
      </c>
      <c r="U22" s="3" t="str">
        <f t="shared" si="0"/>
        <v>Fadrozole-2µg/L + Testostérone</v>
      </c>
      <c r="V22" s="3" t="str">
        <f t="shared" si="0"/>
        <v>Fadrozole-10 µg/L + Testostérone</v>
      </c>
    </row>
    <row r="23" spans="1:22" x14ac:dyDescent="0.25">
      <c r="A23" s="5" t="s">
        <v>0</v>
      </c>
      <c r="B23" s="5">
        <f t="shared" ref="B23:J23" si="1">AVERAGE(B5:B20)</f>
        <v>72367.875</v>
      </c>
      <c r="C23" s="5">
        <f t="shared" si="1"/>
        <v>175942.95833333331</v>
      </c>
      <c r="D23" s="5">
        <f t="shared" si="1"/>
        <v>257410.12500000003</v>
      </c>
      <c r="E23" s="5">
        <f t="shared" si="1"/>
        <v>706126.79166666674</v>
      </c>
      <c r="F23" s="5">
        <f t="shared" si="1"/>
        <v>1897890.4285714286</v>
      </c>
      <c r="G23" s="5">
        <f t="shared" si="1"/>
        <v>1848287.8571428575</v>
      </c>
      <c r="H23" s="5">
        <f t="shared" si="1"/>
        <v>4228660.145833334</v>
      </c>
      <c r="I23" s="5">
        <f t="shared" si="1"/>
        <v>138899</v>
      </c>
      <c r="J23" s="5">
        <f t="shared" si="1"/>
        <v>131490.70833333337</v>
      </c>
      <c r="K23" s="5"/>
      <c r="L23" s="5">
        <f>AVERAGE(L5:L20)</f>
        <v>119761.14583333333</v>
      </c>
      <c r="M23" s="5"/>
      <c r="N23" s="5" t="s">
        <v>0</v>
      </c>
      <c r="O23" s="5">
        <f>AVERAGE(O5:O20)</f>
        <v>1525844.8</v>
      </c>
      <c r="P23" s="5">
        <f>AVERAGE(P5:P20)</f>
        <v>1591855.6666666667</v>
      </c>
      <c r="Q23" s="5">
        <f>AVERAGE(Q5:Q20)</f>
        <v>74879.958333333343</v>
      </c>
      <c r="R23" s="5">
        <f>AVERAGE(R5:R20)</f>
        <v>499399.02083333337</v>
      </c>
      <c r="S23" s="5">
        <f>AVERAGE(S5:S20)</f>
        <v>870469.83333333326</v>
      </c>
      <c r="T23" s="5">
        <f t="shared" ref="T23:V23" si="2">AVERAGE(T5:T20)</f>
        <v>390649.83333333331</v>
      </c>
      <c r="U23" s="5">
        <f t="shared" si="2"/>
        <v>90416.5</v>
      </c>
      <c r="V23" s="5">
        <f t="shared" si="2"/>
        <v>63927.083333333336</v>
      </c>
    </row>
    <row r="24" spans="1:22" x14ac:dyDescent="0.25">
      <c r="A24" s="3" t="s">
        <v>1</v>
      </c>
      <c r="B24" s="3">
        <f t="shared" ref="B24:J24" si="3">STDEV(B5:B20)</f>
        <v>60224.820378190576</v>
      </c>
      <c r="C24" s="3">
        <f t="shared" si="3"/>
        <v>90838.875152296619</v>
      </c>
      <c r="D24" s="3">
        <f t="shared" si="3"/>
        <v>212996.64133427205</v>
      </c>
      <c r="E24" s="3">
        <f t="shared" si="3"/>
        <v>542136.98179975722</v>
      </c>
      <c r="F24" s="3">
        <f t="shared" si="3"/>
        <v>923802.51401904912</v>
      </c>
      <c r="G24" s="3">
        <f t="shared" si="3"/>
        <v>1116215.0910519795</v>
      </c>
      <c r="H24" s="3">
        <f t="shared" si="3"/>
        <v>1958708.902613299</v>
      </c>
      <c r="I24" s="3">
        <f t="shared" si="3"/>
        <v>210060.54291046967</v>
      </c>
      <c r="J24" s="3">
        <f t="shared" si="3"/>
        <v>138535.91829139212</v>
      </c>
      <c r="K24" s="3"/>
      <c r="L24" s="3">
        <f>STDEV(L5:L20)</f>
        <v>93894.068738812624</v>
      </c>
      <c r="M24" s="3"/>
      <c r="N24" s="3" t="s">
        <v>1</v>
      </c>
      <c r="O24" s="3">
        <f>STDEV(O5:O20)</f>
        <v>1371926.0994446203</v>
      </c>
      <c r="P24" s="3">
        <f>STDEV(P5:P20)</f>
        <v>1067218.8899657733</v>
      </c>
      <c r="Q24" s="3">
        <f>STDEV(Q5:Q20)</f>
        <v>66009.389083828341</v>
      </c>
      <c r="R24" s="3">
        <f>STDEV(R5:R20)</f>
        <v>422317.27419221948</v>
      </c>
      <c r="S24" s="3">
        <f>STDEV(S5:S20)</f>
        <v>987271.0881946336</v>
      </c>
      <c r="T24" s="3">
        <f t="shared" ref="T24:V24" si="4">STDEV(T5:T20)</f>
        <v>515112.31616936234</v>
      </c>
      <c r="U24" s="3">
        <f t="shared" si="4"/>
        <v>59733.171611707105</v>
      </c>
      <c r="V24" s="3">
        <f t="shared" si="4"/>
        <v>83687.894123827442</v>
      </c>
    </row>
    <row r="25" spans="1:22" ht="15.75" thickBot="1" x14ac:dyDescent="0.3"/>
    <row r="26" spans="1:22" ht="15.75" thickBot="1" x14ac:dyDescent="0.3">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Fadrozole 0,016µg/L</v>
      </c>
      <c r="J27" s="35" t="str">
        <f t="shared" si="5"/>
        <v>Fadrozole 0,08µg/L</v>
      </c>
      <c r="K27" s="35" t="str">
        <f t="shared" si="5"/>
        <v>Fadrozole 0,4µg/L</v>
      </c>
      <c r="L27" s="35" t="str">
        <f t="shared" si="5"/>
        <v>Fadrozole 2µg/L</v>
      </c>
      <c r="M27" s="35" t="str">
        <f t="shared" si="5"/>
        <v>Fadrozole 10µg/L</v>
      </c>
      <c r="N27" s="3"/>
      <c r="O27" s="36" t="str">
        <f>O4</f>
        <v>Testo -30µg/L</v>
      </c>
      <c r="P27" s="36" t="str">
        <f t="shared" ref="P27:V27" si="6">P4</f>
        <v>Testo 30µg/L + EE2 -64ng/L</v>
      </c>
      <c r="Q27" s="36" t="str">
        <f t="shared" si="6"/>
        <v>Testo 30µg/L + FAD-10µg/L</v>
      </c>
      <c r="R27" s="36" t="str">
        <f t="shared" si="6"/>
        <v>Fadrozole-0,016 µg/L + Testostérone</v>
      </c>
      <c r="S27" s="36" t="str">
        <f t="shared" si="6"/>
        <v>Fadrozole-0,08µg/L + Testostérone</v>
      </c>
      <c r="T27" s="36" t="str">
        <f t="shared" si="6"/>
        <v>Fadrozole-0,4µg/L + Testostérone</v>
      </c>
      <c r="U27" s="36" t="str">
        <f t="shared" si="6"/>
        <v>Fadrozole-2µg/L + Testostérone</v>
      </c>
      <c r="V27" s="36" t="str">
        <f t="shared" si="6"/>
        <v>Fadrozole-10 µg/L + Testostérone</v>
      </c>
    </row>
    <row r="28" spans="1:22" x14ac:dyDescent="0.25">
      <c r="A28" s="227" t="s">
        <v>34</v>
      </c>
      <c r="B28" s="11">
        <f t="shared" ref="B28:M28" si="7">IF(B5="","",(B5/$O$23))</f>
        <v>1.2460310511265628E-2</v>
      </c>
      <c r="C28" s="11">
        <f t="shared" si="7"/>
        <v>0.1070973928672169</v>
      </c>
      <c r="D28" s="11">
        <f t="shared" si="7"/>
        <v>0.1711288068091853</v>
      </c>
      <c r="E28" s="11">
        <f t="shared" si="7"/>
        <v>0.18770956696688068</v>
      </c>
      <c r="F28" s="11">
        <f t="shared" si="7"/>
        <v>1.213098475021837</v>
      </c>
      <c r="G28" s="11">
        <f t="shared" si="7"/>
        <v>1.7041772531518278</v>
      </c>
      <c r="H28" s="11">
        <f t="shared" si="7"/>
        <v>3.9114729536494584</v>
      </c>
      <c r="I28" s="11">
        <f t="shared" si="7"/>
        <v>1.1307397274829873E-2</v>
      </c>
      <c r="J28" s="11">
        <f t="shared" si="7"/>
        <v>0.20700270433795101</v>
      </c>
      <c r="K28" s="11">
        <f t="shared" si="7"/>
        <v>0.1591313000291161</v>
      </c>
      <c r="L28" s="11">
        <f t="shared" si="7"/>
        <v>0.10447938960327639</v>
      </c>
      <c r="M28" s="11">
        <f t="shared" si="7"/>
        <v>0.11003172362833581</v>
      </c>
      <c r="N28" s="6"/>
      <c r="O28" s="11">
        <f t="shared" ref="O28:V39" si="8">IF(O5="","",(O5/$O$23))</f>
        <v>0.74140720821235107</v>
      </c>
      <c r="P28" s="11">
        <f t="shared" si="8"/>
        <v>1.6960735456187943</v>
      </c>
      <c r="Q28" s="11">
        <f t="shared" si="8"/>
        <v>9.4830745564686528E-2</v>
      </c>
      <c r="R28" s="11">
        <f t="shared" si="8"/>
        <v>0.11516789475137533</v>
      </c>
      <c r="S28" s="11">
        <f t="shared" si="8"/>
        <v>2.2482627328808277E-2</v>
      </c>
      <c r="T28" s="11">
        <f t="shared" si="8"/>
        <v>5.2194910867300083E-2</v>
      </c>
      <c r="U28" s="11">
        <f t="shared" si="8"/>
        <v>9.3653911153567734E-2</v>
      </c>
      <c r="V28" s="11">
        <f t="shared" si="8"/>
        <v>2.0029996934594309E-2</v>
      </c>
    </row>
    <row r="29" spans="1:22" x14ac:dyDescent="0.25">
      <c r="A29" s="227"/>
      <c r="B29" s="11">
        <f t="shared" ref="B29:M29" si="9">IF(B6="","",(B6/$O$23))</f>
        <v>7.7427599451792214E-2</v>
      </c>
      <c r="C29" s="11">
        <f t="shared" si="9"/>
        <v>6.1952565555815374E-2</v>
      </c>
      <c r="D29" s="11">
        <f t="shared" si="9"/>
        <v>6.0053071365231032E-2</v>
      </c>
      <c r="E29" s="11">
        <f t="shared" si="9"/>
        <v>0.48159048242215285</v>
      </c>
      <c r="F29" s="11">
        <f t="shared" si="9"/>
        <v>1.5361007445405546</v>
      </c>
      <c r="G29" s="11">
        <f t="shared" si="9"/>
        <v>1.0574161933114037</v>
      </c>
      <c r="H29" s="11">
        <f t="shared" si="9"/>
        <v>1.1806456331600697</v>
      </c>
      <c r="I29" s="11">
        <f t="shared" si="9"/>
        <v>0.42350790416779827</v>
      </c>
      <c r="J29" s="11">
        <f t="shared" si="9"/>
        <v>1.3835395753661623E-2</v>
      </c>
      <c r="K29" s="11">
        <f t="shared" si="9"/>
        <v>0.2078911739035757</v>
      </c>
      <c r="L29" s="11">
        <f t="shared" si="9"/>
        <v>9.49063321075206E-2</v>
      </c>
      <c r="M29" s="11">
        <f t="shared" si="9"/>
        <v>1.70626789828166E-2</v>
      </c>
      <c r="N29" s="6"/>
      <c r="O29" s="11">
        <f t="shared" si="8"/>
        <v>0.14145912262286875</v>
      </c>
      <c r="P29" s="11">
        <f t="shared" si="8"/>
        <v>0.26167820825114935</v>
      </c>
      <c r="Q29" s="11">
        <f t="shared" si="8"/>
        <v>5.4293420492918633E-3</v>
      </c>
      <c r="R29" s="11">
        <f t="shared" si="8"/>
        <v>3.5051620802674904E-2</v>
      </c>
      <c r="S29" s="11">
        <f t="shared" si="8"/>
        <v>1.4991352113050203</v>
      </c>
      <c r="T29" s="11">
        <f t="shared" si="8"/>
        <v>6.856070814017258E-2</v>
      </c>
      <c r="U29" s="11">
        <f t="shared" si="8"/>
        <v>6.2027933640433151E-2</v>
      </c>
      <c r="V29" s="11">
        <f t="shared" si="8"/>
        <v>1.1690136069758427E-2</v>
      </c>
    </row>
    <row r="30" spans="1:22" x14ac:dyDescent="0.25">
      <c r="A30" s="227"/>
      <c r="B30" s="11">
        <f t="shared" ref="B30:M30" si="10">IF(B7="","",(B7/$O$23))</f>
        <v>5.4648415094379187E-3</v>
      </c>
      <c r="C30" s="11">
        <f t="shared" si="10"/>
        <v>0.19875241134179131</v>
      </c>
      <c r="D30" s="11">
        <f t="shared" si="10"/>
        <v>6.1210462995100592E-2</v>
      </c>
      <c r="E30" s="11">
        <f t="shared" si="10"/>
        <v>1.2727353834850481</v>
      </c>
      <c r="F30" s="11">
        <f t="shared" si="10"/>
        <v>2.4411805621821214</v>
      </c>
      <c r="G30" s="11">
        <f t="shared" si="10"/>
        <v>0.4203656011847775</v>
      </c>
      <c r="H30" s="11">
        <f t="shared" si="10"/>
        <v>1.5093772970881443</v>
      </c>
      <c r="I30" s="11">
        <f t="shared" si="10"/>
        <v>0.10444159633185934</v>
      </c>
      <c r="J30" s="11">
        <f t="shared" si="10"/>
        <v>0.12496793033384958</v>
      </c>
      <c r="K30" s="11">
        <f t="shared" si="10"/>
        <v>0.26551520836195136</v>
      </c>
      <c r="L30" s="11">
        <f t="shared" si="10"/>
        <v>5.2875626669239232E-3</v>
      </c>
      <c r="M30" s="11">
        <f t="shared" si="10"/>
        <v>0.16098382570319952</v>
      </c>
      <c r="N30" s="6"/>
      <c r="O30" s="11">
        <f t="shared" si="8"/>
        <v>0.12643269267402993</v>
      </c>
      <c r="P30" s="11">
        <f t="shared" si="8"/>
        <v>2.4103576370720448</v>
      </c>
      <c r="Q30" s="11">
        <f t="shared" si="8"/>
        <v>7.8027594942814624E-2</v>
      </c>
      <c r="R30" s="11">
        <f t="shared" si="8"/>
        <v>0.77745816612541452</v>
      </c>
      <c r="S30" s="11">
        <f t="shared" si="8"/>
        <v>3.275038195234535E-2</v>
      </c>
      <c r="T30" s="11">
        <f t="shared" si="8"/>
        <v>0.75749184976086692</v>
      </c>
      <c r="U30" s="11">
        <f t="shared" si="8"/>
        <v>8.1605066692671934E-3</v>
      </c>
      <c r="V30" s="11">
        <f t="shared" si="8"/>
        <v>0.16897874104452387</v>
      </c>
    </row>
    <row r="31" spans="1:22" x14ac:dyDescent="0.25">
      <c r="A31" s="227"/>
      <c r="B31" s="11">
        <f t="shared" ref="B31:M31" si="11">IF(B8="","",(B8/$O$23))</f>
        <v>2.3125331401114099E-2</v>
      </c>
      <c r="C31" s="11">
        <f t="shared" si="11"/>
        <v>2.0256975021312781E-2</v>
      </c>
      <c r="D31" s="11">
        <f t="shared" si="11"/>
        <v>2.242102211181635E-2</v>
      </c>
      <c r="E31" s="11">
        <f t="shared" si="11"/>
        <v>0.30576941158541593</v>
      </c>
      <c r="F31" s="11">
        <f t="shared" si="11"/>
        <v>0.94568355401108506</v>
      </c>
      <c r="G31" s="11">
        <f t="shared" si="11"/>
        <v>0.37796635673562606</v>
      </c>
      <c r="H31" s="11">
        <f t="shared" si="11"/>
        <v>2.3113925697641946</v>
      </c>
      <c r="I31" s="11">
        <f t="shared" si="11"/>
        <v>2.1046264556744781E-2</v>
      </c>
      <c r="J31" s="11">
        <f t="shared" si="11"/>
        <v>6.8846451487071289E-2</v>
      </c>
      <c r="K31" s="11">
        <f t="shared" si="11"/>
        <v>1.2091662271287355E-2</v>
      </c>
      <c r="L31" s="11">
        <f t="shared" si="11"/>
        <v>2.063032011294115E-2</v>
      </c>
      <c r="M31" s="11">
        <f t="shared" si="11"/>
        <v>1.1576756255507331E-2</v>
      </c>
      <c r="N31" s="6"/>
      <c r="O31" s="11">
        <f t="shared" si="8"/>
        <v>0.36720685266723496</v>
      </c>
      <c r="P31" s="11">
        <f t="shared" si="8"/>
        <v>1.0650430065582903</v>
      </c>
      <c r="Q31" s="11">
        <f t="shared" si="8"/>
        <v>1.2318858816222113E-2</v>
      </c>
      <c r="R31" s="11">
        <f t="shared" si="8"/>
        <v>0.18341445997653233</v>
      </c>
      <c r="S31" s="11">
        <f t="shared" si="8"/>
        <v>1.1623399269266004</v>
      </c>
      <c r="T31" s="11">
        <f t="shared" si="8"/>
        <v>1.2663367423301066E-2</v>
      </c>
      <c r="U31" s="11">
        <f t="shared" si="8"/>
        <v>5.7794431867076737E-2</v>
      </c>
      <c r="V31" s="11">
        <f t="shared" si="8"/>
        <v>8.2173058055008824E-3</v>
      </c>
    </row>
    <row r="32" spans="1:22" x14ac:dyDescent="0.25">
      <c r="A32" s="227"/>
      <c r="B32" s="11">
        <f t="shared" ref="B32:M32" si="12">IF(B9="","",(B9/$O$23))</f>
        <v>9.6772839107446149E-2</v>
      </c>
      <c r="C32" s="11">
        <f t="shared" si="12"/>
        <v>0.15695305315455413</v>
      </c>
      <c r="D32" s="11">
        <f t="shared" si="12"/>
        <v>0.3899966322481378</v>
      </c>
      <c r="E32" s="11">
        <f t="shared" si="12"/>
        <v>0.11850877625299767</v>
      </c>
      <c r="F32" s="11">
        <f t="shared" si="12"/>
        <v>0.97093994531204397</v>
      </c>
      <c r="G32" s="11">
        <f t="shared" si="12"/>
        <v>0.79680580882144758</v>
      </c>
      <c r="H32" s="11">
        <f t="shared" si="12"/>
        <v>1.9938288175398529</v>
      </c>
      <c r="I32" s="11">
        <f t="shared" si="12"/>
        <v>4.6670976410357508E-2</v>
      </c>
      <c r="J32" s="11">
        <f t="shared" si="12"/>
        <v>9.9560147489006316E-3</v>
      </c>
      <c r="K32" s="11">
        <f t="shared" si="12"/>
        <v>2.5771515774955182E-2</v>
      </c>
      <c r="L32" s="11">
        <f t="shared" si="12"/>
        <v>0.15386754930776708</v>
      </c>
      <c r="M32" s="11">
        <f t="shared" si="12"/>
        <v>7.1764179423752669E-2</v>
      </c>
      <c r="N32" s="6"/>
      <c r="O32" s="11">
        <f t="shared" si="8"/>
        <v>0.14352879576393787</v>
      </c>
      <c r="P32" s="11">
        <f t="shared" si="8"/>
        <v>0.94461573024989165</v>
      </c>
      <c r="Q32" s="11">
        <f t="shared" si="8"/>
        <v>1.6514567318161498E-2</v>
      </c>
      <c r="R32" s="11">
        <f t="shared" si="8"/>
        <v>7.1813987897065279E-2</v>
      </c>
      <c r="S32" s="11">
        <f t="shared" si="8"/>
        <v>1.3491282555954138</v>
      </c>
      <c r="T32" s="11">
        <f t="shared" si="8"/>
        <v>0.10548123898315215</v>
      </c>
      <c r="U32" s="11">
        <f t="shared" si="8"/>
        <v>2.1272805727030691E-2</v>
      </c>
      <c r="V32" s="11">
        <f t="shared" si="8"/>
        <v>1.0905871073300946E-2</v>
      </c>
    </row>
    <row r="33" spans="1:22" x14ac:dyDescent="0.25">
      <c r="A33" s="227"/>
      <c r="B33" s="11">
        <f t="shared" ref="B33:M33" si="13">IF(B10="","",(B10/$O$23))</f>
        <v>0.10022906654726614</v>
      </c>
      <c r="C33" s="11">
        <f t="shared" si="13"/>
        <v>0.14238997308245241</v>
      </c>
      <c r="D33" s="11">
        <f t="shared" si="13"/>
        <v>0.37040114870573115</v>
      </c>
      <c r="E33" s="11">
        <f t="shared" si="13"/>
        <v>0.49761373721189295</v>
      </c>
      <c r="F33" s="11">
        <f t="shared" si="13"/>
        <v>0.55312113001269847</v>
      </c>
      <c r="G33" s="11" t="str">
        <f t="shared" si="13"/>
        <v/>
      </c>
      <c r="H33" s="11">
        <f t="shared" si="13"/>
        <v>4.6368381196654687</v>
      </c>
      <c r="I33" s="11">
        <f t="shared" si="13"/>
        <v>1.5928662382089363E-2</v>
      </c>
      <c r="J33" s="11">
        <f t="shared" si="13"/>
        <v>0.22997205657263875</v>
      </c>
      <c r="K33" s="11">
        <f t="shared" si="13"/>
        <v>2.6314821358852051E-2</v>
      </c>
      <c r="L33" s="11">
        <f t="shared" si="13"/>
        <v>0.1607381694389888</v>
      </c>
      <c r="M33" s="11">
        <f t="shared" si="13"/>
        <v>5.1553954460724534E-3</v>
      </c>
      <c r="N33" s="6"/>
      <c r="O33" s="11">
        <f t="shared" si="8"/>
        <v>0.87293412803189419</v>
      </c>
      <c r="P33" s="11">
        <f t="shared" si="8"/>
        <v>0.46520808232484284</v>
      </c>
      <c r="Q33" s="11">
        <f t="shared" si="8"/>
        <v>3.3137926828032141E-2</v>
      </c>
      <c r="R33" s="11">
        <f t="shared" si="8"/>
        <v>0.63224254524444423</v>
      </c>
      <c r="S33" s="11">
        <f t="shared" si="8"/>
        <v>0.30657268244669006</v>
      </c>
      <c r="T33" s="11">
        <f t="shared" si="8"/>
        <v>6.9035636302372735E-2</v>
      </c>
      <c r="U33" s="11">
        <f t="shared" si="8"/>
        <v>0.12448120542797013</v>
      </c>
      <c r="V33" s="11">
        <f t="shared" si="8"/>
        <v>5.5100842060302149E-2</v>
      </c>
    </row>
    <row r="34" spans="1:22" x14ac:dyDescent="0.25">
      <c r="A34" s="227"/>
      <c r="B34" s="11">
        <f t="shared" ref="B34:M34" si="14">IF(B11="","",(B11/$O$23))</f>
        <v>1.286467666960624E-2</v>
      </c>
      <c r="C34" s="11">
        <f t="shared" si="14"/>
        <v>7.618009380770574E-2</v>
      </c>
      <c r="D34" s="11">
        <f t="shared" si="14"/>
        <v>0.1376083596444409</v>
      </c>
      <c r="E34" s="11">
        <f t="shared" si="14"/>
        <v>0.37767799189013196</v>
      </c>
      <c r="F34" s="11">
        <f t="shared" si="14"/>
        <v>1.0466805011885874</v>
      </c>
      <c r="G34" s="11">
        <f t="shared" si="14"/>
        <v>1.9995985174901143</v>
      </c>
      <c r="H34" s="11">
        <f t="shared" si="14"/>
        <v>4.0971886524763201</v>
      </c>
      <c r="I34" s="11">
        <f t="shared" si="14"/>
        <v>4.422817663587629E-2</v>
      </c>
      <c r="J34" s="11">
        <f t="shared" si="14"/>
        <v>2.5237385436142217E-2</v>
      </c>
      <c r="K34" s="11">
        <f t="shared" si="14"/>
        <v>0.25763847891563629</v>
      </c>
      <c r="L34" s="11">
        <f t="shared" si="14"/>
        <v>7.585415414901088E-2</v>
      </c>
      <c r="M34" s="11">
        <f t="shared" si="14"/>
        <v>0.10674764126294715</v>
      </c>
      <c r="N34" s="6"/>
      <c r="O34" s="11">
        <f t="shared" si="8"/>
        <v>1.568090673442017</v>
      </c>
      <c r="P34" s="11">
        <f t="shared" si="8"/>
        <v>0.79560079330042821</v>
      </c>
      <c r="Q34" s="11">
        <f t="shared" si="8"/>
        <v>0.12161306750638509</v>
      </c>
      <c r="R34" s="11">
        <f t="shared" si="8"/>
        <v>0.32043189014592655</v>
      </c>
      <c r="S34" s="11">
        <f t="shared" si="8"/>
        <v>6.665902936742539E-2</v>
      </c>
      <c r="T34" s="11">
        <f t="shared" si="8"/>
        <v>0.14353360184469613</v>
      </c>
      <c r="U34" s="11">
        <f t="shared" si="8"/>
        <v>2.9282357768846041E-2</v>
      </c>
      <c r="V34" s="11">
        <f t="shared" si="8"/>
        <v>5.2152311515124818E-2</v>
      </c>
    </row>
    <row r="35" spans="1:22" x14ac:dyDescent="0.25">
      <c r="A35" s="227"/>
      <c r="B35" s="11">
        <f t="shared" ref="B35:M35" si="15">IF(B12="","",(B12/$O$23))</f>
        <v>5.1079900131389508E-2</v>
      </c>
      <c r="C35" s="11">
        <f t="shared" si="15"/>
        <v>0.15888597145222982</v>
      </c>
      <c r="D35" s="11">
        <f t="shared" si="15"/>
        <v>0.13678105837937557</v>
      </c>
      <c r="E35" s="11">
        <f t="shared" si="15"/>
        <v>0.4606154352439164</v>
      </c>
      <c r="F35" s="11" t="str">
        <f t="shared" si="15"/>
        <v/>
      </c>
      <c r="G35" s="11">
        <f t="shared" si="15"/>
        <v>2.1229173067492404</v>
      </c>
      <c r="H35" s="11">
        <f t="shared" si="15"/>
        <v>2.5301092221174786</v>
      </c>
      <c r="I35" s="11">
        <f t="shared" si="15"/>
        <v>6.1116089045666157E-2</v>
      </c>
      <c r="J35" s="11">
        <f t="shared" si="15"/>
        <v>9.5874757380304994E-3</v>
      </c>
      <c r="K35" s="11">
        <f t="shared" si="15"/>
        <v>5.5420118743400373E-2</v>
      </c>
      <c r="L35" s="11">
        <f t="shared" si="15"/>
        <v>1.2143873784979093E-2</v>
      </c>
      <c r="M35" s="11">
        <f t="shared" si="15"/>
        <v>9.6890588086022897E-2</v>
      </c>
      <c r="N35" s="6"/>
      <c r="O35" s="11">
        <f t="shared" si="8"/>
        <v>0.72131538760254854</v>
      </c>
      <c r="P35" s="11">
        <f t="shared" si="8"/>
        <v>0.70751778512030394</v>
      </c>
      <c r="Q35" s="11">
        <f t="shared" si="8"/>
        <v>3.0723308163451486E-2</v>
      </c>
      <c r="R35" s="11">
        <f t="shared" si="8"/>
        <v>0.48276709837505533</v>
      </c>
      <c r="S35" s="11">
        <f t="shared" si="8"/>
        <v>0.12480277592233932</v>
      </c>
      <c r="T35" s="11">
        <f t="shared" si="8"/>
        <v>0.83921466543211554</v>
      </c>
      <c r="U35" s="11">
        <f t="shared" si="8"/>
        <v>7.7380303247966853E-2</v>
      </c>
      <c r="V35" s="11">
        <f t="shared" si="8"/>
        <v>8.0943138297333156E-3</v>
      </c>
    </row>
    <row r="36" spans="1:22" x14ac:dyDescent="0.25">
      <c r="A36" s="227"/>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1.6643151824265918</v>
      </c>
      <c r="P36" s="11" t="str">
        <f t="shared" si="8"/>
        <v/>
      </c>
      <c r="Q36" s="11" t="str">
        <f t="shared" si="8"/>
        <v/>
      </c>
      <c r="R36" s="11" t="str">
        <f t="shared" si="8"/>
        <v/>
      </c>
      <c r="S36" s="11" t="str">
        <f t="shared" si="8"/>
        <v/>
      </c>
      <c r="T36" s="11" t="str">
        <f t="shared" si="8"/>
        <v/>
      </c>
      <c r="U36" s="11" t="str">
        <f t="shared" si="8"/>
        <v/>
      </c>
      <c r="V36" s="11" t="str">
        <f t="shared" si="8"/>
        <v/>
      </c>
    </row>
    <row r="37" spans="1:22" x14ac:dyDescent="0.25">
      <c r="A37" s="227"/>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3.5929877446688332</v>
      </c>
      <c r="P37" s="11" t="str">
        <f t="shared" si="8"/>
        <v/>
      </c>
      <c r="Q37" s="11" t="str">
        <f t="shared" si="8"/>
        <v/>
      </c>
      <c r="R37" s="11" t="str">
        <f t="shared" si="8"/>
        <v/>
      </c>
      <c r="S37" s="11" t="str">
        <f t="shared" si="8"/>
        <v/>
      </c>
      <c r="T37" s="11" t="str">
        <f t="shared" si="8"/>
        <v/>
      </c>
      <c r="U37" s="11" t="str">
        <f t="shared" si="8"/>
        <v/>
      </c>
      <c r="V37" s="11" t="str">
        <f t="shared" si="8"/>
        <v/>
      </c>
    </row>
    <row r="38" spans="1:22" x14ac:dyDescent="0.25">
      <c r="A38" s="227"/>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t="str">
        <f t="shared" si="8"/>
        <v/>
      </c>
      <c r="P38" s="11" t="str">
        <f t="shared" si="8"/>
        <v/>
      </c>
      <c r="Q38" s="11" t="str">
        <f t="shared" si="8"/>
        <v/>
      </c>
      <c r="R38" s="11" t="str">
        <f t="shared" si="8"/>
        <v/>
      </c>
      <c r="S38" s="11" t="str">
        <f t="shared" si="8"/>
        <v/>
      </c>
      <c r="T38" s="11" t="str">
        <f t="shared" si="8"/>
        <v/>
      </c>
      <c r="U38" s="11" t="str">
        <f t="shared" si="8"/>
        <v/>
      </c>
      <c r="V38" s="11" t="str">
        <f t="shared" si="8"/>
        <v/>
      </c>
    </row>
    <row r="39" spans="1:22" x14ac:dyDescent="0.25">
      <c r="A39" s="227"/>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1.1467749974746231</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25">
      <c r="A40" s="227"/>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1.6285734521186777</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25">
      <c r="A41" s="227"/>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1.1963189178873237</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25">
      <c r="A42" s="227"/>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0.8315740893176029</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25">
      <c r="A43" s="227"/>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0.25708075508946476</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Fadrozole 0,016µg/L</v>
      </c>
      <c r="J45" s="7" t="str">
        <f t="shared" si="26"/>
        <v>Fadrozole 0,08µg/L</v>
      </c>
      <c r="K45" s="7" t="str">
        <f t="shared" si="26"/>
        <v>Fadrozole 0,4µg/L</v>
      </c>
      <c r="L45" s="7" t="str">
        <f t="shared" si="26"/>
        <v>Fadrozole 2µg/L</v>
      </c>
      <c r="M45" s="7" t="str">
        <f t="shared" si="26"/>
        <v>Fadrozole 10µg/L</v>
      </c>
      <c r="N45" s="7"/>
      <c r="O45" s="7" t="str">
        <f t="shared" si="26"/>
        <v>Testo -30µg/L</v>
      </c>
      <c r="P45" s="7" t="str">
        <f t="shared" si="26"/>
        <v>Testo 30µg/L + EE2 -64ng/L</v>
      </c>
      <c r="Q45" s="7" t="str">
        <f t="shared" si="26"/>
        <v>Testo 30µg/L + FAD-10µg/L</v>
      </c>
      <c r="R45" s="7" t="str">
        <f t="shared" si="26"/>
        <v>Fadrozole-0,016 µg/L + Testostérone</v>
      </c>
      <c r="S45" s="7" t="str">
        <f t="shared" si="26"/>
        <v>Fadrozole-0,08µg/L + Testostérone</v>
      </c>
      <c r="T45" s="7" t="str">
        <f t="shared" si="26"/>
        <v>Fadrozole-0,4µg/L + Testostérone</v>
      </c>
      <c r="U45" s="7" t="str">
        <f t="shared" si="26"/>
        <v>Fadrozole-2µg/L + Testostérone</v>
      </c>
      <c r="V45" s="7" t="str">
        <f t="shared" si="26"/>
        <v>Fadrozole-10 µg/L + Testostérone</v>
      </c>
    </row>
    <row r="46" spans="1:22" x14ac:dyDescent="0.25">
      <c r="A46" s="8" t="s">
        <v>0</v>
      </c>
      <c r="B46" s="10">
        <f t="shared" ref="B46:H46" si="27">AVERAGE(B28:B43)</f>
        <v>4.7428070666164737E-2</v>
      </c>
      <c r="C46" s="10">
        <f t="shared" si="27"/>
        <v>0.11530855453538481</v>
      </c>
      <c r="D46" s="10">
        <f t="shared" si="27"/>
        <v>0.16870007028237735</v>
      </c>
      <c r="E46" s="10">
        <f t="shared" si="27"/>
        <v>0.46277759813230457</v>
      </c>
      <c r="F46" s="10">
        <f t="shared" si="27"/>
        <v>1.2438292731812752</v>
      </c>
      <c r="G46" s="10">
        <f t="shared" si="27"/>
        <v>1.2113210053492054</v>
      </c>
      <c r="H46" s="10">
        <f t="shared" si="27"/>
        <v>2.7713566581826234</v>
      </c>
      <c r="I46" s="10">
        <f>AVERAGE(I28:I43)</f>
        <v>9.1030883350652694E-2</v>
      </c>
      <c r="J46" s="9">
        <f>AVERAGE(J28:J43)</f>
        <v>8.6175676801030707E-2</v>
      </c>
      <c r="K46" s="9">
        <f t="shared" ref="K46:M46" si="28">AVERAGE(K28:K43)</f>
        <v>0.12622178491984681</v>
      </c>
      <c r="L46" s="9">
        <f t="shared" si="28"/>
        <v>7.8488418896425979E-2</v>
      </c>
      <c r="M46" s="9">
        <f t="shared" si="28"/>
        <v>7.2526598598581807E-2</v>
      </c>
      <c r="N46" s="8" t="s">
        <v>0</v>
      </c>
      <c r="O46" s="10">
        <f t="shared" ref="O46:V46" si="29">AVERAGE(O28:O43)</f>
        <v>1</v>
      </c>
      <c r="P46" s="10">
        <f t="shared" si="29"/>
        <v>1.043261848561968</v>
      </c>
      <c r="Q46" s="10">
        <f t="shared" si="29"/>
        <v>4.9074426398630661E-2</v>
      </c>
      <c r="R46" s="10">
        <f t="shared" si="29"/>
        <v>0.32729345791481107</v>
      </c>
      <c r="S46" s="10">
        <f t="shared" si="29"/>
        <v>0.57048386135558038</v>
      </c>
      <c r="T46" s="10">
        <f t="shared" si="29"/>
        <v>0.25602199734424713</v>
      </c>
      <c r="U46" s="10">
        <f t="shared" si="29"/>
        <v>5.9256681937769812E-2</v>
      </c>
      <c r="V46" s="10">
        <f t="shared" si="29"/>
        <v>4.1896189791604838E-2</v>
      </c>
    </row>
    <row r="47" spans="1:22" x14ac:dyDescent="0.25">
      <c r="A47" s="8" t="s">
        <v>1</v>
      </c>
      <c r="B47" s="8">
        <f t="shared" ref="B47:M47" si="30">STDEV(B28:B43)</f>
        <v>3.9469820507426812E-2</v>
      </c>
      <c r="C47" s="8">
        <f t="shared" si="30"/>
        <v>5.9533495904889253E-2</v>
      </c>
      <c r="D47" s="8">
        <f t="shared" si="30"/>
        <v>0.13959259902073401</v>
      </c>
      <c r="E47" s="8">
        <f t="shared" si="30"/>
        <v>0.35530283407575741</v>
      </c>
      <c r="F47" s="8">
        <f t="shared" si="30"/>
        <v>0.6054367482322246</v>
      </c>
      <c r="G47" s="8">
        <f t="shared" si="30"/>
        <v>0.73153907333955581</v>
      </c>
      <c r="H47" s="8">
        <f t="shared" si="30"/>
        <v>1.2836881592500753</v>
      </c>
      <c r="I47" s="8">
        <f t="shared" si="30"/>
        <v>0.13766835454724471</v>
      </c>
      <c r="J47" s="8">
        <f t="shared" si="30"/>
        <v>9.0792928803369879E-2</v>
      </c>
      <c r="K47" s="8">
        <f t="shared" si="30"/>
        <v>0.10858581157321912</v>
      </c>
      <c r="L47" s="8">
        <f t="shared" si="30"/>
        <v>6.1535792328821795E-2</v>
      </c>
      <c r="M47" s="8">
        <f t="shared" si="30"/>
        <v>5.6475771206168424E-2</v>
      </c>
      <c r="N47" s="8" t="s">
        <v>1</v>
      </c>
      <c r="O47" s="8">
        <f t="shared" ref="O47:V47" si="31">STDEV(O28:O43)</f>
        <v>0.89912558567202949</v>
      </c>
      <c r="P47" s="8">
        <f t="shared" si="31"/>
        <v>0.69942820525768656</v>
      </c>
      <c r="Q47" s="8">
        <f t="shared" si="31"/>
        <v>4.3260880191634404E-2</v>
      </c>
      <c r="R47" s="8">
        <f t="shared" si="31"/>
        <v>0.27677603527712619</v>
      </c>
      <c r="S47" s="8">
        <f t="shared" si="31"/>
        <v>0.64703244274557514</v>
      </c>
      <c r="T47" s="8">
        <f t="shared" si="31"/>
        <v>0.33759155332794155</v>
      </c>
      <c r="U47" s="8">
        <f t="shared" si="31"/>
        <v>3.9147606369735063E-2</v>
      </c>
      <c r="V47" s="8">
        <f t="shared" si="31"/>
        <v>5.4846924224421417E-2</v>
      </c>
    </row>
    <row r="48" spans="1:22" x14ac:dyDescent="0.25">
      <c r="A48" s="8" t="s">
        <v>2</v>
      </c>
      <c r="B48" s="8">
        <f t="shared" ref="B48:M48" si="32" xml:space="preserve"> B47/SQRT(COUNT(B28:B43))</f>
        <v>1.3954688866508677E-2</v>
      </c>
      <c r="C48" s="8">
        <f t="shared" si="32"/>
        <v>2.1048269331044374E-2</v>
      </c>
      <c r="D48" s="8">
        <f t="shared" si="32"/>
        <v>4.9353436685507811E-2</v>
      </c>
      <c r="E48" s="8">
        <f t="shared" si="32"/>
        <v>0.12561852167488338</v>
      </c>
      <c r="F48" s="8">
        <f t="shared" si="32"/>
        <v>0.22883358148601293</v>
      </c>
      <c r="G48" s="8">
        <f t="shared" si="32"/>
        <v>0.27649578034044364</v>
      </c>
      <c r="H48" s="8">
        <f t="shared" si="32"/>
        <v>0.45385230116730246</v>
      </c>
      <c r="I48" s="8">
        <f t="shared" si="32"/>
        <v>4.86731135275753E-2</v>
      </c>
      <c r="J48" s="8">
        <f t="shared" si="32"/>
        <v>3.2100147820325123E-2</v>
      </c>
      <c r="K48" s="8">
        <f t="shared" si="32"/>
        <v>3.8390881852033959E-2</v>
      </c>
      <c r="L48" s="8">
        <f t="shared" si="32"/>
        <v>2.1756188020698512E-2</v>
      </c>
      <c r="M48" s="8">
        <f t="shared" si="32"/>
        <v>1.9967200396310825E-2</v>
      </c>
      <c r="N48" s="8" t="s">
        <v>2</v>
      </c>
      <c r="O48" s="8">
        <f t="shared" ref="O48:V48" si="33" xml:space="preserve"> O47/SQRT(COUNT(O28:O43))</f>
        <v>0.23215322796378401</v>
      </c>
      <c r="P48" s="8">
        <f t="shared" si="33"/>
        <v>0.24728521344542329</v>
      </c>
      <c r="Q48" s="8">
        <f t="shared" si="33"/>
        <v>1.5295030871801738E-2</v>
      </c>
      <c r="R48" s="8">
        <f t="shared" si="33"/>
        <v>9.7855105707191511E-2</v>
      </c>
      <c r="S48" s="8">
        <f t="shared" si="33"/>
        <v>0.22876051395654637</v>
      </c>
      <c r="T48" s="8">
        <f t="shared" si="33"/>
        <v>0.11935663831474372</v>
      </c>
      <c r="U48" s="8">
        <f t="shared" si="33"/>
        <v>1.3840768965630672E-2</v>
      </c>
      <c r="V48" s="8">
        <f t="shared" si="33"/>
        <v>1.9391316023156552E-2</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75" thickBot="1" x14ac:dyDescent="0.3"/>
    <row r="52" spans="1:22" x14ac:dyDescent="0.2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Fadrozole 0,016µg/L</v>
      </c>
      <c r="J52" s="46" t="str">
        <f>J4</f>
        <v>Fadrozole 0,08µg/L</v>
      </c>
      <c r="K52" s="46" t="str">
        <f t="shared" ref="K52:M52" si="35">K4</f>
        <v>Fadrozole 0,4µg/L</v>
      </c>
      <c r="L52" s="46" t="str">
        <f t="shared" si="35"/>
        <v>Fadrozole 2µg/L</v>
      </c>
      <c r="M52" s="46" t="str">
        <f t="shared" si="35"/>
        <v>Fadrozole 10µg/L</v>
      </c>
      <c r="N52" s="47"/>
      <c r="O52" s="46" t="str">
        <f>O27</f>
        <v>Testo -30µg/L</v>
      </c>
      <c r="P52" s="46" t="str">
        <f>P27</f>
        <v>Testo 30µg/L + EE2 -64ng/L</v>
      </c>
      <c r="Q52" s="46" t="str">
        <f>Q27</f>
        <v>Testo 30µg/L + FAD-10µg/L</v>
      </c>
      <c r="R52" s="46" t="str">
        <f>R27</f>
        <v>Fadrozole-0,016 µg/L + Testostérone</v>
      </c>
      <c r="S52" s="46" t="str">
        <f t="shared" ref="S52:V52" si="36">S27</f>
        <v>Fadrozole-0,08µg/L + Testostérone</v>
      </c>
      <c r="T52" s="46" t="str">
        <f t="shared" si="36"/>
        <v>Fadrozole-0,4µg/L + Testostérone</v>
      </c>
      <c r="U52" s="46" t="str">
        <f t="shared" si="36"/>
        <v>Fadrozole-2µg/L + Testostérone</v>
      </c>
      <c r="V52" s="46" t="str">
        <f t="shared" si="36"/>
        <v>Fadrozole-10 µg/L + Testostérone</v>
      </c>
    </row>
    <row r="53" spans="1:22" s="3" customFormat="1" x14ac:dyDescent="0.25">
      <c r="A53" s="61" t="s">
        <v>32</v>
      </c>
      <c r="B53" s="141">
        <f t="shared" ref="B53:V53" si="37">B46</f>
        <v>4.7428070666164737E-2</v>
      </c>
      <c r="C53" s="141">
        <f t="shared" si="37"/>
        <v>0.11530855453538481</v>
      </c>
      <c r="D53" s="141">
        <f t="shared" si="37"/>
        <v>0.16870007028237735</v>
      </c>
      <c r="E53" s="141">
        <f t="shared" si="37"/>
        <v>0.46277759813230457</v>
      </c>
      <c r="F53" s="141">
        <f t="shared" si="37"/>
        <v>1.2438292731812752</v>
      </c>
      <c r="G53" s="141">
        <f t="shared" si="37"/>
        <v>1.2113210053492054</v>
      </c>
      <c r="H53" s="141">
        <f t="shared" si="37"/>
        <v>2.7713566581826234</v>
      </c>
      <c r="I53" s="141">
        <f t="shared" si="37"/>
        <v>9.1030883350652694E-2</v>
      </c>
      <c r="J53" s="141">
        <f t="shared" si="37"/>
        <v>8.6175676801030707E-2</v>
      </c>
      <c r="K53" s="141">
        <f t="shared" si="37"/>
        <v>0.12622178491984681</v>
      </c>
      <c r="L53" s="141">
        <f t="shared" si="37"/>
        <v>7.8488418896425979E-2</v>
      </c>
      <c r="M53" s="141">
        <f t="shared" si="37"/>
        <v>7.2526598598581807E-2</v>
      </c>
      <c r="N53" s="141"/>
      <c r="O53" s="141">
        <f t="shared" si="37"/>
        <v>1</v>
      </c>
      <c r="P53" s="141">
        <f t="shared" si="37"/>
        <v>1.043261848561968</v>
      </c>
      <c r="Q53" s="141">
        <f t="shared" si="37"/>
        <v>4.9074426398630661E-2</v>
      </c>
      <c r="R53" s="141">
        <f t="shared" si="37"/>
        <v>0.32729345791481107</v>
      </c>
      <c r="S53" s="141">
        <f t="shared" si="37"/>
        <v>0.57048386135558038</v>
      </c>
      <c r="T53" s="141">
        <f t="shared" si="37"/>
        <v>0.25602199734424713</v>
      </c>
      <c r="U53" s="141">
        <f t="shared" si="37"/>
        <v>5.9256681937769812E-2</v>
      </c>
      <c r="V53" s="141">
        <f t="shared" si="37"/>
        <v>4.1896189791604838E-2</v>
      </c>
    </row>
    <row r="54" spans="1:22" s="3" customFormat="1" x14ac:dyDescent="0.25">
      <c r="A54" s="61" t="s">
        <v>2</v>
      </c>
      <c r="B54" s="141">
        <f t="shared" ref="B54:V54" si="38">B48</f>
        <v>1.3954688866508677E-2</v>
      </c>
      <c r="C54" s="141">
        <f t="shared" si="38"/>
        <v>2.1048269331044374E-2</v>
      </c>
      <c r="D54" s="141">
        <f t="shared" si="38"/>
        <v>4.9353436685507811E-2</v>
      </c>
      <c r="E54" s="141">
        <f t="shared" si="38"/>
        <v>0.12561852167488338</v>
      </c>
      <c r="F54" s="141">
        <f t="shared" si="38"/>
        <v>0.22883358148601293</v>
      </c>
      <c r="G54" s="141">
        <f t="shared" si="38"/>
        <v>0.27649578034044364</v>
      </c>
      <c r="H54" s="141">
        <f t="shared" si="38"/>
        <v>0.45385230116730246</v>
      </c>
      <c r="I54" s="141">
        <f t="shared" si="38"/>
        <v>4.86731135275753E-2</v>
      </c>
      <c r="J54" s="141">
        <f t="shared" si="38"/>
        <v>3.2100147820325123E-2</v>
      </c>
      <c r="K54" s="141">
        <f t="shared" si="38"/>
        <v>3.8390881852033959E-2</v>
      </c>
      <c r="L54" s="141">
        <f t="shared" si="38"/>
        <v>2.1756188020698512E-2</v>
      </c>
      <c r="M54" s="141">
        <f t="shared" si="38"/>
        <v>1.9967200396310825E-2</v>
      </c>
      <c r="N54" s="141"/>
      <c r="O54" s="141">
        <f t="shared" si="38"/>
        <v>0.23215322796378401</v>
      </c>
      <c r="P54" s="141">
        <f t="shared" si="38"/>
        <v>0.24728521344542329</v>
      </c>
      <c r="Q54" s="141">
        <f t="shared" si="38"/>
        <v>1.5295030871801738E-2</v>
      </c>
      <c r="R54" s="141">
        <f t="shared" si="38"/>
        <v>9.7855105707191511E-2</v>
      </c>
      <c r="S54" s="141">
        <f t="shared" si="38"/>
        <v>0.22876051395654637</v>
      </c>
      <c r="T54" s="141">
        <f t="shared" si="38"/>
        <v>0.11935663831474372</v>
      </c>
      <c r="U54" s="141">
        <f t="shared" si="38"/>
        <v>1.3840768965630672E-2</v>
      </c>
      <c r="V54" s="141">
        <f t="shared" si="38"/>
        <v>1.9391316023156552E-2</v>
      </c>
    </row>
    <row r="55" spans="1:22" s="3" customFormat="1" x14ac:dyDescent="0.25">
      <c r="A55" s="61" t="s">
        <v>79</v>
      </c>
      <c r="B55" s="141">
        <f>(B53*100/$B53)-100</f>
        <v>0</v>
      </c>
      <c r="C55" s="141">
        <f t="shared" ref="C55:M55" si="39">(C53*100/$B53)-100</f>
        <v>143.12301326152433</v>
      </c>
      <c r="D55" s="141">
        <f t="shared" si="39"/>
        <v>255.69667480218266</v>
      </c>
      <c r="E55" s="141">
        <f t="shared" si="39"/>
        <v>875.74620184255332</v>
      </c>
      <c r="F55" s="141">
        <f t="shared" si="39"/>
        <v>2522.559289700614</v>
      </c>
      <c r="G55" s="141">
        <f t="shared" si="39"/>
        <v>2454.0170374532308</v>
      </c>
      <c r="H55" s="141">
        <f t="shared" si="39"/>
        <v>5743.2835644729557</v>
      </c>
      <c r="I55" s="141">
        <f t="shared" si="39"/>
        <v>91.934611870253178</v>
      </c>
      <c r="J55" s="141">
        <f t="shared" si="39"/>
        <v>81.697622506303134</v>
      </c>
      <c r="K55" s="141">
        <f t="shared" si="39"/>
        <v>166.13307930717417</v>
      </c>
      <c r="L55" s="141">
        <f t="shared" si="39"/>
        <v>65.489377480454294</v>
      </c>
      <c r="M55" s="141">
        <f t="shared" si="39"/>
        <v>52.919141723220889</v>
      </c>
      <c r="N55" s="141"/>
      <c r="O55" s="141">
        <f>(O53*100/$O53)-100</f>
        <v>0</v>
      </c>
      <c r="P55" s="141">
        <f t="shared" ref="P55:V55" si="40">(P53*100/$O53)-100</f>
        <v>4.3261848561968037</v>
      </c>
      <c r="Q55" s="141">
        <f t="shared" si="40"/>
        <v>-95.092557360136936</v>
      </c>
      <c r="R55" s="141">
        <f t="shared" si="40"/>
        <v>-67.270654208518891</v>
      </c>
      <c r="S55" s="141">
        <f t="shared" si="40"/>
        <v>-42.95161386444196</v>
      </c>
      <c r="T55" s="141">
        <f t="shared" si="40"/>
        <v>-74.397800265575285</v>
      </c>
      <c r="U55" s="141">
        <f t="shared" si="40"/>
        <v>-94.074331806223014</v>
      </c>
      <c r="V55" s="141">
        <f t="shared" si="40"/>
        <v>-95.810381020839515</v>
      </c>
    </row>
    <row r="56" spans="1:22" s="3" customFormat="1" x14ac:dyDescent="0.25">
      <c r="A56" s="61" t="s">
        <v>81</v>
      </c>
      <c r="B56" s="141">
        <f>[1]!SWTEST(B28:B43)</f>
        <v>0.12250003262618769</v>
      </c>
      <c r="C56" s="141">
        <f>[1]!SWTEST(C28:C43)</f>
        <v>0.86366369841475832</v>
      </c>
      <c r="D56" s="141">
        <f>[1]!SWTEST(D28:D43)</f>
        <v>8.842920606639415E-2</v>
      </c>
      <c r="E56" s="141">
        <f>[1]!SWTEST(E28:E43)</f>
        <v>1.8824302135204585E-2</v>
      </c>
      <c r="F56" s="141">
        <f>[1]!SWTEST(F28:F43)</f>
        <v>0.21738893183718122</v>
      </c>
      <c r="G56" s="141">
        <f>[1]!SWTEST(G28:G43)</f>
        <v>0.29396024851029068</v>
      </c>
      <c r="H56" s="141">
        <f>[1]!SWTEST(H28:H43)</f>
        <v>0.43103585781624632</v>
      </c>
      <c r="I56" s="141">
        <f>[1]!SWTEST(I28:I43)</f>
        <v>2.1000938336346309E-4</v>
      </c>
      <c r="J56" s="141">
        <f>[1]!SWTEST(J28:J43)</f>
        <v>4.7278494419029204E-2</v>
      </c>
      <c r="K56" s="141">
        <f>[1]!SWTEST(K28:K43)</f>
        <v>8.7878475881139284E-2</v>
      </c>
      <c r="L56" s="141">
        <f>[1]!SWTEST(L28:L43)</f>
        <v>0.30247855691627723</v>
      </c>
      <c r="M56" s="141">
        <f>[1]!SWTEST(M28:M43)</f>
        <v>0.35521779690926925</v>
      </c>
      <c r="N56" s="141"/>
      <c r="O56" s="141">
        <f>[1]!SWTEST(O28:O43)</f>
        <v>8.5253505947306962E-3</v>
      </c>
      <c r="P56" s="141">
        <f>[1]!SWTEST(P28:P43)</f>
        <v>0.32026348007021932</v>
      </c>
      <c r="Q56" s="141">
        <f>[1]!SWTEST(Q28:Q43)</f>
        <v>0.18390597275110587</v>
      </c>
      <c r="R56" s="141">
        <f>[1]!SWTEST(R28:R43)</f>
        <v>0.35451643991418491</v>
      </c>
      <c r="S56" s="141">
        <f>[1]!SWTEST(S28:S43)</f>
        <v>1.7452353550076127E-2</v>
      </c>
      <c r="T56" s="141">
        <f>[1]!SWTEST(T28:T43)</f>
        <v>1.4606384027758823E-3</v>
      </c>
      <c r="U56" s="141">
        <f>[1]!SWTEST(U28:U43)</f>
        <v>0.886995336760661</v>
      </c>
      <c r="V56" s="141">
        <f>[1]!SWTEST(V28:V43)</f>
        <v>1.4199950254593086E-3</v>
      </c>
    </row>
    <row r="57" spans="1:22" s="3" customFormat="1" x14ac:dyDescent="0.25">
      <c r="A57" s="61" t="s">
        <v>85</v>
      </c>
      <c r="B57" s="141" t="str">
        <f>IF(B56&gt;0.05,"Oui","Non")</f>
        <v>Oui</v>
      </c>
      <c r="C57" s="141" t="str">
        <f t="shared" ref="C57:V57" si="41">IF(C56&gt;0.05,"Oui","Non")</f>
        <v>Oui</v>
      </c>
      <c r="D57" s="141" t="str">
        <f t="shared" si="41"/>
        <v>Oui</v>
      </c>
      <c r="E57" s="141" t="str">
        <f t="shared" si="41"/>
        <v>Non</v>
      </c>
      <c r="F57" s="141" t="str">
        <f t="shared" si="41"/>
        <v>Oui</v>
      </c>
      <c r="G57" s="141" t="str">
        <f t="shared" si="41"/>
        <v>Oui</v>
      </c>
      <c r="H57" s="141" t="str">
        <f t="shared" si="41"/>
        <v>Oui</v>
      </c>
      <c r="I57" s="141" t="str">
        <f t="shared" si="41"/>
        <v>Non</v>
      </c>
      <c r="J57" s="141" t="str">
        <f t="shared" si="41"/>
        <v>Non</v>
      </c>
      <c r="K57" s="141" t="str">
        <f t="shared" si="41"/>
        <v>Oui</v>
      </c>
      <c r="L57" s="141" t="str">
        <f t="shared" si="41"/>
        <v>Oui</v>
      </c>
      <c r="M57" s="141" t="str">
        <f t="shared" si="41"/>
        <v>Oui</v>
      </c>
      <c r="N57" s="141"/>
      <c r="O57" s="141" t="str">
        <f t="shared" si="41"/>
        <v>Non</v>
      </c>
      <c r="P57" s="141" t="str">
        <f t="shared" si="41"/>
        <v>Oui</v>
      </c>
      <c r="Q57" s="141" t="str">
        <f t="shared" si="41"/>
        <v>Oui</v>
      </c>
      <c r="R57" s="141" t="str">
        <f t="shared" si="41"/>
        <v>Oui</v>
      </c>
      <c r="S57" s="141" t="str">
        <f t="shared" si="41"/>
        <v>Non</v>
      </c>
      <c r="T57" s="141" t="str">
        <f t="shared" si="41"/>
        <v>Non</v>
      </c>
      <c r="U57" s="141" t="str">
        <f t="shared" si="41"/>
        <v>Oui</v>
      </c>
      <c r="V57" s="141" t="str">
        <f t="shared" si="41"/>
        <v>Non</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2924</v>
      </c>
      <c r="D59" s="150" t="s">
        <v>2924</v>
      </c>
      <c r="E59" s="150" t="s">
        <v>2924</v>
      </c>
      <c r="F59" s="150" t="s">
        <v>2924</v>
      </c>
      <c r="G59" s="150" t="s">
        <v>2924</v>
      </c>
      <c r="H59" s="150" t="s">
        <v>2924</v>
      </c>
      <c r="I59" s="150" t="s">
        <v>2924</v>
      </c>
      <c r="J59" s="150" t="s">
        <v>2924</v>
      </c>
      <c r="K59" s="150" t="s">
        <v>2924</v>
      </c>
      <c r="L59" s="150" t="s">
        <v>2924</v>
      </c>
      <c r="M59" s="150" t="s">
        <v>2924</v>
      </c>
      <c r="N59" s="150"/>
      <c r="O59" s="150" t="str">
        <f t="shared" ref="O59" si="42">IF($B57="Non",IF(O57="Non","MW",IF(O57="Oui","MW","")),IF($B57="Oui",IF(O57="Oui","T-Test Welch",IF(O57="Non","MW",""))))</f>
        <v>MW</v>
      </c>
      <c r="P59" s="150" t="str">
        <f>IF($O57="Non",IF(P57="Non","MW",IF(P57="Oui","MW","")),IF($O57="Oui",IF(P57="Oui","T-Test Welch",IF(P57="Non","MW",""))))</f>
        <v>MW</v>
      </c>
      <c r="Q59" s="150" t="str">
        <f>IF($O57="Non",IF(Q57="Non","MW",IF(Q57="Oui","MW","")),IF($O57="Oui",IF(Q57="Oui","T-Test Welch",IF(Q57="Non","MW",""))))</f>
        <v>MW</v>
      </c>
      <c r="R59" s="150" t="s">
        <v>2924</v>
      </c>
      <c r="S59" s="150" t="s">
        <v>2924</v>
      </c>
      <c r="T59" s="150" t="s">
        <v>2924</v>
      </c>
      <c r="U59" s="150" t="s">
        <v>2924</v>
      </c>
      <c r="V59" s="150" t="s">
        <v>2924</v>
      </c>
    </row>
    <row r="60" spans="1:22" s="3" customFormat="1" ht="15.75" x14ac:dyDescent="0.25">
      <c r="A60" s="61" t="s">
        <v>83</v>
      </c>
      <c r="B60" s="151"/>
      <c r="C60" s="197">
        <v>0.99990000000000001</v>
      </c>
      <c r="D60" s="197">
        <v>0.99990000000000001</v>
      </c>
      <c r="E60" s="197">
        <v>3.95E-2</v>
      </c>
      <c r="F60" s="197">
        <v>2.9999999999999997E-4</v>
      </c>
      <c r="G60" s="197">
        <v>5.9999999999999995E-4</v>
      </c>
      <c r="H60" s="197">
        <v>1E-4</v>
      </c>
      <c r="I60" s="197">
        <v>0.99990000000000001</v>
      </c>
      <c r="J60" s="197">
        <v>0.99990000000000001</v>
      </c>
      <c r="K60" s="197">
        <v>0.51129999999999998</v>
      </c>
      <c r="L60" s="197">
        <v>0.99990000000000001</v>
      </c>
      <c r="M60" s="197">
        <v>0.99990000000000001</v>
      </c>
      <c r="N60" s="151"/>
      <c r="O60" s="197">
        <v>1E-4</v>
      </c>
      <c r="P60" s="197">
        <v>0.68130000000000002</v>
      </c>
      <c r="Q60" s="197">
        <v>1E-4</v>
      </c>
      <c r="R60" s="197">
        <v>0.46820000000000001</v>
      </c>
      <c r="S60" s="197">
        <v>0.50409999999999999</v>
      </c>
      <c r="T60" s="197">
        <v>5.9700000000000003E-2</v>
      </c>
      <c r="U60" s="197">
        <v>5.9999999999999995E-4</v>
      </c>
      <c r="V60" s="197">
        <v>1E-4</v>
      </c>
    </row>
    <row r="61" spans="1:22" s="3" customFormat="1" ht="15.75" thickBot="1" x14ac:dyDescent="0.3">
      <c r="A61" s="62" t="s">
        <v>84</v>
      </c>
      <c r="B61" s="142"/>
      <c r="C61" s="142" t="str">
        <f t="shared" ref="C61:O61" si="43">IF(C60&gt;0.05,"NS",IF(C60&gt;0.01,"*",IF(C60&gt;0.001,"**","***")))</f>
        <v>NS</v>
      </c>
      <c r="D61" s="142" t="str">
        <f t="shared" si="43"/>
        <v>NS</v>
      </c>
      <c r="E61" s="142" t="str">
        <f t="shared" si="43"/>
        <v>*</v>
      </c>
      <c r="F61" s="142" t="str">
        <f t="shared" si="43"/>
        <v>***</v>
      </c>
      <c r="G61" s="142" t="str">
        <f t="shared" si="43"/>
        <v>***</v>
      </c>
      <c r="H61" s="142" t="str">
        <f t="shared" si="43"/>
        <v>***</v>
      </c>
      <c r="I61" s="142" t="str">
        <f t="shared" si="43"/>
        <v>NS</v>
      </c>
      <c r="J61" s="142" t="str">
        <f t="shared" si="43"/>
        <v>NS</v>
      </c>
      <c r="K61" s="142" t="str">
        <f t="shared" si="43"/>
        <v>NS</v>
      </c>
      <c r="L61" s="142" t="str">
        <f t="shared" si="43"/>
        <v>NS</v>
      </c>
      <c r="M61" s="142" t="str">
        <f t="shared" si="43"/>
        <v>NS</v>
      </c>
      <c r="N61" s="142"/>
      <c r="O61" s="142" t="str">
        <f t="shared" si="43"/>
        <v>***</v>
      </c>
      <c r="P61" s="142" t="str">
        <f>IF(P60&gt;0.05,"NS",IF(P60&gt;0.01,"*",IF(P60&gt;0.001,"**","***")))</f>
        <v>NS</v>
      </c>
      <c r="Q61" s="142" t="str">
        <f t="shared" ref="Q61:V61" si="44">IF(Q60&gt;0.05,"NS",IF(Q60&gt;0.01,"*",IF(Q60&gt;0.001,"**","***")))</f>
        <v>***</v>
      </c>
      <c r="R61" s="142" t="str">
        <f t="shared" si="44"/>
        <v>NS</v>
      </c>
      <c r="S61" s="142" t="str">
        <f t="shared" si="44"/>
        <v>NS</v>
      </c>
      <c r="T61" s="142" t="str">
        <f t="shared" si="44"/>
        <v>NS</v>
      </c>
      <c r="U61" s="142" t="str">
        <f t="shared" si="44"/>
        <v>***</v>
      </c>
      <c r="V61" s="142" t="str">
        <f t="shared" si="44"/>
        <v>***</v>
      </c>
    </row>
    <row r="63" spans="1:22" x14ac:dyDescent="0.25">
      <c r="A63" s="2" t="s">
        <v>39</v>
      </c>
    </row>
    <row r="64" spans="1:22" x14ac:dyDescent="0.25">
      <c r="A64" s="1" t="s">
        <v>23</v>
      </c>
      <c r="B64" s="1">
        <f>B46+(3*B47)</f>
        <v>0.16583753218844516</v>
      </c>
    </row>
    <row r="65" spans="1:22" x14ac:dyDescent="0.25">
      <c r="A65" s="1" t="s">
        <v>24</v>
      </c>
      <c r="B65" s="1">
        <f>B46+(10*B47)</f>
        <v>0.44212627574043284</v>
      </c>
    </row>
    <row r="66" spans="1:22" ht="15.75" thickBot="1" x14ac:dyDescent="0.3"/>
    <row r="67" spans="1:22" ht="27" thickBot="1" x14ac:dyDescent="0.4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N69" s="12"/>
      <c r="O69" s="12"/>
      <c r="P69" s="12"/>
      <c r="Q69" s="12"/>
      <c r="R69" s="12"/>
      <c r="S69" s="12"/>
      <c r="T69" s="12"/>
      <c r="U69" s="12"/>
      <c r="V69" s="12"/>
    </row>
    <row r="70" spans="1:22" ht="16.5" x14ac:dyDescent="0.25">
      <c r="A70" s="12"/>
      <c r="B70" s="197"/>
      <c r="C70" s="12"/>
      <c r="D70" s="12"/>
      <c r="E70" s="12"/>
      <c r="F70" s="12"/>
      <c r="N70" s="12"/>
      <c r="O70" s="12"/>
      <c r="P70" s="12"/>
      <c r="Q70" s="12"/>
      <c r="R70" s="12"/>
      <c r="S70" s="12"/>
      <c r="T70" s="12"/>
      <c r="U70" s="12"/>
      <c r="V70" s="12"/>
    </row>
    <row r="71" spans="1:22" ht="16.5" x14ac:dyDescent="0.25">
      <c r="A71" s="12"/>
      <c r="B71" s="197"/>
      <c r="C71" s="12"/>
      <c r="D71" s="12"/>
      <c r="E71" s="12"/>
      <c r="F71" s="12"/>
      <c r="I71" s="197"/>
      <c r="N71" s="12"/>
      <c r="O71" s="12"/>
      <c r="P71" s="12"/>
      <c r="Q71" s="12"/>
      <c r="R71" s="12"/>
      <c r="S71" s="12"/>
      <c r="T71" s="12"/>
      <c r="U71" s="12"/>
      <c r="V71" s="12"/>
    </row>
    <row r="72" spans="1:22" ht="16.5" x14ac:dyDescent="0.25">
      <c r="A72" s="12"/>
      <c r="B72" s="197"/>
      <c r="C72" s="12"/>
      <c r="D72" s="12"/>
      <c r="E72" s="12"/>
      <c r="F72" s="12"/>
      <c r="I72" s="197"/>
      <c r="N72" s="12"/>
      <c r="O72" s="12"/>
      <c r="P72" s="12"/>
      <c r="Q72" s="12"/>
      <c r="R72" s="197"/>
      <c r="S72" s="12"/>
      <c r="T72" s="12"/>
      <c r="U72" s="12"/>
      <c r="V72" s="12"/>
    </row>
    <row r="73" spans="1:22" ht="16.5" x14ac:dyDescent="0.25">
      <c r="A73" s="12"/>
      <c r="B73" s="197"/>
      <c r="C73" s="12"/>
      <c r="D73" s="12"/>
      <c r="E73" s="12"/>
      <c r="F73" s="12"/>
      <c r="I73" s="197"/>
      <c r="N73" s="12"/>
      <c r="O73" s="12"/>
      <c r="P73" s="12"/>
      <c r="Q73" s="12"/>
      <c r="R73" s="197"/>
      <c r="S73" s="12"/>
      <c r="T73" s="12"/>
      <c r="U73" s="12"/>
      <c r="V73" s="12"/>
    </row>
    <row r="74" spans="1:22" ht="16.5" x14ac:dyDescent="0.25">
      <c r="A74" s="12"/>
      <c r="B74" s="197"/>
      <c r="C74" s="12"/>
      <c r="D74" s="12"/>
      <c r="E74" s="12"/>
      <c r="F74" s="12"/>
      <c r="I74" s="197"/>
      <c r="N74" s="12"/>
      <c r="O74" s="12"/>
      <c r="P74" s="12"/>
      <c r="Q74" s="12"/>
      <c r="R74" s="197"/>
      <c r="S74" s="12"/>
      <c r="T74" s="12"/>
      <c r="U74" s="12"/>
      <c r="V74" s="12"/>
    </row>
    <row r="75" spans="1:22" ht="15.75" x14ac:dyDescent="0.25">
      <c r="B75" s="197"/>
      <c r="I75" s="197"/>
      <c r="R75" s="197"/>
    </row>
    <row r="76" spans="1:22" ht="15.75" x14ac:dyDescent="0.25">
      <c r="R76" s="197"/>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03"/>
  <sheetViews>
    <sheetView showGridLines="0" topLeftCell="N75" zoomScaleNormal="100" workbookViewId="0">
      <selection activeCell="V86" sqref="V86"/>
    </sheetView>
  </sheetViews>
  <sheetFormatPr baseColWidth="10" defaultRowHeight="15" x14ac:dyDescent="0.25"/>
  <cols>
    <col min="1" max="1" width="42.85546875" customWidth="1"/>
    <col min="2" max="2" width="14" bestFit="1" customWidth="1"/>
    <col min="3" max="13" width="22.7109375" bestFit="1" customWidth="1"/>
    <col min="14" max="14" width="8.42578125" customWidth="1"/>
    <col min="15" max="15" width="22.7109375" customWidth="1"/>
    <col min="18" max="22" width="29.140625" customWidth="1"/>
  </cols>
  <sheetData>
    <row r="1" spans="1:22" s="1" customFormat="1" ht="21.75" thickBot="1" x14ac:dyDescent="0.3">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75" thickBot="1" x14ac:dyDescent="0.3">
      <c r="A2" s="1"/>
      <c r="B2" s="1"/>
      <c r="C2" s="1"/>
      <c r="D2" s="1"/>
      <c r="E2" s="1"/>
      <c r="F2" s="1"/>
      <c r="G2" s="1"/>
      <c r="H2" s="1"/>
      <c r="I2" s="1"/>
      <c r="J2" s="1"/>
      <c r="K2" s="1"/>
      <c r="L2" s="1"/>
      <c r="M2" s="1"/>
    </row>
    <row r="3" spans="1:22" s="33" customFormat="1" ht="15.75" thickBot="1" x14ac:dyDescent="0.3">
      <c r="B3" s="224" t="s">
        <v>6</v>
      </c>
      <c r="C3" s="225"/>
      <c r="D3" s="225"/>
      <c r="E3" s="225"/>
      <c r="F3" s="225"/>
      <c r="G3" s="225"/>
      <c r="H3" s="225"/>
      <c r="I3" s="225"/>
      <c r="J3" s="225"/>
      <c r="K3" s="225"/>
      <c r="L3" s="225"/>
      <c r="M3" s="225"/>
      <c r="N3" s="72"/>
      <c r="O3" s="224" t="s">
        <v>3</v>
      </c>
      <c r="P3" s="225"/>
      <c r="Q3" s="225"/>
      <c r="R3" s="225"/>
      <c r="S3" s="225"/>
      <c r="T3" s="225"/>
      <c r="U3" s="225"/>
      <c r="V3" s="225"/>
    </row>
    <row r="4" spans="1:22" x14ac:dyDescent="0.2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Fadrozole 0,016µg/L</v>
      </c>
      <c r="J4" s="35" t="str">
        <f>'R1'!J4</f>
        <v>Fadrozole 0,08µg/L</v>
      </c>
      <c r="K4" s="35" t="str">
        <f>'R1'!K4</f>
        <v>Fadrozole 0,4µg/L</v>
      </c>
      <c r="L4" s="35" t="str">
        <f>'R1'!L4</f>
        <v>Fadrozole 2µg/L</v>
      </c>
      <c r="M4" s="35" t="str">
        <f>'R1'!M4</f>
        <v>Fadrozole 10µg/L</v>
      </c>
      <c r="O4" s="35" t="str">
        <f>'R1'!O4</f>
        <v>Testo -30µg/L</v>
      </c>
      <c r="P4" s="35" t="str">
        <f>'R1'!P4</f>
        <v>Testo 30µg/L + EE2 -64ng/L</v>
      </c>
      <c r="Q4" s="35" t="str">
        <f>'R1'!Q4</f>
        <v>Testo 30µg/L + FAD-10µg/L</v>
      </c>
      <c r="R4" s="35" t="str">
        <f>'R1'!R4</f>
        <v>Fadrozole-0,016 µg/L + Testostérone</v>
      </c>
      <c r="S4" s="35" t="str">
        <f>'R1'!S4</f>
        <v>Fadrozole-0,08µg/L + Testostérone</v>
      </c>
      <c r="T4" s="35" t="str">
        <f>'R1'!T4</f>
        <v>Fadrozole-0,4µg/L + Testostérone</v>
      </c>
      <c r="U4" s="35" t="str">
        <f>'R1'!U4</f>
        <v>Fadrozole-2µg/L + Testostérone</v>
      </c>
      <c r="V4" s="35" t="str">
        <f>'R1'!V4</f>
        <v>Fadrozole-10 µg/L + Testostérone</v>
      </c>
    </row>
    <row r="5" spans="1:22" s="1" customFormat="1" x14ac:dyDescent="0.25">
      <c r="A5" s="34"/>
      <c r="B5" s="35"/>
      <c r="C5" s="194" t="s">
        <v>164</v>
      </c>
      <c r="D5" s="35"/>
      <c r="E5" s="35"/>
      <c r="F5" s="35"/>
      <c r="G5" s="35"/>
      <c r="H5" s="35"/>
      <c r="I5" s="35"/>
      <c r="J5" s="35"/>
      <c r="K5" s="35"/>
      <c r="L5" s="35"/>
      <c r="M5" s="35"/>
      <c r="O5" s="35"/>
      <c r="P5" s="35"/>
      <c r="Q5" s="35"/>
      <c r="R5" s="35"/>
      <c r="S5" s="35"/>
      <c r="T5" s="35"/>
      <c r="U5" s="35"/>
      <c r="V5" s="35"/>
    </row>
    <row r="6" spans="1:22" s="1" customFormat="1" x14ac:dyDescent="0.25">
      <c r="A6" s="71" t="s">
        <v>4</v>
      </c>
      <c r="B6" s="53">
        <f>'R1'!B28</f>
        <v>0.10403180684136824</v>
      </c>
      <c r="C6" s="53">
        <f>'R1'!C28</f>
        <v>1.6210862325712682E-2</v>
      </c>
      <c r="D6" s="53">
        <f>'R1'!D28</f>
        <v>8.7832611603026037E-2</v>
      </c>
      <c r="E6" s="53">
        <f>'R1'!E28</f>
        <v>0.14624721797693993</v>
      </c>
      <c r="F6" s="53">
        <f>'R1'!F28</f>
        <v>2.0720263819235289</v>
      </c>
      <c r="G6" s="53">
        <f>'R1'!G28</f>
        <v>1.1957317280347071</v>
      </c>
      <c r="H6" s="53">
        <f>'R1'!H28</f>
        <v>2.4799569248356406</v>
      </c>
      <c r="I6" s="53">
        <f>'R1'!I28</f>
        <v>4.3958251758487894E-2</v>
      </c>
      <c r="J6" s="53">
        <f>'R1'!J28</f>
        <v>5.022514440321052E-2</v>
      </c>
      <c r="K6" s="53">
        <f>'R1'!K28</f>
        <v>1.1920985414699764E-2</v>
      </c>
      <c r="L6" s="53">
        <f>'R1'!L28</f>
        <v>2.7831559134519488E-2</v>
      </c>
      <c r="M6" s="53">
        <f>'R1'!M28</f>
        <v>0.2377210719907383</v>
      </c>
      <c r="N6"/>
      <c r="O6" s="53">
        <f>'R1'!O28</f>
        <v>0.3178267383009627</v>
      </c>
      <c r="P6" s="53">
        <f>'R1'!P28</f>
        <v>2.3731794634330825</v>
      </c>
      <c r="Q6" s="53">
        <f>'R1'!Q28</f>
        <v>0.64124103919511133</v>
      </c>
      <c r="R6" s="53">
        <f>'R1'!R28</f>
        <v>1.7836415386020084</v>
      </c>
      <c r="S6" s="53">
        <f>'R1'!S28</f>
        <v>0.91778337215388828</v>
      </c>
      <c r="T6" s="53">
        <f>'R1'!T28</f>
        <v>6.8070510111970545E-2</v>
      </c>
      <c r="U6" s="53">
        <f>'R1'!U28</f>
        <v>1.1794869755980613E-2</v>
      </c>
      <c r="V6" s="53">
        <f>'R1'!V28</f>
        <v>1.1043731559556411E-2</v>
      </c>
    </row>
    <row r="7" spans="1:22" s="1" customFormat="1" x14ac:dyDescent="0.25">
      <c r="A7" s="228" t="s">
        <v>34</v>
      </c>
      <c r="B7" s="53">
        <f>'R1'!B29</f>
        <v>0.18444942884485613</v>
      </c>
      <c r="C7" s="53">
        <f>'R1'!C29</f>
        <v>8.3103829976646906E-2</v>
      </c>
      <c r="D7" s="53">
        <f>'R1'!D29</f>
        <v>3.6321587498910339E-2</v>
      </c>
      <c r="E7" s="53">
        <f>'R1'!E29</f>
        <v>1.5051376071321185E-2</v>
      </c>
      <c r="F7" s="53">
        <f>'R1'!F29</f>
        <v>1.9778367355364534</v>
      </c>
      <c r="G7" s="53">
        <f>'R1'!G29</f>
        <v>6.8624938437450265</v>
      </c>
      <c r="H7" s="53">
        <f>'R1'!H29</f>
        <v>5.1737810059574549</v>
      </c>
      <c r="I7" s="53">
        <f>'R1'!I29</f>
        <v>1.2858241433462803E-2</v>
      </c>
      <c r="J7" s="53">
        <f>'R1'!J29</f>
        <v>1.6565597339334617E-2</v>
      </c>
      <c r="K7" s="53">
        <f>'R1'!K29</f>
        <v>6.6454340723362551E-2</v>
      </c>
      <c r="L7" s="53">
        <f>'R1'!L29</f>
        <v>0.21278572840204674</v>
      </c>
      <c r="M7" s="53">
        <f>'R1'!M29</f>
        <v>0.25462279256146098</v>
      </c>
      <c r="N7"/>
      <c r="O7" s="53">
        <f>'R1'!O29</f>
        <v>5.2592729776037246E-2</v>
      </c>
      <c r="P7" s="53">
        <f>'R1'!P29</f>
        <v>1.5651894947670251</v>
      </c>
      <c r="Q7" s="53">
        <f>'R1'!Q29</f>
        <v>0.28670256043781306</v>
      </c>
      <c r="R7" s="53">
        <f>'R1'!R29</f>
        <v>1.630592130900276</v>
      </c>
      <c r="S7" s="53">
        <f>'R1'!S29</f>
        <v>2.2567402647487826</v>
      </c>
      <c r="T7" s="53">
        <f>'R1'!T29</f>
        <v>0.15292273646742435</v>
      </c>
      <c r="U7" s="53">
        <f>'R1'!U29</f>
        <v>0.42673705438996479</v>
      </c>
      <c r="V7" s="53">
        <f>'R1'!V29</f>
        <v>1.372632829138648E-2</v>
      </c>
    </row>
    <row r="8" spans="1:22" s="1" customFormat="1" x14ac:dyDescent="0.25">
      <c r="A8" s="229"/>
      <c r="B8" s="53">
        <f>'R1'!B30</f>
        <v>4.4108534955331645E-2</v>
      </c>
      <c r="C8" s="53">
        <f>'R1'!C30</f>
        <v>5.182353537296823E-2</v>
      </c>
      <c r="D8" s="53">
        <f>'R1'!D30</f>
        <v>0.21137345525462786</v>
      </c>
      <c r="E8" s="53">
        <f>'R1'!E30</f>
        <v>8.5573641257862737E-2</v>
      </c>
      <c r="F8" s="53">
        <f>'R1'!F30</f>
        <v>0.6390722109892748</v>
      </c>
      <c r="G8" s="53">
        <f>'R1'!G30</f>
        <v>3.4279694425786853</v>
      </c>
      <c r="H8" s="53">
        <f>'R1'!H30</f>
        <v>3.3230603818821733</v>
      </c>
      <c r="I8" s="53">
        <f>'R1'!I30</f>
        <v>5.2328136901742109E-2</v>
      </c>
      <c r="J8" s="53">
        <f>'R1'!J30</f>
        <v>6.4555661147711885E-2</v>
      </c>
      <c r="K8" s="53">
        <f>'R1'!K30</f>
        <v>1.3266867279224636E-2</v>
      </c>
      <c r="L8" s="53">
        <f>'R1'!L30</f>
        <v>0.29248249107871477</v>
      </c>
      <c r="M8" s="53">
        <f>'R1'!M30</f>
        <v>1.0304816026091776E-2</v>
      </c>
      <c r="N8"/>
      <c r="O8" s="53">
        <f>'R1'!O30</f>
        <v>0.42982549908961132</v>
      </c>
      <c r="P8" s="53">
        <f>'R1'!P30</f>
        <v>2.7655838909330122</v>
      </c>
      <c r="Q8" s="53">
        <f>'R1'!Q30</f>
        <v>1.1398188785383808E-2</v>
      </c>
      <c r="R8" s="53">
        <f>'R1'!R30</f>
        <v>0.21339880606458678</v>
      </c>
      <c r="S8" s="53">
        <f>'R1'!S30</f>
        <v>0.66791297318134202</v>
      </c>
      <c r="T8" s="53">
        <f>'R1'!T30</f>
        <v>0.18712924769874084</v>
      </c>
      <c r="U8" s="53">
        <f>'R1'!U30</f>
        <v>3.1514469714472172E-2</v>
      </c>
      <c r="V8" s="53">
        <f>'R1'!V30</f>
        <v>4.3219336225023261E-2</v>
      </c>
    </row>
    <row r="9" spans="1:22" s="1" customFormat="1" x14ac:dyDescent="0.25">
      <c r="A9" s="229"/>
      <c r="B9" s="53">
        <f>'R1'!B31</f>
        <v>0.33636296225473272</v>
      </c>
      <c r="C9" s="53">
        <f>'R1'!C31</f>
        <v>5.6936775306984606E-2</v>
      </c>
      <c r="D9" s="53">
        <f>'R1'!D31</f>
        <v>3.9361974910102231E-2</v>
      </c>
      <c r="E9" s="53">
        <f>'R1'!E31</f>
        <v>8.9785182010816617E-2</v>
      </c>
      <c r="F9" s="53">
        <f>'R1'!F31</f>
        <v>0.77097724513434296</v>
      </c>
      <c r="G9" s="53">
        <f>'R1'!G31</f>
        <v>1.8123320175972319</v>
      </c>
      <c r="H9" s="53">
        <f>'R1'!H31</f>
        <v>4.3597405413386179</v>
      </c>
      <c r="I9" s="53">
        <f>'R1'!I31</f>
        <v>0.32206286327373301</v>
      </c>
      <c r="J9" s="53">
        <f>'R1'!J31</f>
        <v>1.850622287196016E-2</v>
      </c>
      <c r="K9" s="53">
        <f>'R1'!K31</f>
        <v>9.913968599180218E-3</v>
      </c>
      <c r="L9" s="53">
        <f>'R1'!L31</f>
        <v>3.3022579651005822E-2</v>
      </c>
      <c r="M9" s="53">
        <f>'R1'!M31</f>
        <v>8.0598184069936005E-2</v>
      </c>
      <c r="N9"/>
      <c r="O9" s="53">
        <f>'R1'!O31</f>
        <v>0.18762815457772672</v>
      </c>
      <c r="P9" s="53">
        <f>'R1'!P31</f>
        <v>2.9450642517092156</v>
      </c>
      <c r="Q9" s="53">
        <f>'R1'!Q31</f>
        <v>4.1080370207099308E-2</v>
      </c>
      <c r="R9" s="53">
        <f>'R1'!R31</f>
        <v>1.3805897827253253</v>
      </c>
      <c r="S9" s="53">
        <f>'R1'!S31</f>
        <v>1.0584610837442872</v>
      </c>
      <c r="T9" s="53">
        <f>'R1'!T31</f>
        <v>0.77237146207511698</v>
      </c>
      <c r="U9" s="53">
        <f>'R1'!U31</f>
        <v>1.3176586246000575E-2</v>
      </c>
      <c r="V9" s="53">
        <f>'R1'!V31</f>
        <v>1.2611843659709744E-2</v>
      </c>
    </row>
    <row r="10" spans="1:22" s="1" customFormat="1" x14ac:dyDescent="0.25">
      <c r="A10" s="229"/>
      <c r="B10" s="53">
        <f>'R1'!B32</f>
        <v>0.23213309271586066</v>
      </c>
      <c r="C10" s="53">
        <f>'R1'!C32</f>
        <v>1.0442598772181422E-2</v>
      </c>
      <c r="D10" s="53">
        <f>'R1'!D32</f>
        <v>4.9468172663101065E-2</v>
      </c>
      <c r="E10" s="53">
        <f>'R1'!E32</f>
        <v>0.16917610032570099</v>
      </c>
      <c r="F10" s="53">
        <f>'R1'!F32</f>
        <v>1.3544166167241831</v>
      </c>
      <c r="G10" s="53">
        <f>'R1'!G32</f>
        <v>2.5317262915886745</v>
      </c>
      <c r="H10" s="53">
        <f>'R1'!H32</f>
        <v>5.2498970839625594</v>
      </c>
      <c r="I10" s="53">
        <f>'R1'!I32</f>
        <v>0.12360140139081059</v>
      </c>
      <c r="J10" s="53">
        <f>'R1'!J32</f>
        <v>5.3998336016387261E-2</v>
      </c>
      <c r="K10" s="53">
        <f>'R1'!K32</f>
        <v>7.6776935168304597E-2</v>
      </c>
      <c r="L10" s="53">
        <f>'R1'!L32</f>
        <v>0.15698454959912359</v>
      </c>
      <c r="M10" s="53">
        <f>'R1'!M32</f>
        <v>2.8901042143481461E-2</v>
      </c>
      <c r="N10"/>
      <c r="O10" s="53">
        <f>'R1'!O32</f>
        <v>2.806015348852076</v>
      </c>
      <c r="P10" s="53">
        <f>'R1'!P32</f>
        <v>2.0497047436936229</v>
      </c>
      <c r="Q10" s="53">
        <f>'R1'!Q32</f>
        <v>4.7203090986457974E-2</v>
      </c>
      <c r="R10" s="53">
        <f>'R1'!R32</f>
        <v>1.7052603789202609</v>
      </c>
      <c r="S10" s="53">
        <f>'R1'!S32</f>
        <v>1.1126578991398701</v>
      </c>
      <c r="T10" s="53">
        <f>'R1'!T32</f>
        <v>0.17742584224781857</v>
      </c>
      <c r="U10" s="53">
        <f>'R1'!U32</f>
        <v>9.4466184136535625E-2</v>
      </c>
      <c r="V10" s="53">
        <f>'R1'!V32</f>
        <v>1.5204298252213019E-2</v>
      </c>
    </row>
    <row r="11" spans="1:22" s="1" customFormat="1" x14ac:dyDescent="0.25">
      <c r="A11" s="229"/>
      <c r="B11" s="53">
        <f>'R1'!B33</f>
        <v>2.3216948291694479E-2</v>
      </c>
      <c r="C11" s="53">
        <f>'R1'!C33</f>
        <v>0.11716005801111962</v>
      </c>
      <c r="D11" s="53">
        <f>'R1'!D33</f>
        <v>0.29904411657343966</v>
      </c>
      <c r="E11" s="53">
        <f>'R1'!E33</f>
        <v>0.33861637684400536</v>
      </c>
      <c r="F11" s="53">
        <f>'R1'!F33</f>
        <v>1.1879025568335166</v>
      </c>
      <c r="G11" s="53">
        <f>'R1'!G33</f>
        <v>1.517794452414543</v>
      </c>
      <c r="H11" s="53">
        <f>'R1'!H33</f>
        <v>2.4384259828258044</v>
      </c>
      <c r="I11" s="53">
        <f>'R1'!I33</f>
        <v>2.1114094687060159E-2</v>
      </c>
      <c r="J11" s="53">
        <f>'R1'!J33</f>
        <v>2.6732075043747673E-2</v>
      </c>
      <c r="K11" s="53">
        <f>'R1'!K33</f>
        <v>2.4959233339021621E-2</v>
      </c>
      <c r="L11" s="53">
        <f>'R1'!L33</f>
        <v>8.0670131108720719E-2</v>
      </c>
      <c r="M11" s="53">
        <f>'R1'!M33</f>
        <v>2.2898325691362173E-2</v>
      </c>
      <c r="N11"/>
      <c r="O11" s="53">
        <f>'R1'!O33</f>
        <v>1.0533599275793331</v>
      </c>
      <c r="P11" s="53">
        <f>'R1'!P33</f>
        <v>3.2436277953981087</v>
      </c>
      <c r="Q11" s="53">
        <f>'R1'!Q33</f>
        <v>7.1483410955634638E-2</v>
      </c>
      <c r="R11" s="53">
        <f>'R1'!R33</f>
        <v>1.5499942246181344</v>
      </c>
      <c r="S11" s="53">
        <f>'R1'!S33</f>
        <v>0.10891642742048183</v>
      </c>
      <c r="T11" s="53">
        <f>'R1'!T33</f>
        <v>0.28849929189286916</v>
      </c>
      <c r="U11" s="53">
        <f>'R1'!U33</f>
        <v>0.2049265561190462</v>
      </c>
      <c r="V11" s="53">
        <f>'R1'!V33</f>
        <v>2.0909503976384705E-2</v>
      </c>
    </row>
    <row r="12" spans="1:22" s="1" customFormat="1" x14ac:dyDescent="0.25">
      <c r="A12" s="229"/>
      <c r="B12" s="53">
        <f>'R1'!B34</f>
        <v>0.13108778245354438</v>
      </c>
      <c r="C12" s="53">
        <f>'R1'!C34</f>
        <v>0.24592247883660667</v>
      </c>
      <c r="D12" s="53">
        <f>'R1'!D34</f>
        <v>0.2259684259795271</v>
      </c>
      <c r="E12" s="53">
        <f>'R1'!E34</f>
        <v>5.5268263753191249</v>
      </c>
      <c r="F12" s="53">
        <f>'R1'!F34</f>
        <v>1.3701594066161034</v>
      </c>
      <c r="G12" s="53">
        <f>'R1'!G34</f>
        <v>2.8514636543404528</v>
      </c>
      <c r="H12" s="53">
        <f>'R1'!H34</f>
        <v>3.8169968038604454</v>
      </c>
      <c r="I12" s="53">
        <f>'R1'!I34</f>
        <v>7.4415461126957655E-2</v>
      </c>
      <c r="J12" s="53">
        <f>'R1'!J34</f>
        <v>1.5213326355535425E-2</v>
      </c>
      <c r="K12" s="53">
        <f>'R1'!K34</f>
        <v>2.9892466782178936E-2</v>
      </c>
      <c r="L12" s="53">
        <f>'R1'!L34</f>
        <v>2.357751684900166E-2</v>
      </c>
      <c r="M12" s="53">
        <f>'R1'!M34</f>
        <v>0.10743831856575801</v>
      </c>
      <c r="N12"/>
      <c r="O12" s="53">
        <f>'R1'!O34</f>
        <v>3.1810191489022968</v>
      </c>
      <c r="P12" s="53">
        <f>'R1'!P34</f>
        <v>2.2974481215234102</v>
      </c>
      <c r="Q12" s="53">
        <f>'R1'!Q34</f>
        <v>2.7338763587013377E-2</v>
      </c>
      <c r="R12" s="53">
        <f>'R1'!R34</f>
        <v>1.8923896266190017</v>
      </c>
      <c r="S12" s="53">
        <f>'R1'!S34</f>
        <v>1.7555033017423218</v>
      </c>
      <c r="T12" s="53">
        <f>'R1'!T34</f>
        <v>1.2759635100036508</v>
      </c>
      <c r="U12" s="53">
        <f>'R1'!U34</f>
        <v>2.459310902582373E-2</v>
      </c>
      <c r="V12" s="53">
        <f>'R1'!V34</f>
        <v>0.22543396226284065</v>
      </c>
    </row>
    <row r="13" spans="1:22" s="1" customFormat="1" x14ac:dyDescent="0.25">
      <c r="A13" s="229"/>
      <c r="B13" s="53">
        <f>'R1'!B35</f>
        <v>0.27484157718673297</v>
      </c>
      <c r="C13" s="53">
        <f>'R1'!C35</f>
        <v>0.18727369735189933</v>
      </c>
      <c r="D13" s="53">
        <f>'R1'!D35</f>
        <v>4.6680016569347484E-2</v>
      </c>
      <c r="E13" s="53">
        <f>'R1'!E35</f>
        <v>0.12967578709392005</v>
      </c>
      <c r="F13" s="53">
        <f>'R1'!F35</f>
        <v>2.0565847140008851</v>
      </c>
      <c r="G13" s="53">
        <f>'R1'!G35</f>
        <v>2.6543237678900335</v>
      </c>
      <c r="H13" s="53">
        <f>'R1'!H35</f>
        <v>5.7271234589483377</v>
      </c>
      <c r="I13" s="53">
        <f>'R1'!I35</f>
        <v>0.113344920440968</v>
      </c>
      <c r="J13" s="53">
        <f>'R1'!J35</f>
        <v>0.10064251796023967</v>
      </c>
      <c r="K13" s="53">
        <f>'R1'!K35</f>
        <v>6.013300167091095E-2</v>
      </c>
      <c r="L13" s="53">
        <f>'R1'!L35</f>
        <v>3.4314570683390791E-2</v>
      </c>
      <c r="M13" s="53">
        <f>'R1'!M35</f>
        <v>0.11681171211677201</v>
      </c>
      <c r="N13"/>
      <c r="O13" s="53">
        <f>'R1'!O35</f>
        <v>0.30775026384197918</v>
      </c>
      <c r="P13" s="53">
        <f>'R1'!P35</f>
        <v>1.7850410335108788</v>
      </c>
      <c r="Q13" s="53">
        <f>'R1'!Q35</f>
        <v>4.9101492774314102E-2</v>
      </c>
      <c r="R13" s="53">
        <f>'R1'!R35</f>
        <v>0.72105238933702531</v>
      </c>
      <c r="S13" s="53">
        <f>'R1'!S35</f>
        <v>4.6728351645596668E-2</v>
      </c>
      <c r="T13" s="53">
        <f>'R1'!T35</f>
        <v>1.0219712957357856</v>
      </c>
      <c r="U13" s="53">
        <f>'R1'!U35</f>
        <v>3.3221197924098764E-2</v>
      </c>
      <c r="V13" s="53">
        <f>'R1'!V35</f>
        <v>7.420545355428877E-3</v>
      </c>
    </row>
    <row r="14" spans="1:22" s="1" customFormat="1" x14ac:dyDescent="0.25">
      <c r="A14" s="229"/>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0.48535027903697164</v>
      </c>
      <c r="P14" s="53" t="str">
        <f>'R1'!P36</f>
        <v/>
      </c>
      <c r="Q14" s="53" t="str">
        <f>'R1'!Q36</f>
        <v/>
      </c>
      <c r="R14" s="53" t="str">
        <f>'R1'!R36</f>
        <v/>
      </c>
      <c r="S14" s="53" t="str">
        <f>'R1'!S36</f>
        <v/>
      </c>
      <c r="T14" s="53" t="str">
        <f>'R1'!T36</f>
        <v/>
      </c>
      <c r="U14" s="53" t="str">
        <f>'R1'!U36</f>
        <v/>
      </c>
      <c r="V14" s="53" t="str">
        <f>'R1'!V36</f>
        <v/>
      </c>
    </row>
    <row r="15" spans="1:22" s="1" customFormat="1" x14ac:dyDescent="0.25">
      <c r="A15" s="229"/>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0.9180481039220808</v>
      </c>
      <c r="P15" s="53" t="str">
        <f>'R1'!P37</f>
        <v/>
      </c>
      <c r="Q15" s="53" t="str">
        <f>'R1'!Q37</f>
        <v/>
      </c>
      <c r="R15" s="53" t="str">
        <f>'R1'!R37</f>
        <v/>
      </c>
      <c r="S15" s="53" t="str">
        <f>'R1'!S37</f>
        <v/>
      </c>
      <c r="T15" s="53" t="str">
        <f>'R1'!T37</f>
        <v/>
      </c>
      <c r="U15" s="53" t="str">
        <f>'R1'!U37</f>
        <v/>
      </c>
      <c r="V15" s="53" t="str">
        <f>'R1'!V37</f>
        <v/>
      </c>
    </row>
    <row r="16" spans="1:22" s="1" customFormat="1" x14ac:dyDescent="0.25">
      <c r="A16" s="229"/>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2.350779766832912</v>
      </c>
      <c r="P16" s="53" t="str">
        <f>'R1'!P38</f>
        <v/>
      </c>
      <c r="Q16" s="53" t="str">
        <f>'R1'!Q38</f>
        <v/>
      </c>
      <c r="R16" s="53" t="str">
        <f>'R1'!R38</f>
        <v/>
      </c>
      <c r="S16" s="53" t="str">
        <f>'R1'!S38</f>
        <v/>
      </c>
      <c r="T16" s="53" t="str">
        <f>'R1'!T38</f>
        <v/>
      </c>
      <c r="U16" s="53" t="str">
        <f>'R1'!U38</f>
        <v/>
      </c>
      <c r="V16" s="53" t="str">
        <f>'R1'!V38</f>
        <v/>
      </c>
    </row>
    <row r="17" spans="1:22" s="1" customFormat="1" x14ac:dyDescent="0.25">
      <c r="A17" s="229"/>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6.4741501182256175E-2</v>
      </c>
      <c r="P17" s="53" t="str">
        <f>'R1'!P39</f>
        <v/>
      </c>
      <c r="Q17" s="53" t="str">
        <f>'R1'!Q39</f>
        <v/>
      </c>
      <c r="R17" s="53" t="str">
        <f>'R1'!R39</f>
        <v/>
      </c>
      <c r="S17" s="53" t="str">
        <f>'R1'!S39</f>
        <v/>
      </c>
      <c r="T17" s="53" t="str">
        <f>'R1'!T39</f>
        <v/>
      </c>
      <c r="U17" s="53" t="str">
        <f>'R1'!U39</f>
        <v/>
      </c>
      <c r="V17" s="53" t="str">
        <f>'R1'!V39</f>
        <v/>
      </c>
    </row>
    <row r="18" spans="1:22" s="1" customFormat="1" x14ac:dyDescent="0.25">
      <c r="A18" s="229"/>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6.683879903099979E-2</v>
      </c>
      <c r="P18" s="53" t="str">
        <f>'R1'!P40</f>
        <v/>
      </c>
      <c r="Q18" s="53" t="str">
        <f>'R1'!Q40</f>
        <v/>
      </c>
      <c r="R18" s="53" t="str">
        <f>'R1'!R40</f>
        <v/>
      </c>
      <c r="S18" s="53" t="str">
        <f>'R1'!S40</f>
        <v/>
      </c>
      <c r="T18" s="53" t="str">
        <f>'R1'!T40</f>
        <v/>
      </c>
      <c r="U18" s="53" t="str">
        <f>'R1'!U40</f>
        <v/>
      </c>
      <c r="V18" s="53" t="str">
        <f>'R1'!V40</f>
        <v/>
      </c>
    </row>
    <row r="19" spans="1:22" s="1" customFormat="1" x14ac:dyDescent="0.25">
      <c r="A19" s="229"/>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1.4527459957193249</v>
      </c>
      <c r="P19" s="53" t="str">
        <f>'R1'!P41</f>
        <v/>
      </c>
      <c r="Q19" s="53" t="str">
        <f>'R1'!Q41</f>
        <v/>
      </c>
      <c r="R19" s="53" t="str">
        <f>'R1'!R41</f>
        <v/>
      </c>
      <c r="S19" s="53" t="str">
        <f>'R1'!S41</f>
        <v/>
      </c>
      <c r="T19" s="53" t="str">
        <f>'R1'!T41</f>
        <v/>
      </c>
      <c r="U19" s="53" t="str">
        <f>'R1'!U41</f>
        <v/>
      </c>
      <c r="V19" s="53" t="str">
        <f>'R1'!V41</f>
        <v/>
      </c>
    </row>
    <row r="20" spans="1:22" s="1" customFormat="1" x14ac:dyDescent="0.25">
      <c r="A20" s="229"/>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2.1690159903856259</v>
      </c>
      <c r="P20" s="53" t="str">
        <f>'R1'!P42</f>
        <v/>
      </c>
      <c r="Q20" s="53" t="str">
        <f>'R1'!Q42</f>
        <v/>
      </c>
      <c r="R20" s="53" t="str">
        <f>'R1'!R42</f>
        <v/>
      </c>
      <c r="S20" s="53" t="str">
        <f>'R1'!S42</f>
        <v/>
      </c>
      <c r="T20" s="53" t="str">
        <f>'R1'!T42</f>
        <v/>
      </c>
      <c r="U20" s="53" t="str">
        <f>'R1'!U42</f>
        <v/>
      </c>
      <c r="V20" s="53" t="str">
        <f>'R1'!V42</f>
        <v/>
      </c>
    </row>
    <row r="21" spans="1:22" s="1" customFormat="1" x14ac:dyDescent="0.25">
      <c r="A21" s="230"/>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0.15646175296980763</v>
      </c>
      <c r="P21" s="53" t="str">
        <f>'R1'!P43</f>
        <v/>
      </c>
      <c r="Q21" s="53" t="str">
        <f>'R1'!Q43</f>
        <v/>
      </c>
      <c r="R21" s="53" t="str">
        <f>'R1'!R43</f>
        <v/>
      </c>
      <c r="S21" s="53" t="str">
        <f>'R1'!S43</f>
        <v/>
      </c>
      <c r="T21" s="53" t="str">
        <f>'R1'!T43</f>
        <v/>
      </c>
      <c r="U21" s="53" t="str">
        <f>'R1'!U43</f>
        <v/>
      </c>
      <c r="V21" s="53" t="str">
        <f>'R1'!V43</f>
        <v/>
      </c>
    </row>
    <row r="22" spans="1:22" x14ac:dyDescent="0.25">
      <c r="A22" s="39" t="s">
        <v>5</v>
      </c>
      <c r="B22" s="54">
        <f>'R2'!B28</f>
        <v>2.4077596528817153E-2</v>
      </c>
      <c r="C22" s="54">
        <f>'R2'!C28</f>
        <v>0.16147991557930469</v>
      </c>
      <c r="D22" s="54">
        <f>'R2'!D28</f>
        <v>7.0417996590941653E-2</v>
      </c>
      <c r="E22" s="54">
        <f>'R2'!E28</f>
        <v>8.345656843188487E-2</v>
      </c>
      <c r="F22" s="54">
        <f>'R2'!F28</f>
        <v>0.37296734766415185</v>
      </c>
      <c r="G22" s="54">
        <f>'R2'!G28</f>
        <v>0.64854302644934181</v>
      </c>
      <c r="H22" s="54">
        <f>'R2'!H28</f>
        <v>2.3725782590309619</v>
      </c>
      <c r="I22" s="54">
        <f>'R2'!I28</f>
        <v>7.9767571300002976E-2</v>
      </c>
      <c r="J22" s="54">
        <f>'R2'!J28</f>
        <v>9.2169864312833499E-2</v>
      </c>
      <c r="K22" s="54">
        <f>'R2'!K28</f>
        <v>1.9241239852185444E-2</v>
      </c>
      <c r="L22" s="54">
        <f>'R2'!L28</f>
        <v>6.8954308947405674E-2</v>
      </c>
      <c r="M22" s="54">
        <f>'R2'!M28</f>
        <v>0.18203935823252435</v>
      </c>
      <c r="O22" s="54">
        <f>'R2'!O28</f>
        <v>1.7285548264438011</v>
      </c>
      <c r="P22" s="54">
        <f>'R2'!P28</f>
        <v>2.0224221811639311</v>
      </c>
      <c r="Q22" s="54">
        <f>'R2'!Q28</f>
        <v>7.1693597256820979E-2</v>
      </c>
      <c r="R22" s="54">
        <f>'R2'!R28</f>
        <v>0.38147690680350937</v>
      </c>
      <c r="S22" s="54">
        <f>'R2'!S28</f>
        <v>0.61439509663914882</v>
      </c>
      <c r="T22" s="54">
        <f>'R2'!T28</f>
        <v>3.5730801998507457E-2</v>
      </c>
      <c r="U22" s="54">
        <f>'R2'!U28</f>
        <v>0.10058552486858433</v>
      </c>
      <c r="V22" s="54">
        <f>'R2'!V28</f>
        <v>0.15776106797177003</v>
      </c>
    </row>
    <row r="23" spans="1:22" x14ac:dyDescent="0.25">
      <c r="A23" s="228" t="s">
        <v>34</v>
      </c>
      <c r="B23" s="54">
        <f>'R2'!B29</f>
        <v>5.9331877706042757E-2</v>
      </c>
      <c r="C23" s="54">
        <f>'R2'!C29</f>
        <v>0.10739940310459981</v>
      </c>
      <c r="D23" s="54">
        <f>'R2'!D29</f>
        <v>6.8988796390150098E-2</v>
      </c>
      <c r="E23" s="54">
        <f>'R2'!E29</f>
        <v>0.22885606175809828</v>
      </c>
      <c r="F23" s="54">
        <f>'R2'!F29</f>
        <v>0.48868822293045255</v>
      </c>
      <c r="G23" s="54">
        <f>'R2'!G29</f>
        <v>0.75206230243474914</v>
      </c>
      <c r="H23" s="54">
        <f>'R2'!H29</f>
        <v>3.1010237635416309</v>
      </c>
      <c r="I23" s="54">
        <f>'R2'!I29</f>
        <v>0.10700453637569816</v>
      </c>
      <c r="J23" s="54">
        <f>'R2'!J29</f>
        <v>0.11088466349489061</v>
      </c>
      <c r="K23" s="54">
        <f>'R2'!K29</f>
        <v>0.11609386130673845</v>
      </c>
      <c r="L23" s="54">
        <f>'R2'!L29</f>
        <v>5.5561443839613069E-2</v>
      </c>
      <c r="M23" s="54">
        <f>'R2'!M29</f>
        <v>0.19617805051597081</v>
      </c>
      <c r="O23" s="54">
        <f>'R2'!O29</f>
        <v>0.28236782123796317</v>
      </c>
      <c r="P23" s="54">
        <f>'R2'!P29</f>
        <v>1.9179253745535074</v>
      </c>
      <c r="Q23" s="54">
        <f>'R2'!Q29</f>
        <v>1.0846155837903984E-2</v>
      </c>
      <c r="R23" s="54">
        <f>'R2'!R29</f>
        <v>8.0248729088376533E-2</v>
      </c>
      <c r="S23" s="54">
        <f>'R2'!S29</f>
        <v>0.91322386124216515</v>
      </c>
      <c r="T23" s="54">
        <f>'R2'!T29</f>
        <v>8.3623354341964048E-3</v>
      </c>
      <c r="U23" s="54">
        <f>'R2'!U29</f>
        <v>6.5575408989780468E-2</v>
      </c>
      <c r="V23" s="54">
        <f>'R2'!V29</f>
        <v>6.9914885661493384E-2</v>
      </c>
    </row>
    <row r="24" spans="1:22" x14ac:dyDescent="0.25">
      <c r="A24" s="229"/>
      <c r="B24" s="54">
        <f>'R2'!B30</f>
        <v>4.3713992920347479E-2</v>
      </c>
      <c r="C24" s="54">
        <f>'R2'!C30</f>
        <v>0.22514503903253086</v>
      </c>
      <c r="D24" s="54">
        <f>'R2'!D30</f>
        <v>1.4746714593344189E-2</v>
      </c>
      <c r="E24" s="54">
        <f>'R2'!E30</f>
        <v>0.21938751986209079</v>
      </c>
      <c r="F24" s="54">
        <f>'R2'!F30</f>
        <v>4.2579240129878189E-2</v>
      </c>
      <c r="G24" s="54">
        <f>'R2'!G30</f>
        <v>1.4713648670823798</v>
      </c>
      <c r="H24" s="54">
        <f>'R2'!H30</f>
        <v>3.6714572242366916</v>
      </c>
      <c r="I24" s="54">
        <f>'R2'!I30</f>
        <v>9.5133393452698473E-2</v>
      </c>
      <c r="J24" s="54">
        <f>'R2'!J30</f>
        <v>0.13194707217233695</v>
      </c>
      <c r="K24" s="54">
        <f>'R2'!K30</f>
        <v>0.20441185501859446</v>
      </c>
      <c r="L24" s="54">
        <f>'R2'!L30</f>
        <v>9.3022486636817822E-2</v>
      </c>
      <c r="M24" s="54">
        <f>'R2'!M30</f>
        <v>0.1366360602385859</v>
      </c>
      <c r="O24" s="54">
        <f>'R2'!O30</f>
        <v>1.6493545590864218</v>
      </c>
      <c r="P24" s="54">
        <f>'R2'!P30</f>
        <v>0.314838907823624</v>
      </c>
      <c r="Q24" s="54">
        <f>'R2'!Q30</f>
        <v>7.4824709285484042E-2</v>
      </c>
      <c r="R24" s="54">
        <f>'R2'!R30</f>
        <v>0.93796903612696381</v>
      </c>
      <c r="S24" s="54">
        <f>'R2'!S30</f>
        <v>0.39557169280480636</v>
      </c>
      <c r="T24" s="54">
        <f>'R2'!T30</f>
        <v>0.30574313461022185</v>
      </c>
      <c r="U24" s="54">
        <f>'R2'!U30</f>
        <v>9.9516703953949986E-2</v>
      </c>
      <c r="V24" s="54">
        <f>'R2'!V30</f>
        <v>0.10567242267338886</v>
      </c>
    </row>
    <row r="25" spans="1:22" x14ac:dyDescent="0.25">
      <c r="A25" s="229"/>
      <c r="B25" s="54">
        <f>'R2'!B31</f>
        <v>0.13313819309401456</v>
      </c>
      <c r="C25" s="54">
        <f>'R2'!C31</f>
        <v>0.28558978884057901</v>
      </c>
      <c r="D25" s="54">
        <f>'R2'!D31</f>
        <v>9.7256762117638021E-2</v>
      </c>
      <c r="E25" s="54">
        <f>'R2'!E31</f>
        <v>0.19995790322180548</v>
      </c>
      <c r="F25" s="54">
        <f>'R2'!F31</f>
        <v>0.29019719526705856</v>
      </c>
      <c r="G25" s="54">
        <f>'R2'!G31</f>
        <v>1.2400233909631362</v>
      </c>
      <c r="H25" s="54">
        <f>'R2'!H31</f>
        <v>2.5441960337249152</v>
      </c>
      <c r="I25" s="54">
        <f>'R2'!I31</f>
        <v>5.2301800879377261E-2</v>
      </c>
      <c r="J25" s="54">
        <f>'R2'!J31</f>
        <v>7.75416821907706E-3</v>
      </c>
      <c r="K25" s="54">
        <f>'R2'!K31</f>
        <v>0.13593095143020592</v>
      </c>
      <c r="L25" s="54">
        <f>'R2'!L31</f>
        <v>0.132188484271548</v>
      </c>
      <c r="M25" s="54">
        <f>'R2'!M31</f>
        <v>4.9810010688480844E-2</v>
      </c>
      <c r="O25" s="54">
        <f>'R2'!O31</f>
        <v>0.17300306861259526</v>
      </c>
      <c r="P25" s="54">
        <f>'R2'!P31</f>
        <v>1.9359959975728738</v>
      </c>
      <c r="Q25" s="54">
        <f>'R2'!Q31</f>
        <v>1.1259787793004811E-2</v>
      </c>
      <c r="R25" s="54">
        <f>'R2'!R31</f>
        <v>0.28131146217238773</v>
      </c>
      <c r="S25" s="54">
        <f>'R2'!S31</f>
        <v>1.0441367448478338</v>
      </c>
      <c r="T25" s="54">
        <f>'R2'!T31</f>
        <v>6.8608275278188371E-3</v>
      </c>
      <c r="U25" s="54">
        <f>'R2'!U31</f>
        <v>1.966132008964815E-2</v>
      </c>
      <c r="V25" s="54">
        <f>'R2'!V31</f>
        <v>0.25147315855825503</v>
      </c>
    </row>
    <row r="26" spans="1:22" x14ac:dyDescent="0.25">
      <c r="A26" s="229"/>
      <c r="B26" s="54">
        <f>'R2'!B32</f>
        <v>4.6465598173600096E-2</v>
      </c>
      <c r="C26" s="54">
        <f>'R2'!C32</f>
        <v>4.2428828509841518E-2</v>
      </c>
      <c r="D26" s="54">
        <f>'R2'!D32</f>
        <v>0.36788044985934731</v>
      </c>
      <c r="E26" s="54">
        <f>'R2'!E32</f>
        <v>2.147141743145152</v>
      </c>
      <c r="F26" s="54">
        <f>'R2'!F32</f>
        <v>0.16112098534536362</v>
      </c>
      <c r="G26" s="54">
        <f>'R2'!G32</f>
        <v>0.75405866167294289</v>
      </c>
      <c r="H26" s="54">
        <f>'R2'!H32</f>
        <v>2.8614734066178813</v>
      </c>
      <c r="I26" s="54">
        <f>'R2'!I32</f>
        <v>0.19840959092884616</v>
      </c>
      <c r="J26" s="54">
        <f>'R2'!J32</f>
        <v>1.0455926076094024E-2</v>
      </c>
      <c r="K26" s="54">
        <f>'R2'!K32</f>
        <v>1.6414283883692874E-2</v>
      </c>
      <c r="L26" s="54">
        <f>'R2'!L32</f>
        <v>4.5030239500889906E-2</v>
      </c>
      <c r="M26" s="54">
        <f>'R2'!M32</f>
        <v>9.5429652178290914E-2</v>
      </c>
      <c r="O26" s="54">
        <f>'R2'!O32</f>
        <v>1.524396990278698</v>
      </c>
      <c r="P26" s="54">
        <f>'R2'!P32</f>
        <v>1.1831378032084026</v>
      </c>
      <c r="Q26" s="54">
        <f>'R2'!Q32</f>
        <v>0.12998201246201208</v>
      </c>
      <c r="R26" s="54">
        <f>'R2'!R32</f>
        <v>1.2301189741605101</v>
      </c>
      <c r="S26" s="54">
        <f>'R2'!S32</f>
        <v>0.85701063371572639</v>
      </c>
      <c r="T26" s="54">
        <f>'R2'!T32</f>
        <v>1.0371228974059891E-2</v>
      </c>
      <c r="U26" s="54">
        <f>'R2'!U32</f>
        <v>8.1939555666794464E-2</v>
      </c>
      <c r="V26" s="54">
        <f>'R2'!V32</f>
        <v>0.13756693138224249</v>
      </c>
    </row>
    <row r="27" spans="1:22" x14ac:dyDescent="0.25">
      <c r="A27" s="229"/>
      <c r="B27" s="54">
        <f>'R2'!B33</f>
        <v>8.0478911032912409E-2</v>
      </c>
      <c r="C27" s="54">
        <f>'R2'!C33</f>
        <v>9.4702372871003804E-2</v>
      </c>
      <c r="D27" s="54">
        <f>'R2'!D33</f>
        <v>9.9920844617035019E-3</v>
      </c>
      <c r="E27" s="54">
        <f>'R2'!E33</f>
        <v>7.9570065482941349E-2</v>
      </c>
      <c r="F27" s="54">
        <f>'R2'!F33</f>
        <v>0.89744281317693098</v>
      </c>
      <c r="G27" s="54">
        <f>'R2'!G33</f>
        <v>0.93757112638840823</v>
      </c>
      <c r="H27" s="54">
        <f>'R2'!H33</f>
        <v>3.1650946216153799</v>
      </c>
      <c r="I27" s="54">
        <f>'R2'!I33</f>
        <v>8.7535867778187532E-2</v>
      </c>
      <c r="J27" s="54">
        <f>'R2'!J33</f>
        <v>4.8553102796189872E-2</v>
      </c>
      <c r="K27" s="54">
        <f>'R2'!K33</f>
        <v>1.4521097163289191E-2</v>
      </c>
      <c r="L27" s="54">
        <f>'R2'!L33</f>
        <v>0.14417069704691582</v>
      </c>
      <c r="M27" s="54">
        <f>'R2'!M33</f>
        <v>8.5274404437048604E-2</v>
      </c>
      <c r="O27" s="54">
        <f>'R2'!O33</f>
        <v>0.62898516868792698</v>
      </c>
      <c r="P27" s="54">
        <f>'R2'!P33</f>
        <v>0.61254900411577018</v>
      </c>
      <c r="Q27" s="54">
        <f>'R2'!Q33</f>
        <v>8.2156044067887693E-2</v>
      </c>
      <c r="R27" s="54">
        <f>'R2'!R33</f>
        <v>0.21550398747019039</v>
      </c>
      <c r="S27" s="54">
        <f>'R2'!S33</f>
        <v>0.38694316647850274</v>
      </c>
      <c r="T27" s="54">
        <f>'R2'!T33</f>
        <v>0.22827310805154</v>
      </c>
      <c r="U27" s="54">
        <f>'R2'!U33</f>
        <v>0.26350550854030169</v>
      </c>
      <c r="V27" s="54">
        <f>'R2'!V33</f>
        <v>3.2267349844069752E-2</v>
      </c>
    </row>
    <row r="28" spans="1:22" x14ac:dyDescent="0.25">
      <c r="A28" s="229"/>
      <c r="B28" s="54">
        <f>'R2'!B34</f>
        <v>2.7678926001621799E-2</v>
      </c>
      <c r="C28" s="54">
        <f>'R2'!C34</f>
        <v>7.0678970895070763E-3</v>
      </c>
      <c r="D28" s="54">
        <f>'R2'!D34</f>
        <v>0.1047854578118817</v>
      </c>
      <c r="E28" s="54">
        <f>'R2'!E34</f>
        <v>1.2145102184037764</v>
      </c>
      <c r="F28" s="54">
        <f>'R2'!F34</f>
        <v>1.1581149899189889</v>
      </c>
      <c r="G28" s="54">
        <f>'R2'!G34</f>
        <v>0.9376932814902299</v>
      </c>
      <c r="H28" s="54">
        <f>'R2'!H34</f>
        <v>3.289240576276836</v>
      </c>
      <c r="I28" s="54">
        <f>'R2'!I34</f>
        <v>4.4036841754106326E-2</v>
      </c>
      <c r="J28" s="54">
        <f>'R2'!J34</f>
        <v>9.4417199394864926E-2</v>
      </c>
      <c r="K28" s="54">
        <f>'R2'!K34</f>
        <v>0.19022288062324749</v>
      </c>
      <c r="L28" s="54">
        <f>'R2'!L34</f>
        <v>9.3056829174340633E-2</v>
      </c>
      <c r="M28" s="54">
        <f>'R2'!M34</f>
        <v>1.7868552687823863E-2</v>
      </c>
      <c r="O28" s="54">
        <f>'R2'!O34</f>
        <v>1.025437595429711</v>
      </c>
      <c r="P28" s="54">
        <f>'R2'!P34</f>
        <v>1.8665073506207617</v>
      </c>
      <c r="Q28" s="54">
        <f>'R2'!Q34</f>
        <v>0.12665020670141186</v>
      </c>
      <c r="R28" s="54">
        <f>'R2'!R34</f>
        <v>1.308620218728817</v>
      </c>
      <c r="S28" s="54">
        <f>'R2'!S34</f>
        <v>0.7668529233102428</v>
      </c>
      <c r="T28" s="54">
        <f>'R2'!T34</f>
        <v>2.9603267344672765E-2</v>
      </c>
      <c r="U28" s="54">
        <f>'R2'!U34</f>
        <v>1.1480840708578926E-2</v>
      </c>
      <c r="V28" s="54">
        <f>'R2'!V34</f>
        <v>5.2496118781563357E-2</v>
      </c>
    </row>
    <row r="29" spans="1:22" x14ac:dyDescent="0.25">
      <c r="A29" s="229"/>
      <c r="B29" s="54">
        <f>'R2'!B35</f>
        <v>1.3176521611920976E-2</v>
      </c>
      <c r="C29" s="54">
        <f>'R2'!C35</f>
        <v>0.14123542442526582</v>
      </c>
      <c r="D29" s="54">
        <f>'R2'!D35</f>
        <v>0.17428185719335015</v>
      </c>
      <c r="E29" s="54">
        <f>'R2'!E35</f>
        <v>0.11629759804832954</v>
      </c>
      <c r="F29" s="54">
        <f>'R2'!F35</f>
        <v>0.97011126031216877</v>
      </c>
      <c r="G29" s="54">
        <f>'R2'!G35</f>
        <v>1.0446165260366018</v>
      </c>
      <c r="H29" s="54">
        <f>'R2'!H35</f>
        <v>2.0022531131777432</v>
      </c>
      <c r="I29" s="54">
        <f>'R2'!I35</f>
        <v>0.16352496297196117</v>
      </c>
      <c r="J29" s="54">
        <f>'R2'!J35</f>
        <v>9.3812220094621118E-2</v>
      </c>
      <c r="K29" s="54">
        <f>'R2'!K35</f>
        <v>6.4190115071138367E-3</v>
      </c>
      <c r="L29" s="54">
        <f>'R2'!L35</f>
        <v>7.868628853630974E-2</v>
      </c>
      <c r="M29" s="54">
        <f>'R2'!M35</f>
        <v>4.4917430785862404E-2</v>
      </c>
      <c r="O29" s="54">
        <f>'R2'!O35</f>
        <v>0.34450173121438066</v>
      </c>
      <c r="P29" s="54" t="str">
        <f>'R2'!P35</f>
        <v/>
      </c>
      <c r="Q29" s="54">
        <f>'R2'!Q35</f>
        <v>9.1231168287209688E-2</v>
      </c>
      <c r="R29" s="54">
        <f>'R2'!R35</f>
        <v>0.15848834727905714</v>
      </c>
      <c r="S29" s="54">
        <f>'R2'!S35</f>
        <v>1.0293553979065235</v>
      </c>
      <c r="T29" s="54">
        <f>'R2'!T35</f>
        <v>0.44067097964379598</v>
      </c>
      <c r="U29" s="54">
        <f>'R2'!U35</f>
        <v>6.6844923636351972E-2</v>
      </c>
      <c r="V29" s="54">
        <f>'R2'!V35</f>
        <v>0.15462995594310699</v>
      </c>
    </row>
    <row r="30" spans="1:22" x14ac:dyDescent="0.25">
      <c r="A30" s="229"/>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0.50561329772033936</v>
      </c>
      <c r="P30" s="54" t="str">
        <f>'R2'!P36</f>
        <v/>
      </c>
      <c r="Q30" s="54" t="str">
        <f>'R2'!Q36</f>
        <v/>
      </c>
      <c r="R30" s="54" t="str">
        <f>'R2'!R36</f>
        <v/>
      </c>
      <c r="S30" s="54" t="str">
        <f>'R2'!S36</f>
        <v/>
      </c>
      <c r="T30" s="54" t="str">
        <f>'R2'!T36</f>
        <v/>
      </c>
      <c r="U30" s="54" t="str">
        <f>'R2'!U36</f>
        <v/>
      </c>
      <c r="V30" s="54" t="str">
        <f>'R2'!V36</f>
        <v/>
      </c>
    </row>
    <row r="31" spans="1:22" s="1" customFormat="1" x14ac:dyDescent="0.25">
      <c r="A31" s="229"/>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1.8862001151435002</v>
      </c>
      <c r="P31" s="54" t="str">
        <f>'R2'!P37</f>
        <v/>
      </c>
      <c r="Q31" s="54" t="str">
        <f>'R2'!Q37</f>
        <v/>
      </c>
      <c r="R31" s="54" t="str">
        <f>'R2'!R37</f>
        <v/>
      </c>
      <c r="S31" s="54" t="str">
        <f>'R2'!S37</f>
        <v/>
      </c>
      <c r="T31" s="54" t="str">
        <f>'R2'!T37</f>
        <v/>
      </c>
      <c r="U31" s="54" t="str">
        <f>'R2'!U37</f>
        <v/>
      </c>
      <c r="V31" s="54" t="str">
        <f>'R2'!V37</f>
        <v/>
      </c>
    </row>
    <row r="32" spans="1:22" s="1" customFormat="1" x14ac:dyDescent="0.25">
      <c r="A32" s="229"/>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0.99772751480544186</v>
      </c>
      <c r="P32" s="54" t="str">
        <f>'R2'!P38</f>
        <v/>
      </c>
      <c r="Q32" s="54" t="str">
        <f>'R2'!Q38</f>
        <v/>
      </c>
      <c r="R32" s="54" t="str">
        <f>'R2'!R38</f>
        <v/>
      </c>
      <c r="S32" s="54" t="str">
        <f>'R2'!S38</f>
        <v/>
      </c>
      <c r="T32" s="54" t="str">
        <f>'R2'!T38</f>
        <v/>
      </c>
      <c r="U32" s="54" t="str">
        <f>'R2'!U38</f>
        <v/>
      </c>
      <c r="V32" s="54" t="str">
        <f>'R2'!V38</f>
        <v/>
      </c>
    </row>
    <row r="33" spans="1:22" s="1" customFormat="1" x14ac:dyDescent="0.25">
      <c r="A33" s="229"/>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1.7869748155902188</v>
      </c>
      <c r="P33" s="54" t="str">
        <f>'R2'!P39</f>
        <v/>
      </c>
      <c r="Q33" s="54" t="str">
        <f>'R2'!Q39</f>
        <v/>
      </c>
      <c r="R33" s="54" t="str">
        <f>'R2'!R39</f>
        <v/>
      </c>
      <c r="S33" s="54" t="str">
        <f>'R2'!S39</f>
        <v/>
      </c>
      <c r="T33" s="54" t="str">
        <f>'R2'!T39</f>
        <v/>
      </c>
      <c r="U33" s="54" t="str">
        <f>'R2'!U39</f>
        <v/>
      </c>
      <c r="V33" s="54" t="str">
        <f>'R2'!V39</f>
        <v/>
      </c>
    </row>
    <row r="34" spans="1:22" s="1" customFormat="1" x14ac:dyDescent="0.25">
      <c r="A34" s="229"/>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0.87725795052158684</v>
      </c>
      <c r="P34" s="54" t="str">
        <f>'R2'!P40</f>
        <v/>
      </c>
      <c r="Q34" s="54" t="str">
        <f>'R2'!Q40</f>
        <v/>
      </c>
      <c r="R34" s="54" t="str">
        <f>'R2'!R40</f>
        <v/>
      </c>
      <c r="S34" s="54" t="str">
        <f>'R2'!S40</f>
        <v/>
      </c>
      <c r="T34" s="54" t="str">
        <f>'R2'!T40</f>
        <v/>
      </c>
      <c r="U34" s="54" t="str">
        <f>'R2'!U40</f>
        <v/>
      </c>
      <c r="V34" s="54" t="str">
        <f>'R2'!V40</f>
        <v/>
      </c>
    </row>
    <row r="35" spans="1:22" s="1" customFormat="1" x14ac:dyDescent="0.25">
      <c r="A35" s="229"/>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1.0516371840238623</v>
      </c>
      <c r="P35" s="54" t="str">
        <f>'R2'!P41</f>
        <v/>
      </c>
      <c r="Q35" s="54" t="str">
        <f>'R2'!Q41</f>
        <v/>
      </c>
      <c r="R35" s="54" t="str">
        <f>'R2'!R41</f>
        <v/>
      </c>
      <c r="S35" s="54" t="str">
        <f>'R2'!S41</f>
        <v/>
      </c>
      <c r="T35" s="54" t="str">
        <f>'R2'!T41</f>
        <v/>
      </c>
      <c r="U35" s="54" t="str">
        <f>'R2'!U41</f>
        <v/>
      </c>
      <c r="V35" s="54" t="str">
        <f>'R2'!V41</f>
        <v/>
      </c>
    </row>
    <row r="36" spans="1:22" x14ac:dyDescent="0.25">
      <c r="A36" s="229"/>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0.49839209090636322</v>
      </c>
      <c r="P36" s="54" t="str">
        <f>'R2'!P42</f>
        <v/>
      </c>
      <c r="Q36" s="54" t="str">
        <f>'R2'!Q42</f>
        <v/>
      </c>
      <c r="R36" s="54" t="str">
        <f>'R2'!R42</f>
        <v/>
      </c>
      <c r="S36" s="54" t="str">
        <f>'R2'!S42</f>
        <v/>
      </c>
      <c r="T36" s="54" t="str">
        <f>'R2'!T42</f>
        <v/>
      </c>
      <c r="U36" s="54" t="str">
        <f>'R2'!U42</f>
        <v/>
      </c>
      <c r="V36" s="54" t="str">
        <f>'R2'!V42</f>
        <v/>
      </c>
    </row>
    <row r="37" spans="1:22" x14ac:dyDescent="0.25">
      <c r="A37" s="230"/>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1.0395952702971891</v>
      </c>
      <c r="P37" s="54" t="str">
        <f>'R2'!P43</f>
        <v/>
      </c>
      <c r="Q37" s="54" t="str">
        <f>'R2'!Q43</f>
        <v/>
      </c>
      <c r="R37" s="54" t="str">
        <f>'R2'!R43</f>
        <v/>
      </c>
      <c r="S37" s="54" t="str">
        <f>'R2'!S43</f>
        <v/>
      </c>
      <c r="T37" s="54" t="str">
        <f>'R2'!T43</f>
        <v/>
      </c>
      <c r="U37" s="54" t="str">
        <f>'R2'!U43</f>
        <v/>
      </c>
      <c r="V37" s="54" t="str">
        <f>'R2'!V43</f>
        <v/>
      </c>
    </row>
    <row r="38" spans="1:22" s="1" customFormat="1" x14ac:dyDescent="0.25">
      <c r="A38" s="153" t="s">
        <v>116</v>
      </c>
      <c r="B38" s="154">
        <f>'R3'!B28</f>
        <v>1.2460310511265628E-2</v>
      </c>
      <c r="C38" s="154">
        <f>'R3'!C28</f>
        <v>0.1070973928672169</v>
      </c>
      <c r="D38" s="154">
        <f>'R3'!D28</f>
        <v>0.1711288068091853</v>
      </c>
      <c r="E38" s="154">
        <f>'R3'!E28</f>
        <v>0.18770956696688068</v>
      </c>
      <c r="F38" s="154">
        <f>'R3'!F28</f>
        <v>1.213098475021837</v>
      </c>
      <c r="G38" s="154">
        <f>'R3'!G28</f>
        <v>1.7041772531518278</v>
      </c>
      <c r="H38" s="154">
        <f>'R3'!H28</f>
        <v>3.9114729536494584</v>
      </c>
      <c r="I38" s="154">
        <f>'R3'!I28</f>
        <v>1.1307397274829873E-2</v>
      </c>
      <c r="J38" s="154">
        <f>'R3'!J28</f>
        <v>0.20700270433795101</v>
      </c>
      <c r="K38" s="154">
        <f>'R3'!K28</f>
        <v>0.1591313000291161</v>
      </c>
      <c r="L38" s="154">
        <f>'R3'!L28</f>
        <v>0.10447938960327639</v>
      </c>
      <c r="M38" s="154">
        <f>'R3'!M28</f>
        <v>0.11003172362833581</v>
      </c>
      <c r="N38"/>
      <c r="O38" s="154">
        <f>'R3'!O28</f>
        <v>0.74140720821235107</v>
      </c>
      <c r="P38" s="154">
        <f>'R3'!P28</f>
        <v>1.6960735456187943</v>
      </c>
      <c r="Q38" s="154">
        <f>'R3'!Q28</f>
        <v>9.4830745564686528E-2</v>
      </c>
      <c r="R38" s="154">
        <f>'R3'!R28</f>
        <v>0.11516789475137533</v>
      </c>
      <c r="S38" s="154">
        <f>'R3'!S28</f>
        <v>2.2482627328808277E-2</v>
      </c>
      <c r="T38" s="154">
        <f>'R3'!T28</f>
        <v>5.2194910867300083E-2</v>
      </c>
      <c r="U38" s="154">
        <f>'R3'!U28</f>
        <v>9.3653911153567734E-2</v>
      </c>
      <c r="V38" s="154">
        <f>'R3'!V28</f>
        <v>2.0029996934594309E-2</v>
      </c>
    </row>
    <row r="39" spans="1:22" s="1" customFormat="1" x14ac:dyDescent="0.25">
      <c r="A39" s="228" t="s">
        <v>34</v>
      </c>
      <c r="B39" s="154">
        <f>'R3'!B29</f>
        <v>7.7427599451792214E-2</v>
      </c>
      <c r="C39" s="154">
        <f>'R3'!C29</f>
        <v>6.1952565555815374E-2</v>
      </c>
      <c r="D39" s="154">
        <f>'R3'!D29</f>
        <v>6.0053071365231032E-2</v>
      </c>
      <c r="E39" s="154">
        <f>'R3'!E29</f>
        <v>0.48159048242215285</v>
      </c>
      <c r="F39" s="154">
        <f>'R3'!F29</f>
        <v>1.5361007445405546</v>
      </c>
      <c r="G39" s="154">
        <f>'R3'!G29</f>
        <v>1.0574161933114037</v>
      </c>
      <c r="H39" s="154">
        <f>'R3'!H29</f>
        <v>1.1806456331600697</v>
      </c>
      <c r="I39" s="154">
        <f>'R3'!I29</f>
        <v>0.42350790416779827</v>
      </c>
      <c r="J39" s="154">
        <f>'R3'!J29</f>
        <v>1.3835395753661623E-2</v>
      </c>
      <c r="K39" s="154">
        <f>'R3'!K29</f>
        <v>0.2078911739035757</v>
      </c>
      <c r="L39" s="154">
        <f>'R3'!L29</f>
        <v>9.49063321075206E-2</v>
      </c>
      <c r="M39" s="154">
        <f>'R3'!M29</f>
        <v>1.70626789828166E-2</v>
      </c>
      <c r="N39"/>
      <c r="O39" s="154">
        <f>'R3'!O29</f>
        <v>0.14145912262286875</v>
      </c>
      <c r="P39" s="154">
        <f>'R3'!P29</f>
        <v>0.26167820825114935</v>
      </c>
      <c r="Q39" s="154">
        <f>'R3'!Q29</f>
        <v>5.4293420492918633E-3</v>
      </c>
      <c r="R39" s="154">
        <f>'R3'!R29</f>
        <v>3.5051620802674904E-2</v>
      </c>
      <c r="S39" s="154">
        <f>'R3'!S29</f>
        <v>1.4991352113050203</v>
      </c>
      <c r="T39" s="154">
        <f>'R3'!T29</f>
        <v>6.856070814017258E-2</v>
      </c>
      <c r="U39" s="154">
        <f>'R3'!U29</f>
        <v>6.2027933640433151E-2</v>
      </c>
      <c r="V39" s="154">
        <f>'R3'!V29</f>
        <v>1.1690136069758427E-2</v>
      </c>
    </row>
    <row r="40" spans="1:22" s="1" customFormat="1" x14ac:dyDescent="0.25">
      <c r="A40" s="229"/>
      <c r="B40" s="154">
        <f>'R3'!B30</f>
        <v>5.4648415094379187E-3</v>
      </c>
      <c r="C40" s="154">
        <f>'R3'!C30</f>
        <v>0.19875241134179131</v>
      </c>
      <c r="D40" s="154">
        <f>'R3'!D30</f>
        <v>6.1210462995100592E-2</v>
      </c>
      <c r="E40" s="154">
        <f>'R3'!E30</f>
        <v>1.2727353834850481</v>
      </c>
      <c r="F40" s="154">
        <f>'R3'!F30</f>
        <v>2.4411805621821214</v>
      </c>
      <c r="G40" s="154">
        <f>'R3'!G30</f>
        <v>0.4203656011847775</v>
      </c>
      <c r="H40" s="154">
        <f>'R3'!H30</f>
        <v>1.5093772970881443</v>
      </c>
      <c r="I40" s="154">
        <f>'R3'!I30</f>
        <v>0.10444159633185934</v>
      </c>
      <c r="J40" s="154">
        <f>'R3'!J30</f>
        <v>0.12496793033384958</v>
      </c>
      <c r="K40" s="154">
        <f>'R3'!K30</f>
        <v>0.26551520836195136</v>
      </c>
      <c r="L40" s="154">
        <f>'R3'!L30</f>
        <v>5.2875626669239232E-3</v>
      </c>
      <c r="M40" s="154">
        <f>'R3'!M30</f>
        <v>0.16098382570319952</v>
      </c>
      <c r="N40"/>
      <c r="O40" s="154">
        <f>'R3'!O30</f>
        <v>0.12643269267402993</v>
      </c>
      <c r="P40" s="154">
        <f>'R3'!P30</f>
        <v>2.4103576370720448</v>
      </c>
      <c r="Q40" s="154">
        <f>'R3'!Q30</f>
        <v>7.8027594942814624E-2</v>
      </c>
      <c r="R40" s="154">
        <f>'R3'!R30</f>
        <v>0.77745816612541452</v>
      </c>
      <c r="S40" s="154">
        <f>'R3'!S30</f>
        <v>3.275038195234535E-2</v>
      </c>
      <c r="T40" s="154">
        <f>'R3'!T30</f>
        <v>0.75749184976086692</v>
      </c>
      <c r="U40" s="154">
        <f>'R3'!U30</f>
        <v>8.1605066692671934E-3</v>
      </c>
      <c r="V40" s="154">
        <f>'R3'!V30</f>
        <v>0.16897874104452387</v>
      </c>
    </row>
    <row r="41" spans="1:22" s="1" customFormat="1" x14ac:dyDescent="0.25">
      <c r="A41" s="229"/>
      <c r="B41" s="154">
        <f>'R3'!B31</f>
        <v>2.3125331401114099E-2</v>
      </c>
      <c r="C41" s="154">
        <f>'R3'!C31</f>
        <v>2.0256975021312781E-2</v>
      </c>
      <c r="D41" s="154">
        <f>'R3'!D31</f>
        <v>2.242102211181635E-2</v>
      </c>
      <c r="E41" s="154">
        <f>'R3'!E31</f>
        <v>0.30576941158541593</v>
      </c>
      <c r="F41" s="154">
        <f>'R3'!F31</f>
        <v>0.94568355401108506</v>
      </c>
      <c r="G41" s="154">
        <f>'R3'!G31</f>
        <v>0.37796635673562606</v>
      </c>
      <c r="H41" s="154">
        <f>'R3'!H31</f>
        <v>2.3113925697641946</v>
      </c>
      <c r="I41" s="154">
        <f>'R3'!I31</f>
        <v>2.1046264556744781E-2</v>
      </c>
      <c r="J41" s="154">
        <f>'R3'!J31</f>
        <v>6.8846451487071289E-2</v>
      </c>
      <c r="K41" s="154">
        <f>'R3'!K31</f>
        <v>1.2091662271287355E-2</v>
      </c>
      <c r="L41" s="154">
        <f>'R3'!L31</f>
        <v>2.063032011294115E-2</v>
      </c>
      <c r="M41" s="154">
        <f>'R3'!M31</f>
        <v>1.1576756255507331E-2</v>
      </c>
      <c r="N41"/>
      <c r="O41" s="154">
        <f>'R3'!O31</f>
        <v>0.36720685266723496</v>
      </c>
      <c r="P41" s="154">
        <f>'R3'!P31</f>
        <v>1.0650430065582903</v>
      </c>
      <c r="Q41" s="154">
        <f>'R3'!Q31</f>
        <v>1.2318858816222113E-2</v>
      </c>
      <c r="R41" s="154">
        <f>'R3'!R31</f>
        <v>0.18341445997653233</v>
      </c>
      <c r="S41" s="154">
        <f>'R3'!S31</f>
        <v>1.1623399269266004</v>
      </c>
      <c r="T41" s="154">
        <f>'R3'!T31</f>
        <v>1.2663367423301066E-2</v>
      </c>
      <c r="U41" s="154">
        <f>'R3'!U31</f>
        <v>5.7794431867076737E-2</v>
      </c>
      <c r="V41" s="154">
        <f>'R3'!V31</f>
        <v>8.2173058055008824E-3</v>
      </c>
    </row>
    <row r="42" spans="1:22" s="1" customFormat="1" x14ac:dyDescent="0.25">
      <c r="A42" s="229"/>
      <c r="B42" s="154">
        <f>'R3'!B32</f>
        <v>9.6772839107446149E-2</v>
      </c>
      <c r="C42" s="154">
        <f>'R3'!C32</f>
        <v>0.15695305315455413</v>
      </c>
      <c r="D42" s="154">
        <f>'R3'!D32</f>
        <v>0.3899966322481378</v>
      </c>
      <c r="E42" s="154">
        <f>'R3'!E32</f>
        <v>0.11850877625299767</v>
      </c>
      <c r="F42" s="154">
        <f>'R3'!F32</f>
        <v>0.97093994531204397</v>
      </c>
      <c r="G42" s="154">
        <f>'R3'!G32</f>
        <v>0.79680580882144758</v>
      </c>
      <c r="H42" s="154">
        <f>'R3'!H32</f>
        <v>1.9938288175398529</v>
      </c>
      <c r="I42" s="154">
        <f>'R3'!I32</f>
        <v>4.6670976410357508E-2</v>
      </c>
      <c r="J42" s="154">
        <f>'R3'!J32</f>
        <v>9.9560147489006316E-3</v>
      </c>
      <c r="K42" s="154">
        <f>'R3'!K32</f>
        <v>2.5771515774955182E-2</v>
      </c>
      <c r="L42" s="154">
        <f>'R3'!L32</f>
        <v>0.15386754930776708</v>
      </c>
      <c r="M42" s="154">
        <f>'R3'!M32</f>
        <v>7.1764179423752669E-2</v>
      </c>
      <c r="N42"/>
      <c r="O42" s="154">
        <f>'R3'!O32</f>
        <v>0.14352879576393787</v>
      </c>
      <c r="P42" s="154">
        <f>'R3'!P32</f>
        <v>0.94461573024989165</v>
      </c>
      <c r="Q42" s="154">
        <f>'R3'!Q32</f>
        <v>1.6514567318161498E-2</v>
      </c>
      <c r="R42" s="154">
        <f>'R3'!R32</f>
        <v>7.1813987897065279E-2</v>
      </c>
      <c r="S42" s="154">
        <f>'R3'!S32</f>
        <v>1.3491282555954138</v>
      </c>
      <c r="T42" s="154">
        <f>'R3'!T32</f>
        <v>0.10548123898315215</v>
      </c>
      <c r="U42" s="154">
        <f>'R3'!U32</f>
        <v>2.1272805727030691E-2</v>
      </c>
      <c r="V42" s="154">
        <f>'R3'!V32</f>
        <v>1.0905871073300946E-2</v>
      </c>
    </row>
    <row r="43" spans="1:22" s="1" customFormat="1" x14ac:dyDescent="0.25">
      <c r="A43" s="229"/>
      <c r="B43" s="154">
        <f>'R3'!B33</f>
        <v>0.10022906654726614</v>
      </c>
      <c r="C43" s="154">
        <f>'R3'!C33</f>
        <v>0.14238997308245241</v>
      </c>
      <c r="D43" s="154">
        <f>'R3'!D33</f>
        <v>0.37040114870573115</v>
      </c>
      <c r="E43" s="154">
        <f>'R3'!E33</f>
        <v>0.49761373721189295</v>
      </c>
      <c r="F43" s="154">
        <f>'R3'!F33</f>
        <v>0.55312113001269847</v>
      </c>
      <c r="G43" s="154" t="str">
        <f>'R3'!G33</f>
        <v/>
      </c>
      <c r="H43" s="154">
        <f>'R3'!H33</f>
        <v>4.6368381196654687</v>
      </c>
      <c r="I43" s="154">
        <f>'R3'!I33</f>
        <v>1.5928662382089363E-2</v>
      </c>
      <c r="J43" s="154">
        <f>'R3'!J33</f>
        <v>0.22997205657263875</v>
      </c>
      <c r="K43" s="154">
        <f>'R3'!K33</f>
        <v>2.6314821358852051E-2</v>
      </c>
      <c r="L43" s="154">
        <f>'R3'!L33</f>
        <v>0.1607381694389888</v>
      </c>
      <c r="M43" s="154">
        <f>'R3'!M33</f>
        <v>5.1553954460724534E-3</v>
      </c>
      <c r="N43"/>
      <c r="O43" s="154">
        <f>'R3'!O33</f>
        <v>0.87293412803189419</v>
      </c>
      <c r="P43" s="154">
        <f>'R3'!P33</f>
        <v>0.46520808232484284</v>
      </c>
      <c r="Q43" s="154">
        <f>'R3'!Q33</f>
        <v>3.3137926828032141E-2</v>
      </c>
      <c r="R43" s="154">
        <f>'R3'!R33</f>
        <v>0.63224254524444423</v>
      </c>
      <c r="S43" s="154">
        <f>'R3'!S33</f>
        <v>0.30657268244669006</v>
      </c>
      <c r="T43" s="154">
        <f>'R3'!T33</f>
        <v>6.9035636302372735E-2</v>
      </c>
      <c r="U43" s="154">
        <f>'R3'!U33</f>
        <v>0.12448120542797013</v>
      </c>
      <c r="V43" s="154">
        <f>'R3'!V33</f>
        <v>5.5100842060302149E-2</v>
      </c>
    </row>
    <row r="44" spans="1:22" s="1" customFormat="1" x14ac:dyDescent="0.25">
      <c r="A44" s="229"/>
      <c r="B44" s="154">
        <f>'R3'!B34</f>
        <v>1.286467666960624E-2</v>
      </c>
      <c r="C44" s="154">
        <f>'R3'!C34</f>
        <v>7.618009380770574E-2</v>
      </c>
      <c r="D44" s="154">
        <f>'R3'!D34</f>
        <v>0.1376083596444409</v>
      </c>
      <c r="E44" s="154">
        <f>'R3'!E34</f>
        <v>0.37767799189013196</v>
      </c>
      <c r="F44" s="154">
        <f>'R3'!F34</f>
        <v>1.0466805011885874</v>
      </c>
      <c r="G44" s="154">
        <f>'R3'!G34</f>
        <v>1.9995985174901143</v>
      </c>
      <c r="H44" s="154">
        <f>'R3'!H34</f>
        <v>4.0971886524763201</v>
      </c>
      <c r="I44" s="154">
        <f>'R3'!I34</f>
        <v>4.422817663587629E-2</v>
      </c>
      <c r="J44" s="154">
        <f>'R3'!J34</f>
        <v>2.5237385436142217E-2</v>
      </c>
      <c r="K44" s="154">
        <f>'R3'!K34</f>
        <v>0.25763847891563629</v>
      </c>
      <c r="L44" s="154">
        <f>'R3'!L34</f>
        <v>7.585415414901088E-2</v>
      </c>
      <c r="M44" s="154">
        <f>'R3'!M34</f>
        <v>0.10674764126294715</v>
      </c>
      <c r="N44"/>
      <c r="O44" s="154">
        <f>'R3'!O34</f>
        <v>1.568090673442017</v>
      </c>
      <c r="P44" s="154">
        <f>'R3'!P34</f>
        <v>0.79560079330042821</v>
      </c>
      <c r="Q44" s="154">
        <f>'R3'!Q34</f>
        <v>0.12161306750638509</v>
      </c>
      <c r="R44" s="154">
        <f>'R3'!R34</f>
        <v>0.32043189014592655</v>
      </c>
      <c r="S44" s="154">
        <f>'R3'!S34</f>
        <v>6.665902936742539E-2</v>
      </c>
      <c r="T44" s="154">
        <f>'R3'!T34</f>
        <v>0.14353360184469613</v>
      </c>
      <c r="U44" s="154">
        <f>'R3'!U34</f>
        <v>2.9282357768846041E-2</v>
      </c>
      <c r="V44" s="154">
        <f>'R3'!V34</f>
        <v>5.2152311515124818E-2</v>
      </c>
    </row>
    <row r="45" spans="1:22" s="1" customFormat="1" x14ac:dyDescent="0.25">
      <c r="A45" s="229"/>
      <c r="B45" s="154">
        <f>'R3'!B35</f>
        <v>5.1079900131389508E-2</v>
      </c>
      <c r="C45" s="154">
        <f>'R3'!C35</f>
        <v>0.15888597145222982</v>
      </c>
      <c r="D45" s="154">
        <f>'R3'!D35</f>
        <v>0.13678105837937557</v>
      </c>
      <c r="E45" s="154">
        <f>'R3'!E35</f>
        <v>0.4606154352439164</v>
      </c>
      <c r="F45" s="154" t="str">
        <f>'R3'!F35</f>
        <v/>
      </c>
      <c r="G45" s="154">
        <f>'R3'!G35</f>
        <v>2.1229173067492404</v>
      </c>
      <c r="H45" s="154">
        <f>'R3'!H35</f>
        <v>2.5301092221174786</v>
      </c>
      <c r="I45" s="154">
        <f>'R3'!I35</f>
        <v>6.1116089045666157E-2</v>
      </c>
      <c r="J45" s="154">
        <f>'R3'!J35</f>
        <v>9.5874757380304994E-3</v>
      </c>
      <c r="K45" s="154">
        <f>'R3'!K35</f>
        <v>5.5420118743400373E-2</v>
      </c>
      <c r="L45" s="154">
        <f>'R3'!L35</f>
        <v>1.2143873784979093E-2</v>
      </c>
      <c r="M45" s="154">
        <f>'R3'!M35</f>
        <v>9.6890588086022897E-2</v>
      </c>
      <c r="N45"/>
      <c r="O45" s="154">
        <f>'R3'!O35</f>
        <v>0.72131538760254854</v>
      </c>
      <c r="P45" s="154">
        <f>'R3'!P35</f>
        <v>0.70751778512030394</v>
      </c>
      <c r="Q45" s="154">
        <f>'R3'!Q35</f>
        <v>3.0723308163451486E-2</v>
      </c>
      <c r="R45" s="154">
        <f>'R3'!R35</f>
        <v>0.48276709837505533</v>
      </c>
      <c r="S45" s="154">
        <f>'R3'!S35</f>
        <v>0.12480277592233932</v>
      </c>
      <c r="T45" s="154">
        <f>'R3'!T35</f>
        <v>0.83921466543211554</v>
      </c>
      <c r="U45" s="154">
        <f>'R3'!U35</f>
        <v>7.7380303247966853E-2</v>
      </c>
      <c r="V45" s="154">
        <f>'R3'!V35</f>
        <v>8.0943138297333156E-3</v>
      </c>
    </row>
    <row r="46" spans="1:22" s="1" customFormat="1" x14ac:dyDescent="0.25">
      <c r="A46" s="229"/>
      <c r="B46" s="154" t="str">
        <f>'R3'!B36</f>
        <v/>
      </c>
      <c r="C46" s="154" t="str">
        <f>'R3'!C36</f>
        <v/>
      </c>
      <c r="D46" s="154" t="str">
        <f>'R3'!D36</f>
        <v/>
      </c>
      <c r="E46" s="154" t="str">
        <f>'R3'!E36</f>
        <v/>
      </c>
      <c r="F46" s="154" t="str">
        <f>'R3'!F36</f>
        <v/>
      </c>
      <c r="G46" s="154" t="str">
        <f>'R3'!G36</f>
        <v/>
      </c>
      <c r="H46" s="154" t="str">
        <f>'R3'!H36</f>
        <v/>
      </c>
      <c r="I46" s="154" t="str">
        <f>'R3'!I36</f>
        <v/>
      </c>
      <c r="J46" s="154" t="str">
        <f>'R3'!J36</f>
        <v/>
      </c>
      <c r="K46" s="154" t="str">
        <f>'R3'!K36</f>
        <v/>
      </c>
      <c r="L46" s="154" t="str">
        <f>'R3'!L36</f>
        <v/>
      </c>
      <c r="M46" s="154" t="str">
        <f>'R3'!M36</f>
        <v/>
      </c>
      <c r="N46"/>
      <c r="O46" s="154">
        <f>'R3'!O36</f>
        <v>1.6643151824265918</v>
      </c>
      <c r="P46" s="154" t="str">
        <f>'R3'!P36</f>
        <v/>
      </c>
      <c r="Q46" s="154" t="str">
        <f>'R3'!Q36</f>
        <v/>
      </c>
      <c r="R46" s="154" t="str">
        <f>'R3'!R36</f>
        <v/>
      </c>
      <c r="S46" s="154" t="str">
        <f>'R3'!S36</f>
        <v/>
      </c>
      <c r="T46" s="154" t="str">
        <f>'R3'!T36</f>
        <v/>
      </c>
      <c r="U46" s="154" t="str">
        <f>'R3'!U36</f>
        <v/>
      </c>
      <c r="V46" s="154" t="str">
        <f>'R3'!V36</f>
        <v/>
      </c>
    </row>
    <row r="47" spans="1:22" s="1" customFormat="1" x14ac:dyDescent="0.25">
      <c r="A47" s="229"/>
      <c r="B47" s="154" t="str">
        <f>'R3'!B37</f>
        <v/>
      </c>
      <c r="C47" s="154" t="str">
        <f>'R3'!C37</f>
        <v/>
      </c>
      <c r="D47" s="154" t="str">
        <f>'R3'!D37</f>
        <v/>
      </c>
      <c r="E47" s="154" t="str">
        <f>'R3'!E37</f>
        <v/>
      </c>
      <c r="F47" s="154" t="str">
        <f>'R3'!F37</f>
        <v/>
      </c>
      <c r="G47" s="154" t="str">
        <f>'R3'!G37</f>
        <v/>
      </c>
      <c r="H47" s="154" t="str">
        <f>'R3'!H37</f>
        <v/>
      </c>
      <c r="I47" s="154" t="str">
        <f>'R3'!I37</f>
        <v/>
      </c>
      <c r="J47" s="154" t="str">
        <f>'R3'!J37</f>
        <v/>
      </c>
      <c r="K47" s="154" t="str">
        <f>'R3'!K37</f>
        <v/>
      </c>
      <c r="L47" s="154" t="str">
        <f>'R3'!L37</f>
        <v/>
      </c>
      <c r="M47" s="154" t="str">
        <f>'R3'!M37</f>
        <v/>
      </c>
      <c r="N47"/>
      <c r="O47" s="154">
        <f>'R3'!O37</f>
        <v>3.5929877446688332</v>
      </c>
      <c r="P47" s="154" t="str">
        <f>'R3'!P37</f>
        <v/>
      </c>
      <c r="Q47" s="154" t="str">
        <f>'R3'!Q37</f>
        <v/>
      </c>
      <c r="R47" s="154" t="str">
        <f>'R3'!R37</f>
        <v/>
      </c>
      <c r="S47" s="154" t="str">
        <f>'R3'!S37</f>
        <v/>
      </c>
      <c r="T47" s="154" t="str">
        <f>'R3'!T37</f>
        <v/>
      </c>
      <c r="U47" s="154" t="str">
        <f>'R3'!U37</f>
        <v/>
      </c>
      <c r="V47" s="154" t="str">
        <f>'R3'!V37</f>
        <v/>
      </c>
    </row>
    <row r="48" spans="1:22" s="1" customFormat="1" x14ac:dyDescent="0.25">
      <c r="A48" s="229"/>
      <c r="B48" s="154" t="str">
        <f>'R3'!B38</f>
        <v/>
      </c>
      <c r="C48" s="154" t="str">
        <f>'R3'!C38</f>
        <v/>
      </c>
      <c r="D48" s="154" t="str">
        <f>'R3'!D38</f>
        <v/>
      </c>
      <c r="E48" s="154" t="str">
        <f>'R3'!E38</f>
        <v/>
      </c>
      <c r="F48" s="154" t="str">
        <f>'R3'!F38</f>
        <v/>
      </c>
      <c r="G48" s="154" t="str">
        <f>'R3'!G38</f>
        <v/>
      </c>
      <c r="H48" s="154" t="str">
        <f>'R3'!H38</f>
        <v/>
      </c>
      <c r="I48" s="154" t="str">
        <f>'R3'!I38</f>
        <v/>
      </c>
      <c r="J48" s="154" t="str">
        <f>'R3'!J38</f>
        <v/>
      </c>
      <c r="K48" s="154" t="str">
        <f>'R3'!K38</f>
        <v/>
      </c>
      <c r="L48" s="154" t="str">
        <f>'R3'!L38</f>
        <v/>
      </c>
      <c r="M48" s="154" t="str">
        <f>'R3'!M38</f>
        <v/>
      </c>
      <c r="N48"/>
      <c r="O48" s="154" t="str">
        <f>'R3'!O38</f>
        <v/>
      </c>
      <c r="P48" s="154" t="str">
        <f>'R3'!P38</f>
        <v/>
      </c>
      <c r="Q48" s="154" t="str">
        <f>'R3'!Q38</f>
        <v/>
      </c>
      <c r="R48" s="154" t="str">
        <f>'R3'!R38</f>
        <v/>
      </c>
      <c r="S48" s="154" t="str">
        <f>'R3'!S38</f>
        <v/>
      </c>
      <c r="T48" s="154" t="str">
        <f>'R3'!T38</f>
        <v/>
      </c>
      <c r="U48" s="154" t="str">
        <f>'R3'!U38</f>
        <v/>
      </c>
      <c r="V48" s="154" t="str">
        <f>'R3'!V38</f>
        <v/>
      </c>
    </row>
    <row r="49" spans="1:24" s="1" customFormat="1" x14ac:dyDescent="0.25">
      <c r="A49" s="229"/>
      <c r="B49" s="154" t="str">
        <f>'R3'!B39</f>
        <v/>
      </c>
      <c r="C49" s="154" t="str">
        <f>'R3'!C39</f>
        <v/>
      </c>
      <c r="D49" s="154" t="str">
        <f>'R3'!D39</f>
        <v/>
      </c>
      <c r="E49" s="154" t="str">
        <f>'R3'!E39</f>
        <v/>
      </c>
      <c r="F49" s="154" t="str">
        <f>'R3'!F39</f>
        <v/>
      </c>
      <c r="G49" s="154" t="str">
        <f>'R3'!G39</f>
        <v/>
      </c>
      <c r="H49" s="154" t="str">
        <f>'R3'!H39</f>
        <v/>
      </c>
      <c r="I49" s="154" t="str">
        <f>'R3'!I39</f>
        <v/>
      </c>
      <c r="J49" s="154" t="str">
        <f>'R3'!J39</f>
        <v/>
      </c>
      <c r="K49" s="154" t="str">
        <f>'R3'!K39</f>
        <v/>
      </c>
      <c r="L49" s="154" t="str">
        <f>'R3'!L39</f>
        <v/>
      </c>
      <c r="M49" s="154" t="str">
        <f>'R3'!M39</f>
        <v/>
      </c>
      <c r="N49"/>
      <c r="O49" s="154">
        <f>'R3'!O39</f>
        <v>1.1467749974746231</v>
      </c>
      <c r="P49" s="154" t="str">
        <f>'R3'!P39</f>
        <v/>
      </c>
      <c r="Q49" s="154" t="str">
        <f>'R3'!Q39</f>
        <v/>
      </c>
      <c r="R49" s="154" t="str">
        <f>'R3'!R39</f>
        <v/>
      </c>
      <c r="S49" s="154" t="str">
        <f>'R3'!S39</f>
        <v/>
      </c>
      <c r="T49" s="154" t="str">
        <f>'R3'!T39</f>
        <v/>
      </c>
      <c r="U49" s="154" t="str">
        <f>'R3'!U39</f>
        <v/>
      </c>
      <c r="V49" s="154" t="str">
        <f>'R3'!V39</f>
        <v/>
      </c>
    </row>
    <row r="50" spans="1:24" s="1" customFormat="1" x14ac:dyDescent="0.25">
      <c r="A50" s="229"/>
      <c r="B50" s="154" t="str">
        <f>'R3'!B40</f>
        <v/>
      </c>
      <c r="C50" s="154" t="str">
        <f>'R3'!C40</f>
        <v/>
      </c>
      <c r="D50" s="154" t="str">
        <f>'R3'!D40</f>
        <v/>
      </c>
      <c r="E50" s="154" t="str">
        <f>'R3'!E40</f>
        <v/>
      </c>
      <c r="F50" s="154" t="str">
        <f>'R3'!F40</f>
        <v/>
      </c>
      <c r="G50" s="154" t="str">
        <f>'R3'!G40</f>
        <v/>
      </c>
      <c r="H50" s="154" t="str">
        <f>'R3'!H40</f>
        <v/>
      </c>
      <c r="I50" s="154" t="str">
        <f>'R3'!I40</f>
        <v/>
      </c>
      <c r="J50" s="154" t="str">
        <f>'R3'!J40</f>
        <v/>
      </c>
      <c r="K50" s="154" t="str">
        <f>'R3'!K40</f>
        <v/>
      </c>
      <c r="L50" s="154" t="str">
        <f>'R3'!L40</f>
        <v/>
      </c>
      <c r="M50" s="154" t="str">
        <f>'R3'!M40</f>
        <v/>
      </c>
      <c r="N50"/>
      <c r="O50" s="154">
        <f>'R3'!O40</f>
        <v>1.6285734521186777</v>
      </c>
      <c r="P50" s="154" t="str">
        <f>'R3'!P40</f>
        <v/>
      </c>
      <c r="Q50" s="154" t="str">
        <f>'R3'!Q40</f>
        <v/>
      </c>
      <c r="R50" s="154" t="str">
        <f>'R3'!R40</f>
        <v/>
      </c>
      <c r="S50" s="154" t="str">
        <f>'R3'!S40</f>
        <v/>
      </c>
      <c r="T50" s="154" t="str">
        <f>'R3'!T40</f>
        <v/>
      </c>
      <c r="U50" s="154" t="str">
        <f>'R3'!U40</f>
        <v/>
      </c>
      <c r="V50" s="154" t="str">
        <f>'R3'!V40</f>
        <v/>
      </c>
    </row>
    <row r="51" spans="1:24" s="1" customFormat="1" x14ac:dyDescent="0.25">
      <c r="A51" s="229"/>
      <c r="B51" s="154" t="str">
        <f>'R3'!B41</f>
        <v/>
      </c>
      <c r="C51" s="154" t="str">
        <f>'R3'!C41</f>
        <v/>
      </c>
      <c r="D51" s="154" t="str">
        <f>'R3'!D41</f>
        <v/>
      </c>
      <c r="E51" s="154" t="str">
        <f>'R3'!E41</f>
        <v/>
      </c>
      <c r="F51" s="154" t="str">
        <f>'R3'!F41</f>
        <v/>
      </c>
      <c r="G51" s="154" t="str">
        <f>'R3'!G41</f>
        <v/>
      </c>
      <c r="H51" s="154" t="str">
        <f>'R3'!H41</f>
        <v/>
      </c>
      <c r="I51" s="154" t="str">
        <f>'R3'!I41</f>
        <v/>
      </c>
      <c r="J51" s="154" t="str">
        <f>'R3'!J41</f>
        <v/>
      </c>
      <c r="K51" s="154" t="str">
        <f>'R3'!K41</f>
        <v/>
      </c>
      <c r="L51" s="154" t="str">
        <f>'R3'!L41</f>
        <v/>
      </c>
      <c r="M51" s="154" t="str">
        <f>'R3'!M41</f>
        <v/>
      </c>
      <c r="N51"/>
      <c r="O51" s="154">
        <f>'R3'!O41</f>
        <v>1.1963189178873237</v>
      </c>
      <c r="P51" s="154" t="str">
        <f>'R3'!P41</f>
        <v/>
      </c>
      <c r="Q51" s="154" t="str">
        <f>'R3'!Q41</f>
        <v/>
      </c>
      <c r="R51" s="154" t="str">
        <f>'R3'!R41</f>
        <v/>
      </c>
      <c r="S51" s="154" t="str">
        <f>'R3'!S41</f>
        <v/>
      </c>
      <c r="T51" s="154" t="str">
        <f>'R3'!T41</f>
        <v/>
      </c>
      <c r="U51" s="154" t="str">
        <f>'R3'!U41</f>
        <v/>
      </c>
      <c r="V51" s="154" t="str">
        <f>'R3'!V41</f>
        <v/>
      </c>
    </row>
    <row r="52" spans="1:24" s="1" customFormat="1" x14ac:dyDescent="0.25">
      <c r="A52" s="229"/>
      <c r="B52" s="154" t="str">
        <f>'R3'!B42</f>
        <v/>
      </c>
      <c r="C52" s="154" t="str">
        <f>'R3'!C42</f>
        <v/>
      </c>
      <c r="D52" s="154" t="str">
        <f>'R3'!D42</f>
        <v/>
      </c>
      <c r="E52" s="154" t="str">
        <f>'R3'!E42</f>
        <v/>
      </c>
      <c r="F52" s="154" t="str">
        <f>'R3'!F42</f>
        <v/>
      </c>
      <c r="G52" s="154" t="str">
        <f>'R3'!G42</f>
        <v/>
      </c>
      <c r="H52" s="154" t="str">
        <f>'R3'!H42</f>
        <v/>
      </c>
      <c r="I52" s="154" t="str">
        <f>'R3'!I42</f>
        <v/>
      </c>
      <c r="J52" s="154" t="str">
        <f>'R3'!J42</f>
        <v/>
      </c>
      <c r="K52" s="154" t="str">
        <f>'R3'!K42</f>
        <v/>
      </c>
      <c r="L52" s="154" t="str">
        <f>'R3'!L42</f>
        <v/>
      </c>
      <c r="M52" s="154" t="str">
        <f>'R3'!M42</f>
        <v/>
      </c>
      <c r="N52"/>
      <c r="O52" s="154">
        <f>'R3'!O42</f>
        <v>0.8315740893176029</v>
      </c>
      <c r="P52" s="154" t="str">
        <f>'R3'!P42</f>
        <v/>
      </c>
      <c r="Q52" s="154" t="str">
        <f>'R3'!Q42</f>
        <v/>
      </c>
      <c r="R52" s="154" t="str">
        <f>'R3'!R42</f>
        <v/>
      </c>
      <c r="S52" s="154" t="str">
        <f>'R3'!S42</f>
        <v/>
      </c>
      <c r="T52" s="154" t="str">
        <f>'R3'!T42</f>
        <v/>
      </c>
      <c r="U52" s="154" t="str">
        <f>'R3'!U42</f>
        <v/>
      </c>
      <c r="V52" s="154" t="str">
        <f>'R3'!V42</f>
        <v/>
      </c>
    </row>
    <row r="53" spans="1:24" s="1" customFormat="1" x14ac:dyDescent="0.25">
      <c r="A53" s="230"/>
      <c r="B53" s="154" t="str">
        <f>'R3'!B43</f>
        <v/>
      </c>
      <c r="C53" s="154" t="str">
        <f>'R3'!C43</f>
        <v/>
      </c>
      <c r="D53" s="154" t="str">
        <f>'R3'!D43</f>
        <v/>
      </c>
      <c r="E53" s="154" t="str">
        <f>'R3'!E43</f>
        <v/>
      </c>
      <c r="F53" s="154" t="str">
        <f>'R3'!F43</f>
        <v/>
      </c>
      <c r="G53" s="154" t="str">
        <f>'R3'!G43</f>
        <v/>
      </c>
      <c r="H53" s="154" t="str">
        <f>'R3'!H43</f>
        <v/>
      </c>
      <c r="I53" s="154" t="str">
        <f>'R3'!I43</f>
        <v/>
      </c>
      <c r="J53" s="154" t="str">
        <f>'R3'!J43</f>
        <v/>
      </c>
      <c r="K53" s="154" t="str">
        <f>'R3'!K43</f>
        <v/>
      </c>
      <c r="L53" s="154" t="str">
        <f>'R3'!L43</f>
        <v/>
      </c>
      <c r="M53" s="154" t="str">
        <f>'R3'!M43</f>
        <v/>
      </c>
      <c r="N53"/>
      <c r="O53" s="154">
        <f>'R3'!O43</f>
        <v>0.25708075508946476</v>
      </c>
      <c r="P53" s="154" t="str">
        <f>'R3'!P43</f>
        <v/>
      </c>
      <c r="Q53" s="154" t="str">
        <f>'R3'!Q43</f>
        <v/>
      </c>
      <c r="R53" s="154" t="str">
        <f>'R3'!R43</f>
        <v/>
      </c>
      <c r="S53" s="154" t="str">
        <f>'R3'!S43</f>
        <v/>
      </c>
      <c r="T53" s="154" t="str">
        <f>'R3'!T43</f>
        <v/>
      </c>
      <c r="U53" s="154" t="str">
        <f>'R3'!U43</f>
        <v/>
      </c>
      <c r="V53" s="154" t="str">
        <f>'R3'!V43</f>
        <v/>
      </c>
    </row>
    <row r="54" spans="1:24" s="60" customFormat="1" x14ac:dyDescent="0.2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2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Fadrozole 0,016µg/L</v>
      </c>
      <c r="J55" s="15" t="str">
        <f t="shared" si="0"/>
        <v>Fadrozole 0,08µg/L</v>
      </c>
      <c r="K55" s="15" t="str">
        <f t="shared" si="0"/>
        <v>Fadrozole 0,4µg/L</v>
      </c>
      <c r="L55" s="15" t="str">
        <f t="shared" si="0"/>
        <v>Fadrozole 2µg/L</v>
      </c>
      <c r="M55" s="15" t="str">
        <f t="shared" si="0"/>
        <v>Fadrozole 10µg/L</v>
      </c>
      <c r="O55" s="15" t="str">
        <f t="shared" ref="O55:V55" si="1">O4</f>
        <v>Testo -30µg/L</v>
      </c>
      <c r="P55" s="15" t="str">
        <f t="shared" si="1"/>
        <v>Testo 30µg/L + EE2 -64ng/L</v>
      </c>
      <c r="Q55" s="15" t="str">
        <f t="shared" si="1"/>
        <v>Testo 30µg/L + FAD-10µg/L</v>
      </c>
      <c r="R55" s="15" t="str">
        <f t="shared" si="1"/>
        <v>Fadrozole-0,016 µg/L + Testostérone</v>
      </c>
      <c r="S55" s="15" t="str">
        <f t="shared" si="1"/>
        <v>Fadrozole-0,08µg/L + Testostérone</v>
      </c>
      <c r="T55" s="15" t="str">
        <f t="shared" si="1"/>
        <v>Fadrozole-0,4µg/L + Testostérone</v>
      </c>
      <c r="U55" s="15" t="str">
        <f t="shared" si="1"/>
        <v>Fadrozole-2µg/L + Testostérone</v>
      </c>
      <c r="V55" s="15" t="str">
        <f t="shared" si="1"/>
        <v>Fadrozole-10 µg/L + Testostérone</v>
      </c>
    </row>
    <row r="56" spans="1:24" x14ac:dyDescent="0.25">
      <c r="A56" t="s">
        <v>48</v>
      </c>
      <c r="B56" s="9">
        <f t="shared" ref="B56:V56" si="2">AVERAGE(B6:B53)</f>
        <v>8.907159649761319E-2</v>
      </c>
      <c r="C56" s="9">
        <f t="shared" si="2"/>
        <v>0.11484962257040959</v>
      </c>
      <c r="D56" s="9">
        <f t="shared" si="2"/>
        <v>0.13558337676372739</v>
      </c>
      <c r="E56" s="9">
        <f t="shared" si="2"/>
        <v>0.60384793834634198</v>
      </c>
      <c r="F56" s="9">
        <f t="shared" si="2"/>
        <v>1.0659566449900963</v>
      </c>
      <c r="G56" s="9">
        <f t="shared" si="2"/>
        <v>1.7008267573109381</v>
      </c>
      <c r="H56" s="9">
        <f t="shared" si="2"/>
        <v>3.2394646853039188</v>
      </c>
      <c r="I56" s="9">
        <f t="shared" si="2"/>
        <v>9.6651875135805074E-2</v>
      </c>
      <c r="J56" s="9">
        <f t="shared" si="2"/>
        <v>6.7743271337803376E-2</v>
      </c>
      <c r="K56" s="9">
        <f t="shared" si="2"/>
        <v>8.3597802463363569E-2</v>
      </c>
      <c r="L56" s="9">
        <f t="shared" si="2"/>
        <v>9.1676968984657173E-2</v>
      </c>
      <c r="M56" s="9">
        <f t="shared" si="2"/>
        <v>9.3652607154951772E-2</v>
      </c>
      <c r="N56" s="9"/>
      <c r="O56" s="9">
        <f t="shared" si="2"/>
        <v>1</v>
      </c>
      <c r="P56" s="9">
        <f t="shared" si="2"/>
        <v>1.6184482696749121</v>
      </c>
      <c r="Q56" s="9">
        <f t="shared" si="2"/>
        <v>9.0282833742067026E-2</v>
      </c>
      <c r="R56" s="9">
        <f t="shared" si="2"/>
        <v>0.75370850845562165</v>
      </c>
      <c r="S56" s="9">
        <f t="shared" si="2"/>
        <v>0.77066933673192339</v>
      </c>
      <c r="T56" s="9">
        <f t="shared" si="2"/>
        <v>0.2940893982738404</v>
      </c>
      <c r="U56" s="9">
        <f t="shared" si="2"/>
        <v>8.4316386219502951E-2</v>
      </c>
      <c r="V56" s="9">
        <f t="shared" si="2"/>
        <v>6.8605039947136306E-2</v>
      </c>
    </row>
    <row r="57" spans="1:24" x14ac:dyDescent="0.25">
      <c r="A57" t="s">
        <v>1</v>
      </c>
      <c r="B57" s="3">
        <f>STDEV(B6:B53)</f>
        <v>8.8189350659606952E-2</v>
      </c>
      <c r="C57" s="3">
        <f t="shared" ref="C57:V57" si="3">STDEV(C6:C53)</f>
        <v>7.7380315166552999E-2</v>
      </c>
      <c r="D57" s="3">
        <f t="shared" si="3"/>
        <v>0.11785281872731174</v>
      </c>
      <c r="E57" s="3">
        <f t="shared" si="3"/>
        <v>1.1579832394895122</v>
      </c>
      <c r="F57" s="3">
        <f t="shared" si="3"/>
        <v>0.64077657742304894</v>
      </c>
      <c r="G57" s="3">
        <f t="shared" si="3"/>
        <v>1.3899471673632944</v>
      </c>
      <c r="H57" s="3">
        <f t="shared" si="3"/>
        <v>1.2013790867182255</v>
      </c>
      <c r="I57" s="3">
        <f t="shared" si="3"/>
        <v>9.8408735220147467E-2</v>
      </c>
      <c r="J57" s="3">
        <f t="shared" si="3"/>
        <v>6.1401902547207649E-2</v>
      </c>
      <c r="K57" s="3">
        <f t="shared" si="3"/>
        <v>8.5704472705982526E-2</v>
      </c>
      <c r="L57" s="3">
        <f t="shared" si="3"/>
        <v>6.9559129400640574E-2</v>
      </c>
      <c r="M57" s="3">
        <f t="shared" si="3"/>
        <v>7.21989706157906E-2</v>
      </c>
      <c r="N57" s="3"/>
      <c r="O57" s="3">
        <f t="shared" si="3"/>
        <v>0.849625638389638</v>
      </c>
      <c r="P57" s="3">
        <f t="shared" si="3"/>
        <v>0.86211583366207456</v>
      </c>
      <c r="Q57" s="3">
        <f t="shared" si="3"/>
        <v>0.13211275630453997</v>
      </c>
      <c r="R57" s="3">
        <f t="shared" si="3"/>
        <v>0.63829658738338135</v>
      </c>
      <c r="S57" s="3">
        <f t="shared" si="3"/>
        <v>0.59363670209933772</v>
      </c>
      <c r="T57" s="3">
        <f t="shared" si="3"/>
        <v>0.36328206101053329</v>
      </c>
      <c r="U57" s="3">
        <f t="shared" si="3"/>
        <v>9.5483021296639561E-2</v>
      </c>
      <c r="V57" s="3">
        <f t="shared" si="3"/>
        <v>7.4260238442316759E-2</v>
      </c>
      <c r="W57" s="3"/>
      <c r="X57" s="3"/>
    </row>
    <row r="58" spans="1:24" x14ac:dyDescent="0.25">
      <c r="A58" t="s">
        <v>2</v>
      </c>
      <c r="B58" s="3">
        <f xml:space="preserve"> B57/SQRT(COUNT(B6:B53))</f>
        <v>1.8001575821951346E-2</v>
      </c>
      <c r="C58" s="3">
        <f t="shared" ref="C58:V58" si="4" xml:space="preserve"> C57/SQRT(COUNT(C6:C53))</f>
        <v>1.57951906911501E-2</v>
      </c>
      <c r="D58" s="3">
        <f t="shared" si="4"/>
        <v>2.4056605885886279E-2</v>
      </c>
      <c r="E58" s="3">
        <f t="shared" si="4"/>
        <v>0.23637233895369975</v>
      </c>
      <c r="F58" s="3">
        <f t="shared" si="4"/>
        <v>0.13361115258286485</v>
      </c>
      <c r="G58" s="3">
        <f t="shared" si="4"/>
        <v>0.28982401917304818</v>
      </c>
      <c r="H58" s="3">
        <f t="shared" si="4"/>
        <v>0.24523047917587631</v>
      </c>
      <c r="I58" s="3">
        <f t="shared" si="4"/>
        <v>2.0087598960168075E-2</v>
      </c>
      <c r="J58" s="3">
        <f t="shared" si="4"/>
        <v>1.2533610873063121E-2</v>
      </c>
      <c r="K58" s="3">
        <f t="shared" si="4"/>
        <v>1.7494352233662087E-2</v>
      </c>
      <c r="L58" s="3">
        <f t="shared" si="4"/>
        <v>1.4198697831983074E-2</v>
      </c>
      <c r="M58" s="3">
        <f t="shared" si="4"/>
        <v>1.4737553163573598E-2</v>
      </c>
      <c r="N58" s="3"/>
      <c r="O58" s="3">
        <f t="shared" si="4"/>
        <v>0.12393063652009778</v>
      </c>
      <c r="P58" s="3">
        <f t="shared" si="4"/>
        <v>0.17976357790537403</v>
      </c>
      <c r="Q58" s="3">
        <f t="shared" si="4"/>
        <v>2.6967403454898696E-2</v>
      </c>
      <c r="R58" s="3">
        <f t="shared" si="4"/>
        <v>0.1302917453040916</v>
      </c>
      <c r="S58" s="3">
        <f t="shared" si="4"/>
        <v>0.12117558439433009</v>
      </c>
      <c r="T58" s="3">
        <f t="shared" si="4"/>
        <v>7.4154640181869499E-2</v>
      </c>
      <c r="U58" s="3">
        <f t="shared" si="4"/>
        <v>1.9490390106338865E-2</v>
      </c>
      <c r="V58" s="3">
        <f t="shared" si="4"/>
        <v>1.515830769675733E-2</v>
      </c>
      <c r="W58" s="3"/>
      <c r="X58" s="3"/>
    </row>
    <row r="59" spans="1:24" s="1" customFormat="1" ht="15.75" thickBot="1" x14ac:dyDescent="0.3">
      <c r="B59" s="3"/>
      <c r="C59" s="3"/>
      <c r="D59" s="3"/>
      <c r="E59" s="3"/>
      <c r="F59" s="3"/>
      <c r="G59" s="3"/>
      <c r="H59" s="3"/>
      <c r="I59" s="3"/>
      <c r="J59" s="3"/>
      <c r="K59" s="3"/>
      <c r="L59" s="3"/>
      <c r="M59" s="3"/>
      <c r="N59" s="3"/>
      <c r="O59" s="3"/>
      <c r="P59" s="3"/>
      <c r="Q59" s="3"/>
      <c r="R59" s="3"/>
      <c r="S59" s="3"/>
      <c r="T59" s="3"/>
      <c r="U59" s="3"/>
      <c r="V59" s="3"/>
    </row>
    <row r="60" spans="1:24" s="48" customFormat="1" ht="27" thickBot="1" x14ac:dyDescent="0.3">
      <c r="A60" s="231" t="s">
        <v>46</v>
      </c>
      <c r="B60" s="232"/>
      <c r="C60" s="232"/>
      <c r="D60" s="232"/>
      <c r="E60" s="232"/>
      <c r="F60" s="232"/>
      <c r="G60" s="232"/>
      <c r="H60" s="232"/>
      <c r="I60" s="232"/>
      <c r="J60" s="232"/>
      <c r="K60" s="232"/>
      <c r="L60" s="232"/>
      <c r="M60" s="232"/>
      <c r="N60" s="232"/>
      <c r="O60" s="232"/>
      <c r="P60" s="232"/>
      <c r="Q60" s="232"/>
      <c r="R60" s="232"/>
      <c r="S60" s="232"/>
      <c r="T60" s="232"/>
      <c r="U60" s="232"/>
      <c r="V60" s="232"/>
    </row>
    <row r="61" spans="1:24" s="1" customFormat="1" x14ac:dyDescent="0.25">
      <c r="B61" s="3"/>
      <c r="C61" s="3"/>
      <c r="D61" s="3"/>
      <c r="E61" s="3"/>
      <c r="F61" s="3"/>
      <c r="G61" s="3"/>
      <c r="H61" s="3"/>
      <c r="I61" s="3"/>
      <c r="J61" s="3"/>
      <c r="K61" s="3"/>
      <c r="L61" s="3"/>
      <c r="M61" s="3"/>
      <c r="N61" s="3"/>
      <c r="O61" s="3"/>
      <c r="P61" s="3"/>
      <c r="Q61" s="3"/>
      <c r="R61" s="3"/>
      <c r="S61" s="3"/>
      <c r="T61" s="3"/>
      <c r="U61" s="3"/>
      <c r="V61" s="3"/>
    </row>
    <row r="62" spans="1:24" s="1" customFormat="1" x14ac:dyDescent="0.2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Fadrozole 0,016µg/L</v>
      </c>
      <c r="J62" s="3" t="str">
        <f t="shared" si="6"/>
        <v>Fadrozole 0,08µg/L</v>
      </c>
      <c r="K62" s="3" t="str">
        <f t="shared" si="6"/>
        <v>Fadrozole 0,4µg/L</v>
      </c>
      <c r="L62" s="3" t="str">
        <f t="shared" si="6"/>
        <v>Fadrozole 2µg/L</v>
      </c>
      <c r="M62" s="3" t="str">
        <f t="shared" si="6"/>
        <v>Fadrozole 10µg/L</v>
      </c>
      <c r="N62" s="3"/>
      <c r="O62" s="3" t="str">
        <f t="shared" si="6"/>
        <v>Testo -30µg/L</v>
      </c>
      <c r="P62" s="3" t="str">
        <f t="shared" si="6"/>
        <v>Testo 30µg/L + EE2 -64ng/L</v>
      </c>
      <c r="Q62" s="3" t="str">
        <f t="shared" si="6"/>
        <v>Testo 30µg/L + FAD-10µg/L</v>
      </c>
      <c r="R62" s="3" t="str">
        <f t="shared" si="6"/>
        <v>Fadrozole-0,016 µg/L + Testostérone</v>
      </c>
      <c r="S62" s="3" t="str">
        <f t="shared" si="6"/>
        <v>Fadrozole-0,08µg/L + Testostérone</v>
      </c>
      <c r="T62" s="3" t="str">
        <f t="shared" si="6"/>
        <v>Fadrozole-0,4µg/L + Testostérone</v>
      </c>
      <c r="U62" s="3" t="str">
        <f t="shared" si="6"/>
        <v>Fadrozole-2µg/L + Testostérone</v>
      </c>
      <c r="V62" s="3" t="str">
        <f t="shared" si="6"/>
        <v>Fadrozole-10 µg/L + Testostérone</v>
      </c>
    </row>
    <row r="63" spans="1:24" s="1" customFormat="1" x14ac:dyDescent="0.25">
      <c r="A63" s="1" t="s">
        <v>49</v>
      </c>
      <c r="B63" s="3">
        <f>COUNT(B6:B53)</f>
        <v>24</v>
      </c>
      <c r="C63" s="3">
        <f t="shared" ref="C63:V63" si="7">COUNT(C6:C53)</f>
        <v>24</v>
      </c>
      <c r="D63" s="3">
        <f t="shared" si="7"/>
        <v>24</v>
      </c>
      <c r="E63" s="3">
        <f t="shared" si="7"/>
        <v>24</v>
      </c>
      <c r="F63" s="3">
        <f t="shared" si="7"/>
        <v>23</v>
      </c>
      <c r="G63" s="3">
        <f t="shared" si="7"/>
        <v>23</v>
      </c>
      <c r="H63" s="3">
        <f t="shared" si="7"/>
        <v>24</v>
      </c>
      <c r="I63" s="3">
        <f t="shared" si="7"/>
        <v>24</v>
      </c>
      <c r="J63" s="3">
        <f t="shared" si="7"/>
        <v>24</v>
      </c>
      <c r="K63" s="3">
        <f t="shared" si="7"/>
        <v>24</v>
      </c>
      <c r="L63" s="3">
        <f t="shared" si="7"/>
        <v>24</v>
      </c>
      <c r="M63" s="3">
        <f t="shared" si="7"/>
        <v>24</v>
      </c>
      <c r="N63" s="3"/>
      <c r="O63" s="3">
        <f t="shared" si="7"/>
        <v>47</v>
      </c>
      <c r="P63" s="3">
        <f t="shared" si="7"/>
        <v>23</v>
      </c>
      <c r="Q63" s="3">
        <f t="shared" si="7"/>
        <v>24</v>
      </c>
      <c r="R63" s="3">
        <f t="shared" si="7"/>
        <v>24</v>
      </c>
      <c r="S63" s="3">
        <f t="shared" si="7"/>
        <v>24</v>
      </c>
      <c r="T63" s="3">
        <f t="shared" si="7"/>
        <v>24</v>
      </c>
      <c r="U63" s="3">
        <f t="shared" si="7"/>
        <v>24</v>
      </c>
      <c r="V63" s="3">
        <f t="shared" si="7"/>
        <v>24</v>
      </c>
    </row>
    <row r="64" spans="1:24" s="1" customFormat="1" ht="15.75" thickBot="1" x14ac:dyDescent="0.3">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7" thickBot="1" x14ac:dyDescent="0.3">
      <c r="A65" s="231" t="s">
        <v>58</v>
      </c>
      <c r="B65" s="232"/>
      <c r="C65" s="232"/>
      <c r="D65" s="232"/>
      <c r="E65" s="232"/>
      <c r="F65" s="232"/>
      <c r="G65" s="232"/>
      <c r="H65" s="232"/>
      <c r="I65" s="232"/>
      <c r="J65" s="232"/>
      <c r="K65" s="232"/>
      <c r="L65" s="232"/>
      <c r="M65" s="232"/>
      <c r="N65" s="232"/>
      <c r="O65" s="232"/>
      <c r="P65" s="232"/>
      <c r="Q65" s="232"/>
      <c r="R65" s="232"/>
      <c r="S65" s="232"/>
      <c r="T65" s="232"/>
      <c r="U65" s="232"/>
      <c r="V65" s="232"/>
    </row>
    <row r="66" spans="1:22" s="1" customFormat="1" x14ac:dyDescent="0.25">
      <c r="B66" s="1" t="s">
        <v>61</v>
      </c>
      <c r="C66" s="3"/>
      <c r="D66" s="3"/>
      <c r="E66" s="3"/>
      <c r="F66" s="3"/>
      <c r="G66" s="3"/>
      <c r="H66" s="3"/>
      <c r="I66" s="3"/>
      <c r="J66" s="3"/>
      <c r="K66" s="3"/>
      <c r="L66" s="3"/>
      <c r="M66" s="3"/>
      <c r="N66" s="3"/>
      <c r="O66" s="3"/>
      <c r="P66" s="3"/>
      <c r="Q66" s="3"/>
      <c r="R66" s="3"/>
      <c r="S66" s="3"/>
      <c r="T66" s="3"/>
      <c r="U66" s="3"/>
      <c r="V66" s="3"/>
    </row>
    <row r="67" spans="1:22" s="1" customFormat="1" x14ac:dyDescent="0.2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2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75" thickBot="1" x14ac:dyDescent="0.3">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7" thickBot="1" x14ac:dyDescent="0.3">
      <c r="A70" s="231" t="s">
        <v>53</v>
      </c>
      <c r="B70" s="232"/>
      <c r="C70" s="232"/>
      <c r="D70" s="232"/>
      <c r="E70" s="232"/>
      <c r="F70" s="232"/>
      <c r="G70" s="232"/>
      <c r="H70" s="232"/>
      <c r="I70" s="232"/>
      <c r="J70" s="232"/>
      <c r="K70" s="232"/>
      <c r="L70" s="232"/>
      <c r="M70" s="232"/>
      <c r="N70" s="232"/>
      <c r="O70" s="232"/>
      <c r="P70" s="232"/>
      <c r="Q70" s="232"/>
      <c r="R70" s="232"/>
      <c r="S70" s="232"/>
      <c r="T70" s="232"/>
      <c r="U70" s="232"/>
      <c r="V70" s="232"/>
    </row>
    <row r="71" spans="1:22" ht="15.75" thickBot="1" x14ac:dyDescent="0.3"/>
    <row r="72" spans="1:22" s="48" customFormat="1" ht="27" thickBot="1" x14ac:dyDescent="0.3">
      <c r="A72" s="231" t="s">
        <v>54</v>
      </c>
      <c r="B72" s="232"/>
      <c r="C72" s="232"/>
      <c r="D72" s="232"/>
      <c r="E72" s="232"/>
      <c r="F72" s="232"/>
      <c r="G72" s="232"/>
      <c r="H72" s="232"/>
      <c r="I72" s="232"/>
      <c r="J72" s="232"/>
      <c r="K72" s="232"/>
      <c r="L72" s="232"/>
      <c r="M72" s="232"/>
      <c r="N72" s="232"/>
      <c r="O72" s="232"/>
      <c r="P72" s="232"/>
      <c r="Q72" s="232"/>
      <c r="R72" s="232"/>
      <c r="S72" s="232"/>
      <c r="T72" s="232"/>
      <c r="U72" s="232"/>
      <c r="V72" s="232"/>
    </row>
    <row r="73" spans="1:22" ht="15.75" thickBot="1" x14ac:dyDescent="0.3">
      <c r="J73" s="3">
        <v>1</v>
      </c>
      <c r="K73" s="3">
        <v>2</v>
      </c>
      <c r="L73" s="3">
        <v>3</v>
      </c>
      <c r="M73" s="3">
        <v>4</v>
      </c>
      <c r="R73" s="3">
        <v>1</v>
      </c>
      <c r="S73" s="3">
        <v>2</v>
      </c>
      <c r="T73" s="3">
        <v>3</v>
      </c>
      <c r="U73" s="3">
        <v>4</v>
      </c>
      <c r="V73" s="3">
        <v>5</v>
      </c>
    </row>
    <row r="74" spans="1:22" s="1" customFormat="1" x14ac:dyDescent="0.2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Fadrozole 0,016µg/L</v>
      </c>
      <c r="J74" s="46" t="str">
        <f t="shared" si="9"/>
        <v>Fadrozole 0,08µg/L</v>
      </c>
      <c r="K74" s="46" t="str">
        <f t="shared" si="9"/>
        <v>Fadrozole 0,4µg/L</v>
      </c>
      <c r="L74" s="46" t="str">
        <f t="shared" si="9"/>
        <v>Fadrozole 2µg/L</v>
      </c>
      <c r="M74" s="46" t="str">
        <f t="shared" si="9"/>
        <v>Fadrozole 10µg/L</v>
      </c>
      <c r="N74" s="46"/>
      <c r="O74" s="46" t="str">
        <f t="shared" ref="O74:V74" si="10">O4</f>
        <v>Testo -30µg/L</v>
      </c>
      <c r="P74" s="46" t="str">
        <f t="shared" si="10"/>
        <v>Testo 30µg/L + EE2 -64ng/L</v>
      </c>
      <c r="Q74" s="46" t="str">
        <f t="shared" si="10"/>
        <v>Testo 30µg/L + FAD-10µg/L</v>
      </c>
      <c r="R74" s="46" t="str">
        <f t="shared" si="10"/>
        <v>Fadrozole-0,016 µg/L + Testostérone</v>
      </c>
      <c r="S74" s="46" t="str">
        <f t="shared" si="10"/>
        <v>Fadrozole-0,08µg/L + Testostérone</v>
      </c>
      <c r="T74" s="46" t="str">
        <f t="shared" si="10"/>
        <v>Fadrozole-0,4µg/L + Testostérone</v>
      </c>
      <c r="U74" s="46" t="str">
        <f t="shared" si="10"/>
        <v>Fadrozole-2µg/L + Testostérone</v>
      </c>
      <c r="V74" s="46" t="str">
        <f t="shared" si="10"/>
        <v>Fadrozole-10 µg/L + Testostérone</v>
      </c>
    </row>
    <row r="75" spans="1:22" s="3" customFormat="1" x14ac:dyDescent="0.25">
      <c r="A75" s="61" t="s">
        <v>32</v>
      </c>
      <c r="B75" s="141">
        <f>B56</f>
        <v>8.907159649761319E-2</v>
      </c>
      <c r="C75" s="141">
        <f t="shared" ref="C75:V75" si="11">C56</f>
        <v>0.11484962257040959</v>
      </c>
      <c r="D75" s="141">
        <f t="shared" si="11"/>
        <v>0.13558337676372739</v>
      </c>
      <c r="E75" s="141">
        <f t="shared" si="11"/>
        <v>0.60384793834634198</v>
      </c>
      <c r="F75" s="141">
        <f t="shared" si="11"/>
        <v>1.0659566449900963</v>
      </c>
      <c r="G75" s="141">
        <f t="shared" si="11"/>
        <v>1.7008267573109381</v>
      </c>
      <c r="H75" s="141">
        <f t="shared" si="11"/>
        <v>3.2394646853039188</v>
      </c>
      <c r="I75" s="141">
        <f t="shared" si="11"/>
        <v>9.6651875135805074E-2</v>
      </c>
      <c r="J75" s="141">
        <f t="shared" si="11"/>
        <v>6.7743271337803376E-2</v>
      </c>
      <c r="K75" s="141">
        <f t="shared" si="11"/>
        <v>8.3597802463363569E-2</v>
      </c>
      <c r="L75" s="141">
        <f t="shared" si="11"/>
        <v>9.1676968984657173E-2</v>
      </c>
      <c r="M75" s="141">
        <f t="shared" si="11"/>
        <v>9.3652607154951772E-2</v>
      </c>
      <c r="N75" s="141"/>
      <c r="O75" s="141">
        <f t="shared" si="11"/>
        <v>1</v>
      </c>
      <c r="P75" s="141">
        <f t="shared" si="11"/>
        <v>1.6184482696749121</v>
      </c>
      <c r="Q75" s="141">
        <f t="shared" si="11"/>
        <v>9.0282833742067026E-2</v>
      </c>
      <c r="R75" s="141">
        <f t="shared" si="11"/>
        <v>0.75370850845562165</v>
      </c>
      <c r="S75" s="141">
        <f t="shared" si="11"/>
        <v>0.77066933673192339</v>
      </c>
      <c r="T75" s="141">
        <f t="shared" si="11"/>
        <v>0.2940893982738404</v>
      </c>
      <c r="U75" s="141">
        <f t="shared" si="11"/>
        <v>8.4316386219502951E-2</v>
      </c>
      <c r="V75" s="141">
        <f t="shared" si="11"/>
        <v>6.8605039947136306E-2</v>
      </c>
    </row>
    <row r="76" spans="1:22" s="3" customFormat="1" x14ac:dyDescent="0.25">
      <c r="A76" s="61" t="s">
        <v>2</v>
      </c>
      <c r="B76" s="141">
        <f>B58</f>
        <v>1.8001575821951346E-2</v>
      </c>
      <c r="C76" s="141">
        <f t="shared" ref="C76:V76" si="12">C58</f>
        <v>1.57951906911501E-2</v>
      </c>
      <c r="D76" s="141">
        <f t="shared" si="12"/>
        <v>2.4056605885886279E-2</v>
      </c>
      <c r="E76" s="141">
        <f t="shared" si="12"/>
        <v>0.23637233895369975</v>
      </c>
      <c r="F76" s="141">
        <f t="shared" si="12"/>
        <v>0.13361115258286485</v>
      </c>
      <c r="G76" s="141">
        <f t="shared" si="12"/>
        <v>0.28982401917304818</v>
      </c>
      <c r="H76" s="141">
        <f t="shared" si="12"/>
        <v>0.24523047917587631</v>
      </c>
      <c r="I76" s="141">
        <f t="shared" si="12"/>
        <v>2.0087598960168075E-2</v>
      </c>
      <c r="J76" s="141">
        <f t="shared" si="12"/>
        <v>1.2533610873063121E-2</v>
      </c>
      <c r="K76" s="141">
        <f t="shared" si="12"/>
        <v>1.7494352233662087E-2</v>
      </c>
      <c r="L76" s="141">
        <f t="shared" si="12"/>
        <v>1.4198697831983074E-2</v>
      </c>
      <c r="M76" s="141">
        <f t="shared" si="12"/>
        <v>1.4737553163573598E-2</v>
      </c>
      <c r="N76" s="141"/>
      <c r="O76" s="141">
        <f t="shared" si="12"/>
        <v>0.12393063652009778</v>
      </c>
      <c r="P76" s="141">
        <f t="shared" si="12"/>
        <v>0.17976357790537403</v>
      </c>
      <c r="Q76" s="141">
        <f t="shared" si="12"/>
        <v>2.6967403454898696E-2</v>
      </c>
      <c r="R76" s="141">
        <f t="shared" si="12"/>
        <v>0.1302917453040916</v>
      </c>
      <c r="S76" s="141">
        <f t="shared" si="12"/>
        <v>0.12117558439433009</v>
      </c>
      <c r="T76" s="141">
        <f t="shared" si="12"/>
        <v>7.4154640181869499E-2</v>
      </c>
      <c r="U76" s="141">
        <f t="shared" si="12"/>
        <v>1.9490390106338865E-2</v>
      </c>
      <c r="V76" s="141">
        <f t="shared" si="12"/>
        <v>1.515830769675733E-2</v>
      </c>
    </row>
    <row r="77" spans="1:22" s="3" customFormat="1" x14ac:dyDescent="0.25">
      <c r="A77" s="61" t="s">
        <v>79</v>
      </c>
      <c r="B77" s="141">
        <f>(B75*100/$B$75)-100</f>
        <v>0</v>
      </c>
      <c r="C77" s="141">
        <f t="shared" ref="C77:M77" si="13">(C75*100/$B$75)-100</f>
        <v>28.940792672877677</v>
      </c>
      <c r="D77" s="141">
        <f t="shared" si="13"/>
        <v>52.218419894787161</v>
      </c>
      <c r="E77" s="141">
        <f t="shared" si="13"/>
        <v>577.93546101143806</v>
      </c>
      <c r="F77" s="141">
        <f t="shared" si="13"/>
        <v>1096.7413708798408</v>
      </c>
      <c r="G77" s="141">
        <f t="shared" si="13"/>
        <v>1809.5051892962472</v>
      </c>
      <c r="H77" s="141">
        <f t="shared" si="13"/>
        <v>3536.9222206438449</v>
      </c>
      <c r="I77" s="141">
        <f t="shared" si="13"/>
        <v>8.5103208388041054</v>
      </c>
      <c r="J77" s="141">
        <f t="shared" si="13"/>
        <v>-23.945147497587897</v>
      </c>
      <c r="K77" s="141">
        <f t="shared" si="13"/>
        <v>-6.1453866883325787</v>
      </c>
      <c r="L77" s="141">
        <f t="shared" si="13"/>
        <v>2.9250317603926561</v>
      </c>
      <c r="M77" s="141">
        <f t="shared" si="13"/>
        <v>5.1430656207687235</v>
      </c>
      <c r="N77" s="141"/>
      <c r="O77" s="141">
        <f>(O75*100/$O$75)-100</f>
        <v>0</v>
      </c>
      <c r="P77" s="141">
        <f t="shared" ref="P77:V77" si="14">(P75*100/$O$75)-100</f>
        <v>61.844826967491201</v>
      </c>
      <c r="Q77" s="141">
        <f t="shared" si="14"/>
        <v>-90.971716625793292</v>
      </c>
      <c r="R77" s="141">
        <f t="shared" si="14"/>
        <v>-24.62914915443784</v>
      </c>
      <c r="S77" s="141">
        <f t="shared" si="14"/>
        <v>-22.933066326807662</v>
      </c>
      <c r="T77" s="141">
        <f t="shared" si="14"/>
        <v>-70.591060172615954</v>
      </c>
      <c r="U77" s="141">
        <f t="shared" si="14"/>
        <v>-91.568361378049701</v>
      </c>
      <c r="V77" s="141">
        <f t="shared" si="14"/>
        <v>-93.139496005286375</v>
      </c>
    </row>
    <row r="78" spans="1:22" s="3" customFormat="1" x14ac:dyDescent="0.25">
      <c r="A78" s="61" t="s">
        <v>81</v>
      </c>
      <c r="B78" s="141">
        <f>[1]!DPTEST(B6:B53)</f>
        <v>3.1214040592707493E-3</v>
      </c>
      <c r="C78" s="141">
        <f>[1]!DPTEST(C6:C53)</f>
        <v>0.53704206141989574</v>
      </c>
      <c r="D78" s="141">
        <f>[1]!DPTEST(D6:D53)</f>
        <v>7.9981739900440996E-2</v>
      </c>
      <c r="E78" s="141">
        <f>[1]!DPTEST(E6:E53)</f>
        <v>8.8945073528634566E-11</v>
      </c>
      <c r="F78" s="141">
        <f>[1]!DPTEST(F6:F53)</f>
        <v>0.59513116294531598</v>
      </c>
      <c r="G78" s="141">
        <f>[1]!DPTEST(G6:G53)</f>
        <v>3.9329780765484657E-7</v>
      </c>
      <c r="H78" s="141">
        <f>[1]!DPTEST(H6:H53)</f>
        <v>0.59936079808995213</v>
      </c>
      <c r="I78" s="141">
        <f>[1]!DPTEST(I6:I53)</f>
        <v>8.8465622629652074E-6</v>
      </c>
      <c r="J78" s="141">
        <f>[1]!DPTEST(J6:J53)</f>
        <v>1.793957510511146E-2</v>
      </c>
      <c r="K78" s="141">
        <f>[1]!DPTEST(K6:K53)</f>
        <v>0.11423937505998816</v>
      </c>
      <c r="L78" s="141">
        <f>[1]!DPTEST(L6:L53)</f>
        <v>1.7435031126150968E-2</v>
      </c>
      <c r="M78" s="141">
        <f>[1]!DPTEST(M6:M53)</f>
        <v>0.29412665605239563</v>
      </c>
      <c r="N78" s="141"/>
      <c r="O78" s="141">
        <f>[1]!DPTEST(O6:O53)</f>
        <v>2.5191934485208067E-3</v>
      </c>
      <c r="P78" s="141">
        <f>[1]!DPTEST(P6:P53)</f>
        <v>0.46592241096286591</v>
      </c>
      <c r="Q78" s="141">
        <f>[1]!DPTEST(Q6:Q53)</f>
        <v>3.1752245277516522E-10</v>
      </c>
      <c r="R78" s="141">
        <f>[1]!DPTEST(R6:R53)</f>
        <v>3.9433492992061336E-2</v>
      </c>
      <c r="S78" s="141">
        <f>[1]!DPTEST(S6:S53)</f>
        <v>0.39141051930485604</v>
      </c>
      <c r="T78" s="141">
        <f>[1]!DPTEST(T6:T53)</f>
        <v>6.4340276876251323E-3</v>
      </c>
      <c r="U78" s="141">
        <f>[1]!DPTEST(U6:U53)</f>
        <v>9.6108423974783364E-7</v>
      </c>
      <c r="V78" s="141">
        <f>[1]!DPTEST(V6:V53)</f>
        <v>3.7232189245461345E-2</v>
      </c>
    </row>
    <row r="79" spans="1:22" s="3" customFormat="1" x14ac:dyDescent="0.25">
      <c r="A79" s="61" t="s">
        <v>85</v>
      </c>
      <c r="B79" s="141" t="str">
        <f>IF(B78&gt;0.05,"Oui","Non")</f>
        <v>Non</v>
      </c>
      <c r="C79" s="141" t="str">
        <f t="shared" ref="C79:V79" si="15">IF(C78&gt;0.05,"Oui","Non")</f>
        <v>Oui</v>
      </c>
      <c r="D79" s="141" t="str">
        <f t="shared" si="15"/>
        <v>Oui</v>
      </c>
      <c r="E79" s="141" t="str">
        <f t="shared" si="15"/>
        <v>Non</v>
      </c>
      <c r="F79" s="141" t="str">
        <f t="shared" si="15"/>
        <v>Oui</v>
      </c>
      <c r="G79" s="141" t="str">
        <f t="shared" si="15"/>
        <v>Non</v>
      </c>
      <c r="H79" s="141" t="str">
        <f t="shared" si="15"/>
        <v>Oui</v>
      </c>
      <c r="I79" s="141" t="str">
        <f t="shared" si="15"/>
        <v>Non</v>
      </c>
      <c r="J79" s="141" t="str">
        <f t="shared" si="15"/>
        <v>Non</v>
      </c>
      <c r="K79" s="141" t="str">
        <f t="shared" si="15"/>
        <v>Oui</v>
      </c>
      <c r="L79" s="141" t="str">
        <f t="shared" si="15"/>
        <v>Non</v>
      </c>
      <c r="M79" s="141" t="str">
        <f t="shared" si="15"/>
        <v>Oui</v>
      </c>
      <c r="N79" s="141"/>
      <c r="O79" s="141" t="str">
        <f t="shared" si="15"/>
        <v>Non</v>
      </c>
      <c r="P79" s="141" t="str">
        <f t="shared" si="15"/>
        <v>Oui</v>
      </c>
      <c r="Q79" s="141" t="str">
        <f t="shared" si="15"/>
        <v>Non</v>
      </c>
      <c r="R79" s="141" t="str">
        <f t="shared" si="15"/>
        <v>Non</v>
      </c>
      <c r="S79" s="141" t="str">
        <f t="shared" si="15"/>
        <v>Oui</v>
      </c>
      <c r="T79" s="141" t="str">
        <f t="shared" si="15"/>
        <v>Non</v>
      </c>
      <c r="U79" s="141" t="str">
        <f t="shared" si="15"/>
        <v>Non</v>
      </c>
      <c r="V79" s="141" t="str">
        <f t="shared" si="15"/>
        <v>Non</v>
      </c>
    </row>
    <row r="80" spans="1:22" s="3" customFormat="1" x14ac:dyDescent="0.25">
      <c r="A80" s="61" t="s">
        <v>122</v>
      </c>
      <c r="B80" s="141" t="str">
        <f>IF(COUNTIF(B79:I79, "Non")=0, "Oui","Non")</f>
        <v>Non</v>
      </c>
      <c r="C80" s="141"/>
      <c r="D80" s="141"/>
      <c r="E80" s="141"/>
      <c r="F80" s="141"/>
      <c r="G80" s="141"/>
      <c r="H80" s="141"/>
      <c r="I80" s="141"/>
      <c r="J80" s="141" t="str">
        <f>IF(COUNTIF(J79:M79, "Non")&gt;0, "Oui","Non")</f>
        <v>Oui</v>
      </c>
      <c r="K80" s="141"/>
      <c r="L80" s="141"/>
      <c r="M80" s="141"/>
      <c r="N80" s="141"/>
      <c r="O80" s="141"/>
      <c r="P80" s="141"/>
      <c r="Q80" s="141"/>
      <c r="R80" s="141" t="str">
        <f>IF(COUNTIF(R79:V79, "Non")&gt;0, "Oui","Non")</f>
        <v>Oui</v>
      </c>
      <c r="S80" s="141"/>
      <c r="T80" s="141"/>
      <c r="U80" s="141"/>
      <c r="V80" s="141"/>
    </row>
    <row r="81" spans="1:22" s="3" customFormat="1" x14ac:dyDescent="0.25">
      <c r="A81" s="61" t="s">
        <v>82</v>
      </c>
      <c r="B81" s="141"/>
      <c r="C81" s="141" t="str">
        <f t="shared" ref="C81:I81" si="16">IF($B80="Non","Kruskal-Wallis","ANOVA")</f>
        <v>Kruskal-Wallis</v>
      </c>
      <c r="D81" s="141" t="str">
        <f t="shared" si="16"/>
        <v>Kruskal-Wallis</v>
      </c>
      <c r="E81" s="141" t="str">
        <f t="shared" si="16"/>
        <v>Kruskal-Wallis</v>
      </c>
      <c r="F81" s="141" t="str">
        <f t="shared" si="16"/>
        <v>Kruskal-Wallis</v>
      </c>
      <c r="G81" s="141" t="str">
        <f t="shared" si="16"/>
        <v>Kruskal-Wallis</v>
      </c>
      <c r="H81" s="141" t="s">
        <v>2924</v>
      </c>
      <c r="I81" s="141" t="str">
        <f t="shared" si="16"/>
        <v>Kruskal-Wallis</v>
      </c>
      <c r="J81" s="141" t="s">
        <v>2924</v>
      </c>
      <c r="K81" s="141" t="s">
        <v>2924</v>
      </c>
      <c r="L81" s="141" t="s">
        <v>2924</v>
      </c>
      <c r="M81" s="141" t="s">
        <v>2924</v>
      </c>
      <c r="N81" s="141"/>
      <c r="O81" s="141" t="str">
        <f>IF($B79="Non",IF(O79="Non","Mann Withney",IF(O79="Oui","Mann Withney","")),IF($B79="Oui",IF(O79="Oui","T-Test Welch",IF(O79="Non","Mann Withney",""))))</f>
        <v>Mann Withney</v>
      </c>
      <c r="P81" s="141" t="str">
        <f t="shared" ref="P81:Q81" si="17">IF($O79="Non",IF(P79="Non","Mann Withney",IF(P$79="Oui","Mann Withney","")),IF($O79="Oui",IF(P79="Oui","T-Test Welch",IF(P79="Non","Mann Withney",""))))</f>
        <v>Mann Withney</v>
      </c>
      <c r="Q81" s="141" t="str">
        <f t="shared" si="17"/>
        <v>Mann Withney</v>
      </c>
      <c r="R81" s="141" t="s">
        <v>2924</v>
      </c>
      <c r="S81" s="141" t="s">
        <v>2924</v>
      </c>
      <c r="T81" s="141" t="s">
        <v>2924</v>
      </c>
      <c r="U81" s="141" t="s">
        <v>2924</v>
      </c>
      <c r="V81" s="141" t="s">
        <v>2924</v>
      </c>
    </row>
    <row r="82" spans="1:22" s="3" customFormat="1" ht="15.75" x14ac:dyDescent="0.25">
      <c r="A82" s="61" t="s">
        <v>83</v>
      </c>
      <c r="B82" s="141"/>
      <c r="C82" s="197">
        <v>0.99990000000000001</v>
      </c>
      <c r="D82" s="197">
        <v>0.99990000000000001</v>
      </c>
      <c r="E82" s="197">
        <v>1.29E-2</v>
      </c>
      <c r="F82" s="197">
        <v>1E-4</v>
      </c>
      <c r="G82" s="197">
        <v>1E-4</v>
      </c>
      <c r="H82" s="197">
        <v>1E-4</v>
      </c>
      <c r="I82" s="197">
        <v>0.99990000000000001</v>
      </c>
      <c r="J82" s="197">
        <v>0.99990000000000001</v>
      </c>
      <c r="K82" s="197">
        <v>0.99990000000000001</v>
      </c>
      <c r="L82" s="197">
        <v>0.99990000000000001</v>
      </c>
      <c r="M82" s="197">
        <v>0.99990000000000001</v>
      </c>
      <c r="N82" s="141"/>
      <c r="O82" s="197">
        <v>1E-4</v>
      </c>
      <c r="P82" s="197">
        <v>2.7000000000000001E-3</v>
      </c>
      <c r="Q82" s="197">
        <v>1E-4</v>
      </c>
      <c r="R82" s="197">
        <v>0.99990000000000001</v>
      </c>
      <c r="S82" s="197">
        <v>0.99990000000000001</v>
      </c>
      <c r="T82" s="197">
        <v>2.0000000000000001E-4</v>
      </c>
      <c r="U82" s="197">
        <v>1E-4</v>
      </c>
      <c r="V82" s="197">
        <v>1E-4</v>
      </c>
    </row>
    <row r="83" spans="1:22" s="3" customFormat="1" ht="15.75" thickBot="1" x14ac:dyDescent="0.3">
      <c r="A83" s="62" t="s">
        <v>84</v>
      </c>
      <c r="B83" s="142"/>
      <c r="C83" s="142" t="str">
        <f t="shared" ref="C83:O83" si="18">IF(C82&gt;0.05,"NS",IF(C82&gt;0.01,"*",IF(C82&gt;0.001,"**","***")))</f>
        <v>NS</v>
      </c>
      <c r="D83" s="142" t="str">
        <f t="shared" si="18"/>
        <v>NS</v>
      </c>
      <c r="E83" s="142" t="str">
        <f t="shared" si="18"/>
        <v>*</v>
      </c>
      <c r="F83" s="142" t="str">
        <f t="shared" si="18"/>
        <v>***</v>
      </c>
      <c r="G83" s="142" t="str">
        <f t="shared" si="18"/>
        <v>***</v>
      </c>
      <c r="H83" s="142" t="str">
        <f t="shared" si="18"/>
        <v>***</v>
      </c>
      <c r="I83" s="142" t="str">
        <f t="shared" si="18"/>
        <v>NS</v>
      </c>
      <c r="J83" s="142" t="str">
        <f t="shared" si="18"/>
        <v>NS</v>
      </c>
      <c r="K83" s="142" t="str">
        <f t="shared" si="18"/>
        <v>NS</v>
      </c>
      <c r="L83" s="142" t="str">
        <f t="shared" si="18"/>
        <v>NS</v>
      </c>
      <c r="M83" s="142" t="str">
        <f t="shared" si="18"/>
        <v>NS</v>
      </c>
      <c r="N83" s="142"/>
      <c r="O83" s="142" t="str">
        <f t="shared" si="18"/>
        <v>***</v>
      </c>
      <c r="P83" s="142" t="str">
        <f t="shared" ref="P83" si="19">IF(P82&gt;0.05,"NS",IF(P82&gt;0.01,"*",IF(P82&gt;0.001,"**","***")))</f>
        <v>**</v>
      </c>
      <c r="Q83" s="142" t="str">
        <f t="shared" ref="Q83:V83" si="20">IF(Q82&gt;0.05,"NS",IF(Q82&gt;0.01,"*",IF(Q82&gt;0.001,"**","***")))</f>
        <v>***</v>
      </c>
      <c r="R83" s="142" t="str">
        <f t="shared" si="20"/>
        <v>NS</v>
      </c>
      <c r="S83" s="142" t="str">
        <f t="shared" si="20"/>
        <v>NS</v>
      </c>
      <c r="T83" s="142" t="str">
        <f t="shared" si="20"/>
        <v>***</v>
      </c>
      <c r="U83" s="142" t="str">
        <f t="shared" si="20"/>
        <v>***</v>
      </c>
      <c r="V83" s="142" t="str">
        <f t="shared" si="20"/>
        <v>***</v>
      </c>
    </row>
    <row r="84" spans="1:22" s="1" customFormat="1" x14ac:dyDescent="0.25"/>
    <row r="85" spans="1:22" s="1" customFormat="1" x14ac:dyDescent="0.25">
      <c r="A85" s="2" t="s">
        <v>39</v>
      </c>
    </row>
    <row r="86" spans="1:22" x14ac:dyDescent="0.25">
      <c r="A86" s="1" t="s">
        <v>23</v>
      </c>
      <c r="B86" s="1">
        <f>B56+(3*B57)</f>
        <v>0.35363964847643403</v>
      </c>
    </row>
    <row r="87" spans="1:22" x14ac:dyDescent="0.25">
      <c r="A87" s="1" t="s">
        <v>24</v>
      </c>
      <c r="B87" s="1">
        <f>B56+(10*B57)</f>
        <v>0.97096510309368278</v>
      </c>
    </row>
    <row r="88" spans="1:22" ht="15.75" thickBot="1" x14ac:dyDescent="0.3"/>
    <row r="89" spans="1:22" s="48" customFormat="1" ht="27" thickBot="1" x14ac:dyDescent="0.3">
      <c r="A89" s="49" t="s">
        <v>55</v>
      </c>
      <c r="B89" s="50"/>
      <c r="C89" s="50"/>
      <c r="D89" s="50"/>
      <c r="E89" s="50"/>
      <c r="F89" s="50"/>
      <c r="G89" s="50"/>
      <c r="H89" s="50"/>
      <c r="I89" s="50"/>
      <c r="J89" s="50"/>
      <c r="K89" s="50"/>
      <c r="L89" s="50"/>
      <c r="M89" s="50"/>
      <c r="N89" s="50"/>
      <c r="O89" s="50"/>
      <c r="P89" s="50"/>
      <c r="Q89" s="50"/>
      <c r="R89" s="50"/>
      <c r="S89" s="50"/>
      <c r="T89" s="50"/>
      <c r="U89" s="50"/>
      <c r="V89" s="50"/>
    </row>
    <row r="90" spans="1:22" ht="15.75" thickBot="1" x14ac:dyDescent="0.3"/>
    <row r="91" spans="1:22" s="48" customFormat="1" ht="27" thickBot="1" x14ac:dyDescent="0.3">
      <c r="A91" s="49" t="s">
        <v>56</v>
      </c>
      <c r="B91" s="50"/>
      <c r="C91" s="50"/>
      <c r="D91" s="50"/>
      <c r="E91" s="50"/>
      <c r="F91" s="50"/>
      <c r="G91" s="50"/>
      <c r="H91" s="50"/>
      <c r="I91" s="50"/>
      <c r="J91" s="50"/>
      <c r="K91" s="50"/>
      <c r="L91" s="50"/>
      <c r="M91" s="50"/>
      <c r="N91" s="50"/>
      <c r="O91" s="50"/>
      <c r="P91" s="50"/>
      <c r="Q91" s="50"/>
      <c r="R91" s="50"/>
      <c r="S91" s="50"/>
      <c r="T91" s="50"/>
      <c r="U91" s="50"/>
      <c r="V91" s="50"/>
    </row>
    <row r="92" spans="1:22" ht="15.75" thickBot="1" x14ac:dyDescent="0.3"/>
    <row r="93" spans="1:22" s="48" customFormat="1" ht="27" thickBot="1" x14ac:dyDescent="0.3">
      <c r="A93" s="231" t="s">
        <v>57</v>
      </c>
      <c r="B93" s="232"/>
      <c r="C93" s="232"/>
      <c r="D93" s="232"/>
      <c r="E93" s="232"/>
      <c r="F93" s="232"/>
      <c r="G93" s="232"/>
      <c r="H93" s="232"/>
      <c r="I93" s="232"/>
      <c r="J93" s="232"/>
      <c r="K93" s="232"/>
      <c r="L93" s="232"/>
      <c r="M93" s="232"/>
      <c r="N93" s="232"/>
      <c r="O93" s="232"/>
      <c r="P93" s="232"/>
      <c r="Q93" s="232"/>
      <c r="R93" s="232"/>
      <c r="S93" s="232"/>
      <c r="T93" s="232"/>
      <c r="U93" s="232"/>
      <c r="V93" s="232"/>
    </row>
    <row r="97" spans="3:18" ht="15.75" x14ac:dyDescent="0.25">
      <c r="H97" s="197"/>
      <c r="R97" s="197"/>
    </row>
    <row r="98" spans="3:18" ht="15.75" x14ac:dyDescent="0.25">
      <c r="C98" s="197"/>
      <c r="H98" s="197"/>
      <c r="R98" s="197"/>
    </row>
    <row r="99" spans="3:18" ht="15.75" x14ac:dyDescent="0.25">
      <c r="C99" s="197"/>
      <c r="H99" s="197"/>
      <c r="R99" s="197"/>
    </row>
    <row r="100" spans="3:18" ht="15.75" x14ac:dyDescent="0.25">
      <c r="C100" s="197"/>
      <c r="H100" s="197"/>
      <c r="R100" s="197"/>
    </row>
    <row r="101" spans="3:18" ht="15.75" x14ac:dyDescent="0.25">
      <c r="C101" s="197"/>
      <c r="H101" s="197"/>
      <c r="R101" s="197"/>
    </row>
    <row r="102" spans="3:18" ht="15.75" x14ac:dyDescent="0.25">
      <c r="C102" s="197"/>
    </row>
    <row r="103" spans="3:18" ht="15.75" x14ac:dyDescent="0.25">
      <c r="C103" s="197"/>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40625" defaultRowHeight="15" x14ac:dyDescent="0.25"/>
  <cols>
    <col min="1" max="1" width="33.7109375" style="41" bestFit="1" customWidth="1"/>
    <col min="2" max="3" width="14" style="41" bestFit="1" customWidth="1"/>
    <col min="4" max="4" width="14" style="41" customWidth="1"/>
    <col min="5" max="5" width="16" style="15" bestFit="1" customWidth="1"/>
    <col min="6" max="8" width="16" style="15" customWidth="1"/>
    <col min="9" max="13" width="19.140625" style="15" customWidth="1"/>
    <col min="14" max="14" width="32.140625" style="15" bestFit="1" customWidth="1"/>
    <col min="15" max="15" width="19.5703125" style="41" customWidth="1"/>
    <col min="16" max="16384" width="9.140625" style="41"/>
  </cols>
  <sheetData>
    <row r="1" spans="1:15" s="48" customFormat="1" ht="27" thickBot="1" x14ac:dyDescent="0.3">
      <c r="A1" s="231" t="s">
        <v>104</v>
      </c>
      <c r="B1" s="232"/>
      <c r="C1" s="232"/>
      <c r="D1" s="232"/>
      <c r="E1" s="232"/>
      <c r="F1" s="232"/>
      <c r="G1" s="232"/>
      <c r="H1" s="232"/>
      <c r="I1" s="232"/>
      <c r="J1" s="232"/>
      <c r="K1" s="232"/>
      <c r="L1" s="232"/>
      <c r="M1" s="232"/>
      <c r="N1" s="232"/>
      <c r="O1" s="233"/>
    </row>
    <row r="2" spans="1:15" s="48" customFormat="1" ht="27" thickBot="1" x14ac:dyDescent="0.3">
      <c r="A2" s="231" t="s">
        <v>105</v>
      </c>
      <c r="B2" s="232"/>
      <c r="C2" s="232"/>
      <c r="D2" s="232"/>
      <c r="E2" s="232"/>
      <c r="F2" s="232"/>
      <c r="G2" s="232"/>
      <c r="H2" s="232"/>
      <c r="I2" s="232"/>
      <c r="J2" s="232"/>
      <c r="K2" s="232"/>
      <c r="L2" s="232"/>
      <c r="M2" s="232"/>
      <c r="N2" s="232"/>
      <c r="O2" s="233"/>
    </row>
    <row r="3" spans="1:15" s="76" customFormat="1" ht="15.75" x14ac:dyDescent="0.25">
      <c r="H3" s="77"/>
      <c r="I3" s="77"/>
      <c r="J3" s="77"/>
      <c r="K3" s="77"/>
      <c r="L3" s="77"/>
      <c r="M3" s="77"/>
      <c r="N3" s="77"/>
    </row>
    <row r="4" spans="1:15" s="76" customFormat="1" ht="15.75" x14ac:dyDescent="0.25">
      <c r="O4"/>
    </row>
    <row r="5" spans="1:15" s="76" customFormat="1" ht="45.75" customHeight="1" thickBot="1" x14ac:dyDescent="0.3">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75" x14ac:dyDescent="0.25">
      <c r="A6" s="79" t="s">
        <v>28</v>
      </c>
      <c r="B6" s="99">
        <v>64</v>
      </c>
      <c r="C6" s="79"/>
      <c r="D6" s="79"/>
      <c r="E6" s="89"/>
      <c r="F6" s="90"/>
      <c r="G6" s="128">
        <f>IF(F6="NS","NC",ROUND(B6,2-(1+INT(LOG10(ABS(B6))))))</f>
        <v>64</v>
      </c>
      <c r="H6" s="120"/>
      <c r="I6" s="120"/>
      <c r="J6" s="121"/>
      <c r="K6" s="122"/>
      <c r="L6" s="124"/>
      <c r="M6" s="121"/>
      <c r="N6" s="91"/>
      <c r="O6"/>
    </row>
    <row r="7" spans="1:15" s="76" customFormat="1" ht="15.75" x14ac:dyDescent="0.25">
      <c r="A7" s="79" t="str">
        <f>'Page de garde'!A15</f>
        <v>Fadrozole 0,016µg/L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Fadrozole-0,016µg/L : 0%</v>
      </c>
      <c r="O7"/>
    </row>
    <row r="8" spans="1:15" s="76" customFormat="1" ht="15.75" x14ac:dyDescent="0.25">
      <c r="A8" s="79" t="str">
        <f>'Page de garde'!A16</f>
        <v>Fadrozole 0,08µg/L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Fadrozole-0,08µg/L : 0%</v>
      </c>
      <c r="O8"/>
    </row>
    <row r="9" spans="1:15" s="76" customFormat="1" ht="15.75" x14ac:dyDescent="0.25">
      <c r="A9" s="79" t="str">
        <f>'Page de garde'!A17</f>
        <v>Fadrozole 0,4µg/L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Fadrozole-0,4µg/L : 0%</v>
      </c>
      <c r="O9"/>
    </row>
    <row r="10" spans="1:15" s="76" customFormat="1" ht="15.75" x14ac:dyDescent="0.25">
      <c r="A10" s="79" t="str">
        <f>'Page de garde'!A18</f>
        <v>Fadrozole 2µg/L</v>
      </c>
      <c r="B10" s="99"/>
      <c r="C10" s="79"/>
      <c r="D10" s="84"/>
      <c r="E10" s="81"/>
      <c r="F10" s="97" t="str">
        <f>HLOOKUP(A10,'pooled normalised values'!$B$74:$V$83,10,FALSE)</f>
        <v>NS</v>
      </c>
      <c r="G10" s="128" t="str">
        <f t="shared" si="0"/>
        <v>NC</v>
      </c>
      <c r="H10" s="119" t="str">
        <f>IF(VLOOKUP(A10,liste_groupe[],4,FALSE)="%",VLOOKUP(A10,liste_groupe[],3,FALSE)/100,IF(ISBLANK(VLOOKUP(A10,liste_groupe[],4,FALSE)),"Non","Non"))</f>
        <v>Non</v>
      </c>
      <c r="I10" s="128" t="str">
        <f t="shared" si="1"/>
        <v>NC</v>
      </c>
      <c r="J10" s="129">
        <v>64</v>
      </c>
      <c r="K10" s="130">
        <f t="shared" si="2"/>
        <v>0</v>
      </c>
      <c r="L10" s="125"/>
      <c r="M10" s="131">
        <f t="shared" si="3"/>
        <v>0</v>
      </c>
      <c r="N10" s="92" t="str">
        <f>IF(H10="Non",CONCATENATE(VLOOKUP(A10,liste_groupe[],5,FALSE),"-",VLOOKUP(A10,liste_groupe[],3,FALSE),VLOOKUP(A10,liste_groupe[],4,FALSE)," : ",ROUND(K10,0),"%"),CONCATENATE(VLOOKUP(A10,liste_groupe[],5,FALSE)," : ",ROUND(K10,0),"%"))</f>
        <v>Fadrozole-2µg/L : 0%</v>
      </c>
      <c r="O10"/>
    </row>
    <row r="11" spans="1:15" s="76" customFormat="1" ht="15.75" x14ac:dyDescent="0.25">
      <c r="A11" s="79" t="str">
        <f>'Page de garde'!A19</f>
        <v>Fadrozole 10µg/L</v>
      </c>
      <c r="B11" s="99"/>
      <c r="C11" s="79"/>
      <c r="D11" s="84"/>
      <c r="E11" s="81"/>
      <c r="F11" s="97" t="str">
        <f>HLOOKUP(A11,'pooled normalised values'!$B$74:$V$83,10,FALSE)</f>
        <v>NS</v>
      </c>
      <c r="G11" s="128" t="str">
        <f t="shared" si="0"/>
        <v>NC</v>
      </c>
      <c r="H11" s="119" t="str">
        <f>IF(VLOOKUP(A11,liste_groupe[],4,FALSE)="%",VLOOKUP(A11,liste_groupe[],3,FALSE)/100,IF(ISBLANK(VLOOKUP(A11,liste_groupe[],4,FALSE)),"Non","Non"))</f>
        <v>Non</v>
      </c>
      <c r="I11" s="128" t="str">
        <f t="shared" si="1"/>
        <v>NC</v>
      </c>
      <c r="J11" s="129">
        <v>64</v>
      </c>
      <c r="K11" s="130">
        <f t="shared" si="2"/>
        <v>0</v>
      </c>
      <c r="L11" s="125"/>
      <c r="M11" s="131">
        <f t="shared" si="3"/>
        <v>0</v>
      </c>
      <c r="N11" s="92" t="str">
        <f>IF(H11="Non",CONCATENATE(VLOOKUP(A11,liste_groupe[],5,FALSE),"-",VLOOKUP(A11,liste_groupe[],3,FALSE),VLOOKUP(A11,liste_groupe[],4,FALSE)," : ",ROUND(K11,0),"%"),CONCATENATE(VLOOKUP(A11,liste_groupe[],5,FALSE)," : ",ROUND(K11,0),"%"))</f>
        <v>Fadrozole-10 µg/L : 0%</v>
      </c>
      <c r="O11"/>
    </row>
    <row r="12" spans="1:15" s="76" customFormat="1" ht="15.75" x14ac:dyDescent="0.25">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75" x14ac:dyDescent="0.25">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75" x14ac:dyDescent="0.25">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75" x14ac:dyDescent="0.25">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75" x14ac:dyDescent="0.25">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75" x14ac:dyDescent="0.25">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75" x14ac:dyDescent="0.25">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75" x14ac:dyDescent="0.25">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75" x14ac:dyDescent="0.25">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75" x14ac:dyDescent="0.25">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75" x14ac:dyDescent="0.25">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75" x14ac:dyDescent="0.25">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75" x14ac:dyDescent="0.25">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75" x14ac:dyDescent="0.25">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75" x14ac:dyDescent="0.25">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75" x14ac:dyDescent="0.25">
      <c r="A27"/>
      <c r="B27"/>
      <c r="C27"/>
      <c r="D27"/>
      <c r="E27"/>
      <c r="F27"/>
      <c r="G27"/>
      <c r="H27"/>
      <c r="I27"/>
      <c r="J27"/>
      <c r="K27"/>
      <c r="L27"/>
      <c r="M27"/>
      <c r="N27"/>
      <c r="O27" s="1"/>
    </row>
    <row r="28" spans="1:15" s="76" customFormat="1" ht="32.25" thickBot="1" x14ac:dyDescent="0.3">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75" x14ac:dyDescent="0.25">
      <c r="A29" s="83" t="s">
        <v>29</v>
      </c>
      <c r="B29" s="99"/>
      <c r="C29" s="79"/>
      <c r="D29" s="79"/>
      <c r="E29" s="81"/>
      <c r="F29" s="90"/>
      <c r="G29" s="133"/>
      <c r="H29" s="120"/>
      <c r="I29" s="120"/>
      <c r="J29" s="121"/>
      <c r="K29" s="122"/>
      <c r="L29" s="124"/>
      <c r="M29" s="121"/>
      <c r="N29" s="91"/>
      <c r="O29"/>
    </row>
    <row r="30" spans="1:15" s="76" customFormat="1" ht="15.75" x14ac:dyDescent="0.25">
      <c r="A30" s="83" t="s">
        <v>31</v>
      </c>
      <c r="B30" s="99"/>
      <c r="C30" s="79"/>
      <c r="D30" s="79"/>
      <c r="E30" s="81"/>
      <c r="F30" s="90"/>
      <c r="G30" s="132" t="e">
        <f>IF(F30="NS","NC",ROUND(B30-$B$29,2-(1+INT(LOG10(ABS(B30-$B$29))))))</f>
        <v>#NUM!</v>
      </c>
      <c r="H30" s="120"/>
      <c r="I30" s="133"/>
      <c r="J30" s="134"/>
      <c r="K30" s="135"/>
      <c r="L30" s="134"/>
      <c r="M30" s="134"/>
      <c r="N30" s="136"/>
      <c r="O30"/>
    </row>
    <row r="31" spans="1:15" s="76" customFormat="1" ht="15.75" x14ac:dyDescent="0.25">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75" x14ac:dyDescent="0.25">
      <c r="A32" s="127" t="str">
        <f>'Page de garde'!A39</f>
        <v>Fadrozole-0,016 µg/L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Fadrozole-0,016 µg/L : 0%</v>
      </c>
    </row>
    <row r="33" spans="1:14" s="76" customFormat="1" ht="15.75" x14ac:dyDescent="0.25">
      <c r="A33" s="127" t="str">
        <f>'Page de garde'!A40</f>
        <v>Fadrozole-0,08µg/L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Fadrozole-0,08µg/L : 0%</v>
      </c>
    </row>
    <row r="34" spans="1:14" s="76" customFormat="1" ht="15.75" x14ac:dyDescent="0.25">
      <c r="A34" s="127" t="str">
        <f>'Page de garde'!A41</f>
        <v>Fadrozole-0,4µg/L + Testostérone</v>
      </c>
      <c r="B34" s="99"/>
      <c r="C34" s="79"/>
      <c r="D34" s="79"/>
      <c r="E34" s="81"/>
      <c r="F34" s="93" t="str">
        <f>HLOOKUP(A34,'pooled normalised values'!$B$74:$V$83,10,FALSE)</f>
        <v>***</v>
      </c>
      <c r="G34" s="132" t="e">
        <f t="shared" si="6"/>
        <v>#NUM!</v>
      </c>
      <c r="H34" s="123" t="str">
        <f>IF(VLOOKUP(A34,liste_groupe[],4,FALSE)="%",VLOOKUP(A34,liste_groupe[],3,FALSE)/100,IF(ISBLANK(VLOOKUP(A34,liste_groupe[],4,FALSE)),"Non","Non"))</f>
        <v>Non</v>
      </c>
      <c r="I34" s="132" t="e">
        <f t="shared" si="7"/>
        <v>#NUM!</v>
      </c>
      <c r="J34" s="137" t="e">
        <f t="shared" si="8"/>
        <v>#NUM!</v>
      </c>
      <c r="K34" s="138" t="e">
        <f t="shared" si="9"/>
        <v>#NUM!</v>
      </c>
      <c r="L34" s="139"/>
      <c r="M34" s="131" t="e">
        <f t="shared" si="10"/>
        <v>#NUM!</v>
      </c>
      <c r="N34" s="140" t="e">
        <f>IF(H34="Non",CONCATENATE(VLOOKUP(A34,liste_groupe[],5,FALSE),"-",VLOOKUP(A34,liste_groupe[],3,FALSE),VLOOKUP(A34,liste_groupe[],4,FALSE)," : ",ROUND(K34,0),"%"),CONCATENATE(VLOOKUP(A34,liste_groupe[],5,FALSE)," : ",ROUND(K34,0),"%"))</f>
        <v>#NUM!</v>
      </c>
    </row>
    <row r="35" spans="1:14" s="76" customFormat="1" ht="15.75" x14ac:dyDescent="0.25">
      <c r="A35" s="127" t="str">
        <f>'Page de garde'!A42</f>
        <v>Fadrozole-2µg/L + Testostérone</v>
      </c>
      <c r="B35" s="98"/>
      <c r="C35" s="86"/>
      <c r="D35" s="86"/>
      <c r="E35" s="81"/>
      <c r="F35" s="93" t="str">
        <f>HLOOKUP(A35,'pooled normalised values'!$B$74:$V$83,10,FALSE)</f>
        <v>***</v>
      </c>
      <c r="G35" s="132" t="e">
        <f t="shared" si="6"/>
        <v>#NUM!</v>
      </c>
      <c r="H35" s="123" t="str">
        <f>IF(VLOOKUP(A35,liste_groupe[],4,FALSE)="%",VLOOKUP(A35,liste_groupe[],3,FALSE)/100,IF(ISBLANK(VLOOKUP(A35,liste_groupe[],4,FALSE)),"Non","Non"))</f>
        <v>Non</v>
      </c>
      <c r="I35" s="132" t="e">
        <f t="shared" si="7"/>
        <v>#NUM!</v>
      </c>
      <c r="J35" s="137" t="e">
        <f t="shared" si="8"/>
        <v>#NUM!</v>
      </c>
      <c r="K35" s="138" t="e">
        <f t="shared" si="9"/>
        <v>#NUM!</v>
      </c>
      <c r="L35" s="139"/>
      <c r="M35" s="131" t="e">
        <f t="shared" si="10"/>
        <v>#NUM!</v>
      </c>
      <c r="N35" s="140" t="e">
        <f>IF(H35="Non",CONCATENATE(VLOOKUP(A35,liste_groupe[],5,FALSE),"-",VLOOKUP(A35,liste_groupe[],3,FALSE),VLOOKUP(A35,liste_groupe[],4,FALSE)," : ",ROUND(K35,0),"%"),CONCATENATE(VLOOKUP(A35,liste_groupe[],5,FALSE)," : ",ROUND(K35,0),"%"))</f>
        <v>#NUM!</v>
      </c>
    </row>
    <row r="36" spans="1:14" s="76" customFormat="1" ht="15.75" x14ac:dyDescent="0.25">
      <c r="A36" s="127" t="str">
        <f>'Page de garde'!A43</f>
        <v>Fadrozole-10 µg/L + Testostérone</v>
      </c>
      <c r="B36" s="98"/>
      <c r="C36" s="86"/>
      <c r="D36" s="86"/>
      <c r="E36" s="81"/>
      <c r="F36" s="93" t="str">
        <f>HLOOKUP(A36,'pooled normalised values'!$B$74:$V$83,10,FALSE)</f>
        <v>***</v>
      </c>
      <c r="G36" s="132" t="e">
        <f t="shared" si="6"/>
        <v>#NUM!</v>
      </c>
      <c r="H36" s="123" t="str">
        <f>IF(VLOOKUP(A36,liste_groupe[],4,FALSE)="%",VLOOKUP(A36,liste_groupe[],3,FALSE)/100,IF(ISBLANK(VLOOKUP(A36,liste_groupe[],4,FALSE)),"Non","Non"))</f>
        <v>Non</v>
      </c>
      <c r="I36" s="132" t="e">
        <f t="shared" si="7"/>
        <v>#NUM!</v>
      </c>
      <c r="J36" s="137" t="e">
        <f t="shared" si="8"/>
        <v>#NUM!</v>
      </c>
      <c r="K36" s="138" t="e">
        <f t="shared" si="9"/>
        <v>#NUM!</v>
      </c>
      <c r="L36" s="139"/>
      <c r="M36" s="131" t="e">
        <f t="shared" si="10"/>
        <v>#NUM!</v>
      </c>
      <c r="N36" s="140" t="e">
        <f>IF(H36="Non",CONCATENATE(VLOOKUP(A36,liste_groupe[],5,FALSE),"-",VLOOKUP(A36,liste_groupe[],3,FALSE),VLOOKUP(A36,liste_groupe[],4,FALSE)," : ",ROUND(K36,0),"%"),CONCATENATE(VLOOKUP(A36,liste_groupe[],5,FALSE)," : ",ROUND(K36,0),"%"))</f>
        <v>#NUM!</v>
      </c>
    </row>
    <row r="37" spans="1:14" s="76" customFormat="1" ht="15.75" x14ac:dyDescent="0.25">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75" x14ac:dyDescent="0.25">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75" x14ac:dyDescent="0.25">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75" x14ac:dyDescent="0.25">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75" x14ac:dyDescent="0.25">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75" x14ac:dyDescent="0.25">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75" x14ac:dyDescent="0.25">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75" x14ac:dyDescent="0.25">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75" x14ac:dyDescent="0.25">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75" x14ac:dyDescent="0.25">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75" x14ac:dyDescent="0.25">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75" x14ac:dyDescent="0.25">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75" x14ac:dyDescent="0.25">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75" x14ac:dyDescent="0.25">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75" x14ac:dyDescent="0.25">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5" thickBot="1" x14ac:dyDescent="0.3">
      <c r="E52" s="77"/>
      <c r="F52" s="77"/>
      <c r="G52" s="77"/>
      <c r="H52" s="77"/>
      <c r="I52" s="77"/>
      <c r="J52" s="77"/>
      <c r="K52" s="77"/>
      <c r="L52" s="77"/>
      <c r="M52" s="77"/>
      <c r="N52" s="77"/>
    </row>
    <row r="53" spans="1:15" s="48" customFormat="1" ht="27" thickBot="1" x14ac:dyDescent="0.3">
      <c r="A53" s="231" t="s">
        <v>60</v>
      </c>
      <c r="B53" s="232"/>
      <c r="C53" s="232"/>
      <c r="D53" s="232"/>
      <c r="E53" s="232"/>
      <c r="F53" s="232"/>
      <c r="G53" s="232"/>
      <c r="H53" s="232"/>
      <c r="I53" s="232"/>
      <c r="J53" s="232"/>
      <c r="K53" s="232"/>
      <c r="L53" s="232"/>
      <c r="M53" s="232"/>
      <c r="N53" s="232"/>
      <c r="O53" s="233"/>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2578125" defaultRowHeight="15" x14ac:dyDescent="0.25"/>
  <cols>
    <col min="1" max="1" width="22.85546875" style="179" customWidth="1"/>
    <col min="2" max="2" width="46.28515625" style="179" customWidth="1"/>
    <col min="3" max="3" width="15.28515625" style="179" customWidth="1"/>
    <col min="4" max="4" width="24.7109375" style="179" customWidth="1"/>
    <col min="5" max="5" width="24.42578125" style="179" customWidth="1"/>
    <col min="6" max="6" width="23.140625" style="179" customWidth="1"/>
    <col min="7" max="7" width="21.28515625" style="179" customWidth="1"/>
    <col min="8" max="16384" width="11.42578125" style="179"/>
  </cols>
  <sheetData>
    <row r="1" spans="1:7" ht="30.75" thickBot="1" x14ac:dyDescent="0.3">
      <c r="A1" s="184" t="s">
        <v>131</v>
      </c>
      <c r="B1" s="185" t="s">
        <v>132</v>
      </c>
      <c r="C1" s="185" t="s">
        <v>138</v>
      </c>
      <c r="D1" s="185" t="s">
        <v>137</v>
      </c>
      <c r="E1" s="185" t="s">
        <v>139</v>
      </c>
      <c r="F1" s="186" t="s">
        <v>140</v>
      </c>
      <c r="G1" s="187" t="s">
        <v>141</v>
      </c>
    </row>
    <row r="2" spans="1:7" ht="60" x14ac:dyDescent="0.25">
      <c r="A2" s="180" t="s">
        <v>133</v>
      </c>
      <c r="B2" s="181" t="s">
        <v>134</v>
      </c>
      <c r="C2" s="181" t="s">
        <v>135</v>
      </c>
      <c r="D2" s="181" t="s">
        <v>142</v>
      </c>
      <c r="E2" s="181" t="s">
        <v>136</v>
      </c>
      <c r="F2" s="182" t="s">
        <v>135</v>
      </c>
      <c r="G2" s="183" t="s">
        <v>135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19" width="14.85546875" style="17" customWidth="1"/>
    <col min="20" max="21" width="11.42578125" style="17"/>
    <col min="22" max="22" width="13.5703125" style="17" bestFit="1" customWidth="1"/>
    <col min="23" max="34" width="13.5703125" style="17" customWidth="1"/>
    <col min="35" max="35" width="13.5703125" style="17" bestFit="1" customWidth="1"/>
    <col min="36" max="282" width="11.42578125" style="17"/>
    <col min="283" max="283" width="18.7109375" style="17" customWidth="1"/>
    <col min="284" max="284" width="13.7109375" style="17" bestFit="1" customWidth="1"/>
    <col min="285" max="285" width="17.28515625" style="17" customWidth="1"/>
    <col min="286" max="286" width="11" style="17" customWidth="1"/>
    <col min="287" max="287" width="12" style="17" bestFit="1" customWidth="1"/>
    <col min="288" max="288" width="14.85546875" style="17" customWidth="1"/>
    <col min="289" max="538" width="11.42578125" style="17"/>
    <col min="539" max="539" width="18.7109375" style="17" customWidth="1"/>
    <col min="540" max="540" width="13.7109375" style="17" bestFit="1" customWidth="1"/>
    <col min="541" max="541" width="17.28515625" style="17" customWidth="1"/>
    <col min="542" max="542" width="11" style="17" customWidth="1"/>
    <col min="543" max="543" width="12" style="17" bestFit="1" customWidth="1"/>
    <col min="544" max="544" width="14.85546875" style="17" customWidth="1"/>
    <col min="545" max="794" width="11.42578125" style="17"/>
    <col min="795" max="795" width="18.7109375" style="17" customWidth="1"/>
    <col min="796" max="796" width="13.7109375" style="17" bestFit="1" customWidth="1"/>
    <col min="797" max="797" width="17.28515625" style="17" customWidth="1"/>
    <col min="798" max="798" width="11" style="17" customWidth="1"/>
    <col min="799" max="799" width="12" style="17" bestFit="1" customWidth="1"/>
    <col min="800" max="800" width="14.85546875" style="17" customWidth="1"/>
    <col min="801" max="1050" width="11.42578125" style="17"/>
    <col min="1051" max="1051" width="18.7109375" style="17" customWidth="1"/>
    <col min="1052" max="1052" width="13.7109375" style="17" bestFit="1" customWidth="1"/>
    <col min="1053" max="1053" width="17.28515625" style="17" customWidth="1"/>
    <col min="1054" max="1054" width="11" style="17" customWidth="1"/>
    <col min="1055" max="1055" width="12" style="17" bestFit="1" customWidth="1"/>
    <col min="1056" max="1056" width="14.85546875" style="17" customWidth="1"/>
    <col min="1057" max="1306" width="11.42578125" style="17"/>
    <col min="1307" max="1307" width="18.7109375" style="17" customWidth="1"/>
    <col min="1308" max="1308" width="13.7109375" style="17" bestFit="1" customWidth="1"/>
    <col min="1309" max="1309" width="17.28515625" style="17" customWidth="1"/>
    <col min="1310" max="1310" width="11" style="17" customWidth="1"/>
    <col min="1311" max="1311" width="12" style="17" bestFit="1" customWidth="1"/>
    <col min="1312" max="1312" width="14.85546875" style="17" customWidth="1"/>
    <col min="1313" max="1562" width="11.42578125" style="17"/>
    <col min="1563" max="1563" width="18.7109375" style="17" customWidth="1"/>
    <col min="1564" max="1564" width="13.7109375" style="17" bestFit="1" customWidth="1"/>
    <col min="1565" max="1565" width="17.28515625" style="17" customWidth="1"/>
    <col min="1566" max="1566" width="11" style="17" customWidth="1"/>
    <col min="1567" max="1567" width="12" style="17" bestFit="1" customWidth="1"/>
    <col min="1568" max="1568" width="14.85546875" style="17" customWidth="1"/>
    <col min="1569" max="1818" width="11.42578125" style="17"/>
    <col min="1819" max="1819" width="18.7109375" style="17" customWidth="1"/>
    <col min="1820" max="1820" width="13.7109375" style="17" bestFit="1" customWidth="1"/>
    <col min="1821" max="1821" width="17.28515625" style="17" customWidth="1"/>
    <col min="1822" max="1822" width="11" style="17" customWidth="1"/>
    <col min="1823" max="1823" width="12" style="17" bestFit="1" customWidth="1"/>
    <col min="1824" max="1824" width="14.85546875" style="17" customWidth="1"/>
    <col min="1825" max="2074" width="11.42578125" style="17"/>
    <col min="2075" max="2075" width="18.7109375" style="17" customWidth="1"/>
    <col min="2076" max="2076" width="13.7109375" style="17" bestFit="1" customWidth="1"/>
    <col min="2077" max="2077" width="17.28515625" style="17" customWidth="1"/>
    <col min="2078" max="2078" width="11" style="17" customWidth="1"/>
    <col min="2079" max="2079" width="12" style="17" bestFit="1" customWidth="1"/>
    <col min="2080" max="2080" width="14.85546875" style="17" customWidth="1"/>
    <col min="2081" max="2330" width="11.42578125" style="17"/>
    <col min="2331" max="2331" width="18.7109375" style="17" customWidth="1"/>
    <col min="2332" max="2332" width="13.7109375" style="17" bestFit="1" customWidth="1"/>
    <col min="2333" max="2333" width="17.28515625" style="17" customWidth="1"/>
    <col min="2334" max="2334" width="11" style="17" customWidth="1"/>
    <col min="2335" max="2335" width="12" style="17" bestFit="1" customWidth="1"/>
    <col min="2336" max="2336" width="14.85546875" style="17" customWidth="1"/>
    <col min="2337" max="2586" width="11.42578125" style="17"/>
    <col min="2587" max="2587" width="18.7109375" style="17" customWidth="1"/>
    <col min="2588" max="2588" width="13.7109375" style="17" bestFit="1" customWidth="1"/>
    <col min="2589" max="2589" width="17.28515625" style="17" customWidth="1"/>
    <col min="2590" max="2590" width="11" style="17" customWidth="1"/>
    <col min="2591" max="2591" width="12" style="17" bestFit="1" customWidth="1"/>
    <col min="2592" max="2592" width="14.85546875" style="17" customWidth="1"/>
    <col min="2593" max="2842" width="11.42578125" style="17"/>
    <col min="2843" max="2843" width="18.7109375" style="17" customWidth="1"/>
    <col min="2844" max="2844" width="13.7109375" style="17" bestFit="1" customWidth="1"/>
    <col min="2845" max="2845" width="17.28515625" style="17" customWidth="1"/>
    <col min="2846" max="2846" width="11" style="17" customWidth="1"/>
    <col min="2847" max="2847" width="12" style="17" bestFit="1" customWidth="1"/>
    <col min="2848" max="2848" width="14.85546875" style="17" customWidth="1"/>
    <col min="2849" max="3098" width="11.42578125" style="17"/>
    <col min="3099" max="3099" width="18.7109375" style="17" customWidth="1"/>
    <col min="3100" max="3100" width="13.7109375" style="17" bestFit="1" customWidth="1"/>
    <col min="3101" max="3101" width="17.28515625" style="17" customWidth="1"/>
    <col min="3102" max="3102" width="11" style="17" customWidth="1"/>
    <col min="3103" max="3103" width="12" style="17" bestFit="1" customWidth="1"/>
    <col min="3104" max="3104" width="14.85546875" style="17" customWidth="1"/>
    <col min="3105" max="3354" width="11.42578125" style="17"/>
    <col min="3355" max="3355" width="18.7109375" style="17" customWidth="1"/>
    <col min="3356" max="3356" width="13.7109375" style="17" bestFit="1" customWidth="1"/>
    <col min="3357" max="3357" width="17.28515625" style="17" customWidth="1"/>
    <col min="3358" max="3358" width="11" style="17" customWidth="1"/>
    <col min="3359" max="3359" width="12" style="17" bestFit="1" customWidth="1"/>
    <col min="3360" max="3360" width="14.85546875" style="17" customWidth="1"/>
    <col min="3361" max="3610" width="11.42578125" style="17"/>
    <col min="3611" max="3611" width="18.7109375" style="17" customWidth="1"/>
    <col min="3612" max="3612" width="13.7109375" style="17" bestFit="1" customWidth="1"/>
    <col min="3613" max="3613" width="17.28515625" style="17" customWidth="1"/>
    <col min="3614" max="3614" width="11" style="17" customWidth="1"/>
    <col min="3615" max="3615" width="12" style="17" bestFit="1" customWidth="1"/>
    <col min="3616" max="3616" width="14.85546875" style="17" customWidth="1"/>
    <col min="3617" max="3866" width="11.42578125" style="17"/>
    <col min="3867" max="3867" width="18.7109375" style="17" customWidth="1"/>
    <col min="3868" max="3868" width="13.7109375" style="17" bestFit="1" customWidth="1"/>
    <col min="3869" max="3869" width="17.28515625" style="17" customWidth="1"/>
    <col min="3870" max="3870" width="11" style="17" customWidth="1"/>
    <col min="3871" max="3871" width="12" style="17" bestFit="1" customWidth="1"/>
    <col min="3872" max="3872" width="14.85546875" style="17" customWidth="1"/>
    <col min="3873" max="4122" width="11.42578125" style="17"/>
    <col min="4123" max="4123" width="18.7109375" style="17" customWidth="1"/>
    <col min="4124" max="4124" width="13.7109375" style="17" bestFit="1" customWidth="1"/>
    <col min="4125" max="4125" width="17.28515625" style="17" customWidth="1"/>
    <col min="4126" max="4126" width="11" style="17" customWidth="1"/>
    <col min="4127" max="4127" width="12" style="17" bestFit="1" customWidth="1"/>
    <col min="4128" max="4128" width="14.85546875" style="17" customWidth="1"/>
    <col min="4129" max="4378" width="11.42578125" style="17"/>
    <col min="4379" max="4379" width="18.7109375" style="17" customWidth="1"/>
    <col min="4380" max="4380" width="13.7109375" style="17" bestFit="1" customWidth="1"/>
    <col min="4381" max="4381" width="17.28515625" style="17" customWidth="1"/>
    <col min="4382" max="4382" width="11" style="17" customWidth="1"/>
    <col min="4383" max="4383" width="12" style="17" bestFit="1" customWidth="1"/>
    <col min="4384" max="4384" width="14.85546875" style="17" customWidth="1"/>
    <col min="4385" max="4634" width="11.42578125" style="17"/>
    <col min="4635" max="4635" width="18.7109375" style="17" customWidth="1"/>
    <col min="4636" max="4636" width="13.7109375" style="17" bestFit="1" customWidth="1"/>
    <col min="4637" max="4637" width="17.28515625" style="17" customWidth="1"/>
    <col min="4638" max="4638" width="11" style="17" customWidth="1"/>
    <col min="4639" max="4639" width="12" style="17" bestFit="1" customWidth="1"/>
    <col min="4640" max="4640" width="14.85546875" style="17" customWidth="1"/>
    <col min="4641" max="4890" width="11.42578125" style="17"/>
    <col min="4891" max="4891" width="18.7109375" style="17" customWidth="1"/>
    <col min="4892" max="4892" width="13.7109375" style="17" bestFit="1" customWidth="1"/>
    <col min="4893" max="4893" width="17.28515625" style="17" customWidth="1"/>
    <col min="4894" max="4894" width="11" style="17" customWidth="1"/>
    <col min="4895" max="4895" width="12" style="17" bestFit="1" customWidth="1"/>
    <col min="4896" max="4896" width="14.85546875" style="17" customWidth="1"/>
    <col min="4897" max="5146" width="11.42578125" style="17"/>
    <col min="5147" max="5147" width="18.7109375" style="17" customWidth="1"/>
    <col min="5148" max="5148" width="13.7109375" style="17" bestFit="1" customWidth="1"/>
    <col min="5149" max="5149" width="17.28515625" style="17" customWidth="1"/>
    <col min="5150" max="5150" width="11" style="17" customWidth="1"/>
    <col min="5151" max="5151" width="12" style="17" bestFit="1" customWidth="1"/>
    <col min="5152" max="5152" width="14.85546875" style="17" customWidth="1"/>
    <col min="5153" max="5402" width="11.42578125" style="17"/>
    <col min="5403" max="5403" width="18.7109375" style="17" customWidth="1"/>
    <col min="5404" max="5404" width="13.7109375" style="17" bestFit="1" customWidth="1"/>
    <col min="5405" max="5405" width="17.28515625" style="17" customWidth="1"/>
    <col min="5406" max="5406" width="11" style="17" customWidth="1"/>
    <col min="5407" max="5407" width="12" style="17" bestFit="1" customWidth="1"/>
    <col min="5408" max="5408" width="14.85546875" style="17" customWidth="1"/>
    <col min="5409" max="5658" width="11.42578125" style="17"/>
    <col min="5659" max="5659" width="18.7109375" style="17" customWidth="1"/>
    <col min="5660" max="5660" width="13.7109375" style="17" bestFit="1" customWidth="1"/>
    <col min="5661" max="5661" width="17.28515625" style="17" customWidth="1"/>
    <col min="5662" max="5662" width="11" style="17" customWidth="1"/>
    <col min="5663" max="5663" width="12" style="17" bestFit="1" customWidth="1"/>
    <col min="5664" max="5664" width="14.85546875" style="17" customWidth="1"/>
    <col min="5665" max="5914" width="11.42578125" style="17"/>
    <col min="5915" max="5915" width="18.7109375" style="17" customWidth="1"/>
    <col min="5916" max="5916" width="13.7109375" style="17" bestFit="1" customWidth="1"/>
    <col min="5917" max="5917" width="17.28515625" style="17" customWidth="1"/>
    <col min="5918" max="5918" width="11" style="17" customWidth="1"/>
    <col min="5919" max="5919" width="12" style="17" bestFit="1" customWidth="1"/>
    <col min="5920" max="5920" width="14.85546875" style="17" customWidth="1"/>
    <col min="5921" max="6170" width="11.42578125" style="17"/>
    <col min="6171" max="6171" width="18.7109375" style="17" customWidth="1"/>
    <col min="6172" max="6172" width="13.7109375" style="17" bestFit="1" customWidth="1"/>
    <col min="6173" max="6173" width="17.28515625" style="17" customWidth="1"/>
    <col min="6174" max="6174" width="11" style="17" customWidth="1"/>
    <col min="6175" max="6175" width="12" style="17" bestFit="1" customWidth="1"/>
    <col min="6176" max="6176" width="14.85546875" style="17" customWidth="1"/>
    <col min="6177" max="6426" width="11.42578125" style="17"/>
    <col min="6427" max="6427" width="18.7109375" style="17" customWidth="1"/>
    <col min="6428" max="6428" width="13.7109375" style="17" bestFit="1" customWidth="1"/>
    <col min="6429" max="6429" width="17.28515625" style="17" customWidth="1"/>
    <col min="6430" max="6430" width="11" style="17" customWidth="1"/>
    <col min="6431" max="6431" width="12" style="17" bestFit="1" customWidth="1"/>
    <col min="6432" max="6432" width="14.85546875" style="17" customWidth="1"/>
    <col min="6433" max="6682" width="11.42578125" style="17"/>
    <col min="6683" max="6683" width="18.7109375" style="17" customWidth="1"/>
    <col min="6684" max="6684" width="13.7109375" style="17" bestFit="1" customWidth="1"/>
    <col min="6685" max="6685" width="17.28515625" style="17" customWidth="1"/>
    <col min="6686" max="6686" width="11" style="17" customWidth="1"/>
    <col min="6687" max="6687" width="12" style="17" bestFit="1" customWidth="1"/>
    <col min="6688" max="6688" width="14.85546875" style="17" customWidth="1"/>
    <col min="6689" max="6938" width="11.42578125" style="17"/>
    <col min="6939" max="6939" width="18.7109375" style="17" customWidth="1"/>
    <col min="6940" max="6940" width="13.7109375" style="17" bestFit="1" customWidth="1"/>
    <col min="6941" max="6941" width="17.28515625" style="17" customWidth="1"/>
    <col min="6942" max="6942" width="11" style="17" customWidth="1"/>
    <col min="6943" max="6943" width="12" style="17" bestFit="1" customWidth="1"/>
    <col min="6944" max="6944" width="14.85546875" style="17" customWidth="1"/>
    <col min="6945" max="7194" width="11.42578125" style="17"/>
    <col min="7195" max="7195" width="18.7109375" style="17" customWidth="1"/>
    <col min="7196" max="7196" width="13.7109375" style="17" bestFit="1" customWidth="1"/>
    <col min="7197" max="7197" width="17.28515625" style="17" customWidth="1"/>
    <col min="7198" max="7198" width="11" style="17" customWidth="1"/>
    <col min="7199" max="7199" width="12" style="17" bestFit="1" customWidth="1"/>
    <col min="7200" max="7200" width="14.85546875" style="17" customWidth="1"/>
    <col min="7201" max="7450" width="11.42578125" style="17"/>
    <col min="7451" max="7451" width="18.7109375" style="17" customWidth="1"/>
    <col min="7452" max="7452" width="13.7109375" style="17" bestFit="1" customWidth="1"/>
    <col min="7453" max="7453" width="17.28515625" style="17" customWidth="1"/>
    <col min="7454" max="7454" width="11" style="17" customWidth="1"/>
    <col min="7455" max="7455" width="12" style="17" bestFit="1" customWidth="1"/>
    <col min="7456" max="7456" width="14.85546875" style="17" customWidth="1"/>
    <col min="7457" max="7706" width="11.42578125" style="17"/>
    <col min="7707" max="7707" width="18.7109375" style="17" customWidth="1"/>
    <col min="7708" max="7708" width="13.7109375" style="17" bestFit="1" customWidth="1"/>
    <col min="7709" max="7709" width="17.28515625" style="17" customWidth="1"/>
    <col min="7710" max="7710" width="11" style="17" customWidth="1"/>
    <col min="7711" max="7711" width="12" style="17" bestFit="1" customWidth="1"/>
    <col min="7712" max="7712" width="14.85546875" style="17" customWidth="1"/>
    <col min="7713" max="7962" width="11.42578125" style="17"/>
    <col min="7963" max="7963" width="18.7109375" style="17" customWidth="1"/>
    <col min="7964" max="7964" width="13.7109375" style="17" bestFit="1" customWidth="1"/>
    <col min="7965" max="7965" width="17.28515625" style="17" customWidth="1"/>
    <col min="7966" max="7966" width="11" style="17" customWidth="1"/>
    <col min="7967" max="7967" width="12" style="17" bestFit="1" customWidth="1"/>
    <col min="7968" max="7968" width="14.85546875" style="17" customWidth="1"/>
    <col min="7969" max="8218" width="11.42578125" style="17"/>
    <col min="8219" max="8219" width="18.7109375" style="17" customWidth="1"/>
    <col min="8220" max="8220" width="13.7109375" style="17" bestFit="1" customWidth="1"/>
    <col min="8221" max="8221" width="17.28515625" style="17" customWidth="1"/>
    <col min="8222" max="8222" width="11" style="17" customWidth="1"/>
    <col min="8223" max="8223" width="12" style="17" bestFit="1" customWidth="1"/>
    <col min="8224" max="8224" width="14.85546875" style="17" customWidth="1"/>
    <col min="8225" max="8474" width="11.42578125" style="17"/>
    <col min="8475" max="8475" width="18.7109375" style="17" customWidth="1"/>
    <col min="8476" max="8476" width="13.7109375" style="17" bestFit="1" customWidth="1"/>
    <col min="8477" max="8477" width="17.28515625" style="17" customWidth="1"/>
    <col min="8478" max="8478" width="11" style="17" customWidth="1"/>
    <col min="8479" max="8479" width="12" style="17" bestFit="1" customWidth="1"/>
    <col min="8480" max="8480" width="14.85546875" style="17" customWidth="1"/>
    <col min="8481" max="8730" width="11.42578125" style="17"/>
    <col min="8731" max="8731" width="18.7109375" style="17" customWidth="1"/>
    <col min="8732" max="8732" width="13.7109375" style="17" bestFit="1" customWidth="1"/>
    <col min="8733" max="8733" width="17.28515625" style="17" customWidth="1"/>
    <col min="8734" max="8734" width="11" style="17" customWidth="1"/>
    <col min="8735" max="8735" width="12" style="17" bestFit="1" customWidth="1"/>
    <col min="8736" max="8736" width="14.85546875" style="17" customWidth="1"/>
    <col min="8737" max="8986" width="11.42578125" style="17"/>
    <col min="8987" max="8987" width="18.7109375" style="17" customWidth="1"/>
    <col min="8988" max="8988" width="13.7109375" style="17" bestFit="1" customWidth="1"/>
    <col min="8989" max="8989" width="17.28515625" style="17" customWidth="1"/>
    <col min="8990" max="8990" width="11" style="17" customWidth="1"/>
    <col min="8991" max="8991" width="12" style="17" bestFit="1" customWidth="1"/>
    <col min="8992" max="8992" width="14.85546875" style="17" customWidth="1"/>
    <col min="8993" max="9242" width="11.42578125" style="17"/>
    <col min="9243" max="9243" width="18.7109375" style="17" customWidth="1"/>
    <col min="9244" max="9244" width="13.7109375" style="17" bestFit="1" customWidth="1"/>
    <col min="9245" max="9245" width="17.28515625" style="17" customWidth="1"/>
    <col min="9246" max="9246" width="11" style="17" customWidth="1"/>
    <col min="9247" max="9247" width="12" style="17" bestFit="1" customWidth="1"/>
    <col min="9248" max="9248" width="14.85546875" style="17" customWidth="1"/>
    <col min="9249" max="9498" width="11.42578125" style="17"/>
    <col min="9499" max="9499" width="18.7109375" style="17" customWidth="1"/>
    <col min="9500" max="9500" width="13.7109375" style="17" bestFit="1" customWidth="1"/>
    <col min="9501" max="9501" width="17.28515625" style="17" customWidth="1"/>
    <col min="9502" max="9502" width="11" style="17" customWidth="1"/>
    <col min="9503" max="9503" width="12" style="17" bestFit="1" customWidth="1"/>
    <col min="9504" max="9504" width="14.85546875" style="17" customWidth="1"/>
    <col min="9505" max="9754" width="11.42578125" style="17"/>
    <col min="9755" max="9755" width="18.7109375" style="17" customWidth="1"/>
    <col min="9756" max="9756" width="13.7109375" style="17" bestFit="1" customWidth="1"/>
    <col min="9757" max="9757" width="17.28515625" style="17" customWidth="1"/>
    <col min="9758" max="9758" width="11" style="17" customWidth="1"/>
    <col min="9759" max="9759" width="12" style="17" bestFit="1" customWidth="1"/>
    <col min="9760" max="9760" width="14.85546875" style="17" customWidth="1"/>
    <col min="9761" max="10010" width="11.42578125" style="17"/>
    <col min="10011" max="10011" width="18.7109375" style="17" customWidth="1"/>
    <col min="10012" max="10012" width="13.7109375" style="17" bestFit="1" customWidth="1"/>
    <col min="10013" max="10013" width="17.28515625" style="17" customWidth="1"/>
    <col min="10014" max="10014" width="11" style="17" customWidth="1"/>
    <col min="10015" max="10015" width="12" style="17" bestFit="1" customWidth="1"/>
    <col min="10016" max="10016" width="14.85546875" style="17" customWidth="1"/>
    <col min="10017" max="10266" width="11.42578125" style="17"/>
    <col min="10267" max="10267" width="18.7109375" style="17" customWidth="1"/>
    <col min="10268" max="10268" width="13.7109375" style="17" bestFit="1" customWidth="1"/>
    <col min="10269" max="10269" width="17.28515625" style="17" customWidth="1"/>
    <col min="10270" max="10270" width="11" style="17" customWidth="1"/>
    <col min="10271" max="10271" width="12" style="17" bestFit="1" customWidth="1"/>
    <col min="10272" max="10272" width="14.85546875" style="17" customWidth="1"/>
    <col min="10273" max="10522" width="11.42578125" style="17"/>
    <col min="10523" max="10523" width="18.7109375" style="17" customWidth="1"/>
    <col min="10524" max="10524" width="13.7109375" style="17" bestFit="1" customWidth="1"/>
    <col min="10525" max="10525" width="17.28515625" style="17" customWidth="1"/>
    <col min="10526" max="10526" width="11" style="17" customWidth="1"/>
    <col min="10527" max="10527" width="12" style="17" bestFit="1" customWidth="1"/>
    <col min="10528" max="10528" width="14.85546875" style="17" customWidth="1"/>
    <col min="10529" max="10778" width="11.42578125" style="17"/>
    <col min="10779" max="10779" width="18.7109375" style="17" customWidth="1"/>
    <col min="10780" max="10780" width="13.7109375" style="17" bestFit="1" customWidth="1"/>
    <col min="10781" max="10781" width="17.28515625" style="17" customWidth="1"/>
    <col min="10782" max="10782" width="11" style="17" customWidth="1"/>
    <col min="10783" max="10783" width="12" style="17" bestFit="1" customWidth="1"/>
    <col min="10784" max="10784" width="14.85546875" style="17" customWidth="1"/>
    <col min="10785" max="11034" width="11.42578125" style="17"/>
    <col min="11035" max="11035" width="18.7109375" style="17" customWidth="1"/>
    <col min="11036" max="11036" width="13.7109375" style="17" bestFit="1" customWidth="1"/>
    <col min="11037" max="11037" width="17.28515625" style="17" customWidth="1"/>
    <col min="11038" max="11038" width="11" style="17" customWidth="1"/>
    <col min="11039" max="11039" width="12" style="17" bestFit="1" customWidth="1"/>
    <col min="11040" max="11040" width="14.85546875" style="17" customWidth="1"/>
    <col min="11041" max="11290" width="11.42578125" style="17"/>
    <col min="11291" max="11291" width="18.7109375" style="17" customWidth="1"/>
    <col min="11292" max="11292" width="13.7109375" style="17" bestFit="1" customWidth="1"/>
    <col min="11293" max="11293" width="17.28515625" style="17" customWidth="1"/>
    <col min="11294" max="11294" width="11" style="17" customWidth="1"/>
    <col min="11295" max="11295" width="12" style="17" bestFit="1" customWidth="1"/>
    <col min="11296" max="11296" width="14.85546875" style="17" customWidth="1"/>
    <col min="11297" max="11546" width="11.42578125" style="17"/>
    <col min="11547" max="11547" width="18.7109375" style="17" customWidth="1"/>
    <col min="11548" max="11548" width="13.7109375" style="17" bestFit="1" customWidth="1"/>
    <col min="11549" max="11549" width="17.28515625" style="17" customWidth="1"/>
    <col min="11550" max="11550" width="11" style="17" customWidth="1"/>
    <col min="11551" max="11551" width="12" style="17" bestFit="1" customWidth="1"/>
    <col min="11552" max="11552" width="14.85546875" style="17" customWidth="1"/>
    <col min="11553" max="11802" width="11.42578125" style="17"/>
    <col min="11803" max="11803" width="18.7109375" style="17" customWidth="1"/>
    <col min="11804" max="11804" width="13.7109375" style="17" bestFit="1" customWidth="1"/>
    <col min="11805" max="11805" width="17.28515625" style="17" customWidth="1"/>
    <col min="11806" max="11806" width="11" style="17" customWidth="1"/>
    <col min="11807" max="11807" width="12" style="17" bestFit="1" customWidth="1"/>
    <col min="11808" max="11808" width="14.85546875" style="17" customWidth="1"/>
    <col min="11809" max="12058" width="11.42578125" style="17"/>
    <col min="12059" max="12059" width="18.7109375" style="17" customWidth="1"/>
    <col min="12060" max="12060" width="13.7109375" style="17" bestFit="1" customWidth="1"/>
    <col min="12061" max="12061" width="17.28515625" style="17" customWidth="1"/>
    <col min="12062" max="12062" width="11" style="17" customWidth="1"/>
    <col min="12063" max="12063" width="12" style="17" bestFit="1" customWidth="1"/>
    <col min="12064" max="12064" width="14.85546875" style="17" customWidth="1"/>
    <col min="12065" max="12314" width="11.42578125" style="17"/>
    <col min="12315" max="12315" width="18.7109375" style="17" customWidth="1"/>
    <col min="12316" max="12316" width="13.7109375" style="17" bestFit="1" customWidth="1"/>
    <col min="12317" max="12317" width="17.28515625" style="17" customWidth="1"/>
    <col min="12318" max="12318" width="11" style="17" customWidth="1"/>
    <col min="12319" max="12319" width="12" style="17" bestFit="1" customWidth="1"/>
    <col min="12320" max="12320" width="14.85546875" style="17" customWidth="1"/>
    <col min="12321" max="12570" width="11.42578125" style="17"/>
    <col min="12571" max="12571" width="18.7109375" style="17" customWidth="1"/>
    <col min="12572" max="12572" width="13.7109375" style="17" bestFit="1" customWidth="1"/>
    <col min="12573" max="12573" width="17.28515625" style="17" customWidth="1"/>
    <col min="12574" max="12574" width="11" style="17" customWidth="1"/>
    <col min="12575" max="12575" width="12" style="17" bestFit="1" customWidth="1"/>
    <col min="12576" max="12576" width="14.85546875" style="17" customWidth="1"/>
    <col min="12577" max="12826" width="11.42578125" style="17"/>
    <col min="12827" max="12827" width="18.7109375" style="17" customWidth="1"/>
    <col min="12828" max="12828" width="13.7109375" style="17" bestFit="1" customWidth="1"/>
    <col min="12829" max="12829" width="17.28515625" style="17" customWidth="1"/>
    <col min="12830" max="12830" width="11" style="17" customWidth="1"/>
    <col min="12831" max="12831" width="12" style="17" bestFit="1" customWidth="1"/>
    <col min="12832" max="12832" width="14.85546875" style="17" customWidth="1"/>
    <col min="12833" max="13082" width="11.42578125" style="17"/>
    <col min="13083" max="13083" width="18.7109375" style="17" customWidth="1"/>
    <col min="13084" max="13084" width="13.7109375" style="17" bestFit="1" customWidth="1"/>
    <col min="13085" max="13085" width="17.28515625" style="17" customWidth="1"/>
    <col min="13086" max="13086" width="11" style="17" customWidth="1"/>
    <col min="13087" max="13087" width="12" style="17" bestFit="1" customWidth="1"/>
    <col min="13088" max="13088" width="14.85546875" style="17" customWidth="1"/>
    <col min="13089" max="13338" width="11.42578125" style="17"/>
    <col min="13339" max="13339" width="18.7109375" style="17" customWidth="1"/>
    <col min="13340" max="13340" width="13.7109375" style="17" bestFit="1" customWidth="1"/>
    <col min="13341" max="13341" width="17.28515625" style="17" customWidth="1"/>
    <col min="13342" max="13342" width="11" style="17" customWidth="1"/>
    <col min="13343" max="13343" width="12" style="17" bestFit="1" customWidth="1"/>
    <col min="13344" max="13344" width="14.85546875" style="17" customWidth="1"/>
    <col min="13345" max="13594" width="11.42578125" style="17"/>
    <col min="13595" max="13595" width="18.7109375" style="17" customWidth="1"/>
    <col min="13596" max="13596" width="13.7109375" style="17" bestFit="1" customWidth="1"/>
    <col min="13597" max="13597" width="17.28515625" style="17" customWidth="1"/>
    <col min="13598" max="13598" width="11" style="17" customWidth="1"/>
    <col min="13599" max="13599" width="12" style="17" bestFit="1" customWidth="1"/>
    <col min="13600" max="13600" width="14.85546875" style="17" customWidth="1"/>
    <col min="13601" max="13850" width="11.42578125" style="17"/>
    <col min="13851" max="13851" width="18.7109375" style="17" customWidth="1"/>
    <col min="13852" max="13852" width="13.7109375" style="17" bestFit="1" customWidth="1"/>
    <col min="13853" max="13853" width="17.28515625" style="17" customWidth="1"/>
    <col min="13854" max="13854" width="11" style="17" customWidth="1"/>
    <col min="13855" max="13855" width="12" style="17" bestFit="1" customWidth="1"/>
    <col min="13856" max="13856" width="14.85546875" style="17" customWidth="1"/>
    <col min="13857" max="14106" width="11.42578125" style="17"/>
    <col min="14107" max="14107" width="18.7109375" style="17" customWidth="1"/>
    <col min="14108" max="14108" width="13.7109375" style="17" bestFit="1" customWidth="1"/>
    <col min="14109" max="14109" width="17.28515625" style="17" customWidth="1"/>
    <col min="14110" max="14110" width="11" style="17" customWidth="1"/>
    <col min="14111" max="14111" width="12" style="17" bestFit="1" customWidth="1"/>
    <col min="14112" max="14112" width="14.85546875" style="17" customWidth="1"/>
    <col min="14113" max="14362" width="11.42578125" style="17"/>
    <col min="14363" max="14363" width="18.7109375" style="17" customWidth="1"/>
    <col min="14364" max="14364" width="13.7109375" style="17" bestFit="1" customWidth="1"/>
    <col min="14365" max="14365" width="17.28515625" style="17" customWidth="1"/>
    <col min="14366" max="14366" width="11" style="17" customWidth="1"/>
    <col min="14367" max="14367" width="12" style="17" bestFit="1" customWidth="1"/>
    <col min="14368" max="14368" width="14.85546875" style="17" customWidth="1"/>
    <col min="14369" max="14618" width="11.42578125" style="17"/>
    <col min="14619" max="14619" width="18.7109375" style="17" customWidth="1"/>
    <col min="14620" max="14620" width="13.7109375" style="17" bestFit="1" customWidth="1"/>
    <col min="14621" max="14621" width="17.28515625" style="17" customWidth="1"/>
    <col min="14622" max="14622" width="11" style="17" customWidth="1"/>
    <col min="14623" max="14623" width="12" style="17" bestFit="1" customWidth="1"/>
    <col min="14624" max="14624" width="14.85546875" style="17" customWidth="1"/>
    <col min="14625" max="14874" width="11.42578125" style="17"/>
    <col min="14875" max="14875" width="18.7109375" style="17" customWidth="1"/>
    <col min="14876" max="14876" width="13.7109375" style="17" bestFit="1" customWidth="1"/>
    <col min="14877" max="14877" width="17.28515625" style="17" customWidth="1"/>
    <col min="14878" max="14878" width="11" style="17" customWidth="1"/>
    <col min="14879" max="14879" width="12" style="17" bestFit="1" customWidth="1"/>
    <col min="14880" max="14880" width="14.85546875" style="17" customWidth="1"/>
    <col min="14881" max="15130" width="11.42578125" style="17"/>
    <col min="15131" max="15131" width="18.7109375" style="17" customWidth="1"/>
    <col min="15132" max="15132" width="13.7109375" style="17" bestFit="1" customWidth="1"/>
    <col min="15133" max="15133" width="17.28515625" style="17" customWidth="1"/>
    <col min="15134" max="15134" width="11" style="17" customWidth="1"/>
    <col min="15135" max="15135" width="12" style="17" bestFit="1" customWidth="1"/>
    <col min="15136" max="15136" width="14.85546875" style="17" customWidth="1"/>
    <col min="15137" max="15386" width="11.42578125" style="17"/>
    <col min="15387" max="15387" width="18.7109375" style="17" customWidth="1"/>
    <col min="15388" max="15388" width="13.7109375" style="17" bestFit="1" customWidth="1"/>
    <col min="15389" max="15389" width="17.28515625" style="17" customWidth="1"/>
    <col min="15390" max="15390" width="11" style="17" customWidth="1"/>
    <col min="15391" max="15391" width="12" style="17" bestFit="1" customWidth="1"/>
    <col min="15392" max="15392" width="14.85546875" style="17" customWidth="1"/>
    <col min="15393" max="15642" width="11.42578125" style="17"/>
    <col min="15643" max="15643" width="18.7109375" style="17" customWidth="1"/>
    <col min="15644" max="15644" width="13.7109375" style="17" bestFit="1" customWidth="1"/>
    <col min="15645" max="15645" width="17.28515625" style="17" customWidth="1"/>
    <col min="15646" max="15646" width="11" style="17" customWidth="1"/>
    <col min="15647" max="15647" width="12" style="17" bestFit="1" customWidth="1"/>
    <col min="15648" max="15648" width="14.85546875" style="17" customWidth="1"/>
    <col min="15649" max="15898" width="11.42578125" style="17"/>
    <col min="15899" max="15899" width="18.7109375" style="17" customWidth="1"/>
    <col min="15900" max="15900" width="13.7109375" style="17" bestFit="1" customWidth="1"/>
    <col min="15901" max="15901" width="17.28515625" style="17" customWidth="1"/>
    <col min="15902" max="15902" width="11" style="17" customWidth="1"/>
    <col min="15903" max="15903" width="12" style="17" bestFit="1" customWidth="1"/>
    <col min="15904" max="15904" width="14.85546875" style="17" customWidth="1"/>
    <col min="15905" max="16154" width="11.42578125" style="17"/>
    <col min="16155" max="16155" width="18.7109375" style="17" customWidth="1"/>
    <col min="16156" max="16156" width="13.7109375" style="17" bestFit="1" customWidth="1"/>
    <col min="16157" max="16157" width="17.28515625" style="17" customWidth="1"/>
    <col min="16158" max="16158" width="11" style="17" customWidth="1"/>
    <col min="16159" max="16159" width="12" style="17" bestFit="1" customWidth="1"/>
    <col min="16160" max="16160" width="14.85546875" style="17" customWidth="1"/>
    <col min="16161" max="16384" width="11.42578125" style="17"/>
  </cols>
  <sheetData>
    <row r="2" spans="1:37" x14ac:dyDescent="0.2">
      <c r="A2" s="17" t="s">
        <v>70</v>
      </c>
      <c r="B2" s="63">
        <f>'pooled normalised values'!B75</f>
        <v>8.907159649761319E-2</v>
      </c>
      <c r="D2" s="17" t="s">
        <v>9</v>
      </c>
      <c r="E2" s="18"/>
      <c r="F2" s="19" t="str">
        <f>'pooled normalised values'!J74</f>
        <v>Fadrozole 0,08µg/L</v>
      </c>
      <c r="G2" s="19" t="str">
        <f>'pooled normalised values'!K74</f>
        <v>Fadrozole 0,4µg/L</v>
      </c>
      <c r="H2" s="19" t="str">
        <f>'pooled normalised values'!L74</f>
        <v>Fadrozole 2µg/L</v>
      </c>
      <c r="I2" s="19" t="str">
        <f>'pooled normalised values'!M74</f>
        <v>Fadrozole 10µg/L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Fadrozole-0,016 µg/L + Testostérone</v>
      </c>
      <c r="W2" s="19" t="str">
        <f>'pooled normalised values'!S74</f>
        <v>Fadrozole-0,08µg/L + Testostérone</v>
      </c>
      <c r="X2" s="19" t="str">
        <f>'pooled normalised values'!T74</f>
        <v>Fadrozole-0,4µg/L + Testostérone</v>
      </c>
      <c r="Y2" s="19" t="str">
        <f>'pooled normalised values'!U74</f>
        <v>Fadrozole-2µg/L + Testostérone</v>
      </c>
      <c r="Z2" s="19" t="str">
        <f>'pooled normalised values'!V74</f>
        <v>Fadrozole-10 µg/L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
      <c r="A3" s="17" t="s">
        <v>71</v>
      </c>
      <c r="B3" s="63">
        <f>'summary results'!E6</f>
        <v>0</v>
      </c>
      <c r="D3" s="21" t="s">
        <v>10</v>
      </c>
      <c r="E3" s="22"/>
      <c r="F3" s="19">
        <f>HLOOKUP(F2,'pooled normalised values'!B74:V83,2,FALSE)</f>
        <v>6.7743271337803376E-2</v>
      </c>
      <c r="G3" s="19">
        <f>HLOOKUP(G2,'pooled normalised values'!C74:W83,2,FALSE)</f>
        <v>8.3597802463363569E-2</v>
      </c>
      <c r="H3" s="19">
        <f>HLOOKUP(H2,'pooled normalised values'!C74:X83,2,FALSE)</f>
        <v>9.1676968984657173E-2</v>
      </c>
      <c r="I3" s="19">
        <f>HLOOKUP(I2,'pooled normalised values'!D74:Y83,2,FALSE)</f>
        <v>9.3652607154951772E-2</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0.75370850845562165</v>
      </c>
      <c r="W3" s="19">
        <f>HLOOKUP(W2,'pooled normalised values'!N74:AM83,2,FALSE)</f>
        <v>0.77066933673192339</v>
      </c>
      <c r="X3" s="19">
        <f>HLOOKUP(X2,'pooled normalised values'!N74:AN83,2,FALSE)</f>
        <v>0.2940893982738404</v>
      </c>
      <c r="Y3" s="19">
        <f>HLOOKUP(Y2,'pooled normalised values'!N74:AO83,2,FALSE)</f>
        <v>8.4316386219502951E-2</v>
      </c>
      <c r="Z3" s="19">
        <f>HLOOKUP(Z2,'pooled normalised values'!N74:AP83,2,FALSE)</f>
        <v>6.8605039947136306E-2</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
      <c r="A4" s="17" t="s">
        <v>72</v>
      </c>
      <c r="B4" s="63">
        <f>'pooled normalised values'!O75</f>
        <v>1</v>
      </c>
      <c r="D4" s="21" t="s">
        <v>2</v>
      </c>
      <c r="E4" s="22"/>
      <c r="F4" s="19">
        <f>HLOOKUP(F2,'pooled normalised values'!B74:V83,3,FALSE)</f>
        <v>1.2533610873063121E-2</v>
      </c>
      <c r="G4" s="19">
        <f>HLOOKUP(G2,'pooled normalised values'!C74:W83,3,FALSE)</f>
        <v>1.7494352233662087E-2</v>
      </c>
      <c r="H4" s="19">
        <f>HLOOKUP(H2,'pooled normalised values'!C74:X83,3,FALSE)</f>
        <v>1.4198697831983074E-2</v>
      </c>
      <c r="I4" s="19">
        <f>HLOOKUP(I2,'pooled normalised values'!D74:Y83,3,FALSE)</f>
        <v>1.4737553163573598E-2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0.1302917453040916</v>
      </c>
      <c r="W4" s="19">
        <f>HLOOKUP(W2,'pooled normalised values'!N74:AM83,3,FALSE)</f>
        <v>0.12117558439433009</v>
      </c>
      <c r="X4" s="19">
        <f>HLOOKUP(X2,'pooled normalised values'!N74:AN83,3,FALSE)</f>
        <v>7.4154640181869499E-2</v>
      </c>
      <c r="Y4" s="19">
        <f>HLOOKUP(Y2,'pooled normalised values'!N74:AO83,3,FALSE)</f>
        <v>1.9490390106338865E-2</v>
      </c>
      <c r="Z4" s="19">
        <f>HLOOKUP(Z2,'pooled normalised values'!N74:AP83,3,FALSE)</f>
        <v>1.515830769675733E-2</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
      <c r="A5" s="17" t="s">
        <v>73</v>
      </c>
      <c r="B5" s="63">
        <f>'pooled normalised values'!P75</f>
        <v>1.6184482696749121</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v>
      </c>
      <c r="Y5" s="19" t="str">
        <f>HLOOKUP(Y2,'pooled normalised values'!N74:AO83,10,FALSE)</f>
        <v>***</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
      <c r="A6" s="17" t="s">
        <v>74</v>
      </c>
      <c r="B6" s="63">
        <f>'pooled normalised values'!Q75</f>
        <v>9.0282833742067026E-2</v>
      </c>
      <c r="D6" s="21" t="s">
        <v>12</v>
      </c>
      <c r="E6" s="24">
        <f>$B$2</f>
        <v>8.907159649761319E-2</v>
      </c>
      <c r="F6" s="24">
        <f>$B$2</f>
        <v>8.907159649761319E-2</v>
      </c>
      <c r="G6" s="24">
        <f t="shared" ref="G6:R6" si="0">$B$2</f>
        <v>8.907159649761319E-2</v>
      </c>
      <c r="H6" s="24">
        <f t="shared" si="0"/>
        <v>8.907159649761319E-2</v>
      </c>
      <c r="I6" s="24">
        <f t="shared" si="0"/>
        <v>8.907159649761319E-2</v>
      </c>
      <c r="J6" s="24">
        <f t="shared" si="0"/>
        <v>8.907159649761319E-2</v>
      </c>
      <c r="K6" s="24">
        <f t="shared" si="0"/>
        <v>8.907159649761319E-2</v>
      </c>
      <c r="L6" s="24">
        <f t="shared" si="0"/>
        <v>8.907159649761319E-2</v>
      </c>
      <c r="M6" s="24">
        <f t="shared" si="0"/>
        <v>8.907159649761319E-2</v>
      </c>
      <c r="N6" s="24">
        <f t="shared" si="0"/>
        <v>8.907159649761319E-2</v>
      </c>
      <c r="O6" s="24">
        <f t="shared" si="0"/>
        <v>8.907159649761319E-2</v>
      </c>
      <c r="P6" s="24">
        <f t="shared" si="0"/>
        <v>8.907159649761319E-2</v>
      </c>
      <c r="Q6" s="24">
        <f t="shared" si="0"/>
        <v>8.907159649761319E-2</v>
      </c>
      <c r="R6" s="24">
        <f t="shared" si="0"/>
        <v>8.907159649761319E-2</v>
      </c>
      <c r="S6" s="24">
        <f>$B$2</f>
        <v>8.907159649761319E-2</v>
      </c>
      <c r="T6" s="24">
        <f>$B$2</f>
        <v>8.907159649761319E-2</v>
      </c>
      <c r="U6" s="25"/>
      <c r="V6" s="25"/>
      <c r="W6" s="25"/>
      <c r="X6" s="25"/>
      <c r="Y6" s="25"/>
      <c r="Z6" s="25"/>
      <c r="AA6" s="25"/>
      <c r="AB6" s="25"/>
      <c r="AC6" s="25"/>
      <c r="AD6" s="25"/>
      <c r="AE6" s="25"/>
      <c r="AF6" s="25"/>
      <c r="AG6" s="25"/>
      <c r="AH6" s="25"/>
      <c r="AI6" s="25"/>
      <c r="AJ6" s="25"/>
      <c r="AK6" s="21" t="s">
        <v>12</v>
      </c>
    </row>
    <row r="7" spans="1:37" x14ac:dyDescent="0.2">
      <c r="B7" s="26"/>
      <c r="D7" s="26" t="s">
        <v>13</v>
      </c>
      <c r="E7" s="24"/>
      <c r="F7" s="24"/>
      <c r="G7" s="24"/>
      <c r="H7" s="24"/>
      <c r="I7" s="24"/>
      <c r="J7" s="24"/>
      <c r="K7" s="24"/>
      <c r="L7" s="24"/>
      <c r="M7" s="24"/>
      <c r="N7" s="24"/>
      <c r="O7" s="24"/>
      <c r="P7" s="24"/>
      <c r="Q7" s="24"/>
      <c r="R7" s="24"/>
      <c r="S7" s="24"/>
      <c r="T7" s="27"/>
      <c r="U7" s="25">
        <f t="shared" ref="U7:AJ7" si="1">$B$4</f>
        <v>1</v>
      </c>
      <c r="V7" s="25">
        <f t="shared" si="1"/>
        <v>1</v>
      </c>
      <c r="W7" s="25">
        <f t="shared" si="1"/>
        <v>1</v>
      </c>
      <c r="X7" s="25">
        <f t="shared" si="1"/>
        <v>1</v>
      </c>
      <c r="Y7" s="25">
        <f t="shared" si="1"/>
        <v>1</v>
      </c>
      <c r="Z7" s="25">
        <f t="shared" si="1"/>
        <v>1</v>
      </c>
      <c r="AA7" s="25">
        <f t="shared" si="1"/>
        <v>1</v>
      </c>
      <c r="AB7" s="25">
        <f t="shared" si="1"/>
        <v>1</v>
      </c>
      <c r="AC7" s="25">
        <f t="shared" si="1"/>
        <v>1</v>
      </c>
      <c r="AD7" s="25">
        <f t="shared" si="1"/>
        <v>1</v>
      </c>
      <c r="AE7" s="25">
        <f t="shared" si="1"/>
        <v>1</v>
      </c>
      <c r="AF7" s="25">
        <f t="shared" si="1"/>
        <v>1</v>
      </c>
      <c r="AG7" s="25">
        <f t="shared" si="1"/>
        <v>1</v>
      </c>
      <c r="AH7" s="25">
        <f t="shared" si="1"/>
        <v>1</v>
      </c>
      <c r="AI7" s="25">
        <f t="shared" si="1"/>
        <v>1</v>
      </c>
      <c r="AJ7" s="25">
        <f t="shared" si="1"/>
        <v>1</v>
      </c>
      <c r="AK7" s="26" t="s">
        <v>13</v>
      </c>
    </row>
    <row r="8" spans="1:37" x14ac:dyDescent="0.2">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9.0282833742067026E-2</v>
      </c>
      <c r="V8" s="25">
        <f t="shared" ref="V8:AJ8" si="2">$B$6</f>
        <v>9.0282833742067026E-2</v>
      </c>
      <c r="W8" s="25">
        <f t="shared" si="2"/>
        <v>9.0282833742067026E-2</v>
      </c>
      <c r="X8" s="25">
        <f t="shared" si="2"/>
        <v>9.0282833742067026E-2</v>
      </c>
      <c r="Y8" s="25">
        <f t="shared" si="2"/>
        <v>9.0282833742067026E-2</v>
      </c>
      <c r="Z8" s="25">
        <f t="shared" si="2"/>
        <v>9.0282833742067026E-2</v>
      </c>
      <c r="AA8" s="25">
        <f t="shared" si="2"/>
        <v>9.0282833742067026E-2</v>
      </c>
      <c r="AB8" s="25">
        <f t="shared" si="2"/>
        <v>9.0282833742067026E-2</v>
      </c>
      <c r="AC8" s="25">
        <f t="shared" si="2"/>
        <v>9.0282833742067026E-2</v>
      </c>
      <c r="AD8" s="25">
        <f t="shared" si="2"/>
        <v>9.0282833742067026E-2</v>
      </c>
      <c r="AE8" s="25">
        <f t="shared" si="2"/>
        <v>9.0282833742067026E-2</v>
      </c>
      <c r="AF8" s="25">
        <f t="shared" si="2"/>
        <v>9.0282833742067026E-2</v>
      </c>
      <c r="AG8" s="25">
        <f t="shared" si="2"/>
        <v>9.0282833742067026E-2</v>
      </c>
      <c r="AH8" s="25">
        <f t="shared" si="2"/>
        <v>9.0282833742067026E-2</v>
      </c>
      <c r="AI8" s="25">
        <f t="shared" si="2"/>
        <v>9.0282833742067026E-2</v>
      </c>
      <c r="AJ8" s="25">
        <f t="shared" si="2"/>
        <v>9.0282833742067026E-2</v>
      </c>
      <c r="AK8" s="28" t="s">
        <v>14</v>
      </c>
    </row>
    <row r="9" spans="1:37" x14ac:dyDescent="0.2">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1.5281654359328449</v>
      </c>
      <c r="V9" s="25">
        <f>$B$5-V8</f>
        <v>1.5281654359328449</v>
      </c>
      <c r="W9" s="25">
        <f t="shared" ref="W9:AH9" si="4">$B$5-W8</f>
        <v>1.5281654359328449</v>
      </c>
      <c r="X9" s="25">
        <f t="shared" si="4"/>
        <v>1.5281654359328449</v>
      </c>
      <c r="Y9" s="25">
        <f t="shared" si="4"/>
        <v>1.5281654359328449</v>
      </c>
      <c r="Z9" s="25">
        <f t="shared" si="4"/>
        <v>1.5281654359328449</v>
      </c>
      <c r="AA9" s="25">
        <f t="shared" si="4"/>
        <v>1.5281654359328449</v>
      </c>
      <c r="AB9" s="25">
        <f t="shared" si="4"/>
        <v>1.5281654359328449</v>
      </c>
      <c r="AC9" s="25">
        <f t="shared" si="4"/>
        <v>1.5281654359328449</v>
      </c>
      <c r="AD9" s="25">
        <f t="shared" si="4"/>
        <v>1.5281654359328449</v>
      </c>
      <c r="AE9" s="25">
        <f t="shared" si="4"/>
        <v>1.5281654359328449</v>
      </c>
      <c r="AF9" s="25">
        <f t="shared" si="4"/>
        <v>1.5281654359328449</v>
      </c>
      <c r="AG9" s="25">
        <f t="shared" si="4"/>
        <v>1.5281654359328449</v>
      </c>
      <c r="AH9" s="25">
        <f t="shared" si="4"/>
        <v>1.5281654359328449</v>
      </c>
      <c r="AI9" s="25">
        <f>$B$5-AI8</f>
        <v>1.5281654359328449</v>
      </c>
      <c r="AJ9" s="25">
        <f>$B$5-AJ8</f>
        <v>1.5281654359328449</v>
      </c>
      <c r="AK9" s="28" t="s">
        <v>15</v>
      </c>
    </row>
    <row r="10" spans="1:37" x14ac:dyDescent="0.2">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0.97183456406715507</v>
      </c>
      <c r="V10" s="25">
        <f>2.5-V9</f>
        <v>0.97183456406715507</v>
      </c>
      <c r="W10" s="25">
        <f t="shared" ref="W10:AH10" si="6">2.5-W9</f>
        <v>0.97183456406715507</v>
      </c>
      <c r="X10" s="25">
        <f t="shared" si="6"/>
        <v>0.97183456406715507</v>
      </c>
      <c r="Y10" s="25">
        <f t="shared" si="6"/>
        <v>0.97183456406715507</v>
      </c>
      <c r="Z10" s="25">
        <f t="shared" si="6"/>
        <v>0.97183456406715507</v>
      </c>
      <c r="AA10" s="25">
        <f t="shared" si="6"/>
        <v>0.97183456406715507</v>
      </c>
      <c r="AB10" s="25">
        <f t="shared" si="6"/>
        <v>0.97183456406715507</v>
      </c>
      <c r="AC10" s="25">
        <f t="shared" si="6"/>
        <v>0.97183456406715507</v>
      </c>
      <c r="AD10" s="25">
        <f t="shared" si="6"/>
        <v>0.97183456406715507</v>
      </c>
      <c r="AE10" s="25">
        <f t="shared" si="6"/>
        <v>0.97183456406715507</v>
      </c>
      <c r="AF10" s="25">
        <f t="shared" si="6"/>
        <v>0.97183456406715507</v>
      </c>
      <c r="AG10" s="25">
        <f t="shared" si="6"/>
        <v>0.97183456406715507</v>
      </c>
      <c r="AH10" s="25">
        <f t="shared" si="6"/>
        <v>0.97183456406715507</v>
      </c>
      <c r="AI10" s="25">
        <f>2.5-AI9</f>
        <v>0.97183456406715507</v>
      </c>
      <c r="AJ10" s="25">
        <f>2.5-AJ9</f>
        <v>0.97183456406715507</v>
      </c>
      <c r="AK10" s="28" t="s">
        <v>16</v>
      </c>
    </row>
    <row r="17" spans="2:20" x14ac:dyDescent="0.2">
      <c r="C17" s="23"/>
      <c r="D17" s="23"/>
    </row>
    <row r="18" spans="2:20" x14ac:dyDescent="0.2">
      <c r="B18" s="30"/>
    </row>
    <row r="19" spans="2:20" x14ac:dyDescent="0.2">
      <c r="B19" s="30"/>
    </row>
    <row r="20" spans="2:20" x14ac:dyDescent="0.2">
      <c r="B20" s="31"/>
    </row>
    <row r="21" spans="2:20" x14ac:dyDescent="0.2">
      <c r="B21" s="30"/>
    </row>
    <row r="22" spans="2:20" x14ac:dyDescent="0.2">
      <c r="B22" s="30"/>
      <c r="T22" s="23"/>
    </row>
    <row r="23" spans="2:20" x14ac:dyDescent="0.2">
      <c r="B23" s="31"/>
      <c r="T23" s="23"/>
    </row>
    <row r="24" spans="2:20" x14ac:dyDescent="0.2">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6" width="14.85546875" style="17" customWidth="1"/>
    <col min="7" max="8" width="11.42578125" style="17"/>
    <col min="9" max="9" width="13.5703125" style="17" bestFit="1" customWidth="1"/>
    <col min="10" max="256" width="11.42578125" style="17"/>
    <col min="257" max="257" width="18.7109375" style="17" customWidth="1"/>
    <col min="258" max="258" width="13.7109375" style="17" bestFit="1" customWidth="1"/>
    <col min="259" max="259" width="17.28515625" style="17" customWidth="1"/>
    <col min="260" max="260" width="11" style="17" customWidth="1"/>
    <col min="261" max="261" width="12" style="17" bestFit="1" customWidth="1"/>
    <col min="262" max="262" width="14.85546875" style="17" customWidth="1"/>
    <col min="263" max="512" width="11.42578125" style="17"/>
    <col min="513" max="513" width="18.7109375" style="17" customWidth="1"/>
    <col min="514" max="514" width="13.7109375" style="17" bestFit="1" customWidth="1"/>
    <col min="515" max="515" width="17.28515625" style="17" customWidth="1"/>
    <col min="516" max="516" width="11" style="17" customWidth="1"/>
    <col min="517" max="517" width="12" style="17" bestFit="1" customWidth="1"/>
    <col min="518" max="518" width="14.85546875" style="17" customWidth="1"/>
    <col min="519" max="768" width="11.42578125" style="17"/>
    <col min="769" max="769" width="18.7109375" style="17" customWidth="1"/>
    <col min="770" max="770" width="13.7109375" style="17" bestFit="1" customWidth="1"/>
    <col min="771" max="771" width="17.28515625" style="17" customWidth="1"/>
    <col min="772" max="772" width="11" style="17" customWidth="1"/>
    <col min="773" max="773" width="12" style="17" bestFit="1" customWidth="1"/>
    <col min="774" max="774" width="14.85546875" style="17" customWidth="1"/>
    <col min="775" max="1024" width="11.42578125" style="17"/>
    <col min="1025" max="1025" width="18.7109375" style="17" customWidth="1"/>
    <col min="1026" max="1026" width="13.7109375" style="17" bestFit="1" customWidth="1"/>
    <col min="1027" max="1027" width="17.28515625" style="17" customWidth="1"/>
    <col min="1028" max="1028" width="11" style="17" customWidth="1"/>
    <col min="1029" max="1029" width="12" style="17" bestFit="1" customWidth="1"/>
    <col min="1030" max="1030" width="14.85546875" style="17" customWidth="1"/>
    <col min="1031" max="1280" width="11.42578125" style="17"/>
    <col min="1281" max="1281" width="18.7109375" style="17" customWidth="1"/>
    <col min="1282" max="1282" width="13.7109375" style="17" bestFit="1" customWidth="1"/>
    <col min="1283" max="1283" width="17.28515625" style="17" customWidth="1"/>
    <col min="1284" max="1284" width="11" style="17" customWidth="1"/>
    <col min="1285" max="1285" width="12" style="17" bestFit="1" customWidth="1"/>
    <col min="1286" max="1286" width="14.85546875" style="17" customWidth="1"/>
    <col min="1287" max="1536" width="11.42578125" style="17"/>
    <col min="1537" max="1537" width="18.7109375" style="17" customWidth="1"/>
    <col min="1538" max="1538" width="13.7109375" style="17" bestFit="1" customWidth="1"/>
    <col min="1539" max="1539" width="17.28515625" style="17" customWidth="1"/>
    <col min="1540" max="1540" width="11" style="17" customWidth="1"/>
    <col min="1541" max="1541" width="12" style="17" bestFit="1" customWidth="1"/>
    <col min="1542" max="1542" width="14.85546875" style="17" customWidth="1"/>
    <col min="1543" max="1792" width="11.42578125" style="17"/>
    <col min="1793" max="1793" width="18.7109375" style="17" customWidth="1"/>
    <col min="1794" max="1794" width="13.7109375" style="17" bestFit="1" customWidth="1"/>
    <col min="1795" max="1795" width="17.28515625" style="17" customWidth="1"/>
    <col min="1796" max="1796" width="11" style="17" customWidth="1"/>
    <col min="1797" max="1797" width="12" style="17" bestFit="1" customWidth="1"/>
    <col min="1798" max="1798" width="14.85546875" style="17" customWidth="1"/>
    <col min="1799" max="2048" width="11.42578125" style="17"/>
    <col min="2049" max="2049" width="18.7109375" style="17" customWidth="1"/>
    <col min="2050" max="2050" width="13.7109375" style="17" bestFit="1" customWidth="1"/>
    <col min="2051" max="2051" width="17.28515625" style="17" customWidth="1"/>
    <col min="2052" max="2052" width="11" style="17" customWidth="1"/>
    <col min="2053" max="2053" width="12" style="17" bestFit="1" customWidth="1"/>
    <col min="2054" max="2054" width="14.85546875" style="17" customWidth="1"/>
    <col min="2055" max="2304" width="11.42578125" style="17"/>
    <col min="2305" max="2305" width="18.7109375" style="17" customWidth="1"/>
    <col min="2306" max="2306" width="13.7109375" style="17" bestFit="1" customWidth="1"/>
    <col min="2307" max="2307" width="17.28515625" style="17" customWidth="1"/>
    <col min="2308" max="2308" width="11" style="17" customWidth="1"/>
    <col min="2309" max="2309" width="12" style="17" bestFit="1" customWidth="1"/>
    <col min="2310" max="2310" width="14.85546875" style="17" customWidth="1"/>
    <col min="2311" max="2560" width="11.42578125" style="17"/>
    <col min="2561" max="2561" width="18.7109375" style="17" customWidth="1"/>
    <col min="2562" max="2562" width="13.7109375" style="17" bestFit="1" customWidth="1"/>
    <col min="2563" max="2563" width="17.28515625" style="17" customWidth="1"/>
    <col min="2564" max="2564" width="11" style="17" customWidth="1"/>
    <col min="2565" max="2565" width="12" style="17" bestFit="1" customWidth="1"/>
    <col min="2566" max="2566" width="14.85546875" style="17" customWidth="1"/>
    <col min="2567" max="2816" width="11.42578125" style="17"/>
    <col min="2817" max="2817" width="18.7109375" style="17" customWidth="1"/>
    <col min="2818" max="2818" width="13.7109375" style="17" bestFit="1" customWidth="1"/>
    <col min="2819" max="2819" width="17.28515625" style="17" customWidth="1"/>
    <col min="2820" max="2820" width="11" style="17" customWidth="1"/>
    <col min="2821" max="2821" width="12" style="17" bestFit="1" customWidth="1"/>
    <col min="2822" max="2822" width="14.85546875" style="17" customWidth="1"/>
    <col min="2823" max="3072" width="11.42578125" style="17"/>
    <col min="3073" max="3073" width="18.7109375" style="17" customWidth="1"/>
    <col min="3074" max="3074" width="13.7109375" style="17" bestFit="1" customWidth="1"/>
    <col min="3075" max="3075" width="17.28515625" style="17" customWidth="1"/>
    <col min="3076" max="3076" width="11" style="17" customWidth="1"/>
    <col min="3077" max="3077" width="12" style="17" bestFit="1" customWidth="1"/>
    <col min="3078" max="3078" width="14.85546875" style="17" customWidth="1"/>
    <col min="3079" max="3328" width="11.42578125" style="17"/>
    <col min="3329" max="3329" width="18.7109375" style="17" customWidth="1"/>
    <col min="3330" max="3330" width="13.7109375" style="17" bestFit="1" customWidth="1"/>
    <col min="3331" max="3331" width="17.28515625" style="17" customWidth="1"/>
    <col min="3332" max="3332" width="11" style="17" customWidth="1"/>
    <col min="3333" max="3333" width="12" style="17" bestFit="1" customWidth="1"/>
    <col min="3334" max="3334" width="14.85546875" style="17" customWidth="1"/>
    <col min="3335" max="3584" width="11.42578125" style="17"/>
    <col min="3585" max="3585" width="18.7109375" style="17" customWidth="1"/>
    <col min="3586" max="3586" width="13.7109375" style="17" bestFit="1" customWidth="1"/>
    <col min="3587" max="3587" width="17.28515625" style="17" customWidth="1"/>
    <col min="3588" max="3588" width="11" style="17" customWidth="1"/>
    <col min="3589" max="3589" width="12" style="17" bestFit="1" customWidth="1"/>
    <col min="3590" max="3590" width="14.85546875" style="17" customWidth="1"/>
    <col min="3591" max="3840" width="11.42578125" style="17"/>
    <col min="3841" max="3841" width="18.7109375" style="17" customWidth="1"/>
    <col min="3842" max="3842" width="13.7109375" style="17" bestFit="1" customWidth="1"/>
    <col min="3843" max="3843" width="17.28515625" style="17" customWidth="1"/>
    <col min="3844" max="3844" width="11" style="17" customWidth="1"/>
    <col min="3845" max="3845" width="12" style="17" bestFit="1" customWidth="1"/>
    <col min="3846" max="3846" width="14.85546875" style="17" customWidth="1"/>
    <col min="3847" max="4096" width="11.42578125" style="17"/>
    <col min="4097" max="4097" width="18.7109375" style="17" customWidth="1"/>
    <col min="4098" max="4098" width="13.7109375" style="17" bestFit="1" customWidth="1"/>
    <col min="4099" max="4099" width="17.28515625" style="17" customWidth="1"/>
    <col min="4100" max="4100" width="11" style="17" customWidth="1"/>
    <col min="4101" max="4101" width="12" style="17" bestFit="1" customWidth="1"/>
    <col min="4102" max="4102" width="14.85546875" style="17" customWidth="1"/>
    <col min="4103" max="4352" width="11.42578125" style="17"/>
    <col min="4353" max="4353" width="18.7109375" style="17" customWidth="1"/>
    <col min="4354" max="4354" width="13.7109375" style="17" bestFit="1" customWidth="1"/>
    <col min="4355" max="4355" width="17.28515625" style="17" customWidth="1"/>
    <col min="4356" max="4356" width="11" style="17" customWidth="1"/>
    <col min="4357" max="4357" width="12" style="17" bestFit="1" customWidth="1"/>
    <col min="4358" max="4358" width="14.85546875" style="17" customWidth="1"/>
    <col min="4359" max="4608" width="11.42578125" style="17"/>
    <col min="4609" max="4609" width="18.7109375" style="17" customWidth="1"/>
    <col min="4610" max="4610" width="13.7109375" style="17" bestFit="1" customWidth="1"/>
    <col min="4611" max="4611" width="17.28515625" style="17" customWidth="1"/>
    <col min="4612" max="4612" width="11" style="17" customWidth="1"/>
    <col min="4613" max="4613" width="12" style="17" bestFit="1" customWidth="1"/>
    <col min="4614" max="4614" width="14.85546875" style="17" customWidth="1"/>
    <col min="4615" max="4864" width="11.42578125" style="17"/>
    <col min="4865" max="4865" width="18.7109375" style="17" customWidth="1"/>
    <col min="4866" max="4866" width="13.7109375" style="17" bestFit="1" customWidth="1"/>
    <col min="4867" max="4867" width="17.28515625" style="17" customWidth="1"/>
    <col min="4868" max="4868" width="11" style="17" customWidth="1"/>
    <col min="4869" max="4869" width="12" style="17" bestFit="1" customWidth="1"/>
    <col min="4870" max="4870" width="14.85546875" style="17" customWidth="1"/>
    <col min="4871" max="5120" width="11.42578125" style="17"/>
    <col min="5121" max="5121" width="18.7109375" style="17" customWidth="1"/>
    <col min="5122" max="5122" width="13.7109375" style="17" bestFit="1" customWidth="1"/>
    <col min="5123" max="5123" width="17.28515625" style="17" customWidth="1"/>
    <col min="5124" max="5124" width="11" style="17" customWidth="1"/>
    <col min="5125" max="5125" width="12" style="17" bestFit="1" customWidth="1"/>
    <col min="5126" max="5126" width="14.85546875" style="17" customWidth="1"/>
    <col min="5127" max="5376" width="11.42578125" style="17"/>
    <col min="5377" max="5377" width="18.7109375" style="17" customWidth="1"/>
    <col min="5378" max="5378" width="13.7109375" style="17" bestFit="1" customWidth="1"/>
    <col min="5379" max="5379" width="17.28515625" style="17" customWidth="1"/>
    <col min="5380" max="5380" width="11" style="17" customWidth="1"/>
    <col min="5381" max="5381" width="12" style="17" bestFit="1" customWidth="1"/>
    <col min="5382" max="5382" width="14.85546875" style="17" customWidth="1"/>
    <col min="5383" max="5632" width="11.42578125" style="17"/>
    <col min="5633" max="5633" width="18.7109375" style="17" customWidth="1"/>
    <col min="5634" max="5634" width="13.7109375" style="17" bestFit="1" customWidth="1"/>
    <col min="5635" max="5635" width="17.28515625" style="17" customWidth="1"/>
    <col min="5636" max="5636" width="11" style="17" customWidth="1"/>
    <col min="5637" max="5637" width="12" style="17" bestFit="1" customWidth="1"/>
    <col min="5638" max="5638" width="14.85546875" style="17" customWidth="1"/>
    <col min="5639" max="5888" width="11.42578125" style="17"/>
    <col min="5889" max="5889" width="18.7109375" style="17" customWidth="1"/>
    <col min="5890" max="5890" width="13.7109375" style="17" bestFit="1" customWidth="1"/>
    <col min="5891" max="5891" width="17.28515625" style="17" customWidth="1"/>
    <col min="5892" max="5892" width="11" style="17" customWidth="1"/>
    <col min="5893" max="5893" width="12" style="17" bestFit="1" customWidth="1"/>
    <col min="5894" max="5894" width="14.85546875" style="17" customWidth="1"/>
    <col min="5895" max="6144" width="11.42578125" style="17"/>
    <col min="6145" max="6145" width="18.7109375" style="17" customWidth="1"/>
    <col min="6146" max="6146" width="13.7109375" style="17" bestFit="1" customWidth="1"/>
    <col min="6147" max="6147" width="17.28515625" style="17" customWidth="1"/>
    <col min="6148" max="6148" width="11" style="17" customWidth="1"/>
    <col min="6149" max="6149" width="12" style="17" bestFit="1" customWidth="1"/>
    <col min="6150" max="6150" width="14.85546875" style="17" customWidth="1"/>
    <col min="6151" max="6400" width="11.42578125" style="17"/>
    <col min="6401" max="6401" width="18.7109375" style="17" customWidth="1"/>
    <col min="6402" max="6402" width="13.7109375" style="17" bestFit="1" customWidth="1"/>
    <col min="6403" max="6403" width="17.28515625" style="17" customWidth="1"/>
    <col min="6404" max="6404" width="11" style="17" customWidth="1"/>
    <col min="6405" max="6405" width="12" style="17" bestFit="1" customWidth="1"/>
    <col min="6406" max="6406" width="14.85546875" style="17" customWidth="1"/>
    <col min="6407" max="6656" width="11.42578125" style="17"/>
    <col min="6657" max="6657" width="18.7109375" style="17" customWidth="1"/>
    <col min="6658" max="6658" width="13.7109375" style="17" bestFit="1" customWidth="1"/>
    <col min="6659" max="6659" width="17.28515625" style="17" customWidth="1"/>
    <col min="6660" max="6660" width="11" style="17" customWidth="1"/>
    <col min="6661" max="6661" width="12" style="17" bestFit="1" customWidth="1"/>
    <col min="6662" max="6662" width="14.85546875" style="17" customWidth="1"/>
    <col min="6663" max="6912" width="11.42578125" style="17"/>
    <col min="6913" max="6913" width="18.7109375" style="17" customWidth="1"/>
    <col min="6914" max="6914" width="13.7109375" style="17" bestFit="1" customWidth="1"/>
    <col min="6915" max="6915" width="17.28515625" style="17" customWidth="1"/>
    <col min="6916" max="6916" width="11" style="17" customWidth="1"/>
    <col min="6917" max="6917" width="12" style="17" bestFit="1" customWidth="1"/>
    <col min="6918" max="6918" width="14.85546875" style="17" customWidth="1"/>
    <col min="6919" max="7168" width="11.42578125" style="17"/>
    <col min="7169" max="7169" width="18.7109375" style="17" customWidth="1"/>
    <col min="7170" max="7170" width="13.7109375" style="17" bestFit="1" customWidth="1"/>
    <col min="7171" max="7171" width="17.28515625" style="17" customWidth="1"/>
    <col min="7172" max="7172" width="11" style="17" customWidth="1"/>
    <col min="7173" max="7173" width="12" style="17" bestFit="1" customWidth="1"/>
    <col min="7174" max="7174" width="14.85546875" style="17" customWidth="1"/>
    <col min="7175" max="7424" width="11.42578125" style="17"/>
    <col min="7425" max="7425" width="18.7109375" style="17" customWidth="1"/>
    <col min="7426" max="7426" width="13.7109375" style="17" bestFit="1" customWidth="1"/>
    <col min="7427" max="7427" width="17.28515625" style="17" customWidth="1"/>
    <col min="7428" max="7428" width="11" style="17" customWidth="1"/>
    <col min="7429" max="7429" width="12" style="17" bestFit="1" customWidth="1"/>
    <col min="7430" max="7430" width="14.85546875" style="17" customWidth="1"/>
    <col min="7431" max="7680" width="11.42578125" style="17"/>
    <col min="7681" max="7681" width="18.7109375" style="17" customWidth="1"/>
    <col min="7682" max="7682" width="13.7109375" style="17" bestFit="1" customWidth="1"/>
    <col min="7683" max="7683" width="17.28515625" style="17" customWidth="1"/>
    <col min="7684" max="7684" width="11" style="17" customWidth="1"/>
    <col min="7685" max="7685" width="12" style="17" bestFit="1" customWidth="1"/>
    <col min="7686" max="7686" width="14.85546875" style="17" customWidth="1"/>
    <col min="7687" max="7936" width="11.42578125" style="17"/>
    <col min="7937" max="7937" width="18.7109375" style="17" customWidth="1"/>
    <col min="7938" max="7938" width="13.7109375" style="17" bestFit="1" customWidth="1"/>
    <col min="7939" max="7939" width="17.28515625" style="17" customWidth="1"/>
    <col min="7940" max="7940" width="11" style="17" customWidth="1"/>
    <col min="7941" max="7941" width="12" style="17" bestFit="1" customWidth="1"/>
    <col min="7942" max="7942" width="14.85546875" style="17" customWidth="1"/>
    <col min="7943" max="8192" width="11.42578125" style="17"/>
    <col min="8193" max="8193" width="18.7109375" style="17" customWidth="1"/>
    <col min="8194" max="8194" width="13.7109375" style="17" bestFit="1" customWidth="1"/>
    <col min="8195" max="8195" width="17.28515625" style="17" customWidth="1"/>
    <col min="8196" max="8196" width="11" style="17" customWidth="1"/>
    <col min="8197" max="8197" width="12" style="17" bestFit="1" customWidth="1"/>
    <col min="8198" max="8198" width="14.85546875" style="17" customWidth="1"/>
    <col min="8199" max="8448" width="11.42578125" style="17"/>
    <col min="8449" max="8449" width="18.7109375" style="17" customWidth="1"/>
    <col min="8450" max="8450" width="13.7109375" style="17" bestFit="1" customWidth="1"/>
    <col min="8451" max="8451" width="17.28515625" style="17" customWidth="1"/>
    <col min="8452" max="8452" width="11" style="17" customWidth="1"/>
    <col min="8453" max="8453" width="12" style="17" bestFit="1" customWidth="1"/>
    <col min="8454" max="8454" width="14.85546875" style="17" customWidth="1"/>
    <col min="8455" max="8704" width="11.42578125" style="17"/>
    <col min="8705" max="8705" width="18.7109375" style="17" customWidth="1"/>
    <col min="8706" max="8706" width="13.7109375" style="17" bestFit="1" customWidth="1"/>
    <col min="8707" max="8707" width="17.28515625" style="17" customWidth="1"/>
    <col min="8708" max="8708" width="11" style="17" customWidth="1"/>
    <col min="8709" max="8709" width="12" style="17" bestFit="1" customWidth="1"/>
    <col min="8710" max="8710" width="14.85546875" style="17" customWidth="1"/>
    <col min="8711" max="8960" width="11.42578125" style="17"/>
    <col min="8961" max="8961" width="18.7109375" style="17" customWidth="1"/>
    <col min="8962" max="8962" width="13.7109375" style="17" bestFit="1" customWidth="1"/>
    <col min="8963" max="8963" width="17.28515625" style="17" customWidth="1"/>
    <col min="8964" max="8964" width="11" style="17" customWidth="1"/>
    <col min="8965" max="8965" width="12" style="17" bestFit="1" customWidth="1"/>
    <col min="8966" max="8966" width="14.85546875" style="17" customWidth="1"/>
    <col min="8967" max="9216" width="11.42578125" style="17"/>
    <col min="9217" max="9217" width="18.7109375" style="17" customWidth="1"/>
    <col min="9218" max="9218" width="13.7109375" style="17" bestFit="1" customWidth="1"/>
    <col min="9219" max="9219" width="17.28515625" style="17" customWidth="1"/>
    <col min="9220" max="9220" width="11" style="17" customWidth="1"/>
    <col min="9221" max="9221" width="12" style="17" bestFit="1" customWidth="1"/>
    <col min="9222" max="9222" width="14.85546875" style="17" customWidth="1"/>
    <col min="9223" max="9472" width="11.42578125" style="17"/>
    <col min="9473" max="9473" width="18.7109375" style="17" customWidth="1"/>
    <col min="9474" max="9474" width="13.7109375" style="17" bestFit="1" customWidth="1"/>
    <col min="9475" max="9475" width="17.28515625" style="17" customWidth="1"/>
    <col min="9476" max="9476" width="11" style="17" customWidth="1"/>
    <col min="9477" max="9477" width="12" style="17" bestFit="1" customWidth="1"/>
    <col min="9478" max="9478" width="14.85546875" style="17" customWidth="1"/>
    <col min="9479" max="9728" width="11.42578125" style="17"/>
    <col min="9729" max="9729" width="18.7109375" style="17" customWidth="1"/>
    <col min="9730" max="9730" width="13.7109375" style="17" bestFit="1" customWidth="1"/>
    <col min="9731" max="9731" width="17.28515625" style="17" customWidth="1"/>
    <col min="9732" max="9732" width="11" style="17" customWidth="1"/>
    <col min="9733" max="9733" width="12" style="17" bestFit="1" customWidth="1"/>
    <col min="9734" max="9734" width="14.85546875" style="17" customWidth="1"/>
    <col min="9735" max="9984" width="11.42578125" style="17"/>
    <col min="9985" max="9985" width="18.7109375" style="17" customWidth="1"/>
    <col min="9986" max="9986" width="13.7109375" style="17" bestFit="1" customWidth="1"/>
    <col min="9987" max="9987" width="17.28515625" style="17" customWidth="1"/>
    <col min="9988" max="9988" width="11" style="17" customWidth="1"/>
    <col min="9989" max="9989" width="12" style="17" bestFit="1" customWidth="1"/>
    <col min="9990" max="9990" width="14.85546875" style="17" customWidth="1"/>
    <col min="9991" max="10240" width="11.42578125" style="17"/>
    <col min="10241" max="10241" width="18.7109375" style="17" customWidth="1"/>
    <col min="10242" max="10242" width="13.7109375" style="17" bestFit="1" customWidth="1"/>
    <col min="10243" max="10243" width="17.28515625" style="17" customWidth="1"/>
    <col min="10244" max="10244" width="11" style="17" customWidth="1"/>
    <col min="10245" max="10245" width="12" style="17" bestFit="1" customWidth="1"/>
    <col min="10246" max="10246" width="14.85546875" style="17" customWidth="1"/>
    <col min="10247" max="10496" width="11.42578125" style="17"/>
    <col min="10497" max="10497" width="18.7109375" style="17" customWidth="1"/>
    <col min="10498" max="10498" width="13.7109375" style="17" bestFit="1" customWidth="1"/>
    <col min="10499" max="10499" width="17.28515625" style="17" customWidth="1"/>
    <col min="10500" max="10500" width="11" style="17" customWidth="1"/>
    <col min="10501" max="10501" width="12" style="17" bestFit="1" customWidth="1"/>
    <col min="10502" max="10502" width="14.85546875" style="17" customWidth="1"/>
    <col min="10503" max="10752" width="11.42578125" style="17"/>
    <col min="10753" max="10753" width="18.7109375" style="17" customWidth="1"/>
    <col min="10754" max="10754" width="13.7109375" style="17" bestFit="1" customWidth="1"/>
    <col min="10755" max="10755" width="17.28515625" style="17" customWidth="1"/>
    <col min="10756" max="10756" width="11" style="17" customWidth="1"/>
    <col min="10757" max="10757" width="12" style="17" bestFit="1" customWidth="1"/>
    <col min="10758" max="10758" width="14.85546875" style="17" customWidth="1"/>
    <col min="10759" max="11008" width="11.42578125" style="17"/>
    <col min="11009" max="11009" width="18.7109375" style="17" customWidth="1"/>
    <col min="11010" max="11010" width="13.7109375" style="17" bestFit="1" customWidth="1"/>
    <col min="11011" max="11011" width="17.28515625" style="17" customWidth="1"/>
    <col min="11012" max="11012" width="11" style="17" customWidth="1"/>
    <col min="11013" max="11013" width="12" style="17" bestFit="1" customWidth="1"/>
    <col min="11014" max="11014" width="14.85546875" style="17" customWidth="1"/>
    <col min="11015" max="11264" width="11.42578125" style="17"/>
    <col min="11265" max="11265" width="18.7109375" style="17" customWidth="1"/>
    <col min="11266" max="11266" width="13.7109375" style="17" bestFit="1" customWidth="1"/>
    <col min="11267" max="11267" width="17.28515625" style="17" customWidth="1"/>
    <col min="11268" max="11268" width="11" style="17" customWidth="1"/>
    <col min="11269" max="11269" width="12" style="17" bestFit="1" customWidth="1"/>
    <col min="11270" max="11270" width="14.85546875" style="17" customWidth="1"/>
    <col min="11271" max="11520" width="11.42578125" style="17"/>
    <col min="11521" max="11521" width="18.7109375" style="17" customWidth="1"/>
    <col min="11522" max="11522" width="13.7109375" style="17" bestFit="1" customWidth="1"/>
    <col min="11523" max="11523" width="17.28515625" style="17" customWidth="1"/>
    <col min="11524" max="11524" width="11" style="17" customWidth="1"/>
    <col min="11525" max="11525" width="12" style="17" bestFit="1" customWidth="1"/>
    <col min="11526" max="11526" width="14.85546875" style="17" customWidth="1"/>
    <col min="11527" max="11776" width="11.42578125" style="17"/>
    <col min="11777" max="11777" width="18.7109375" style="17" customWidth="1"/>
    <col min="11778" max="11778" width="13.7109375" style="17" bestFit="1" customWidth="1"/>
    <col min="11779" max="11779" width="17.28515625" style="17" customWidth="1"/>
    <col min="11780" max="11780" width="11" style="17" customWidth="1"/>
    <col min="11781" max="11781" width="12" style="17" bestFit="1" customWidth="1"/>
    <col min="11782" max="11782" width="14.85546875" style="17" customWidth="1"/>
    <col min="11783" max="12032" width="11.42578125" style="17"/>
    <col min="12033" max="12033" width="18.7109375" style="17" customWidth="1"/>
    <col min="12034" max="12034" width="13.7109375" style="17" bestFit="1" customWidth="1"/>
    <col min="12035" max="12035" width="17.28515625" style="17" customWidth="1"/>
    <col min="12036" max="12036" width="11" style="17" customWidth="1"/>
    <col min="12037" max="12037" width="12" style="17" bestFit="1" customWidth="1"/>
    <col min="12038" max="12038" width="14.85546875" style="17" customWidth="1"/>
    <col min="12039" max="12288" width="11.42578125" style="17"/>
    <col min="12289" max="12289" width="18.7109375" style="17" customWidth="1"/>
    <col min="12290" max="12290" width="13.7109375" style="17" bestFit="1" customWidth="1"/>
    <col min="12291" max="12291" width="17.28515625" style="17" customWidth="1"/>
    <col min="12292" max="12292" width="11" style="17" customWidth="1"/>
    <col min="12293" max="12293" width="12" style="17" bestFit="1" customWidth="1"/>
    <col min="12294" max="12294" width="14.85546875" style="17" customWidth="1"/>
    <col min="12295" max="12544" width="11.42578125" style="17"/>
    <col min="12545" max="12545" width="18.7109375" style="17" customWidth="1"/>
    <col min="12546" max="12546" width="13.7109375" style="17" bestFit="1" customWidth="1"/>
    <col min="12547" max="12547" width="17.28515625" style="17" customWidth="1"/>
    <col min="12548" max="12548" width="11" style="17" customWidth="1"/>
    <col min="12549" max="12549" width="12" style="17" bestFit="1" customWidth="1"/>
    <col min="12550" max="12550" width="14.85546875" style="17" customWidth="1"/>
    <col min="12551" max="12800" width="11.42578125" style="17"/>
    <col min="12801" max="12801" width="18.7109375" style="17" customWidth="1"/>
    <col min="12802" max="12802" width="13.7109375" style="17" bestFit="1" customWidth="1"/>
    <col min="12803" max="12803" width="17.28515625" style="17" customWidth="1"/>
    <col min="12804" max="12804" width="11" style="17" customWidth="1"/>
    <col min="12805" max="12805" width="12" style="17" bestFit="1" customWidth="1"/>
    <col min="12806" max="12806" width="14.85546875" style="17" customWidth="1"/>
    <col min="12807" max="13056" width="11.42578125" style="17"/>
    <col min="13057" max="13057" width="18.7109375" style="17" customWidth="1"/>
    <col min="13058" max="13058" width="13.7109375" style="17" bestFit="1" customWidth="1"/>
    <col min="13059" max="13059" width="17.28515625" style="17" customWidth="1"/>
    <col min="13060" max="13060" width="11" style="17" customWidth="1"/>
    <col min="13061" max="13061" width="12" style="17" bestFit="1" customWidth="1"/>
    <col min="13062" max="13062" width="14.85546875" style="17" customWidth="1"/>
    <col min="13063" max="13312" width="11.42578125" style="17"/>
    <col min="13313" max="13313" width="18.7109375" style="17" customWidth="1"/>
    <col min="13314" max="13314" width="13.7109375" style="17" bestFit="1" customWidth="1"/>
    <col min="13315" max="13315" width="17.28515625" style="17" customWidth="1"/>
    <col min="13316" max="13316" width="11" style="17" customWidth="1"/>
    <col min="13317" max="13317" width="12" style="17" bestFit="1" customWidth="1"/>
    <col min="13318" max="13318" width="14.85546875" style="17" customWidth="1"/>
    <col min="13319" max="13568" width="11.42578125" style="17"/>
    <col min="13569" max="13569" width="18.7109375" style="17" customWidth="1"/>
    <col min="13570" max="13570" width="13.7109375" style="17" bestFit="1" customWidth="1"/>
    <col min="13571" max="13571" width="17.28515625" style="17" customWidth="1"/>
    <col min="13572" max="13572" width="11" style="17" customWidth="1"/>
    <col min="13573" max="13573" width="12" style="17" bestFit="1" customWidth="1"/>
    <col min="13574" max="13574" width="14.85546875" style="17" customWidth="1"/>
    <col min="13575" max="13824" width="11.42578125" style="17"/>
    <col min="13825" max="13825" width="18.7109375" style="17" customWidth="1"/>
    <col min="13826" max="13826" width="13.7109375" style="17" bestFit="1" customWidth="1"/>
    <col min="13827" max="13827" width="17.28515625" style="17" customWidth="1"/>
    <col min="13828" max="13828" width="11" style="17" customWidth="1"/>
    <col min="13829" max="13829" width="12" style="17" bestFit="1" customWidth="1"/>
    <col min="13830" max="13830" width="14.85546875" style="17" customWidth="1"/>
    <col min="13831" max="14080" width="11.42578125" style="17"/>
    <col min="14081" max="14081" width="18.7109375" style="17" customWidth="1"/>
    <col min="14082" max="14082" width="13.7109375" style="17" bestFit="1" customWidth="1"/>
    <col min="14083" max="14083" width="17.28515625" style="17" customWidth="1"/>
    <col min="14084" max="14084" width="11" style="17" customWidth="1"/>
    <col min="14085" max="14085" width="12" style="17" bestFit="1" customWidth="1"/>
    <col min="14086" max="14086" width="14.85546875" style="17" customWidth="1"/>
    <col min="14087" max="14336" width="11.42578125" style="17"/>
    <col min="14337" max="14337" width="18.7109375" style="17" customWidth="1"/>
    <col min="14338" max="14338" width="13.7109375" style="17" bestFit="1" customWidth="1"/>
    <col min="14339" max="14339" width="17.28515625" style="17" customWidth="1"/>
    <col min="14340" max="14340" width="11" style="17" customWidth="1"/>
    <col min="14341" max="14341" width="12" style="17" bestFit="1" customWidth="1"/>
    <col min="14342" max="14342" width="14.85546875" style="17" customWidth="1"/>
    <col min="14343" max="14592" width="11.42578125" style="17"/>
    <col min="14593" max="14593" width="18.7109375" style="17" customWidth="1"/>
    <col min="14594" max="14594" width="13.7109375" style="17" bestFit="1" customWidth="1"/>
    <col min="14595" max="14595" width="17.28515625" style="17" customWidth="1"/>
    <col min="14596" max="14596" width="11" style="17" customWidth="1"/>
    <col min="14597" max="14597" width="12" style="17" bestFit="1" customWidth="1"/>
    <col min="14598" max="14598" width="14.85546875" style="17" customWidth="1"/>
    <col min="14599" max="14848" width="11.42578125" style="17"/>
    <col min="14849" max="14849" width="18.7109375" style="17" customWidth="1"/>
    <col min="14850" max="14850" width="13.7109375" style="17" bestFit="1" customWidth="1"/>
    <col min="14851" max="14851" width="17.28515625" style="17" customWidth="1"/>
    <col min="14852" max="14852" width="11" style="17" customWidth="1"/>
    <col min="14853" max="14853" width="12" style="17" bestFit="1" customWidth="1"/>
    <col min="14854" max="14854" width="14.85546875" style="17" customWidth="1"/>
    <col min="14855" max="15104" width="11.42578125" style="17"/>
    <col min="15105" max="15105" width="18.7109375" style="17" customWidth="1"/>
    <col min="15106" max="15106" width="13.7109375" style="17" bestFit="1" customWidth="1"/>
    <col min="15107" max="15107" width="17.28515625" style="17" customWidth="1"/>
    <col min="15108" max="15108" width="11" style="17" customWidth="1"/>
    <col min="15109" max="15109" width="12" style="17" bestFit="1" customWidth="1"/>
    <col min="15110" max="15110" width="14.85546875" style="17" customWidth="1"/>
    <col min="15111" max="15360" width="11.42578125" style="17"/>
    <col min="15361" max="15361" width="18.7109375" style="17" customWidth="1"/>
    <col min="15362" max="15362" width="13.7109375" style="17" bestFit="1" customWidth="1"/>
    <col min="15363" max="15363" width="17.28515625" style="17" customWidth="1"/>
    <col min="15364" max="15364" width="11" style="17" customWidth="1"/>
    <col min="15365" max="15365" width="12" style="17" bestFit="1" customWidth="1"/>
    <col min="15366" max="15366" width="14.85546875" style="17" customWidth="1"/>
    <col min="15367" max="15616" width="11.42578125" style="17"/>
    <col min="15617" max="15617" width="18.7109375" style="17" customWidth="1"/>
    <col min="15618" max="15618" width="13.7109375" style="17" bestFit="1" customWidth="1"/>
    <col min="15619" max="15619" width="17.28515625" style="17" customWidth="1"/>
    <col min="15620" max="15620" width="11" style="17" customWidth="1"/>
    <col min="15621" max="15621" width="12" style="17" bestFit="1" customWidth="1"/>
    <col min="15622" max="15622" width="14.85546875" style="17" customWidth="1"/>
    <col min="15623" max="15872" width="11.42578125" style="17"/>
    <col min="15873" max="15873" width="18.7109375" style="17" customWidth="1"/>
    <col min="15874" max="15874" width="13.7109375" style="17" bestFit="1" customWidth="1"/>
    <col min="15875" max="15875" width="17.28515625" style="17" customWidth="1"/>
    <col min="15876" max="15876" width="11" style="17" customWidth="1"/>
    <col min="15877" max="15877" width="12" style="17" bestFit="1" customWidth="1"/>
    <col min="15878" max="15878" width="14.85546875" style="17" customWidth="1"/>
    <col min="15879" max="16128" width="11.42578125" style="17"/>
    <col min="16129" max="16129" width="18.7109375" style="17" customWidth="1"/>
    <col min="16130" max="16130" width="13.7109375" style="17" bestFit="1" customWidth="1"/>
    <col min="16131" max="16131" width="17.28515625" style="17" customWidth="1"/>
    <col min="16132" max="16132" width="11" style="17" customWidth="1"/>
    <col min="16133" max="16133" width="12" style="17" bestFit="1" customWidth="1"/>
    <col min="16134" max="16134" width="14.85546875" style="17" customWidth="1"/>
    <col min="16135" max="16384" width="11.42578125" style="17"/>
  </cols>
  <sheetData>
    <row r="2" spans="1:11" x14ac:dyDescent="0.2">
      <c r="A2" s="17" t="s">
        <v>70</v>
      </c>
      <c r="B2" s="63">
        <f>'pooled normalised values'!B75</f>
        <v>8.907159649761319E-2</v>
      </c>
      <c r="D2" s="17" t="s">
        <v>9</v>
      </c>
      <c r="E2" s="18"/>
      <c r="F2" s="19" t="str">
        <f>'pooled normalised values'!J74</f>
        <v>Fadrozole 0,08µg/L</v>
      </c>
      <c r="G2" s="18"/>
      <c r="H2" s="20"/>
      <c r="I2" s="19" t="str">
        <f>'pooled normalised values'!R74</f>
        <v>Fadrozole-0,016 µg/L + Testostérone</v>
      </c>
      <c r="J2" s="20"/>
      <c r="K2" s="17" t="s">
        <v>9</v>
      </c>
    </row>
    <row r="3" spans="1:11" x14ac:dyDescent="0.2">
      <c r="A3" s="17" t="s">
        <v>71</v>
      </c>
      <c r="B3" s="63">
        <f>'summary results'!E6</f>
        <v>0</v>
      </c>
      <c r="D3" s="21" t="s">
        <v>10</v>
      </c>
      <c r="E3" s="22"/>
      <c r="F3" s="19">
        <f>HLOOKUP(F2,'pooled normalised values'!B74:V83,2,FALSE)</f>
        <v>6.7743271337803376E-2</v>
      </c>
      <c r="G3" s="22"/>
      <c r="H3" s="20"/>
      <c r="I3" s="19">
        <f>HLOOKUP(I2,'pooled normalised values'!N74:AL83,2,FALSE)</f>
        <v>0.75370850845562165</v>
      </c>
      <c r="J3" s="20"/>
      <c r="K3" s="21" t="s">
        <v>10</v>
      </c>
    </row>
    <row r="4" spans="1:11" x14ac:dyDescent="0.2">
      <c r="A4" s="17" t="s">
        <v>72</v>
      </c>
      <c r="B4" s="63">
        <f>'pooled normalised values'!O75</f>
        <v>1</v>
      </c>
      <c r="D4" s="21" t="s">
        <v>2</v>
      </c>
      <c r="E4" s="22"/>
      <c r="F4" s="19">
        <f>HLOOKUP(F2,'pooled normalised values'!B74:V83,3,FALSE)</f>
        <v>1.2533610873063121E-2</v>
      </c>
      <c r="G4" s="22"/>
      <c r="H4" s="20"/>
      <c r="I4" s="19">
        <f>HLOOKUP(I2,'pooled normalised values'!N74:AL83,3,FALSE)</f>
        <v>0.1302917453040916</v>
      </c>
      <c r="J4" s="20"/>
      <c r="K4" s="21" t="s">
        <v>2</v>
      </c>
    </row>
    <row r="5" spans="1:11" x14ac:dyDescent="0.2">
      <c r="A5" s="17" t="s">
        <v>73</v>
      </c>
      <c r="B5" s="63">
        <f>'pooled normalised values'!P75</f>
        <v>1.6184482696749121</v>
      </c>
      <c r="D5" s="23" t="s">
        <v>11</v>
      </c>
      <c r="E5" s="22"/>
      <c r="F5" s="19" t="str">
        <f>HLOOKUP(F2,'pooled normalised values'!B74:V83,10,FALSE)</f>
        <v>NS</v>
      </c>
      <c r="G5" s="22"/>
      <c r="H5" s="20"/>
      <c r="I5" s="19" t="str">
        <f>HLOOKUP(I2,'pooled normalised values'!N74:AL83,10,FALSE)</f>
        <v>NS</v>
      </c>
      <c r="J5" s="20"/>
      <c r="K5" s="23" t="s">
        <v>11</v>
      </c>
    </row>
    <row r="6" spans="1:11" x14ac:dyDescent="0.2">
      <c r="A6" s="17" t="s">
        <v>74</v>
      </c>
      <c r="B6" s="63">
        <f>'pooled normalised values'!Q75</f>
        <v>9.0282833742067026E-2</v>
      </c>
      <c r="D6" s="21" t="s">
        <v>12</v>
      </c>
      <c r="E6" s="24">
        <f>$B$2</f>
        <v>8.907159649761319E-2</v>
      </c>
      <c r="F6" s="24">
        <f>$B$2</f>
        <v>8.907159649761319E-2</v>
      </c>
      <c r="G6" s="24">
        <f>$B$2</f>
        <v>8.907159649761319E-2</v>
      </c>
      <c r="H6" s="25"/>
      <c r="I6" s="25"/>
      <c r="J6" s="25"/>
      <c r="K6" s="21" t="s">
        <v>12</v>
      </c>
    </row>
    <row r="7" spans="1:11" x14ac:dyDescent="0.2">
      <c r="B7" s="26"/>
      <c r="D7" s="26" t="s">
        <v>13</v>
      </c>
      <c r="E7" s="24"/>
      <c r="F7" s="24"/>
      <c r="G7" s="27"/>
      <c r="H7" s="25">
        <f t="shared" ref="H7:J7" si="0">$B$4</f>
        <v>1</v>
      </c>
      <c r="I7" s="25">
        <f t="shared" si="0"/>
        <v>1</v>
      </c>
      <c r="J7" s="25">
        <f t="shared" si="0"/>
        <v>1</v>
      </c>
      <c r="K7" s="26" t="s">
        <v>13</v>
      </c>
    </row>
    <row r="8" spans="1:11" x14ac:dyDescent="0.2">
      <c r="D8" s="28" t="s">
        <v>14</v>
      </c>
      <c r="E8" s="24">
        <v>0</v>
      </c>
      <c r="F8" s="24">
        <v>0</v>
      </c>
      <c r="G8" s="27">
        <v>0</v>
      </c>
      <c r="H8" s="25">
        <f>$B$6</f>
        <v>9.0282833742067026E-2</v>
      </c>
      <c r="I8" s="25">
        <f t="shared" ref="I8:J8" si="1">$B$6</f>
        <v>9.0282833742067026E-2</v>
      </c>
      <c r="J8" s="25">
        <f t="shared" si="1"/>
        <v>9.0282833742067026E-2</v>
      </c>
      <c r="K8" s="28" t="s">
        <v>14</v>
      </c>
    </row>
    <row r="9" spans="1:11" x14ac:dyDescent="0.2">
      <c r="D9" s="28" t="s">
        <v>15</v>
      </c>
      <c r="E9" s="29">
        <f>$B$3-E8</f>
        <v>0</v>
      </c>
      <c r="F9" s="29">
        <f>$B$3-F8</f>
        <v>0</v>
      </c>
      <c r="G9" s="29">
        <f>$B$3-G8</f>
        <v>0</v>
      </c>
      <c r="H9" s="25">
        <f>$B$5-H8</f>
        <v>1.5281654359328449</v>
      </c>
      <c r="I9" s="25">
        <f>$B$5-I8</f>
        <v>1.5281654359328449</v>
      </c>
      <c r="J9" s="25">
        <f>$B$5-J8</f>
        <v>1.5281654359328449</v>
      </c>
      <c r="K9" s="28" t="s">
        <v>15</v>
      </c>
    </row>
    <row r="10" spans="1:11" x14ac:dyDescent="0.2">
      <c r="D10" s="28" t="s">
        <v>16</v>
      </c>
      <c r="E10" s="27">
        <f t="shared" ref="E10:J10" si="2">2.5-E9</f>
        <v>2.5</v>
      </c>
      <c r="F10" s="27">
        <f t="shared" si="2"/>
        <v>2.5</v>
      </c>
      <c r="G10" s="27">
        <f t="shared" si="2"/>
        <v>2.5</v>
      </c>
      <c r="H10" s="25">
        <f t="shared" si="2"/>
        <v>0.97183456406715507</v>
      </c>
      <c r="I10" s="25">
        <f t="shared" si="2"/>
        <v>0.97183456406715507</v>
      </c>
      <c r="J10" s="25">
        <f t="shared" si="2"/>
        <v>0.97183456406715507</v>
      </c>
      <c r="K10" s="28" t="s">
        <v>16</v>
      </c>
    </row>
    <row r="17" spans="2:7" x14ac:dyDescent="0.2">
      <c r="C17" s="23"/>
      <c r="D17" s="23"/>
    </row>
    <row r="18" spans="2:7" x14ac:dyDescent="0.2">
      <c r="B18" s="30"/>
    </row>
    <row r="19" spans="2:7" x14ac:dyDescent="0.2">
      <c r="B19" s="30"/>
    </row>
    <row r="20" spans="2:7" x14ac:dyDescent="0.2">
      <c r="B20" s="31"/>
    </row>
    <row r="21" spans="2:7" x14ac:dyDescent="0.2">
      <c r="B21" s="30"/>
    </row>
    <row r="22" spans="2:7" x14ac:dyDescent="0.2">
      <c r="B22" s="30"/>
      <c r="G22" s="23"/>
    </row>
    <row r="23" spans="2:7" x14ac:dyDescent="0.2">
      <c r="B23" s="31"/>
      <c r="G23" s="23"/>
    </row>
    <row r="24" spans="2:7" x14ac:dyDescent="0.2">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5" x14ac:dyDescent="0.25"/>
  <cols>
    <col min="1" max="1" width="11.42578125" style="1"/>
    <col min="3" max="3" width="15.28515625" customWidth="1"/>
    <col min="4" max="4" width="13.7109375" customWidth="1"/>
    <col min="5" max="5" width="18.28515625" customWidth="1"/>
    <col min="6" max="6" width="14" customWidth="1"/>
    <col min="7" max="7" width="14.42578125" customWidth="1"/>
    <col min="8" max="8" width="14.28515625" customWidth="1"/>
    <col min="9" max="9" width="17" customWidth="1"/>
    <col min="10" max="10" width="12.5703125" customWidth="1"/>
    <col min="11" max="11" width="13.140625" customWidth="1"/>
    <col min="12" max="12" width="15.7109375" customWidth="1"/>
    <col min="13" max="14" width="16.140625" customWidth="1"/>
    <col min="17" max="23" width="9.7109375" customWidth="1"/>
  </cols>
  <sheetData>
    <row r="1" spans="1:23" ht="45.75" thickBot="1" x14ac:dyDescent="0.3">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4" t="s">
        <v>99</v>
      </c>
      <c r="R1" s="234"/>
      <c r="S1" s="234"/>
      <c r="U1" s="234" t="s">
        <v>98</v>
      </c>
      <c r="V1" s="234"/>
      <c r="W1" s="234"/>
    </row>
    <row r="2" spans="1:23" x14ac:dyDescent="0.2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25">
      <c r="A3" s="1" t="str">
        <f>Q7</f>
        <v>Fadrozole 0,016µg/L</v>
      </c>
      <c r="B3" t="str">
        <f t="shared" si="0"/>
        <v>Fadrozole-0,016 µg/L + Testostérone</v>
      </c>
      <c r="D3" t="str">
        <f>CONCATENATE(VLOOKUP(Tableau3[[#This Row],[Nom ND]],liste_groupe[],3,FALSE),VLOOKUP(Tableau3[[#This Row],[Nom ND]],liste_groupe[],4,FALSE))</f>
        <v>0,016µg/L</v>
      </c>
      <c r="E3">
        <f>HLOOKUP(Tableau3[[#This Row],[Nom ND]],'pooled normalised values'!$B$74:$V$83,4,FALSE)</f>
        <v>8.5103208388041054</v>
      </c>
      <c r="F3" t="str">
        <f>HLOOKUP(Tableau3[[#This Row],[Nom ND]],'pooled normalised values'!$B$74:$V$83,8,FALSE)</f>
        <v>Kruskal-Wallis</v>
      </c>
      <c r="G3" t="str">
        <f>VLOOKUP(Tableau3[[#This Row],[Nom ND]],'summary results'!$A$6:$N$26,9,FALSE)</f>
        <v>NC</v>
      </c>
      <c r="H3">
        <f>VLOOKUP(Tableau3[[#This Row],[Nom ND]],'summary results'!$A$6:$N$26,11,FALSE)</f>
        <v>0</v>
      </c>
      <c r="I3">
        <f>HLOOKUP(Tableau3[[#This Row],[Nom D]],'pooled normalised values'!$B$74:$V$83,4,FALSE)</f>
        <v>-24.62914915443784</v>
      </c>
      <c r="J3" t="str">
        <f>HLOOKUP(Tableau3[[#This Row],[Nom D]],'pooled normalised values'!$B$74:$V$83,8,FALSE)</f>
        <v>Krustall Wallis</v>
      </c>
      <c r="K3" t="str">
        <f>VLOOKUP(Tableau3[[#This Row],[Nom D]],'summary results'!$A$29:$N$51,9,FALSE)</f>
        <v>NC</v>
      </c>
      <c r="L3">
        <f>VLOOKUP(Tableau3[[#This Row],[Nom D]],'summary results'!$A$29:$N$51,11,FALSE)</f>
        <v>0</v>
      </c>
      <c r="M3" s="1" t="e">
        <f>'summary results'!$G$30</f>
        <v>#NUM!</v>
      </c>
      <c r="N3" s="1" t="e">
        <f>'summary results'!$G$31</f>
        <v>#NUM!</v>
      </c>
      <c r="Q3" s="118" t="s">
        <v>78</v>
      </c>
      <c r="R3" s="1" t="s">
        <v>106</v>
      </c>
      <c r="U3" s="118" t="s">
        <v>78</v>
      </c>
      <c r="V3" s="1" t="s">
        <v>50</v>
      </c>
    </row>
    <row r="4" spans="1:23" x14ac:dyDescent="0.25">
      <c r="A4" s="1" t="str">
        <f t="shared" ref="A4:A15" si="1">Q8</f>
        <v>Fadrozole 0,08µg/L</v>
      </c>
      <c r="B4" s="44" t="str">
        <f t="shared" ref="B4:B15" si="2">U8</f>
        <v>Fadrozole-0,08µg/L + Testostérone</v>
      </c>
      <c r="D4" s="44" t="str">
        <f>CONCATENATE(VLOOKUP(Tableau3[[#This Row],[Nom ND]],liste_groupe[],3,FALSE),VLOOKUP(Tableau3[[#This Row],[Nom ND]],liste_groupe[],4,FALSE))</f>
        <v>0,08µg/L</v>
      </c>
      <c r="E4" s="44">
        <f>HLOOKUP(Tableau3[[#This Row],[Nom ND]],'pooled normalised values'!$B$74:$V$83,4,FALSE)</f>
        <v>-23.945147497587897</v>
      </c>
      <c r="F4" s="44" t="str">
        <f>HLOOKUP(Tableau3[[#This Row],[Nom ND]],'pooled normalised values'!$B$74:$V$83,8,FALSE)</f>
        <v>Krustall Wallis</v>
      </c>
      <c r="G4" s="44" t="str">
        <f>VLOOKUP(Tableau3[[#This Row],[Nom ND]],'summary results'!$A$6:$N$26,9,FALSE)</f>
        <v>NC</v>
      </c>
      <c r="H4" s="44">
        <f>VLOOKUP(Tableau3[[#This Row],[Nom ND]],'summary results'!$A$6:$N$26,11,FALSE)</f>
        <v>0</v>
      </c>
      <c r="I4" s="44">
        <f>HLOOKUP(Tableau3[[#This Row],[Nom D]],'pooled normalised values'!$B$74:$V$83,4,FALSE)</f>
        <v>-22.933066326807662</v>
      </c>
      <c r="J4" s="44" t="str">
        <f>HLOOKUP(Tableau3[[#This Row],[Nom D]],'pooled normalised values'!$B$74:$V$83,8,FALSE)</f>
        <v>Krustall Wallis</v>
      </c>
      <c r="K4" s="44" t="str">
        <f>VLOOKUP(Tableau3[[#This Row],[Nom D]],'summary results'!$A$29:$N$51,9,FALSE)</f>
        <v>NC</v>
      </c>
      <c r="L4" s="44">
        <f>VLOOKUP(Tableau3[[#This Row],[Nom D]],'summary results'!$A$29:$N$51,11,FALSE)</f>
        <v>0</v>
      </c>
      <c r="M4" t="e">
        <f>'summary results'!$G$30</f>
        <v>#NUM!</v>
      </c>
      <c r="N4" t="e">
        <f>'summary results'!$G$31</f>
        <v>#NUM!</v>
      </c>
    </row>
    <row r="5" spans="1:23" x14ac:dyDescent="0.25">
      <c r="A5" s="1" t="str">
        <f t="shared" si="1"/>
        <v>Fadrozole 0,4µg/L</v>
      </c>
      <c r="B5" s="44" t="str">
        <f t="shared" si="2"/>
        <v>Fadrozole-0,4µg/L + Testostérone</v>
      </c>
      <c r="D5" s="44" t="str">
        <f>CONCATENATE(VLOOKUP(Tableau3[[#This Row],[Nom ND]],liste_groupe[],3,FALSE),VLOOKUP(Tableau3[[#This Row],[Nom ND]],liste_groupe[],4,FALSE))</f>
        <v>0,4µg/L</v>
      </c>
      <c r="E5" s="44">
        <f>HLOOKUP(Tableau3[[#This Row],[Nom ND]],'pooled normalised values'!$B$74:$V$83,4,FALSE)</f>
        <v>-6.1453866883325787</v>
      </c>
      <c r="F5" s="44" t="str">
        <f>HLOOKUP(Tableau3[[#This Row],[Nom ND]],'pooled normalised values'!$B$74:$V$83,8,FALSE)</f>
        <v>Krustall Wallis</v>
      </c>
      <c r="G5" s="44" t="str">
        <f>VLOOKUP(Tableau3[[#This Row],[Nom ND]],'summary results'!$A$6:$N$26,9,FALSE)</f>
        <v>NC</v>
      </c>
      <c r="H5" s="44">
        <f>VLOOKUP(Tableau3[[#This Row],[Nom ND]],'summary results'!$A$6:$N$26,11,FALSE)</f>
        <v>0</v>
      </c>
      <c r="I5" s="44">
        <f>HLOOKUP(Tableau3[[#This Row],[Nom D]],'pooled normalised values'!$B$74:$V$83,4,FALSE)</f>
        <v>-70.591060172615954</v>
      </c>
      <c r="J5" s="44" t="str">
        <f>HLOOKUP(Tableau3[[#This Row],[Nom D]],'pooled normalised values'!$B$74:$V$83,8,FALSE)</f>
        <v>Krustall Wallis</v>
      </c>
      <c r="K5" s="44" t="e">
        <f>VLOOKUP(Tableau3[[#This Row],[Nom D]],'summary results'!$A$29:$N$51,9,FALSE)</f>
        <v>#NUM!</v>
      </c>
      <c r="L5" s="44" t="e">
        <f>VLOOKUP(Tableau3[[#This Row],[Nom D]],'summary results'!$A$29:$N$51,11,FALSE)</f>
        <v>#NUM!</v>
      </c>
      <c r="M5" t="e">
        <f>'summary results'!$G$30</f>
        <v>#NUM!</v>
      </c>
      <c r="N5" t="e">
        <f>'summary results'!$G$31</f>
        <v>#NUM!</v>
      </c>
      <c r="Q5" s="118" t="s">
        <v>100</v>
      </c>
      <c r="U5" s="118" t="s">
        <v>100</v>
      </c>
    </row>
    <row r="6" spans="1:23" x14ac:dyDescent="0.25">
      <c r="A6" s="1" t="str">
        <f t="shared" si="1"/>
        <v>Fadrozole 2µg/L</v>
      </c>
      <c r="B6" s="44" t="str">
        <f t="shared" si="2"/>
        <v>Fadrozole-2µg/L + Testostérone</v>
      </c>
      <c r="D6" s="44" t="str">
        <f>CONCATENATE(VLOOKUP(Tableau3[[#This Row],[Nom ND]],liste_groupe[],3,FALSE),VLOOKUP(Tableau3[[#This Row],[Nom ND]],liste_groupe[],4,FALSE))</f>
        <v>2µg/L</v>
      </c>
      <c r="E6" s="44">
        <f>HLOOKUP(Tableau3[[#This Row],[Nom ND]],'pooled normalised values'!$B$74:$V$83,4,FALSE)</f>
        <v>2.9250317603926561</v>
      </c>
      <c r="F6" s="44" t="str">
        <f>HLOOKUP(Tableau3[[#This Row],[Nom ND]],'pooled normalised values'!$B$74:$V$83,8,FALSE)</f>
        <v>Krustall Wallis</v>
      </c>
      <c r="G6" s="44" t="str">
        <f>VLOOKUP(Tableau3[[#This Row],[Nom ND]],'summary results'!$A$6:$N$26,9,FALSE)</f>
        <v>NC</v>
      </c>
      <c r="H6" s="44">
        <f>VLOOKUP(Tableau3[[#This Row],[Nom ND]],'summary results'!$A$6:$N$26,11,FALSE)</f>
        <v>0</v>
      </c>
      <c r="I6" s="44">
        <f>HLOOKUP(Tableau3[[#This Row],[Nom D]],'pooled normalised values'!$B$74:$V$83,4,FALSE)</f>
        <v>-91.568361378049701</v>
      </c>
      <c r="J6" s="44" t="str">
        <f>HLOOKUP(Tableau3[[#This Row],[Nom D]],'pooled normalised values'!$B$74:$V$83,8,FALSE)</f>
        <v>Krustall Wallis</v>
      </c>
      <c r="K6" s="44" t="e">
        <f>VLOOKUP(Tableau3[[#This Row],[Nom D]],'summary results'!$A$29:$N$51,9,FALSE)</f>
        <v>#NUM!</v>
      </c>
      <c r="L6" s="44" t="e">
        <f>VLOOKUP(Tableau3[[#This Row],[Nom D]],'summary results'!$A$29:$N$51,11,FALSE)</f>
        <v>#NUM!</v>
      </c>
      <c r="M6" t="e">
        <f>'summary results'!$G$30</f>
        <v>#NUM!</v>
      </c>
      <c r="N6" t="e">
        <f>'summary results'!$G$31</f>
        <v>#NUM!</v>
      </c>
      <c r="Q6" s="145" t="s">
        <v>112</v>
      </c>
      <c r="U6" s="145" t="s">
        <v>101</v>
      </c>
    </row>
    <row r="7" spans="1:23" x14ac:dyDescent="0.25">
      <c r="A7" s="1" t="str">
        <f t="shared" si="1"/>
        <v>Fadrozole 10µg/L</v>
      </c>
      <c r="B7" s="44" t="str">
        <f t="shared" si="2"/>
        <v>Fadrozole-10 µg/L + Testostérone</v>
      </c>
      <c r="D7" s="44" t="str">
        <f>CONCATENATE(VLOOKUP(Tableau3[[#This Row],[Nom ND]],liste_groupe[],3,FALSE),VLOOKUP(Tableau3[[#This Row],[Nom ND]],liste_groupe[],4,FALSE))</f>
        <v>10 µg/L</v>
      </c>
      <c r="E7" s="44">
        <f>HLOOKUP(Tableau3[[#This Row],[Nom ND]],'pooled normalised values'!$B$74:$V$83,4,FALSE)</f>
        <v>5.1430656207687235</v>
      </c>
      <c r="F7" s="44" t="str">
        <f>HLOOKUP(Tableau3[[#This Row],[Nom ND]],'pooled normalised values'!$B$74:$V$83,8,FALSE)</f>
        <v>Krustall Wallis</v>
      </c>
      <c r="G7" s="44" t="str">
        <f>VLOOKUP(Tableau3[[#This Row],[Nom ND]],'summary results'!$A$6:$N$26,9,FALSE)</f>
        <v>NC</v>
      </c>
      <c r="H7" s="44">
        <f>VLOOKUP(Tableau3[[#This Row],[Nom ND]],'summary results'!$A$6:$N$26,11,FALSE)</f>
        <v>0</v>
      </c>
      <c r="I7" s="44">
        <f>HLOOKUP(Tableau3[[#This Row],[Nom D]],'pooled normalised values'!$B$74:$V$83,4,FALSE)</f>
        <v>-93.139496005286375</v>
      </c>
      <c r="J7" s="44" t="str">
        <f>HLOOKUP(Tableau3[[#This Row],[Nom D]],'pooled normalised values'!$B$74:$V$83,8,FALSE)</f>
        <v>Krustall Wallis</v>
      </c>
      <c r="K7" s="44" t="e">
        <f>VLOOKUP(Tableau3[[#This Row],[Nom D]],'summary results'!$A$29:$N$51,9,FALSE)</f>
        <v>#NUM!</v>
      </c>
      <c r="L7" s="44" t="e">
        <f>VLOOKUP(Tableau3[[#This Row],[Nom D]],'summary results'!$A$29:$N$51,11,FALSE)</f>
        <v>#NUM!</v>
      </c>
      <c r="M7" t="e">
        <f>'summary results'!$G$30</f>
        <v>#NUM!</v>
      </c>
      <c r="N7" t="e">
        <f>'summary results'!$G$31</f>
        <v>#NUM!</v>
      </c>
      <c r="Q7" s="145" t="s">
        <v>165</v>
      </c>
      <c r="U7" s="145" t="s">
        <v>1593</v>
      </c>
    </row>
    <row r="8" spans="1:23" x14ac:dyDescent="0.25">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c r="Q8" s="145" t="s">
        <v>166</v>
      </c>
      <c r="U8" s="145" t="s">
        <v>1594</v>
      </c>
    </row>
    <row r="9" spans="1:23" x14ac:dyDescent="0.2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c r="Q9" s="145" t="s">
        <v>167</v>
      </c>
      <c r="U9" s="145" t="s">
        <v>1595</v>
      </c>
    </row>
    <row r="10" spans="1:23" x14ac:dyDescent="0.2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c r="Q10" s="145" t="s">
        <v>168</v>
      </c>
      <c r="U10" s="145" t="s">
        <v>1596</v>
      </c>
    </row>
    <row r="11" spans="1:23" x14ac:dyDescent="0.2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c r="Q11" s="145" t="s">
        <v>169</v>
      </c>
      <c r="U11" s="145" t="s">
        <v>1597</v>
      </c>
    </row>
    <row r="12" spans="1:23" x14ac:dyDescent="0.2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2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2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2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9EBDF2-0B1E-4BD6-A4CB-6E57157072B3}"/>
</file>

<file path=customXml/itemProps2.xml><?xml version="1.0" encoding="utf-8"?>
<ds:datastoreItem xmlns:ds="http://schemas.openxmlformats.org/officeDocument/2006/customXml" ds:itemID="{9F0C71A6-66D4-4EE6-AF3F-8915FFB8807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2021-04-09T14:43:50Z</dcterms:modified>
</cp:coreProperties>
</file>