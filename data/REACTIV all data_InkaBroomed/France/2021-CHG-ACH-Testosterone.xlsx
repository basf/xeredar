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drawings/drawing15.xml" ContentType="application/vnd.openxmlformats-officedocument.drawingml.chartshapes+xml"/>
  <Override PartName="/xl/drawings/drawing10.xml" ContentType="application/vnd.openxmlformats-officedocument.drawingml.chartshapes+xml"/>
  <Override PartName="/xl/drawings/drawing4.xml" ContentType="application/vnd.openxmlformats-officedocument.drawingml.chartshapes+xml"/>
  <Override PartName="/xl/drawings/drawing13.xml" ContentType="application/vnd.openxmlformats-officedocument.drawingml.chartshapes+xml"/>
  <Override PartName="/xl/drawings/drawing18.xml" ContentType="application/vnd.openxmlformats-officedocument.drawingml.chartshapes+xml"/>
  <Override PartName="/xl/drawings/drawing17.xml" ContentType="application/vnd.openxmlformats-officedocument.drawingml.chartshapes+xml"/>
  <Override PartName="/xl/drawings/drawing16.xml" ContentType="application/vnd.openxmlformats-officedocument.drawingml.chartshapes+xml"/>
  <Override PartName="/xl/drawings/drawing12.xml" ContentType="application/vnd.openxmlformats-officedocument.drawingml.chartshapes+xml"/>
  <Override PartName="/xl/drawings/drawing11.xml" ContentType="application/vnd.openxmlformats-officedocument.drawingml.chartshapes+xml"/>
  <Override PartName="/xl/drawings/drawing2.xml" ContentType="application/vnd.openxmlformats-officedocument.drawingml.chartshapes+xml"/>
  <Override PartName="/xl/drawings/drawing6.xml" ContentType="application/vnd.openxmlformats-officedocument.drawingml.chartshap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heets/sheet1.xml" ContentType="application/vnd.openxmlformats-officedocument.spreadsheetml.chartsheet+xml"/>
  <Override PartName="/xl/worksheets/sheet5.xml" ContentType="application/vnd.openxmlformats-officedocument.spreadsheetml.worksheet+xml"/>
  <Override PartName="/xl/worksheets/sheet6.xml" ContentType="application/vnd.openxmlformats-officedocument.spreadsheetml.worksheet+xml"/>
  <Override PartName="/xl/chartsheets/sheet2.xml" ContentType="application/vnd.openxmlformats-officedocument.spreadsheetml.chart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3.xml" ContentType="application/vnd.openxmlformats-officedocument.spreadsheetml.chartsheet+xml"/>
  <Override PartName="/xl/worksheets/sheet9.xml" ContentType="application/vnd.openxmlformats-officedocument.spreadsheetml.worksheet+xml"/>
  <Override PartName="/xl/chartsheets/sheet4.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9.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14.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pivotTables/pivotTable4.xml" ContentType="application/vnd.openxmlformats-officedocument.spreadsheetml.pivotTable+xml"/>
  <Override PartName="/xl/pivotTables/pivotTable5.xml" ContentType="application/vnd.openxmlformats-officedocument.spreadsheetml.pivotTable+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tables/table6.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filterPrivacy="1" hidePivotFieldList="1" defaultThemeVersion="124226"/>
  <xr:revisionPtr revIDLastSave="0" documentId="13_ncr:1_{E3AB5F86-83A1-4FC2-8A9E-EB1892D63F79}" xr6:coauthVersionLast="46" xr6:coauthVersionMax="46" xr10:uidLastSave="{00000000-0000-0000-0000-000000000000}"/>
  <bookViews>
    <workbookView xWindow="-120" yWindow="-120" windowWidth="29040" windowHeight="15840" xr2:uid="{00000000-000D-0000-FFFF-FFFF00000000}"/>
  </bookViews>
  <sheets>
    <sheet name="Page de garde" sheetId="10" r:id="rId1"/>
    <sheet name="Feuil1" sheetId="39" r:id="rId2"/>
    <sheet name="Raw data R1" sheetId="35" r:id="rId3"/>
    <sheet name="R1" sheetId="1" r:id="rId4"/>
    <sheet name="Graph R1" sheetId="8" r:id="rId5"/>
    <sheet name="Raw data R2" sheetId="36" r:id="rId6"/>
    <sheet name="R2" sheetId="23" r:id="rId7"/>
    <sheet name="Graph R2" sheetId="19" r:id="rId8"/>
    <sheet name="Raw data R3" sheetId="37" r:id="rId9"/>
    <sheet name="R3" sheetId="33" r:id="rId10"/>
    <sheet name="Graph R3" sheetId="34" r:id="rId11"/>
    <sheet name="pooled normalised values" sheetId="4" r:id="rId12"/>
    <sheet name="pooled normalised graphe" sheetId="5" r:id="rId13"/>
    <sheet name="summary results" sheetId="22" r:id="rId14"/>
    <sheet name="Notice" sheetId="38" r:id="rId15"/>
    <sheet name="Graph format rapport CHG" sheetId="12" r:id="rId16"/>
    <sheet name="Graph format rapport CHG 1éch" sheetId="27" r:id="rId17"/>
    <sheet name="Récap" sheetId="28" r:id="rId18"/>
  </sheets>
  <externalReferences>
    <externalReference r:id="rId19"/>
  </externalReferences>
  <definedNames>
    <definedName name="_xlnm.Print_Area" localSheetId="0">'Page de garde'!$A$1:$I$52</definedName>
  </definedNames>
  <calcPr calcId="191029"/>
  <pivotCaches>
    <pivotCache cacheId="0" r:id="rId20"/>
    <pivotCache cacheId="1" r:id="rId21"/>
    <pivotCache cacheId="2" r:id="rId22"/>
    <pivotCache cacheId="3" r:id="rId23"/>
  </pivotCaches>
</workbook>
</file>

<file path=xl/calcChain.xml><?xml version="1.0" encoding="utf-8"?>
<calcChain xmlns="http://schemas.openxmlformats.org/spreadsheetml/2006/main">
  <c r="V4" i="33" l="1"/>
  <c r="U4" i="33"/>
  <c r="T4" i="33"/>
  <c r="S4" i="33"/>
  <c r="R4" i="33"/>
  <c r="M4" i="33"/>
  <c r="L4" i="33"/>
  <c r="K4" i="33"/>
  <c r="J4" i="33"/>
  <c r="I4" i="33"/>
  <c r="V4" i="23"/>
  <c r="U4" i="23"/>
  <c r="T4" i="23"/>
  <c r="S4" i="23"/>
  <c r="R4" i="23"/>
  <c r="M4" i="23"/>
  <c r="L4" i="23"/>
  <c r="K4" i="23"/>
  <c r="J4" i="23"/>
  <c r="I4" i="23"/>
  <c r="V4" i="1"/>
  <c r="U4" i="1"/>
  <c r="T4" i="1"/>
  <c r="S4" i="1"/>
  <c r="R4" i="1"/>
  <c r="M4" i="1"/>
  <c r="L4" i="1"/>
  <c r="K4" i="1"/>
  <c r="J4" i="1"/>
  <c r="I4" i="1"/>
  <c r="T83" i="4"/>
  <c r="V83" i="4"/>
  <c r="R83" i="4"/>
  <c r="S83" i="4"/>
  <c r="U83" i="4"/>
  <c r="F83" i="4"/>
  <c r="C83" i="4"/>
  <c r="D83" i="4"/>
  <c r="E83" i="4"/>
  <c r="G83" i="4"/>
  <c r="H83" i="4"/>
  <c r="C61" i="33"/>
  <c r="D61" i="33"/>
  <c r="E61" i="33"/>
  <c r="F61" i="33"/>
  <c r="G61" i="33"/>
  <c r="H61" i="33"/>
  <c r="R61" i="23"/>
  <c r="S61" i="23"/>
  <c r="T61" i="23"/>
  <c r="U61" i="23"/>
  <c r="V61" i="23"/>
  <c r="I61" i="23"/>
  <c r="J61" i="23"/>
  <c r="K61" i="23"/>
  <c r="L61" i="23"/>
  <c r="M61" i="23"/>
  <c r="U61" i="1"/>
  <c r="V61" i="1"/>
  <c r="R61" i="1"/>
  <c r="S61" i="1"/>
  <c r="T61" i="1"/>
  <c r="C61" i="1"/>
  <c r="D61" i="1"/>
  <c r="E61" i="1"/>
  <c r="F61" i="1"/>
  <c r="G61" i="1"/>
  <c r="H61" i="1"/>
  <c r="A1011" i="37"/>
  <c r="B1011" i="37"/>
  <c r="A1012" i="37"/>
  <c r="B1012" i="37"/>
  <c r="A1013" i="37"/>
  <c r="B1013" i="37"/>
  <c r="A1014" i="37"/>
  <c r="B1014" i="37"/>
  <c r="A1015" i="37"/>
  <c r="B1015" i="37"/>
  <c r="A1016" i="37"/>
  <c r="B1016" i="37"/>
  <c r="A1017" i="37"/>
  <c r="B1017" i="37"/>
  <c r="A1018" i="37"/>
  <c r="B1018" i="37"/>
  <c r="A1019" i="37"/>
  <c r="B1019" i="37"/>
  <c r="A1020" i="37"/>
  <c r="B1020" i="37"/>
  <c r="A1021" i="37"/>
  <c r="B1021" i="37"/>
  <c r="A1022" i="37"/>
  <c r="B1022" i="37"/>
  <c r="A1023" i="37"/>
  <c r="B1023" i="37"/>
  <c r="A1024" i="37"/>
  <c r="B1024" i="37"/>
  <c r="A1025" i="37"/>
  <c r="B1025" i="37"/>
  <c r="A1026" i="37"/>
  <c r="B1026" i="37"/>
  <c r="A1027" i="37"/>
  <c r="B1027" i="37"/>
  <c r="A1028" i="37"/>
  <c r="B1028" i="37"/>
  <c r="A1029" i="37"/>
  <c r="B1029" i="37"/>
  <c r="A1030" i="37"/>
  <c r="B1030" i="37"/>
  <c r="A1031" i="37"/>
  <c r="B1031" i="37"/>
  <c r="A1032" i="37"/>
  <c r="B1032" i="37"/>
  <c r="A1033" i="37"/>
  <c r="B1033" i="37"/>
  <c r="A1034" i="37"/>
  <c r="B1034" i="37"/>
  <c r="A1035" i="37"/>
  <c r="B1035" i="37"/>
  <c r="A1036" i="37"/>
  <c r="B1036" i="37"/>
  <c r="A1037" i="37"/>
  <c r="B1037" i="37"/>
  <c r="A1038" i="37"/>
  <c r="B1038" i="37"/>
  <c r="A1039" i="37"/>
  <c r="B1039" i="37"/>
  <c r="A1040" i="37"/>
  <c r="B1040" i="37"/>
  <c r="A1041" i="37"/>
  <c r="B1041" i="37"/>
  <c r="A1042" i="37"/>
  <c r="B1042" i="37"/>
  <c r="A1043" i="37"/>
  <c r="B1043" i="37"/>
  <c r="A1044" i="37"/>
  <c r="B1044" i="37"/>
  <c r="A1045" i="37"/>
  <c r="B1045" i="37"/>
  <c r="A1046" i="37"/>
  <c r="B1046" i="37"/>
  <c r="A1047" i="37"/>
  <c r="B1047" i="37"/>
  <c r="A1048" i="37"/>
  <c r="B1048" i="37"/>
  <c r="A1049" i="37"/>
  <c r="B1049" i="37"/>
  <c r="A1050" i="37"/>
  <c r="B1050" i="37"/>
  <c r="A1051" i="37"/>
  <c r="B1051" i="37"/>
  <c r="A1052" i="37"/>
  <c r="B1052" i="37"/>
  <c r="A1053" i="37"/>
  <c r="B1053" i="37"/>
  <c r="A1054" i="37"/>
  <c r="B1054" i="37"/>
  <c r="A1055" i="37"/>
  <c r="B1055" i="37"/>
  <c r="A1056" i="37"/>
  <c r="B1056" i="37"/>
  <c r="A1057" i="37"/>
  <c r="B1057" i="37"/>
  <c r="A1058" i="37"/>
  <c r="B1058" i="37"/>
  <c r="A1059" i="37"/>
  <c r="B1059" i="37"/>
  <c r="A1060" i="37"/>
  <c r="B1060" i="37"/>
  <c r="A1061" i="37"/>
  <c r="B1061" i="37"/>
  <c r="A1062" i="37"/>
  <c r="B1062" i="37"/>
  <c r="A1063" i="37"/>
  <c r="B1063" i="37"/>
  <c r="A1064" i="37"/>
  <c r="B1064" i="37"/>
  <c r="A1065" i="37"/>
  <c r="B1065" i="37"/>
  <c r="A1066" i="37"/>
  <c r="B1066" i="37"/>
  <c r="A1067" i="37"/>
  <c r="B1067" i="37"/>
  <c r="A1068" i="37"/>
  <c r="B1068" i="37"/>
  <c r="A1069" i="37"/>
  <c r="B1069" i="37"/>
  <c r="A1070" i="37"/>
  <c r="B1070" i="37"/>
  <c r="A1071" i="37"/>
  <c r="B1071" i="37"/>
  <c r="A1072" i="37"/>
  <c r="B1072" i="37"/>
  <c r="A1073" i="37"/>
  <c r="B1073" i="37"/>
  <c r="A1074" i="37"/>
  <c r="B1074" i="37"/>
  <c r="A1075" i="37"/>
  <c r="B1075" i="37"/>
  <c r="A1076" i="37"/>
  <c r="B1076" i="37"/>
  <c r="A1077" i="37"/>
  <c r="B1077" i="37"/>
  <c r="A1078" i="37"/>
  <c r="B1078" i="37"/>
  <c r="A1079" i="37"/>
  <c r="B1079" i="37"/>
  <c r="A1080" i="37"/>
  <c r="B1080" i="37"/>
  <c r="A1081" i="37"/>
  <c r="B1081" i="37"/>
  <c r="A1082" i="37"/>
  <c r="B1082" i="37"/>
  <c r="A1083" i="37"/>
  <c r="B1083" i="37"/>
  <c r="A1084" i="37"/>
  <c r="B1084" i="37"/>
  <c r="A1085" i="37"/>
  <c r="B1085" i="37"/>
  <c r="A1086" i="37"/>
  <c r="B1086" i="37"/>
  <c r="A1087" i="37"/>
  <c r="B1087" i="37"/>
  <c r="A1088" i="37"/>
  <c r="B1088" i="37"/>
  <c r="A1089" i="37"/>
  <c r="B1089" i="37"/>
  <c r="A1090" i="37"/>
  <c r="B1090" i="37"/>
  <c r="A1091" i="37"/>
  <c r="B1091" i="37"/>
  <c r="A1092" i="37"/>
  <c r="B1092" i="37"/>
  <c r="A1093" i="37"/>
  <c r="B1093" i="37"/>
  <c r="A1094" i="37"/>
  <c r="B1094" i="37"/>
  <c r="A1095" i="37"/>
  <c r="B1095" i="37"/>
  <c r="A1096" i="37"/>
  <c r="B1096" i="37"/>
  <c r="A1097" i="37"/>
  <c r="B1097" i="37"/>
  <c r="A1098" i="37"/>
  <c r="B1098" i="37"/>
  <c r="A1099" i="37"/>
  <c r="B1099" i="37"/>
  <c r="A1100" i="37"/>
  <c r="B1100" i="37"/>
  <c r="A1101" i="37"/>
  <c r="B1101" i="37"/>
  <c r="A1102" i="37"/>
  <c r="B1102" i="37"/>
  <c r="A1103" i="37"/>
  <c r="B1103" i="37"/>
  <c r="A1104" i="37"/>
  <c r="B1104" i="37"/>
  <c r="A1105" i="37"/>
  <c r="B1105" i="37"/>
  <c r="A1106" i="37"/>
  <c r="B1106" i="37"/>
  <c r="A1107" i="37"/>
  <c r="B1107" i="37"/>
  <c r="A1108" i="37"/>
  <c r="B1108" i="37"/>
  <c r="A1109" i="37"/>
  <c r="B1109" i="37"/>
  <c r="A1110" i="37"/>
  <c r="B1110" i="37"/>
  <c r="A1111" i="37"/>
  <c r="B1111" i="37"/>
  <c r="A1112" i="37"/>
  <c r="B1112" i="37"/>
  <c r="A1113" i="37"/>
  <c r="B1113" i="37"/>
  <c r="A1114" i="37"/>
  <c r="B1114" i="37"/>
  <c r="A1115" i="37"/>
  <c r="B1115" i="37"/>
  <c r="A1116" i="37"/>
  <c r="B1116" i="37"/>
  <c r="A1117" i="37"/>
  <c r="B1117" i="37"/>
  <c r="A1118" i="37"/>
  <c r="B1118" i="37"/>
  <c r="A1119" i="37"/>
  <c r="B1119" i="37"/>
  <c r="A1120" i="37"/>
  <c r="B1120" i="37"/>
  <c r="A1121" i="37"/>
  <c r="B1121" i="37"/>
  <c r="A1122" i="37"/>
  <c r="B1122" i="37"/>
  <c r="A1123" i="37"/>
  <c r="B1123" i="37"/>
  <c r="A1124" i="37"/>
  <c r="B1124" i="37"/>
  <c r="A1125" i="37"/>
  <c r="B1125" i="37"/>
  <c r="A1126" i="37"/>
  <c r="B1126" i="37"/>
  <c r="A1127" i="37"/>
  <c r="B1127" i="37"/>
  <c r="A1128" i="37"/>
  <c r="B1128" i="37"/>
  <c r="A1129" i="37"/>
  <c r="B1129" i="37"/>
  <c r="A1130" i="37"/>
  <c r="B1130" i="37"/>
  <c r="A1131" i="37"/>
  <c r="B1131" i="37"/>
  <c r="A1132" i="37"/>
  <c r="B1132" i="37"/>
  <c r="A1133" i="37"/>
  <c r="B1133" i="37"/>
  <c r="A1134" i="37"/>
  <c r="B1134" i="37"/>
  <c r="A1135" i="37"/>
  <c r="B1135" i="37"/>
  <c r="A1136" i="37"/>
  <c r="B1136" i="37"/>
  <c r="A1137" i="37"/>
  <c r="B1137" i="37"/>
  <c r="A1138" i="37"/>
  <c r="B1138" i="37"/>
  <c r="A1139" i="37"/>
  <c r="B1139" i="37"/>
  <c r="A1140" i="37"/>
  <c r="B1140" i="37"/>
  <c r="A1141" i="37"/>
  <c r="B1141" i="37"/>
  <c r="A1142" i="37"/>
  <c r="B1142" i="37"/>
  <c r="A1143" i="37"/>
  <c r="B1143" i="37"/>
  <c r="A1144" i="37"/>
  <c r="B1144" i="37"/>
  <c r="A1145" i="37"/>
  <c r="B1145" i="37"/>
  <c r="A1146" i="37"/>
  <c r="B1146" i="37"/>
  <c r="A1147" i="37"/>
  <c r="B1147" i="37"/>
  <c r="A1148" i="37"/>
  <c r="B1148" i="37"/>
  <c r="A1149" i="37"/>
  <c r="B1149" i="37"/>
  <c r="A1150" i="37"/>
  <c r="B1150" i="37"/>
  <c r="A1151" i="37"/>
  <c r="B1151" i="37"/>
  <c r="A1152" i="37"/>
  <c r="B1152" i="37"/>
  <c r="A1153" i="37"/>
  <c r="B1153" i="37"/>
  <c r="A1154" i="37"/>
  <c r="B1154" i="37"/>
  <c r="A1155" i="37"/>
  <c r="B1155" i="37"/>
  <c r="A1156" i="37"/>
  <c r="B1156" i="37"/>
  <c r="A1157" i="37"/>
  <c r="B1157" i="37"/>
  <c r="A1158" i="37"/>
  <c r="B1158" i="37"/>
  <c r="A1159" i="37"/>
  <c r="B1159" i="37"/>
  <c r="A1160" i="37"/>
  <c r="B1160" i="37"/>
  <c r="A1161" i="37"/>
  <c r="B1161" i="37"/>
  <c r="A1162" i="37"/>
  <c r="B1162" i="37"/>
  <c r="A1163" i="37"/>
  <c r="B1163" i="37"/>
  <c r="A1164" i="37"/>
  <c r="B1164" i="37"/>
  <c r="A1165" i="37"/>
  <c r="B1165" i="37"/>
  <c r="A1166" i="37"/>
  <c r="B1166" i="37"/>
  <c r="A1167" i="37"/>
  <c r="B1167" i="37"/>
  <c r="A1168" i="37"/>
  <c r="B1168" i="37"/>
  <c r="A1169" i="37"/>
  <c r="B1169" i="37"/>
  <c r="A1170" i="37"/>
  <c r="B1170" i="37"/>
  <c r="A1171" i="37"/>
  <c r="B1171" i="37"/>
  <c r="A1172" i="37"/>
  <c r="B1172" i="37"/>
  <c r="A1173" i="37"/>
  <c r="B1173" i="37"/>
  <c r="A1174" i="37"/>
  <c r="B1174" i="37"/>
  <c r="A1175" i="37"/>
  <c r="B1175" i="37"/>
  <c r="A1176" i="37"/>
  <c r="B1176" i="37"/>
  <c r="A1177" i="37"/>
  <c r="B1177" i="37"/>
  <c r="A1178" i="37"/>
  <c r="B1178" i="37"/>
  <c r="A1179" i="37"/>
  <c r="B1179" i="37"/>
  <c r="A1180" i="37"/>
  <c r="B1180" i="37"/>
  <c r="A1181" i="37"/>
  <c r="B1181" i="37"/>
  <c r="A1182" i="37"/>
  <c r="B1182" i="37"/>
  <c r="A1183" i="37"/>
  <c r="B1183" i="37"/>
  <c r="A1184" i="37"/>
  <c r="B1184" i="37"/>
  <c r="A1185" i="37"/>
  <c r="B1185" i="37"/>
  <c r="A1186" i="37"/>
  <c r="B1186" i="37"/>
  <c r="A1187" i="37"/>
  <c r="B1187" i="37"/>
  <c r="A1188" i="37"/>
  <c r="B1188" i="37"/>
  <c r="A1189" i="37"/>
  <c r="B1189" i="37"/>
  <c r="A1190" i="37"/>
  <c r="B1190" i="37"/>
  <c r="A1191" i="37"/>
  <c r="B1191" i="37"/>
  <c r="A1192" i="37"/>
  <c r="B1192" i="37"/>
  <c r="A1193" i="37"/>
  <c r="B1193" i="37"/>
  <c r="A1194" i="37"/>
  <c r="B1194" i="37"/>
  <c r="A1195" i="37"/>
  <c r="B1195" i="37"/>
  <c r="A1196" i="37"/>
  <c r="B1196" i="37"/>
  <c r="A1197" i="37"/>
  <c r="B1197" i="37"/>
  <c r="A1198" i="37"/>
  <c r="B1198" i="37"/>
  <c r="A1199" i="37"/>
  <c r="B1199" i="37"/>
  <c r="A1200" i="37"/>
  <c r="B1200" i="37"/>
  <c r="A1201" i="37"/>
  <c r="B1201" i="37"/>
  <c r="A1202" i="37"/>
  <c r="B1202" i="37"/>
  <c r="A1203" i="37"/>
  <c r="B1203" i="37"/>
  <c r="A1204" i="37"/>
  <c r="B1204" i="37"/>
  <c r="A1205" i="37"/>
  <c r="B1205" i="37"/>
  <c r="A1206" i="37"/>
  <c r="B1206" i="37"/>
  <c r="A1207" i="37"/>
  <c r="B1207" i="37"/>
  <c r="A1208" i="37"/>
  <c r="B1208" i="37"/>
  <c r="A1209" i="37"/>
  <c r="B1209" i="37"/>
  <c r="A1210" i="37"/>
  <c r="B1210" i="37"/>
  <c r="A1211" i="37"/>
  <c r="B1211" i="37"/>
  <c r="A1212" i="37"/>
  <c r="B1212" i="37"/>
  <c r="A1213" i="37"/>
  <c r="B1213" i="37"/>
  <c r="A1214" i="37"/>
  <c r="B1214" i="37"/>
  <c r="A1215" i="37"/>
  <c r="B1215" i="37"/>
  <c r="A1216" i="37"/>
  <c r="B1216" i="37"/>
  <c r="A1217" i="37"/>
  <c r="B1217" i="37"/>
  <c r="A1218" i="37"/>
  <c r="B1218" i="37"/>
  <c r="A1219" i="37"/>
  <c r="B1219" i="37"/>
  <c r="A1220" i="37"/>
  <c r="B1220" i="37"/>
  <c r="A1221" i="37"/>
  <c r="B1221" i="37"/>
  <c r="A1222" i="37"/>
  <c r="B1222" i="37"/>
  <c r="A1223" i="37"/>
  <c r="B1223" i="37"/>
  <c r="A1224" i="37"/>
  <c r="B1224" i="37"/>
  <c r="A1225" i="37"/>
  <c r="B1225" i="37"/>
  <c r="A1226" i="37"/>
  <c r="B1226" i="37"/>
  <c r="A1227" i="37"/>
  <c r="B1227" i="37"/>
  <c r="A1228" i="37"/>
  <c r="B1228" i="37"/>
  <c r="A1229" i="37"/>
  <c r="B1229" i="37"/>
  <c r="A1230" i="37"/>
  <c r="B1230" i="37"/>
  <c r="A1231" i="37"/>
  <c r="B1231" i="37"/>
  <c r="A1232" i="37"/>
  <c r="B1232" i="37"/>
  <c r="A1233" i="37"/>
  <c r="B1233" i="37"/>
  <c r="A1234" i="37"/>
  <c r="B1234" i="37"/>
  <c r="A1235" i="37"/>
  <c r="B1235" i="37"/>
  <c r="A1236" i="37"/>
  <c r="B1236" i="37"/>
  <c r="A1237" i="37"/>
  <c r="B1237" i="37"/>
  <c r="A1238" i="37"/>
  <c r="B1238" i="37"/>
  <c r="A1239" i="37"/>
  <c r="B1239" i="37"/>
  <c r="A1240" i="37"/>
  <c r="B1240" i="37"/>
  <c r="A1241" i="37"/>
  <c r="B1241" i="37"/>
  <c r="A1242" i="37"/>
  <c r="B1242" i="37"/>
  <c r="A1243" i="37"/>
  <c r="B1243" i="37"/>
  <c r="A1244" i="37"/>
  <c r="B1244" i="37"/>
  <c r="A1245" i="37"/>
  <c r="B1245" i="37"/>
  <c r="A1246" i="37"/>
  <c r="B1246" i="37"/>
  <c r="A1247" i="37"/>
  <c r="B1247" i="37"/>
  <c r="A1248" i="37"/>
  <c r="B1248" i="37"/>
  <c r="A1249" i="37"/>
  <c r="B1249" i="37"/>
  <c r="A1250" i="37"/>
  <c r="B1250" i="37"/>
  <c r="A1251" i="37"/>
  <c r="B1251" i="37"/>
  <c r="A1252" i="37"/>
  <c r="B1252" i="37"/>
  <c r="A1253" i="37"/>
  <c r="B1253" i="37"/>
  <c r="A1254" i="37"/>
  <c r="B1254" i="37"/>
  <c r="A1255" i="37"/>
  <c r="B1255" i="37"/>
  <c r="A1256" i="37"/>
  <c r="B1256" i="37"/>
  <c r="A1257" i="37"/>
  <c r="B1257" i="37"/>
  <c r="A1258" i="37"/>
  <c r="B1258" i="37"/>
  <c r="A1259" i="37"/>
  <c r="B1259" i="37"/>
  <c r="A1260" i="37"/>
  <c r="B1260" i="37"/>
  <c r="A1261" i="37"/>
  <c r="B1261" i="37"/>
  <c r="A1262" i="37"/>
  <c r="B1262" i="37"/>
  <c r="A1263" i="37"/>
  <c r="B1263" i="37"/>
  <c r="A1264" i="37"/>
  <c r="B1264" i="37"/>
  <c r="A1265" i="37"/>
  <c r="B1265" i="37"/>
  <c r="A1266" i="37"/>
  <c r="B1266" i="37"/>
  <c r="A1267" i="37"/>
  <c r="B1267" i="37"/>
  <c r="A1268" i="37"/>
  <c r="B1268" i="37"/>
  <c r="A1269" i="37"/>
  <c r="B1269" i="37"/>
  <c r="A1270" i="37"/>
  <c r="B1270" i="37"/>
  <c r="A1271" i="37"/>
  <c r="B1271" i="37"/>
  <c r="A1272" i="37"/>
  <c r="B1272" i="37"/>
  <c r="A1273" i="37"/>
  <c r="B1273" i="37"/>
  <c r="A1274" i="37"/>
  <c r="B1274" i="37"/>
  <c r="A1275" i="37"/>
  <c r="B1275" i="37"/>
  <c r="A1276" i="37"/>
  <c r="B1276" i="37"/>
  <c r="A1277" i="37"/>
  <c r="B1277" i="37"/>
  <c r="A1278" i="37"/>
  <c r="B1278" i="37"/>
  <c r="A1279" i="37"/>
  <c r="B1279" i="37"/>
  <c r="A1280" i="37"/>
  <c r="B1280" i="37"/>
  <c r="A1281" i="37"/>
  <c r="B1281" i="37"/>
  <c r="A1282" i="37"/>
  <c r="B1282" i="37"/>
  <c r="A1283" i="37"/>
  <c r="B1283" i="37"/>
  <c r="A1284" i="37"/>
  <c r="B1284" i="37"/>
  <c r="A1285" i="37"/>
  <c r="B1285" i="37"/>
  <c r="A1286" i="37"/>
  <c r="B1286" i="37"/>
  <c r="A1287" i="37"/>
  <c r="B1287" i="37"/>
  <c r="A1288" i="37"/>
  <c r="B1288" i="37"/>
  <c r="A1289" i="37"/>
  <c r="B1289" i="37"/>
  <c r="A1290" i="37"/>
  <c r="B1290" i="37"/>
  <c r="A1291" i="37"/>
  <c r="B1291" i="37"/>
  <c r="A1292" i="37"/>
  <c r="B1292" i="37"/>
  <c r="A1293" i="37"/>
  <c r="B1293" i="37"/>
  <c r="A1294" i="37"/>
  <c r="B1294" i="37"/>
  <c r="A1295" i="37"/>
  <c r="B1295" i="37"/>
  <c r="A1296" i="37"/>
  <c r="B1296" i="37"/>
  <c r="A1297" i="37"/>
  <c r="B1297" i="37"/>
  <c r="A1298" i="37"/>
  <c r="B1298" i="37"/>
  <c r="A1299" i="37"/>
  <c r="B1299" i="37"/>
  <c r="A1300" i="37"/>
  <c r="B1300" i="37"/>
  <c r="A1301" i="37"/>
  <c r="B1301" i="37"/>
  <c r="A1302" i="37"/>
  <c r="B1302" i="37"/>
  <c r="A1303" i="37"/>
  <c r="B1303" i="37"/>
  <c r="A1304" i="37"/>
  <c r="B1304" i="37"/>
  <c r="A1305" i="37"/>
  <c r="B1305" i="37"/>
  <c r="A1306" i="37"/>
  <c r="B1306" i="37"/>
  <c r="A1307" i="37"/>
  <c r="B1307" i="37"/>
  <c r="A1308" i="37"/>
  <c r="B1308" i="37"/>
  <c r="A1309" i="37"/>
  <c r="B1309" i="37"/>
  <c r="A1310" i="37"/>
  <c r="B1310" i="37"/>
  <c r="A1311" i="37"/>
  <c r="B1311" i="37"/>
  <c r="A1312" i="37"/>
  <c r="B1312" i="37"/>
  <c r="A1313" i="37"/>
  <c r="B1313" i="37"/>
  <c r="A1314" i="37"/>
  <c r="B1314" i="37"/>
  <c r="A1315" i="37"/>
  <c r="B1315" i="37"/>
  <c r="A1316" i="37"/>
  <c r="B1316" i="37"/>
  <c r="A1317" i="37"/>
  <c r="B1317" i="37"/>
  <c r="A1318" i="37"/>
  <c r="B1318" i="37"/>
  <c r="A1319" i="37"/>
  <c r="B1319" i="37"/>
  <c r="A1320" i="37"/>
  <c r="B1320" i="37"/>
  <c r="A1321" i="37"/>
  <c r="B1321" i="37"/>
  <c r="A1322" i="37"/>
  <c r="B1322" i="37"/>
  <c r="A1323" i="37"/>
  <c r="B1323" i="37"/>
  <c r="A1324" i="37"/>
  <c r="B1324" i="37"/>
  <c r="A1325" i="37"/>
  <c r="B1325" i="37"/>
  <c r="A1326" i="37"/>
  <c r="B1326" i="37"/>
  <c r="A1327" i="37"/>
  <c r="B1327" i="37"/>
  <c r="A1328" i="37"/>
  <c r="B1328" i="37"/>
  <c r="A1329" i="37"/>
  <c r="B1329" i="37"/>
  <c r="A1330" i="37"/>
  <c r="B1330" i="37"/>
  <c r="A1331" i="37"/>
  <c r="B1331" i="37"/>
  <c r="A1332" i="37"/>
  <c r="B1332" i="37"/>
  <c r="A1333" i="37"/>
  <c r="B1333" i="37"/>
  <c r="A1334" i="37"/>
  <c r="B1334" i="37"/>
  <c r="A1335" i="37"/>
  <c r="B1335" i="37"/>
  <c r="A1336" i="37"/>
  <c r="B1336" i="37"/>
  <c r="A1337" i="37"/>
  <c r="B1337" i="37"/>
  <c r="A1338" i="37"/>
  <c r="B1338" i="37"/>
  <c r="A1339" i="37"/>
  <c r="B1339" i="37"/>
  <c r="A1340" i="37"/>
  <c r="B1340" i="37"/>
  <c r="A1341" i="37"/>
  <c r="B1341" i="37"/>
  <c r="A1342" i="37"/>
  <c r="B1342" i="37"/>
  <c r="A1343" i="37"/>
  <c r="B1343" i="37"/>
  <c r="A1344" i="37"/>
  <c r="B1344" i="37"/>
  <c r="A1345" i="37"/>
  <c r="B1345" i="37"/>
  <c r="A1346" i="37"/>
  <c r="B1346" i="37"/>
  <c r="A1347" i="37"/>
  <c r="B1347" i="37"/>
  <c r="A1348" i="37"/>
  <c r="B1348" i="37"/>
  <c r="A1349" i="37"/>
  <c r="B1349" i="37"/>
  <c r="A1350" i="37"/>
  <c r="B1350" i="37"/>
  <c r="A1351" i="37"/>
  <c r="B1351" i="37"/>
  <c r="A1352" i="37"/>
  <c r="B1352" i="37"/>
  <c r="A1353" i="37"/>
  <c r="B1353" i="37"/>
  <c r="A1354" i="37"/>
  <c r="B1354" i="37"/>
  <c r="A1355" i="37"/>
  <c r="B1355" i="37"/>
  <c r="A1356" i="37"/>
  <c r="B1356" i="37"/>
  <c r="A1357" i="37"/>
  <c r="B1357" i="37"/>
  <c r="A1358" i="37"/>
  <c r="B1358" i="37"/>
  <c r="A1359" i="37"/>
  <c r="B1359" i="37"/>
  <c r="A1360" i="37"/>
  <c r="B1360" i="37"/>
  <c r="A1361" i="37"/>
  <c r="B1361" i="37"/>
  <c r="A1362" i="37"/>
  <c r="B1362" i="37"/>
  <c r="A1363" i="37"/>
  <c r="B1363" i="37"/>
  <c r="A1364" i="37"/>
  <c r="B1364" i="37"/>
  <c r="A1365" i="37"/>
  <c r="B1365" i="37"/>
  <c r="A1366" i="37"/>
  <c r="B1366" i="37"/>
  <c r="A1367" i="37"/>
  <c r="B1367" i="37"/>
  <c r="A1368" i="37"/>
  <c r="B1368" i="37"/>
  <c r="A1369" i="37"/>
  <c r="B1369" i="37"/>
  <c r="A1370" i="37"/>
  <c r="B1370" i="37"/>
  <c r="A1371" i="37"/>
  <c r="B1371" i="37"/>
  <c r="A1372" i="37"/>
  <c r="B1372" i="37"/>
  <c r="A1373" i="37"/>
  <c r="B1373" i="37"/>
  <c r="A1374" i="37"/>
  <c r="B1374" i="37"/>
  <c r="A1375" i="37"/>
  <c r="B1375" i="37"/>
  <c r="A1376" i="37"/>
  <c r="B1376" i="37"/>
  <c r="A1377" i="37"/>
  <c r="B1377" i="37"/>
  <c r="A1378" i="37"/>
  <c r="B1378" i="37"/>
  <c r="A1379" i="37"/>
  <c r="B1379" i="37"/>
  <c r="A1380" i="37"/>
  <c r="B1380" i="37"/>
  <c r="A1381" i="37"/>
  <c r="B1381" i="37"/>
  <c r="A1382" i="37"/>
  <c r="B1382" i="37"/>
  <c r="A1383" i="37"/>
  <c r="B1383" i="37"/>
  <c r="A1384" i="37"/>
  <c r="B1384" i="37"/>
  <c r="A1385" i="37"/>
  <c r="B1385" i="37"/>
  <c r="A1386" i="37"/>
  <c r="B1386" i="37"/>
  <c r="A1387" i="37"/>
  <c r="B1387" i="37"/>
  <c r="A1388" i="37"/>
  <c r="B1388" i="37"/>
  <c r="A1389" i="37"/>
  <c r="B1389" i="37"/>
  <c r="A1390" i="37"/>
  <c r="B1390" i="37"/>
  <c r="A1391" i="37"/>
  <c r="B1391" i="37"/>
  <c r="A1392" i="37"/>
  <c r="B1392" i="37"/>
  <c r="A1393" i="37"/>
  <c r="B1393" i="37"/>
  <c r="A1394" i="37"/>
  <c r="B1394" i="37"/>
  <c r="A1395" i="37"/>
  <c r="B1395" i="37"/>
  <c r="A1396" i="37"/>
  <c r="B1396" i="37"/>
  <c r="A1397" i="37"/>
  <c r="B1397" i="37"/>
  <c r="A1398" i="37"/>
  <c r="B1398" i="37"/>
  <c r="A1399" i="37"/>
  <c r="B1399" i="37"/>
  <c r="A1400" i="37"/>
  <c r="B1400" i="37"/>
  <c r="A1401" i="37"/>
  <c r="B1401" i="37"/>
  <c r="A1402" i="37"/>
  <c r="B1402" i="37"/>
  <c r="A1403" i="37"/>
  <c r="B1403" i="37"/>
  <c r="A1404" i="37"/>
  <c r="B1404" i="37"/>
  <c r="A1405" i="37"/>
  <c r="B1405" i="37"/>
  <c r="A1406" i="37"/>
  <c r="B1406" i="37"/>
  <c r="A1407" i="37"/>
  <c r="B1407" i="37"/>
  <c r="A1408" i="37"/>
  <c r="B1408" i="37"/>
  <c r="A1409" i="37"/>
  <c r="B1409" i="37"/>
  <c r="A1410" i="37"/>
  <c r="B1410" i="37"/>
  <c r="A1411" i="37"/>
  <c r="B1411" i="37"/>
  <c r="A1412" i="37"/>
  <c r="B1412" i="37"/>
  <c r="A1413" i="37"/>
  <c r="B1413" i="37"/>
  <c r="A1414" i="37"/>
  <c r="B1414" i="37"/>
  <c r="A1415" i="37"/>
  <c r="B1415" i="37"/>
  <c r="A1416" i="37"/>
  <c r="B1416" i="37"/>
  <c r="A1417" i="37"/>
  <c r="B1417" i="37"/>
  <c r="A1418" i="37"/>
  <c r="B1418" i="37"/>
  <c r="A1419" i="37"/>
  <c r="B1419" i="37"/>
  <c r="A1420" i="37"/>
  <c r="B1420" i="37"/>
  <c r="A1421" i="37"/>
  <c r="B1421" i="37"/>
  <c r="A1422" i="37"/>
  <c r="B1422" i="37"/>
  <c r="A1423" i="37"/>
  <c r="B1423" i="37"/>
  <c r="A1424" i="37"/>
  <c r="B1424" i="37"/>
  <c r="A1425" i="37"/>
  <c r="B1425" i="37"/>
  <c r="A1426" i="37"/>
  <c r="B1426" i="37"/>
  <c r="A1427" i="37"/>
  <c r="B1427" i="37"/>
  <c r="A1428" i="37"/>
  <c r="B1428" i="37"/>
  <c r="A1429" i="37"/>
  <c r="B1429" i="37"/>
  <c r="A1430" i="37"/>
  <c r="B1430" i="37"/>
  <c r="A1431" i="37"/>
  <c r="B1431" i="37"/>
  <c r="A1432" i="37"/>
  <c r="B1432" i="37"/>
  <c r="A1433" i="37"/>
  <c r="B1433" i="37"/>
  <c r="A1434" i="37"/>
  <c r="B1434" i="37"/>
  <c r="A1435" i="37"/>
  <c r="B1435" i="37"/>
  <c r="A1436" i="37"/>
  <c r="B1436" i="37"/>
  <c r="A1437" i="37"/>
  <c r="B1437" i="37"/>
  <c r="A1438" i="37"/>
  <c r="B1438" i="37"/>
  <c r="A1439" i="37"/>
  <c r="B1439" i="37"/>
  <c r="A1440" i="37"/>
  <c r="B1440" i="37"/>
  <c r="A1441" i="37"/>
  <c r="B1441" i="37"/>
  <c r="A1442" i="37"/>
  <c r="B1442" i="37"/>
  <c r="A1443" i="37"/>
  <c r="B1443" i="37"/>
  <c r="A1444" i="37"/>
  <c r="B1444" i="37"/>
  <c r="A1445" i="37"/>
  <c r="B1445" i="37"/>
  <c r="A1446" i="37"/>
  <c r="B1446" i="37"/>
  <c r="A1447" i="37"/>
  <c r="B1447" i="37"/>
  <c r="A1448" i="37"/>
  <c r="B1448" i="37"/>
  <c r="A1449" i="37"/>
  <c r="B1449" i="37"/>
  <c r="A1450" i="37"/>
  <c r="B1450" i="37"/>
  <c r="A1451" i="37"/>
  <c r="B1451" i="37"/>
  <c r="A1452" i="37"/>
  <c r="B1452" i="37"/>
  <c r="A1453" i="37"/>
  <c r="B1453" i="37"/>
  <c r="A1454" i="37"/>
  <c r="B1454" i="37"/>
  <c r="A1455" i="37"/>
  <c r="B1455" i="37"/>
  <c r="A1456" i="37"/>
  <c r="B1456" i="37"/>
  <c r="A1457" i="37"/>
  <c r="B1457" i="37"/>
  <c r="A1458" i="37"/>
  <c r="B1458" i="37"/>
  <c r="A1459" i="37"/>
  <c r="B1459" i="37"/>
  <c r="A1460" i="37"/>
  <c r="B1460" i="37"/>
  <c r="A1461" i="37"/>
  <c r="B1461" i="37"/>
  <c r="A1462" i="37"/>
  <c r="B1462" i="37"/>
  <c r="A1463" i="37"/>
  <c r="B1463" i="37"/>
  <c r="A1464" i="37"/>
  <c r="B1464" i="37"/>
  <c r="A1465" i="37"/>
  <c r="B1465" i="37"/>
  <c r="A1466" i="37"/>
  <c r="B1466" i="37"/>
  <c r="A1467" i="37"/>
  <c r="B1467" i="37"/>
  <c r="A1468" i="37"/>
  <c r="B1468" i="37"/>
  <c r="A1469" i="37"/>
  <c r="B1469" i="37"/>
  <c r="A1470" i="37"/>
  <c r="B1470" i="37"/>
  <c r="A1471" i="37"/>
  <c r="B1471" i="37"/>
  <c r="A1472" i="37"/>
  <c r="B1472" i="37"/>
  <c r="A1473" i="37"/>
  <c r="B1473" i="37"/>
  <c r="A1474" i="37"/>
  <c r="B1474" i="37"/>
  <c r="A1475" i="37"/>
  <c r="B1475" i="37"/>
  <c r="A1476" i="37"/>
  <c r="B1476" i="37"/>
  <c r="A1477" i="37"/>
  <c r="B1477" i="37"/>
  <c r="A1478" i="37"/>
  <c r="B1478" i="37"/>
  <c r="A1479" i="37"/>
  <c r="B1479" i="37"/>
  <c r="A1480" i="37"/>
  <c r="B1480" i="37"/>
  <c r="A1481" i="37"/>
  <c r="B1481" i="37"/>
  <c r="A1482" i="37"/>
  <c r="B1482" i="37"/>
  <c r="A1483" i="37"/>
  <c r="B1483" i="37"/>
  <c r="A1484" i="37"/>
  <c r="B1484" i="37"/>
  <c r="A1485" i="37"/>
  <c r="B1485" i="37"/>
  <c r="A1486" i="37"/>
  <c r="B1486" i="37"/>
  <c r="A1487" i="37"/>
  <c r="B1487" i="37"/>
  <c r="A1488" i="37"/>
  <c r="B1488" i="37"/>
  <c r="A1489" i="37"/>
  <c r="B1489" i="37"/>
  <c r="A1490" i="37"/>
  <c r="B1490" i="37"/>
  <c r="A1491" i="37"/>
  <c r="B1491" i="37"/>
  <c r="A1492" i="37"/>
  <c r="B1492" i="37"/>
  <c r="A1493" i="37"/>
  <c r="B1493" i="37"/>
  <c r="A1494" i="37"/>
  <c r="B1494" i="37"/>
  <c r="A1495" i="37"/>
  <c r="B1495" i="37"/>
  <c r="A1496" i="37"/>
  <c r="B1496" i="37"/>
  <c r="A1497" i="37"/>
  <c r="B1497" i="37"/>
  <c r="A1498" i="37"/>
  <c r="B1498" i="37"/>
  <c r="A1499" i="37"/>
  <c r="B1499" i="37"/>
  <c r="A1500" i="37"/>
  <c r="B1500" i="37"/>
  <c r="A1501" i="37"/>
  <c r="B1501" i="37"/>
  <c r="A1502" i="37"/>
  <c r="B1502" i="37"/>
  <c r="A1503" i="37"/>
  <c r="B1503" i="37"/>
  <c r="A1504" i="37"/>
  <c r="B1504" i="37"/>
  <c r="A1505" i="37"/>
  <c r="B1505" i="37"/>
  <c r="A1506" i="37"/>
  <c r="B1506" i="37"/>
  <c r="A1507" i="37"/>
  <c r="B1507" i="37"/>
  <c r="A1508" i="37"/>
  <c r="B1508" i="37"/>
  <c r="A1509" i="37"/>
  <c r="B1509" i="37"/>
  <c r="A1510" i="37"/>
  <c r="B1510" i="37"/>
  <c r="A1511" i="37"/>
  <c r="B1511" i="37"/>
  <c r="A1512" i="37"/>
  <c r="B1512" i="37"/>
  <c r="A1513" i="37"/>
  <c r="B1513" i="37"/>
  <c r="A1514" i="37"/>
  <c r="B1514" i="37"/>
  <c r="A1515" i="37"/>
  <c r="B1515" i="37"/>
  <c r="A1516" i="37"/>
  <c r="B1516" i="37"/>
  <c r="A1517" i="37"/>
  <c r="B1517" i="37"/>
  <c r="A1518" i="37"/>
  <c r="B1518" i="37"/>
  <c r="A1519" i="37"/>
  <c r="B1519" i="37"/>
  <c r="A1520" i="37"/>
  <c r="B1520" i="37"/>
  <c r="A1521" i="37"/>
  <c r="B1521" i="37"/>
  <c r="A1522" i="37"/>
  <c r="B1522" i="37"/>
  <c r="A1523" i="37"/>
  <c r="B1523" i="37"/>
  <c r="A1524" i="37"/>
  <c r="B1524" i="37"/>
  <c r="A1525" i="37"/>
  <c r="B1525" i="37"/>
  <c r="A1526" i="37"/>
  <c r="B1526" i="37"/>
  <c r="A1527" i="37"/>
  <c r="B1527" i="37"/>
  <c r="A1528" i="37"/>
  <c r="B1528" i="37"/>
  <c r="A1529" i="37"/>
  <c r="B1529" i="37"/>
  <c r="A1530" i="37"/>
  <c r="B1530" i="37"/>
  <c r="A1531" i="37"/>
  <c r="B1531" i="37"/>
  <c r="A1532" i="37"/>
  <c r="B1532" i="37"/>
  <c r="A1533" i="37"/>
  <c r="B1533" i="37"/>
  <c r="A1534" i="37"/>
  <c r="B1534" i="37"/>
  <c r="A1535" i="37"/>
  <c r="B1535" i="37"/>
  <c r="A1536" i="37"/>
  <c r="B1536" i="37"/>
  <c r="A1537" i="37"/>
  <c r="B1537" i="37"/>
  <c r="A1538" i="37"/>
  <c r="B1538" i="37"/>
  <c r="A1539" i="37"/>
  <c r="B1539" i="37"/>
  <c r="A1540" i="37"/>
  <c r="B1540" i="37"/>
  <c r="A1541" i="37"/>
  <c r="B1541" i="37"/>
  <c r="A1542" i="37"/>
  <c r="B1542" i="37"/>
  <c r="A1543" i="37"/>
  <c r="B1543" i="37"/>
  <c r="A1544" i="37"/>
  <c r="B1544" i="37"/>
  <c r="A1545" i="37"/>
  <c r="B1545" i="37"/>
  <c r="A1546" i="37"/>
  <c r="B1546" i="37"/>
  <c r="A1547" i="37"/>
  <c r="B1547" i="37"/>
  <c r="A1548" i="37"/>
  <c r="B1548" i="37"/>
  <c r="A1549" i="37"/>
  <c r="B1549" i="37"/>
  <c r="A1550" i="37"/>
  <c r="B1550" i="37"/>
  <c r="A1551" i="37"/>
  <c r="B1551" i="37"/>
  <c r="A1552" i="37"/>
  <c r="B1552" i="37"/>
  <c r="A1553" i="37"/>
  <c r="B1553" i="37"/>
  <c r="A1554" i="37"/>
  <c r="B1554" i="37"/>
  <c r="A1555" i="37"/>
  <c r="B1555" i="37"/>
  <c r="A1556" i="37"/>
  <c r="B1556" i="37"/>
  <c r="A1557" i="37"/>
  <c r="B1557" i="37"/>
  <c r="A1558" i="37"/>
  <c r="B1558" i="37"/>
  <c r="A1559" i="37"/>
  <c r="B1559" i="37"/>
  <c r="A1560" i="37"/>
  <c r="B1560" i="37"/>
  <c r="A1561" i="37"/>
  <c r="B1561" i="37"/>
  <c r="A1562" i="37"/>
  <c r="B1562" i="37"/>
  <c r="A1563" i="37"/>
  <c r="B1563" i="37"/>
  <c r="A1564" i="37"/>
  <c r="B1564" i="37"/>
  <c r="A1565" i="37"/>
  <c r="B1565" i="37"/>
  <c r="A1566" i="37"/>
  <c r="B1566" i="37"/>
  <c r="A1567" i="37"/>
  <c r="B1567" i="37"/>
  <c r="A1568" i="37"/>
  <c r="B1568" i="37"/>
  <c r="A1569" i="37"/>
  <c r="B1569" i="37"/>
  <c r="A1570" i="37"/>
  <c r="B1570" i="37"/>
  <c r="A1571" i="37"/>
  <c r="B1571" i="37"/>
  <c r="A1572" i="37"/>
  <c r="B1572" i="37"/>
  <c r="A1573" i="37"/>
  <c r="B1573" i="37"/>
  <c r="A1574" i="37"/>
  <c r="B1574" i="37"/>
  <c r="A1575" i="37"/>
  <c r="B1575" i="37"/>
  <c r="A1576" i="37"/>
  <c r="B1576" i="37"/>
  <c r="A1577" i="37"/>
  <c r="B1577" i="37"/>
  <c r="A1578" i="37"/>
  <c r="B1578" i="37"/>
  <c r="A1579" i="37"/>
  <c r="B1579" i="37"/>
  <c r="A1580" i="37"/>
  <c r="B1580" i="37"/>
  <c r="A1581" i="37"/>
  <c r="B1581" i="37"/>
  <c r="A1582" i="37"/>
  <c r="B1582" i="37"/>
  <c r="A1583" i="37"/>
  <c r="B1583" i="37"/>
  <c r="A1584" i="37"/>
  <c r="B1584" i="37"/>
  <c r="A1585" i="37"/>
  <c r="B1585" i="37"/>
  <c r="A1586" i="37"/>
  <c r="B1586" i="37"/>
  <c r="A1587" i="37"/>
  <c r="B1587" i="37"/>
  <c r="A1588" i="37"/>
  <c r="B1588" i="37"/>
  <c r="A1589" i="37"/>
  <c r="B1589" i="37"/>
  <c r="A1590" i="37"/>
  <c r="B1590" i="37"/>
  <c r="A1591" i="37"/>
  <c r="B1591" i="37"/>
  <c r="A1592" i="37"/>
  <c r="B1592" i="37"/>
  <c r="A1593" i="37"/>
  <c r="B1593" i="37"/>
  <c r="A1594" i="37"/>
  <c r="B1594" i="37"/>
  <c r="A1595" i="37"/>
  <c r="B1595" i="37"/>
  <c r="A1596" i="37"/>
  <c r="B1596" i="37"/>
  <c r="A1597" i="37"/>
  <c r="B1597" i="37"/>
  <c r="A1598" i="37"/>
  <c r="B1598" i="37"/>
  <c r="A1599" i="37"/>
  <c r="B1599" i="37"/>
  <c r="A1600" i="37"/>
  <c r="B1600" i="37"/>
  <c r="A1601" i="37"/>
  <c r="B1601" i="37"/>
  <c r="A1602" i="37"/>
  <c r="B1602" i="37"/>
  <c r="A1603" i="37"/>
  <c r="B1603" i="37"/>
  <c r="A1604" i="37"/>
  <c r="B1604" i="37"/>
  <c r="A1605" i="37"/>
  <c r="B1605" i="37"/>
  <c r="A1606" i="37"/>
  <c r="B1606" i="37"/>
  <c r="A1607" i="37"/>
  <c r="B1607" i="37"/>
  <c r="A1608" i="37"/>
  <c r="B1608" i="37"/>
  <c r="A1609" i="37"/>
  <c r="B1609" i="37"/>
  <c r="A1610" i="37"/>
  <c r="B1610" i="37"/>
  <c r="A1611" i="37"/>
  <c r="B1611" i="37"/>
  <c r="A1612" i="37"/>
  <c r="B1612" i="37"/>
  <c r="A1613" i="37"/>
  <c r="B1613" i="37"/>
  <c r="A1614" i="37"/>
  <c r="B1614" i="37"/>
  <c r="A1615" i="37"/>
  <c r="B1615" i="37"/>
  <c r="A1616" i="37"/>
  <c r="B1616" i="37"/>
  <c r="A1617" i="37"/>
  <c r="B1617" i="37"/>
  <c r="A1618" i="37"/>
  <c r="B1618" i="37"/>
  <c r="A1619" i="37"/>
  <c r="B1619" i="37"/>
  <c r="A1620" i="37"/>
  <c r="B1620" i="37"/>
  <c r="A1621" i="37"/>
  <c r="B1621" i="37"/>
  <c r="A1622" i="37"/>
  <c r="B1622" i="37"/>
  <c r="A1623" i="37"/>
  <c r="B1623" i="37"/>
  <c r="A1624" i="37"/>
  <c r="B1624" i="37"/>
  <c r="A1625" i="37"/>
  <c r="B1625" i="37"/>
  <c r="A1626" i="37"/>
  <c r="B1626" i="37"/>
  <c r="A1627" i="37"/>
  <c r="B1627" i="37"/>
  <c r="A1628" i="37"/>
  <c r="B1628" i="37"/>
  <c r="A1629" i="37"/>
  <c r="B1629" i="37"/>
  <c r="A1630" i="37"/>
  <c r="B1630" i="37"/>
  <c r="A1631" i="37"/>
  <c r="B1631" i="37"/>
  <c r="A1632" i="37"/>
  <c r="B1632" i="37"/>
  <c r="A1633" i="37"/>
  <c r="B1633" i="37"/>
  <c r="A1634" i="37"/>
  <c r="B1634" i="37"/>
  <c r="A1635" i="37"/>
  <c r="B1635" i="37"/>
  <c r="A1636" i="37"/>
  <c r="B1636" i="37"/>
  <c r="A1637" i="37"/>
  <c r="B1637" i="37"/>
  <c r="A1638" i="37"/>
  <c r="B1638" i="37"/>
  <c r="A1639" i="37"/>
  <c r="B1639" i="37"/>
  <c r="A1640" i="37"/>
  <c r="B1640" i="37"/>
  <c r="A1641" i="37"/>
  <c r="B1641" i="37"/>
  <c r="A1642" i="37"/>
  <c r="B1642" i="37"/>
  <c r="A1643" i="37"/>
  <c r="B1643" i="37"/>
  <c r="A1644" i="37"/>
  <c r="B1644" i="37"/>
  <c r="A1645" i="37"/>
  <c r="B1645" i="37"/>
  <c r="A1646" i="37"/>
  <c r="B1646" i="37"/>
  <c r="A1647" i="37"/>
  <c r="B1647" i="37"/>
  <c r="A1648" i="37"/>
  <c r="B1648" i="37"/>
  <c r="A1649" i="37"/>
  <c r="B1649" i="37"/>
  <c r="A1650" i="37"/>
  <c r="B1650" i="37"/>
  <c r="A1651" i="37"/>
  <c r="B1651" i="37"/>
  <c r="A1652" i="37"/>
  <c r="B1652" i="37"/>
  <c r="A1653" i="37"/>
  <c r="B1653" i="37"/>
  <c r="A1654" i="37"/>
  <c r="B1654" i="37"/>
  <c r="A1655" i="37"/>
  <c r="B1655" i="37"/>
  <c r="A1656" i="37"/>
  <c r="B1656" i="37"/>
  <c r="A1657" i="37"/>
  <c r="B1657" i="37"/>
  <c r="A1658" i="37"/>
  <c r="B1658" i="37"/>
  <c r="A1659" i="37"/>
  <c r="B1659" i="37"/>
  <c r="A1660" i="37"/>
  <c r="B1660" i="37"/>
  <c r="A1661" i="37"/>
  <c r="B1661" i="37"/>
  <c r="A1662" i="37"/>
  <c r="B1662" i="37"/>
  <c r="A1663" i="37"/>
  <c r="B1663" i="37"/>
  <c r="A1664" i="37"/>
  <c r="B1664" i="37"/>
  <c r="A1665" i="37"/>
  <c r="B1665" i="37"/>
  <c r="A1666" i="37"/>
  <c r="B1666" i="37"/>
  <c r="A1667" i="37"/>
  <c r="B1667" i="37"/>
  <c r="A1668" i="37"/>
  <c r="B1668" i="37"/>
  <c r="A1669" i="37"/>
  <c r="B1669" i="37"/>
  <c r="A1670" i="37"/>
  <c r="B1670" i="37"/>
  <c r="A1671" i="37"/>
  <c r="B1671" i="37"/>
  <c r="A1672" i="37"/>
  <c r="B1672" i="37"/>
  <c r="A1673" i="37"/>
  <c r="B1673" i="37"/>
  <c r="A1674" i="37"/>
  <c r="B1674" i="37"/>
  <c r="A1675" i="37"/>
  <c r="B1675" i="37"/>
  <c r="A1676" i="37"/>
  <c r="B1676" i="37"/>
  <c r="A1677" i="37"/>
  <c r="B1677" i="37"/>
  <c r="A1678" i="37"/>
  <c r="B1678" i="37"/>
  <c r="A1679" i="37"/>
  <c r="B1679" i="37"/>
  <c r="A1680" i="37"/>
  <c r="B1680" i="37"/>
  <c r="A1681" i="37"/>
  <c r="B1681" i="37"/>
  <c r="A1682" i="37"/>
  <c r="B1682" i="37"/>
  <c r="A1683" i="37"/>
  <c r="B1683" i="37"/>
  <c r="A1684" i="37"/>
  <c r="B1684" i="37"/>
  <c r="A1685" i="37"/>
  <c r="B1685" i="37"/>
  <c r="A1686" i="37"/>
  <c r="B1686" i="37"/>
  <c r="A1687" i="37"/>
  <c r="B1687" i="37"/>
  <c r="A1688" i="37"/>
  <c r="B1688" i="37"/>
  <c r="A1689" i="37"/>
  <c r="B1689" i="37"/>
  <c r="A1690" i="37"/>
  <c r="B1690" i="37"/>
  <c r="A1691" i="37"/>
  <c r="B1691" i="37"/>
  <c r="A1692" i="37"/>
  <c r="B1692" i="37"/>
  <c r="A1693" i="37"/>
  <c r="B1693" i="37"/>
  <c r="A1694" i="37"/>
  <c r="B1694" i="37"/>
  <c r="A1695" i="37"/>
  <c r="B1695" i="37"/>
  <c r="A1696" i="37"/>
  <c r="B1696" i="37"/>
  <c r="A1697" i="37"/>
  <c r="B1697" i="37"/>
  <c r="A1698" i="37"/>
  <c r="B1698" i="37"/>
  <c r="A1699" i="37"/>
  <c r="B1699" i="37"/>
  <c r="A1700" i="37"/>
  <c r="B1700" i="37"/>
  <c r="A1701" i="37"/>
  <c r="B1701" i="37"/>
  <c r="A1702" i="37"/>
  <c r="B1702" i="37"/>
  <c r="A1703" i="37"/>
  <c r="B1703" i="37"/>
  <c r="A1704" i="37"/>
  <c r="B1704" i="37"/>
  <c r="A1705" i="37"/>
  <c r="B1705" i="37"/>
  <c r="A1706" i="37"/>
  <c r="B1706" i="37"/>
  <c r="A1707" i="37"/>
  <c r="B1707" i="37"/>
  <c r="A1708" i="37"/>
  <c r="B1708" i="37"/>
  <c r="A1709" i="37"/>
  <c r="B1709" i="37"/>
  <c r="A1710" i="37"/>
  <c r="B1710" i="37"/>
  <c r="A1711" i="37"/>
  <c r="B1711" i="37"/>
  <c r="B1011" i="36"/>
  <c r="B1012" i="36"/>
  <c r="B1013" i="36"/>
  <c r="B1014" i="36"/>
  <c r="B1015" i="36"/>
  <c r="B1016" i="36"/>
  <c r="B1017" i="36"/>
  <c r="B1018" i="36"/>
  <c r="B1019" i="36"/>
  <c r="B1020" i="36"/>
  <c r="B1021" i="36"/>
  <c r="B1022" i="36"/>
  <c r="B1023" i="36"/>
  <c r="B1024" i="36"/>
  <c r="B1025" i="36"/>
  <c r="B1026" i="36"/>
  <c r="B1027" i="36"/>
  <c r="B1028" i="36"/>
  <c r="B1029" i="36"/>
  <c r="B1030" i="36"/>
  <c r="B1031" i="36"/>
  <c r="B1032" i="36"/>
  <c r="B1033" i="36"/>
  <c r="B1034" i="36"/>
  <c r="B1035" i="36"/>
  <c r="B1036" i="36"/>
  <c r="B1037" i="36"/>
  <c r="B1038" i="36"/>
  <c r="B1039" i="36"/>
  <c r="B1040" i="36"/>
  <c r="B1041" i="36"/>
  <c r="B1042" i="36"/>
  <c r="B1043" i="36"/>
  <c r="B1044" i="36"/>
  <c r="B1045" i="36"/>
  <c r="B1046" i="36"/>
  <c r="B1047" i="36"/>
  <c r="B1048" i="36"/>
  <c r="B1049" i="36"/>
  <c r="B1050" i="36"/>
  <c r="B1051" i="36"/>
  <c r="B1052" i="36"/>
  <c r="B1053" i="36"/>
  <c r="B1054" i="36"/>
  <c r="B1055" i="36"/>
  <c r="B1056" i="36"/>
  <c r="B1057" i="36"/>
  <c r="B1058" i="36"/>
  <c r="B1059" i="36"/>
  <c r="B1060" i="36"/>
  <c r="B1061" i="36"/>
  <c r="B1062" i="36"/>
  <c r="B1063" i="36"/>
  <c r="B1064" i="36"/>
  <c r="B1065" i="36"/>
  <c r="B1066" i="36"/>
  <c r="B1067" i="36"/>
  <c r="B1068" i="36"/>
  <c r="B1069" i="36"/>
  <c r="B1070" i="36"/>
  <c r="B1071" i="36"/>
  <c r="B1072" i="36"/>
  <c r="B1073" i="36"/>
  <c r="B1074" i="36"/>
  <c r="B1075" i="36"/>
  <c r="B1076" i="36"/>
  <c r="B1077" i="36"/>
  <c r="B1078" i="36"/>
  <c r="B1079" i="36"/>
  <c r="B1080" i="36"/>
  <c r="B1081" i="36"/>
  <c r="B1082" i="36"/>
  <c r="B1083" i="36"/>
  <c r="B1084" i="36"/>
  <c r="B1085" i="36"/>
  <c r="B1086" i="36"/>
  <c r="B1087" i="36"/>
  <c r="B1088" i="36"/>
  <c r="B1089" i="36"/>
  <c r="B1090" i="36"/>
  <c r="B1091" i="36"/>
  <c r="B1092" i="36"/>
  <c r="B1093" i="36"/>
  <c r="B1094" i="36"/>
  <c r="B1095" i="36"/>
  <c r="B1096" i="36"/>
  <c r="B1097" i="36"/>
  <c r="B1098" i="36"/>
  <c r="B1099" i="36"/>
  <c r="B1100" i="36"/>
  <c r="B1101" i="36"/>
  <c r="B1102" i="36"/>
  <c r="B1103" i="36"/>
  <c r="B1104" i="36"/>
  <c r="B1105" i="36"/>
  <c r="B1106" i="36"/>
  <c r="B1107" i="36"/>
  <c r="B1108" i="36"/>
  <c r="B1109" i="36"/>
  <c r="B1110" i="36"/>
  <c r="B1111" i="36"/>
  <c r="B1112" i="36"/>
  <c r="B1113" i="36"/>
  <c r="B1114" i="36"/>
  <c r="B1115" i="36"/>
  <c r="B1116" i="36"/>
  <c r="B1117" i="36"/>
  <c r="B1118" i="36"/>
  <c r="B1119" i="36"/>
  <c r="B1120" i="36"/>
  <c r="B1121" i="36"/>
  <c r="B1122" i="36"/>
  <c r="B1123" i="36"/>
  <c r="B1124" i="36"/>
  <c r="B1125" i="36"/>
  <c r="B1126" i="36"/>
  <c r="B1127" i="36"/>
  <c r="B1128" i="36"/>
  <c r="B1129" i="36"/>
  <c r="B1130" i="36"/>
  <c r="B1131" i="36"/>
  <c r="B1132" i="36"/>
  <c r="B1133" i="36"/>
  <c r="B1134" i="36"/>
  <c r="B1135" i="36"/>
  <c r="B1136" i="36"/>
  <c r="B1137" i="36"/>
  <c r="B1138" i="36"/>
  <c r="B1139" i="36"/>
  <c r="B1140" i="36"/>
  <c r="B1141" i="36"/>
  <c r="B1142" i="36"/>
  <c r="B1143" i="36"/>
  <c r="B1144" i="36"/>
  <c r="B1145" i="36"/>
  <c r="B1146" i="36"/>
  <c r="B1147" i="36"/>
  <c r="B1148" i="36"/>
  <c r="B1149" i="36"/>
  <c r="B1150" i="36"/>
  <c r="B1151" i="36"/>
  <c r="B1152" i="36"/>
  <c r="B1153" i="36"/>
  <c r="B1154" i="36"/>
  <c r="B1155" i="36"/>
  <c r="B1156" i="36"/>
  <c r="B1157" i="36"/>
  <c r="B1158" i="36"/>
  <c r="B1159" i="36"/>
  <c r="B1160" i="36"/>
  <c r="B1161" i="36"/>
  <c r="B1162" i="36"/>
  <c r="B1163" i="36"/>
  <c r="B1164" i="36"/>
  <c r="B1165" i="36"/>
  <c r="B1166" i="36"/>
  <c r="B1167" i="36"/>
  <c r="B1168" i="36"/>
  <c r="B1169" i="36"/>
  <c r="B1170" i="36"/>
  <c r="B1171" i="36"/>
  <c r="B1172" i="36"/>
  <c r="B1173" i="36"/>
  <c r="B1174" i="36"/>
  <c r="B1175" i="36"/>
  <c r="B1176" i="36"/>
  <c r="B1177" i="36"/>
  <c r="B1178" i="36"/>
  <c r="B1179" i="36"/>
  <c r="B1180" i="36"/>
  <c r="B1181" i="36"/>
  <c r="B1182" i="36"/>
  <c r="B1183" i="36"/>
  <c r="B1184" i="36"/>
  <c r="B1185" i="36"/>
  <c r="B1186" i="36"/>
  <c r="B1187" i="36"/>
  <c r="B1188" i="36"/>
  <c r="B1189" i="36"/>
  <c r="B1190" i="36"/>
  <c r="B1191" i="36"/>
  <c r="B1192" i="36"/>
  <c r="B1193" i="36"/>
  <c r="B1194" i="36"/>
  <c r="B1195" i="36"/>
  <c r="B1196" i="36"/>
  <c r="B1197" i="36"/>
  <c r="B1198" i="36"/>
  <c r="B1199" i="36"/>
  <c r="B1200" i="36"/>
  <c r="B1201" i="36"/>
  <c r="B1202" i="36"/>
  <c r="B1203" i="36"/>
  <c r="B1204" i="36"/>
  <c r="B1205" i="36"/>
  <c r="B1206" i="36"/>
  <c r="B1207" i="36"/>
  <c r="B1208" i="36"/>
  <c r="B1209" i="36"/>
  <c r="B1210" i="36"/>
  <c r="B1211" i="36"/>
  <c r="B1212" i="36"/>
  <c r="B1213" i="36"/>
  <c r="B1214" i="36"/>
  <c r="B1215" i="36"/>
  <c r="B1216" i="36"/>
  <c r="B1217" i="36"/>
  <c r="B1218" i="36"/>
  <c r="B1219" i="36"/>
  <c r="B1220" i="36"/>
  <c r="B1221" i="36"/>
  <c r="B1222" i="36"/>
  <c r="B1223" i="36"/>
  <c r="B1224" i="36"/>
  <c r="B1225" i="36"/>
  <c r="B1226" i="36"/>
  <c r="B1227" i="36"/>
  <c r="B1228" i="36"/>
  <c r="B1229" i="36"/>
  <c r="B1230" i="36"/>
  <c r="B1231" i="36"/>
  <c r="B1232" i="36"/>
  <c r="B1233" i="36"/>
  <c r="B1234" i="36"/>
  <c r="B1235" i="36"/>
  <c r="B1236" i="36"/>
  <c r="B1237" i="36"/>
  <c r="B1238" i="36"/>
  <c r="B1239" i="36"/>
  <c r="B1240" i="36"/>
  <c r="B1241" i="36"/>
  <c r="B1242" i="36"/>
  <c r="B1243" i="36"/>
  <c r="B1244" i="36"/>
  <c r="B1245" i="36"/>
  <c r="B1246" i="36"/>
  <c r="B1247" i="36"/>
  <c r="B1248" i="36"/>
  <c r="B1249" i="36"/>
  <c r="B1250" i="36"/>
  <c r="B1251" i="36"/>
  <c r="B1252" i="36"/>
  <c r="B1253" i="36"/>
  <c r="B1254" i="36"/>
  <c r="B1255" i="36"/>
  <c r="B1256" i="36"/>
  <c r="B1257" i="36"/>
  <c r="B1258" i="36"/>
  <c r="B1259" i="36"/>
  <c r="B1260" i="36"/>
  <c r="B1261" i="36"/>
  <c r="B1262" i="36"/>
  <c r="B1263" i="36"/>
  <c r="B1264" i="36"/>
  <c r="B1265" i="36"/>
  <c r="B1266" i="36"/>
  <c r="B1267" i="36"/>
  <c r="B1268" i="36"/>
  <c r="B1269" i="36"/>
  <c r="B1270" i="36"/>
  <c r="B1271" i="36"/>
  <c r="B1272" i="36"/>
  <c r="B1273" i="36"/>
  <c r="B1274" i="36"/>
  <c r="B1275" i="36"/>
  <c r="B1276" i="36"/>
  <c r="B1277" i="36"/>
  <c r="B1278" i="36"/>
  <c r="B1279" i="36"/>
  <c r="B1280" i="36"/>
  <c r="B1281" i="36"/>
  <c r="B1282" i="36"/>
  <c r="B1283" i="36"/>
  <c r="B1284" i="36"/>
  <c r="B1285" i="36"/>
  <c r="B1286" i="36"/>
  <c r="B1287" i="36"/>
  <c r="B1288" i="36"/>
  <c r="B1289" i="36"/>
  <c r="B1290" i="36"/>
  <c r="B1291" i="36"/>
  <c r="B1292" i="36"/>
  <c r="B1293" i="36"/>
  <c r="B1294" i="36"/>
  <c r="B1295" i="36"/>
  <c r="B1296" i="36"/>
  <c r="B1297" i="36"/>
  <c r="B1298" i="36"/>
  <c r="B1299" i="36"/>
  <c r="B1300" i="36"/>
  <c r="B1301" i="36"/>
  <c r="B1302" i="36"/>
  <c r="B1303" i="36"/>
  <c r="B1304" i="36"/>
  <c r="B1305" i="36"/>
  <c r="B1306" i="36"/>
  <c r="B1307" i="36"/>
  <c r="B1308" i="36"/>
  <c r="B1309" i="36"/>
  <c r="B1310" i="36"/>
  <c r="B1311" i="36"/>
  <c r="B1312" i="36"/>
  <c r="B1313" i="36"/>
  <c r="B1314" i="36"/>
  <c r="B1315" i="36"/>
  <c r="B1316" i="36"/>
  <c r="B1317" i="36"/>
  <c r="B1318" i="36"/>
  <c r="B1319" i="36"/>
  <c r="B1320" i="36"/>
  <c r="B1321" i="36"/>
  <c r="B1322" i="36"/>
  <c r="B1323" i="36"/>
  <c r="B1324" i="36"/>
  <c r="B1325" i="36"/>
  <c r="B1326" i="36"/>
  <c r="B1327" i="36"/>
  <c r="B1328" i="36"/>
  <c r="B1329" i="36"/>
  <c r="B1330" i="36"/>
  <c r="B1331" i="36"/>
  <c r="B1332" i="36"/>
  <c r="B1333" i="36"/>
  <c r="B1334" i="36"/>
  <c r="B1335" i="36"/>
  <c r="B1336" i="36"/>
  <c r="B1337" i="36"/>
  <c r="B1338" i="36"/>
  <c r="B1339" i="36"/>
  <c r="B1340" i="36"/>
  <c r="B1341" i="36"/>
  <c r="B1342" i="36"/>
  <c r="B1343" i="36"/>
  <c r="B1344" i="36"/>
  <c r="B1345" i="36"/>
  <c r="B1346" i="36"/>
  <c r="B1347" i="36"/>
  <c r="B1348" i="36"/>
  <c r="B1349" i="36"/>
  <c r="B1350" i="36"/>
  <c r="B1351" i="36"/>
  <c r="B1352" i="36"/>
  <c r="B1353" i="36"/>
  <c r="B1354" i="36"/>
  <c r="B1355" i="36"/>
  <c r="B1356" i="36"/>
  <c r="B1357" i="36"/>
  <c r="B1358" i="36"/>
  <c r="B1359" i="36"/>
  <c r="B1360" i="36"/>
  <c r="B1361" i="36"/>
  <c r="B1362" i="36"/>
  <c r="B1363" i="36"/>
  <c r="B1364" i="36"/>
  <c r="B1365" i="36"/>
  <c r="B1366" i="36"/>
  <c r="B1367" i="36"/>
  <c r="B1368" i="36"/>
  <c r="B1369" i="36"/>
  <c r="B1370" i="36"/>
  <c r="B1371" i="36"/>
  <c r="B1372" i="36"/>
  <c r="B1373" i="36"/>
  <c r="B1374" i="36"/>
  <c r="B1375" i="36"/>
  <c r="B1376" i="36"/>
  <c r="B1377" i="36"/>
  <c r="B1378" i="36"/>
  <c r="B1379" i="36"/>
  <c r="B1380" i="36"/>
  <c r="B1381" i="36"/>
  <c r="B1382" i="36"/>
  <c r="B1383" i="36"/>
  <c r="B1384" i="36"/>
  <c r="B1385" i="36"/>
  <c r="B1386" i="36"/>
  <c r="B1387" i="36"/>
  <c r="B1388" i="36"/>
  <c r="B1389" i="36"/>
  <c r="B1390" i="36"/>
  <c r="B1391" i="36"/>
  <c r="B1392" i="36"/>
  <c r="B1393" i="36"/>
  <c r="B1394" i="36"/>
  <c r="B1395" i="36"/>
  <c r="B1396" i="36"/>
  <c r="B1397" i="36"/>
  <c r="B1398" i="36"/>
  <c r="B1399" i="36"/>
  <c r="B1400" i="36"/>
  <c r="B1401" i="36"/>
  <c r="B1402" i="36"/>
  <c r="B1403" i="36"/>
  <c r="B1404" i="36"/>
  <c r="B1405" i="36"/>
  <c r="B1406" i="36"/>
  <c r="B1407" i="36"/>
  <c r="B1408" i="36"/>
  <c r="B1409" i="36"/>
  <c r="B1410" i="36"/>
  <c r="B1411" i="36"/>
  <c r="B1412" i="36"/>
  <c r="B1413" i="36"/>
  <c r="B1414" i="36"/>
  <c r="B1415" i="36"/>
  <c r="B1416" i="36"/>
  <c r="B1417" i="36"/>
  <c r="B1418" i="36"/>
  <c r="B1419" i="36"/>
  <c r="B1420" i="36"/>
  <c r="B1421" i="36"/>
  <c r="B1422" i="36"/>
  <c r="B1423" i="36"/>
  <c r="B1424" i="36"/>
  <c r="B1425" i="36"/>
  <c r="B1426" i="36"/>
  <c r="B1427" i="36"/>
  <c r="B1428" i="36"/>
  <c r="B1429" i="36"/>
  <c r="B1430" i="36"/>
  <c r="B1431" i="36"/>
  <c r="B1432" i="36"/>
  <c r="B1433" i="36"/>
  <c r="B1434" i="36"/>
  <c r="B1435" i="36"/>
  <c r="B1436" i="36"/>
  <c r="B1437" i="36"/>
  <c r="B1438" i="36"/>
  <c r="B1439" i="36"/>
  <c r="B1440" i="36"/>
  <c r="B1441" i="36"/>
  <c r="B1442" i="36"/>
  <c r="B1443" i="36"/>
  <c r="B1444" i="36"/>
  <c r="B1445" i="36"/>
  <c r="B1446" i="36"/>
  <c r="B1447" i="36"/>
  <c r="B1448" i="36"/>
  <c r="B1449" i="36"/>
  <c r="B1450" i="36"/>
  <c r="B1451" i="36"/>
  <c r="B1452" i="36"/>
  <c r="B1453" i="36"/>
  <c r="B1454" i="36"/>
  <c r="B1455" i="36"/>
  <c r="B1456" i="36"/>
  <c r="B1457" i="36"/>
  <c r="B1458" i="36"/>
  <c r="B1459" i="36"/>
  <c r="B1460" i="36"/>
  <c r="B1461" i="36"/>
  <c r="B1462" i="36"/>
  <c r="B1463" i="36"/>
  <c r="B1464" i="36"/>
  <c r="B1465" i="36"/>
  <c r="B1466" i="36"/>
  <c r="B1467" i="36"/>
  <c r="B1468" i="36"/>
  <c r="B1469" i="36"/>
  <c r="B1470" i="36"/>
  <c r="B1471" i="36"/>
  <c r="B1472" i="36"/>
  <c r="B1473" i="36"/>
  <c r="B1474" i="36"/>
  <c r="B1475" i="36"/>
  <c r="B1476" i="36"/>
  <c r="B1477" i="36"/>
  <c r="B1478" i="36"/>
  <c r="B1479" i="36"/>
  <c r="B1480" i="36"/>
  <c r="B1481" i="36"/>
  <c r="B1482" i="36"/>
  <c r="B1483" i="36"/>
  <c r="B1484" i="36"/>
  <c r="B1485" i="36"/>
  <c r="B1486" i="36"/>
  <c r="B1487" i="36"/>
  <c r="B1488" i="36"/>
  <c r="B1489" i="36"/>
  <c r="B1490" i="36"/>
  <c r="B1491" i="36"/>
  <c r="B1492" i="36"/>
  <c r="B1493" i="36"/>
  <c r="B1494" i="36"/>
  <c r="B1495" i="36"/>
  <c r="B1496" i="36"/>
  <c r="B1497" i="36"/>
  <c r="B1498" i="36"/>
  <c r="B1499" i="36"/>
  <c r="B1500" i="36"/>
  <c r="B1501" i="36"/>
  <c r="B1502" i="36"/>
  <c r="B1503" i="36"/>
  <c r="B1504" i="36"/>
  <c r="B1505" i="36"/>
  <c r="B1506" i="36"/>
  <c r="B1507" i="36"/>
  <c r="B1508" i="36"/>
  <c r="B1509" i="36"/>
  <c r="B1510" i="36"/>
  <c r="B1511" i="36"/>
  <c r="B1512" i="36"/>
  <c r="B1513" i="36"/>
  <c r="B1514" i="36"/>
  <c r="B1515" i="36"/>
  <c r="B1516" i="36"/>
  <c r="B1517" i="36"/>
  <c r="B1518" i="36"/>
  <c r="B1519" i="36"/>
  <c r="B1520" i="36"/>
  <c r="B1521" i="36"/>
  <c r="B1522" i="36"/>
  <c r="B1523" i="36"/>
  <c r="B1524" i="36"/>
  <c r="B1525" i="36"/>
  <c r="B1526" i="36"/>
  <c r="B1527" i="36"/>
  <c r="B1528" i="36"/>
  <c r="B1529" i="36"/>
  <c r="B1530" i="36"/>
  <c r="B1531" i="36"/>
  <c r="A1011" i="36"/>
  <c r="A1012" i="36"/>
  <c r="A1013" i="36"/>
  <c r="A1014" i="36"/>
  <c r="A1015" i="36"/>
  <c r="A1016" i="36"/>
  <c r="A1017" i="36"/>
  <c r="A1018" i="36"/>
  <c r="A1019" i="36"/>
  <c r="A1020" i="36"/>
  <c r="A1021" i="36"/>
  <c r="A1022" i="36"/>
  <c r="A1023" i="36"/>
  <c r="A1024" i="36"/>
  <c r="A1025" i="36"/>
  <c r="A1026" i="36"/>
  <c r="A1027" i="36"/>
  <c r="A1028" i="36"/>
  <c r="A1029" i="36"/>
  <c r="A1030" i="36"/>
  <c r="A1031" i="36"/>
  <c r="A1032" i="36"/>
  <c r="A1033" i="36"/>
  <c r="A1034" i="36"/>
  <c r="A1035" i="36"/>
  <c r="A1036" i="36"/>
  <c r="A1037" i="36"/>
  <c r="A1038" i="36"/>
  <c r="A1039" i="36"/>
  <c r="A1040" i="36"/>
  <c r="A1041" i="36"/>
  <c r="A1042" i="36"/>
  <c r="A1043" i="36"/>
  <c r="A1044" i="36"/>
  <c r="A1045" i="36"/>
  <c r="A1046" i="36"/>
  <c r="A1047" i="36"/>
  <c r="A1048" i="36"/>
  <c r="A1049" i="36"/>
  <c r="A1050" i="36"/>
  <c r="A1051" i="36"/>
  <c r="A1052" i="36"/>
  <c r="A1053" i="36"/>
  <c r="A1054" i="36"/>
  <c r="A1055" i="36"/>
  <c r="A1056" i="36"/>
  <c r="A1057" i="36"/>
  <c r="A1058" i="36"/>
  <c r="A1059" i="36"/>
  <c r="A1060" i="36"/>
  <c r="A1061" i="36"/>
  <c r="A1062" i="36"/>
  <c r="A1063" i="36"/>
  <c r="A1064" i="36"/>
  <c r="A1065" i="36"/>
  <c r="A1066" i="36"/>
  <c r="A1067" i="36"/>
  <c r="A1068" i="36"/>
  <c r="A1069" i="36"/>
  <c r="A1070" i="36"/>
  <c r="A1071" i="36"/>
  <c r="A1072" i="36"/>
  <c r="A1073" i="36"/>
  <c r="A1074" i="36"/>
  <c r="A1075" i="36"/>
  <c r="A1076" i="36"/>
  <c r="A1077" i="36"/>
  <c r="A1078" i="36"/>
  <c r="A1079" i="36"/>
  <c r="A1080" i="36"/>
  <c r="A1081" i="36"/>
  <c r="A1082" i="36"/>
  <c r="A1083" i="36"/>
  <c r="A1084" i="36"/>
  <c r="A1085" i="36"/>
  <c r="A1086" i="36"/>
  <c r="A1087" i="36"/>
  <c r="A1088" i="36"/>
  <c r="A1089" i="36"/>
  <c r="A1090" i="36"/>
  <c r="A1091" i="36"/>
  <c r="A1092" i="36"/>
  <c r="A1093" i="36"/>
  <c r="A1094" i="36"/>
  <c r="A1095" i="36"/>
  <c r="A1096" i="36"/>
  <c r="A1097" i="36"/>
  <c r="A1098" i="36"/>
  <c r="A1099" i="36"/>
  <c r="A1100" i="36"/>
  <c r="A1101" i="36"/>
  <c r="A1102" i="36"/>
  <c r="A1103" i="36"/>
  <c r="A1104" i="36"/>
  <c r="A1105" i="36"/>
  <c r="A1106" i="36"/>
  <c r="A1107" i="36"/>
  <c r="A1108" i="36"/>
  <c r="A1109" i="36"/>
  <c r="A1110" i="36"/>
  <c r="A1111" i="36"/>
  <c r="A1112" i="36"/>
  <c r="A1113" i="36"/>
  <c r="A1114" i="36"/>
  <c r="A1115" i="36"/>
  <c r="A1116" i="36"/>
  <c r="A1117" i="36"/>
  <c r="A1118" i="36"/>
  <c r="A1119" i="36"/>
  <c r="A1120" i="36"/>
  <c r="A1121" i="36"/>
  <c r="A1122" i="36"/>
  <c r="A1123" i="36"/>
  <c r="A1124" i="36"/>
  <c r="A1125" i="36"/>
  <c r="A1126" i="36"/>
  <c r="A1127" i="36"/>
  <c r="A1128" i="36"/>
  <c r="A1129" i="36"/>
  <c r="A1130" i="36"/>
  <c r="A1131" i="36"/>
  <c r="A1132" i="36"/>
  <c r="A1133" i="36"/>
  <c r="A1134" i="36"/>
  <c r="A1135" i="36"/>
  <c r="A1136" i="36"/>
  <c r="A1137" i="36"/>
  <c r="A1138" i="36"/>
  <c r="A1139" i="36"/>
  <c r="A1140" i="36"/>
  <c r="A1141" i="36"/>
  <c r="A1142" i="36"/>
  <c r="A1143" i="36"/>
  <c r="A1144" i="36"/>
  <c r="A1145" i="36"/>
  <c r="A1146" i="36"/>
  <c r="A1147" i="36"/>
  <c r="A1148" i="36"/>
  <c r="A1149" i="36"/>
  <c r="A1150" i="36"/>
  <c r="A1151" i="36"/>
  <c r="A1152" i="36"/>
  <c r="A1153" i="36"/>
  <c r="A1154" i="36"/>
  <c r="A1155" i="36"/>
  <c r="A1156" i="36"/>
  <c r="A1157" i="36"/>
  <c r="A1158" i="36"/>
  <c r="A1159" i="36"/>
  <c r="A1160" i="36"/>
  <c r="A1161" i="36"/>
  <c r="A1162" i="36"/>
  <c r="A1163" i="36"/>
  <c r="A1164" i="36"/>
  <c r="A1165" i="36"/>
  <c r="A1166" i="36"/>
  <c r="A1167" i="36"/>
  <c r="A1168" i="36"/>
  <c r="A1169" i="36"/>
  <c r="A1170" i="36"/>
  <c r="A1171" i="36"/>
  <c r="A1172" i="36"/>
  <c r="A1173" i="36"/>
  <c r="A1174" i="36"/>
  <c r="A1175" i="36"/>
  <c r="A1176" i="36"/>
  <c r="A1177" i="36"/>
  <c r="A1178" i="36"/>
  <c r="A1179" i="36"/>
  <c r="A1180" i="36"/>
  <c r="A1181" i="36"/>
  <c r="A1182" i="36"/>
  <c r="A1183" i="36"/>
  <c r="A1184" i="36"/>
  <c r="A1185" i="36"/>
  <c r="A1186" i="36"/>
  <c r="A1187" i="36"/>
  <c r="A1188" i="36"/>
  <c r="A1189" i="36"/>
  <c r="A1190" i="36"/>
  <c r="A1191" i="36"/>
  <c r="A1192" i="36"/>
  <c r="A1193" i="36"/>
  <c r="A1194" i="36"/>
  <c r="A1195" i="36"/>
  <c r="A1196" i="36"/>
  <c r="A1197" i="36"/>
  <c r="A1198" i="36"/>
  <c r="A1199" i="36"/>
  <c r="A1200" i="36"/>
  <c r="A1201" i="36"/>
  <c r="A1202" i="36"/>
  <c r="A1203" i="36"/>
  <c r="A1204" i="36"/>
  <c r="A1205" i="36"/>
  <c r="A1206" i="36"/>
  <c r="A1207" i="36"/>
  <c r="A1208" i="36"/>
  <c r="A1209" i="36"/>
  <c r="A1210" i="36"/>
  <c r="A1211" i="36"/>
  <c r="A1212" i="36"/>
  <c r="A1213" i="36"/>
  <c r="A1214" i="36"/>
  <c r="A1215" i="36"/>
  <c r="A1216" i="36"/>
  <c r="A1217" i="36"/>
  <c r="A1218" i="36"/>
  <c r="A1219" i="36"/>
  <c r="A1220" i="36"/>
  <c r="A1221" i="36"/>
  <c r="A1222" i="36"/>
  <c r="A1223" i="36"/>
  <c r="A1224" i="36"/>
  <c r="A1225" i="36"/>
  <c r="A1226" i="36"/>
  <c r="A1227" i="36"/>
  <c r="A1228" i="36"/>
  <c r="A1229" i="36"/>
  <c r="A1230" i="36"/>
  <c r="A1231" i="36"/>
  <c r="A1232" i="36"/>
  <c r="A1233" i="36"/>
  <c r="A1234" i="36"/>
  <c r="A1235" i="36"/>
  <c r="A1236" i="36"/>
  <c r="A1237" i="36"/>
  <c r="A1238" i="36"/>
  <c r="A1239" i="36"/>
  <c r="A1240" i="36"/>
  <c r="A1241" i="36"/>
  <c r="A1242" i="36"/>
  <c r="A1243" i="36"/>
  <c r="A1244" i="36"/>
  <c r="A1245" i="36"/>
  <c r="A1246" i="36"/>
  <c r="A1247" i="36"/>
  <c r="A1248" i="36"/>
  <c r="A1249" i="36"/>
  <c r="A1250" i="36"/>
  <c r="A1251" i="36"/>
  <c r="A1252" i="36"/>
  <c r="A1253" i="36"/>
  <c r="A1254" i="36"/>
  <c r="A1255" i="36"/>
  <c r="A1256" i="36"/>
  <c r="A1257" i="36"/>
  <c r="A1258" i="36"/>
  <c r="A1259" i="36"/>
  <c r="A1260" i="36"/>
  <c r="A1261" i="36"/>
  <c r="A1262" i="36"/>
  <c r="A1263" i="36"/>
  <c r="A1264" i="36"/>
  <c r="A1265" i="36"/>
  <c r="A1266" i="36"/>
  <c r="A1267" i="36"/>
  <c r="A1268" i="36"/>
  <c r="A1269" i="36"/>
  <c r="A1270" i="36"/>
  <c r="A1271" i="36"/>
  <c r="A1272" i="36"/>
  <c r="A1273" i="36"/>
  <c r="A1274" i="36"/>
  <c r="A1275" i="36"/>
  <c r="A1276" i="36"/>
  <c r="A1277" i="36"/>
  <c r="A1278" i="36"/>
  <c r="A1279" i="36"/>
  <c r="A1280" i="36"/>
  <c r="A1281" i="36"/>
  <c r="A1282" i="36"/>
  <c r="A1283" i="36"/>
  <c r="A1284" i="36"/>
  <c r="A1285" i="36"/>
  <c r="A1286" i="36"/>
  <c r="A1287" i="36"/>
  <c r="A1288" i="36"/>
  <c r="A1289" i="36"/>
  <c r="A1290" i="36"/>
  <c r="A1291" i="36"/>
  <c r="A1292" i="36"/>
  <c r="A1293" i="36"/>
  <c r="A1294" i="36"/>
  <c r="A1295" i="36"/>
  <c r="A1296" i="36"/>
  <c r="A1297" i="36"/>
  <c r="A1298" i="36"/>
  <c r="A1299" i="36"/>
  <c r="A1300" i="36"/>
  <c r="A1301" i="36"/>
  <c r="A1302" i="36"/>
  <c r="A1303" i="36"/>
  <c r="A1304" i="36"/>
  <c r="A1305" i="36"/>
  <c r="A1306" i="36"/>
  <c r="A1307" i="36"/>
  <c r="A1308" i="36"/>
  <c r="A1309" i="36"/>
  <c r="A1310" i="36"/>
  <c r="A1311" i="36"/>
  <c r="A1312" i="36"/>
  <c r="A1313" i="36"/>
  <c r="A1314" i="36"/>
  <c r="A1315" i="36"/>
  <c r="A1316" i="36"/>
  <c r="A1317" i="36"/>
  <c r="A1318" i="36"/>
  <c r="A1319" i="36"/>
  <c r="A1320" i="36"/>
  <c r="A1321" i="36"/>
  <c r="A1322" i="36"/>
  <c r="A1323" i="36"/>
  <c r="A1324" i="36"/>
  <c r="A1325" i="36"/>
  <c r="A1326" i="36"/>
  <c r="A1327" i="36"/>
  <c r="A1328" i="36"/>
  <c r="A1329" i="36"/>
  <c r="A1330" i="36"/>
  <c r="A1331" i="36"/>
  <c r="A1332" i="36"/>
  <c r="A1333" i="36"/>
  <c r="A1334" i="36"/>
  <c r="A1335" i="36"/>
  <c r="A1336" i="36"/>
  <c r="A1337" i="36"/>
  <c r="A1338" i="36"/>
  <c r="A1339" i="36"/>
  <c r="A1340" i="36"/>
  <c r="A1341" i="36"/>
  <c r="A1342" i="36"/>
  <c r="A1343" i="36"/>
  <c r="A1344" i="36"/>
  <c r="A1345" i="36"/>
  <c r="A1346" i="36"/>
  <c r="A1347" i="36"/>
  <c r="A1348" i="36"/>
  <c r="A1349" i="36"/>
  <c r="A1350" i="36"/>
  <c r="A1351" i="36"/>
  <c r="A1352" i="36"/>
  <c r="A1353" i="36"/>
  <c r="A1354" i="36"/>
  <c r="A1355" i="36"/>
  <c r="A1356" i="36"/>
  <c r="A1357" i="36"/>
  <c r="A1358" i="36"/>
  <c r="A1359" i="36"/>
  <c r="A1360" i="36"/>
  <c r="A1361" i="36"/>
  <c r="A1362" i="36"/>
  <c r="A1363" i="36"/>
  <c r="A1364" i="36"/>
  <c r="A1365" i="36"/>
  <c r="A1366" i="36"/>
  <c r="A1367" i="36"/>
  <c r="A1368" i="36"/>
  <c r="A1369" i="36"/>
  <c r="A1370" i="36"/>
  <c r="A1371" i="36"/>
  <c r="A1372" i="36"/>
  <c r="A1373" i="36"/>
  <c r="A1374" i="36"/>
  <c r="A1375" i="36"/>
  <c r="A1376" i="36"/>
  <c r="A1377" i="36"/>
  <c r="A1378" i="36"/>
  <c r="A1379" i="36"/>
  <c r="A1380" i="36"/>
  <c r="A1381" i="36"/>
  <c r="A1382" i="36"/>
  <c r="A1383" i="36"/>
  <c r="A1384" i="36"/>
  <c r="A1385" i="36"/>
  <c r="A1386" i="36"/>
  <c r="A1387" i="36"/>
  <c r="A1388" i="36"/>
  <c r="A1389" i="36"/>
  <c r="A1390" i="36"/>
  <c r="A1391" i="36"/>
  <c r="A1392" i="36"/>
  <c r="A1393" i="36"/>
  <c r="A1394" i="36"/>
  <c r="A1395" i="36"/>
  <c r="A1396" i="36"/>
  <c r="A1397" i="36"/>
  <c r="A1398" i="36"/>
  <c r="A1399" i="36"/>
  <c r="A1400" i="36"/>
  <c r="A1401" i="36"/>
  <c r="A1402" i="36"/>
  <c r="A1403" i="36"/>
  <c r="A1404" i="36"/>
  <c r="A1405" i="36"/>
  <c r="A1406" i="36"/>
  <c r="A1407" i="36"/>
  <c r="A1408" i="36"/>
  <c r="A1409" i="36"/>
  <c r="A1410" i="36"/>
  <c r="A1411" i="36"/>
  <c r="A1412" i="36"/>
  <c r="A1413" i="36"/>
  <c r="A1414" i="36"/>
  <c r="A1415" i="36"/>
  <c r="A1416" i="36"/>
  <c r="A1417" i="36"/>
  <c r="A1418" i="36"/>
  <c r="A1419" i="36"/>
  <c r="A1420" i="36"/>
  <c r="A1421" i="36"/>
  <c r="A1422" i="36"/>
  <c r="A1423" i="36"/>
  <c r="A1424" i="36"/>
  <c r="A1425" i="36"/>
  <c r="A1426" i="36"/>
  <c r="A1427" i="36"/>
  <c r="A1428" i="36"/>
  <c r="A1429" i="36"/>
  <c r="A1430" i="36"/>
  <c r="A1431" i="36"/>
  <c r="A1432" i="36"/>
  <c r="A1433" i="36"/>
  <c r="A1434" i="36"/>
  <c r="A1435" i="36"/>
  <c r="A1436" i="36"/>
  <c r="A1437" i="36"/>
  <c r="A1438" i="36"/>
  <c r="A1439" i="36"/>
  <c r="A1440" i="36"/>
  <c r="A1441" i="36"/>
  <c r="A1442" i="36"/>
  <c r="A1443" i="36"/>
  <c r="A1444" i="36"/>
  <c r="A1445" i="36"/>
  <c r="A1446" i="36"/>
  <c r="A1447" i="36"/>
  <c r="A1448" i="36"/>
  <c r="A1449" i="36"/>
  <c r="A1450" i="36"/>
  <c r="A1451" i="36"/>
  <c r="A1452" i="36"/>
  <c r="A1453" i="36"/>
  <c r="A1454" i="36"/>
  <c r="A1455" i="36"/>
  <c r="A1456" i="36"/>
  <c r="A1457" i="36"/>
  <c r="A1458" i="36"/>
  <c r="A1459" i="36"/>
  <c r="A1460" i="36"/>
  <c r="A1461" i="36"/>
  <c r="A1462" i="36"/>
  <c r="A1463" i="36"/>
  <c r="A1464" i="36"/>
  <c r="A1465" i="36"/>
  <c r="A1466" i="36"/>
  <c r="A1467" i="36"/>
  <c r="A1468" i="36"/>
  <c r="A1469" i="36"/>
  <c r="A1470" i="36"/>
  <c r="A1471" i="36"/>
  <c r="A1472" i="36"/>
  <c r="A1473" i="36"/>
  <c r="A1474" i="36"/>
  <c r="A1475" i="36"/>
  <c r="A1476" i="36"/>
  <c r="A1477" i="36"/>
  <c r="A1478" i="36"/>
  <c r="A1479" i="36"/>
  <c r="A1480" i="36"/>
  <c r="A1481" i="36"/>
  <c r="A1482" i="36"/>
  <c r="A1483" i="36"/>
  <c r="A1484" i="36"/>
  <c r="A1485" i="36"/>
  <c r="A1486" i="36"/>
  <c r="A1487" i="36"/>
  <c r="A1488" i="36"/>
  <c r="A1489" i="36"/>
  <c r="A1490" i="36"/>
  <c r="A1491" i="36"/>
  <c r="A1492" i="36"/>
  <c r="A1493" i="36"/>
  <c r="A1494" i="36"/>
  <c r="A1495" i="36"/>
  <c r="A1496" i="36"/>
  <c r="A1497" i="36"/>
  <c r="A1498" i="36"/>
  <c r="A1499" i="36"/>
  <c r="A1500" i="36"/>
  <c r="A1501" i="36"/>
  <c r="A1502" i="36"/>
  <c r="A1503" i="36"/>
  <c r="A1504" i="36"/>
  <c r="A1505" i="36"/>
  <c r="A1506" i="36"/>
  <c r="A1507" i="36"/>
  <c r="A1508" i="36"/>
  <c r="A1509" i="36"/>
  <c r="A1510" i="36"/>
  <c r="A1511" i="36"/>
  <c r="A1512" i="36"/>
  <c r="A1513" i="36"/>
  <c r="A1514" i="36"/>
  <c r="A1515" i="36"/>
  <c r="A1516" i="36"/>
  <c r="A1517" i="36"/>
  <c r="A1518" i="36"/>
  <c r="A1519" i="36"/>
  <c r="A1520" i="36"/>
  <c r="A1521" i="36"/>
  <c r="A1522" i="36"/>
  <c r="A1523" i="36"/>
  <c r="A1524" i="36"/>
  <c r="A1525" i="36"/>
  <c r="A1526" i="36"/>
  <c r="A1527" i="36"/>
  <c r="A1528" i="36"/>
  <c r="A1529" i="36"/>
  <c r="A1530" i="36"/>
  <c r="A1531" i="36"/>
  <c r="A3" i="36"/>
  <c r="A4" i="36"/>
  <c r="A5" i="36"/>
  <c r="A6" i="36"/>
  <c r="A7" i="36"/>
  <c r="A8" i="36"/>
  <c r="A9" i="36"/>
  <c r="A10" i="36"/>
  <c r="A11" i="36"/>
  <c r="A12" i="36"/>
  <c r="A13" i="36"/>
  <c r="A14" i="36"/>
  <c r="A15" i="36"/>
  <c r="A16" i="36"/>
  <c r="A17" i="36"/>
  <c r="A18" i="36"/>
  <c r="A19" i="36"/>
  <c r="A20" i="36"/>
  <c r="A21" i="36"/>
  <c r="A22" i="36"/>
  <c r="A23" i="36"/>
  <c r="A24" i="36"/>
  <c r="A25" i="36"/>
  <c r="A26" i="36"/>
  <c r="A27" i="36"/>
  <c r="A28" i="36"/>
  <c r="A29" i="36"/>
  <c r="A30" i="36"/>
  <c r="A31" i="36"/>
  <c r="A32" i="36"/>
  <c r="A33" i="36"/>
  <c r="A34" i="36"/>
  <c r="A35" i="36"/>
  <c r="A36" i="36"/>
  <c r="A37" i="36"/>
  <c r="A38" i="36"/>
  <c r="A39" i="36"/>
  <c r="A40" i="36"/>
  <c r="A41" i="36"/>
  <c r="A42" i="36"/>
  <c r="A43" i="36"/>
  <c r="A44" i="36"/>
  <c r="A45" i="36"/>
  <c r="A46" i="36"/>
  <c r="A47" i="36"/>
  <c r="A48" i="36"/>
  <c r="A49" i="36"/>
  <c r="A50" i="36"/>
  <c r="A51" i="36"/>
  <c r="A52" i="36"/>
  <c r="A53" i="36"/>
  <c r="A54" i="36"/>
  <c r="A55" i="36"/>
  <c r="A56" i="36"/>
  <c r="A57" i="36"/>
  <c r="A58" i="36"/>
  <c r="A59" i="36"/>
  <c r="A60" i="36"/>
  <c r="A61" i="36"/>
  <c r="A62" i="36"/>
  <c r="A63" i="36"/>
  <c r="A64" i="36"/>
  <c r="A65" i="36"/>
  <c r="A66" i="36"/>
  <c r="A67" i="36"/>
  <c r="A68" i="36"/>
  <c r="A69" i="36"/>
  <c r="A70" i="36"/>
  <c r="A71" i="36"/>
  <c r="A72" i="36"/>
  <c r="A73" i="36"/>
  <c r="A74" i="36"/>
  <c r="A75" i="36"/>
  <c r="A76" i="36"/>
  <c r="A77" i="36"/>
  <c r="A78" i="36"/>
  <c r="A79" i="36"/>
  <c r="A80" i="36"/>
  <c r="A81" i="36"/>
  <c r="A82" i="36"/>
  <c r="A83" i="36"/>
  <c r="A84" i="36"/>
  <c r="A85" i="36"/>
  <c r="A86" i="36"/>
  <c r="A87" i="36"/>
  <c r="A88" i="36"/>
  <c r="A89" i="36"/>
  <c r="A90" i="36"/>
  <c r="A91" i="36"/>
  <c r="A92" i="36"/>
  <c r="A93" i="36"/>
  <c r="A94" i="36"/>
  <c r="A95" i="36"/>
  <c r="A96" i="36"/>
  <c r="A97" i="36"/>
  <c r="A98" i="36"/>
  <c r="A99" i="36"/>
  <c r="A100" i="36"/>
  <c r="A101" i="36"/>
  <c r="A102" i="36"/>
  <c r="A103" i="36"/>
  <c r="A104" i="36"/>
  <c r="A105" i="36"/>
  <c r="A106" i="36"/>
  <c r="A107" i="36"/>
  <c r="A108" i="36"/>
  <c r="A109" i="36"/>
  <c r="A110" i="36"/>
  <c r="A111" i="36"/>
  <c r="A112" i="36"/>
  <c r="A113" i="36"/>
  <c r="A114" i="36"/>
  <c r="A115" i="36"/>
  <c r="A116" i="36"/>
  <c r="A117" i="36"/>
  <c r="A118" i="36"/>
  <c r="A119" i="36"/>
  <c r="A120" i="36"/>
  <c r="A121" i="36"/>
  <c r="A122" i="36"/>
  <c r="A123" i="36"/>
  <c r="A124" i="36"/>
  <c r="A125" i="36"/>
  <c r="A126" i="36"/>
  <c r="A127" i="36"/>
  <c r="A128" i="36"/>
  <c r="A129" i="36"/>
  <c r="A130" i="36"/>
  <c r="A131" i="36"/>
  <c r="A132" i="36"/>
  <c r="A133" i="36"/>
  <c r="A134" i="36"/>
  <c r="A135" i="36"/>
  <c r="A136" i="36"/>
  <c r="A137" i="36"/>
  <c r="A138" i="36"/>
  <c r="A139" i="36"/>
  <c r="A140" i="36"/>
  <c r="A141" i="36"/>
  <c r="A142" i="36"/>
  <c r="A143" i="36"/>
  <c r="A144" i="36"/>
  <c r="A145" i="36"/>
  <c r="A146" i="36"/>
  <c r="A147" i="36"/>
  <c r="A148" i="36"/>
  <c r="A149" i="36"/>
  <c r="A150" i="36"/>
  <c r="A151" i="36"/>
  <c r="A152" i="36"/>
  <c r="A153" i="36"/>
  <c r="A154" i="36"/>
  <c r="A155" i="36"/>
  <c r="A156" i="36"/>
  <c r="A157" i="36"/>
  <c r="A158" i="36"/>
  <c r="A159" i="36"/>
  <c r="A160" i="36"/>
  <c r="A161" i="36"/>
  <c r="A162" i="36"/>
  <c r="A163" i="36"/>
  <c r="A164" i="36"/>
  <c r="A165" i="36"/>
  <c r="A166" i="36"/>
  <c r="A167" i="36"/>
  <c r="A168" i="36"/>
  <c r="A169" i="36"/>
  <c r="A170" i="36"/>
  <c r="A171" i="36"/>
  <c r="A172" i="36"/>
  <c r="A173" i="36"/>
  <c r="A174" i="36"/>
  <c r="A175" i="36"/>
  <c r="A176" i="36"/>
  <c r="A177" i="36"/>
  <c r="A178" i="36"/>
  <c r="A179" i="36"/>
  <c r="A180" i="36"/>
  <c r="A181" i="36"/>
  <c r="A182" i="36"/>
  <c r="A183" i="36"/>
  <c r="A184" i="36"/>
  <c r="A185" i="36"/>
  <c r="A186" i="36"/>
  <c r="A187" i="36"/>
  <c r="A188" i="36"/>
  <c r="A189" i="36"/>
  <c r="A190" i="36"/>
  <c r="A191" i="36"/>
  <c r="A192" i="36"/>
  <c r="A193" i="36"/>
  <c r="A194" i="36"/>
  <c r="A195" i="36"/>
  <c r="A196" i="36"/>
  <c r="A197" i="36"/>
  <c r="A198" i="36"/>
  <c r="A199" i="36"/>
  <c r="A200" i="36"/>
  <c r="A201" i="36"/>
  <c r="A202" i="36"/>
  <c r="A203" i="36"/>
  <c r="A204" i="36"/>
  <c r="A205" i="36"/>
  <c r="A206" i="36"/>
  <c r="A207" i="36"/>
  <c r="A208" i="36"/>
  <c r="A209" i="36"/>
  <c r="A210" i="36"/>
  <c r="A211" i="36"/>
  <c r="A212" i="36"/>
  <c r="A213" i="36"/>
  <c r="A214" i="36"/>
  <c r="A215" i="36"/>
  <c r="A216" i="36"/>
  <c r="A217" i="36"/>
  <c r="A218" i="36"/>
  <c r="A219" i="36"/>
  <c r="A220" i="36"/>
  <c r="A221" i="36"/>
  <c r="A222" i="36"/>
  <c r="A223" i="36"/>
  <c r="A224" i="36"/>
  <c r="A225" i="36"/>
  <c r="A226" i="36"/>
  <c r="A227" i="36"/>
  <c r="A228" i="36"/>
  <c r="A229" i="36"/>
  <c r="A230" i="36"/>
  <c r="A231" i="36"/>
  <c r="A232" i="36"/>
  <c r="A233" i="36"/>
  <c r="A234" i="36"/>
  <c r="A235" i="36"/>
  <c r="A236" i="36"/>
  <c r="A237" i="36"/>
  <c r="A238" i="36"/>
  <c r="A239" i="36"/>
  <c r="A240" i="36"/>
  <c r="A241" i="36"/>
  <c r="A242" i="36"/>
  <c r="A243" i="36"/>
  <c r="A244" i="36"/>
  <c r="A245" i="36"/>
  <c r="A246" i="36"/>
  <c r="A247" i="36"/>
  <c r="A248" i="36"/>
  <c r="A249" i="36"/>
  <c r="A250" i="36"/>
  <c r="A251" i="36"/>
  <c r="A252" i="36"/>
  <c r="A253" i="36"/>
  <c r="A254" i="36"/>
  <c r="A255" i="36"/>
  <c r="A256" i="36"/>
  <c r="A257" i="36"/>
  <c r="A258" i="36"/>
  <c r="A259" i="36"/>
  <c r="A260" i="36"/>
  <c r="A261" i="36"/>
  <c r="A262" i="36"/>
  <c r="A263" i="36"/>
  <c r="A264" i="36"/>
  <c r="A265" i="36"/>
  <c r="A266" i="36"/>
  <c r="A267" i="36"/>
  <c r="A268" i="36"/>
  <c r="A269" i="36"/>
  <c r="A270" i="36"/>
  <c r="A271" i="36"/>
  <c r="A272" i="36"/>
  <c r="A273" i="36"/>
  <c r="A274" i="36"/>
  <c r="A275" i="36"/>
  <c r="A276" i="36"/>
  <c r="A277" i="36"/>
  <c r="A278" i="36"/>
  <c r="A279" i="36"/>
  <c r="A280" i="36"/>
  <c r="A281" i="36"/>
  <c r="A282" i="36"/>
  <c r="A283" i="36"/>
  <c r="A284" i="36"/>
  <c r="A285" i="36"/>
  <c r="A286" i="36"/>
  <c r="A287" i="36"/>
  <c r="A288" i="36"/>
  <c r="A289" i="36"/>
  <c r="A290" i="36"/>
  <c r="A291" i="36"/>
  <c r="A292" i="36"/>
  <c r="A293" i="36"/>
  <c r="A294" i="36"/>
  <c r="A295" i="36"/>
  <c r="A296" i="36"/>
  <c r="A297" i="36"/>
  <c r="A298" i="36"/>
  <c r="A299" i="36"/>
  <c r="A300" i="36"/>
  <c r="A301" i="36"/>
  <c r="A302" i="36"/>
  <c r="A303" i="36"/>
  <c r="A304" i="36"/>
  <c r="A305" i="36"/>
  <c r="A306" i="36"/>
  <c r="A307" i="36"/>
  <c r="A308" i="36"/>
  <c r="A309" i="36"/>
  <c r="A310" i="36"/>
  <c r="A311" i="36"/>
  <c r="A312" i="36"/>
  <c r="A313" i="36"/>
  <c r="A314" i="36"/>
  <c r="A315" i="36"/>
  <c r="A316" i="36"/>
  <c r="A317" i="36"/>
  <c r="A318" i="36"/>
  <c r="A319" i="36"/>
  <c r="A320" i="36"/>
  <c r="A321" i="36"/>
  <c r="A322" i="36"/>
  <c r="A323" i="36"/>
  <c r="A324" i="36"/>
  <c r="A325" i="36"/>
  <c r="A326" i="36"/>
  <c r="A327" i="36"/>
  <c r="A328" i="36"/>
  <c r="A329" i="36"/>
  <c r="A330" i="36"/>
  <c r="A331" i="36"/>
  <c r="A332" i="36"/>
  <c r="A333" i="36"/>
  <c r="A334" i="36"/>
  <c r="A335" i="36"/>
  <c r="A336" i="36"/>
  <c r="A337" i="36"/>
  <c r="A338" i="36"/>
  <c r="A339" i="36"/>
  <c r="A340" i="36"/>
  <c r="A341" i="36"/>
  <c r="A342" i="36"/>
  <c r="A343" i="36"/>
  <c r="A344" i="36"/>
  <c r="A345" i="36"/>
  <c r="A346" i="36"/>
  <c r="A347" i="36"/>
  <c r="A348" i="36"/>
  <c r="A349" i="36"/>
  <c r="A350" i="36"/>
  <c r="A351" i="36"/>
  <c r="A352" i="36"/>
  <c r="A353" i="36"/>
  <c r="A354" i="36"/>
  <c r="A355" i="36"/>
  <c r="A356" i="36"/>
  <c r="A357" i="36"/>
  <c r="A358" i="36"/>
  <c r="A359" i="36"/>
  <c r="A360" i="36"/>
  <c r="A361" i="36"/>
  <c r="A362" i="36"/>
  <c r="A363" i="36"/>
  <c r="A364" i="36"/>
  <c r="A365" i="36"/>
  <c r="A366" i="36"/>
  <c r="A367" i="36"/>
  <c r="A368" i="36"/>
  <c r="A369" i="36"/>
  <c r="A370" i="36"/>
  <c r="A371" i="36"/>
  <c r="A372" i="36"/>
  <c r="A373" i="36"/>
  <c r="A374" i="36"/>
  <c r="A375" i="36"/>
  <c r="A376" i="36"/>
  <c r="A377" i="36"/>
  <c r="A378" i="36"/>
  <c r="A379" i="36"/>
  <c r="A380" i="36"/>
  <c r="A381" i="36"/>
  <c r="A382" i="36"/>
  <c r="A383" i="36"/>
  <c r="A384" i="36"/>
  <c r="A385" i="36"/>
  <c r="A386" i="36"/>
  <c r="A387" i="36"/>
  <c r="A388" i="36"/>
  <c r="A389" i="36"/>
  <c r="A390" i="36"/>
  <c r="A391" i="36"/>
  <c r="A392" i="36"/>
  <c r="A393" i="36"/>
  <c r="A394" i="36"/>
  <c r="A395" i="36"/>
  <c r="A396" i="36"/>
  <c r="A397" i="36"/>
  <c r="A398" i="36"/>
  <c r="A399" i="36"/>
  <c r="A400" i="36"/>
  <c r="A401" i="36"/>
  <c r="A402" i="36"/>
  <c r="A403" i="36"/>
  <c r="A404" i="36"/>
  <c r="A405" i="36"/>
  <c r="A406" i="36"/>
  <c r="A407" i="36"/>
  <c r="A408" i="36"/>
  <c r="A409" i="36"/>
  <c r="A410" i="36"/>
  <c r="A411" i="36"/>
  <c r="A412" i="36"/>
  <c r="A413" i="36"/>
  <c r="A414" i="36"/>
  <c r="A415" i="36"/>
  <c r="A416" i="36"/>
  <c r="A417" i="36"/>
  <c r="A418" i="36"/>
  <c r="A419" i="36"/>
  <c r="A420" i="36"/>
  <c r="A421" i="36"/>
  <c r="A422" i="36"/>
  <c r="A423" i="36"/>
  <c r="A424" i="36"/>
  <c r="A425" i="36"/>
  <c r="A426" i="36"/>
  <c r="A427" i="36"/>
  <c r="A428" i="36"/>
  <c r="A429" i="36"/>
  <c r="A430" i="36"/>
  <c r="A431" i="36"/>
  <c r="A432" i="36"/>
  <c r="A433" i="36"/>
  <c r="A434" i="36"/>
  <c r="A435" i="36"/>
  <c r="A436" i="36"/>
  <c r="A437" i="36"/>
  <c r="A438" i="36"/>
  <c r="A439" i="36"/>
  <c r="A440" i="36"/>
  <c r="A441" i="36"/>
  <c r="A442" i="36"/>
  <c r="A443" i="36"/>
  <c r="A444" i="36"/>
  <c r="A445" i="36"/>
  <c r="A446" i="36"/>
  <c r="A447" i="36"/>
  <c r="A448" i="36"/>
  <c r="A449" i="36"/>
  <c r="A450" i="36"/>
  <c r="A451" i="36"/>
  <c r="A452" i="36"/>
  <c r="A453" i="36"/>
  <c r="A454" i="36"/>
  <c r="A455" i="36"/>
  <c r="A456" i="36"/>
  <c r="A457" i="36"/>
  <c r="A458" i="36"/>
  <c r="A459" i="36"/>
  <c r="A460" i="36"/>
  <c r="A461" i="36"/>
  <c r="A462" i="36"/>
  <c r="A463" i="36"/>
  <c r="A464" i="36"/>
  <c r="A465" i="36"/>
  <c r="A466" i="36"/>
  <c r="A467" i="36"/>
  <c r="A468" i="36"/>
  <c r="A469" i="36"/>
  <c r="A470" i="36"/>
  <c r="A471" i="36"/>
  <c r="A472" i="36"/>
  <c r="A473" i="36"/>
  <c r="A474" i="36"/>
  <c r="A475" i="36"/>
  <c r="A476" i="36"/>
  <c r="A477" i="36"/>
  <c r="A478" i="36"/>
  <c r="A479" i="36"/>
  <c r="A480" i="36"/>
  <c r="A481" i="36"/>
  <c r="A482" i="36"/>
  <c r="A483" i="36"/>
  <c r="A484" i="36"/>
  <c r="A485" i="36"/>
  <c r="A486" i="36"/>
  <c r="A487" i="36"/>
  <c r="A488" i="36"/>
  <c r="A489" i="36"/>
  <c r="A490" i="36"/>
  <c r="A491" i="36"/>
  <c r="A492" i="36"/>
  <c r="A493" i="36"/>
  <c r="A494" i="36"/>
  <c r="A495" i="36"/>
  <c r="A496" i="36"/>
  <c r="A497" i="36"/>
  <c r="A498" i="36"/>
  <c r="A499" i="36"/>
  <c r="A500" i="36"/>
  <c r="A501" i="36"/>
  <c r="A502" i="36"/>
  <c r="A503" i="36"/>
  <c r="A504" i="36"/>
  <c r="A505" i="36"/>
  <c r="A506" i="36"/>
  <c r="A507" i="36"/>
  <c r="A508" i="36"/>
  <c r="A509" i="36"/>
  <c r="A510" i="36"/>
  <c r="A511" i="36"/>
  <c r="A512" i="36"/>
  <c r="A513" i="36"/>
  <c r="A514" i="36"/>
  <c r="A515" i="36"/>
  <c r="A516" i="36"/>
  <c r="A517" i="36"/>
  <c r="A518" i="36"/>
  <c r="A519" i="36"/>
  <c r="A520" i="36"/>
  <c r="A521" i="36"/>
  <c r="A522" i="36"/>
  <c r="A523" i="36"/>
  <c r="A524" i="36"/>
  <c r="A525" i="36"/>
  <c r="A526" i="36"/>
  <c r="A527" i="36"/>
  <c r="A528" i="36"/>
  <c r="A529" i="36"/>
  <c r="A530" i="36"/>
  <c r="A531" i="36"/>
  <c r="A532" i="36"/>
  <c r="A533" i="36"/>
  <c r="A534" i="36"/>
  <c r="A535" i="36"/>
  <c r="A536" i="36"/>
  <c r="A537" i="36"/>
  <c r="A538" i="36"/>
  <c r="A539" i="36"/>
  <c r="A540" i="36"/>
  <c r="A541" i="36"/>
  <c r="A542" i="36"/>
  <c r="A543" i="36"/>
  <c r="A544" i="36"/>
  <c r="A545" i="36"/>
  <c r="A546" i="36"/>
  <c r="A547" i="36"/>
  <c r="A548" i="36"/>
  <c r="A549" i="36"/>
  <c r="A550" i="36"/>
  <c r="A551" i="36"/>
  <c r="A552" i="36"/>
  <c r="A553" i="36"/>
  <c r="A554" i="36"/>
  <c r="A555" i="36"/>
  <c r="A556" i="36"/>
  <c r="A557" i="36"/>
  <c r="A558" i="36"/>
  <c r="A559" i="36"/>
  <c r="A560" i="36"/>
  <c r="A561" i="36"/>
  <c r="A562" i="36"/>
  <c r="A563" i="36"/>
  <c r="A564" i="36"/>
  <c r="A565" i="36"/>
  <c r="A566" i="36"/>
  <c r="A567" i="36"/>
  <c r="A568" i="36"/>
  <c r="A569" i="36"/>
  <c r="A570" i="36"/>
  <c r="A571" i="36"/>
  <c r="A572" i="36"/>
  <c r="A573" i="36"/>
  <c r="A574" i="36"/>
  <c r="A575" i="36"/>
  <c r="A576" i="36"/>
  <c r="A577" i="36"/>
  <c r="A578" i="36"/>
  <c r="A579" i="36"/>
  <c r="A580" i="36"/>
  <c r="A581" i="36"/>
  <c r="A582" i="36"/>
  <c r="A583" i="36"/>
  <c r="A584" i="36"/>
  <c r="A585" i="36"/>
  <c r="A586" i="36"/>
  <c r="A587" i="36"/>
  <c r="A588" i="36"/>
  <c r="A589" i="36"/>
  <c r="A590" i="36"/>
  <c r="A591" i="36"/>
  <c r="A592" i="36"/>
  <c r="A593" i="36"/>
  <c r="A594" i="36"/>
  <c r="A595" i="36"/>
  <c r="A596" i="36"/>
  <c r="A597" i="36"/>
  <c r="A598" i="36"/>
  <c r="A599" i="36"/>
  <c r="A600" i="36"/>
  <c r="A601" i="36"/>
  <c r="A602" i="36"/>
  <c r="A603" i="36"/>
  <c r="A604" i="36"/>
  <c r="A605" i="36"/>
  <c r="A606" i="36"/>
  <c r="A607" i="36"/>
  <c r="A608" i="36"/>
  <c r="A609" i="36"/>
  <c r="A610" i="36"/>
  <c r="A611" i="36"/>
  <c r="A612" i="36"/>
  <c r="A613" i="36"/>
  <c r="A614" i="36"/>
  <c r="A615" i="36"/>
  <c r="A616" i="36"/>
  <c r="A617" i="36"/>
  <c r="A618" i="36"/>
  <c r="A619" i="36"/>
  <c r="A620" i="36"/>
  <c r="A621" i="36"/>
  <c r="A622" i="36"/>
  <c r="A623" i="36"/>
  <c r="A624" i="36"/>
  <c r="A625" i="36"/>
  <c r="A626" i="36"/>
  <c r="A627" i="36"/>
  <c r="A628" i="36"/>
  <c r="A629" i="36"/>
  <c r="A630" i="36"/>
  <c r="A631" i="36"/>
  <c r="A632" i="36"/>
  <c r="A633" i="36"/>
  <c r="A634" i="36"/>
  <c r="A635" i="36"/>
  <c r="A636" i="36"/>
  <c r="A637" i="36"/>
  <c r="A638" i="36"/>
  <c r="A639" i="36"/>
  <c r="A640" i="36"/>
  <c r="A641" i="36"/>
  <c r="A642" i="36"/>
  <c r="A643" i="36"/>
  <c r="A644" i="36"/>
  <c r="A645" i="36"/>
  <c r="A646" i="36"/>
  <c r="A647" i="36"/>
  <c r="A648" i="36"/>
  <c r="A649" i="36"/>
  <c r="A650" i="36"/>
  <c r="A651" i="36"/>
  <c r="A652" i="36"/>
  <c r="A653" i="36"/>
  <c r="A654" i="36"/>
  <c r="A655" i="36"/>
  <c r="A656" i="36"/>
  <c r="A657" i="36"/>
  <c r="A658" i="36"/>
  <c r="A659" i="36"/>
  <c r="A660" i="36"/>
  <c r="A661" i="36"/>
  <c r="A662" i="36"/>
  <c r="A663" i="36"/>
  <c r="A664" i="36"/>
  <c r="A665" i="36"/>
  <c r="A666" i="36"/>
  <c r="A667" i="36"/>
  <c r="A668" i="36"/>
  <c r="A669" i="36"/>
  <c r="A670" i="36"/>
  <c r="A671" i="36"/>
  <c r="A672" i="36"/>
  <c r="A673" i="36"/>
  <c r="A674" i="36"/>
  <c r="A675" i="36"/>
  <c r="A676" i="36"/>
  <c r="A677" i="36"/>
  <c r="A678" i="36"/>
  <c r="A679" i="36"/>
  <c r="A680" i="36"/>
  <c r="A681" i="36"/>
  <c r="A682" i="36"/>
  <c r="A683" i="36"/>
  <c r="A684" i="36"/>
  <c r="A685" i="36"/>
  <c r="A686" i="36"/>
  <c r="A687" i="36"/>
  <c r="A688" i="36"/>
  <c r="A689" i="36"/>
  <c r="A690" i="36"/>
  <c r="A691" i="36"/>
  <c r="A692" i="36"/>
  <c r="A693" i="36"/>
  <c r="A694" i="36"/>
  <c r="A695" i="36"/>
  <c r="A696" i="36"/>
  <c r="A697" i="36"/>
  <c r="A698" i="36"/>
  <c r="A699" i="36"/>
  <c r="A700" i="36"/>
  <c r="A701" i="36"/>
  <c r="A702" i="36"/>
  <c r="A703" i="36"/>
  <c r="A704" i="36"/>
  <c r="A705" i="36"/>
  <c r="A706" i="36"/>
  <c r="A707" i="36"/>
  <c r="A708" i="36"/>
  <c r="A709" i="36"/>
  <c r="A710" i="36"/>
  <c r="A711" i="36"/>
  <c r="A712" i="36"/>
  <c r="A713" i="36"/>
  <c r="A714" i="36"/>
  <c r="A715" i="36"/>
  <c r="A716" i="36"/>
  <c r="A717" i="36"/>
  <c r="A718" i="36"/>
  <c r="A719" i="36"/>
  <c r="A720" i="36"/>
  <c r="A721" i="36"/>
  <c r="A722" i="36"/>
  <c r="A723" i="36"/>
  <c r="A724" i="36"/>
  <c r="A725" i="36"/>
  <c r="A726" i="36"/>
  <c r="A727" i="36"/>
  <c r="A728" i="36"/>
  <c r="A729" i="36"/>
  <c r="A730" i="36"/>
  <c r="A731" i="36"/>
  <c r="A732" i="36"/>
  <c r="A733" i="36"/>
  <c r="A734" i="36"/>
  <c r="A735" i="36"/>
  <c r="A736" i="36"/>
  <c r="A737" i="36"/>
  <c r="A738" i="36"/>
  <c r="A739" i="36"/>
  <c r="A740" i="36"/>
  <c r="A741" i="36"/>
  <c r="A742" i="36"/>
  <c r="A743" i="36"/>
  <c r="A744" i="36"/>
  <c r="A745" i="36"/>
  <c r="A746" i="36"/>
  <c r="A747" i="36"/>
  <c r="A748" i="36"/>
  <c r="A749" i="36"/>
  <c r="A750" i="36"/>
  <c r="A751" i="36"/>
  <c r="A752" i="36"/>
  <c r="A753" i="36"/>
  <c r="A754" i="36"/>
  <c r="A755" i="36"/>
  <c r="A756" i="36"/>
  <c r="A757" i="36"/>
  <c r="A758" i="36"/>
  <c r="A759" i="36"/>
  <c r="A760" i="36"/>
  <c r="A761" i="36"/>
  <c r="A762" i="36"/>
  <c r="A763" i="36"/>
  <c r="A764" i="36"/>
  <c r="A765" i="36"/>
  <c r="A766" i="36"/>
  <c r="A767" i="36"/>
  <c r="A768" i="36"/>
  <c r="A769" i="36"/>
  <c r="A770" i="36"/>
  <c r="A771" i="36"/>
  <c r="A772" i="36"/>
  <c r="A773" i="36"/>
  <c r="A774" i="36"/>
  <c r="A775" i="36"/>
  <c r="A776" i="36"/>
  <c r="A777" i="36"/>
  <c r="A778" i="36"/>
  <c r="A779" i="36"/>
  <c r="A780" i="36"/>
  <c r="A781" i="36"/>
  <c r="A782" i="36"/>
  <c r="A783" i="36"/>
  <c r="A784" i="36"/>
  <c r="A785" i="36"/>
  <c r="A786" i="36"/>
  <c r="A787" i="36"/>
  <c r="A788" i="36"/>
  <c r="A789" i="36"/>
  <c r="A790" i="36"/>
  <c r="A791" i="36"/>
  <c r="A792" i="36"/>
  <c r="A793" i="36"/>
  <c r="A794" i="36"/>
  <c r="A795" i="36"/>
  <c r="A796" i="36"/>
  <c r="A797" i="36"/>
  <c r="A798" i="36"/>
  <c r="A799" i="36"/>
  <c r="A800" i="36"/>
  <c r="A801" i="36"/>
  <c r="A802" i="36"/>
  <c r="A803" i="36"/>
  <c r="A804" i="36"/>
  <c r="A805" i="36"/>
  <c r="A806" i="36"/>
  <c r="A807" i="36"/>
  <c r="A808" i="36"/>
  <c r="A809" i="36"/>
  <c r="A810" i="36"/>
  <c r="A811" i="36"/>
  <c r="A812" i="36"/>
  <c r="A813" i="36"/>
  <c r="A814" i="36"/>
  <c r="A815" i="36"/>
  <c r="A816" i="36"/>
  <c r="A817" i="36"/>
  <c r="A818" i="36"/>
  <c r="A819" i="36"/>
  <c r="A820" i="36"/>
  <c r="A821" i="36"/>
  <c r="A822" i="36"/>
  <c r="A823" i="36"/>
  <c r="A824" i="36"/>
  <c r="A825" i="36"/>
  <c r="A826" i="36"/>
  <c r="A827" i="36"/>
  <c r="A828" i="36"/>
  <c r="A829" i="36"/>
  <c r="A830" i="36"/>
  <c r="A831" i="36"/>
  <c r="A832" i="36"/>
  <c r="A833" i="36"/>
  <c r="A834" i="36"/>
  <c r="A835" i="36"/>
  <c r="A836" i="36"/>
  <c r="A837" i="36"/>
  <c r="A838" i="36"/>
  <c r="A839" i="36"/>
  <c r="A840" i="36"/>
  <c r="A841" i="36"/>
  <c r="A842" i="36"/>
  <c r="A843" i="36"/>
  <c r="A844" i="36"/>
  <c r="A845" i="36"/>
  <c r="A846" i="36"/>
  <c r="A847" i="36"/>
  <c r="A848" i="36"/>
  <c r="A849" i="36"/>
  <c r="A850" i="36"/>
  <c r="A851" i="36"/>
  <c r="A852" i="36"/>
  <c r="A853" i="36"/>
  <c r="A854" i="36"/>
  <c r="A855" i="36"/>
  <c r="A856" i="36"/>
  <c r="A857" i="36"/>
  <c r="A858" i="36"/>
  <c r="A859" i="36"/>
  <c r="A860" i="36"/>
  <c r="A861" i="36"/>
  <c r="A862" i="36"/>
  <c r="A863" i="36"/>
  <c r="A864" i="36"/>
  <c r="A865" i="36"/>
  <c r="A866" i="36"/>
  <c r="A867" i="36"/>
  <c r="A868" i="36"/>
  <c r="A869" i="36"/>
  <c r="A870" i="36"/>
  <c r="A871" i="36"/>
  <c r="A872" i="36"/>
  <c r="A873" i="36"/>
  <c r="A874" i="36"/>
  <c r="A875" i="36"/>
  <c r="A876" i="36"/>
  <c r="A877" i="36"/>
  <c r="A878" i="36"/>
  <c r="A879" i="36"/>
  <c r="A880" i="36"/>
  <c r="A881" i="36"/>
  <c r="A882" i="36"/>
  <c r="A883" i="36"/>
  <c r="A884" i="36"/>
  <c r="A885" i="36"/>
  <c r="A886" i="36"/>
  <c r="A887" i="36"/>
  <c r="A888" i="36"/>
  <c r="A889" i="36"/>
  <c r="A890" i="36"/>
  <c r="A891" i="36"/>
  <c r="A892" i="36"/>
  <c r="A893" i="36"/>
  <c r="A894" i="36"/>
  <c r="A895" i="36"/>
  <c r="A896" i="36"/>
  <c r="A897" i="36"/>
  <c r="A898" i="36"/>
  <c r="A899" i="36"/>
  <c r="A900" i="36"/>
  <c r="A901" i="36"/>
  <c r="A902" i="36"/>
  <c r="A903" i="36"/>
  <c r="A904" i="36"/>
  <c r="A905" i="36"/>
  <c r="A906" i="36"/>
  <c r="A907" i="36"/>
  <c r="A908" i="36"/>
  <c r="A909" i="36"/>
  <c r="A910" i="36"/>
  <c r="A911" i="36"/>
  <c r="A912" i="36"/>
  <c r="A913" i="36"/>
  <c r="A914" i="36"/>
  <c r="A915" i="36"/>
  <c r="A916" i="36"/>
  <c r="A917" i="36"/>
  <c r="A918" i="36"/>
  <c r="A919" i="36"/>
  <c r="A920" i="36"/>
  <c r="A921" i="36"/>
  <c r="A922" i="36"/>
  <c r="A923" i="36"/>
  <c r="A924" i="36"/>
  <c r="A925" i="36"/>
  <c r="A926" i="36"/>
  <c r="A927" i="36"/>
  <c r="A928" i="36"/>
  <c r="A929" i="36"/>
  <c r="A930" i="36"/>
  <c r="A931" i="36"/>
  <c r="A932" i="36"/>
  <c r="A933" i="36"/>
  <c r="A934" i="36"/>
  <c r="A935" i="36"/>
  <c r="A936" i="36"/>
  <c r="A937" i="36"/>
  <c r="A938" i="36"/>
  <c r="A939" i="36"/>
  <c r="A940" i="36"/>
  <c r="A941" i="36"/>
  <c r="A942" i="36"/>
  <c r="A943" i="36"/>
  <c r="A944" i="36"/>
  <c r="A945" i="36"/>
  <c r="A946" i="36"/>
  <c r="A947" i="36"/>
  <c r="A948" i="36"/>
  <c r="A949" i="36"/>
  <c r="A950" i="36"/>
  <c r="A951" i="36"/>
  <c r="A952" i="36"/>
  <c r="A953" i="36"/>
  <c r="A954" i="36"/>
  <c r="A955" i="36"/>
  <c r="A956" i="36"/>
  <c r="A957" i="36"/>
  <c r="A958" i="36"/>
  <c r="A959" i="36"/>
  <c r="A960" i="36"/>
  <c r="A961" i="36"/>
  <c r="A962" i="36"/>
  <c r="A963" i="36"/>
  <c r="A964" i="36"/>
  <c r="A965" i="36"/>
  <c r="A966" i="36"/>
  <c r="A967" i="36"/>
  <c r="A968" i="36"/>
  <c r="A969" i="36"/>
  <c r="A970" i="36"/>
  <c r="A971" i="36"/>
  <c r="A972" i="36"/>
  <c r="A973" i="36"/>
  <c r="A974" i="36"/>
  <c r="A975" i="36"/>
  <c r="A976" i="36"/>
  <c r="A977" i="36"/>
  <c r="A978" i="36"/>
  <c r="A979" i="36"/>
  <c r="A980" i="36"/>
  <c r="A981" i="36"/>
  <c r="A982" i="36"/>
  <c r="A983" i="36"/>
  <c r="A984" i="36"/>
  <c r="A985" i="36"/>
  <c r="A986" i="36"/>
  <c r="A987" i="36"/>
  <c r="A988" i="36"/>
  <c r="A989" i="36"/>
  <c r="A990" i="36"/>
  <c r="A991" i="36"/>
  <c r="A992" i="36"/>
  <c r="A993" i="36"/>
  <c r="A994" i="36"/>
  <c r="A995" i="36"/>
  <c r="A996" i="36"/>
  <c r="A997" i="36"/>
  <c r="A998" i="36"/>
  <c r="A999" i="36"/>
  <c r="A1000" i="36"/>
  <c r="A1001" i="36"/>
  <c r="A1002" i="36"/>
  <c r="A1003" i="36"/>
  <c r="A1004" i="36"/>
  <c r="A1005" i="36"/>
  <c r="A1006" i="36"/>
  <c r="A1007" i="36"/>
  <c r="A1008" i="36"/>
  <c r="A1009" i="36"/>
  <c r="A1010" i="36"/>
  <c r="A3" i="35"/>
  <c r="A4" i="35"/>
  <c r="A5" i="35"/>
  <c r="A6" i="35"/>
  <c r="A7" i="35"/>
  <c r="A8" i="35"/>
  <c r="A9" i="35"/>
  <c r="A10" i="35"/>
  <c r="A11" i="35"/>
  <c r="A12" i="35"/>
  <c r="A13" i="35"/>
  <c r="A14" i="35"/>
  <c r="A15" i="35"/>
  <c r="A16" i="35"/>
  <c r="A17" i="35"/>
  <c r="A18" i="35"/>
  <c r="A19" i="35"/>
  <c r="A20" i="35"/>
  <c r="A21" i="35"/>
  <c r="A22" i="35"/>
  <c r="A23" i="35"/>
  <c r="A24" i="35"/>
  <c r="A25" i="35"/>
  <c r="A26" i="35"/>
  <c r="A27" i="35"/>
  <c r="A28" i="35"/>
  <c r="A29" i="35"/>
  <c r="A30" i="35"/>
  <c r="A31" i="35"/>
  <c r="A32" i="35"/>
  <c r="A33" i="35"/>
  <c r="A34" i="35"/>
  <c r="A35" i="35"/>
  <c r="A36" i="35"/>
  <c r="A37" i="35"/>
  <c r="A38" i="35"/>
  <c r="A39" i="35"/>
  <c r="A40" i="35"/>
  <c r="A41" i="35"/>
  <c r="A42" i="35"/>
  <c r="A43" i="35"/>
  <c r="A44" i="35"/>
  <c r="A45" i="35"/>
  <c r="A46" i="35"/>
  <c r="A47" i="35"/>
  <c r="A48" i="35"/>
  <c r="A49" i="35"/>
  <c r="A50" i="35"/>
  <c r="A51" i="35"/>
  <c r="A52" i="35"/>
  <c r="A53" i="35"/>
  <c r="A54" i="35"/>
  <c r="A55" i="35"/>
  <c r="A56" i="35"/>
  <c r="A57" i="35"/>
  <c r="A58" i="35"/>
  <c r="A59" i="35"/>
  <c r="A60" i="35"/>
  <c r="A61" i="35"/>
  <c r="A62" i="35"/>
  <c r="A63" i="35"/>
  <c r="A64" i="35"/>
  <c r="A65" i="35"/>
  <c r="A66" i="35"/>
  <c r="A67" i="35"/>
  <c r="A68" i="35"/>
  <c r="A69" i="35"/>
  <c r="A70" i="35"/>
  <c r="A71" i="35"/>
  <c r="A72" i="35"/>
  <c r="A73" i="35"/>
  <c r="A74" i="35"/>
  <c r="A75" i="35"/>
  <c r="A76" i="35"/>
  <c r="A77" i="35"/>
  <c r="A78" i="35"/>
  <c r="A79" i="35"/>
  <c r="A80" i="35"/>
  <c r="A81" i="35"/>
  <c r="A82" i="35"/>
  <c r="A83" i="35"/>
  <c r="A84" i="35"/>
  <c r="A85" i="35"/>
  <c r="A86" i="35"/>
  <c r="A87" i="35"/>
  <c r="A88" i="35"/>
  <c r="A89" i="35"/>
  <c r="A90" i="35"/>
  <c r="A91" i="35"/>
  <c r="A92" i="35"/>
  <c r="A93" i="35"/>
  <c r="A94" i="35"/>
  <c r="A95" i="35"/>
  <c r="A96" i="35"/>
  <c r="A97" i="35"/>
  <c r="A98" i="35"/>
  <c r="A99" i="35"/>
  <c r="A100" i="35"/>
  <c r="A101" i="35"/>
  <c r="A102" i="35"/>
  <c r="A103" i="35"/>
  <c r="A104" i="35"/>
  <c r="A105" i="35"/>
  <c r="A106" i="35"/>
  <c r="A107" i="35"/>
  <c r="A108" i="35"/>
  <c r="A109" i="35"/>
  <c r="A110" i="35"/>
  <c r="A111" i="35"/>
  <c r="A112" i="35"/>
  <c r="A113" i="35"/>
  <c r="A114" i="35"/>
  <c r="A115" i="35"/>
  <c r="A116" i="35"/>
  <c r="A117" i="35"/>
  <c r="A118" i="35"/>
  <c r="A119" i="35"/>
  <c r="A120" i="35"/>
  <c r="A121" i="35"/>
  <c r="A122" i="35"/>
  <c r="A123" i="35"/>
  <c r="A124" i="35"/>
  <c r="A125" i="35"/>
  <c r="A126" i="35"/>
  <c r="A127" i="35"/>
  <c r="A128" i="35"/>
  <c r="A129" i="35"/>
  <c r="A130" i="35"/>
  <c r="A131" i="35"/>
  <c r="A132" i="35"/>
  <c r="A133" i="35"/>
  <c r="A134" i="35"/>
  <c r="A135" i="35"/>
  <c r="A136" i="35"/>
  <c r="A137" i="35"/>
  <c r="A138" i="35"/>
  <c r="A139" i="35"/>
  <c r="A140" i="35"/>
  <c r="A141" i="35"/>
  <c r="A142" i="35"/>
  <c r="A143" i="35"/>
  <c r="A144" i="35"/>
  <c r="A145" i="35"/>
  <c r="A146" i="35"/>
  <c r="A147" i="35"/>
  <c r="A148" i="35"/>
  <c r="A149" i="35"/>
  <c r="A150" i="35"/>
  <c r="A151" i="35"/>
  <c r="A152" i="35"/>
  <c r="A153" i="35"/>
  <c r="A154" i="35"/>
  <c r="A155" i="35"/>
  <c r="A156" i="35"/>
  <c r="A157" i="35"/>
  <c r="A158" i="35"/>
  <c r="A159" i="35"/>
  <c r="A160" i="35"/>
  <c r="A161" i="35"/>
  <c r="A162" i="35"/>
  <c r="A163" i="35"/>
  <c r="A164" i="35"/>
  <c r="A165" i="35"/>
  <c r="A166" i="35"/>
  <c r="A167" i="35"/>
  <c r="A168" i="35"/>
  <c r="A169" i="35"/>
  <c r="A170" i="35"/>
  <c r="A171" i="35"/>
  <c r="A172" i="35"/>
  <c r="A173" i="35"/>
  <c r="A174" i="35"/>
  <c r="A175" i="35"/>
  <c r="A176" i="35"/>
  <c r="A177" i="35"/>
  <c r="A178" i="35"/>
  <c r="A179" i="35"/>
  <c r="A180" i="35"/>
  <c r="A181" i="35"/>
  <c r="A182" i="35"/>
  <c r="A183" i="35"/>
  <c r="A184" i="35"/>
  <c r="A185" i="35"/>
  <c r="A186" i="35"/>
  <c r="A187" i="35"/>
  <c r="A188" i="35"/>
  <c r="A189" i="35"/>
  <c r="A190" i="35"/>
  <c r="A191" i="35"/>
  <c r="A192" i="35"/>
  <c r="A193" i="35"/>
  <c r="A194" i="35"/>
  <c r="A195" i="35"/>
  <c r="A196" i="35"/>
  <c r="A197" i="35"/>
  <c r="A198" i="35"/>
  <c r="A199" i="35"/>
  <c r="A200" i="35"/>
  <c r="A201" i="35"/>
  <c r="A202" i="35"/>
  <c r="A203" i="35"/>
  <c r="A204" i="35"/>
  <c r="A205" i="35"/>
  <c r="A206" i="35"/>
  <c r="A207" i="35"/>
  <c r="A208" i="35"/>
  <c r="A209" i="35"/>
  <c r="A210" i="35"/>
  <c r="A211" i="35"/>
  <c r="A212" i="35"/>
  <c r="A213" i="35"/>
  <c r="A214" i="35"/>
  <c r="A215" i="35"/>
  <c r="A216" i="35"/>
  <c r="A217" i="35"/>
  <c r="A218" i="35"/>
  <c r="A219" i="35"/>
  <c r="A220" i="35"/>
  <c r="A221" i="35"/>
  <c r="A222" i="35"/>
  <c r="A223" i="35"/>
  <c r="A224" i="35"/>
  <c r="A225" i="35"/>
  <c r="A226" i="35"/>
  <c r="A227" i="35"/>
  <c r="A228" i="35"/>
  <c r="A229" i="35"/>
  <c r="A230" i="35"/>
  <c r="A231" i="35"/>
  <c r="A232" i="35"/>
  <c r="A233" i="35"/>
  <c r="A234" i="35"/>
  <c r="A235" i="35"/>
  <c r="A236" i="35"/>
  <c r="A237" i="35"/>
  <c r="A238" i="35"/>
  <c r="A239" i="35"/>
  <c r="A240" i="35"/>
  <c r="A241" i="35"/>
  <c r="A242" i="35"/>
  <c r="A243" i="35"/>
  <c r="A244" i="35"/>
  <c r="A245" i="35"/>
  <c r="A246" i="35"/>
  <c r="A247" i="35"/>
  <c r="A248" i="35"/>
  <c r="A249" i="35"/>
  <c r="A250" i="35"/>
  <c r="A251" i="35"/>
  <c r="A252" i="35"/>
  <c r="A253" i="35"/>
  <c r="A254" i="35"/>
  <c r="A255" i="35"/>
  <c r="A256" i="35"/>
  <c r="A257" i="35"/>
  <c r="A258" i="35"/>
  <c r="A259" i="35"/>
  <c r="A260" i="35"/>
  <c r="A261" i="35"/>
  <c r="A262" i="35"/>
  <c r="A263" i="35"/>
  <c r="A264" i="35"/>
  <c r="A265" i="35"/>
  <c r="A266" i="35"/>
  <c r="A267" i="35"/>
  <c r="A268" i="35"/>
  <c r="A269" i="35"/>
  <c r="A270" i="35"/>
  <c r="A271" i="35"/>
  <c r="A272" i="35"/>
  <c r="A273" i="35"/>
  <c r="A274" i="35"/>
  <c r="A275" i="35"/>
  <c r="A276" i="35"/>
  <c r="A277" i="35"/>
  <c r="A278" i="35"/>
  <c r="A279" i="35"/>
  <c r="A280" i="35"/>
  <c r="A281" i="35"/>
  <c r="A282" i="35"/>
  <c r="A283" i="35"/>
  <c r="A284" i="35"/>
  <c r="A285" i="35"/>
  <c r="A286" i="35"/>
  <c r="A287" i="35"/>
  <c r="A288" i="35"/>
  <c r="A289" i="35"/>
  <c r="A290" i="35"/>
  <c r="A291" i="35"/>
  <c r="A292" i="35"/>
  <c r="A293" i="35"/>
  <c r="A294" i="35"/>
  <c r="A295" i="35"/>
  <c r="A296" i="35"/>
  <c r="A297" i="35"/>
  <c r="A298" i="35"/>
  <c r="A299" i="35"/>
  <c r="A300" i="35"/>
  <c r="A301" i="35"/>
  <c r="A302" i="35"/>
  <c r="A303" i="35"/>
  <c r="A304" i="35"/>
  <c r="A305" i="35"/>
  <c r="A306" i="35"/>
  <c r="A307" i="35"/>
  <c r="A308" i="35"/>
  <c r="A309" i="35"/>
  <c r="A310" i="35"/>
  <c r="A311" i="35"/>
  <c r="A312" i="35"/>
  <c r="A313" i="35"/>
  <c r="A314" i="35"/>
  <c r="A315" i="35"/>
  <c r="A316" i="35"/>
  <c r="A317" i="35"/>
  <c r="A318" i="35"/>
  <c r="A319" i="35"/>
  <c r="A320" i="35"/>
  <c r="A321" i="35"/>
  <c r="A322" i="35"/>
  <c r="A323" i="35"/>
  <c r="A324" i="35"/>
  <c r="A325" i="35"/>
  <c r="A326" i="35"/>
  <c r="A327" i="35"/>
  <c r="A328" i="35"/>
  <c r="A329" i="35"/>
  <c r="A330" i="35"/>
  <c r="A331" i="35"/>
  <c r="A332" i="35"/>
  <c r="A333" i="35"/>
  <c r="A334" i="35"/>
  <c r="A335" i="35"/>
  <c r="A336" i="35"/>
  <c r="A337" i="35"/>
  <c r="A338" i="35"/>
  <c r="A339" i="35"/>
  <c r="A340" i="35"/>
  <c r="A341" i="35"/>
  <c r="A342" i="35"/>
  <c r="A343" i="35"/>
  <c r="A344" i="35"/>
  <c r="A345" i="35"/>
  <c r="A346" i="35"/>
  <c r="A347" i="35"/>
  <c r="A348" i="35"/>
  <c r="A349" i="35"/>
  <c r="A350" i="35"/>
  <c r="A351" i="35"/>
  <c r="A352" i="35"/>
  <c r="A353" i="35"/>
  <c r="A354" i="35"/>
  <c r="A355" i="35"/>
  <c r="A356" i="35"/>
  <c r="A357" i="35"/>
  <c r="A358" i="35"/>
  <c r="A359" i="35"/>
  <c r="A360" i="35"/>
  <c r="A361" i="35"/>
  <c r="A362" i="35"/>
  <c r="A363" i="35"/>
  <c r="A364" i="35"/>
  <c r="A365" i="35"/>
  <c r="A366" i="35"/>
  <c r="A367" i="35"/>
  <c r="A368" i="35"/>
  <c r="A369" i="35"/>
  <c r="A370" i="35"/>
  <c r="A371" i="35"/>
  <c r="A372" i="35"/>
  <c r="A373" i="35"/>
  <c r="A374" i="35"/>
  <c r="A375" i="35"/>
  <c r="A376" i="35"/>
  <c r="A377" i="35"/>
  <c r="A378" i="35"/>
  <c r="A379" i="35"/>
  <c r="A380" i="35"/>
  <c r="A381" i="35"/>
  <c r="A382" i="35"/>
  <c r="A383" i="35"/>
  <c r="A384" i="35"/>
  <c r="A385" i="35"/>
  <c r="A386" i="35"/>
  <c r="A387" i="35"/>
  <c r="A388" i="35"/>
  <c r="A389" i="35"/>
  <c r="A390" i="35"/>
  <c r="A391" i="35"/>
  <c r="A392" i="35"/>
  <c r="A393" i="35"/>
  <c r="A394" i="35"/>
  <c r="A395" i="35"/>
  <c r="A396" i="35"/>
  <c r="A397" i="35"/>
  <c r="A398" i="35"/>
  <c r="A399" i="35"/>
  <c r="A400" i="35"/>
  <c r="A401" i="35"/>
  <c r="A402" i="35"/>
  <c r="A403" i="35"/>
  <c r="A404" i="35"/>
  <c r="A405" i="35"/>
  <c r="A406" i="35"/>
  <c r="A407" i="35"/>
  <c r="A408" i="35"/>
  <c r="A409" i="35"/>
  <c r="A410" i="35"/>
  <c r="A411" i="35"/>
  <c r="A412" i="35"/>
  <c r="A413" i="35"/>
  <c r="A414" i="35"/>
  <c r="A415" i="35"/>
  <c r="A416" i="35"/>
  <c r="A417" i="35"/>
  <c r="A418" i="35"/>
  <c r="A419" i="35"/>
  <c r="A420" i="35"/>
  <c r="A421" i="35"/>
  <c r="A422" i="35"/>
  <c r="A423" i="35"/>
  <c r="A424" i="35"/>
  <c r="A425" i="35"/>
  <c r="A426" i="35"/>
  <c r="A427" i="35"/>
  <c r="A428" i="35"/>
  <c r="A429" i="35"/>
  <c r="A430" i="35"/>
  <c r="A431" i="35"/>
  <c r="A432" i="35"/>
  <c r="A433" i="35"/>
  <c r="A434" i="35"/>
  <c r="A435" i="35"/>
  <c r="A436" i="35"/>
  <c r="A437" i="35"/>
  <c r="A438" i="35"/>
  <c r="A439" i="35"/>
  <c r="A440" i="35"/>
  <c r="A441" i="35"/>
  <c r="A442" i="35"/>
  <c r="A443" i="35"/>
  <c r="A444" i="35"/>
  <c r="A445" i="35"/>
  <c r="A446" i="35"/>
  <c r="A447" i="35"/>
  <c r="A448" i="35"/>
  <c r="A449" i="35"/>
  <c r="A450" i="35"/>
  <c r="A451" i="35"/>
  <c r="A452" i="35"/>
  <c r="A453" i="35"/>
  <c r="A454" i="35"/>
  <c r="A455" i="35"/>
  <c r="A456" i="35"/>
  <c r="A457" i="35"/>
  <c r="A458" i="35"/>
  <c r="A459" i="35"/>
  <c r="A460" i="35"/>
  <c r="A461" i="35"/>
  <c r="A462" i="35"/>
  <c r="A463" i="35"/>
  <c r="A464" i="35"/>
  <c r="A465" i="35"/>
  <c r="A466" i="35"/>
  <c r="A467" i="35"/>
  <c r="A468" i="35"/>
  <c r="A469" i="35"/>
  <c r="A470" i="35"/>
  <c r="A471" i="35"/>
  <c r="A472" i="35"/>
  <c r="A473" i="35"/>
  <c r="A474" i="35"/>
  <c r="A475" i="35"/>
  <c r="A476" i="35"/>
  <c r="A477" i="35"/>
  <c r="A478" i="35"/>
  <c r="A479" i="35"/>
  <c r="A480" i="35"/>
  <c r="A481" i="35"/>
  <c r="A482" i="35"/>
  <c r="A483" i="35"/>
  <c r="A484" i="35"/>
  <c r="A485" i="35"/>
  <c r="A486" i="35"/>
  <c r="A487" i="35"/>
  <c r="A488" i="35"/>
  <c r="A489" i="35"/>
  <c r="A490" i="35"/>
  <c r="A491" i="35"/>
  <c r="A492" i="35"/>
  <c r="A493" i="35"/>
  <c r="A494" i="35"/>
  <c r="A495" i="35"/>
  <c r="A496" i="35"/>
  <c r="A497" i="35"/>
  <c r="A498" i="35"/>
  <c r="A499" i="35"/>
  <c r="A500" i="35"/>
  <c r="A501" i="35"/>
  <c r="A502" i="35"/>
  <c r="A503" i="35"/>
  <c r="A504" i="35"/>
  <c r="A505" i="35"/>
  <c r="A506" i="35"/>
  <c r="A507" i="35"/>
  <c r="A508" i="35"/>
  <c r="A509" i="35"/>
  <c r="A510" i="35"/>
  <c r="A511" i="35"/>
  <c r="A512" i="35"/>
  <c r="A513" i="35"/>
  <c r="A514" i="35"/>
  <c r="A515" i="35"/>
  <c r="A516" i="35"/>
  <c r="A517" i="35"/>
  <c r="A518" i="35"/>
  <c r="A519" i="35"/>
  <c r="A520" i="35"/>
  <c r="A521" i="35"/>
  <c r="A522" i="35"/>
  <c r="A523" i="35"/>
  <c r="A524" i="35"/>
  <c r="A525" i="35"/>
  <c r="A526" i="35"/>
  <c r="A527" i="35"/>
  <c r="A528" i="35"/>
  <c r="A529" i="35"/>
  <c r="A530" i="35"/>
  <c r="A531" i="35"/>
  <c r="A532" i="35"/>
  <c r="A533" i="35"/>
  <c r="A534" i="35"/>
  <c r="A535" i="35"/>
  <c r="A536" i="35"/>
  <c r="A537" i="35"/>
  <c r="A538" i="35"/>
  <c r="A539" i="35"/>
  <c r="A540" i="35"/>
  <c r="A541" i="35"/>
  <c r="A542" i="35"/>
  <c r="A543" i="35"/>
  <c r="A544" i="35"/>
  <c r="A545" i="35"/>
  <c r="A546" i="35"/>
  <c r="A547" i="35"/>
  <c r="A548" i="35"/>
  <c r="A549" i="35"/>
  <c r="A550" i="35"/>
  <c r="A551" i="35"/>
  <c r="A552" i="35"/>
  <c r="A553" i="35"/>
  <c r="A554" i="35"/>
  <c r="A555" i="35"/>
  <c r="A556" i="35"/>
  <c r="A557" i="35"/>
  <c r="A558" i="35"/>
  <c r="A559" i="35"/>
  <c r="A560" i="35"/>
  <c r="A561" i="35"/>
  <c r="A562" i="35"/>
  <c r="A563" i="35"/>
  <c r="A564" i="35"/>
  <c r="A565" i="35"/>
  <c r="A566" i="35"/>
  <c r="A567" i="35"/>
  <c r="A568" i="35"/>
  <c r="A569" i="35"/>
  <c r="A570" i="35"/>
  <c r="A571" i="35"/>
  <c r="A572" i="35"/>
  <c r="A573" i="35"/>
  <c r="A574" i="35"/>
  <c r="A575" i="35"/>
  <c r="A576" i="35"/>
  <c r="A577" i="35"/>
  <c r="A578" i="35"/>
  <c r="A579" i="35"/>
  <c r="A580" i="35"/>
  <c r="A581" i="35"/>
  <c r="A582" i="35"/>
  <c r="A583" i="35"/>
  <c r="A584" i="35"/>
  <c r="A585" i="35"/>
  <c r="A586" i="35"/>
  <c r="A587" i="35"/>
  <c r="A588" i="35"/>
  <c r="A589" i="35"/>
  <c r="A590" i="35"/>
  <c r="A591" i="35"/>
  <c r="A592" i="35"/>
  <c r="A593" i="35"/>
  <c r="A594" i="35"/>
  <c r="A595" i="35"/>
  <c r="A596" i="35"/>
  <c r="A597" i="35"/>
  <c r="A598" i="35"/>
  <c r="A599" i="35"/>
  <c r="A600" i="35"/>
  <c r="A601" i="35"/>
  <c r="A602" i="35"/>
  <c r="A603" i="35"/>
  <c r="A604" i="35"/>
  <c r="A605" i="35"/>
  <c r="A606" i="35"/>
  <c r="A607" i="35"/>
  <c r="A608" i="35"/>
  <c r="A609" i="35"/>
  <c r="A610" i="35"/>
  <c r="A611" i="35"/>
  <c r="A612" i="35"/>
  <c r="A613" i="35"/>
  <c r="A614" i="35"/>
  <c r="A615" i="35"/>
  <c r="A616" i="35"/>
  <c r="A617" i="35"/>
  <c r="A618" i="35"/>
  <c r="A619" i="35"/>
  <c r="A620" i="35"/>
  <c r="A621" i="35"/>
  <c r="A622" i="35"/>
  <c r="A623" i="35"/>
  <c r="A624" i="35"/>
  <c r="A625" i="35"/>
  <c r="A626" i="35"/>
  <c r="A627" i="35"/>
  <c r="A628" i="35"/>
  <c r="A629" i="35"/>
  <c r="A630" i="35"/>
  <c r="A631" i="35"/>
  <c r="A632" i="35"/>
  <c r="A633" i="35"/>
  <c r="A634" i="35"/>
  <c r="A635" i="35"/>
  <c r="A636" i="35"/>
  <c r="A637" i="35"/>
  <c r="A638" i="35"/>
  <c r="A639" i="35"/>
  <c r="A640" i="35"/>
  <c r="A641" i="35"/>
  <c r="A642" i="35"/>
  <c r="A643" i="35"/>
  <c r="A644" i="35"/>
  <c r="A645" i="35"/>
  <c r="A646" i="35"/>
  <c r="A647" i="35"/>
  <c r="A648" i="35"/>
  <c r="A649" i="35"/>
  <c r="A650" i="35"/>
  <c r="A651" i="35"/>
  <c r="A652" i="35"/>
  <c r="A653" i="35"/>
  <c r="A654" i="35"/>
  <c r="A655" i="35"/>
  <c r="A656" i="35"/>
  <c r="A657" i="35"/>
  <c r="A658" i="35"/>
  <c r="A659" i="35"/>
  <c r="A660" i="35"/>
  <c r="A661" i="35"/>
  <c r="A662" i="35"/>
  <c r="A663" i="35"/>
  <c r="A664" i="35"/>
  <c r="A665" i="35"/>
  <c r="A666" i="35"/>
  <c r="A667" i="35"/>
  <c r="A668" i="35"/>
  <c r="A669" i="35"/>
  <c r="A670" i="35"/>
  <c r="A671" i="35"/>
  <c r="A672" i="35"/>
  <c r="A673" i="35"/>
  <c r="A674" i="35"/>
  <c r="A675" i="35"/>
  <c r="A676" i="35"/>
  <c r="A677" i="35"/>
  <c r="A678" i="35"/>
  <c r="A679" i="35"/>
  <c r="A680" i="35"/>
  <c r="A681" i="35"/>
  <c r="A682" i="35"/>
  <c r="A683" i="35"/>
  <c r="A684" i="35"/>
  <c r="A685" i="35"/>
  <c r="A686" i="35"/>
  <c r="A687" i="35"/>
  <c r="A688" i="35"/>
  <c r="A689" i="35"/>
  <c r="A690" i="35"/>
  <c r="A691" i="35"/>
  <c r="A692" i="35"/>
  <c r="A693" i="35"/>
  <c r="A694" i="35"/>
  <c r="A695" i="35"/>
  <c r="A696" i="35"/>
  <c r="A697" i="35"/>
  <c r="A698" i="35"/>
  <c r="A699" i="35"/>
  <c r="A700" i="35"/>
  <c r="A701" i="35"/>
  <c r="A702" i="35"/>
  <c r="A703" i="35"/>
  <c r="A704" i="35"/>
  <c r="A705" i="35"/>
  <c r="A706" i="35"/>
  <c r="A707" i="35"/>
  <c r="A708" i="35"/>
  <c r="A709" i="35"/>
  <c r="A710" i="35"/>
  <c r="A711" i="35"/>
  <c r="A712" i="35"/>
  <c r="A713" i="35"/>
  <c r="A714" i="35"/>
  <c r="A715" i="35"/>
  <c r="A716" i="35"/>
  <c r="A717" i="35"/>
  <c r="A718" i="35"/>
  <c r="A719" i="35"/>
  <c r="A720" i="35"/>
  <c r="A721" i="35"/>
  <c r="A722" i="35"/>
  <c r="A723" i="35"/>
  <c r="A724" i="35"/>
  <c r="A725" i="35"/>
  <c r="A726" i="35"/>
  <c r="A727" i="35"/>
  <c r="A728" i="35"/>
  <c r="A729" i="35"/>
  <c r="A730" i="35"/>
  <c r="A731" i="35"/>
  <c r="A732" i="35"/>
  <c r="A733" i="35"/>
  <c r="A734" i="35"/>
  <c r="A735" i="35"/>
  <c r="A736" i="35"/>
  <c r="A737" i="35"/>
  <c r="A738" i="35"/>
  <c r="A739" i="35"/>
  <c r="A740" i="35"/>
  <c r="A741" i="35"/>
  <c r="A742" i="35"/>
  <c r="A743" i="35"/>
  <c r="A744" i="35"/>
  <c r="A745" i="35"/>
  <c r="A746" i="35"/>
  <c r="A747" i="35"/>
  <c r="A748" i="35"/>
  <c r="A749" i="35"/>
  <c r="A750" i="35"/>
  <c r="A751" i="35"/>
  <c r="A752" i="35"/>
  <c r="A753" i="35"/>
  <c r="A754" i="35"/>
  <c r="A755" i="35"/>
  <c r="A756" i="35"/>
  <c r="A757" i="35"/>
  <c r="A758" i="35"/>
  <c r="A759" i="35"/>
  <c r="A760" i="35"/>
  <c r="A761" i="35"/>
  <c r="A762" i="35"/>
  <c r="A763" i="35"/>
  <c r="A764" i="35"/>
  <c r="A765" i="35"/>
  <c r="A766" i="35"/>
  <c r="A767" i="35"/>
  <c r="A768" i="35"/>
  <c r="A769" i="35"/>
  <c r="A770" i="35"/>
  <c r="A771" i="35"/>
  <c r="A772" i="35"/>
  <c r="A773" i="35"/>
  <c r="A774" i="35"/>
  <c r="A775" i="35"/>
  <c r="A776" i="35"/>
  <c r="A777" i="35"/>
  <c r="A778" i="35"/>
  <c r="A779" i="35"/>
  <c r="A780" i="35"/>
  <c r="A781" i="35"/>
  <c r="A782" i="35"/>
  <c r="A783" i="35"/>
  <c r="A784" i="35"/>
  <c r="A785" i="35"/>
  <c r="A786" i="35"/>
  <c r="A787" i="35"/>
  <c r="A788" i="35"/>
  <c r="A789" i="35"/>
  <c r="A790" i="35"/>
  <c r="A791" i="35"/>
  <c r="A792" i="35"/>
  <c r="A793" i="35"/>
  <c r="A794" i="35"/>
  <c r="A795" i="35"/>
  <c r="A796" i="35"/>
  <c r="A797" i="35"/>
  <c r="A798" i="35"/>
  <c r="A799" i="35"/>
  <c r="A800" i="35"/>
  <c r="A801" i="35"/>
  <c r="A802" i="35"/>
  <c r="A803" i="35"/>
  <c r="A804" i="35"/>
  <c r="A805" i="35"/>
  <c r="A806" i="35"/>
  <c r="A807" i="35"/>
  <c r="A808" i="35"/>
  <c r="A809" i="35"/>
  <c r="A810" i="35"/>
  <c r="A811" i="35"/>
  <c r="A812" i="35"/>
  <c r="A813" i="35"/>
  <c r="A814" i="35"/>
  <c r="A815" i="35"/>
  <c r="A816" i="35"/>
  <c r="A817" i="35"/>
  <c r="A818" i="35"/>
  <c r="A819" i="35"/>
  <c r="A820" i="35"/>
  <c r="A821" i="35"/>
  <c r="A822" i="35"/>
  <c r="A823" i="35"/>
  <c r="A824" i="35"/>
  <c r="A825" i="35"/>
  <c r="A826" i="35"/>
  <c r="A827" i="35"/>
  <c r="A828" i="35"/>
  <c r="A829" i="35"/>
  <c r="A830" i="35"/>
  <c r="A831" i="35"/>
  <c r="A832" i="35"/>
  <c r="A833" i="35"/>
  <c r="A834" i="35"/>
  <c r="A835" i="35"/>
  <c r="A836" i="35"/>
  <c r="A837" i="35"/>
  <c r="A838" i="35"/>
  <c r="A839" i="35"/>
  <c r="A840" i="35"/>
  <c r="A841" i="35"/>
  <c r="A842" i="35"/>
  <c r="A843" i="35"/>
  <c r="A844" i="35"/>
  <c r="A845" i="35"/>
  <c r="A846" i="35"/>
  <c r="A847" i="35"/>
  <c r="A848" i="35"/>
  <c r="A849" i="35"/>
  <c r="A850" i="35"/>
  <c r="A851" i="35"/>
  <c r="A852" i="35"/>
  <c r="A853" i="35"/>
  <c r="A854" i="35"/>
  <c r="A855" i="35"/>
  <c r="A856" i="35"/>
  <c r="A857" i="35"/>
  <c r="A858" i="35"/>
  <c r="A859" i="35"/>
  <c r="A860" i="35"/>
  <c r="A861" i="35"/>
  <c r="A862" i="35"/>
  <c r="A863" i="35"/>
  <c r="A864" i="35"/>
  <c r="A865" i="35"/>
  <c r="A866" i="35"/>
  <c r="A867" i="35"/>
  <c r="A868" i="35"/>
  <c r="A869" i="35"/>
  <c r="A870" i="35"/>
  <c r="A871" i="35"/>
  <c r="A872" i="35"/>
  <c r="A873" i="35"/>
  <c r="A874" i="35"/>
  <c r="A875" i="35"/>
  <c r="A876" i="35"/>
  <c r="A877" i="35"/>
  <c r="A878" i="35"/>
  <c r="A879" i="35"/>
  <c r="A880" i="35"/>
  <c r="A881" i="35"/>
  <c r="A882" i="35"/>
  <c r="A883" i="35"/>
  <c r="A884" i="35"/>
  <c r="A885" i="35"/>
  <c r="A886" i="35"/>
  <c r="A887" i="35"/>
  <c r="A888" i="35"/>
  <c r="A889" i="35"/>
  <c r="A890" i="35"/>
  <c r="A891" i="35"/>
  <c r="A892" i="35"/>
  <c r="A893" i="35"/>
  <c r="A894" i="35"/>
  <c r="A895" i="35"/>
  <c r="A896" i="35"/>
  <c r="A897" i="35"/>
  <c r="A898" i="35"/>
  <c r="A899" i="35"/>
  <c r="A900" i="35"/>
  <c r="A901" i="35"/>
  <c r="A902" i="35"/>
  <c r="A903" i="35"/>
  <c r="A904" i="35"/>
  <c r="A905" i="35"/>
  <c r="A906" i="35"/>
  <c r="A907" i="35"/>
  <c r="A908" i="35"/>
  <c r="A909" i="35"/>
  <c r="A910" i="35"/>
  <c r="A911" i="35"/>
  <c r="A912" i="35"/>
  <c r="A913" i="35"/>
  <c r="A914" i="35"/>
  <c r="A915" i="35"/>
  <c r="A916" i="35"/>
  <c r="A917" i="35"/>
  <c r="A918" i="35"/>
  <c r="A919" i="35"/>
  <c r="A920" i="35"/>
  <c r="A921" i="35"/>
  <c r="A922" i="35"/>
  <c r="A923" i="35"/>
  <c r="A924" i="35"/>
  <c r="A925" i="35"/>
  <c r="A926" i="35"/>
  <c r="A927" i="35"/>
  <c r="A928" i="35"/>
  <c r="A929" i="35"/>
  <c r="A930" i="35"/>
  <c r="A931" i="35"/>
  <c r="A932" i="35"/>
  <c r="A933" i="35"/>
  <c r="A934" i="35"/>
  <c r="A935" i="35"/>
  <c r="A936" i="35"/>
  <c r="A937" i="35"/>
  <c r="A938" i="35"/>
  <c r="A939" i="35"/>
  <c r="A940" i="35"/>
  <c r="A941" i="35"/>
  <c r="A942" i="35"/>
  <c r="A943" i="35"/>
  <c r="A944" i="35"/>
  <c r="A945" i="35"/>
  <c r="A946" i="35"/>
  <c r="A947" i="35"/>
  <c r="A948" i="35"/>
  <c r="A949" i="35"/>
  <c r="A950" i="35"/>
  <c r="A951" i="35"/>
  <c r="A952" i="35"/>
  <c r="A953" i="35"/>
  <c r="A954" i="35"/>
  <c r="A955" i="35"/>
  <c r="A956" i="35"/>
  <c r="A957" i="35"/>
  <c r="A958" i="35"/>
  <c r="A959" i="35"/>
  <c r="A960" i="35"/>
  <c r="A961" i="35"/>
  <c r="A962" i="35"/>
  <c r="A963" i="35"/>
  <c r="A964" i="35"/>
  <c r="A965" i="35"/>
  <c r="A966" i="35"/>
  <c r="A967" i="35"/>
  <c r="A968" i="35"/>
  <c r="A969" i="35"/>
  <c r="A970" i="35"/>
  <c r="A971" i="35"/>
  <c r="A972" i="35"/>
  <c r="A973" i="35"/>
  <c r="A974" i="35"/>
  <c r="A975" i="35"/>
  <c r="A976" i="35"/>
  <c r="A977" i="35"/>
  <c r="A978" i="35"/>
  <c r="A979" i="35"/>
  <c r="A980" i="35"/>
  <c r="A981" i="35"/>
  <c r="A982" i="35"/>
  <c r="A983" i="35"/>
  <c r="A984" i="35"/>
  <c r="A985" i="35"/>
  <c r="A986" i="35"/>
  <c r="A987" i="35"/>
  <c r="A988" i="35"/>
  <c r="A989" i="35"/>
  <c r="A990" i="35"/>
  <c r="A991" i="35"/>
  <c r="A992" i="35"/>
  <c r="A993" i="35"/>
  <c r="A994" i="35"/>
  <c r="A995" i="35"/>
  <c r="A996" i="35"/>
  <c r="A997" i="35"/>
  <c r="A998" i="35"/>
  <c r="A999" i="35"/>
  <c r="A1000" i="35"/>
  <c r="A1001" i="35"/>
  <c r="A1002" i="35"/>
  <c r="A1003" i="35"/>
  <c r="A1004" i="35"/>
  <c r="A1005" i="35"/>
  <c r="A1006" i="35"/>
  <c r="A1007" i="35"/>
  <c r="A1008" i="35"/>
  <c r="A1009" i="35"/>
  <c r="A1010" i="35"/>
  <c r="A1011" i="35"/>
  <c r="A1012" i="35"/>
  <c r="A1013" i="35"/>
  <c r="A1014" i="35"/>
  <c r="A1015" i="35"/>
  <c r="A1016" i="35"/>
  <c r="A1017" i="35"/>
  <c r="A1018" i="35"/>
  <c r="A1019" i="35"/>
  <c r="A1020" i="35"/>
  <c r="A1021" i="35"/>
  <c r="A1022" i="35"/>
  <c r="A1023" i="35"/>
  <c r="A1024" i="35"/>
  <c r="A1025" i="35"/>
  <c r="A1026" i="35"/>
  <c r="A1027" i="35"/>
  <c r="A1028" i="35"/>
  <c r="A1029" i="35"/>
  <c r="A1030" i="35"/>
  <c r="A1031" i="35"/>
  <c r="A1032" i="35"/>
  <c r="A1033" i="35"/>
  <c r="A1034" i="35"/>
  <c r="A1035" i="35"/>
  <c r="A1036" i="35"/>
  <c r="A1037" i="35"/>
  <c r="A1038" i="35"/>
  <c r="A1039" i="35"/>
  <c r="A1040" i="35"/>
  <c r="A1041" i="35"/>
  <c r="A1042" i="35"/>
  <c r="A1043" i="35"/>
  <c r="A1044" i="35"/>
  <c r="A1045" i="35"/>
  <c r="A1046" i="35"/>
  <c r="A1047" i="35"/>
  <c r="A1048" i="35"/>
  <c r="A1049" i="35"/>
  <c r="A1050" i="35"/>
  <c r="A1051" i="35"/>
  <c r="A1052" i="35"/>
  <c r="A1053" i="35"/>
  <c r="A1054" i="35"/>
  <c r="A1055" i="35"/>
  <c r="A1056" i="35"/>
  <c r="A1057" i="35"/>
  <c r="A1058" i="35"/>
  <c r="A1059" i="35"/>
  <c r="A1060" i="35"/>
  <c r="A1061" i="35"/>
  <c r="A1062" i="35"/>
  <c r="A1063" i="35"/>
  <c r="A1064" i="35"/>
  <c r="A1065" i="35"/>
  <c r="A1066" i="35"/>
  <c r="A1067" i="35"/>
  <c r="A1068" i="35"/>
  <c r="A1069" i="35"/>
  <c r="A1070" i="35"/>
  <c r="A1071" i="35"/>
  <c r="A1072" i="35"/>
  <c r="A1073" i="35"/>
  <c r="A1074" i="35"/>
  <c r="A1075" i="35"/>
  <c r="A1076" i="35"/>
  <c r="A1077" i="35"/>
  <c r="A1078" i="35"/>
  <c r="A1079" i="35"/>
  <c r="A1080" i="35"/>
  <c r="A1081" i="35"/>
  <c r="A1082" i="35"/>
  <c r="A1083" i="35"/>
  <c r="A1084" i="35"/>
  <c r="A1085" i="35"/>
  <c r="A1086" i="35"/>
  <c r="A1087" i="35"/>
  <c r="A1088" i="35"/>
  <c r="A1089" i="35"/>
  <c r="A1090" i="35"/>
  <c r="A1091" i="35"/>
  <c r="A1092" i="35"/>
  <c r="A1093" i="35"/>
  <c r="A1094" i="35"/>
  <c r="A1095" i="35"/>
  <c r="A1096" i="35"/>
  <c r="A1097" i="35"/>
  <c r="A1098" i="35"/>
  <c r="A1099" i="35"/>
  <c r="A1100" i="35"/>
  <c r="A1101" i="35"/>
  <c r="A1102" i="35"/>
  <c r="A1103" i="35"/>
  <c r="A1104" i="35"/>
  <c r="A1105" i="35"/>
  <c r="A1106" i="35"/>
  <c r="A1107" i="35"/>
  <c r="A1108" i="35"/>
  <c r="A1109" i="35"/>
  <c r="A1110" i="35"/>
  <c r="A1111" i="35"/>
  <c r="A1112" i="35"/>
  <c r="A1113" i="35"/>
  <c r="A1114" i="35"/>
  <c r="A1115" i="35"/>
  <c r="A1116" i="35"/>
  <c r="A1117" i="35"/>
  <c r="A1118" i="35"/>
  <c r="A1119" i="35"/>
  <c r="A1120" i="35"/>
  <c r="A1121" i="35"/>
  <c r="A1122" i="35"/>
  <c r="A1123" i="35"/>
  <c r="A1124" i="35"/>
  <c r="A1125" i="35"/>
  <c r="A1126" i="35"/>
  <c r="A1127" i="35"/>
  <c r="A1128" i="35"/>
  <c r="A1129" i="35"/>
  <c r="A1130" i="35"/>
  <c r="A1131" i="35"/>
  <c r="A1132" i="35"/>
  <c r="A1133" i="35"/>
  <c r="A1134" i="35"/>
  <c r="A1135" i="35"/>
  <c r="A1136" i="35"/>
  <c r="A1137" i="35"/>
  <c r="A1138" i="35"/>
  <c r="A1139" i="35"/>
  <c r="A1140" i="35"/>
  <c r="A1141" i="35"/>
  <c r="A1142" i="35"/>
  <c r="A1143" i="35"/>
  <c r="A1144" i="35"/>
  <c r="A1145" i="35"/>
  <c r="A1146" i="35"/>
  <c r="A1147" i="35"/>
  <c r="A1148" i="35"/>
  <c r="A1149" i="35"/>
  <c r="A1150" i="35"/>
  <c r="A1151" i="35"/>
  <c r="A1152" i="35"/>
  <c r="A1153" i="35"/>
  <c r="A1154" i="35"/>
  <c r="A1155" i="35"/>
  <c r="A1156" i="35"/>
  <c r="A1157" i="35"/>
  <c r="A1158" i="35"/>
  <c r="A1159" i="35"/>
  <c r="A1160" i="35"/>
  <c r="A1161" i="35"/>
  <c r="A1162" i="35"/>
  <c r="A1163" i="35"/>
  <c r="A1164" i="35"/>
  <c r="A1165" i="35"/>
  <c r="A1166" i="35"/>
  <c r="A1167" i="35"/>
  <c r="A1168" i="35"/>
  <c r="A1169" i="35"/>
  <c r="A1170" i="35"/>
  <c r="A1171" i="35"/>
  <c r="A1172" i="35"/>
  <c r="A1173" i="35"/>
  <c r="A1174" i="35"/>
  <c r="A1175" i="35"/>
  <c r="A1176" i="35"/>
  <c r="A1177" i="35"/>
  <c r="A1178" i="35"/>
  <c r="A1179" i="35"/>
  <c r="A1180" i="35"/>
  <c r="A1181" i="35"/>
  <c r="A1182" i="35"/>
  <c r="A1183" i="35"/>
  <c r="A1184" i="35"/>
  <c r="A1185" i="35"/>
  <c r="A1186" i="35"/>
  <c r="A1187" i="35"/>
  <c r="A1188" i="35"/>
  <c r="A1189" i="35"/>
  <c r="A1190" i="35"/>
  <c r="A1191" i="35"/>
  <c r="A1192" i="35"/>
  <c r="A1193" i="35"/>
  <c r="A1194" i="35"/>
  <c r="A1195" i="35"/>
  <c r="A1196" i="35"/>
  <c r="A1197" i="35"/>
  <c r="A1198" i="35"/>
  <c r="A1199" i="35"/>
  <c r="A1200" i="35"/>
  <c r="A1201" i="35"/>
  <c r="A1202" i="35"/>
  <c r="A1203" i="35"/>
  <c r="A1204" i="35"/>
  <c r="A1205" i="35"/>
  <c r="A1206" i="35"/>
  <c r="A1207" i="35"/>
  <c r="A1208" i="35"/>
  <c r="A1209" i="35"/>
  <c r="A1210" i="35"/>
  <c r="A1211" i="35"/>
  <c r="A1212" i="35"/>
  <c r="A1213" i="35"/>
  <c r="A1214" i="35"/>
  <c r="A1215" i="35"/>
  <c r="A1216" i="35"/>
  <c r="A1217" i="35"/>
  <c r="A1218" i="35"/>
  <c r="A1219" i="35"/>
  <c r="A1220" i="35"/>
  <c r="A1221" i="35"/>
  <c r="A1222" i="35"/>
  <c r="A1223" i="35"/>
  <c r="A1224" i="35"/>
  <c r="A1225" i="35"/>
  <c r="A1226" i="35"/>
  <c r="A1227" i="35"/>
  <c r="A1228" i="35"/>
  <c r="A1229" i="35"/>
  <c r="A1230" i="35"/>
  <c r="A1231" i="35"/>
  <c r="A1232" i="35"/>
  <c r="A1233" i="35"/>
  <c r="A1234" i="35"/>
  <c r="A1235" i="35"/>
  <c r="A1236" i="35"/>
  <c r="A1237" i="35"/>
  <c r="A1238" i="35"/>
  <c r="A1239" i="35"/>
  <c r="A1240" i="35"/>
  <c r="A1241" i="35"/>
  <c r="A1242" i="35"/>
  <c r="A1243" i="35"/>
  <c r="A1244" i="35"/>
  <c r="A1245" i="35"/>
  <c r="A1246" i="35"/>
  <c r="A1247" i="35"/>
  <c r="A1248" i="35"/>
  <c r="A1249" i="35"/>
  <c r="A1250" i="35"/>
  <c r="A1251" i="35"/>
  <c r="A1252" i="35"/>
  <c r="A1253" i="35"/>
  <c r="A1254" i="35"/>
  <c r="A1255" i="35"/>
  <c r="A1256" i="35"/>
  <c r="A1257" i="35"/>
  <c r="A1258" i="35"/>
  <c r="A1259" i="35"/>
  <c r="A1260" i="35"/>
  <c r="A1261" i="35"/>
  <c r="A1262" i="35"/>
  <c r="A1263" i="35"/>
  <c r="A1264" i="35"/>
  <c r="A1265" i="35"/>
  <c r="A1266" i="35"/>
  <c r="A1267" i="35"/>
  <c r="A1268" i="35"/>
  <c r="A1269" i="35"/>
  <c r="A1270" i="35"/>
  <c r="A1271" i="35"/>
  <c r="A1272" i="35"/>
  <c r="A1273" i="35"/>
  <c r="A1274" i="35"/>
  <c r="A1275" i="35"/>
  <c r="A1276" i="35"/>
  <c r="A1277" i="35"/>
  <c r="A1278" i="35"/>
  <c r="A1279" i="35"/>
  <c r="A1280" i="35"/>
  <c r="A1281" i="35"/>
  <c r="A1282" i="35"/>
  <c r="A1283" i="35"/>
  <c r="A1284" i="35"/>
  <c r="A1285" i="35"/>
  <c r="A1286" i="35"/>
  <c r="A1287" i="35"/>
  <c r="A1288" i="35"/>
  <c r="A1289" i="35"/>
  <c r="A1290" i="35"/>
  <c r="A1291" i="35"/>
  <c r="A1292" i="35"/>
  <c r="A1293" i="35"/>
  <c r="A1294" i="35"/>
  <c r="A1295" i="35"/>
  <c r="A1296" i="35"/>
  <c r="A1297" i="35"/>
  <c r="A1298" i="35"/>
  <c r="A1299" i="35"/>
  <c r="A1300" i="35"/>
  <c r="A1301" i="35"/>
  <c r="A1302" i="35"/>
  <c r="A1303" i="35"/>
  <c r="A1304" i="35"/>
  <c r="A1305" i="35"/>
  <c r="A1306" i="35"/>
  <c r="A1307" i="35"/>
  <c r="A1308" i="35"/>
  <c r="A1309" i="35"/>
  <c r="A1310" i="35"/>
  <c r="A1311" i="35"/>
  <c r="A1312" i="35"/>
  <c r="A1313" i="35"/>
  <c r="A1314" i="35"/>
  <c r="A1315" i="35"/>
  <c r="A1316" i="35"/>
  <c r="A1317" i="35"/>
  <c r="A1318" i="35"/>
  <c r="A1319" i="35"/>
  <c r="A1320" i="35"/>
  <c r="A1321" i="35"/>
  <c r="A1322" i="35"/>
  <c r="A1323" i="35"/>
  <c r="A1324" i="35"/>
  <c r="A1325" i="35"/>
  <c r="A1326" i="35"/>
  <c r="A1327" i="35"/>
  <c r="A1328" i="35"/>
  <c r="A1329" i="35"/>
  <c r="A1330" i="35"/>
  <c r="A1331" i="35"/>
  <c r="A1332" i="35"/>
  <c r="A1333" i="35"/>
  <c r="A1334" i="35"/>
  <c r="A1335" i="35"/>
  <c r="A1336" i="35"/>
  <c r="A1337" i="35"/>
  <c r="A1338" i="35"/>
  <c r="A1339" i="35"/>
  <c r="A1340" i="35"/>
  <c r="A1341" i="35"/>
  <c r="A1342" i="35"/>
  <c r="A1343" i="35"/>
  <c r="A1344" i="35"/>
  <c r="A1345" i="35"/>
  <c r="A1346" i="35"/>
  <c r="A1347" i="35"/>
  <c r="A1348" i="35"/>
  <c r="A1349" i="35"/>
  <c r="A1350" i="35"/>
  <c r="A1351" i="35"/>
  <c r="A1352" i="35"/>
  <c r="A1353" i="35"/>
  <c r="A1354" i="35"/>
  <c r="A1355" i="35"/>
  <c r="A1356" i="35"/>
  <c r="A1357" i="35"/>
  <c r="A1358" i="35"/>
  <c r="A1359" i="35"/>
  <c r="A1360" i="35"/>
  <c r="A1361" i="35"/>
  <c r="A1362" i="35"/>
  <c r="A1363" i="35"/>
  <c r="A1364" i="35"/>
  <c r="A1365" i="35"/>
  <c r="A1366" i="35"/>
  <c r="A1367" i="35"/>
  <c r="A1368" i="35"/>
  <c r="A1369" i="35"/>
  <c r="A1370" i="35"/>
  <c r="A1371" i="35"/>
  <c r="A1372" i="35"/>
  <c r="A1373" i="35"/>
  <c r="A1374" i="35"/>
  <c r="A1375" i="35"/>
  <c r="A1376" i="35"/>
  <c r="A1377" i="35"/>
  <c r="A1378" i="35"/>
  <c r="A1379" i="35"/>
  <c r="A1380" i="35"/>
  <c r="A1381" i="35"/>
  <c r="A1382" i="35"/>
  <c r="A1383" i="35"/>
  <c r="A1384" i="35"/>
  <c r="A1385" i="35"/>
  <c r="A1386" i="35"/>
  <c r="A1387" i="35"/>
  <c r="A1388" i="35"/>
  <c r="A1389" i="35"/>
  <c r="A1390" i="35"/>
  <c r="A1391" i="35"/>
  <c r="A1392" i="35"/>
  <c r="A1393" i="35"/>
  <c r="A1394" i="35"/>
  <c r="A1395" i="35"/>
  <c r="A1396" i="35"/>
  <c r="A1397" i="35"/>
  <c r="A1398" i="35"/>
  <c r="A1399" i="35"/>
  <c r="A1400" i="35"/>
  <c r="A1401" i="35"/>
  <c r="A1402" i="35"/>
  <c r="A1403" i="35"/>
  <c r="A1404" i="35"/>
  <c r="A1405" i="35"/>
  <c r="A1406" i="35"/>
  <c r="A1407" i="35"/>
  <c r="A1408" i="35"/>
  <c r="A1409" i="35"/>
  <c r="A1410" i="35"/>
  <c r="A1411" i="35"/>
  <c r="A1412" i="35"/>
  <c r="A1413" i="35"/>
  <c r="A1414" i="35"/>
  <c r="A1415" i="35"/>
  <c r="A1416" i="35"/>
  <c r="A1417" i="35"/>
  <c r="A1418" i="35"/>
  <c r="A1419" i="35"/>
  <c r="A1420" i="35"/>
  <c r="A1421" i="35"/>
  <c r="A1422" i="35"/>
  <c r="A1423" i="35"/>
  <c r="A1424" i="35"/>
  <c r="A1425" i="35"/>
  <c r="A1426" i="35"/>
  <c r="A1427" i="35"/>
  <c r="A1428" i="35"/>
  <c r="A1429" i="35"/>
  <c r="A1430" i="35"/>
  <c r="A1431" i="35"/>
  <c r="A1432" i="35"/>
  <c r="A1433" i="35"/>
  <c r="A1434" i="35"/>
  <c r="A1435" i="35"/>
  <c r="A1436" i="35"/>
  <c r="A1437" i="35"/>
  <c r="A1438" i="35"/>
  <c r="A1439" i="35"/>
  <c r="A1440" i="35"/>
  <c r="A1441" i="35"/>
  <c r="A1442" i="35"/>
  <c r="A1443" i="35"/>
  <c r="A1444" i="35"/>
  <c r="A1445" i="35"/>
  <c r="A1446" i="35"/>
  <c r="A1447" i="35"/>
  <c r="A1448" i="35"/>
  <c r="A1449" i="35"/>
  <c r="A1450" i="35"/>
  <c r="A1451" i="35"/>
  <c r="A1452" i="35"/>
  <c r="A1453" i="35"/>
  <c r="A1454" i="35"/>
  <c r="A1455" i="35"/>
  <c r="A1456" i="35"/>
  <c r="A1457" i="35"/>
  <c r="A1458" i="35"/>
  <c r="A1459" i="35"/>
  <c r="A1460" i="35"/>
  <c r="A1461" i="35"/>
  <c r="A1462" i="35"/>
  <c r="A1463" i="35"/>
  <c r="A1464" i="35"/>
  <c r="A1465" i="35"/>
  <c r="A1466" i="35"/>
  <c r="A1467" i="35"/>
  <c r="A1468" i="35"/>
  <c r="A1469" i="35"/>
  <c r="A1470" i="35"/>
  <c r="A1471" i="35"/>
  <c r="A1472" i="35"/>
  <c r="A1473" i="35"/>
  <c r="A1474" i="35"/>
  <c r="A1475" i="35"/>
  <c r="A1476" i="35"/>
  <c r="A1477" i="35"/>
  <c r="A1478" i="35"/>
  <c r="A1479" i="35"/>
  <c r="A1480" i="35"/>
  <c r="A1481" i="35"/>
  <c r="A1482" i="35"/>
  <c r="A1483" i="35"/>
  <c r="A1484" i="35"/>
  <c r="A1485" i="35"/>
  <c r="A1486" i="35"/>
  <c r="A1487" i="35"/>
  <c r="A1488" i="35"/>
  <c r="A1489" i="35"/>
  <c r="A1490" i="35"/>
  <c r="A1491" i="35"/>
  <c r="A1492" i="35"/>
  <c r="A1493" i="35"/>
  <c r="A1494" i="35"/>
  <c r="A1495" i="35"/>
  <c r="A1496" i="35"/>
  <c r="A1497" i="35"/>
  <c r="A1498" i="35"/>
  <c r="A1499" i="35"/>
  <c r="A1500" i="35"/>
  <c r="A1501" i="35"/>
  <c r="A1502" i="35"/>
  <c r="A1503" i="35"/>
  <c r="A1504" i="35"/>
  <c r="A1505" i="35"/>
  <c r="A1506" i="35"/>
  <c r="A1507" i="35"/>
  <c r="A1508" i="35"/>
  <c r="A1509" i="35"/>
  <c r="A1510" i="35"/>
  <c r="A1511" i="35"/>
  <c r="A1512" i="35"/>
  <c r="A1513" i="35"/>
  <c r="A1514" i="35"/>
  <c r="A1515" i="35"/>
  <c r="A1516" i="35"/>
  <c r="A1517" i="35"/>
  <c r="A1518" i="35"/>
  <c r="A1519" i="35"/>
  <c r="A1520" i="35"/>
  <c r="A1521" i="35"/>
  <c r="A1522" i="35"/>
  <c r="A1523" i="35"/>
  <c r="A1524" i="35"/>
  <c r="A1525" i="35"/>
  <c r="A1526" i="35"/>
  <c r="A1527" i="35"/>
  <c r="A1528" i="35"/>
  <c r="A1529" i="35"/>
  <c r="A1530" i="35"/>
  <c r="A1531" i="35"/>
  <c r="A1532" i="35"/>
  <c r="A1533" i="35"/>
  <c r="A1534" i="35"/>
  <c r="A1535" i="35"/>
  <c r="A1536" i="35"/>
  <c r="A1537" i="35"/>
  <c r="A1538" i="35"/>
  <c r="A1539" i="35"/>
  <c r="A1540" i="35"/>
  <c r="A1541" i="35"/>
  <c r="A1542" i="35"/>
  <c r="A1543" i="35"/>
  <c r="A1544" i="35"/>
  <c r="A1545" i="35"/>
  <c r="A1546" i="35"/>
  <c r="A1547" i="35"/>
  <c r="A1548" i="35"/>
  <c r="A1549" i="35"/>
  <c r="A1550" i="35"/>
  <c r="A1551" i="35"/>
  <c r="A1552" i="35"/>
  <c r="A1553" i="35"/>
  <c r="A1554" i="35"/>
  <c r="A1555" i="35"/>
  <c r="A1556" i="35"/>
  <c r="A1557" i="35"/>
  <c r="G56" i="33"/>
  <c r="F56" i="33"/>
  <c r="K56" i="33"/>
  <c r="M56" i="33"/>
  <c r="E56" i="33"/>
  <c r="I56" i="33"/>
  <c r="B56" i="33"/>
  <c r="H56" i="33"/>
  <c r="C56" i="33"/>
  <c r="D56" i="33"/>
  <c r="L56" i="33"/>
  <c r="J56" i="33"/>
  <c r="B40" i="10" l="1"/>
  <c r="C40" i="10"/>
  <c r="D40" i="10"/>
  <c r="E40" i="10"/>
  <c r="B41" i="10"/>
  <c r="C41" i="10"/>
  <c r="D41" i="10"/>
  <c r="E41" i="10"/>
  <c r="B42" i="10"/>
  <c r="C42" i="10"/>
  <c r="D42" i="10"/>
  <c r="E42" i="10"/>
  <c r="B43" i="10"/>
  <c r="C43" i="10"/>
  <c r="D43" i="10"/>
  <c r="E43" i="10"/>
  <c r="B44" i="10"/>
  <c r="C44" i="10"/>
  <c r="D44" i="10"/>
  <c r="E44" i="10"/>
  <c r="B45" i="10"/>
  <c r="C45" i="10"/>
  <c r="D45" i="10"/>
  <c r="E45" i="10"/>
  <c r="B46" i="10"/>
  <c r="C46" i="10"/>
  <c r="D46" i="10"/>
  <c r="E46" i="10"/>
  <c r="B47" i="10"/>
  <c r="C47" i="10"/>
  <c r="D47" i="10"/>
  <c r="E47" i="10"/>
  <c r="B48" i="10"/>
  <c r="C48" i="10"/>
  <c r="D48" i="10"/>
  <c r="E48" i="10"/>
  <c r="B49" i="10"/>
  <c r="C49" i="10"/>
  <c r="D49" i="10"/>
  <c r="E49" i="10"/>
  <c r="B50" i="10"/>
  <c r="C50" i="10"/>
  <c r="D50" i="10"/>
  <c r="E50" i="10"/>
  <c r="B51" i="10"/>
  <c r="C51" i="10"/>
  <c r="D51" i="10"/>
  <c r="E51" i="10"/>
  <c r="B52" i="10"/>
  <c r="C52" i="10"/>
  <c r="D52" i="10"/>
  <c r="E52" i="10"/>
  <c r="B53" i="10"/>
  <c r="C53" i="10"/>
  <c r="D53" i="10"/>
  <c r="E53" i="10"/>
  <c r="B54" i="10"/>
  <c r="C54" i="10"/>
  <c r="D54" i="10"/>
  <c r="E54" i="10"/>
  <c r="B55" i="10"/>
  <c r="C55" i="10"/>
  <c r="D55" i="10"/>
  <c r="E55" i="10"/>
  <c r="B56" i="10"/>
  <c r="C56" i="10"/>
  <c r="D56" i="10"/>
  <c r="E56" i="10"/>
  <c r="B57" i="10"/>
  <c r="C57" i="10"/>
  <c r="D57" i="10"/>
  <c r="E57" i="10"/>
  <c r="B58" i="10"/>
  <c r="C58" i="10"/>
  <c r="D58" i="10"/>
  <c r="E58" i="10"/>
  <c r="C39" i="10"/>
  <c r="D39" i="10"/>
  <c r="E39" i="10"/>
  <c r="B39" i="10"/>
  <c r="A7" i="10" l="1"/>
  <c r="A8" i="10"/>
  <c r="A9" i="10"/>
  <c r="A10" i="10"/>
  <c r="A11" i="10"/>
  <c r="A12" i="10"/>
  <c r="A13" i="10"/>
  <c r="A14" i="10"/>
  <c r="A7" i="22"/>
  <c r="A8" i="22"/>
  <c r="A9" i="22"/>
  <c r="A10" i="22"/>
  <c r="A11" i="22"/>
  <c r="A20" i="10"/>
  <c r="A12" i="22" s="1"/>
  <c r="A21" i="10"/>
  <c r="A13" i="22" s="1"/>
  <c r="A22" i="10"/>
  <c r="A14" i="22" s="1"/>
  <c r="A23" i="10"/>
  <c r="A15" i="22" s="1"/>
  <c r="A24" i="10"/>
  <c r="A16" i="22" s="1"/>
  <c r="A25" i="10"/>
  <c r="A17" i="22" s="1"/>
  <c r="A26" i="10"/>
  <c r="A18" i="22" s="1"/>
  <c r="A27" i="10"/>
  <c r="A19" i="22" s="1"/>
  <c r="A28" i="10"/>
  <c r="A20" i="22" s="1"/>
  <c r="A29" i="10"/>
  <c r="A21" i="22" s="1"/>
  <c r="A30" i="10"/>
  <c r="A22" i="22" s="1"/>
  <c r="A31" i="10"/>
  <c r="A23" i="22" s="1"/>
  <c r="A32" i="10"/>
  <c r="A24" i="22" s="1"/>
  <c r="A33" i="10"/>
  <c r="A25" i="22" s="1"/>
  <c r="A34" i="10"/>
  <c r="A26" i="22" s="1"/>
  <c r="A35" i="10"/>
  <c r="A36" i="10"/>
  <c r="A37" i="10"/>
  <c r="A38" i="10"/>
  <c r="A39" i="10"/>
  <c r="A40" i="10"/>
  <c r="A41" i="10"/>
  <c r="A42" i="10"/>
  <c r="A43" i="10"/>
  <c r="A44" i="10"/>
  <c r="A45" i="10"/>
  <c r="A46" i="10"/>
  <c r="A47" i="10"/>
  <c r="A48" i="10"/>
  <c r="A49" i="10"/>
  <c r="A50" i="10"/>
  <c r="A51" i="10"/>
  <c r="A52" i="10"/>
  <c r="A53" i="10"/>
  <c r="A54" i="10"/>
  <c r="A55" i="10"/>
  <c r="A56" i="10"/>
  <c r="A57" i="10"/>
  <c r="A58" i="10"/>
  <c r="B2" i="37" l="1"/>
  <c r="B3" i="37"/>
  <c r="B4" i="37"/>
  <c r="B5" i="37"/>
  <c r="B6" i="37"/>
  <c r="B7" i="37"/>
  <c r="B8" i="37"/>
  <c r="B9" i="37"/>
  <c r="B10" i="37"/>
  <c r="B11" i="37"/>
  <c r="B12" i="37"/>
  <c r="B13" i="37"/>
  <c r="B14" i="37"/>
  <c r="B15" i="37"/>
  <c r="B16" i="37"/>
  <c r="B17" i="37"/>
  <c r="B18" i="37"/>
  <c r="B19" i="37"/>
  <c r="B20" i="37"/>
  <c r="B21" i="37"/>
  <c r="B22" i="37"/>
  <c r="B23" i="37"/>
  <c r="B24" i="37"/>
  <c r="B25" i="37"/>
  <c r="B26" i="37"/>
  <c r="B27" i="37"/>
  <c r="B28" i="37"/>
  <c r="B29" i="37"/>
  <c r="B30" i="37"/>
  <c r="B31" i="37"/>
  <c r="B32" i="37"/>
  <c r="B33" i="37"/>
  <c r="B34" i="37"/>
  <c r="B35" i="37"/>
  <c r="B36" i="37"/>
  <c r="B37" i="37"/>
  <c r="B38" i="37"/>
  <c r="B39" i="37"/>
  <c r="B40" i="37"/>
  <c r="B41" i="37"/>
  <c r="B42" i="37"/>
  <c r="B43" i="37"/>
  <c r="B44" i="37"/>
  <c r="B45" i="37"/>
  <c r="B46" i="37"/>
  <c r="B47" i="37"/>
  <c r="B48" i="37"/>
  <c r="B49" i="37"/>
  <c r="B50" i="37"/>
  <c r="B51" i="37"/>
  <c r="B52" i="37"/>
  <c r="B53" i="37"/>
  <c r="B54" i="37"/>
  <c r="B55" i="37"/>
  <c r="B56" i="37"/>
  <c r="B57" i="37"/>
  <c r="B58" i="37"/>
  <c r="B59" i="37"/>
  <c r="B60" i="37"/>
  <c r="B61" i="37"/>
  <c r="B62" i="37"/>
  <c r="B63" i="37"/>
  <c r="B64" i="37"/>
  <c r="B65" i="37"/>
  <c r="B66" i="37"/>
  <c r="B67" i="37"/>
  <c r="B68" i="37"/>
  <c r="B69" i="37"/>
  <c r="B70" i="37"/>
  <c r="B71" i="37"/>
  <c r="B72" i="37"/>
  <c r="B73" i="37"/>
  <c r="B74" i="37"/>
  <c r="B75" i="37"/>
  <c r="B76" i="37"/>
  <c r="B77" i="37"/>
  <c r="B78" i="37"/>
  <c r="B79" i="37"/>
  <c r="B80" i="37"/>
  <c r="B81" i="37"/>
  <c r="B82" i="37"/>
  <c r="B83" i="37"/>
  <c r="B84" i="37"/>
  <c r="B85" i="37"/>
  <c r="B86" i="37"/>
  <c r="B87" i="37"/>
  <c r="B88" i="37"/>
  <c r="B89" i="37"/>
  <c r="B90" i="37"/>
  <c r="B91" i="37"/>
  <c r="B92" i="37"/>
  <c r="B93" i="37"/>
  <c r="B94" i="37"/>
  <c r="B95" i="37"/>
  <c r="B96" i="37"/>
  <c r="B97" i="37"/>
  <c r="B98" i="37"/>
  <c r="B99" i="37"/>
  <c r="B100" i="37"/>
  <c r="B101" i="37"/>
  <c r="B102" i="37"/>
  <c r="B103" i="37"/>
  <c r="B104" i="37"/>
  <c r="B105" i="37"/>
  <c r="B106" i="37"/>
  <c r="B107" i="37"/>
  <c r="B108" i="37"/>
  <c r="B109" i="37"/>
  <c r="B110" i="37"/>
  <c r="B111" i="37"/>
  <c r="B112" i="37"/>
  <c r="B113" i="37"/>
  <c r="B114" i="37"/>
  <c r="B115" i="37"/>
  <c r="B116" i="37"/>
  <c r="B117" i="37"/>
  <c r="B118" i="37"/>
  <c r="B119" i="37"/>
  <c r="B120" i="37"/>
  <c r="B121" i="37"/>
  <c r="B122" i="37"/>
  <c r="B123" i="37"/>
  <c r="B124" i="37"/>
  <c r="B125" i="37"/>
  <c r="B126" i="37"/>
  <c r="B127" i="37"/>
  <c r="B128" i="37"/>
  <c r="B129" i="37"/>
  <c r="B130" i="37"/>
  <c r="B131" i="37"/>
  <c r="B132" i="37"/>
  <c r="B133" i="37"/>
  <c r="B134" i="37"/>
  <c r="B135" i="37"/>
  <c r="B136" i="37"/>
  <c r="B137" i="37"/>
  <c r="B138" i="37"/>
  <c r="B139" i="37"/>
  <c r="B140" i="37"/>
  <c r="B141" i="37"/>
  <c r="B142" i="37"/>
  <c r="B143" i="37"/>
  <c r="B144" i="37"/>
  <c r="B145" i="37"/>
  <c r="B146" i="37"/>
  <c r="B147" i="37"/>
  <c r="B148" i="37"/>
  <c r="B149" i="37"/>
  <c r="B150" i="37"/>
  <c r="B151" i="37"/>
  <c r="B152" i="37"/>
  <c r="B153" i="37"/>
  <c r="B154" i="37"/>
  <c r="B155" i="37"/>
  <c r="B156" i="37"/>
  <c r="B157" i="37"/>
  <c r="B158" i="37"/>
  <c r="B159" i="37"/>
  <c r="B160" i="37"/>
  <c r="B161" i="37"/>
  <c r="B162" i="37"/>
  <c r="B163" i="37"/>
  <c r="B164" i="37"/>
  <c r="B165" i="37"/>
  <c r="B166" i="37"/>
  <c r="B167" i="37"/>
  <c r="B168" i="37"/>
  <c r="B169" i="37"/>
  <c r="B170" i="37"/>
  <c r="B171" i="37"/>
  <c r="B172" i="37"/>
  <c r="B173" i="37"/>
  <c r="B174" i="37"/>
  <c r="B175" i="37"/>
  <c r="B176" i="37"/>
  <c r="B177" i="37"/>
  <c r="B178" i="37"/>
  <c r="B179" i="37"/>
  <c r="B180" i="37"/>
  <c r="B181" i="37"/>
  <c r="B182" i="37"/>
  <c r="B183" i="37"/>
  <c r="B184" i="37"/>
  <c r="B185" i="37"/>
  <c r="B186" i="37"/>
  <c r="B187" i="37"/>
  <c r="B188" i="37"/>
  <c r="B189" i="37"/>
  <c r="B190" i="37"/>
  <c r="B191" i="37"/>
  <c r="B192" i="37"/>
  <c r="B193" i="37"/>
  <c r="B194" i="37"/>
  <c r="B195" i="37"/>
  <c r="B196" i="37"/>
  <c r="B197" i="37"/>
  <c r="B198" i="37"/>
  <c r="B199" i="37"/>
  <c r="B200" i="37"/>
  <c r="B201" i="37"/>
  <c r="B202" i="37"/>
  <c r="B203" i="37"/>
  <c r="B204" i="37"/>
  <c r="B205" i="37"/>
  <c r="B206" i="37"/>
  <c r="B207" i="37"/>
  <c r="B208" i="37"/>
  <c r="B209" i="37"/>
  <c r="B210" i="37"/>
  <c r="B211" i="37"/>
  <c r="B212" i="37"/>
  <c r="B213" i="37"/>
  <c r="B214" i="37"/>
  <c r="B215" i="37"/>
  <c r="B216" i="37"/>
  <c r="B217" i="37"/>
  <c r="B218" i="37"/>
  <c r="B219" i="37"/>
  <c r="B220" i="37"/>
  <c r="B221" i="37"/>
  <c r="B222" i="37"/>
  <c r="B223" i="37"/>
  <c r="B224" i="37"/>
  <c r="B225" i="37"/>
  <c r="B226" i="37"/>
  <c r="B227" i="37"/>
  <c r="B228" i="37"/>
  <c r="B229" i="37"/>
  <c r="B230" i="37"/>
  <c r="B231" i="37"/>
  <c r="B232" i="37"/>
  <c r="B233" i="37"/>
  <c r="B234" i="37"/>
  <c r="B235" i="37"/>
  <c r="B236" i="37"/>
  <c r="B237" i="37"/>
  <c r="B238" i="37"/>
  <c r="B239" i="37"/>
  <c r="B240" i="37"/>
  <c r="B241" i="37"/>
  <c r="B242" i="37"/>
  <c r="B243" i="37"/>
  <c r="B244" i="37"/>
  <c r="B245" i="37"/>
  <c r="B246" i="37"/>
  <c r="B247" i="37"/>
  <c r="B248" i="37"/>
  <c r="B249" i="37"/>
  <c r="B250" i="37"/>
  <c r="B251" i="37"/>
  <c r="B252" i="37"/>
  <c r="B253" i="37"/>
  <c r="B254" i="37"/>
  <c r="B255" i="37"/>
  <c r="B256" i="37"/>
  <c r="B257" i="37"/>
  <c r="B258" i="37"/>
  <c r="B259" i="37"/>
  <c r="B260" i="37"/>
  <c r="B261" i="37"/>
  <c r="B262" i="37"/>
  <c r="B263" i="37"/>
  <c r="B264" i="37"/>
  <c r="B265" i="37"/>
  <c r="B266" i="37"/>
  <c r="B267" i="37"/>
  <c r="B268" i="37"/>
  <c r="B269" i="37"/>
  <c r="B270" i="37"/>
  <c r="B271" i="37"/>
  <c r="B272" i="37"/>
  <c r="B273" i="37"/>
  <c r="B274" i="37"/>
  <c r="B275" i="37"/>
  <c r="B276" i="37"/>
  <c r="B277" i="37"/>
  <c r="B278" i="37"/>
  <c r="B279" i="37"/>
  <c r="B280" i="37"/>
  <c r="B281" i="37"/>
  <c r="B282" i="37"/>
  <c r="B283" i="37"/>
  <c r="B284" i="37"/>
  <c r="B285" i="37"/>
  <c r="B286" i="37"/>
  <c r="B287" i="37"/>
  <c r="B288" i="37"/>
  <c r="B289" i="37"/>
  <c r="B290" i="37"/>
  <c r="B291" i="37"/>
  <c r="B292" i="37"/>
  <c r="B293" i="37"/>
  <c r="B294" i="37"/>
  <c r="B295" i="37"/>
  <c r="B296" i="37"/>
  <c r="B297" i="37"/>
  <c r="B298" i="37"/>
  <c r="B299" i="37"/>
  <c r="B300" i="37"/>
  <c r="B301" i="37"/>
  <c r="B302" i="37"/>
  <c r="B303" i="37"/>
  <c r="B304" i="37"/>
  <c r="B305" i="37"/>
  <c r="B306" i="37"/>
  <c r="B307" i="37"/>
  <c r="B308" i="37"/>
  <c r="B309" i="37"/>
  <c r="B310" i="37"/>
  <c r="B311" i="37"/>
  <c r="B312" i="37"/>
  <c r="B313" i="37"/>
  <c r="B314" i="37"/>
  <c r="B315" i="37"/>
  <c r="B316" i="37"/>
  <c r="B317" i="37"/>
  <c r="B318" i="37"/>
  <c r="B319" i="37"/>
  <c r="B320" i="37"/>
  <c r="B321" i="37"/>
  <c r="B322" i="37"/>
  <c r="B323" i="37"/>
  <c r="B324" i="37"/>
  <c r="B325" i="37"/>
  <c r="B326" i="37"/>
  <c r="B327" i="37"/>
  <c r="B328" i="37"/>
  <c r="B329" i="37"/>
  <c r="B330" i="37"/>
  <c r="B331" i="37"/>
  <c r="B332" i="37"/>
  <c r="B333" i="37"/>
  <c r="B334" i="37"/>
  <c r="B335" i="37"/>
  <c r="B336" i="37"/>
  <c r="B337" i="37"/>
  <c r="B338" i="37"/>
  <c r="B339" i="37"/>
  <c r="B340" i="37"/>
  <c r="B341" i="37"/>
  <c r="B342" i="37"/>
  <c r="B343" i="37"/>
  <c r="B344" i="37"/>
  <c r="B345" i="37"/>
  <c r="B346" i="37"/>
  <c r="B347" i="37"/>
  <c r="B348" i="37"/>
  <c r="B349" i="37"/>
  <c r="B350" i="37"/>
  <c r="B351" i="37"/>
  <c r="B352" i="37"/>
  <c r="B353" i="37"/>
  <c r="B354" i="37"/>
  <c r="B355" i="37"/>
  <c r="B356" i="37"/>
  <c r="B357" i="37"/>
  <c r="B358" i="37"/>
  <c r="B359" i="37"/>
  <c r="B360" i="37"/>
  <c r="B361" i="37"/>
  <c r="B362" i="37"/>
  <c r="B363" i="37"/>
  <c r="B364" i="37"/>
  <c r="B365" i="37"/>
  <c r="B366" i="37"/>
  <c r="B367" i="37"/>
  <c r="B368" i="37"/>
  <c r="B369" i="37"/>
  <c r="B370" i="37"/>
  <c r="B371" i="37"/>
  <c r="B372" i="37"/>
  <c r="B373" i="37"/>
  <c r="B374" i="37"/>
  <c r="B375" i="37"/>
  <c r="B376" i="37"/>
  <c r="B377" i="37"/>
  <c r="B378" i="37"/>
  <c r="B379" i="37"/>
  <c r="B380" i="37"/>
  <c r="B381" i="37"/>
  <c r="B382" i="37"/>
  <c r="B383" i="37"/>
  <c r="B384" i="37"/>
  <c r="B385" i="37"/>
  <c r="B386" i="37"/>
  <c r="B387" i="37"/>
  <c r="B388" i="37"/>
  <c r="B389" i="37"/>
  <c r="B390" i="37"/>
  <c r="B391" i="37"/>
  <c r="B392" i="37"/>
  <c r="B393" i="37"/>
  <c r="B394" i="37"/>
  <c r="B395" i="37"/>
  <c r="B396" i="37"/>
  <c r="B397" i="37"/>
  <c r="B398" i="37"/>
  <c r="B399" i="37"/>
  <c r="B400" i="37"/>
  <c r="B401" i="37"/>
  <c r="B402" i="37"/>
  <c r="B403" i="37"/>
  <c r="B404" i="37"/>
  <c r="B405" i="37"/>
  <c r="B406" i="37"/>
  <c r="B407" i="37"/>
  <c r="B408" i="37"/>
  <c r="B409" i="37"/>
  <c r="B410" i="37"/>
  <c r="B411" i="37"/>
  <c r="B412" i="37"/>
  <c r="B413" i="37"/>
  <c r="B414" i="37"/>
  <c r="B415" i="37"/>
  <c r="B416" i="37"/>
  <c r="B417" i="37"/>
  <c r="B418" i="37"/>
  <c r="B419" i="37"/>
  <c r="B420" i="37"/>
  <c r="B421" i="37"/>
  <c r="B422" i="37"/>
  <c r="B423" i="37"/>
  <c r="B424" i="37"/>
  <c r="B425" i="37"/>
  <c r="B426" i="37"/>
  <c r="B427" i="37"/>
  <c r="B428" i="37"/>
  <c r="B429" i="37"/>
  <c r="B430" i="37"/>
  <c r="B431" i="37"/>
  <c r="B432" i="37"/>
  <c r="B433" i="37"/>
  <c r="B434" i="37"/>
  <c r="B435" i="37"/>
  <c r="B436" i="37"/>
  <c r="B437" i="37"/>
  <c r="B438" i="37"/>
  <c r="B439" i="37"/>
  <c r="B440" i="37"/>
  <c r="B441" i="37"/>
  <c r="B442" i="37"/>
  <c r="B443" i="37"/>
  <c r="B444" i="37"/>
  <c r="B445" i="37"/>
  <c r="B446" i="37"/>
  <c r="B447" i="37"/>
  <c r="B448" i="37"/>
  <c r="B449" i="37"/>
  <c r="B450" i="37"/>
  <c r="B451" i="37"/>
  <c r="B452" i="37"/>
  <c r="B453" i="37"/>
  <c r="B454" i="37"/>
  <c r="B455" i="37"/>
  <c r="B456" i="37"/>
  <c r="B457" i="37"/>
  <c r="B458" i="37"/>
  <c r="B459" i="37"/>
  <c r="B460" i="37"/>
  <c r="B461" i="37"/>
  <c r="B462" i="37"/>
  <c r="B463" i="37"/>
  <c r="B464" i="37"/>
  <c r="B465" i="37"/>
  <c r="B466" i="37"/>
  <c r="B467" i="37"/>
  <c r="B468" i="37"/>
  <c r="B469" i="37"/>
  <c r="B470" i="37"/>
  <c r="B471" i="37"/>
  <c r="B472" i="37"/>
  <c r="B473" i="37"/>
  <c r="B474" i="37"/>
  <c r="B475" i="37"/>
  <c r="B476" i="37"/>
  <c r="B477" i="37"/>
  <c r="B478" i="37"/>
  <c r="B479" i="37"/>
  <c r="B480" i="37"/>
  <c r="B481" i="37"/>
  <c r="B482" i="37"/>
  <c r="B483" i="37"/>
  <c r="B484" i="37"/>
  <c r="B485" i="37"/>
  <c r="B486" i="37"/>
  <c r="B487" i="37"/>
  <c r="B488" i="37"/>
  <c r="B489" i="37"/>
  <c r="B490" i="37"/>
  <c r="B491" i="37"/>
  <c r="B492" i="37"/>
  <c r="B493" i="37"/>
  <c r="B494" i="37"/>
  <c r="B495" i="37"/>
  <c r="B496" i="37"/>
  <c r="B497" i="37"/>
  <c r="B498" i="37"/>
  <c r="B499" i="37"/>
  <c r="B500" i="37"/>
  <c r="B501" i="37"/>
  <c r="B502" i="37"/>
  <c r="B503" i="37"/>
  <c r="B504" i="37"/>
  <c r="B505" i="37"/>
  <c r="B506" i="37"/>
  <c r="B507" i="37"/>
  <c r="B508" i="37"/>
  <c r="B509" i="37"/>
  <c r="B510" i="37"/>
  <c r="B511" i="37"/>
  <c r="B512" i="37"/>
  <c r="B513" i="37"/>
  <c r="B514" i="37"/>
  <c r="B515" i="37"/>
  <c r="B516" i="37"/>
  <c r="B517" i="37"/>
  <c r="B518" i="37"/>
  <c r="B519" i="37"/>
  <c r="B520" i="37"/>
  <c r="B521" i="37"/>
  <c r="B522" i="37"/>
  <c r="B523" i="37"/>
  <c r="B524" i="37"/>
  <c r="B525" i="37"/>
  <c r="B526" i="37"/>
  <c r="B527" i="37"/>
  <c r="B528" i="37"/>
  <c r="B529" i="37"/>
  <c r="B530" i="37"/>
  <c r="B531" i="37"/>
  <c r="B532" i="37"/>
  <c r="B533" i="37"/>
  <c r="B534" i="37"/>
  <c r="B535" i="37"/>
  <c r="B536" i="37"/>
  <c r="B537" i="37"/>
  <c r="B538" i="37"/>
  <c r="B539" i="37"/>
  <c r="B540" i="37"/>
  <c r="B541" i="37"/>
  <c r="B542" i="37"/>
  <c r="B543" i="37"/>
  <c r="B544" i="37"/>
  <c r="B545" i="37"/>
  <c r="B546" i="37"/>
  <c r="B547" i="37"/>
  <c r="B548" i="37"/>
  <c r="B549" i="37"/>
  <c r="B550" i="37"/>
  <c r="B551" i="37"/>
  <c r="B552" i="37"/>
  <c r="B553" i="37"/>
  <c r="B554" i="37"/>
  <c r="B555" i="37"/>
  <c r="B556" i="37"/>
  <c r="B557" i="37"/>
  <c r="B558" i="37"/>
  <c r="B559" i="37"/>
  <c r="B560" i="37"/>
  <c r="B561" i="37"/>
  <c r="B562" i="37"/>
  <c r="B563" i="37"/>
  <c r="B564" i="37"/>
  <c r="B565" i="37"/>
  <c r="B566" i="37"/>
  <c r="B567" i="37"/>
  <c r="B568" i="37"/>
  <c r="B569" i="37"/>
  <c r="B570" i="37"/>
  <c r="B571" i="37"/>
  <c r="B572" i="37"/>
  <c r="B573" i="37"/>
  <c r="B574" i="37"/>
  <c r="B575" i="37"/>
  <c r="B576" i="37"/>
  <c r="B577" i="37"/>
  <c r="B578" i="37"/>
  <c r="B579" i="37"/>
  <c r="B580" i="37"/>
  <c r="B581" i="37"/>
  <c r="B582" i="37"/>
  <c r="B583" i="37"/>
  <c r="B584" i="37"/>
  <c r="B585" i="37"/>
  <c r="B586" i="37"/>
  <c r="B587" i="37"/>
  <c r="B588" i="37"/>
  <c r="B589" i="37"/>
  <c r="B590" i="37"/>
  <c r="B591" i="37"/>
  <c r="B592" i="37"/>
  <c r="B593" i="37"/>
  <c r="B594" i="37"/>
  <c r="B595" i="37"/>
  <c r="B596" i="37"/>
  <c r="B597" i="37"/>
  <c r="B598" i="37"/>
  <c r="B599" i="37"/>
  <c r="B600" i="37"/>
  <c r="B601" i="37"/>
  <c r="B602" i="37"/>
  <c r="B603" i="37"/>
  <c r="B604" i="37"/>
  <c r="B605" i="37"/>
  <c r="B606" i="37"/>
  <c r="B607" i="37"/>
  <c r="B608" i="37"/>
  <c r="B609" i="37"/>
  <c r="B610" i="37"/>
  <c r="B611" i="37"/>
  <c r="B612" i="37"/>
  <c r="B613" i="37"/>
  <c r="B614" i="37"/>
  <c r="B615" i="37"/>
  <c r="B616" i="37"/>
  <c r="B617" i="37"/>
  <c r="B618" i="37"/>
  <c r="B619" i="37"/>
  <c r="B620" i="37"/>
  <c r="B621" i="37"/>
  <c r="B622" i="37"/>
  <c r="B623" i="37"/>
  <c r="B624" i="37"/>
  <c r="B625" i="37"/>
  <c r="B626" i="37"/>
  <c r="B627" i="37"/>
  <c r="B628" i="37"/>
  <c r="B629" i="37"/>
  <c r="B630" i="37"/>
  <c r="B631" i="37"/>
  <c r="B632" i="37"/>
  <c r="B633" i="37"/>
  <c r="B634" i="37"/>
  <c r="B635" i="37"/>
  <c r="B636" i="37"/>
  <c r="B637" i="37"/>
  <c r="B638" i="37"/>
  <c r="B639" i="37"/>
  <c r="B640" i="37"/>
  <c r="B641" i="37"/>
  <c r="B642" i="37"/>
  <c r="B643" i="37"/>
  <c r="B644" i="37"/>
  <c r="B645" i="37"/>
  <c r="B646" i="37"/>
  <c r="B647" i="37"/>
  <c r="B648" i="37"/>
  <c r="B649" i="37"/>
  <c r="B650" i="37"/>
  <c r="B651" i="37"/>
  <c r="B652" i="37"/>
  <c r="B653" i="37"/>
  <c r="B654" i="37"/>
  <c r="B655" i="37"/>
  <c r="B656" i="37"/>
  <c r="B657" i="37"/>
  <c r="B658" i="37"/>
  <c r="B659" i="37"/>
  <c r="B660" i="37"/>
  <c r="B661" i="37"/>
  <c r="B662" i="37"/>
  <c r="B663" i="37"/>
  <c r="B664" i="37"/>
  <c r="B665" i="37"/>
  <c r="B666" i="37"/>
  <c r="B667" i="37"/>
  <c r="B668" i="37"/>
  <c r="B669" i="37"/>
  <c r="B670" i="37"/>
  <c r="B671" i="37"/>
  <c r="B672" i="37"/>
  <c r="B673" i="37"/>
  <c r="B674" i="37"/>
  <c r="B675" i="37"/>
  <c r="B676" i="37"/>
  <c r="B677" i="37"/>
  <c r="B678" i="37"/>
  <c r="B679" i="37"/>
  <c r="B680" i="37"/>
  <c r="B681" i="37"/>
  <c r="B682" i="37"/>
  <c r="B683" i="37"/>
  <c r="B684" i="37"/>
  <c r="B685" i="37"/>
  <c r="B686" i="37"/>
  <c r="B687" i="37"/>
  <c r="B688" i="37"/>
  <c r="B689" i="37"/>
  <c r="B690" i="37"/>
  <c r="B691" i="37"/>
  <c r="B692" i="37"/>
  <c r="B693" i="37"/>
  <c r="B694" i="37"/>
  <c r="B695" i="37"/>
  <c r="B696" i="37"/>
  <c r="B697" i="37"/>
  <c r="B698" i="37"/>
  <c r="B699" i="37"/>
  <c r="B700" i="37"/>
  <c r="B701" i="37"/>
  <c r="B702" i="37"/>
  <c r="B703" i="37"/>
  <c r="B704" i="37"/>
  <c r="B705" i="37"/>
  <c r="B706" i="37"/>
  <c r="B707" i="37"/>
  <c r="B708" i="37"/>
  <c r="B709" i="37"/>
  <c r="B710" i="37"/>
  <c r="B711" i="37"/>
  <c r="B712" i="37"/>
  <c r="B713" i="37"/>
  <c r="B714" i="37"/>
  <c r="B715" i="37"/>
  <c r="B716" i="37"/>
  <c r="B717" i="37"/>
  <c r="B718" i="37"/>
  <c r="B719" i="37"/>
  <c r="B720" i="37"/>
  <c r="B721" i="37"/>
  <c r="B722" i="37"/>
  <c r="B723" i="37"/>
  <c r="B724" i="37"/>
  <c r="B725" i="37"/>
  <c r="B726" i="37"/>
  <c r="B727" i="37"/>
  <c r="B728" i="37"/>
  <c r="B729" i="37"/>
  <c r="B730" i="37"/>
  <c r="B731" i="37"/>
  <c r="B732" i="37"/>
  <c r="B733" i="37"/>
  <c r="B734" i="37"/>
  <c r="B735" i="37"/>
  <c r="B736" i="37"/>
  <c r="B737" i="37"/>
  <c r="B738" i="37"/>
  <c r="B739" i="37"/>
  <c r="B740" i="37"/>
  <c r="B741" i="37"/>
  <c r="B742" i="37"/>
  <c r="B743" i="37"/>
  <c r="B744" i="37"/>
  <c r="B745" i="37"/>
  <c r="B746" i="37"/>
  <c r="B747" i="37"/>
  <c r="B748" i="37"/>
  <c r="B749" i="37"/>
  <c r="B750" i="37"/>
  <c r="B751" i="37"/>
  <c r="B752" i="37"/>
  <c r="B753" i="37"/>
  <c r="B754" i="37"/>
  <c r="B755" i="37"/>
  <c r="B756" i="37"/>
  <c r="B757" i="37"/>
  <c r="B758" i="37"/>
  <c r="B759" i="37"/>
  <c r="B760" i="37"/>
  <c r="B761" i="37"/>
  <c r="B762" i="37"/>
  <c r="B763" i="37"/>
  <c r="B764" i="37"/>
  <c r="B765" i="37"/>
  <c r="B766" i="37"/>
  <c r="B767" i="37"/>
  <c r="B768" i="37"/>
  <c r="B769" i="37"/>
  <c r="B770" i="37"/>
  <c r="B771" i="37"/>
  <c r="B772" i="37"/>
  <c r="B773" i="37"/>
  <c r="B774" i="37"/>
  <c r="B775" i="37"/>
  <c r="B776" i="37"/>
  <c r="B777" i="37"/>
  <c r="B778" i="37"/>
  <c r="B779" i="37"/>
  <c r="B780" i="37"/>
  <c r="B781" i="37"/>
  <c r="B782" i="37"/>
  <c r="B783" i="37"/>
  <c r="B784" i="37"/>
  <c r="B785" i="37"/>
  <c r="B786" i="37"/>
  <c r="B787" i="37"/>
  <c r="B788" i="37"/>
  <c r="B789" i="37"/>
  <c r="B790" i="37"/>
  <c r="B791" i="37"/>
  <c r="B792" i="37"/>
  <c r="B793" i="37"/>
  <c r="B794" i="37"/>
  <c r="B795" i="37"/>
  <c r="B796" i="37"/>
  <c r="B797" i="37"/>
  <c r="B798" i="37"/>
  <c r="B799" i="37"/>
  <c r="B800" i="37"/>
  <c r="B801" i="37"/>
  <c r="B802" i="37"/>
  <c r="B803" i="37"/>
  <c r="B804" i="37"/>
  <c r="B805" i="37"/>
  <c r="B806" i="37"/>
  <c r="B807" i="37"/>
  <c r="B808" i="37"/>
  <c r="B809" i="37"/>
  <c r="B810" i="37"/>
  <c r="B811" i="37"/>
  <c r="B812" i="37"/>
  <c r="B813" i="37"/>
  <c r="B814" i="37"/>
  <c r="B815" i="37"/>
  <c r="B816" i="37"/>
  <c r="B817" i="37"/>
  <c r="B818" i="37"/>
  <c r="B819" i="37"/>
  <c r="B820" i="37"/>
  <c r="B821" i="37"/>
  <c r="B822" i="37"/>
  <c r="B823" i="37"/>
  <c r="B824" i="37"/>
  <c r="B825" i="37"/>
  <c r="B826" i="37"/>
  <c r="B827" i="37"/>
  <c r="B828" i="37"/>
  <c r="B829" i="37"/>
  <c r="B830" i="37"/>
  <c r="B831" i="37"/>
  <c r="B832" i="37"/>
  <c r="B833" i="37"/>
  <c r="B834" i="37"/>
  <c r="B835" i="37"/>
  <c r="B836" i="37"/>
  <c r="B837" i="37"/>
  <c r="B838" i="37"/>
  <c r="B839" i="37"/>
  <c r="B840" i="37"/>
  <c r="B841" i="37"/>
  <c r="B842" i="37"/>
  <c r="B843" i="37"/>
  <c r="B844" i="37"/>
  <c r="B845" i="37"/>
  <c r="B846" i="37"/>
  <c r="B847" i="37"/>
  <c r="B848" i="37"/>
  <c r="B849" i="37"/>
  <c r="B850" i="37"/>
  <c r="B851" i="37"/>
  <c r="B852" i="37"/>
  <c r="B853" i="37"/>
  <c r="B854" i="37"/>
  <c r="B855" i="37"/>
  <c r="B856" i="37"/>
  <c r="B857" i="37"/>
  <c r="B858" i="37"/>
  <c r="B859" i="37"/>
  <c r="B860" i="37"/>
  <c r="B861" i="37"/>
  <c r="B862" i="37"/>
  <c r="B863" i="37"/>
  <c r="B864" i="37"/>
  <c r="B865" i="37"/>
  <c r="B866" i="37"/>
  <c r="B867" i="37"/>
  <c r="B868" i="37"/>
  <c r="B869" i="37"/>
  <c r="B870" i="37"/>
  <c r="B871" i="37"/>
  <c r="B872" i="37"/>
  <c r="B873" i="37"/>
  <c r="B874" i="37"/>
  <c r="B875" i="37"/>
  <c r="B876" i="37"/>
  <c r="B877" i="37"/>
  <c r="B878" i="37"/>
  <c r="B879" i="37"/>
  <c r="B880" i="37"/>
  <c r="B881" i="37"/>
  <c r="B882" i="37"/>
  <c r="B883" i="37"/>
  <c r="B884" i="37"/>
  <c r="B885" i="37"/>
  <c r="B886" i="37"/>
  <c r="B887" i="37"/>
  <c r="B888" i="37"/>
  <c r="B889" i="37"/>
  <c r="B890" i="37"/>
  <c r="B891" i="37"/>
  <c r="B892" i="37"/>
  <c r="B893" i="37"/>
  <c r="B894" i="37"/>
  <c r="B895" i="37"/>
  <c r="B896" i="37"/>
  <c r="B897" i="37"/>
  <c r="B898" i="37"/>
  <c r="B899" i="37"/>
  <c r="B900" i="37"/>
  <c r="B901" i="37"/>
  <c r="B902" i="37"/>
  <c r="B903" i="37"/>
  <c r="B904" i="37"/>
  <c r="B905" i="37"/>
  <c r="B906" i="37"/>
  <c r="B907" i="37"/>
  <c r="B908" i="37"/>
  <c r="B909" i="37"/>
  <c r="B910" i="37"/>
  <c r="B911" i="37"/>
  <c r="B912" i="37"/>
  <c r="B913" i="37"/>
  <c r="B914" i="37"/>
  <c r="B915" i="37"/>
  <c r="B916" i="37"/>
  <c r="B917" i="37"/>
  <c r="B918" i="37"/>
  <c r="B919" i="37"/>
  <c r="B920" i="37"/>
  <c r="B921" i="37"/>
  <c r="B922" i="37"/>
  <c r="B923" i="37"/>
  <c r="B924" i="37"/>
  <c r="B925" i="37"/>
  <c r="B926" i="37"/>
  <c r="B927" i="37"/>
  <c r="B928" i="37"/>
  <c r="B929" i="37"/>
  <c r="B930" i="37"/>
  <c r="B931" i="37"/>
  <c r="B932" i="37"/>
  <c r="B933" i="37"/>
  <c r="B934" i="37"/>
  <c r="B935" i="37"/>
  <c r="B936" i="37"/>
  <c r="B937" i="37"/>
  <c r="B938" i="37"/>
  <c r="B939" i="37"/>
  <c r="B940" i="37"/>
  <c r="B941" i="37"/>
  <c r="B942" i="37"/>
  <c r="B943" i="37"/>
  <c r="B944" i="37"/>
  <c r="B945" i="37"/>
  <c r="B946" i="37"/>
  <c r="B947" i="37"/>
  <c r="B948" i="37"/>
  <c r="B949" i="37"/>
  <c r="B950" i="37"/>
  <c r="B951" i="37"/>
  <c r="B952" i="37"/>
  <c r="B953" i="37"/>
  <c r="B954" i="37"/>
  <c r="B955" i="37"/>
  <c r="B956" i="37"/>
  <c r="B957" i="37"/>
  <c r="B958" i="37"/>
  <c r="B959" i="37"/>
  <c r="B960" i="37"/>
  <c r="B961" i="37"/>
  <c r="B962" i="37"/>
  <c r="B963" i="37"/>
  <c r="B964" i="37"/>
  <c r="B965" i="37"/>
  <c r="B966" i="37"/>
  <c r="B967" i="37"/>
  <c r="B968" i="37"/>
  <c r="B969" i="37"/>
  <c r="B970" i="37"/>
  <c r="B971" i="37"/>
  <c r="B972" i="37"/>
  <c r="B973" i="37"/>
  <c r="B974" i="37"/>
  <c r="B975" i="37"/>
  <c r="B976" i="37"/>
  <c r="B977" i="37"/>
  <c r="B978" i="37"/>
  <c r="B979" i="37"/>
  <c r="B980" i="37"/>
  <c r="B981" i="37"/>
  <c r="B982" i="37"/>
  <c r="B983" i="37"/>
  <c r="B984" i="37"/>
  <c r="B985" i="37"/>
  <c r="B986" i="37"/>
  <c r="B987" i="37"/>
  <c r="B988" i="37"/>
  <c r="B989" i="37"/>
  <c r="B990" i="37"/>
  <c r="B991" i="37"/>
  <c r="B992" i="37"/>
  <c r="B993" i="37"/>
  <c r="B994" i="37"/>
  <c r="B995" i="37"/>
  <c r="B996" i="37"/>
  <c r="B997" i="37"/>
  <c r="B998" i="37"/>
  <c r="B999" i="37"/>
  <c r="B1000" i="37"/>
  <c r="B1001" i="37"/>
  <c r="B1002" i="37"/>
  <c r="B1003" i="37"/>
  <c r="B1004" i="37"/>
  <c r="B1005" i="37"/>
  <c r="B1006" i="37"/>
  <c r="B1007" i="37"/>
  <c r="B1008" i="37"/>
  <c r="B1009" i="37"/>
  <c r="B1010" i="37"/>
  <c r="B2" i="36"/>
  <c r="B3" i="36"/>
  <c r="B4" i="36"/>
  <c r="B5" i="36"/>
  <c r="B6" i="36"/>
  <c r="B7" i="36"/>
  <c r="B8" i="36"/>
  <c r="B9" i="36"/>
  <c r="B10" i="36"/>
  <c r="B11" i="36"/>
  <c r="B12" i="36"/>
  <c r="B13" i="36"/>
  <c r="B14" i="36"/>
  <c r="B15" i="36"/>
  <c r="B16" i="36"/>
  <c r="B17" i="36"/>
  <c r="B18" i="36"/>
  <c r="B19" i="36"/>
  <c r="B20" i="36"/>
  <c r="B21" i="36"/>
  <c r="B22" i="36"/>
  <c r="B23" i="36"/>
  <c r="B24" i="36"/>
  <c r="B25" i="36"/>
  <c r="B26" i="36"/>
  <c r="B27" i="36"/>
  <c r="B28" i="36"/>
  <c r="B29" i="36"/>
  <c r="B30" i="36"/>
  <c r="B31" i="36"/>
  <c r="B32" i="36"/>
  <c r="B33" i="36"/>
  <c r="B34" i="36"/>
  <c r="B35" i="36"/>
  <c r="B36" i="36"/>
  <c r="B37" i="36"/>
  <c r="B38" i="36"/>
  <c r="B39" i="36"/>
  <c r="B40" i="36"/>
  <c r="B41" i="36"/>
  <c r="B42" i="36"/>
  <c r="B43" i="36"/>
  <c r="B44" i="36"/>
  <c r="B45" i="36"/>
  <c r="B46" i="36"/>
  <c r="B47" i="36"/>
  <c r="B48" i="36"/>
  <c r="B49" i="36"/>
  <c r="B50" i="36"/>
  <c r="B51" i="36"/>
  <c r="B52" i="36"/>
  <c r="B53" i="36"/>
  <c r="B54" i="36"/>
  <c r="B55" i="36"/>
  <c r="B56" i="36"/>
  <c r="B57" i="36"/>
  <c r="B58" i="36"/>
  <c r="B59" i="36"/>
  <c r="B60" i="36"/>
  <c r="B61" i="36"/>
  <c r="B62" i="36"/>
  <c r="B63" i="36"/>
  <c r="B64" i="36"/>
  <c r="B65" i="36"/>
  <c r="B66" i="36"/>
  <c r="B67" i="36"/>
  <c r="B68" i="36"/>
  <c r="B69" i="36"/>
  <c r="B70" i="36"/>
  <c r="B71" i="36"/>
  <c r="B72" i="36"/>
  <c r="B73" i="36"/>
  <c r="B74" i="36"/>
  <c r="B75" i="36"/>
  <c r="B76" i="36"/>
  <c r="B77" i="36"/>
  <c r="B78" i="36"/>
  <c r="B79" i="36"/>
  <c r="B80" i="36"/>
  <c r="B81" i="36"/>
  <c r="B82" i="36"/>
  <c r="B83" i="36"/>
  <c r="B84" i="36"/>
  <c r="B85" i="36"/>
  <c r="B86" i="36"/>
  <c r="B87" i="36"/>
  <c r="B88" i="36"/>
  <c r="B89" i="36"/>
  <c r="B90" i="36"/>
  <c r="B91" i="36"/>
  <c r="B92" i="36"/>
  <c r="B93" i="36"/>
  <c r="B94" i="36"/>
  <c r="B95" i="36"/>
  <c r="B96" i="36"/>
  <c r="B97" i="36"/>
  <c r="B98" i="36"/>
  <c r="B99" i="36"/>
  <c r="B100" i="36"/>
  <c r="B101" i="36"/>
  <c r="B102" i="36"/>
  <c r="B103" i="36"/>
  <c r="B104" i="36"/>
  <c r="B105" i="36"/>
  <c r="B106" i="36"/>
  <c r="B107" i="36"/>
  <c r="B108" i="36"/>
  <c r="B109" i="36"/>
  <c r="B110" i="36"/>
  <c r="B111" i="36"/>
  <c r="B112" i="36"/>
  <c r="B113" i="36"/>
  <c r="B114" i="36"/>
  <c r="B115" i="36"/>
  <c r="B116" i="36"/>
  <c r="B117" i="36"/>
  <c r="B118" i="36"/>
  <c r="B119" i="36"/>
  <c r="B120" i="36"/>
  <c r="B121" i="36"/>
  <c r="B122" i="36"/>
  <c r="B123" i="36"/>
  <c r="B124" i="36"/>
  <c r="B125" i="36"/>
  <c r="B126" i="36"/>
  <c r="B127" i="36"/>
  <c r="B128" i="36"/>
  <c r="B129" i="36"/>
  <c r="B130" i="36"/>
  <c r="B131" i="36"/>
  <c r="B132" i="36"/>
  <c r="B133" i="36"/>
  <c r="B134" i="36"/>
  <c r="B135" i="36"/>
  <c r="B136" i="36"/>
  <c r="B137" i="36"/>
  <c r="B138" i="36"/>
  <c r="B139" i="36"/>
  <c r="B140" i="36"/>
  <c r="B141" i="36"/>
  <c r="B142" i="36"/>
  <c r="B143" i="36"/>
  <c r="B144" i="36"/>
  <c r="B145" i="36"/>
  <c r="B146" i="36"/>
  <c r="B147" i="36"/>
  <c r="B148" i="36"/>
  <c r="B149" i="36"/>
  <c r="B150" i="36"/>
  <c r="B151" i="36"/>
  <c r="B152" i="36"/>
  <c r="B153" i="36"/>
  <c r="B154" i="36"/>
  <c r="B155" i="36"/>
  <c r="B156" i="36"/>
  <c r="B157" i="36"/>
  <c r="B158" i="36"/>
  <c r="B159" i="36"/>
  <c r="B160" i="36"/>
  <c r="B161" i="36"/>
  <c r="B162" i="36"/>
  <c r="B163" i="36"/>
  <c r="B164" i="36"/>
  <c r="B165" i="36"/>
  <c r="B166" i="36"/>
  <c r="B167" i="36"/>
  <c r="B168" i="36"/>
  <c r="B169" i="36"/>
  <c r="B170" i="36"/>
  <c r="B171" i="36"/>
  <c r="B172" i="36"/>
  <c r="B173" i="36"/>
  <c r="B174" i="36"/>
  <c r="B175" i="36"/>
  <c r="B176" i="36"/>
  <c r="B177" i="36"/>
  <c r="B178" i="36"/>
  <c r="B179" i="36"/>
  <c r="B180" i="36"/>
  <c r="B181" i="36"/>
  <c r="B182" i="36"/>
  <c r="B183" i="36"/>
  <c r="B184" i="36"/>
  <c r="B185" i="36"/>
  <c r="B186" i="36"/>
  <c r="B187" i="36"/>
  <c r="B188" i="36"/>
  <c r="B189" i="36"/>
  <c r="B190" i="36"/>
  <c r="B191" i="36"/>
  <c r="B192" i="36"/>
  <c r="B193" i="36"/>
  <c r="B194" i="36"/>
  <c r="B195" i="36"/>
  <c r="B196" i="36"/>
  <c r="B197" i="36"/>
  <c r="B198" i="36"/>
  <c r="B199" i="36"/>
  <c r="B200" i="36"/>
  <c r="B201" i="36"/>
  <c r="B202" i="36"/>
  <c r="B203" i="36"/>
  <c r="B204" i="36"/>
  <c r="B205" i="36"/>
  <c r="B206" i="36"/>
  <c r="B207" i="36"/>
  <c r="B208" i="36"/>
  <c r="B209" i="36"/>
  <c r="B210" i="36"/>
  <c r="B211" i="36"/>
  <c r="B212" i="36"/>
  <c r="B213" i="36"/>
  <c r="B214" i="36"/>
  <c r="B215" i="36"/>
  <c r="B216" i="36"/>
  <c r="B217" i="36"/>
  <c r="B218" i="36"/>
  <c r="B219" i="36"/>
  <c r="B220" i="36"/>
  <c r="B221" i="36"/>
  <c r="B222" i="36"/>
  <c r="B223" i="36"/>
  <c r="B224" i="36"/>
  <c r="B225" i="36"/>
  <c r="B226" i="36"/>
  <c r="B227" i="36"/>
  <c r="B228" i="36"/>
  <c r="B229" i="36"/>
  <c r="B230" i="36"/>
  <c r="B231" i="36"/>
  <c r="B232" i="36"/>
  <c r="B233" i="36"/>
  <c r="B234" i="36"/>
  <c r="B235" i="36"/>
  <c r="B236" i="36"/>
  <c r="B237" i="36"/>
  <c r="B238" i="36"/>
  <c r="B239" i="36"/>
  <c r="B240" i="36"/>
  <c r="B241" i="36"/>
  <c r="B242" i="36"/>
  <c r="B243" i="36"/>
  <c r="B244" i="36"/>
  <c r="B245" i="36"/>
  <c r="B246" i="36"/>
  <c r="B247" i="36"/>
  <c r="B248" i="36"/>
  <c r="B249" i="36"/>
  <c r="B250" i="36"/>
  <c r="B251" i="36"/>
  <c r="B252" i="36"/>
  <c r="B253" i="36"/>
  <c r="B254" i="36"/>
  <c r="B255" i="36"/>
  <c r="B256" i="36"/>
  <c r="B257" i="36"/>
  <c r="B258" i="36"/>
  <c r="B259" i="36"/>
  <c r="B260" i="36"/>
  <c r="B261" i="36"/>
  <c r="B262" i="36"/>
  <c r="B263" i="36"/>
  <c r="B264" i="36"/>
  <c r="B265" i="36"/>
  <c r="B266" i="36"/>
  <c r="B267" i="36"/>
  <c r="B268" i="36"/>
  <c r="B269" i="36"/>
  <c r="B270" i="36"/>
  <c r="B271" i="36"/>
  <c r="B272" i="36"/>
  <c r="B273" i="36"/>
  <c r="B274" i="36"/>
  <c r="B275" i="36"/>
  <c r="B276" i="36"/>
  <c r="B277" i="36"/>
  <c r="B278" i="36"/>
  <c r="B279" i="36"/>
  <c r="B280" i="36"/>
  <c r="B281" i="36"/>
  <c r="B282" i="36"/>
  <c r="B283" i="36"/>
  <c r="B284" i="36"/>
  <c r="B285" i="36"/>
  <c r="B286" i="36"/>
  <c r="B287" i="36"/>
  <c r="B288" i="36"/>
  <c r="B289" i="36"/>
  <c r="B290" i="36"/>
  <c r="B291" i="36"/>
  <c r="B292" i="36"/>
  <c r="B293" i="36"/>
  <c r="B294" i="36"/>
  <c r="B295" i="36"/>
  <c r="B296" i="36"/>
  <c r="B297" i="36"/>
  <c r="B298" i="36"/>
  <c r="B299" i="36"/>
  <c r="B300" i="36"/>
  <c r="B301" i="36"/>
  <c r="B302" i="36"/>
  <c r="B303" i="36"/>
  <c r="B304" i="36"/>
  <c r="B305" i="36"/>
  <c r="B306" i="36"/>
  <c r="B307" i="36"/>
  <c r="B308" i="36"/>
  <c r="B309" i="36"/>
  <c r="B310" i="36"/>
  <c r="B311" i="36"/>
  <c r="B312" i="36"/>
  <c r="B313" i="36"/>
  <c r="B314" i="36"/>
  <c r="B315" i="36"/>
  <c r="B316" i="36"/>
  <c r="B317" i="36"/>
  <c r="B318" i="36"/>
  <c r="B319" i="36"/>
  <c r="B320" i="36"/>
  <c r="B321" i="36"/>
  <c r="B322" i="36"/>
  <c r="B323" i="36"/>
  <c r="B324" i="36"/>
  <c r="B325" i="36"/>
  <c r="B326" i="36"/>
  <c r="B327" i="36"/>
  <c r="B328" i="36"/>
  <c r="B329" i="36"/>
  <c r="B330" i="36"/>
  <c r="B331" i="36"/>
  <c r="B332" i="36"/>
  <c r="B333" i="36"/>
  <c r="B334" i="36"/>
  <c r="B335" i="36"/>
  <c r="B336" i="36"/>
  <c r="B337" i="36"/>
  <c r="B338" i="36"/>
  <c r="B339" i="36"/>
  <c r="B340" i="36"/>
  <c r="B341" i="36"/>
  <c r="B342" i="36"/>
  <c r="B343" i="36"/>
  <c r="B344" i="36"/>
  <c r="B345" i="36"/>
  <c r="B346" i="36"/>
  <c r="B347" i="36"/>
  <c r="B348" i="36"/>
  <c r="B349" i="36"/>
  <c r="B350" i="36"/>
  <c r="B351" i="36"/>
  <c r="B352" i="36"/>
  <c r="B353" i="36"/>
  <c r="B354" i="36"/>
  <c r="B355" i="36"/>
  <c r="B356" i="36"/>
  <c r="B357" i="36"/>
  <c r="B358" i="36"/>
  <c r="B359" i="36"/>
  <c r="B360" i="36"/>
  <c r="B361" i="36"/>
  <c r="B362" i="36"/>
  <c r="B363" i="36"/>
  <c r="B364" i="36"/>
  <c r="B365" i="36"/>
  <c r="B366" i="36"/>
  <c r="B367" i="36"/>
  <c r="B368" i="36"/>
  <c r="B369" i="36"/>
  <c r="B370" i="36"/>
  <c r="B371" i="36"/>
  <c r="B372" i="36"/>
  <c r="B373" i="36"/>
  <c r="B374" i="36"/>
  <c r="B375" i="36"/>
  <c r="B376" i="36"/>
  <c r="B377" i="36"/>
  <c r="B378" i="36"/>
  <c r="B379" i="36"/>
  <c r="B380" i="36"/>
  <c r="B381" i="36"/>
  <c r="B382" i="36"/>
  <c r="B383" i="36"/>
  <c r="B384" i="36"/>
  <c r="B385" i="36"/>
  <c r="B386" i="36"/>
  <c r="B387" i="36"/>
  <c r="B388" i="36"/>
  <c r="B389" i="36"/>
  <c r="B390" i="36"/>
  <c r="B391" i="36"/>
  <c r="B392" i="36"/>
  <c r="B393" i="36"/>
  <c r="B394" i="36"/>
  <c r="B395" i="36"/>
  <c r="B396" i="36"/>
  <c r="B397" i="36"/>
  <c r="B398" i="36"/>
  <c r="B399" i="36"/>
  <c r="B400" i="36"/>
  <c r="B401" i="36"/>
  <c r="B402" i="36"/>
  <c r="B403" i="36"/>
  <c r="B404" i="36"/>
  <c r="B405" i="36"/>
  <c r="B406" i="36"/>
  <c r="B407" i="36"/>
  <c r="B408" i="36"/>
  <c r="B409" i="36"/>
  <c r="B410" i="36"/>
  <c r="B411" i="36"/>
  <c r="B412" i="36"/>
  <c r="B413" i="36"/>
  <c r="B414" i="36"/>
  <c r="B415" i="36"/>
  <c r="B416" i="36"/>
  <c r="B417" i="36"/>
  <c r="B418" i="36"/>
  <c r="B419" i="36"/>
  <c r="B420" i="36"/>
  <c r="B421" i="36"/>
  <c r="B422" i="36"/>
  <c r="B423" i="36"/>
  <c r="B424" i="36"/>
  <c r="B425" i="36"/>
  <c r="B426" i="36"/>
  <c r="B427" i="36"/>
  <c r="B428" i="36"/>
  <c r="B429" i="36"/>
  <c r="B430" i="36"/>
  <c r="B431" i="36"/>
  <c r="B432" i="36"/>
  <c r="B433" i="36"/>
  <c r="B434" i="36"/>
  <c r="B435" i="36"/>
  <c r="B436" i="36"/>
  <c r="B437" i="36"/>
  <c r="B438" i="36"/>
  <c r="B439" i="36"/>
  <c r="B440" i="36"/>
  <c r="B441" i="36"/>
  <c r="B442" i="36"/>
  <c r="B443" i="36"/>
  <c r="B444" i="36"/>
  <c r="B445" i="36"/>
  <c r="B446" i="36"/>
  <c r="B447" i="36"/>
  <c r="B448" i="36"/>
  <c r="B449" i="36"/>
  <c r="B450" i="36"/>
  <c r="B451" i="36"/>
  <c r="B452" i="36"/>
  <c r="B453" i="36"/>
  <c r="B454" i="36"/>
  <c r="B455" i="36"/>
  <c r="B456" i="36"/>
  <c r="B457" i="36"/>
  <c r="B458" i="36"/>
  <c r="B459" i="36"/>
  <c r="B460" i="36"/>
  <c r="B461" i="36"/>
  <c r="B462" i="36"/>
  <c r="B463" i="36"/>
  <c r="B464" i="36"/>
  <c r="B465" i="36"/>
  <c r="B466" i="36"/>
  <c r="B467" i="36"/>
  <c r="B468" i="36"/>
  <c r="B469" i="36"/>
  <c r="B470" i="36"/>
  <c r="B471" i="36"/>
  <c r="B472" i="36"/>
  <c r="B473" i="36"/>
  <c r="B474" i="36"/>
  <c r="B475" i="36"/>
  <c r="B476" i="36"/>
  <c r="B477" i="36"/>
  <c r="B478" i="36"/>
  <c r="B479" i="36"/>
  <c r="B480" i="36"/>
  <c r="B481" i="36"/>
  <c r="B482" i="36"/>
  <c r="B483" i="36"/>
  <c r="B484" i="36"/>
  <c r="B485" i="36"/>
  <c r="B486" i="36"/>
  <c r="B487" i="36"/>
  <c r="B488" i="36"/>
  <c r="B489" i="36"/>
  <c r="B490" i="36"/>
  <c r="B491" i="36"/>
  <c r="B492" i="36"/>
  <c r="B493" i="36"/>
  <c r="B494" i="36"/>
  <c r="B495" i="36"/>
  <c r="B496" i="36"/>
  <c r="B497" i="36"/>
  <c r="B498" i="36"/>
  <c r="B499" i="36"/>
  <c r="B500" i="36"/>
  <c r="B501" i="36"/>
  <c r="B502" i="36"/>
  <c r="B503" i="36"/>
  <c r="B504" i="36"/>
  <c r="B505" i="36"/>
  <c r="B506" i="36"/>
  <c r="B507" i="36"/>
  <c r="B508" i="36"/>
  <c r="B509" i="36"/>
  <c r="B510" i="36"/>
  <c r="B511" i="36"/>
  <c r="B512" i="36"/>
  <c r="B513" i="36"/>
  <c r="B514" i="36"/>
  <c r="B515" i="36"/>
  <c r="B516" i="36"/>
  <c r="B517" i="36"/>
  <c r="B518" i="36"/>
  <c r="B519" i="36"/>
  <c r="B520" i="36"/>
  <c r="B521" i="36"/>
  <c r="B522" i="36"/>
  <c r="B523" i="36"/>
  <c r="B524" i="36"/>
  <c r="B525" i="36"/>
  <c r="B526" i="36"/>
  <c r="B527" i="36"/>
  <c r="B528" i="36"/>
  <c r="B529" i="36"/>
  <c r="B530" i="36"/>
  <c r="B531" i="36"/>
  <c r="B532" i="36"/>
  <c r="B533" i="36"/>
  <c r="B534" i="36"/>
  <c r="B535" i="36"/>
  <c r="B536" i="36"/>
  <c r="B537" i="36"/>
  <c r="B538" i="36"/>
  <c r="B539" i="36"/>
  <c r="B540" i="36"/>
  <c r="B541" i="36"/>
  <c r="B542" i="36"/>
  <c r="B543" i="36"/>
  <c r="B544" i="36"/>
  <c r="B545" i="36"/>
  <c r="B546" i="36"/>
  <c r="B547" i="36"/>
  <c r="B548" i="36"/>
  <c r="B549" i="36"/>
  <c r="B550" i="36"/>
  <c r="B551" i="36"/>
  <c r="B552" i="36"/>
  <c r="B553" i="36"/>
  <c r="B554" i="36"/>
  <c r="B555" i="36"/>
  <c r="B556" i="36"/>
  <c r="B557" i="36"/>
  <c r="B558" i="36"/>
  <c r="B559" i="36"/>
  <c r="B560" i="36"/>
  <c r="B561" i="36"/>
  <c r="B562" i="36"/>
  <c r="B563" i="36"/>
  <c r="B564" i="36"/>
  <c r="B565" i="36"/>
  <c r="B566" i="36"/>
  <c r="B567" i="36"/>
  <c r="B568" i="36"/>
  <c r="B569" i="36"/>
  <c r="B570" i="36"/>
  <c r="B571" i="36"/>
  <c r="B572" i="36"/>
  <c r="B573" i="36"/>
  <c r="B574" i="36"/>
  <c r="B575" i="36"/>
  <c r="B576" i="36"/>
  <c r="B577" i="36"/>
  <c r="B578" i="36"/>
  <c r="B579" i="36"/>
  <c r="B580" i="36"/>
  <c r="B581" i="36"/>
  <c r="B582" i="36"/>
  <c r="B583" i="36"/>
  <c r="B584" i="36"/>
  <c r="B585" i="36"/>
  <c r="B586" i="36"/>
  <c r="B587" i="36"/>
  <c r="B588" i="36"/>
  <c r="B589" i="36"/>
  <c r="B590" i="36"/>
  <c r="B591" i="36"/>
  <c r="B592" i="36"/>
  <c r="B593" i="36"/>
  <c r="B594" i="36"/>
  <c r="B595" i="36"/>
  <c r="B596" i="36"/>
  <c r="B597" i="36"/>
  <c r="B598" i="36"/>
  <c r="B599" i="36"/>
  <c r="B600" i="36"/>
  <c r="B601" i="36"/>
  <c r="B602" i="36"/>
  <c r="B603" i="36"/>
  <c r="B604" i="36"/>
  <c r="B605" i="36"/>
  <c r="B606" i="36"/>
  <c r="B607" i="36"/>
  <c r="B608" i="36"/>
  <c r="B609" i="36"/>
  <c r="B610" i="36"/>
  <c r="B611" i="36"/>
  <c r="B612" i="36"/>
  <c r="B613" i="36"/>
  <c r="B614" i="36"/>
  <c r="B615" i="36"/>
  <c r="B616" i="36"/>
  <c r="B617" i="36"/>
  <c r="B618" i="36"/>
  <c r="B619" i="36"/>
  <c r="B620" i="36"/>
  <c r="B621" i="36"/>
  <c r="B622" i="36"/>
  <c r="B623" i="36"/>
  <c r="B624" i="36"/>
  <c r="B625" i="36"/>
  <c r="B626" i="36"/>
  <c r="B627" i="36"/>
  <c r="B628" i="36"/>
  <c r="B629" i="36"/>
  <c r="B630" i="36"/>
  <c r="B631" i="36"/>
  <c r="B632" i="36"/>
  <c r="B633" i="36"/>
  <c r="B634" i="36"/>
  <c r="B635" i="36"/>
  <c r="B636" i="36"/>
  <c r="B637" i="36"/>
  <c r="B638" i="36"/>
  <c r="B639" i="36"/>
  <c r="B640" i="36"/>
  <c r="B641" i="36"/>
  <c r="B642" i="36"/>
  <c r="B643" i="36"/>
  <c r="B644" i="36"/>
  <c r="B645" i="36"/>
  <c r="B646" i="36"/>
  <c r="B647" i="36"/>
  <c r="B648" i="36"/>
  <c r="B649" i="36"/>
  <c r="B650" i="36"/>
  <c r="B651" i="36"/>
  <c r="B652" i="36"/>
  <c r="B653" i="36"/>
  <c r="B654" i="36"/>
  <c r="B655" i="36"/>
  <c r="B656" i="36"/>
  <c r="B657" i="36"/>
  <c r="B658" i="36"/>
  <c r="B659" i="36"/>
  <c r="B660" i="36"/>
  <c r="B661" i="36"/>
  <c r="B662" i="36"/>
  <c r="B663" i="36"/>
  <c r="B664" i="36"/>
  <c r="B665" i="36"/>
  <c r="B666" i="36"/>
  <c r="B667" i="36"/>
  <c r="B668" i="36"/>
  <c r="B669" i="36"/>
  <c r="B670" i="36"/>
  <c r="B671" i="36"/>
  <c r="B672" i="36"/>
  <c r="B673" i="36"/>
  <c r="B674" i="36"/>
  <c r="B675" i="36"/>
  <c r="B676" i="36"/>
  <c r="B677" i="36"/>
  <c r="B678" i="36"/>
  <c r="B679" i="36"/>
  <c r="B680" i="36"/>
  <c r="B681" i="36"/>
  <c r="B682" i="36"/>
  <c r="B683" i="36"/>
  <c r="B684" i="36"/>
  <c r="B685" i="36"/>
  <c r="B686" i="36"/>
  <c r="B687" i="36"/>
  <c r="B688" i="36"/>
  <c r="B689" i="36"/>
  <c r="B690" i="36"/>
  <c r="B691" i="36"/>
  <c r="B692" i="36"/>
  <c r="B693" i="36"/>
  <c r="B694" i="36"/>
  <c r="B695" i="36"/>
  <c r="B696" i="36"/>
  <c r="B697" i="36"/>
  <c r="B698" i="36"/>
  <c r="B699" i="36"/>
  <c r="B700" i="36"/>
  <c r="B701" i="36"/>
  <c r="B702" i="36"/>
  <c r="B703" i="36"/>
  <c r="B704" i="36"/>
  <c r="B705" i="36"/>
  <c r="B706" i="36"/>
  <c r="B707" i="36"/>
  <c r="B708" i="36"/>
  <c r="B709" i="36"/>
  <c r="B710" i="36"/>
  <c r="B711" i="36"/>
  <c r="B712" i="36"/>
  <c r="B713" i="36"/>
  <c r="B714" i="36"/>
  <c r="B715" i="36"/>
  <c r="B716" i="36"/>
  <c r="B717" i="36"/>
  <c r="B718" i="36"/>
  <c r="B719" i="36"/>
  <c r="B720" i="36"/>
  <c r="B721" i="36"/>
  <c r="B722" i="36"/>
  <c r="B723" i="36"/>
  <c r="B724" i="36"/>
  <c r="B725" i="36"/>
  <c r="B726" i="36"/>
  <c r="B727" i="36"/>
  <c r="B728" i="36"/>
  <c r="B729" i="36"/>
  <c r="B730" i="36"/>
  <c r="B731" i="36"/>
  <c r="B732" i="36"/>
  <c r="B733" i="36"/>
  <c r="B734" i="36"/>
  <c r="B735" i="36"/>
  <c r="B736" i="36"/>
  <c r="B737" i="36"/>
  <c r="B738" i="36"/>
  <c r="B739" i="36"/>
  <c r="B740" i="36"/>
  <c r="B741" i="36"/>
  <c r="B742" i="36"/>
  <c r="B743" i="36"/>
  <c r="B744" i="36"/>
  <c r="B745" i="36"/>
  <c r="B746" i="36"/>
  <c r="B747" i="36"/>
  <c r="B748" i="36"/>
  <c r="B749" i="36"/>
  <c r="B750" i="36"/>
  <c r="B751" i="36"/>
  <c r="B752" i="36"/>
  <c r="B753" i="36"/>
  <c r="B754" i="36"/>
  <c r="B755" i="36"/>
  <c r="B756" i="36"/>
  <c r="B757" i="36"/>
  <c r="B758" i="36"/>
  <c r="B759" i="36"/>
  <c r="B760" i="36"/>
  <c r="B761" i="36"/>
  <c r="B762" i="36"/>
  <c r="B763" i="36"/>
  <c r="B764" i="36"/>
  <c r="B765" i="36"/>
  <c r="B766" i="36"/>
  <c r="B767" i="36"/>
  <c r="B768" i="36"/>
  <c r="B769" i="36"/>
  <c r="B770" i="36"/>
  <c r="B771" i="36"/>
  <c r="B772" i="36"/>
  <c r="B773" i="36"/>
  <c r="B774" i="36"/>
  <c r="B775" i="36"/>
  <c r="B776" i="36"/>
  <c r="B777" i="36"/>
  <c r="B778" i="36"/>
  <c r="B779" i="36"/>
  <c r="B780" i="36"/>
  <c r="B781" i="36"/>
  <c r="B782" i="36"/>
  <c r="B783" i="36"/>
  <c r="B784" i="36"/>
  <c r="B785" i="36"/>
  <c r="B786" i="36"/>
  <c r="B787" i="36"/>
  <c r="B788" i="36"/>
  <c r="B789" i="36"/>
  <c r="B790" i="36"/>
  <c r="B791" i="36"/>
  <c r="B792" i="36"/>
  <c r="B793" i="36"/>
  <c r="B794" i="36"/>
  <c r="B795" i="36"/>
  <c r="B796" i="36"/>
  <c r="B797" i="36"/>
  <c r="B798" i="36"/>
  <c r="B799" i="36"/>
  <c r="B800" i="36"/>
  <c r="B801" i="36"/>
  <c r="B802" i="36"/>
  <c r="B803" i="36"/>
  <c r="B804" i="36"/>
  <c r="B805" i="36"/>
  <c r="B806" i="36"/>
  <c r="B807" i="36"/>
  <c r="B808" i="36"/>
  <c r="B809" i="36"/>
  <c r="B810" i="36"/>
  <c r="B811" i="36"/>
  <c r="B812" i="36"/>
  <c r="B813" i="36"/>
  <c r="B814" i="36"/>
  <c r="B815" i="36"/>
  <c r="B816" i="36"/>
  <c r="B817" i="36"/>
  <c r="B818" i="36"/>
  <c r="B819" i="36"/>
  <c r="B820" i="36"/>
  <c r="B821" i="36"/>
  <c r="B822" i="36"/>
  <c r="B823" i="36"/>
  <c r="B824" i="36"/>
  <c r="B825" i="36"/>
  <c r="B826" i="36"/>
  <c r="B827" i="36"/>
  <c r="B828" i="36"/>
  <c r="B829" i="36"/>
  <c r="B830" i="36"/>
  <c r="B831" i="36"/>
  <c r="B832" i="36"/>
  <c r="B833" i="36"/>
  <c r="B834" i="36"/>
  <c r="B835" i="36"/>
  <c r="B836" i="36"/>
  <c r="B837" i="36"/>
  <c r="B838" i="36"/>
  <c r="B839" i="36"/>
  <c r="B840" i="36"/>
  <c r="B841" i="36"/>
  <c r="B842" i="36"/>
  <c r="B843" i="36"/>
  <c r="B844" i="36"/>
  <c r="B845" i="36"/>
  <c r="B846" i="36"/>
  <c r="B847" i="36"/>
  <c r="B848" i="36"/>
  <c r="B849" i="36"/>
  <c r="B850" i="36"/>
  <c r="B851" i="36"/>
  <c r="B852" i="36"/>
  <c r="B853" i="36"/>
  <c r="B854" i="36"/>
  <c r="B855" i="36"/>
  <c r="B856" i="36"/>
  <c r="B857" i="36"/>
  <c r="B858" i="36"/>
  <c r="B859" i="36"/>
  <c r="B860" i="36"/>
  <c r="B861" i="36"/>
  <c r="B862" i="36"/>
  <c r="B863" i="36"/>
  <c r="B864" i="36"/>
  <c r="B865" i="36"/>
  <c r="B866" i="36"/>
  <c r="B867" i="36"/>
  <c r="B868" i="36"/>
  <c r="B869" i="36"/>
  <c r="B870" i="36"/>
  <c r="B871" i="36"/>
  <c r="B872" i="36"/>
  <c r="B873" i="36"/>
  <c r="B874" i="36"/>
  <c r="B875" i="36"/>
  <c r="B876" i="36"/>
  <c r="B877" i="36"/>
  <c r="B878" i="36"/>
  <c r="B879" i="36"/>
  <c r="B880" i="36"/>
  <c r="B881" i="36"/>
  <c r="B882" i="36"/>
  <c r="B883" i="36"/>
  <c r="B884" i="36"/>
  <c r="B885" i="36"/>
  <c r="B886" i="36"/>
  <c r="B887" i="36"/>
  <c r="B888" i="36"/>
  <c r="B889" i="36"/>
  <c r="B890" i="36"/>
  <c r="B891" i="36"/>
  <c r="B892" i="36"/>
  <c r="B893" i="36"/>
  <c r="B894" i="36"/>
  <c r="B895" i="36"/>
  <c r="B896" i="36"/>
  <c r="B897" i="36"/>
  <c r="B898" i="36"/>
  <c r="B899" i="36"/>
  <c r="B900" i="36"/>
  <c r="B901" i="36"/>
  <c r="B902" i="36"/>
  <c r="B903" i="36"/>
  <c r="B904" i="36"/>
  <c r="B905" i="36"/>
  <c r="B906" i="36"/>
  <c r="B907" i="36"/>
  <c r="B908" i="36"/>
  <c r="B909" i="36"/>
  <c r="B910" i="36"/>
  <c r="B911" i="36"/>
  <c r="B912" i="36"/>
  <c r="B913" i="36"/>
  <c r="B914" i="36"/>
  <c r="B915" i="36"/>
  <c r="B916" i="36"/>
  <c r="B917" i="36"/>
  <c r="B918" i="36"/>
  <c r="B919" i="36"/>
  <c r="B920" i="36"/>
  <c r="B921" i="36"/>
  <c r="B922" i="36"/>
  <c r="B923" i="36"/>
  <c r="B924" i="36"/>
  <c r="B925" i="36"/>
  <c r="B926" i="36"/>
  <c r="B927" i="36"/>
  <c r="B928" i="36"/>
  <c r="B929" i="36"/>
  <c r="B930" i="36"/>
  <c r="B931" i="36"/>
  <c r="B932" i="36"/>
  <c r="B933" i="36"/>
  <c r="B934" i="36"/>
  <c r="B935" i="36"/>
  <c r="B936" i="36"/>
  <c r="B937" i="36"/>
  <c r="B938" i="36"/>
  <c r="B939" i="36"/>
  <c r="B940" i="36"/>
  <c r="B941" i="36"/>
  <c r="B942" i="36"/>
  <c r="B943" i="36"/>
  <c r="B944" i="36"/>
  <c r="B945" i="36"/>
  <c r="B946" i="36"/>
  <c r="B947" i="36"/>
  <c r="B948" i="36"/>
  <c r="B949" i="36"/>
  <c r="B950" i="36"/>
  <c r="B951" i="36"/>
  <c r="B952" i="36"/>
  <c r="B953" i="36"/>
  <c r="B954" i="36"/>
  <c r="B955" i="36"/>
  <c r="B956" i="36"/>
  <c r="B957" i="36"/>
  <c r="B958" i="36"/>
  <c r="B959" i="36"/>
  <c r="B960" i="36"/>
  <c r="B961" i="36"/>
  <c r="B962" i="36"/>
  <c r="B963" i="36"/>
  <c r="B964" i="36"/>
  <c r="B965" i="36"/>
  <c r="B966" i="36"/>
  <c r="B967" i="36"/>
  <c r="B968" i="36"/>
  <c r="B969" i="36"/>
  <c r="B970" i="36"/>
  <c r="B971" i="36"/>
  <c r="B972" i="36"/>
  <c r="B973" i="36"/>
  <c r="B974" i="36"/>
  <c r="B975" i="36"/>
  <c r="B976" i="36"/>
  <c r="B977" i="36"/>
  <c r="B978" i="36"/>
  <c r="B979" i="36"/>
  <c r="B980" i="36"/>
  <c r="B981" i="36"/>
  <c r="B982" i="36"/>
  <c r="B983" i="36"/>
  <c r="B984" i="36"/>
  <c r="B985" i="36"/>
  <c r="B986" i="36"/>
  <c r="B987" i="36"/>
  <c r="B988" i="36"/>
  <c r="B989" i="36"/>
  <c r="B990" i="36"/>
  <c r="B991" i="36"/>
  <c r="B992" i="36"/>
  <c r="B993" i="36"/>
  <c r="B994" i="36"/>
  <c r="B995" i="36"/>
  <c r="B996" i="36"/>
  <c r="B997" i="36"/>
  <c r="B998" i="36"/>
  <c r="B999" i="36"/>
  <c r="B1000" i="36"/>
  <c r="B1001" i="36"/>
  <c r="B1002" i="36"/>
  <c r="B1003" i="36"/>
  <c r="B1004" i="36"/>
  <c r="B1005" i="36"/>
  <c r="B1006" i="36"/>
  <c r="B1007" i="36"/>
  <c r="B1008" i="36"/>
  <c r="B1009" i="36"/>
  <c r="B1010" i="36"/>
  <c r="B2" i="35" l="1"/>
  <c r="B3" i="35"/>
  <c r="B4" i="35"/>
  <c r="B5" i="35"/>
  <c r="B6" i="35"/>
  <c r="B7" i="35"/>
  <c r="B8" i="35"/>
  <c r="B9" i="35"/>
  <c r="B10" i="35"/>
  <c r="B11" i="35"/>
  <c r="B12" i="35"/>
  <c r="B13" i="35"/>
  <c r="B14" i="35"/>
  <c r="B15" i="35"/>
  <c r="B16" i="35"/>
  <c r="B17" i="35"/>
  <c r="B18" i="35"/>
  <c r="B19" i="35"/>
  <c r="B20" i="35"/>
  <c r="B21" i="35"/>
  <c r="B22" i="35"/>
  <c r="B23" i="35"/>
  <c r="B24" i="35"/>
  <c r="B25" i="35"/>
  <c r="B26" i="35"/>
  <c r="B27" i="35"/>
  <c r="B28" i="35"/>
  <c r="B29" i="35"/>
  <c r="B30" i="35"/>
  <c r="B31" i="35"/>
  <c r="B32" i="35"/>
  <c r="B33" i="35"/>
  <c r="B34" i="35"/>
  <c r="B35" i="35"/>
  <c r="B36" i="35"/>
  <c r="B37" i="35"/>
  <c r="B38" i="35"/>
  <c r="B39" i="35"/>
  <c r="B40" i="35"/>
  <c r="B41" i="35"/>
  <c r="B42" i="35"/>
  <c r="B43" i="35"/>
  <c r="B44" i="35"/>
  <c r="B45" i="35"/>
  <c r="B46" i="35"/>
  <c r="B47" i="35"/>
  <c r="B48" i="35"/>
  <c r="B49" i="35"/>
  <c r="B50" i="35"/>
  <c r="B51" i="35"/>
  <c r="B52" i="35"/>
  <c r="B53" i="35"/>
  <c r="B54" i="35"/>
  <c r="B55" i="35"/>
  <c r="B56" i="35"/>
  <c r="B57" i="35"/>
  <c r="B58" i="35"/>
  <c r="B59" i="35"/>
  <c r="B60" i="35"/>
  <c r="B61" i="35"/>
  <c r="B62" i="35"/>
  <c r="B63" i="35"/>
  <c r="B64" i="35"/>
  <c r="B65" i="35"/>
  <c r="B66" i="35"/>
  <c r="B67" i="35"/>
  <c r="B68" i="35"/>
  <c r="B69" i="35"/>
  <c r="B70" i="35"/>
  <c r="B71" i="35"/>
  <c r="B72" i="35"/>
  <c r="B73" i="35"/>
  <c r="B74" i="35"/>
  <c r="B75" i="35"/>
  <c r="B76" i="35"/>
  <c r="B77" i="35"/>
  <c r="B78" i="35"/>
  <c r="B79" i="35"/>
  <c r="B80" i="35"/>
  <c r="B81" i="35"/>
  <c r="B82" i="35"/>
  <c r="B83" i="35"/>
  <c r="B84" i="35"/>
  <c r="B85" i="35"/>
  <c r="B86" i="35"/>
  <c r="B87" i="35"/>
  <c r="B88" i="35"/>
  <c r="B89" i="35"/>
  <c r="B90" i="35"/>
  <c r="B91" i="35"/>
  <c r="B92" i="35"/>
  <c r="B93" i="35"/>
  <c r="B94" i="35"/>
  <c r="B95" i="35"/>
  <c r="B96" i="35"/>
  <c r="B97" i="35"/>
  <c r="B98" i="35"/>
  <c r="B99" i="35"/>
  <c r="B100" i="35"/>
  <c r="B101" i="35"/>
  <c r="B102" i="35"/>
  <c r="B103" i="35"/>
  <c r="B104" i="35"/>
  <c r="B105" i="35"/>
  <c r="B106" i="35"/>
  <c r="B107" i="35"/>
  <c r="B108" i="35"/>
  <c r="B109" i="35"/>
  <c r="B110" i="35"/>
  <c r="B111" i="35"/>
  <c r="B112" i="35"/>
  <c r="B113" i="35"/>
  <c r="B114" i="35"/>
  <c r="B115" i="35"/>
  <c r="B116" i="35"/>
  <c r="B117" i="35"/>
  <c r="B118" i="35"/>
  <c r="B119" i="35"/>
  <c r="B120" i="35"/>
  <c r="B121" i="35"/>
  <c r="B122" i="35"/>
  <c r="B123" i="35"/>
  <c r="B124" i="35"/>
  <c r="B125" i="35"/>
  <c r="B126" i="35"/>
  <c r="B127" i="35"/>
  <c r="B128" i="35"/>
  <c r="B129" i="35"/>
  <c r="B130" i="35"/>
  <c r="B131" i="35"/>
  <c r="B132" i="35"/>
  <c r="B133" i="35"/>
  <c r="B134" i="35"/>
  <c r="B135" i="35"/>
  <c r="B136" i="35"/>
  <c r="B137" i="35"/>
  <c r="B138" i="35"/>
  <c r="B139" i="35"/>
  <c r="B140" i="35"/>
  <c r="B141" i="35"/>
  <c r="B142" i="35"/>
  <c r="B143" i="35"/>
  <c r="B144" i="35"/>
  <c r="B145" i="35"/>
  <c r="B146" i="35"/>
  <c r="B147" i="35"/>
  <c r="B148" i="35"/>
  <c r="B149" i="35"/>
  <c r="B150" i="35"/>
  <c r="B151" i="35"/>
  <c r="B152" i="35"/>
  <c r="B153" i="35"/>
  <c r="B154" i="35"/>
  <c r="B155" i="35"/>
  <c r="B156" i="35"/>
  <c r="B157" i="35"/>
  <c r="B158" i="35"/>
  <c r="B159" i="35"/>
  <c r="B160" i="35"/>
  <c r="B161" i="35"/>
  <c r="B162" i="35"/>
  <c r="B163" i="35"/>
  <c r="B164" i="35"/>
  <c r="B165" i="35"/>
  <c r="B166" i="35"/>
  <c r="B167" i="35"/>
  <c r="B168" i="35"/>
  <c r="B169" i="35"/>
  <c r="B170" i="35"/>
  <c r="B171" i="35"/>
  <c r="B172" i="35"/>
  <c r="B173" i="35"/>
  <c r="B174" i="35"/>
  <c r="B175" i="35"/>
  <c r="B176" i="35"/>
  <c r="B177" i="35"/>
  <c r="B178" i="35"/>
  <c r="B179" i="35"/>
  <c r="B180" i="35"/>
  <c r="B181" i="35"/>
  <c r="B182" i="35"/>
  <c r="B183" i="35"/>
  <c r="B184" i="35"/>
  <c r="B185" i="35"/>
  <c r="B186" i="35"/>
  <c r="B187" i="35"/>
  <c r="B188" i="35"/>
  <c r="B189" i="35"/>
  <c r="B190" i="35"/>
  <c r="B191" i="35"/>
  <c r="B192" i="35"/>
  <c r="B193" i="35"/>
  <c r="B194" i="35"/>
  <c r="B195" i="35"/>
  <c r="B196" i="35"/>
  <c r="B197" i="35"/>
  <c r="B198" i="35"/>
  <c r="B199" i="35"/>
  <c r="B200" i="35"/>
  <c r="B201" i="35"/>
  <c r="B202" i="35"/>
  <c r="B203" i="35"/>
  <c r="B204" i="35"/>
  <c r="B205" i="35"/>
  <c r="B206" i="35"/>
  <c r="B207" i="35"/>
  <c r="B208" i="35"/>
  <c r="B209" i="35"/>
  <c r="B210" i="35"/>
  <c r="B211" i="35"/>
  <c r="B212" i="35"/>
  <c r="B213" i="35"/>
  <c r="B214" i="35"/>
  <c r="B215" i="35"/>
  <c r="B216" i="35"/>
  <c r="B217" i="35"/>
  <c r="B218" i="35"/>
  <c r="B219" i="35"/>
  <c r="B220" i="35"/>
  <c r="B221" i="35"/>
  <c r="B222" i="35"/>
  <c r="B223" i="35"/>
  <c r="B224" i="35"/>
  <c r="B225" i="35"/>
  <c r="B226" i="35"/>
  <c r="B227" i="35"/>
  <c r="B228" i="35"/>
  <c r="B229" i="35"/>
  <c r="B230" i="35"/>
  <c r="B231" i="35"/>
  <c r="B232" i="35"/>
  <c r="B233" i="35"/>
  <c r="B234" i="35"/>
  <c r="B235" i="35"/>
  <c r="B236" i="35"/>
  <c r="B237" i="35"/>
  <c r="B238" i="35"/>
  <c r="B239" i="35"/>
  <c r="B240" i="35"/>
  <c r="B241" i="35"/>
  <c r="B242" i="35"/>
  <c r="B243" i="35"/>
  <c r="B244" i="35"/>
  <c r="B245" i="35"/>
  <c r="B246" i="35"/>
  <c r="B247" i="35"/>
  <c r="B248" i="35"/>
  <c r="B249" i="35"/>
  <c r="B250" i="35"/>
  <c r="B251" i="35"/>
  <c r="B252" i="35"/>
  <c r="B253" i="35"/>
  <c r="B254" i="35"/>
  <c r="B255" i="35"/>
  <c r="B256" i="35"/>
  <c r="B257" i="35"/>
  <c r="B258" i="35"/>
  <c r="B259" i="35"/>
  <c r="B260" i="35"/>
  <c r="B261" i="35"/>
  <c r="B262" i="35"/>
  <c r="B263" i="35"/>
  <c r="B264" i="35"/>
  <c r="B265" i="35"/>
  <c r="B266" i="35"/>
  <c r="B267" i="35"/>
  <c r="B268" i="35"/>
  <c r="B269" i="35"/>
  <c r="B270" i="35"/>
  <c r="B271" i="35"/>
  <c r="B272" i="35"/>
  <c r="B273" i="35"/>
  <c r="B274" i="35"/>
  <c r="B275" i="35"/>
  <c r="B276" i="35"/>
  <c r="B277" i="35"/>
  <c r="B278" i="35"/>
  <c r="B279" i="35"/>
  <c r="B280" i="35"/>
  <c r="B281" i="35"/>
  <c r="B282" i="35"/>
  <c r="B283" i="35"/>
  <c r="B284" i="35"/>
  <c r="B285" i="35"/>
  <c r="B286" i="35"/>
  <c r="B287" i="35"/>
  <c r="B288" i="35"/>
  <c r="B289" i="35"/>
  <c r="B290" i="35"/>
  <c r="B291" i="35"/>
  <c r="B292" i="35"/>
  <c r="B293" i="35"/>
  <c r="B294" i="35"/>
  <c r="B295" i="35"/>
  <c r="B296" i="35"/>
  <c r="B297" i="35"/>
  <c r="B298" i="35"/>
  <c r="B299" i="35"/>
  <c r="B300" i="35"/>
  <c r="B301" i="35"/>
  <c r="B302" i="35"/>
  <c r="B303" i="35"/>
  <c r="B304" i="35"/>
  <c r="B305" i="35"/>
  <c r="B306" i="35"/>
  <c r="B307" i="35"/>
  <c r="B308" i="35"/>
  <c r="B309" i="35"/>
  <c r="B310" i="35"/>
  <c r="B311" i="35"/>
  <c r="B312" i="35"/>
  <c r="B313" i="35"/>
  <c r="B314" i="35"/>
  <c r="B315" i="35"/>
  <c r="B316" i="35"/>
  <c r="B317" i="35"/>
  <c r="B318" i="35"/>
  <c r="B319" i="35"/>
  <c r="B320" i="35"/>
  <c r="B321" i="35"/>
  <c r="B322" i="35"/>
  <c r="B323" i="35"/>
  <c r="B324" i="35"/>
  <c r="B325" i="35"/>
  <c r="B326" i="35"/>
  <c r="B327" i="35"/>
  <c r="B328" i="35"/>
  <c r="B329" i="35"/>
  <c r="B330" i="35"/>
  <c r="B331" i="35"/>
  <c r="B332" i="35"/>
  <c r="B333" i="35"/>
  <c r="B334" i="35"/>
  <c r="B335" i="35"/>
  <c r="B336" i="35"/>
  <c r="B337" i="35"/>
  <c r="B338" i="35"/>
  <c r="B339" i="35"/>
  <c r="B340" i="35"/>
  <c r="B341" i="35"/>
  <c r="B342" i="35"/>
  <c r="B343" i="35"/>
  <c r="B344" i="35"/>
  <c r="B345" i="35"/>
  <c r="B346" i="35"/>
  <c r="B347" i="35"/>
  <c r="B348" i="35"/>
  <c r="B349" i="35"/>
  <c r="B350" i="35"/>
  <c r="B351" i="35"/>
  <c r="B352" i="35"/>
  <c r="B353" i="35"/>
  <c r="B354" i="35"/>
  <c r="B355" i="35"/>
  <c r="B356" i="35"/>
  <c r="B357" i="35"/>
  <c r="B358" i="35"/>
  <c r="B359" i="35"/>
  <c r="B360" i="35"/>
  <c r="B361" i="35"/>
  <c r="B362" i="35"/>
  <c r="B363" i="35"/>
  <c r="B364" i="35"/>
  <c r="B365" i="35"/>
  <c r="B366" i="35"/>
  <c r="B367" i="35"/>
  <c r="B368" i="35"/>
  <c r="B369" i="35"/>
  <c r="B370" i="35"/>
  <c r="B371" i="35"/>
  <c r="B372" i="35"/>
  <c r="B373" i="35"/>
  <c r="B374" i="35"/>
  <c r="B375" i="35"/>
  <c r="B376" i="35"/>
  <c r="B377" i="35"/>
  <c r="B378" i="35"/>
  <c r="B379" i="35"/>
  <c r="B380" i="35"/>
  <c r="B381" i="35"/>
  <c r="B382" i="35"/>
  <c r="B383" i="35"/>
  <c r="B384" i="35"/>
  <c r="B385" i="35"/>
  <c r="B386" i="35"/>
  <c r="B387" i="35"/>
  <c r="B388" i="35"/>
  <c r="B389" i="35"/>
  <c r="B390" i="35"/>
  <c r="B391" i="35"/>
  <c r="B392" i="35"/>
  <c r="B393" i="35"/>
  <c r="B394" i="35"/>
  <c r="B395" i="35"/>
  <c r="B396" i="35"/>
  <c r="B397" i="35"/>
  <c r="B398" i="35"/>
  <c r="B399" i="35"/>
  <c r="B400" i="35"/>
  <c r="B401" i="35"/>
  <c r="B402" i="35"/>
  <c r="B403" i="35"/>
  <c r="B404" i="35"/>
  <c r="B405" i="35"/>
  <c r="B406" i="35"/>
  <c r="B407" i="35"/>
  <c r="B408" i="35"/>
  <c r="B409" i="35"/>
  <c r="B410" i="35"/>
  <c r="B411" i="35"/>
  <c r="B412" i="35"/>
  <c r="B413" i="35"/>
  <c r="B414" i="35"/>
  <c r="B415" i="35"/>
  <c r="B416" i="35"/>
  <c r="B417" i="35"/>
  <c r="B418" i="35"/>
  <c r="B419" i="35"/>
  <c r="B420" i="35"/>
  <c r="B421" i="35"/>
  <c r="B422" i="35"/>
  <c r="B423" i="35"/>
  <c r="B424" i="35"/>
  <c r="B425" i="35"/>
  <c r="B426" i="35"/>
  <c r="B427" i="35"/>
  <c r="B428" i="35"/>
  <c r="B429" i="35"/>
  <c r="B430" i="35"/>
  <c r="B431" i="35"/>
  <c r="B432" i="35"/>
  <c r="B433" i="35"/>
  <c r="B434" i="35"/>
  <c r="B435" i="35"/>
  <c r="B436" i="35"/>
  <c r="B437" i="35"/>
  <c r="B438" i="35"/>
  <c r="B439" i="35"/>
  <c r="B440" i="35"/>
  <c r="B441" i="35"/>
  <c r="B442" i="35"/>
  <c r="B443" i="35"/>
  <c r="B444" i="35"/>
  <c r="B445" i="35"/>
  <c r="B446" i="35"/>
  <c r="B447" i="35"/>
  <c r="B448" i="35"/>
  <c r="B449" i="35"/>
  <c r="B450" i="35"/>
  <c r="B451" i="35"/>
  <c r="B452" i="35"/>
  <c r="B453" i="35"/>
  <c r="B454" i="35"/>
  <c r="B455" i="35"/>
  <c r="B456" i="35"/>
  <c r="B457" i="35"/>
  <c r="B458" i="35"/>
  <c r="B459" i="35"/>
  <c r="B460" i="35"/>
  <c r="B461" i="35"/>
  <c r="B462" i="35"/>
  <c r="B463" i="35"/>
  <c r="B464" i="35"/>
  <c r="B465" i="35"/>
  <c r="B466" i="35"/>
  <c r="B467" i="35"/>
  <c r="B468" i="35"/>
  <c r="B469" i="35"/>
  <c r="B470" i="35"/>
  <c r="B471" i="35"/>
  <c r="B472" i="35"/>
  <c r="B473" i="35"/>
  <c r="B474" i="35"/>
  <c r="B475" i="35"/>
  <c r="B476" i="35"/>
  <c r="B477" i="35"/>
  <c r="B478" i="35"/>
  <c r="B479" i="35"/>
  <c r="B480" i="35"/>
  <c r="B481" i="35"/>
  <c r="B482" i="35"/>
  <c r="B483" i="35"/>
  <c r="B484" i="35"/>
  <c r="B485" i="35"/>
  <c r="B486" i="35"/>
  <c r="B487" i="35"/>
  <c r="B488" i="35"/>
  <c r="B489" i="35"/>
  <c r="B490" i="35"/>
  <c r="B491" i="35"/>
  <c r="B492" i="35"/>
  <c r="B493" i="35"/>
  <c r="B494" i="35"/>
  <c r="B495" i="35"/>
  <c r="B496" i="35"/>
  <c r="B497" i="35"/>
  <c r="B498" i="35"/>
  <c r="B499" i="35"/>
  <c r="B500" i="35"/>
  <c r="B501" i="35"/>
  <c r="B502" i="35"/>
  <c r="B503" i="35"/>
  <c r="B504" i="35"/>
  <c r="B505" i="35"/>
  <c r="B506" i="35"/>
  <c r="B507" i="35"/>
  <c r="B508" i="35"/>
  <c r="B509" i="35"/>
  <c r="B510" i="35"/>
  <c r="B511" i="35"/>
  <c r="B512" i="35"/>
  <c r="B513" i="35"/>
  <c r="B514" i="35"/>
  <c r="B515" i="35"/>
  <c r="B516" i="35"/>
  <c r="B517" i="35"/>
  <c r="B518" i="35"/>
  <c r="B519" i="35"/>
  <c r="B520" i="35"/>
  <c r="B521" i="35"/>
  <c r="B522" i="35"/>
  <c r="B523" i="35"/>
  <c r="B524" i="35"/>
  <c r="B525" i="35"/>
  <c r="B526" i="35"/>
  <c r="B527" i="35"/>
  <c r="B528" i="35"/>
  <c r="B529" i="35"/>
  <c r="B530" i="35"/>
  <c r="B531" i="35"/>
  <c r="B532" i="35"/>
  <c r="B533" i="35"/>
  <c r="B534" i="35"/>
  <c r="B535" i="35"/>
  <c r="B536" i="35"/>
  <c r="B537" i="35"/>
  <c r="B538" i="35"/>
  <c r="B539" i="35"/>
  <c r="B540" i="35"/>
  <c r="B541" i="35"/>
  <c r="B542" i="35"/>
  <c r="B543" i="35"/>
  <c r="B544" i="35"/>
  <c r="B545" i="35"/>
  <c r="B546" i="35"/>
  <c r="B547" i="35"/>
  <c r="B548" i="35"/>
  <c r="B549" i="35"/>
  <c r="B550" i="35"/>
  <c r="B551" i="35"/>
  <c r="B552" i="35"/>
  <c r="B553" i="35"/>
  <c r="B554" i="35"/>
  <c r="B555" i="35"/>
  <c r="B556" i="35"/>
  <c r="B557" i="35"/>
  <c r="B558" i="35"/>
  <c r="B559" i="35"/>
  <c r="B560" i="35"/>
  <c r="B561" i="35"/>
  <c r="B562" i="35"/>
  <c r="B563" i="35"/>
  <c r="B564" i="35"/>
  <c r="B565" i="35"/>
  <c r="B566" i="35"/>
  <c r="B567" i="35"/>
  <c r="B568" i="35"/>
  <c r="B569" i="35"/>
  <c r="B570" i="35"/>
  <c r="B571" i="35"/>
  <c r="B572" i="35"/>
  <c r="B573" i="35"/>
  <c r="B574" i="35"/>
  <c r="B575" i="35"/>
  <c r="B576" i="35"/>
  <c r="B577" i="35"/>
  <c r="B578" i="35"/>
  <c r="B579" i="35"/>
  <c r="B580" i="35"/>
  <c r="B581" i="35"/>
  <c r="B582" i="35"/>
  <c r="B583" i="35"/>
  <c r="B584" i="35"/>
  <c r="B585" i="35"/>
  <c r="B586" i="35"/>
  <c r="B587" i="35"/>
  <c r="B588" i="35"/>
  <c r="B589" i="35"/>
  <c r="B590" i="35"/>
  <c r="B591" i="35"/>
  <c r="B592" i="35"/>
  <c r="B593" i="35"/>
  <c r="B594" i="35"/>
  <c r="B595" i="35"/>
  <c r="B596" i="35"/>
  <c r="B597" i="35"/>
  <c r="B598" i="35"/>
  <c r="B599" i="35"/>
  <c r="B600" i="35"/>
  <c r="B601" i="35"/>
  <c r="B602" i="35"/>
  <c r="B603" i="35"/>
  <c r="B604" i="35"/>
  <c r="B605" i="35"/>
  <c r="B606" i="35"/>
  <c r="B607" i="35"/>
  <c r="B608" i="35"/>
  <c r="B609" i="35"/>
  <c r="B610" i="35"/>
  <c r="B611" i="35"/>
  <c r="B612" i="35"/>
  <c r="B613" i="35"/>
  <c r="B614" i="35"/>
  <c r="B615" i="35"/>
  <c r="B616" i="35"/>
  <c r="B617" i="35"/>
  <c r="B618" i="35"/>
  <c r="B619" i="35"/>
  <c r="B620" i="35"/>
  <c r="B621" i="35"/>
  <c r="B622" i="35"/>
  <c r="B623" i="35"/>
  <c r="B624" i="35"/>
  <c r="B625" i="35"/>
  <c r="B626" i="35"/>
  <c r="B627" i="35"/>
  <c r="B628" i="35"/>
  <c r="B629" i="35"/>
  <c r="B630" i="35"/>
  <c r="B631" i="35"/>
  <c r="B632" i="35"/>
  <c r="B633" i="35"/>
  <c r="B634" i="35"/>
  <c r="B635" i="35"/>
  <c r="B636" i="35"/>
  <c r="B637" i="35"/>
  <c r="B638" i="35"/>
  <c r="B639" i="35"/>
  <c r="B640" i="35"/>
  <c r="B641" i="35"/>
  <c r="B642" i="35"/>
  <c r="B643" i="35"/>
  <c r="B644" i="35"/>
  <c r="B645" i="35"/>
  <c r="B646" i="35"/>
  <c r="B647" i="35"/>
  <c r="B648" i="35"/>
  <c r="B649" i="35"/>
  <c r="B650" i="35"/>
  <c r="B651" i="35"/>
  <c r="B652" i="35"/>
  <c r="B653" i="35"/>
  <c r="B654" i="35"/>
  <c r="B655" i="35"/>
  <c r="B656" i="35"/>
  <c r="B657" i="35"/>
  <c r="B658" i="35"/>
  <c r="B659" i="35"/>
  <c r="B660" i="35"/>
  <c r="B661" i="35"/>
  <c r="B662" i="35"/>
  <c r="B663" i="35"/>
  <c r="B664" i="35"/>
  <c r="B665" i="35"/>
  <c r="B666" i="35"/>
  <c r="B667" i="35"/>
  <c r="B668" i="35"/>
  <c r="B669" i="35"/>
  <c r="B670" i="35"/>
  <c r="B671" i="35"/>
  <c r="B672" i="35"/>
  <c r="B673" i="35"/>
  <c r="B674" i="35"/>
  <c r="B675" i="35"/>
  <c r="B676" i="35"/>
  <c r="B677" i="35"/>
  <c r="B678" i="35"/>
  <c r="B679" i="35"/>
  <c r="B680" i="35"/>
  <c r="B681" i="35"/>
  <c r="B682" i="35"/>
  <c r="B683" i="35"/>
  <c r="B684" i="35"/>
  <c r="B685" i="35"/>
  <c r="B686" i="35"/>
  <c r="B687" i="35"/>
  <c r="B688" i="35"/>
  <c r="B689" i="35"/>
  <c r="B690" i="35"/>
  <c r="B691" i="35"/>
  <c r="B692" i="35"/>
  <c r="B693" i="35"/>
  <c r="B694" i="35"/>
  <c r="B695" i="35"/>
  <c r="B696" i="35"/>
  <c r="B697" i="35"/>
  <c r="B698" i="35"/>
  <c r="B699" i="35"/>
  <c r="B700" i="35"/>
  <c r="B701" i="35"/>
  <c r="B702" i="35"/>
  <c r="B703" i="35"/>
  <c r="B704" i="35"/>
  <c r="B705" i="35"/>
  <c r="B706" i="35"/>
  <c r="B707" i="35"/>
  <c r="B708" i="35"/>
  <c r="B709" i="35"/>
  <c r="B710" i="35"/>
  <c r="B711" i="35"/>
  <c r="B712" i="35"/>
  <c r="B713" i="35"/>
  <c r="B714" i="35"/>
  <c r="B715" i="35"/>
  <c r="B716" i="35"/>
  <c r="B717" i="35"/>
  <c r="B718" i="35"/>
  <c r="B719" i="35"/>
  <c r="B720" i="35"/>
  <c r="B721" i="35"/>
  <c r="B722" i="35"/>
  <c r="B723" i="35"/>
  <c r="B724" i="35"/>
  <c r="B725" i="35"/>
  <c r="B726" i="35"/>
  <c r="B727" i="35"/>
  <c r="B728" i="35"/>
  <c r="B729" i="35"/>
  <c r="B730" i="35"/>
  <c r="B731" i="35"/>
  <c r="B732" i="35"/>
  <c r="B733" i="35"/>
  <c r="B734" i="35"/>
  <c r="B735" i="35"/>
  <c r="B736" i="35"/>
  <c r="B737" i="35"/>
  <c r="B738" i="35"/>
  <c r="B739" i="35"/>
  <c r="B740" i="35"/>
  <c r="B741" i="35"/>
  <c r="B742" i="35"/>
  <c r="B743" i="35"/>
  <c r="B744" i="35"/>
  <c r="B745" i="35"/>
  <c r="B746" i="35"/>
  <c r="B747" i="35"/>
  <c r="B748" i="35"/>
  <c r="B749" i="35"/>
  <c r="B750" i="35"/>
  <c r="B751" i="35"/>
  <c r="B752" i="35"/>
  <c r="B753" i="35"/>
  <c r="B754" i="35"/>
  <c r="B755" i="35"/>
  <c r="B756" i="35"/>
  <c r="B757" i="35"/>
  <c r="B758" i="35"/>
  <c r="B759" i="35"/>
  <c r="B760" i="35"/>
  <c r="B761" i="35"/>
  <c r="B762" i="35"/>
  <c r="B763" i="35"/>
  <c r="B764" i="35"/>
  <c r="B765" i="35"/>
  <c r="B766" i="35"/>
  <c r="B767" i="35"/>
  <c r="B768" i="35"/>
  <c r="B769" i="35"/>
  <c r="B770" i="35"/>
  <c r="B771" i="35"/>
  <c r="B772" i="35"/>
  <c r="B773" i="35"/>
  <c r="B774" i="35"/>
  <c r="B775" i="35"/>
  <c r="B776" i="35"/>
  <c r="B777" i="35"/>
  <c r="B778" i="35"/>
  <c r="B779" i="35"/>
  <c r="B780" i="35"/>
  <c r="B781" i="35"/>
  <c r="B782" i="35"/>
  <c r="B783" i="35"/>
  <c r="B784" i="35"/>
  <c r="B785" i="35"/>
  <c r="B786" i="35"/>
  <c r="B787" i="35"/>
  <c r="B788" i="35"/>
  <c r="B789" i="35"/>
  <c r="B790" i="35"/>
  <c r="B791" i="35"/>
  <c r="B792" i="35"/>
  <c r="B793" i="35"/>
  <c r="B794" i="35"/>
  <c r="B795" i="35"/>
  <c r="B796" i="35"/>
  <c r="B797" i="35"/>
  <c r="B798" i="35"/>
  <c r="B799" i="35"/>
  <c r="B800" i="35"/>
  <c r="B801" i="35"/>
  <c r="B802" i="35"/>
  <c r="B803" i="35"/>
  <c r="B804" i="35"/>
  <c r="B805" i="35"/>
  <c r="B806" i="35"/>
  <c r="B807" i="35"/>
  <c r="B808" i="35"/>
  <c r="B809" i="35"/>
  <c r="B810" i="35"/>
  <c r="B811" i="35"/>
  <c r="B812" i="35"/>
  <c r="B813" i="35"/>
  <c r="B814" i="35"/>
  <c r="B815" i="35"/>
  <c r="B816" i="35"/>
  <c r="B817" i="35"/>
  <c r="B818" i="35"/>
  <c r="B819" i="35"/>
  <c r="B820" i="35"/>
  <c r="B821" i="35"/>
  <c r="B822" i="35"/>
  <c r="B823" i="35"/>
  <c r="B824" i="35"/>
  <c r="B825" i="35"/>
  <c r="B826" i="35"/>
  <c r="B827" i="35"/>
  <c r="B828" i="35"/>
  <c r="B829" i="35"/>
  <c r="B830" i="35"/>
  <c r="B831" i="35"/>
  <c r="B832" i="35"/>
  <c r="B833" i="35"/>
  <c r="B834" i="35"/>
  <c r="B835" i="35"/>
  <c r="B836" i="35"/>
  <c r="B837" i="35"/>
  <c r="B838" i="35"/>
  <c r="B839" i="35"/>
  <c r="B840" i="35"/>
  <c r="B841" i="35"/>
  <c r="B842" i="35"/>
  <c r="B843" i="35"/>
  <c r="B844" i="35"/>
  <c r="B845" i="35"/>
  <c r="B846" i="35"/>
  <c r="B847" i="35"/>
  <c r="B848" i="35"/>
  <c r="B849" i="35"/>
  <c r="B850" i="35"/>
  <c r="B851" i="35"/>
  <c r="B852" i="35"/>
  <c r="B853" i="35"/>
  <c r="B854" i="35"/>
  <c r="B855" i="35"/>
  <c r="B856" i="35"/>
  <c r="B857" i="35"/>
  <c r="B858" i="35"/>
  <c r="B859" i="35"/>
  <c r="B860" i="35"/>
  <c r="B861" i="35"/>
  <c r="B862" i="35"/>
  <c r="B863" i="35"/>
  <c r="B864" i="35"/>
  <c r="B865" i="35"/>
  <c r="B866" i="35"/>
  <c r="B867" i="35"/>
  <c r="B868" i="35"/>
  <c r="B869" i="35"/>
  <c r="B870" i="35"/>
  <c r="B871" i="35"/>
  <c r="B872" i="35"/>
  <c r="B873" i="35"/>
  <c r="B874" i="35"/>
  <c r="B875" i="35"/>
  <c r="B876" i="35"/>
  <c r="B877" i="35"/>
  <c r="B878" i="35"/>
  <c r="B879" i="35"/>
  <c r="B880" i="35"/>
  <c r="B881" i="35"/>
  <c r="B882" i="35"/>
  <c r="B883" i="35"/>
  <c r="B884" i="35"/>
  <c r="B885" i="35"/>
  <c r="B886" i="35"/>
  <c r="B887" i="35"/>
  <c r="B888" i="35"/>
  <c r="B889" i="35"/>
  <c r="B890" i="35"/>
  <c r="B891" i="35"/>
  <c r="B892" i="35"/>
  <c r="B893" i="35"/>
  <c r="B894" i="35"/>
  <c r="B895" i="35"/>
  <c r="B896" i="35"/>
  <c r="B897" i="35"/>
  <c r="B898" i="35"/>
  <c r="B899" i="35"/>
  <c r="B900" i="35"/>
  <c r="B901" i="35"/>
  <c r="B902" i="35"/>
  <c r="B903" i="35"/>
  <c r="B904" i="35"/>
  <c r="B905" i="35"/>
  <c r="B906" i="35"/>
  <c r="B907" i="35"/>
  <c r="B908" i="35"/>
  <c r="B909" i="35"/>
  <c r="B910" i="35"/>
  <c r="B911" i="35"/>
  <c r="B912" i="35"/>
  <c r="B913" i="35"/>
  <c r="B914" i="35"/>
  <c r="B915" i="35"/>
  <c r="B916" i="35"/>
  <c r="B917" i="35"/>
  <c r="B918" i="35"/>
  <c r="B919" i="35"/>
  <c r="B920" i="35"/>
  <c r="B921" i="35"/>
  <c r="B922" i="35"/>
  <c r="B923" i="35"/>
  <c r="B924" i="35"/>
  <c r="B925" i="35"/>
  <c r="B926" i="35"/>
  <c r="B927" i="35"/>
  <c r="B928" i="35"/>
  <c r="B929" i="35"/>
  <c r="B930" i="35"/>
  <c r="B931" i="35"/>
  <c r="B932" i="35"/>
  <c r="B933" i="35"/>
  <c r="B934" i="35"/>
  <c r="B935" i="35"/>
  <c r="B936" i="35"/>
  <c r="B937" i="35"/>
  <c r="B938" i="35"/>
  <c r="B939" i="35"/>
  <c r="B940" i="35"/>
  <c r="B941" i="35"/>
  <c r="B942" i="35"/>
  <c r="B943" i="35"/>
  <c r="B944" i="35"/>
  <c r="B945" i="35"/>
  <c r="B946" i="35"/>
  <c r="B947" i="35"/>
  <c r="B948" i="35"/>
  <c r="B949" i="35"/>
  <c r="B950" i="35"/>
  <c r="B951" i="35"/>
  <c r="B952" i="35"/>
  <c r="B953" i="35"/>
  <c r="B954" i="35"/>
  <c r="B955" i="35"/>
  <c r="B956" i="35"/>
  <c r="B957" i="35"/>
  <c r="B958" i="35"/>
  <c r="B959" i="35"/>
  <c r="B960" i="35"/>
  <c r="B961" i="35"/>
  <c r="B962" i="35"/>
  <c r="B963" i="35"/>
  <c r="B964" i="35"/>
  <c r="B965" i="35"/>
  <c r="B966" i="35"/>
  <c r="B967" i="35"/>
  <c r="B968" i="35"/>
  <c r="B969" i="35"/>
  <c r="B970" i="35"/>
  <c r="B971" i="35"/>
  <c r="B972" i="35"/>
  <c r="B973" i="35"/>
  <c r="B974" i="35"/>
  <c r="B975" i="35"/>
  <c r="B976" i="35"/>
  <c r="B977" i="35"/>
  <c r="B978" i="35"/>
  <c r="B979" i="35"/>
  <c r="B980" i="35"/>
  <c r="B981" i="35"/>
  <c r="B982" i="35"/>
  <c r="B983" i="35"/>
  <c r="B984" i="35"/>
  <c r="B985" i="35"/>
  <c r="B986" i="35"/>
  <c r="B987" i="35"/>
  <c r="B988" i="35"/>
  <c r="B989" i="35"/>
  <c r="B990" i="35"/>
  <c r="B991" i="35"/>
  <c r="B992" i="35"/>
  <c r="B993" i="35"/>
  <c r="B994" i="35"/>
  <c r="B995" i="35"/>
  <c r="B996" i="35"/>
  <c r="B997" i="35"/>
  <c r="B998" i="35"/>
  <c r="B999" i="35"/>
  <c r="B1000" i="35"/>
  <c r="B1001" i="35"/>
  <c r="B1002" i="35"/>
  <c r="B1003" i="35"/>
  <c r="B1004" i="35"/>
  <c r="B1005" i="35"/>
  <c r="B1006" i="35"/>
  <c r="B1007" i="35"/>
  <c r="B1008" i="35"/>
  <c r="B1009" i="35"/>
  <c r="B1010" i="35"/>
  <c r="B1011" i="35"/>
  <c r="B1012" i="35"/>
  <c r="B1013" i="35"/>
  <c r="B1014" i="35"/>
  <c r="B1015" i="35"/>
  <c r="B1016" i="35"/>
  <c r="B1017" i="35"/>
  <c r="B1018" i="35"/>
  <c r="B1019" i="35"/>
  <c r="B1020" i="35"/>
  <c r="B1021" i="35"/>
  <c r="B1022" i="35"/>
  <c r="B1023" i="35"/>
  <c r="B1024" i="35"/>
  <c r="B1025" i="35"/>
  <c r="B1026" i="35"/>
  <c r="B1027" i="35"/>
  <c r="B1028" i="35"/>
  <c r="B1029" i="35"/>
  <c r="B1030" i="35"/>
  <c r="B1031" i="35"/>
  <c r="B1032" i="35"/>
  <c r="B1033" i="35"/>
  <c r="B1034" i="35"/>
  <c r="B1035" i="35"/>
  <c r="B1036" i="35"/>
  <c r="B1037" i="35"/>
  <c r="B1038" i="35"/>
  <c r="B1039" i="35"/>
  <c r="B1040" i="35"/>
  <c r="B1041" i="35"/>
  <c r="B1042" i="35"/>
  <c r="B1043" i="35"/>
  <c r="B1044" i="35"/>
  <c r="B1045" i="35"/>
  <c r="B1046" i="35"/>
  <c r="B1047" i="35"/>
  <c r="B1048" i="35"/>
  <c r="B1049" i="35"/>
  <c r="B1050" i="35"/>
  <c r="B1051" i="35"/>
  <c r="B1052" i="35"/>
  <c r="B1053" i="35"/>
  <c r="B1054" i="35"/>
  <c r="B1055" i="35"/>
  <c r="B1056" i="35"/>
  <c r="B1057" i="35"/>
  <c r="B1058" i="35"/>
  <c r="B1059" i="35"/>
  <c r="B1060" i="35"/>
  <c r="B1061" i="35"/>
  <c r="B1062" i="35"/>
  <c r="B1063" i="35"/>
  <c r="B1064" i="35"/>
  <c r="B1065" i="35"/>
  <c r="B1066" i="35"/>
  <c r="B1067" i="35"/>
  <c r="B1068" i="35"/>
  <c r="B1069" i="35"/>
  <c r="B1070" i="35"/>
  <c r="B1071" i="35"/>
  <c r="B1072" i="35"/>
  <c r="B1073" i="35"/>
  <c r="B1074" i="35"/>
  <c r="B1075" i="35"/>
  <c r="B1076" i="35"/>
  <c r="B1077" i="35"/>
  <c r="B1078" i="35"/>
  <c r="B1079" i="35"/>
  <c r="B1080" i="35"/>
  <c r="B1081" i="35"/>
  <c r="B1082" i="35"/>
  <c r="B1083" i="35"/>
  <c r="B1084" i="35"/>
  <c r="B1085" i="35"/>
  <c r="B1086" i="35"/>
  <c r="B1087" i="35"/>
  <c r="B1088" i="35"/>
  <c r="B1089" i="35"/>
  <c r="B1090" i="35"/>
  <c r="B1091" i="35"/>
  <c r="B1092" i="35"/>
  <c r="B1093" i="35"/>
  <c r="B1094" i="35"/>
  <c r="B1095" i="35"/>
  <c r="B1096" i="35"/>
  <c r="B1097" i="35"/>
  <c r="B1098" i="35"/>
  <c r="B1099" i="35"/>
  <c r="B1100" i="35"/>
  <c r="B1101" i="35"/>
  <c r="B1102" i="35"/>
  <c r="B1103" i="35"/>
  <c r="B1104" i="35"/>
  <c r="B1105" i="35"/>
  <c r="B1106" i="35"/>
  <c r="B1107" i="35"/>
  <c r="B1108" i="35"/>
  <c r="B1109" i="35"/>
  <c r="B1110" i="35"/>
  <c r="B1111" i="35"/>
  <c r="B1112" i="35"/>
  <c r="B1113" i="35"/>
  <c r="B1114" i="35"/>
  <c r="B1115" i="35"/>
  <c r="B1116" i="35"/>
  <c r="B1117" i="35"/>
  <c r="B1118" i="35"/>
  <c r="B1119" i="35"/>
  <c r="B1120" i="35"/>
  <c r="B1121" i="35"/>
  <c r="B1122" i="35"/>
  <c r="B1123" i="35"/>
  <c r="B1124" i="35"/>
  <c r="B1125" i="35"/>
  <c r="B1126" i="35"/>
  <c r="B1127" i="35"/>
  <c r="B1128" i="35"/>
  <c r="B1129" i="35"/>
  <c r="B1130" i="35"/>
  <c r="B1131" i="35"/>
  <c r="B1132" i="35"/>
  <c r="B1133" i="35"/>
  <c r="B1134" i="35"/>
  <c r="B1135" i="35"/>
  <c r="B1136" i="35"/>
  <c r="B1137" i="35"/>
  <c r="B1138" i="35"/>
  <c r="B1139" i="35"/>
  <c r="B1140" i="35"/>
  <c r="B1141" i="35"/>
  <c r="B1142" i="35"/>
  <c r="B1143" i="35"/>
  <c r="B1144" i="35"/>
  <c r="B1145" i="35"/>
  <c r="B1146" i="35"/>
  <c r="B1147" i="35"/>
  <c r="B1148" i="35"/>
  <c r="B1149" i="35"/>
  <c r="B1150" i="35"/>
  <c r="B1151" i="35"/>
  <c r="B1152" i="35"/>
  <c r="B1153" i="35"/>
  <c r="B1154" i="35"/>
  <c r="B1155" i="35"/>
  <c r="B1156" i="35"/>
  <c r="B1157" i="35"/>
  <c r="B1158" i="35"/>
  <c r="B1159" i="35"/>
  <c r="B1160" i="35"/>
  <c r="B1161" i="35"/>
  <c r="B1162" i="35"/>
  <c r="B1163" i="35"/>
  <c r="B1164" i="35"/>
  <c r="B1165" i="35"/>
  <c r="B1166" i="35"/>
  <c r="B1167" i="35"/>
  <c r="B1168" i="35"/>
  <c r="B1169" i="35"/>
  <c r="B1170" i="35"/>
  <c r="B1171" i="35"/>
  <c r="B1172" i="35"/>
  <c r="B1173" i="35"/>
  <c r="B1174" i="35"/>
  <c r="B1175" i="35"/>
  <c r="B1176" i="35"/>
  <c r="B1177" i="35"/>
  <c r="B1178" i="35"/>
  <c r="B1179" i="35"/>
  <c r="B1180" i="35"/>
  <c r="B1181" i="35"/>
  <c r="B1182" i="35"/>
  <c r="B1183" i="35"/>
  <c r="B1184" i="35"/>
  <c r="B1185" i="35"/>
  <c r="B1186" i="35"/>
  <c r="B1187" i="35"/>
  <c r="B1188" i="35"/>
  <c r="B1189" i="35"/>
  <c r="B1190" i="35"/>
  <c r="B1191" i="35"/>
  <c r="B1192" i="35"/>
  <c r="B1193" i="35"/>
  <c r="B1194" i="35"/>
  <c r="B1195" i="35"/>
  <c r="B1196" i="35"/>
  <c r="B1197" i="35"/>
  <c r="B1198" i="35"/>
  <c r="B1199" i="35"/>
  <c r="B1200" i="35"/>
  <c r="B1201" i="35"/>
  <c r="B1202" i="35"/>
  <c r="B1203" i="35"/>
  <c r="B1204" i="35"/>
  <c r="B1205" i="35"/>
  <c r="B1206" i="35"/>
  <c r="B1207" i="35"/>
  <c r="B1208" i="35"/>
  <c r="B1209" i="35"/>
  <c r="B1210" i="35"/>
  <c r="B1211" i="35"/>
  <c r="B1212" i="35"/>
  <c r="B1213" i="35"/>
  <c r="B1214" i="35"/>
  <c r="B1215" i="35"/>
  <c r="B1216" i="35"/>
  <c r="B1217" i="35"/>
  <c r="B1218" i="35"/>
  <c r="B1219" i="35"/>
  <c r="B1220" i="35"/>
  <c r="B1221" i="35"/>
  <c r="B1222" i="35"/>
  <c r="B1223" i="35"/>
  <c r="B1224" i="35"/>
  <c r="B1225" i="35"/>
  <c r="B1226" i="35"/>
  <c r="B1227" i="35"/>
  <c r="B1228" i="35"/>
  <c r="B1229" i="35"/>
  <c r="B1230" i="35"/>
  <c r="B1231" i="35"/>
  <c r="B1232" i="35"/>
  <c r="B1233" i="35"/>
  <c r="B1234" i="35"/>
  <c r="B1235" i="35"/>
  <c r="B1236" i="35"/>
  <c r="B1237" i="35"/>
  <c r="B1238" i="35"/>
  <c r="B1239" i="35"/>
  <c r="B1240" i="35"/>
  <c r="B1241" i="35"/>
  <c r="B1242" i="35"/>
  <c r="B1243" i="35"/>
  <c r="B1244" i="35"/>
  <c r="B1245" i="35"/>
  <c r="B1246" i="35"/>
  <c r="B1247" i="35"/>
  <c r="B1248" i="35"/>
  <c r="B1249" i="35"/>
  <c r="B1250" i="35"/>
  <c r="B1251" i="35"/>
  <c r="B1252" i="35"/>
  <c r="B1253" i="35"/>
  <c r="B1254" i="35"/>
  <c r="B1255" i="35"/>
  <c r="B1256" i="35"/>
  <c r="B1257" i="35"/>
  <c r="B1258" i="35"/>
  <c r="B1259" i="35"/>
  <c r="B1260" i="35"/>
  <c r="B1261" i="35"/>
  <c r="B1262" i="35"/>
  <c r="B1263" i="35"/>
  <c r="B1264" i="35"/>
  <c r="B1265" i="35"/>
  <c r="B1266" i="35"/>
  <c r="B1267" i="35"/>
  <c r="B1268" i="35"/>
  <c r="B1269" i="35"/>
  <c r="B1270" i="35"/>
  <c r="B1271" i="35"/>
  <c r="B1272" i="35"/>
  <c r="B1273" i="35"/>
  <c r="B1274" i="35"/>
  <c r="B1275" i="35"/>
  <c r="B1276" i="35"/>
  <c r="B1277" i="35"/>
  <c r="B1278" i="35"/>
  <c r="B1279" i="35"/>
  <c r="B1280" i="35"/>
  <c r="B1281" i="35"/>
  <c r="B1282" i="35"/>
  <c r="B1283" i="35"/>
  <c r="B1284" i="35"/>
  <c r="B1285" i="35"/>
  <c r="B1286" i="35"/>
  <c r="B1287" i="35"/>
  <c r="B1288" i="35"/>
  <c r="B1289" i="35"/>
  <c r="B1290" i="35"/>
  <c r="B1291" i="35"/>
  <c r="B1292" i="35"/>
  <c r="B1293" i="35"/>
  <c r="B1294" i="35"/>
  <c r="B1295" i="35"/>
  <c r="B1296" i="35"/>
  <c r="B1297" i="35"/>
  <c r="B1298" i="35"/>
  <c r="B1299" i="35"/>
  <c r="B1300" i="35"/>
  <c r="B1301" i="35"/>
  <c r="B1302" i="35"/>
  <c r="B1303" i="35"/>
  <c r="B1304" i="35"/>
  <c r="B1305" i="35"/>
  <c r="B1306" i="35"/>
  <c r="B1307" i="35"/>
  <c r="B1308" i="35"/>
  <c r="B1309" i="35"/>
  <c r="B1310" i="35"/>
  <c r="B1311" i="35"/>
  <c r="B1312" i="35"/>
  <c r="B1313" i="35"/>
  <c r="B1314" i="35"/>
  <c r="B1315" i="35"/>
  <c r="B1316" i="35"/>
  <c r="B1317" i="35"/>
  <c r="B1318" i="35"/>
  <c r="B1319" i="35"/>
  <c r="B1320" i="35"/>
  <c r="B1321" i="35"/>
  <c r="B1322" i="35"/>
  <c r="B1323" i="35"/>
  <c r="B1324" i="35"/>
  <c r="B1325" i="35"/>
  <c r="B1326" i="35"/>
  <c r="B1327" i="35"/>
  <c r="B1328" i="35"/>
  <c r="B1329" i="35"/>
  <c r="B1330" i="35"/>
  <c r="B1331" i="35"/>
  <c r="B1332" i="35"/>
  <c r="B1333" i="35"/>
  <c r="B1334" i="35"/>
  <c r="B1335" i="35"/>
  <c r="B1336" i="35"/>
  <c r="B1337" i="35"/>
  <c r="B1338" i="35"/>
  <c r="B1339" i="35"/>
  <c r="B1340" i="35"/>
  <c r="B1341" i="35"/>
  <c r="B1342" i="35"/>
  <c r="B1343" i="35"/>
  <c r="B1344" i="35"/>
  <c r="B1345" i="35"/>
  <c r="B1346" i="35"/>
  <c r="B1347" i="35"/>
  <c r="B1348" i="35"/>
  <c r="B1349" i="35"/>
  <c r="B1350" i="35"/>
  <c r="B1351" i="35"/>
  <c r="B1352" i="35"/>
  <c r="B1353" i="35"/>
  <c r="B1354" i="35"/>
  <c r="B1355" i="35"/>
  <c r="B1356" i="35"/>
  <c r="B1357" i="35"/>
  <c r="B1358" i="35"/>
  <c r="B1359" i="35"/>
  <c r="B1360" i="35"/>
  <c r="B1361" i="35"/>
  <c r="B1362" i="35"/>
  <c r="B1363" i="35"/>
  <c r="B1364" i="35"/>
  <c r="B1365" i="35"/>
  <c r="B1366" i="35"/>
  <c r="B1367" i="35"/>
  <c r="B1368" i="35"/>
  <c r="B1369" i="35"/>
  <c r="B1370" i="35"/>
  <c r="B1371" i="35"/>
  <c r="B1372" i="35"/>
  <c r="B1373" i="35"/>
  <c r="B1374" i="35"/>
  <c r="B1375" i="35"/>
  <c r="B1376" i="35"/>
  <c r="B1377" i="35"/>
  <c r="B1378" i="35"/>
  <c r="B1379" i="35"/>
  <c r="B1380" i="35"/>
  <c r="B1381" i="35"/>
  <c r="B1382" i="35"/>
  <c r="B1383" i="35"/>
  <c r="B1384" i="35"/>
  <c r="B1385" i="35"/>
  <c r="B1386" i="35"/>
  <c r="B1387" i="35"/>
  <c r="B1388" i="35"/>
  <c r="B1389" i="35"/>
  <c r="B1390" i="35"/>
  <c r="B1391" i="35"/>
  <c r="B1392" i="35"/>
  <c r="B1393" i="35"/>
  <c r="B1394" i="35"/>
  <c r="B1395" i="35"/>
  <c r="B1396" i="35"/>
  <c r="B1397" i="35"/>
  <c r="B1398" i="35"/>
  <c r="B1399" i="35"/>
  <c r="B1400" i="35"/>
  <c r="B1401" i="35"/>
  <c r="B1402" i="35"/>
  <c r="B1403" i="35"/>
  <c r="B1404" i="35"/>
  <c r="B1405" i="35"/>
  <c r="B1406" i="35"/>
  <c r="B1407" i="35"/>
  <c r="B1408" i="35"/>
  <c r="B1409" i="35"/>
  <c r="B1410" i="35"/>
  <c r="B1411" i="35"/>
  <c r="B1412" i="35"/>
  <c r="B1413" i="35"/>
  <c r="B1414" i="35"/>
  <c r="B1415" i="35"/>
  <c r="B1416" i="35"/>
  <c r="B1417" i="35"/>
  <c r="B1418" i="35"/>
  <c r="B1419" i="35"/>
  <c r="B1420" i="35"/>
  <c r="B1421" i="35"/>
  <c r="B1422" i="35"/>
  <c r="B1423" i="35"/>
  <c r="B1424" i="35"/>
  <c r="B1425" i="35"/>
  <c r="B1426" i="35"/>
  <c r="B1427" i="35"/>
  <c r="B1428" i="35"/>
  <c r="B1429" i="35"/>
  <c r="B1430" i="35"/>
  <c r="B1431" i="35"/>
  <c r="B1432" i="35"/>
  <c r="B1433" i="35"/>
  <c r="B1434" i="35"/>
  <c r="B1435" i="35"/>
  <c r="B1436" i="35"/>
  <c r="B1437" i="35"/>
  <c r="B1438" i="35"/>
  <c r="B1439" i="35"/>
  <c r="B1440" i="35"/>
  <c r="B1441" i="35"/>
  <c r="B1442" i="35"/>
  <c r="B1443" i="35"/>
  <c r="B1444" i="35"/>
  <c r="B1445" i="35"/>
  <c r="B1446" i="35"/>
  <c r="B1447" i="35"/>
  <c r="B1448" i="35"/>
  <c r="B1449" i="35"/>
  <c r="B1450" i="35"/>
  <c r="B1451" i="35"/>
  <c r="B1452" i="35"/>
  <c r="B1453" i="35"/>
  <c r="B1454" i="35"/>
  <c r="B1455" i="35"/>
  <c r="B1456" i="35"/>
  <c r="B1457" i="35"/>
  <c r="B1458" i="35"/>
  <c r="B1459" i="35"/>
  <c r="B1460" i="35"/>
  <c r="B1461" i="35"/>
  <c r="B1462" i="35"/>
  <c r="B1463" i="35"/>
  <c r="B1464" i="35"/>
  <c r="B1465" i="35"/>
  <c r="B1466" i="35"/>
  <c r="B1467" i="35"/>
  <c r="B1468" i="35"/>
  <c r="B1469" i="35"/>
  <c r="B1470" i="35"/>
  <c r="B1471" i="35"/>
  <c r="B1472" i="35"/>
  <c r="B1473" i="35"/>
  <c r="B1474" i="35"/>
  <c r="B1475" i="35"/>
  <c r="B1476" i="35"/>
  <c r="B1477" i="35"/>
  <c r="B1478" i="35"/>
  <c r="B1479" i="35"/>
  <c r="B1480" i="35"/>
  <c r="B1481" i="35"/>
  <c r="B1482" i="35"/>
  <c r="B1483" i="35"/>
  <c r="B1484" i="35"/>
  <c r="B1485" i="35"/>
  <c r="B1486" i="35"/>
  <c r="B1487" i="35"/>
  <c r="B1488" i="35"/>
  <c r="B1489" i="35"/>
  <c r="B1490" i="35"/>
  <c r="B1491" i="35"/>
  <c r="B1492" i="35"/>
  <c r="B1493" i="35"/>
  <c r="B1494" i="35"/>
  <c r="B1495" i="35"/>
  <c r="B1496" i="35"/>
  <c r="B1497" i="35"/>
  <c r="B1498" i="35"/>
  <c r="B1499" i="35"/>
  <c r="B1500" i="35"/>
  <c r="B1501" i="35"/>
  <c r="B1502" i="35"/>
  <c r="B1503" i="35"/>
  <c r="B1504" i="35"/>
  <c r="B1505" i="35"/>
  <c r="B1506" i="35"/>
  <c r="B1507" i="35"/>
  <c r="B1508" i="35"/>
  <c r="B1509" i="35"/>
  <c r="B1510" i="35"/>
  <c r="B1511" i="35"/>
  <c r="B1512" i="35"/>
  <c r="B1513" i="35"/>
  <c r="B1514" i="35"/>
  <c r="B1515" i="35"/>
  <c r="B1516" i="35"/>
  <c r="B1517" i="35"/>
  <c r="B1518" i="35"/>
  <c r="B1519" i="35"/>
  <c r="B1520" i="35"/>
  <c r="B1521" i="35"/>
  <c r="B1522" i="35"/>
  <c r="B1523" i="35"/>
  <c r="B1524" i="35"/>
  <c r="B1525" i="35"/>
  <c r="B1526" i="35"/>
  <c r="B1527" i="35"/>
  <c r="B1528" i="35"/>
  <c r="B1529" i="35"/>
  <c r="B1530" i="35"/>
  <c r="B1531" i="35"/>
  <c r="B1532" i="35"/>
  <c r="B1533" i="35"/>
  <c r="B1534" i="35"/>
  <c r="B1535" i="35"/>
  <c r="B1536" i="35"/>
  <c r="B1537" i="35"/>
  <c r="B1538" i="35"/>
  <c r="B1539" i="35"/>
  <c r="B1540" i="35"/>
  <c r="B1541" i="35"/>
  <c r="B1542" i="35"/>
  <c r="B1543" i="35"/>
  <c r="B1544" i="35"/>
  <c r="B1545" i="35"/>
  <c r="B1546" i="35"/>
  <c r="B1547" i="35"/>
  <c r="B1548" i="35"/>
  <c r="B1549" i="35"/>
  <c r="B1550" i="35"/>
  <c r="B1551" i="35"/>
  <c r="B1552" i="35"/>
  <c r="B1553" i="35"/>
  <c r="B1554" i="35"/>
  <c r="B1555" i="35"/>
  <c r="B1556" i="35"/>
  <c r="B1557" i="35"/>
  <c r="B4" i="33" l="1"/>
  <c r="B4" i="23" l="1"/>
  <c r="B4" i="1"/>
  <c r="H4" i="33" l="1"/>
  <c r="H4" i="23"/>
  <c r="H4" i="1"/>
  <c r="G4" i="33"/>
  <c r="G4" i="23"/>
  <c r="G4" i="1"/>
  <c r="C4" i="33"/>
  <c r="C4" i="23"/>
  <c r="C4" i="1"/>
  <c r="D4" i="33"/>
  <c r="D4" i="23"/>
  <c r="D4" i="1"/>
  <c r="F4" i="33" l="1"/>
  <c r="F4" i="23"/>
  <c r="F4" i="1"/>
  <c r="E4" i="33"/>
  <c r="E4" i="23"/>
  <c r="E4" i="1"/>
  <c r="A1010" i="37"/>
  <c r="A1009" i="37"/>
  <c r="A1008" i="37"/>
  <c r="A1007" i="37"/>
  <c r="A1006" i="37"/>
  <c r="A1005" i="37"/>
  <c r="A1004" i="37"/>
  <c r="A1003" i="37"/>
  <c r="A1002" i="37"/>
  <c r="A1001" i="37"/>
  <c r="A1000" i="37"/>
  <c r="A999" i="37"/>
  <c r="A998" i="37"/>
  <c r="A997" i="37"/>
  <c r="A996" i="37"/>
  <c r="A995" i="37"/>
  <c r="A994" i="37"/>
  <c r="A993" i="37"/>
  <c r="A992" i="37"/>
  <c r="A991" i="37"/>
  <c r="A990" i="37"/>
  <c r="A989" i="37"/>
  <c r="A988" i="37"/>
  <c r="A987" i="37"/>
  <c r="A986" i="37"/>
  <c r="A985" i="37"/>
  <c r="A984" i="37"/>
  <c r="A983" i="37"/>
  <c r="A982" i="37"/>
  <c r="A981" i="37"/>
  <c r="A980" i="37"/>
  <c r="A979" i="37"/>
  <c r="A978" i="37"/>
  <c r="A977" i="37"/>
  <c r="A976" i="37"/>
  <c r="A975" i="37"/>
  <c r="A974" i="37"/>
  <c r="A973" i="37"/>
  <c r="A972" i="37"/>
  <c r="A971" i="37"/>
  <c r="A970" i="37"/>
  <c r="A969" i="37"/>
  <c r="A968" i="37"/>
  <c r="A967" i="37"/>
  <c r="A966" i="37"/>
  <c r="A965" i="37"/>
  <c r="A964" i="37"/>
  <c r="A963" i="37"/>
  <c r="A962" i="37"/>
  <c r="A961" i="37"/>
  <c r="A960" i="37"/>
  <c r="A959" i="37"/>
  <c r="A958" i="37"/>
  <c r="A957" i="37"/>
  <c r="A956" i="37"/>
  <c r="A955" i="37"/>
  <c r="A954" i="37"/>
  <c r="A953" i="37"/>
  <c r="A952" i="37"/>
  <c r="A951" i="37"/>
  <c r="A950" i="37"/>
  <c r="A949" i="37"/>
  <c r="A948" i="37"/>
  <c r="A947" i="37"/>
  <c r="A946" i="37"/>
  <c r="A945" i="37"/>
  <c r="A944" i="37"/>
  <c r="A943" i="37"/>
  <c r="A942" i="37"/>
  <c r="A941" i="37"/>
  <c r="A940" i="37"/>
  <c r="A939" i="37"/>
  <c r="A938" i="37"/>
  <c r="A937" i="37"/>
  <c r="A936" i="37"/>
  <c r="A935" i="37"/>
  <c r="A934" i="37"/>
  <c r="A933" i="37"/>
  <c r="A932" i="37"/>
  <c r="A931" i="37"/>
  <c r="A930" i="37"/>
  <c r="A929" i="37"/>
  <c r="A928" i="37"/>
  <c r="A927" i="37"/>
  <c r="A926" i="37"/>
  <c r="A925" i="37"/>
  <c r="A924" i="37"/>
  <c r="A923" i="37"/>
  <c r="A922" i="37"/>
  <c r="A921" i="37"/>
  <c r="A920" i="37"/>
  <c r="A919" i="37"/>
  <c r="A918" i="37"/>
  <c r="A917" i="37"/>
  <c r="A916" i="37"/>
  <c r="A915" i="37"/>
  <c r="A914" i="37"/>
  <c r="A913" i="37"/>
  <c r="A912" i="37"/>
  <c r="A911" i="37"/>
  <c r="A910" i="37"/>
  <c r="A909" i="37"/>
  <c r="A908" i="37"/>
  <c r="A907" i="37"/>
  <c r="A906" i="37"/>
  <c r="A905" i="37"/>
  <c r="A904" i="37"/>
  <c r="A903" i="37"/>
  <c r="A902" i="37"/>
  <c r="A901" i="37"/>
  <c r="A900" i="37"/>
  <c r="A899" i="37"/>
  <c r="A898" i="37"/>
  <c r="A897" i="37"/>
  <c r="A896" i="37"/>
  <c r="A895" i="37"/>
  <c r="A894" i="37"/>
  <c r="A893" i="37"/>
  <c r="A892" i="37"/>
  <c r="A891" i="37"/>
  <c r="A890" i="37"/>
  <c r="A889" i="37"/>
  <c r="A888" i="37"/>
  <c r="A887" i="37"/>
  <c r="A886" i="37"/>
  <c r="A885" i="37"/>
  <c r="A884" i="37"/>
  <c r="A883" i="37"/>
  <c r="A882" i="37"/>
  <c r="A881" i="37"/>
  <c r="A880" i="37"/>
  <c r="A879" i="37"/>
  <c r="A878" i="37"/>
  <c r="A877" i="37"/>
  <c r="A876" i="37"/>
  <c r="A875" i="37"/>
  <c r="A874" i="37"/>
  <c r="A873" i="37"/>
  <c r="A872" i="37"/>
  <c r="A871" i="37"/>
  <c r="A870" i="37"/>
  <c r="A869" i="37"/>
  <c r="A868" i="37"/>
  <c r="A867" i="37"/>
  <c r="A866" i="37"/>
  <c r="A865" i="37"/>
  <c r="A864" i="37"/>
  <c r="A863" i="37"/>
  <c r="A862" i="37"/>
  <c r="A861" i="37"/>
  <c r="A860" i="37"/>
  <c r="A859" i="37"/>
  <c r="A858" i="37"/>
  <c r="A857" i="37"/>
  <c r="A856" i="37"/>
  <c r="A855" i="37"/>
  <c r="A854" i="37"/>
  <c r="A853" i="37"/>
  <c r="A852" i="37"/>
  <c r="A851" i="37"/>
  <c r="A850" i="37"/>
  <c r="A849" i="37"/>
  <c r="A848" i="37"/>
  <c r="A847" i="37"/>
  <c r="A846" i="37"/>
  <c r="A845" i="37"/>
  <c r="A844" i="37"/>
  <c r="A843" i="37"/>
  <c r="A842" i="37"/>
  <c r="A841" i="37"/>
  <c r="A840" i="37"/>
  <c r="A839" i="37"/>
  <c r="A838" i="37"/>
  <c r="A837" i="37"/>
  <c r="A836" i="37"/>
  <c r="A835" i="37"/>
  <c r="A834" i="37"/>
  <c r="A833" i="37"/>
  <c r="A832" i="37"/>
  <c r="A831" i="37"/>
  <c r="A830" i="37"/>
  <c r="A829" i="37"/>
  <c r="A828" i="37"/>
  <c r="A827" i="37"/>
  <c r="A826" i="37"/>
  <c r="A825" i="37"/>
  <c r="A824" i="37"/>
  <c r="A823" i="37"/>
  <c r="A822" i="37"/>
  <c r="A821" i="37"/>
  <c r="A820" i="37"/>
  <c r="A819" i="37"/>
  <c r="A818" i="37"/>
  <c r="A817" i="37"/>
  <c r="A816" i="37"/>
  <c r="A815" i="37"/>
  <c r="A814" i="37"/>
  <c r="A813" i="37"/>
  <c r="A812" i="37"/>
  <c r="A811" i="37"/>
  <c r="A810" i="37"/>
  <c r="A809" i="37"/>
  <c r="A808" i="37"/>
  <c r="A807" i="37"/>
  <c r="A806" i="37"/>
  <c r="A805" i="37"/>
  <c r="A804" i="37"/>
  <c r="A803" i="37"/>
  <c r="A802" i="37"/>
  <c r="A801" i="37"/>
  <c r="A800" i="37"/>
  <c r="A799" i="37"/>
  <c r="A798" i="37"/>
  <c r="A797" i="37"/>
  <c r="A796" i="37"/>
  <c r="A795" i="37"/>
  <c r="A794" i="37"/>
  <c r="A793" i="37"/>
  <c r="A792" i="37"/>
  <c r="A791" i="37"/>
  <c r="A790" i="37"/>
  <c r="A789" i="37"/>
  <c r="A788" i="37"/>
  <c r="A787" i="37"/>
  <c r="A786" i="37"/>
  <c r="A785" i="37"/>
  <c r="A784" i="37"/>
  <c r="A783" i="37"/>
  <c r="A782" i="37"/>
  <c r="A781" i="37"/>
  <c r="A780" i="37"/>
  <c r="A779" i="37"/>
  <c r="A778" i="37"/>
  <c r="A777" i="37"/>
  <c r="A776" i="37"/>
  <c r="A775" i="37"/>
  <c r="A774" i="37"/>
  <c r="A773" i="37"/>
  <c r="A772" i="37"/>
  <c r="A771" i="37"/>
  <c r="A770" i="37"/>
  <c r="A769" i="37"/>
  <c r="A768" i="37"/>
  <c r="A767" i="37"/>
  <c r="A766" i="37"/>
  <c r="A765" i="37"/>
  <c r="A764" i="37"/>
  <c r="A763" i="37"/>
  <c r="A762" i="37"/>
  <c r="A761" i="37"/>
  <c r="A760" i="37"/>
  <c r="A759" i="37"/>
  <c r="A758" i="37"/>
  <c r="A757" i="37"/>
  <c r="A756" i="37"/>
  <c r="A755" i="37"/>
  <c r="A754" i="37"/>
  <c r="A753" i="37"/>
  <c r="A752" i="37"/>
  <c r="A751" i="37"/>
  <c r="A750" i="37"/>
  <c r="A749" i="37"/>
  <c r="A748" i="37"/>
  <c r="A747" i="37"/>
  <c r="A746" i="37"/>
  <c r="A745" i="37"/>
  <c r="A744" i="37"/>
  <c r="A743" i="37"/>
  <c r="A742" i="37"/>
  <c r="A741" i="37"/>
  <c r="A740" i="37"/>
  <c r="A739" i="37"/>
  <c r="A738" i="37"/>
  <c r="A737" i="37"/>
  <c r="A736" i="37"/>
  <c r="A735" i="37"/>
  <c r="A734" i="37"/>
  <c r="A733" i="37"/>
  <c r="A732" i="37"/>
  <c r="A731" i="37"/>
  <c r="A730" i="37"/>
  <c r="A729" i="37"/>
  <c r="A728" i="37"/>
  <c r="A727" i="37"/>
  <c r="A726" i="37"/>
  <c r="A725" i="37"/>
  <c r="A724" i="37"/>
  <c r="A723" i="37"/>
  <c r="A722" i="37"/>
  <c r="A721" i="37"/>
  <c r="A720" i="37"/>
  <c r="A719" i="37"/>
  <c r="A718" i="37"/>
  <c r="A717" i="37"/>
  <c r="A716" i="37"/>
  <c r="A715" i="37"/>
  <c r="A714" i="37"/>
  <c r="A713" i="37"/>
  <c r="A712" i="37"/>
  <c r="A711" i="37"/>
  <c r="A710" i="37"/>
  <c r="A709" i="37"/>
  <c r="A708" i="37"/>
  <c r="A707" i="37"/>
  <c r="A706" i="37"/>
  <c r="A705" i="37"/>
  <c r="A704" i="37"/>
  <c r="A703" i="37"/>
  <c r="A702" i="37"/>
  <c r="A701" i="37"/>
  <c r="A700" i="37"/>
  <c r="A699" i="37"/>
  <c r="A698" i="37"/>
  <c r="A697" i="37"/>
  <c r="A696" i="37"/>
  <c r="A695" i="37"/>
  <c r="A694" i="37"/>
  <c r="A693" i="37"/>
  <c r="A692" i="37"/>
  <c r="A691" i="37"/>
  <c r="A690" i="37"/>
  <c r="A689" i="37"/>
  <c r="A688" i="37"/>
  <c r="A687" i="37"/>
  <c r="A686" i="37"/>
  <c r="A685" i="37"/>
  <c r="A684" i="37"/>
  <c r="A683" i="37"/>
  <c r="A682" i="37"/>
  <c r="A681" i="37"/>
  <c r="A680" i="37"/>
  <c r="A679" i="37"/>
  <c r="A678" i="37"/>
  <c r="A677" i="37"/>
  <c r="A676" i="37"/>
  <c r="A675" i="37"/>
  <c r="A674" i="37"/>
  <c r="A673" i="37"/>
  <c r="A672" i="37"/>
  <c r="A671" i="37"/>
  <c r="A670" i="37"/>
  <c r="A669" i="37"/>
  <c r="A668" i="37"/>
  <c r="A667" i="37"/>
  <c r="A666" i="37"/>
  <c r="A665" i="37"/>
  <c r="A664" i="37"/>
  <c r="A663" i="37"/>
  <c r="A662" i="37"/>
  <c r="A661" i="37"/>
  <c r="A660" i="37"/>
  <c r="A659" i="37"/>
  <c r="A658" i="37"/>
  <c r="A657" i="37"/>
  <c r="A656" i="37"/>
  <c r="A655" i="37"/>
  <c r="A654" i="37"/>
  <c r="A653" i="37"/>
  <c r="A652" i="37"/>
  <c r="A651" i="37"/>
  <c r="A650" i="37"/>
  <c r="A649" i="37"/>
  <c r="A648" i="37"/>
  <c r="A647" i="37"/>
  <c r="A646" i="37"/>
  <c r="A645" i="37"/>
  <c r="A644" i="37"/>
  <c r="A643" i="37"/>
  <c r="A642" i="37"/>
  <c r="A641" i="37"/>
  <c r="A640" i="37"/>
  <c r="A639" i="37"/>
  <c r="A638" i="37"/>
  <c r="A637" i="37"/>
  <c r="A636" i="37"/>
  <c r="A635" i="37"/>
  <c r="A634" i="37"/>
  <c r="A633" i="37"/>
  <c r="A632" i="37"/>
  <c r="A631" i="37"/>
  <c r="A630" i="37"/>
  <c r="A629" i="37"/>
  <c r="A628" i="37"/>
  <c r="A627" i="37"/>
  <c r="A626" i="37"/>
  <c r="A625" i="37"/>
  <c r="A624" i="37"/>
  <c r="A623" i="37"/>
  <c r="A622" i="37"/>
  <c r="A621" i="37"/>
  <c r="A620" i="37"/>
  <c r="A619" i="37"/>
  <c r="A618" i="37"/>
  <c r="A617" i="37"/>
  <c r="A616" i="37"/>
  <c r="A615" i="37"/>
  <c r="A614" i="37"/>
  <c r="A613" i="37"/>
  <c r="A612" i="37"/>
  <c r="A611" i="37"/>
  <c r="A610" i="37"/>
  <c r="A609" i="37"/>
  <c r="A608" i="37"/>
  <c r="A607" i="37"/>
  <c r="A606" i="37"/>
  <c r="A605" i="37"/>
  <c r="A604" i="37"/>
  <c r="A603" i="37"/>
  <c r="A602" i="37"/>
  <c r="A601" i="37"/>
  <c r="A600" i="37"/>
  <c r="A599" i="37"/>
  <c r="A598" i="37"/>
  <c r="A597" i="37"/>
  <c r="A596" i="37"/>
  <c r="A595" i="37"/>
  <c r="A594" i="37"/>
  <c r="A593" i="37"/>
  <c r="A592" i="37"/>
  <c r="A591" i="37"/>
  <c r="A590" i="37"/>
  <c r="A589" i="37"/>
  <c r="A588" i="37"/>
  <c r="A587" i="37"/>
  <c r="A586" i="37"/>
  <c r="A585" i="37"/>
  <c r="A584" i="37"/>
  <c r="A583" i="37"/>
  <c r="A582" i="37"/>
  <c r="A581" i="37"/>
  <c r="A580" i="37"/>
  <c r="A579" i="37"/>
  <c r="A578" i="37"/>
  <c r="A577" i="37"/>
  <c r="A576" i="37"/>
  <c r="A575" i="37"/>
  <c r="A574" i="37"/>
  <c r="A573" i="37"/>
  <c r="A572" i="37"/>
  <c r="A571" i="37"/>
  <c r="A570" i="37"/>
  <c r="A569" i="37"/>
  <c r="A568" i="37"/>
  <c r="A567" i="37"/>
  <c r="A566" i="37"/>
  <c r="A565" i="37"/>
  <c r="A564" i="37"/>
  <c r="A563" i="37"/>
  <c r="A562" i="37"/>
  <c r="A561" i="37"/>
  <c r="A560" i="37"/>
  <c r="A559" i="37"/>
  <c r="A558" i="37"/>
  <c r="A557" i="37"/>
  <c r="A556" i="37"/>
  <c r="A555" i="37"/>
  <c r="A554" i="37"/>
  <c r="A553" i="37"/>
  <c r="A552" i="37"/>
  <c r="A551" i="37"/>
  <c r="A550" i="37"/>
  <c r="A549" i="37"/>
  <c r="A548" i="37"/>
  <c r="A547" i="37"/>
  <c r="A546" i="37"/>
  <c r="A545" i="37"/>
  <c r="A544" i="37"/>
  <c r="A543" i="37"/>
  <c r="A542" i="37"/>
  <c r="A541" i="37"/>
  <c r="A540" i="37"/>
  <c r="A539" i="37"/>
  <c r="A538" i="37"/>
  <c r="A537" i="37"/>
  <c r="A536" i="37"/>
  <c r="A535" i="37"/>
  <c r="A534" i="37"/>
  <c r="A533" i="37"/>
  <c r="A532" i="37"/>
  <c r="A531" i="37"/>
  <c r="A530" i="37"/>
  <c r="A529" i="37"/>
  <c r="A528" i="37"/>
  <c r="A527" i="37"/>
  <c r="A526" i="37"/>
  <c r="A525" i="37"/>
  <c r="A524" i="37"/>
  <c r="A523" i="37"/>
  <c r="A522" i="37"/>
  <c r="A521" i="37"/>
  <c r="A520" i="37"/>
  <c r="A519" i="37"/>
  <c r="A518" i="37"/>
  <c r="A517" i="37"/>
  <c r="A516" i="37"/>
  <c r="A515" i="37"/>
  <c r="A514" i="37"/>
  <c r="A513" i="37"/>
  <c r="A512" i="37"/>
  <c r="A511" i="37"/>
  <c r="A510" i="37"/>
  <c r="A509" i="37"/>
  <c r="A508" i="37"/>
  <c r="A507" i="37"/>
  <c r="A506" i="37"/>
  <c r="A505" i="37"/>
  <c r="A504" i="37"/>
  <c r="A503" i="37"/>
  <c r="A502" i="37"/>
  <c r="A501" i="37"/>
  <c r="A500" i="37"/>
  <c r="A499" i="37"/>
  <c r="A498" i="37"/>
  <c r="A497" i="37"/>
  <c r="A496" i="37"/>
  <c r="A495" i="37"/>
  <c r="A494" i="37"/>
  <c r="A493" i="37"/>
  <c r="A492" i="37"/>
  <c r="A491" i="37"/>
  <c r="A490" i="37"/>
  <c r="A489" i="37"/>
  <c r="A488" i="37"/>
  <c r="A487" i="37"/>
  <c r="A486" i="37"/>
  <c r="A485" i="37"/>
  <c r="A484" i="37"/>
  <c r="A483" i="37"/>
  <c r="A482" i="37"/>
  <c r="A481" i="37"/>
  <c r="A480" i="37"/>
  <c r="A479" i="37"/>
  <c r="A478" i="37"/>
  <c r="A477" i="37"/>
  <c r="A476" i="37"/>
  <c r="A475" i="37"/>
  <c r="A474" i="37"/>
  <c r="A473" i="37"/>
  <c r="A472" i="37"/>
  <c r="A471" i="37"/>
  <c r="A470" i="37"/>
  <c r="A469" i="37"/>
  <c r="A468" i="37"/>
  <c r="A467" i="37"/>
  <c r="A466" i="37"/>
  <c r="A465" i="37"/>
  <c r="A464" i="37"/>
  <c r="A463" i="37"/>
  <c r="A462" i="37"/>
  <c r="A461" i="37"/>
  <c r="A460" i="37"/>
  <c r="A459" i="37"/>
  <c r="A458" i="37"/>
  <c r="A457" i="37"/>
  <c r="A456" i="37"/>
  <c r="A455" i="37"/>
  <c r="A454" i="37"/>
  <c r="A453" i="37"/>
  <c r="A452" i="37"/>
  <c r="A451" i="37"/>
  <c r="A450" i="37"/>
  <c r="A449" i="37"/>
  <c r="A448" i="37"/>
  <c r="A447" i="37"/>
  <c r="A446" i="37"/>
  <c r="A445" i="37"/>
  <c r="A444" i="37"/>
  <c r="A443" i="37"/>
  <c r="A442" i="37"/>
  <c r="A441" i="37"/>
  <c r="A440" i="37"/>
  <c r="A439" i="37"/>
  <c r="A438" i="37"/>
  <c r="A437" i="37"/>
  <c r="A436" i="37"/>
  <c r="A435" i="37"/>
  <c r="A434" i="37"/>
  <c r="A433" i="37"/>
  <c r="A432" i="37"/>
  <c r="A431" i="37"/>
  <c r="A430" i="37"/>
  <c r="A429" i="37"/>
  <c r="A428" i="37"/>
  <c r="A427" i="37"/>
  <c r="A426" i="37"/>
  <c r="A425" i="37"/>
  <c r="A424" i="37"/>
  <c r="A423" i="37"/>
  <c r="A422" i="37"/>
  <c r="A421" i="37"/>
  <c r="A420" i="37"/>
  <c r="A419" i="37"/>
  <c r="A418" i="37"/>
  <c r="A417" i="37"/>
  <c r="A416" i="37"/>
  <c r="A415" i="37"/>
  <c r="A414" i="37"/>
  <c r="A413" i="37"/>
  <c r="A412" i="37"/>
  <c r="A411" i="37"/>
  <c r="A410" i="37"/>
  <c r="A409" i="37"/>
  <c r="A408" i="37"/>
  <c r="A407" i="37"/>
  <c r="A406" i="37"/>
  <c r="A405" i="37"/>
  <c r="A404" i="37"/>
  <c r="A403" i="37"/>
  <c r="A402" i="37"/>
  <c r="A401" i="37"/>
  <c r="A400" i="37"/>
  <c r="A399" i="37"/>
  <c r="A398" i="37"/>
  <c r="A397" i="37"/>
  <c r="A396" i="37"/>
  <c r="A395" i="37"/>
  <c r="A394" i="37"/>
  <c r="A393" i="37"/>
  <c r="A392" i="37"/>
  <c r="A391" i="37"/>
  <c r="A390" i="37"/>
  <c r="A389" i="37"/>
  <c r="A388" i="37"/>
  <c r="A387" i="37"/>
  <c r="A386" i="37"/>
  <c r="A385" i="37"/>
  <c r="A384" i="37"/>
  <c r="A383" i="37"/>
  <c r="A382" i="37"/>
  <c r="A381" i="37"/>
  <c r="A380" i="37"/>
  <c r="A379" i="37"/>
  <c r="A378" i="37"/>
  <c r="A377" i="37"/>
  <c r="A376" i="37"/>
  <c r="A375" i="37"/>
  <c r="A374" i="37"/>
  <c r="A373" i="37"/>
  <c r="A372" i="37"/>
  <c r="A371" i="37"/>
  <c r="A370" i="37"/>
  <c r="A369" i="37"/>
  <c r="A368" i="37"/>
  <c r="A367" i="37"/>
  <c r="A366" i="37"/>
  <c r="A365" i="37"/>
  <c r="A364" i="37"/>
  <c r="A363" i="37"/>
  <c r="A362" i="37"/>
  <c r="A361" i="37"/>
  <c r="A360" i="37"/>
  <c r="A359" i="37"/>
  <c r="A358" i="37"/>
  <c r="A357" i="37"/>
  <c r="A356" i="37"/>
  <c r="A355" i="37"/>
  <c r="A354" i="37"/>
  <c r="A353" i="37"/>
  <c r="A352" i="37"/>
  <c r="A351" i="37"/>
  <c r="A350" i="37"/>
  <c r="A349" i="37"/>
  <c r="A348" i="37"/>
  <c r="A347" i="37"/>
  <c r="A346" i="37"/>
  <c r="A345" i="37"/>
  <c r="A344" i="37"/>
  <c r="A343" i="37"/>
  <c r="A342" i="37"/>
  <c r="A341" i="37"/>
  <c r="A340" i="37"/>
  <c r="A339" i="37"/>
  <c r="A338" i="37"/>
  <c r="A337" i="37"/>
  <c r="A336" i="37"/>
  <c r="A335" i="37"/>
  <c r="A334" i="37"/>
  <c r="A333" i="37"/>
  <c r="A332" i="37"/>
  <c r="A331" i="37"/>
  <c r="A330" i="37"/>
  <c r="A329" i="37"/>
  <c r="A328" i="37"/>
  <c r="A327" i="37"/>
  <c r="A326" i="37"/>
  <c r="A325" i="37"/>
  <c r="A324" i="37"/>
  <c r="A323" i="37"/>
  <c r="A322" i="37"/>
  <c r="A321" i="37"/>
  <c r="A320" i="37"/>
  <c r="A319" i="37"/>
  <c r="A318" i="37"/>
  <c r="A317" i="37"/>
  <c r="A316" i="37"/>
  <c r="A315" i="37"/>
  <c r="A314" i="37"/>
  <c r="A313" i="37"/>
  <c r="A312" i="37"/>
  <c r="A311" i="37"/>
  <c r="A310" i="37"/>
  <c r="A309" i="37"/>
  <c r="A308" i="37"/>
  <c r="A307" i="37"/>
  <c r="A306" i="37"/>
  <c r="A305" i="37"/>
  <c r="A304" i="37"/>
  <c r="A303" i="37"/>
  <c r="A302" i="37"/>
  <c r="A301" i="37"/>
  <c r="A300" i="37"/>
  <c r="A299" i="37"/>
  <c r="A298" i="37"/>
  <c r="A297" i="37"/>
  <c r="A296" i="37"/>
  <c r="A295" i="37"/>
  <c r="A294" i="37"/>
  <c r="A293" i="37"/>
  <c r="A292" i="37"/>
  <c r="A291" i="37"/>
  <c r="A290" i="37"/>
  <c r="A289" i="37"/>
  <c r="A288" i="37"/>
  <c r="A287" i="37"/>
  <c r="A286" i="37"/>
  <c r="A285" i="37"/>
  <c r="A284" i="37"/>
  <c r="A283" i="37"/>
  <c r="A282" i="37"/>
  <c r="A281" i="37"/>
  <c r="A280" i="37"/>
  <c r="A279" i="37"/>
  <c r="A278" i="37"/>
  <c r="A277" i="37"/>
  <c r="A276" i="37"/>
  <c r="A275" i="37"/>
  <c r="A274" i="37"/>
  <c r="A273" i="37"/>
  <c r="A272" i="37"/>
  <c r="A271" i="37"/>
  <c r="A270" i="37"/>
  <c r="A269" i="37"/>
  <c r="A268" i="37"/>
  <c r="A267" i="37"/>
  <c r="A266" i="37"/>
  <c r="A265" i="37"/>
  <c r="A264" i="37"/>
  <c r="A263" i="37"/>
  <c r="A262" i="37"/>
  <c r="A261" i="37"/>
  <c r="A260" i="37"/>
  <c r="A259" i="37"/>
  <c r="A258" i="37"/>
  <c r="A257" i="37"/>
  <c r="A256" i="37"/>
  <c r="A255" i="37"/>
  <c r="A254" i="37"/>
  <c r="A253" i="37"/>
  <c r="A252" i="37"/>
  <c r="A251" i="37"/>
  <c r="A250" i="37"/>
  <c r="A249" i="37"/>
  <c r="A248" i="37"/>
  <c r="A247" i="37"/>
  <c r="A246" i="37"/>
  <c r="A245" i="37"/>
  <c r="A244" i="37"/>
  <c r="A243" i="37"/>
  <c r="A242" i="37"/>
  <c r="A241" i="37"/>
  <c r="A240" i="37"/>
  <c r="A239" i="37"/>
  <c r="A238" i="37"/>
  <c r="A237" i="37"/>
  <c r="A236" i="37"/>
  <c r="A235" i="37"/>
  <c r="A234" i="37"/>
  <c r="A233" i="37"/>
  <c r="A232" i="37"/>
  <c r="A231" i="37"/>
  <c r="A230" i="37"/>
  <c r="A229" i="37"/>
  <c r="A228" i="37"/>
  <c r="A227" i="37"/>
  <c r="A226" i="37"/>
  <c r="A225" i="37"/>
  <c r="A224" i="37"/>
  <c r="A223" i="37"/>
  <c r="A222" i="37"/>
  <c r="A221" i="37"/>
  <c r="A220" i="37"/>
  <c r="A219" i="37"/>
  <c r="A218" i="37"/>
  <c r="A217" i="37"/>
  <c r="A216" i="37"/>
  <c r="A215" i="37"/>
  <c r="A214" i="37"/>
  <c r="A213" i="37"/>
  <c r="A212" i="37"/>
  <c r="A211" i="37"/>
  <c r="A210" i="37"/>
  <c r="A209" i="37"/>
  <c r="A208" i="37"/>
  <c r="A207" i="37"/>
  <c r="A206" i="37"/>
  <c r="A205" i="37"/>
  <c r="A204" i="37"/>
  <c r="A203" i="37"/>
  <c r="A202" i="37"/>
  <c r="A201" i="37"/>
  <c r="A200" i="37"/>
  <c r="A199" i="37"/>
  <c r="A198" i="37"/>
  <c r="A197" i="37"/>
  <c r="A196" i="37"/>
  <c r="A195" i="37"/>
  <c r="A194" i="37"/>
  <c r="A193" i="37"/>
  <c r="A192" i="37"/>
  <c r="A191" i="37"/>
  <c r="A190" i="37"/>
  <c r="A189" i="37"/>
  <c r="A188" i="37"/>
  <c r="A187" i="37"/>
  <c r="A186" i="37"/>
  <c r="A185" i="37"/>
  <c r="A184" i="37"/>
  <c r="A183" i="37"/>
  <c r="A182" i="37"/>
  <c r="A181" i="37"/>
  <c r="A180" i="37"/>
  <c r="A179" i="37"/>
  <c r="A178" i="37"/>
  <c r="A177" i="37"/>
  <c r="A176" i="37"/>
  <c r="A175" i="37"/>
  <c r="A174" i="37"/>
  <c r="A173" i="37"/>
  <c r="A172" i="37"/>
  <c r="A171" i="37"/>
  <c r="A170" i="37"/>
  <c r="A169" i="37"/>
  <c r="A168" i="37"/>
  <c r="A167" i="37"/>
  <c r="A166" i="37"/>
  <c r="A165" i="37"/>
  <c r="A164" i="37"/>
  <c r="A163" i="37"/>
  <c r="A162" i="37"/>
  <c r="A161" i="37"/>
  <c r="A160" i="37"/>
  <c r="A159" i="37"/>
  <c r="A158" i="37"/>
  <c r="A157" i="37"/>
  <c r="A156" i="37"/>
  <c r="A155" i="37"/>
  <c r="A154" i="37"/>
  <c r="A153" i="37"/>
  <c r="A152" i="37"/>
  <c r="A151" i="37"/>
  <c r="A150" i="37"/>
  <c r="A149" i="37"/>
  <c r="A148" i="37"/>
  <c r="A147" i="37"/>
  <c r="A146" i="37"/>
  <c r="A145" i="37"/>
  <c r="A144" i="37"/>
  <c r="A143" i="37"/>
  <c r="A142" i="37"/>
  <c r="A141" i="37"/>
  <c r="A140" i="37"/>
  <c r="A139" i="37"/>
  <c r="A138" i="37"/>
  <c r="A137" i="37"/>
  <c r="A136" i="37"/>
  <c r="A135" i="37"/>
  <c r="A134" i="37"/>
  <c r="A133" i="37"/>
  <c r="A132" i="37"/>
  <c r="A131" i="37"/>
  <c r="A130" i="37"/>
  <c r="A129" i="37"/>
  <c r="A128" i="37"/>
  <c r="A127" i="37"/>
  <c r="A126" i="37"/>
  <c r="A125" i="37"/>
  <c r="A124" i="37"/>
  <c r="A123" i="37"/>
  <c r="A122" i="37"/>
  <c r="A121" i="37"/>
  <c r="A120" i="37"/>
  <c r="A119" i="37"/>
  <c r="A118" i="37"/>
  <c r="A117" i="37"/>
  <c r="A116" i="37"/>
  <c r="A115" i="37"/>
  <c r="A114" i="37"/>
  <c r="A113" i="37"/>
  <c r="A112" i="37"/>
  <c r="A111" i="37"/>
  <c r="A110" i="37"/>
  <c r="A109" i="37"/>
  <c r="A108" i="37"/>
  <c r="A107" i="37"/>
  <c r="A106" i="37"/>
  <c r="A105" i="37"/>
  <c r="A104" i="37"/>
  <c r="A103" i="37"/>
  <c r="A102" i="37"/>
  <c r="A101" i="37"/>
  <c r="A100" i="37"/>
  <c r="A99" i="37"/>
  <c r="A98" i="37"/>
  <c r="A97" i="37"/>
  <c r="A96" i="37"/>
  <c r="A95" i="37"/>
  <c r="A94" i="37"/>
  <c r="A93" i="37"/>
  <c r="A92" i="37"/>
  <c r="A91" i="37"/>
  <c r="A90" i="37"/>
  <c r="A89" i="37"/>
  <c r="A88" i="37"/>
  <c r="A87" i="37"/>
  <c r="A86" i="37"/>
  <c r="A85" i="37"/>
  <c r="A84" i="37"/>
  <c r="A83" i="37"/>
  <c r="A82" i="37"/>
  <c r="A81" i="37"/>
  <c r="A80" i="37"/>
  <c r="A79" i="37"/>
  <c r="A78" i="37"/>
  <c r="A77" i="37"/>
  <c r="A76" i="37"/>
  <c r="A75" i="37"/>
  <c r="A74" i="37"/>
  <c r="A73" i="37"/>
  <c r="A72" i="37"/>
  <c r="A71" i="37"/>
  <c r="A70" i="37"/>
  <c r="A69" i="37"/>
  <c r="A68" i="37"/>
  <c r="A67" i="37"/>
  <c r="A66" i="37"/>
  <c r="A65" i="37"/>
  <c r="A64" i="37"/>
  <c r="A63" i="37"/>
  <c r="A62" i="37"/>
  <c r="A61" i="37"/>
  <c r="A60" i="37"/>
  <c r="A59" i="37"/>
  <c r="A58" i="37"/>
  <c r="A57" i="37"/>
  <c r="A56" i="37"/>
  <c r="A55" i="37"/>
  <c r="A54" i="37"/>
  <c r="A53" i="37"/>
  <c r="A52" i="37"/>
  <c r="A51" i="37"/>
  <c r="A50" i="37"/>
  <c r="A49" i="37"/>
  <c r="A48" i="37"/>
  <c r="A47" i="37"/>
  <c r="A46" i="37"/>
  <c r="A45" i="37"/>
  <c r="A44" i="37"/>
  <c r="A43" i="37"/>
  <c r="A42" i="37"/>
  <c r="A41" i="37"/>
  <c r="A40" i="37"/>
  <c r="A39" i="37"/>
  <c r="A38" i="37"/>
  <c r="A37" i="37"/>
  <c r="A36" i="37"/>
  <c r="A35" i="37"/>
  <c r="A34" i="37"/>
  <c r="A33" i="37"/>
  <c r="A32" i="37"/>
  <c r="A31" i="37"/>
  <c r="A30" i="37"/>
  <c r="A29" i="37"/>
  <c r="A28" i="37"/>
  <c r="A27" i="37"/>
  <c r="A26" i="37"/>
  <c r="A25" i="37"/>
  <c r="A24" i="37"/>
  <c r="A23" i="37"/>
  <c r="A22" i="37"/>
  <c r="A21" i="37"/>
  <c r="A20" i="37"/>
  <c r="A19" i="37"/>
  <c r="A18" i="37"/>
  <c r="A17" i="37"/>
  <c r="A16" i="37"/>
  <c r="A15" i="37"/>
  <c r="A14" i="37"/>
  <c r="A13" i="37"/>
  <c r="A12" i="37"/>
  <c r="A11" i="37"/>
  <c r="A10" i="37"/>
  <c r="A9" i="37"/>
  <c r="A8" i="37"/>
  <c r="A7" i="37"/>
  <c r="A6" i="37"/>
  <c r="A5" i="37"/>
  <c r="A4" i="37"/>
  <c r="A3" i="37"/>
  <c r="A2" i="37"/>
  <c r="A2" i="36"/>
  <c r="A2" i="35"/>
  <c r="A52" i="33" l="1"/>
  <c r="A45" i="33"/>
  <c r="V43" i="33"/>
  <c r="V53" i="4" s="1"/>
  <c r="U43" i="33"/>
  <c r="U53" i="4" s="1"/>
  <c r="T43" i="33"/>
  <c r="T53" i="4" s="1"/>
  <c r="S43" i="33"/>
  <c r="S53" i="4" s="1"/>
  <c r="R43" i="33"/>
  <c r="R53" i="4" s="1"/>
  <c r="Q43" i="33"/>
  <c r="Q53" i="4" s="1"/>
  <c r="P43" i="33"/>
  <c r="P53" i="4" s="1"/>
  <c r="M43" i="33"/>
  <c r="M53" i="4" s="1"/>
  <c r="L43" i="33"/>
  <c r="L53" i="4" s="1"/>
  <c r="K43" i="33"/>
  <c r="K53" i="4" s="1"/>
  <c r="J43" i="33"/>
  <c r="J53" i="4" s="1"/>
  <c r="I43" i="33"/>
  <c r="I53" i="4" s="1"/>
  <c r="H43" i="33"/>
  <c r="H53" i="4" s="1"/>
  <c r="G43" i="33"/>
  <c r="G53" i="4" s="1"/>
  <c r="F43" i="33"/>
  <c r="F53" i="4" s="1"/>
  <c r="E43" i="33"/>
  <c r="E53" i="4" s="1"/>
  <c r="D43" i="33"/>
  <c r="D53" i="4" s="1"/>
  <c r="C43" i="33"/>
  <c r="C53" i="4" s="1"/>
  <c r="B43" i="33"/>
  <c r="B53" i="4" s="1"/>
  <c r="V42" i="33"/>
  <c r="V52" i="4" s="1"/>
  <c r="U42" i="33"/>
  <c r="U52" i="4" s="1"/>
  <c r="T42" i="33"/>
  <c r="T52" i="4" s="1"/>
  <c r="S42" i="33"/>
  <c r="S52" i="4" s="1"/>
  <c r="R42" i="33"/>
  <c r="R52" i="4" s="1"/>
  <c r="Q42" i="33"/>
  <c r="Q52" i="4" s="1"/>
  <c r="P42" i="33"/>
  <c r="P52" i="4" s="1"/>
  <c r="M42" i="33"/>
  <c r="M52" i="4" s="1"/>
  <c r="L42" i="33"/>
  <c r="L52" i="4" s="1"/>
  <c r="K42" i="33"/>
  <c r="K52" i="4" s="1"/>
  <c r="J42" i="33"/>
  <c r="J52" i="4" s="1"/>
  <c r="I42" i="33"/>
  <c r="I52" i="4" s="1"/>
  <c r="H42" i="33"/>
  <c r="H52" i="4" s="1"/>
  <c r="G42" i="33"/>
  <c r="G52" i="4" s="1"/>
  <c r="F42" i="33"/>
  <c r="F52" i="4" s="1"/>
  <c r="E42" i="33"/>
  <c r="E52" i="4" s="1"/>
  <c r="D42" i="33"/>
  <c r="D52" i="4" s="1"/>
  <c r="C42" i="33"/>
  <c r="C52" i="4" s="1"/>
  <c r="B42" i="33"/>
  <c r="B52" i="4" s="1"/>
  <c r="V41" i="33"/>
  <c r="V51" i="4" s="1"/>
  <c r="U41" i="33"/>
  <c r="U51" i="4" s="1"/>
  <c r="T41" i="33"/>
  <c r="T51" i="4" s="1"/>
  <c r="S41" i="33"/>
  <c r="S51" i="4" s="1"/>
  <c r="R41" i="33"/>
  <c r="R51" i="4" s="1"/>
  <c r="Q41" i="33"/>
  <c r="Q51" i="4" s="1"/>
  <c r="P41" i="33"/>
  <c r="P51" i="4" s="1"/>
  <c r="M41" i="33"/>
  <c r="M51" i="4" s="1"/>
  <c r="L41" i="33"/>
  <c r="L51" i="4" s="1"/>
  <c r="K41" i="33"/>
  <c r="K51" i="4" s="1"/>
  <c r="J41" i="33"/>
  <c r="J51" i="4" s="1"/>
  <c r="I41" i="33"/>
  <c r="I51" i="4" s="1"/>
  <c r="H41" i="33"/>
  <c r="H51" i="4" s="1"/>
  <c r="G41" i="33"/>
  <c r="G51" i="4" s="1"/>
  <c r="F41" i="33"/>
  <c r="F51" i="4" s="1"/>
  <c r="E41" i="33"/>
  <c r="E51" i="4" s="1"/>
  <c r="D41" i="33"/>
  <c r="D51" i="4" s="1"/>
  <c r="C41" i="33"/>
  <c r="C51" i="4" s="1"/>
  <c r="B41" i="33"/>
  <c r="B51" i="4" s="1"/>
  <c r="V40" i="33"/>
  <c r="V50" i="4" s="1"/>
  <c r="U40" i="33"/>
  <c r="U50" i="4" s="1"/>
  <c r="T40" i="33"/>
  <c r="T50" i="4" s="1"/>
  <c r="S40" i="33"/>
  <c r="S50" i="4" s="1"/>
  <c r="R40" i="33"/>
  <c r="R50" i="4" s="1"/>
  <c r="Q40" i="33"/>
  <c r="Q50" i="4" s="1"/>
  <c r="P40" i="33"/>
  <c r="P50" i="4" s="1"/>
  <c r="M40" i="33"/>
  <c r="M50" i="4" s="1"/>
  <c r="L40" i="33"/>
  <c r="L50" i="4" s="1"/>
  <c r="K40" i="33"/>
  <c r="K50" i="4" s="1"/>
  <c r="J40" i="33"/>
  <c r="J50" i="4" s="1"/>
  <c r="I40" i="33"/>
  <c r="I50" i="4" s="1"/>
  <c r="H40" i="33"/>
  <c r="H50" i="4" s="1"/>
  <c r="G40" i="33"/>
  <c r="G50" i="4" s="1"/>
  <c r="F40" i="33"/>
  <c r="F50" i="4" s="1"/>
  <c r="E40" i="33"/>
  <c r="E50" i="4" s="1"/>
  <c r="D40" i="33"/>
  <c r="D50" i="4" s="1"/>
  <c r="C40" i="33"/>
  <c r="C50" i="4" s="1"/>
  <c r="B40" i="33"/>
  <c r="B50" i="4" s="1"/>
  <c r="V39" i="33"/>
  <c r="V49" i="4" s="1"/>
  <c r="U39" i="33"/>
  <c r="U49" i="4" s="1"/>
  <c r="T39" i="33"/>
  <c r="T49" i="4" s="1"/>
  <c r="S39" i="33"/>
  <c r="S49" i="4" s="1"/>
  <c r="R39" i="33"/>
  <c r="R49" i="4" s="1"/>
  <c r="Q39" i="33"/>
  <c r="Q49" i="4" s="1"/>
  <c r="P39" i="33"/>
  <c r="P49" i="4" s="1"/>
  <c r="M39" i="33"/>
  <c r="M49" i="4" s="1"/>
  <c r="L39" i="33"/>
  <c r="L49" i="4" s="1"/>
  <c r="K39" i="33"/>
  <c r="K49" i="4" s="1"/>
  <c r="J39" i="33"/>
  <c r="J49" i="4" s="1"/>
  <c r="I39" i="33"/>
  <c r="I49" i="4" s="1"/>
  <c r="H39" i="33"/>
  <c r="H49" i="4" s="1"/>
  <c r="G39" i="33"/>
  <c r="G49" i="4" s="1"/>
  <c r="F39" i="33"/>
  <c r="F49" i="4" s="1"/>
  <c r="E39" i="33"/>
  <c r="E49" i="4" s="1"/>
  <c r="D39" i="33"/>
  <c r="D49" i="4" s="1"/>
  <c r="C39" i="33"/>
  <c r="C49" i="4" s="1"/>
  <c r="B39" i="33"/>
  <c r="B49" i="4" s="1"/>
  <c r="V38" i="33"/>
  <c r="V48" i="4" s="1"/>
  <c r="U38" i="33"/>
  <c r="U48" i="4" s="1"/>
  <c r="T38" i="33"/>
  <c r="T48" i="4" s="1"/>
  <c r="S38" i="33"/>
  <c r="S48" i="4" s="1"/>
  <c r="R38" i="33"/>
  <c r="R48" i="4" s="1"/>
  <c r="Q38" i="33"/>
  <c r="Q48" i="4" s="1"/>
  <c r="P38" i="33"/>
  <c r="P48" i="4" s="1"/>
  <c r="M38" i="33"/>
  <c r="M48" i="4" s="1"/>
  <c r="L38" i="33"/>
  <c r="L48" i="4" s="1"/>
  <c r="K38" i="33"/>
  <c r="K48" i="4" s="1"/>
  <c r="J38" i="33"/>
  <c r="J48" i="4" s="1"/>
  <c r="I38" i="33"/>
  <c r="I48" i="4" s="1"/>
  <c r="H38" i="33"/>
  <c r="H48" i="4" s="1"/>
  <c r="G38" i="33"/>
  <c r="G48" i="4" s="1"/>
  <c r="F38" i="33"/>
  <c r="F48" i="4" s="1"/>
  <c r="E38" i="33"/>
  <c r="E48" i="4" s="1"/>
  <c r="D38" i="33"/>
  <c r="D48" i="4" s="1"/>
  <c r="C38" i="33"/>
  <c r="C48" i="4" s="1"/>
  <c r="B38" i="33"/>
  <c r="B48" i="4" s="1"/>
  <c r="V37" i="33"/>
  <c r="V47" i="4" s="1"/>
  <c r="U37" i="33"/>
  <c r="U47" i="4" s="1"/>
  <c r="T37" i="33"/>
  <c r="T47" i="4" s="1"/>
  <c r="S37" i="33"/>
  <c r="S47" i="4" s="1"/>
  <c r="R37" i="33"/>
  <c r="R47" i="4" s="1"/>
  <c r="Q37" i="33"/>
  <c r="Q47" i="4" s="1"/>
  <c r="P37" i="33"/>
  <c r="P47" i="4" s="1"/>
  <c r="M37" i="33"/>
  <c r="M47" i="4" s="1"/>
  <c r="L37" i="33"/>
  <c r="L47" i="4" s="1"/>
  <c r="K37" i="33"/>
  <c r="K47" i="4" s="1"/>
  <c r="J37" i="33"/>
  <c r="J47" i="4" s="1"/>
  <c r="I37" i="33"/>
  <c r="I47" i="4" s="1"/>
  <c r="H37" i="33"/>
  <c r="H47" i="4" s="1"/>
  <c r="G37" i="33"/>
  <c r="G47" i="4" s="1"/>
  <c r="F37" i="33"/>
  <c r="F47" i="4" s="1"/>
  <c r="E37" i="33"/>
  <c r="E47" i="4" s="1"/>
  <c r="D37" i="33"/>
  <c r="D47" i="4" s="1"/>
  <c r="C37" i="33"/>
  <c r="C47" i="4" s="1"/>
  <c r="B37" i="33"/>
  <c r="B47" i="4" s="1"/>
  <c r="V36" i="33"/>
  <c r="V46" i="4" s="1"/>
  <c r="U36" i="33"/>
  <c r="U46" i="4" s="1"/>
  <c r="T36" i="33"/>
  <c r="T46" i="4" s="1"/>
  <c r="S36" i="33"/>
  <c r="S46" i="4" s="1"/>
  <c r="R36" i="33"/>
  <c r="R46" i="4" s="1"/>
  <c r="Q36" i="33"/>
  <c r="Q46" i="4" s="1"/>
  <c r="P36" i="33"/>
  <c r="P46" i="4" s="1"/>
  <c r="M36" i="33"/>
  <c r="M46" i="4" s="1"/>
  <c r="L36" i="33"/>
  <c r="L46" i="4" s="1"/>
  <c r="K36" i="33"/>
  <c r="K46" i="4" s="1"/>
  <c r="J36" i="33"/>
  <c r="J46" i="4" s="1"/>
  <c r="I36" i="33"/>
  <c r="I46" i="4" s="1"/>
  <c r="H36" i="33"/>
  <c r="H46" i="4" s="1"/>
  <c r="G36" i="33"/>
  <c r="G46" i="4" s="1"/>
  <c r="F36" i="33"/>
  <c r="F46" i="4" s="1"/>
  <c r="E36" i="33"/>
  <c r="E46" i="4" s="1"/>
  <c r="D36" i="33"/>
  <c r="D46" i="4" s="1"/>
  <c r="C36" i="33"/>
  <c r="C46" i="4" s="1"/>
  <c r="B36" i="33"/>
  <c r="B46" i="4" s="1"/>
  <c r="E30" i="33"/>
  <c r="E40" i="4" s="1"/>
  <c r="J28" i="33"/>
  <c r="F28" i="33"/>
  <c r="V24" i="33"/>
  <c r="U24" i="33"/>
  <c r="T24" i="33"/>
  <c r="S24" i="33"/>
  <c r="R24" i="33"/>
  <c r="Q24" i="33"/>
  <c r="P24" i="33"/>
  <c r="O24" i="33"/>
  <c r="L24" i="33"/>
  <c r="J24" i="33"/>
  <c r="I24" i="33"/>
  <c r="H24" i="33"/>
  <c r="G24" i="33"/>
  <c r="F24" i="33"/>
  <c r="E24" i="33"/>
  <c r="D24" i="33"/>
  <c r="C24" i="33"/>
  <c r="B24" i="33"/>
  <c r="V23" i="33"/>
  <c r="U23" i="33"/>
  <c r="T23" i="33"/>
  <c r="S23" i="33"/>
  <c r="R23" i="33"/>
  <c r="Q23" i="33"/>
  <c r="P23" i="33"/>
  <c r="O23" i="33"/>
  <c r="J35" i="33" s="1"/>
  <c r="J45" i="4" s="1"/>
  <c r="L23" i="33"/>
  <c r="J23" i="33"/>
  <c r="I23" i="33"/>
  <c r="H23" i="33"/>
  <c r="G23" i="33"/>
  <c r="F23" i="33"/>
  <c r="E23" i="33"/>
  <c r="D23" i="33"/>
  <c r="C23" i="33"/>
  <c r="B23" i="33"/>
  <c r="A22" i="33"/>
  <c r="H22" i="33"/>
  <c r="G45" i="33"/>
  <c r="F27" i="33"/>
  <c r="F52" i="33" s="1"/>
  <c r="E45" i="33"/>
  <c r="D22" i="33"/>
  <c r="C45" i="33"/>
  <c r="B45" i="33"/>
  <c r="L28" i="33" l="1"/>
  <c r="T28" i="33"/>
  <c r="T38" i="4" s="1"/>
  <c r="F29" i="33"/>
  <c r="F39" i="4" s="1"/>
  <c r="S29" i="33"/>
  <c r="S39" i="4" s="1"/>
  <c r="P31" i="33"/>
  <c r="P41" i="4" s="1"/>
  <c r="Q32" i="33"/>
  <c r="Q42" i="4" s="1"/>
  <c r="R33" i="33"/>
  <c r="R43" i="4" s="1"/>
  <c r="P35" i="33"/>
  <c r="P45" i="4" s="1"/>
  <c r="Q28" i="33"/>
  <c r="Q38" i="4" s="1"/>
  <c r="U28" i="33"/>
  <c r="U38" i="4" s="1"/>
  <c r="P29" i="33"/>
  <c r="P39" i="4" s="1"/>
  <c r="T29" i="33"/>
  <c r="T39" i="4" s="1"/>
  <c r="P30" i="33"/>
  <c r="P40" i="4" s="1"/>
  <c r="T30" i="33"/>
  <c r="T40" i="4" s="1"/>
  <c r="Q31" i="33"/>
  <c r="Q41" i="4" s="1"/>
  <c r="U31" i="33"/>
  <c r="U41" i="4" s="1"/>
  <c r="R32" i="33"/>
  <c r="R42" i="4" s="1"/>
  <c r="V32" i="33"/>
  <c r="V42" i="4" s="1"/>
  <c r="S33" i="33"/>
  <c r="S43" i="4" s="1"/>
  <c r="P34" i="33"/>
  <c r="P44" i="4" s="1"/>
  <c r="T34" i="33"/>
  <c r="T44" i="4" s="1"/>
  <c r="Q35" i="33"/>
  <c r="Q45" i="4" s="1"/>
  <c r="U35" i="33"/>
  <c r="U45" i="4" s="1"/>
  <c r="S30" i="33"/>
  <c r="S40" i="4" s="1"/>
  <c r="U32" i="33"/>
  <c r="U42" i="4" s="1"/>
  <c r="V33" i="33"/>
  <c r="V43" i="4" s="1"/>
  <c r="S34" i="33"/>
  <c r="S44" i="4" s="1"/>
  <c r="T35" i="33"/>
  <c r="T45" i="4" s="1"/>
  <c r="R28" i="33"/>
  <c r="V28" i="33"/>
  <c r="Q29" i="33"/>
  <c r="Q39" i="4" s="1"/>
  <c r="U29" i="33"/>
  <c r="U39" i="4" s="1"/>
  <c r="Q30" i="33"/>
  <c r="Q40" i="4" s="1"/>
  <c r="U30" i="33"/>
  <c r="U40" i="4" s="1"/>
  <c r="R31" i="33"/>
  <c r="R41" i="4" s="1"/>
  <c r="V31" i="33"/>
  <c r="V41" i="4" s="1"/>
  <c r="S32" i="33"/>
  <c r="S42" i="4" s="1"/>
  <c r="P33" i="33"/>
  <c r="P43" i="4" s="1"/>
  <c r="T33" i="33"/>
  <c r="T43" i="4" s="1"/>
  <c r="Q34" i="33"/>
  <c r="Q44" i="4" s="1"/>
  <c r="U34" i="33"/>
  <c r="U44" i="4" s="1"/>
  <c r="R35" i="33"/>
  <c r="R45" i="4" s="1"/>
  <c r="V35" i="33"/>
  <c r="V45" i="4" s="1"/>
  <c r="P28" i="33"/>
  <c r="T31" i="33"/>
  <c r="T41" i="4" s="1"/>
  <c r="O28" i="33"/>
  <c r="O38" i="4" s="1"/>
  <c r="S28" i="33"/>
  <c r="S47" i="33" s="1"/>
  <c r="S48" i="33" s="1"/>
  <c r="S54" i="33" s="1"/>
  <c r="R29" i="33"/>
  <c r="R39" i="4" s="1"/>
  <c r="V29" i="33"/>
  <c r="V39" i="4" s="1"/>
  <c r="R30" i="33"/>
  <c r="R40" i="4" s="1"/>
  <c r="V30" i="33"/>
  <c r="V40" i="4" s="1"/>
  <c r="S31" i="33"/>
  <c r="S41" i="4" s="1"/>
  <c r="P32" i="33"/>
  <c r="P42" i="4" s="1"/>
  <c r="T32" i="33"/>
  <c r="T42" i="4" s="1"/>
  <c r="Q33" i="33"/>
  <c r="Q43" i="4" s="1"/>
  <c r="U33" i="33"/>
  <c r="U43" i="4" s="1"/>
  <c r="R34" i="33"/>
  <c r="R44" i="4" s="1"/>
  <c r="V34" i="33"/>
  <c r="V44" i="4" s="1"/>
  <c r="S35" i="33"/>
  <c r="S45" i="4" s="1"/>
  <c r="J29" i="33"/>
  <c r="J39" i="4" s="1"/>
  <c r="M28" i="33"/>
  <c r="M38" i="4" s="1"/>
  <c r="J30" i="33"/>
  <c r="J40" i="4" s="1"/>
  <c r="H28" i="33"/>
  <c r="H38" i="4" s="1"/>
  <c r="O30" i="33"/>
  <c r="O40" i="4" s="1"/>
  <c r="F31" i="33"/>
  <c r="F41" i="4" s="1"/>
  <c r="O36" i="33"/>
  <c r="O46" i="4" s="1"/>
  <c r="O37" i="33"/>
  <c r="O47" i="4" s="1"/>
  <c r="O38" i="33"/>
  <c r="O48" i="4" s="1"/>
  <c r="O39" i="33"/>
  <c r="O49" i="4" s="1"/>
  <c r="O40" i="33"/>
  <c r="O50" i="4" s="1"/>
  <c r="O41" i="33"/>
  <c r="O51" i="4" s="1"/>
  <c r="O42" i="33"/>
  <c r="O52" i="4" s="1"/>
  <c r="O43" i="33"/>
  <c r="O53" i="4" s="1"/>
  <c r="D28" i="33"/>
  <c r="D38" i="4" s="1"/>
  <c r="I28" i="33"/>
  <c r="I38" i="4" s="1"/>
  <c r="O29" i="33"/>
  <c r="J31" i="33"/>
  <c r="J41" i="4" s="1"/>
  <c r="E28" i="33"/>
  <c r="E38" i="4" s="1"/>
  <c r="F30" i="33"/>
  <c r="F40" i="4" s="1"/>
  <c r="O31" i="33"/>
  <c r="O41" i="4" s="1"/>
  <c r="O32" i="33"/>
  <c r="O42" i="4" s="1"/>
  <c r="O33" i="33"/>
  <c r="O43" i="4" s="1"/>
  <c r="O34" i="33"/>
  <c r="O44" i="4" s="1"/>
  <c r="O35" i="33"/>
  <c r="O45" i="4" s="1"/>
  <c r="C29" i="33"/>
  <c r="C39" i="4" s="1"/>
  <c r="G29" i="33"/>
  <c r="G39" i="4" s="1"/>
  <c r="K29" i="33"/>
  <c r="K39" i="4" s="1"/>
  <c r="C30" i="33"/>
  <c r="C40" i="4" s="1"/>
  <c r="G30" i="33"/>
  <c r="G40" i="4" s="1"/>
  <c r="K30" i="33"/>
  <c r="K40" i="4" s="1"/>
  <c r="C31" i="33"/>
  <c r="C41" i="4" s="1"/>
  <c r="G31" i="33"/>
  <c r="G41" i="4" s="1"/>
  <c r="K31" i="33"/>
  <c r="K41" i="4" s="1"/>
  <c r="C32" i="33"/>
  <c r="C42" i="4" s="1"/>
  <c r="G32" i="33"/>
  <c r="G42" i="4" s="1"/>
  <c r="K32" i="33"/>
  <c r="K42" i="4" s="1"/>
  <c r="C33" i="33"/>
  <c r="C43" i="4" s="1"/>
  <c r="G33" i="33"/>
  <c r="G43" i="4" s="1"/>
  <c r="K33" i="33"/>
  <c r="K43" i="4" s="1"/>
  <c r="C34" i="33"/>
  <c r="C44" i="4" s="1"/>
  <c r="G34" i="33"/>
  <c r="G44" i="4" s="1"/>
  <c r="K34" i="33"/>
  <c r="K44" i="4" s="1"/>
  <c r="C35" i="33"/>
  <c r="C45" i="4" s="1"/>
  <c r="G35" i="33"/>
  <c r="G45" i="4" s="1"/>
  <c r="K35" i="33"/>
  <c r="K45" i="4" s="1"/>
  <c r="B28" i="33"/>
  <c r="B38" i="4" s="1"/>
  <c r="D29" i="33"/>
  <c r="D39" i="4" s="1"/>
  <c r="H29" i="33"/>
  <c r="H39" i="4" s="1"/>
  <c r="L29" i="33"/>
  <c r="L39" i="4" s="1"/>
  <c r="D30" i="33"/>
  <c r="D40" i="4" s="1"/>
  <c r="H30" i="33"/>
  <c r="H40" i="4" s="1"/>
  <c r="L30" i="33"/>
  <c r="L40" i="4" s="1"/>
  <c r="D31" i="33"/>
  <c r="D41" i="4" s="1"/>
  <c r="H31" i="33"/>
  <c r="H41" i="4" s="1"/>
  <c r="L31" i="33"/>
  <c r="L41" i="4" s="1"/>
  <c r="D32" i="33"/>
  <c r="D42" i="4" s="1"/>
  <c r="H32" i="33"/>
  <c r="H42" i="4" s="1"/>
  <c r="L32" i="33"/>
  <c r="L42" i="4" s="1"/>
  <c r="D33" i="33"/>
  <c r="D43" i="4" s="1"/>
  <c r="H33" i="33"/>
  <c r="H43" i="4" s="1"/>
  <c r="L33" i="33"/>
  <c r="L43" i="4" s="1"/>
  <c r="D34" i="33"/>
  <c r="D44" i="4" s="1"/>
  <c r="H34" i="33"/>
  <c r="H44" i="4" s="1"/>
  <c r="L34" i="33"/>
  <c r="L44" i="4" s="1"/>
  <c r="D35" i="33"/>
  <c r="D45" i="4" s="1"/>
  <c r="H35" i="33"/>
  <c r="H45" i="4" s="1"/>
  <c r="L35" i="33"/>
  <c r="L45" i="4" s="1"/>
  <c r="C28" i="33"/>
  <c r="C38" i="4" s="1"/>
  <c r="G28" i="33"/>
  <c r="K28" i="33"/>
  <c r="K38" i="4" s="1"/>
  <c r="B29" i="33"/>
  <c r="B39" i="4" s="1"/>
  <c r="E29" i="33"/>
  <c r="E39" i="4" s="1"/>
  <c r="I29" i="33"/>
  <c r="I39" i="4" s="1"/>
  <c r="M29" i="33"/>
  <c r="M39" i="4" s="1"/>
  <c r="B30" i="33"/>
  <c r="B40" i="4" s="1"/>
  <c r="I30" i="33"/>
  <c r="I40" i="4" s="1"/>
  <c r="M30" i="33"/>
  <c r="M40" i="4" s="1"/>
  <c r="B31" i="33"/>
  <c r="B41" i="4" s="1"/>
  <c r="E31" i="33"/>
  <c r="E41" i="4" s="1"/>
  <c r="I31" i="33"/>
  <c r="I41" i="4" s="1"/>
  <c r="M31" i="33"/>
  <c r="M41" i="4" s="1"/>
  <c r="B32" i="33"/>
  <c r="B42" i="4" s="1"/>
  <c r="E32" i="33"/>
  <c r="E42" i="4" s="1"/>
  <c r="I32" i="33"/>
  <c r="I42" i="4" s="1"/>
  <c r="M32" i="33"/>
  <c r="M42" i="4" s="1"/>
  <c r="B33" i="33"/>
  <c r="B43" i="4" s="1"/>
  <c r="E33" i="33"/>
  <c r="E43" i="4" s="1"/>
  <c r="I33" i="33"/>
  <c r="I43" i="4" s="1"/>
  <c r="M33" i="33"/>
  <c r="M43" i="4" s="1"/>
  <c r="B34" i="33"/>
  <c r="B44" i="4" s="1"/>
  <c r="E34" i="33"/>
  <c r="E44" i="4" s="1"/>
  <c r="I34" i="33"/>
  <c r="I44" i="4" s="1"/>
  <c r="M34" i="33"/>
  <c r="M44" i="4" s="1"/>
  <c r="B35" i="33"/>
  <c r="B45" i="4" s="1"/>
  <c r="E35" i="33"/>
  <c r="E45" i="4" s="1"/>
  <c r="I35" i="33"/>
  <c r="I45" i="4" s="1"/>
  <c r="M35" i="33"/>
  <c r="M45" i="4" s="1"/>
  <c r="F32" i="33"/>
  <c r="F42" i="4" s="1"/>
  <c r="J32" i="33"/>
  <c r="J42" i="4" s="1"/>
  <c r="F33" i="33"/>
  <c r="F43" i="4" s="1"/>
  <c r="J33" i="33"/>
  <c r="J43" i="4" s="1"/>
  <c r="F34" i="33"/>
  <c r="F44" i="4" s="1"/>
  <c r="J34" i="33"/>
  <c r="J44" i="4" s="1"/>
  <c r="F35" i="33"/>
  <c r="F45" i="4" s="1"/>
  <c r="R38" i="4"/>
  <c r="B22" i="33"/>
  <c r="E22" i="33"/>
  <c r="I45" i="33"/>
  <c r="I52" i="33"/>
  <c r="I27" i="33"/>
  <c r="G38" i="4"/>
  <c r="P38" i="4"/>
  <c r="B27" i="33"/>
  <c r="B52" i="33" s="1"/>
  <c r="L38" i="4"/>
  <c r="D27" i="33"/>
  <c r="D52" i="33" s="1"/>
  <c r="I22" i="33"/>
  <c r="E27" i="33"/>
  <c r="E52" i="33" s="1"/>
  <c r="F38" i="4"/>
  <c r="J38" i="4"/>
  <c r="S38" i="4"/>
  <c r="D45" i="33"/>
  <c r="G57" i="33"/>
  <c r="H57" i="33"/>
  <c r="C57" i="33"/>
  <c r="J57" i="33"/>
  <c r="D57" i="33"/>
  <c r="L57" i="33"/>
  <c r="F57" i="33"/>
  <c r="K57" i="33"/>
  <c r="B57" i="33"/>
  <c r="E57" i="33"/>
  <c r="I57" i="33"/>
  <c r="M57" i="33"/>
  <c r="U47" i="33"/>
  <c r="U48" i="33" s="1"/>
  <c r="U54" i="33" s="1"/>
  <c r="F22" i="33"/>
  <c r="F45" i="33"/>
  <c r="G22" i="33"/>
  <c r="G27" i="33"/>
  <c r="G52" i="33" s="1"/>
  <c r="C22" i="33"/>
  <c r="C27" i="33"/>
  <c r="C52" i="33" s="1"/>
  <c r="H27" i="33"/>
  <c r="H52" i="33" s="1"/>
  <c r="H45" i="33"/>
  <c r="S56" i="33"/>
  <c r="V56" i="33"/>
  <c r="T56" i="33"/>
  <c r="O56" i="33"/>
  <c r="U56" i="33"/>
  <c r="P56" i="33"/>
  <c r="R56" i="33"/>
  <c r="Q56" i="33"/>
  <c r="Q46" i="33" l="1"/>
  <c r="Q53" i="33" s="1"/>
  <c r="Q55" i="33" s="1"/>
  <c r="R47" i="33"/>
  <c r="R48" i="33" s="1"/>
  <c r="R54" i="33" s="1"/>
  <c r="U46" i="33"/>
  <c r="U53" i="33" s="1"/>
  <c r="P47" i="33"/>
  <c r="P48" i="33" s="1"/>
  <c r="P54" i="33" s="1"/>
  <c r="V46" i="33"/>
  <c r="V53" i="33" s="1"/>
  <c r="Q47" i="33"/>
  <c r="Q48" i="33" s="1"/>
  <c r="Q54" i="33" s="1"/>
  <c r="V47" i="33"/>
  <c r="V48" i="33" s="1"/>
  <c r="V54" i="33" s="1"/>
  <c r="P57" i="33"/>
  <c r="S57" i="33"/>
  <c r="V57" i="33"/>
  <c r="U57" i="33"/>
  <c r="T57" i="33"/>
  <c r="R57" i="33"/>
  <c r="Q57" i="33"/>
  <c r="T46" i="33"/>
  <c r="T53" i="33" s="1"/>
  <c r="P46" i="33"/>
  <c r="P53" i="33" s="1"/>
  <c r="T47" i="33"/>
  <c r="T48" i="33" s="1"/>
  <c r="T54" i="33" s="1"/>
  <c r="V38" i="4"/>
  <c r="M47" i="33"/>
  <c r="R46" i="33"/>
  <c r="R53" i="33" s="1"/>
  <c r="S46" i="33"/>
  <c r="S53" i="33" s="1"/>
  <c r="S55" i="33" s="1"/>
  <c r="K47" i="33"/>
  <c r="M46" i="33"/>
  <c r="M53" i="33" s="1"/>
  <c r="D47" i="33"/>
  <c r="J47" i="33"/>
  <c r="J48" i="33" s="1"/>
  <c r="J54" i="33" s="1"/>
  <c r="I47" i="33"/>
  <c r="I48" i="33" s="1"/>
  <c r="I54" i="33" s="1"/>
  <c r="O57" i="33"/>
  <c r="P59" i="33" s="1"/>
  <c r="P61" i="33" s="1"/>
  <c r="E46" i="33"/>
  <c r="E53" i="33" s="1"/>
  <c r="L47" i="33"/>
  <c r="L48" i="33" s="1"/>
  <c r="L54" i="33" s="1"/>
  <c r="D46" i="33"/>
  <c r="D53" i="33" s="1"/>
  <c r="O46" i="33"/>
  <c r="O53" i="33" s="1"/>
  <c r="O55" i="33" s="1"/>
  <c r="J46" i="33"/>
  <c r="J53" i="33" s="1"/>
  <c r="O39" i="4"/>
  <c r="E47" i="33"/>
  <c r="E48" i="33" s="1"/>
  <c r="E54" i="33" s="1"/>
  <c r="H47" i="33"/>
  <c r="H48" i="33" s="1"/>
  <c r="H54" i="33" s="1"/>
  <c r="O47" i="33"/>
  <c r="O48" i="33" s="1"/>
  <c r="O54" i="33" s="1"/>
  <c r="L46" i="33"/>
  <c r="L53" i="33" s="1"/>
  <c r="K46" i="33"/>
  <c r="K53" i="33" s="1"/>
  <c r="C46" i="33"/>
  <c r="C53" i="33" s="1"/>
  <c r="F46" i="33"/>
  <c r="F53" i="33" s="1"/>
  <c r="I46" i="33"/>
  <c r="I53" i="33" s="1"/>
  <c r="H46" i="33"/>
  <c r="H53" i="33" s="1"/>
  <c r="F47" i="33"/>
  <c r="F48" i="33" s="1"/>
  <c r="F54" i="33" s="1"/>
  <c r="G47" i="33"/>
  <c r="G48" i="33" s="1"/>
  <c r="G54" i="33" s="1"/>
  <c r="B46" i="33"/>
  <c r="G46" i="33"/>
  <c r="G53" i="33" s="1"/>
  <c r="K48" i="33"/>
  <c r="K54" i="33" s="1"/>
  <c r="C47" i="33"/>
  <c r="C48" i="33" s="1"/>
  <c r="C54" i="33" s="1"/>
  <c r="D48" i="33"/>
  <c r="D54" i="33" s="1"/>
  <c r="B47" i="33"/>
  <c r="B48" i="33" s="1"/>
  <c r="B54" i="33" s="1"/>
  <c r="M48" i="33"/>
  <c r="M54" i="33" s="1"/>
  <c r="P55" i="33"/>
  <c r="U55" i="33"/>
  <c r="T55" i="33"/>
  <c r="R55" i="33"/>
  <c r="O59" i="33"/>
  <c r="V55" i="33" l="1"/>
  <c r="Q59" i="33"/>
  <c r="Q61" i="33" s="1"/>
  <c r="U61" i="33"/>
  <c r="V61" i="33"/>
  <c r="S61" i="33"/>
  <c r="B65" i="33"/>
  <c r="B64" i="33"/>
  <c r="T61" i="33"/>
  <c r="B53" i="33"/>
  <c r="M55" i="33" s="1"/>
  <c r="R61" i="33"/>
  <c r="J61" i="33" l="1"/>
  <c r="K61" i="33"/>
  <c r="I61" i="33"/>
  <c r="M61" i="33"/>
  <c r="O61" i="33"/>
  <c r="L61" i="33"/>
  <c r="L55" i="33"/>
  <c r="J55" i="33"/>
  <c r="E55" i="33"/>
  <c r="C55" i="33"/>
  <c r="K55" i="33"/>
  <c r="F55" i="33"/>
  <c r="I55" i="33"/>
  <c r="B55" i="33"/>
  <c r="H55" i="33"/>
  <c r="G55" i="33"/>
  <c r="D55" i="33"/>
  <c r="L22" i="33"/>
  <c r="K22" i="33"/>
  <c r="J52" i="33"/>
  <c r="M45" i="33"/>
  <c r="M52" i="33"/>
  <c r="M27" i="33"/>
  <c r="M22" i="33"/>
  <c r="K52" i="33"/>
  <c r="K45" i="33" l="1"/>
  <c r="K27" i="33"/>
  <c r="O4" i="33"/>
  <c r="O4" i="23"/>
  <c r="O4" i="1"/>
  <c r="Q4" i="1"/>
  <c r="Q4" i="33"/>
  <c r="Q4" i="23"/>
  <c r="P4" i="33"/>
  <c r="P4" i="23"/>
  <c r="P4" i="1"/>
  <c r="J22" i="33"/>
  <c r="L52" i="33"/>
  <c r="J45" i="33"/>
  <c r="L27" i="33"/>
  <c r="J27" i="33"/>
  <c r="L45" i="33"/>
  <c r="A4" i="28"/>
  <c r="A5" i="28"/>
  <c r="A6" i="28"/>
  <c r="A7" i="28"/>
  <c r="A8" i="28"/>
  <c r="A9" i="28"/>
  <c r="A10" i="28"/>
  <c r="A11" i="28"/>
  <c r="A12" i="28"/>
  <c r="A13" i="28"/>
  <c r="A14" i="28"/>
  <c r="A15" i="28"/>
  <c r="B4" i="28"/>
  <c r="B5" i="28"/>
  <c r="B6" i="28"/>
  <c r="B7" i="28"/>
  <c r="B8" i="28"/>
  <c r="B9" i="28"/>
  <c r="B10" i="28"/>
  <c r="B11" i="28"/>
  <c r="B12" i="28"/>
  <c r="B13" i="28"/>
  <c r="B14" i="28"/>
  <c r="B15" i="28"/>
  <c r="A3" i="28"/>
  <c r="B2" i="28"/>
  <c r="B3" i="28"/>
  <c r="A2" i="28"/>
  <c r="D2" i="28" s="1"/>
  <c r="Q22" i="33" l="1"/>
  <c r="Q45" i="33"/>
  <c r="Q27" i="33"/>
  <c r="Q52" i="33" s="1"/>
  <c r="O27" i="33"/>
  <c r="O52" i="33" s="1"/>
  <c r="O22" i="33"/>
  <c r="O45" i="33"/>
  <c r="P22" i="33"/>
  <c r="P45" i="33"/>
  <c r="P27" i="33"/>
  <c r="P52" i="33" s="1"/>
  <c r="B3" i="27"/>
  <c r="G9" i="27" l="1"/>
  <c r="G10" i="27" s="1"/>
  <c r="E9" i="27"/>
  <c r="E10" i="27" s="1"/>
  <c r="F9" i="27"/>
  <c r="F10" i="27" s="1"/>
  <c r="G6" i="22" l="1"/>
  <c r="G31" i="22" l="1"/>
  <c r="G30" i="22"/>
  <c r="M4" i="28" l="1"/>
  <c r="M8" i="28"/>
  <c r="M12" i="28"/>
  <c r="M5" i="28"/>
  <c r="M9" i="28"/>
  <c r="M13" i="28"/>
  <c r="M6" i="28"/>
  <c r="M10" i="28"/>
  <c r="M14" i="28"/>
  <c r="M3" i="28"/>
  <c r="M7" i="28"/>
  <c r="M11" i="28"/>
  <c r="M15" i="28"/>
  <c r="M2" i="28"/>
  <c r="N4" i="28"/>
  <c r="N8" i="28"/>
  <c r="N12" i="28"/>
  <c r="N3" i="28"/>
  <c r="N5" i="28"/>
  <c r="N9" i="28"/>
  <c r="N13" i="28"/>
  <c r="N2" i="28"/>
  <c r="N6" i="28"/>
  <c r="N10" i="28"/>
  <c r="N14" i="28"/>
  <c r="N7" i="28"/>
  <c r="N11" i="28"/>
  <c r="N15" i="28"/>
  <c r="H14" i="22"/>
  <c r="H24" i="22"/>
  <c r="H26" i="22"/>
  <c r="B3" i="12"/>
  <c r="Q9" i="12" s="1"/>
  <c r="Q10" i="12" s="1"/>
  <c r="P22" i="1"/>
  <c r="Q45" i="1"/>
  <c r="R28" i="23"/>
  <c r="S28" i="23"/>
  <c r="S22" i="4" s="1"/>
  <c r="T28" i="23"/>
  <c r="T22" i="4" s="1"/>
  <c r="U28" i="23"/>
  <c r="V28" i="23"/>
  <c r="R29" i="23"/>
  <c r="R23" i="4" s="1"/>
  <c r="S29" i="23"/>
  <c r="S23" i="4" s="1"/>
  <c r="T29" i="23"/>
  <c r="T23" i="4" s="1"/>
  <c r="U29" i="23"/>
  <c r="U23" i="4" s="1"/>
  <c r="V29" i="23"/>
  <c r="V23" i="4" s="1"/>
  <c r="R30" i="23"/>
  <c r="R24" i="4" s="1"/>
  <c r="S30" i="23"/>
  <c r="T30" i="23"/>
  <c r="T24" i="4" s="1"/>
  <c r="U30" i="23"/>
  <c r="U24" i="4" s="1"/>
  <c r="V30" i="23"/>
  <c r="V24" i="4" s="1"/>
  <c r="R31" i="23"/>
  <c r="R25" i="4" s="1"/>
  <c r="S31" i="23"/>
  <c r="S25" i="4" s="1"/>
  <c r="T31" i="23"/>
  <c r="T25" i="4" s="1"/>
  <c r="U31" i="23"/>
  <c r="V31" i="23"/>
  <c r="V25" i="4" s="1"/>
  <c r="R32" i="23"/>
  <c r="R26" i="4" s="1"/>
  <c r="S32" i="23"/>
  <c r="S26" i="4" s="1"/>
  <c r="T32" i="23"/>
  <c r="T26" i="4" s="1"/>
  <c r="U32" i="23"/>
  <c r="U26" i="4" s="1"/>
  <c r="V32" i="23"/>
  <c r="V26" i="4" s="1"/>
  <c r="R33" i="23"/>
  <c r="R27" i="4" s="1"/>
  <c r="S33" i="23"/>
  <c r="S27" i="4" s="1"/>
  <c r="T33" i="23"/>
  <c r="U33" i="23"/>
  <c r="V33" i="23"/>
  <c r="V27" i="4" s="1"/>
  <c r="R34" i="23"/>
  <c r="R28" i="4" s="1"/>
  <c r="S34" i="23"/>
  <c r="S28" i="4" s="1"/>
  <c r="T34" i="23"/>
  <c r="T28" i="4" s="1"/>
  <c r="U34" i="23"/>
  <c r="U28" i="4" s="1"/>
  <c r="V34" i="23"/>
  <c r="V28" i="4" s="1"/>
  <c r="R35" i="23"/>
  <c r="R29" i="4" s="1"/>
  <c r="S35" i="23"/>
  <c r="S29" i="4" s="1"/>
  <c r="T35" i="23"/>
  <c r="T29" i="4" s="1"/>
  <c r="U35" i="23"/>
  <c r="V35" i="23"/>
  <c r="V29" i="4" s="1"/>
  <c r="P36" i="23"/>
  <c r="P30" i="4" s="1"/>
  <c r="Q36" i="23"/>
  <c r="Q30" i="4" s="1"/>
  <c r="R36" i="23"/>
  <c r="R30" i="4" s="1"/>
  <c r="S36" i="23"/>
  <c r="T36" i="23"/>
  <c r="T30" i="4" s="1"/>
  <c r="U36" i="23"/>
  <c r="U30" i="4" s="1"/>
  <c r="V36" i="23"/>
  <c r="V30" i="4" s="1"/>
  <c r="P37" i="23"/>
  <c r="P31" i="4" s="1"/>
  <c r="Q37" i="23"/>
  <c r="Q31" i="4" s="1"/>
  <c r="R37" i="23"/>
  <c r="R31" i="4" s="1"/>
  <c r="S37" i="23"/>
  <c r="S31" i="4" s="1"/>
  <c r="T37" i="23"/>
  <c r="T31" i="4" s="1"/>
  <c r="U37" i="23"/>
  <c r="U31" i="4" s="1"/>
  <c r="V37" i="23"/>
  <c r="V31" i="4" s="1"/>
  <c r="P38" i="23"/>
  <c r="P32" i="4" s="1"/>
  <c r="Q38" i="23"/>
  <c r="Q32" i="4" s="1"/>
  <c r="R38" i="23"/>
  <c r="R32" i="4" s="1"/>
  <c r="S38" i="23"/>
  <c r="T38" i="23"/>
  <c r="T32" i="4" s="1"/>
  <c r="U38" i="23"/>
  <c r="U32" i="4" s="1"/>
  <c r="V38" i="23"/>
  <c r="V32" i="4" s="1"/>
  <c r="P39" i="23"/>
  <c r="P33" i="4" s="1"/>
  <c r="Q39" i="23"/>
  <c r="Q33" i="4" s="1"/>
  <c r="R39" i="23"/>
  <c r="R33" i="4" s="1"/>
  <c r="S39" i="23"/>
  <c r="S33" i="4" s="1"/>
  <c r="T39" i="23"/>
  <c r="T33" i="4" s="1"/>
  <c r="U39" i="23"/>
  <c r="V39" i="23"/>
  <c r="V33" i="4" s="1"/>
  <c r="P40" i="23"/>
  <c r="P34" i="4" s="1"/>
  <c r="Q40" i="23"/>
  <c r="Q34" i="4" s="1"/>
  <c r="R40" i="23"/>
  <c r="R34" i="4" s="1"/>
  <c r="S40" i="23"/>
  <c r="T40" i="23"/>
  <c r="T34" i="4" s="1"/>
  <c r="U40" i="23"/>
  <c r="U34" i="4" s="1"/>
  <c r="V40" i="23"/>
  <c r="V34" i="4" s="1"/>
  <c r="P41" i="23"/>
  <c r="P35" i="4" s="1"/>
  <c r="Q41" i="23"/>
  <c r="R41" i="23"/>
  <c r="R35" i="4" s="1"/>
  <c r="S41" i="23"/>
  <c r="S35" i="4" s="1"/>
  <c r="T41" i="23"/>
  <c r="T35" i="4" s="1"/>
  <c r="U41" i="23"/>
  <c r="U35" i="4" s="1"/>
  <c r="V41" i="23"/>
  <c r="V35" i="4" s="1"/>
  <c r="P42" i="23"/>
  <c r="P36" i="4" s="1"/>
  <c r="Q42" i="23"/>
  <c r="Q36" i="4" s="1"/>
  <c r="R42" i="23"/>
  <c r="R36" i="4" s="1"/>
  <c r="S42" i="23"/>
  <c r="S36" i="4" s="1"/>
  <c r="T42" i="23"/>
  <c r="T36" i="4" s="1"/>
  <c r="U42" i="23"/>
  <c r="U36" i="4" s="1"/>
  <c r="V42" i="23"/>
  <c r="V36" i="4" s="1"/>
  <c r="P43" i="23"/>
  <c r="Q43" i="23"/>
  <c r="Q37" i="4" s="1"/>
  <c r="R43" i="23"/>
  <c r="S43" i="23"/>
  <c r="T43" i="23"/>
  <c r="U43" i="23"/>
  <c r="U37" i="4" s="1"/>
  <c r="V43" i="23"/>
  <c r="O29" i="23"/>
  <c r="O23" i="4" s="1"/>
  <c r="M30" i="23"/>
  <c r="M24" i="4" s="1"/>
  <c r="K36" i="23"/>
  <c r="K30" i="4" s="1"/>
  <c r="L36" i="23"/>
  <c r="L30" i="4" s="1"/>
  <c r="M36" i="23"/>
  <c r="M30" i="4" s="1"/>
  <c r="K37" i="23"/>
  <c r="K31" i="4" s="1"/>
  <c r="L37" i="23"/>
  <c r="L31" i="4" s="1"/>
  <c r="M37" i="23"/>
  <c r="M31" i="4" s="1"/>
  <c r="K38" i="23"/>
  <c r="K32" i="4" s="1"/>
  <c r="L38" i="23"/>
  <c r="L32" i="4" s="1"/>
  <c r="M38" i="23"/>
  <c r="M32" i="4" s="1"/>
  <c r="K39" i="23"/>
  <c r="K33" i="4" s="1"/>
  <c r="L39" i="23"/>
  <c r="L33" i="4" s="1"/>
  <c r="M39" i="23"/>
  <c r="M33" i="4" s="1"/>
  <c r="K40" i="23"/>
  <c r="K34" i="4" s="1"/>
  <c r="L40" i="23"/>
  <c r="L34" i="4" s="1"/>
  <c r="M40" i="23"/>
  <c r="M34" i="4" s="1"/>
  <c r="K41" i="23"/>
  <c r="K35" i="4" s="1"/>
  <c r="L41" i="23"/>
  <c r="L35" i="4" s="1"/>
  <c r="M41" i="23"/>
  <c r="M35" i="4" s="1"/>
  <c r="K42" i="23"/>
  <c r="K36" i="4" s="1"/>
  <c r="L42" i="23"/>
  <c r="L36" i="4" s="1"/>
  <c r="M42" i="23"/>
  <c r="M36" i="4" s="1"/>
  <c r="K43" i="23"/>
  <c r="L43" i="23"/>
  <c r="M43" i="23"/>
  <c r="S28" i="1"/>
  <c r="T28" i="1"/>
  <c r="U28" i="1"/>
  <c r="V28" i="1"/>
  <c r="S29" i="1"/>
  <c r="S7" i="4" s="1"/>
  <c r="T29" i="1"/>
  <c r="T7" i="4" s="1"/>
  <c r="U29" i="1"/>
  <c r="U7" i="4" s="1"/>
  <c r="V29" i="1"/>
  <c r="V7" i="4" s="1"/>
  <c r="S30" i="1"/>
  <c r="S8" i="4" s="1"/>
  <c r="T30" i="1"/>
  <c r="T8" i="4" s="1"/>
  <c r="U30" i="1"/>
  <c r="U8" i="4" s="1"/>
  <c r="V30" i="1"/>
  <c r="V8" i="4" s="1"/>
  <c r="S31" i="1"/>
  <c r="S9" i="4" s="1"/>
  <c r="T31" i="1"/>
  <c r="T9" i="4" s="1"/>
  <c r="U31" i="1"/>
  <c r="U9" i="4" s="1"/>
  <c r="V31" i="1"/>
  <c r="V9" i="4" s="1"/>
  <c r="S32" i="1"/>
  <c r="S10" i="4" s="1"/>
  <c r="T32" i="1"/>
  <c r="T10" i="4" s="1"/>
  <c r="U32" i="1"/>
  <c r="U10" i="4" s="1"/>
  <c r="V32" i="1"/>
  <c r="V10" i="4" s="1"/>
  <c r="S33" i="1"/>
  <c r="S11" i="4" s="1"/>
  <c r="T33" i="1"/>
  <c r="T11" i="4" s="1"/>
  <c r="U33" i="1"/>
  <c r="U11" i="4" s="1"/>
  <c r="V33" i="1"/>
  <c r="V11" i="4" s="1"/>
  <c r="S34" i="1"/>
  <c r="S12" i="4" s="1"/>
  <c r="T34" i="1"/>
  <c r="T12" i="4" s="1"/>
  <c r="U34" i="1"/>
  <c r="U12" i="4" s="1"/>
  <c r="V34" i="1"/>
  <c r="V12" i="4" s="1"/>
  <c r="S35" i="1"/>
  <c r="S13" i="4" s="1"/>
  <c r="T35" i="1"/>
  <c r="T13" i="4" s="1"/>
  <c r="U35" i="1"/>
  <c r="U13" i="4" s="1"/>
  <c r="V35" i="1"/>
  <c r="V13" i="4" s="1"/>
  <c r="S36" i="1"/>
  <c r="S14" i="4" s="1"/>
  <c r="T36" i="1"/>
  <c r="T14" i="4" s="1"/>
  <c r="U36" i="1"/>
  <c r="U14" i="4" s="1"/>
  <c r="V36" i="1"/>
  <c r="V14" i="4" s="1"/>
  <c r="S37" i="1"/>
  <c r="S15" i="4" s="1"/>
  <c r="T37" i="1"/>
  <c r="T15" i="4" s="1"/>
  <c r="U37" i="1"/>
  <c r="U15" i="4" s="1"/>
  <c r="V37" i="1"/>
  <c r="V15" i="4" s="1"/>
  <c r="S38" i="1"/>
  <c r="S16" i="4" s="1"/>
  <c r="T38" i="1"/>
  <c r="T16" i="4" s="1"/>
  <c r="U38" i="1"/>
  <c r="U16" i="4" s="1"/>
  <c r="V38" i="1"/>
  <c r="V16" i="4" s="1"/>
  <c r="S39" i="1"/>
  <c r="S17" i="4" s="1"/>
  <c r="T39" i="1"/>
  <c r="T17" i="4" s="1"/>
  <c r="U39" i="1"/>
  <c r="U17" i="4" s="1"/>
  <c r="V39" i="1"/>
  <c r="V17" i="4" s="1"/>
  <c r="S40" i="1"/>
  <c r="S18" i="4" s="1"/>
  <c r="T40" i="1"/>
  <c r="T18" i="4" s="1"/>
  <c r="U40" i="1"/>
  <c r="U18" i="4" s="1"/>
  <c r="V40" i="1"/>
  <c r="V18" i="4" s="1"/>
  <c r="S41" i="1"/>
  <c r="S19" i="4" s="1"/>
  <c r="T41" i="1"/>
  <c r="T19" i="4" s="1"/>
  <c r="U41" i="1"/>
  <c r="U19" i="4" s="1"/>
  <c r="V41" i="1"/>
  <c r="V19" i="4" s="1"/>
  <c r="S42" i="1"/>
  <c r="S20" i="4" s="1"/>
  <c r="T42" i="1"/>
  <c r="T20" i="4" s="1"/>
  <c r="U42" i="1"/>
  <c r="U20" i="4" s="1"/>
  <c r="V42" i="1"/>
  <c r="V20" i="4" s="1"/>
  <c r="S43" i="1"/>
  <c r="S21" i="4" s="1"/>
  <c r="T43" i="1"/>
  <c r="U43" i="1"/>
  <c r="V43" i="1"/>
  <c r="K36" i="1"/>
  <c r="K14" i="4" s="1"/>
  <c r="L36" i="1"/>
  <c r="L14" i="4" s="1"/>
  <c r="M36" i="1"/>
  <c r="M14" i="4" s="1"/>
  <c r="K37" i="1"/>
  <c r="K15" i="4" s="1"/>
  <c r="L37" i="1"/>
  <c r="L15" i="4" s="1"/>
  <c r="M37" i="1"/>
  <c r="M15" i="4" s="1"/>
  <c r="K38" i="1"/>
  <c r="K16" i="4" s="1"/>
  <c r="L38" i="1"/>
  <c r="L16" i="4" s="1"/>
  <c r="M38" i="1"/>
  <c r="M16" i="4" s="1"/>
  <c r="K39" i="1"/>
  <c r="K17" i="4" s="1"/>
  <c r="L39" i="1"/>
  <c r="L17" i="4" s="1"/>
  <c r="M39" i="1"/>
  <c r="M17" i="4" s="1"/>
  <c r="K40" i="1"/>
  <c r="K18" i="4" s="1"/>
  <c r="L40" i="1"/>
  <c r="L18" i="4" s="1"/>
  <c r="M40" i="1"/>
  <c r="M18" i="4" s="1"/>
  <c r="K41" i="1"/>
  <c r="K19" i="4" s="1"/>
  <c r="L41" i="1"/>
  <c r="L19" i="4" s="1"/>
  <c r="M41" i="1"/>
  <c r="M19" i="4" s="1"/>
  <c r="K42" i="1"/>
  <c r="K20" i="4" s="1"/>
  <c r="L42" i="1"/>
  <c r="L20" i="4" s="1"/>
  <c r="M42" i="1"/>
  <c r="M20" i="4" s="1"/>
  <c r="K43" i="1"/>
  <c r="L43" i="1"/>
  <c r="M43" i="1"/>
  <c r="N45" i="1"/>
  <c r="A45" i="1"/>
  <c r="A45" i="23"/>
  <c r="A22" i="23"/>
  <c r="A22" i="1"/>
  <c r="B1" i="4"/>
  <c r="A52" i="23"/>
  <c r="I43" i="23"/>
  <c r="H43" i="23"/>
  <c r="G43" i="23"/>
  <c r="F43" i="23"/>
  <c r="E43" i="23"/>
  <c r="D43" i="23"/>
  <c r="C43" i="23"/>
  <c r="B43" i="23"/>
  <c r="I42" i="23"/>
  <c r="I36" i="4" s="1"/>
  <c r="H42" i="23"/>
  <c r="H36" i="4" s="1"/>
  <c r="G42" i="23"/>
  <c r="G36" i="4" s="1"/>
  <c r="F42" i="23"/>
  <c r="F36" i="4" s="1"/>
  <c r="E42" i="23"/>
  <c r="E36" i="4" s="1"/>
  <c r="D42" i="23"/>
  <c r="D36" i="4" s="1"/>
  <c r="C42" i="23"/>
  <c r="C36" i="4" s="1"/>
  <c r="B42" i="23"/>
  <c r="B36" i="4" s="1"/>
  <c r="Q35" i="4"/>
  <c r="I41" i="23"/>
  <c r="I35" i="4" s="1"/>
  <c r="H41" i="23"/>
  <c r="H35" i="4" s="1"/>
  <c r="G41" i="23"/>
  <c r="G35" i="4" s="1"/>
  <c r="F41" i="23"/>
  <c r="F35" i="4" s="1"/>
  <c r="E41" i="23"/>
  <c r="E35" i="4" s="1"/>
  <c r="D41" i="23"/>
  <c r="D35" i="4" s="1"/>
  <c r="C41" i="23"/>
  <c r="C35" i="4" s="1"/>
  <c r="B41" i="23"/>
  <c r="B35" i="4" s="1"/>
  <c r="S34" i="4"/>
  <c r="I40" i="23"/>
  <c r="I34" i="4" s="1"/>
  <c r="H40" i="23"/>
  <c r="H34" i="4" s="1"/>
  <c r="G40" i="23"/>
  <c r="G34" i="4" s="1"/>
  <c r="F40" i="23"/>
  <c r="F34" i="4" s="1"/>
  <c r="E40" i="23"/>
  <c r="E34" i="4" s="1"/>
  <c r="D40" i="23"/>
  <c r="D34" i="4" s="1"/>
  <c r="C40" i="23"/>
  <c r="C34" i="4" s="1"/>
  <c r="B40" i="23"/>
  <c r="B34" i="4" s="1"/>
  <c r="U33" i="4"/>
  <c r="I39" i="23"/>
  <c r="I33" i="4" s="1"/>
  <c r="H39" i="23"/>
  <c r="H33" i="4" s="1"/>
  <c r="G39" i="23"/>
  <c r="G33" i="4" s="1"/>
  <c r="F39" i="23"/>
  <c r="F33" i="4" s="1"/>
  <c r="E39" i="23"/>
  <c r="E33" i="4" s="1"/>
  <c r="D39" i="23"/>
  <c r="D33" i="4" s="1"/>
  <c r="C39" i="23"/>
  <c r="C33" i="4" s="1"/>
  <c r="B39" i="23"/>
  <c r="B33" i="4" s="1"/>
  <c r="S32" i="4"/>
  <c r="I38" i="23"/>
  <c r="I32" i="4" s="1"/>
  <c r="H38" i="23"/>
  <c r="H32" i="4" s="1"/>
  <c r="G38" i="23"/>
  <c r="G32" i="4" s="1"/>
  <c r="F38" i="23"/>
  <c r="F32" i="4" s="1"/>
  <c r="E38" i="23"/>
  <c r="E32" i="4" s="1"/>
  <c r="D38" i="23"/>
  <c r="D32" i="4" s="1"/>
  <c r="C38" i="23"/>
  <c r="C32" i="4" s="1"/>
  <c r="I37" i="23"/>
  <c r="I31" i="4" s="1"/>
  <c r="H37" i="23"/>
  <c r="H31" i="4" s="1"/>
  <c r="G37" i="23"/>
  <c r="G31" i="4" s="1"/>
  <c r="F37" i="23"/>
  <c r="F31" i="4" s="1"/>
  <c r="E37" i="23"/>
  <c r="E31" i="4" s="1"/>
  <c r="D37" i="23"/>
  <c r="D31" i="4" s="1"/>
  <c r="C37" i="23"/>
  <c r="C31" i="4" s="1"/>
  <c r="B37" i="23"/>
  <c r="B31" i="4" s="1"/>
  <c r="S30" i="4"/>
  <c r="I36" i="23"/>
  <c r="I30" i="4" s="1"/>
  <c r="H36" i="23"/>
  <c r="H30" i="4" s="1"/>
  <c r="G36" i="23"/>
  <c r="G30" i="4" s="1"/>
  <c r="F36" i="23"/>
  <c r="F30" i="4" s="1"/>
  <c r="E36" i="23"/>
  <c r="E30" i="4" s="1"/>
  <c r="D36" i="23"/>
  <c r="D30" i="4" s="1"/>
  <c r="C36" i="23"/>
  <c r="C30" i="4" s="1"/>
  <c r="B36" i="23"/>
  <c r="B30" i="4" s="1"/>
  <c r="U27" i="4"/>
  <c r="U25" i="4"/>
  <c r="S24" i="4"/>
  <c r="U22" i="4"/>
  <c r="V24" i="23"/>
  <c r="U24" i="23"/>
  <c r="T24" i="23"/>
  <c r="S24" i="23"/>
  <c r="R24" i="23"/>
  <c r="Q24" i="23"/>
  <c r="P24" i="23"/>
  <c r="O24" i="23"/>
  <c r="L24" i="23"/>
  <c r="J24" i="23"/>
  <c r="I24" i="23"/>
  <c r="H24" i="23"/>
  <c r="G24" i="23"/>
  <c r="F24" i="23"/>
  <c r="E24" i="23"/>
  <c r="D24" i="23"/>
  <c r="C24" i="23"/>
  <c r="B24" i="23"/>
  <c r="V23" i="23"/>
  <c r="U23" i="23"/>
  <c r="T23" i="23"/>
  <c r="S23" i="23"/>
  <c r="R23" i="23"/>
  <c r="Q23" i="23"/>
  <c r="P23" i="23"/>
  <c r="O23" i="23"/>
  <c r="B32" i="23" s="1"/>
  <c r="B26" i="4" s="1"/>
  <c r="L23" i="23"/>
  <c r="J23" i="23"/>
  <c r="I23" i="23"/>
  <c r="H23" i="23"/>
  <c r="G23" i="23"/>
  <c r="F23" i="23"/>
  <c r="E23" i="23"/>
  <c r="D23" i="23"/>
  <c r="C23" i="23"/>
  <c r="B23" i="23"/>
  <c r="Q45" i="23"/>
  <c r="P45" i="23"/>
  <c r="O45" i="23"/>
  <c r="I22" i="23"/>
  <c r="H27" i="23"/>
  <c r="H52" i="23" s="1"/>
  <c r="G45" i="23"/>
  <c r="F27" i="23"/>
  <c r="F52" i="23" s="1"/>
  <c r="E45" i="23"/>
  <c r="C45" i="23"/>
  <c r="B45" i="23"/>
  <c r="J40" i="23"/>
  <c r="J34" i="4" s="1"/>
  <c r="J36" i="23"/>
  <c r="J30" i="4" s="1"/>
  <c r="I33" i="23"/>
  <c r="I27" i="4" s="1"/>
  <c r="I29" i="23"/>
  <c r="I23" i="4" s="1"/>
  <c r="J28" i="23"/>
  <c r="J42" i="23"/>
  <c r="J36" i="4" s="1"/>
  <c r="J38" i="23"/>
  <c r="J32" i="4" s="1"/>
  <c r="J34" i="23"/>
  <c r="J28" i="4" s="1"/>
  <c r="H32" i="23"/>
  <c r="H26" i="4" s="1"/>
  <c r="J30" i="23"/>
  <c r="J24" i="4" s="1"/>
  <c r="J41" i="23"/>
  <c r="J35" i="4" s="1"/>
  <c r="J37" i="23"/>
  <c r="J31" i="4" s="1"/>
  <c r="I34" i="23"/>
  <c r="I28" i="4" s="1"/>
  <c r="J43" i="23"/>
  <c r="J39" i="23"/>
  <c r="J33" i="4" s="1"/>
  <c r="J35" i="23"/>
  <c r="J29" i="4" s="1"/>
  <c r="F35" i="23"/>
  <c r="F29" i="4" s="1"/>
  <c r="I32" i="23"/>
  <c r="I26" i="4" s="1"/>
  <c r="F31" i="23"/>
  <c r="F25" i="4" s="1"/>
  <c r="I28" i="23"/>
  <c r="I35" i="23"/>
  <c r="I29" i="4" s="1"/>
  <c r="I30" i="23"/>
  <c r="I24" i="4" s="1"/>
  <c r="P22" i="23"/>
  <c r="S23" i="1"/>
  <c r="T23" i="1"/>
  <c r="U23" i="1"/>
  <c r="V23" i="1"/>
  <c r="S24" i="1"/>
  <c r="T24" i="1"/>
  <c r="U24" i="1"/>
  <c r="V24" i="1"/>
  <c r="L23" i="1"/>
  <c r="M23" i="1"/>
  <c r="L24" i="1"/>
  <c r="M24" i="1"/>
  <c r="I23" i="1"/>
  <c r="I24" i="1"/>
  <c r="C36" i="1"/>
  <c r="C14" i="4" s="1"/>
  <c r="D36" i="1"/>
  <c r="D14" i="4" s="1"/>
  <c r="E36" i="1"/>
  <c r="E14" i="4" s="1"/>
  <c r="F36" i="1"/>
  <c r="F14" i="4" s="1"/>
  <c r="G36" i="1"/>
  <c r="G14" i="4" s="1"/>
  <c r="H36" i="1"/>
  <c r="H14" i="4" s="1"/>
  <c r="I36" i="1"/>
  <c r="I14" i="4" s="1"/>
  <c r="J36" i="1"/>
  <c r="J14" i="4" s="1"/>
  <c r="C37" i="1"/>
  <c r="C15" i="4" s="1"/>
  <c r="D37" i="1"/>
  <c r="D15" i="4" s="1"/>
  <c r="E37" i="1"/>
  <c r="E15" i="4" s="1"/>
  <c r="F37" i="1"/>
  <c r="F15" i="4" s="1"/>
  <c r="G37" i="1"/>
  <c r="G15" i="4" s="1"/>
  <c r="H37" i="1"/>
  <c r="H15" i="4" s="1"/>
  <c r="I37" i="1"/>
  <c r="I15" i="4" s="1"/>
  <c r="J37" i="1"/>
  <c r="J15" i="4" s="1"/>
  <c r="C38" i="1"/>
  <c r="C16" i="4" s="1"/>
  <c r="D38" i="1"/>
  <c r="D16" i="4" s="1"/>
  <c r="E38" i="1"/>
  <c r="E16" i="4" s="1"/>
  <c r="F38" i="1"/>
  <c r="F16" i="4" s="1"/>
  <c r="G38" i="1"/>
  <c r="G16" i="4" s="1"/>
  <c r="H38" i="1"/>
  <c r="H16" i="4" s="1"/>
  <c r="I38" i="1"/>
  <c r="I16" i="4" s="1"/>
  <c r="J38" i="1"/>
  <c r="J16" i="4" s="1"/>
  <c r="C39" i="1"/>
  <c r="C17" i="4" s="1"/>
  <c r="D39" i="1"/>
  <c r="E39" i="1"/>
  <c r="E17" i="4" s="1"/>
  <c r="F39" i="1"/>
  <c r="F17" i="4" s="1"/>
  <c r="G39" i="1"/>
  <c r="G17" i="4" s="1"/>
  <c r="H39" i="1"/>
  <c r="H17" i="4" s="1"/>
  <c r="I39" i="1"/>
  <c r="I17" i="4" s="1"/>
  <c r="J39" i="1"/>
  <c r="J17" i="4" s="1"/>
  <c r="C40" i="1"/>
  <c r="C18" i="4" s="1"/>
  <c r="D40" i="1"/>
  <c r="D18" i="4" s="1"/>
  <c r="E40" i="1"/>
  <c r="E18" i="4" s="1"/>
  <c r="F40" i="1"/>
  <c r="F18" i="4" s="1"/>
  <c r="G40" i="1"/>
  <c r="G18" i="4" s="1"/>
  <c r="H40" i="1"/>
  <c r="H18" i="4" s="1"/>
  <c r="I40" i="1"/>
  <c r="I18" i="4" s="1"/>
  <c r="J40" i="1"/>
  <c r="J18" i="4" s="1"/>
  <c r="C41" i="1"/>
  <c r="C19" i="4" s="1"/>
  <c r="D41" i="1"/>
  <c r="D19" i="4" s="1"/>
  <c r="E41" i="1"/>
  <c r="E19" i="4" s="1"/>
  <c r="F41" i="1"/>
  <c r="F19" i="4" s="1"/>
  <c r="G41" i="1"/>
  <c r="G19" i="4" s="1"/>
  <c r="H41" i="1"/>
  <c r="H19" i="4" s="1"/>
  <c r="I41" i="1"/>
  <c r="I19" i="4" s="1"/>
  <c r="J41" i="1"/>
  <c r="J19" i="4" s="1"/>
  <c r="C42" i="1"/>
  <c r="C20" i="4" s="1"/>
  <c r="D42" i="1"/>
  <c r="D20" i="4" s="1"/>
  <c r="E42" i="1"/>
  <c r="E20" i="4" s="1"/>
  <c r="F42" i="1"/>
  <c r="F20" i="4" s="1"/>
  <c r="G42" i="1"/>
  <c r="G20" i="4" s="1"/>
  <c r="H42" i="1"/>
  <c r="H20" i="4" s="1"/>
  <c r="I42" i="1"/>
  <c r="I20" i="4" s="1"/>
  <c r="J42" i="1"/>
  <c r="J20" i="4" s="1"/>
  <c r="C43" i="1"/>
  <c r="D43" i="1"/>
  <c r="E43" i="1"/>
  <c r="F43" i="1"/>
  <c r="G43" i="1"/>
  <c r="H43" i="1"/>
  <c r="I43" i="1"/>
  <c r="J43" i="1"/>
  <c r="I45" i="1"/>
  <c r="R33" i="1"/>
  <c r="R11" i="4" s="1"/>
  <c r="Q36" i="1"/>
  <c r="Q14" i="4" s="1"/>
  <c r="R36" i="1"/>
  <c r="R14" i="4" s="1"/>
  <c r="Q37" i="1"/>
  <c r="Q15" i="4" s="1"/>
  <c r="P38" i="1"/>
  <c r="P16" i="4" s="1"/>
  <c r="Q38" i="1"/>
  <c r="Q16" i="4" s="1"/>
  <c r="P39" i="1"/>
  <c r="P17" i="4" s="1"/>
  <c r="Q39" i="1"/>
  <c r="Q17" i="4" s="1"/>
  <c r="R39" i="1"/>
  <c r="R17" i="4" s="1"/>
  <c r="P40" i="1"/>
  <c r="P18" i="4" s="1"/>
  <c r="Q40" i="1"/>
  <c r="Q18" i="4" s="1"/>
  <c r="R40" i="1"/>
  <c r="R18" i="4" s="1"/>
  <c r="P41" i="1"/>
  <c r="P19" i="4" s="1"/>
  <c r="Q41" i="1"/>
  <c r="Q19" i="4" s="1"/>
  <c r="P42" i="1"/>
  <c r="P20" i="4" s="1"/>
  <c r="Q42" i="1"/>
  <c r="Q20" i="4" s="1"/>
  <c r="P43" i="1"/>
  <c r="Q43" i="1"/>
  <c r="R43" i="1"/>
  <c r="B36" i="1"/>
  <c r="B14" i="4" s="1"/>
  <c r="B37" i="1"/>
  <c r="B15" i="4" s="1"/>
  <c r="B38" i="1"/>
  <c r="B16" i="4" s="1"/>
  <c r="B39" i="1"/>
  <c r="B17" i="4" s="1"/>
  <c r="B40" i="1"/>
  <c r="B18" i="4" s="1"/>
  <c r="B41" i="1"/>
  <c r="B19" i="4" s="1"/>
  <c r="B42" i="1"/>
  <c r="B20" i="4" s="1"/>
  <c r="B43" i="1"/>
  <c r="B23" i="1"/>
  <c r="B4" i="4"/>
  <c r="B62" i="4" s="1"/>
  <c r="A52" i="1"/>
  <c r="O22" i="1"/>
  <c r="Q24" i="1"/>
  <c r="P24" i="1"/>
  <c r="O24" i="1"/>
  <c r="Q23" i="1"/>
  <c r="P23" i="1"/>
  <c r="O23" i="1"/>
  <c r="C29" i="1" s="1"/>
  <c r="C7" i="4" s="1"/>
  <c r="H27" i="1"/>
  <c r="H52" i="1" s="1"/>
  <c r="G27" i="1"/>
  <c r="G52" i="1" s="1"/>
  <c r="F27" i="1"/>
  <c r="F52" i="1" s="1"/>
  <c r="E4" i="4"/>
  <c r="D22" i="1"/>
  <c r="C45" i="1"/>
  <c r="G35" i="1"/>
  <c r="G13" i="4" s="1"/>
  <c r="Q27" i="1"/>
  <c r="Q52" i="1" s="1"/>
  <c r="K24" i="1"/>
  <c r="J24" i="1"/>
  <c r="H24" i="1"/>
  <c r="G24" i="1"/>
  <c r="F24" i="1"/>
  <c r="E24" i="1"/>
  <c r="D24" i="1"/>
  <c r="C24" i="1"/>
  <c r="B24" i="1"/>
  <c r="K23" i="1"/>
  <c r="J23" i="1"/>
  <c r="H23" i="1"/>
  <c r="G23" i="1"/>
  <c r="F23" i="1"/>
  <c r="E23" i="1"/>
  <c r="D23" i="1"/>
  <c r="C23" i="1"/>
  <c r="R24" i="1"/>
  <c r="R23" i="1"/>
  <c r="K4" i="4"/>
  <c r="K62" i="4" s="1"/>
  <c r="L4" i="4"/>
  <c r="K52" i="23"/>
  <c r="L27" i="23"/>
  <c r="S56" i="23"/>
  <c r="T56" i="1"/>
  <c r="R56" i="23"/>
  <c r="U56" i="23"/>
  <c r="U56" i="1"/>
  <c r="T56" i="23"/>
  <c r="S56" i="1"/>
  <c r="V56" i="1"/>
  <c r="V56" i="23"/>
  <c r="O9" i="12" l="1"/>
  <c r="O10" i="12" s="1"/>
  <c r="P35" i="23"/>
  <c r="P29" i="4" s="1"/>
  <c r="Q34" i="23"/>
  <c r="Q28" i="4" s="1"/>
  <c r="P32" i="23"/>
  <c r="P26" i="4" s="1"/>
  <c r="Q28" i="23"/>
  <c r="O42" i="23"/>
  <c r="O36" i="4" s="1"/>
  <c r="P30" i="23"/>
  <c r="P24" i="4" s="1"/>
  <c r="P31" i="23"/>
  <c r="P25" i="4" s="1"/>
  <c r="O36" i="23"/>
  <c r="O30" i="4" s="1"/>
  <c r="P34" i="23"/>
  <c r="P28" i="4" s="1"/>
  <c r="Q29" i="23"/>
  <c r="P28" i="23"/>
  <c r="Q33" i="23"/>
  <c r="Q27" i="4" s="1"/>
  <c r="P29" i="23"/>
  <c r="Q35" i="23"/>
  <c r="Q29" i="4" s="1"/>
  <c r="P33" i="23"/>
  <c r="P27" i="4" s="1"/>
  <c r="Q32" i="23"/>
  <c r="Q26" i="4" s="1"/>
  <c r="Q31" i="23"/>
  <c r="Q25" i="4" s="1"/>
  <c r="Q30" i="23"/>
  <c r="Q24" i="4" s="1"/>
  <c r="J33" i="23"/>
  <c r="J27" i="4" s="1"/>
  <c r="J31" i="23"/>
  <c r="J25" i="4" s="1"/>
  <c r="I31" i="23"/>
  <c r="I46" i="23" s="1"/>
  <c r="I53" i="23" s="1"/>
  <c r="J32" i="23"/>
  <c r="J26" i="4" s="1"/>
  <c r="J29" i="23"/>
  <c r="O41" i="23"/>
  <c r="O35" i="4" s="1"/>
  <c r="O40" i="23"/>
  <c r="O34" i="4" s="1"/>
  <c r="O43" i="23"/>
  <c r="O37" i="4" s="1"/>
  <c r="O39" i="23"/>
  <c r="O33" i="4" s="1"/>
  <c r="M35" i="23"/>
  <c r="M29" i="4" s="1"/>
  <c r="L34" i="23"/>
  <c r="L28" i="4" s="1"/>
  <c r="K33" i="23"/>
  <c r="K27" i="4" s="1"/>
  <c r="K31" i="23"/>
  <c r="K25" i="4" s="1"/>
  <c r="L29" i="23"/>
  <c r="L23" i="4" s="1"/>
  <c r="K28" i="23"/>
  <c r="O33" i="23"/>
  <c r="O27" i="4" s="1"/>
  <c r="L35" i="23"/>
  <c r="L29" i="4" s="1"/>
  <c r="K34" i="23"/>
  <c r="K28" i="4" s="1"/>
  <c r="M32" i="23"/>
  <c r="M26" i="4" s="1"/>
  <c r="L30" i="23"/>
  <c r="L24" i="4" s="1"/>
  <c r="K29" i="23"/>
  <c r="K23" i="4" s="1"/>
  <c r="K35" i="23"/>
  <c r="K29" i="4" s="1"/>
  <c r="M33" i="23"/>
  <c r="M27" i="4" s="1"/>
  <c r="L32" i="23"/>
  <c r="L26" i="4" s="1"/>
  <c r="M31" i="23"/>
  <c r="M25" i="4" s="1"/>
  <c r="K30" i="23"/>
  <c r="K24" i="4" s="1"/>
  <c r="M28" i="23"/>
  <c r="M22" i="4" s="1"/>
  <c r="M34" i="23"/>
  <c r="M28" i="4" s="1"/>
  <c r="L33" i="23"/>
  <c r="L27" i="4" s="1"/>
  <c r="K32" i="23"/>
  <c r="K26" i="4" s="1"/>
  <c r="L31" i="23"/>
  <c r="L25" i="4" s="1"/>
  <c r="M29" i="23"/>
  <c r="M23" i="4" s="1"/>
  <c r="L28" i="23"/>
  <c r="O35" i="23"/>
  <c r="O29" i="4" s="1"/>
  <c r="F33" i="23"/>
  <c r="F27" i="4" s="1"/>
  <c r="F30" i="23"/>
  <c r="F24" i="4" s="1"/>
  <c r="H29" i="23"/>
  <c r="H23" i="4" s="1"/>
  <c r="D34" i="23"/>
  <c r="D28" i="4" s="1"/>
  <c r="D31" i="23"/>
  <c r="D25" i="4" s="1"/>
  <c r="G29" i="23"/>
  <c r="G23" i="4" s="1"/>
  <c r="D33" i="23"/>
  <c r="D27" i="4" s="1"/>
  <c r="H30" i="23"/>
  <c r="H24" i="4" s="1"/>
  <c r="E28" i="23"/>
  <c r="E22" i="4" s="1"/>
  <c r="C31" i="23"/>
  <c r="C25" i="4" s="1"/>
  <c r="F29" i="23"/>
  <c r="F23" i="4" s="1"/>
  <c r="H33" i="23"/>
  <c r="H27" i="4" s="1"/>
  <c r="H35" i="23"/>
  <c r="H29" i="4" s="1"/>
  <c r="H31" i="23"/>
  <c r="H25" i="4" s="1"/>
  <c r="D35" i="23"/>
  <c r="D29" i="4" s="1"/>
  <c r="G33" i="23"/>
  <c r="G27" i="4" s="1"/>
  <c r="C30" i="23"/>
  <c r="C24" i="4" s="1"/>
  <c r="E32" i="23"/>
  <c r="E26" i="4" s="1"/>
  <c r="C34" i="23"/>
  <c r="C28" i="4" s="1"/>
  <c r="C29" i="23"/>
  <c r="C23" i="4" s="1"/>
  <c r="E31" i="23"/>
  <c r="E25" i="4" s="1"/>
  <c r="G31" i="23"/>
  <c r="G25" i="4" s="1"/>
  <c r="E33" i="23"/>
  <c r="E27" i="4" s="1"/>
  <c r="C35" i="23"/>
  <c r="C29" i="4" s="1"/>
  <c r="G28" i="23"/>
  <c r="G22" i="4" s="1"/>
  <c r="D32" i="23"/>
  <c r="D26" i="4" s="1"/>
  <c r="C32" i="23"/>
  <c r="C26" i="4" s="1"/>
  <c r="D28" i="23"/>
  <c r="D22" i="4" s="1"/>
  <c r="C33" i="23"/>
  <c r="C27" i="4" s="1"/>
  <c r="E29" i="23"/>
  <c r="E23" i="4" s="1"/>
  <c r="H34" i="23"/>
  <c r="H28" i="4" s="1"/>
  <c r="G32" i="23"/>
  <c r="G26" i="4" s="1"/>
  <c r="H28" i="23"/>
  <c r="H22" i="4" s="1"/>
  <c r="E35" i="23"/>
  <c r="E29" i="4" s="1"/>
  <c r="D29" i="23"/>
  <c r="D23" i="4" s="1"/>
  <c r="G30" i="23"/>
  <c r="G24" i="4" s="1"/>
  <c r="G34" i="23"/>
  <c r="G28" i="4" s="1"/>
  <c r="E34" i="23"/>
  <c r="E28" i="4" s="1"/>
  <c r="F34" i="23"/>
  <c r="F28" i="4" s="1"/>
  <c r="F28" i="23"/>
  <c r="D30" i="23"/>
  <c r="D24" i="4" s="1"/>
  <c r="F32" i="23"/>
  <c r="F26" i="4" s="1"/>
  <c r="G35" i="23"/>
  <c r="G29" i="4" s="1"/>
  <c r="C28" i="23"/>
  <c r="E30" i="23"/>
  <c r="E24" i="4" s="1"/>
  <c r="O40" i="1"/>
  <c r="O18" i="4" s="1"/>
  <c r="O43" i="1"/>
  <c r="E32" i="1"/>
  <c r="E10" i="4" s="1"/>
  <c r="Q33" i="1"/>
  <c r="Q11" i="4" s="1"/>
  <c r="P34" i="1"/>
  <c r="P12" i="4" s="1"/>
  <c r="E29" i="1"/>
  <c r="Q28" i="1"/>
  <c r="P33" i="1"/>
  <c r="P11" i="4" s="1"/>
  <c r="O32" i="1"/>
  <c r="O10" i="4" s="1"/>
  <c r="G34" i="1"/>
  <c r="G12" i="4" s="1"/>
  <c r="C35" i="1"/>
  <c r="C13" i="4" s="1"/>
  <c r="C33" i="1"/>
  <c r="C11" i="4" s="1"/>
  <c r="O38" i="1"/>
  <c r="O16" i="4" s="1"/>
  <c r="B33" i="1"/>
  <c r="B11" i="4" s="1"/>
  <c r="P30" i="1"/>
  <c r="P8" i="4" s="1"/>
  <c r="Q34" i="1"/>
  <c r="Q12" i="4" s="1"/>
  <c r="F33" i="1"/>
  <c r="F11" i="4" s="1"/>
  <c r="F34" i="1"/>
  <c r="F12" i="4" s="1"/>
  <c r="H33" i="1"/>
  <c r="H11" i="4" s="1"/>
  <c r="Q35" i="1"/>
  <c r="Q13" i="4" s="1"/>
  <c r="O41" i="1"/>
  <c r="O19" i="4" s="1"/>
  <c r="P28" i="1"/>
  <c r="Q31" i="1"/>
  <c r="Q9" i="4" s="1"/>
  <c r="G30" i="1"/>
  <c r="G8" i="4" s="1"/>
  <c r="E33" i="1"/>
  <c r="E11" i="4" s="1"/>
  <c r="D35" i="1"/>
  <c r="D13" i="4" s="1"/>
  <c r="O42" i="1"/>
  <c r="O20" i="4" s="1"/>
  <c r="O39" i="1"/>
  <c r="O17" i="4" s="1"/>
  <c r="F30" i="1"/>
  <c r="F8" i="4" s="1"/>
  <c r="D33" i="1"/>
  <c r="D11" i="4" s="1"/>
  <c r="H30" i="1"/>
  <c r="H8" i="4" s="1"/>
  <c r="H32" i="1"/>
  <c r="H10" i="4" s="1"/>
  <c r="H35" i="1"/>
  <c r="H13" i="4" s="1"/>
  <c r="H34" i="1"/>
  <c r="H12" i="4" s="1"/>
  <c r="F35" i="1"/>
  <c r="F13" i="4" s="1"/>
  <c r="I30" i="1"/>
  <c r="I8" i="4" s="1"/>
  <c r="E35" i="1"/>
  <c r="E13" i="4" s="1"/>
  <c r="G29" i="1"/>
  <c r="G7" i="4" s="1"/>
  <c r="J34" i="1"/>
  <c r="J12" i="4" s="1"/>
  <c r="J30" i="1"/>
  <c r="J8" i="4" s="1"/>
  <c r="K35" i="1"/>
  <c r="K13" i="4" s="1"/>
  <c r="M33" i="1"/>
  <c r="M11" i="4" s="1"/>
  <c r="K30" i="1"/>
  <c r="K8" i="4" s="1"/>
  <c r="M28" i="1"/>
  <c r="F29" i="1"/>
  <c r="F7" i="4" s="1"/>
  <c r="I33" i="1"/>
  <c r="I11" i="4" s="1"/>
  <c r="I29" i="1"/>
  <c r="I34" i="1"/>
  <c r="I12" i="4" s="1"/>
  <c r="E30" i="1"/>
  <c r="E8" i="4" s="1"/>
  <c r="H31" i="1"/>
  <c r="H9" i="4" s="1"/>
  <c r="F32" i="1"/>
  <c r="F10" i="4" s="1"/>
  <c r="J33" i="1"/>
  <c r="J11" i="4" s="1"/>
  <c r="J29" i="1"/>
  <c r="J7" i="4" s="1"/>
  <c r="J28" i="1"/>
  <c r="M34" i="1"/>
  <c r="M12" i="4" s="1"/>
  <c r="L33" i="1"/>
  <c r="L11" i="4" s="1"/>
  <c r="M32" i="1"/>
  <c r="M10" i="4" s="1"/>
  <c r="M31" i="1"/>
  <c r="M9" i="4" s="1"/>
  <c r="M29" i="1"/>
  <c r="M7" i="4" s="1"/>
  <c r="L28" i="1"/>
  <c r="J32" i="1"/>
  <c r="J10" i="4" s="1"/>
  <c r="M35" i="1"/>
  <c r="M13" i="4" s="1"/>
  <c r="L34" i="1"/>
  <c r="L12" i="4" s="1"/>
  <c r="K33" i="1"/>
  <c r="K11" i="4" s="1"/>
  <c r="L32" i="1"/>
  <c r="L10" i="4" s="1"/>
  <c r="L31" i="1"/>
  <c r="L9" i="4" s="1"/>
  <c r="M30" i="1"/>
  <c r="M8" i="4" s="1"/>
  <c r="L29" i="1"/>
  <c r="L7" i="4" s="1"/>
  <c r="K28" i="1"/>
  <c r="K6" i="4" s="1"/>
  <c r="J35" i="1"/>
  <c r="J13" i="4" s="1"/>
  <c r="J31" i="1"/>
  <c r="J9" i="4" s="1"/>
  <c r="L35" i="1"/>
  <c r="L13" i="4" s="1"/>
  <c r="K34" i="1"/>
  <c r="K12" i="4" s="1"/>
  <c r="K32" i="1"/>
  <c r="K10" i="4" s="1"/>
  <c r="K31" i="1"/>
  <c r="L30" i="1"/>
  <c r="L8" i="4" s="1"/>
  <c r="K29" i="1"/>
  <c r="K7" i="4" s="1"/>
  <c r="L6" i="4"/>
  <c r="T6" i="4"/>
  <c r="Q6" i="4"/>
  <c r="I22" i="4"/>
  <c r="J22" i="4"/>
  <c r="J6" i="4"/>
  <c r="S6" i="4"/>
  <c r="Q22" i="4"/>
  <c r="P6" i="4"/>
  <c r="M6" i="4"/>
  <c r="U6" i="4"/>
  <c r="P22" i="4"/>
  <c r="T22" i="33"/>
  <c r="Q22" i="1"/>
  <c r="S9" i="12"/>
  <c r="S10" i="12" s="1"/>
  <c r="N9" i="12"/>
  <c r="N10" i="12" s="1"/>
  <c r="M9" i="12"/>
  <c r="M10" i="12" s="1"/>
  <c r="I9" i="12"/>
  <c r="I10" i="12" s="1"/>
  <c r="P9" i="12"/>
  <c r="P10" i="12" s="1"/>
  <c r="R35" i="1"/>
  <c r="R13" i="4" s="1"/>
  <c r="G32" i="1"/>
  <c r="G10" i="4" s="1"/>
  <c r="H29" i="1"/>
  <c r="E28" i="1"/>
  <c r="D34" i="1"/>
  <c r="D12" i="4" s="1"/>
  <c r="I31" i="1"/>
  <c r="I9" i="4" s="1"/>
  <c r="F28" i="1"/>
  <c r="R41" i="1"/>
  <c r="R19" i="4" s="1"/>
  <c r="R37" i="1"/>
  <c r="R15" i="4" s="1"/>
  <c r="Q29" i="1"/>
  <c r="O37" i="1"/>
  <c r="O15" i="4" s="1"/>
  <c r="P29" i="1"/>
  <c r="B34" i="1"/>
  <c r="B12" i="4" s="1"/>
  <c r="B35" i="1"/>
  <c r="B13" i="4" s="1"/>
  <c r="C34" i="1"/>
  <c r="C12" i="4" s="1"/>
  <c r="I28" i="1"/>
  <c r="G31" i="1"/>
  <c r="G9" i="4" s="1"/>
  <c r="H28" i="1"/>
  <c r="E34" i="1"/>
  <c r="F31" i="1"/>
  <c r="G28" i="1"/>
  <c r="I32" i="1"/>
  <c r="I10" i="4" s="1"/>
  <c r="I35" i="1"/>
  <c r="G33" i="1"/>
  <c r="E31" i="1"/>
  <c r="E9" i="4" s="1"/>
  <c r="R42" i="1"/>
  <c r="R20" i="4" s="1"/>
  <c r="R38" i="1"/>
  <c r="R16" i="4" s="1"/>
  <c r="R34" i="1"/>
  <c r="R12" i="4" s="1"/>
  <c r="L74" i="4"/>
  <c r="H2" i="12" s="1"/>
  <c r="L62" i="4"/>
  <c r="E55" i="4"/>
  <c r="E62" i="4"/>
  <c r="K9" i="12"/>
  <c r="K10" i="12" s="1"/>
  <c r="P21" i="4"/>
  <c r="I52" i="23"/>
  <c r="V37" i="4"/>
  <c r="R37" i="4"/>
  <c r="K37" i="4"/>
  <c r="I45" i="23"/>
  <c r="O21" i="4"/>
  <c r="R21" i="4"/>
  <c r="Q21" i="4"/>
  <c r="C27" i="23"/>
  <c r="C52" i="23" s="1"/>
  <c r="I27" i="23"/>
  <c r="V21" i="4"/>
  <c r="T21" i="4"/>
  <c r="B21" i="4"/>
  <c r="O37" i="23"/>
  <c r="O31" i="4" s="1"/>
  <c r="O34" i="23"/>
  <c r="O28" i="4" s="1"/>
  <c r="O38" i="23"/>
  <c r="T37" i="4"/>
  <c r="B38" i="23"/>
  <c r="F37" i="4"/>
  <c r="L37" i="4"/>
  <c r="P37" i="4"/>
  <c r="S37" i="4"/>
  <c r="J37" i="4"/>
  <c r="H37" i="4"/>
  <c r="M37" i="4"/>
  <c r="Q4" i="4"/>
  <c r="Q62" i="4" s="1"/>
  <c r="H7" i="22"/>
  <c r="A44" i="22"/>
  <c r="H22" i="22"/>
  <c r="H19" i="22"/>
  <c r="H15" i="22"/>
  <c r="H25" i="22"/>
  <c r="H21" i="22"/>
  <c r="H18" i="22"/>
  <c r="P27" i="23"/>
  <c r="P52" i="23" s="1"/>
  <c r="H20" i="22"/>
  <c r="H17" i="22"/>
  <c r="H23" i="22"/>
  <c r="H16" i="22"/>
  <c r="A49" i="22"/>
  <c r="J4" i="4"/>
  <c r="J45" i="23"/>
  <c r="M27" i="23"/>
  <c r="H10" i="22"/>
  <c r="M4" i="4"/>
  <c r="H13" i="22"/>
  <c r="H12" i="22"/>
  <c r="H11" i="22"/>
  <c r="L45" i="1"/>
  <c r="L27" i="1"/>
  <c r="L52" i="1" s="1"/>
  <c r="H9" i="22"/>
  <c r="H8" i="22"/>
  <c r="O32" i="23"/>
  <c r="O31" i="23"/>
  <c r="O25" i="4" s="1"/>
  <c r="O30" i="23"/>
  <c r="O24" i="4" s="1"/>
  <c r="B33" i="23"/>
  <c r="B27" i="4" s="1"/>
  <c r="R46" i="23"/>
  <c r="R53" i="23" s="1"/>
  <c r="B28" i="23"/>
  <c r="B30" i="23"/>
  <c r="B24" i="4" s="1"/>
  <c r="B34" i="23"/>
  <c r="B28" i="4" s="1"/>
  <c r="B35" i="23"/>
  <c r="O28" i="23"/>
  <c r="B31" i="23"/>
  <c r="B25" i="4" s="1"/>
  <c r="B29" i="23"/>
  <c r="B23" i="4" s="1"/>
  <c r="Q32" i="1"/>
  <c r="P32" i="1"/>
  <c r="P10" i="4" s="1"/>
  <c r="D4" i="4"/>
  <c r="P23" i="4"/>
  <c r="O29" i="1"/>
  <c r="O7" i="4" s="1"/>
  <c r="B27" i="23"/>
  <c r="B52" i="23" s="1"/>
  <c r="K45" i="23"/>
  <c r="E27" i="23"/>
  <c r="E52" i="23" s="1"/>
  <c r="Q30" i="1"/>
  <c r="Q8" i="4" s="1"/>
  <c r="B29" i="1"/>
  <c r="B7" i="4" s="1"/>
  <c r="P35" i="1"/>
  <c r="P13" i="4" s="1"/>
  <c r="P31" i="1"/>
  <c r="P9" i="4" s="1"/>
  <c r="H22" i="23"/>
  <c r="V47" i="23"/>
  <c r="V48" i="23" s="1"/>
  <c r="V54" i="23" s="1"/>
  <c r="R47" i="23"/>
  <c r="R48" i="23" s="1"/>
  <c r="R54" i="23" s="1"/>
  <c r="P37" i="1"/>
  <c r="F22" i="23"/>
  <c r="O36" i="1"/>
  <c r="H45" i="23"/>
  <c r="U46" i="23"/>
  <c r="U53" i="23" s="1"/>
  <c r="T46" i="23"/>
  <c r="T53" i="23" s="1"/>
  <c r="R31" i="1"/>
  <c r="R9" i="4" s="1"/>
  <c r="R22" i="4"/>
  <c r="V22" i="4"/>
  <c r="U29" i="4"/>
  <c r="T47" i="23"/>
  <c r="T48" i="23" s="1"/>
  <c r="T54" i="23" s="1"/>
  <c r="T27" i="4"/>
  <c r="V57" i="1"/>
  <c r="U57" i="23"/>
  <c r="U57" i="1"/>
  <c r="T57" i="23"/>
  <c r="T57" i="1"/>
  <c r="S57" i="23"/>
  <c r="S57" i="1"/>
  <c r="V57" i="23"/>
  <c r="R57" i="23"/>
  <c r="J21" i="4"/>
  <c r="E37" i="4"/>
  <c r="M21" i="4"/>
  <c r="R28" i="1"/>
  <c r="R30" i="1"/>
  <c r="R8" i="4" s="1"/>
  <c r="L21" i="4"/>
  <c r="U21" i="4"/>
  <c r="R29" i="1"/>
  <c r="R7" i="4" s="1"/>
  <c r="D21" i="4"/>
  <c r="C37" i="4"/>
  <c r="I37" i="4"/>
  <c r="K21" i="4"/>
  <c r="P36" i="1"/>
  <c r="P14" i="4" s="1"/>
  <c r="R32" i="1"/>
  <c r="C21" i="4"/>
  <c r="B37" i="4"/>
  <c r="D37" i="4"/>
  <c r="G37" i="4"/>
  <c r="O34" i="1"/>
  <c r="O12" i="4" s="1"/>
  <c r="O35" i="1"/>
  <c r="O13" i="4" s="1"/>
  <c r="O33" i="1"/>
  <c r="O11" i="4" s="1"/>
  <c r="O30" i="1"/>
  <c r="O8" i="4" s="1"/>
  <c r="B31" i="1"/>
  <c r="B9" i="4" s="1"/>
  <c r="O31" i="1"/>
  <c r="O9" i="4" s="1"/>
  <c r="K9" i="4"/>
  <c r="B32" i="1"/>
  <c r="D28" i="1"/>
  <c r="C32" i="1"/>
  <c r="B28" i="1"/>
  <c r="D32" i="1"/>
  <c r="B30" i="1"/>
  <c r="B8" i="4" s="1"/>
  <c r="C28" i="1"/>
  <c r="D31" i="1"/>
  <c r="D9" i="4" s="1"/>
  <c r="U46" i="1"/>
  <c r="U53" i="1" s="1"/>
  <c r="O28" i="1"/>
  <c r="C30" i="1"/>
  <c r="C8" i="4" s="1"/>
  <c r="C31" i="1"/>
  <c r="C9" i="4" s="1"/>
  <c r="D29" i="1"/>
  <c r="D7" i="4" s="1"/>
  <c r="D30" i="1"/>
  <c r="S47" i="1"/>
  <c r="S48" i="1" s="1"/>
  <c r="S54" i="1" s="1"/>
  <c r="T46" i="1"/>
  <c r="T53" i="1" s="1"/>
  <c r="T47" i="1"/>
  <c r="T48" i="1" s="1"/>
  <c r="T54" i="1" s="1"/>
  <c r="S46" i="1"/>
  <c r="S53" i="1" s="1"/>
  <c r="V46" i="1"/>
  <c r="V53" i="1" s="1"/>
  <c r="V6" i="4"/>
  <c r="V47" i="1"/>
  <c r="V48" i="1" s="1"/>
  <c r="V54" i="1" s="1"/>
  <c r="U47" i="1"/>
  <c r="U48" i="1" s="1"/>
  <c r="U54" i="1" s="1"/>
  <c r="G21" i="4"/>
  <c r="I21" i="4"/>
  <c r="F21" i="4"/>
  <c r="H21" i="4"/>
  <c r="E21" i="4"/>
  <c r="L52" i="23"/>
  <c r="E7" i="4"/>
  <c r="D17" i="4"/>
  <c r="C4" i="4"/>
  <c r="U47" i="23"/>
  <c r="U48" i="23" s="1"/>
  <c r="U54" i="23" s="1"/>
  <c r="A47" i="22"/>
  <c r="G27" i="23"/>
  <c r="G52" i="23" s="1"/>
  <c r="A50" i="22"/>
  <c r="H50" i="22" s="1"/>
  <c r="K27" i="23"/>
  <c r="L22" i="1"/>
  <c r="I7" i="4"/>
  <c r="D27" i="1"/>
  <c r="D52" i="1" s="1"/>
  <c r="D45" i="1"/>
  <c r="D22" i="23"/>
  <c r="D45" i="23"/>
  <c r="D27" i="23"/>
  <c r="D52" i="23" s="1"/>
  <c r="S46" i="23"/>
  <c r="S53" i="23" s="1"/>
  <c r="S47" i="23"/>
  <c r="S48" i="23" s="1"/>
  <c r="S54" i="23" s="1"/>
  <c r="V46" i="23"/>
  <c r="V53" i="23" s="1"/>
  <c r="F45" i="23"/>
  <c r="E22" i="23"/>
  <c r="G22" i="23"/>
  <c r="K22" i="23"/>
  <c r="L45" i="23"/>
  <c r="O22" i="23"/>
  <c r="Q22" i="23"/>
  <c r="B22" i="23"/>
  <c r="C22" i="23"/>
  <c r="L22" i="23"/>
  <c r="Q27" i="23"/>
  <c r="Q52" i="23" s="1"/>
  <c r="O27" i="23"/>
  <c r="O52" i="23" s="1"/>
  <c r="E45" i="1"/>
  <c r="B27" i="1"/>
  <c r="B52" i="1" s="1"/>
  <c r="K27" i="1"/>
  <c r="K52" i="1" s="1"/>
  <c r="F4" i="4"/>
  <c r="G22" i="1"/>
  <c r="F45" i="1"/>
  <c r="C22" i="1"/>
  <c r="B22" i="1"/>
  <c r="G45" i="1"/>
  <c r="E27" i="1"/>
  <c r="E52" i="1" s="1"/>
  <c r="E22" i="1"/>
  <c r="I22" i="1"/>
  <c r="I27" i="1"/>
  <c r="P27" i="1"/>
  <c r="P52" i="1" s="1"/>
  <c r="H4" i="4"/>
  <c r="F22" i="1"/>
  <c r="I4" i="4"/>
  <c r="G4" i="4"/>
  <c r="C27" i="1"/>
  <c r="C52" i="1" s="1"/>
  <c r="B45" i="1"/>
  <c r="K74" i="4"/>
  <c r="G2" i="12" s="1"/>
  <c r="K22" i="1"/>
  <c r="H22" i="1"/>
  <c r="O4" i="4"/>
  <c r="H45" i="1"/>
  <c r="O45" i="1"/>
  <c r="P4" i="4"/>
  <c r="K45" i="1"/>
  <c r="P45" i="1"/>
  <c r="O27" i="1"/>
  <c r="O52" i="1" s="1"/>
  <c r="I52" i="1"/>
  <c r="K55" i="4"/>
  <c r="B55" i="4"/>
  <c r="H9" i="12"/>
  <c r="H10" i="12" s="1"/>
  <c r="G9" i="12"/>
  <c r="G10" i="12" s="1"/>
  <c r="E9" i="12"/>
  <c r="E10" i="12" s="1"/>
  <c r="L55" i="4"/>
  <c r="E74" i="4"/>
  <c r="B74" i="4"/>
  <c r="T9" i="12"/>
  <c r="T10" i="12" s="1"/>
  <c r="F9" i="12"/>
  <c r="F10" i="12" s="1"/>
  <c r="L9" i="12"/>
  <c r="L10" i="12" s="1"/>
  <c r="J9" i="12"/>
  <c r="J10" i="12" s="1"/>
  <c r="R9" i="12"/>
  <c r="R10" i="12" s="1"/>
  <c r="I56" i="1"/>
  <c r="V78" i="4"/>
  <c r="M78" i="4"/>
  <c r="F56" i="23"/>
  <c r="M56" i="1"/>
  <c r="K56" i="1"/>
  <c r="H56" i="1"/>
  <c r="M56" i="23"/>
  <c r="B56" i="23"/>
  <c r="I56" i="23"/>
  <c r="F56" i="1"/>
  <c r="J56" i="1"/>
  <c r="O56" i="23"/>
  <c r="C56" i="1"/>
  <c r="E56" i="23"/>
  <c r="L56" i="1"/>
  <c r="D56" i="23"/>
  <c r="E56" i="1"/>
  <c r="H56" i="23"/>
  <c r="C56" i="23"/>
  <c r="G56" i="1"/>
  <c r="J56" i="23"/>
  <c r="R56" i="1"/>
  <c r="Q56" i="1"/>
  <c r="G56" i="23"/>
  <c r="P56" i="23"/>
  <c r="Q56" i="23"/>
  <c r="U78" i="4"/>
  <c r="S78" i="4"/>
  <c r="L56" i="23"/>
  <c r="D56" i="1"/>
  <c r="K56" i="23"/>
  <c r="O56" i="1"/>
  <c r="T78" i="4"/>
  <c r="P56" i="1"/>
  <c r="B56" i="1"/>
  <c r="S63" i="4" l="1"/>
  <c r="S64" i="4" s="1"/>
  <c r="P57" i="23"/>
  <c r="Q57" i="23"/>
  <c r="Q47" i="23"/>
  <c r="Q48" i="23" s="1"/>
  <c r="Q54" i="23" s="1"/>
  <c r="Q46" i="23"/>
  <c r="Q53" i="23" s="1"/>
  <c r="Q23" i="4"/>
  <c r="P47" i="23"/>
  <c r="P48" i="23" s="1"/>
  <c r="P54" i="23" s="1"/>
  <c r="H47" i="23"/>
  <c r="P46" i="23"/>
  <c r="P53" i="23" s="1"/>
  <c r="M47" i="23"/>
  <c r="M48" i="23" s="1"/>
  <c r="M54" i="23" s="1"/>
  <c r="K46" i="23"/>
  <c r="K53" i="23" s="1"/>
  <c r="I57" i="23"/>
  <c r="J57" i="23"/>
  <c r="I47" i="23"/>
  <c r="I48" i="23" s="1"/>
  <c r="I54" i="23" s="1"/>
  <c r="L47" i="23"/>
  <c r="L48" i="23" s="1"/>
  <c r="L54" i="23" s="1"/>
  <c r="J47" i="23"/>
  <c r="J48" i="23" s="1"/>
  <c r="J54" i="23" s="1"/>
  <c r="L46" i="23"/>
  <c r="L53" i="23" s="1"/>
  <c r="I25" i="4"/>
  <c r="J46" i="23"/>
  <c r="J53" i="23" s="1"/>
  <c r="E47" i="23"/>
  <c r="E48" i="23" s="1"/>
  <c r="E54" i="23" s="1"/>
  <c r="D46" i="23"/>
  <c r="D53" i="23" s="1"/>
  <c r="J23" i="4"/>
  <c r="J56" i="4" s="1"/>
  <c r="J75" i="4" s="1"/>
  <c r="L57" i="23"/>
  <c r="M57" i="23"/>
  <c r="K57" i="23"/>
  <c r="C46" i="23"/>
  <c r="C53" i="23" s="1"/>
  <c r="H46" i="23"/>
  <c r="H53" i="23" s="1"/>
  <c r="E46" i="23"/>
  <c r="E53" i="23" s="1"/>
  <c r="G46" i="23"/>
  <c r="G53" i="23" s="1"/>
  <c r="K47" i="23"/>
  <c r="K48" i="23" s="1"/>
  <c r="K54" i="23" s="1"/>
  <c r="L22" i="4"/>
  <c r="L57" i="4" s="1"/>
  <c r="L58" i="4" s="1"/>
  <c r="L76" i="4" s="1"/>
  <c r="K22" i="4"/>
  <c r="K63" i="4" s="1"/>
  <c r="K64" i="4" s="1"/>
  <c r="M46" i="23"/>
  <c r="M53" i="23" s="1"/>
  <c r="G47" i="23"/>
  <c r="G48" i="23" s="1"/>
  <c r="G54" i="23" s="1"/>
  <c r="C57" i="23"/>
  <c r="F57" i="23"/>
  <c r="D57" i="23"/>
  <c r="H57" i="23"/>
  <c r="G57" i="23"/>
  <c r="E57" i="23"/>
  <c r="H48" i="23"/>
  <c r="H54" i="23" s="1"/>
  <c r="F22" i="4"/>
  <c r="F47" i="23"/>
  <c r="F48" i="23" s="1"/>
  <c r="F54" i="23" s="1"/>
  <c r="D47" i="23"/>
  <c r="D48" i="23" s="1"/>
  <c r="D54" i="23" s="1"/>
  <c r="C22" i="4"/>
  <c r="F46" i="23"/>
  <c r="F53" i="23" s="1"/>
  <c r="C47" i="23"/>
  <c r="C48" i="23" s="1"/>
  <c r="C54" i="23" s="1"/>
  <c r="L47" i="1"/>
  <c r="L48" i="1" s="1"/>
  <c r="L54" i="1" s="1"/>
  <c r="L46" i="1"/>
  <c r="L53" i="1" s="1"/>
  <c r="F46" i="1"/>
  <c r="F53" i="1" s="1"/>
  <c r="K47" i="1"/>
  <c r="K48" i="1" s="1"/>
  <c r="K54" i="1" s="1"/>
  <c r="M46" i="1"/>
  <c r="M53" i="1" s="1"/>
  <c r="M47" i="1"/>
  <c r="M48" i="1" s="1"/>
  <c r="M54" i="1" s="1"/>
  <c r="J57" i="1"/>
  <c r="K57" i="1"/>
  <c r="L57" i="1"/>
  <c r="M57" i="1"/>
  <c r="J46" i="1"/>
  <c r="J53" i="1" s="1"/>
  <c r="J47" i="1"/>
  <c r="J48" i="1" s="1"/>
  <c r="J54" i="1" s="1"/>
  <c r="M63" i="4"/>
  <c r="M64" i="4" s="1"/>
  <c r="P47" i="1"/>
  <c r="P48" i="1" s="1"/>
  <c r="P54" i="1" s="1"/>
  <c r="K46" i="1"/>
  <c r="K53" i="1" s="1"/>
  <c r="B6" i="4"/>
  <c r="R6" i="4"/>
  <c r="C6" i="4"/>
  <c r="B22" i="4"/>
  <c r="I6" i="4"/>
  <c r="P7" i="4"/>
  <c r="E6" i="4"/>
  <c r="O6" i="4"/>
  <c r="D6" i="4"/>
  <c r="L63" i="4"/>
  <c r="L64" i="4" s="1"/>
  <c r="H6" i="4"/>
  <c r="F6" i="4"/>
  <c r="G6" i="4"/>
  <c r="Q7" i="4"/>
  <c r="U63" i="4"/>
  <c r="U64" i="4" s="1"/>
  <c r="J63" i="4"/>
  <c r="J64" i="4" s="1"/>
  <c r="V63" i="4"/>
  <c r="V64" i="4" s="1"/>
  <c r="T63" i="4"/>
  <c r="T64" i="4" s="1"/>
  <c r="H47" i="22"/>
  <c r="H49" i="22"/>
  <c r="H44" i="22"/>
  <c r="A46" i="22"/>
  <c r="H46" i="22" s="1"/>
  <c r="T27" i="33"/>
  <c r="T52" i="33" s="1"/>
  <c r="A34" i="22"/>
  <c r="H34" i="22" s="1"/>
  <c r="A35" i="22"/>
  <c r="H35" i="22" s="1"/>
  <c r="T45" i="33"/>
  <c r="A38" i="22"/>
  <c r="H38" i="22" s="1"/>
  <c r="A42" i="22"/>
  <c r="H42" i="22" s="1"/>
  <c r="A40" i="22"/>
  <c r="H40" i="22" s="1"/>
  <c r="I47" i="1"/>
  <c r="I48" i="1" s="1"/>
  <c r="I54" i="1" s="1"/>
  <c r="F47" i="1"/>
  <c r="F48" i="1" s="1"/>
  <c r="F54" i="1" s="1"/>
  <c r="G47" i="1"/>
  <c r="G48" i="1" s="1"/>
  <c r="G54" i="1" s="1"/>
  <c r="E47" i="1"/>
  <c r="E48" i="1" s="1"/>
  <c r="E54" i="1" s="1"/>
  <c r="Q46" i="1"/>
  <c r="Q53" i="1" s="1"/>
  <c r="E46" i="1"/>
  <c r="E53" i="1" s="1"/>
  <c r="Q47" i="1"/>
  <c r="Q48" i="1" s="1"/>
  <c r="Q54" i="1" s="1"/>
  <c r="I46" i="1"/>
  <c r="I53" i="1" s="1"/>
  <c r="Q74" i="4"/>
  <c r="A51" i="22"/>
  <c r="H51" i="22" s="1"/>
  <c r="A45" i="22"/>
  <c r="H45" i="22" s="1"/>
  <c r="M57" i="4"/>
  <c r="M58" i="4" s="1"/>
  <c r="M76" i="4" s="1"/>
  <c r="T57" i="4"/>
  <c r="T58" i="4" s="1"/>
  <c r="T76" i="4" s="1"/>
  <c r="H57" i="1"/>
  <c r="G57" i="1"/>
  <c r="F57" i="1"/>
  <c r="I57" i="1"/>
  <c r="E57" i="1"/>
  <c r="H7" i="4"/>
  <c r="G46" i="1"/>
  <c r="G53" i="1" s="1"/>
  <c r="H46" i="1"/>
  <c r="H53" i="1" s="1"/>
  <c r="H47" i="1"/>
  <c r="H48" i="1" s="1"/>
  <c r="H54" i="1" s="1"/>
  <c r="G11" i="4"/>
  <c r="F9" i="4"/>
  <c r="I13" i="4"/>
  <c r="E12" i="4"/>
  <c r="I55" i="4"/>
  <c r="I62" i="4"/>
  <c r="V57" i="4"/>
  <c r="V58" i="4" s="1"/>
  <c r="V76" i="4" s="1"/>
  <c r="V56" i="4"/>
  <c r="V75" i="4" s="1"/>
  <c r="U57" i="4"/>
  <c r="U58" i="4" s="1"/>
  <c r="U76" i="4" s="1"/>
  <c r="S56" i="4"/>
  <c r="S75" i="4" s="1"/>
  <c r="O55" i="4"/>
  <c r="O62" i="4"/>
  <c r="F55" i="4"/>
  <c r="F62" i="4"/>
  <c r="M55" i="4"/>
  <c r="M62" i="4"/>
  <c r="J55" i="4"/>
  <c r="J62" i="4"/>
  <c r="K56" i="4"/>
  <c r="K75" i="4" s="1"/>
  <c r="P55" i="4"/>
  <c r="P62" i="4"/>
  <c r="G55" i="4"/>
  <c r="G62" i="4"/>
  <c r="H74" i="4"/>
  <c r="H62" i="4"/>
  <c r="U22" i="33"/>
  <c r="U45" i="33"/>
  <c r="U27" i="33"/>
  <c r="U52" i="33" s="1"/>
  <c r="R45" i="33"/>
  <c r="R27" i="33"/>
  <c r="R52" i="33" s="1"/>
  <c r="R22" i="33"/>
  <c r="U56" i="4"/>
  <c r="U75" i="4" s="1"/>
  <c r="M56" i="4"/>
  <c r="M75" i="4" s="1"/>
  <c r="T56" i="4"/>
  <c r="T75" i="4" s="1"/>
  <c r="C74" i="4"/>
  <c r="C62" i="4"/>
  <c r="D55" i="4"/>
  <c r="D62" i="4"/>
  <c r="S27" i="33"/>
  <c r="S52" i="33" s="1"/>
  <c r="S22" i="33"/>
  <c r="S45" i="33"/>
  <c r="A36" i="22"/>
  <c r="H36" i="22" s="1"/>
  <c r="S57" i="4"/>
  <c r="S58" i="4" s="1"/>
  <c r="S76" i="4" s="1"/>
  <c r="Q55" i="4"/>
  <c r="V45" i="1"/>
  <c r="O32" i="4"/>
  <c r="Q10" i="4"/>
  <c r="B32" i="4"/>
  <c r="H55" i="4"/>
  <c r="R10" i="4"/>
  <c r="O14" i="4"/>
  <c r="P15" i="4"/>
  <c r="V45" i="23"/>
  <c r="B10" i="4"/>
  <c r="A32" i="22"/>
  <c r="H32" i="22" s="1"/>
  <c r="D13" i="28"/>
  <c r="D9" i="28"/>
  <c r="D5" i="28"/>
  <c r="D14" i="28"/>
  <c r="D10" i="28"/>
  <c r="D6" i="28"/>
  <c r="D15" i="28"/>
  <c r="D11" i="28"/>
  <c r="D7" i="28"/>
  <c r="D3" i="28"/>
  <c r="D12" i="28"/>
  <c r="D8" i="28"/>
  <c r="D4" i="28"/>
  <c r="V79" i="4"/>
  <c r="M79" i="4"/>
  <c r="U79" i="4"/>
  <c r="T79" i="4"/>
  <c r="S79" i="4"/>
  <c r="O26" i="4"/>
  <c r="P46" i="1"/>
  <c r="P53" i="1" s="1"/>
  <c r="A37" i="22"/>
  <c r="H37" i="22" s="1"/>
  <c r="U22" i="1"/>
  <c r="M74" i="4"/>
  <c r="I2" i="12" s="1"/>
  <c r="M27" i="1"/>
  <c r="M52" i="1" s="1"/>
  <c r="M22" i="1"/>
  <c r="J52" i="1"/>
  <c r="J74" i="4"/>
  <c r="F2" i="12" s="1"/>
  <c r="J27" i="1"/>
  <c r="J45" i="1"/>
  <c r="A48" i="22"/>
  <c r="H48" i="22" s="1"/>
  <c r="A33" i="22"/>
  <c r="H33" i="22" s="1"/>
  <c r="A43" i="22"/>
  <c r="H43" i="22" s="1"/>
  <c r="A41" i="22"/>
  <c r="H41" i="22" s="1"/>
  <c r="A39" i="22"/>
  <c r="H39" i="22" s="1"/>
  <c r="C55" i="4"/>
  <c r="U22" i="23"/>
  <c r="J22" i="23"/>
  <c r="J52" i="23"/>
  <c r="J22" i="1"/>
  <c r="J27" i="23"/>
  <c r="R22" i="1"/>
  <c r="R22" i="23"/>
  <c r="M52" i="23"/>
  <c r="M22" i="23"/>
  <c r="M45" i="23"/>
  <c r="L2" i="12"/>
  <c r="M45" i="1"/>
  <c r="B46" i="23"/>
  <c r="B53" i="23" s="1"/>
  <c r="B55" i="23" s="1"/>
  <c r="O46" i="23"/>
  <c r="O53" i="23" s="1"/>
  <c r="O55" i="23" s="1"/>
  <c r="O47" i="23"/>
  <c r="O48" i="23" s="1"/>
  <c r="O54" i="23" s="1"/>
  <c r="B47" i="23"/>
  <c r="B48" i="23" s="1"/>
  <c r="B54" i="23" s="1"/>
  <c r="B57" i="23"/>
  <c r="O57" i="23"/>
  <c r="B29" i="4"/>
  <c r="O22" i="4"/>
  <c r="F55" i="23"/>
  <c r="R47" i="1"/>
  <c r="R48" i="1" s="1"/>
  <c r="R54" i="1" s="1"/>
  <c r="Q57" i="1"/>
  <c r="D74" i="4"/>
  <c r="M2" i="12"/>
  <c r="R46" i="1"/>
  <c r="R53" i="1" s="1"/>
  <c r="C55" i="23"/>
  <c r="J2" i="12"/>
  <c r="C47" i="1"/>
  <c r="C48" i="1" s="1"/>
  <c r="C54" i="1" s="1"/>
  <c r="G74" i="4"/>
  <c r="D57" i="1"/>
  <c r="R57" i="1"/>
  <c r="P57" i="1"/>
  <c r="O57" i="1"/>
  <c r="C57" i="1"/>
  <c r="D10" i="4"/>
  <c r="C10" i="4"/>
  <c r="C63" i="4" s="1"/>
  <c r="C64" i="4" s="1"/>
  <c r="B57" i="1"/>
  <c r="C46" i="1"/>
  <c r="C53" i="1" s="1"/>
  <c r="B46" i="1"/>
  <c r="B53" i="1" s="1"/>
  <c r="B47" i="1"/>
  <c r="B48" i="1" s="1"/>
  <c r="B54" i="1" s="1"/>
  <c r="D46" i="1"/>
  <c r="D53" i="1" s="1"/>
  <c r="O47" i="1"/>
  <c r="O48" i="1" s="1"/>
  <c r="O54" i="1" s="1"/>
  <c r="O46" i="1"/>
  <c r="O53" i="1" s="1"/>
  <c r="O55" i="1" s="1"/>
  <c r="D47" i="1"/>
  <c r="D48" i="1" s="1"/>
  <c r="D54" i="1" s="1"/>
  <c r="D8" i="4"/>
  <c r="F74" i="4"/>
  <c r="I74" i="4"/>
  <c r="O74" i="4"/>
  <c r="P74" i="4"/>
  <c r="AD2" i="12"/>
  <c r="O78" i="4"/>
  <c r="P78" i="4"/>
  <c r="E78" i="4"/>
  <c r="F78" i="4"/>
  <c r="J78" i="4"/>
  <c r="Q78" i="4"/>
  <c r="D78" i="4"/>
  <c r="G78" i="4"/>
  <c r="L78" i="4"/>
  <c r="B78" i="4"/>
  <c r="K78" i="4"/>
  <c r="H78" i="4"/>
  <c r="C78" i="4"/>
  <c r="R78" i="4"/>
  <c r="I78" i="4"/>
  <c r="H56" i="4" l="1"/>
  <c r="H75" i="4" s="1"/>
  <c r="K57" i="4"/>
  <c r="K58" i="4" s="1"/>
  <c r="K76" i="4" s="1"/>
  <c r="J57" i="4"/>
  <c r="J58" i="4" s="1"/>
  <c r="J76" i="4" s="1"/>
  <c r="J79" i="4"/>
  <c r="L56" i="4"/>
  <c r="L75" i="4" s="1"/>
  <c r="K79" i="4"/>
  <c r="L79" i="4"/>
  <c r="F63" i="4"/>
  <c r="F64" i="4" s="1"/>
  <c r="G55" i="1"/>
  <c r="I57" i="4"/>
  <c r="I58" i="4" s="1"/>
  <c r="I76" i="4" s="1"/>
  <c r="I63" i="4"/>
  <c r="I64" i="4" s="1"/>
  <c r="V4" i="4"/>
  <c r="V55" i="4" s="1"/>
  <c r="R63" i="4"/>
  <c r="R64" i="4" s="1"/>
  <c r="P55" i="23"/>
  <c r="U55" i="1"/>
  <c r="R55" i="23"/>
  <c r="S55" i="1"/>
  <c r="U55" i="23"/>
  <c r="T55" i="1"/>
  <c r="R55" i="1"/>
  <c r="P55" i="1"/>
  <c r="V55" i="1"/>
  <c r="Q55" i="23"/>
  <c r="Q55" i="1"/>
  <c r="S55" i="23"/>
  <c r="V55" i="23"/>
  <c r="T55" i="23"/>
  <c r="D63" i="4"/>
  <c r="D64" i="4" s="1"/>
  <c r="B63" i="4"/>
  <c r="B64" i="4" s="1"/>
  <c r="O63" i="4"/>
  <c r="O64" i="4" s="1"/>
  <c r="G56" i="4"/>
  <c r="G75" i="4" s="1"/>
  <c r="H57" i="4"/>
  <c r="H58" i="4" s="1"/>
  <c r="H76" i="4" s="1"/>
  <c r="H63" i="4"/>
  <c r="H64" i="4" s="1"/>
  <c r="P63" i="4"/>
  <c r="P64" i="4" s="1"/>
  <c r="G63" i="4"/>
  <c r="G64" i="4" s="1"/>
  <c r="E63" i="4"/>
  <c r="E64" i="4" s="1"/>
  <c r="Q63" i="4"/>
  <c r="Q64" i="4" s="1"/>
  <c r="V27" i="23"/>
  <c r="V52" i="23" s="1"/>
  <c r="I56" i="4"/>
  <c r="I75" i="4" s="1"/>
  <c r="J4" i="12"/>
  <c r="M4" i="12"/>
  <c r="G4" i="12"/>
  <c r="H4" i="12"/>
  <c r="F4" i="12"/>
  <c r="I4" i="12"/>
  <c r="L4" i="12"/>
  <c r="U45" i="1"/>
  <c r="V22" i="1"/>
  <c r="V22" i="23"/>
  <c r="V27" i="1"/>
  <c r="V52" i="1" s="1"/>
  <c r="G57" i="4"/>
  <c r="G58" i="4" s="1"/>
  <c r="G76" i="4" s="1"/>
  <c r="F57" i="4"/>
  <c r="F58" i="4" s="1"/>
  <c r="F76" i="4" s="1"/>
  <c r="B56" i="4"/>
  <c r="E79" i="4"/>
  <c r="G79" i="4"/>
  <c r="I79" i="4"/>
  <c r="H79" i="4"/>
  <c r="F79" i="4"/>
  <c r="E57" i="4"/>
  <c r="E58" i="4" s="1"/>
  <c r="E76" i="4" s="1"/>
  <c r="E56" i="4"/>
  <c r="E75" i="4" s="1"/>
  <c r="F56" i="4"/>
  <c r="F75" i="4" s="1"/>
  <c r="P57" i="4"/>
  <c r="P58" i="4" s="1"/>
  <c r="P76" i="4" s="1"/>
  <c r="R56" i="4"/>
  <c r="R75" i="4" s="1"/>
  <c r="D56" i="4"/>
  <c r="D75" i="4" s="1"/>
  <c r="B57" i="4"/>
  <c r="B58" i="4" s="1"/>
  <c r="B76" i="4" s="1"/>
  <c r="V45" i="33"/>
  <c r="V27" i="33"/>
  <c r="V52" i="33" s="1"/>
  <c r="V22" i="33"/>
  <c r="D57" i="4"/>
  <c r="D58" i="4" s="1"/>
  <c r="D76" i="4" s="1"/>
  <c r="O57" i="4"/>
  <c r="O58" i="4" s="1"/>
  <c r="O76" i="4" s="1"/>
  <c r="C57" i="4"/>
  <c r="C58" i="4" s="1"/>
  <c r="C76" i="4" s="1"/>
  <c r="Q2" i="12"/>
  <c r="Q4" i="12" s="1"/>
  <c r="P2" i="12"/>
  <c r="P4" i="12" s="1"/>
  <c r="Q56" i="4"/>
  <c r="Q75" i="4" s="1"/>
  <c r="O56" i="4"/>
  <c r="O75" i="4" s="1"/>
  <c r="T77" i="4" s="1"/>
  <c r="C56" i="4"/>
  <c r="C75" i="4" s="1"/>
  <c r="R2" i="12"/>
  <c r="R4" i="12" s="1"/>
  <c r="AA2" i="12"/>
  <c r="P56" i="4"/>
  <c r="R57" i="4"/>
  <c r="R58" i="4" s="1"/>
  <c r="R76" i="4" s="1"/>
  <c r="Q57" i="4"/>
  <c r="Q58" i="4" s="1"/>
  <c r="Q76" i="4" s="1"/>
  <c r="Q79" i="4"/>
  <c r="P79" i="4"/>
  <c r="R79" i="4"/>
  <c r="R80" i="4" s="1"/>
  <c r="U4" i="4"/>
  <c r="F2" i="27"/>
  <c r="F4" i="27" s="1"/>
  <c r="O2" i="12"/>
  <c r="O4" i="12" s="1"/>
  <c r="U27" i="1"/>
  <c r="U52" i="1" s="1"/>
  <c r="C79" i="4"/>
  <c r="D79" i="4"/>
  <c r="K15" i="28"/>
  <c r="K13" i="28"/>
  <c r="K11" i="28"/>
  <c r="K9" i="28"/>
  <c r="K7" i="28"/>
  <c r="K5" i="28"/>
  <c r="L14" i="28"/>
  <c r="L12" i="28"/>
  <c r="L10" i="28"/>
  <c r="L8" i="28"/>
  <c r="L6" i="28"/>
  <c r="L4" i="28"/>
  <c r="L15" i="28"/>
  <c r="L13" i="28"/>
  <c r="L11" i="28"/>
  <c r="L9" i="28"/>
  <c r="L7" i="28"/>
  <c r="L5" i="28"/>
  <c r="K14" i="28"/>
  <c r="K12" i="28"/>
  <c r="K10" i="28"/>
  <c r="K8" i="28"/>
  <c r="K6" i="28"/>
  <c r="K4" i="28"/>
  <c r="L55" i="23"/>
  <c r="D55" i="23"/>
  <c r="H55" i="23"/>
  <c r="K55" i="23"/>
  <c r="J55" i="23"/>
  <c r="M55" i="23"/>
  <c r="G55" i="23"/>
  <c r="E55" i="23"/>
  <c r="I55" i="23"/>
  <c r="O79" i="4"/>
  <c r="B79" i="4"/>
  <c r="B64" i="23"/>
  <c r="Q59" i="23"/>
  <c r="P59" i="23"/>
  <c r="B65" i="23"/>
  <c r="N2" i="12"/>
  <c r="N4" i="12" s="1"/>
  <c r="R45" i="23"/>
  <c r="S4" i="4"/>
  <c r="S62" i="4" s="1"/>
  <c r="S45" i="1"/>
  <c r="S27" i="1"/>
  <c r="S52" i="1" s="1"/>
  <c r="S22" i="1"/>
  <c r="S2" i="12"/>
  <c r="S4" i="12" s="1"/>
  <c r="U27" i="23"/>
  <c r="U52" i="23" s="1"/>
  <c r="U45" i="23"/>
  <c r="S45" i="23"/>
  <c r="S27" i="23"/>
  <c r="S52" i="23" s="1"/>
  <c r="S22" i="23"/>
  <c r="R45" i="1"/>
  <c r="R4" i="4"/>
  <c r="R62" i="4" s="1"/>
  <c r="R27" i="1"/>
  <c r="R52" i="1" s="1"/>
  <c r="R27" i="23"/>
  <c r="R52" i="23" s="1"/>
  <c r="O59" i="23"/>
  <c r="C55" i="1"/>
  <c r="H55" i="1"/>
  <c r="F55" i="1"/>
  <c r="I55" i="1"/>
  <c r="L55" i="1"/>
  <c r="J55" i="1"/>
  <c r="D55" i="1"/>
  <c r="K55" i="1"/>
  <c r="E55" i="1"/>
  <c r="H3" i="12"/>
  <c r="O59" i="1"/>
  <c r="M55" i="1"/>
  <c r="P59" i="1"/>
  <c r="Q59" i="1"/>
  <c r="B65" i="1"/>
  <c r="B64" i="1"/>
  <c r="B55" i="1"/>
  <c r="G3" i="12"/>
  <c r="T27" i="23"/>
  <c r="T52" i="23" s="1"/>
  <c r="T45" i="23"/>
  <c r="T22" i="23"/>
  <c r="F3" i="12"/>
  <c r="J3" i="12"/>
  <c r="I3" i="12"/>
  <c r="T27" i="1"/>
  <c r="T52" i="1" s="1"/>
  <c r="T45" i="1"/>
  <c r="T4" i="4"/>
  <c r="T62" i="4" s="1"/>
  <c r="T22" i="1"/>
  <c r="J80" i="4" l="1"/>
  <c r="AH2" i="12"/>
  <c r="V62" i="4"/>
  <c r="V74" i="4"/>
  <c r="Z2" i="12" s="1"/>
  <c r="B80" i="4"/>
  <c r="P75" i="4"/>
  <c r="B5" i="27" s="1"/>
  <c r="O81" i="4"/>
  <c r="AE2" i="12"/>
  <c r="U74" i="4"/>
  <c r="Y2" i="12" s="1"/>
  <c r="U62" i="4"/>
  <c r="B5" i="12"/>
  <c r="B6" i="12"/>
  <c r="B6" i="27"/>
  <c r="U55" i="4"/>
  <c r="F3" i="27"/>
  <c r="V77" i="4"/>
  <c r="U77" i="4"/>
  <c r="O77" i="4"/>
  <c r="S77" i="4"/>
  <c r="Q77" i="4"/>
  <c r="R77" i="4"/>
  <c r="P81" i="4"/>
  <c r="Q81" i="4"/>
  <c r="B86" i="4"/>
  <c r="B87" i="4"/>
  <c r="B75" i="4"/>
  <c r="E61" i="23"/>
  <c r="D61" i="23"/>
  <c r="C61" i="23"/>
  <c r="Q61" i="23"/>
  <c r="P61" i="23"/>
  <c r="F61" i="23"/>
  <c r="H61" i="23"/>
  <c r="G61" i="23"/>
  <c r="M61" i="1"/>
  <c r="L61" i="1"/>
  <c r="K61" i="1"/>
  <c r="I61" i="1"/>
  <c r="J61" i="1"/>
  <c r="O3" i="12"/>
  <c r="R3" i="12"/>
  <c r="S3" i="12"/>
  <c r="N3" i="12"/>
  <c r="M3" i="12"/>
  <c r="L3" i="12"/>
  <c r="AC2" i="12"/>
  <c r="S55" i="4"/>
  <c r="S74" i="4"/>
  <c r="W2" i="12" s="1"/>
  <c r="AG2" i="12"/>
  <c r="R55" i="4"/>
  <c r="R74" i="4"/>
  <c r="P3" i="12"/>
  <c r="Q3" i="12"/>
  <c r="K2" i="12"/>
  <c r="K4" i="12" s="1"/>
  <c r="B4" i="27"/>
  <c r="B4" i="12"/>
  <c r="O61" i="1"/>
  <c r="Q61" i="1"/>
  <c r="P61" i="1"/>
  <c r="AB2" i="12"/>
  <c r="AF2" i="12"/>
  <c r="T55" i="4"/>
  <c r="T74" i="4"/>
  <c r="E81" i="4" l="1"/>
  <c r="L81" i="4"/>
  <c r="J81" i="4"/>
  <c r="M81" i="4"/>
  <c r="I81" i="4"/>
  <c r="K81" i="4"/>
  <c r="AD4" i="12"/>
  <c r="AB4" i="12"/>
  <c r="P77" i="4"/>
  <c r="AE4" i="12"/>
  <c r="Z4" i="12"/>
  <c r="W4" i="12"/>
  <c r="AG4" i="12"/>
  <c r="AC4" i="12"/>
  <c r="AH4" i="12"/>
  <c r="AF4" i="12"/>
  <c r="Y4" i="12"/>
  <c r="AA4" i="12"/>
  <c r="F2" i="28"/>
  <c r="F81" i="4"/>
  <c r="G81" i="4"/>
  <c r="H81" i="4"/>
  <c r="D81" i="4"/>
  <c r="C81" i="4"/>
  <c r="K77" i="4"/>
  <c r="J77" i="4"/>
  <c r="G77" i="4"/>
  <c r="F77" i="4"/>
  <c r="L77" i="4"/>
  <c r="B77" i="4"/>
  <c r="B2" i="27"/>
  <c r="G6" i="27" s="1"/>
  <c r="M77" i="4"/>
  <c r="I77" i="4"/>
  <c r="B2" i="12"/>
  <c r="E6" i="12" s="1"/>
  <c r="H77" i="4"/>
  <c r="D77" i="4"/>
  <c r="C77" i="4"/>
  <c r="E77" i="4"/>
  <c r="AG8" i="12"/>
  <c r="AG9" i="12" s="1"/>
  <c r="AG10" i="12" s="1"/>
  <c r="U8" i="12"/>
  <c r="U9" i="12" s="1"/>
  <c r="U10" i="12" s="1"/>
  <c r="AJ8" i="12"/>
  <c r="AJ9" i="12" s="1"/>
  <c r="AJ10" i="12" s="1"/>
  <c r="AB8" i="12"/>
  <c r="AB9" i="12" s="1"/>
  <c r="AB10" i="12" s="1"/>
  <c r="Z8" i="12"/>
  <c r="Z9" i="12" s="1"/>
  <c r="Z10" i="12" s="1"/>
  <c r="AC8" i="12"/>
  <c r="AC9" i="12" s="1"/>
  <c r="AC10" i="12" s="1"/>
  <c r="V8" i="12"/>
  <c r="V9" i="12" s="1"/>
  <c r="V10" i="12" s="1"/>
  <c r="X8" i="12"/>
  <c r="X9" i="12" s="1"/>
  <c r="X10" i="12" s="1"/>
  <c r="AH8" i="12"/>
  <c r="AH9" i="12" s="1"/>
  <c r="AH10" i="12" s="1"/>
  <c r="AD8" i="12"/>
  <c r="AD9" i="12" s="1"/>
  <c r="AD10" i="12" s="1"/>
  <c r="AI8" i="12"/>
  <c r="AI9" i="12" s="1"/>
  <c r="AI10" i="12" s="1"/>
  <c r="W8" i="12"/>
  <c r="W9" i="12" s="1"/>
  <c r="W10" i="12" s="1"/>
  <c r="Y8" i="12"/>
  <c r="Y9" i="12" s="1"/>
  <c r="Y10" i="12" s="1"/>
  <c r="AE8" i="12"/>
  <c r="AE9" i="12" s="1"/>
  <c r="AE10" i="12" s="1"/>
  <c r="AA8" i="12"/>
  <c r="AA9" i="12" s="1"/>
  <c r="AA10" i="12" s="1"/>
  <c r="AF8" i="12"/>
  <c r="AF9" i="12" s="1"/>
  <c r="AF10" i="12" s="1"/>
  <c r="H8" i="27"/>
  <c r="H9" i="27" s="1"/>
  <c r="H10" i="27" s="1"/>
  <c r="J8" i="27"/>
  <c r="J9" i="27" s="1"/>
  <c r="J10" i="27" s="1"/>
  <c r="I8" i="27"/>
  <c r="I9" i="27" s="1"/>
  <c r="I10" i="27" s="1"/>
  <c r="L83" i="4"/>
  <c r="Q5" i="12" s="1"/>
  <c r="M83" i="4"/>
  <c r="R5" i="12" s="1"/>
  <c r="P83" i="4"/>
  <c r="S5" i="12"/>
  <c r="Q83" i="4"/>
  <c r="K83" i="4"/>
  <c r="P5" i="12" s="1"/>
  <c r="J83" i="4"/>
  <c r="O83" i="4"/>
  <c r="O61" i="23"/>
  <c r="AG3" i="12"/>
  <c r="AD3" i="12"/>
  <c r="AE3" i="12"/>
  <c r="AC3" i="12"/>
  <c r="W3" i="12"/>
  <c r="Y3" i="12"/>
  <c r="I2" i="27"/>
  <c r="I4" i="27" s="1"/>
  <c r="V2" i="12"/>
  <c r="V4" i="12" s="1"/>
  <c r="J2" i="28"/>
  <c r="K3" i="12"/>
  <c r="J3" i="28"/>
  <c r="F3" i="28"/>
  <c r="Z3" i="12"/>
  <c r="AA3" i="12"/>
  <c r="AH3" i="12"/>
  <c r="I3" i="28"/>
  <c r="I2" i="28"/>
  <c r="E3" i="28"/>
  <c r="AH7" i="12"/>
  <c r="AD7" i="12"/>
  <c r="AC7" i="12"/>
  <c r="V7" i="12"/>
  <c r="AI7" i="12"/>
  <c r="AG7" i="12"/>
  <c r="W7" i="12"/>
  <c r="X7" i="12"/>
  <c r="Y7" i="12"/>
  <c r="U7" i="12"/>
  <c r="AA7" i="12"/>
  <c r="AE7" i="12"/>
  <c r="Z7" i="12"/>
  <c r="AF7" i="12"/>
  <c r="AB7" i="12"/>
  <c r="AJ7" i="12"/>
  <c r="I7" i="27"/>
  <c r="H7" i="27"/>
  <c r="J7" i="27"/>
  <c r="AF3" i="12"/>
  <c r="F15" i="28"/>
  <c r="E14" i="28"/>
  <c r="F8" i="28"/>
  <c r="AB3" i="12"/>
  <c r="F9" i="28"/>
  <c r="E10" i="28"/>
  <c r="F13" i="28"/>
  <c r="J13" i="28"/>
  <c r="E8" i="28"/>
  <c r="F5" i="28"/>
  <c r="I11" i="28"/>
  <c r="E4" i="28"/>
  <c r="F4" i="28"/>
  <c r="E5" i="28"/>
  <c r="J11" i="28"/>
  <c r="I6" i="28"/>
  <c r="J9" i="28"/>
  <c r="I8" i="28"/>
  <c r="F14" i="28"/>
  <c r="E7" i="28"/>
  <c r="F12" i="28"/>
  <c r="J6" i="28"/>
  <c r="J7" i="28"/>
  <c r="E12" i="28"/>
  <c r="I10" i="28"/>
  <c r="I13" i="28"/>
  <c r="E15" i="28"/>
  <c r="E11" i="28"/>
  <c r="F11" i="28"/>
  <c r="F6" i="28"/>
  <c r="E6" i="28"/>
  <c r="J14" i="28"/>
  <c r="I15" i="28"/>
  <c r="I9" i="28"/>
  <c r="J5" i="28"/>
  <c r="J8" i="28"/>
  <c r="F10" i="28"/>
  <c r="I5" i="28"/>
  <c r="I4" i="28"/>
  <c r="I7" i="28"/>
  <c r="E13" i="28"/>
  <c r="E9" i="28"/>
  <c r="J10" i="28"/>
  <c r="I14" i="28"/>
  <c r="J4" i="28"/>
  <c r="J12" i="28"/>
  <c r="I12" i="28"/>
  <c r="F7" i="28"/>
  <c r="J15" i="28"/>
  <c r="AI2" i="12"/>
  <c r="AI4" i="12" s="1"/>
  <c r="X2" i="12"/>
  <c r="X4" i="12" s="1"/>
  <c r="I83" i="4" l="1"/>
  <c r="E2" i="28"/>
  <c r="T6" i="12"/>
  <c r="R6" i="12"/>
  <c r="K6" i="12"/>
  <c r="I6" i="12"/>
  <c r="O6" i="12"/>
  <c r="Q6" i="12"/>
  <c r="F6" i="27"/>
  <c r="H6" i="12"/>
  <c r="F6" i="12"/>
  <c r="M6" i="12"/>
  <c r="G6" i="12"/>
  <c r="E6" i="27"/>
  <c r="S6" i="12"/>
  <c r="P6" i="12"/>
  <c r="L6" i="12"/>
  <c r="N6" i="12"/>
  <c r="J6" i="12"/>
  <c r="F49" i="22"/>
  <c r="F40" i="22"/>
  <c r="F44" i="22"/>
  <c r="F43" i="22"/>
  <c r="F47" i="22"/>
  <c r="AG5" i="12"/>
  <c r="AF5" i="12"/>
  <c r="Y5" i="12"/>
  <c r="F42" i="22"/>
  <c r="F37" i="22"/>
  <c r="F41" i="22"/>
  <c r="F48" i="22"/>
  <c r="AA5" i="12"/>
  <c r="Z5" i="12"/>
  <c r="AE5" i="12"/>
  <c r="F36" i="22"/>
  <c r="F35" i="22"/>
  <c r="F46" i="22"/>
  <c r="F34" i="22"/>
  <c r="F45" i="22"/>
  <c r="AH5" i="12"/>
  <c r="AB5" i="12"/>
  <c r="W5" i="12"/>
  <c r="F32" i="22"/>
  <c r="AC5" i="12"/>
  <c r="F33" i="22"/>
  <c r="F51" i="22"/>
  <c r="F39" i="22"/>
  <c r="F50" i="22"/>
  <c r="F38" i="22"/>
  <c r="AD5" i="12"/>
  <c r="O5" i="12"/>
  <c r="V3" i="12"/>
  <c r="V5" i="12"/>
  <c r="I3" i="27"/>
  <c r="I5" i="27"/>
  <c r="X3" i="12"/>
  <c r="X5" i="12"/>
  <c r="AI3" i="12"/>
  <c r="AI5" i="12"/>
  <c r="F26" i="22" l="1"/>
  <c r="G26" i="22" s="1"/>
  <c r="F7" i="22"/>
  <c r="G7" i="22" s="1"/>
  <c r="F19" i="22"/>
  <c r="G19" i="22" s="1"/>
  <c r="F23" i="22"/>
  <c r="G23" i="22" s="1"/>
  <c r="N5" i="12"/>
  <c r="M5" i="12"/>
  <c r="I5" i="12"/>
  <c r="F20" i="22"/>
  <c r="I20" i="22" s="1"/>
  <c r="F9" i="22"/>
  <c r="F12" i="22"/>
  <c r="G12" i="22" s="1"/>
  <c r="F16" i="22"/>
  <c r="G16" i="22" s="1"/>
  <c r="F22" i="22"/>
  <c r="I22" i="22" s="1"/>
  <c r="J5" i="12"/>
  <c r="F15" i="22"/>
  <c r="G15" i="22" s="1"/>
  <c r="L5" i="12"/>
  <c r="F21" i="22"/>
  <c r="G21" i="22" s="1"/>
  <c r="F5" i="12"/>
  <c r="F24" i="22"/>
  <c r="I24" i="22" s="1"/>
  <c r="F10" i="22"/>
  <c r="F11" i="22"/>
  <c r="F13" i="22"/>
  <c r="I13" i="22" s="1"/>
  <c r="F14" i="22"/>
  <c r="I14" i="22" s="1"/>
  <c r="F18" i="22"/>
  <c r="G18" i="22" s="1"/>
  <c r="F8" i="22"/>
  <c r="G8" i="22" s="1"/>
  <c r="F5" i="27"/>
  <c r="F25" i="22"/>
  <c r="I25" i="22" s="1"/>
  <c r="G5" i="12"/>
  <c r="H5" i="12"/>
  <c r="F17" i="22"/>
  <c r="K17" i="22" s="1"/>
  <c r="M17" i="22" s="1"/>
  <c r="K5" i="12"/>
  <c r="G51" i="22"/>
  <c r="J51" i="22" s="1"/>
  <c r="I51" i="22"/>
  <c r="M51" i="22" s="1"/>
  <c r="K51" i="22"/>
  <c r="N51" i="22" s="1"/>
  <c r="G44" i="22"/>
  <c r="J44" i="22" s="1"/>
  <c r="I44" i="22"/>
  <c r="M44" i="22" s="1"/>
  <c r="K44" i="22"/>
  <c r="N44" i="22" s="1"/>
  <c r="G9" i="22"/>
  <c r="G38" i="22"/>
  <c r="J38" i="22" s="1"/>
  <c r="I38" i="22"/>
  <c r="M38" i="22" s="1"/>
  <c r="K38" i="22"/>
  <c r="N38" i="22" s="1"/>
  <c r="G33" i="22"/>
  <c r="J33" i="22" s="1"/>
  <c r="I33" i="22"/>
  <c r="K33" i="22"/>
  <c r="N33" i="22" s="1"/>
  <c r="G46" i="22"/>
  <c r="J46" i="22" s="1"/>
  <c r="I46" i="22"/>
  <c r="M46" i="22" s="1"/>
  <c r="K46" i="22"/>
  <c r="N46" i="22" s="1"/>
  <c r="G37" i="22"/>
  <c r="J37" i="22" s="1"/>
  <c r="I37" i="22"/>
  <c r="M37" i="22" s="1"/>
  <c r="K37" i="22"/>
  <c r="N37" i="22" s="1"/>
  <c r="G40" i="22"/>
  <c r="J40" i="22" s="1"/>
  <c r="I40" i="22"/>
  <c r="M40" i="22" s="1"/>
  <c r="K40" i="22"/>
  <c r="N40" i="22" s="1"/>
  <c r="G41" i="22"/>
  <c r="J41" i="22" s="1"/>
  <c r="I41" i="22"/>
  <c r="M41" i="22" s="1"/>
  <c r="K41" i="22"/>
  <c r="N41" i="22" s="1"/>
  <c r="G50" i="22"/>
  <c r="J50" i="22" s="1"/>
  <c r="I50" i="22"/>
  <c r="M50" i="22" s="1"/>
  <c r="K50" i="22"/>
  <c r="N50" i="22" s="1"/>
  <c r="G35" i="22"/>
  <c r="J35" i="22" s="1"/>
  <c r="I35" i="22"/>
  <c r="K35" i="22"/>
  <c r="N35" i="22" s="1"/>
  <c r="G42" i="22"/>
  <c r="J42" i="22" s="1"/>
  <c r="I42" i="22"/>
  <c r="M42" i="22" s="1"/>
  <c r="K42" i="22"/>
  <c r="N42" i="22" s="1"/>
  <c r="G47" i="22"/>
  <c r="J47" i="22" s="1"/>
  <c r="I47" i="22"/>
  <c r="M47" i="22" s="1"/>
  <c r="K47" i="22"/>
  <c r="N47" i="22" s="1"/>
  <c r="G49" i="22"/>
  <c r="J49" i="22" s="1"/>
  <c r="I49" i="22"/>
  <c r="M49" i="22" s="1"/>
  <c r="K49" i="22"/>
  <c r="N49" i="22" s="1"/>
  <c r="G34" i="22"/>
  <c r="J34" i="22" s="1"/>
  <c r="I34" i="22"/>
  <c r="K34" i="22"/>
  <c r="N34" i="22" s="1"/>
  <c r="G39" i="22"/>
  <c r="J39" i="22" s="1"/>
  <c r="I39" i="22"/>
  <c r="M39" i="22" s="1"/>
  <c r="K39" i="22"/>
  <c r="N39" i="22" s="1"/>
  <c r="G32" i="22"/>
  <c r="J32" i="22" s="1"/>
  <c r="I32" i="22"/>
  <c r="K32" i="22"/>
  <c r="G45" i="22"/>
  <c r="J45" i="22" s="1"/>
  <c r="I45" i="22"/>
  <c r="M45" i="22" s="1"/>
  <c r="K45" i="22"/>
  <c r="N45" i="22" s="1"/>
  <c r="G36" i="22"/>
  <c r="J36" i="22" s="1"/>
  <c r="I36" i="22"/>
  <c r="K36" i="22"/>
  <c r="N36" i="22" s="1"/>
  <c r="G48" i="22"/>
  <c r="J48" i="22" s="1"/>
  <c r="I48" i="22"/>
  <c r="M48" i="22" s="1"/>
  <c r="K48" i="22"/>
  <c r="N48" i="22" s="1"/>
  <c r="G43" i="22"/>
  <c r="J43" i="22" s="1"/>
  <c r="I43" i="22"/>
  <c r="M43" i="22" s="1"/>
  <c r="K43" i="22"/>
  <c r="N43" i="22" s="1"/>
  <c r="L3" i="28"/>
  <c r="M36" i="22" l="1"/>
  <c r="M34" i="22"/>
  <c r="M35" i="22"/>
  <c r="M32" i="22"/>
  <c r="M33" i="22"/>
  <c r="I9" i="22"/>
  <c r="K24" i="22"/>
  <c r="M24" i="22" s="1"/>
  <c r="K19" i="22"/>
  <c r="M19" i="22" s="1"/>
  <c r="I15" i="22"/>
  <c r="I12" i="22"/>
  <c r="G25" i="22"/>
  <c r="G13" i="22"/>
  <c r="K26" i="22"/>
  <c r="M26" i="22" s="1"/>
  <c r="G14" i="22"/>
  <c r="G10" i="22"/>
  <c r="I10" i="22" s="1"/>
  <c r="K10" i="22" s="1"/>
  <c r="K14" i="22"/>
  <c r="M14" i="22" s="1"/>
  <c r="K7" i="22"/>
  <c r="M7" i="22" s="1"/>
  <c r="K25" i="22"/>
  <c r="M25" i="22" s="1"/>
  <c r="K16" i="22"/>
  <c r="M16" i="22" s="1"/>
  <c r="K18" i="22"/>
  <c r="M18" i="22" s="1"/>
  <c r="K12" i="22"/>
  <c r="M12" i="22" s="1"/>
  <c r="K15" i="22"/>
  <c r="M15" i="22" s="1"/>
  <c r="I7" i="22"/>
  <c r="G3" i="28" s="1"/>
  <c r="G24" i="22"/>
  <c r="I19" i="22"/>
  <c r="I18" i="22"/>
  <c r="G11" i="22"/>
  <c r="I11" i="22" s="1"/>
  <c r="K11" i="22" s="1"/>
  <c r="M11" i="22" s="1"/>
  <c r="G22" i="22"/>
  <c r="K21" i="22"/>
  <c r="M21" i="22" s="1"/>
  <c r="I17" i="22"/>
  <c r="I26" i="22"/>
  <c r="G17" i="22"/>
  <c r="K13" i="22"/>
  <c r="M13" i="22" s="1"/>
  <c r="K9" i="22"/>
  <c r="M9" i="22" s="1"/>
  <c r="I16" i="22"/>
  <c r="G20" i="22"/>
  <c r="K8" i="22"/>
  <c r="M8" i="22" s="1"/>
  <c r="K23" i="22"/>
  <c r="M23" i="22" s="1"/>
  <c r="I21" i="22"/>
  <c r="K22" i="22"/>
  <c r="M22" i="22" s="1"/>
  <c r="I8" i="22"/>
  <c r="I23" i="22"/>
  <c r="K20" i="22"/>
  <c r="M20" i="22" s="1"/>
  <c r="H3" i="28"/>
  <c r="N13" i="22"/>
  <c r="N24" i="22"/>
  <c r="N17" i="22"/>
  <c r="L2" i="28"/>
  <c r="N32" i="22"/>
  <c r="K3" i="28"/>
  <c r="K2" i="28"/>
  <c r="G13" i="28"/>
  <c r="G14" i="28"/>
  <c r="G4" i="28"/>
  <c r="G8" i="28"/>
  <c r="G11" i="28"/>
  <c r="G12" i="28"/>
  <c r="G9" i="28"/>
  <c r="G6" i="28"/>
  <c r="G15" i="28"/>
  <c r="G7" i="28"/>
  <c r="G5" i="28"/>
  <c r="G10" i="28"/>
  <c r="H6" i="28"/>
  <c r="H15" i="28"/>
  <c r="H12" i="28"/>
  <c r="H9" i="28"/>
  <c r="H14" i="28"/>
  <c r="H10" i="28"/>
  <c r="H13" i="28"/>
  <c r="H11" i="28"/>
  <c r="H8" i="28"/>
  <c r="H5" i="28"/>
  <c r="H4" i="28"/>
  <c r="H7" i="28"/>
  <c r="N26" i="22" l="1"/>
  <c r="N12" i="22"/>
  <c r="N10" i="22"/>
  <c r="M10" i="22"/>
  <c r="N19" i="22"/>
  <c r="H2" i="28"/>
  <c r="N14" i="22"/>
  <c r="N25" i="22"/>
  <c r="N15" i="22"/>
  <c r="N16" i="22"/>
  <c r="N7" i="22"/>
  <c r="N20" i="22"/>
  <c r="N21" i="22"/>
  <c r="N18" i="22"/>
  <c r="G2" i="28"/>
  <c r="N8" i="22"/>
  <c r="N11" i="22"/>
  <c r="N9" i="22"/>
  <c r="N23" i="22"/>
  <c r="N22"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Auteur</author>
  </authors>
  <commentList>
    <comment ref="A68" authorId="0" shapeId="0" xr:uid="{00000000-0006-0000-0B00-000001000000}">
      <text>
        <r>
          <rPr>
            <b/>
            <sz val="9"/>
            <color indexed="81"/>
            <rFont val="Tahoma"/>
            <family val="2"/>
          </rPr>
          <t>A modifier si erreur dans le doc word - peut etre c'est Testo le témoin de référence</t>
        </r>
      </text>
    </comment>
    <comment ref="A69" authorId="0" shapeId="0" xr:uid="{00000000-0006-0000-0B00-000002000000}">
      <text>
        <r>
          <rPr>
            <b/>
            <sz val="9"/>
            <color indexed="81"/>
            <rFont val="Tahoma"/>
            <family val="2"/>
          </rPr>
          <t>A modifier si erreur dans le doc word - peut etre c'est Testo le témoin de référence</t>
        </r>
      </text>
    </comment>
  </commentList>
</comments>
</file>

<file path=xl/sharedStrings.xml><?xml version="1.0" encoding="utf-8"?>
<sst xmlns="http://schemas.openxmlformats.org/spreadsheetml/2006/main" count="7864" uniqueCount="4391">
  <si>
    <t>mean</t>
  </si>
  <si>
    <t>SD</t>
  </si>
  <si>
    <t>SEM</t>
  </si>
  <si>
    <t>avec testo</t>
  </si>
  <si>
    <t>Rep1</t>
  </si>
  <si>
    <t>Rep2</t>
  </si>
  <si>
    <t>Non dopé</t>
  </si>
  <si>
    <t>Code WF</t>
  </si>
  <si>
    <t>N°BDC :</t>
  </si>
  <si>
    <t>Etiquettes</t>
  </si>
  <si>
    <t>Moyenne</t>
  </si>
  <si>
    <t>STAT</t>
  </si>
  <si>
    <t>Témoin Evian</t>
  </si>
  <si>
    <t>Témoin Testo</t>
  </si>
  <si>
    <t>Zone rouge anti</t>
  </si>
  <si>
    <t>Zone verte</t>
  </si>
  <si>
    <t>Zone rouge pro</t>
  </si>
  <si>
    <t>R1</t>
  </si>
  <si>
    <t>R2</t>
  </si>
  <si>
    <t>Concentration</t>
  </si>
  <si>
    <t xml:space="preserve">Testo </t>
  </si>
  <si>
    <t>Date de réalisation :</t>
  </si>
  <si>
    <t>R3</t>
  </si>
  <si>
    <t>LOD</t>
  </si>
  <si>
    <t>LOQ</t>
  </si>
  <si>
    <t>ng/L EE2</t>
  </si>
  <si>
    <t>upper limit</t>
  </si>
  <si>
    <t>lower limit</t>
  </si>
  <si>
    <t>EE2 64ng/L</t>
  </si>
  <si>
    <t>Testosterone</t>
  </si>
  <si>
    <t>Testo+ Fad</t>
  </si>
  <si>
    <t>Testo+ EE2</t>
  </si>
  <si>
    <t>Mean</t>
  </si>
  <si>
    <t>Données brutes</t>
  </si>
  <si>
    <t>Données normalisées sur la moyenne du groupe "Testo"</t>
  </si>
  <si>
    <t>Nom sur le graphique</t>
  </si>
  <si>
    <t>1. Expérimentateur 1 : copier et coller le n° de prestation et renseigner la date de réalisation de chaque réplica ainsi que le visa de l'expérimentateur.</t>
  </si>
  <si>
    <t>2. Expérimentateur 1 : copier et coller la dilution appliquée et le nom donné pour chaque des échantillons par le client. Conserver la mise en forme de l'exemple en italique. Ne pas remplir la colonne "nom sur graphique".</t>
  </si>
  <si>
    <t>4. Expérimentateur 1 : réaliser les tests statistiques avec les données normalisées et renseigner les résultats ainsi que le test statistique utilisé dans le tableau violet.</t>
  </si>
  <si>
    <t>Eléments pour la mise en forme conditionnelles des résutats - calcul équivalent hormonal (eqH)</t>
  </si>
  <si>
    <t>3. Expérimentateur 1 : copier et coller les valeurs des intensités totales de fluorescences obtenues dans le fichier raw data lors du traitement des images.</t>
  </si>
  <si>
    <t>Noms des groupes</t>
  </si>
  <si>
    <t>EqH - testo</t>
  </si>
  <si>
    <t>6. Expérimentateur 2 : copier et coller les valeurs des intensités totales de fluorescences obtenues dans le fichier raw data lors du traitement des images. Ne pas supprimer les colonnes correspondant aux concentrations non lues.</t>
  </si>
  <si>
    <t>7. Expérimentateur 2 : réaliser les tests statistiques avec les données normalisées et renseigner les résultats ainsi que le test statistique utilisé dans le tableau violet.</t>
  </si>
  <si>
    <t>8. Expérimentateur 2 : se reporter à l'onglet "pooled normalised values".</t>
  </si>
  <si>
    <t>9. Expérimentateur 2 : vérifier que le nombre de valeurs est &gt; ou égale à 14. Vérifier que le nombre de valeurs est &gt; ou égale à 27 pour le groupe "Testo".</t>
  </si>
  <si>
    <t>Nom des groupes</t>
  </si>
  <si>
    <t>Moy.</t>
  </si>
  <si>
    <t>Nbre de valeurs</t>
  </si>
  <si>
    <t xml:space="preserve"> + Testostérone</t>
  </si>
  <si>
    <t>Nom de l'échantillon donné par le client</t>
  </si>
  <si>
    <t>5. Expérimentateur 1 : remplissage du suivi qualité (SQ) et transmission à l'expérimenteur 2.</t>
  </si>
  <si>
    <r>
      <t xml:space="preserve">11. Expérimentateur 2 : </t>
    </r>
    <r>
      <rPr>
        <b/>
        <sz val="20"/>
        <color rgb="FFFF0000"/>
        <rFont val="Calibri"/>
        <family val="2"/>
        <scheme val="minor"/>
      </rPr>
      <t>vérifier les valeurs des écarts type. En cas de valeur abbéantes ou incohérent, consulter le référent test.</t>
    </r>
  </si>
  <si>
    <t>12. Expérimentateur 2 : réaliser les tests statistiques avec les données du pool et renseigner les résultats ainsi que le test statistique utilisé dans le tableau violet.</t>
  </si>
  <si>
    <t xml:space="preserve">13. Expérimentateur 2 : masquer les colonnes de la feuille R1 et R2 correspondant au groupe des échantilons n'ayant été lu que sur le réplica 1.  </t>
  </si>
  <si>
    <r>
      <t xml:space="preserve">14. Expérimentateur 2 : vérifier la cohérence des deux réplicas et des réplicas avec le pool à l'aide des graphiques "Graph". En cas de divergences consulter </t>
    </r>
    <r>
      <rPr>
        <b/>
        <sz val="20"/>
        <color rgb="FFFF0000"/>
        <rFont val="Calibri"/>
        <family val="2"/>
        <scheme val="minor"/>
      </rPr>
      <t>le référent test.</t>
    </r>
  </si>
  <si>
    <r>
      <t xml:space="preserve">15. Expérimentateur 2 : réaliser le calcul de l'équivalent hormonal (eqh) à l'aide </t>
    </r>
    <r>
      <rPr>
        <b/>
        <sz val="20"/>
        <color rgb="FFFF0000"/>
        <rFont val="Calibri"/>
        <family val="2"/>
        <scheme val="minor"/>
      </rPr>
      <t>du logiciel et PRISM</t>
    </r>
    <r>
      <rPr>
        <b/>
        <sz val="20"/>
        <color theme="1"/>
        <rFont val="Calibri"/>
        <family val="2"/>
        <scheme val="minor"/>
      </rPr>
      <t>. Seules les moyennes des témoins, des échantillons non dopées apparraissant en vert et les moyennes des échantillons dopées étant statiquement différentes des témoins (*, **, ***) pourrons être calculées en eqh. Se reporter à l'onglet "summary results".</t>
    </r>
  </si>
  <si>
    <t>10. Expérimentateur 2 : vérifier que le calcul des ratio s'affiche en vert.</t>
  </si>
  <si>
    <t>Evian/EE2 488 ng /L &gt;=</t>
  </si>
  <si>
    <t>18. Expérimentateur 2 : transmission des résultats avec le SQ rempli au responsable du laboratoire.</t>
  </si>
  <si>
    <t>Ratio à atteindre</t>
  </si>
  <si>
    <t>Evian/Testo + EE2 64 ng/L &gt;=</t>
  </si>
  <si>
    <t>Evian/ Testo + FAD &lt;=</t>
  </si>
  <si>
    <t>Valeur fluo extrapolée</t>
  </si>
  <si>
    <t>Dilution</t>
  </si>
  <si>
    <t>EqH Extrapolation à 100%</t>
  </si>
  <si>
    <t xml:space="preserve">% atteinte du seuil </t>
  </si>
  <si>
    <t>Valeur échelle</t>
  </si>
  <si>
    <t>Etiquette</t>
  </si>
  <si>
    <t>Evian</t>
  </si>
  <si>
    <t>EE2 64ng/l</t>
  </si>
  <si>
    <t>Testostérone</t>
  </si>
  <si>
    <t>Testostérone+EE2</t>
  </si>
  <si>
    <t>Testostérone+FAD</t>
  </si>
  <si>
    <t>Unité</t>
  </si>
  <si>
    <t>Numéro ligne</t>
  </si>
  <si>
    <t>Valeur du seuil de référence</t>
  </si>
  <si>
    <t>Dopage (+Testostérone / + EE2, ….)</t>
  </si>
  <si>
    <t>% induction</t>
  </si>
  <si>
    <t>Résultat stat si NS</t>
  </si>
  <si>
    <t>Test de normalité : valeur du p</t>
  </si>
  <si>
    <t>Test statistique utilisé</t>
  </si>
  <si>
    <t>Test statistique : valeur du p</t>
  </si>
  <si>
    <t>Annotation</t>
  </si>
  <si>
    <t>Test de normalité : résultat normal?</t>
  </si>
  <si>
    <t>CHG-protocole</t>
  </si>
  <si>
    <t>CHG-dilution</t>
  </si>
  <si>
    <t>CHG-induction ND</t>
  </si>
  <si>
    <t>CHG-test ND</t>
  </si>
  <si>
    <t>CHG-EQH ND</t>
  </si>
  <si>
    <t>CHG-% atteinte du seuil ND</t>
  </si>
  <si>
    <t>CHG-induction D</t>
  </si>
  <si>
    <t>CHG-test D</t>
  </si>
  <si>
    <t>CHG-EQH D</t>
  </si>
  <si>
    <t>CHG-% atteinte seuil D</t>
  </si>
  <si>
    <t>CHG-Testo+EE2</t>
  </si>
  <si>
    <t>CHG-Testo+Fad</t>
  </si>
  <si>
    <t>Liste groupes dopés</t>
  </si>
  <si>
    <t>Liste groupes non dopés</t>
  </si>
  <si>
    <t>Étiquettes de lignes</t>
  </si>
  <si>
    <t>0-00 + Testostérone</t>
  </si>
  <si>
    <t>Nom ND</t>
  </si>
  <si>
    <t>Nom D</t>
  </si>
  <si>
    <t xml:space="preserve">16. Expérimentateur 2 : copier et coller les résultats obtenus dans prisme selon l'ordre défini. </t>
  </si>
  <si>
    <t xml:space="preserve">17. Expérimentateur 2: </t>
  </si>
  <si>
    <t>(vide)</t>
  </si>
  <si>
    <t>Nom groupe</t>
  </si>
  <si>
    <t>N° de valeur</t>
  </si>
  <si>
    <t>file name</t>
  </si>
  <si>
    <t xml:space="preserve"> total area </t>
  </si>
  <si>
    <t xml:space="preserve"> mean intensity </t>
  </si>
  <si>
    <t xml:space="preserve"> </t>
  </si>
  <si>
    <t xml:space="preserve"> total fluorescence</t>
  </si>
  <si>
    <t>Étiquettes de colonnes</t>
  </si>
  <si>
    <t>Numéro d'expérience :</t>
  </si>
  <si>
    <t>Rep3</t>
  </si>
  <si>
    <t xml:space="preserve">         </t>
  </si>
  <si>
    <t>nbre de larves</t>
  </si>
  <si>
    <t>(Tous)</t>
  </si>
  <si>
    <t>Filtre lignes : Enlever (vide) et Néant</t>
  </si>
  <si>
    <t>Filtre colonnes : Enlever (vide) et "    "</t>
  </si>
  <si>
    <t>Tous les groupes du gamme sont normale?</t>
  </si>
  <si>
    <t>Témoin</t>
  </si>
  <si>
    <t>ng/L</t>
  </si>
  <si>
    <t>Témoin solvant</t>
  </si>
  <si>
    <t>EE2</t>
  </si>
  <si>
    <t>µg/L</t>
  </si>
  <si>
    <t xml:space="preserve">Testo 30µg/L + EE2 </t>
  </si>
  <si>
    <t>Testo 30µg/L + FAD</t>
  </si>
  <si>
    <t>(Plusieurs éléments)</t>
  </si>
  <si>
    <t>Description</t>
  </si>
  <si>
    <t>Problème</t>
  </si>
  <si>
    <t>Diminution de fluo en non dopé</t>
  </si>
  <si>
    <t>Impossible de calculer un EQH et pas de seuil déterminé donc impossible d'évaluer si l'échantillon dépasse un seuil</t>
  </si>
  <si>
    <t>Non calculable</t>
  </si>
  <si>
    <t>% de variation de fluo</t>
  </si>
  <si>
    <t>% atteinte du seuil RAPPORT</t>
  </si>
  <si>
    <t>EqH RAPPORT</t>
  </si>
  <si>
    <t>Valeur échelle sur graphique RAPPORT</t>
  </si>
  <si>
    <t>EqH BASE DE DONNEES</t>
  </si>
  <si>
    <t>% BASE DE DONNEES</t>
  </si>
  <si>
    <t>Mettre le % de variation de fluo avec un renvoi: "*: variation de fluorescence non-calibrée"</t>
  </si>
  <si>
    <t xml:space="preserve">C:\Users\Olympus\Desktop\20190122\plaque1/@01 EE2 0/A1_1.tif </t>
  </si>
  <si>
    <t xml:space="preserve">C:\Users\Olympus\Desktop\20190122\plaque1/@01 EE2 0/A1_2.tif </t>
  </si>
  <si>
    <t xml:space="preserve">C:\Users\Olympus\Desktop\20190122\plaque1/@01 EE2 0/A1_3.tif </t>
  </si>
  <si>
    <t xml:space="preserve"> 4931.616 </t>
  </si>
  <si>
    <t xml:space="preserve"> 73.0526 </t>
  </si>
  <si>
    <t xml:space="preserve"> 5234.4345 </t>
  </si>
  <si>
    <t xml:space="preserve"> 71.1281 </t>
  </si>
  <si>
    <t xml:space="preserve"> 3547.3027 </t>
  </si>
  <si>
    <t xml:space="preserve"> 66.9878 </t>
  </si>
  <si>
    <t>01 EE2 0</t>
  </si>
  <si>
    <t>Moyenne de  total fluorescence</t>
  </si>
  <si>
    <t xml:space="preserve">C:\Users\Olympus\Desktop\20190122\plaque3/@01 EE2 0/A1_1.tif </t>
  </si>
  <si>
    <t xml:space="preserve"> 15984.4921 </t>
  </si>
  <si>
    <t xml:space="preserve"> 69.7767 </t>
  </si>
  <si>
    <t xml:space="preserve">C:\Users\Olympus\Desktop\20190122\plaque3/@01 EE2 0/A1_2.tif </t>
  </si>
  <si>
    <t xml:space="preserve"> 21586.6348 </t>
  </si>
  <si>
    <t xml:space="preserve"> 66.4108 </t>
  </si>
  <si>
    <t xml:space="preserve">C:\Users\Olympus\Desktop\20190122\plaque3/@01 EE2 0/A1_3.tif </t>
  </si>
  <si>
    <t xml:space="preserve"> 21456.8555 </t>
  </si>
  <si>
    <t xml:space="preserve"> 67.0655 </t>
  </si>
  <si>
    <t>A</t>
  </si>
  <si>
    <t>n'utilisez pas cette ligne SVP</t>
  </si>
  <si>
    <t xml:space="preserve">F:\images\20210304\plaque 1/@01 Evian + 0.2% DMSO/A1_01.tif </t>
  </si>
  <si>
    <t xml:space="preserve"> 2660.477 </t>
  </si>
  <si>
    <t xml:space="preserve"> 66.2439 </t>
  </si>
  <si>
    <t xml:space="preserve">F:\images\20210304\plaque 1/@01 Evian + 0.2% DMSO/A1_02.tif </t>
  </si>
  <si>
    <t xml:space="preserve"> 237.9288 </t>
  </si>
  <si>
    <t xml:space="preserve"> 63.6364 </t>
  </si>
  <si>
    <t xml:space="preserve">F:\images\20210304\plaque 1/@01 Evian + 0.2% DMSO/A1_03.tif </t>
  </si>
  <si>
    <t xml:space="preserve"> 62.7273 </t>
  </si>
  <si>
    <t xml:space="preserve">F:\images\20210304\plaque 1/@01 Evian + 0.2% DMSO/B1_01.tif </t>
  </si>
  <si>
    <t xml:space="preserve"> 10987.9865 </t>
  </si>
  <si>
    <t xml:space="preserve"> 69.3563 </t>
  </si>
  <si>
    <t xml:space="preserve">F:\images\20210304\plaque 1/@01 Evian + 0.2% DMSO/B1_02.tif </t>
  </si>
  <si>
    <t xml:space="preserve"> 6791.7869 </t>
  </si>
  <si>
    <t xml:space="preserve"> 64.9363 </t>
  </si>
  <si>
    <t xml:space="preserve">F:\images\20210304\plaque 1/@01 Evian + 0.2% DMSO/B1_03.tif </t>
  </si>
  <si>
    <t xml:space="preserve"> 3525.6728 </t>
  </si>
  <si>
    <t xml:space="preserve"> 63.5215 </t>
  </si>
  <si>
    <t xml:space="preserve">F:\images\20210304\plaque 1/@01 Evian + 0.2% DMSO/C1_01.tif </t>
  </si>
  <si>
    <t xml:space="preserve"> 4304.349 </t>
  </si>
  <si>
    <t xml:space="preserve"> 71.9548 </t>
  </si>
  <si>
    <t xml:space="preserve">F:\images\20210304\plaque 1/@01 Evian + 0.2% DMSO/C1_02.tif </t>
  </si>
  <si>
    <t xml:space="preserve"> 3893.381 </t>
  </si>
  <si>
    <t xml:space="preserve"> 70.35 </t>
  </si>
  <si>
    <t xml:space="preserve">F:\images\20210304\plaque 1/@01 Evian + 0.2% DMSO/C1_03.tif </t>
  </si>
  <si>
    <t xml:space="preserve"> 4672.0572 </t>
  </si>
  <si>
    <t xml:space="preserve"> 67.6204 </t>
  </si>
  <si>
    <t xml:space="preserve">F:\images\20210304\plaque 1/@01 Evian + 0.2% DMSO/D1_01.tif </t>
  </si>
  <si>
    <t xml:space="preserve"> 302.8185 </t>
  </si>
  <si>
    <t xml:space="preserve"> 64.5 </t>
  </si>
  <si>
    <t xml:space="preserve">F:\images\20210304\plaque 1/@01 Evian + 0.2% DMSO/D1_02.tif </t>
  </si>
  <si>
    <t xml:space="preserve"> 108.1495 </t>
  </si>
  <si>
    <t xml:space="preserve"> 64.8 </t>
  </si>
  <si>
    <t xml:space="preserve">F:\images\20210304\plaque 1/@01 Evian + 0.2% DMSO/D1_03.tif </t>
  </si>
  <si>
    <t xml:space="preserve"> 86.5196 </t>
  </si>
  <si>
    <t xml:space="preserve"> 60.75 </t>
  </si>
  <si>
    <t xml:space="preserve">F:\images\20210304\plaque 1/@01 Evian + 0.2% DMSO/E1_01.tif </t>
  </si>
  <si>
    <t xml:space="preserve"> 173.0392 </t>
  </si>
  <si>
    <t xml:space="preserve"> 65.375 </t>
  </si>
  <si>
    <t xml:space="preserve">F:\images\20210304\plaque 1/@01 Evian + 0.2% DMSO/E1_02.tif </t>
  </si>
  <si>
    <t xml:space="preserve"> 281.1886 </t>
  </si>
  <si>
    <t xml:space="preserve"> 65.2308 </t>
  </si>
  <si>
    <t xml:space="preserve">F:\images\20210304\plaque 1/@01 Evian + 0.2% DMSO/E1_03.tif </t>
  </si>
  <si>
    <t xml:space="preserve"> 65.875 </t>
  </si>
  <si>
    <t xml:space="preserve">F:\images\20210304\plaque 1/@01 Evian + 0.2% DMSO/F1_01.tif </t>
  </si>
  <si>
    <t xml:space="preserve"> 670.5267 </t>
  </si>
  <si>
    <t xml:space="preserve"> 65.3226 </t>
  </si>
  <si>
    <t xml:space="preserve">F:\images\20210304\plaque 1/@01 Evian + 0.2% DMSO/F1_02.tif </t>
  </si>
  <si>
    <t xml:space="preserve"> 713.7865 </t>
  </si>
  <si>
    <t xml:space="preserve"> 64.8788 </t>
  </si>
  <si>
    <t xml:space="preserve">F:\images\20210304\plaque 1/@01 Evian + 0.2% DMSO/F1_03.tif </t>
  </si>
  <si>
    <t xml:space="preserve"> 64.125 </t>
  </si>
  <si>
    <t xml:space="preserve">F:\images\20210304\plaque 1/@01 Evian + 0.2% DMSO/G1_01.tif </t>
  </si>
  <si>
    <t xml:space="preserve"> 6272.6694 </t>
  </si>
  <si>
    <t xml:space="preserve"> 68.9793 </t>
  </si>
  <si>
    <t xml:space="preserve">F:\images\20210304\plaque 1/@01 Evian + 0.2% DMSO/G1_02.tif </t>
  </si>
  <si>
    <t xml:space="preserve"> 3741.9718 </t>
  </si>
  <si>
    <t xml:space="preserve"> 67.3468 </t>
  </si>
  <si>
    <t xml:space="preserve">F:\images\20210304\plaque 1/@01 Evian + 0.2% DMSO/G1_03.tif </t>
  </si>
  <si>
    <t xml:space="preserve"> 194.6691 </t>
  </si>
  <si>
    <t xml:space="preserve"> 64.1111 </t>
  </si>
  <si>
    <t xml:space="preserve">F:\images\20210304\plaque 1/@01 Evian + 0.2% DMSO/H1_01.tif </t>
  </si>
  <si>
    <t xml:space="preserve"> 61.8889 </t>
  </si>
  <si>
    <t>F:\images\20210304\plaque 1/@01 Evian + 0.2% DMSO/H1_02- exclu.tif</t>
  </si>
  <si>
    <t>F:\images\20210304\plaque 1/@01 Evian + 0.2% DMSO/H1_03- exclu.tif</t>
  </si>
  <si>
    <t xml:space="preserve">group </t>
  </si>
  <si>
    <t xml:space="preserve"> mean of mean fluo </t>
  </si>
  <si>
    <t xml:space="preserve"> SD mean fluo </t>
  </si>
  <si>
    <t xml:space="preserve"> mean of total fluo </t>
  </si>
  <si>
    <t xml:space="preserve"> SD total fluo </t>
  </si>
  <si>
    <t xml:space="preserve"> n fluorescent </t>
  </si>
  <si>
    <t xml:space="preserve"> n total</t>
  </si>
  <si>
    <t xml:space="preserve">F:\images\20210304\plaque 1/@01 Evian + 0.2% DMSO/ </t>
  </si>
  <si>
    <t xml:space="preserve"> 65.405 </t>
  </si>
  <si>
    <t xml:space="preserve"> 2.7194 </t>
  </si>
  <si>
    <t xml:space="preserve"> 142913.208 </t>
  </si>
  <si>
    <t xml:space="preserve"> 197143.036 </t>
  </si>
  <si>
    <t xml:space="preserve">file name </t>
  </si>
  <si>
    <t xml:space="preserve">F:\images\20210304\plaque 1/@02 EE2 33.8/A2_01.tif </t>
  </si>
  <si>
    <t xml:space="preserve"> 1211.2741 </t>
  </si>
  <si>
    <t xml:space="preserve"> 67.6071 </t>
  </si>
  <si>
    <t xml:space="preserve">F:\images\20210304\plaque 1/@02 EE2 33.8/A2_02.tif </t>
  </si>
  <si>
    <t xml:space="preserve"> 3395.8935 </t>
  </si>
  <si>
    <t xml:space="preserve"> 65.4459 </t>
  </si>
  <si>
    <t xml:space="preserve">F:\images\20210304\plaque 1/@02 EE2 33.8/A2_03.tif </t>
  </si>
  <si>
    <t xml:space="preserve"> 778.6762 </t>
  </si>
  <si>
    <t xml:space="preserve"> 63.1667 </t>
  </si>
  <si>
    <t xml:space="preserve">F:\images\20210304\plaque 1/@02 EE2 33.8/B2_01.tif </t>
  </si>
  <si>
    <t xml:space="preserve"> 4801.8366 </t>
  </si>
  <si>
    <t xml:space="preserve"> 73.8964 </t>
  </si>
  <si>
    <t xml:space="preserve">F:\images\20210304\plaque 1/@02 EE2 33.8/B2_02.tif </t>
  </si>
  <si>
    <t xml:space="preserve"> 5126.285 </t>
  </si>
  <si>
    <t xml:space="preserve"> 68.7173 </t>
  </si>
  <si>
    <t>F:\images\20210304\plaque 1/@02 EE2 33.8/B2_03- exclu.tif</t>
  </si>
  <si>
    <t xml:space="preserve">F:\images\20210304\plaque 1/@02 EE2 33.8/C2_01.tif </t>
  </si>
  <si>
    <t xml:space="preserve"> 6078.0004 </t>
  </si>
  <si>
    <t xml:space="preserve"> 72.2954 </t>
  </si>
  <si>
    <t xml:space="preserve">F:\images\20210304\plaque 1/@02 EE2 33.8/C2_02.tif </t>
  </si>
  <si>
    <t xml:space="preserve"> 6445.7086 </t>
  </si>
  <si>
    <t xml:space="preserve"> 75.2148 </t>
  </si>
  <si>
    <t xml:space="preserve">F:\images\20210304\plaque 1/@02 EE2 33.8/C2_03.tif </t>
  </si>
  <si>
    <t xml:space="preserve"> 6034.7406 </t>
  </si>
  <si>
    <t xml:space="preserve"> 70.8853 </t>
  </si>
  <si>
    <t xml:space="preserve">F:\images\20210304\plaque 1/@02 EE2 33.8/D2_01.tif </t>
  </si>
  <si>
    <t xml:space="preserve"> 2184.6194 </t>
  </si>
  <si>
    <t xml:space="preserve"> 66.8218 </t>
  </si>
  <si>
    <t xml:space="preserve">F:\images\20210304\plaque 1/@02 EE2 33.8/D2_02.tif </t>
  </si>
  <si>
    <t xml:space="preserve"> 2530.6977 </t>
  </si>
  <si>
    <t xml:space="preserve"> 65.3761 </t>
  </si>
  <si>
    <t xml:space="preserve">F:\images\20210304\plaque 1/@02 EE2 33.8/D2_03.tif </t>
  </si>
  <si>
    <t xml:space="preserve"> 216.2989 </t>
  </si>
  <si>
    <t xml:space="preserve">F:\images\20210304\plaque 1/@02 EE2 33.8/E2_01.tif </t>
  </si>
  <si>
    <t xml:space="preserve"> 6878.3065 </t>
  </si>
  <si>
    <t xml:space="preserve"> 71.6635 </t>
  </si>
  <si>
    <t xml:space="preserve">F:\images\20210304\plaque 1/@02 EE2 33.8/E2_02.tif </t>
  </si>
  <si>
    <t xml:space="preserve"> 6142.8901 </t>
  </si>
  <si>
    <t xml:space="preserve"> 70.5915 </t>
  </si>
  <si>
    <t xml:space="preserve">F:\images\20210304\plaque 1/@02 EE2 33.8/E2_03.tif </t>
  </si>
  <si>
    <t xml:space="preserve"> 1232.904 </t>
  </si>
  <si>
    <t xml:space="preserve"> 63.4912 </t>
  </si>
  <si>
    <t xml:space="preserve">F:\images\20210304\plaque 1/@02 EE2 33.8/F2_01.tif </t>
  </si>
  <si>
    <t xml:space="preserve"> 62.6154 </t>
  </si>
  <si>
    <t xml:space="preserve">F:\images\20210304\plaque 1/@02 EE2 33.8/F2_02.tif </t>
  </si>
  <si>
    <t xml:space="preserve"> 62.9 </t>
  </si>
  <si>
    <t xml:space="preserve">F:\images\20210304\plaque 1/@02 EE2 33.8/F2_03.tif </t>
  </si>
  <si>
    <t xml:space="preserve"> 151.4093 </t>
  </si>
  <si>
    <t xml:space="preserve"> 62.1429 </t>
  </si>
  <si>
    <t xml:space="preserve">F:\images\20210304\plaque 1/@02 EE2 33.8/G2_01.tif </t>
  </si>
  <si>
    <t xml:space="preserve"> 65.8632 </t>
  </si>
  <si>
    <t xml:space="preserve">F:\images\20210304\plaque 1/@02 EE2 33.8/G2_02.tif </t>
  </si>
  <si>
    <t xml:space="preserve"> 62.1935 </t>
  </si>
  <si>
    <t xml:space="preserve">F:\images\20210304\plaque 1/@02 EE2 33.8/G2_03.tif </t>
  </si>
  <si>
    <t xml:space="preserve"> 64.2308 </t>
  </si>
  <si>
    <t xml:space="preserve">F:\images\20210304\plaque 1/@02 EE2 33.8/H2_01.tif </t>
  </si>
  <si>
    <t xml:space="preserve"> 4044.7903 </t>
  </si>
  <si>
    <t xml:space="preserve"> 63.7487 </t>
  </si>
  <si>
    <t xml:space="preserve">F:\images\20210304\plaque 1/@02 EE2 33.8/H2_02.tif </t>
  </si>
  <si>
    <t xml:space="preserve"> 1881.8008 </t>
  </si>
  <si>
    <t xml:space="preserve"> 66.4368 </t>
  </si>
  <si>
    <t>F:\images\20210304\plaque 1/@02 EE2 33.8/H2_03- exclu.tif</t>
  </si>
  <si>
    <t xml:space="preserve">F:\images\20210304\plaque 1/@02 EE2 33.8/ </t>
  </si>
  <si>
    <t xml:space="preserve"> 66.4554 </t>
  </si>
  <si>
    <t xml:space="preserve"> 4.0074 </t>
  </si>
  <si>
    <t xml:space="preserve"> 185111.25 </t>
  </si>
  <si>
    <t xml:space="preserve"> 174099.386 </t>
  </si>
  <si>
    <t>F:\images\20210304\plaque 1/@03 EE2 50.6/A3_01- exclu.tif</t>
  </si>
  <si>
    <t xml:space="preserve">F:\images\20210304\plaque 1/@03 EE2 50.6/A3_02.tif </t>
  </si>
  <si>
    <t xml:space="preserve"> 951.7154 </t>
  </si>
  <si>
    <t xml:space="preserve"> 64.3409 </t>
  </si>
  <si>
    <t>F:\images\20210304\plaque 1/@03 EE2 50.6/A3_03- exclu.tif</t>
  </si>
  <si>
    <t xml:space="preserve">F:\images\20210304\plaque 1/@03 EE2 50.6/B3_01.tif </t>
  </si>
  <si>
    <t xml:space="preserve"> 4217.8295 </t>
  </si>
  <si>
    <t xml:space="preserve"> 68.1231 </t>
  </si>
  <si>
    <t xml:space="preserve">F:\images\20210304\plaque 1/@03 EE2 50.6/B3_02.tif </t>
  </si>
  <si>
    <t xml:space="preserve"> 3287.744 </t>
  </si>
  <si>
    <t xml:space="preserve"> 65.3092 </t>
  </si>
  <si>
    <t xml:space="preserve">F:\images\20210304\plaque 1/@03 EE2 50.6/B3_03.tif </t>
  </si>
  <si>
    <t xml:space="preserve"> 757.0463 </t>
  </si>
  <si>
    <t xml:space="preserve"> 63.2857 </t>
  </si>
  <si>
    <t xml:space="preserve">F:\images\20210304\plaque 1/@03 EE2 50.6/C3_01.tif </t>
  </si>
  <si>
    <t xml:space="preserve"> 4174.5697 </t>
  </si>
  <si>
    <t xml:space="preserve"> 67.4611 </t>
  </si>
  <si>
    <t xml:space="preserve">F:\images\20210304\plaque 1/@03 EE2 50.6/C3_02.tif </t>
  </si>
  <si>
    <t xml:space="preserve"> 3201.2244 </t>
  </si>
  <si>
    <t xml:space="preserve"> 65.6959 </t>
  </si>
  <si>
    <t xml:space="preserve">F:\images\20210304\plaque 1/@03 EE2 50.6/C3_03.tif </t>
  </si>
  <si>
    <t xml:space="preserve"> 62.75 </t>
  </si>
  <si>
    <t>F:\images\20210304\plaque 1/@03 EE2 50.6/D3_01- exclu.tif</t>
  </si>
  <si>
    <t xml:space="preserve">F:\images\20210304\plaque 1/@03 EE2 50.6/D3_02.tif </t>
  </si>
  <si>
    <t xml:space="preserve"> 1405.9432 </t>
  </si>
  <si>
    <t xml:space="preserve">F:\images\20210304\plaque 1/@03 EE2 50.6/D3_03.tif </t>
  </si>
  <si>
    <t xml:space="preserve"> 475.8577 </t>
  </si>
  <si>
    <t xml:space="preserve"> 64.0909 </t>
  </si>
  <si>
    <t xml:space="preserve">F:\images\20210304\plaque 1/@03 EE2 50.6/E3_01.tif </t>
  </si>
  <si>
    <t xml:space="preserve"> 2054.84 </t>
  </si>
  <si>
    <t xml:space="preserve"> 63.1579 </t>
  </si>
  <si>
    <t>F:\images\20210304\plaque 1/@03 EE2 50.6/E3_02- exclu.tif</t>
  </si>
  <si>
    <t xml:space="preserve">F:\images\20210304\plaque 1/@03 EE2 50.6/E3_03.tif </t>
  </si>
  <si>
    <t xml:space="preserve"> 930.0855 </t>
  </si>
  <si>
    <t xml:space="preserve"> 62.6047 </t>
  </si>
  <si>
    <t xml:space="preserve">F:\images\20210304\plaque 1/@03 EE2 50.6/F3_01.tif </t>
  </si>
  <si>
    <t xml:space="preserve"> 389.3381 </t>
  </si>
  <si>
    <t xml:space="preserve"> 63.0556 </t>
  </si>
  <si>
    <t xml:space="preserve">F:\images\20210304\plaque 1/@03 EE2 50.6/F3_02.tif </t>
  </si>
  <si>
    <t xml:space="preserve">F:\images\20210304\plaque 1/@03 EE2 50.6/F3_03.tif </t>
  </si>
  <si>
    <t xml:space="preserve"> 62.2857 </t>
  </si>
  <si>
    <t xml:space="preserve">F:\images\20210304\plaque 1/@03 EE2 50.6/G3_01.tif </t>
  </si>
  <si>
    <t xml:space="preserve"> 2725.3667 </t>
  </si>
  <si>
    <t xml:space="preserve"> 67.2381 </t>
  </si>
  <si>
    <t xml:space="preserve">F:\images\20210304\plaque 1/@03 EE2 50.6/G3_02.tif </t>
  </si>
  <si>
    <t xml:space="preserve"> 1384.3133 </t>
  </si>
  <si>
    <t xml:space="preserve"> 63.4531 </t>
  </si>
  <si>
    <t xml:space="preserve">F:\images\20210304\plaque 1/@03 EE2 50.6/G3_03.tif </t>
  </si>
  <si>
    <t xml:space="preserve"> 324.4484 </t>
  </si>
  <si>
    <t xml:space="preserve"> 63.4 </t>
  </si>
  <si>
    <t xml:space="preserve">F:\images\20210304\plaque 1/@03 EE2 50.6/H3_01.tif </t>
  </si>
  <si>
    <t xml:space="preserve"> 692.1566 </t>
  </si>
  <si>
    <t xml:space="preserve"> 64.5625 </t>
  </si>
  <si>
    <t xml:space="preserve">F:\images\20210304\plaque 1/@03 EE2 50.6/H3_02.tif </t>
  </si>
  <si>
    <t xml:space="preserve"> 4758.5768 </t>
  </si>
  <si>
    <t xml:space="preserve"> 71.0909 </t>
  </si>
  <si>
    <t>F:\images\20210304\plaque 1/@03 EE2 50.6/H3_03- exclu.tif</t>
  </si>
  <si>
    <t xml:space="preserve">F:\images\20210304\plaque 1/@03 EE2 50.6/ </t>
  </si>
  <si>
    <t xml:space="preserve"> 64.4427 </t>
  </si>
  <si>
    <t xml:space="preserve"> 2.2203 </t>
  </si>
  <si>
    <t xml:space="preserve"> 106657.875 </t>
  </si>
  <si>
    <t xml:space="preserve"> 102889.156 </t>
  </si>
  <si>
    <t xml:space="preserve">F:\images\20210304\plaque 1/@04 EE2 76/A4_01.tif </t>
  </si>
  <si>
    <t xml:space="preserve"> 12307.41 </t>
  </si>
  <si>
    <t xml:space="preserve"> 74.7838 </t>
  </si>
  <si>
    <t xml:space="preserve">F:\images\20210304\plaque 1/@04 EE2 76/A4_02.tif </t>
  </si>
  <si>
    <t xml:space="preserve"> 11615.2534 </t>
  </si>
  <si>
    <t xml:space="preserve"> 71.5847 </t>
  </si>
  <si>
    <t xml:space="preserve">F:\images\20210304\plaque 1/@04 EE2 76/A4_03.tif </t>
  </si>
  <si>
    <t xml:space="preserve"> 9452.264 </t>
  </si>
  <si>
    <t xml:space="preserve"> 70.1213 </t>
  </si>
  <si>
    <t xml:space="preserve">F:\images\20210304\plaque 1/@04 EE2 76/B4_01.tif </t>
  </si>
  <si>
    <t xml:space="preserve"> 3114.7048 </t>
  </si>
  <si>
    <t xml:space="preserve"> 63.0694 </t>
  </si>
  <si>
    <t xml:space="preserve">F:\images\20210304\plaque 1/@04 EE2 76/B4_02.tif </t>
  </si>
  <si>
    <t xml:space="preserve"> 2271.1389 </t>
  </si>
  <si>
    <t xml:space="preserve"> 63.8381 </t>
  </si>
  <si>
    <t xml:space="preserve">F:\images\20210304\plaque 1/@04 EE2 76/B4_03.tif </t>
  </si>
  <si>
    <t xml:space="preserve"> 5775.1819 </t>
  </si>
  <si>
    <t xml:space="preserve"> 66.0749 </t>
  </si>
  <si>
    <t xml:space="preserve">F:\images\20210304\plaque 1/@04 EE2 76/C4_01.tif </t>
  </si>
  <si>
    <t xml:space="preserve"> 8349.1393 </t>
  </si>
  <si>
    <t xml:space="preserve"> 65.6347 </t>
  </si>
  <si>
    <t xml:space="preserve">F:\images\20210304\plaque 1/@04 EE2 76/C4_02.tif </t>
  </si>
  <si>
    <t xml:space="preserve"> 4693.6871 </t>
  </si>
  <si>
    <t xml:space="preserve"> 63.53 </t>
  </si>
  <si>
    <t xml:space="preserve">F:\images\20210304\plaque 1/@04 EE2 76/C4_03.tif </t>
  </si>
  <si>
    <t xml:space="preserve"> 4628.7975 </t>
  </si>
  <si>
    <t xml:space="preserve"> 63.8364 </t>
  </si>
  <si>
    <t xml:space="preserve">F:\images\20210304\plaque 1/@04 EE2 76/D4_01.tif </t>
  </si>
  <si>
    <t xml:space="preserve"> 5212.8046 </t>
  </si>
  <si>
    <t xml:space="preserve"> 70.5477 </t>
  </si>
  <si>
    <t>F:\images\20210304\plaque 1/@04 EE2 76/D4_02- exclu.tif</t>
  </si>
  <si>
    <t xml:space="preserve">F:\images\20210304\plaque 1/@04 EE2 76/D4_03.tif </t>
  </si>
  <si>
    <t xml:space="preserve"> 1103.1246 </t>
  </si>
  <si>
    <t xml:space="preserve"> 62.8627 </t>
  </si>
  <si>
    <t xml:space="preserve">F:\images\20210304\plaque 1/@04 EE2 76/E4_01.tif </t>
  </si>
  <si>
    <t xml:space="preserve"> 50397.6545 </t>
  </si>
  <si>
    <t xml:space="preserve"> 72.6009 </t>
  </si>
  <si>
    <t xml:space="preserve">F:\images\20210304\plaque 1/@04 EE2 76/E4_02.tif </t>
  </si>
  <si>
    <t xml:space="preserve"> 42070.1451 </t>
  </si>
  <si>
    <t xml:space="preserve"> 69.9532 </t>
  </si>
  <si>
    <t xml:space="preserve">F:\images\20210304\plaque 1/@04 EE2 76/E4_03.tif </t>
  </si>
  <si>
    <t xml:space="preserve"> 36597.7817 </t>
  </si>
  <si>
    <t xml:space="preserve"> 68.7843 </t>
  </si>
  <si>
    <t xml:space="preserve">F:\images\20210304\plaque 1/@04 EE2 76/F4_01.tif </t>
  </si>
  <si>
    <t xml:space="preserve"> 4563.9078 </t>
  </si>
  <si>
    <t xml:space="preserve"> 65.7204 </t>
  </si>
  <si>
    <t xml:space="preserve">F:\images\20210304\plaque 1/@04 EE2 76/F4_02.tif </t>
  </si>
  <si>
    <t xml:space="preserve"> 65.277 </t>
  </si>
  <si>
    <t xml:space="preserve">F:\images\20210304\plaque 1/@04 EE2 76/F4_03.tif </t>
  </si>
  <si>
    <t xml:space="preserve"> 62.7812 </t>
  </si>
  <si>
    <t xml:space="preserve">F:\images\20210304\plaque 1/@04 EE2 76/G4_01.tif </t>
  </si>
  <si>
    <t xml:space="preserve"> 13259.1254 </t>
  </si>
  <si>
    <t xml:space="preserve"> 70.6411 </t>
  </si>
  <si>
    <t xml:space="preserve">F:\images\20210304\plaque 1/@04 EE2 76/G4_02.tif </t>
  </si>
  <si>
    <t xml:space="preserve"> 11550.3637 </t>
  </si>
  <si>
    <t xml:space="preserve"> 71.4139 </t>
  </si>
  <si>
    <t xml:space="preserve">F:\images\20210304\plaque 1/@04 EE2 76/G4_03.tif </t>
  </si>
  <si>
    <t xml:space="preserve"> 3222.8543 </t>
  </si>
  <si>
    <t xml:space="preserve"> 62.8389 </t>
  </si>
  <si>
    <t xml:space="preserve">F:\images\20210304\plaque 1/@04 EE2 76/H4_01.tif </t>
  </si>
  <si>
    <t xml:space="preserve"> 3417.5234 </t>
  </si>
  <si>
    <t xml:space="preserve"> 65.1582 </t>
  </si>
  <si>
    <t xml:space="preserve">F:\images\20210304\plaque 1/@04 EE2 76/H4_02.tif </t>
  </si>
  <si>
    <t xml:space="preserve"> 64.6778 </t>
  </si>
  <si>
    <t xml:space="preserve">F:\images\20210304\plaque 1/@04 EE2 76/H4_03.tif </t>
  </si>
  <si>
    <t xml:space="preserve"> 1168.0143 </t>
  </si>
  <si>
    <t xml:space="preserve"> 63.5 </t>
  </si>
  <si>
    <t xml:space="preserve">F:\images\20210304\plaque 1/@04 EE2 76/ </t>
  </si>
  <si>
    <t xml:space="preserve"> 66.7475 </t>
  </si>
  <si>
    <t xml:space="preserve"> 3.7586 </t>
  </si>
  <si>
    <t xml:space="preserve"> 705552.708 </t>
  </si>
  <si>
    <t xml:space="preserve"> 957616.231 </t>
  </si>
  <si>
    <t xml:space="preserve">F:\images\20210304\plaque 1/@05 EE2 114/A5_01.tif </t>
  </si>
  <si>
    <t xml:space="preserve"> 23922.6635 </t>
  </si>
  <si>
    <t xml:space="preserve"> 68.906 </t>
  </si>
  <si>
    <t xml:space="preserve">F:\images\20210304\plaque 1/@05 EE2 114/A5_02.tif </t>
  </si>
  <si>
    <t xml:space="preserve"> 18861.2681 </t>
  </si>
  <si>
    <t xml:space="preserve"> 66.2511 </t>
  </si>
  <si>
    <t xml:space="preserve">F:\images\20210304\plaque 1/@05 EE2 114/A5_03.tif </t>
  </si>
  <si>
    <t xml:space="preserve"> 14924.6273 </t>
  </si>
  <si>
    <t xml:space="preserve"> 65.5261 </t>
  </si>
  <si>
    <t xml:space="preserve">F:\images\20210304\plaque 1/@05 EE2 114/B5_01.tif </t>
  </si>
  <si>
    <t xml:space="preserve"> 32920.6996 </t>
  </si>
  <si>
    <t xml:space="preserve"> 67.4921 </t>
  </si>
  <si>
    <t xml:space="preserve">F:\images\20210304\plaque 1/@05 EE2 114/B5_02.tif </t>
  </si>
  <si>
    <t xml:space="preserve"> 31579.6462 </t>
  </si>
  <si>
    <t xml:space="preserve"> 66.7432 </t>
  </si>
  <si>
    <t xml:space="preserve">F:\images\20210304\plaque 1/@05 EE2 114/B5_03.tif </t>
  </si>
  <si>
    <t xml:space="preserve"> 28637.9805 </t>
  </si>
  <si>
    <t xml:space="preserve"> 66.4879 </t>
  </si>
  <si>
    <t xml:space="preserve">F:\images\20210304\plaque 1/@05 EE2 114/C5_01.tif </t>
  </si>
  <si>
    <t xml:space="preserve"> 22603.2399 </t>
  </si>
  <si>
    <t xml:space="preserve"> 67.3943 </t>
  </si>
  <si>
    <t xml:space="preserve">F:\images\20210304\plaque 1/@05 EE2 114/C5_02.tif </t>
  </si>
  <si>
    <t xml:space="preserve"> 16892.9477 </t>
  </si>
  <si>
    <t xml:space="preserve"> 66.6325 </t>
  </si>
  <si>
    <t xml:space="preserve">F:\images\20210304\plaque 1/@05 EE2 114/C5_03.tif </t>
  </si>
  <si>
    <t xml:space="preserve"> 6705.2673 </t>
  </si>
  <si>
    <t xml:space="preserve"> 63.7613 </t>
  </si>
  <si>
    <t xml:space="preserve">F:\images\20210304\plaque 1/@05 EE2 114/D5_01.tif </t>
  </si>
  <si>
    <t xml:space="preserve"> 31925.7245 </t>
  </si>
  <si>
    <t xml:space="preserve"> 71.5285 </t>
  </si>
  <si>
    <t xml:space="preserve">F:\images\20210304\plaque 1/@05 EE2 114/D5_02.tif </t>
  </si>
  <si>
    <t xml:space="preserve"> 29957.4041 </t>
  </si>
  <si>
    <t xml:space="preserve"> 73.244 </t>
  </si>
  <si>
    <t xml:space="preserve">F:\images\20210304\plaque 1/@05 EE2 114/D5_03.tif </t>
  </si>
  <si>
    <t xml:space="preserve"> 71.761 </t>
  </si>
  <si>
    <t xml:space="preserve">F:\images\20210304\plaque 1/@05 EE2 114/E5_01.tif </t>
  </si>
  <si>
    <t xml:space="preserve"> 17996.0723 </t>
  </si>
  <si>
    <t xml:space="preserve"> 65.8846 </t>
  </si>
  <si>
    <t xml:space="preserve">F:\images\20210304\plaque 1/@05 EE2 114/E5_02.tif </t>
  </si>
  <si>
    <t xml:space="preserve"> 16049.3818 </t>
  </si>
  <si>
    <t xml:space="preserve"> 65.8383 </t>
  </si>
  <si>
    <t xml:space="preserve">F:\images\20210304\plaque 1/@05 EE2 114/E5_03.tif </t>
  </si>
  <si>
    <t xml:space="preserve"> 63.9133 </t>
  </si>
  <si>
    <t xml:space="preserve">F:\images\20210304\plaque 1/@05 EE2 114/F5_01.tif </t>
  </si>
  <si>
    <t xml:space="preserve"> 5840.0715 </t>
  </si>
  <si>
    <t xml:space="preserve"> 64.0852 </t>
  </si>
  <si>
    <t xml:space="preserve">F:\images\20210304\plaque 1/@05 EE2 114/F5_02.tif </t>
  </si>
  <si>
    <t xml:space="preserve"> 13670.0934 </t>
  </si>
  <si>
    <t xml:space="preserve"> 69.356 </t>
  </si>
  <si>
    <t xml:space="preserve">F:\images\20210304\plaque 1/@05 EE2 114/F5_03.tif </t>
  </si>
  <si>
    <t xml:space="preserve"> 63.5032 </t>
  </si>
  <si>
    <t xml:space="preserve">F:\images\20210304\plaque 1/@05 EE2 114/G5_01.tif </t>
  </si>
  <si>
    <t xml:space="preserve"> 36338.223 </t>
  </si>
  <si>
    <t xml:space="preserve"> 73.597 </t>
  </si>
  <si>
    <t xml:space="preserve">F:\images\20210304\plaque 1/@05 EE2 114/G5_02.tif </t>
  </si>
  <si>
    <t xml:space="preserve"> 33439.8171 </t>
  </si>
  <si>
    <t xml:space="preserve"> 72.0517 </t>
  </si>
  <si>
    <t xml:space="preserve">F:\images\20210304\plaque 1/@05 EE2 114/G5_03.tif </t>
  </si>
  <si>
    <t xml:space="preserve"> 27015.7384 </t>
  </si>
  <si>
    <t xml:space="preserve"> 68.4251 </t>
  </si>
  <si>
    <t xml:space="preserve">F:\images\20210304\plaque 1/@05 EE2 114/H5_01.tif </t>
  </si>
  <si>
    <t xml:space="preserve"> 41702.4368 </t>
  </si>
  <si>
    <t xml:space="preserve"> 69.3558 </t>
  </si>
  <si>
    <t xml:space="preserve">F:\images\20210304\plaque 1/@05 EE2 114/H5_02.tif </t>
  </si>
  <si>
    <t xml:space="preserve"> 34110.3438 </t>
  </si>
  <si>
    <t xml:space="preserve"> 68.0533 </t>
  </si>
  <si>
    <t xml:space="preserve">F:\images\20210304\plaque 1/@05 EE2 114/H5_03.tif </t>
  </si>
  <si>
    <t xml:space="preserve"> 27599.7455 </t>
  </si>
  <si>
    <t xml:space="preserve"> 67.2563 </t>
  </si>
  <si>
    <t xml:space="preserve">F:\images\20210304\plaque 1/@05 EE2 114/ </t>
  </si>
  <si>
    <t xml:space="preserve"> 67.7937 </t>
  </si>
  <si>
    <t xml:space="preserve"> 2.9559 </t>
  </si>
  <si>
    <t xml:space="preserve"> 1585232.46 </t>
  </si>
  <si>
    <t xml:space="preserve"> 772466.26 </t>
  </si>
  <si>
    <t xml:space="preserve">F:\images\20210304\plaque 1/@06 EE2 170.9/A6_01.tif </t>
  </si>
  <si>
    <t xml:space="preserve"> 47261.3198 </t>
  </si>
  <si>
    <t xml:space="preserve"> 74.0792 </t>
  </si>
  <si>
    <t xml:space="preserve">F:\images\20210304\plaque 1/@06 EE2 170.9/A6_02.tif </t>
  </si>
  <si>
    <t xml:space="preserve"> 43865.4263 </t>
  </si>
  <si>
    <t xml:space="preserve"> 73.7387 </t>
  </si>
  <si>
    <t xml:space="preserve">F:\images\20210304\plaque 1/@06 EE2 170.9/A6_03.tif </t>
  </si>
  <si>
    <t xml:space="preserve"> 37160.159 </t>
  </si>
  <si>
    <t xml:space="preserve"> 75.7142 </t>
  </si>
  <si>
    <t xml:space="preserve">F:\images\20210304\plaque 1/@06 EE2 170.9/B6_01.tif </t>
  </si>
  <si>
    <t xml:space="preserve"> 49554.0886 </t>
  </si>
  <si>
    <t xml:space="preserve"> 77.4876 </t>
  </si>
  <si>
    <t xml:space="preserve">F:\images\20210304\plaque 1/@06 EE2 170.9/B6_02.tif </t>
  </si>
  <si>
    <t xml:space="preserve"> 51760.3378 </t>
  </si>
  <si>
    <t xml:space="preserve"> 77.6306 </t>
  </si>
  <si>
    <t xml:space="preserve">F:\images\20210304\plaque 1/@06 EE2 170.9/B6_03.tif </t>
  </si>
  <si>
    <t xml:space="preserve"> 45487.6684 </t>
  </si>
  <si>
    <t xml:space="preserve"> 75.0918 </t>
  </si>
  <si>
    <t xml:space="preserve">F:\images\20210304\plaque 1/@06 EE2 170.9/C6_01.tif </t>
  </si>
  <si>
    <t xml:space="preserve"> 48083.2558 </t>
  </si>
  <si>
    <t xml:space="preserve"> 80.1579 </t>
  </si>
  <si>
    <t xml:space="preserve">F:\images\20210304\plaque 1/@06 EE2 170.9/C6_02.tif </t>
  </si>
  <si>
    <t xml:space="preserve"> 40556.0524 </t>
  </si>
  <si>
    <t xml:space="preserve"> 79.9451 </t>
  </si>
  <si>
    <t xml:space="preserve">F:\images\20210304\plaque 1/@06 EE2 170.9/C6_03.tif </t>
  </si>
  <si>
    <t xml:space="preserve"> 41075.1699 </t>
  </si>
  <si>
    <t xml:space="preserve"> 79.0869 </t>
  </si>
  <si>
    <t xml:space="preserve">F:\images\20210304\plaque 1/@06 EE2 170.9/D6_01.tif </t>
  </si>
  <si>
    <t xml:space="preserve"> 12242.5204 </t>
  </si>
  <si>
    <t xml:space="preserve"> 65.7951 </t>
  </si>
  <si>
    <t xml:space="preserve">F:\images\20210304\plaque 1/@06 EE2 170.9/D6_02.tif </t>
  </si>
  <si>
    <t xml:space="preserve"> 8500.5486 </t>
  </si>
  <si>
    <t xml:space="preserve"> 64.7939 </t>
  </si>
  <si>
    <t xml:space="preserve">F:\images\20210304\plaque 1/@06 EE2 170.9/D6_03.tif </t>
  </si>
  <si>
    <t xml:space="preserve"> 7397.424 </t>
  </si>
  <si>
    <t xml:space="preserve"> 65.0468 </t>
  </si>
  <si>
    <t xml:space="preserve">F:\images\20210304\plaque 1/@06 EE2 170.9/E6_01.tif </t>
  </si>
  <si>
    <t xml:space="preserve"> 50181.3555 </t>
  </si>
  <si>
    <t xml:space="preserve"> 75.8078 </t>
  </si>
  <si>
    <t>F:\images\20210304\plaque 1/@06 EE2 170.9/E6_02- exclu.tif</t>
  </si>
  <si>
    <t xml:space="preserve">F:\images\20210304\plaque 1/@06 EE2 170.9/E6_03.tif </t>
  </si>
  <si>
    <t xml:space="preserve"> 43735.6469 </t>
  </si>
  <si>
    <t xml:space="preserve"> 74.2394 </t>
  </si>
  <si>
    <t xml:space="preserve">F:\images\20210304\plaque 1/@06 EE2 170.9/F6_01.tif </t>
  </si>
  <si>
    <t xml:space="preserve"> 44946.921 </t>
  </si>
  <si>
    <t xml:space="preserve"> 70.9962 </t>
  </si>
  <si>
    <t xml:space="preserve">F:\images\20210304\plaque 1/@06 EE2 170.9/F6_02.tif </t>
  </si>
  <si>
    <t xml:space="preserve"> 45768.857 </t>
  </si>
  <si>
    <t xml:space="preserve"> 71.3133 </t>
  </si>
  <si>
    <t xml:space="preserve">F:\images\20210304\plaque 1/@06 EE2 170.9/F6_03.tif </t>
  </si>
  <si>
    <t xml:space="preserve"> 34175.2335 </t>
  </si>
  <si>
    <t xml:space="preserve"> 68.4165 </t>
  </si>
  <si>
    <t xml:space="preserve">F:\images\20210304\plaque 1/@06 EE2 170.9/G6_01.tif </t>
  </si>
  <si>
    <t xml:space="preserve"> 45336.2591 </t>
  </si>
  <si>
    <t xml:space="preserve"> 69.6741 </t>
  </si>
  <si>
    <t xml:space="preserve">F:\images\20210304\plaque 1/@06 EE2 170.9/G6_02.tif </t>
  </si>
  <si>
    <t xml:space="preserve"> 48148.1454 </t>
  </si>
  <si>
    <t xml:space="preserve"> 69.7008 </t>
  </si>
  <si>
    <t>F:\images\20210304\plaque 1/@06 EE2 170.9/G6_03- exclu.tif</t>
  </si>
  <si>
    <t>F:\images\20210304\plaque 1/@06 EE2 170.9/H6_01- exclu.tif</t>
  </si>
  <si>
    <t>F:\images\20210304\plaque 1/@06 EE2 170.9/H6_02- exclu.tif</t>
  </si>
  <si>
    <t>F:\images\20210304\plaque 1/@06 EE2 170.9/H6_03- exclu.tif</t>
  </si>
  <si>
    <t xml:space="preserve">F:\images\20210304\plaque 1/@06 EE2 170.9/ </t>
  </si>
  <si>
    <t xml:space="preserve"> 72.4076 </t>
  </si>
  <si>
    <t xml:space="preserve"> 5.0323 </t>
  </si>
  <si>
    <t xml:space="preserve"> 2629390.42 </t>
  </si>
  <si>
    <t xml:space="preserve"> 1181496.56 </t>
  </si>
  <si>
    <t xml:space="preserve">F:\images\20210304\plaque 1/@07 EE2 488/A7_01.tif </t>
  </si>
  <si>
    <t xml:space="preserve"> 82366.6387 </t>
  </si>
  <si>
    <t xml:space="preserve"> 94.0953 </t>
  </si>
  <si>
    <t xml:space="preserve">F:\images\20210304\plaque 1/@07 EE2 488/A7_02.tif </t>
  </si>
  <si>
    <t xml:space="preserve"> 82561.3078 </t>
  </si>
  <si>
    <t xml:space="preserve"> 90.7949 </t>
  </si>
  <si>
    <t xml:space="preserve">F:\images\20210304\plaque 1/@07 EE2 488/A7_03.tif </t>
  </si>
  <si>
    <t xml:space="preserve"> 81912.411 </t>
  </si>
  <si>
    <t xml:space="preserve"> 91.8902 </t>
  </si>
  <si>
    <t xml:space="preserve">F:\images\20210304\plaque 1/@07 EE2 488/B7_01.tif </t>
  </si>
  <si>
    <t xml:space="preserve"> 63289.0717 </t>
  </si>
  <si>
    <t xml:space="preserve"> 91.8893 </t>
  </si>
  <si>
    <t xml:space="preserve">F:\images\20210304\plaque 1/@07 EE2 488/B7_02.tif </t>
  </si>
  <si>
    <t xml:space="preserve"> 60455.5555 </t>
  </si>
  <si>
    <t xml:space="preserve"> 91.1524 </t>
  </si>
  <si>
    <t xml:space="preserve">F:\images\20210304\plaque 1/@07 EE2 488/B7_03.tif </t>
  </si>
  <si>
    <t xml:space="preserve"> 60369.0359 </t>
  </si>
  <si>
    <t xml:space="preserve"> 93.7087 </t>
  </si>
  <si>
    <t xml:space="preserve">F:\images\20210304\plaque 1/@07 EE2 488/C7_01.tif </t>
  </si>
  <si>
    <t xml:space="preserve"> 80117.1297 </t>
  </si>
  <si>
    <t xml:space="preserve"> 92.1971 </t>
  </si>
  <si>
    <t xml:space="preserve">F:\images\20210304\plaque 1/@07 EE2 488/C7_02.tif </t>
  </si>
  <si>
    <t xml:space="preserve"> 76959.1651 </t>
  </si>
  <si>
    <t xml:space="preserve"> 91.4236 </t>
  </si>
  <si>
    <t xml:space="preserve">F:\images\20210304\plaque 1/@07 EE2 488/C7_03.tif </t>
  </si>
  <si>
    <t xml:space="preserve"> 78192.0691 </t>
  </si>
  <si>
    <t xml:space="preserve"> 87.2941 </t>
  </si>
  <si>
    <t xml:space="preserve">F:\images\20210304\plaque 1/@07 EE2 488/D7_01.tif </t>
  </si>
  <si>
    <t xml:space="preserve"> 53728.6583 </t>
  </si>
  <si>
    <t xml:space="preserve"> 103.7041 </t>
  </si>
  <si>
    <t xml:space="preserve">F:\images\20210304\plaque 1/@07 EE2 488/D7_02.tif </t>
  </si>
  <si>
    <t xml:space="preserve"> 69194.0329 </t>
  </si>
  <si>
    <t xml:space="preserve"> 98.1235 </t>
  </si>
  <si>
    <t xml:space="preserve">F:\images\20210304\plaque 1/@07 EE2 488/D7_03.tif </t>
  </si>
  <si>
    <t xml:space="preserve"> 67355.4919 </t>
  </si>
  <si>
    <t xml:space="preserve"> 92.8112 </t>
  </si>
  <si>
    <t xml:space="preserve">F:\images\20210304\plaque 1/@07 EE2 488/E7_01.tif </t>
  </si>
  <si>
    <t xml:space="preserve"> 40404.6432 </t>
  </si>
  <si>
    <t xml:space="preserve"> 89.637 </t>
  </si>
  <si>
    <t xml:space="preserve">F:\images\20210304\plaque 1/@07 EE2 488/E7_02.tif </t>
  </si>
  <si>
    <t xml:space="preserve"> 39907.1556 </t>
  </si>
  <si>
    <t xml:space="preserve"> 90.2949 </t>
  </si>
  <si>
    <t xml:space="preserve">F:\images\20210304\plaque 1/@07 EE2 488/E7_03.tif </t>
  </si>
  <si>
    <t xml:space="preserve"> 42372.9636 </t>
  </si>
  <si>
    <t xml:space="preserve"> 88.9112 </t>
  </si>
  <si>
    <t xml:space="preserve">F:\images\20210304\plaque 1/@07 EE2 488/F7_01.tif </t>
  </si>
  <si>
    <t xml:space="preserve"> 65646.7302 </t>
  </si>
  <si>
    <t xml:space="preserve"> 89.8511 </t>
  </si>
  <si>
    <t xml:space="preserve">F:\images\20210304\plaque 1/@07 EE2 488/F7_02.tif </t>
  </si>
  <si>
    <t xml:space="preserve"> 66425.4064 </t>
  </si>
  <si>
    <t xml:space="preserve"> 92.2761 </t>
  </si>
  <si>
    <t xml:space="preserve">F:\images\20210304\plaque 1/@07 EE2 488/F7_03.tif </t>
  </si>
  <si>
    <t xml:space="preserve"> 62402.246 </t>
  </si>
  <si>
    <t xml:space="preserve"> 85.452 </t>
  </si>
  <si>
    <t xml:space="preserve">F:\images\20210304\plaque 1/@07 EE2 488/G7_01.tif </t>
  </si>
  <si>
    <t xml:space="preserve"> 59417.3205 </t>
  </si>
  <si>
    <t xml:space="preserve"> 80.1889 </t>
  </si>
  <si>
    <t xml:space="preserve">F:\images\20210304\plaque 1/@07 EE2 488/G7_02.tif </t>
  </si>
  <si>
    <t xml:space="preserve"> 62056.1677 </t>
  </si>
  <si>
    <t xml:space="preserve"> 90.2921 </t>
  </si>
  <si>
    <t xml:space="preserve">F:\images\20210304\plaque 1/@07 EE2 488/G7_03.tif </t>
  </si>
  <si>
    <t xml:space="preserve"> 59460.5803 </t>
  </si>
  <si>
    <t xml:space="preserve"> 85.4369 </t>
  </si>
  <si>
    <t xml:space="preserve">F:\images\20210304\plaque 1/@07 EE2 488/H7_01.tif </t>
  </si>
  <si>
    <t xml:space="preserve"> 85935.5714 </t>
  </si>
  <si>
    <t xml:space="preserve"> 92.2059 </t>
  </si>
  <si>
    <t xml:space="preserve">F:\images\20210304\plaque 1/@07 EE2 488/H7_02.tif </t>
  </si>
  <si>
    <t xml:space="preserve"> 74536.6169 </t>
  </si>
  <si>
    <t xml:space="preserve"> 92.4919 </t>
  </si>
  <si>
    <t xml:space="preserve">F:\images\20210304\plaque 1/@07 EE2 488/H7_03.tif </t>
  </si>
  <si>
    <t xml:space="preserve"> 78278.5887 </t>
  </si>
  <si>
    <t xml:space="preserve"> 84.9353 </t>
  </si>
  <si>
    <t xml:space="preserve">F:\images\20210304\plaque 1/@07 EE2 488/ </t>
  </si>
  <si>
    <t xml:space="preserve"> 90.8774 </t>
  </si>
  <si>
    <t xml:space="preserve"> 4.5598 </t>
  </si>
  <si>
    <t xml:space="preserve"> 6036872.12 </t>
  </si>
  <si>
    <t xml:space="preserve"> 1265715.12 </t>
  </si>
  <si>
    <t>F:\images\20210304\plaque 1/@08 Testosterone 3.7 µg_L/A8_01- exclu.tif</t>
  </si>
  <si>
    <t xml:space="preserve">F:\images\20210304\plaque 1/@08 Testosterone 3.7 µg_L/A8_02.tif </t>
  </si>
  <si>
    <t xml:space="preserve"> 67.2228 </t>
  </si>
  <si>
    <t xml:space="preserve">F:\images\20210304\plaque 1/@08 Testosterone 3.7 µg_L/A8_03.tif </t>
  </si>
  <si>
    <t xml:space="preserve"> 5147.9149 </t>
  </si>
  <si>
    <t xml:space="preserve"> 68.3361 </t>
  </si>
  <si>
    <t xml:space="preserve">F:\images\20210304\plaque 1/@08 Testosterone 3.7 µg_L/B8_01.tif </t>
  </si>
  <si>
    <t xml:space="preserve"> 3677.0821 </t>
  </si>
  <si>
    <t xml:space="preserve"> 64.7647 </t>
  </si>
  <si>
    <t xml:space="preserve">F:\images\20210304\plaque 1/@08 Testosterone 3.7 µg_L/B8_02.tif </t>
  </si>
  <si>
    <t xml:space="preserve"> 4845.0964 </t>
  </si>
  <si>
    <t xml:space="preserve"> 66.2277 </t>
  </si>
  <si>
    <t>F:\images\20210304\plaque 1/@08 Testosterone 3.7 µg_L/B8_03- exclu.tif</t>
  </si>
  <si>
    <t xml:space="preserve">F:\images\20210304\plaque 1/@08 Testosterone 3.7 µg_L/C8_01.tif </t>
  </si>
  <si>
    <t xml:space="preserve"> 2119.7297 </t>
  </si>
  <si>
    <t xml:space="preserve"> 67.3673 </t>
  </si>
  <si>
    <t xml:space="preserve">F:\images\20210304\plaque 1/@08 Testosterone 3.7 µg_L/C8_02.tif </t>
  </si>
  <si>
    <t xml:space="preserve"> 584.0072 </t>
  </si>
  <si>
    <t xml:space="preserve"> 63.3704 </t>
  </si>
  <si>
    <t xml:space="preserve">F:\images\20210304\plaque 1/@08 Testosterone 3.7 µg_L/C8_03.tif </t>
  </si>
  <si>
    <t xml:space="preserve"> 735.4164 </t>
  </si>
  <si>
    <t xml:space="preserve"> 63.8529 </t>
  </si>
  <si>
    <t xml:space="preserve">F:\images\20210304\plaque 1/@08 Testosterone 3.7 µg_L/D8_01.tif </t>
  </si>
  <si>
    <t xml:space="preserve"> 5580.5128 </t>
  </si>
  <si>
    <t xml:space="preserve"> 76.0504 </t>
  </si>
  <si>
    <t xml:space="preserve">F:\images\20210304\plaque 1/@08 Testosterone 3.7 µg_L/D8_02.tif </t>
  </si>
  <si>
    <t xml:space="preserve"> 2768.6265 </t>
  </si>
  <si>
    <t xml:space="preserve"> 66.7812 </t>
  </si>
  <si>
    <t xml:space="preserve">F:\images\20210304\plaque 1/@08 Testosterone 3.7 µg_L/D8_03.tif </t>
  </si>
  <si>
    <t xml:space="preserve"> 648.8968 </t>
  </si>
  <si>
    <t xml:space="preserve"> 63.1333 </t>
  </si>
  <si>
    <t xml:space="preserve">F:\images\20210304\plaque 1/@08 Testosterone 3.7 µg_L/E8_01.tif </t>
  </si>
  <si>
    <t xml:space="preserve"> 410.968 </t>
  </si>
  <si>
    <t xml:space="preserve"> 64.3158 </t>
  </si>
  <si>
    <t xml:space="preserve">F:\images\20210304\plaque 1/@08 Testosterone 3.7 µg_L/E8_02.tif </t>
  </si>
  <si>
    <t xml:space="preserve"> 63.6 </t>
  </si>
  <si>
    <t xml:space="preserve">F:\images\20210304\plaque 1/@08 Testosterone 3.7 µg_L/E8_03.tif </t>
  </si>
  <si>
    <t xml:space="preserve"> 129.7794 </t>
  </si>
  <si>
    <t xml:space="preserve">F:\images\20210304\plaque 1/@08 Testosterone 3.7 µg_L/F8_01.tif </t>
  </si>
  <si>
    <t xml:space="preserve"> 2682.1069 </t>
  </si>
  <si>
    <t xml:space="preserve"> 65.2177 </t>
  </si>
  <si>
    <t xml:space="preserve">F:\images\20210304\plaque 1/@08 Testosterone 3.7 µg_L/F8_02.tif </t>
  </si>
  <si>
    <t xml:space="preserve"> 1449.2029 </t>
  </si>
  <si>
    <t xml:space="preserve"> 63.9254 </t>
  </si>
  <si>
    <t xml:space="preserve">F:\images\20210304\plaque 1/@08 Testosterone 3.7 µg_L/F8_03.tif </t>
  </si>
  <si>
    <t xml:space="preserve"> 62.9677 </t>
  </si>
  <si>
    <t xml:space="preserve">F:\images\20210304\plaque 1/@08 Testosterone 3.7 µg_L/G8_01.tif </t>
  </si>
  <si>
    <t xml:space="preserve"> 62.2667 </t>
  </si>
  <si>
    <t xml:space="preserve">F:\images\20210304\plaque 1/@08 Testosterone 3.7 µg_L/G8_02.tif </t>
  </si>
  <si>
    <t xml:space="preserve"> 62.4074 </t>
  </si>
  <si>
    <t xml:space="preserve">F:\images\20210304\plaque 1/@08 Testosterone 3.7 µg_L/G8_03.tif </t>
  </si>
  <si>
    <t xml:space="preserve"> 62.5556 </t>
  </si>
  <si>
    <t xml:space="preserve">F:\images\20210304\plaque 1/@08 Testosterone 3.7 µg_L/H8_01.tif </t>
  </si>
  <si>
    <t xml:space="preserve"> 63.6176 </t>
  </si>
  <si>
    <t xml:space="preserve">F:\images\20210304\plaque 1/@08 Testosterone 3.7 µg_L/H8_02.tif </t>
  </si>
  <si>
    <t xml:space="preserve"> 540.7474 </t>
  </si>
  <si>
    <t xml:space="preserve"> 62.88 </t>
  </si>
  <si>
    <t xml:space="preserve">F:\images\20210304\plaque 1/@08 Testosterone 3.7 µg_L/H8_03.tif </t>
  </si>
  <si>
    <t xml:space="preserve"> 62.4444 </t>
  </si>
  <si>
    <t xml:space="preserve">F:\images\20210304\plaque 1/@08 Testosterone 3.7 µg_L/ </t>
  </si>
  <si>
    <t xml:space="preserve"> 64.9113 </t>
  </si>
  <si>
    <t xml:space="preserve"> 3.033 </t>
  </si>
  <si>
    <t xml:space="preserve"> 109687.042 </t>
  </si>
  <si>
    <t xml:space="preserve"> 125494.582 </t>
  </si>
  <si>
    <t xml:space="preserve">F:\images\20210304\plaque 1/@09  Testosterone 11 µg_L/A9_01.tif </t>
  </si>
  <si>
    <t xml:space="preserve"> 64.5694 </t>
  </si>
  <si>
    <t xml:space="preserve">F:\images\20210304\plaque 1/@09  Testosterone 11 µg_L/A9_02.tif </t>
  </si>
  <si>
    <t xml:space="preserve"> 7635.3528 </t>
  </si>
  <si>
    <t xml:space="preserve"> 65.949 </t>
  </si>
  <si>
    <t xml:space="preserve">F:\images\20210304\plaque 1/@09  Testosterone 11 µg_L/A9_03.tif </t>
  </si>
  <si>
    <t xml:space="preserve"> 6813.4168 </t>
  </si>
  <si>
    <t xml:space="preserve"> 66.2508 </t>
  </si>
  <si>
    <t xml:space="preserve">F:\images\20210304\plaque 1/@09  Testosterone 11 µg_L/B9_01.tif </t>
  </si>
  <si>
    <t xml:space="preserve"> 63.6111 </t>
  </si>
  <si>
    <t xml:space="preserve">F:\images\20210304\plaque 1/@09  Testosterone 11 µg_L/B9_02.tif </t>
  </si>
  <si>
    <t xml:space="preserve"> 63.625 </t>
  </si>
  <si>
    <t xml:space="preserve">F:\images\20210304\plaque 1/@09  Testosterone 11 µg_L/B9_03.tif </t>
  </si>
  <si>
    <t xml:space="preserve">F:\images\20210304\plaque 1/@09  Testosterone 11 µg_L/C9_01.tif </t>
  </si>
  <si>
    <t xml:space="preserve"> 3157.9646 </t>
  </si>
  <si>
    <t xml:space="preserve"> 63.5479 </t>
  </si>
  <si>
    <t xml:space="preserve">F:\images\20210304\plaque 1/@09  Testosterone 11 µg_L/C9_02.tif </t>
  </si>
  <si>
    <t xml:space="preserve"> 2444.1781 </t>
  </si>
  <si>
    <t xml:space="preserve"> 63.7168 </t>
  </si>
  <si>
    <t xml:space="preserve">F:\images\20210304\plaque 1/@09  Testosterone 11 µg_L/C9_03.tif </t>
  </si>
  <si>
    <t xml:space="preserve"> 2336.0286 </t>
  </si>
  <si>
    <t xml:space="preserve"> 63.4722 </t>
  </si>
  <si>
    <t xml:space="preserve">F:\images\20210304\plaque 1/@09  Testosterone 11 µg_L/D9_01.tif </t>
  </si>
  <si>
    <t xml:space="preserve"> 2314.3987 </t>
  </si>
  <si>
    <t xml:space="preserve"> 67.6729 </t>
  </si>
  <si>
    <t>F:\images\20210304\plaque 1/@09  Testosterone 11 µg_L/D9_02- exclu.tif</t>
  </si>
  <si>
    <t xml:space="preserve">F:\images\20210304\plaque 1/@09  Testosterone 11 µg_L/D9_03.tif </t>
  </si>
  <si>
    <t xml:space="preserve">F:\images\20210304\plaque 1/@09  Testosterone 11 µg_L/E9_01.tif </t>
  </si>
  <si>
    <t xml:space="preserve"> 2033.2101 </t>
  </si>
  <si>
    <t xml:space="preserve"> 66.1915 </t>
  </si>
  <si>
    <t xml:space="preserve">F:\images\20210304\plaque 1/@09  Testosterone 11 µg_L/E9_02.tif </t>
  </si>
  <si>
    <t xml:space="preserve"> 2552.3276 </t>
  </si>
  <si>
    <t xml:space="preserve"> 64.9492 </t>
  </si>
  <si>
    <t xml:space="preserve">F:\images\20210304\plaque 1/@09  Testosterone 11 µg_L/E9_03.tif </t>
  </si>
  <si>
    <t xml:space="preserve"> 562.3773 </t>
  </si>
  <si>
    <t xml:space="preserve"> 63.3462 </t>
  </si>
  <si>
    <t xml:space="preserve">F:\images\20210304\plaque 1/@09  Testosterone 11 µg_L/F9_01.tif </t>
  </si>
  <si>
    <t xml:space="preserve"> 62.4706 </t>
  </si>
  <si>
    <t>F:\images\20210304\plaque 1/@09  Testosterone 11 µg_L/F9_02- exclu.tif</t>
  </si>
  <si>
    <t xml:space="preserve">F:\images\20210304\plaque 1/@09  Testosterone 11 µg_L/F9_03.tif </t>
  </si>
  <si>
    <t xml:space="preserve"> 454.2278 </t>
  </si>
  <si>
    <t xml:space="preserve"> 62.7143 </t>
  </si>
  <si>
    <t xml:space="preserve">F:\images\20210304\plaque 1/@09  Testosterone 11 µg_L/G9_01.tif </t>
  </si>
  <si>
    <t xml:space="preserve"> 2400.9183 </t>
  </si>
  <si>
    <t xml:space="preserve"> 64.4775 </t>
  </si>
  <si>
    <t>F:\images\20210304\plaque 1/@09  Testosterone 11 µg_L/G9_02- exclu.tif</t>
  </si>
  <si>
    <t xml:space="preserve">F:\images\20210304\plaque 1/@09  Testosterone 11 µg_L/G9_03.tif </t>
  </si>
  <si>
    <t xml:space="preserve"> 62.0952 </t>
  </si>
  <si>
    <t>F:\images\20210304\plaque 1/@09  Testosterone 11 µg_L/H9_01- exclu.tif</t>
  </si>
  <si>
    <t>F:\images\20210304\plaque 1/@09  Testosterone 11 µg_L/H9_02- exclu.tif</t>
  </si>
  <si>
    <t xml:space="preserve">F:\images\20210304\plaque 1/@09  Testosterone 11 µg_L/H9_03.tif </t>
  </si>
  <si>
    <t xml:space="preserve"> 63.6842 </t>
  </si>
  <si>
    <t xml:space="preserve">F:\images\20210304\plaque 1/@09  Testosterone 11 µg_L/ </t>
  </si>
  <si>
    <t xml:space="preserve"> 64.2621 </t>
  </si>
  <si>
    <t xml:space="preserve"> 1.3719 </t>
  </si>
  <si>
    <t xml:space="preserve"> 139684.917 </t>
  </si>
  <si>
    <t xml:space="preserve"> 137729.221 </t>
  </si>
  <si>
    <t xml:space="preserve">F:\images\20210304\plaque 1/@10  Testosterone 33 µg_L/A10_01.tif </t>
  </si>
  <si>
    <t xml:space="preserve"> 5991.4808 </t>
  </si>
  <si>
    <t xml:space="preserve"> 70.3682 </t>
  </si>
  <si>
    <t xml:space="preserve">F:\images\20210304\plaque 1/@10  Testosterone 33 µg_L/A10_02.tif </t>
  </si>
  <si>
    <t xml:space="preserve"> 4974.8758 </t>
  </si>
  <si>
    <t xml:space="preserve"> 66.6957 </t>
  </si>
  <si>
    <t xml:space="preserve">F:\images\20210304\plaque 1/@10  Testosterone 33 µg_L/A10_03.tif </t>
  </si>
  <si>
    <t xml:space="preserve"> 4996.5057 </t>
  </si>
  <si>
    <t xml:space="preserve"> 68.3117 </t>
  </si>
  <si>
    <t xml:space="preserve">F:\images\20210304\plaque 1/@10  Testosterone 33 µg_L/B10_01.tif </t>
  </si>
  <si>
    <t xml:space="preserve"> 46785.4621 </t>
  </si>
  <si>
    <t xml:space="preserve"> 75.7513 </t>
  </si>
  <si>
    <t xml:space="preserve">F:\images\20210304\plaque 1/@10  Testosterone 33 µg_L/B10_02.tif </t>
  </si>
  <si>
    <t xml:space="preserve"> 50786.9926 </t>
  </si>
  <si>
    <t xml:space="preserve"> 77.4536 </t>
  </si>
  <si>
    <t xml:space="preserve">F:\images\20210304\plaque 1/@10  Testosterone 33 µg_L/B10_03.tif </t>
  </si>
  <si>
    <t xml:space="preserve"> 47369.4692 </t>
  </si>
  <si>
    <t xml:space="preserve"> 75.9543 </t>
  </si>
  <si>
    <t xml:space="preserve">F:\images\20210304\plaque 1/@10  Testosterone 33 µg_L/C10_01.tif </t>
  </si>
  <si>
    <t xml:space="preserve"> 51457.5193 </t>
  </si>
  <si>
    <t xml:space="preserve"> 76.7327 </t>
  </si>
  <si>
    <t xml:space="preserve">F:\images\20210304\plaque 1/@10  Testosterone 33 µg_L/C10_02.tif </t>
  </si>
  <si>
    <t xml:space="preserve"> 43065.1202 </t>
  </si>
  <si>
    <t xml:space="preserve"> 76.1748 </t>
  </si>
  <si>
    <t xml:space="preserve">F:\images\20210304\plaque 1/@10  Testosterone 33 µg_L/C10_03.tif </t>
  </si>
  <si>
    <t xml:space="preserve"> 49316.1598 </t>
  </si>
  <si>
    <t xml:space="preserve"> 75.111 </t>
  </si>
  <si>
    <t xml:space="preserve">F:\images\20210304\plaque 1/@10  Testosterone 33 µg_L/D10_01.tif </t>
  </si>
  <si>
    <t xml:space="preserve"> 42048.5152 </t>
  </si>
  <si>
    <t xml:space="preserve"> 73.6173 </t>
  </si>
  <si>
    <t xml:space="preserve">F:\images\20210304\plaque 1/@10  Testosterone 33 µg_L/D10_02.tif </t>
  </si>
  <si>
    <t xml:space="preserve"> 41464.508 </t>
  </si>
  <si>
    <t xml:space="preserve"> 70.9661 </t>
  </si>
  <si>
    <t xml:space="preserve">F:\images\20210304\plaque 1/@10  Testosterone 33 µg_L/D10_03.tif </t>
  </si>
  <si>
    <t xml:space="preserve"> 32228.543 </t>
  </si>
  <si>
    <t xml:space="preserve"> 71.1919 </t>
  </si>
  <si>
    <t xml:space="preserve">F:\images\20210304\plaque 1/@10  Testosterone 33 µg_L/E10_01.tif </t>
  </si>
  <si>
    <t xml:space="preserve"> 59785.0288 </t>
  </si>
  <si>
    <t xml:space="preserve"> 74.4305 </t>
  </si>
  <si>
    <t xml:space="preserve">F:\images\20210304\plaque 1/@10  Testosterone 33 µg_L/E10_02.tif </t>
  </si>
  <si>
    <t xml:space="preserve"> 54961.5623 </t>
  </si>
  <si>
    <t xml:space="preserve"> 75.2109 </t>
  </si>
  <si>
    <t xml:space="preserve">F:\images\20210304\plaque 1/@10  Testosterone 33 µg_L/E10_03.tif </t>
  </si>
  <si>
    <t xml:space="preserve"> 49705.4979 </t>
  </si>
  <si>
    <t xml:space="preserve"> 73.4669 </t>
  </si>
  <si>
    <t xml:space="preserve">F:\images\20210304\plaque 1/@10  Testosterone 33 µg_L/F10_01.tif </t>
  </si>
  <si>
    <t xml:space="preserve"> 908.4556 </t>
  </si>
  <si>
    <t xml:space="preserve"> 63.5238 </t>
  </si>
  <si>
    <t xml:space="preserve">F:\images\20210304\plaque 1/@10  Testosterone 33 µg_L/F10_02.tif </t>
  </si>
  <si>
    <t xml:space="preserve"> 65.1013 </t>
  </si>
  <si>
    <t xml:space="preserve">F:\images\20210304\plaque 1/@10  Testosterone 33 µg_L/F10_03.tif </t>
  </si>
  <si>
    <t xml:space="preserve"> 65.2778 </t>
  </si>
  <si>
    <t xml:space="preserve">F:\images\20210304\plaque 1/@10  Testosterone 33 µg_L/G10_01.tif </t>
  </si>
  <si>
    <t xml:space="preserve"> 17130.8765 </t>
  </si>
  <si>
    <t xml:space="preserve"> 66.0871 </t>
  </si>
  <si>
    <t xml:space="preserve">F:\images\20210304\plaque 1/@10  Testosterone 33 µg_L/G10_02.tif </t>
  </si>
  <si>
    <t xml:space="preserve"> 24182.2222 </t>
  </si>
  <si>
    <t xml:space="preserve"> 72.3694 </t>
  </si>
  <si>
    <t xml:space="preserve">F:\images\20210304\plaque 1/@10  Testosterone 33 µg_L/G10_03.tif </t>
  </si>
  <si>
    <t xml:space="preserve"> 11031.2463 </t>
  </si>
  <si>
    <t xml:space="preserve"> 64.6647 </t>
  </si>
  <si>
    <t xml:space="preserve">F:\images\20210304\plaque 1/@10  Testosterone 33 µg_L/H10_01.tif </t>
  </si>
  <si>
    <t xml:space="preserve"> 18796.3784 </t>
  </si>
  <si>
    <t xml:space="preserve"> 67.8423 </t>
  </si>
  <si>
    <t xml:space="preserve">F:\images\20210304\plaque 1/@10  Testosterone 33 µg_L/H10_02.tif </t>
  </si>
  <si>
    <t xml:space="preserve"> 17974.4424 </t>
  </si>
  <si>
    <t xml:space="preserve"> 66.9747 </t>
  </si>
  <si>
    <t xml:space="preserve">F:\images\20210304\plaque 1/@10  Testosterone 33 µg_L/H10_03.tif </t>
  </si>
  <si>
    <t xml:space="preserve"> 8262.6197 </t>
  </si>
  <si>
    <t xml:space="preserve"> 65.1099 </t>
  </si>
  <si>
    <t xml:space="preserve">F:\images\20210304\plaque 1/@10  Testosterone 33 µg_L/ </t>
  </si>
  <si>
    <t xml:space="preserve"> 70.7662 </t>
  </si>
  <si>
    <t xml:space="preserve"> 4.5829 </t>
  </si>
  <si>
    <t xml:space="preserve"> 2107889.04 </t>
  </si>
  <si>
    <t xml:space="preserve"> 1571756.16 </t>
  </si>
  <si>
    <t xml:space="preserve">F:\images\20210304\plaque 1/@11  Testosterone 100 µg_L/A11_01.tif </t>
  </si>
  <si>
    <t xml:space="preserve"> 47412.729 </t>
  </si>
  <si>
    <t xml:space="preserve"> 76.6469 </t>
  </si>
  <si>
    <t xml:space="preserve">F:\images\20210304\plaque 1/@11  Testosterone 100 µg_L/A11_02.tif </t>
  </si>
  <si>
    <t xml:space="preserve"> 40469.5329 </t>
  </si>
  <si>
    <t xml:space="preserve"> 72.7787 </t>
  </si>
  <si>
    <t xml:space="preserve">F:\images\20210304\plaque 1/@11  Testosterone 100 µg_L/A11_03.tif </t>
  </si>
  <si>
    <t xml:space="preserve"> 38111.8743 </t>
  </si>
  <si>
    <t xml:space="preserve"> 71.5221 </t>
  </si>
  <si>
    <t xml:space="preserve">F:\images\20210304\plaque 1/@11  Testosterone 100 µg_L/B11_01.tif </t>
  </si>
  <si>
    <t xml:space="preserve"> 45941.8962 </t>
  </si>
  <si>
    <t xml:space="preserve"> 77.9718 </t>
  </si>
  <si>
    <t xml:space="preserve">F:\images\20210304\plaque 1/@11  Testosterone 100 µg_L/B11_02.tif </t>
  </si>
  <si>
    <t xml:space="preserve"> 75.0605 </t>
  </si>
  <si>
    <t xml:space="preserve">F:\images\20210304\plaque 1/@11  Testosterone 100 µg_L/B11_03.tif </t>
  </si>
  <si>
    <t xml:space="preserve"> 44535.953 </t>
  </si>
  <si>
    <t xml:space="preserve"> 72.3487 </t>
  </si>
  <si>
    <t xml:space="preserve">F:\images\20210304\plaque 1/@11  Testosterone 100 µg_L/C11_01.tif </t>
  </si>
  <si>
    <t xml:space="preserve"> 46093.3055 </t>
  </si>
  <si>
    <t xml:space="preserve"> 79.0638 </t>
  </si>
  <si>
    <t xml:space="preserve">F:\images\20210304\plaque 1/@11  Testosterone 100 µg_L/C11_02.tif </t>
  </si>
  <si>
    <t xml:space="preserve"> 43584.2377 </t>
  </si>
  <si>
    <t xml:space="preserve"> 76.5876 </t>
  </si>
  <si>
    <t xml:space="preserve">F:\images\20210304\plaque 1/@11  Testosterone 100 µg_L/C11_03.tif </t>
  </si>
  <si>
    <t xml:space="preserve"> 77.0685 </t>
  </si>
  <si>
    <t xml:space="preserve">F:\images\20210304\plaque 1/@11  Testosterone 100 µg_L/D11_01.tif </t>
  </si>
  <si>
    <t xml:space="preserve"> 22213.9018 </t>
  </si>
  <si>
    <t xml:space="preserve"> 69.1723 </t>
  </si>
  <si>
    <t xml:space="preserve">F:\images\20210304\plaque 1/@11  Testosterone 100 µg_L/D11_02.tif </t>
  </si>
  <si>
    <t xml:space="preserve"> 23079.0976 </t>
  </si>
  <si>
    <t xml:space="preserve"> 68.0141 </t>
  </si>
  <si>
    <t xml:space="preserve">F:\images\20210304\plaque 1/@11  Testosterone 100 µg_L/D11_03.tif </t>
  </si>
  <si>
    <t xml:space="preserve"> 19337.1258 </t>
  </si>
  <si>
    <t xml:space="preserve"> 66.5425 </t>
  </si>
  <si>
    <t xml:space="preserve">F:\images\20210304\plaque 1/@11  Testosterone 100 µg_L/E11_01.tif </t>
  </si>
  <si>
    <t xml:space="preserve"> 55091.3416 </t>
  </si>
  <si>
    <t xml:space="preserve"> 75.7813 </t>
  </si>
  <si>
    <t xml:space="preserve">F:\images\20210304\plaque 1/@11  Testosterone 100 µg_L/E11_02.tif </t>
  </si>
  <si>
    <t xml:space="preserve"> 43778.9067 </t>
  </si>
  <si>
    <t xml:space="preserve"> 75.4926 </t>
  </si>
  <si>
    <t xml:space="preserve">F:\images\20210304\plaque 1/@11  Testosterone 100 µg_L/E11_03.tif </t>
  </si>
  <si>
    <t xml:space="preserve"> 44708.9922 </t>
  </si>
  <si>
    <t xml:space="preserve"> 71.1422 </t>
  </si>
  <si>
    <t xml:space="preserve">F:\images\20210304\plaque 1/@11  Testosterone 100 µg_L/F11_01.tif </t>
  </si>
  <si>
    <t xml:space="preserve"> 37809.0558 </t>
  </si>
  <si>
    <t xml:space="preserve"> 71.8227 </t>
  </si>
  <si>
    <t xml:space="preserve">F:\images\20210304\plaque 1/@11  Testosterone 100 µg_L/F11_02.tif </t>
  </si>
  <si>
    <t xml:space="preserve"> 35126.9489 </t>
  </si>
  <si>
    <t xml:space="preserve"> 73.3972 </t>
  </si>
  <si>
    <t xml:space="preserve">F:\images\20210304\plaque 1/@11  Testosterone 100 µg_L/F11_03.tif </t>
  </si>
  <si>
    <t xml:space="preserve"> 32358.3224 </t>
  </si>
  <si>
    <t xml:space="preserve"> 69.6437 </t>
  </si>
  <si>
    <t xml:space="preserve">F:\images\20210304\plaque 1/@11  Testosterone 100 µg_L/G11_01.tif </t>
  </si>
  <si>
    <t xml:space="preserve"> 54420.8149 </t>
  </si>
  <si>
    <t xml:space="preserve"> 76.3319 </t>
  </si>
  <si>
    <t xml:space="preserve">F:\images\20210304\plaque 1/@11  Testosterone 100 µg_L/G11_02.tif </t>
  </si>
  <si>
    <t xml:space="preserve"> 48797.0423 </t>
  </si>
  <si>
    <t xml:space="preserve"> 73.4619 </t>
  </si>
  <si>
    <t xml:space="preserve">F:\images\20210304\plaque 1/@11  Testosterone 100 µg_L/G11_03.tif </t>
  </si>
  <si>
    <t xml:space="preserve"> 46179.825 </t>
  </si>
  <si>
    <t xml:space="preserve"> 68.8159 </t>
  </si>
  <si>
    <t xml:space="preserve">F:\images\20210304\plaque 1/@11  Testosterone 100 µg_L/H11_01.tif </t>
  </si>
  <si>
    <t xml:space="preserve"> 22278.7915 </t>
  </si>
  <si>
    <t xml:space="preserve"> 68.4398 </t>
  </si>
  <si>
    <t xml:space="preserve">F:\images\20210304\plaque 1/@11  Testosterone 100 µg_L/H11_02.tif </t>
  </si>
  <si>
    <t xml:space="preserve"> 26539.8807 </t>
  </si>
  <si>
    <t xml:space="preserve"> 75.6227 </t>
  </si>
  <si>
    <t xml:space="preserve">F:\images\20210304\plaque 1/@11  Testosterone 100 µg_L/H11_03.tif </t>
  </si>
  <si>
    <t xml:space="preserve"> 21478.4854 </t>
  </si>
  <si>
    <t xml:space="preserve"> 68.1007 </t>
  </si>
  <si>
    <t xml:space="preserve">F:\images\20210304\plaque 1/@11  Testosterone 100 µg_L/ </t>
  </si>
  <si>
    <t xml:space="preserve"> 72.9513 </t>
  </si>
  <si>
    <t xml:space="preserve"> 3.6294 </t>
  </si>
  <si>
    <t xml:space="preserve"> 2872462.67 </t>
  </si>
  <si>
    <t xml:space="preserve"> 899300.184 </t>
  </si>
  <si>
    <t xml:space="preserve">F:\images\20210304\plaque 1/@12  Testosterone 300 µg_L/A12_01.tif </t>
  </si>
  <si>
    <t xml:space="preserve"> 16503.6096 </t>
  </si>
  <si>
    <t xml:space="preserve"> 67.8545 </t>
  </si>
  <si>
    <t xml:space="preserve">F:\images\20210304\plaque 1/@12  Testosterone 300 µg_L/A12_02.tif </t>
  </si>
  <si>
    <t xml:space="preserve"> 18212.3713 </t>
  </si>
  <si>
    <t xml:space="preserve"> 68.9086 </t>
  </si>
  <si>
    <t xml:space="preserve">F:\images\20210304\plaque 1/@12  Testosterone 300 µg_L/A12_03.tif </t>
  </si>
  <si>
    <t xml:space="preserve"> 15270.7056 </t>
  </si>
  <si>
    <t xml:space="preserve"> 67.8839 </t>
  </si>
  <si>
    <t xml:space="preserve">F:\images\20210304\plaque 1/@12  Testosterone 300 µg_L/B12_01.tif </t>
  </si>
  <si>
    <t xml:space="preserve"> 53274.4305 </t>
  </si>
  <si>
    <t xml:space="preserve"> 77.4803 </t>
  </si>
  <si>
    <t xml:space="preserve">F:\images\20210304\plaque 1/@12  Testosterone 300 µg_L/B12_02.tif </t>
  </si>
  <si>
    <t xml:space="preserve"> 56302.6157 </t>
  </si>
  <si>
    <t xml:space="preserve"> 78.1414 </t>
  </si>
  <si>
    <t xml:space="preserve">F:\images\20210304\plaque 1/@12  Testosterone 300 µg_L/B12_03.tif </t>
  </si>
  <si>
    <t xml:space="preserve"> 45119.9602 </t>
  </si>
  <si>
    <t xml:space="preserve"> 75.6779 </t>
  </si>
  <si>
    <t xml:space="preserve">F:\images\20210304\plaque 1/@12  Testosterone 300 µg_L/C12_01.tif </t>
  </si>
  <si>
    <t xml:space="preserve"> 38868.9206 </t>
  </si>
  <si>
    <t xml:space="preserve"> 71.2276 </t>
  </si>
  <si>
    <t xml:space="preserve">F:\images\20210304\plaque 1/@12  Testosterone 300 µg_L/C12_02.tif </t>
  </si>
  <si>
    <t xml:space="preserve"> 36251.7034 </t>
  </si>
  <si>
    <t xml:space="preserve"> 70.0919 </t>
  </si>
  <si>
    <t xml:space="preserve">F:\images\20210304\plaque 1/@12  Testosterone 300 µg_L/C12_03.tif </t>
  </si>
  <si>
    <t xml:space="preserve"> 28702.8702 </t>
  </si>
  <si>
    <t xml:space="preserve"> 68.8402 </t>
  </si>
  <si>
    <t xml:space="preserve">F:\images\20210304\plaque 1/@12  Testosterone 300 µg_L/D12_01.tif </t>
  </si>
  <si>
    <t xml:space="preserve"> 66209.1075 </t>
  </si>
  <si>
    <t xml:space="preserve"> 72.7893 </t>
  </si>
  <si>
    <t xml:space="preserve">F:\images\20210304\plaque 1/@12  Testosterone 300 µg_L/D12_02.tif </t>
  </si>
  <si>
    <t xml:space="preserve"> 70794.6451 </t>
  </si>
  <si>
    <t xml:space="preserve"> 73.3645 </t>
  </si>
  <si>
    <t xml:space="preserve">F:\images\20210304\plaque 1/@12  Testosterone 300 µg_L/D12_03.tif </t>
  </si>
  <si>
    <t xml:space="preserve"> 62121.0574 </t>
  </si>
  <si>
    <t xml:space="preserve"> 70.9377 </t>
  </si>
  <si>
    <t xml:space="preserve">F:\images\20210304\plaque 1/@12  Testosterone 300 µg_L/E12_01.tif </t>
  </si>
  <si>
    <t xml:space="preserve"> 25544.9056 </t>
  </si>
  <si>
    <t xml:space="preserve"> 70.3963 </t>
  </si>
  <si>
    <t xml:space="preserve">F:\images\20210304\plaque 1/@12  Testosterone 300 µg_L/E12_02.tif </t>
  </si>
  <si>
    <t xml:space="preserve"> 26258.6921 </t>
  </si>
  <si>
    <t xml:space="preserve"> 70.4662 </t>
  </si>
  <si>
    <t xml:space="preserve">F:\images\20210304\plaque 1/@12  Testosterone 300 µg_L/E12_03.tif </t>
  </si>
  <si>
    <t xml:space="preserve"> 20656.5494 </t>
  </si>
  <si>
    <t xml:space="preserve"> 69.6419 </t>
  </si>
  <si>
    <t xml:space="preserve">F:\images\20210304\plaque 1/@12  Testosterone 300 µg_L/F12_01.tif </t>
  </si>
  <si>
    <t xml:space="preserve"> 26496.6209 </t>
  </si>
  <si>
    <t xml:space="preserve"> 69.5837 </t>
  </si>
  <si>
    <t xml:space="preserve">F:\images\20210304\plaque 1/@12  Testosterone 300 µg_L/F12_02.tif </t>
  </si>
  <si>
    <t xml:space="preserve"> 25177.1973 </t>
  </si>
  <si>
    <t xml:space="preserve"> 69.9218 </t>
  </si>
  <si>
    <t xml:space="preserve">F:\images\20210304\plaque 1/@12  Testosterone 300 µg_L/F12_03.tif </t>
  </si>
  <si>
    <t xml:space="preserve"> 22105.7523 </t>
  </si>
  <si>
    <t xml:space="preserve"> 66.9237 </t>
  </si>
  <si>
    <t xml:space="preserve">F:\images\20210304\plaque 1/@12  Testosterone 300 µg_L/G12_01.tif </t>
  </si>
  <si>
    <t xml:space="preserve"> 74.057 </t>
  </si>
  <si>
    <t xml:space="preserve">F:\images\20210304\plaque 1/@12  Testosterone 300 µg_L/G12_02.tif </t>
  </si>
  <si>
    <t xml:space="preserve"> 71.247 </t>
  </si>
  <si>
    <t xml:space="preserve">F:\images\20210304\plaque 1/@12  Testosterone 300 µg_L/G12_03.tif </t>
  </si>
  <si>
    <t xml:space="preserve"> 25306.9767 </t>
  </si>
  <si>
    <t xml:space="preserve"> 68.6641 </t>
  </si>
  <si>
    <t xml:space="preserve">F:\images\20210304\plaque 1/@12  Testosterone 300 µg_L/H12_01.tif </t>
  </si>
  <si>
    <t xml:space="preserve"> 46071.6756 </t>
  </si>
  <si>
    <t xml:space="preserve"> 77.4789 </t>
  </si>
  <si>
    <t>F:\images\20210304\plaque 1/@12  Testosterone 300 µg_L/H12_02- exclu.tif</t>
  </si>
  <si>
    <t xml:space="preserve">F:\images\20210304\plaque 1/@12  Testosterone 300 µg_L/H12_03.tif </t>
  </si>
  <si>
    <t xml:space="preserve"> 68.2571 </t>
  </si>
  <si>
    <t xml:space="preserve">F:\images\20210304\plaque 1/@12  Testosterone 300 µg_L/ </t>
  </si>
  <si>
    <t xml:space="preserve"> 71.4886 </t>
  </si>
  <si>
    <t xml:space="preserve"> 3.3494 </t>
  </si>
  <si>
    <t xml:space="preserve"> 2587028.25 </t>
  </si>
  <si>
    <t xml:space="preserve"> 1244455.82 </t>
  </si>
  <si>
    <t xml:space="preserve">F:\images\20210304\plaque 2/@01 Testo 30/A1_01.tif </t>
  </si>
  <si>
    <t xml:space="preserve"> 43843.7964 </t>
  </si>
  <si>
    <t xml:space="preserve"> 67.7731 </t>
  </si>
  <si>
    <t xml:space="preserve">F:\images\20210304\plaque 2/@01 Testo 30/A1_02.tif </t>
  </si>
  <si>
    <t xml:space="preserve"> 52993.2418 </t>
  </si>
  <si>
    <t xml:space="preserve"> 69.0176 </t>
  </si>
  <si>
    <t xml:space="preserve">F:\images\20210304\plaque 2/@01 Testo 30/A1_03.tif </t>
  </si>
  <si>
    <t xml:space="preserve"> 48018.3661 </t>
  </si>
  <si>
    <t xml:space="preserve"> 68.6495 </t>
  </si>
  <si>
    <t xml:space="preserve">F:\images\20210304\plaque 2/@01 Testo 30/B1_01.tif </t>
  </si>
  <si>
    <t xml:space="preserve"> 1081.4947 </t>
  </si>
  <si>
    <t xml:space="preserve"> 64.72 </t>
  </si>
  <si>
    <t xml:space="preserve">F:\images\20210304\plaque 2/@01 Testo 30/B1_02.tif </t>
  </si>
  <si>
    <t xml:space="preserve"> 1946.6905 </t>
  </si>
  <si>
    <t xml:space="preserve"> 64.4333 </t>
  </si>
  <si>
    <t>F:\images\20210304\plaque 2/@01 Testo 30/B1_03- exclu.tif</t>
  </si>
  <si>
    <t xml:space="preserve">F:\images\20210304\plaque 2/@01 Testo 30/C1_01.tif </t>
  </si>
  <si>
    <t xml:space="preserve"> 39863.8958 </t>
  </si>
  <si>
    <t xml:space="preserve"> 71.3619 </t>
  </si>
  <si>
    <t xml:space="preserve">F:\images\20210304\plaque 2/@01 Testo 30/C1_02.tif </t>
  </si>
  <si>
    <t xml:space="preserve"> 38674.2516 </t>
  </si>
  <si>
    <t xml:space="preserve"> 71.2992 </t>
  </si>
  <si>
    <t xml:space="preserve">F:\images\20210304\plaque 2/@01 Testo 30/C1_03.tif </t>
  </si>
  <si>
    <t xml:space="preserve"> 38630.9918 </t>
  </si>
  <si>
    <t xml:space="preserve"> 71.3035 </t>
  </si>
  <si>
    <t xml:space="preserve">F:\images\20210304\plaque 2/@01 Testo 30/D1_01.tif </t>
  </si>
  <si>
    <t xml:space="preserve"> 74.7933 </t>
  </si>
  <si>
    <t xml:space="preserve">F:\images\20210304\plaque 2/@01 Testo 30/D1_02.tif </t>
  </si>
  <si>
    <t xml:space="preserve"> 55350.9004 </t>
  </si>
  <si>
    <t xml:space="preserve"> 75.4873 </t>
  </si>
  <si>
    <t xml:space="preserve">F:\images\20210304\plaque 2/@01 Testo 30/D1_03.tif </t>
  </si>
  <si>
    <t xml:space="preserve"> 50505.804 </t>
  </si>
  <si>
    <t xml:space="preserve"> 76.2895 </t>
  </si>
  <si>
    <t xml:space="preserve">F:\images\20210304\plaque 2/@01 Testo 30/E1_01.tif </t>
  </si>
  <si>
    <t xml:space="preserve"> 35862.3653 </t>
  </si>
  <si>
    <t xml:space="preserve"> 75.1647 </t>
  </si>
  <si>
    <t xml:space="preserve">F:\images\20210304\plaque 2/@01 Testo 30/E1_02.tif </t>
  </si>
  <si>
    <t xml:space="preserve"> 33310.0377 </t>
  </si>
  <si>
    <t xml:space="preserve"> 72.1019 </t>
  </si>
  <si>
    <t xml:space="preserve">F:\images\20210304\plaque 2/@01 Testo 30/E1_03.tif </t>
  </si>
  <si>
    <t xml:space="preserve"> 32747.6605 </t>
  </si>
  <si>
    <t xml:space="preserve"> 72.6757 </t>
  </si>
  <si>
    <t xml:space="preserve">F:\images\20210304\plaque 2/@01 Testo 30/F1_01.tif </t>
  </si>
  <si>
    <t xml:space="preserve"> 40015.3051 </t>
  </si>
  <si>
    <t xml:space="preserve"> 70.8481 </t>
  </si>
  <si>
    <t xml:space="preserve">F:\images\20210304\plaque 2/@01 Testo 30/F1_02.tif </t>
  </si>
  <si>
    <t xml:space="preserve"> 40620.9421 </t>
  </si>
  <si>
    <t xml:space="preserve"> 69.9334 </t>
  </si>
  <si>
    <t xml:space="preserve">F:\images\20210304\plaque 2/@01 Testo 30/F1_03.tif </t>
  </si>
  <si>
    <t xml:space="preserve"> 30087.1834 </t>
  </si>
  <si>
    <t xml:space="preserve"> 69.2782 </t>
  </si>
  <si>
    <t xml:space="preserve">F:\images\20210304\plaque 2/@01 Testo 30/G1_01.tif </t>
  </si>
  <si>
    <t xml:space="preserve"> 24658.0799 </t>
  </si>
  <si>
    <t xml:space="preserve"> 67.6921 </t>
  </si>
  <si>
    <t xml:space="preserve">F:\images\20210304\plaque 2/@01 Testo 30/G1_02.tif </t>
  </si>
  <si>
    <t xml:space="preserve"> 28075.6032 </t>
  </si>
  <si>
    <t xml:space="preserve"> 67.1086 </t>
  </si>
  <si>
    <t xml:space="preserve">F:\images\20210304\plaque 2/@01 Testo 30/G1_03.tif </t>
  </si>
  <si>
    <t xml:space="preserve"> 24052.4428 </t>
  </si>
  <si>
    <t xml:space="preserve"> 66.7833 </t>
  </si>
  <si>
    <t xml:space="preserve">F:\images\20210304\plaque 2/@01 Testo 30/H1_01.tif </t>
  </si>
  <si>
    <t xml:space="preserve"> 9214.3351 </t>
  </si>
  <si>
    <t xml:space="preserve"> 66.8404 </t>
  </si>
  <si>
    <t xml:space="preserve">F:\images\20210304\plaque 2/@01 Testo 30/H1_02.tif </t>
  </si>
  <si>
    <t xml:space="preserve"> 11442.2143 </t>
  </si>
  <si>
    <t xml:space="preserve"> 68.0227 </t>
  </si>
  <si>
    <t xml:space="preserve">F:\images\20210304\plaque 2/@01 Testo 30/H1_03.tif </t>
  </si>
  <si>
    <t xml:space="preserve"> 4261.0892 </t>
  </si>
  <si>
    <t xml:space="preserve"> 63.3503 </t>
  </si>
  <si>
    <t xml:space="preserve">F:\images\20210304\plaque 2/@01 Testo 30/ </t>
  </si>
  <si>
    <t xml:space="preserve"> 69.5618 </t>
  </si>
  <si>
    <t xml:space="preserve"> 3.6782 </t>
  </si>
  <si>
    <t xml:space="preserve"> 2178720.67 </t>
  </si>
  <si>
    <t xml:space="preserve"> 1259527.87 </t>
  </si>
  <si>
    <t xml:space="preserve">F:\images\20210304\plaque 2/@02 Testo 30/A2_01.tif </t>
  </si>
  <si>
    <t xml:space="preserve"> 56843.3631 </t>
  </si>
  <si>
    <t xml:space="preserve"> 72.2386 </t>
  </si>
  <si>
    <t xml:space="preserve">F:\images\20210304\plaque 2/@02 Testo 30/A2_02.tif </t>
  </si>
  <si>
    <t xml:space="preserve"> 65949.5487 </t>
  </si>
  <si>
    <t xml:space="preserve"> 76.307 </t>
  </si>
  <si>
    <t xml:space="preserve">F:\images\20210304\plaque 2/@02 Testo 30/A2_03.tif </t>
  </si>
  <si>
    <t xml:space="preserve"> 61385.641 </t>
  </si>
  <si>
    <t xml:space="preserve"> 73.753 </t>
  </si>
  <si>
    <t xml:space="preserve">F:\images\20210304\plaque 2/@02 Testo 30/B2_01.tif </t>
  </si>
  <si>
    <t xml:space="preserve"> 13215.8656 </t>
  </si>
  <si>
    <t xml:space="preserve"> 65.6105 </t>
  </si>
  <si>
    <t xml:space="preserve">F:\images\20210304\plaque 2/@02 Testo 30/B2_02.tif </t>
  </si>
  <si>
    <t xml:space="preserve"> 12761.6378 </t>
  </si>
  <si>
    <t xml:space="preserve"> 68.2746 </t>
  </si>
  <si>
    <t xml:space="preserve">F:\images\20210304\plaque 2/@02 Testo 30/B2_03.tif </t>
  </si>
  <si>
    <t xml:space="preserve"> 13064.4564 </t>
  </si>
  <si>
    <t xml:space="preserve"> 67.3063 </t>
  </si>
  <si>
    <t xml:space="preserve">F:\images\20210304\plaque 2/@02 Testo 30/C2_01.tif </t>
  </si>
  <si>
    <t xml:space="preserve"> 25220.4571 </t>
  </si>
  <si>
    <t xml:space="preserve"> 70.6441 </t>
  </si>
  <si>
    <t xml:space="preserve">F:\images\20210304\plaque 2/@02 Testo 30/C2_02.tif </t>
  </si>
  <si>
    <t xml:space="preserve"> 29373.3969 </t>
  </si>
  <si>
    <t xml:space="preserve"> 71.7275 </t>
  </si>
  <si>
    <t xml:space="preserve">F:\images\20210304\plaque 2/@02 Testo 30/C2_03.tif </t>
  </si>
  <si>
    <t xml:space="preserve"> 26193.8024 </t>
  </si>
  <si>
    <t xml:space="preserve"> 70.5145 </t>
  </si>
  <si>
    <t xml:space="preserve">F:\images\20210304\plaque 2/@02 Testo 30/D2_01.tif </t>
  </si>
  <si>
    <t xml:space="preserve"> 48580.7433 </t>
  </si>
  <si>
    <t xml:space="preserve"> 76.2622 </t>
  </si>
  <si>
    <t xml:space="preserve">F:\images\20210304\plaque 2/@02 Testo 30/D2_02.tif </t>
  </si>
  <si>
    <t xml:space="preserve"> 50029.9463 </t>
  </si>
  <si>
    <t xml:space="preserve"> 76.7302 </t>
  </si>
  <si>
    <t xml:space="preserve">F:\images\20210304\plaque 2/@02 Testo 30/D2_03.tif </t>
  </si>
  <si>
    <t xml:space="preserve"> 48559.1134 </t>
  </si>
  <si>
    <t xml:space="preserve"> 75.3189 </t>
  </si>
  <si>
    <t xml:space="preserve">F:\images\20210304\plaque 2/@02 Testo 30/E2_01.tif </t>
  </si>
  <si>
    <t xml:space="preserve"> 367.7082 </t>
  </si>
  <si>
    <t xml:space="preserve"> 63.2941 </t>
  </si>
  <si>
    <t xml:space="preserve">F:\images\20210304\plaque 2/@02 Testo 30/E2_02.tif </t>
  </si>
  <si>
    <t xml:space="preserve">F:\images\20210304\plaque 2/@02 Testo 30/E2_03.tif </t>
  </si>
  <si>
    <t xml:space="preserve"> 62.9333 </t>
  </si>
  <si>
    <t xml:space="preserve">F:\images\20210304\plaque 2/@02 Testo 30/F2_01.tif </t>
  </si>
  <si>
    <t xml:space="preserve"> 22581.61 </t>
  </si>
  <si>
    <t xml:space="preserve"> 66.8784 </t>
  </si>
  <si>
    <t xml:space="preserve">F:\images\20210304\plaque 2/@02 Testo 30/F2_02.tif </t>
  </si>
  <si>
    <t xml:space="preserve"> 28400.0516 </t>
  </si>
  <si>
    <t xml:space="preserve"> 67.9535 </t>
  </si>
  <si>
    <t xml:space="preserve">F:\images\20210304\plaque 2/@02 Testo 30/F2_03.tif </t>
  </si>
  <si>
    <t xml:space="preserve"> 19358.7557 </t>
  </si>
  <si>
    <t xml:space="preserve"> 67.9061 </t>
  </si>
  <si>
    <t xml:space="preserve">F:\images\20210304\plaque 2/@02 Testo 30/G2_01.tif </t>
  </si>
  <si>
    <t xml:space="preserve"> 46547.5332 </t>
  </si>
  <si>
    <t xml:space="preserve"> 73.9359 </t>
  </si>
  <si>
    <t xml:space="preserve">F:\images\20210304\plaque 2/@02 Testo 30/G2_02.tif </t>
  </si>
  <si>
    <t xml:space="preserve"> 49835.2772 </t>
  </si>
  <si>
    <t xml:space="preserve"> 74.5056 </t>
  </si>
  <si>
    <t xml:space="preserve">F:\images\20210304\plaque 2/@02 Testo 30/G2_03.tif </t>
  </si>
  <si>
    <t xml:space="preserve"> 44341.284 </t>
  </si>
  <si>
    <t xml:space="preserve"> 70.1522 </t>
  </si>
  <si>
    <t xml:space="preserve">F:\images\20210304\plaque 2/@02 Testo 30/H2_01.tif </t>
  </si>
  <si>
    <t xml:space="preserve"> 5169.5448 </t>
  </si>
  <si>
    <t xml:space="preserve"> 67.7029 </t>
  </si>
  <si>
    <t xml:space="preserve">F:\images\20210304\plaque 2/@02 Testo 30/H2_02.tif </t>
  </si>
  <si>
    <t xml:space="preserve"> 2941.6657 </t>
  </si>
  <si>
    <t xml:space="preserve"> 67.4191 </t>
  </si>
  <si>
    <t xml:space="preserve">F:\images\20210304\plaque 2/@02 Testo 30/H2_03.tif </t>
  </si>
  <si>
    <t xml:space="preserve"> 4239.4593 </t>
  </si>
  <si>
    <t xml:space="preserve"> 68.9796 </t>
  </si>
  <si>
    <t xml:space="preserve">F:\images\20210304\plaque 2/@02 Testo 30/ </t>
  </si>
  <si>
    <t xml:space="preserve"> 69.9609 </t>
  </si>
  <si>
    <t xml:space="preserve"> 4.2728 </t>
  </si>
  <si>
    <t xml:space="preserve"> 2048053.67 </t>
  </si>
  <si>
    <t xml:space="preserve"> 1621228.58 </t>
  </si>
  <si>
    <t xml:space="preserve">F:\images\20210304\plaque 2/@03 Testo+ EE2 64/A3_01.tif </t>
  </si>
  <si>
    <t xml:space="preserve"> 58400.7155 </t>
  </si>
  <si>
    <t xml:space="preserve"> 77.2756 </t>
  </si>
  <si>
    <t xml:space="preserve">F:\images\20210304\plaque 2/@03 Testo+ EE2 64/A3_02.tif </t>
  </si>
  <si>
    <t xml:space="preserve"> 59395.6907 </t>
  </si>
  <si>
    <t xml:space="preserve"> 84.8117 </t>
  </si>
  <si>
    <t>F:\images\20210304\plaque 2/@03 Testo+ EE2 64/A3_03- exclu.tif</t>
  </si>
  <si>
    <t xml:space="preserve">F:\images\20210304\plaque 2/@03 Testo+ EE2 64/B3_01.tif </t>
  </si>
  <si>
    <t xml:space="preserve"> 65041.0931 </t>
  </si>
  <si>
    <t xml:space="preserve"> 81.3751 </t>
  </si>
  <si>
    <t xml:space="preserve">F:\images\20210304\plaque 2/@03 Testo+ EE2 64/B3_02.tif </t>
  </si>
  <si>
    <t xml:space="preserve"> 67679.9403 </t>
  </si>
  <si>
    <t xml:space="preserve"> 81.7996 </t>
  </si>
  <si>
    <t xml:space="preserve">F:\images\20210304\plaque 2/@03 Testo+ EE2 64/B3_03.tif </t>
  </si>
  <si>
    <t xml:space="preserve"> 64500.3458 </t>
  </si>
  <si>
    <t xml:space="preserve"> 81.7099 </t>
  </si>
  <si>
    <t xml:space="preserve">F:\images\20210304\plaque 2/@03 Testo+ EE2 64/C3_01.tif </t>
  </si>
  <si>
    <t xml:space="preserve"> 41291.4688 </t>
  </si>
  <si>
    <t xml:space="preserve"> 71.6286 </t>
  </si>
  <si>
    <t xml:space="preserve">F:\images\20210304\plaque 2/@03 Testo+ EE2 64/C3_02.tif </t>
  </si>
  <si>
    <t xml:space="preserve"> 38328.1733 </t>
  </si>
  <si>
    <t xml:space="preserve"> 67.2985 </t>
  </si>
  <si>
    <t xml:space="preserve">F:\images\20210304\plaque 2/@03 Testo+ EE2 64/C3_03.tif </t>
  </si>
  <si>
    <t xml:space="preserve"> 38306.5434 </t>
  </si>
  <si>
    <t xml:space="preserve"> 71.3738 </t>
  </si>
  <si>
    <t xml:space="preserve">F:\images\20210304\plaque 2/@03 Testo+ EE2 64/D3_01.tif </t>
  </si>
  <si>
    <t xml:space="preserve"> 61969.6481 </t>
  </si>
  <si>
    <t xml:space="preserve"> 73.6262 </t>
  </si>
  <si>
    <t xml:space="preserve">F:\images\20210304\plaque 2/@03 Testo+ EE2 64/D3_02.tif </t>
  </si>
  <si>
    <t xml:space="preserve"> 60715.1142 </t>
  </si>
  <si>
    <t xml:space="preserve"> 72.5315 </t>
  </si>
  <si>
    <t>F:\images\20210304\plaque 2/@03 Testo+ EE2 64/D3_03- exclu.tif</t>
  </si>
  <si>
    <t xml:space="preserve">F:\images\20210304\plaque 2/@03 Testo+ EE2 64/E3_01.tif </t>
  </si>
  <si>
    <t xml:space="preserve"> 15076.0366 </t>
  </si>
  <si>
    <t xml:space="preserve"> 68.802 </t>
  </si>
  <si>
    <t xml:space="preserve">F:\images\20210304\plaque 2/@03 Testo+ EE2 64/E3_02.tif </t>
  </si>
  <si>
    <t xml:space="preserve"> 16438.7199 </t>
  </si>
  <si>
    <t xml:space="preserve"> 71.4263 </t>
  </si>
  <si>
    <t xml:space="preserve">F:\images\20210304\plaque 2/@03 Testo+ EE2 64/E3_03.tif </t>
  </si>
  <si>
    <t xml:space="preserve"> 17368.8054 </t>
  </si>
  <si>
    <t xml:space="preserve"> 68.9054 </t>
  </si>
  <si>
    <t xml:space="preserve">F:\images\20210304\plaque 2/@03 Testo+ EE2 64/F3_01.tif </t>
  </si>
  <si>
    <t xml:space="preserve"> 58595.3845 </t>
  </si>
  <si>
    <t xml:space="preserve"> 80.0842 </t>
  </si>
  <si>
    <t xml:space="preserve">F:\images\20210304\plaque 2/@03 Testo+ EE2 64/F3_02.tif </t>
  </si>
  <si>
    <t xml:space="preserve"> 55329.2705 </t>
  </si>
  <si>
    <t xml:space="preserve"> 79.3487 </t>
  </si>
  <si>
    <t xml:space="preserve">F:\images\20210304\plaque 2/@03 Testo+ EE2 64/F3_03.tif </t>
  </si>
  <si>
    <t xml:space="preserve"> 57081.2919 </t>
  </si>
  <si>
    <t xml:space="preserve"> 79.5688 </t>
  </si>
  <si>
    <t xml:space="preserve">F:\images\20210304\plaque 2/@03 Testo+ EE2 64/G3_01.tif </t>
  </si>
  <si>
    <t xml:space="preserve"> 77954.1402 </t>
  </si>
  <si>
    <t xml:space="preserve"> 79.553 </t>
  </si>
  <si>
    <t xml:space="preserve">F:\images\20210304\plaque 2/@03 Testo+ EE2 64/G3_02.tif </t>
  </si>
  <si>
    <t xml:space="preserve"> 74514.987 </t>
  </si>
  <si>
    <t xml:space="preserve"> 80.6284 </t>
  </si>
  <si>
    <t xml:space="preserve">F:\images\20210304\plaque 2/@03 Testo+ EE2 64/G3_03.tif </t>
  </si>
  <si>
    <t xml:space="preserve"> 75920.9301 </t>
  </si>
  <si>
    <t xml:space="preserve"> 80.0952 </t>
  </si>
  <si>
    <t xml:space="preserve">F:\images\20210304\plaque 2/@03 Testo+ EE2 64/H3_01.tif </t>
  </si>
  <si>
    <t xml:space="preserve"> 68804.6948 </t>
  </si>
  <si>
    <t xml:space="preserve"> 78.2619 </t>
  </si>
  <si>
    <t xml:space="preserve">F:\images\20210304\plaque 2/@03 Testo+ EE2 64/H3_02.tif </t>
  </si>
  <si>
    <t xml:space="preserve"> 65343.9117 </t>
  </si>
  <si>
    <t xml:space="preserve"> 76.3138 </t>
  </si>
  <si>
    <t xml:space="preserve">F:\images\20210304\plaque 2/@03 Testo+ EE2 64/H3_03.tif </t>
  </si>
  <si>
    <t xml:space="preserve"> 58876.5732 </t>
  </si>
  <si>
    <t xml:space="preserve"> 76.2924 </t>
  </si>
  <si>
    <t xml:space="preserve">F:\images\20210304\plaque 2/@03 Testo+ EE2 64/ </t>
  </si>
  <si>
    <t xml:space="preserve"> 76.1215 </t>
  </si>
  <si>
    <t xml:space="preserve"> 4.9341 </t>
  </si>
  <si>
    <t xml:space="preserve"> 4198409.42 </t>
  </si>
  <si>
    <t xml:space="preserve">F:\images\20210304\plaque 2/@04 Testo+ FAD/A4_01.tif </t>
  </si>
  <si>
    <t xml:space="preserve"> 63.4286 </t>
  </si>
  <si>
    <t xml:space="preserve">F:\images\20210304\plaque 2/@04 Testo+ FAD/A4_02.tif </t>
  </si>
  <si>
    <t xml:space="preserve"> 4736.9469 </t>
  </si>
  <si>
    <t xml:space="preserve"> 69.8219 </t>
  </si>
  <si>
    <t xml:space="preserve">F:\images\20210304\plaque 2/@04 Testo+ FAD/A4_03.tif </t>
  </si>
  <si>
    <t xml:space="preserve"> 2487.4379 </t>
  </si>
  <si>
    <t xml:space="preserve"> 65.3565 </t>
  </si>
  <si>
    <t xml:space="preserve">F:\images\20210304\plaque 2/@04 Testo+ FAD/B4_01.tif </t>
  </si>
  <si>
    <t xml:space="preserve"> 2790.2564 </t>
  </si>
  <si>
    <t xml:space="preserve"> 64.9457 </t>
  </si>
  <si>
    <t xml:space="preserve">F:\images\20210304\plaque 2/@04 Testo+ FAD/B4_02.tif </t>
  </si>
  <si>
    <t xml:space="preserve">F:\images\20210304\plaque 2/@04 Testo+ FAD/B4_03.tif </t>
  </si>
  <si>
    <t xml:space="preserve"> 1622.2421 </t>
  </si>
  <si>
    <t xml:space="preserve"> 62.9467 </t>
  </si>
  <si>
    <t xml:space="preserve">F:\images\20210304\plaque 2/@04 Testo+ FAD/C4_01.tif </t>
  </si>
  <si>
    <t xml:space="preserve"> 1643.872 </t>
  </si>
  <si>
    <t xml:space="preserve"> 64.7368 </t>
  </si>
  <si>
    <t xml:space="preserve">F:\images\20210304\plaque 2/@04 Testo+ FAD/C4_02.tif </t>
  </si>
  <si>
    <t xml:space="preserve"> 64.8938 </t>
  </si>
  <si>
    <t xml:space="preserve">F:\images\20210304\plaque 2/@04 Testo+ FAD/C4_03.tif </t>
  </si>
  <si>
    <t xml:space="preserve">F:\images\20210304\plaque 2/@04 Testo+ FAD/D4_01.tif </t>
  </si>
  <si>
    <t xml:space="preserve">F:\images\20210304\plaque 2/@04 Testo+ FAD/D4_02.tif </t>
  </si>
  <si>
    <t xml:space="preserve"> 1903.4307 </t>
  </si>
  <si>
    <t xml:space="preserve"> 63.7955 </t>
  </si>
  <si>
    <t xml:space="preserve">F:\images\20210304\plaque 2/@04 Testo+ FAD/D4_03.tif </t>
  </si>
  <si>
    <t xml:space="preserve"> 1146.3844 </t>
  </si>
  <si>
    <t xml:space="preserve"> 62.5094 </t>
  </si>
  <si>
    <t>F:\images\20210304\plaque 2/@04 Testo+ FAD/E4_01- exclu.tif</t>
  </si>
  <si>
    <t>F:\images\20210304\plaque 2/@04 Testo+ FAD/E4_02- exclu.tif</t>
  </si>
  <si>
    <t>F:\images\20210304\plaque 2/@04 Testo+ FAD/E4_03- exclu.tif</t>
  </si>
  <si>
    <t xml:space="preserve">F:\images\20210304\plaque 2/@04 Testo+ FAD/F4_01.tif </t>
  </si>
  <si>
    <t xml:space="preserve"> 6056.3705 </t>
  </si>
  <si>
    <t xml:space="preserve"> 64.8536 </t>
  </si>
  <si>
    <t xml:space="preserve">F:\images\20210304\plaque 2/@04 Testo+ FAD/F4_02.tif </t>
  </si>
  <si>
    <t xml:space="preserve"> 62.8286 </t>
  </si>
  <si>
    <t xml:space="preserve">F:\images\20210304\plaque 2/@04 Testo+ FAD/F4_03.tif </t>
  </si>
  <si>
    <t xml:space="preserve"> 64.4922 </t>
  </si>
  <si>
    <t xml:space="preserve">F:\images\20210304\plaque 2/@04 Testo+ FAD/G4_01.tif </t>
  </si>
  <si>
    <t xml:space="preserve"> 2855.1461 </t>
  </si>
  <si>
    <t xml:space="preserve"> 64.3864 </t>
  </si>
  <si>
    <t xml:space="preserve">F:\images\20210304\plaque 2/@04 Testo+ FAD/G4_02.tif </t>
  </si>
  <si>
    <t xml:space="preserve"> 1665.5019 </t>
  </si>
  <si>
    <t xml:space="preserve">F:\images\20210304\plaque 2/@04 Testo+ FAD/G4_03.tif </t>
  </si>
  <si>
    <t xml:space="preserve"> 886.8257 </t>
  </si>
  <si>
    <t xml:space="preserve"> 65.7073 </t>
  </si>
  <si>
    <t xml:space="preserve">F:\images\20210304\plaque 2/@04 Testo+ FAD/H4_01.tif </t>
  </si>
  <si>
    <t xml:space="preserve"> 70.1259 </t>
  </si>
  <si>
    <t xml:space="preserve">F:\images\20210304\plaque 2/@04 Testo+ FAD/H4_02.tif </t>
  </si>
  <si>
    <t xml:space="preserve"> 5061.3953 </t>
  </si>
  <si>
    <t xml:space="preserve"> 71.6239 </t>
  </si>
  <si>
    <t xml:space="preserve">F:\images\20210304\plaque 2/@04 Testo+ FAD/H4_03.tif </t>
  </si>
  <si>
    <t xml:space="preserve"> 2833.5162 </t>
  </si>
  <si>
    <t xml:space="preserve"> 66.9695 </t>
  </si>
  <si>
    <t xml:space="preserve">F:\images\20210304\plaque 2/@04 Testo+ FAD/ </t>
  </si>
  <si>
    <t xml:space="preserve"> 67.4132 </t>
  </si>
  <si>
    <t xml:space="preserve"> 8.8641 </t>
  </si>
  <si>
    <t xml:space="preserve"> 237351.917 </t>
  </si>
  <si>
    <t xml:space="preserve"> 305720.988 </t>
  </si>
  <si>
    <t xml:space="preserve">F:\images\20210304\plaque 2/@05 Testosterone 3.7 µg_L dopé/A5_01.tif </t>
  </si>
  <si>
    <t xml:space="preserve"> 54983.1921 </t>
  </si>
  <si>
    <t xml:space="preserve"> 75.3529 </t>
  </si>
  <si>
    <t xml:space="preserve">F:\images\20210304\plaque 2/@05 Testosterone 3.7 µg_L dopé/A5_02.tif </t>
  </si>
  <si>
    <t xml:space="preserve"> 55177.8612 </t>
  </si>
  <si>
    <t xml:space="preserve"> 77.9106 </t>
  </si>
  <si>
    <t xml:space="preserve">F:\images\20210304\plaque 2/@05 Testosterone 3.7 µg_L dopé/A5_03.tif </t>
  </si>
  <si>
    <t xml:space="preserve"> 50570.6936 </t>
  </si>
  <si>
    <t xml:space="preserve"> 78.873 </t>
  </si>
  <si>
    <t xml:space="preserve">F:\images\20210304\plaque 2/@05 Testosterone 3.7 µg_L dopé/B5_01.tif </t>
  </si>
  <si>
    <t xml:space="preserve"> 21673.1544 </t>
  </si>
  <si>
    <t xml:space="preserve"> 67.6068 </t>
  </si>
  <si>
    <t xml:space="preserve">F:\images\20210304\plaque 2/@05 Testosterone 3.7 µg_L dopé/B5_02.tif </t>
  </si>
  <si>
    <t xml:space="preserve"> 28594.7207 </t>
  </si>
  <si>
    <t xml:space="preserve"> 69.2897 </t>
  </si>
  <si>
    <t xml:space="preserve">F:\images\20210304\plaque 2/@05 Testosterone 3.7 µg_L dopé/B5_03.tif </t>
  </si>
  <si>
    <t xml:space="preserve"> 20050.9123 </t>
  </si>
  <si>
    <t xml:space="preserve"> 67.5868 </t>
  </si>
  <si>
    <t xml:space="preserve">F:\images\20210304\plaque 2/@05 Testosterone 3.7 µg_L dopé/C5_01.tif </t>
  </si>
  <si>
    <t xml:space="preserve"> 31233.5678 </t>
  </si>
  <si>
    <t xml:space="preserve"> 70.7902 </t>
  </si>
  <si>
    <t xml:space="preserve">F:\images\20210304\plaque 2/@05 Testosterone 3.7 µg_L dopé/C5_02.tif </t>
  </si>
  <si>
    <t xml:space="preserve"> 34975.5396 </t>
  </si>
  <si>
    <t xml:space="preserve"> 73.697 </t>
  </si>
  <si>
    <t xml:space="preserve">F:\images\20210304\plaque 2/@05 Testosterone 3.7 µg_L dopé/C5_03.tif </t>
  </si>
  <si>
    <t xml:space="preserve"> 33764.2655 </t>
  </si>
  <si>
    <t xml:space="preserve"> 72.417 </t>
  </si>
  <si>
    <t xml:space="preserve">F:\images\20210304\plaque 2/@05 Testosterone 3.7 µg_L dopé/D5_01.tif </t>
  </si>
  <si>
    <t xml:space="preserve"> 24268.7418 </t>
  </si>
  <si>
    <t xml:space="preserve"> 65.6364 </t>
  </si>
  <si>
    <t xml:space="preserve">F:\images\20210304\plaque 2/@05 Testosterone 3.7 µg_L dopé/D5_02.tif </t>
  </si>
  <si>
    <t xml:space="preserve"> 22408.5708 </t>
  </si>
  <si>
    <t xml:space="preserve"> 66.3214 </t>
  </si>
  <si>
    <t xml:space="preserve">F:\images\20210304\plaque 2/@05 Testosterone 3.7 µg_L dopé/D5_03.tif </t>
  </si>
  <si>
    <t xml:space="preserve"> 21932.7132 </t>
  </si>
  <si>
    <t xml:space="preserve"> 65.7308 </t>
  </si>
  <si>
    <t xml:space="preserve">F:\images\20210304\plaque 2/@05 Testosterone 3.7 µg_L dopé/E5_01.tif </t>
  </si>
  <si>
    <t xml:space="preserve"> 59330.801 </t>
  </si>
  <si>
    <t xml:space="preserve"> 75.7765 </t>
  </si>
  <si>
    <t xml:space="preserve">F:\images\20210304\plaque 2/@05 Testosterone 3.7 µg_L dopé/E5_02.tif </t>
  </si>
  <si>
    <t xml:space="preserve"> 58422.3454 </t>
  </si>
  <si>
    <t xml:space="preserve"> 75.9448 </t>
  </si>
  <si>
    <t xml:space="preserve">F:\images\20210304\plaque 2/@05 Testosterone 3.7 µg_L dopé/E5_03.tif </t>
  </si>
  <si>
    <t xml:space="preserve"> 53923.3273 </t>
  </si>
  <si>
    <t xml:space="preserve"> 76.0084 </t>
  </si>
  <si>
    <t xml:space="preserve">F:\images\20210304\plaque 2/@05 Testosterone 3.7 µg_L dopé/F5_01.tif </t>
  </si>
  <si>
    <t xml:space="preserve"> 43605.8676 </t>
  </si>
  <si>
    <t xml:space="preserve"> 68.8304 </t>
  </si>
  <si>
    <t xml:space="preserve">F:\images\20210304\plaque 2/@05 Testosterone 3.7 µg_L dopé/F5_02.tif </t>
  </si>
  <si>
    <t xml:space="preserve"> 42005.2554 </t>
  </si>
  <si>
    <t xml:space="preserve"> 68.4011 </t>
  </si>
  <si>
    <t xml:space="preserve">F:\images\20210304\plaque 2/@05 Testosterone 3.7 µg_L dopé/F5_03.tif </t>
  </si>
  <si>
    <t xml:space="preserve"> 28205.3826 </t>
  </si>
  <si>
    <t xml:space="preserve"> 67.184 </t>
  </si>
  <si>
    <t xml:space="preserve">F:\images\20210304\plaque 2/@05 Testosterone 3.7 µg_L dopé/G5_01.tif </t>
  </si>
  <si>
    <t xml:space="preserve"> 45595.8179 </t>
  </si>
  <si>
    <t xml:space="preserve"> 71.2946 </t>
  </si>
  <si>
    <t xml:space="preserve">F:\images\20210304\plaque 2/@05 Testosterone 3.7 µg_L dopé/G5_02.tif </t>
  </si>
  <si>
    <t xml:space="preserve"> 39236.6289 </t>
  </si>
  <si>
    <t xml:space="preserve"> 71.4702 </t>
  </si>
  <si>
    <t xml:space="preserve">F:\images\20210304\plaque 2/@05 Testosterone 3.7 µg_L dopé/G5_03.tif </t>
  </si>
  <si>
    <t xml:space="preserve"> 36814.0807 </t>
  </si>
  <si>
    <t xml:space="preserve"> 69.6804 </t>
  </si>
  <si>
    <t xml:space="preserve">F:\images\20210304\plaque 2/@05 Testosterone 3.7 µg_L dopé/H5_01.tif </t>
  </si>
  <si>
    <t xml:space="preserve"> 24376.8912 </t>
  </si>
  <si>
    <t xml:space="preserve"> 67.3886 </t>
  </si>
  <si>
    <t xml:space="preserve">F:\images\20210304\plaque 2/@05 Testosterone 3.7 µg_L dopé/H5_02.tif </t>
  </si>
  <si>
    <t xml:space="preserve"> 31882.4647 </t>
  </si>
  <si>
    <t xml:space="preserve"> 67.7483 </t>
  </si>
  <si>
    <t xml:space="preserve">F:\images\20210304\plaque 2/@05 Testosterone 3.7 µg_L dopé/H5_03.tif </t>
  </si>
  <si>
    <t xml:space="preserve"> 28573.0908 </t>
  </si>
  <si>
    <t xml:space="preserve"> 67.707 </t>
  </si>
  <si>
    <t xml:space="preserve">F:\images\20210304\plaque 2/@05 Testosterone 3.7 µg_L dopé/ </t>
  </si>
  <si>
    <t xml:space="preserve"> 70.777 </t>
  </si>
  <si>
    <t xml:space="preserve"> 4.0444 </t>
  </si>
  <si>
    <t xml:space="preserve"> 2672725.79 </t>
  </si>
  <si>
    <t xml:space="preserve"> 1063789.18 </t>
  </si>
  <si>
    <t xml:space="preserve">F:\images\20210304\plaque 2/@06  Testosterone 11 µg_Ldopé/A6_01.tif </t>
  </si>
  <si>
    <t xml:space="preserve"> 60780.0039 </t>
  </si>
  <si>
    <t xml:space="preserve"> 71.3352 </t>
  </si>
  <si>
    <t xml:space="preserve">F:\images\20210304\plaque 2/@06  Testosterone 11 µg_Ldopé/A6_02.tif </t>
  </si>
  <si>
    <t xml:space="preserve"> 64781.5344 </t>
  </si>
  <si>
    <t xml:space="preserve"> 72.7092 </t>
  </si>
  <si>
    <t xml:space="preserve">F:\images\20210304\plaque 2/@06  Testosterone 11 µg_Ldopé/A6_03.tif </t>
  </si>
  <si>
    <t xml:space="preserve"> 71.7236 </t>
  </si>
  <si>
    <t xml:space="preserve">F:\images\20210304\plaque 2/@06  Testosterone 11 µg_Ldopé/B6_01.tif </t>
  </si>
  <si>
    <t xml:space="preserve"> 57903.2279 </t>
  </si>
  <si>
    <t xml:space="preserve"> 72.3713 </t>
  </si>
  <si>
    <t xml:space="preserve">F:\images\20210304\plaque 2/@06  Testosterone 11 µg_Ldopé/B6_02.tif </t>
  </si>
  <si>
    <t xml:space="preserve"> 55048.0818 </t>
  </si>
  <si>
    <t xml:space="preserve"> 72.1198 </t>
  </si>
  <si>
    <t xml:space="preserve">F:\images\20210304\plaque 2/@06  Testosterone 11 µg_Ldopé/B6_03.tif </t>
  </si>
  <si>
    <t xml:space="preserve"> 73.2681 </t>
  </si>
  <si>
    <t xml:space="preserve">F:\images\20210304\plaque 2/@06  Testosterone 11 µg_Ldopé/C6_01.tif </t>
  </si>
  <si>
    <t xml:space="preserve"> 17325.5456 </t>
  </si>
  <si>
    <t xml:space="preserve"> 66.9675 </t>
  </si>
  <si>
    <t xml:space="preserve">F:\images\20210304\plaque 2/@06  Testosterone 11 µg_Ldopé/C6_02.tif </t>
  </si>
  <si>
    <t xml:space="preserve"> 23100.7275 </t>
  </si>
  <si>
    <t xml:space="preserve"> 67.7537 </t>
  </si>
  <si>
    <t xml:space="preserve">F:\images\20210304\plaque 2/@06  Testosterone 11 µg_Ldopé/C6_03.tif </t>
  </si>
  <si>
    <t xml:space="preserve"> 20461.8803 </t>
  </si>
  <si>
    <t xml:space="preserve"> 69.3203 </t>
  </si>
  <si>
    <t xml:space="preserve">F:\images\20210304\plaque 2/@06  Testosterone 11 µg_Ldopé/D6_01.tif </t>
  </si>
  <si>
    <t xml:space="preserve"> 26128.9127 </t>
  </si>
  <si>
    <t xml:space="preserve"> 68.7666 </t>
  </si>
  <si>
    <t xml:space="preserve">F:\images\20210304\plaque 2/@06  Testosterone 11 µg_Ldopé/D6_02.tif </t>
  </si>
  <si>
    <t xml:space="preserve"> 25999.1333 </t>
  </si>
  <si>
    <t xml:space="preserve"> 69.8577 </t>
  </si>
  <si>
    <t xml:space="preserve">F:\images\20210304\plaque 2/@06  Testosterone 11 µg_Ldopé/D6_03.tif </t>
  </si>
  <si>
    <t xml:space="preserve"> 26929.2188 </t>
  </si>
  <si>
    <t xml:space="preserve"> 69.5526 </t>
  </si>
  <si>
    <t xml:space="preserve">F:\images\20210304\plaque 2/@06  Testosterone 11 µg_Ldopé/E6_01.tif </t>
  </si>
  <si>
    <t xml:space="preserve"> 57016.4022 </t>
  </si>
  <si>
    <t xml:space="preserve"> 77.7185 </t>
  </si>
  <si>
    <t xml:space="preserve">F:\images\20210304\plaque 2/@06  Testosterone 11 µg_Ldopé/E6_02.tif </t>
  </si>
  <si>
    <t xml:space="preserve"> 58033.0073 </t>
  </si>
  <si>
    <t xml:space="preserve"> 77.1278 </t>
  </si>
  <si>
    <t xml:space="preserve">F:\images\20210304\plaque 2/@06  Testosterone 11 µg_Ldopé/E6_03.tif </t>
  </si>
  <si>
    <t xml:space="preserve"> 56086.3168 </t>
  </si>
  <si>
    <t xml:space="preserve"> 77.8315 </t>
  </si>
  <si>
    <t xml:space="preserve">F:\images\20210304\plaque 2/@06  Testosterone 11 µg_Ldopé/F6_01.tif </t>
  </si>
  <si>
    <t xml:space="preserve"> 40447.903 </t>
  </si>
  <si>
    <t xml:space="preserve"> 68.123 </t>
  </si>
  <si>
    <t xml:space="preserve">F:\images\20210304\plaque 2/@06  Testosterone 11 µg_Ldopé/F6_02.tif </t>
  </si>
  <si>
    <t xml:space="preserve"> 43540.9779 </t>
  </si>
  <si>
    <t xml:space="preserve"> 70.1366 </t>
  </si>
  <si>
    <t xml:space="preserve">F:\images\20210304\plaque 2/@06  Testosterone 11 µg_Ldopé/F6_03.tif </t>
  </si>
  <si>
    <t xml:space="preserve"> 34196.8634 </t>
  </si>
  <si>
    <t xml:space="preserve"> 68.1746 </t>
  </si>
  <si>
    <t xml:space="preserve">F:\images\20210304\plaque 2/@06  Testosterone 11 µg_Ldopé/G6_01.tif </t>
  </si>
  <si>
    <t xml:space="preserve"> 56929.8827 </t>
  </si>
  <si>
    <t xml:space="preserve"> 75.0046 </t>
  </si>
  <si>
    <t xml:space="preserve">F:\images\20210304\plaque 2/@06  Testosterone 11 µg_Ldopé/G6_02.tif </t>
  </si>
  <si>
    <t xml:space="preserve"> 51911.7471 </t>
  </si>
  <si>
    <t xml:space="preserve"> 74.2642 </t>
  </si>
  <si>
    <t xml:space="preserve">F:\images\20210304\plaque 2/@06  Testosterone 11 µg_Ldopé/G6_03.tif </t>
  </si>
  <si>
    <t xml:space="preserve"> 51046.5513 </t>
  </si>
  <si>
    <t xml:space="preserve"> 74.9695 </t>
  </si>
  <si>
    <t xml:space="preserve">F:\images\20210304\plaque 2/@06  Testosterone 11 µg_Ldopé/H6_01.tif </t>
  </si>
  <si>
    <t xml:space="preserve"> 37225.0487 </t>
  </si>
  <si>
    <t xml:space="preserve"> 70.4904 </t>
  </si>
  <si>
    <t xml:space="preserve">F:\images\20210304\plaque 2/@06  Testosterone 11 µg_Ldopé/H6_02.tif </t>
  </si>
  <si>
    <t xml:space="preserve"> 41940.3657 </t>
  </si>
  <si>
    <t xml:space="preserve"> 71.2666 </t>
  </si>
  <si>
    <t xml:space="preserve">F:\images\20210304\plaque 2/@06  Testosterone 11 µg_Ldopé/H6_03.tif </t>
  </si>
  <si>
    <t xml:space="preserve"> 37657.6465 </t>
  </si>
  <si>
    <t xml:space="preserve"> 70.4986 </t>
  </si>
  <si>
    <t xml:space="preserve">F:\images\20210304\plaque 2/@06  Testosterone 11 µg_Ldopé/ </t>
  </si>
  <si>
    <t xml:space="preserve"> 71.723 </t>
  </si>
  <si>
    <t xml:space="preserve"> 3.1395 </t>
  </si>
  <si>
    <t xml:space="preserve"> 3236911.08 </t>
  </si>
  <si>
    <t xml:space="preserve"> 1195153.81 </t>
  </si>
  <si>
    <t xml:space="preserve">F:\images\20210304\plaque 2/@07  Testosterone 33 µg_Ldopé/A7_01.tif </t>
  </si>
  <si>
    <t xml:space="preserve"> 43476.0882 </t>
  </si>
  <si>
    <t xml:space="preserve"> 68.8816 </t>
  </si>
  <si>
    <t xml:space="preserve">F:\images\20210304\plaque 2/@07  Testosterone 33 µg_Ldopé/A7_02.tif </t>
  </si>
  <si>
    <t xml:space="preserve"> 47455.9888 </t>
  </si>
  <si>
    <t xml:space="preserve"> 74.366 </t>
  </si>
  <si>
    <t xml:space="preserve">F:\images\20210304\plaque 2/@07  Testosterone 33 µg_Ldopé/A7_03.tif </t>
  </si>
  <si>
    <t xml:space="preserve"> 42221.5543 </t>
  </si>
  <si>
    <t xml:space="preserve"> 72.5497 </t>
  </si>
  <si>
    <t xml:space="preserve">F:\images\20210304\plaque 2/@07  Testosterone 33 µg_Ldopé/B7_01.tif </t>
  </si>
  <si>
    <t xml:space="preserve"> 45530.9282 </t>
  </si>
  <si>
    <t xml:space="preserve"> 71.3658 </t>
  </si>
  <si>
    <t xml:space="preserve">F:\images\20210304\plaque 2/@07  Testosterone 33 µg_Ldopé/B7_02.tif </t>
  </si>
  <si>
    <t xml:space="preserve"> 43951.9459 </t>
  </si>
  <si>
    <t xml:space="preserve"> 71.8898 </t>
  </si>
  <si>
    <t xml:space="preserve">F:\images\20210304\plaque 2/@07  Testosterone 33 µg_Ldopé/B7_03.tif </t>
  </si>
  <si>
    <t xml:space="preserve"> 72.0232 </t>
  </si>
  <si>
    <t xml:space="preserve">F:\images\20210304\plaque 2/@07  Testosterone 33 µg_Ldopé/C7_01.tif </t>
  </si>
  <si>
    <t xml:space="preserve"> 26366.8416 </t>
  </si>
  <si>
    <t xml:space="preserve"> 67.9664 </t>
  </si>
  <si>
    <t xml:space="preserve">F:\images\20210304\plaque 2/@07  Testosterone 33 µg_Ldopé/C7_02.tif </t>
  </si>
  <si>
    <t xml:space="preserve"> 26431.7312 </t>
  </si>
  <si>
    <t xml:space="preserve"> 67.572 </t>
  </si>
  <si>
    <t xml:space="preserve">F:\images\20210304\plaque 2/@07  Testosterone 33 µg_Ldopé/C7_03.tif </t>
  </si>
  <si>
    <t xml:space="preserve"> 28032.3434 </t>
  </si>
  <si>
    <t xml:space="preserve"> 68.3951 </t>
  </si>
  <si>
    <t xml:space="preserve">F:\images\20210304\plaque 2/@07  Testosterone 33 µg_Ldopé/D7_01.tif </t>
  </si>
  <si>
    <t xml:space="preserve"> 22235.5317 </t>
  </si>
  <si>
    <t xml:space="preserve"> 67.1265 </t>
  </si>
  <si>
    <t xml:space="preserve">F:\images\20210304\plaque 2/@07  Testosterone 33 µg_Ldopé/D7_02.tif </t>
  </si>
  <si>
    <t xml:space="preserve"> 19596.6845 </t>
  </si>
  <si>
    <t xml:space="preserve"> 67.3698 </t>
  </si>
  <si>
    <t xml:space="preserve">F:\images\20210304\plaque 2/@07  Testosterone 33 µg_Ldopé/D7_03.tif </t>
  </si>
  <si>
    <t xml:space="preserve"> 24138.9624 </t>
  </si>
  <si>
    <t xml:space="preserve"> 68.0206 </t>
  </si>
  <si>
    <t xml:space="preserve">F:\images\20210304\plaque 2/@07  Testosterone 33 µg_Ldopé/E7_01.tif </t>
  </si>
  <si>
    <t xml:space="preserve"> 17455.325 </t>
  </si>
  <si>
    <t xml:space="preserve"> 66.5564 </t>
  </si>
  <si>
    <t xml:space="preserve">F:\images\20210304\plaque 2/@07  Testosterone 33 µg_Ldopé/E7_02.tif </t>
  </si>
  <si>
    <t xml:space="preserve"> 9603.6732 </t>
  </si>
  <si>
    <t xml:space="preserve"> 63.6486 </t>
  </si>
  <si>
    <t xml:space="preserve">F:\images\20210304\plaque 2/@07  Testosterone 33 µg_Ldopé/E7_03.tif </t>
  </si>
  <si>
    <t xml:space="preserve"> 9582.0433 </t>
  </si>
  <si>
    <t xml:space="preserve"> 63.9029 </t>
  </si>
  <si>
    <t xml:space="preserve">F:\images\20210304\plaque 2/@07  Testosterone 33 µg_Ldopé/F7_01.tif </t>
  </si>
  <si>
    <t xml:space="preserve"> 30714.4504 </t>
  </si>
  <si>
    <t xml:space="preserve"> 71.0035 </t>
  </si>
  <si>
    <t xml:space="preserve">F:\images\20210304\plaque 2/@07  Testosterone 33 µg_Ldopé/F7_02.tif </t>
  </si>
  <si>
    <t xml:space="preserve"> 28313.5321 </t>
  </si>
  <si>
    <t xml:space="preserve"> 72.5661 </t>
  </si>
  <si>
    <t xml:space="preserve">F:\images\20210304\plaque 2/@07  Testosterone 33 µg_Ldopé/F7_03.tif </t>
  </si>
  <si>
    <t xml:space="preserve"> 31168.6782 </t>
  </si>
  <si>
    <t xml:space="preserve"> 72.0083 </t>
  </si>
  <si>
    <t xml:space="preserve">F:\images\20210304\plaque 2/@07  Testosterone 33 µg_Ldopé/G7_01.tif </t>
  </si>
  <si>
    <t xml:space="preserve"> 29697.8453 </t>
  </si>
  <si>
    <t xml:space="preserve"> 68.6468 </t>
  </si>
  <si>
    <t xml:space="preserve">F:\images\20210304\plaque 2/@07  Testosterone 33 µg_Ldopé/G7_02.tif </t>
  </si>
  <si>
    <t xml:space="preserve"> 32055.5038 </t>
  </si>
  <si>
    <t xml:space="preserve"> 68.0108 </t>
  </si>
  <si>
    <t xml:space="preserve">F:\images\20210304\plaque 2/@07  Testosterone 33 µg_Ldopé/G7_03.tif </t>
  </si>
  <si>
    <t xml:space="preserve"> 31341.7173 </t>
  </si>
  <si>
    <t xml:space="preserve"> 68.668 </t>
  </si>
  <si>
    <t xml:space="preserve">F:\images\20210304\plaque 2/@07  Testosterone 33 µg_Ldopé/H7_01.tif </t>
  </si>
  <si>
    <t xml:space="preserve"> 51738.708 </t>
  </si>
  <si>
    <t xml:space="preserve"> 72.967 </t>
  </si>
  <si>
    <t xml:space="preserve">F:\images\20210304\plaque 2/@07  Testosterone 33 µg_Ldopé/H7_02.tif </t>
  </si>
  <si>
    <t xml:space="preserve"> 40036.935 </t>
  </si>
  <si>
    <t xml:space="preserve"> 68.5548 </t>
  </si>
  <si>
    <t xml:space="preserve">F:\images\20210304\plaque 2/@07  Testosterone 33 µg_Ldopé/H7_03.tif </t>
  </si>
  <si>
    <t xml:space="preserve"> 50008.3164 </t>
  </si>
  <si>
    <t xml:space="preserve"> 73.0644 </t>
  </si>
  <si>
    <t xml:space="preserve">F:\images\20210304\plaque 2/@07  Testosterone 33 µg_Ldopé/ </t>
  </si>
  <si>
    <t xml:space="preserve"> 69.4635 </t>
  </si>
  <si>
    <t xml:space="preserve"> 2.874 </t>
  </si>
  <si>
    <t xml:space="preserve"> 2279524.12 </t>
  </si>
  <si>
    <t xml:space="preserve"> 918693.296 </t>
  </si>
  <si>
    <t xml:space="preserve">F:\images\20210304\plaque 2/@08  Testosterone 100 µg_Ldopé/A8_01.tif </t>
  </si>
  <si>
    <t xml:space="preserve"> 32206.9131 </t>
  </si>
  <si>
    <t xml:space="preserve"> 68.9557 </t>
  </si>
  <si>
    <t xml:space="preserve">F:\images\20210304\plaque 2/@08  Testosterone 100 µg_Ldopé/A8_02.tif </t>
  </si>
  <si>
    <t xml:space="preserve"> 37268.3084 </t>
  </si>
  <si>
    <t xml:space="preserve"> 70.7899 </t>
  </si>
  <si>
    <t xml:space="preserve">F:\images\20210304\plaque 2/@08  Testosterone 100 µg_Ldopé/A8_03.tif </t>
  </si>
  <si>
    <t xml:space="preserve"> 70.8852 </t>
  </si>
  <si>
    <t xml:space="preserve">F:\images\20210304\plaque 2/@08  Testosterone 100 µg_Ldopé/B8_01.tif </t>
  </si>
  <si>
    <t xml:space="preserve"> 48126.5155 </t>
  </si>
  <si>
    <t xml:space="preserve"> 73.3187 </t>
  </si>
  <si>
    <t xml:space="preserve">F:\images\20210304\plaque 2/@08  Testosterone 100 µg_Ldopé/B8_02.tif </t>
  </si>
  <si>
    <t xml:space="preserve"> 52712.0532 </t>
  </si>
  <si>
    <t xml:space="preserve"> 73.5224 </t>
  </si>
  <si>
    <t xml:space="preserve">F:\images\20210304\plaque 2/@08  Testosterone 100 µg_Ldopé/B8_03.tif </t>
  </si>
  <si>
    <t xml:space="preserve"> 50440.9143 </t>
  </si>
  <si>
    <t xml:space="preserve"> 73.6055 </t>
  </si>
  <si>
    <t xml:space="preserve">F:\images\20210304\plaque 2/@08  Testosterone 100 µg_Ldopé/C8_01.tif </t>
  </si>
  <si>
    <t xml:space="preserve"> 63.6615 </t>
  </si>
  <si>
    <t xml:space="preserve">F:\images\20210304\plaque 2/@08  Testosterone 100 µg_Ldopé/C8_02.tif </t>
  </si>
  <si>
    <t xml:space="preserve"> 7224.3848 </t>
  </si>
  <si>
    <t xml:space="preserve"> 66.1347 </t>
  </si>
  <si>
    <t>F:\images\20210304\plaque 2/@08  Testosterone 100 µg_Ldopé/C8_03- exclu.tif</t>
  </si>
  <si>
    <t xml:space="preserve">F:\images\20210304\plaque 2/@08  Testosterone 100 µg_Ldopé/D8_01.tif </t>
  </si>
  <si>
    <t xml:space="preserve"> 74.2773 </t>
  </si>
  <si>
    <t xml:space="preserve">F:\images\20210304\plaque 2/@08  Testosterone 100 µg_Ldopé/D8_02.tif </t>
  </si>
  <si>
    <t xml:space="preserve"> 39712.4865 </t>
  </si>
  <si>
    <t xml:space="preserve"> 74.024 </t>
  </si>
  <si>
    <t xml:space="preserve">F:\images\20210304\plaque 2/@08  Testosterone 100 µg_Ldopé/D8_03.tif </t>
  </si>
  <si>
    <t xml:space="preserve"> 37052.0095 </t>
  </si>
  <si>
    <t xml:space="preserve"> 72.2376 </t>
  </si>
  <si>
    <t>F:\images\20210304\plaque 2/@08  Testosterone 100 µg_Ldopé/E8_01- exclu.tif</t>
  </si>
  <si>
    <t>F:\images\20210304\plaque 2/@08  Testosterone 100 µg_Ldopé/E8_02- exclu.tif</t>
  </si>
  <si>
    <t>F:\images\20210304\plaque 2/@08  Testosterone 100 µg_Ldopé/E8_03- exclu.tif</t>
  </si>
  <si>
    <t xml:space="preserve">F:\images\20210304\plaque 2/@08  Testosterone 100 µg_Ldopé/F8_01.tif </t>
  </si>
  <si>
    <t xml:space="preserve"> 67.987 </t>
  </si>
  <si>
    <t xml:space="preserve">F:\images\20210304\plaque 2/@08  Testosterone 100 µg_Ldopé/F8_02.tif </t>
  </si>
  <si>
    <t xml:space="preserve"> 31017.2689 </t>
  </si>
  <si>
    <t xml:space="preserve"> 68.7315 </t>
  </si>
  <si>
    <t xml:space="preserve">F:\images\20210304\plaque 2/@08  Testosterone 100 µg_Ldopé/F8_03.tif </t>
  </si>
  <si>
    <t xml:space="preserve"> 26648.0302 </t>
  </si>
  <si>
    <t xml:space="preserve"> 68.0609 </t>
  </si>
  <si>
    <t xml:space="preserve">F:\images\20210304\plaque 2/@08  Testosterone 100 µg_Ldopé/G8_01.tif </t>
  </si>
  <si>
    <t xml:space="preserve"> 25609.7952 </t>
  </si>
  <si>
    <t xml:space="preserve"> 67.8057 </t>
  </si>
  <si>
    <t xml:space="preserve">F:\images\20210304\plaque 2/@08  Testosterone 100 µg_Ldopé/G8_02.tif </t>
  </si>
  <si>
    <t xml:space="preserve"> 30584.671 </t>
  </si>
  <si>
    <t xml:space="preserve"> 68.3529 </t>
  </si>
  <si>
    <t xml:space="preserve">F:\images\20210304\plaque 2/@08  Testosterone 100 µg_Ldopé/G8_03.tif </t>
  </si>
  <si>
    <t xml:space="preserve"> 23252.1367 </t>
  </si>
  <si>
    <t xml:space="preserve"> 66.0102 </t>
  </si>
  <si>
    <t>F:\images\20210304\plaque 2/@08  Testosterone 100 µg_Ldopé/H8_01- exclu.tif</t>
  </si>
  <si>
    <t xml:space="preserve">F:\images\20210304\plaque 2/@08  Testosterone 100 µg_Ldopé/H8_02.tif </t>
  </si>
  <si>
    <t xml:space="preserve"> 38890.5505 </t>
  </si>
  <si>
    <t xml:space="preserve"> 71.2764 </t>
  </si>
  <si>
    <t xml:space="preserve">F:\images\20210304\plaque 2/@08  Testosterone 100 µg_Ldopé/H8_03.tif </t>
  </si>
  <si>
    <t xml:space="preserve"> 40815.6112 </t>
  </si>
  <si>
    <t xml:space="preserve"> 70.9062 </t>
  </si>
  <si>
    <t xml:space="preserve">F:\images\20210304\plaque 2/@08  Testosterone 100 µg_Ldopé/ </t>
  </si>
  <si>
    <t xml:space="preserve"> 69.1817 </t>
  </si>
  <si>
    <t xml:space="preserve"> 3.4761 </t>
  </si>
  <si>
    <t xml:space="preserve"> 2017300.38 </t>
  </si>
  <si>
    <t xml:space="preserve"> 1165440.06 </t>
  </si>
  <si>
    <t xml:space="preserve">F:\images\20210304\plaque 2/@09  Testosterone 300 µg_L dopé/A9_01.tif </t>
  </si>
  <si>
    <t xml:space="preserve"> 50051.5762 </t>
  </si>
  <si>
    <t xml:space="preserve"> 73.6984 </t>
  </si>
  <si>
    <t xml:space="preserve">F:\images\20210304\plaque 2/@09  Testosterone 300 µg_L dopé/A9_02.tif </t>
  </si>
  <si>
    <t xml:space="preserve"> 57254.3311 </t>
  </si>
  <si>
    <t xml:space="preserve"> 74.926 </t>
  </si>
  <si>
    <t xml:space="preserve">F:\images\20210304\plaque 2/@09  Testosterone 300 µg_L dopé/A9_03.tif </t>
  </si>
  <si>
    <t xml:space="preserve"> 45833.7467 </t>
  </si>
  <si>
    <t xml:space="preserve"> 75.411 </t>
  </si>
  <si>
    <t xml:space="preserve">F:\images\20210304\plaque 2/@09  Testosterone 300 µg_L dopé/B9_01.tif </t>
  </si>
  <si>
    <t xml:space="preserve"> 64067.7479 </t>
  </si>
  <si>
    <t xml:space="preserve"> 73.4203 </t>
  </si>
  <si>
    <t>F:\images\20210304\plaque 2/@09  Testosterone 300 µg_L dopé/B9_02- exclu.tif</t>
  </si>
  <si>
    <t xml:space="preserve">F:\images\20210304\plaque 2/@09  Testosterone 300 µg_L dopé/B9_03.tif </t>
  </si>
  <si>
    <t xml:space="preserve"> 64630.1252 </t>
  </si>
  <si>
    <t xml:space="preserve"> 71.8705 </t>
  </si>
  <si>
    <t xml:space="preserve">F:\images\20210304\plaque 2/@09  Testosterone 300 µg_L dopé/C9_01.tif </t>
  </si>
  <si>
    <t xml:space="preserve"> 57102.9218 </t>
  </si>
  <si>
    <t xml:space="preserve"> 74.6174 </t>
  </si>
  <si>
    <t xml:space="preserve">F:\images\20210304\plaque 2/@09  Testosterone 300 µg_L dopé/C9_02.tif </t>
  </si>
  <si>
    <t xml:space="preserve"> 65279.022 </t>
  </si>
  <si>
    <t xml:space="preserve"> 75.1478 </t>
  </si>
  <si>
    <t xml:space="preserve">F:\images\20210304\plaque 2/@09  Testosterone 300 µg_L dopé/C9_03.tif </t>
  </si>
  <si>
    <t xml:space="preserve"> 58054.6372 </t>
  </si>
  <si>
    <t xml:space="preserve"> 74.1121 </t>
  </si>
  <si>
    <t xml:space="preserve">F:\images\20210304\plaque 2/@09  Testosterone 300 µg_L dopé/D9_01.tif </t>
  </si>
  <si>
    <t xml:space="preserve"> 41832.2162 </t>
  </si>
  <si>
    <t xml:space="preserve"> 69.7828 </t>
  </si>
  <si>
    <t xml:space="preserve">F:\images\20210304\plaque 2/@09  Testosterone 300 µg_L dopé/D9_02.tif </t>
  </si>
  <si>
    <t xml:space="preserve"> 50159.7256 </t>
  </si>
  <si>
    <t xml:space="preserve"> 72.6244 </t>
  </si>
  <si>
    <t xml:space="preserve">F:\images\20210304\plaque 2/@09  Testosterone 300 µg_L dopé/D9_03.tif </t>
  </si>
  <si>
    <t xml:space="preserve"> 70.8807 </t>
  </si>
  <si>
    <t xml:space="preserve">F:\images\20210304\plaque 2/@09  Testosterone 300 µg_L dopé/E9_01.tif </t>
  </si>
  <si>
    <t xml:space="preserve"> 28335.162 </t>
  </si>
  <si>
    <t xml:space="preserve"> 69.6618 </t>
  </si>
  <si>
    <t xml:space="preserve">F:\images\20210304\plaque 2/@09  Testosterone 300 µg_L dopé/E9_02.tif </t>
  </si>
  <si>
    <t xml:space="preserve"> 30930.7493 </t>
  </si>
  <si>
    <t xml:space="preserve"> 70.3923 </t>
  </si>
  <si>
    <t xml:space="preserve">F:\images\20210304\plaque 2/@09  Testosterone 300 µg_L dopé/E9_03.tif </t>
  </si>
  <si>
    <t xml:space="preserve"> 30909.1194 </t>
  </si>
  <si>
    <t xml:space="preserve"> 71.0084 </t>
  </si>
  <si>
    <t xml:space="preserve">F:\images\20210304\plaque 2/@09  Testosterone 300 µg_L dopé/F9_01.tif </t>
  </si>
  <si>
    <t xml:space="preserve"> 55740.2385 </t>
  </si>
  <si>
    <t xml:space="preserve"> 76.5871 </t>
  </si>
  <si>
    <t xml:space="preserve">F:\images\20210304\plaque 2/@09  Testosterone 300 µg_L dopé/F9_02.tif </t>
  </si>
  <si>
    <t xml:space="preserve"> 54766.8932 </t>
  </si>
  <si>
    <t xml:space="preserve"> 75.0166 </t>
  </si>
  <si>
    <t xml:space="preserve">F:\images\20210304\plaque 2/@09  Testosterone 300 µg_L dopé/F9_03.tif </t>
  </si>
  <si>
    <t xml:space="preserve"> 48775.4124 </t>
  </si>
  <si>
    <t xml:space="preserve"> 74.2111 </t>
  </si>
  <si>
    <t xml:space="preserve">F:\images\20210304\plaque 2/@09  Testosterone 300 µg_L dopé/G9_01.tif </t>
  </si>
  <si>
    <t xml:space="preserve"> 37138.5291 </t>
  </si>
  <si>
    <t xml:space="preserve"> 73.4164 </t>
  </si>
  <si>
    <t xml:space="preserve">F:\images\20210304\plaque 2/@09  Testosterone 300 µg_L dopé/G9_02.tif </t>
  </si>
  <si>
    <t xml:space="preserve"> 39669.2267 </t>
  </si>
  <si>
    <t xml:space="preserve"> 74.3757 </t>
  </si>
  <si>
    <t xml:space="preserve">F:\images\20210304\plaque 2/@09  Testosterone 300 µg_L dopé/G9_03.tif </t>
  </si>
  <si>
    <t xml:space="preserve"> 36576.1518 </t>
  </si>
  <si>
    <t xml:space="preserve"> 74.8462 </t>
  </si>
  <si>
    <t xml:space="preserve">F:\images\20210304\plaque 2/@09  Testosterone 300 µg_L dopé/H9_01.tif </t>
  </si>
  <si>
    <t xml:space="preserve"> 25977.5034 </t>
  </si>
  <si>
    <t xml:space="preserve"> 71.0733 </t>
  </si>
  <si>
    <t xml:space="preserve">F:\images\20210304\plaque 2/@09  Testosterone 300 µg_L dopé/H9_02.tif </t>
  </si>
  <si>
    <t xml:space="preserve"> 30454.8916 </t>
  </si>
  <si>
    <t xml:space="preserve"> 73.0881 </t>
  </si>
  <si>
    <t xml:space="preserve">F:\images\20210304\plaque 2/@09  Testosterone 300 µg_L dopé/H9_03.tif </t>
  </si>
  <si>
    <t xml:space="preserve"> 28962.4289 </t>
  </si>
  <si>
    <t xml:space="preserve"> 71.6042 </t>
  </si>
  <si>
    <t xml:space="preserve">F:\images\20210304\plaque 2/@09  Testosterone 300 µg_L dopé/ </t>
  </si>
  <si>
    <t xml:space="preserve"> 72.7423 </t>
  </si>
  <si>
    <t xml:space="preserve"> 2.6783 </t>
  </si>
  <si>
    <t xml:space="preserve"> 3248779.5 </t>
  </si>
  <si>
    <t xml:space="preserve"> 1049532.7 </t>
  </si>
  <si>
    <t>Colonne1</t>
  </si>
  <si>
    <t>01 Evian + 0.2% DMSO</t>
  </si>
  <si>
    <t>02 EE2 33.8</t>
  </si>
  <si>
    <t>03 EE2 50.6</t>
  </si>
  <si>
    <t>04 EE2 76</t>
  </si>
  <si>
    <t>05 EE2 114</t>
  </si>
  <si>
    <t>06 EE2 170.9</t>
  </si>
  <si>
    <t>07 EE2 488</t>
  </si>
  <si>
    <t>08 Testosterone 3.7 µg_L</t>
  </si>
  <si>
    <t>09  Testosterone 11 µg_L</t>
  </si>
  <si>
    <t>10  Testosterone 33 µg_L</t>
  </si>
  <si>
    <t>11  Testosterone 100 µg_L</t>
  </si>
  <si>
    <t>12  Testosterone 300 µg_L</t>
  </si>
  <si>
    <t>01 Testo 30</t>
  </si>
  <si>
    <t>02 Testo 30</t>
  </si>
  <si>
    <t>03 Testo+ EE2 64</t>
  </si>
  <si>
    <t>04 Testo+ FAD</t>
  </si>
  <si>
    <t>05 Testosterone 3.7 µg_L dopé</t>
  </si>
  <si>
    <t>06  Testosterone 11 µg_Ldopé</t>
  </si>
  <si>
    <t>07  Testosterone 33 µg_Ldopé</t>
  </si>
  <si>
    <t>08  Testosterone 100 µg_Ldopé</t>
  </si>
  <si>
    <t>09  Testosterone 300 µg_L dopé</t>
  </si>
  <si>
    <t>B</t>
  </si>
  <si>
    <t>C</t>
  </si>
  <si>
    <t>D</t>
  </si>
  <si>
    <t>E</t>
  </si>
  <si>
    <t>F</t>
  </si>
  <si>
    <t>G</t>
  </si>
  <si>
    <t>H</t>
  </si>
  <si>
    <t xml:space="preserve">F:\images\20210305\plaque 1/@01 Evian + 0.2% DMSO/A1_01.tif </t>
  </si>
  <si>
    <t xml:space="preserve"> 346.0783 </t>
  </si>
  <si>
    <t xml:space="preserve"> 63.1875 </t>
  </si>
  <si>
    <t xml:space="preserve">F:\images\20210305\plaque 1/@01 Evian + 0.2% DMSO/A1_02.tif </t>
  </si>
  <si>
    <t xml:space="preserve"> 63.375 </t>
  </si>
  <si>
    <t xml:space="preserve">F:\images\20210305\plaque 1/@01 Evian + 0.2% DMSO/A1_03.tif </t>
  </si>
  <si>
    <t xml:space="preserve"> 63.12 </t>
  </si>
  <si>
    <t xml:space="preserve">F:\images\20210305\plaque 1/@01 Evian + 0.2% DMSO/B1_01.tif </t>
  </si>
  <si>
    <t xml:space="preserve"> 65.3333 </t>
  </si>
  <si>
    <t xml:space="preserve">F:\images\20210305\plaque 1/@01 Evian + 0.2% DMSO/B1_02.tif </t>
  </si>
  <si>
    <t xml:space="preserve"> 63.9 </t>
  </si>
  <si>
    <t xml:space="preserve">F:\images\20210305\plaque 1/@01 Evian + 0.2% DMSO/B1_03.tif </t>
  </si>
  <si>
    <t xml:space="preserve"> 432.5979 </t>
  </si>
  <si>
    <t xml:space="preserve"> 65.9 </t>
  </si>
  <si>
    <t xml:space="preserve">F:\images\20210305\plaque 1/@01 Evian + 0.2% DMSO/C1_01.tif </t>
  </si>
  <si>
    <t xml:space="preserve"> 259.5587 </t>
  </si>
  <si>
    <t xml:space="preserve"> 63.3333 </t>
  </si>
  <si>
    <t xml:space="preserve">F:\images\20210305\plaque 1/@01 Evian + 0.2% DMSO/C1_02.tif </t>
  </si>
  <si>
    <t xml:space="preserve"> 62.9091 </t>
  </si>
  <si>
    <t xml:space="preserve">F:\images\20210305\plaque 1/@01 Evian + 0.2% DMSO/C1_03.tif </t>
  </si>
  <si>
    <t xml:space="preserve"> 67.4286 </t>
  </si>
  <si>
    <t xml:space="preserve">F:\images\20210305\plaque 1/@01 Evian + 0.2% DMSO/D1_01.tif </t>
  </si>
  <si>
    <t xml:space="preserve"> 83.8333 </t>
  </si>
  <si>
    <t xml:space="preserve">F:\images\20210305\plaque 1/@01 Evian + 0.2% DMSO/D1_02.tif </t>
  </si>
  <si>
    <t xml:space="preserve"> 5926.5911 </t>
  </si>
  <si>
    <t xml:space="preserve"> 73.562 </t>
  </si>
  <si>
    <t xml:space="preserve">F:\images\20210305\plaque 1/@01 Evian + 0.2% DMSO/D1_03.tif </t>
  </si>
  <si>
    <t xml:space="preserve"> 4607.1676 </t>
  </si>
  <si>
    <t xml:space="preserve"> 68.2441 </t>
  </si>
  <si>
    <t xml:space="preserve">F:\images\20210305\plaque 1/@01 Evian + 0.2% DMSO/E1_01.tif </t>
  </si>
  <si>
    <t xml:space="preserve"> 5407.4737 </t>
  </si>
  <si>
    <t xml:space="preserve"> 68.112 </t>
  </si>
  <si>
    <t xml:space="preserve">F:\images\20210305\plaque 1/@01 Evian + 0.2% DMSO/E1_02.tif </t>
  </si>
  <si>
    <t xml:space="preserve"> 69.7 </t>
  </si>
  <si>
    <t xml:space="preserve">F:\images\20210305\plaque 1/@01 Evian + 0.2% DMSO/E1_03.tif </t>
  </si>
  <si>
    <t xml:space="preserve"> 2703.7368 </t>
  </si>
  <si>
    <t xml:space="preserve"> 66.232 </t>
  </si>
  <si>
    <t xml:space="preserve">F:\images\20210305\plaque 1/@01 Evian + 0.2% DMSO/F1_01.tif </t>
  </si>
  <si>
    <t xml:space="preserve"> 1016.605 </t>
  </si>
  <si>
    <t xml:space="preserve"> 62.8723 </t>
  </si>
  <si>
    <t xml:space="preserve">F:\images\20210305\plaque 1/@01 Evian + 0.2% DMSO/F1_02.tif </t>
  </si>
  <si>
    <t xml:space="preserve"> 62.9615 </t>
  </si>
  <si>
    <t xml:space="preserve">F:\images\20210305\plaque 1/@01 Evian + 0.2% DMSO/F1_03.tif </t>
  </si>
  <si>
    <t xml:space="preserve"> 61.5294 </t>
  </si>
  <si>
    <t xml:space="preserve">F:\images\20210305\plaque 1/@01 Evian + 0.2% DMSO/G1_01.tif </t>
  </si>
  <si>
    <t xml:space="preserve"> 63.75 </t>
  </si>
  <si>
    <t xml:space="preserve">F:\images\20210305\plaque 1/@01 Evian + 0.2% DMSO/G1_02.tif </t>
  </si>
  <si>
    <t xml:space="preserve">F:\images\20210305\plaque 1/@01 Evian + 0.2% DMSO/G1_03.tif </t>
  </si>
  <si>
    <t xml:space="preserve"> 65.4545 </t>
  </si>
  <si>
    <t xml:space="preserve">F:\images\20210305\plaque 1/@01 Evian + 0.2% DMSO/H1_01.tif </t>
  </si>
  <si>
    <t xml:space="preserve"> 65.3 </t>
  </si>
  <si>
    <t xml:space="preserve">F:\images\20210305\plaque 1/@01 Evian + 0.2% DMSO/H1_02.tif </t>
  </si>
  <si>
    <t xml:space="preserve"> 64.5882 </t>
  </si>
  <si>
    <t xml:space="preserve">F:\images\20210305\plaque 1/@01 Evian + 0.2% DMSO/H1_03.tif </t>
  </si>
  <si>
    <t xml:space="preserve">F:\images\20210305\plaque 1/@01 Evian + 0.2% DMSO/ </t>
  </si>
  <si>
    <t xml:space="preserve"> 65.9141 </t>
  </si>
  <si>
    <t xml:space="preserve"> 4.6831 </t>
  </si>
  <si>
    <t xml:space="preserve"> 111008.292 </t>
  </si>
  <si>
    <t xml:space="preserve"> 160514.269 </t>
  </si>
  <si>
    <t xml:space="preserve">F:\images\20210305\plaque 1/@02 EE2 33.8/A2_01.tif </t>
  </si>
  <si>
    <t xml:space="preserve"> 62.2941 </t>
  </si>
  <si>
    <t xml:space="preserve">F:\images\20210305\plaque 1/@02 EE2 33.8/A2_02.tif </t>
  </si>
  <si>
    <t xml:space="preserve"> 63.2558 </t>
  </si>
  <si>
    <t xml:space="preserve">F:\images\20210305\plaque 1/@02 EE2 33.8/A2_03.tif </t>
  </si>
  <si>
    <t xml:space="preserve"> 67.9864 </t>
  </si>
  <si>
    <t xml:space="preserve">F:\images\20210305\plaque 1/@02 EE2 33.8/B2_01.tif </t>
  </si>
  <si>
    <t xml:space="preserve"> 1578.9823 </t>
  </si>
  <si>
    <t xml:space="preserve"> 65.1233 </t>
  </si>
  <si>
    <t xml:space="preserve">F:\images\20210305\plaque 1/@02 EE2 33.8/B2_02.tif </t>
  </si>
  <si>
    <t xml:space="preserve"> 3915.0109 </t>
  </si>
  <si>
    <t xml:space="preserve"> 72.3315 </t>
  </si>
  <si>
    <t xml:space="preserve">F:\images\20210305\plaque 1/@02 EE2 33.8/B2_03.tif </t>
  </si>
  <si>
    <t xml:space="preserve"> 3439.1532 </t>
  </si>
  <si>
    <t xml:space="preserve"> 70.7044 </t>
  </si>
  <si>
    <t xml:space="preserve">F:\images\20210305\plaque 1/@02 EE2 33.8/C2_01.tif </t>
  </si>
  <si>
    <t xml:space="preserve"> 63.2727 </t>
  </si>
  <si>
    <t xml:space="preserve">F:\images\20210305\plaque 1/@02 EE2 33.8/C2_02.tif </t>
  </si>
  <si>
    <t xml:space="preserve"> 62.7778 </t>
  </si>
  <si>
    <t xml:space="preserve">F:\images\20210305\plaque 1/@02 EE2 33.8/C2_03.tif </t>
  </si>
  <si>
    <t xml:space="preserve"> 62.2353 </t>
  </si>
  <si>
    <t xml:space="preserve">F:\images\20210305\plaque 1/@02 EE2 33.8/D2_01.tif </t>
  </si>
  <si>
    <t xml:space="preserve"> 63.9846 </t>
  </si>
  <si>
    <t xml:space="preserve">F:\images\20210305\plaque 1/@02 EE2 33.8/D2_02.tif </t>
  </si>
  <si>
    <t xml:space="preserve"> 64.5385 </t>
  </si>
  <si>
    <t xml:space="preserve">F:\images\20210305\plaque 1/@02 EE2 33.8/D2_03.tif </t>
  </si>
  <si>
    <t xml:space="preserve"> 63.1702 </t>
  </si>
  <si>
    <t xml:space="preserve">F:\images\20210305\plaque 1/@02 EE2 33.8/E2_01.tif </t>
  </si>
  <si>
    <t xml:space="preserve"> 64.5098 </t>
  </si>
  <si>
    <t xml:space="preserve">F:\images\20210305\plaque 1/@02 EE2 33.8/E2_02.tif </t>
  </si>
  <si>
    <t xml:space="preserve"> 62.7188 </t>
  </si>
  <si>
    <t xml:space="preserve">F:\images\20210305\plaque 1/@02 EE2 33.8/E2_03.tif </t>
  </si>
  <si>
    <t xml:space="preserve"> 62.2222 </t>
  </si>
  <si>
    <t>F:\images\20210305\plaque 1/@02 EE2 33.8/F2_01- exclu.tif</t>
  </si>
  <si>
    <t xml:space="preserve">F:\images\20210305\plaque 1/@02 EE2 33.8/F2_02.tif </t>
  </si>
  <si>
    <t xml:space="preserve"> 63.1111 </t>
  </si>
  <si>
    <t xml:space="preserve">F:\images\20210305\plaque 1/@02 EE2 33.8/F2_03.tif </t>
  </si>
  <si>
    <t xml:space="preserve"> 65.2632 </t>
  </si>
  <si>
    <t xml:space="preserve">F:\images\20210305\plaque 1/@02 EE2 33.8/G2_01.tif </t>
  </si>
  <si>
    <t xml:space="preserve">F:\images\20210305\plaque 1/@02 EE2 33.8/G2_02.tif </t>
  </si>
  <si>
    <t xml:space="preserve"> 63.9868 </t>
  </si>
  <si>
    <t xml:space="preserve">F:\images\20210305\plaque 1/@02 EE2 33.8/G2_03.tif </t>
  </si>
  <si>
    <t xml:space="preserve">F:\images\20210305\plaque 1/@02 EE2 33.8/H2_01.tif </t>
  </si>
  <si>
    <t xml:space="preserve"> 1470.8328 </t>
  </si>
  <si>
    <t xml:space="preserve"> 64.1765 </t>
  </si>
  <si>
    <t xml:space="preserve">F:\images\20210305\plaque 1/@02 EE2 33.8/H2_02.tif </t>
  </si>
  <si>
    <t xml:space="preserve"> 63.2143 </t>
  </si>
  <si>
    <t xml:space="preserve">F:\images\20210305\plaque 1/@02 EE2 33.8/H2_03.tif </t>
  </si>
  <si>
    <t xml:space="preserve"> 67.61 </t>
  </si>
  <si>
    <t xml:space="preserve">F:\images\20210305\plaque 1/@02 EE2 33.8/ </t>
  </si>
  <si>
    <t xml:space="preserve"> 64.4647 </t>
  </si>
  <si>
    <t xml:space="preserve"> 2.6443 </t>
  </si>
  <si>
    <t xml:space="preserve"> 90684.2083 </t>
  </si>
  <si>
    <t xml:space="preserve"> 101839.446 </t>
  </si>
  <si>
    <t xml:space="preserve">F:\images\20210305\plaque 1/@03 EE2 50.6/A3_01.tif </t>
  </si>
  <si>
    <t xml:space="preserve"> 62.9286 </t>
  </si>
  <si>
    <t xml:space="preserve">F:\images\20210305\plaque 1/@03 EE2 50.6/A3_02.tif </t>
  </si>
  <si>
    <t xml:space="preserve"> 6402.4488 </t>
  </si>
  <si>
    <t xml:space="preserve"> 75.7736 </t>
  </si>
  <si>
    <t xml:space="preserve">F:\images\20210305\plaque 1/@03 EE2 50.6/A3_03.tif </t>
  </si>
  <si>
    <t xml:space="preserve"> 73.3209 </t>
  </si>
  <si>
    <t xml:space="preserve">F:\images\20210305\plaque 1/@03 EE2 50.6/B3_01.tif </t>
  </si>
  <si>
    <t xml:space="preserve"> 4325.9789 </t>
  </si>
  <si>
    <t xml:space="preserve"> 65.86 </t>
  </si>
  <si>
    <t xml:space="preserve">F:\images\20210305\plaque 1/@03 EE2 50.6/B3_02.tif </t>
  </si>
  <si>
    <t xml:space="preserve"> 7938.1713 </t>
  </si>
  <si>
    <t xml:space="preserve"> 67.2153 </t>
  </si>
  <si>
    <t xml:space="preserve">F:\images\20210305\plaque 1/@03 EE2 50.6/B3_03.tif </t>
  </si>
  <si>
    <t xml:space="preserve"> 4434.1284 </t>
  </si>
  <si>
    <t xml:space="preserve"> 65.0585 </t>
  </si>
  <si>
    <t xml:space="preserve">F:\images\20210305\plaque 1/@03 EE2 50.6/C3_01.tif </t>
  </si>
  <si>
    <t xml:space="preserve"> 65.4286 </t>
  </si>
  <si>
    <t xml:space="preserve">F:\images\20210305\plaque 1/@03 EE2 50.6/C3_02.tif </t>
  </si>
  <si>
    <t xml:space="preserve"> 62.1905 </t>
  </si>
  <si>
    <t xml:space="preserve">F:\images\20210305\plaque 1/@03 EE2 50.6/C3_03.tif </t>
  </si>
  <si>
    <t xml:space="preserve"> 843.5659 </t>
  </si>
  <si>
    <t xml:space="preserve"> 64.6923 </t>
  </si>
  <si>
    <t xml:space="preserve">F:\images\20210305\plaque 1/@03 EE2 50.6/D3_01.tif </t>
  </si>
  <si>
    <t xml:space="preserve"> 1427.573 </t>
  </si>
  <si>
    <t xml:space="preserve"> 68.0303 </t>
  </si>
  <si>
    <t xml:space="preserve">F:\images\20210305\plaque 1/@03 EE2 50.6/D3_02.tif </t>
  </si>
  <si>
    <t xml:space="preserve"> 63.697 </t>
  </si>
  <si>
    <t xml:space="preserve">F:\images\20210305\plaque 1/@03 EE2 50.6/D3_03.tif </t>
  </si>
  <si>
    <t xml:space="preserve"> 64.1 </t>
  </si>
  <si>
    <t xml:space="preserve">F:\images\20210305\plaque 1/@03 EE2 50.6/E3_01.tif </t>
  </si>
  <si>
    <t xml:space="preserve"> 80.6376 </t>
  </si>
  <si>
    <t xml:space="preserve">F:\images\20210305\plaque 1/@03 EE2 50.6/E3_02.tif </t>
  </si>
  <si>
    <t xml:space="preserve"> 519.1175 </t>
  </si>
  <si>
    <t xml:space="preserve"> 64.5833 </t>
  </si>
  <si>
    <t xml:space="preserve">F:\images\20210305\plaque 1/@03 EE2 50.6/E3_03.tif </t>
  </si>
  <si>
    <t xml:space="preserve"> 8003.061 </t>
  </si>
  <si>
    <t xml:space="preserve"> 74.1946 </t>
  </si>
  <si>
    <t xml:space="preserve">F:\images\20210305\plaque 1/@03 EE2 50.6/F3_01.tif </t>
  </si>
  <si>
    <t xml:space="preserve"> 3936.6408 </t>
  </si>
  <si>
    <t xml:space="preserve"> 63.7088 </t>
  </si>
  <si>
    <t xml:space="preserve">F:\images\20210305\plaque 1/@03 EE2 50.6/F3_02.tif </t>
  </si>
  <si>
    <t xml:space="preserve"> 64.5282 </t>
  </si>
  <si>
    <t xml:space="preserve">F:\images\20210305\plaque 1/@03 EE2 50.6/F3_03.tif </t>
  </si>
  <si>
    <t xml:space="preserve"> 4390.8686 </t>
  </si>
  <si>
    <t xml:space="preserve"> 64.0148 </t>
  </si>
  <si>
    <t xml:space="preserve">F:\images\20210305\plaque 1/@03 EE2 50.6/G3_01.tif </t>
  </si>
  <si>
    <t xml:space="preserve"> 64.3894 </t>
  </si>
  <si>
    <t xml:space="preserve">F:\images\20210305\plaque 1/@03 EE2 50.6/G3_02.tif </t>
  </si>
  <si>
    <t xml:space="preserve"> 800.3061 </t>
  </si>
  <si>
    <t xml:space="preserve"> 62.2162 </t>
  </si>
  <si>
    <t xml:space="preserve">F:\images\20210305\plaque 1/@03 EE2 50.6/G3_03.tif </t>
  </si>
  <si>
    <t xml:space="preserve"> 3266.1141 </t>
  </si>
  <si>
    <t xml:space="preserve"> 64.543 </t>
  </si>
  <si>
    <t xml:space="preserve">F:\images\20210305\plaque 1/@03 EE2 50.6/H3_01.tif </t>
  </si>
  <si>
    <t xml:space="preserve"> 63.6923 </t>
  </si>
  <si>
    <t xml:space="preserve">F:\images\20210305\plaque 1/@03 EE2 50.6/H3_02.tif </t>
  </si>
  <si>
    <t xml:space="preserve"> 62.8846 </t>
  </si>
  <si>
    <t xml:space="preserve">F:\images\20210305\plaque 1/@03 EE2 50.6/H3_03.tif </t>
  </si>
  <si>
    <t xml:space="preserve">F:\images\20210305\plaque 1/@03 EE2 50.6/ </t>
  </si>
  <si>
    <t xml:space="preserve"> 66.3047 </t>
  </si>
  <si>
    <t xml:space="preserve"> 4.7675 </t>
  </si>
  <si>
    <t xml:space="preserve"> 209201.625 </t>
  </si>
  <si>
    <t xml:space="preserve"> 195243.983 </t>
  </si>
  <si>
    <t xml:space="preserve">F:\images\20210305\plaque 1/@04 EE2 76/A4_01.tif </t>
  </si>
  <si>
    <t xml:space="preserve"> 10360.7195 </t>
  </si>
  <si>
    <t xml:space="preserve"> 72.8643 </t>
  </si>
  <si>
    <t xml:space="preserve">F:\images\20210305\plaque 1/@04 EE2 76/A4_02.tif </t>
  </si>
  <si>
    <t xml:space="preserve"> 8543.8084 </t>
  </si>
  <si>
    <t xml:space="preserve"> 69.438 </t>
  </si>
  <si>
    <t xml:space="preserve">F:\images\20210305\plaque 1/@04 EE2 76/A4_03.tif </t>
  </si>
  <si>
    <t xml:space="preserve"> 62.9307 </t>
  </si>
  <si>
    <t xml:space="preserve">F:\images\20210305\plaque 1/@04 EE2 76/B4_01.tif </t>
  </si>
  <si>
    <t xml:space="preserve"> 14275.7305 </t>
  </si>
  <si>
    <t xml:space="preserve"> 72.3439 </t>
  </si>
  <si>
    <t xml:space="preserve">F:\images\20210305\plaque 1/@04 EE2 76/B4_02.tif </t>
  </si>
  <si>
    <t xml:space="preserve"> 7462.3136 </t>
  </si>
  <si>
    <t xml:space="preserve"> 66.6464 </t>
  </si>
  <si>
    <t xml:space="preserve">F:\images\20210305\plaque 1/@04 EE2 76/B4_03.tif </t>
  </si>
  <si>
    <t xml:space="preserve"> 6532.2282 </t>
  </si>
  <si>
    <t xml:space="preserve"> 66.5397 </t>
  </si>
  <si>
    <t xml:space="preserve">F:\images\20210305\plaque 1/@04 EE2 76/C4_01.tif </t>
  </si>
  <si>
    <t xml:space="preserve"> 25717.9447 </t>
  </si>
  <si>
    <t xml:space="preserve"> 71.5214 </t>
  </si>
  <si>
    <t xml:space="preserve">F:\images\20210305\plaque 1/@04 EE2 76/C4_02.tif </t>
  </si>
  <si>
    <t xml:space="preserve"> 27037.3683 </t>
  </si>
  <si>
    <t xml:space="preserve"> 72.1128 </t>
  </si>
  <si>
    <t xml:space="preserve">F:\images\20210305\plaque 1/@04 EE2 76/C4_03.tif </t>
  </si>
  <si>
    <t xml:space="preserve"> 26237.0622 </t>
  </si>
  <si>
    <t xml:space="preserve"> 71.2325 </t>
  </si>
  <si>
    <t xml:space="preserve">F:\images\20210305\plaque 1/@04 EE2 76/D4_01.tif </t>
  </si>
  <si>
    <t xml:space="preserve"> 21154.0369 </t>
  </si>
  <si>
    <t xml:space="preserve"> 67.8528 </t>
  </si>
  <si>
    <t xml:space="preserve">F:\images\20210305\plaque 1/@04 EE2 76/D4_02.tif </t>
  </si>
  <si>
    <t xml:space="preserve"> 22733.0193 </t>
  </si>
  <si>
    <t xml:space="preserve"> 68.8792 </t>
  </si>
  <si>
    <t xml:space="preserve">F:\images\20210305\plaque 1/@04 EE2 76/D4_03.tif </t>
  </si>
  <si>
    <t xml:space="preserve"> 17303.9157 </t>
  </si>
  <si>
    <t xml:space="preserve"> 67.795 </t>
  </si>
  <si>
    <t xml:space="preserve">F:\images\20210305\plaque 1/@04 EE2 76/E4_01.tif </t>
  </si>
  <si>
    <t xml:space="preserve"> 6294.2993 </t>
  </si>
  <si>
    <t xml:space="preserve"> 69.11 </t>
  </si>
  <si>
    <t xml:space="preserve">F:\images\20210305\plaque 1/@04 EE2 76/E4_02.tif </t>
  </si>
  <si>
    <t xml:space="preserve"> 63.5069 </t>
  </si>
  <si>
    <t xml:space="preserve">F:\images\20210305\plaque 1/@04 EE2 76/E4_03.tif </t>
  </si>
  <si>
    <t xml:space="preserve"> 62.7568 </t>
  </si>
  <si>
    <t xml:space="preserve">F:\images\20210305\plaque 1/@04 EE2 76/F4_01.tif </t>
  </si>
  <si>
    <t xml:space="preserve"> 17758.1435 </t>
  </si>
  <si>
    <t xml:space="preserve"> 66.352 </t>
  </si>
  <si>
    <t xml:space="preserve">F:\images\20210305\plaque 1/@04 EE2 76/F4_02.tif </t>
  </si>
  <si>
    <t xml:space="preserve"> 18234.0012 </t>
  </si>
  <si>
    <t xml:space="preserve"> 66.5338 </t>
  </si>
  <si>
    <t xml:space="preserve">F:\images\20210305\plaque 1/@04 EE2 76/F4_03.tif </t>
  </si>
  <si>
    <t xml:space="preserve"> 19293.866 </t>
  </si>
  <si>
    <t xml:space="preserve"> 67.1648 </t>
  </si>
  <si>
    <t xml:space="preserve">F:\images\20210305\plaque 1/@04 EE2 76/G4_01.tif </t>
  </si>
  <si>
    <t xml:space="preserve"> 21024.2576 </t>
  </si>
  <si>
    <t xml:space="preserve"> 68.7438 </t>
  </si>
  <si>
    <t xml:space="preserve">F:\images\20210305\plaque 1/@04 EE2 76/G4_02.tif </t>
  </si>
  <si>
    <t xml:space="preserve"> 17217.3961 </t>
  </si>
  <si>
    <t xml:space="preserve"> 66.8141 </t>
  </si>
  <si>
    <t xml:space="preserve">F:\images\20210305\plaque 1/@04 EE2 76/G4_03.tif </t>
  </si>
  <si>
    <t xml:space="preserve"> 14686.6985 </t>
  </si>
  <si>
    <t xml:space="preserve"> 68.3387 </t>
  </si>
  <si>
    <t xml:space="preserve">F:\images\20210305\plaque 1/@04 EE2 76/H4_01.tif </t>
  </si>
  <si>
    <t xml:space="preserve"> 821.936 </t>
  </si>
  <si>
    <t xml:space="preserve"> 65.2368 </t>
  </si>
  <si>
    <t xml:space="preserve">F:\images\20210305\plaque 1/@04 EE2 76/H4_02.tif </t>
  </si>
  <si>
    <t xml:space="preserve"> 64.7419 </t>
  </si>
  <si>
    <t>F:\images\20210305\plaque 1/@04 EE2 76/H4_03- exclu.tif</t>
  </si>
  <si>
    <t xml:space="preserve">F:\images\20210305\plaque 1/@04 EE2 76/ </t>
  </si>
  <si>
    <t xml:space="preserve"> 67.519 </t>
  </si>
  <si>
    <t xml:space="preserve"> 3.1836 </t>
  </si>
  <si>
    <t xml:space="preserve"> 889672.833 </t>
  </si>
  <si>
    <t xml:space="preserve"> 632725.948 </t>
  </si>
  <si>
    <t xml:space="preserve">F:\images\20210305\plaque 1/@05 EE2 114/A5_01.tif </t>
  </si>
  <si>
    <t xml:space="preserve"> 67.5982 </t>
  </si>
  <si>
    <t xml:space="preserve">F:\images\20210305\plaque 1/@05 EE2 114/A5_02.tif </t>
  </si>
  <si>
    <t xml:space="preserve"> 21348.706 </t>
  </si>
  <si>
    <t xml:space="preserve"> 67.767 </t>
  </si>
  <si>
    <t xml:space="preserve">F:\images\20210305\plaque 1/@05 EE2 114/A5_03.tif </t>
  </si>
  <si>
    <t xml:space="preserve"> 22127.3822 </t>
  </si>
  <si>
    <t xml:space="preserve"> 68.5699 </t>
  </si>
  <si>
    <t xml:space="preserve">F:\images\20210305\plaque 1/@05 EE2 114/B5_01.tif </t>
  </si>
  <si>
    <t xml:space="preserve"> 8781.7372 </t>
  </si>
  <si>
    <t xml:space="preserve"> 69.7906 </t>
  </si>
  <si>
    <t xml:space="preserve">F:\images\20210305\plaque 1/@05 EE2 114/B5_02.tif </t>
  </si>
  <si>
    <t xml:space="preserve"> 8976.4063 </t>
  </si>
  <si>
    <t xml:space="preserve"> 69.1133 </t>
  </si>
  <si>
    <t xml:space="preserve">F:\images\20210305\plaque 1/@05 EE2 114/B5_03.tif </t>
  </si>
  <si>
    <t xml:space="preserve"> 7743.5023 </t>
  </si>
  <si>
    <t xml:space="preserve"> 68.3296 </t>
  </si>
  <si>
    <t xml:space="preserve">F:\images\20210305\plaque 1/@05 EE2 114/C5_01.tif </t>
  </si>
  <si>
    <t xml:space="preserve"> 42805.5615 </t>
  </si>
  <si>
    <t xml:space="preserve"> 76.4386 </t>
  </si>
  <si>
    <t xml:space="preserve">F:\images\20210305\plaque 1/@05 EE2 114/C5_02.tif </t>
  </si>
  <si>
    <t xml:space="preserve"> 39496.1876 </t>
  </si>
  <si>
    <t xml:space="preserve"> 74.621 </t>
  </si>
  <si>
    <t xml:space="preserve">F:\images\20210305\plaque 1/@05 EE2 114/C5_03.tif </t>
  </si>
  <si>
    <t xml:space="preserve"> 38782.4011 </t>
  </si>
  <si>
    <t xml:space="preserve"> 73.517 </t>
  </si>
  <si>
    <t xml:space="preserve">F:\images\20210305\plaque 1/@05 EE2 114/D5_01.tif </t>
  </si>
  <si>
    <t xml:space="preserve"> 29654.5855 </t>
  </si>
  <si>
    <t xml:space="preserve"> 66.6834 </t>
  </si>
  <si>
    <t xml:space="preserve">F:\images\20210305\plaque 1/@05 EE2 114/D5_02.tif </t>
  </si>
  <si>
    <t xml:space="preserve"> 31752.6853 </t>
  </si>
  <si>
    <t xml:space="preserve"> 66.6349 </t>
  </si>
  <si>
    <t>F:\images\20210305\plaque 1/@05 EE2 114/D5_03- exclu.tif</t>
  </si>
  <si>
    <t xml:space="preserve">F:\images\20210305\plaque 1/@05 EE2 114/E5_01.tif </t>
  </si>
  <si>
    <t xml:space="preserve"> 33699.3758 </t>
  </si>
  <si>
    <t xml:space="preserve"> 70.4089 </t>
  </si>
  <si>
    <t xml:space="preserve">F:\images\20210305\plaque 1/@05 EE2 114/E5_02.tif </t>
  </si>
  <si>
    <t xml:space="preserve"> 26950.8487 </t>
  </si>
  <si>
    <t xml:space="preserve"> 69.5698 </t>
  </si>
  <si>
    <t xml:space="preserve">F:\images\20210305\plaque 1/@05 EE2 114/E5_03.tif </t>
  </si>
  <si>
    <t xml:space="preserve"> 23987.5531 </t>
  </si>
  <si>
    <t xml:space="preserve"> 69.7187 </t>
  </si>
  <si>
    <t xml:space="preserve">F:\images\20210305\plaque 1/@05 EE2 114/F5_01.tif </t>
  </si>
  <si>
    <t xml:space="preserve"> 28486.5712 </t>
  </si>
  <si>
    <t xml:space="preserve"> 71.8664 </t>
  </si>
  <si>
    <t>F:\images\20210305\plaque 1/@05 EE2 114/F5_02- exclu.tif</t>
  </si>
  <si>
    <t xml:space="preserve">F:\images\20210305\plaque 1/@05 EE2 114/F5_03.tif </t>
  </si>
  <si>
    <t xml:space="preserve"> 73.0244 </t>
  </si>
  <si>
    <t xml:space="preserve">F:\images\20210305\plaque 1/@05 EE2 114/G5_01.tif </t>
  </si>
  <si>
    <t xml:space="preserve"> 37073.6394 </t>
  </si>
  <si>
    <t xml:space="preserve"> 75.5898 </t>
  </si>
  <si>
    <t xml:space="preserve">F:\images\20210305\plaque 1/@05 EE2 114/G5_02.tif </t>
  </si>
  <si>
    <t xml:space="preserve"> 33958.9346 </t>
  </si>
  <si>
    <t xml:space="preserve"> 72.3592 </t>
  </si>
  <si>
    <t xml:space="preserve">F:\images\20210305\plaque 1/@05 EE2 114/G5_03.tif </t>
  </si>
  <si>
    <t xml:space="preserve"> 35775.8457 </t>
  </si>
  <si>
    <t xml:space="preserve"> 73.1959 </t>
  </si>
  <si>
    <t xml:space="preserve">F:\images\20210305\plaque 1/@05 EE2 114/H5_01.tif </t>
  </si>
  <si>
    <t xml:space="preserve"> 36424.7426 </t>
  </si>
  <si>
    <t xml:space="preserve"> 79.6378 </t>
  </si>
  <si>
    <t xml:space="preserve">F:\images\20210305\plaque 1/@05 EE2 114/H5_02.tif </t>
  </si>
  <si>
    <t xml:space="preserve"> 35883.9952 </t>
  </si>
  <si>
    <t xml:space="preserve"> 74.7028 </t>
  </si>
  <si>
    <t xml:space="preserve">F:\images\20210305\plaque 1/@05 EE2 114/H5_03.tif </t>
  </si>
  <si>
    <t xml:space="preserve"> 35170.2087 </t>
  </si>
  <si>
    <t xml:space="preserve"> 71.9975 </t>
  </si>
  <si>
    <t xml:space="preserve">F:\images\20210305\plaque 1/@05 EE2 114/ </t>
  </si>
  <si>
    <t xml:space="preserve"> 71.1432 </t>
  </si>
  <si>
    <t xml:space="preserve"> 3.5135 </t>
  </si>
  <si>
    <t xml:space="preserve"> 2002975.12 </t>
  </si>
  <si>
    <t xml:space="preserve"> 781315.482 </t>
  </si>
  <si>
    <t xml:space="preserve">F:\images\20210305\plaque 1/@06 EE2 170.9/A6_01.tif </t>
  </si>
  <si>
    <t xml:space="preserve"> 75.9363 </t>
  </si>
  <si>
    <t xml:space="preserve">F:\images\20210305\plaque 1/@06 EE2 170.9/A6_02.tif </t>
  </si>
  <si>
    <t xml:space="preserve"> 29481.5464 </t>
  </si>
  <si>
    <t xml:space="preserve"> 76.8496 </t>
  </si>
  <si>
    <t xml:space="preserve">F:\images\20210305\plaque 1/@06 EE2 170.9/A6_03.tif </t>
  </si>
  <si>
    <t xml:space="preserve"> 24290.3717 </t>
  </si>
  <si>
    <t xml:space="preserve"> 77.2814 </t>
  </si>
  <si>
    <t xml:space="preserve">F:\images\20210305\plaque 1/@06 EE2 170.9/B6_01.tif </t>
  </si>
  <si>
    <t xml:space="preserve"> 32336.6925 </t>
  </si>
  <si>
    <t xml:space="preserve"> 73.1592 </t>
  </si>
  <si>
    <t xml:space="preserve">F:\images\20210305\plaque 1/@06 EE2 170.9/B6_02.tif </t>
  </si>
  <si>
    <t xml:space="preserve"> 30303.4824 </t>
  </si>
  <si>
    <t xml:space="preserve"> 73.9336 </t>
  </si>
  <si>
    <t xml:space="preserve">F:\images\20210305\plaque 1/@06 EE2 170.9/B6_03.tif </t>
  </si>
  <si>
    <t xml:space="preserve"> 33526.3367 </t>
  </si>
  <si>
    <t xml:space="preserve"> 74.1187 </t>
  </si>
  <si>
    <t xml:space="preserve">F:\images\20210305\plaque 1/@06 EE2 170.9/C6_01.tif </t>
  </si>
  <si>
    <t xml:space="preserve"> 41248.2091 </t>
  </si>
  <si>
    <t xml:space="preserve"> 71.9413 </t>
  </si>
  <si>
    <t xml:space="preserve">F:\images\20210305\plaque 1/@06 EE2 170.9/C6_02.tif </t>
  </si>
  <si>
    <t xml:space="preserve"> 45011.8107 </t>
  </si>
  <si>
    <t xml:space="preserve"> 73.7621 </t>
  </si>
  <si>
    <t xml:space="preserve">F:\images\20210305\plaque 1/@06 EE2 170.9/C6_03.tif </t>
  </si>
  <si>
    <t xml:space="preserve"> 35970.5148 </t>
  </si>
  <si>
    <t xml:space="preserve"> 78.9417 </t>
  </si>
  <si>
    <t xml:space="preserve">F:\images\20210305\plaque 1/@06 EE2 170.9/D6_01.tif </t>
  </si>
  <si>
    <t xml:space="preserve"> 46244.7147 </t>
  </si>
  <si>
    <t xml:space="preserve"> 79.0753 </t>
  </si>
  <si>
    <t xml:space="preserve">F:\images\20210305\plaque 1/@06 EE2 170.9/D6_02.tif </t>
  </si>
  <si>
    <t xml:space="preserve"> 49056.601 </t>
  </si>
  <si>
    <t xml:space="preserve"> 78.108 </t>
  </si>
  <si>
    <t xml:space="preserve">F:\images\20210305\plaque 1/@06 EE2 170.9/D6_03.tif </t>
  </si>
  <si>
    <t xml:space="preserve"> 39777.3762 </t>
  </si>
  <si>
    <t xml:space="preserve"> 78.6438 </t>
  </si>
  <si>
    <t xml:space="preserve">F:\images\20210305\plaque 1/@06 EE2 170.9/E6_01.tif </t>
  </si>
  <si>
    <t xml:space="preserve"> 78.1019 </t>
  </si>
  <si>
    <t xml:space="preserve">F:\images\20210305\plaque 1/@06 EE2 170.9/E6_02.tif </t>
  </si>
  <si>
    <t xml:space="preserve"> 45877.0065 </t>
  </si>
  <si>
    <t xml:space="preserve"> 78.6662 </t>
  </si>
  <si>
    <t xml:space="preserve">F:\images\20210305\plaque 1/@06 EE2 170.9/E6_03.tif </t>
  </si>
  <si>
    <t xml:space="preserve"> 47001.761 </t>
  </si>
  <si>
    <t xml:space="preserve"> 79.0907 </t>
  </si>
  <si>
    <t xml:space="preserve">F:\images\20210305\plaque 1/@06 EE2 170.9/F6_01.tif </t>
  </si>
  <si>
    <t xml:space="preserve"> 29827.6247 </t>
  </si>
  <si>
    <t xml:space="preserve"> 74.4866 </t>
  </si>
  <si>
    <t xml:space="preserve">F:\images\20210305\plaque 1/@06 EE2 170.9/F6_02.tif </t>
  </si>
  <si>
    <t xml:space="preserve"> 24441.7809 </t>
  </si>
  <si>
    <t xml:space="preserve"> 80.2389 </t>
  </si>
  <si>
    <t xml:space="preserve">F:\images\20210305\plaque 1/@06 EE2 170.9/F6_03.tif </t>
  </si>
  <si>
    <t xml:space="preserve"> 35148.5788 </t>
  </si>
  <si>
    <t xml:space="preserve"> 74.9415 </t>
  </si>
  <si>
    <t xml:space="preserve">F:\images\20210305\plaque 1/@06 EE2 170.9/G6_01.tif </t>
  </si>
  <si>
    <t xml:space="preserve"> 58833.3134 </t>
  </si>
  <si>
    <t xml:space="preserve"> 79.0467 </t>
  </si>
  <si>
    <t xml:space="preserve">F:\images\20210305\plaque 1/@06 EE2 170.9/G6_02.tif </t>
  </si>
  <si>
    <t xml:space="preserve"> 63937.9685 </t>
  </si>
  <si>
    <t xml:space="preserve"> 80.48 </t>
  </si>
  <si>
    <t xml:space="preserve">F:\images\20210305\plaque 1/@06 EE2 170.9/G6_03.tif </t>
  </si>
  <si>
    <t xml:space="preserve"> 55480.6797 </t>
  </si>
  <si>
    <t xml:space="preserve"> 74.1162 </t>
  </si>
  <si>
    <t xml:space="preserve">F:\images\20210305\plaque 1/@06 EE2 170.9/H6_01.tif </t>
  </si>
  <si>
    <t xml:space="preserve"> 31774.3152 </t>
  </si>
  <si>
    <t xml:space="preserve"> 77.1123 </t>
  </si>
  <si>
    <t xml:space="preserve">F:\images\20210305\plaque 1/@06 EE2 170.9/H6_02.tif </t>
  </si>
  <si>
    <t xml:space="preserve"> 23598.215 </t>
  </si>
  <si>
    <t xml:space="preserve"> 79.5894 </t>
  </si>
  <si>
    <t xml:space="preserve">F:\images\20210305\plaque 1/@06 EE2 170.9/H6_03.tif </t>
  </si>
  <si>
    <t xml:space="preserve"> 28854.2794 </t>
  </si>
  <si>
    <t xml:space="preserve"> 76.8508 </t>
  </si>
  <si>
    <t xml:space="preserve">F:\images\20210305\plaque 1/@06 EE2 170.9/ </t>
  </si>
  <si>
    <t xml:space="preserve"> 76.853 </t>
  </si>
  <si>
    <t xml:space="preserve"> 2.4849 </t>
  </si>
  <si>
    <t xml:space="preserve"> 2975788.67 </t>
  </si>
  <si>
    <t xml:space="preserve"> 918626.093 </t>
  </si>
  <si>
    <t xml:space="preserve">F:\images\20210305\plaque 1/@07 EE2 488/A7_01.tif </t>
  </si>
  <si>
    <t xml:space="preserve"> 60974.673 </t>
  </si>
  <si>
    <t xml:space="preserve"> 95.2419 </t>
  </si>
  <si>
    <t xml:space="preserve">F:\images\20210305\plaque 1/@07 EE2 488/A7_02.tif </t>
  </si>
  <si>
    <t xml:space="preserve"> 98.3014 </t>
  </si>
  <si>
    <t xml:space="preserve">F:\images\20210305\plaque 1/@07 EE2 488/A7_03.tif </t>
  </si>
  <si>
    <t xml:space="preserve"> 61926.3883 </t>
  </si>
  <si>
    <t xml:space="preserve"> 93.4219 </t>
  </si>
  <si>
    <t xml:space="preserve">F:\images\20210305\plaque 1/@07 EE2 488/B7_01.tif </t>
  </si>
  <si>
    <t xml:space="preserve"> 96.8429 </t>
  </si>
  <si>
    <t xml:space="preserve">F:\images\20210305\plaque 1/@07 EE2 488/B7_02.tif </t>
  </si>
  <si>
    <t xml:space="preserve"> 54009.8469 </t>
  </si>
  <si>
    <t xml:space="preserve"> 96.1101 </t>
  </si>
  <si>
    <t xml:space="preserve">F:\images\20210305\plaque 1/@07 EE2 488/B7_03.tif </t>
  </si>
  <si>
    <t xml:space="preserve"> 60066.2174 </t>
  </si>
  <si>
    <t xml:space="preserve"> 89.6251 </t>
  </si>
  <si>
    <t xml:space="preserve">F:\images\20210305\plaque 1/@07 EE2 488/C7_01.tif </t>
  </si>
  <si>
    <t xml:space="preserve"> 65863.0291 </t>
  </si>
  <si>
    <t xml:space="preserve"> 95.8887 </t>
  </si>
  <si>
    <t xml:space="preserve">F:\images\20210305\plaque 1/@07 EE2 488/C7_02.tif </t>
  </si>
  <si>
    <t xml:space="preserve"> 75185.5137 </t>
  </si>
  <si>
    <t xml:space="preserve"> 93.4485 </t>
  </si>
  <si>
    <t xml:space="preserve">F:\images\20210305\plaque 1/@07 EE2 488/C7_03.tif </t>
  </si>
  <si>
    <t xml:space="preserve"> 71659.8409 </t>
  </si>
  <si>
    <t xml:space="preserve"> 92.4905 </t>
  </si>
  <si>
    <t xml:space="preserve">F:\images\20210305\plaque 1/@07 EE2 488/D7_01.tif </t>
  </si>
  <si>
    <t xml:space="preserve"> 64262.4169 </t>
  </si>
  <si>
    <t xml:space="preserve"> 97.1703 </t>
  </si>
  <si>
    <t xml:space="preserve">F:\images\20210305\plaque 1/@07 EE2 488/D7_02.tif </t>
  </si>
  <si>
    <t xml:space="preserve"> 61407.2709 </t>
  </si>
  <si>
    <t xml:space="preserve"> 94.7876 </t>
  </si>
  <si>
    <t xml:space="preserve">F:\images\20210305\plaque 1/@07 EE2 488/D7_03.tif </t>
  </si>
  <si>
    <t xml:space="preserve"> 95.5717 </t>
  </si>
  <si>
    <t xml:space="preserve">F:\images\20210305\plaque 1/@07 EE2 488/E7_01.tif </t>
  </si>
  <si>
    <t xml:space="preserve"> 75272.0333 </t>
  </si>
  <si>
    <t xml:space="preserve"> 86.9793 </t>
  </si>
  <si>
    <t xml:space="preserve">F:\images\20210305\plaque 1/@07 EE2 488/E7_02.tif </t>
  </si>
  <si>
    <t xml:space="preserve"> 67420.3816 </t>
  </si>
  <si>
    <t xml:space="preserve"> 91.3144 </t>
  </si>
  <si>
    <t xml:space="preserve">F:\images\20210305\plaque 1/@07 EE2 488/E7_03.tif </t>
  </si>
  <si>
    <t xml:space="preserve"> 73087.414 </t>
  </si>
  <si>
    <t xml:space="preserve"> 84.4146 </t>
  </si>
  <si>
    <t xml:space="preserve">F:\images\20210305\plaque 1/@07 EE2 488/F7_01.tif </t>
  </si>
  <si>
    <t xml:space="preserve"> 54182.886 </t>
  </si>
  <si>
    <t xml:space="preserve"> 89.1046 </t>
  </si>
  <si>
    <t xml:space="preserve">F:\images\20210305\plaque 1/@07 EE2 488/F7_02.tif </t>
  </si>
  <si>
    <t xml:space="preserve"> 52344.345 </t>
  </si>
  <si>
    <t xml:space="preserve"> 85.5483 </t>
  </si>
  <si>
    <t xml:space="preserve">F:\images\20210305\plaque 1/@07 EE2 488/F7_03.tif </t>
  </si>
  <si>
    <t xml:space="preserve"> 51068.1812 </t>
  </si>
  <si>
    <t xml:space="preserve"> 90.5862 </t>
  </si>
  <si>
    <t xml:space="preserve">F:\images\20210305\plaque 1/@07 EE2 488/G7_01.tif </t>
  </si>
  <si>
    <t xml:space="preserve"> 28421.6815 </t>
  </si>
  <si>
    <t xml:space="preserve"> 91.9619 </t>
  </si>
  <si>
    <t xml:space="preserve">F:\images\20210305\plaque 1/@07 EE2 488/G7_02.tif </t>
  </si>
  <si>
    <t xml:space="preserve"> 31255.1977 </t>
  </si>
  <si>
    <t xml:space="preserve"> 95.7439 </t>
  </si>
  <si>
    <t xml:space="preserve">F:\images\20210305\plaque 1/@07 EE2 488/G7_03.tif </t>
  </si>
  <si>
    <t xml:space="preserve"> 35624.4365 </t>
  </si>
  <si>
    <t xml:space="preserve"> 90.98 </t>
  </si>
  <si>
    <t xml:space="preserve">F:\images\20210305\plaque 1/@07 EE2 488/H7_01.tif </t>
  </si>
  <si>
    <t xml:space="preserve"> 65819.7694 </t>
  </si>
  <si>
    <t xml:space="preserve"> 92.3188 </t>
  </si>
  <si>
    <t xml:space="preserve">F:\images\20210305\plaque 1/@07 EE2 488/H7_02.tif </t>
  </si>
  <si>
    <t xml:space="preserve"> 61839.8687 </t>
  </si>
  <si>
    <t xml:space="preserve"> 90.2364 </t>
  </si>
  <si>
    <t xml:space="preserve">F:\images\20210305\plaque 1/@07 EE2 488/H7_03.tif </t>
  </si>
  <si>
    <t xml:space="preserve"> 59633.6195 </t>
  </si>
  <si>
    <t xml:space="preserve"> 90.2082 </t>
  </si>
  <si>
    <t xml:space="preserve">F:\images\20210305\plaque 1/@07 EE2 488/ </t>
  </si>
  <si>
    <t xml:space="preserve"> 92.4291 </t>
  </si>
  <si>
    <t xml:space="preserve"> 3.7021 </t>
  </si>
  <si>
    <t xml:space="preserve"> 5388178.04 </t>
  </si>
  <si>
    <t xml:space="preserve"> 1146438.97 </t>
  </si>
  <si>
    <t xml:space="preserve">F:\images\20210305\plaque 1/@08 Testosterone 3.7 µg_L/A8_01.tif </t>
  </si>
  <si>
    <t xml:space="preserve"> 67.2727 </t>
  </si>
  <si>
    <t xml:space="preserve">F:\images\20210305\plaque 1/@08 Testosterone 3.7 µg_L/A8_02.tif </t>
  </si>
  <si>
    <t xml:space="preserve"> 65.4857 </t>
  </si>
  <si>
    <t xml:space="preserve">F:\images\20210305\plaque 1/@08 Testosterone 3.7 µg_L/A8_03.tif </t>
  </si>
  <si>
    <t xml:space="preserve"> 973.3453 </t>
  </si>
  <si>
    <t xml:space="preserve"> 68.0222 </t>
  </si>
  <si>
    <t xml:space="preserve">F:\images\20210305\plaque 1/@08 Testosterone 3.7 µg_L/B8_01.tif </t>
  </si>
  <si>
    <t xml:space="preserve"> 61.8125 </t>
  </si>
  <si>
    <t xml:space="preserve">F:\images\20210305\plaque 1/@08 Testosterone 3.7 µg_L/B8_02.tif </t>
  </si>
  <si>
    <t xml:space="preserve"> 627.2669 </t>
  </si>
  <si>
    <t xml:space="preserve"> 63.1379 </t>
  </si>
  <si>
    <t xml:space="preserve">F:\images\20210305\plaque 1/@08 Testosterone 3.7 µg_L/B8_03.tif </t>
  </si>
  <si>
    <t xml:space="preserve"> 64.119 </t>
  </si>
  <si>
    <t>F:\images\20210305\plaque 1/@08 Testosterone 3.7 µg_L/C8_01- exclu.tif</t>
  </si>
  <si>
    <t xml:space="preserve">F:\images\20210305\plaque 1/@08 Testosterone 3.7 µg_L/C8_02.tif </t>
  </si>
  <si>
    <t xml:space="preserve"> 1557.3524 </t>
  </si>
  <si>
    <t xml:space="preserve"> 64.8889 </t>
  </si>
  <si>
    <t xml:space="preserve">F:\images\20210305\plaque 1/@08 Testosterone 3.7 µg_L/C8_03.tif </t>
  </si>
  <si>
    <t xml:space="preserve"> 66.7611 </t>
  </si>
  <si>
    <t xml:space="preserve">F:\images\20210305\plaque 1/@08 Testosterone 3.7 µg_L/D8_01.tif </t>
  </si>
  <si>
    <t xml:space="preserve"> 64.4889 </t>
  </si>
  <si>
    <t xml:space="preserve">F:\images\20210305\plaque 1/@08 Testosterone 3.7 µg_L/D8_02.tif </t>
  </si>
  <si>
    <t xml:space="preserve"> 2206.2493 </t>
  </si>
  <si>
    <t xml:space="preserve"> 64.0588 </t>
  </si>
  <si>
    <t xml:space="preserve">F:\images\20210305\plaque 1/@08 Testosterone 3.7 µg_L/D8_03.tif </t>
  </si>
  <si>
    <t xml:space="preserve"> 2098.0998 </t>
  </si>
  <si>
    <t xml:space="preserve"> 63.1031 </t>
  </si>
  <si>
    <t xml:space="preserve">F:\images\20210305\plaque 1/@08 Testosterone 3.7 µg_L/E8_01.tif </t>
  </si>
  <si>
    <t xml:space="preserve"> 1297.7937 </t>
  </si>
  <si>
    <t xml:space="preserve"> 67.0167 </t>
  </si>
  <si>
    <t xml:space="preserve">F:\images\20210305\plaque 1/@08 Testosterone 3.7 µg_L/E8_02.tif </t>
  </si>
  <si>
    <t xml:space="preserve"> 1514.0926 </t>
  </si>
  <si>
    <t>F:\images\20210305\plaque 1/@08 Testosterone 3.7 µg_L/E8_03- exclu.tif</t>
  </si>
  <si>
    <t xml:space="preserve">F:\images\20210305\plaque 1/@08 Testosterone 3.7 µg_L/F8_01.tif </t>
  </si>
  <si>
    <t xml:space="preserve"> 4823.4665 </t>
  </si>
  <si>
    <t xml:space="preserve"> 74.2915 </t>
  </si>
  <si>
    <t xml:space="preserve">F:\images\20210305\plaque 1/@08 Testosterone 3.7 µg_L/F8_02.tif </t>
  </si>
  <si>
    <t xml:space="preserve"> 1968.3204 </t>
  </si>
  <si>
    <t xml:space="preserve"> 69.4066 </t>
  </si>
  <si>
    <t xml:space="preserve">F:\images\20210305\plaque 1/@08 Testosterone 3.7 µg_L/F8_03.tif </t>
  </si>
  <si>
    <t xml:space="preserve"> 2617.2173 </t>
  </si>
  <si>
    <t xml:space="preserve"> 68.0496 </t>
  </si>
  <si>
    <t xml:space="preserve">F:\images\20210305\plaque 1/@08 Testosterone 3.7 µg_L/G8_01.tif </t>
  </si>
  <si>
    <t xml:space="preserve"> 6748.5271 </t>
  </si>
  <si>
    <t xml:space="preserve"> 68.4936 </t>
  </si>
  <si>
    <t xml:space="preserve">F:\images\20210305\plaque 1/@08 Testosterone 3.7 µg_L/G8_02.tif </t>
  </si>
  <si>
    <t xml:space="preserve"> 7181.125 </t>
  </si>
  <si>
    <t xml:space="preserve"> 69.6386 </t>
  </si>
  <si>
    <t xml:space="preserve">F:\images\20210305\plaque 1/@08 Testosterone 3.7 µg_L/G8_03.tif </t>
  </si>
  <si>
    <t xml:space="preserve"> 7916.5414 </t>
  </si>
  <si>
    <t xml:space="preserve"> 70.4235 </t>
  </si>
  <si>
    <t xml:space="preserve">F:\images\20210305\plaque 1/@08 Testosterone 3.7 µg_L/H8_01.tif </t>
  </si>
  <si>
    <t xml:space="preserve"> 62.9767 </t>
  </si>
  <si>
    <t xml:space="preserve">F:\images\20210305\plaque 1/@08 Testosterone 3.7 µg_L/H8_02.tif </t>
  </si>
  <si>
    <t xml:space="preserve"> 64.9487 </t>
  </si>
  <si>
    <t xml:space="preserve">F:\images\20210305\plaque 1/@08 Testosterone 3.7 µg_L/H8_03.tif </t>
  </si>
  <si>
    <t xml:space="preserve"> 1124.7545 </t>
  </si>
  <si>
    <t xml:space="preserve"> 63.1538 </t>
  </si>
  <si>
    <t xml:space="preserve">F:\images\20210305\plaque 1/@08 Testosterone 3.7 µg_L/ </t>
  </si>
  <si>
    <t xml:space="preserve"> 66.1706 </t>
  </si>
  <si>
    <t xml:space="preserve"> 2.9649 </t>
  </si>
  <si>
    <t xml:space="preserve"> 151807.667 </t>
  </si>
  <si>
    <t xml:space="preserve"> 154443.839 </t>
  </si>
  <si>
    <t xml:space="preserve">F:\images\20210305\plaque 1/@09  Testosterone 11 µg_L/A9_01.tif </t>
  </si>
  <si>
    <t xml:space="preserve">F:\images\20210305\plaque 1/@09  Testosterone 11 µg_L/A9_02.tif </t>
  </si>
  <si>
    <t xml:space="preserve"> 1189.6442 </t>
  </si>
  <si>
    <t xml:space="preserve"> 65.4909 </t>
  </si>
  <si>
    <t xml:space="preserve">F:\images\20210305\plaque 1/@09  Testosterone 11 µg_L/A9_03.tif </t>
  </si>
  <si>
    <t xml:space="preserve"> 65.136 </t>
  </si>
  <si>
    <t xml:space="preserve">F:\images\20210305\plaque 1/@09  Testosterone 11 µg_L/B9_01.tif </t>
  </si>
  <si>
    <t xml:space="preserve"> 63.3077 </t>
  </si>
  <si>
    <t xml:space="preserve">F:\images\20210305\plaque 1/@09  Testosterone 11 µg_L/B9_02.tif </t>
  </si>
  <si>
    <t xml:space="preserve"> 68.06 </t>
  </si>
  <si>
    <t xml:space="preserve">F:\images\20210305\plaque 1/@09  Testosterone 11 µg_L/B9_03.tif </t>
  </si>
  <si>
    <t xml:space="preserve"> 64.3167 </t>
  </si>
  <si>
    <t xml:space="preserve">F:\images\20210305\plaque 1/@09  Testosterone 11 µg_L/C9_01.tif </t>
  </si>
  <si>
    <t xml:space="preserve"> 64.288 </t>
  </si>
  <si>
    <t xml:space="preserve">F:\images\20210305\plaque 1/@09  Testosterone 11 µg_L/C9_02.tif </t>
  </si>
  <si>
    <t xml:space="preserve"> 2162.9895 </t>
  </si>
  <si>
    <t xml:space="preserve"> 66.86 </t>
  </si>
  <si>
    <t xml:space="preserve">F:\images\20210305\plaque 1/@09  Testosterone 11 µg_L/C9_03.tif </t>
  </si>
  <si>
    <t xml:space="preserve"> 1752.0215 </t>
  </si>
  <si>
    <t xml:space="preserve"> 66.7037 </t>
  </si>
  <si>
    <t xml:space="preserve">F:\images\20210305\plaque 1/@09  Testosterone 11 µg_L/D9_01.tif </t>
  </si>
  <si>
    <t xml:space="preserve"> 1276.1638 </t>
  </si>
  <si>
    <t xml:space="preserve"> 66.1186 </t>
  </si>
  <si>
    <t xml:space="preserve">F:\images\20210305\plaque 1/@09  Testosterone 11 µg_L/D9_02.tif </t>
  </si>
  <si>
    <t xml:space="preserve">F:\images\20210305\plaque 1/@09  Testosterone 11 µg_L/D9_03.tif </t>
  </si>
  <si>
    <t xml:space="preserve">F:\images\20210305\plaque 1/@09  Testosterone 11 µg_L/E9_01.tif </t>
  </si>
  <si>
    <t xml:space="preserve"> 6770.157 </t>
  </si>
  <si>
    <t xml:space="preserve"> 67.8403 </t>
  </si>
  <si>
    <t xml:space="preserve">F:\images\20210305\plaque 1/@09  Testosterone 11 µg_L/E9_02.tif </t>
  </si>
  <si>
    <t xml:space="preserve"> 65.3618 </t>
  </si>
  <si>
    <t xml:space="preserve">F:\images\20210305\plaque 1/@09  Testosterone 11 µg_L/E9_03.tif </t>
  </si>
  <si>
    <t xml:space="preserve"> 3331.0038 </t>
  </si>
  <si>
    <t xml:space="preserve"> 66.0779 </t>
  </si>
  <si>
    <t xml:space="preserve">F:\images\20210305\plaque 1/@09  Testosterone 11 µg_L/F9_01.tif </t>
  </si>
  <si>
    <t xml:space="preserve"> 5385.8438 </t>
  </si>
  <si>
    <t xml:space="preserve"> 64.9116 </t>
  </si>
  <si>
    <t xml:space="preserve">F:\images\20210305\plaque 1/@09  Testosterone 11 µg_L/F9_02.tif </t>
  </si>
  <si>
    <t xml:space="preserve"> 2573.9575 </t>
  </si>
  <si>
    <t xml:space="preserve"> 65.958 </t>
  </si>
  <si>
    <t xml:space="preserve">F:\images\20210305\plaque 1/@09  Testosterone 11 µg_L/F9_03.tif </t>
  </si>
  <si>
    <t xml:space="preserve"> 2249.509 </t>
  </si>
  <si>
    <t xml:space="preserve"> 64.0962 </t>
  </si>
  <si>
    <t xml:space="preserve">F:\images\20210305\plaque 1/@09  Testosterone 11 µg_L/G9_01.tif </t>
  </si>
  <si>
    <t xml:space="preserve"> 4953.2459 </t>
  </si>
  <si>
    <t xml:space="preserve"> 68.2795 </t>
  </si>
  <si>
    <t xml:space="preserve">F:\images\20210305\plaque 1/@09  Testosterone 11 µg_L/G9_02.tif </t>
  </si>
  <si>
    <t xml:space="preserve"> 1687.1318 </t>
  </si>
  <si>
    <t xml:space="preserve"> 63.8718 </t>
  </si>
  <si>
    <t xml:space="preserve">F:\images\20210305\plaque 1/@09  Testosterone 11 µg_L/G9_03.tif </t>
  </si>
  <si>
    <t xml:space="preserve"> 64.1061 </t>
  </si>
  <si>
    <t xml:space="preserve">F:\images\20210305\plaque 1/@09  Testosterone 11 µg_L/H9_01.tif </t>
  </si>
  <si>
    <t xml:space="preserve"> 6315.9292 </t>
  </si>
  <si>
    <t xml:space="preserve"> 71.7774 </t>
  </si>
  <si>
    <t xml:space="preserve">F:\images\20210305\plaque 1/@09  Testosterone 11 µg_L/H9_02.tif </t>
  </si>
  <si>
    <t xml:space="preserve"> 76.6656 </t>
  </si>
  <si>
    <t xml:space="preserve">F:\images\20210305\plaque 1/@09  Testosterone 11 µg_L/H9_03.tif </t>
  </si>
  <si>
    <t xml:space="preserve"> 2379.2884 </t>
  </si>
  <si>
    <t xml:space="preserve"> 64.6091 </t>
  </si>
  <si>
    <t xml:space="preserve">F:\images\20210305\plaque 1/@09  Testosterone 11 µg_L/ </t>
  </si>
  <si>
    <t xml:space="preserve"> 66.1927 </t>
  </si>
  <si>
    <t xml:space="preserve"> 2.9177 </t>
  </si>
  <si>
    <t xml:space="preserve"> 177478.708 </t>
  </si>
  <si>
    <t xml:space="preserve"> 141722.775 </t>
  </si>
  <si>
    <t xml:space="preserve">F:\images\20210305\plaque 1/@10  Testosterone 33 µg_L/A10_01.tif </t>
  </si>
  <si>
    <t xml:space="preserve"> 20223.9515 </t>
  </si>
  <si>
    <t xml:space="preserve"> 69.5209 </t>
  </si>
  <si>
    <t xml:space="preserve">F:\images\20210305\plaque 1/@10  Testosterone 33 µg_L/A10_02.tif </t>
  </si>
  <si>
    <t xml:space="preserve"> 17563.4744 </t>
  </si>
  <si>
    <t xml:space="preserve"> 69.75 </t>
  </si>
  <si>
    <t xml:space="preserve">F:\images\20210305\plaque 1/@10  Testosterone 33 µg_L/A10_03.tif </t>
  </si>
  <si>
    <t xml:space="preserve"> 19034.3073 </t>
  </si>
  <si>
    <t xml:space="preserve"> 68.9602 </t>
  </si>
  <si>
    <t xml:space="preserve">F:\images\20210305\plaque 1/@10  Testosterone 33 µg_L/B10_01.tif </t>
  </si>
  <si>
    <t xml:space="preserve"> 24009.183 </t>
  </si>
  <si>
    <t xml:space="preserve"> 72.7144 </t>
  </si>
  <si>
    <t xml:space="preserve">F:\images\20210305\plaque 1/@10  Testosterone 33 µg_L/B10_02.tif </t>
  </si>
  <si>
    <t xml:space="preserve"> 23014.2079 </t>
  </si>
  <si>
    <t xml:space="preserve"> 74.1278 </t>
  </si>
  <si>
    <t xml:space="preserve">F:\images\20210305\plaque 1/@10  Testosterone 33 µg_L/B10_03.tif </t>
  </si>
  <si>
    <t xml:space="preserve"> 23619.8449 </t>
  </si>
  <si>
    <t xml:space="preserve"> 72.1136 </t>
  </si>
  <si>
    <t xml:space="preserve">F:\images\20210305\plaque 1/@10  Testosterone 33 µg_L/C10_01.tif </t>
  </si>
  <si>
    <t xml:space="preserve"> 3374.2636 </t>
  </si>
  <si>
    <t xml:space="preserve"> 64.5897 </t>
  </si>
  <si>
    <t xml:space="preserve">F:\images\20210305\plaque 1/@10  Testosterone 33 µg_L/C10_02.tif </t>
  </si>
  <si>
    <t xml:space="preserve"> 64.6169 </t>
  </si>
  <si>
    <t xml:space="preserve">F:\images\20210305\plaque 1/@10  Testosterone 33 µg_L/C10_03.tif </t>
  </si>
  <si>
    <t xml:space="preserve"> 3136.3347 </t>
  </si>
  <si>
    <t xml:space="preserve"> 65.1586 </t>
  </si>
  <si>
    <t xml:space="preserve">F:\images\20210305\plaque 1/@10  Testosterone 33 µg_L/D10_01.tif </t>
  </si>
  <si>
    <t xml:space="preserve"> 66.4962 </t>
  </si>
  <si>
    <t xml:space="preserve">F:\images\20210305\plaque 1/@10  Testosterone 33 µg_L/D10_02.tif </t>
  </si>
  <si>
    <t xml:space="preserve"> 7613.7229 </t>
  </si>
  <si>
    <t xml:space="preserve"> 66.5597 </t>
  </si>
  <si>
    <t>F:\images\20210305\plaque 1/@10  Testosterone 33 µg_L/D10_03- exclu.tif</t>
  </si>
  <si>
    <t xml:space="preserve">F:\images\20210305\plaque 1/@10  Testosterone 33 µg_L/E10_01.tif </t>
  </si>
  <si>
    <t xml:space="preserve"> 7656.9827 </t>
  </si>
  <si>
    <t xml:space="preserve"> 68.3192 </t>
  </si>
  <si>
    <t xml:space="preserve">F:\images\20210305\plaque 1/@10  Testosterone 33 µg_L/E10_02.tif </t>
  </si>
  <si>
    <t xml:space="preserve"> 7894.9115 </t>
  </si>
  <si>
    <t xml:space="preserve"> 68.8 </t>
  </si>
  <si>
    <t xml:space="preserve">F:\images\20210305\plaque 1/@10  Testosterone 33 µg_L/E10_03.tif </t>
  </si>
  <si>
    <t xml:space="preserve"> 10879.837 </t>
  </si>
  <si>
    <t xml:space="preserve"> 68.5129 </t>
  </si>
  <si>
    <t xml:space="preserve">F:\images\20210305\plaque 1/@10  Testosterone 33 µg_L/F10_01.tif </t>
  </si>
  <si>
    <t xml:space="preserve"> 35278.3581 </t>
  </si>
  <si>
    <t xml:space="preserve"> 71.011 </t>
  </si>
  <si>
    <t xml:space="preserve">F:\images\20210305\plaque 1/@10  Testosterone 33 µg_L/F10_02.tif </t>
  </si>
  <si>
    <t xml:space="preserve"> 23727.9944 </t>
  </si>
  <si>
    <t xml:space="preserve"> 67.1778 </t>
  </si>
  <si>
    <t xml:space="preserve">F:\images\20210305\plaque 1/@10  Testosterone 33 µg_L/F10_03.tif </t>
  </si>
  <si>
    <t xml:space="preserve"> 14189.2109 </t>
  </si>
  <si>
    <t xml:space="preserve"> 65.1997 </t>
  </si>
  <si>
    <t xml:space="preserve">F:\images\20210305\plaque 1/@10  Testosterone 33 µg_L/G10_01.tif </t>
  </si>
  <si>
    <t xml:space="preserve"> 24831.119 </t>
  </si>
  <si>
    <t xml:space="preserve"> 68.7404 </t>
  </si>
  <si>
    <t xml:space="preserve">F:\images\20210305\plaque 1/@10  Testosterone 33 µg_L/G10_02.tif </t>
  </si>
  <si>
    <t xml:space="preserve"> 25285.3468 </t>
  </si>
  <si>
    <t xml:space="preserve"> 68.3037 </t>
  </si>
  <si>
    <t>F:\images\20210305\plaque 1/@10  Testosterone 33 µg_L/G10_03- exclu.tif</t>
  </si>
  <si>
    <t>F:\images\20210305\plaque 1/@10  Testosterone 33 µg_L/H10_01- exclu.tif</t>
  </si>
  <si>
    <t xml:space="preserve">F:\images\20210305\plaque 1/@10  Testosterone 33 µg_L/H10_02.tif </t>
  </si>
  <si>
    <t xml:space="preserve"> 15573.5241 </t>
  </si>
  <si>
    <t xml:space="preserve"> 66.8153 </t>
  </si>
  <si>
    <t xml:space="preserve">F:\images\20210305\plaque 1/@10  Testosterone 33 µg_L/H10_03.tif </t>
  </si>
  <si>
    <t xml:space="preserve"> 6640.3777 </t>
  </si>
  <si>
    <t xml:space="preserve"> 65.1694 </t>
  </si>
  <si>
    <t xml:space="preserve">F:\images\20210305\plaque 1/@10  Testosterone 33 µg_L/ </t>
  </si>
  <si>
    <t xml:space="preserve"> 68.1971 </t>
  </si>
  <si>
    <t xml:space="preserve"> 2.8652 </t>
  </si>
  <si>
    <t xml:space="preserve"> 1020011.67 </t>
  </si>
  <si>
    <t xml:space="preserve"> 654464.148 </t>
  </si>
  <si>
    <t xml:space="preserve">F:\images\20210305\plaque 1/@11  Testosterone 100 µg_L/A11_01.tif </t>
  </si>
  <si>
    <t xml:space="preserve"> 65.6901 </t>
  </si>
  <si>
    <t xml:space="preserve">F:\images\20210305\plaque 1/@11  Testosterone 100 µg_L/A11_02.tif </t>
  </si>
  <si>
    <t xml:space="preserve"> 66.8032 </t>
  </si>
  <si>
    <t xml:space="preserve">F:\images\20210305\plaque 1/@11  Testosterone 100 µg_L/A11_03.tif </t>
  </si>
  <si>
    <t xml:space="preserve"> 7354.1642 </t>
  </si>
  <si>
    <t xml:space="preserve"> 65.7588 </t>
  </si>
  <si>
    <t xml:space="preserve">F:\images\20210305\plaque 1/@11  Testosterone 100 µg_L/B11_01.tif </t>
  </si>
  <si>
    <t xml:space="preserve"> 26712.9199 </t>
  </si>
  <si>
    <t xml:space="preserve"> 69.5822 </t>
  </si>
  <si>
    <t xml:space="preserve">F:\images\20210305\plaque 1/@11  Testosterone 100 µg_L/B11_02.tif </t>
  </si>
  <si>
    <t xml:space="preserve"> 26583.1405 </t>
  </si>
  <si>
    <t xml:space="preserve"> 70.5077 </t>
  </si>
  <si>
    <t xml:space="preserve">F:\images\20210305\plaque 1/@11  Testosterone 100 µg_L/B11_03.tif </t>
  </si>
  <si>
    <t xml:space="preserve"> 28097.2331 </t>
  </si>
  <si>
    <t xml:space="preserve"> 71.01 </t>
  </si>
  <si>
    <t>F:\images\20210305\plaque 1/@11  Testosterone 100 µg_L/C11_01- exclu.tif</t>
  </si>
  <si>
    <t xml:space="preserve">F:\images\20210305\plaque 1/@11  Testosterone 100 µg_L/C11_02.tif </t>
  </si>
  <si>
    <t xml:space="preserve"> 10252.5701 </t>
  </si>
  <si>
    <t xml:space="preserve"> 68.5886 </t>
  </si>
  <si>
    <t xml:space="preserve">F:\images\20210305\plaque 1/@11  Testosterone 100 µg_L/C11_03.tif </t>
  </si>
  <si>
    <t xml:space="preserve"> 7808.392 </t>
  </si>
  <si>
    <t xml:space="preserve"> 68.4211 </t>
  </si>
  <si>
    <t xml:space="preserve">F:\images\20210305\plaque 1/@11  Testosterone 100 µg_L/D11_01.tif </t>
  </si>
  <si>
    <t xml:space="preserve"> 31406.607 </t>
  </si>
  <si>
    <t xml:space="preserve"> 76.022 </t>
  </si>
  <si>
    <t xml:space="preserve">F:\images\20210305\plaque 1/@11  Testosterone 100 µg_L/D11_02.tif </t>
  </si>
  <si>
    <t xml:space="preserve"> 29611.3257 </t>
  </si>
  <si>
    <t xml:space="preserve"> 76.8283 </t>
  </si>
  <si>
    <t xml:space="preserve">F:\images\20210305\plaque 1/@11  Testosterone 100 µg_L/D11_03.tif </t>
  </si>
  <si>
    <t xml:space="preserve"> 32142.0234 </t>
  </si>
  <si>
    <t xml:space="preserve"> 73.3089 </t>
  </si>
  <si>
    <t xml:space="preserve">F:\images\20210305\plaque 1/@11  Testosterone 100 µg_L/E11_01.tif </t>
  </si>
  <si>
    <t xml:space="preserve"> 25480.0159 </t>
  </si>
  <si>
    <t xml:space="preserve"> 73.9202 </t>
  </si>
  <si>
    <t xml:space="preserve">F:\images\20210305\plaque 1/@11  Testosterone 100 µg_L/E11_02.tif </t>
  </si>
  <si>
    <t xml:space="preserve"> 21327.0761 </t>
  </si>
  <si>
    <t xml:space="preserve"> 75.143 </t>
  </si>
  <si>
    <t xml:space="preserve">F:\images\20210305\plaque 1/@11  Testosterone 100 µg_L/E11_03.tif </t>
  </si>
  <si>
    <t xml:space="preserve"> 28659.6104 </t>
  </si>
  <si>
    <t xml:space="preserve"> 76.1094 </t>
  </si>
  <si>
    <t xml:space="preserve">F:\images\20210305\plaque 1/@11  Testosterone 100 µg_L/F11_01.tif </t>
  </si>
  <si>
    <t xml:space="preserve"> 7440.6838 </t>
  </si>
  <si>
    <t xml:space="preserve"> 64.75 </t>
  </si>
  <si>
    <t xml:space="preserve">F:\images\20210305\plaque 1/@11  Testosterone 100 µg_L/F11_02.tif </t>
  </si>
  <si>
    <t xml:space="preserve"> 8760.1073 </t>
  </si>
  <si>
    <t xml:space="preserve"> 66.0938 </t>
  </si>
  <si>
    <t xml:space="preserve">F:\images\20210305\plaque 1/@11  Testosterone 100 µg_L/F11_03.tif </t>
  </si>
  <si>
    <t xml:space="preserve"> 2638.8471 </t>
  </si>
  <si>
    <t xml:space="preserve"> 64.0082 </t>
  </si>
  <si>
    <t xml:space="preserve">F:\images\20210305\plaque 1/@11  Testosterone 100 µg_L/G11_01.tif </t>
  </si>
  <si>
    <t xml:space="preserve"> 11593.6235 </t>
  </si>
  <si>
    <t xml:space="preserve"> 66.9422 </t>
  </si>
  <si>
    <t>F:\images\20210305\plaque 1/@11  Testosterone 100 µg_L/G11_02- exclu.tif</t>
  </si>
  <si>
    <t xml:space="preserve">F:\images\20210305\plaque 1/@11  Testosterone 100 µg_L/G11_03.tif </t>
  </si>
  <si>
    <t xml:space="preserve"> 63.25 </t>
  </si>
  <si>
    <t xml:space="preserve">F:\images\20210305\plaque 1/@11  Testosterone 100 µg_L/H11_01.tif </t>
  </si>
  <si>
    <t xml:space="preserve"> 15400.485 </t>
  </si>
  <si>
    <t xml:space="preserve"> 69.264 </t>
  </si>
  <si>
    <t xml:space="preserve">F:\images\20210305\plaque 1/@11  Testosterone 100 µg_L/H11_02.tif </t>
  </si>
  <si>
    <t xml:space="preserve"> 13561.9439 </t>
  </si>
  <si>
    <t xml:space="preserve"> 68.5407 </t>
  </si>
  <si>
    <t xml:space="preserve">F:\images\20210305\plaque 1/@11  Testosterone 100 µg_L/H11_03.tif </t>
  </si>
  <si>
    <t xml:space="preserve"> 12588.5987 </t>
  </si>
  <si>
    <t xml:space="preserve"> 69.0155 </t>
  </si>
  <si>
    <t xml:space="preserve">F:\images\20210305\plaque 1/@11  Testosterone 100 µg_L/ </t>
  </si>
  <si>
    <t xml:space="preserve"> 69.1532 </t>
  </si>
  <si>
    <t xml:space="preserve"> 4.1446 </t>
  </si>
  <si>
    <t xml:space="preserve"> 819982.166 </t>
  </si>
  <si>
    <t xml:space="preserve">F:\images\20210305\plaque 1/@12  Testosterone 300 µg_L/A12_01.tif </t>
  </si>
  <si>
    <t xml:space="preserve"> 44795.5118 </t>
  </si>
  <si>
    <t xml:space="preserve"> 76.2482 </t>
  </si>
  <si>
    <t xml:space="preserve">F:\images\20210305\plaque 1/@12  Testosterone 300 µg_L/A12_02.tif </t>
  </si>
  <si>
    <t xml:space="preserve"> 38176.764 </t>
  </si>
  <si>
    <t xml:space="preserve"> 73.9377 </t>
  </si>
  <si>
    <t xml:space="preserve">F:\images\20210305\plaque 1/@12  Testosterone 300 µg_L/A12_03.tif </t>
  </si>
  <si>
    <t xml:space="preserve"> 39582.7072 </t>
  </si>
  <si>
    <t xml:space="preserve"> 77.8224 </t>
  </si>
  <si>
    <t xml:space="preserve">F:\images\20210305\plaque 1/@12  Testosterone 300 µg_L/B12_01.tif </t>
  </si>
  <si>
    <t xml:space="preserve"> 67.3547 </t>
  </si>
  <si>
    <t xml:space="preserve">F:\images\20210305\plaque 1/@12  Testosterone 300 µg_L/B12_02.tif </t>
  </si>
  <si>
    <t xml:space="preserve"> 6121.2602 </t>
  </si>
  <si>
    <t xml:space="preserve"> 67.5936 </t>
  </si>
  <si>
    <t xml:space="preserve">F:\images\20210305\plaque 1/@12  Testosterone 300 µg_L/B12_03.tif </t>
  </si>
  <si>
    <t xml:space="preserve"> 69.8345 </t>
  </si>
  <si>
    <t>F:\images\20210305\plaque 1/@12  Testosterone 300 µg_L/C12_01- exclu.tif</t>
  </si>
  <si>
    <t>F:\images\20210305\plaque 1/@12  Testosterone 300 µg_L/C12_02- exclu.tif</t>
  </si>
  <si>
    <t>F:\images\20210305\plaque 1/@12  Testosterone 300 µg_L/C12_03- exclu.tif</t>
  </si>
  <si>
    <t xml:space="preserve">F:\images\20210305\plaque 1/@12  Testosterone 300 µg_L/D12_01.tif </t>
  </si>
  <si>
    <t xml:space="preserve"> 43238.1594 </t>
  </si>
  <si>
    <t xml:space="preserve"> 72.1861 </t>
  </si>
  <si>
    <t xml:space="preserve">F:\images\20210305\plaque 1/@12  Testosterone 300 µg_L/D12_02.tif </t>
  </si>
  <si>
    <t xml:space="preserve"> 46569.1631 </t>
  </si>
  <si>
    <t xml:space="preserve"> 72.3957 </t>
  </si>
  <si>
    <t xml:space="preserve">F:\images\20210305\plaque 1/@12  Testosterone 300 µg_L/D12_03.tif </t>
  </si>
  <si>
    <t xml:space="preserve"> 41010.2802 </t>
  </si>
  <si>
    <t xml:space="preserve"> 71.6123 </t>
  </si>
  <si>
    <t xml:space="preserve">F:\images\20210305\plaque 1/@12  Testosterone 300 µg_L/E12_01.tif </t>
  </si>
  <si>
    <t xml:space="preserve"> 31060.5287 </t>
  </si>
  <si>
    <t xml:space="preserve"> 74.7946 </t>
  </si>
  <si>
    <t xml:space="preserve">F:\images\20210305\plaque 1/@12  Testosterone 300 µg_L/E12_02.tif </t>
  </si>
  <si>
    <t xml:space="preserve"> 33418.1872 </t>
  </si>
  <si>
    <t xml:space="preserve"> 73.9126 </t>
  </si>
  <si>
    <t xml:space="preserve">F:\images\20210305\plaque 1/@12  Testosterone 300 µg_L/E12_03.tif </t>
  </si>
  <si>
    <t xml:space="preserve"> 37506.2373 </t>
  </si>
  <si>
    <t xml:space="preserve"> 74.8991 </t>
  </si>
  <si>
    <t xml:space="preserve">F:\images\20210305\plaque 1/@12  Testosterone 300 µg_L/F12_01.tif </t>
  </si>
  <si>
    <t xml:space="preserve"> 16568.4993 </t>
  </si>
  <si>
    <t xml:space="preserve"> 68.9112 </t>
  </si>
  <si>
    <t xml:space="preserve">F:\images\20210305\plaque 1/@12  Testosterone 300 µg_L/F12_02.tif </t>
  </si>
  <si>
    <t xml:space="preserve"> 15768.1932 </t>
  </si>
  <si>
    <t xml:space="preserve"> 70.7709 </t>
  </si>
  <si>
    <t xml:space="preserve">F:\images\20210305\plaque 1/@12  Testosterone 300 µg_L/F12_03.tif </t>
  </si>
  <si>
    <t xml:space="preserve"> 15724.9334 </t>
  </si>
  <si>
    <t xml:space="preserve"> 70.37 </t>
  </si>
  <si>
    <t>F:\images\20210305\plaque 1/@12  Testosterone 300 µg_L/G12_01- exclu.tif</t>
  </si>
  <si>
    <t>F:\images\20210305\plaque 1/@12  Testosterone 300 µg_L/G12_02- exclu.tif</t>
  </si>
  <si>
    <t xml:space="preserve">F:\images\20210305\plaque 1/@12  Testosterone 300 µg_L/G12_03.tif </t>
  </si>
  <si>
    <t xml:space="preserve"> 18753.1186 </t>
  </si>
  <si>
    <t xml:space="preserve"> 68.8155 </t>
  </si>
  <si>
    <t xml:space="preserve">F:\images\20210305\plaque 1/@12  Testosterone 300 µg_L/H12_01.tif </t>
  </si>
  <si>
    <t xml:space="preserve"> 69.6246 </t>
  </si>
  <si>
    <t>F:\images\20210305\plaque 1/@12  Testosterone 300 µg_L/H12_02- exclu.tif</t>
  </si>
  <si>
    <t>F:\images\20210305\plaque 1/@12  Testosterone 300 µg_L/H12_03- exclu.tif</t>
  </si>
  <si>
    <t xml:space="preserve">F:\images\20210305\plaque 1/@12  Testosterone 300 µg_L/ </t>
  </si>
  <si>
    <t xml:space="preserve"> 71.3569 </t>
  </si>
  <si>
    <t xml:space="preserve"> 4.7932 </t>
  </si>
  <si>
    <t xml:space="preserve"> 1553613.12 </t>
  </si>
  <si>
    <t xml:space="preserve"> 1182147.17 </t>
  </si>
  <si>
    <t xml:space="preserve">F:\images\20210305\plaque 2/@01 Testo 30/A1_01.tif </t>
  </si>
  <si>
    <t xml:space="preserve"> 24355.2614 </t>
  </si>
  <si>
    <t xml:space="preserve"> 71.6359 </t>
  </si>
  <si>
    <t xml:space="preserve">F:\images\20210305\plaque 2/@01 Testo 30/A1_02.tif </t>
  </si>
  <si>
    <t xml:space="preserve"> 14881.3675 </t>
  </si>
  <si>
    <t xml:space="preserve"> 66.782 </t>
  </si>
  <si>
    <t xml:space="preserve">F:\images\20210305\plaque 2/@01 Testo 30/A1_03.tif </t>
  </si>
  <si>
    <t xml:space="preserve"> 21197.2967 </t>
  </si>
  <si>
    <t xml:space="preserve"> 69.7643 </t>
  </si>
  <si>
    <t>F:\images\20210305\plaque 2/@01 Testo 30/B1_01- exclu.tif</t>
  </si>
  <si>
    <t>F:\images\20210305\plaque 2/@01 Testo 30/B1_02- exclu.tif</t>
  </si>
  <si>
    <t>F:\images\20210305\plaque 2/@01 Testo 30/B1_03- exclu.tif</t>
  </si>
  <si>
    <t xml:space="preserve">F:\images\20210305\plaque 2/@01 Testo 30/C1_01.tif </t>
  </si>
  <si>
    <t xml:space="preserve"> 32596.2512 </t>
  </si>
  <si>
    <t xml:space="preserve"> 68.5461 </t>
  </si>
  <si>
    <t>F:\images\20210305\plaque 2/@01 Testo 30/C1_02- exclu.tif</t>
  </si>
  <si>
    <t xml:space="preserve">F:\images\20210305\plaque 2/@01 Testo 30/C1_03.tif </t>
  </si>
  <si>
    <t xml:space="preserve"> 26301.9519 </t>
  </si>
  <si>
    <t xml:space="preserve"> 68.2516 </t>
  </si>
  <si>
    <t xml:space="preserve">F:\images\20210305\plaque 2/@01 Testo 30/D1_01.tif </t>
  </si>
  <si>
    <t xml:space="preserve"> 21413.5957 </t>
  </si>
  <si>
    <t xml:space="preserve"> 67.6505 </t>
  </si>
  <si>
    <t xml:space="preserve">F:\images\20210305\plaque 2/@01 Testo 30/D1_02.tif </t>
  </si>
  <si>
    <t xml:space="preserve"> 68.3654 </t>
  </si>
  <si>
    <t xml:space="preserve">F:\images\20210305\plaque 2/@01 Testo 30/D1_03.tif </t>
  </si>
  <si>
    <t xml:space="preserve"> 30325.1123 </t>
  </si>
  <si>
    <t xml:space="preserve"> 69.0128 </t>
  </si>
  <si>
    <t xml:space="preserve">F:\images\20210305\plaque 2/@01 Testo 30/E1_01.tif </t>
  </si>
  <si>
    <t xml:space="preserve"> 64.443 </t>
  </si>
  <si>
    <t xml:space="preserve">F:\images\20210305\plaque 2/@01 Testo 30/E1_02.tif </t>
  </si>
  <si>
    <t xml:space="preserve"> 64.5479 </t>
  </si>
  <si>
    <t xml:space="preserve">F:\images\20210305\plaque 2/@01 Testo 30/E1_03.tif </t>
  </si>
  <si>
    <t xml:space="preserve"> 64.935 </t>
  </si>
  <si>
    <t xml:space="preserve">F:\images\20210305\plaque 2/@01 Testo 30/F1_01.tif </t>
  </si>
  <si>
    <t xml:space="preserve"> 39755.7463 </t>
  </si>
  <si>
    <t xml:space="preserve"> 74.8662 </t>
  </si>
  <si>
    <t xml:space="preserve">F:\images\20210305\plaque 2/@01 Testo 30/F1_02.tif </t>
  </si>
  <si>
    <t xml:space="preserve"> 41161.6895 </t>
  </si>
  <si>
    <t xml:space="preserve"> 74.8203 </t>
  </si>
  <si>
    <t xml:space="preserve">F:\images\20210305\plaque 2/@01 Testo 30/F1_03.tif </t>
  </si>
  <si>
    <t xml:space="preserve"> 73.2934 </t>
  </si>
  <si>
    <t xml:space="preserve">F:\images\20210305\plaque 2/@01 Testo 30/G1_01.tif </t>
  </si>
  <si>
    <t xml:space="preserve"> 42178.2945 </t>
  </si>
  <si>
    <t xml:space="preserve"> 75.7138 </t>
  </si>
  <si>
    <t xml:space="preserve">F:\images\20210305\plaque 2/@01 Testo 30/G1_02.tif </t>
  </si>
  <si>
    <t xml:space="preserve"> 36922.2301 </t>
  </si>
  <si>
    <t xml:space="preserve"> 73.8916 </t>
  </si>
  <si>
    <t xml:space="preserve">F:\images\20210305\plaque 2/@01 Testo 30/G1_03.tif </t>
  </si>
  <si>
    <t xml:space="preserve"> 74.5454 </t>
  </si>
  <si>
    <t xml:space="preserve">F:\images\20210305\plaque 2/@01 Testo 30/H1_01.tif </t>
  </si>
  <si>
    <t xml:space="preserve"> 22906.0584 </t>
  </si>
  <si>
    <t xml:space="preserve"> 68.6043 </t>
  </si>
  <si>
    <t xml:space="preserve">F:\images\20210305\plaque 2/@01 Testo 30/H1_02.tif </t>
  </si>
  <si>
    <t xml:space="preserve"> 21089.1473 </t>
  </si>
  <si>
    <t xml:space="preserve"> 68.8431 </t>
  </si>
  <si>
    <t xml:space="preserve">F:\images\20210305\plaque 2/@01 Testo 30/H1_03.tif </t>
  </si>
  <si>
    <t xml:space="preserve"> 18471.93 </t>
  </si>
  <si>
    <t xml:space="preserve"> 66.8454 </t>
  </si>
  <si>
    <t xml:space="preserve">F:\images\20210305\plaque 2/@01 Testo 30/ </t>
  </si>
  <si>
    <t xml:space="preserve"> 69.0852 </t>
  </si>
  <si>
    <t xml:space="preserve"> 3.6852 </t>
  </si>
  <si>
    <t xml:space="preserve"> 1588297.46 </t>
  </si>
  <si>
    <t xml:space="preserve"> 1028346.22 </t>
  </si>
  <si>
    <t xml:space="preserve">F:\images\20210305\plaque 2/@02 Testo 30/A2_01.tif </t>
  </si>
  <si>
    <t xml:space="preserve"> 24095.7026 </t>
  </si>
  <si>
    <t xml:space="preserve"> 74.4452 </t>
  </si>
  <si>
    <t xml:space="preserve">F:\images\20210305\plaque 2/@02 Testo 30/A2_02.tif </t>
  </si>
  <si>
    <t xml:space="preserve"> 22149.0121 </t>
  </si>
  <si>
    <t xml:space="preserve"> 74.9551 </t>
  </si>
  <si>
    <t xml:space="preserve">F:\images\20210305\plaque 2/@02 Testo 30/A2_03.tif </t>
  </si>
  <si>
    <t xml:space="preserve"> 23338.6563 </t>
  </si>
  <si>
    <t xml:space="preserve"> 76.7016 </t>
  </si>
  <si>
    <t>F:\images\20210305\plaque 2/@02 Testo 30/B2_01- exclu.tif</t>
  </si>
  <si>
    <t xml:space="preserve">F:\images\20210305\plaque 2/@02 Testo 30/B2_02.tif </t>
  </si>
  <si>
    <t xml:space="preserve"> 14946.2572 </t>
  </si>
  <si>
    <t xml:space="preserve"> 71.2981 </t>
  </si>
  <si>
    <t xml:space="preserve">F:\images\20210305\plaque 2/@02 Testo 30/B2_03.tif </t>
  </si>
  <si>
    <t xml:space="preserve"> 13756.613 </t>
  </si>
  <si>
    <t xml:space="preserve">F:\images\20210305\plaque 2/@02 Testo 30/C2_01.tif </t>
  </si>
  <si>
    <t xml:space="preserve"> 71.2022 </t>
  </si>
  <si>
    <t xml:space="preserve">F:\images\20210305\plaque 2/@02 Testo 30/C2_02.tif </t>
  </si>
  <si>
    <t xml:space="preserve"> 8435.6589 </t>
  </si>
  <si>
    <t xml:space="preserve"> 74.8179 </t>
  </si>
  <si>
    <t xml:space="preserve">F:\images\20210305\plaque 2/@02 Testo 30/C2_03.tif </t>
  </si>
  <si>
    <t xml:space="preserve"> 6164.52 </t>
  </si>
  <si>
    <t xml:space="preserve"> 77.5298 </t>
  </si>
  <si>
    <t xml:space="preserve">F:\images\20210305\plaque 2/@02 Testo 30/D2_01.tif </t>
  </si>
  <si>
    <t xml:space="preserve"> 26064.023 </t>
  </si>
  <si>
    <t xml:space="preserve"> 72.7751 </t>
  </si>
  <si>
    <t xml:space="preserve">F:\images\20210305\plaque 2/@02 Testo 30/D2_02.tif </t>
  </si>
  <si>
    <t xml:space="preserve"> 25133.9376 </t>
  </si>
  <si>
    <t xml:space="preserve"> 74.6876 </t>
  </si>
  <si>
    <t>F:\images\20210305\plaque 2/@02 Testo 30/D2_03- exclu.tif</t>
  </si>
  <si>
    <t xml:space="preserve">F:\images\20210305\plaque 2/@02 Testo 30/E2_01.tif </t>
  </si>
  <si>
    <t xml:space="preserve"> 17195.7662 </t>
  </si>
  <si>
    <t xml:space="preserve"> 67.5799 </t>
  </si>
  <si>
    <t xml:space="preserve">F:\images\20210305\plaque 2/@02 Testo 30/E2_02.tif </t>
  </si>
  <si>
    <t xml:space="preserve"> 17671.6239 </t>
  </si>
  <si>
    <t xml:space="preserve"> 67.3953 </t>
  </si>
  <si>
    <t xml:space="preserve">F:\images\20210305\plaque 2/@02 Testo 30/E2_03.tif </t>
  </si>
  <si>
    <t xml:space="preserve"> 13713.3532 </t>
  </si>
  <si>
    <t xml:space="preserve"> 66.2603 </t>
  </si>
  <si>
    <t xml:space="preserve">F:\images\20210305\plaque 2/@02 Testo 30/F2_01.tif </t>
  </si>
  <si>
    <t xml:space="preserve"> 48191.4052 </t>
  </si>
  <si>
    <t xml:space="preserve"> 73.2136 </t>
  </si>
  <si>
    <t xml:space="preserve">F:\images\20210305\plaque 2/@02 Testo 30/F2_02.tif </t>
  </si>
  <si>
    <t xml:space="preserve"> 42740.6718 </t>
  </si>
  <si>
    <t xml:space="preserve"> 72.7869 </t>
  </si>
  <si>
    <t xml:space="preserve">F:\images\20210305\plaque 2/@02 Testo 30/F2_03.tif </t>
  </si>
  <si>
    <t xml:space="preserve"> 41918.7358 </t>
  </si>
  <si>
    <t xml:space="preserve"> 72.3973 </t>
  </si>
  <si>
    <t xml:space="preserve">F:\images\20210305\plaque 2/@02 Testo 30/G2_01.tif </t>
  </si>
  <si>
    <t xml:space="preserve"> 34348.2727 </t>
  </si>
  <si>
    <t xml:space="preserve"> 69.7897 </t>
  </si>
  <si>
    <t xml:space="preserve">F:\images\20210305\plaque 2/@02 Testo 30/G2_02.tif </t>
  </si>
  <si>
    <t xml:space="preserve"> 29503.1763 </t>
  </si>
  <si>
    <t xml:space="preserve"> 69.9084 </t>
  </si>
  <si>
    <t xml:space="preserve">F:\images\20210305\plaque 2/@02 Testo 30/G2_03.tif </t>
  </si>
  <si>
    <t xml:space="preserve"> 27296.927 </t>
  </si>
  <si>
    <t xml:space="preserve"> 69.0539 </t>
  </si>
  <si>
    <t xml:space="preserve">F:\images\20210305\plaque 2/@02 Testo 30/H2_01.tif </t>
  </si>
  <si>
    <t xml:space="preserve"> 70.7098 </t>
  </si>
  <si>
    <t xml:space="preserve">F:\images\20210305\plaque 2/@02 Testo 30/H2_02.tif </t>
  </si>
  <si>
    <t xml:space="preserve"> 27145.5178 </t>
  </si>
  <si>
    <t xml:space="preserve"> 68.5235 </t>
  </si>
  <si>
    <t xml:space="preserve">F:\images\20210305\plaque 2/@02 Testo 30/H2_03.tif </t>
  </si>
  <si>
    <t xml:space="preserve"> 22819.5388 </t>
  </si>
  <si>
    <t xml:space="preserve"> 68.3204 </t>
  </si>
  <si>
    <t xml:space="preserve">F:\images\20210305\plaque 2/@02 Testo 30/ </t>
  </si>
  <si>
    <t xml:space="preserve"> 70.9264 </t>
  </si>
  <si>
    <t xml:space="preserve"> 3.5544 </t>
  </si>
  <si>
    <t xml:space="preserve"> 1636934.25 </t>
  </si>
  <si>
    <t xml:space="preserve"> 826852.286 </t>
  </si>
  <si>
    <t xml:space="preserve">F:\images\20210305\plaque 2/@03 Testo+ EE2 64/A3_01.tif </t>
  </si>
  <si>
    <t xml:space="preserve"> 15962.8622 </t>
  </si>
  <si>
    <t xml:space="preserve"> 72.9634 </t>
  </si>
  <si>
    <t xml:space="preserve">F:\images\20210305\plaque 2/@03 Testo+ EE2 64/A3_02.tif </t>
  </si>
  <si>
    <t xml:space="preserve"> 20634.9195 </t>
  </si>
  <si>
    <t xml:space="preserve"> 70.4015 </t>
  </si>
  <si>
    <t xml:space="preserve">F:\images\20210305\plaque 2/@03 Testo+ EE2 64/A3_03.tif </t>
  </si>
  <si>
    <t xml:space="preserve"> 19704.834 </t>
  </si>
  <si>
    <t xml:space="preserve"> 71.6685 </t>
  </si>
  <si>
    <t xml:space="preserve">F:\images\20210305\plaque 2/@03 Testo+ EE2 64/B3_01.tif </t>
  </si>
  <si>
    <t xml:space="preserve"> 77283.6135 </t>
  </si>
  <si>
    <t xml:space="preserve"> 79.9197 </t>
  </si>
  <si>
    <t xml:space="preserve">F:\images\20210305\plaque 2/@03 Testo+ EE2 64/B3_02.tif </t>
  </si>
  <si>
    <t xml:space="preserve"> 73995.8695 </t>
  </si>
  <si>
    <t xml:space="preserve"> 78.8305 </t>
  </si>
  <si>
    <t xml:space="preserve">F:\images\20210305\plaque 2/@03 Testo+ EE2 64/B3_03.tif </t>
  </si>
  <si>
    <t xml:space="preserve"> 77435.0228 </t>
  </si>
  <si>
    <t xml:space="preserve"> 82.4148 </t>
  </si>
  <si>
    <t xml:space="preserve">F:\images\20210305\plaque 2/@03 Testo+ EE2 64/C3_01.tif </t>
  </si>
  <si>
    <t xml:space="preserve"> 33093.7388 </t>
  </si>
  <si>
    <t xml:space="preserve"> 83.0065 </t>
  </si>
  <si>
    <t xml:space="preserve">F:\images\20210305\plaque 2/@03 Testo+ EE2 64/C3_02.tif </t>
  </si>
  <si>
    <t xml:space="preserve"> 33050.479 </t>
  </si>
  <si>
    <t xml:space="preserve"> 81.6198 </t>
  </si>
  <si>
    <t xml:space="preserve">F:\images\20210305\plaque 2/@03 Testo+ EE2 64/C3_03.tif </t>
  </si>
  <si>
    <t xml:space="preserve"> 81.3472 </t>
  </si>
  <si>
    <t xml:space="preserve">F:\images\20210305\plaque 2/@03 Testo+ EE2 64/D3_01.tif </t>
  </si>
  <si>
    <t xml:space="preserve"> 14210.8408 </t>
  </si>
  <si>
    <t xml:space="preserve"> 70.0594 </t>
  </si>
  <si>
    <t xml:space="preserve">F:\images\20210305\plaque 2/@03 Testo+ EE2 64/D3_02.tif </t>
  </si>
  <si>
    <t xml:space="preserve"> 9538.7835 </t>
  </si>
  <si>
    <t xml:space="preserve"> 69.839 </t>
  </si>
  <si>
    <t xml:space="preserve">F:\images\20210305\plaque 2/@03 Testo+ EE2 64/D3_03.tif </t>
  </si>
  <si>
    <t xml:space="preserve"> 65.2383 </t>
  </si>
  <si>
    <t>F:\images\20210305\plaque 2/@03 Testo+ EE2 64/E3_01- exclu.tif</t>
  </si>
  <si>
    <t xml:space="preserve">F:\images\20210305\plaque 2/@03 Testo+ EE2 64/E3_02.tif </t>
  </si>
  <si>
    <t xml:space="preserve"> 48602.3732 </t>
  </si>
  <si>
    <t xml:space="preserve"> 81.2145 </t>
  </si>
  <si>
    <t xml:space="preserve">F:\images\20210305\plaque 2/@03 Testo+ EE2 64/E3_03.tif </t>
  </si>
  <si>
    <t xml:space="preserve"> 48537.4835 </t>
  </si>
  <si>
    <t xml:space="preserve"> 84.5107 </t>
  </si>
  <si>
    <t xml:space="preserve">F:\images\20210305\plaque 2/@03 Testo+ EE2 64/F3_01.tif </t>
  </si>
  <si>
    <t xml:space="preserve"> 47975.1063 </t>
  </si>
  <si>
    <t xml:space="preserve"> 78.7804 </t>
  </si>
  <si>
    <t xml:space="preserve">F:\images\20210305\plaque 2/@03 Testo+ EE2 64/F3_02.tif </t>
  </si>
  <si>
    <t xml:space="preserve"> 79.963 </t>
  </si>
  <si>
    <t xml:space="preserve">F:\images\20210305\plaque 2/@03 Testo+ EE2 64/F3_03.tif </t>
  </si>
  <si>
    <t xml:space="preserve"> 42264.8141 </t>
  </si>
  <si>
    <t xml:space="preserve"> 79.8572 </t>
  </si>
  <si>
    <t xml:space="preserve">F:\images\20210305\plaque 2/@03 Testo+ EE2 64/G3_01.tif </t>
  </si>
  <si>
    <t xml:space="preserve"> 38544.4722 </t>
  </si>
  <si>
    <t xml:space="preserve"> 72.3361 </t>
  </si>
  <si>
    <t xml:space="preserve">F:\images\20210305\plaque 2/@03 Testo+ EE2 64/G3_02.tif </t>
  </si>
  <si>
    <t xml:space="preserve"> 37441.3476 </t>
  </si>
  <si>
    <t xml:space="preserve"> 72.7267 </t>
  </si>
  <si>
    <t xml:space="preserve">F:\images\20210305\plaque 2/@03 Testo+ EE2 64/G3_03.tif </t>
  </si>
  <si>
    <t xml:space="preserve"> 70.9006 </t>
  </si>
  <si>
    <t xml:space="preserve">F:\images\20210305\plaque 2/@03 Testo+ EE2 64/H3_01.tif </t>
  </si>
  <si>
    <t xml:space="preserve"> 17260.6559 </t>
  </si>
  <si>
    <t xml:space="preserve"> 76.8083 </t>
  </si>
  <si>
    <t xml:space="preserve">F:\images\20210305\plaque 2/@03 Testo+ EE2 64/H3_02.tif </t>
  </si>
  <si>
    <t xml:space="preserve"> 11139.3957 </t>
  </si>
  <si>
    <t xml:space="preserve"> 67.0194 </t>
  </si>
  <si>
    <t xml:space="preserve">F:\images\20210305\plaque 2/@03 Testo+ EE2 64/H3_03.tif </t>
  </si>
  <si>
    <t xml:space="preserve"> 13518.6841 </t>
  </si>
  <si>
    <t xml:space="preserve"> 68.2912 </t>
  </si>
  <si>
    <t xml:space="preserve">F:\images\20210305\plaque 2/@03 Testo+ EE2 64/ </t>
  </si>
  <si>
    <t xml:space="preserve"> 75.6145 </t>
  </si>
  <si>
    <t xml:space="preserve"> 5.7042 </t>
  </si>
  <si>
    <t xml:space="preserve"> 2730309.08 </t>
  </si>
  <si>
    <t xml:space="preserve"> 1729787.48 </t>
  </si>
  <si>
    <t>F:\images\20210305\plaque 2/@04 Testo+ FAD/A4_01- exclu.tif</t>
  </si>
  <si>
    <t>F:\images\20210305\plaque 2/@04 Testo+ FAD/A4_02- exclu.tif</t>
  </si>
  <si>
    <t xml:space="preserve">F:\images\20210305\plaque 2/@04 Testo+ FAD/A4_03.tif </t>
  </si>
  <si>
    <t xml:space="preserve"> 66.1667 </t>
  </si>
  <si>
    <t xml:space="preserve">F:\images\20210305\plaque 2/@04 Testo+ FAD/B4_01.tif </t>
  </si>
  <si>
    <t xml:space="preserve"> 5515.6231 </t>
  </si>
  <si>
    <t xml:space="preserve"> 79.898 </t>
  </si>
  <si>
    <t xml:space="preserve">F:\images\20210305\plaque 2/@04 Testo+ FAD/B4_02.tif </t>
  </si>
  <si>
    <t xml:space="preserve"> 78.8719 </t>
  </si>
  <si>
    <t xml:space="preserve">F:\images\20210305\plaque 2/@04 Testo+ FAD/B4_03.tif </t>
  </si>
  <si>
    <t xml:space="preserve"> 3244.4842 </t>
  </si>
  <si>
    <t xml:space="preserve"> 67.12 </t>
  </si>
  <si>
    <t xml:space="preserve">F:\images\20210305\plaque 2/@04 Testo+ FAD/C4_01.tif </t>
  </si>
  <si>
    <t xml:space="preserve"> 10512.1288 </t>
  </si>
  <si>
    <t xml:space="preserve"> 68.8827 </t>
  </si>
  <si>
    <t xml:space="preserve">F:\images\20210305\plaque 2/@04 Testo+ FAD/C4_02.tif </t>
  </si>
  <si>
    <t xml:space="preserve"> 10836.5772 </t>
  </si>
  <si>
    <t xml:space="preserve">F:\images\20210305\plaque 2/@04 Testo+ FAD/C4_03.tif </t>
  </si>
  <si>
    <t xml:space="preserve"> 11528.7338 </t>
  </si>
  <si>
    <t xml:space="preserve"> 74.0356 </t>
  </si>
  <si>
    <t>F:\images\20210305\plaque 2/@04 Testo+ FAD/D4_01- exclu.tif</t>
  </si>
  <si>
    <t xml:space="preserve">F:\images\20210305\plaque 2/@04 Testo+ FAD/D4_02.tif </t>
  </si>
  <si>
    <t xml:space="preserve"> 62.7368 </t>
  </si>
  <si>
    <t xml:space="preserve">F:\images\20210305\plaque 2/@04 Testo+ FAD/D4_03.tif </t>
  </si>
  <si>
    <t xml:space="preserve"> 62.3571 </t>
  </si>
  <si>
    <t xml:space="preserve">F:\images\20210305\plaque 2/@04 Testo+ FAD/E4_01.tif </t>
  </si>
  <si>
    <t xml:space="preserve"> 75.685 </t>
  </si>
  <si>
    <t xml:space="preserve">F:\images\20210305\plaque 2/@04 Testo+ FAD/E4_02.tif </t>
  </si>
  <si>
    <t xml:space="preserve"> 8305.8795 </t>
  </si>
  <si>
    <t xml:space="preserve"> 71.3333 </t>
  </si>
  <si>
    <t xml:space="preserve">F:\images\20210305\plaque 2/@04 Testo+ FAD/E4_03.tif </t>
  </si>
  <si>
    <t xml:space="preserve"> 71.4801 </t>
  </si>
  <si>
    <t xml:space="preserve">F:\images\20210305\plaque 2/@04 Testo+ FAD/F4_01.tif </t>
  </si>
  <si>
    <t xml:space="preserve"> 66.7525 </t>
  </si>
  <si>
    <t xml:space="preserve">F:\images\20210305\plaque 2/@04 Testo+ FAD/F4_02.tif </t>
  </si>
  <si>
    <t xml:space="preserve"> 66.7273 </t>
  </si>
  <si>
    <t xml:space="preserve">F:\images\20210305\plaque 2/@04 Testo+ FAD/F4_03.tif </t>
  </si>
  <si>
    <t xml:space="preserve"> 994.9752 </t>
  </si>
  <si>
    <t xml:space="preserve"> 64.8043 </t>
  </si>
  <si>
    <t xml:space="preserve">F:\images\20210305\plaque 2/@04 Testo+ FAD/G4_01.tif </t>
  </si>
  <si>
    <t xml:space="preserve"> 6964.8261 </t>
  </si>
  <si>
    <t xml:space="preserve"> 73.705 </t>
  </si>
  <si>
    <t xml:space="preserve">F:\images\20210305\plaque 2/@04 Testo+ FAD/G4_02.tif </t>
  </si>
  <si>
    <t xml:space="preserve"> 6575.488 </t>
  </si>
  <si>
    <t xml:space="preserve"> 76.227 </t>
  </si>
  <si>
    <t xml:space="preserve">F:\images\20210305\plaque 2/@04 Testo+ FAD/G4_03.tif </t>
  </si>
  <si>
    <t xml:space="preserve"> 6683.6374 </t>
  </si>
  <si>
    <t xml:space="preserve"> 74.7638 </t>
  </si>
  <si>
    <t xml:space="preserve">F:\images\20210305\plaque 2/@04 Testo+ FAD/H4_01.tif </t>
  </si>
  <si>
    <t xml:space="preserve"> 3785.2316 </t>
  </si>
  <si>
    <t xml:space="preserve"> 67.2171 </t>
  </si>
  <si>
    <t>F:\images\20210305\plaque 2/@04 Testo+ FAD/H4_02- exclu.tif</t>
  </si>
  <si>
    <t xml:space="preserve">F:\images\20210305\plaque 2/@04 Testo+ FAD/H4_03.tif </t>
  </si>
  <si>
    <t xml:space="preserve"> 68.1756 </t>
  </si>
  <si>
    <t xml:space="preserve">F:\images\20210305\plaque 2/@04 Testo+ FAD/ </t>
  </si>
  <si>
    <t xml:space="preserve"> 70.0477 </t>
  </si>
  <si>
    <t xml:space="preserve"> 5.2033 </t>
  </si>
  <si>
    <t xml:space="preserve"> 377510.167 </t>
  </si>
  <si>
    <t xml:space="preserve"> 278962.633 </t>
  </si>
  <si>
    <t xml:space="preserve">F:\images\20210305\plaque 2/@05 Testosterone 3.7 µg_L dopé/A5_01.tif </t>
  </si>
  <si>
    <t xml:space="preserve"> 15854.7128 </t>
  </si>
  <si>
    <t xml:space="preserve"> 73.0218 </t>
  </si>
  <si>
    <t xml:space="preserve">F:\images\20210305\plaque 2/@05 Testosterone 3.7 µg_L dopé/A5_02.tif </t>
  </si>
  <si>
    <t xml:space="preserve"> 14967.8871 </t>
  </si>
  <si>
    <t xml:space="preserve"> 72.7428 </t>
  </si>
  <si>
    <t xml:space="preserve">F:\images\20210305\plaque 2/@05 Testosterone 3.7 µg_L dopé/A5_03.tif </t>
  </si>
  <si>
    <t xml:space="preserve"> 14621.8088 </t>
  </si>
  <si>
    <t xml:space="preserve"> 72.8269 </t>
  </si>
  <si>
    <t xml:space="preserve">F:\images\20210305\plaque 2/@05 Testosterone 3.7 µg_L dopé/B5_01.tif </t>
  </si>
  <si>
    <t xml:space="preserve"> 69.1341 </t>
  </si>
  <si>
    <t xml:space="preserve">F:\images\20210305\plaque 2/@05 Testosterone 3.7 µg_L dopé/B5_02.tif </t>
  </si>
  <si>
    <t xml:space="preserve"> 11074.506 </t>
  </si>
  <si>
    <t xml:space="preserve"> 69.7891 </t>
  </si>
  <si>
    <t xml:space="preserve">F:\images\20210305\plaque 2/@05 Testosterone 3.7 µg_L dopé/B5_03.tif </t>
  </si>
  <si>
    <t xml:space="preserve"> 11269.1751 </t>
  </si>
  <si>
    <t xml:space="preserve"> 68.3724 </t>
  </si>
  <si>
    <t xml:space="preserve">F:\images\20210305\plaque 2/@05 Testosterone 3.7 µg_L dopé/C5_01.tif </t>
  </si>
  <si>
    <t xml:space="preserve"> 41659.1771 </t>
  </si>
  <si>
    <t xml:space="preserve"> 73.4263 </t>
  </si>
  <si>
    <t xml:space="preserve">F:\images\20210305\plaque 2/@05 Testosterone 3.7 µg_L dopé/C5_02.tif </t>
  </si>
  <si>
    <t xml:space="preserve"> 39106.8495 </t>
  </si>
  <si>
    <t xml:space="preserve"> 71.4812 </t>
  </si>
  <si>
    <t xml:space="preserve">F:\images\20210305\plaque 2/@05 Testosterone 3.7 µg_L dopé/C5_03.tif </t>
  </si>
  <si>
    <t xml:space="preserve"> 71.921 </t>
  </si>
  <si>
    <t xml:space="preserve">F:\images\20210305\plaque 2/@05 Testosterone 3.7 µg_L dopé/D5_01.tif </t>
  </si>
  <si>
    <t xml:space="preserve"> 58119.5269 </t>
  </si>
  <si>
    <t xml:space="preserve"> 76.8861 </t>
  </si>
  <si>
    <t xml:space="preserve">F:\images\20210305\plaque 2/@05 Testosterone 3.7 µg_L dopé/D5_02.tif </t>
  </si>
  <si>
    <t xml:space="preserve"> 55026.4519 </t>
  </si>
  <si>
    <t xml:space="preserve"> 76.4088 </t>
  </si>
  <si>
    <t xml:space="preserve">F:\images\20210305\plaque 2/@05 Testosterone 3.7 µg_L dopé/D5_03.tif </t>
  </si>
  <si>
    <t xml:space="preserve"> 55069.7117 </t>
  </si>
  <si>
    <t xml:space="preserve"> 75.5809 </t>
  </si>
  <si>
    <t>F:\images\20210305\plaque 2/@05 Testosterone 3.7 µg_L dopé/E5_01- exclu.tif</t>
  </si>
  <si>
    <t xml:space="preserve">F:\images\20210305\plaque 2/@05 Testosterone 3.7 µg_L dopé/E5_02.tif </t>
  </si>
  <si>
    <t xml:space="preserve"> 64.566 </t>
  </si>
  <si>
    <t xml:space="preserve">F:\images\20210305\plaque 2/@05 Testosterone 3.7 µg_L dopé/E5_03.tif </t>
  </si>
  <si>
    <t xml:space="preserve">F:\images\20210305\plaque 2/@05 Testosterone 3.7 µg_L dopé/F5_01.tif </t>
  </si>
  <si>
    <t xml:space="preserve"> 72.4587 </t>
  </si>
  <si>
    <t xml:space="preserve">F:\images\20210305\plaque 2/@05 Testosterone 3.7 µg_L dopé/F5_02.tif </t>
  </si>
  <si>
    <t xml:space="preserve"> 40534.4225 </t>
  </si>
  <si>
    <t xml:space="preserve"> 71.7129 </t>
  </si>
  <si>
    <t xml:space="preserve">F:\images\20210305\plaque 2/@05 Testosterone 3.7 µg_L dopé/F5_03.tif </t>
  </si>
  <si>
    <t xml:space="preserve"> 32444.8419 </t>
  </si>
  <si>
    <t xml:space="preserve"> 72.4133 </t>
  </si>
  <si>
    <t xml:space="preserve">F:\images\20210305\plaque 2/@05 Testosterone 3.7 µg_L dopé/G5_01.tif </t>
  </si>
  <si>
    <t xml:space="preserve"> 41680.8069 </t>
  </si>
  <si>
    <t xml:space="preserve"> 71.2475 </t>
  </si>
  <si>
    <t xml:space="preserve">F:\images\20210305\plaque 2/@05 Testosterone 3.7 µg_L dopé/G5_02.tif </t>
  </si>
  <si>
    <t xml:space="preserve"> 46136.5652 </t>
  </si>
  <si>
    <t xml:space="preserve"> 71.812 </t>
  </si>
  <si>
    <t xml:space="preserve">F:\images\20210305\plaque 2/@05 Testosterone 3.7 µg_L dopé/G5_03.tif </t>
  </si>
  <si>
    <t xml:space="preserve"> 70.8568 </t>
  </si>
  <si>
    <t xml:space="preserve">F:\images\20210305\plaque 2/@05 Testosterone 3.7 µg_L dopé/H5_01.tif </t>
  </si>
  <si>
    <t xml:space="preserve"> 1059.8648 </t>
  </si>
  <si>
    <t xml:space="preserve"> 65.4082 </t>
  </si>
  <si>
    <t xml:space="preserve">F:\images\20210305\plaque 2/@05 Testosterone 3.7 µg_L dopé/H5_02.tif </t>
  </si>
  <si>
    <t xml:space="preserve"> 65.3725 </t>
  </si>
  <si>
    <t xml:space="preserve">F:\images\20210305\plaque 2/@05 Testosterone 3.7 µg_L dopé/H5_03.tif </t>
  </si>
  <si>
    <t xml:space="preserve"> 66.1818 </t>
  </si>
  <si>
    <t xml:space="preserve">F:\images\20210305\plaque 2/@05 Testosterone 3.7 µg_L dopé/ </t>
  </si>
  <si>
    <t xml:space="preserve"> 70.7935 </t>
  </si>
  <si>
    <t xml:space="preserve"> 3.6013 </t>
  </si>
  <si>
    <t xml:space="preserve"> 1850533.88 </t>
  </si>
  <si>
    <t xml:space="preserve"> 1477399.81 </t>
  </si>
  <si>
    <t xml:space="preserve">F:\images\20210305\plaque 2/@06  Testosterone 11 µg_Ldopé/A6_01.tif </t>
  </si>
  <si>
    <t xml:space="preserve"> 63.4857 </t>
  </si>
  <si>
    <t xml:space="preserve">F:\images\20210305\plaque 2/@06  Testosterone 11 µg_Ldopé/A6_02.tif </t>
  </si>
  <si>
    <t xml:space="preserve"> 62.9623 </t>
  </si>
  <si>
    <t xml:space="preserve">F:\images\20210305\plaque 2/@06  Testosterone 11 µg_Ldopé/A6_03.tif </t>
  </si>
  <si>
    <t xml:space="preserve"> 64.3111 </t>
  </si>
  <si>
    <t xml:space="preserve">F:\images\20210305\plaque 2/@06  Testosterone 11 µg_Ldopé/B6_01.tif </t>
  </si>
  <si>
    <t xml:space="preserve"> 72.2108 </t>
  </si>
  <si>
    <t xml:space="preserve">F:\images\20210305\plaque 2/@06  Testosterone 11 µg_Ldopé/B6_02.tif </t>
  </si>
  <si>
    <t xml:space="preserve"> 26842.6992 </t>
  </si>
  <si>
    <t xml:space="preserve"> 75.7397 </t>
  </si>
  <si>
    <t xml:space="preserve">F:\images\20210305\plaque 2/@06  Testosterone 11 µg_Ldopé/B6_03.tif </t>
  </si>
  <si>
    <t xml:space="preserve"> 75.2724 </t>
  </si>
  <si>
    <t xml:space="preserve">F:\images\20210305\plaque 2/@06  Testosterone 11 µg_Ldopé/C6_01.tif </t>
  </si>
  <si>
    <t xml:space="preserve"> 70.0568 </t>
  </si>
  <si>
    <t xml:space="preserve">F:\images\20210305\plaque 2/@06  Testosterone 11 µg_Ldopé/C6_02.tif </t>
  </si>
  <si>
    <t xml:space="preserve"> 68.5988 </t>
  </si>
  <si>
    <t xml:space="preserve">F:\images\20210305\plaque 2/@06  Testosterone 11 µg_Ldopé/C6_03.tif </t>
  </si>
  <si>
    <t xml:space="preserve"> 7527.2033 </t>
  </si>
  <si>
    <t xml:space="preserve"> 67.8305 </t>
  </si>
  <si>
    <t xml:space="preserve">F:\images\20210305\plaque 2/@06  Testosterone 11 µg_Ldopé/D6_01.tif </t>
  </si>
  <si>
    <t xml:space="preserve"> 63.3286 </t>
  </si>
  <si>
    <t xml:space="preserve">F:\images\20210305\plaque 2/@06  Testosterone 11 µg_Ldopé/D6_02.tif </t>
  </si>
  <si>
    <t xml:space="preserve"> 2011.5802 </t>
  </si>
  <si>
    <t xml:space="preserve"> 65.1613 </t>
  </si>
  <si>
    <t xml:space="preserve">F:\images\20210305\plaque 2/@06  Testosterone 11 µg_Ldopé/D6_03.tif </t>
  </si>
  <si>
    <t xml:space="preserve"> 65.1274 </t>
  </si>
  <si>
    <t xml:space="preserve">F:\images\20210305\plaque 2/@06  Testosterone 11 µg_Ldopé/E6_01.tif </t>
  </si>
  <si>
    <t xml:space="preserve"> 33742.6356 </t>
  </si>
  <si>
    <t xml:space="preserve"> 70.4571 </t>
  </si>
  <si>
    <t xml:space="preserve">F:\images\20210305\plaque 2/@06  Testosterone 11 µg_Ldopé/E6_02.tif </t>
  </si>
  <si>
    <t xml:space="preserve"> 33721.0057 </t>
  </si>
  <si>
    <t xml:space="preserve"> 70.0032 </t>
  </si>
  <si>
    <t xml:space="preserve">F:\images\20210305\plaque 2/@06  Testosterone 11 µg_Ldopé/E6_03.tif </t>
  </si>
  <si>
    <t xml:space="preserve"> 29741.1051 </t>
  </si>
  <si>
    <t xml:space="preserve"> 68.7113 </t>
  </si>
  <si>
    <t xml:space="preserve">F:\images\20210305\plaque 2/@06  Testosterone 11 µg_Ldopé/F6_01.tif </t>
  </si>
  <si>
    <t xml:space="preserve"> 18774.7485 </t>
  </si>
  <si>
    <t xml:space="preserve"> 67.5507 </t>
  </si>
  <si>
    <t xml:space="preserve">F:\images\20210305\plaque 2/@06  Testosterone 11 µg_Ldopé/F6_02.tif </t>
  </si>
  <si>
    <t xml:space="preserve"> 16698.2787 </t>
  </si>
  <si>
    <t xml:space="preserve"> 66.9145 </t>
  </si>
  <si>
    <t xml:space="preserve">F:\images\20210305\plaque 2/@06  Testosterone 11 µg_Ldopé/F6_03.tif </t>
  </si>
  <si>
    <t xml:space="preserve"> 19315.4959 </t>
  </si>
  <si>
    <t xml:space="preserve"> 67.9451 </t>
  </si>
  <si>
    <t xml:space="preserve">F:\images\20210305\plaque 2/@06  Testosterone 11 µg_Ldopé/G6_01.tif </t>
  </si>
  <si>
    <t xml:space="preserve"> 12977.9368 </t>
  </si>
  <si>
    <t xml:space="preserve"> 67.5483 </t>
  </si>
  <si>
    <t xml:space="preserve">F:\images\20210305\plaque 2/@06  Testosterone 11 µg_Ldopé/G6_02.tif </t>
  </si>
  <si>
    <t xml:space="preserve"> 13129.346 </t>
  </si>
  <si>
    <t xml:space="preserve"> 66.4876 </t>
  </si>
  <si>
    <t xml:space="preserve">F:\images\20210305\plaque 2/@06  Testosterone 11 µg_Ldopé/G6_03.tif </t>
  </si>
  <si>
    <t xml:space="preserve"> 66.9681 </t>
  </si>
  <si>
    <t xml:space="preserve">F:\images\20210305\plaque 2/@06  Testosterone 11 µg_Ldopé/H6_01.tif </t>
  </si>
  <si>
    <t xml:space="preserve"> 52798.5728 </t>
  </si>
  <si>
    <t xml:space="preserve"> 73.4248 </t>
  </si>
  <si>
    <t xml:space="preserve">F:\images\20210305\plaque 2/@06  Testosterone 11 µg_Ldopé/H6_02.tif </t>
  </si>
  <si>
    <t xml:space="preserve"> 48515.8537 </t>
  </si>
  <si>
    <t xml:space="preserve"> 72.6906 </t>
  </si>
  <si>
    <t xml:space="preserve">F:\images\20210305\plaque 2/@06  Testosterone 11 µg_Ldopé/H6_03.tif </t>
  </si>
  <si>
    <t xml:space="preserve"> 75.1132 </t>
  </si>
  <si>
    <t xml:space="preserve">F:\images\20210305\plaque 2/@06  Testosterone 11 µg_Ldopé/ </t>
  </si>
  <si>
    <t xml:space="preserve"> 68.6625 </t>
  </si>
  <si>
    <t xml:space="preserve"> 3.8427 </t>
  </si>
  <si>
    <t xml:space="preserve"> 1371206.46 </t>
  </si>
  <si>
    <t xml:space="preserve"> 1184515.97 </t>
  </si>
  <si>
    <t xml:space="preserve">F:\images\20210305\plaque 2/@07  Testosterone 33 µg_Ldopé/A7_01.tif </t>
  </si>
  <si>
    <t xml:space="preserve"> 22343.6812 </t>
  </si>
  <si>
    <t xml:space="preserve"> 72.9013 </t>
  </si>
  <si>
    <t xml:space="preserve">F:\images\20210305\plaque 2/@07  Testosterone 33 µg_Ldopé/A7_02.tif </t>
  </si>
  <si>
    <t xml:space="preserve"> 72.6252 </t>
  </si>
  <si>
    <t xml:space="preserve">F:\images\20210305\plaque 2/@07  Testosterone 33 µg_Ldopé/A7_03.tif </t>
  </si>
  <si>
    <t xml:space="preserve"> 71.6439 </t>
  </si>
  <si>
    <t xml:space="preserve">F:\images\20210305\plaque 2/@07  Testosterone 33 µg_Ldopé/B7_01.tif </t>
  </si>
  <si>
    <t xml:space="preserve"> 2227.8791 </t>
  </si>
  <si>
    <t xml:space="preserve"> 65.534 </t>
  </si>
  <si>
    <t xml:space="preserve">F:\images\20210305\plaque 2/@07  Testosterone 33 µg_Ldopé/B7_02.tif </t>
  </si>
  <si>
    <t xml:space="preserve"> 65.9787 </t>
  </si>
  <si>
    <t xml:space="preserve">F:\images\20210305\plaque 2/@07  Testosterone 33 µg_Ldopé/B7_03.tif </t>
  </si>
  <si>
    <t xml:space="preserve"> 64.439 </t>
  </si>
  <si>
    <t>F:\images\20210305\plaque 2/@07  Testosterone 33 µg_Ldopé/C7_01- exclu.tif</t>
  </si>
  <si>
    <t xml:space="preserve">F:\images\20210305\plaque 2/@07  Testosterone 33 µg_Ldopé/C7_02.tif </t>
  </si>
  <si>
    <t xml:space="preserve"> 38522.8423 </t>
  </si>
  <si>
    <t xml:space="preserve"> 72.9759 </t>
  </si>
  <si>
    <t xml:space="preserve">F:\images\20210305\plaque 2/@07  Testosterone 33 µg_Ldopé/C7_03.tif </t>
  </si>
  <si>
    <t xml:space="preserve"> 35083.6891 </t>
  </si>
  <si>
    <t xml:space="preserve"> 72.3218 </t>
  </si>
  <si>
    <t xml:space="preserve">F:\images\20210305\plaque 2/@07  Testosterone 33 µg_Ldopé/D7_01.tif </t>
  </si>
  <si>
    <t xml:space="preserve"> 38955.4402 </t>
  </si>
  <si>
    <t xml:space="preserve"> 73.2993 </t>
  </si>
  <si>
    <t xml:space="preserve">F:\images\20210305\plaque 2/@07  Testosterone 33 µg_Ldopé/D7_02.tif </t>
  </si>
  <si>
    <t xml:space="preserve"> 74.9837 </t>
  </si>
  <si>
    <t xml:space="preserve">F:\images\20210305\plaque 2/@07  Testosterone 33 µg_Ldopé/D7_03.tif </t>
  </si>
  <si>
    <t xml:space="preserve"> 31622.9059 </t>
  </si>
  <si>
    <t xml:space="preserve"> 74.5773 </t>
  </si>
  <si>
    <t xml:space="preserve">F:\images\20210305\plaque 2/@07  Testosterone 33 µg_Ldopé/E7_01.tif </t>
  </si>
  <si>
    <t xml:space="preserve"> 67.8274 </t>
  </si>
  <si>
    <t xml:space="preserve">F:\images\20210305\plaque 2/@07  Testosterone 33 µg_Ldopé/E7_02.tif </t>
  </si>
  <si>
    <t xml:space="preserve"> 67.994 </t>
  </si>
  <si>
    <t xml:space="preserve">F:\images\20210305\plaque 2/@07  Testosterone 33 µg_Ldopé/E7_03.tif </t>
  </si>
  <si>
    <t xml:space="preserve"> 7008.0859 </t>
  </si>
  <si>
    <t xml:space="preserve"> 65.7932 </t>
  </si>
  <si>
    <t xml:space="preserve">F:\images\20210305\plaque 2/@07  Testosterone 33 µg_Ldopé/F7_01.tif </t>
  </si>
  <si>
    <t xml:space="preserve"> 71.0213 </t>
  </si>
  <si>
    <t xml:space="preserve">F:\images\20210305\plaque 2/@07  Testosterone 33 µg_Ldopé/F7_02.tif </t>
  </si>
  <si>
    <t xml:space="preserve"> 13086.0863 </t>
  </si>
  <si>
    <t xml:space="preserve"> 71.3868 </t>
  </si>
  <si>
    <t xml:space="preserve">F:\images\20210305\plaque 2/@07  Testosterone 33 µg_Ldopé/F7_03.tif </t>
  </si>
  <si>
    <t xml:space="preserve"> 14600.1789 </t>
  </si>
  <si>
    <t xml:space="preserve"> 68.8163 </t>
  </si>
  <si>
    <t xml:space="preserve">F:\images\20210305\plaque 2/@07  Testosterone 33 µg_Ldopé/G7_01.tif </t>
  </si>
  <si>
    <t xml:space="preserve"> 22646.4997 </t>
  </si>
  <si>
    <t xml:space="preserve"> 67.852 </t>
  </si>
  <si>
    <t xml:space="preserve">F:\images\20210305\plaque 2/@07  Testosterone 33 µg_Ldopé/G7_02.tif </t>
  </si>
  <si>
    <t xml:space="preserve"> 22970.9481 </t>
  </si>
  <si>
    <t xml:space="preserve"> 68.1064 </t>
  </si>
  <si>
    <t xml:space="preserve">F:\images\20210305\plaque 2/@07  Testosterone 33 µg_Ldopé/G7_03.tif </t>
  </si>
  <si>
    <t xml:space="preserve"> 68.1917 </t>
  </si>
  <si>
    <t xml:space="preserve">F:\images\20210305\plaque 2/@07  Testosterone 33 µg_Ldopé/H7_01.tif </t>
  </si>
  <si>
    <t xml:space="preserve"> 13734.9831 </t>
  </si>
  <si>
    <t xml:space="preserve"> 69.5764 </t>
  </si>
  <si>
    <t xml:space="preserve">F:\images\20210305\plaque 2/@07  Testosterone 33 µg_Ldopé/H7_02.tif </t>
  </si>
  <si>
    <t xml:space="preserve"> 10339.0896 </t>
  </si>
  <si>
    <t xml:space="preserve"> 69.0502 </t>
  </si>
  <si>
    <t xml:space="preserve">F:\images\20210305\plaque 2/@07  Testosterone 33 µg_Ldopé/H7_03.tif </t>
  </si>
  <si>
    <t xml:space="preserve"> 8608.6981 </t>
  </si>
  <si>
    <t xml:space="preserve"> 69.1357 </t>
  </si>
  <si>
    <t xml:space="preserve">F:\images\20210305\plaque 2/@07  Testosterone 33 µg_Ldopé/ </t>
  </si>
  <si>
    <t xml:space="preserve"> 70.7009 </t>
  </si>
  <si>
    <t xml:space="preserve"> 5.1943 </t>
  </si>
  <si>
    <t xml:space="preserve"> 1312113.5 </t>
  </si>
  <si>
    <t xml:space="preserve"> 889762.772 </t>
  </si>
  <si>
    <t xml:space="preserve">F:\images\20210305\plaque 2/@08  Testosterone 100 µg_Ldopé/A8_01.tif </t>
  </si>
  <si>
    <t xml:space="preserve"> 9906.4917 </t>
  </si>
  <si>
    <t xml:space="preserve"> 70.7555 </t>
  </si>
  <si>
    <t xml:space="preserve">F:\images\20210305\plaque 2/@08  Testosterone 100 µg_Ldopé/A8_02.tif </t>
  </si>
  <si>
    <t xml:space="preserve"> 69.9778 </t>
  </si>
  <si>
    <t xml:space="preserve">F:\images\20210305\plaque 2/@08  Testosterone 100 µg_Ldopé/A8_03.tif </t>
  </si>
  <si>
    <t xml:space="preserve"> 7548.8332 </t>
  </si>
  <si>
    <t xml:space="preserve"> 69.2837 </t>
  </si>
  <si>
    <t xml:space="preserve">F:\images\20210305\plaque 2/@08  Testosterone 100 µg_Ldopé/B8_01.tif </t>
  </si>
  <si>
    <t xml:space="preserve"> 64.9744 </t>
  </si>
  <si>
    <t xml:space="preserve">F:\images\20210305\plaque 2/@08  Testosterone 100 µg_Ldopé/B8_02.tif </t>
  </si>
  <si>
    <t xml:space="preserve"> 63.5435 </t>
  </si>
  <si>
    <t xml:space="preserve">F:\images\20210305\plaque 2/@08  Testosterone 100 µg_Ldopé/B8_03.tif </t>
  </si>
  <si>
    <t xml:space="preserve"> 64.9833 </t>
  </si>
  <si>
    <t xml:space="preserve">F:\images\20210305\plaque 2/@08  Testosterone 100 µg_Ldopé/C8_01.tif </t>
  </si>
  <si>
    <t xml:space="preserve"> 9235.965 </t>
  </si>
  <si>
    <t xml:space="preserve"> 66.6698 </t>
  </si>
  <si>
    <t xml:space="preserve">F:\images\20210305\plaque 2/@08  Testosterone 100 µg_Ldopé/C8_02.tif </t>
  </si>
  <si>
    <t xml:space="preserve"> 9322.4846 </t>
  </si>
  <si>
    <t xml:space="preserve"> 67.5244 </t>
  </si>
  <si>
    <t xml:space="preserve">F:\images\20210305\plaque 2/@08  Testosterone 100 µg_Ldopé/C8_03.tif </t>
  </si>
  <si>
    <t xml:space="preserve"> 8457.2888 </t>
  </si>
  <si>
    <t xml:space="preserve"> 67.1662 </t>
  </si>
  <si>
    <t xml:space="preserve">F:\images\20210305\plaque 2/@08  Testosterone 100 µg_Ldopé/D8_01.tif </t>
  </si>
  <si>
    <t xml:space="preserve"> 21002.6277 </t>
  </si>
  <si>
    <t xml:space="preserve"> 69.2235 </t>
  </si>
  <si>
    <t xml:space="preserve">F:\images\20210305\plaque 2/@08  Testosterone 100 µg_Ldopé/D8_02.tif </t>
  </si>
  <si>
    <t xml:space="preserve"> 25328.6066 </t>
  </si>
  <si>
    <t xml:space="preserve"> 69.503 </t>
  </si>
  <si>
    <t xml:space="preserve">F:\images\20210305\plaque 2/@08  Testosterone 100 µg_Ldopé/D8_03.tif </t>
  </si>
  <si>
    <t xml:space="preserve"> 21500.1153 </t>
  </si>
  <si>
    <t xml:space="preserve"> 69.7636 </t>
  </si>
  <si>
    <t xml:space="preserve">F:\images\20210305\plaque 2/@08  Testosterone 100 µg_Ldopé/E8_01.tif </t>
  </si>
  <si>
    <t xml:space="preserve"> 71.291 </t>
  </si>
  <si>
    <t xml:space="preserve">F:\images\20210305\plaque 2/@08  Testosterone 100 µg_Ldopé/E8_02.tif </t>
  </si>
  <si>
    <t xml:space="preserve"> 32315.0626 </t>
  </si>
  <si>
    <t xml:space="preserve"> 70.1205 </t>
  </si>
  <si>
    <t xml:space="preserve">F:\images\20210305\plaque 2/@08  Testosterone 100 µg_Ldopé/E8_03.tif </t>
  </si>
  <si>
    <t xml:space="preserve"> 29589.6959 </t>
  </si>
  <si>
    <t xml:space="preserve"> 68.7222 </t>
  </si>
  <si>
    <t xml:space="preserve">F:\images\20210305\plaque 2/@08  Testosterone 100 µg_Ldopé/F8_01.tif </t>
  </si>
  <si>
    <t xml:space="preserve"> 7310.9044 </t>
  </si>
  <si>
    <t xml:space="preserve"> 65.4467 </t>
  </si>
  <si>
    <t xml:space="preserve">F:\images\20210305\plaque 2/@08  Testosterone 100 µg_Ldopé/F8_02.tif </t>
  </si>
  <si>
    <t xml:space="preserve"> 5429.1036 </t>
  </si>
  <si>
    <t xml:space="preserve"> 65.6733 </t>
  </si>
  <si>
    <t xml:space="preserve">F:\images\20210305\plaque 2/@08  Testosterone 100 µg_Ldopé/F8_03.tif </t>
  </si>
  <si>
    <t xml:space="preserve"> 5299.3242 </t>
  </si>
  <si>
    <t xml:space="preserve"> 65.9143 </t>
  </si>
  <si>
    <t>F:\images\20210305\plaque 2/@08  Testosterone 100 µg_Ldopé/G8_01- exclu.tif</t>
  </si>
  <si>
    <t xml:space="preserve">F:\images\20210305\plaque 2/@08  Testosterone 100 µg_Ldopé/G8_02.tif </t>
  </si>
  <si>
    <t xml:space="preserve"> 10036.2711 </t>
  </si>
  <si>
    <t xml:space="preserve"> 67.9332 </t>
  </si>
  <si>
    <t xml:space="preserve">F:\images\20210305\plaque 2/@08  Testosterone 100 µg_Ldopé/G8_03.tif </t>
  </si>
  <si>
    <t xml:space="preserve"> 11247.5452 </t>
  </si>
  <si>
    <t xml:space="preserve"> 69.2769 </t>
  </si>
  <si>
    <t xml:space="preserve">F:\images\20210305\plaque 2/@08  Testosterone 100 µg_Ldopé/H8_01.tif </t>
  </si>
  <si>
    <t xml:space="preserve"> 27794.4146 </t>
  </si>
  <si>
    <t xml:space="preserve"> 78.5136 </t>
  </si>
  <si>
    <t xml:space="preserve">F:\images\20210305\plaque 2/@08  Testosterone 100 µg_Ldopé/H8_02.tif </t>
  </si>
  <si>
    <t xml:space="preserve"> 27383.4466 </t>
  </si>
  <si>
    <t xml:space="preserve"> 77.9344 </t>
  </si>
  <si>
    <t xml:space="preserve">F:\images\20210305\plaque 2/@08  Testosterone 100 µg_Ldopé/H8_03.tif </t>
  </si>
  <si>
    <t xml:space="preserve"> 27491.5961 </t>
  </si>
  <si>
    <t xml:space="preserve"> 75.9677 </t>
  </si>
  <si>
    <t xml:space="preserve">F:\images\20210305\plaque 2/@08  Testosterone 100 µg_Ldopé/ </t>
  </si>
  <si>
    <t xml:space="preserve"> 68.8773 </t>
  </si>
  <si>
    <t xml:space="preserve"> 4.0375 </t>
  </si>
  <si>
    <t xml:space="preserve"> 1015344.17 </t>
  </si>
  <si>
    <t xml:space="preserve"> 812761.744 </t>
  </si>
  <si>
    <t>F:\images\20210305\plaque 2/@09  Testosterone 300 µg_L dopé/A9_01- exclu.tif</t>
  </si>
  <si>
    <t xml:space="preserve">F:\images\20210305\plaque 2/@09  Testosterone 300 µg_L dopé/A9_02.tif </t>
  </si>
  <si>
    <t xml:space="preserve"> 66.6603 </t>
  </si>
  <si>
    <t xml:space="preserve">F:\images\20210305\plaque 2/@09  Testosterone 300 µg_L dopé/A9_03.tif </t>
  </si>
  <si>
    <t xml:space="preserve"> 66.4357 </t>
  </si>
  <si>
    <t xml:space="preserve">F:\images\20210305\plaque 2/@09  Testosterone 300 µg_L dopé/B9_01.tif </t>
  </si>
  <si>
    <t xml:space="preserve"> 24463.4108 </t>
  </si>
  <si>
    <t xml:space="preserve"> 68.473 </t>
  </si>
  <si>
    <t xml:space="preserve">F:\images\20210305\plaque 2/@09  Testosterone 300 µg_L dopé/B9_02.tif </t>
  </si>
  <si>
    <t xml:space="preserve"> 16265.6808 </t>
  </si>
  <si>
    <t xml:space="preserve"> 67.6662 </t>
  </si>
  <si>
    <t xml:space="preserve">F:\images\20210305\plaque 2/@09  Testosterone 300 µg_L dopé/B9_03.tif </t>
  </si>
  <si>
    <t xml:space="preserve"> 21262.1864 </t>
  </si>
  <si>
    <t xml:space="preserve"> 69.5392 </t>
  </si>
  <si>
    <t xml:space="preserve">F:\images\20210305\plaque 2/@09  Testosterone 300 µg_L dopé/C9_01.tif </t>
  </si>
  <si>
    <t xml:space="preserve"> 63.2368 </t>
  </si>
  <si>
    <t xml:space="preserve">F:\images\20210305\plaque 2/@09  Testosterone 300 µg_L dopé/C9_02.tif </t>
  </si>
  <si>
    <t xml:space="preserve"> 64.77 </t>
  </si>
  <si>
    <t xml:space="preserve">F:\images\20210305\plaque 2/@09  Testosterone 300 µg_L dopé/C9_03.tif </t>
  </si>
  <si>
    <t xml:space="preserve"> 63.6739 </t>
  </si>
  <si>
    <t xml:space="preserve">F:\images\20210305\plaque 2/@09  Testosterone 300 µg_L dopé/D9_01.tif </t>
  </si>
  <si>
    <t xml:space="preserve"> 10620.2783 </t>
  </si>
  <si>
    <t xml:space="preserve"> 70.1141 </t>
  </si>
  <si>
    <t xml:space="preserve">F:\images\20210305\plaque 2/@09  Testosterone 300 µg_L dopé/D9_02.tif </t>
  </si>
  <si>
    <t xml:space="preserve"> 5493.9932 </t>
  </si>
  <si>
    <t xml:space="preserve"> 66.7638 </t>
  </si>
  <si>
    <t xml:space="preserve">F:\images\20210305\plaque 2/@09  Testosterone 300 µg_L dopé/D9_03.tif </t>
  </si>
  <si>
    <t xml:space="preserve"> 64.7762 </t>
  </si>
  <si>
    <t xml:space="preserve">F:\images\20210305\plaque 2/@09  Testosterone 300 µg_L dopé/E9_01.tif </t>
  </si>
  <si>
    <t xml:space="preserve"> 17498.5848 </t>
  </si>
  <si>
    <t xml:space="preserve"> 71.8925 </t>
  </si>
  <si>
    <t xml:space="preserve">F:\images\20210305\plaque 2/@09  Testosterone 300 µg_L dopé/E9_02.tif </t>
  </si>
  <si>
    <t xml:space="preserve"> 15551.8942 </t>
  </si>
  <si>
    <t xml:space="preserve"> 73.8971 </t>
  </si>
  <si>
    <t xml:space="preserve">F:\images\20210305\plaque 2/@09  Testosterone 300 µg_L dopé/E9_03.tif </t>
  </si>
  <si>
    <t xml:space="preserve"> 74.4509 </t>
  </si>
  <si>
    <t xml:space="preserve">F:\images\20210305\plaque 2/@09  Testosterone 300 µg_L dopé/F9_01.tif </t>
  </si>
  <si>
    <t xml:space="preserve"> 28940.799 </t>
  </si>
  <si>
    <t xml:space="preserve"> 73.1413 </t>
  </si>
  <si>
    <t xml:space="preserve">F:\images\20210305\plaque 2/@09  Testosterone 300 µg_L dopé/F9_02.tif </t>
  </si>
  <si>
    <t xml:space="preserve"> 72.6193 </t>
  </si>
  <si>
    <t xml:space="preserve">F:\images\20210305\plaque 2/@09  Testosterone 300 µg_L dopé/F9_03.tif </t>
  </si>
  <si>
    <t xml:space="preserve"> 28919.1691 </t>
  </si>
  <si>
    <t xml:space="preserve"> 73.7091 </t>
  </si>
  <si>
    <t xml:space="preserve">F:\images\20210305\plaque 2/@09  Testosterone 300 µg_L dopé/G9_01.tif </t>
  </si>
  <si>
    <t xml:space="preserve"> 66.5173 </t>
  </si>
  <si>
    <t xml:space="preserve">F:\images\20210305\plaque 2/@09  Testosterone 300 µg_L dopé/G9_02.tif </t>
  </si>
  <si>
    <t xml:space="preserve"> 12545.3389 </t>
  </si>
  <si>
    <t xml:space="preserve"> 66.3793 </t>
  </si>
  <si>
    <t xml:space="preserve">F:\images\20210305\plaque 2/@09  Testosterone 300 µg_L dopé/G9_03.tif </t>
  </si>
  <si>
    <t xml:space="preserve"> 11204.2854 </t>
  </si>
  <si>
    <t xml:space="preserve"> 65.6351 </t>
  </si>
  <si>
    <t xml:space="preserve">F:\images\20210305\plaque 2/@09  Testosterone 300 µg_L dopé/H9_01.tif </t>
  </si>
  <si>
    <t xml:space="preserve"> 12718.378 </t>
  </si>
  <si>
    <t xml:space="preserve"> 69.7959 </t>
  </si>
  <si>
    <t xml:space="preserve">F:\images\20210305\plaque 2/@09  Testosterone 300 µg_L dopé/H9_02.tif </t>
  </si>
  <si>
    <t xml:space="preserve"> 11896.442 </t>
  </si>
  <si>
    <t xml:space="preserve"> 69.3945 </t>
  </si>
  <si>
    <t>F:\images\20210305\plaque 2/@09  Testosterone 300 µg_L dopé/H9_03- exclu.tif</t>
  </si>
  <si>
    <t xml:space="preserve">F:\images\20210305\plaque 2/@09  Testosterone 300 µg_L dopé/ </t>
  </si>
  <si>
    <t xml:space="preserve"> 68.4005 </t>
  </si>
  <si>
    <t xml:space="preserve"> 3.414 </t>
  </si>
  <si>
    <t xml:space="preserve"> 869063.917 </t>
  </si>
  <si>
    <t xml:space="preserve"> 647761.632 </t>
  </si>
  <si>
    <t>Kruskal-Wallis</t>
  </si>
  <si>
    <t>ANOVA</t>
  </si>
  <si>
    <t xml:space="preserve">F:\images\20210309\plaque 1/@01 Evian + 0.2% DMSO/A1_01.tif </t>
  </si>
  <si>
    <t xml:space="preserve"> 66.1538 </t>
  </si>
  <si>
    <t xml:space="preserve">F:\images\20210309\plaque 1/@01 Evian + 0.2% DMSO/A1_02.tif </t>
  </si>
  <si>
    <t xml:space="preserve"> 64.5161 </t>
  </si>
  <si>
    <t xml:space="preserve">F:\images\20210309\plaque 1/@01 Evian + 0.2% DMSO/A1_03.tif </t>
  </si>
  <si>
    <t xml:space="preserve"> 71.237 </t>
  </si>
  <si>
    <t xml:space="preserve">F:\images\20210309\plaque 1/@01 Evian + 0.2% DMSO/B1_01.tif </t>
  </si>
  <si>
    <t xml:space="preserve"> 63.5806 </t>
  </si>
  <si>
    <t xml:space="preserve">F:\images\20210309\plaque 1/@01 Evian + 0.2% DMSO/B1_02.tif </t>
  </si>
  <si>
    <t xml:space="preserve">F:\images\20210309\plaque 1/@01 Evian + 0.2% DMSO/B1_03.tif </t>
  </si>
  <si>
    <t xml:space="preserve"> 64.8235 </t>
  </si>
  <si>
    <t xml:space="preserve">F:\images\20210309\plaque 1/@01 Evian + 0.2% DMSO/C1_01.tif </t>
  </si>
  <si>
    <t xml:space="preserve"> 8565.4383 </t>
  </si>
  <si>
    <t xml:space="preserve"> 69.6717 </t>
  </si>
  <si>
    <t xml:space="preserve">F:\images\20210309\plaque 1/@01 Evian + 0.2% DMSO/C1_02.tif </t>
  </si>
  <si>
    <t xml:space="preserve"> 6943.1962 </t>
  </si>
  <si>
    <t xml:space="preserve"> 67.1308 </t>
  </si>
  <si>
    <t xml:space="preserve">F:\images\20210309\plaque 1/@01 Evian + 0.2% DMSO/C1_03.tif </t>
  </si>
  <si>
    <t xml:space="preserve"> 6510.5983 </t>
  </si>
  <si>
    <t xml:space="preserve"> 67.7708 </t>
  </si>
  <si>
    <t xml:space="preserve">F:\images\20210309\plaque 1/@01 Evian + 0.2% DMSO/D1_01.tif </t>
  </si>
  <si>
    <t xml:space="preserve"> 63.0323 </t>
  </si>
  <si>
    <t xml:space="preserve">F:\images\20210309\plaque 1/@01 Evian + 0.2% DMSO/D1_02.tif </t>
  </si>
  <si>
    <t xml:space="preserve"> 62.4 </t>
  </si>
  <si>
    <t xml:space="preserve">F:\images\20210309\plaque 1/@01 Evian + 0.2% DMSO/D1_03.tif </t>
  </si>
  <si>
    <t xml:space="preserve"> 63.2308 </t>
  </si>
  <si>
    <t xml:space="preserve">F:\images\20210309\plaque 1/@01 Evian + 0.2% DMSO/E1_01.tif </t>
  </si>
  <si>
    <t xml:space="preserve"> 67.4628 </t>
  </si>
  <si>
    <t xml:space="preserve">F:\images\20210309\plaque 1/@01 Evian + 0.2% DMSO/E1_02.tif </t>
  </si>
  <si>
    <t xml:space="preserve"> 63.7624 </t>
  </si>
  <si>
    <t xml:space="preserve">F:\images\20210309\plaque 1/@01 Evian + 0.2% DMSO/E1_03.tif </t>
  </si>
  <si>
    <t xml:space="preserve"> 68.547 </t>
  </si>
  <si>
    <t xml:space="preserve">F:\images\20210309\plaque 1/@01 Evian + 0.2% DMSO/F1_01.tif </t>
  </si>
  <si>
    <t xml:space="preserve"> 62.1333 </t>
  </si>
  <si>
    <t xml:space="preserve">F:\images\20210309\plaque 1/@01 Evian + 0.2% DMSO/F1_02.tif </t>
  </si>
  <si>
    <t xml:space="preserve">F:\images\20210309\plaque 1/@01 Evian + 0.2% DMSO/F1_03.tif </t>
  </si>
  <si>
    <t xml:space="preserve"> 62.8333 </t>
  </si>
  <si>
    <t xml:space="preserve">F:\images\20210309\plaque 1/@01 Evian + 0.2% DMSO/G1_01.tif </t>
  </si>
  <si>
    <t xml:space="preserve"> 62.1579 </t>
  </si>
  <si>
    <t xml:space="preserve">F:\images\20210309\plaque 1/@01 Evian + 0.2% DMSO/G1_02.tif </t>
  </si>
  <si>
    <t xml:space="preserve">F:\images\20210309\plaque 1/@01 Evian + 0.2% DMSO/G1_03.tif </t>
  </si>
  <si>
    <t xml:space="preserve"> 64.4286 </t>
  </si>
  <si>
    <t xml:space="preserve">F:\images\20210309\plaque 1/@01 Evian + 0.2% DMSO/H1_01.tif </t>
  </si>
  <si>
    <t xml:space="preserve"> 63.8 </t>
  </si>
  <si>
    <t xml:space="preserve">F:\images\20210309\plaque 1/@01 Evian + 0.2% DMSO/H1_02.tif </t>
  </si>
  <si>
    <t xml:space="preserve"> 605.637 </t>
  </si>
  <si>
    <t xml:space="preserve"> 63.8571 </t>
  </si>
  <si>
    <t xml:space="preserve">F:\images\20210309\plaque 1/@01 Evian + 0.2% DMSO/H1_03.tif </t>
  </si>
  <si>
    <t xml:space="preserve"> 64.4444 </t>
  </si>
  <si>
    <t xml:space="preserve">F:\images\20210309\plaque 1/@01 Evian + 0.2% DMSO/ </t>
  </si>
  <si>
    <t xml:space="preserve"> 65.0193 </t>
  </si>
  <si>
    <t xml:space="preserve"> 2.431 </t>
  </si>
  <si>
    <t xml:space="preserve"> 133815.208 </t>
  </si>
  <si>
    <t xml:space="preserve"> 181434.017 </t>
  </si>
  <si>
    <t xml:space="preserve">F:\images\20210309\plaque 1/@02 EE2 33.8/A2_01.tif </t>
  </si>
  <si>
    <t xml:space="preserve"> 68.2311 </t>
  </si>
  <si>
    <t xml:space="preserve">F:\images\20210309\plaque 1/@02 EE2 33.8/A2_02.tif </t>
  </si>
  <si>
    <t xml:space="preserve"> 62.5833 </t>
  </si>
  <si>
    <t xml:space="preserve">F:\images\20210309\plaque 1/@02 EE2 33.8/A2_03.tif </t>
  </si>
  <si>
    <t xml:space="preserve"> 4888.3562 </t>
  </si>
  <si>
    <t xml:space="preserve"> 70.115 </t>
  </si>
  <si>
    <t xml:space="preserve">F:\images\20210309\plaque 1/@02 EE2 33.8/B2_01.tif </t>
  </si>
  <si>
    <t xml:space="preserve"> 1989.9503 </t>
  </si>
  <si>
    <t xml:space="preserve"> 65.5109 </t>
  </si>
  <si>
    <t xml:space="preserve">F:\images\20210309\plaque 1/@02 EE2 33.8/B2_02.tif </t>
  </si>
  <si>
    <t xml:space="preserve">F:\images\20210309\plaque 1/@02 EE2 33.8/B2_03.tif </t>
  </si>
  <si>
    <t xml:space="preserve"> 64.0625 </t>
  </si>
  <si>
    <t xml:space="preserve">F:\images\20210309\plaque 1/@02 EE2 33.8/C2_01.tif </t>
  </si>
  <si>
    <t xml:space="preserve"> 72.4149 </t>
  </si>
  <si>
    <t xml:space="preserve">F:\images\20210309\plaque 1/@02 EE2 33.8/C2_02.tif </t>
  </si>
  <si>
    <t xml:space="preserve"> 66.4804 </t>
  </si>
  <si>
    <t xml:space="preserve">F:\images\20210309\plaque 1/@02 EE2 33.8/C2_03.tif </t>
  </si>
  <si>
    <t xml:space="preserve"> 66.3861 </t>
  </si>
  <si>
    <t xml:space="preserve">F:\images\20210309\plaque 1/@02 EE2 33.8/D2_01.tif </t>
  </si>
  <si>
    <t xml:space="preserve"> 7981.4311 </t>
  </si>
  <si>
    <t xml:space="preserve"> 72.7615 </t>
  </si>
  <si>
    <t xml:space="preserve">F:\images\20210309\plaque 1/@02 EE2 33.8/D2_02.tif </t>
  </si>
  <si>
    <t xml:space="preserve"> 63.9831 </t>
  </si>
  <si>
    <t xml:space="preserve">F:\images\20210309\plaque 1/@02 EE2 33.8/D2_03.tif </t>
  </si>
  <si>
    <t xml:space="preserve">F:\images\20210309\plaque 1/@02 EE2 33.8/E2_01.tif </t>
  </si>
  <si>
    <t xml:space="preserve"> 62.7 </t>
  </si>
  <si>
    <t xml:space="preserve">F:\images\20210309\plaque 1/@02 EE2 33.8/E2_02.tif </t>
  </si>
  <si>
    <t xml:space="preserve"> 63.4118 </t>
  </si>
  <si>
    <t xml:space="preserve">F:\images\20210309\plaque 1/@02 EE2 33.8/E2_03.tif </t>
  </si>
  <si>
    <t xml:space="preserve"> 64.9259 </t>
  </si>
  <si>
    <t xml:space="preserve">F:\images\20210309\plaque 1/@02 EE2 33.8/F2_01.tif </t>
  </si>
  <si>
    <t xml:space="preserve">F:\images\20210309\plaque 1/@02 EE2 33.8/F2_02.tif </t>
  </si>
  <si>
    <t xml:space="preserve">F:\images\20210309\plaque 1/@02 EE2 33.8/F2_03.tif </t>
  </si>
  <si>
    <t xml:space="preserve">F:\images\20210309\plaque 1/@02 EE2 33.8/G2_01.tif </t>
  </si>
  <si>
    <t xml:space="preserve"> 64.09 </t>
  </si>
  <si>
    <t xml:space="preserve">F:\images\20210309\plaque 1/@02 EE2 33.8/G2_02.tif </t>
  </si>
  <si>
    <t xml:space="preserve"> 2811.8863 </t>
  </si>
  <si>
    <t xml:space="preserve">F:\images\20210309\plaque 1/@02 EE2 33.8/G2_03.tif </t>
  </si>
  <si>
    <t xml:space="preserve"> 63.52 </t>
  </si>
  <si>
    <t xml:space="preserve">F:\images\20210309\plaque 1/@02 EE2 33.8/H2_01.tif </t>
  </si>
  <si>
    <t xml:space="preserve"> 64.6346 </t>
  </si>
  <si>
    <t xml:space="preserve">F:\images\20210309\plaque 1/@02 EE2 33.8/H2_02.tif </t>
  </si>
  <si>
    <t xml:space="preserve"> 63.4324 </t>
  </si>
  <si>
    <t xml:space="preserve">F:\images\20210309\plaque 1/@02 EE2 33.8/H2_03.tif </t>
  </si>
  <si>
    <t xml:space="preserve"> 63.2667 </t>
  </si>
  <si>
    <t xml:space="preserve">F:\images\20210309\plaque 1/@02 EE2 33.8/ </t>
  </si>
  <si>
    <t xml:space="preserve"> 65.1461 </t>
  </si>
  <si>
    <t xml:space="preserve"> 2.9132 </t>
  </si>
  <si>
    <t xml:space="preserve"> 134749.708 </t>
  </si>
  <si>
    <t xml:space="preserve"> 150200.211 </t>
  </si>
  <si>
    <t xml:space="preserve">F:\images\20210309\plaque 1/@03 EE2 50.6/A3_01.tif </t>
  </si>
  <si>
    <t xml:space="preserve">F:\images\20210309\plaque 1/@03 EE2 50.6/A3_02.tif </t>
  </si>
  <si>
    <t xml:space="preserve"> 78.712 </t>
  </si>
  <si>
    <t xml:space="preserve">F:\images\20210309\plaque 1/@03 EE2 50.6/A3_03.tif </t>
  </si>
  <si>
    <t xml:space="preserve"> 6553.8581 </t>
  </si>
  <si>
    <t xml:space="preserve"> 73.7162 </t>
  </si>
  <si>
    <t xml:space="preserve">F:\images\20210309\plaque 1/@03 EE2 50.6/B3_01.tif </t>
  </si>
  <si>
    <t xml:space="preserve"> 67.2137 </t>
  </si>
  <si>
    <t xml:space="preserve">F:\images\20210309\plaque 1/@03 EE2 50.6/B3_02.tif </t>
  </si>
  <si>
    <t xml:space="preserve"> 63.449 </t>
  </si>
  <si>
    <t xml:space="preserve">F:\images\20210309\plaque 1/@03 EE2 50.6/B3_03.tif </t>
  </si>
  <si>
    <t xml:space="preserve"> 66.8333 </t>
  </si>
  <si>
    <t xml:space="preserve">F:\images\20210309\plaque 1/@03 EE2 50.6/C3_01.tif </t>
  </si>
  <si>
    <t xml:space="preserve"> 7289.2745 </t>
  </si>
  <si>
    <t xml:space="preserve"> 65.3442 </t>
  </si>
  <si>
    <t xml:space="preserve">F:\images\20210309\plaque 1/@03 EE2 50.6/C3_02.tif </t>
  </si>
  <si>
    <t xml:space="preserve"> 62.8621 </t>
  </si>
  <si>
    <t>F:\images\20210309\plaque 1/@03 EE2 50.6/C3_03- exclu.tif</t>
  </si>
  <si>
    <t>F:\images\20210309\plaque 1/@03 EE2 50.6/D3_01- exclu.tif</t>
  </si>
  <si>
    <t xml:space="preserve">F:\images\20210309\plaque 1/@03 EE2 50.6/D3_02.tif </t>
  </si>
  <si>
    <t xml:space="preserve"> 63.0156 </t>
  </si>
  <si>
    <t xml:space="preserve">F:\images\20210309\plaque 1/@03 EE2 50.6/D3_03.tif </t>
  </si>
  <si>
    <t xml:space="preserve"> 62.0769 </t>
  </si>
  <si>
    <t xml:space="preserve">F:\images\20210309\plaque 1/@03 EE2 50.6/E3_01.tif </t>
  </si>
  <si>
    <t xml:space="preserve"> 4909.9861 </t>
  </si>
  <si>
    <t xml:space="preserve"> 71.6035 </t>
  </si>
  <si>
    <t xml:space="preserve">F:\images\20210309\plaque 1/@03 EE2 50.6/E3_02.tif </t>
  </si>
  <si>
    <t xml:space="preserve"> 65.1222 </t>
  </si>
  <si>
    <t xml:space="preserve">F:\images\20210309\plaque 1/@03 EE2 50.6/E3_03.tif </t>
  </si>
  <si>
    <t xml:space="preserve"> 6013.1107 </t>
  </si>
  <si>
    <t xml:space="preserve"> 70.5719 </t>
  </si>
  <si>
    <t xml:space="preserve">F:\images\20210309\plaque 1/@03 EE2 50.6/F3_01.tif </t>
  </si>
  <si>
    <t xml:space="preserve"> 3049.8151 </t>
  </si>
  <si>
    <t xml:space="preserve"> 64.2411 </t>
  </si>
  <si>
    <t xml:space="preserve">F:\images\20210309\plaque 1/@03 EE2 50.6/F3_02.tif </t>
  </si>
  <si>
    <t xml:space="preserve"> 64.6319 </t>
  </si>
  <si>
    <t xml:space="preserve">F:\images\20210309\plaque 1/@03 EE2 50.6/F3_03.tif </t>
  </si>
  <si>
    <t xml:space="preserve"> 3806.8615 </t>
  </si>
  <si>
    <t xml:space="preserve"> 66.483 </t>
  </si>
  <si>
    <t>F:\images\20210309\plaque 1/@03 EE2 50.6/G3_01- exclu.tif</t>
  </si>
  <si>
    <t xml:space="preserve">F:\images\20210309\plaque 1/@03 EE2 50.6/G3_02.tif </t>
  </si>
  <si>
    <t xml:space="preserve"> 7570.4631 </t>
  </si>
  <si>
    <t xml:space="preserve"> 70.0086 </t>
  </si>
  <si>
    <t xml:space="preserve">F:\images\20210309\plaque 1/@03 EE2 50.6/G3_03.tif </t>
  </si>
  <si>
    <t xml:space="preserve"> 67.0717 </t>
  </si>
  <si>
    <t>F:\images\20210309\plaque 1/@03 EE2 50.6/H3_01- exclu.tif</t>
  </si>
  <si>
    <t xml:space="preserve">F:\images\20210309\plaque 1/@03 EE2 50.6/H3_02.tif </t>
  </si>
  <si>
    <t xml:space="preserve"> 62.931 </t>
  </si>
  <si>
    <t xml:space="preserve">F:\images\20210309\plaque 1/@03 EE2 50.6/H3_03.tif </t>
  </si>
  <si>
    <t xml:space="preserve"> 1773.6514 </t>
  </si>
  <si>
    <t xml:space="preserve"> 64.2439 </t>
  </si>
  <si>
    <t xml:space="preserve">F:\images\20210309\plaque 1/@03 EE2 50.6/ </t>
  </si>
  <si>
    <t xml:space="preserve"> 66.4948 </t>
  </si>
  <si>
    <t xml:space="preserve"> 3.9781 </t>
  </si>
  <si>
    <t xml:space="preserve"> 230883.75 </t>
  </si>
  <si>
    <t xml:space="preserve"> 181520.173 </t>
  </si>
  <si>
    <t xml:space="preserve">F:\images\20210309\plaque 1/@04 EE2 76/A4_01.tif </t>
  </si>
  <si>
    <t xml:space="preserve"> 11290.805 </t>
  </si>
  <si>
    <t xml:space="preserve"> 70.6226 </t>
  </si>
  <si>
    <t xml:space="preserve">F:\images\20210309\plaque 1/@04 EE2 76/A4_02.tif </t>
  </si>
  <si>
    <t xml:space="preserve"> 9798.3423 </t>
  </si>
  <si>
    <t xml:space="preserve"> 66.3753 </t>
  </si>
  <si>
    <t>F:\images\20210309\plaque 1/@04 EE2 76/A4_03- exclu.tif</t>
  </si>
  <si>
    <t xml:space="preserve">F:\images\20210309\plaque 1/@04 EE2 76/B4_01.tif </t>
  </si>
  <si>
    <t xml:space="preserve"> 8738.4774 </t>
  </si>
  <si>
    <t xml:space="preserve"> 69.5569 </t>
  </si>
  <si>
    <t xml:space="preserve">F:\images\20210309\plaque 1/@04 EE2 76/B4_02.tif </t>
  </si>
  <si>
    <t xml:space="preserve"> 8998.0362 </t>
  </si>
  <si>
    <t xml:space="preserve"> 68.1346 </t>
  </si>
  <si>
    <t xml:space="preserve">F:\images\20210309\plaque 1/@04 EE2 76/B4_03.tif </t>
  </si>
  <si>
    <t xml:space="preserve"> 5688.6623 </t>
  </si>
  <si>
    <t xml:space="preserve"> 67.0494 </t>
  </si>
  <si>
    <t>F:\images\20210309\plaque 1/@04 EE2 76/C4_01- exclu.tif</t>
  </si>
  <si>
    <t>F:\images\20210309\plaque 1/@04 EE2 76/C4_02- exclu.tif</t>
  </si>
  <si>
    <t>F:\images\20210309\plaque 1/@04 EE2 76/C4_03- exclu.tif</t>
  </si>
  <si>
    <t xml:space="preserve">F:\images\20210309\plaque 1/@04 EE2 76/D4_01.tif </t>
  </si>
  <si>
    <t xml:space="preserve"> 67.3474 </t>
  </si>
  <si>
    <t xml:space="preserve">F:\images\20210309\plaque 1/@04 EE2 76/D4_02.tif </t>
  </si>
  <si>
    <t xml:space="preserve"> 64.547 </t>
  </si>
  <si>
    <t xml:space="preserve">F:\images\20210309\plaque 1/@04 EE2 76/D4_03.tif </t>
  </si>
  <si>
    <t xml:space="preserve"> 13367.2749 </t>
  </si>
  <si>
    <t xml:space="preserve"> 64.7379 </t>
  </si>
  <si>
    <t xml:space="preserve">F:\images\20210309\plaque 1/@04 EE2 76/E4_01.tif </t>
  </si>
  <si>
    <t xml:space="preserve"> 8327.5094 </t>
  </si>
  <si>
    <t xml:space="preserve"> 65.4494 </t>
  </si>
  <si>
    <t xml:space="preserve">F:\images\20210309\plaque 1/@04 EE2 76/E4_02.tif </t>
  </si>
  <si>
    <t xml:space="preserve"> 64.8133 </t>
  </si>
  <si>
    <t xml:space="preserve">F:\images\20210309\plaque 1/@04 EE2 76/E4_03.tif </t>
  </si>
  <si>
    <t xml:space="preserve"> 66.6616 </t>
  </si>
  <si>
    <t xml:space="preserve">F:\images\20210309\plaque 1/@04 EE2 76/F4_01.tif </t>
  </si>
  <si>
    <t xml:space="preserve"> 7246.0147 </t>
  </si>
  <si>
    <t xml:space="preserve"> 74.8567 </t>
  </si>
  <si>
    <t xml:space="preserve">F:\images\20210309\plaque 1/@04 EE2 76/F4_02.tif </t>
  </si>
  <si>
    <t xml:space="preserve"> 68.5604 </t>
  </si>
  <si>
    <t xml:space="preserve">F:\images\20210309\plaque 1/@04 EE2 76/F4_03.tif </t>
  </si>
  <si>
    <t xml:space="preserve"> 63.0526 </t>
  </si>
  <si>
    <t xml:space="preserve">F:\images\20210309\plaque 1/@04 EE2 76/G4_01.tif </t>
  </si>
  <si>
    <t xml:space="preserve"> 5861.7014 </t>
  </si>
  <si>
    <t xml:space="preserve"> 69.5314 </t>
  </si>
  <si>
    <t xml:space="preserve">F:\images\20210309\plaque 1/@04 EE2 76/G4_02.tif </t>
  </si>
  <si>
    <t xml:space="preserve"> 65.5031 </t>
  </si>
  <si>
    <t xml:space="preserve">F:\images\20210309\plaque 1/@04 EE2 76/G4_03.tif </t>
  </si>
  <si>
    <t xml:space="preserve"> 63.7667 </t>
  </si>
  <si>
    <t xml:space="preserve">F:\images\20210309\plaque 1/@04 EE2 76/H4_01.tif </t>
  </si>
  <si>
    <t xml:space="preserve"> 4131.3099 </t>
  </si>
  <si>
    <t xml:space="preserve"> 64.1257 </t>
  </si>
  <si>
    <t xml:space="preserve">F:\images\20210309\plaque 1/@04 EE2 76/H4_02.tif </t>
  </si>
  <si>
    <t xml:space="preserve"> 6597.1179 </t>
  </si>
  <si>
    <t xml:space="preserve"> 63.8131 </t>
  </si>
  <si>
    <t xml:space="preserve">F:\images\20210309\plaque 1/@04 EE2 76/H4_03.tif </t>
  </si>
  <si>
    <t xml:space="preserve"> 64.1745 </t>
  </si>
  <si>
    <t xml:space="preserve">F:\images\20210309\plaque 1/@04 EE2 76/ </t>
  </si>
  <si>
    <t xml:space="preserve"> 68.7151 </t>
  </si>
  <si>
    <t xml:space="preserve"> 6.7821 </t>
  </si>
  <si>
    <t xml:space="preserve"> 622762.542 </t>
  </si>
  <si>
    <t xml:space="preserve"> 397823.523 </t>
  </si>
  <si>
    <t>F:\images\20210309\plaque 1/@05 EE2 114/A5_01- exclu.tif</t>
  </si>
  <si>
    <t>F:\images\20210309\plaque 1/@05 EE2 114/A5_02- exclu.tif</t>
  </si>
  <si>
    <t>F:\images\20210309\plaque 1/@05 EE2 114/A5_03- exclu.tif</t>
  </si>
  <si>
    <t xml:space="preserve">F:\images\20210309\plaque 1/@05 EE2 114/B5_01.tif </t>
  </si>
  <si>
    <t xml:space="preserve"> 27340.1868 </t>
  </si>
  <si>
    <t xml:space="preserve"> 68.7832 </t>
  </si>
  <si>
    <t xml:space="preserve">F:\images\20210309\plaque 1/@05 EE2 114/B5_02.tif </t>
  </si>
  <si>
    <t xml:space="preserve"> 20743.0689 </t>
  </si>
  <si>
    <t xml:space="preserve"> 66.8071 </t>
  </si>
  <si>
    <t xml:space="preserve">F:\images\20210309\plaque 1/@05 EE2 114/B5_03.tif </t>
  </si>
  <si>
    <t xml:space="preserve"> 25696.3148 </t>
  </si>
  <si>
    <t xml:space="preserve"> 69.0816 </t>
  </si>
  <si>
    <t xml:space="preserve">F:\images\20210309\plaque 1/@05 EE2 114/C5_01.tif </t>
  </si>
  <si>
    <t xml:space="preserve"> 3590.5625 </t>
  </si>
  <si>
    <t xml:space="preserve"> 67.3373 </t>
  </si>
  <si>
    <t xml:space="preserve">F:\images\20210309\plaque 1/@05 EE2 114/C5_02.tif </t>
  </si>
  <si>
    <t xml:space="preserve"> 4109.68 </t>
  </si>
  <si>
    <t xml:space="preserve"> 68.5263 </t>
  </si>
  <si>
    <t xml:space="preserve">F:\images\20210309\plaque 1/@05 EE2 114/C5_03.tif </t>
  </si>
  <si>
    <t>F:\images\20210309\plaque 1/@05 EE2 114/D5_01- exclu.tif</t>
  </si>
  <si>
    <t xml:space="preserve">F:\images\20210309\plaque 1/@05 EE2 114/D5_02.tif </t>
  </si>
  <si>
    <t xml:space="preserve"> 62.8955 </t>
  </si>
  <si>
    <t xml:space="preserve">F:\images\20210309\plaque 1/@05 EE2 114/D5_03.tif </t>
  </si>
  <si>
    <t xml:space="preserve"> 5450.7334 </t>
  </si>
  <si>
    <t xml:space="preserve"> 68.1429 </t>
  </si>
  <si>
    <t xml:space="preserve">F:\images\20210309\plaque 1/@05 EE2 114/E5_01.tif </t>
  </si>
  <si>
    <t xml:space="preserve"> 29027.3186 </t>
  </si>
  <si>
    <t xml:space="preserve"> 71.2921 </t>
  </si>
  <si>
    <t xml:space="preserve">F:\images\20210309\plaque 1/@05 EE2 114/E5_02.tif </t>
  </si>
  <si>
    <t xml:space="preserve"> 28681.2403 </t>
  </si>
  <si>
    <t xml:space="preserve"> 69.8522 </t>
  </si>
  <si>
    <t xml:space="preserve">F:\images\20210309\plaque 1/@05 EE2 114/E5_03.tif </t>
  </si>
  <si>
    <t xml:space="preserve"> 71.9178 </t>
  </si>
  <si>
    <t xml:space="preserve">F:\images\20210309\plaque 1/@05 EE2 114/F5_01.tif </t>
  </si>
  <si>
    <t xml:space="preserve"> 70.3643 </t>
  </si>
  <si>
    <t xml:space="preserve">F:\images\20210309\plaque 1/@05 EE2 114/F5_02.tif </t>
  </si>
  <si>
    <t xml:space="preserve"> 31731.0554 </t>
  </si>
  <si>
    <t xml:space="preserve"> 68.2979 </t>
  </si>
  <si>
    <t xml:space="preserve">F:\images\20210309\plaque 1/@05 EE2 114/F5_03.tif </t>
  </si>
  <si>
    <t xml:space="preserve"> 32704.4007 </t>
  </si>
  <si>
    <t xml:space="preserve"> 69.588 </t>
  </si>
  <si>
    <t xml:space="preserve">F:\images\20210309\plaque 1/@05 EE2 114/G5_01.tif </t>
  </si>
  <si>
    <t xml:space="preserve"> 21608.2647 </t>
  </si>
  <si>
    <t xml:space="preserve"> 69.3754 </t>
  </si>
  <si>
    <t xml:space="preserve">F:\images\20210309\plaque 1/@05 EE2 114/G5_02.tif </t>
  </si>
  <si>
    <t xml:space="preserve"> 17044.357 </t>
  </si>
  <si>
    <t xml:space="preserve"> 73.2322 </t>
  </si>
  <si>
    <t xml:space="preserve">F:\images\20210309\plaque 1/@05 EE2 114/G5_03.tif </t>
  </si>
  <si>
    <t xml:space="preserve"> 24398.5211 </t>
  </si>
  <si>
    <t xml:space="preserve"> 69.7934 </t>
  </si>
  <si>
    <t xml:space="preserve">F:\images\20210309\plaque 1/@05 EE2 114/H5_01.tif </t>
  </si>
  <si>
    <t xml:space="preserve"> 30065.5535 </t>
  </si>
  <si>
    <t xml:space="preserve"> 67.7065 </t>
  </si>
  <si>
    <t xml:space="preserve">F:\images\20210309\plaque 1/@05 EE2 114/H5_02.tif </t>
  </si>
  <si>
    <t xml:space="preserve"> 25934.2437 </t>
  </si>
  <si>
    <t xml:space="preserve"> 67.3703 </t>
  </si>
  <si>
    <t xml:space="preserve">F:\images\20210309\plaque 1/@05 EE2 114/H5_03.tif </t>
  </si>
  <si>
    <t xml:space="preserve"> 32379.9523 </t>
  </si>
  <si>
    <t xml:space="preserve"> 68.5418 </t>
  </si>
  <si>
    <t xml:space="preserve">F:\images\20210309\plaque 1/@05 EE2 114/ </t>
  </si>
  <si>
    <t xml:space="preserve"> 67.839 </t>
  </si>
  <si>
    <t xml:space="preserve"> 2.8784 </t>
  </si>
  <si>
    <t xml:space="preserve"> 1242937.54 </t>
  </si>
  <si>
    <t xml:space="preserve"> 890041.014 </t>
  </si>
  <si>
    <t xml:space="preserve">F:\images\20210309\plaque 1/@06 EE2 170.9/A6_01.tif </t>
  </si>
  <si>
    <t xml:space="preserve"> 72.066 </t>
  </si>
  <si>
    <t xml:space="preserve">F:\images\20210309\plaque 1/@06 EE2 170.9/A6_02.tif </t>
  </si>
  <si>
    <t xml:space="preserve"> 73.898 </t>
  </si>
  <si>
    <t>F:\images\20210309\plaque 1/@06 EE2 170.9/A6_03- exclu.tif</t>
  </si>
  <si>
    <t xml:space="preserve">F:\images\20210309\plaque 1/@06 EE2 170.9/B6_01.tif </t>
  </si>
  <si>
    <t xml:space="preserve"> 59027.9824 </t>
  </si>
  <si>
    <t xml:space="preserve"> 73.731 </t>
  </si>
  <si>
    <t xml:space="preserve">F:\images\20210309\plaque 1/@06 EE2 170.9/B6_02.tif </t>
  </si>
  <si>
    <t xml:space="preserve"> 51306.1101 </t>
  </si>
  <si>
    <t xml:space="preserve"> 73.2078 </t>
  </si>
  <si>
    <t xml:space="preserve">F:\images\20210309\plaque 1/@06 EE2 170.9/B6_03.tif </t>
  </si>
  <si>
    <t xml:space="preserve"> 55545.5694 </t>
  </si>
  <si>
    <t xml:space="preserve"> 72.7122 </t>
  </si>
  <si>
    <t xml:space="preserve">F:\images\20210309\plaque 1/@06 EE2 170.9/C6_01.tif </t>
  </si>
  <si>
    <t xml:space="preserve"> 49294.5299 </t>
  </si>
  <si>
    <t xml:space="preserve"> 73.6893 </t>
  </si>
  <si>
    <t xml:space="preserve">F:\images\20210309\plaque 1/@06 EE2 170.9/C6_02.tif </t>
  </si>
  <si>
    <t xml:space="preserve"> 53815.1778 </t>
  </si>
  <si>
    <t xml:space="preserve"> 74.994 </t>
  </si>
  <si>
    <t xml:space="preserve">F:\images\20210309\plaque 1/@06 EE2 170.9/C6_03.tif </t>
  </si>
  <si>
    <t xml:space="preserve"> 74.2496 </t>
  </si>
  <si>
    <t xml:space="preserve">F:\images\20210309\plaque 1/@06 EE2 170.9/D6_01.tif </t>
  </si>
  <si>
    <t xml:space="preserve"> 37549.4971 </t>
  </si>
  <si>
    <t xml:space="preserve"> 77.2028 </t>
  </si>
  <si>
    <t xml:space="preserve">F:\images\20210309\plaque 1/@06 EE2 170.9/D6_02.tif </t>
  </si>
  <si>
    <t xml:space="preserve"> 74.6128 </t>
  </si>
  <si>
    <t xml:space="preserve">F:\images\20210309\plaque 1/@06 EE2 170.9/D6_03.tif </t>
  </si>
  <si>
    <t xml:space="preserve"> 37571.127 </t>
  </si>
  <si>
    <t xml:space="preserve"> 78.928 </t>
  </si>
  <si>
    <t xml:space="preserve">F:\images\20210309\plaque 1/@06 EE2 170.9/E6_01.tif </t>
  </si>
  <si>
    <t xml:space="preserve"> 40274.8638 </t>
  </si>
  <si>
    <t xml:space="preserve"> 71.3996 </t>
  </si>
  <si>
    <t xml:space="preserve">F:\images\20210309\plaque 1/@06 EE2 170.9/E6_02.tif </t>
  </si>
  <si>
    <t xml:space="preserve"> 32488.1017 </t>
  </si>
  <si>
    <t xml:space="preserve"> 71.5206 </t>
  </si>
  <si>
    <t xml:space="preserve">F:\images\20210309\plaque 1/@06 EE2 170.9/E6_03.tif </t>
  </si>
  <si>
    <t xml:space="preserve"> 29676.2154 </t>
  </si>
  <si>
    <t xml:space="preserve"> 72.7442 </t>
  </si>
  <si>
    <t xml:space="preserve">F:\images\20210309\plaque 1/@06 EE2 170.9/F6_01.tif </t>
  </si>
  <si>
    <t xml:space="preserve"> 48840.3021 </t>
  </si>
  <si>
    <t xml:space="preserve"> 72.2972 </t>
  </si>
  <si>
    <t xml:space="preserve">F:\images\20210309\plaque 1/@06 EE2 170.9/F6_02.tif </t>
  </si>
  <si>
    <t xml:space="preserve"> 72.4493 </t>
  </si>
  <si>
    <t xml:space="preserve">F:\images\20210309\plaque 1/@06 EE2 170.9/F6_03.tif </t>
  </si>
  <si>
    <t xml:space="preserve"> 39171.7392 </t>
  </si>
  <si>
    <t xml:space="preserve"> 68.7101 </t>
  </si>
  <si>
    <t xml:space="preserve">F:\images\20210309\plaque 1/@06 EE2 170.9/G6_01.tif </t>
  </si>
  <si>
    <t xml:space="preserve"> 54312.6654 </t>
  </si>
  <si>
    <t xml:space="preserve"> 73.9056 </t>
  </si>
  <si>
    <t xml:space="preserve">F:\images\20210309\plaque 1/@06 EE2 170.9/G6_02.tif </t>
  </si>
  <si>
    <t xml:space="preserve"> 56021.4271 </t>
  </si>
  <si>
    <t xml:space="preserve"> 73.0815 </t>
  </si>
  <si>
    <t xml:space="preserve">F:\images\20210309\plaque 1/@06 EE2 170.9/G6_03.tif </t>
  </si>
  <si>
    <t xml:space="preserve"> 55199.4911 </t>
  </si>
  <si>
    <t xml:space="preserve"> 74.6042 </t>
  </si>
  <si>
    <t xml:space="preserve">F:\images\20210309\plaque 1/@06 EE2 170.9/H6_01.tif </t>
  </si>
  <si>
    <t xml:space="preserve"> 70.617 </t>
  </si>
  <si>
    <t xml:space="preserve">F:\images\20210309\plaque 1/@06 EE2 170.9/H6_02.tif </t>
  </si>
  <si>
    <t xml:space="preserve"> 40685.8318 </t>
  </si>
  <si>
    <t xml:space="preserve"> 70.11 </t>
  </si>
  <si>
    <t xml:space="preserve">F:\images\20210309\plaque 1/@06 EE2 170.9/H6_03.tif </t>
  </si>
  <si>
    <t xml:space="preserve"> 35819.1055 </t>
  </si>
  <si>
    <t xml:space="preserve"> 69.5308 </t>
  </si>
  <si>
    <t xml:space="preserve">F:\images\20210309\plaque 1/@06 EE2 170.9/ </t>
  </si>
  <si>
    <t xml:space="preserve"> 73.0069 </t>
  </si>
  <si>
    <t xml:space="preserve"> 2.2693 </t>
  </si>
  <si>
    <t xml:space="preserve"> 3069167.62 </t>
  </si>
  <si>
    <t xml:space="preserve"> 889620.969 </t>
  </si>
  <si>
    <t xml:space="preserve">F:\images\20210309\plaque 1/@07 EE2 488/A7_01.tif </t>
  </si>
  <si>
    <t xml:space="preserve"> 56129.5766 </t>
  </si>
  <si>
    <t xml:space="preserve"> 96.5345 </t>
  </si>
  <si>
    <t xml:space="preserve">F:\images\20210309\plaque 1/@07 EE2 488/A7_02.tif </t>
  </si>
  <si>
    <t xml:space="preserve"> 51111.441 </t>
  </si>
  <si>
    <t xml:space="preserve"> 99.0224 </t>
  </si>
  <si>
    <t xml:space="preserve">F:\images\20210309\plaque 1/@07 EE2 488/A7_03.tif </t>
  </si>
  <si>
    <t xml:space="preserve"> 42870.4512 </t>
  </si>
  <si>
    <t xml:space="preserve"> 99.3032 </t>
  </si>
  <si>
    <t xml:space="preserve">F:\images\20210309\plaque 1/@07 EE2 488/B7_01.tif </t>
  </si>
  <si>
    <t xml:space="preserve"> 39301.5185 </t>
  </si>
  <si>
    <t xml:space="preserve"> 72.65 </t>
  </si>
  <si>
    <t xml:space="preserve">F:\images\20210309\plaque 1/@07 EE2 488/B7_02.tif </t>
  </si>
  <si>
    <t xml:space="preserve"> 34478.052 </t>
  </si>
  <si>
    <t xml:space="preserve"> 70.8714 </t>
  </si>
  <si>
    <t xml:space="preserve">F:\images\20210309\plaque 1/@07 EE2 488/B7_03.tif </t>
  </si>
  <si>
    <t xml:space="preserve"> 37722.5362 </t>
  </si>
  <si>
    <t xml:space="preserve"> 70.7798 </t>
  </si>
  <si>
    <t xml:space="preserve">F:\images\20210309\plaque 1/@07 EE2 488/C7_01.tif </t>
  </si>
  <si>
    <t xml:space="preserve"> 24333.6315 </t>
  </si>
  <si>
    <t xml:space="preserve"> 72.4276 </t>
  </si>
  <si>
    <t xml:space="preserve">F:\images\20210309\plaque 1/@07 EE2 488/C7_02.tif </t>
  </si>
  <si>
    <t xml:space="preserve"> 19618.3144 </t>
  </si>
  <si>
    <t xml:space="preserve"> 72.2106 </t>
  </si>
  <si>
    <t xml:space="preserve">F:\images\20210309\plaque 1/@07 EE2 488/C7_03.tif </t>
  </si>
  <si>
    <t xml:space="preserve"> 16157.5313 </t>
  </si>
  <si>
    <t xml:space="preserve"> 72.7697 </t>
  </si>
  <si>
    <t xml:space="preserve">F:\images\20210309\plaque 1/@07 EE2 488/D7_01.tif </t>
  </si>
  <si>
    <t xml:space="preserve"> 80030.6101 </t>
  </si>
  <si>
    <t xml:space="preserve"> 96.1424 </t>
  </si>
  <si>
    <t xml:space="preserve">F:\images\20210309\plaque 1/@07 EE2 488/D7_02.tif </t>
  </si>
  <si>
    <t xml:space="preserve"> 79446.603 </t>
  </si>
  <si>
    <t xml:space="preserve"> 93.3964 </t>
  </si>
  <si>
    <t xml:space="preserve">F:\images\20210309\plaque 1/@07 EE2 488/D7_03.tif </t>
  </si>
  <si>
    <t xml:space="preserve"> 74666.3963 </t>
  </si>
  <si>
    <t xml:space="preserve"> 103.7648 </t>
  </si>
  <si>
    <t xml:space="preserve">F:\images\20210309\plaque 1/@07 EE2 488/E7_01.tif </t>
  </si>
  <si>
    <t xml:space="preserve"> 73065.7841 </t>
  </si>
  <si>
    <t xml:space="preserve"> 84.5305 </t>
  </si>
  <si>
    <t xml:space="preserve">F:\images\20210309\plaque 1/@07 EE2 488/E7_02.tif </t>
  </si>
  <si>
    <t xml:space="preserve"> 74017.4994 </t>
  </si>
  <si>
    <t xml:space="preserve"> 85.289 </t>
  </si>
  <si>
    <t xml:space="preserve">F:\images\20210309\plaque 1/@07 EE2 488/E7_03.tif </t>
  </si>
  <si>
    <t xml:space="preserve"> 73346.9727 </t>
  </si>
  <si>
    <t xml:space="preserve"> 85.9531 </t>
  </si>
  <si>
    <t xml:space="preserve">F:\images\20210309\plaque 1/@07 EE2 488/F7_01.tif </t>
  </si>
  <si>
    <t xml:space="preserve"> 56648.694 </t>
  </si>
  <si>
    <t xml:space="preserve"> 100.7087 </t>
  </si>
  <si>
    <t xml:space="preserve">F:\images\20210309\plaque 1/@07 EE2 488/F7_02.tif </t>
  </si>
  <si>
    <t xml:space="preserve"> 55264.3808 </t>
  </si>
  <si>
    <t xml:space="preserve"> 103.7722 </t>
  </si>
  <si>
    <t xml:space="preserve">F:\images\20210309\plaque 1/@07 EE2 488/F7_03.tif </t>
  </si>
  <si>
    <t xml:space="preserve"> 67442.0115 </t>
  </si>
  <si>
    <t xml:space="preserve"> 88.152 </t>
  </si>
  <si>
    <t xml:space="preserve">F:\images\20210309\plaque 1/@07 EE2 488/G7_01.tif </t>
  </si>
  <si>
    <t xml:space="preserve"> 35602.8066 </t>
  </si>
  <si>
    <t xml:space="preserve"> 86.8834 </t>
  </si>
  <si>
    <t xml:space="preserve">F:\images\20210309\plaque 1/@07 EE2 488/G7_02.tif </t>
  </si>
  <si>
    <t xml:space="preserve"> 32250.1729 </t>
  </si>
  <si>
    <t xml:space="preserve"> 87.4883 </t>
  </si>
  <si>
    <t xml:space="preserve">F:\images\20210309\plaque 1/@07 EE2 488/G7_03.tif </t>
  </si>
  <si>
    <t xml:space="preserve"> 34369.9026 </t>
  </si>
  <si>
    <t xml:space="preserve"> 90.2284 </t>
  </si>
  <si>
    <t xml:space="preserve">F:\images\20210309\plaque 1/@07 EE2 488/H7_01.tif </t>
  </si>
  <si>
    <t xml:space="preserve"> 86130.2404 </t>
  </si>
  <si>
    <t xml:space="preserve"> 80.5716 </t>
  </si>
  <si>
    <t xml:space="preserve">F:\images\20210309\plaque 1/@07 EE2 488/H7_02.tif </t>
  </si>
  <si>
    <t xml:space="preserve"> 83556.283 </t>
  </si>
  <si>
    <t xml:space="preserve"> 89.0828 </t>
  </si>
  <si>
    <t xml:space="preserve">F:\images\20210309\plaque 1/@07 EE2 488/H7_03.tif </t>
  </si>
  <si>
    <t xml:space="preserve"> 75142.2539 </t>
  </si>
  <si>
    <t xml:space="preserve"> 91.0469 </t>
  </si>
  <si>
    <t xml:space="preserve">F:\images\20210309\plaque 1/@07 EE2 488/ </t>
  </si>
  <si>
    <t xml:space="preserve"> 87.2325 </t>
  </si>
  <si>
    <t xml:space="preserve"> 10.8492 </t>
  </si>
  <si>
    <t xml:space="preserve"> 4847568.5 </t>
  </si>
  <si>
    <t xml:space="preserve"> 2158908.14 </t>
  </si>
  <si>
    <t xml:space="preserve">F:\images\20210309\plaque 1/@08 Testosterone 3.7 µg_L/A8_01.tif </t>
  </si>
  <si>
    <t xml:space="preserve"> 3504.0429 </t>
  </si>
  <si>
    <t xml:space="preserve"> 64.1667 </t>
  </si>
  <si>
    <t xml:space="preserve">F:\images\20210309\plaque 1/@08 Testosterone 3.7 µg_L/A8_02.tif </t>
  </si>
  <si>
    <t xml:space="preserve"> 70.7318 </t>
  </si>
  <si>
    <t xml:space="preserve">F:\images\20210309\plaque 1/@08 Testosterone 3.7 µg_L/A8_03.tif </t>
  </si>
  <si>
    <t xml:space="preserve"> 62.6333 </t>
  </si>
  <si>
    <t xml:space="preserve">F:\images\20210309\plaque 1/@08 Testosterone 3.7 µg_L/B8_01.tif </t>
  </si>
  <si>
    <t xml:space="preserve"> 5602.1427 </t>
  </si>
  <si>
    <t xml:space="preserve"> 74.1583 </t>
  </si>
  <si>
    <t xml:space="preserve">F:\images\20210309\plaque 1/@08 Testosterone 3.7 µg_L/B8_02.tif </t>
  </si>
  <si>
    <t xml:space="preserve"> 4780.2067 </t>
  </si>
  <si>
    <t xml:space="preserve"> 73.5747 </t>
  </si>
  <si>
    <t xml:space="preserve">F:\images\20210309\plaque 1/@08 Testosterone 3.7 µg_L/B8_03.tif </t>
  </si>
  <si>
    <t xml:space="preserve"> 65.4615 </t>
  </si>
  <si>
    <t xml:space="preserve">F:\images\20210309\plaque 1/@08 Testosterone 3.7 µg_L/C8_01.tif </t>
  </si>
  <si>
    <t xml:space="preserve">F:\images\20210309\plaque 1/@08 Testosterone 3.7 µg_L/C8_02.tif </t>
  </si>
  <si>
    <t xml:space="preserve"> 62.2 </t>
  </si>
  <si>
    <t xml:space="preserve">F:\images\20210309\plaque 1/@08 Testosterone 3.7 µg_L/C8_03.tif </t>
  </si>
  <si>
    <t xml:space="preserve"> 63.7288 </t>
  </si>
  <si>
    <t xml:space="preserve">F:\images\20210309\plaque 1/@08 Testosterone 3.7 µg_L/D8_01.tif </t>
  </si>
  <si>
    <t xml:space="preserve"> 70.2265 </t>
  </si>
  <si>
    <t xml:space="preserve">F:\images\20210309\plaque 1/@08 Testosterone 3.7 µg_L/D8_02.tif </t>
  </si>
  <si>
    <t xml:space="preserve"> 3093.0749 </t>
  </si>
  <si>
    <t xml:space="preserve"> 70.6084 </t>
  </si>
  <si>
    <t xml:space="preserve">F:\images\20210309\plaque 1/@08 Testosterone 3.7 µg_L/D8_03.tif </t>
  </si>
  <si>
    <t xml:space="preserve"> 64.881 </t>
  </si>
  <si>
    <t xml:space="preserve">F:\images\20210309\plaque 1/@08 Testosterone 3.7 µg_L/E8_01.tif </t>
  </si>
  <si>
    <t xml:space="preserve"> 61.85 </t>
  </si>
  <si>
    <t xml:space="preserve">F:\images\20210309\plaque 1/@08 Testosterone 3.7 µg_L/E8_02.tif </t>
  </si>
  <si>
    <t xml:space="preserve"> 63.0714 </t>
  </si>
  <si>
    <t xml:space="preserve">F:\images\20210309\plaque 1/@08 Testosterone 3.7 µg_L/E8_03.tif </t>
  </si>
  <si>
    <t xml:space="preserve"> 62.875 </t>
  </si>
  <si>
    <t xml:space="preserve">F:\images\20210309\plaque 1/@08 Testosterone 3.7 µg_L/F8_01.tif </t>
  </si>
  <si>
    <t xml:space="preserve"> 65.5118 </t>
  </si>
  <si>
    <t xml:space="preserve">F:\images\20210309\plaque 1/@08 Testosterone 3.7 µg_L/F8_02.tif </t>
  </si>
  <si>
    <t xml:space="preserve"> 6207.7798 </t>
  </si>
  <si>
    <t xml:space="preserve"> 74.0418 </t>
  </si>
  <si>
    <t xml:space="preserve">F:\images\20210309\plaque 1/@08 Testosterone 3.7 µg_L/F8_03.tif </t>
  </si>
  <si>
    <t xml:space="preserve"> 5710.2922 </t>
  </si>
  <si>
    <t xml:space="preserve"> 69.3902 </t>
  </si>
  <si>
    <t xml:space="preserve">F:\images\20210309\plaque 1/@08 Testosterone 3.7 µg_L/G8_01.tif </t>
  </si>
  <si>
    <t xml:space="preserve"> 74.5027 </t>
  </si>
  <si>
    <t xml:space="preserve">F:\images\20210309\plaque 1/@08 Testosterone 3.7 µg_L/G8_02.tif </t>
  </si>
  <si>
    <t xml:space="preserve"> 70.4612 </t>
  </si>
  <si>
    <t xml:space="preserve">F:\images\20210309\plaque 1/@08 Testosterone 3.7 µg_L/G8_03.tif </t>
  </si>
  <si>
    <t xml:space="preserve"> 72.9094 </t>
  </si>
  <si>
    <t xml:space="preserve">F:\images\20210309\plaque 1/@08 Testosterone 3.7 µg_L/H8_01.tif </t>
  </si>
  <si>
    <t xml:space="preserve"> 62.5455 </t>
  </si>
  <si>
    <t xml:space="preserve">F:\images\20210309\plaque 1/@08 Testosterone 3.7 µg_L/H8_02.tif </t>
  </si>
  <si>
    <t xml:space="preserve">F:\images\20210309\plaque 1/@08 Testosterone 3.7 µg_L/H8_03.tif </t>
  </si>
  <si>
    <t xml:space="preserve"> 67.0424 </t>
  </si>
  <si>
    <t xml:space="preserve">F:\images\20210309\plaque 1/@08 Testosterone 3.7 µg_L/ </t>
  </si>
  <si>
    <t xml:space="preserve"> 67.2732 </t>
  </si>
  <si>
    <t xml:space="preserve"> 4.4696 </t>
  </si>
  <si>
    <t xml:space="preserve"> 218377.167 </t>
  </si>
  <si>
    <t xml:space="preserve"> 190913.732 </t>
  </si>
  <si>
    <t>F:\images\20210309\plaque 1/@09  Testosterone 11 µg_L/A9_01- exclu.tif</t>
  </si>
  <si>
    <t>F:\images\20210309\plaque 1/@09  Testosterone 11 µg_L/A9_02- exclu.tif</t>
  </si>
  <si>
    <t>F:\images\20210309\plaque 1/@09  Testosterone 11 µg_L/A9_03- exclu.tif</t>
  </si>
  <si>
    <t xml:space="preserve">F:\images\20210309\plaque 1/@09  Testosterone 11 µg_L/B9_01.tif </t>
  </si>
  <si>
    <t xml:space="preserve">F:\images\20210309\plaque 1/@09  Testosterone 11 µg_L/B9_02.tif </t>
  </si>
  <si>
    <t xml:space="preserve"> 62.9583 </t>
  </si>
  <si>
    <t xml:space="preserve">F:\images\20210309\plaque 1/@09  Testosterone 11 µg_L/B9_03.tif </t>
  </si>
  <si>
    <t xml:space="preserve"> 1708.7617 </t>
  </si>
  <si>
    <t xml:space="preserve"> 63.9367 </t>
  </si>
  <si>
    <t xml:space="preserve">F:\images\20210309\plaque 1/@09  Testosterone 11 µg_L/C9_01.tif </t>
  </si>
  <si>
    <t xml:space="preserve"> 74.3381 </t>
  </si>
  <si>
    <t xml:space="preserve">F:\images\20210309\plaque 1/@09  Testosterone 11 µg_L/C9_02.tif </t>
  </si>
  <si>
    <t xml:space="preserve"> 63.4667 </t>
  </si>
  <si>
    <t xml:space="preserve">F:\images\20210309\plaque 1/@09  Testosterone 11 µg_L/C9_03.tif </t>
  </si>
  <si>
    <t xml:space="preserve"> 72.8318 </t>
  </si>
  <si>
    <t xml:space="preserve">F:\images\20210309\plaque 1/@09  Testosterone 11 µg_L/D9_01.tif </t>
  </si>
  <si>
    <t xml:space="preserve"> 66.9567 </t>
  </si>
  <si>
    <t xml:space="preserve">F:\images\20210309\plaque 1/@09  Testosterone 11 µg_L/D9_02.tif </t>
  </si>
  <si>
    <t xml:space="preserve"> 65.9382 </t>
  </si>
  <si>
    <t xml:space="preserve">F:\images\20210309\plaque 1/@09  Testosterone 11 µg_L/D9_03.tif </t>
  </si>
  <si>
    <t xml:space="preserve"> 10079.5309 </t>
  </si>
  <si>
    <t xml:space="preserve"> 70.0901 </t>
  </si>
  <si>
    <t xml:space="preserve">F:\images\20210309\plaque 1/@09  Testosterone 11 µg_L/E9_01.tif </t>
  </si>
  <si>
    <t xml:space="preserve"> 69.5063 </t>
  </si>
  <si>
    <t xml:space="preserve">F:\images\20210309\plaque 1/@09  Testosterone 11 µg_L/E9_02.tif </t>
  </si>
  <si>
    <t xml:space="preserve"> 62.45 </t>
  </si>
  <si>
    <t xml:space="preserve">F:\images\20210309\plaque 1/@09  Testosterone 11 µg_L/E9_03.tif </t>
  </si>
  <si>
    <t xml:space="preserve">F:\images\20210309\plaque 1/@09  Testosterone 11 µg_L/F9_01.tif </t>
  </si>
  <si>
    <t xml:space="preserve"> 63.9167 </t>
  </si>
  <si>
    <t xml:space="preserve">F:\images\20210309\plaque 1/@09  Testosterone 11 µg_L/F9_02.tif </t>
  </si>
  <si>
    <t xml:space="preserve">F:\images\20210309\plaque 1/@09  Testosterone 11 µg_L/F9_03.tif </t>
  </si>
  <si>
    <t xml:space="preserve"> 61.6667 </t>
  </si>
  <si>
    <t>F:\images\20210309\plaque 1/@09  Testosterone 11 µg_L/G9_01- exclu.tif</t>
  </si>
  <si>
    <t>F:\images\20210309\plaque 1/@09  Testosterone 11 µg_L/G9_02- exclu.tif</t>
  </si>
  <si>
    <t xml:space="preserve">F:\images\20210309\plaque 1/@09  Testosterone 11 µg_L/G9_03.tif </t>
  </si>
  <si>
    <t xml:space="preserve">F:\images\20210309\plaque 1/@09  Testosterone 11 µg_L/H9_01.tif </t>
  </si>
  <si>
    <t xml:space="preserve">F:\images\20210309\plaque 1/@09  Testosterone 11 µg_L/H9_02.tif </t>
  </si>
  <si>
    <t xml:space="preserve"> 62.9375 </t>
  </si>
  <si>
    <t xml:space="preserve">F:\images\20210309\plaque 1/@09  Testosterone 11 µg_L/H9_03.tif </t>
  </si>
  <si>
    <t xml:space="preserve">F:\images\20210309\plaque 1/@09  Testosterone 11 µg_L/ </t>
  </si>
  <si>
    <t xml:space="preserve"> 67.5767 </t>
  </si>
  <si>
    <t xml:space="preserve"> 6.8863 </t>
  </si>
  <si>
    <t xml:space="preserve"> 320583.958 </t>
  </si>
  <si>
    <t xml:space="preserve"> 382218.515 </t>
  </si>
  <si>
    <t xml:space="preserve">F:\images\20210309\plaque 1/@10  Testosterone 33 µg_L/A10_01.tif </t>
  </si>
  <si>
    <t xml:space="preserve"> 71.5326 </t>
  </si>
  <si>
    <t xml:space="preserve">F:\images\20210309\plaque 1/@10  Testosterone 33 µg_L/A10_02.tif </t>
  </si>
  <si>
    <t xml:space="preserve"> 36165.1838 </t>
  </si>
  <si>
    <t xml:space="preserve"> 68.4354 </t>
  </si>
  <si>
    <t xml:space="preserve">F:\images\20210309\plaque 1/@10  Testosterone 33 µg_L/A10_03.tif </t>
  </si>
  <si>
    <t xml:space="preserve"> 38804.031 </t>
  </si>
  <si>
    <t xml:space="preserve"> 68.7358 </t>
  </si>
  <si>
    <t xml:space="preserve">F:\images\20210309\plaque 1/@10  Testosterone 33 µg_L/B10_01.tif </t>
  </si>
  <si>
    <t xml:space="preserve"> 72.1971 </t>
  </si>
  <si>
    <t xml:space="preserve">F:\images\20210309\plaque 1/@10  Testosterone 33 µg_L/B10_02.tif </t>
  </si>
  <si>
    <t xml:space="preserve"> 40512.7926 </t>
  </si>
  <si>
    <t xml:space="preserve"> 73.1361 </t>
  </si>
  <si>
    <t xml:space="preserve">F:\images\20210309\plaque 1/@10  Testosterone 33 µg_L/B10_03.tif </t>
  </si>
  <si>
    <t xml:space="preserve"> 38501.2124 </t>
  </si>
  <si>
    <t xml:space="preserve"> 73.1871 </t>
  </si>
  <si>
    <t xml:space="preserve">F:\images\20210309\plaque 1/@10  Testosterone 33 µg_L/C10_01.tif </t>
  </si>
  <si>
    <t xml:space="preserve"> 34067.084 </t>
  </si>
  <si>
    <t xml:space="preserve"> 75.779 </t>
  </si>
  <si>
    <t xml:space="preserve">F:\images\20210309\plaque 1/@10  Testosterone 33 µg_L/C10_02.tif </t>
  </si>
  <si>
    <t xml:space="preserve"> 40318.1236 </t>
  </si>
  <si>
    <t xml:space="preserve"> 74.9914 </t>
  </si>
  <si>
    <t xml:space="preserve">F:\images\20210309\plaque 1/@10  Testosterone 33 µg_L/C10_03.tif </t>
  </si>
  <si>
    <t xml:space="preserve"> 42632.5223 </t>
  </si>
  <si>
    <t xml:space="preserve"> 77.2248 </t>
  </si>
  <si>
    <t xml:space="preserve">F:\images\20210309\plaque 1/@10  Testosterone 33 µg_L/D10_01.tif </t>
  </si>
  <si>
    <t xml:space="preserve"> 26345.2117 </t>
  </si>
  <si>
    <t xml:space="preserve"> 68.6034 </t>
  </si>
  <si>
    <t xml:space="preserve">F:\images\20210309\plaque 1/@10  Testosterone 33 µg_L/D10_02.tif </t>
  </si>
  <si>
    <t xml:space="preserve"> 20288.8412 </t>
  </si>
  <si>
    <t xml:space="preserve"> 67.467 </t>
  </si>
  <si>
    <t xml:space="preserve">F:\images\20210309\plaque 1/@10  Testosterone 33 µg_L/D10_03.tif </t>
  </si>
  <si>
    <t xml:space="preserve"> 66.9601 </t>
  </si>
  <si>
    <t xml:space="preserve">F:\images\20210309\plaque 1/@10  Testosterone 33 µg_L/E10_01.tif </t>
  </si>
  <si>
    <t xml:space="preserve"> 72.4972 </t>
  </si>
  <si>
    <t xml:space="preserve">F:\images\20210309\plaque 1/@10  Testosterone 33 µg_L/E10_02.tif </t>
  </si>
  <si>
    <t xml:space="preserve"> 39820.636 </t>
  </si>
  <si>
    <t xml:space="preserve"> 73.1027 </t>
  </si>
  <si>
    <t xml:space="preserve">F:\images\20210309\plaque 1/@10  Testosterone 33 µg_L/E10_03.tif </t>
  </si>
  <si>
    <t xml:space="preserve"> 36468.0023 </t>
  </si>
  <si>
    <t xml:space="preserve"> 71.1554 </t>
  </si>
  <si>
    <t xml:space="preserve">F:\images\20210309\plaque 1/@10  Testosterone 33 µg_L/F10_01.tif </t>
  </si>
  <si>
    <t xml:space="preserve"> 27924.194 </t>
  </si>
  <si>
    <t xml:space="preserve"> 68.4919 </t>
  </si>
  <si>
    <t xml:space="preserve">F:\images\20210309\plaque 1/@10  Testosterone 33 µg_L/F10_02.tif </t>
  </si>
  <si>
    <t xml:space="preserve"> 25371.8664 </t>
  </si>
  <si>
    <t xml:space="preserve"> 69.4885 </t>
  </si>
  <si>
    <t xml:space="preserve">F:\images\20210309\plaque 1/@10  Testosterone 33 µg_L/F10_03.tif </t>
  </si>
  <si>
    <t xml:space="preserve"> 26972.4786 </t>
  </si>
  <si>
    <t xml:space="preserve"> 71.3504 </t>
  </si>
  <si>
    <t xml:space="preserve">F:\images\20210309\plaque 1/@10  Testosterone 33 µg_L/G10_01.tif </t>
  </si>
  <si>
    <t xml:space="preserve"> 24203.8521 </t>
  </si>
  <si>
    <t xml:space="preserve"> 70.0045 </t>
  </si>
  <si>
    <t xml:space="preserve">F:\images\20210309\plaque 1/@10  Testosterone 33 µg_L/G10_02.tif </t>
  </si>
  <si>
    <t xml:space="preserve"> 15530.2643 </t>
  </si>
  <si>
    <t xml:space="preserve"> 67.7897 </t>
  </si>
  <si>
    <t xml:space="preserve">F:\images\20210309\plaque 1/@10  Testosterone 33 µg_L/G10_03.tif </t>
  </si>
  <si>
    <t xml:space="preserve"> 19077.5671 </t>
  </si>
  <si>
    <t xml:space="preserve"> 67.1905 </t>
  </si>
  <si>
    <t xml:space="preserve">F:\images\20210309\plaque 1/@10  Testosterone 33 µg_L/H10_01.tif </t>
  </si>
  <si>
    <t xml:space="preserve"> 16741.5384 </t>
  </si>
  <si>
    <t xml:space="preserve"> 70.9251 </t>
  </si>
  <si>
    <t xml:space="preserve">F:\images\20210309\plaque 1/@10  Testosterone 33 µg_L/H10_02.tif </t>
  </si>
  <si>
    <t xml:space="preserve"> 9711.8227 </t>
  </si>
  <si>
    <t xml:space="preserve"> 71.167 </t>
  </si>
  <si>
    <t xml:space="preserve">F:\images\20210309\plaque 1/@10  Testosterone 33 µg_L/H10_03.tif </t>
  </si>
  <si>
    <t xml:space="preserve"> 1492.4627 </t>
  </si>
  <si>
    <t xml:space="preserve"> 63.5507 </t>
  </si>
  <si>
    <t xml:space="preserve">F:\images\20210309\plaque 1/@10  Testosterone 33 µg_L/ </t>
  </si>
  <si>
    <t xml:space="preserve"> 70.6235 </t>
  </si>
  <si>
    <t xml:space="preserve"> 3.1495 </t>
  </si>
  <si>
    <t xml:space="preserve"> 2107403.33 </t>
  </si>
  <si>
    <t xml:space="preserve"> 859665.061 </t>
  </si>
  <si>
    <t xml:space="preserve">F:\images\20210309\plaque 1/@11  Testosterone 100 µg_L/A11_01.tif </t>
  </si>
  <si>
    <t xml:space="preserve"> 65.8671 </t>
  </si>
  <si>
    <t xml:space="preserve">F:\images\20210309\plaque 1/@11  Testosterone 100 µg_L/A11_02.tif </t>
  </si>
  <si>
    <t xml:space="preserve"> 67.5247 </t>
  </si>
  <si>
    <t xml:space="preserve">F:\images\20210309\plaque 1/@11  Testosterone 100 µg_L/A11_03.tif </t>
  </si>
  <si>
    <t xml:space="preserve"> 4542.2779 </t>
  </si>
  <si>
    <t xml:space="preserve"> 65.7095 </t>
  </si>
  <si>
    <t xml:space="preserve">F:\images\20210309\plaque 1/@11  Testosterone 100 µg_L/B11_01.tif </t>
  </si>
  <si>
    <t xml:space="preserve"> 52106.4162 </t>
  </si>
  <si>
    <t xml:space="preserve"> 70.7758 </t>
  </si>
  <si>
    <t xml:space="preserve">F:\images\20210309\plaque 1/@11  Testosterone 100 µg_L/B11_02.tif </t>
  </si>
  <si>
    <t xml:space="preserve"> 50116.4659 </t>
  </si>
  <si>
    <t xml:space="preserve"> 72.1752 </t>
  </si>
  <si>
    <t xml:space="preserve">F:\images\20210309\plaque 1/@11  Testosterone 100 µg_L/B11_03.tif </t>
  </si>
  <si>
    <t xml:space="preserve"> 52365.9749 </t>
  </si>
  <si>
    <t xml:space="preserve"> 75.3218 </t>
  </si>
  <si>
    <t xml:space="preserve">F:\images\20210309\plaque 1/@11  Testosterone 100 µg_L/C11_01.tif </t>
  </si>
  <si>
    <t xml:space="preserve"> 44882.0314 </t>
  </si>
  <si>
    <t xml:space="preserve"> 70.6395 </t>
  </si>
  <si>
    <t xml:space="preserve">F:\images\20210309\plaque 1/@11  Testosterone 100 µg_L/C11_02.tif </t>
  </si>
  <si>
    <t xml:space="preserve"> 43086.7501 </t>
  </si>
  <si>
    <t xml:space="preserve"> 72.4468 </t>
  </si>
  <si>
    <t xml:space="preserve">F:\images\20210309\plaque 1/@11  Testosterone 100 µg_L/C11_03.tif </t>
  </si>
  <si>
    <t xml:space="preserve"> 42935.3408 </t>
  </si>
  <si>
    <t xml:space="preserve">F:\images\20210309\plaque 1/@11  Testosterone 100 µg_L/D11_01.tif </t>
  </si>
  <si>
    <t xml:space="preserve"> 2076.4699 </t>
  </si>
  <si>
    <t xml:space="preserve"> 63.3542 </t>
  </si>
  <si>
    <t xml:space="preserve">F:\images\20210309\plaque 1/@11  Testosterone 100 µg_L/D11_02.tif </t>
  </si>
  <si>
    <t xml:space="preserve"> 2357.6585 </t>
  </si>
  <si>
    <t xml:space="preserve"> 63.7339 </t>
  </si>
  <si>
    <t xml:space="preserve">F:\images\20210309\plaque 1/@11  Testosterone 100 µg_L/D11_03.tif </t>
  </si>
  <si>
    <t xml:space="preserve"> 62.9268 </t>
  </si>
  <si>
    <t xml:space="preserve">F:\images\20210309\plaque 1/@11  Testosterone 100 µg_L/E11_01.tif </t>
  </si>
  <si>
    <t xml:space="preserve"> 9625.3031 </t>
  </si>
  <si>
    <t xml:space="preserve"> 65.7303 </t>
  </si>
  <si>
    <t xml:space="preserve">F:\images\20210309\plaque 1/@11  Testosterone 100 µg_L/E11_02.tif </t>
  </si>
  <si>
    <t xml:space="preserve"> 14448.7696 </t>
  </si>
  <si>
    <t xml:space="preserve"> 66.8743 </t>
  </si>
  <si>
    <t xml:space="preserve">F:\images\20210309\plaque 1/@11  Testosterone 100 µg_L/E11_03.tif </t>
  </si>
  <si>
    <t xml:space="preserve"> 5904.9612 </t>
  </si>
  <si>
    <t xml:space="preserve"> 64.4322 </t>
  </si>
  <si>
    <t xml:space="preserve">F:\images\20210309\plaque 1/@11  Testosterone 100 µg_L/F11_01.tif </t>
  </si>
  <si>
    <t xml:space="preserve"> 6921.5663 </t>
  </si>
  <si>
    <t xml:space="preserve"> 64.825 </t>
  </si>
  <si>
    <t xml:space="preserve">F:\images\20210309\plaque 1/@11  Testosterone 100 µg_L/F11_02.tif </t>
  </si>
  <si>
    <t xml:space="preserve"> 6662.0075 </t>
  </si>
  <si>
    <t xml:space="preserve"> 65.5097 </t>
  </si>
  <si>
    <t xml:space="preserve">F:\images\20210309\plaque 1/@11  Testosterone 100 µg_L/F11_03.tif </t>
  </si>
  <si>
    <t xml:space="preserve"> 64.381 </t>
  </si>
  <si>
    <t xml:space="preserve">F:\images\20210309\plaque 1/@11  Testosterone 100 µg_L/G11_01.tif </t>
  </si>
  <si>
    <t xml:space="preserve"> 71.4533 </t>
  </si>
  <si>
    <t xml:space="preserve">F:\images\20210309\plaque 1/@11  Testosterone 100 µg_L/G11_02.tif </t>
  </si>
  <si>
    <t xml:space="preserve"> 62.7321 </t>
  </si>
  <si>
    <t xml:space="preserve">F:\images\20210309\plaque 1/@11  Testosterone 100 µg_L/G11_03.tif </t>
  </si>
  <si>
    <t xml:space="preserve"> 15032.7768 </t>
  </si>
  <si>
    <t xml:space="preserve"> 70.8201 </t>
  </si>
  <si>
    <t xml:space="preserve">F:\images\20210309\plaque 1/@11  Testosterone 100 µg_L/H11_01.tif </t>
  </si>
  <si>
    <t xml:space="preserve"> 16676.6488 </t>
  </si>
  <si>
    <t xml:space="preserve"> 68.9429 </t>
  </si>
  <si>
    <t xml:space="preserve">F:\images\20210309\plaque 1/@11  Testosterone 100 µg_L/H11_02.tif </t>
  </si>
  <si>
    <t xml:space="preserve"> 14513.6593 </t>
  </si>
  <si>
    <t xml:space="preserve"> 66.6379 </t>
  </si>
  <si>
    <t xml:space="preserve">F:\images\20210309\plaque 1/@11  Testosterone 100 µg_L/H11_03.tif </t>
  </si>
  <si>
    <t xml:space="preserve"> 64.9587 </t>
  </si>
  <si>
    <t xml:space="preserve">F:\images\20210309\plaque 1/@11  Testosterone 100 µg_L/ </t>
  </si>
  <si>
    <t xml:space="preserve"> 67.4832 </t>
  </si>
  <si>
    <t xml:space="preserve"> 3.5958 </t>
  </si>
  <si>
    <t xml:space="preserve"> 1275618.5 </t>
  </si>
  <si>
    <t xml:space="preserve"> 1324592.11 </t>
  </si>
  <si>
    <t xml:space="preserve">F:\images\20210309\plaque 1/@12  Testosterone 300 µg_L/A12_01.tif </t>
  </si>
  <si>
    <t xml:space="preserve"> 70.9764 </t>
  </si>
  <si>
    <t xml:space="preserve">F:\images\20210309\plaque 1/@12  Testosterone 300 µg_L/A12_02.tif </t>
  </si>
  <si>
    <t xml:space="preserve"> 74.7991 </t>
  </si>
  <si>
    <t xml:space="preserve">F:\images\20210309\plaque 1/@12  Testosterone 300 µg_L/A12_03.tif </t>
  </si>
  <si>
    <t xml:space="preserve"> 12437.1894 </t>
  </si>
  <si>
    <t xml:space="preserve"> 76.2313 </t>
  </si>
  <si>
    <t xml:space="preserve">F:\images\20210309\plaque 1/@12  Testosterone 300 µg_L/B12_01.tif </t>
  </si>
  <si>
    <t xml:space="preserve"> 64327.3066 </t>
  </si>
  <si>
    <t xml:space="preserve"> 74.3779 </t>
  </si>
  <si>
    <t xml:space="preserve">F:\images\20210309\plaque 1/@12  Testosterone 300 µg_L/B12_02.tif </t>
  </si>
  <si>
    <t xml:space="preserve"> 54788.5231 </t>
  </si>
  <si>
    <t xml:space="preserve"> 75.3976 </t>
  </si>
  <si>
    <t xml:space="preserve">F:\images\20210309\plaque 1/@12  Testosterone 300 µg_L/B12_03.tif </t>
  </si>
  <si>
    <t xml:space="preserve"> 51284.4802 </t>
  </si>
  <si>
    <t xml:space="preserve"> 75.7221 </t>
  </si>
  <si>
    <t xml:space="preserve">F:\images\20210309\plaque 1/@12  Testosterone 300 µg_L/C12_01.tif </t>
  </si>
  <si>
    <t xml:space="preserve"> 17866.293 </t>
  </si>
  <si>
    <t xml:space="preserve"> 80.4576 </t>
  </si>
  <si>
    <t xml:space="preserve">F:\images\20210309\plaque 1/@12  Testosterone 300 µg_L/C12_02.tif </t>
  </si>
  <si>
    <t xml:space="preserve"> 79.6719 </t>
  </si>
  <si>
    <t xml:space="preserve">F:\images\20210309\plaque 1/@12  Testosterone 300 µg_L/C12_03.tif </t>
  </si>
  <si>
    <t xml:space="preserve"> 18017.7022 </t>
  </si>
  <si>
    <t xml:space="preserve"> 80.6399 </t>
  </si>
  <si>
    <t xml:space="preserve">F:\images\20210309\plaque 1/@12  Testosterone 300 µg_L/D12_01.tif </t>
  </si>
  <si>
    <t xml:space="preserve"> 68.1671 </t>
  </si>
  <si>
    <t xml:space="preserve">F:\images\20210309\plaque 1/@12  Testosterone 300 µg_L/D12_02.tif </t>
  </si>
  <si>
    <t xml:space="preserve"> 8803.3671 </t>
  </si>
  <si>
    <t xml:space="preserve"> 66.2629 </t>
  </si>
  <si>
    <t xml:space="preserve">F:\images\20210309\plaque 1/@12  Testosterone 300 µg_L/D12_03.tif </t>
  </si>
  <si>
    <t xml:space="preserve"> 11355.6947 </t>
  </si>
  <si>
    <t xml:space="preserve"> 67.0914 </t>
  </si>
  <si>
    <t xml:space="preserve">F:\images\20210309\plaque 1/@12  Testosterone 300 µg_L/E12_01.tif </t>
  </si>
  <si>
    <t xml:space="preserve"> 67.0878 </t>
  </si>
  <si>
    <t xml:space="preserve">F:\images\20210309\plaque 1/@12  Testosterone 300 µg_L/E12_02.tif </t>
  </si>
  <si>
    <t xml:space="preserve"> 21305.4462 </t>
  </si>
  <si>
    <t xml:space="preserve"> 71.3706 </t>
  </si>
  <si>
    <t xml:space="preserve">F:\images\20210309\plaque 1/@12  Testosterone 300 µg_L/E12_03.tif </t>
  </si>
  <si>
    <t xml:space="preserve"> 15508.6344 </t>
  </si>
  <si>
    <t xml:space="preserve">F:\images\20210309\plaque 1/@12  Testosterone 300 µg_L/F12_01.tif </t>
  </si>
  <si>
    <t xml:space="preserve"> 45379.5189 </t>
  </si>
  <si>
    <t xml:space="preserve"> 71.3103 </t>
  </si>
  <si>
    <t xml:space="preserve">F:\images\20210309\plaque 1/@12  Testosterone 300 µg_L/F12_02.tif </t>
  </si>
  <si>
    <t xml:space="preserve"> 32552.9914 </t>
  </si>
  <si>
    <t xml:space="preserve"> 68.497 </t>
  </si>
  <si>
    <t xml:space="preserve">F:\images\20210309\plaque 1/@12  Testosterone 300 µg_L/F12_03.tif </t>
  </si>
  <si>
    <t xml:space="preserve"> 33331.6676 </t>
  </si>
  <si>
    <t xml:space="preserve"> 70.331 </t>
  </si>
  <si>
    <t xml:space="preserve">F:\images\20210309\plaque 1/@12  Testosterone 300 µg_L/G12_01.tif </t>
  </si>
  <si>
    <t xml:space="preserve"> 25674.6849 </t>
  </si>
  <si>
    <t xml:space="preserve"> 71.9503 </t>
  </si>
  <si>
    <t xml:space="preserve">F:\images\20210309\plaque 1/@12  Testosterone 300 µg_L/G12_02.tif </t>
  </si>
  <si>
    <t xml:space="preserve"> 23965.9232 </t>
  </si>
  <si>
    <t xml:space="preserve"> 74.639 </t>
  </si>
  <si>
    <t xml:space="preserve">F:\images\20210309\plaque 1/@12  Testosterone 300 µg_L/G12_03.tif </t>
  </si>
  <si>
    <t xml:space="preserve"> 24030.8129 </t>
  </si>
  <si>
    <t xml:space="preserve"> 71.1944 </t>
  </si>
  <si>
    <t xml:space="preserve">F:\images\20210309\plaque 1/@12  Testosterone 300 µg_L/H12_01.tif </t>
  </si>
  <si>
    <t xml:space="preserve"> 24939.2685 </t>
  </si>
  <si>
    <t xml:space="preserve"> 69.634 </t>
  </si>
  <si>
    <t xml:space="preserve">F:\images\20210309\plaque 1/@12  Testosterone 300 µg_L/H12_02.tif </t>
  </si>
  <si>
    <t xml:space="preserve"> 68.6235 </t>
  </si>
  <si>
    <t xml:space="preserve">F:\images\20210309\plaque 1/@12  Testosterone 300 µg_L/H12_03.tif </t>
  </si>
  <si>
    <t xml:space="preserve"> 17390.4353 </t>
  </si>
  <si>
    <t xml:space="preserve"> 66.1567 </t>
  </si>
  <si>
    <t xml:space="preserve">F:\images\20210309\plaque 1/@12  Testosterone 300 µg_L/ </t>
  </si>
  <si>
    <t xml:space="preserve"> 72.1232 </t>
  </si>
  <si>
    <t xml:space="preserve"> 4.3524 </t>
  </si>
  <si>
    <t xml:space="preserve"> 1816203.79 </t>
  </si>
  <si>
    <t xml:space="preserve"> 1120395.39 </t>
  </si>
  <si>
    <t xml:space="preserve">F:\images\20210309\plaque 2/@01 Testo 30/A1_01.tif </t>
  </si>
  <si>
    <t xml:space="preserve"> 43757.2768 </t>
  </si>
  <si>
    <t xml:space="preserve"> 72.9768 </t>
  </si>
  <si>
    <t xml:space="preserve">F:\images\20210309\plaque 2/@01 Testo 30/A1_02.tif </t>
  </si>
  <si>
    <t xml:space="preserve"> 43130.0099 </t>
  </si>
  <si>
    <t xml:space="preserve"> 70.3967 </t>
  </si>
  <si>
    <t xml:space="preserve">F:\images\20210309\plaque 2/@01 Testo 30/A1_03.tif </t>
  </si>
  <si>
    <t xml:space="preserve"> 67.5485 </t>
  </si>
  <si>
    <t xml:space="preserve">F:\images\20210309\plaque 2/@01 Testo 30/B1_01.tif </t>
  </si>
  <si>
    <t xml:space="preserve"> 31363.3472 </t>
  </si>
  <si>
    <t xml:space="preserve"> 74.5972 </t>
  </si>
  <si>
    <t xml:space="preserve">F:\images\20210309\plaque 2/@01 Testo 30/B1_02.tif </t>
  </si>
  <si>
    <t xml:space="preserve"> 34218.4933 </t>
  </si>
  <si>
    <t xml:space="preserve"> 73.4962 </t>
  </si>
  <si>
    <t xml:space="preserve">F:\images\20210309\plaque 2/@01 Testo 30/B1_03.tif </t>
  </si>
  <si>
    <t xml:space="preserve"> 32120.3935 </t>
  </si>
  <si>
    <t xml:space="preserve"> 72.934 </t>
  </si>
  <si>
    <t xml:space="preserve">F:\images\20210309\plaque 2/@01 Testo 30/C1_01.tif </t>
  </si>
  <si>
    <t xml:space="preserve"> 51414.2595 </t>
  </si>
  <si>
    <t xml:space="preserve"> 74.4716 </t>
  </si>
  <si>
    <t>F:\images\20210309\plaque 2/@01 Testo 30/C1_02- exclu.tif</t>
  </si>
  <si>
    <t xml:space="preserve">F:\images\20210309\plaque 2/@01 Testo 30/C1_03.tif </t>
  </si>
  <si>
    <t xml:space="preserve"> 73.3148 </t>
  </si>
  <si>
    <t xml:space="preserve">F:\images\20210309\plaque 2/@01 Testo 30/D1_01.tif </t>
  </si>
  <si>
    <t xml:space="preserve"> 25025.7881 </t>
  </si>
  <si>
    <t xml:space="preserve"> 67.2818 </t>
  </si>
  <si>
    <t>F:\images\20210309\plaque 2/@01 Testo 30/D1_02- exclu.tif</t>
  </si>
  <si>
    <t xml:space="preserve">F:\images\20210309\plaque 2/@01 Testo 30/D1_03.tif </t>
  </si>
  <si>
    <t xml:space="preserve"> 26085.6529 </t>
  </si>
  <si>
    <t xml:space="preserve"> 68.5398 </t>
  </si>
  <si>
    <t>F:\images\20210309\plaque 2/@01 Testo 30/E1_01- exclu.tif</t>
  </si>
  <si>
    <t xml:space="preserve">F:\images\20210309\plaque 2/@01 Testo 30/E1_02.tif </t>
  </si>
  <si>
    <t xml:space="preserve"> 43000.2305 </t>
  </si>
  <si>
    <t xml:space="preserve"> 75.1579 </t>
  </si>
  <si>
    <t xml:space="preserve">F:\images\20210309\plaque 2/@01 Testo 30/E1_03.tif </t>
  </si>
  <si>
    <t xml:space="preserve"> 70.4686 </t>
  </si>
  <si>
    <t xml:space="preserve">F:\images\20210309\plaque 2/@01 Testo 30/F1_01.tif </t>
  </si>
  <si>
    <t xml:space="preserve"> 34088.7139 </t>
  </si>
  <si>
    <t xml:space="preserve"> 72.0857 </t>
  </si>
  <si>
    <t xml:space="preserve">F:\images\20210309\plaque 2/@01 Testo 30/F1_02.tif </t>
  </si>
  <si>
    <t xml:space="preserve"> 36208.4436 </t>
  </si>
  <si>
    <t xml:space="preserve"> 71.1804 </t>
  </si>
  <si>
    <t xml:space="preserve">F:\images\20210309\plaque 2/@01 Testo 30/F1_03.tif </t>
  </si>
  <si>
    <t xml:space="preserve"> 29935.7742 </t>
  </si>
  <si>
    <t xml:space="preserve"> 71.0506 </t>
  </si>
  <si>
    <t xml:space="preserve">F:\images\20210309\plaque 2/@01 Testo 30/G1_01.tif </t>
  </si>
  <si>
    <t xml:space="preserve"> 72.6688 </t>
  </si>
  <si>
    <t xml:space="preserve">F:\images\20210309\plaque 2/@01 Testo 30/G1_02.tif </t>
  </si>
  <si>
    <t xml:space="preserve"> 27253.6672 </t>
  </si>
  <si>
    <t xml:space="preserve"> 71.6294 </t>
  </si>
  <si>
    <t xml:space="preserve">F:\images\20210309\plaque 2/@01 Testo 30/G1_03.tif </t>
  </si>
  <si>
    <t xml:space="preserve"> 71.6481 </t>
  </si>
  <si>
    <t xml:space="preserve">F:\images\20210309\plaque 2/@01 Testo 30/H1_01.tif </t>
  </si>
  <si>
    <t xml:space="preserve"> 11658.5132 </t>
  </si>
  <si>
    <t xml:space="preserve"> 70.0705 </t>
  </si>
  <si>
    <t xml:space="preserve">F:\images\20210309\plaque 2/@01 Testo 30/H1_02.tif </t>
  </si>
  <si>
    <t xml:space="preserve"> 9192.7052 </t>
  </si>
  <si>
    <t xml:space="preserve"> 71.0518 </t>
  </si>
  <si>
    <t xml:space="preserve">F:\images\20210309\plaque 2/@01 Testo 30/H1_03.tif </t>
  </si>
  <si>
    <t xml:space="preserve"> 4001.5305 </t>
  </si>
  <si>
    <t xml:space="preserve"> 64.1514 </t>
  </si>
  <si>
    <t xml:space="preserve">F:\images\20210309\plaque 2/@01 Testo 30/ </t>
  </si>
  <si>
    <t xml:space="preserve"> 70.6189 </t>
  </si>
  <si>
    <t xml:space="preserve"> 3.1861 </t>
  </si>
  <si>
    <t xml:space="preserve"> 2078315.54 </t>
  </si>
  <si>
    <t xml:space="preserve"> 1049841.73 </t>
  </si>
  <si>
    <t xml:space="preserve">F:\images\20210309\plaque 2/@02 Testo 30/A2_01.tif </t>
  </si>
  <si>
    <t xml:space="preserve"> 11831.5524 </t>
  </si>
  <si>
    <t xml:space="preserve"> 70.4314 </t>
  </si>
  <si>
    <t xml:space="preserve">F:\images\20210309\plaque 2/@02 Testo 30/A2_02.tif </t>
  </si>
  <si>
    <t xml:space="preserve"> 8630.328 </t>
  </si>
  <si>
    <t xml:space="preserve"> 68.9524 </t>
  </si>
  <si>
    <t xml:space="preserve">F:\images\20210309\plaque 2/@02 Testo 30/A2_03.tif </t>
  </si>
  <si>
    <t xml:space="preserve"> 12091.1111 </t>
  </si>
  <si>
    <t xml:space="preserve"> 69.1807 </t>
  </si>
  <si>
    <t xml:space="preserve">F:\images\20210309\plaque 2/@02 Testo 30/B2_01.tif </t>
  </si>
  <si>
    <t xml:space="preserve"> 64.6569 </t>
  </si>
  <si>
    <t xml:space="preserve">F:\images\20210309\plaque 2/@02 Testo 30/B2_02.tif </t>
  </si>
  <si>
    <t xml:space="preserve"> 63.7089 </t>
  </si>
  <si>
    <t xml:space="preserve">F:\images\20210309\plaque 2/@02 Testo 30/B2_03.tif </t>
  </si>
  <si>
    <t xml:space="preserve"> 64.8878 </t>
  </si>
  <si>
    <t xml:space="preserve">F:\images\20210309\plaque 2/@02 Testo 30/C2_01.tif </t>
  </si>
  <si>
    <t xml:space="preserve"> 59655.2494 </t>
  </si>
  <si>
    <t xml:space="preserve"> 73.4576 </t>
  </si>
  <si>
    <t xml:space="preserve">F:\images\20210309\plaque 2/@02 Testo 30/C2_02.tif </t>
  </si>
  <si>
    <t xml:space="preserve"> 60152.737 </t>
  </si>
  <si>
    <t xml:space="preserve"> 74.4941 </t>
  </si>
  <si>
    <t>F:\images\20210309\plaque 2/@02 Testo 30/C2_03- exclu.tif</t>
  </si>
  <si>
    <t xml:space="preserve">F:\images\20210309\plaque 2/@02 Testo 30/D2_01.tif </t>
  </si>
  <si>
    <t xml:space="preserve"> 65.9921 </t>
  </si>
  <si>
    <t xml:space="preserve">F:\images\20210309\plaque 2/@02 Testo 30/D2_02.tif </t>
  </si>
  <si>
    <t xml:space="preserve"> 17931.1826 </t>
  </si>
  <si>
    <t xml:space="preserve"> 64.5223 </t>
  </si>
  <si>
    <t xml:space="preserve">F:\images\20210309\plaque 2/@02 Testo 30/D2_03.tif </t>
  </si>
  <si>
    <t xml:space="preserve"> 66.1714 </t>
  </si>
  <si>
    <t xml:space="preserve">F:\images\20210309\plaque 2/@02 Testo 30/E2_01.tif </t>
  </si>
  <si>
    <t xml:space="preserve"> 70.1629 </t>
  </si>
  <si>
    <t xml:space="preserve">F:\images\20210309\plaque 2/@02 Testo 30/E2_02.tif </t>
  </si>
  <si>
    <t xml:space="preserve"> 33677.7459 </t>
  </si>
  <si>
    <t xml:space="preserve"> 69.9994 </t>
  </si>
  <si>
    <t xml:space="preserve">F:\images\20210309\plaque 2/@02 Testo 30/E2_03.tif </t>
  </si>
  <si>
    <t xml:space="preserve"> 70.5582 </t>
  </si>
  <si>
    <t xml:space="preserve">F:\images\20210309\plaque 2/@02 Testo 30/F2_01.tif </t>
  </si>
  <si>
    <t xml:space="preserve"> 48277.9248 </t>
  </si>
  <si>
    <t xml:space="preserve"> 75.4906 </t>
  </si>
  <si>
    <t xml:space="preserve">F:\images\20210309\plaque 2/@02 Testo 30/F2_02.tif </t>
  </si>
  <si>
    <t xml:space="preserve"> 51890.1172 </t>
  </si>
  <si>
    <t xml:space="preserve"> 75.5982 </t>
  </si>
  <si>
    <t xml:space="preserve">F:\images\20210309\plaque 2/@02 Testo 30/F2_03.tif </t>
  </si>
  <si>
    <t xml:space="preserve"> 45292.9994 </t>
  </si>
  <si>
    <t xml:space="preserve"> 73.3825 </t>
  </si>
  <si>
    <t xml:space="preserve">F:\images\20210309\plaque 2/@02 Testo 30/G2_01.tif </t>
  </si>
  <si>
    <t xml:space="preserve"> 47434.3589 </t>
  </si>
  <si>
    <t xml:space="preserve"> 79.7424 </t>
  </si>
  <si>
    <t xml:space="preserve">F:\images\20210309\plaque 2/@02 Testo 30/G2_02.tif </t>
  </si>
  <si>
    <t xml:space="preserve"> 45963.5261 </t>
  </si>
  <si>
    <t xml:space="preserve"> 79.2842 </t>
  </si>
  <si>
    <t xml:space="preserve">F:\images\20210309\plaque 2/@02 Testo 30/G2_03.tif </t>
  </si>
  <si>
    <t xml:space="preserve"> 49683.868 </t>
  </si>
  <si>
    <t xml:space="preserve"> 78.636 </t>
  </si>
  <si>
    <t xml:space="preserve">F:\images\20210309\plaque 2/@02 Testo 30/H2_01.tif </t>
  </si>
  <si>
    <t xml:space="preserve"> 52019.8966 </t>
  </si>
  <si>
    <t xml:space="preserve"> 68.9784 </t>
  </si>
  <si>
    <t xml:space="preserve">F:\images\20210309\plaque 2/@02 Testo 30/H2_02.tif </t>
  </si>
  <si>
    <t xml:space="preserve"> 44579.2128 </t>
  </si>
  <si>
    <t xml:space="preserve"> 67.9583 </t>
  </si>
  <si>
    <t xml:space="preserve">F:\images\20210309\plaque 2/@02 Testo 30/H2_03.tif </t>
  </si>
  <si>
    <t xml:space="preserve"> 67.6293 </t>
  </si>
  <si>
    <t xml:space="preserve">F:\images\20210309\plaque 2/@02 Testo 30/ </t>
  </si>
  <si>
    <t xml:space="preserve"> 70.6389 </t>
  </si>
  <si>
    <t xml:space="preserve"> 4.7604 </t>
  </si>
  <si>
    <t xml:space="preserve"> 2357850.42 </t>
  </si>
  <si>
    <t xml:space="preserve"> 1434664.97 </t>
  </si>
  <si>
    <t xml:space="preserve">F:\images\20210309\plaque 2/@03 Testo+ EE2 64/A3_01.tif </t>
  </si>
  <si>
    <t xml:space="preserve"> 13994.5418 </t>
  </si>
  <si>
    <t xml:space="preserve"> 68.728 </t>
  </si>
  <si>
    <t xml:space="preserve">F:\images\20210309\plaque 2/@03 Testo+ EE2 64/A3_02.tif </t>
  </si>
  <si>
    <t xml:space="preserve"> 12285.7801 </t>
  </si>
  <si>
    <t xml:space="preserve"> 69.2518 </t>
  </si>
  <si>
    <t xml:space="preserve">F:\images\20210309\plaque 2/@03 Testo+ EE2 64/A3_03.tif </t>
  </si>
  <si>
    <t xml:space="preserve"> 12264.1503 </t>
  </si>
  <si>
    <t xml:space="preserve"> 67.5573 </t>
  </si>
  <si>
    <t xml:space="preserve">F:\images\20210309\plaque 2/@03 Testo+ EE2 64/B3_01.tif </t>
  </si>
  <si>
    <t xml:space="preserve"> 63.4082 </t>
  </si>
  <si>
    <t xml:space="preserve">F:\images\20210309\plaque 2/@03 Testo+ EE2 64/B3_02.tif </t>
  </si>
  <si>
    <t xml:space="preserve"> 3006.5554 </t>
  </si>
  <si>
    <t xml:space="preserve"> 63.295 </t>
  </si>
  <si>
    <t xml:space="preserve">F:\images\20210309\plaque 2/@03 Testo+ EE2 64/B3_03.tif </t>
  </si>
  <si>
    <t xml:space="preserve"> 6251.0395 </t>
  </si>
  <si>
    <t xml:space="preserve"> 65.8997 </t>
  </si>
  <si>
    <t xml:space="preserve">F:\images\20210309\plaque 2/@03 Testo+ EE2 64/C3_01.tif </t>
  </si>
  <si>
    <t xml:space="preserve"> 41853.8461 </t>
  </si>
  <si>
    <t xml:space="preserve"> 78.0749 </t>
  </si>
  <si>
    <t xml:space="preserve">F:\images\20210309\plaque 2/@03 Testo+ EE2 64/C3_02.tif </t>
  </si>
  <si>
    <t xml:space="preserve"> 37636.0167 </t>
  </si>
  <si>
    <t xml:space="preserve"> 75.2805 </t>
  </si>
  <si>
    <t xml:space="preserve">F:\images\20210309\plaque 2/@03 Testo+ EE2 64/C3_03.tif </t>
  </si>
  <si>
    <t xml:space="preserve"> 78.4492 </t>
  </si>
  <si>
    <t xml:space="preserve">F:\images\20210309\plaque 2/@03 Testo+ EE2 64/D3_01.tif </t>
  </si>
  <si>
    <t xml:space="preserve"> 52755.313 </t>
  </si>
  <si>
    <t xml:space="preserve"> 77.271 </t>
  </si>
  <si>
    <t xml:space="preserve">F:\images\20210309\plaque 2/@03 Testo+ EE2 64/D3_02.tif </t>
  </si>
  <si>
    <t xml:space="preserve"> 47953.4764 </t>
  </si>
  <si>
    <t xml:space="preserve"> 76.7226 </t>
  </si>
  <si>
    <t xml:space="preserve">F:\images\20210309\plaque 2/@03 Testo+ EE2 64/D3_03.tif </t>
  </si>
  <si>
    <t xml:space="preserve"> 48169.7753 </t>
  </si>
  <si>
    <t xml:space="preserve"> 76.0251 </t>
  </si>
  <si>
    <t xml:space="preserve">F:\images\20210309\plaque 2/@03 Testo+ EE2 64/E3_01.tif </t>
  </si>
  <si>
    <t xml:space="preserve"> 68436.9866 </t>
  </si>
  <si>
    <t xml:space="preserve"> 87.2244 </t>
  </si>
  <si>
    <t>F:\images\20210309\plaque 2/@03 Testo+ EE2 64/E3_02- exclu.tif</t>
  </si>
  <si>
    <t xml:space="preserve">F:\images\20210309\plaque 2/@03 Testo+ EE2 64/E3_03.tif </t>
  </si>
  <si>
    <t xml:space="preserve"> 71681.4708 </t>
  </si>
  <si>
    <t xml:space="preserve"> 84.8639 </t>
  </si>
  <si>
    <t xml:space="preserve">F:\images\20210309\plaque 2/@03 Testo+ EE2 64/F3_01.tif </t>
  </si>
  <si>
    <t xml:space="preserve"> 67204.0826 </t>
  </si>
  <si>
    <t xml:space="preserve"> 78.5462 </t>
  </si>
  <si>
    <t xml:space="preserve">F:\images\20210309\plaque 2/@03 Testo+ EE2 64/F3_02.tif </t>
  </si>
  <si>
    <t xml:space="preserve"> 57449.0001 </t>
  </si>
  <si>
    <t xml:space="preserve"> 77.6724 </t>
  </si>
  <si>
    <t xml:space="preserve">F:\images\20210309\plaque 2/@03 Testo+ EE2 64/F3_03.tif </t>
  </si>
  <si>
    <t xml:space="preserve"> 65516.9508 </t>
  </si>
  <si>
    <t xml:space="preserve"> 78.0703 </t>
  </si>
  <si>
    <t xml:space="preserve">F:\images\20210309\plaque 2/@03 Testo+ EE2 64/G3_01.tif </t>
  </si>
  <si>
    <t xml:space="preserve"> 71.1647 </t>
  </si>
  <si>
    <t xml:space="preserve">F:\images\20210309\plaque 2/@03 Testo+ EE2 64/G3_02.tif </t>
  </si>
  <si>
    <t xml:space="preserve"> 46915.2415 </t>
  </si>
  <si>
    <t xml:space="preserve"> 70.9295 </t>
  </si>
  <si>
    <t xml:space="preserve">F:\images\20210309\plaque 2/@03 Testo+ EE2 64/G3_03.tif </t>
  </si>
  <si>
    <t xml:space="preserve"> 52668.7934 </t>
  </si>
  <si>
    <t xml:space="preserve"> 71.8275 </t>
  </si>
  <si>
    <t xml:space="preserve">F:\images\20210309\plaque 2/@03 Testo+ EE2 64/H3_01.tif </t>
  </si>
  <si>
    <t xml:space="preserve"> 60693.4843 </t>
  </si>
  <si>
    <t xml:space="preserve"> 76.4291 </t>
  </si>
  <si>
    <t xml:space="preserve">F:\images\20210309\plaque 2/@03 Testo+ EE2 64/H3_02.tif </t>
  </si>
  <si>
    <t xml:space="preserve"> 53533.9892 </t>
  </si>
  <si>
    <t xml:space="preserve"> 75.4929 </t>
  </si>
  <si>
    <t xml:space="preserve">F:\images\20210309\plaque 2/@03 Testo+ EE2 64/H3_03.tif </t>
  </si>
  <si>
    <t xml:space="preserve"> 47499.2486 </t>
  </si>
  <si>
    <t xml:space="preserve"> 79.8452 </t>
  </si>
  <si>
    <t xml:space="preserve">F:\images\20210309\plaque 2/@03 Testo+ EE2 64/ </t>
  </si>
  <si>
    <t xml:space="preserve"> 74.72 </t>
  </si>
  <si>
    <t xml:space="preserve"> 6.2302 </t>
  </si>
  <si>
    <t xml:space="preserve"> 3293309.12 </t>
  </si>
  <si>
    <t xml:space="preserve"> 1825386.43 </t>
  </si>
  <si>
    <t xml:space="preserve">F:\images\20210309\plaque 2/@04 Testo+ FAD/A4_01.tif </t>
  </si>
  <si>
    <t xml:space="preserve">F:\images\20210309\plaque 2/@04 Testo+ FAD/A4_02.tif </t>
  </si>
  <si>
    <t xml:space="preserve"> 3850.1212 </t>
  </si>
  <si>
    <t xml:space="preserve"> 66.7865 </t>
  </si>
  <si>
    <t xml:space="preserve">F:\images\20210309\plaque 2/@04 Testo+ FAD/A4_03.tif </t>
  </si>
  <si>
    <t xml:space="preserve"> 66.888 </t>
  </si>
  <si>
    <t xml:space="preserve">F:\images\20210309\plaque 2/@04 Testo+ FAD/B4_01.tif </t>
  </si>
  <si>
    <t xml:space="preserve">F:\images\20210309\plaque 2/@04 Testo+ FAD/B4_02.tif </t>
  </si>
  <si>
    <t xml:space="preserve"> 68.1818 </t>
  </si>
  <si>
    <t xml:space="preserve">F:\images\20210309\plaque 2/@04 Testo+ FAD/B4_03.tif </t>
  </si>
  <si>
    <t xml:space="preserve">F:\images\20210309\plaque 2/@04 Testo+ FAD/C4_01.tif </t>
  </si>
  <si>
    <t xml:space="preserve"> 62.375 </t>
  </si>
  <si>
    <t xml:space="preserve">F:\images\20210309\plaque 2/@04 Testo+ FAD/C4_02.tif </t>
  </si>
  <si>
    <t xml:space="preserve"> 62.6 </t>
  </si>
  <si>
    <t xml:space="preserve">F:\images\20210309\plaque 2/@04 Testo+ FAD/C4_03.tif </t>
  </si>
  <si>
    <t xml:space="preserve"> 1535.7225 </t>
  </si>
  <si>
    <t xml:space="preserve"> 65.5493 </t>
  </si>
  <si>
    <t xml:space="preserve">F:\images\20210309\plaque 2/@04 Testo+ FAD/D4_01.tif </t>
  </si>
  <si>
    <t xml:space="preserve"> 82.1051 </t>
  </si>
  <si>
    <t xml:space="preserve">F:\images\20210309\plaque 2/@04 Testo+ FAD/D4_02.tif </t>
  </si>
  <si>
    <t xml:space="preserve"> 75.1213 </t>
  </si>
  <si>
    <t xml:space="preserve">F:\images\20210309\plaque 2/@04 Testo+ FAD/D4_03.tif </t>
  </si>
  <si>
    <t xml:space="preserve"> 9171.0753 </t>
  </si>
  <si>
    <t xml:space="preserve"> 77.8208 </t>
  </si>
  <si>
    <t xml:space="preserve">F:\images\20210309\plaque 2/@04 Testo+ FAD/E4_01.tif </t>
  </si>
  <si>
    <t xml:space="preserve"> 8716.8475 </t>
  </si>
  <si>
    <t xml:space="preserve"> 70.7692 </t>
  </si>
  <si>
    <t xml:space="preserve">F:\images\20210309\plaque 2/@04 Testo+ FAD/E4_02.tif </t>
  </si>
  <si>
    <t xml:space="preserve"> 63.3 </t>
  </si>
  <si>
    <t>F:\images\20210309\plaque 2/@04 Testo+ FAD/E4_03- exclu.tif</t>
  </si>
  <si>
    <t xml:space="preserve">F:\images\20210309\plaque 2/@04 Testo+ FAD/F4_01.tif </t>
  </si>
  <si>
    <t xml:space="preserve"> 62.0833 </t>
  </si>
  <si>
    <t>F:\images\20210309\plaque 2/@04 Testo+ FAD/F4_02- exclu.tif</t>
  </si>
  <si>
    <t xml:space="preserve">F:\images\20210309\plaque 2/@04 Testo+ FAD/F4_03.tif </t>
  </si>
  <si>
    <t xml:space="preserve"> 63.4146 </t>
  </si>
  <si>
    <t xml:space="preserve">F:\images\20210309\plaque 2/@04 Testo+ FAD/G4_01.tif </t>
  </si>
  <si>
    <t xml:space="preserve"> 76.5662 </t>
  </si>
  <si>
    <t xml:space="preserve">F:\images\20210309\plaque 2/@04 Testo+ FAD/G4_02.tif </t>
  </si>
  <si>
    <t xml:space="preserve"> 74.5941 </t>
  </si>
  <si>
    <t xml:space="preserve">F:\images\20210309\plaque 2/@04 Testo+ FAD/G4_03.tif </t>
  </si>
  <si>
    <t xml:space="preserve"> 75.825 </t>
  </si>
  <si>
    <t xml:space="preserve">F:\images\20210309\plaque 2/@04 Testo+ FAD/H4_01.tif </t>
  </si>
  <si>
    <t xml:space="preserve"> 67.1066 </t>
  </si>
  <si>
    <t xml:space="preserve">F:\images\20210309\plaque 2/@04 Testo+ FAD/H4_02.tif </t>
  </si>
  <si>
    <t xml:space="preserve"> 68.4236 </t>
  </si>
  <si>
    <t xml:space="preserve">F:\images\20210309\plaque 2/@04 Testo+ FAD/H4_03.tif </t>
  </si>
  <si>
    <t xml:space="preserve"> 63.8776 </t>
  </si>
  <si>
    <t xml:space="preserve">F:\images\20210309\plaque 2/@04 Testo+ FAD/ </t>
  </si>
  <si>
    <t xml:space="preserve"> 68.1144 </t>
  </si>
  <si>
    <t xml:space="preserve"> 5.8625 </t>
  </si>
  <si>
    <t xml:space="preserve"> 243878.875 </t>
  </si>
  <si>
    <t xml:space="preserve"> 263956.315 </t>
  </si>
  <si>
    <t xml:space="preserve">F:\images\20210309\plaque 2/@05 Testosterone 3.7 µg_L dopé/A5_01.tif </t>
  </si>
  <si>
    <t xml:space="preserve"> 65.8484 </t>
  </si>
  <si>
    <t>F:\images\20210309\plaque 2/@05 Testosterone 3.7 µg_L dopé/A5_02- exclu.tif</t>
  </si>
  <si>
    <t xml:space="preserve">F:\images\20210309\plaque 2/@05 Testosterone 3.7 µg_L dopé/A5_03.tif </t>
  </si>
  <si>
    <t xml:space="preserve"> 16330.5704 </t>
  </si>
  <si>
    <t xml:space="preserve"> 65.9457 </t>
  </si>
  <si>
    <t xml:space="preserve">F:\images\20210309\plaque 2/@05 Testosterone 3.7 µg_L dopé/B5_01.tif </t>
  </si>
  <si>
    <t xml:space="preserve"> 38046.9847 </t>
  </si>
  <si>
    <t xml:space="preserve"> 71.0563 </t>
  </si>
  <si>
    <t>F:\images\20210309\plaque 2/@05 Testosterone 3.7 µg_L dopé/B5_02- exclu.tif</t>
  </si>
  <si>
    <t xml:space="preserve">F:\images\20210309\plaque 2/@05 Testosterone 3.7 µg_L dopé/B5_03.tif </t>
  </si>
  <si>
    <t xml:space="preserve"> 38003.7249 </t>
  </si>
  <si>
    <t xml:space="preserve"> 70.5139 </t>
  </si>
  <si>
    <t xml:space="preserve">F:\images\20210309\plaque 2/@05 Testosterone 3.7 µg_L dopé/C5_01.tif </t>
  </si>
  <si>
    <t xml:space="preserve"> 69.4825 </t>
  </si>
  <si>
    <t xml:space="preserve">F:\images\20210309\plaque 2/@05 Testosterone 3.7 µg_L dopé/C5_02.tif </t>
  </si>
  <si>
    <t xml:space="preserve"> 30692.8205 </t>
  </si>
  <si>
    <t xml:space="preserve"> 71.1698 </t>
  </si>
  <si>
    <t xml:space="preserve">F:\images\20210309\plaque 2/@05 Testosterone 3.7 µg_L dopé/C5_03.tif </t>
  </si>
  <si>
    <t xml:space="preserve"> 66.0449 </t>
  </si>
  <si>
    <t xml:space="preserve">F:\images\20210309\plaque 2/@05 Testosterone 3.7 µg_L dopé/D5_01.tif </t>
  </si>
  <si>
    <t xml:space="preserve"> 70.0407 </t>
  </si>
  <si>
    <t xml:space="preserve">F:\images\20210309\plaque 2/@05 Testosterone 3.7 µg_L dopé/D5_02.tif </t>
  </si>
  <si>
    <t xml:space="preserve"> 35451.3973 </t>
  </si>
  <si>
    <t xml:space="preserve"> 68.8621 </t>
  </si>
  <si>
    <t xml:space="preserve">F:\images\20210309\plaque 2/@05 Testosterone 3.7 µg_L dopé/D5_03.tif </t>
  </si>
  <si>
    <t xml:space="preserve"> 67.7479 </t>
  </si>
  <si>
    <t xml:space="preserve">F:\images\20210309\plaque 2/@05 Testosterone 3.7 µg_L dopé/E5_01.tif </t>
  </si>
  <si>
    <t xml:space="preserve"> 56627.0641 </t>
  </si>
  <si>
    <t xml:space="preserve"> 74.8358 </t>
  </si>
  <si>
    <t xml:space="preserve">F:\images\20210309\plaque 2/@05 Testosterone 3.7 µg_L dopé/E5_02.tif </t>
  </si>
  <si>
    <t xml:space="preserve"> 53836.8077 </t>
  </si>
  <si>
    <t xml:space="preserve"> 73.4789 </t>
  </si>
  <si>
    <t xml:space="preserve">F:\images\20210309\plaque 2/@05 Testosterone 3.7 µg_L dopé/E5_03.tif </t>
  </si>
  <si>
    <t xml:space="preserve"> 54680.3736 </t>
  </si>
  <si>
    <t xml:space="preserve"> 73.2211 </t>
  </si>
  <si>
    <t xml:space="preserve">F:\images\20210309\plaque 2/@05 Testosterone 3.7 µg_L dopé/F5_01.tif </t>
  </si>
  <si>
    <t xml:space="preserve"> 64.1429 </t>
  </si>
  <si>
    <t>F:\images\20210309\plaque 2/@05 Testosterone 3.7 µg_L dopé/F5_02- exclu.tif</t>
  </si>
  <si>
    <t xml:space="preserve">F:\images\20210309\plaque 2/@05 Testosterone 3.7 µg_L dopé/F5_03.tif </t>
  </si>
  <si>
    <t xml:space="preserve"> 62.4259 </t>
  </si>
  <si>
    <t xml:space="preserve">F:\images\20210309\plaque 2/@05 Testosterone 3.7 µg_L dopé/G5_01.tif </t>
  </si>
  <si>
    <t xml:space="preserve"> 64.2842 </t>
  </si>
  <si>
    <t>F:\images\20210309\plaque 2/@05 Testosterone 3.7 µg_L dopé/G5_02- exclu.tif</t>
  </si>
  <si>
    <t xml:space="preserve">F:\images\20210309\plaque 2/@05 Testosterone 3.7 µg_L dopé/G5_03.tif </t>
  </si>
  <si>
    <t xml:space="preserve"> 64.0294 </t>
  </si>
  <si>
    <t xml:space="preserve">F:\images\20210309\plaque 2/@05 Testosterone 3.7 µg_L dopé/H5_01.tif </t>
  </si>
  <si>
    <t xml:space="preserve"> 65.4655 </t>
  </si>
  <si>
    <t xml:space="preserve">F:\images\20210309\plaque 2/@05 Testosterone 3.7 µg_L dopé/H5_02.tif </t>
  </si>
  <si>
    <t xml:space="preserve"> 9300.8547 </t>
  </si>
  <si>
    <t xml:space="preserve"> 65.3372 </t>
  </si>
  <si>
    <t xml:space="preserve">F:\images\20210309\plaque 2/@05 Testosterone 3.7 µg_L dopé/H5_03.tif </t>
  </si>
  <si>
    <t xml:space="preserve"> 65.1381 </t>
  </si>
  <si>
    <t xml:space="preserve">F:\images\20210309\plaque 2/@05 Testosterone 3.7 µg_L dopé/ </t>
  </si>
  <si>
    <t xml:space="preserve"> 67.5562 </t>
  </si>
  <si>
    <t xml:space="preserve"> 3.6843 </t>
  </si>
  <si>
    <t xml:space="preserve"> 1644536.25 </t>
  </si>
  <si>
    <t xml:space="preserve"> 1374920.54 </t>
  </si>
  <si>
    <t xml:space="preserve">F:\images\20210309\plaque 2/@06  Testosterone 11 µg_Ldopé/A6_01.tif </t>
  </si>
  <si>
    <t xml:space="preserve"> 65.8837 </t>
  </si>
  <si>
    <t xml:space="preserve">F:\images\20210309\plaque 2/@06  Testosterone 11 µg_Ldopé/A6_02.tif </t>
  </si>
  <si>
    <t xml:space="preserve"> 64.1609 </t>
  </si>
  <si>
    <t xml:space="preserve">F:\images\20210309\plaque 2/@06  Testosterone 11 µg_Ldopé/A6_03.tif </t>
  </si>
  <si>
    <t xml:space="preserve"> 64.7143 </t>
  </si>
  <si>
    <t xml:space="preserve">F:\images\20210309\plaque 2/@06  Testosterone 11 µg_Ldopé/B6_01.tif </t>
  </si>
  <si>
    <t xml:space="preserve"> 7116.2353 </t>
  </si>
  <si>
    <t xml:space="preserve"> 67.2979 </t>
  </si>
  <si>
    <t xml:space="preserve">F:\images\20210309\plaque 2/@06  Testosterone 11 µg_Ldopé/B6_02.tif </t>
  </si>
  <si>
    <t xml:space="preserve"> 7137.8652 </t>
  </si>
  <si>
    <t xml:space="preserve"> 66.6818 </t>
  </si>
  <si>
    <t xml:space="preserve">F:\images\20210309\plaque 2/@06  Testosterone 11 µg_Ldopé/B6_03.tif </t>
  </si>
  <si>
    <t xml:space="preserve"> 9819.9722 </t>
  </si>
  <si>
    <t xml:space="preserve"> 67.2533 </t>
  </si>
  <si>
    <t xml:space="preserve">F:\images\20210309\plaque 2/@06  Testosterone 11 µg_Ldopé/C6_01.tif </t>
  </si>
  <si>
    <t xml:space="preserve"> 2984.9255 </t>
  </si>
  <si>
    <t xml:space="preserve"> 66.5507 </t>
  </si>
  <si>
    <t xml:space="preserve">F:\images\20210309\plaque 2/@06  Testosterone 11 µg_Ldopé/C6_02.tif </t>
  </si>
  <si>
    <t xml:space="preserve"> 64.6282 </t>
  </si>
  <si>
    <t xml:space="preserve">F:\images\20210309\plaque 2/@06  Testosterone 11 µg_Ldopé/C6_03.tif </t>
  </si>
  <si>
    <t xml:space="preserve"> 63.3571 </t>
  </si>
  <si>
    <t xml:space="preserve">F:\images\20210309\plaque 2/@06  Testosterone 11 µg_Ldopé/D6_01.tif </t>
  </si>
  <si>
    <t xml:space="preserve"> 64.7543 </t>
  </si>
  <si>
    <t xml:space="preserve">F:\images\20210309\plaque 2/@06  Testosterone 11 µg_Ldopé/D6_02.tif </t>
  </si>
  <si>
    <t xml:space="preserve"> 64.9597 </t>
  </si>
  <si>
    <t xml:space="preserve">F:\images\20210309\plaque 2/@06  Testosterone 11 µg_Ldopé/D6_03.tif </t>
  </si>
  <si>
    <t xml:space="preserve"> 3655.4522 </t>
  </si>
  <si>
    <t xml:space="preserve"> 65.1775 </t>
  </si>
  <si>
    <t xml:space="preserve">F:\images\20210309\plaque 2/@06  Testosterone 11 µg_Ldopé/E6_01.tif </t>
  </si>
  <si>
    <t xml:space="preserve"> 41810.5863 </t>
  </si>
  <si>
    <t xml:space="preserve"> 70.6834 </t>
  </si>
  <si>
    <t xml:space="preserve">F:\images\20210309\plaque 2/@06  Testosterone 11 µg_Ldopé/E6_02.tif </t>
  </si>
  <si>
    <t xml:space="preserve"> 48061.6259 </t>
  </si>
  <si>
    <t xml:space="preserve"> 72.5684 </t>
  </si>
  <si>
    <t xml:space="preserve">F:\images\20210309\plaque 2/@06  Testosterone 11 µg_Ldopé/E6_03.tif </t>
  </si>
  <si>
    <t xml:space="preserve"> 43216.5295 </t>
  </si>
  <si>
    <t xml:space="preserve"> 71.0846 </t>
  </si>
  <si>
    <t xml:space="preserve">F:\images\20210309\plaque 2/@06  Testosterone 11 µg_Ldopé/F6_01.tif </t>
  </si>
  <si>
    <t xml:space="preserve"> 26410.1013 </t>
  </si>
  <si>
    <t xml:space="preserve"> 67.5061 </t>
  </si>
  <si>
    <t xml:space="preserve">F:\images\20210309\plaque 2/@06  Testosterone 11 µg_Ldopé/F6_02.tif </t>
  </si>
  <si>
    <t xml:space="preserve"> 68.3517 </t>
  </si>
  <si>
    <t xml:space="preserve">F:\images\20210309\plaque 2/@06  Testosterone 11 µg_Ldopé/F6_03.tif </t>
  </si>
  <si>
    <t xml:space="preserve"> 26518.2508 </t>
  </si>
  <si>
    <t xml:space="preserve"> 67.3385 </t>
  </si>
  <si>
    <t xml:space="preserve">F:\images\20210309\plaque 2/@06  Testosterone 11 µg_Ldopé/G6_01.tif </t>
  </si>
  <si>
    <t xml:space="preserve"> 67.5027 </t>
  </si>
  <si>
    <t xml:space="preserve">F:\images\20210309\plaque 2/@06  Testosterone 11 µg_Ldopé/G6_02.tif </t>
  </si>
  <si>
    <t xml:space="preserve"> 2292.7688 </t>
  </si>
  <si>
    <t xml:space="preserve"> 65.6887 </t>
  </si>
  <si>
    <t xml:space="preserve">F:\images\20210309\plaque 2/@06  Testosterone 11 µg_Ldopé/G6_03.tif </t>
  </si>
  <si>
    <t xml:space="preserve"> 66.1138 </t>
  </si>
  <si>
    <t xml:space="preserve">F:\images\20210309\plaque 2/@06  Testosterone 11 µg_Ldopé/H6_01.tif </t>
  </si>
  <si>
    <t xml:space="preserve"> 64.9464 </t>
  </si>
  <si>
    <t xml:space="preserve">F:\images\20210309\plaque 2/@06  Testosterone 11 µg_Ldopé/H6_02.tif </t>
  </si>
  <si>
    <t xml:space="preserve"> 5472.3633 </t>
  </si>
  <si>
    <t xml:space="preserve"> 63.9723 </t>
  </si>
  <si>
    <t xml:space="preserve">F:\images\20210309\plaque 2/@06  Testosterone 11 µg_Ldopé/H6_03.tif </t>
  </si>
  <si>
    <t xml:space="preserve"> 8197.7301 </t>
  </si>
  <si>
    <t xml:space="preserve"> 64.7889 </t>
  </si>
  <si>
    <t xml:space="preserve">F:\images\20210309\plaque 2/@06  Testosterone 11 µg_Ldopé/ </t>
  </si>
  <si>
    <t xml:space="preserve"> 66.4985 </t>
  </si>
  <si>
    <t xml:space="preserve"> 2.33 </t>
  </si>
  <si>
    <t xml:space="preserve"> 832862.625 </t>
  </si>
  <si>
    <t xml:space="preserve"> 1062490.45 </t>
  </si>
  <si>
    <t xml:space="preserve">F:\images\20210309\plaque 2/@07  Testosterone 33 µg_Ldopé/A7_01.tif </t>
  </si>
  <si>
    <t xml:space="preserve"> 72.3783 </t>
  </si>
  <si>
    <t xml:space="preserve">F:\images\20210309\plaque 2/@07  Testosterone 33 µg_Ldopé/A7_02.tif </t>
  </si>
  <si>
    <t xml:space="preserve"> 70.7887 </t>
  </si>
  <si>
    <t xml:space="preserve">F:\images\20210309\plaque 2/@07  Testosterone 33 µg_Ldopé/A7_03.tif </t>
  </si>
  <si>
    <t xml:space="preserve"> 38847.2908 </t>
  </si>
  <si>
    <t xml:space="preserve"> 71.0635 </t>
  </si>
  <si>
    <t xml:space="preserve">F:\images\20210309\plaque 2/@07  Testosterone 33 µg_Ldopé/B7_01.tif </t>
  </si>
  <si>
    <t xml:space="preserve"> 29416.6567 </t>
  </si>
  <si>
    <t xml:space="preserve"> 68.6691 </t>
  </si>
  <si>
    <t xml:space="preserve">F:\images\20210309\plaque 2/@07  Testosterone 33 µg_Ldopé/B7_02.tif </t>
  </si>
  <si>
    <t xml:space="preserve"> 34305.0129 </t>
  </si>
  <si>
    <t xml:space="preserve"> 69.6009 </t>
  </si>
  <si>
    <t xml:space="preserve">F:\images\20210309\plaque 2/@07  Testosterone 33 µg_Ldopé/B7_03.tif </t>
  </si>
  <si>
    <t xml:space="preserve"> 32617.8811 </t>
  </si>
  <si>
    <t xml:space="preserve"> 67.5199 </t>
  </si>
  <si>
    <t xml:space="preserve">F:\images\20210309\plaque 2/@07  Testosterone 33 µg_Ldopé/C7_01.tif </t>
  </si>
  <si>
    <t xml:space="preserve"> 20829.5885 </t>
  </si>
  <si>
    <t xml:space="preserve"> 67.3126 </t>
  </si>
  <si>
    <t>F:\images\20210309\plaque 2/@07  Testosterone 33 µg_Ldopé/C7_02- exclu.tif</t>
  </si>
  <si>
    <t xml:space="preserve">F:\images\20210309\plaque 2/@07  Testosterone 33 µg_Ldopé/C7_03.tif </t>
  </si>
  <si>
    <t xml:space="preserve"> 68.6341 </t>
  </si>
  <si>
    <t xml:space="preserve">F:\images\20210309\plaque 2/@07  Testosterone 33 µg_Ldopé/D7_01.tif </t>
  </si>
  <si>
    <t xml:space="preserve"> 22776.279 </t>
  </si>
  <si>
    <t xml:space="preserve"> 69.094 </t>
  </si>
  <si>
    <t xml:space="preserve">F:\images\20210309\plaque 2/@07  Testosterone 33 µg_Ldopé/D7_02.tif </t>
  </si>
  <si>
    <t xml:space="preserve"> 69.6761 </t>
  </si>
  <si>
    <t xml:space="preserve">F:\images\20210309\plaque 2/@07  Testosterone 33 µg_Ldopé/D7_03.tif </t>
  </si>
  <si>
    <t xml:space="preserve"> 70.7581 </t>
  </si>
  <si>
    <t xml:space="preserve">F:\images\20210309\plaque 2/@07  Testosterone 33 µg_Ldopé/E7_01.tif </t>
  </si>
  <si>
    <t xml:space="preserve"> 77.7763 </t>
  </si>
  <si>
    <t xml:space="preserve">F:\images\20210309\plaque 2/@07  Testosterone 33 µg_Ldopé/E7_02.tif </t>
  </si>
  <si>
    <t xml:space="preserve"> 75.9547 </t>
  </si>
  <si>
    <t xml:space="preserve">F:\images\20210309\plaque 2/@07  Testosterone 33 µg_Ldopé/E7_03.tif </t>
  </si>
  <si>
    <t xml:space="preserve"> 48818.6722 </t>
  </si>
  <si>
    <t xml:space="preserve"> 76.4914 </t>
  </si>
  <si>
    <t xml:space="preserve">F:\images\20210309\plaque 2/@07  Testosterone 33 µg_Ldopé/F7_01.tif </t>
  </si>
  <si>
    <t xml:space="preserve"> 72.7603 </t>
  </si>
  <si>
    <t xml:space="preserve">F:\images\20210309\plaque 2/@07  Testosterone 33 µg_Ldopé/F7_02.tif </t>
  </si>
  <si>
    <t xml:space="preserve"> 36316.5931 </t>
  </si>
  <si>
    <t xml:space="preserve"> 71.0191 </t>
  </si>
  <si>
    <t xml:space="preserve">F:\images\20210309\plaque 2/@07  Testosterone 33 µg_Ldopé/F7_03.tif </t>
  </si>
  <si>
    <t xml:space="preserve"> 72.0698 </t>
  </si>
  <si>
    <t xml:space="preserve">F:\images\20210309\plaque 2/@07  Testosterone 33 µg_Ldopé/G7_01.tif </t>
  </si>
  <si>
    <t xml:space="preserve"> 67.8304 </t>
  </si>
  <si>
    <t xml:space="preserve">F:\images\20210309\plaque 2/@07  Testosterone 33 µg_Ldopé/G7_02.tif </t>
  </si>
  <si>
    <t xml:space="preserve"> 26388.4714 </t>
  </si>
  <si>
    <t xml:space="preserve"> 67.5115 </t>
  </si>
  <si>
    <t xml:space="preserve">F:\images\20210309\plaque 2/@07  Testosterone 33 µg_Ldopé/G7_03.tif </t>
  </si>
  <si>
    <t xml:space="preserve"> 20851.2184 </t>
  </si>
  <si>
    <t xml:space="preserve"> 68.3465 </t>
  </si>
  <si>
    <t xml:space="preserve">F:\images\20210309\plaque 2/@07  Testosterone 33 µg_Ldopé/H7_01.tif </t>
  </si>
  <si>
    <t xml:space="preserve"> 67.7938 </t>
  </si>
  <si>
    <t xml:space="preserve">F:\images\20210309\plaque 2/@07  Testosterone 33 µg_Ldopé/H7_02.tif </t>
  </si>
  <si>
    <t xml:space="preserve"> 67.6205 </t>
  </si>
  <si>
    <t xml:space="preserve">F:\images\20210309\plaque 2/@07  Testosterone 33 µg_Ldopé/H7_03.tif </t>
  </si>
  <si>
    <t xml:space="preserve"> 68.4559 </t>
  </si>
  <si>
    <t xml:space="preserve">F:\images\20210309\plaque 2/@07  Testosterone 33 µg_Ldopé/ </t>
  </si>
  <si>
    <t xml:space="preserve"> 70.259 </t>
  </si>
  <si>
    <t xml:space="preserve"> 3.0252 </t>
  </si>
  <si>
    <t xml:space="preserve"> 2037863.29 </t>
  </si>
  <si>
    <t xml:space="preserve"> 827493.597 </t>
  </si>
  <si>
    <t xml:space="preserve">F:\images\20210309\plaque 2/@08  Testosterone 100 µg_Ldopé/A8_01.tif </t>
  </si>
  <si>
    <t xml:space="preserve"> 59525.47 </t>
  </si>
  <si>
    <t xml:space="preserve"> 80.5487 </t>
  </si>
  <si>
    <t xml:space="preserve">F:\images\20210309\plaque 2/@08  Testosterone 100 µg_Ldopé/A8_02.tif </t>
  </si>
  <si>
    <t xml:space="preserve"> 58076.2671 </t>
  </si>
  <si>
    <t xml:space="preserve"> 79.5847 </t>
  </si>
  <si>
    <t xml:space="preserve">F:\images\20210309\plaque 2/@08  Testosterone 100 µg_Ldopé/A8_03.tif </t>
  </si>
  <si>
    <t xml:space="preserve"> 59590.3597 </t>
  </si>
  <si>
    <t xml:space="preserve"> 80.9474 </t>
  </si>
  <si>
    <t xml:space="preserve">F:\images\20210309\plaque 2/@08  Testosterone 100 µg_Ldopé/B8_01.tif </t>
  </si>
  <si>
    <t xml:space="preserve"> 5342.584 </t>
  </si>
  <si>
    <t xml:space="preserve"> 64.9676 </t>
  </si>
  <si>
    <t xml:space="preserve">F:\images\20210309\plaque 2/@08  Testosterone 100 µg_Ldopé/B8_02.tif </t>
  </si>
  <si>
    <t xml:space="preserve"> 4477.3882 </t>
  </si>
  <si>
    <t xml:space="preserve"> 63.8889 </t>
  </si>
  <si>
    <t xml:space="preserve">F:\images\20210309\plaque 2/@08  Testosterone 100 µg_Ldopé/B8_03.tif </t>
  </si>
  <si>
    <t xml:space="preserve"> 63.7333 </t>
  </si>
  <si>
    <t xml:space="preserve">F:\images\20210309\plaque 2/@08  Testosterone 100 µg_Ldopé/C8_01.tif </t>
  </si>
  <si>
    <t xml:space="preserve"> 68.6132 </t>
  </si>
  <si>
    <t xml:space="preserve">F:\images\20210309\plaque 2/@08  Testosterone 100 µg_Ldopé/C8_02.tif </t>
  </si>
  <si>
    <t xml:space="preserve"> 63.9494 </t>
  </si>
  <si>
    <t xml:space="preserve">F:\images\20210309\plaque 2/@08  Testosterone 100 µg_Ldopé/C8_03.tif </t>
  </si>
  <si>
    <t xml:space="preserve"> 66.405 </t>
  </si>
  <si>
    <t xml:space="preserve">F:\images\20210309\plaque 2/@08  Testosterone 100 µg_Ldopé/D8_01.tif </t>
  </si>
  <si>
    <t xml:space="preserve"> 70.0567 </t>
  </si>
  <si>
    <t xml:space="preserve">F:\images\20210309\plaque 2/@08  Testosterone 100 µg_Ldopé/D8_02.tif </t>
  </si>
  <si>
    <t xml:space="preserve"> 36554.5219 </t>
  </si>
  <si>
    <t xml:space="preserve"> 69.4893 </t>
  </si>
  <si>
    <t xml:space="preserve">F:\images\20210309\plaque 2/@08  Testosterone 100 µg_Ldopé/D8_03.tif </t>
  </si>
  <si>
    <t xml:space="preserve"> 38284.9135 </t>
  </si>
  <si>
    <t xml:space="preserve"> 70.1153 </t>
  </si>
  <si>
    <t xml:space="preserve">F:\images\20210309\plaque 2/@08  Testosterone 100 µg_Ldopé/E8_01.tif </t>
  </si>
  <si>
    <t xml:space="preserve"> 31449.8668 </t>
  </si>
  <si>
    <t xml:space="preserve"> 70.7717 </t>
  </si>
  <si>
    <t xml:space="preserve">F:\images\20210309\plaque 2/@08  Testosterone 100 µg_Ldopé/E8_02.tif </t>
  </si>
  <si>
    <t xml:space="preserve"> 71.0241 </t>
  </si>
  <si>
    <t xml:space="preserve">F:\images\20210309\plaque 2/@08  Testosterone 100 µg_Ldopé/E8_03.tif </t>
  </si>
  <si>
    <t xml:space="preserve"> 70.206 </t>
  </si>
  <si>
    <t xml:space="preserve">F:\images\20210309\plaque 2/@08  Testosterone 100 µg_Ldopé/F8_01.tif </t>
  </si>
  <si>
    <t xml:space="preserve"> 15140.9262 </t>
  </si>
  <si>
    <t xml:space="preserve"> 70.6929 </t>
  </si>
  <si>
    <t>F:\images\20210309\plaque 2/@08  Testosterone 100 µg_Ldopé/F8_02- exclu.tif</t>
  </si>
  <si>
    <t xml:space="preserve">F:\images\20210309\plaque 2/@08  Testosterone 100 µg_Ldopé/F8_03.tif </t>
  </si>
  <si>
    <t xml:space="preserve"> 19661.5742 </t>
  </si>
  <si>
    <t xml:space="preserve"> 69.7272 </t>
  </si>
  <si>
    <t xml:space="preserve">F:\images\20210309\plaque 2/@08  Testosterone 100 µg_Ldopé/G8_01.tif </t>
  </si>
  <si>
    <t xml:space="preserve"> 73.5965 </t>
  </si>
  <si>
    <t xml:space="preserve">F:\images\20210309\plaque 2/@08  Testosterone 100 µg_Ldopé/G8_02.tif </t>
  </si>
  <si>
    <t xml:space="preserve"> 54442.4448 </t>
  </si>
  <si>
    <t xml:space="preserve"> 72.1625 </t>
  </si>
  <si>
    <t xml:space="preserve">F:\images\20210309\plaque 2/@08  Testosterone 100 µg_Ldopé/G8_03.tif </t>
  </si>
  <si>
    <t xml:space="preserve"> 57492.2599 </t>
  </si>
  <si>
    <t xml:space="preserve"> 71.623 </t>
  </si>
  <si>
    <t xml:space="preserve">F:\images\20210309\plaque 2/@08  Testosterone 100 µg_Ldopé/H8_01.tif </t>
  </si>
  <si>
    <t xml:space="preserve"> 65.5135 </t>
  </si>
  <si>
    <t>F:\images\20210309\plaque 2/@08  Testosterone 100 µg_Ldopé/H8_02- exclu.tif</t>
  </si>
  <si>
    <t xml:space="preserve">F:\images\20210309\plaque 2/@08  Testosterone 100 µg_Ldopé/H8_03.tif </t>
  </si>
  <si>
    <t xml:space="preserve"> 7072.9755 </t>
  </si>
  <si>
    <t xml:space="preserve"> 68.9297 </t>
  </si>
  <si>
    <t xml:space="preserve">F:\images\20210309\plaque 2/@08  Testosterone 100 µg_Ldopé/ </t>
  </si>
  <si>
    <t xml:space="preserve"> 69.7361 </t>
  </si>
  <si>
    <t xml:space="preserve"> 5.1152 </t>
  </si>
  <si>
    <t xml:space="preserve"> 1950606.38 </t>
  </si>
  <si>
    <t xml:space="preserve"> 1752254.4 </t>
  </si>
  <si>
    <t xml:space="preserve">F:\images\20210309\plaque 2/@09  Testosterone 300 µg_L dopé/A9_01.tif </t>
  </si>
  <si>
    <t xml:space="preserve"> 52885.0924 </t>
  </si>
  <si>
    <t xml:space="preserve"> 76.6421 </t>
  </si>
  <si>
    <t xml:space="preserve">F:\images\20210309\plaque 2/@09  Testosterone 300 µg_L dopé/A9_02.tif </t>
  </si>
  <si>
    <t xml:space="preserve"> 48710.5227 </t>
  </si>
  <si>
    <t xml:space="preserve"> 74.5662 </t>
  </si>
  <si>
    <t xml:space="preserve">F:\images\20210309\plaque 2/@09  Testosterone 300 µg_L dopé/A9_03.tif </t>
  </si>
  <si>
    <t xml:space="preserve"> 48342.8145 </t>
  </si>
  <si>
    <t xml:space="preserve"> 75.7163 </t>
  </si>
  <si>
    <t xml:space="preserve">F:\images\20210309\plaque 2/@09  Testosterone 300 µg_L dopé/B9_01.tif </t>
  </si>
  <si>
    <t xml:space="preserve"> 54053.1067 </t>
  </si>
  <si>
    <t xml:space="preserve"> 75.9376 </t>
  </si>
  <si>
    <t xml:space="preserve">F:\images\20210309\plaque 2/@09  Testosterone 300 µg_L dopé/B9_02.tif </t>
  </si>
  <si>
    <t xml:space="preserve"> 51435.8894 </t>
  </si>
  <si>
    <t xml:space="preserve"> 74.9975 </t>
  </si>
  <si>
    <t xml:space="preserve">F:\images\20210309\plaque 2/@09  Testosterone 300 µg_L dopé/B9_03.tif </t>
  </si>
  <si>
    <t xml:space="preserve"> 53014.8717 </t>
  </si>
  <si>
    <t xml:space="preserve"> 75.3158 </t>
  </si>
  <si>
    <t>F:\images\20210309\plaque 2/@09  Testosterone 300 µg_L dopé/C9_01- exclu.tif</t>
  </si>
  <si>
    <t xml:space="preserve">F:\images\20210309\plaque 2/@09  Testosterone 300 µg_L dopé/C9_02.tif </t>
  </si>
  <si>
    <t xml:space="preserve"> 11507.1039 </t>
  </si>
  <si>
    <t xml:space="preserve"> 68.3139 </t>
  </si>
  <si>
    <t xml:space="preserve">F:\images\20210309\plaque 2/@09  Testosterone 300 µg_L dopé/C9_03.tif </t>
  </si>
  <si>
    <t xml:space="preserve"> 11420.5844 </t>
  </si>
  <si>
    <t xml:space="preserve"> 66.0227 </t>
  </si>
  <si>
    <t xml:space="preserve">F:\images\20210309\plaque 2/@09  Testosterone 300 µg_L dopé/D9_01.tif </t>
  </si>
  <si>
    <t xml:space="preserve"> 62.8478 </t>
  </si>
  <si>
    <t xml:space="preserve">F:\images\20210309\plaque 2/@09  Testosterone 300 µg_L dopé/D9_02.tif </t>
  </si>
  <si>
    <t xml:space="preserve"> 1730.3916 </t>
  </si>
  <si>
    <t xml:space="preserve"> 65.1875 </t>
  </si>
  <si>
    <t>F:\images\20210309\plaque 2/@09  Testosterone 300 µg_L dopé/D9_03- exclu.tif</t>
  </si>
  <si>
    <t xml:space="preserve">F:\images\20210309\plaque 2/@09  Testosterone 300 µg_L dopé/E9_01.tif </t>
  </si>
  <si>
    <t xml:space="preserve"> 72.6537 </t>
  </si>
  <si>
    <t xml:space="preserve">F:\images\20210309\plaque 2/@09  Testosterone 300 µg_L dopé/E9_02.tif </t>
  </si>
  <si>
    <t xml:space="preserve"> 71.6928 </t>
  </si>
  <si>
    <t xml:space="preserve">F:\images\20210309\plaque 2/@09  Testosterone 300 µg_L dopé/E9_03.tif </t>
  </si>
  <si>
    <t xml:space="preserve"> 29438.2866 </t>
  </si>
  <si>
    <t xml:space="preserve"> 72.845 </t>
  </si>
  <si>
    <t xml:space="preserve">F:\images\20210309\plaque 2/@09  Testosterone 300 µg_L dopé/F9_01.tif </t>
  </si>
  <si>
    <t xml:space="preserve"> 33223.5181 </t>
  </si>
  <si>
    <t xml:space="preserve"> 70.1771 </t>
  </si>
  <si>
    <t xml:space="preserve">F:\images\20210309\plaque 2/@09  Testosterone 300 µg_L dopé/F9_02.tif </t>
  </si>
  <si>
    <t xml:space="preserve"> 28248.6424 </t>
  </si>
  <si>
    <t xml:space="preserve"> 69.9012 </t>
  </si>
  <si>
    <t xml:space="preserve">F:\images\20210309\plaque 2/@09  Testosterone 300 µg_L dopé/F9_03.tif </t>
  </si>
  <si>
    <t xml:space="preserve"> 71.267 </t>
  </si>
  <si>
    <t xml:space="preserve">F:\images\20210309\plaque 2/@09  Testosterone 300 µg_L dopé/G9_01.tif </t>
  </si>
  <si>
    <t xml:space="preserve"> 55718.6086 </t>
  </si>
  <si>
    <t xml:space="preserve"> 77.3389 </t>
  </si>
  <si>
    <t xml:space="preserve">F:\images\20210309\plaque 2/@09  Testosterone 300 µg_L dopé/G9_02.tif </t>
  </si>
  <si>
    <t xml:space="preserve"> 50678.8431 </t>
  </si>
  <si>
    <t xml:space="preserve"> 78.7746 </t>
  </si>
  <si>
    <t xml:space="preserve">F:\images\20210309\plaque 2/@09  Testosterone 300 µg_L dopé/G9_03.tif </t>
  </si>
  <si>
    <t xml:space="preserve"> 56107.9467 </t>
  </si>
  <si>
    <t xml:space="preserve"> 76.3088 </t>
  </si>
  <si>
    <t xml:space="preserve">F:\images\20210309\plaque 2/@09  Testosterone 300 µg_L dopé/H9_01.tif </t>
  </si>
  <si>
    <t xml:space="preserve"> 63.5909 </t>
  </si>
  <si>
    <t xml:space="preserve">F:\images\20210309\plaque 2/@09  Testosterone 300 µg_L dopé/H9_02.tif </t>
  </si>
  <si>
    <t xml:space="preserve"> 2595.5874 </t>
  </si>
  <si>
    <t xml:space="preserve"> 63.5917 </t>
  </si>
  <si>
    <t xml:space="preserve">F:\images\20210309\plaque 2/@09  Testosterone 300 µg_L dopé/H9_03.tif </t>
  </si>
  <si>
    <t xml:space="preserve"> 63.075 </t>
  </si>
  <si>
    <t xml:space="preserve">F:\images\20210309\plaque 2/@09  Testosterone 300 µg_L dopé/ </t>
  </si>
  <si>
    <t xml:space="preserve"> 70.7991 </t>
  </si>
  <si>
    <t xml:space="preserve"> 5.1719 </t>
  </si>
  <si>
    <t xml:space="preserve"> 2174399.29 </t>
  </si>
  <si>
    <t xml:space="preserve"> 1627947.38 </t>
  </si>
  <si>
    <t>Anova</t>
  </si>
  <si>
    <t>Testosterone 33µg/L</t>
  </si>
  <si>
    <t>Testosterone 3,7µg/L</t>
  </si>
  <si>
    <t>Testosterone 11µg/L</t>
  </si>
  <si>
    <t>Testosterone 100µg/L</t>
  </si>
  <si>
    <t>Testosterone 300µg/L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</si>
</sst>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9" x14ac:knownFonts="1">
    <font>
      <sz val="11"/>
      <color theme="1"/>
      <name val="Calibri"/>
      <family val="2"/>
      <scheme val="minor"/>
    </font>
    <font>
      <b/>
      <sz val="11"/>
      <color theme="1"/>
      <name val="Calibri"/>
      <family val="2"/>
      <scheme val="minor"/>
    </font>
    <font>
      <sz val="13"/>
      <name val="Arial"/>
      <family val="2"/>
    </font>
    <font>
      <sz val="16"/>
      <color theme="1"/>
      <name val="Calibri"/>
      <family val="2"/>
      <scheme val="minor"/>
    </font>
    <font>
      <sz val="10"/>
      <name val="Arial"/>
      <family val="2"/>
    </font>
    <font>
      <b/>
      <sz val="16"/>
      <color theme="1"/>
      <name val="Calibri"/>
      <family val="2"/>
      <scheme val="minor"/>
    </font>
    <font>
      <sz val="11"/>
      <name val="Calibri"/>
      <family val="2"/>
      <scheme val="minor"/>
    </font>
    <font>
      <b/>
      <sz val="20"/>
      <color theme="1"/>
      <name val="Calibri"/>
      <family val="2"/>
      <scheme val="minor"/>
    </font>
    <font>
      <sz val="12"/>
      <color theme="1"/>
      <name val="Calibri"/>
      <family val="2"/>
      <scheme val="minor"/>
    </font>
    <font>
      <b/>
      <sz val="20"/>
      <color rgb="FFFF0000"/>
      <name val="Calibri"/>
      <family val="2"/>
      <scheme val="minor"/>
    </font>
    <font>
      <b/>
      <sz val="9"/>
      <color indexed="81"/>
      <name val="Tahoma"/>
      <family val="2"/>
    </font>
    <font>
      <sz val="11"/>
      <color theme="1"/>
      <name val="Calibri"/>
      <family val="2"/>
      <scheme val="minor"/>
    </font>
    <font>
      <b/>
      <sz val="12"/>
      <color theme="1"/>
      <name val="Calibri"/>
      <family val="2"/>
      <scheme val="minor"/>
    </font>
    <font>
      <sz val="12"/>
      <name val="Calibri"/>
      <family val="2"/>
      <scheme val="minor"/>
    </font>
    <font>
      <sz val="12"/>
      <name val="Arial"/>
      <family val="2"/>
    </font>
    <font>
      <b/>
      <sz val="12"/>
      <name val="Calibri"/>
      <family val="2"/>
      <scheme val="minor"/>
    </font>
    <font>
      <b/>
      <sz val="11"/>
      <name val="Calibri"/>
      <family val="2"/>
      <scheme val="minor"/>
    </font>
    <font>
      <sz val="11"/>
      <color rgb="FFFF0000"/>
      <name val="Calibri"/>
      <family val="2"/>
      <scheme val="minor"/>
    </font>
    <font>
      <b/>
      <sz val="11"/>
      <color rgb="FFFF0000"/>
      <name val="Calibri"/>
      <family val="2"/>
      <scheme val="minor"/>
    </font>
  </fonts>
  <fills count="21">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00B05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theme="1"/>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rgb="FFFFC000"/>
        <bgColor indexed="64"/>
      </patternFill>
    </fill>
    <fill>
      <patternFill patternType="solid">
        <fgColor theme="0" tint="-0.14999847407452621"/>
        <bgColor theme="0" tint="-0.14999847407452621"/>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bottom/>
      <diagonal/>
    </border>
    <border>
      <left/>
      <right style="thin">
        <color auto="1"/>
      </right>
      <top/>
      <bottom style="thin">
        <color auto="1"/>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style="thin">
        <color indexed="64"/>
      </left>
      <right style="thin">
        <color indexed="64"/>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style="thin">
        <color theme="1"/>
      </right>
      <top style="thin">
        <color theme="1"/>
      </top>
      <bottom style="thin">
        <color theme="1"/>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theme="1"/>
      </left>
      <right style="thin">
        <color theme="1"/>
      </right>
      <top/>
      <bottom/>
      <diagonal/>
    </border>
    <border>
      <left/>
      <right style="thin">
        <color theme="1"/>
      </right>
      <top style="thin">
        <color theme="1"/>
      </top>
      <bottom style="medium">
        <color theme="1"/>
      </bottom>
      <diagonal/>
    </border>
    <border>
      <left/>
      <right style="thin">
        <color theme="1"/>
      </right>
      <top style="thin">
        <color theme="1"/>
      </top>
      <bottom style="thin">
        <color theme="1"/>
      </bottom>
      <diagonal/>
    </border>
    <border>
      <left style="thin">
        <color theme="1"/>
      </left>
      <right/>
      <top/>
      <bottom/>
      <diagonal/>
    </border>
    <border>
      <left/>
      <right style="thin">
        <color indexed="64"/>
      </right>
      <top style="medium">
        <color indexed="64"/>
      </top>
      <bottom/>
      <diagonal/>
    </border>
  </borders>
  <cellStyleXfs count="8">
    <xf numFmtId="0" fontId="0" fillId="0" borderId="0"/>
    <xf numFmtId="0" fontId="4" fillId="0" borderId="0"/>
    <xf numFmtId="0" fontId="8" fillId="0" borderId="0"/>
    <xf numFmtId="0" fontId="4" fillId="0" borderId="0"/>
    <xf numFmtId="0" fontId="8" fillId="0" borderId="0"/>
    <xf numFmtId="0" fontId="4" fillId="0" borderId="0"/>
    <xf numFmtId="0" fontId="8" fillId="0" borderId="0"/>
    <xf numFmtId="9" fontId="11" fillId="0" borderId="0" applyFont="0" applyFill="0" applyBorder="0" applyAlignment="0" applyProtection="0"/>
  </cellStyleXfs>
  <cellXfs count="235">
    <xf numFmtId="0" fontId="0" fillId="0" borderId="0" xfId="0"/>
    <xf numFmtId="0" fontId="0" fillId="0" borderId="0" xfId="0"/>
    <xf numFmtId="0" fontId="1" fillId="0" borderId="0" xfId="0" applyFont="1"/>
    <xf numFmtId="0" fontId="0" fillId="0" borderId="0" xfId="0" applyAlignment="1">
      <alignment horizontal="center"/>
    </xf>
    <xf numFmtId="0" fontId="0" fillId="0" borderId="1" xfId="0" applyBorder="1" applyAlignment="1">
      <alignment horizontal="center"/>
    </xf>
    <xf numFmtId="1" fontId="0" fillId="0" borderId="0" xfId="0" applyNumberFormat="1" applyAlignment="1">
      <alignment horizontal="center"/>
    </xf>
    <xf numFmtId="0" fontId="0" fillId="0" borderId="2" xfId="0" applyBorder="1" applyAlignment="1">
      <alignment horizontal="center"/>
    </xf>
    <xf numFmtId="0" fontId="0" fillId="0" borderId="0" xfId="0" applyBorder="1" applyAlignment="1">
      <alignment horizontal="center"/>
    </xf>
    <xf numFmtId="164" fontId="0" fillId="0" borderId="0" xfId="0" applyNumberFormat="1" applyAlignment="1">
      <alignment horizontal="center"/>
    </xf>
    <xf numFmtId="2" fontId="0" fillId="5" borderId="0" xfId="0" applyNumberFormat="1" applyFill="1" applyAlignment="1">
      <alignment horizontal="center"/>
    </xf>
    <xf numFmtId="164" fontId="0" fillId="5" borderId="0" xfId="0" applyNumberFormat="1" applyFill="1" applyAlignment="1">
      <alignment horizontal="center"/>
    </xf>
    <xf numFmtId="164" fontId="0" fillId="0" borderId="1" xfId="0" applyNumberFormat="1" applyBorder="1" applyAlignment="1">
      <alignment horizontal="center"/>
    </xf>
    <xf numFmtId="0" fontId="2" fillId="0" borderId="0" xfId="0" applyFont="1"/>
    <xf numFmtId="0" fontId="0" fillId="0" borderId="1" xfId="0" applyBorder="1"/>
    <xf numFmtId="0" fontId="2" fillId="0" borderId="1" xfId="0" applyFont="1" applyBorder="1"/>
    <xf numFmtId="0" fontId="0" fillId="0" borderId="0" xfId="0" applyFont="1" applyAlignment="1">
      <alignment horizontal="center"/>
    </xf>
    <xf numFmtId="0" fontId="0" fillId="0" borderId="1" xfId="0" applyBorder="1" applyAlignment="1">
      <alignment horizontal="center"/>
    </xf>
    <xf numFmtId="0" fontId="4" fillId="0" borderId="0" xfId="1"/>
    <xf numFmtId="0" fontId="4" fillId="6" borderId="0" xfId="1" applyFill="1"/>
    <xf numFmtId="0" fontId="4" fillId="2" borderId="0" xfId="1" applyFill="1"/>
    <xf numFmtId="0" fontId="4" fillId="7" borderId="0" xfId="1" applyFill="1"/>
    <xf numFmtId="0" fontId="4" fillId="0" borderId="0" xfId="1" applyFill="1" applyBorder="1"/>
    <xf numFmtId="0" fontId="4" fillId="6" borderId="0" xfId="1" applyFill="1" applyBorder="1"/>
    <xf numFmtId="0" fontId="4" fillId="0" borderId="0" xfId="1" applyFont="1"/>
    <xf numFmtId="0" fontId="4" fillId="6" borderId="0" xfId="1" applyNumberFormat="1" applyFill="1" applyBorder="1"/>
    <xf numFmtId="0" fontId="4" fillId="7" borderId="0" xfId="1" applyNumberFormat="1" applyFill="1"/>
    <xf numFmtId="0" fontId="4" fillId="0" borderId="0" xfId="1" applyFill="1"/>
    <xf numFmtId="0" fontId="4" fillId="6" borderId="0" xfId="1" applyNumberFormat="1" applyFill="1"/>
    <xf numFmtId="0" fontId="4" fillId="0" borderId="0" xfId="1" applyFont="1" applyFill="1" applyBorder="1"/>
    <xf numFmtId="0" fontId="4" fillId="6" borderId="0" xfId="1" applyNumberFormat="1" applyFont="1" applyFill="1" applyBorder="1"/>
    <xf numFmtId="14" fontId="4" fillId="0" borderId="0" xfId="1" applyNumberFormat="1" applyFont="1"/>
    <xf numFmtId="14" fontId="4" fillId="0" borderId="0" xfId="1" applyNumberFormat="1"/>
    <xf numFmtId="0" fontId="0" fillId="0" borderId="1" xfId="0" applyBorder="1" applyAlignment="1">
      <alignment horizontal="center"/>
    </xf>
    <xf numFmtId="0" fontId="0" fillId="0" borderId="0" xfId="0" applyBorder="1"/>
    <xf numFmtId="0" fontId="0" fillId="9" borderId="1" xfId="0" applyFill="1" applyBorder="1" applyAlignment="1">
      <alignment horizontal="center"/>
    </xf>
    <xf numFmtId="0" fontId="0" fillId="9" borderId="12" xfId="0" applyFill="1" applyBorder="1" applyAlignment="1">
      <alignment horizontal="center"/>
    </xf>
    <xf numFmtId="0" fontId="0" fillId="11" borderId="12" xfId="0" applyFill="1" applyBorder="1" applyAlignment="1">
      <alignment horizontal="center"/>
    </xf>
    <xf numFmtId="0" fontId="5" fillId="0" borderId="7" xfId="0" applyFont="1" applyBorder="1" applyAlignment="1">
      <alignment vertical="center"/>
    </xf>
    <xf numFmtId="0" fontId="5" fillId="0" borderId="6" xfId="0" applyFont="1" applyBorder="1" applyAlignment="1">
      <alignment vertical="center" wrapText="1"/>
    </xf>
    <xf numFmtId="0" fontId="1" fillId="4" borderId="3" xfId="0" applyFont="1" applyFill="1" applyBorder="1" applyAlignment="1">
      <alignment horizontal="center"/>
    </xf>
    <xf numFmtId="0" fontId="3" fillId="0" borderId="15" xfId="0" applyFont="1" applyBorder="1" applyAlignment="1">
      <alignment vertical="center"/>
    </xf>
    <xf numFmtId="0" fontId="0" fillId="0" borderId="0" xfId="0" applyFont="1"/>
    <xf numFmtId="0" fontId="3" fillId="0" borderId="9" xfId="0" applyNumberFormat="1" applyFont="1" applyBorder="1" applyAlignment="1">
      <alignment vertical="center"/>
    </xf>
    <xf numFmtId="0" fontId="3" fillId="0" borderId="1" xfId="0" applyNumberFormat="1" applyFont="1" applyBorder="1" applyAlignment="1">
      <alignment vertical="center"/>
    </xf>
    <xf numFmtId="0" fontId="0" fillId="0" borderId="0" xfId="0" applyNumberFormat="1"/>
    <xf numFmtId="0" fontId="0" fillId="7" borderId="8" xfId="0" applyFill="1" applyBorder="1" applyAlignment="1">
      <alignment horizontal="center"/>
    </xf>
    <xf numFmtId="0" fontId="0" fillId="7" borderId="9" xfId="0" applyFill="1" applyBorder="1" applyAlignment="1">
      <alignment horizontal="center"/>
    </xf>
    <xf numFmtId="0" fontId="0" fillId="7" borderId="23" xfId="0" applyFill="1" applyBorder="1"/>
    <xf numFmtId="0" fontId="0" fillId="0" borderId="0" xfId="0" applyAlignment="1">
      <alignment vertical="center"/>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0" fontId="1" fillId="0" borderId="0" xfId="0" applyFont="1" applyAlignment="1">
      <alignment horizontal="center"/>
    </xf>
    <xf numFmtId="0" fontId="3" fillId="14" borderId="26" xfId="0" applyFont="1" applyFill="1" applyBorder="1" applyAlignment="1">
      <alignment vertical="center"/>
    </xf>
    <xf numFmtId="164" fontId="0" fillId="3" borderId="1" xfId="0" applyNumberFormat="1" applyFill="1" applyBorder="1" applyAlignment="1">
      <alignment horizontal="center"/>
    </xf>
    <xf numFmtId="164" fontId="0" fillId="4" borderId="1" xfId="0" applyNumberFormat="1" applyFill="1" applyBorder="1" applyAlignment="1">
      <alignment horizontal="center"/>
    </xf>
    <xf numFmtId="0" fontId="5" fillId="0" borderId="6" xfId="0" applyFont="1" applyBorder="1" applyAlignment="1">
      <alignment vertical="center"/>
    </xf>
    <xf numFmtId="0" fontId="5" fillId="0" borderId="6" xfId="0" applyFont="1" applyBorder="1" applyAlignment="1">
      <alignment horizontal="center" vertical="center"/>
    </xf>
    <xf numFmtId="0" fontId="0" fillId="0" borderId="6" xfId="0" applyBorder="1"/>
    <xf numFmtId="49" fontId="0" fillId="0" borderId="0" xfId="0" applyNumberFormat="1" applyFill="1" applyBorder="1" applyAlignment="1">
      <alignment horizontal="center"/>
    </xf>
    <xf numFmtId="164" fontId="0" fillId="0" borderId="0" xfId="0" applyNumberFormat="1" applyFill="1" applyBorder="1" applyAlignment="1">
      <alignment horizontal="center"/>
    </xf>
    <xf numFmtId="0" fontId="0" fillId="0" borderId="0" xfId="0" applyFill="1"/>
    <xf numFmtId="164" fontId="0" fillId="7" borderId="10" xfId="0" applyNumberFormat="1" applyFill="1" applyBorder="1" applyAlignment="1">
      <alignment horizontal="center"/>
    </xf>
    <xf numFmtId="164" fontId="0" fillId="7" borderId="18" xfId="0" applyNumberFormat="1" applyFill="1" applyBorder="1" applyAlignment="1">
      <alignment horizontal="center"/>
    </xf>
    <xf numFmtId="2" fontId="4" fillId="0" borderId="0" xfId="1" applyNumberFormat="1" applyFill="1"/>
    <xf numFmtId="0" fontId="3" fillId="8" borderId="2" xfId="0" applyNumberFormat="1" applyFont="1" applyFill="1" applyBorder="1" applyAlignment="1">
      <alignment horizontal="center" vertical="center" wrapText="1"/>
    </xf>
    <xf numFmtId="0" fontId="3" fillId="0" borderId="3" xfId="0" applyFont="1" applyBorder="1" applyAlignment="1">
      <alignment vertical="center"/>
    </xf>
    <xf numFmtId="0" fontId="1" fillId="0" borderId="0" xfId="0" applyFont="1" applyBorder="1" applyAlignment="1">
      <alignment horizontal="center" vertical="center"/>
    </xf>
    <xf numFmtId="0" fontId="2" fillId="0" borderId="0" xfId="0" applyFont="1" applyBorder="1"/>
    <xf numFmtId="0" fontId="6" fillId="0" borderId="0" xfId="0" applyFont="1" applyAlignment="1">
      <alignment horizontal="center"/>
    </xf>
    <xf numFmtId="0" fontId="6" fillId="0" borderId="0" xfId="0" applyFont="1"/>
    <xf numFmtId="0" fontId="6" fillId="0" borderId="0" xfId="0" applyFont="1" applyBorder="1" applyAlignment="1">
      <alignment horizontal="center"/>
    </xf>
    <xf numFmtId="0" fontId="1" fillId="3" borderId="1" xfId="0" applyFont="1" applyFill="1" applyBorder="1" applyAlignment="1">
      <alignment horizontal="center"/>
    </xf>
    <xf numFmtId="0" fontId="1" fillId="10" borderId="0" xfId="0" applyFont="1" applyFill="1" applyBorder="1" applyAlignment="1">
      <alignment vertical="center"/>
    </xf>
    <xf numFmtId="0" fontId="3" fillId="0" borderId="4" xfId="0" applyFont="1" applyBorder="1" applyAlignment="1">
      <alignment vertical="center"/>
    </xf>
    <xf numFmtId="0" fontId="3" fillId="14" borderId="3" xfId="0" applyFont="1" applyFill="1" applyBorder="1" applyAlignment="1">
      <alignment vertical="center"/>
    </xf>
    <xf numFmtId="2" fontId="3" fillId="8" borderId="2" xfId="0" applyNumberFormat="1" applyFont="1" applyFill="1" applyBorder="1" applyAlignment="1">
      <alignment horizontal="center" vertical="center" wrapText="1"/>
    </xf>
    <xf numFmtId="0" fontId="8" fillId="0" borderId="0" xfId="0" applyFont="1"/>
    <xf numFmtId="0" fontId="8" fillId="0" borderId="0" xfId="0" applyFont="1" applyAlignment="1">
      <alignment horizontal="center"/>
    </xf>
    <xf numFmtId="0" fontId="8" fillId="0" borderId="0" xfId="0" applyFont="1" applyFill="1"/>
    <xf numFmtId="0" fontId="13" fillId="0" borderId="1" xfId="0" applyFont="1" applyFill="1" applyBorder="1"/>
    <xf numFmtId="0" fontId="12" fillId="0" borderId="1" xfId="0" applyFont="1" applyFill="1" applyBorder="1" applyAlignment="1">
      <alignment horizontal="center"/>
    </xf>
    <xf numFmtId="0" fontId="8" fillId="15" borderId="1" xfId="0" applyFont="1" applyFill="1" applyBorder="1"/>
    <xf numFmtId="0" fontId="8" fillId="0" borderId="1" xfId="0" applyFont="1" applyFill="1" applyBorder="1" applyAlignment="1">
      <alignment horizontal="center"/>
    </xf>
    <xf numFmtId="2" fontId="13" fillId="0" borderId="1" xfId="0" applyNumberFormat="1" applyFont="1" applyFill="1" applyBorder="1" applyAlignment="1">
      <alignment horizontal="left"/>
    </xf>
    <xf numFmtId="0" fontId="14" fillId="0" borderId="1" xfId="0" applyFont="1" applyFill="1" applyBorder="1"/>
    <xf numFmtId="2" fontId="8" fillId="0" borderId="1" xfId="0" applyNumberFormat="1" applyFont="1" applyFill="1" applyBorder="1"/>
    <xf numFmtId="0" fontId="8" fillId="0" borderId="1" xfId="0" applyFont="1" applyFill="1" applyBorder="1"/>
    <xf numFmtId="0" fontId="12" fillId="0" borderId="1" xfId="0" applyFont="1" applyFill="1" applyBorder="1" applyAlignment="1">
      <alignment horizontal="center" vertical="center" wrapText="1"/>
    </xf>
    <xf numFmtId="0" fontId="12" fillId="0" borderId="1" xfId="0" applyFont="1" applyFill="1" applyBorder="1" applyAlignment="1">
      <alignment vertical="center" wrapText="1"/>
    </xf>
    <xf numFmtId="0" fontId="8" fillId="0" borderId="1" xfId="0" applyFont="1" applyBorder="1" applyAlignment="1">
      <alignment horizontal="center" vertical="center"/>
    </xf>
    <xf numFmtId="0" fontId="13" fillId="15" borderId="1" xfId="0" applyFont="1" applyFill="1" applyBorder="1"/>
    <xf numFmtId="0" fontId="8" fillId="15" borderId="32" xfId="0" applyFont="1" applyFill="1" applyBorder="1"/>
    <xf numFmtId="0" fontId="8" fillId="9" borderId="32" xfId="0" applyFont="1" applyFill="1" applyBorder="1"/>
    <xf numFmtId="0" fontId="13" fillId="17" borderId="1" xfId="0" applyFont="1" applyFill="1" applyBorder="1"/>
    <xf numFmtId="0" fontId="12" fillId="0" borderId="1" xfId="0" applyFont="1" applyBorder="1" applyAlignment="1">
      <alignment horizontal="center" vertical="center" wrapText="1"/>
    </xf>
    <xf numFmtId="0" fontId="12" fillId="0" borderId="30" xfId="0" applyFont="1" applyBorder="1" applyAlignment="1">
      <alignment horizontal="center" vertical="center" wrapText="1"/>
    </xf>
    <xf numFmtId="0" fontId="12" fillId="0" borderId="31" xfId="0" applyFont="1" applyBorder="1" applyAlignment="1">
      <alignment horizontal="center" vertical="center" wrapText="1"/>
    </xf>
    <xf numFmtId="0" fontId="13" fillId="16" borderId="1" xfId="0" applyFont="1" applyFill="1" applyBorder="1" applyAlignment="1">
      <alignment horizontal="center"/>
    </xf>
    <xf numFmtId="0" fontId="8" fillId="0" borderId="1" xfId="0" applyNumberFormat="1" applyFont="1" applyFill="1" applyBorder="1" applyAlignment="1">
      <alignment horizontal="center"/>
    </xf>
    <xf numFmtId="0" fontId="13" fillId="0" borderId="1" xfId="0" applyNumberFormat="1" applyFont="1" applyFill="1" applyBorder="1" applyAlignment="1">
      <alignment horizontal="center"/>
    </xf>
    <xf numFmtId="2" fontId="3" fillId="8" borderId="21" xfId="0" applyNumberFormat="1" applyFont="1" applyFill="1" applyBorder="1" applyAlignment="1">
      <alignment horizontal="center" vertical="center" wrapText="1"/>
    </xf>
    <xf numFmtId="0" fontId="3" fillId="0" borderId="25" xfId="0" applyFont="1" applyBorder="1" applyAlignment="1">
      <alignment vertical="center"/>
    </xf>
    <xf numFmtId="0" fontId="3" fillId="14" borderId="13" xfId="0" applyFont="1" applyFill="1" applyBorder="1" applyAlignment="1">
      <alignment vertical="center"/>
    </xf>
    <xf numFmtId="0" fontId="3" fillId="14" borderId="15" xfId="0" applyFont="1" applyFill="1" applyBorder="1" applyAlignment="1">
      <alignment vertical="center"/>
    </xf>
    <xf numFmtId="0" fontId="3" fillId="14" borderId="4" xfId="0" applyFont="1" applyFill="1" applyBorder="1" applyAlignment="1">
      <alignment vertical="center"/>
    </xf>
    <xf numFmtId="0" fontId="3" fillId="0" borderId="1" xfId="0" applyNumberFormat="1" applyFont="1" applyBorder="1" applyAlignment="1">
      <alignment horizontal="center" vertical="center"/>
    </xf>
    <xf numFmtId="0" fontId="3" fillId="14" borderId="9" xfId="0" applyNumberFormat="1" applyFont="1" applyFill="1" applyBorder="1" applyAlignment="1">
      <alignment horizontal="center" vertical="center"/>
    </xf>
    <xf numFmtId="0" fontId="3" fillId="14" borderId="1" xfId="0" applyNumberFormat="1" applyFont="1" applyFill="1" applyBorder="1" applyAlignment="1">
      <alignment horizontal="center" vertical="center"/>
    </xf>
    <xf numFmtId="0" fontId="3" fillId="8" borderId="0" xfId="0" applyFont="1" applyFill="1" applyBorder="1" applyAlignment="1">
      <alignment horizontal="center" vertical="center"/>
    </xf>
    <xf numFmtId="0" fontId="3" fillId="0" borderId="0" xfId="0" applyFont="1"/>
    <xf numFmtId="0" fontId="3" fillId="0" borderId="0" xfId="0" applyFont="1" applyFill="1" applyBorder="1" applyAlignment="1">
      <alignment vertical="center"/>
    </xf>
    <xf numFmtId="0" fontId="3" fillId="0" borderId="0" xfId="0" applyFont="1" applyAlignment="1">
      <alignment vertical="center"/>
    </xf>
    <xf numFmtId="0" fontId="3" fillId="14" borderId="23" xfId="0" applyFont="1" applyFill="1" applyBorder="1" applyAlignment="1">
      <alignment vertical="center"/>
    </xf>
    <xf numFmtId="0" fontId="3" fillId="14" borderId="0" xfId="0" applyFont="1" applyFill="1" applyBorder="1" applyAlignment="1">
      <alignment vertical="center"/>
    </xf>
    <xf numFmtId="0" fontId="3" fillId="0" borderId="3" xfId="0" applyNumberFormat="1" applyFont="1" applyBorder="1" applyAlignment="1">
      <alignment horizontal="center" vertical="center"/>
    </xf>
    <xf numFmtId="0" fontId="3" fillId="0" borderId="4" xfId="0" applyNumberFormat="1" applyFont="1" applyBorder="1" applyAlignment="1">
      <alignment horizontal="center" vertical="center"/>
    </xf>
    <xf numFmtId="0" fontId="3" fillId="14" borderId="26" xfId="0" applyNumberFormat="1" applyFont="1" applyFill="1" applyBorder="1" applyAlignment="1">
      <alignment horizontal="center" vertical="center"/>
    </xf>
    <xf numFmtId="0" fontId="3" fillId="14" borderId="3" xfId="0" applyNumberFormat="1" applyFont="1" applyFill="1" applyBorder="1" applyAlignment="1">
      <alignment horizontal="center" vertical="center"/>
    </xf>
    <xf numFmtId="0" fontId="0" fillId="0" borderId="0" xfId="0" pivotButton="1"/>
    <xf numFmtId="2" fontId="8" fillId="16" borderId="1" xfId="0" applyNumberFormat="1" applyFont="1" applyFill="1" applyBorder="1" applyAlignment="1">
      <alignment horizontal="center"/>
    </xf>
    <xf numFmtId="2" fontId="8" fillId="15" borderId="1" xfId="0" applyNumberFormat="1" applyFont="1" applyFill="1" applyBorder="1" applyAlignment="1">
      <alignment horizontal="center"/>
    </xf>
    <xf numFmtId="2" fontId="8" fillId="15" borderId="32" xfId="0" applyNumberFormat="1" applyFont="1" applyFill="1" applyBorder="1" applyAlignment="1">
      <alignment horizontal="center"/>
    </xf>
    <xf numFmtId="2" fontId="8" fillId="15" borderId="32" xfId="7" applyNumberFormat="1" applyFont="1" applyFill="1" applyBorder="1" applyAlignment="1">
      <alignment horizontal="center"/>
    </xf>
    <xf numFmtId="2" fontId="8" fillId="17" borderId="1" xfId="0" applyNumberFormat="1" applyFont="1" applyFill="1" applyBorder="1" applyAlignment="1">
      <alignment horizontal="center"/>
    </xf>
    <xf numFmtId="1" fontId="8" fillId="15" borderId="32" xfId="0" applyNumberFormat="1" applyFont="1" applyFill="1" applyBorder="1" applyAlignment="1">
      <alignment horizontal="center"/>
    </xf>
    <xf numFmtId="1" fontId="8" fillId="9" borderId="32" xfId="0" applyNumberFormat="1" applyFont="1" applyFill="1" applyBorder="1" applyAlignment="1">
      <alignment horizontal="center"/>
    </xf>
    <xf numFmtId="0" fontId="15" fillId="0" borderId="1" xfId="0" applyFont="1" applyBorder="1" applyAlignment="1">
      <alignment horizontal="center" vertical="center" wrapText="1"/>
    </xf>
    <xf numFmtId="0" fontId="13" fillId="0" borderId="1" xfId="0" applyFont="1" applyFill="1" applyBorder="1" applyAlignment="1">
      <alignment horizontal="left"/>
    </xf>
    <xf numFmtId="0" fontId="8" fillId="16" borderId="1" xfId="0" applyNumberFormat="1" applyFont="1" applyFill="1" applyBorder="1" applyAlignment="1">
      <alignment horizontal="center"/>
    </xf>
    <xf numFmtId="0" fontId="8" fillId="16" borderId="32" xfId="0" applyNumberFormat="1" applyFont="1" applyFill="1" applyBorder="1" applyAlignment="1">
      <alignment horizontal="center"/>
    </xf>
    <xf numFmtId="0" fontId="8" fillId="16" borderId="32" xfId="7" applyNumberFormat="1" applyFont="1" applyFill="1" applyBorder="1" applyAlignment="1">
      <alignment horizontal="center"/>
    </xf>
    <xf numFmtId="0" fontId="8" fillId="9" borderId="32" xfId="7" applyNumberFormat="1" applyFont="1" applyFill="1" applyBorder="1" applyAlignment="1">
      <alignment horizontal="center"/>
    </xf>
    <xf numFmtId="0" fontId="8" fillId="17" borderId="1" xfId="0" applyNumberFormat="1" applyFont="1" applyFill="1" applyBorder="1" applyAlignment="1">
      <alignment horizontal="center"/>
    </xf>
    <xf numFmtId="0" fontId="8" fillId="15" borderId="1" xfId="0" applyNumberFormat="1" applyFont="1" applyFill="1" applyBorder="1" applyAlignment="1">
      <alignment horizontal="center"/>
    </xf>
    <xf numFmtId="0" fontId="8" fillId="15" borderId="32" xfId="0" applyNumberFormat="1" applyFont="1" applyFill="1" applyBorder="1" applyAlignment="1">
      <alignment horizontal="center"/>
    </xf>
    <xf numFmtId="0" fontId="8" fillId="15" borderId="32" xfId="7" applyNumberFormat="1" applyFont="1" applyFill="1" applyBorder="1" applyAlignment="1">
      <alignment horizontal="center"/>
    </xf>
    <xf numFmtId="0" fontId="8" fillId="15" borderId="32" xfId="0" applyNumberFormat="1" applyFont="1" applyFill="1" applyBorder="1"/>
    <xf numFmtId="0" fontId="8" fillId="17" borderId="32" xfId="0" applyNumberFormat="1" applyFont="1" applyFill="1" applyBorder="1" applyAlignment="1">
      <alignment horizontal="center"/>
    </xf>
    <xf numFmtId="0" fontId="8" fillId="17" borderId="32" xfId="7" applyNumberFormat="1" applyFont="1" applyFill="1" applyBorder="1" applyAlignment="1">
      <alignment horizontal="center"/>
    </xf>
    <xf numFmtId="0" fontId="8" fillId="9" borderId="32" xfId="0" applyNumberFormat="1" applyFont="1" applyFill="1" applyBorder="1" applyAlignment="1">
      <alignment horizontal="center"/>
    </xf>
    <xf numFmtId="0" fontId="8" fillId="9" borderId="32" xfId="0" applyNumberFormat="1" applyFont="1" applyFill="1" applyBorder="1"/>
    <xf numFmtId="164" fontId="0" fillId="7" borderId="1" xfId="0" applyNumberFormat="1" applyFill="1" applyBorder="1" applyAlignment="1">
      <alignment horizontal="center"/>
    </xf>
    <xf numFmtId="0" fontId="0" fillId="7" borderId="11" xfId="0" applyFill="1" applyBorder="1" applyAlignment="1">
      <alignment horizontal="center"/>
    </xf>
    <xf numFmtId="0" fontId="16" fillId="18" borderId="31" xfId="0" applyFont="1" applyFill="1" applyBorder="1" applyAlignment="1">
      <alignment horizontal="center" vertical="center" wrapText="1"/>
    </xf>
    <xf numFmtId="13" fontId="16" fillId="18" borderId="31" xfId="0" applyNumberFormat="1" applyFont="1" applyFill="1" applyBorder="1" applyAlignment="1">
      <alignment horizontal="center" vertical="center" wrapText="1"/>
    </xf>
    <xf numFmtId="0" fontId="0" fillId="0" borderId="0" xfId="0" applyAlignment="1">
      <alignment horizontal="left"/>
    </xf>
    <xf numFmtId="0" fontId="0" fillId="18" borderId="0" xfId="0" applyFill="1" applyAlignment="1">
      <alignment horizontal="center" vertical="center" wrapText="1"/>
    </xf>
    <xf numFmtId="0" fontId="0" fillId="0" borderId="0" xfId="0" applyNumberFormat="1" applyAlignment="1">
      <alignment wrapText="1"/>
    </xf>
    <xf numFmtId="164" fontId="0" fillId="7" borderId="0" xfId="0" applyNumberFormat="1" applyFill="1" applyBorder="1" applyAlignment="1">
      <alignment horizontal="center"/>
    </xf>
    <xf numFmtId="164" fontId="0" fillId="7" borderId="15" xfId="0" applyNumberFormat="1" applyFill="1" applyBorder="1" applyAlignment="1">
      <alignment horizontal="center"/>
    </xf>
    <xf numFmtId="0" fontId="0" fillId="7" borderId="1" xfId="0" applyFill="1" applyBorder="1" applyAlignment="1">
      <alignment horizontal="center"/>
    </xf>
    <xf numFmtId="0" fontId="0" fillId="7" borderId="22" xfId="0" applyFill="1" applyBorder="1" applyAlignment="1">
      <alignment horizontal="center"/>
    </xf>
    <xf numFmtId="0" fontId="1" fillId="0" borderId="0" xfId="0" applyFont="1" applyAlignment="1">
      <alignment horizontal="center"/>
    </xf>
    <xf numFmtId="0" fontId="1" fillId="19" borderId="3" xfId="0" applyFont="1" applyFill="1" applyBorder="1" applyAlignment="1">
      <alignment horizontal="center"/>
    </xf>
    <xf numFmtId="164" fontId="0" fillId="19" borderId="1" xfId="0" applyNumberFormat="1" applyFill="1" applyBorder="1" applyAlignment="1">
      <alignment horizontal="center"/>
    </xf>
    <xf numFmtId="0" fontId="17" fillId="2" borderId="0" xfId="0" applyFont="1" applyFill="1"/>
    <xf numFmtId="2" fontId="3" fillId="8" borderId="2" xfId="0" applyNumberFormat="1" applyFont="1" applyFill="1" applyBorder="1" applyAlignment="1">
      <alignment horizontal="center" vertical="center"/>
    </xf>
    <xf numFmtId="0" fontId="3" fillId="14" borderId="26" xfId="0" applyFont="1" applyFill="1" applyBorder="1" applyAlignment="1">
      <alignment horizontal="center" vertical="center"/>
    </xf>
    <xf numFmtId="0" fontId="3" fillId="14" borderId="3" xfId="0" applyFont="1" applyFill="1" applyBorder="1" applyAlignment="1">
      <alignment horizontal="center" vertical="center"/>
    </xf>
    <xf numFmtId="0" fontId="0" fillId="0" borderId="0" xfId="0" applyAlignment="1"/>
    <xf numFmtId="0" fontId="3" fillId="0" borderId="3" xfId="0" applyNumberFormat="1" applyFont="1" applyFill="1" applyBorder="1" applyAlignment="1">
      <alignment vertical="center"/>
    </xf>
    <xf numFmtId="2" fontId="3" fillId="0" borderId="15" xfId="0" applyNumberFormat="1" applyFont="1" applyFill="1" applyBorder="1" applyAlignment="1">
      <alignment vertical="center"/>
    </xf>
    <xf numFmtId="0" fontId="3" fillId="0" borderId="1" xfId="0" applyNumberFormat="1" applyFont="1" applyFill="1" applyBorder="1" applyAlignment="1">
      <alignment horizontal="center" vertical="center"/>
    </xf>
    <xf numFmtId="0" fontId="3" fillId="0" borderId="3" xfId="0" applyNumberFormat="1" applyFont="1" applyFill="1" applyBorder="1" applyAlignment="1">
      <alignment horizontal="center" vertical="center"/>
    </xf>
    <xf numFmtId="2" fontId="3" fillId="0" borderId="3" xfId="0" applyNumberFormat="1" applyFont="1" applyFill="1" applyBorder="1" applyAlignment="1">
      <alignment horizontal="center" vertical="center"/>
    </xf>
    <xf numFmtId="0" fontId="3" fillId="0" borderId="0" xfId="0" applyFont="1" applyFill="1"/>
    <xf numFmtId="0" fontId="3" fillId="0" borderId="21" xfId="0" applyFont="1" applyBorder="1" applyAlignment="1">
      <alignment vertical="center"/>
    </xf>
    <xf numFmtId="0" fontId="3" fillId="0" borderId="22" xfId="0" applyNumberFormat="1" applyFont="1" applyBorder="1" applyAlignment="1">
      <alignment horizontal="center" vertical="center"/>
    </xf>
    <xf numFmtId="0" fontId="3" fillId="14" borderId="34" xfId="0" applyNumberFormat="1" applyFont="1" applyFill="1" applyBorder="1" applyAlignment="1">
      <alignment vertical="center"/>
    </xf>
    <xf numFmtId="0" fontId="3" fillId="14" borderId="29" xfId="0" applyFont="1" applyFill="1" applyBorder="1" applyAlignment="1">
      <alignment vertical="center"/>
    </xf>
    <xf numFmtId="0" fontId="3" fillId="14" borderId="35" xfId="0" applyNumberFormat="1" applyFont="1" applyFill="1" applyBorder="1" applyAlignment="1">
      <alignment vertical="center"/>
    </xf>
    <xf numFmtId="0" fontId="3" fillId="14" borderId="24" xfId="0" applyFont="1" applyFill="1" applyBorder="1" applyAlignment="1">
      <alignment vertical="center"/>
    </xf>
    <xf numFmtId="0" fontId="3" fillId="14" borderId="36" xfId="0" applyNumberFormat="1" applyFont="1" applyFill="1" applyBorder="1" applyAlignment="1">
      <alignment vertical="center"/>
    </xf>
    <xf numFmtId="0" fontId="3" fillId="14" borderId="37" xfId="0" applyFont="1" applyFill="1" applyBorder="1" applyAlignment="1">
      <alignment vertical="center"/>
    </xf>
    <xf numFmtId="0" fontId="3" fillId="14" borderId="11" xfId="0" applyNumberFormat="1" applyFont="1" applyFill="1" applyBorder="1" applyAlignment="1">
      <alignment horizontal="center" vertical="center"/>
    </xf>
    <xf numFmtId="0" fontId="3" fillId="14" borderId="38" xfId="0" applyNumberFormat="1" applyFont="1" applyFill="1" applyBorder="1" applyAlignment="1">
      <alignment horizontal="center" vertical="center"/>
    </xf>
    <xf numFmtId="0" fontId="3" fillId="14" borderId="38" xfId="0" applyFont="1" applyFill="1" applyBorder="1" applyAlignment="1">
      <alignment horizontal="center" vertical="center"/>
    </xf>
    <xf numFmtId="0" fontId="3" fillId="14" borderId="33" xfId="0" applyFont="1" applyFill="1" applyBorder="1" applyAlignment="1">
      <alignment vertical="center"/>
    </xf>
    <xf numFmtId="0" fontId="3" fillId="0" borderId="11" xfId="0" applyNumberFormat="1" applyFont="1" applyBorder="1" applyAlignment="1">
      <alignment vertical="center"/>
    </xf>
    <xf numFmtId="0" fontId="0" fillId="0" borderId="0" xfId="0" applyAlignment="1">
      <alignment wrapText="1"/>
    </xf>
    <xf numFmtId="0" fontId="0" fillId="20" borderId="44" xfId="0" applyFont="1" applyFill="1" applyBorder="1" applyAlignment="1">
      <alignment horizontal="left" vertical="top" wrapText="1"/>
    </xf>
    <xf numFmtId="0" fontId="0" fillId="20" borderId="32" xfId="0" applyFont="1" applyFill="1" applyBorder="1" applyAlignment="1">
      <alignment horizontal="left" vertical="top" wrapText="1"/>
    </xf>
    <xf numFmtId="0" fontId="0" fillId="20" borderId="42" xfId="0" applyFont="1" applyFill="1" applyBorder="1" applyAlignment="1">
      <alignment horizontal="left" vertical="top" wrapText="1"/>
    </xf>
    <xf numFmtId="0" fontId="0" fillId="20" borderId="45" xfId="0" applyFont="1" applyFill="1" applyBorder="1" applyAlignment="1">
      <alignment horizontal="left" vertical="top" wrapText="1"/>
    </xf>
    <xf numFmtId="0" fontId="1" fillId="0" borderId="43"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42" xfId="0" applyFont="1" applyFill="1" applyBorder="1" applyAlignment="1">
      <alignment horizontal="center" vertical="center" wrapText="1"/>
    </xf>
    <xf numFmtId="0" fontId="1" fillId="0" borderId="45" xfId="0" applyFont="1" applyFill="1" applyBorder="1" applyAlignment="1">
      <alignment horizontal="center" vertical="center" wrapText="1"/>
    </xf>
    <xf numFmtId="0" fontId="3" fillId="9" borderId="8" xfId="0" applyFont="1" applyFill="1" applyBorder="1" applyAlignment="1">
      <alignment horizontal="center"/>
    </xf>
    <xf numFmtId="0" fontId="3" fillId="9" borderId="10" xfId="0" applyFont="1" applyFill="1" applyBorder="1" applyAlignment="1">
      <alignment horizontal="center"/>
    </xf>
    <xf numFmtId="0" fontId="3" fillId="9" borderId="18" xfId="0" applyFont="1" applyFill="1" applyBorder="1" applyAlignment="1">
      <alignment horizontal="center"/>
    </xf>
    <xf numFmtId="0" fontId="3" fillId="14" borderId="46" xfId="0" applyNumberFormat="1" applyFont="1" applyFill="1" applyBorder="1" applyAlignment="1">
      <alignment vertical="center"/>
    </xf>
    <xf numFmtId="0" fontId="3" fillId="14" borderId="25" xfId="0" applyNumberFormat="1" applyFont="1" applyFill="1" applyBorder="1" applyAlignment="1">
      <alignment vertical="center"/>
    </xf>
    <xf numFmtId="0" fontId="3" fillId="14" borderId="1" xfId="0" applyNumberFormat="1" applyFont="1" applyFill="1" applyBorder="1" applyAlignment="1">
      <alignment vertical="center"/>
    </xf>
    <xf numFmtId="0" fontId="18" fillId="9" borderId="12" xfId="0" applyFont="1" applyFill="1" applyBorder="1" applyAlignment="1">
      <alignment horizontal="left"/>
    </xf>
    <xf numFmtId="0" fontId="0" fillId="0" borderId="0" xfId="0" applyNumberFormat="1" applyFont="1"/>
    <xf numFmtId="0" fontId="14" fillId="0" borderId="0" xfId="0" applyFont="1"/>
    <xf numFmtId="0" fontId="3" fillId="14" borderId="46" xfId="0" applyNumberFormat="1" applyFont="1" applyFill="1" applyBorder="1" applyAlignment="1">
      <alignment horizontal="center" vertical="center"/>
    </xf>
    <xf numFmtId="0" fontId="7" fillId="13" borderId="7" xfId="0" applyFont="1" applyFill="1" applyBorder="1" applyAlignment="1">
      <alignment horizontal="center" vertical="center" wrapText="1"/>
    </xf>
    <xf numFmtId="0" fontId="7" fillId="13" borderId="6" xfId="0" applyFont="1" applyFill="1" applyBorder="1" applyAlignment="1">
      <alignment horizontal="center" vertical="center" wrapText="1"/>
    </xf>
    <xf numFmtId="0" fontId="7" fillId="13" borderId="5" xfId="0" applyFont="1" applyFill="1" applyBorder="1" applyAlignment="1">
      <alignment horizontal="center" vertical="center" wrapText="1"/>
    </xf>
    <xf numFmtId="14" fontId="3" fillId="0" borderId="9" xfId="0" applyNumberFormat="1" applyFont="1" applyBorder="1" applyAlignment="1">
      <alignment horizontal="center" vertical="center"/>
    </xf>
    <xf numFmtId="0" fontId="3" fillId="0" borderId="16" xfId="0" applyFont="1" applyBorder="1" applyAlignment="1">
      <alignment horizontal="center" vertical="center"/>
    </xf>
    <xf numFmtId="14" fontId="3" fillId="0" borderId="1" xfId="0" applyNumberFormat="1" applyFont="1" applyBorder="1" applyAlignment="1">
      <alignment horizontal="center" vertical="center"/>
    </xf>
    <xf numFmtId="0" fontId="3" fillId="0" borderId="17" xfId="0" applyFont="1" applyBorder="1" applyAlignment="1">
      <alignment horizontal="center" vertical="center"/>
    </xf>
    <xf numFmtId="14" fontId="3" fillId="0" borderId="11" xfId="0" applyNumberFormat="1" applyFont="1" applyBorder="1" applyAlignment="1">
      <alignment horizontal="center" vertical="center"/>
    </xf>
    <xf numFmtId="0" fontId="3" fillId="0" borderId="39" xfId="0" applyFont="1" applyBorder="1" applyAlignment="1">
      <alignment horizontal="center" vertical="center"/>
    </xf>
    <xf numFmtId="0" fontId="3" fillId="0" borderId="38" xfId="0" applyFont="1" applyBorder="1" applyAlignment="1">
      <alignment horizontal="left" vertical="center"/>
    </xf>
    <xf numFmtId="0" fontId="3" fillId="0" borderId="40" xfId="0" applyFont="1" applyBorder="1" applyAlignment="1">
      <alignment horizontal="left" vertical="center"/>
    </xf>
    <xf numFmtId="0" fontId="3" fillId="0" borderId="41" xfId="0" applyFont="1" applyBorder="1" applyAlignment="1">
      <alignment horizontal="left" vertical="center"/>
    </xf>
    <xf numFmtId="0" fontId="3" fillId="0" borderId="3" xfId="0" applyFont="1" applyBorder="1" applyAlignment="1">
      <alignment horizontal="left" vertical="center"/>
    </xf>
    <xf numFmtId="0" fontId="3" fillId="0" borderId="14" xfId="0" applyFont="1" applyBorder="1" applyAlignment="1">
      <alignment horizontal="left" vertical="center"/>
    </xf>
    <xf numFmtId="0" fontId="3" fillId="0" borderId="20" xfId="0" applyFont="1" applyBorder="1" applyAlignment="1">
      <alignment horizontal="left" vertical="center"/>
    </xf>
    <xf numFmtId="0" fontId="3" fillId="0" borderId="26" xfId="0" applyFont="1" applyBorder="1" applyAlignment="1">
      <alignment horizontal="left" vertical="center"/>
    </xf>
    <xf numFmtId="0" fontId="3" fillId="0" borderId="27" xfId="0" applyFont="1" applyBorder="1" applyAlignment="1">
      <alignment horizontal="left" vertical="center"/>
    </xf>
    <xf numFmtId="0" fontId="3" fillId="0" borderId="28" xfId="0" applyFont="1" applyBorder="1" applyAlignment="1">
      <alignment horizontal="left" vertical="center"/>
    </xf>
    <xf numFmtId="0" fontId="7" fillId="12" borderId="7" xfId="0" applyFont="1" applyFill="1" applyBorder="1" applyAlignment="1">
      <alignment horizontal="left"/>
    </xf>
    <xf numFmtId="0" fontId="7" fillId="12" borderId="6" xfId="0" applyFont="1" applyFill="1" applyBorder="1" applyAlignment="1">
      <alignment horizontal="left"/>
    </xf>
    <xf numFmtId="164" fontId="7" fillId="12" borderId="7" xfId="0" applyNumberFormat="1" applyFont="1" applyFill="1" applyBorder="1" applyAlignment="1">
      <alignment horizontal="left"/>
    </xf>
    <xf numFmtId="164" fontId="7" fillId="12" borderId="6" xfId="0" applyNumberFormat="1" applyFont="1" applyFill="1" applyBorder="1" applyAlignment="1">
      <alignment horizontal="left"/>
    </xf>
    <xf numFmtId="0" fontId="1" fillId="0" borderId="19"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wrapText="1"/>
    </xf>
    <xf numFmtId="0" fontId="1" fillId="0" borderId="2" xfId="0" applyFont="1" applyBorder="1" applyAlignment="1">
      <alignment horizontal="center" vertical="center" wrapText="1"/>
    </xf>
    <xf numFmtId="0" fontId="1" fillId="2" borderId="7" xfId="0" applyFont="1" applyFill="1" applyBorder="1" applyAlignment="1">
      <alignment horizontal="center" vertical="center"/>
    </xf>
    <xf numFmtId="0" fontId="1" fillId="2" borderId="6"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25" xfId="0" applyFont="1" applyBorder="1" applyAlignment="1">
      <alignment horizontal="center" vertical="center" wrapText="1"/>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164" fontId="7" fillId="12" borderId="5" xfId="0" applyNumberFormat="1" applyFont="1" applyFill="1" applyBorder="1" applyAlignment="1">
      <alignment horizontal="left" vertical="center"/>
    </xf>
    <xf numFmtId="0" fontId="16" fillId="18" borderId="0" xfId="0" applyFont="1" applyFill="1" applyBorder="1" applyAlignment="1">
      <alignment horizontal="center" vertical="center" wrapText="1"/>
    </xf>
  </cellXfs>
  <cellStyles count="8">
    <cellStyle name="Normal" xfId="0" builtinId="0"/>
    <cellStyle name="Normal 2" xfId="1" xr:uid="{00000000-0005-0000-0000-000001000000}"/>
    <cellStyle name="Normal 2 2" xfId="5" xr:uid="{00000000-0005-0000-0000-000002000000}"/>
    <cellStyle name="Normal 2 2 2" xfId="3" xr:uid="{00000000-0005-0000-0000-000003000000}"/>
    <cellStyle name="Normal 3" xfId="2" xr:uid="{00000000-0005-0000-0000-000004000000}"/>
    <cellStyle name="Normal 3 2" xfId="4" xr:uid="{00000000-0005-0000-0000-000005000000}"/>
    <cellStyle name="Normal 4" xfId="6" xr:uid="{00000000-0005-0000-0000-000006000000}"/>
    <cellStyle name="Pourcentage" xfId="7" builtinId="5"/>
  </cellStyles>
  <dxfs count="4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auto="1"/>
        <name val="Calibri"/>
        <scheme val="minor"/>
      </font>
      <fill>
        <patternFill patternType="solid">
          <fgColor indexed="64"/>
          <bgColor theme="4" tint="0.59999389629810485"/>
        </patternFill>
      </fill>
      <alignment horizontal="center" vertical="center"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right style="thin">
          <color theme="1"/>
        </right>
        <top style="thin">
          <color theme="1"/>
        </top>
        <bottom style="thin">
          <color theme="1"/>
        </bottom>
      </border>
    </dxf>
    <dxf>
      <border outline="0">
        <left style="thin">
          <color theme="1"/>
        </left>
        <right style="thin">
          <color theme="1"/>
        </right>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border diagonalUp="0" diagonalDown="0" outline="0">
        <left style="thin">
          <color theme="1"/>
        </left>
        <right style="thin">
          <color theme="1"/>
        </right>
        <top/>
        <bottom/>
      </border>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font>
        <strike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6"/>
        <color theme="1"/>
        <name val="Calibri"/>
        <scheme val="minor"/>
      </font>
      <numFmt numFmtId="165" formatCode="#,000"/>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numFmt numFmtId="2" formatCode="0.00"/>
      <fill>
        <patternFill patternType="solid">
          <fgColor indexed="64"/>
          <bgColor theme="0" tint="-0.14999847407452621"/>
        </patternFill>
      </fill>
      <alignment horizontal="center" vertical="center" textRotation="0" wrapText="1" indent="0" justifyLastLine="0" shrinkToFit="0" readingOrder="0"/>
    </dxf>
  </dxfs>
  <tableStyles count="0" defaultTableStyle="TableStyleMedium2" defaultPivotStyle="PivotStyleMedium9"/>
  <colors>
    <mruColors>
      <color rgb="FF5F5F5F"/>
      <color rgb="FFBA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2.xml"/><Relationship Id="rId13" Type="http://schemas.openxmlformats.org/officeDocument/2006/relationships/chartsheet" Target="chartsheets/sheet4.xml"/><Relationship Id="rId18" Type="http://schemas.openxmlformats.org/officeDocument/2006/relationships/worksheet" Target="worksheets/sheet1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6.xml"/><Relationship Id="rId12" Type="http://schemas.openxmlformats.org/officeDocument/2006/relationships/worksheet" Target="worksheets/sheet9.xml"/><Relationship Id="rId17" Type="http://schemas.openxmlformats.org/officeDocument/2006/relationships/worksheet" Target="worksheets/sheet1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2.xml"/><Relationship Id="rId20" Type="http://schemas.openxmlformats.org/officeDocument/2006/relationships/pivotCacheDefinition" Target="pivotCache/pivotCacheDefinition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chartsheet" Target="chartsheets/sheet3.xml"/><Relationship Id="rId24" Type="http://schemas.openxmlformats.org/officeDocument/2006/relationships/theme" Target="theme/theme1.xml"/><Relationship Id="rId5" Type="http://schemas.openxmlformats.org/officeDocument/2006/relationships/chartsheet" Target="chartsheets/sheet1.xml"/><Relationship Id="rId15" Type="http://schemas.openxmlformats.org/officeDocument/2006/relationships/worksheet" Target="worksheets/sheet11.xml"/><Relationship Id="rId23" Type="http://schemas.openxmlformats.org/officeDocument/2006/relationships/pivotCacheDefinition" Target="pivotCache/pivotCacheDefinition4.xml"/><Relationship Id="rId28" Type="http://schemas.openxmlformats.org/officeDocument/2006/relationships/customXml" Target="../customXml/item1.xml"/><Relationship Id="rId10" Type="http://schemas.openxmlformats.org/officeDocument/2006/relationships/worksheet" Target="worksheets/sheet8.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7.xml"/><Relationship Id="rId14" Type="http://schemas.openxmlformats.org/officeDocument/2006/relationships/worksheet" Target="worksheets/sheet10.xml"/><Relationship Id="rId22" Type="http://schemas.openxmlformats.org/officeDocument/2006/relationships/pivotCacheDefinition" Target="pivotCache/pivotCacheDefinition3.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661954963560215E-2"/>
          <c:y val="0.14661966108751268"/>
          <c:w val="0.9002738512986157"/>
          <c:h val="0.63968468033016779"/>
        </c:manualLayout>
      </c:layout>
      <c:barChart>
        <c:barDir val="col"/>
        <c:grouping val="clustered"/>
        <c:varyColors val="0"/>
        <c:ser>
          <c:idx val="0"/>
          <c:order val="0"/>
          <c:tx>
            <c:v>R1</c:v>
          </c:tx>
          <c:spPr>
            <a:solidFill>
              <a:srgbClr val="00B050"/>
            </a:solidFill>
          </c:spPr>
          <c:invertIfNegative val="0"/>
          <c:dPt>
            <c:idx val="0"/>
            <c:invertIfNegative val="0"/>
            <c:bubble3D val="0"/>
            <c:spPr>
              <a:solidFill>
                <a:schemeClr val="tx1"/>
              </a:solidFill>
              <a:ln>
                <a:solidFill>
                  <a:schemeClr val="tx1"/>
                </a:solidFill>
              </a:ln>
            </c:spPr>
            <c:extLst>
              <c:ext xmlns:c16="http://schemas.microsoft.com/office/drawing/2014/chart" uri="{C3380CC4-5D6E-409C-BE32-E72D297353CC}">
                <c16:uniqueId val="{00000001-87C9-40AC-8356-B26819E04EB9}"/>
              </c:ext>
            </c:extLst>
          </c:dPt>
          <c:dPt>
            <c:idx val="1"/>
            <c:invertIfNegative val="0"/>
            <c:bubble3D val="0"/>
            <c:spPr>
              <a:solidFill>
                <a:srgbClr val="FF0000"/>
              </a:solidFill>
            </c:spPr>
            <c:extLst>
              <c:ext xmlns:c16="http://schemas.microsoft.com/office/drawing/2014/chart" uri="{C3380CC4-5D6E-409C-BE32-E72D297353CC}">
                <c16:uniqueId val="{00000002-87C9-40AC-8356-B26819E04EB9}"/>
              </c:ext>
            </c:extLst>
          </c:dPt>
          <c:dPt>
            <c:idx val="2"/>
            <c:invertIfNegative val="0"/>
            <c:bubble3D val="0"/>
            <c:spPr>
              <a:solidFill>
                <a:srgbClr val="FF0000"/>
              </a:solidFill>
            </c:spPr>
            <c:extLst>
              <c:ext xmlns:c16="http://schemas.microsoft.com/office/drawing/2014/chart" uri="{C3380CC4-5D6E-409C-BE32-E72D297353CC}">
                <c16:uniqueId val="{00000003-87C9-40AC-8356-B26819E04EB9}"/>
              </c:ext>
            </c:extLst>
          </c:dPt>
          <c:dPt>
            <c:idx val="3"/>
            <c:invertIfNegative val="0"/>
            <c:bubble3D val="0"/>
            <c:spPr>
              <a:solidFill>
                <a:srgbClr val="FF0000"/>
              </a:solidFill>
            </c:spPr>
            <c:extLst>
              <c:ext xmlns:c16="http://schemas.microsoft.com/office/drawing/2014/chart" uri="{C3380CC4-5D6E-409C-BE32-E72D297353CC}">
                <c16:uniqueId val="{00000004-87C9-40AC-8356-B26819E04EB9}"/>
              </c:ext>
            </c:extLst>
          </c:dPt>
          <c:dPt>
            <c:idx val="4"/>
            <c:invertIfNegative val="0"/>
            <c:bubble3D val="0"/>
            <c:spPr>
              <a:solidFill>
                <a:srgbClr val="FF0000"/>
              </a:solidFill>
            </c:spPr>
            <c:extLst>
              <c:ext xmlns:c16="http://schemas.microsoft.com/office/drawing/2014/chart" uri="{C3380CC4-5D6E-409C-BE32-E72D297353CC}">
                <c16:uniqueId val="{00000005-87C9-40AC-8356-B26819E04EB9}"/>
              </c:ext>
            </c:extLst>
          </c:dPt>
          <c:dPt>
            <c:idx val="5"/>
            <c:invertIfNegative val="0"/>
            <c:bubble3D val="0"/>
            <c:spPr>
              <a:solidFill>
                <a:srgbClr val="FF0000"/>
              </a:solidFill>
            </c:spPr>
            <c:extLst>
              <c:ext xmlns:c16="http://schemas.microsoft.com/office/drawing/2014/chart" uri="{C3380CC4-5D6E-409C-BE32-E72D297353CC}">
                <c16:uniqueId val="{00000006-87C9-40AC-8356-B26819E04EB9}"/>
              </c:ext>
            </c:extLst>
          </c:dPt>
          <c:dPt>
            <c:idx val="6"/>
            <c:invertIfNegative val="0"/>
            <c:bubble3D val="0"/>
            <c:spPr>
              <a:solidFill>
                <a:srgbClr val="FF0000"/>
              </a:solidFill>
            </c:spPr>
            <c:extLst>
              <c:ext xmlns:c16="http://schemas.microsoft.com/office/drawing/2014/chart" uri="{C3380CC4-5D6E-409C-BE32-E72D297353CC}">
                <c16:uniqueId val="{00000007-87C9-40AC-8356-B26819E04EB9}"/>
              </c:ext>
            </c:extLst>
          </c:dPt>
          <c:dPt>
            <c:idx val="7"/>
            <c:invertIfNegative val="0"/>
            <c:bubble3D val="0"/>
            <c:spPr>
              <a:solidFill>
                <a:schemeClr val="bg1">
                  <a:lumMod val="65000"/>
                </a:schemeClr>
              </a:solidFill>
            </c:spPr>
            <c:extLst>
              <c:ext xmlns:c16="http://schemas.microsoft.com/office/drawing/2014/chart" uri="{C3380CC4-5D6E-409C-BE32-E72D297353CC}">
                <c16:uniqueId val="{00000008-87C9-40AC-8356-B26819E04EB9}"/>
              </c:ext>
            </c:extLst>
          </c:dPt>
          <c:dPt>
            <c:idx val="8"/>
            <c:invertIfNegative val="0"/>
            <c:bubble3D val="0"/>
            <c:spPr>
              <a:solidFill>
                <a:schemeClr val="bg1">
                  <a:lumMod val="65000"/>
                </a:schemeClr>
              </a:solidFill>
            </c:spPr>
            <c:extLst>
              <c:ext xmlns:c16="http://schemas.microsoft.com/office/drawing/2014/chart" uri="{C3380CC4-5D6E-409C-BE32-E72D297353CC}">
                <c16:uniqueId val="{00000009-87C9-40AC-8356-B26819E04EB9}"/>
              </c:ext>
            </c:extLst>
          </c:dPt>
          <c:dPt>
            <c:idx val="9"/>
            <c:invertIfNegative val="0"/>
            <c:bubble3D val="0"/>
            <c:spPr>
              <a:solidFill>
                <a:schemeClr val="bg1">
                  <a:lumMod val="65000"/>
                </a:schemeClr>
              </a:solidFill>
            </c:spPr>
            <c:extLst>
              <c:ext xmlns:c16="http://schemas.microsoft.com/office/drawing/2014/chart" uri="{C3380CC4-5D6E-409C-BE32-E72D297353CC}">
                <c16:uniqueId val="{0000000A-87C9-40AC-8356-B26819E04EB9}"/>
              </c:ext>
            </c:extLst>
          </c:dPt>
          <c:dPt>
            <c:idx val="10"/>
            <c:invertIfNegative val="0"/>
            <c:bubble3D val="0"/>
            <c:spPr>
              <a:solidFill>
                <a:schemeClr val="bg1">
                  <a:lumMod val="65000"/>
                </a:schemeClr>
              </a:solidFill>
            </c:spPr>
            <c:extLst>
              <c:ext xmlns:c16="http://schemas.microsoft.com/office/drawing/2014/chart" uri="{C3380CC4-5D6E-409C-BE32-E72D297353CC}">
                <c16:uniqueId val="{0000000B-87C9-40AC-8356-B26819E04EB9}"/>
              </c:ext>
            </c:extLst>
          </c:dPt>
          <c:dPt>
            <c:idx val="11"/>
            <c:invertIfNegative val="0"/>
            <c:bubble3D val="0"/>
            <c:spPr>
              <a:solidFill>
                <a:schemeClr val="bg1">
                  <a:lumMod val="65000"/>
                </a:schemeClr>
              </a:solidFill>
            </c:spPr>
            <c:extLst>
              <c:ext xmlns:c16="http://schemas.microsoft.com/office/drawing/2014/chart" uri="{C3380CC4-5D6E-409C-BE32-E72D297353CC}">
                <c16:uniqueId val="{0000000C-87C9-40AC-8356-B26819E04EB9}"/>
              </c:ext>
            </c:extLst>
          </c:dPt>
          <c:dPt>
            <c:idx val="14"/>
            <c:invertIfNegative val="0"/>
            <c:bubble3D val="0"/>
            <c:spPr>
              <a:solidFill>
                <a:srgbClr val="92D050"/>
              </a:solidFill>
            </c:spPr>
            <c:extLst>
              <c:ext xmlns:c16="http://schemas.microsoft.com/office/drawing/2014/chart" uri="{C3380CC4-5D6E-409C-BE32-E72D297353CC}">
                <c16:uniqueId val="{0000000D-87C9-40AC-8356-B26819E04EB9}"/>
              </c:ext>
            </c:extLst>
          </c:dPt>
          <c:dPt>
            <c:idx val="15"/>
            <c:invertIfNegative val="0"/>
            <c:bubble3D val="0"/>
            <c:spPr>
              <a:solidFill>
                <a:srgbClr val="92D050"/>
              </a:solidFill>
            </c:spPr>
            <c:extLst>
              <c:ext xmlns:c16="http://schemas.microsoft.com/office/drawing/2014/chart" uri="{C3380CC4-5D6E-409C-BE32-E72D297353CC}">
                <c16:uniqueId val="{0000000E-87C9-40AC-8356-B26819E04EB9}"/>
              </c:ext>
            </c:extLst>
          </c:dPt>
          <c:dPt>
            <c:idx val="16"/>
            <c:invertIfNegative val="0"/>
            <c:bubble3D val="0"/>
            <c:spPr>
              <a:solidFill>
                <a:schemeClr val="accent3">
                  <a:lumMod val="40000"/>
                  <a:lumOff val="60000"/>
                </a:schemeClr>
              </a:solidFill>
            </c:spPr>
            <c:extLst>
              <c:ext xmlns:c16="http://schemas.microsoft.com/office/drawing/2014/chart" uri="{C3380CC4-5D6E-409C-BE32-E72D297353CC}">
                <c16:uniqueId val="{0000000F-87C9-40AC-8356-B26819E04EB9}"/>
              </c:ext>
            </c:extLst>
          </c:dPt>
          <c:dPt>
            <c:idx val="17"/>
            <c:invertIfNegative val="0"/>
            <c:bubble3D val="0"/>
            <c:spPr>
              <a:solidFill>
                <a:schemeClr val="accent3">
                  <a:lumMod val="40000"/>
                  <a:lumOff val="60000"/>
                </a:schemeClr>
              </a:solidFill>
            </c:spPr>
            <c:extLst>
              <c:ext xmlns:c16="http://schemas.microsoft.com/office/drawing/2014/chart" uri="{C3380CC4-5D6E-409C-BE32-E72D297353CC}">
                <c16:uniqueId val="{00000010-87C9-40AC-8356-B26819E04EB9}"/>
              </c:ext>
            </c:extLst>
          </c:dPt>
          <c:dPt>
            <c:idx val="18"/>
            <c:invertIfNegative val="0"/>
            <c:bubble3D val="0"/>
            <c:spPr>
              <a:solidFill>
                <a:schemeClr val="accent3">
                  <a:lumMod val="40000"/>
                  <a:lumOff val="60000"/>
                </a:schemeClr>
              </a:solidFill>
            </c:spPr>
            <c:extLst>
              <c:ext xmlns:c16="http://schemas.microsoft.com/office/drawing/2014/chart" uri="{C3380CC4-5D6E-409C-BE32-E72D297353CC}">
                <c16:uniqueId val="{00000011-87C9-40AC-8356-B26819E04EB9}"/>
              </c:ext>
            </c:extLst>
          </c:dPt>
          <c:dPt>
            <c:idx val="19"/>
            <c:invertIfNegative val="0"/>
            <c:bubble3D val="0"/>
            <c:spPr>
              <a:solidFill>
                <a:schemeClr val="accent3">
                  <a:lumMod val="40000"/>
                  <a:lumOff val="60000"/>
                </a:schemeClr>
              </a:solidFill>
            </c:spPr>
            <c:extLst>
              <c:ext xmlns:c16="http://schemas.microsoft.com/office/drawing/2014/chart" uri="{C3380CC4-5D6E-409C-BE32-E72D297353CC}">
                <c16:uniqueId val="{00000012-87C9-40AC-8356-B26819E04EB9}"/>
              </c:ext>
            </c:extLst>
          </c:dPt>
          <c:dPt>
            <c:idx val="20"/>
            <c:invertIfNegative val="0"/>
            <c:bubble3D val="0"/>
            <c:spPr>
              <a:solidFill>
                <a:schemeClr val="accent3">
                  <a:lumMod val="40000"/>
                  <a:lumOff val="60000"/>
                </a:schemeClr>
              </a:solidFill>
            </c:spPr>
            <c:extLst>
              <c:ext xmlns:c16="http://schemas.microsoft.com/office/drawing/2014/chart" uri="{C3380CC4-5D6E-409C-BE32-E72D297353CC}">
                <c16:uniqueId val="{00000013-87C9-40AC-8356-B26819E04EB9}"/>
              </c:ext>
            </c:extLst>
          </c:dPt>
          <c:dLbls>
            <c:dLbl>
              <c:idx val="0"/>
              <c:tx>
                <c:rich>
                  <a:bodyPr/>
                  <a:lstStyle/>
                  <a:p>
                    <a:fld id="{D3A4D36B-6CF0-4B93-9483-5877DBB23C71}"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87C9-40AC-8356-B26819E04EB9}"/>
                </c:ext>
              </c:extLst>
            </c:dLbl>
            <c:dLbl>
              <c:idx val="1"/>
              <c:tx>
                <c:rich>
                  <a:bodyPr/>
                  <a:lstStyle/>
                  <a:p>
                    <a:fld id="{308A1566-5ADB-4C9B-ADB1-7CF869009EAF}"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87C9-40AC-8356-B26819E04EB9}"/>
                </c:ext>
              </c:extLst>
            </c:dLbl>
            <c:dLbl>
              <c:idx val="2"/>
              <c:tx>
                <c:rich>
                  <a:bodyPr/>
                  <a:lstStyle/>
                  <a:p>
                    <a:fld id="{671C748D-9231-4EE7-B0FE-14B1A7F8C262}"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87C9-40AC-8356-B26819E04EB9}"/>
                </c:ext>
              </c:extLst>
            </c:dLbl>
            <c:dLbl>
              <c:idx val="3"/>
              <c:tx>
                <c:rich>
                  <a:bodyPr/>
                  <a:lstStyle/>
                  <a:p>
                    <a:fld id="{E656A5D0-912E-432F-AF96-33B267AEA1AB}"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87C9-40AC-8356-B26819E04EB9}"/>
                </c:ext>
              </c:extLst>
            </c:dLbl>
            <c:dLbl>
              <c:idx val="4"/>
              <c:tx>
                <c:rich>
                  <a:bodyPr/>
                  <a:lstStyle/>
                  <a:p>
                    <a:fld id="{E498CC61-19BA-4AC5-8361-ED676AAFBB56}"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87C9-40AC-8356-B26819E04EB9}"/>
                </c:ext>
              </c:extLst>
            </c:dLbl>
            <c:dLbl>
              <c:idx val="5"/>
              <c:tx>
                <c:rich>
                  <a:bodyPr/>
                  <a:lstStyle/>
                  <a:p>
                    <a:fld id="{7769C531-1AA5-47E2-9179-56C788EF2787}"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87C9-40AC-8356-B26819E04EB9}"/>
                </c:ext>
              </c:extLst>
            </c:dLbl>
            <c:dLbl>
              <c:idx val="6"/>
              <c:tx>
                <c:rich>
                  <a:bodyPr/>
                  <a:lstStyle/>
                  <a:p>
                    <a:fld id="{13C875E9-A2B4-407A-B20B-EE927E909C52}"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87C9-40AC-8356-B26819E04EB9}"/>
                </c:ext>
              </c:extLst>
            </c:dLbl>
            <c:dLbl>
              <c:idx val="7"/>
              <c:tx>
                <c:rich>
                  <a:bodyPr/>
                  <a:lstStyle/>
                  <a:p>
                    <a:fld id="{C3D42D10-9481-4325-9824-7093C24C56BC}"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87C9-40AC-8356-B26819E04EB9}"/>
                </c:ext>
              </c:extLst>
            </c:dLbl>
            <c:dLbl>
              <c:idx val="8"/>
              <c:tx>
                <c:rich>
                  <a:bodyPr/>
                  <a:lstStyle/>
                  <a:p>
                    <a:fld id="{6EC3C9A1-7190-4599-A284-3BC341E537CC}"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87C9-40AC-8356-B26819E04EB9}"/>
                </c:ext>
              </c:extLst>
            </c:dLbl>
            <c:dLbl>
              <c:idx val="9"/>
              <c:tx>
                <c:rich>
                  <a:bodyPr/>
                  <a:lstStyle/>
                  <a:p>
                    <a:fld id="{8396AD15-D493-4BE4-96C2-32A43DE1522B}"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87C9-40AC-8356-B26819E04EB9}"/>
                </c:ext>
              </c:extLst>
            </c:dLbl>
            <c:dLbl>
              <c:idx val="10"/>
              <c:tx>
                <c:rich>
                  <a:bodyPr/>
                  <a:lstStyle/>
                  <a:p>
                    <a:fld id="{27CD90BB-BED4-4CFF-994E-585F6B98F5C6}"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87C9-40AC-8356-B26819E04EB9}"/>
                </c:ext>
              </c:extLst>
            </c:dLbl>
            <c:dLbl>
              <c:idx val="11"/>
              <c:tx>
                <c:rich>
                  <a:bodyPr/>
                  <a:lstStyle/>
                  <a:p>
                    <a:fld id="{78C51E59-515C-450A-A2B9-2E536B96BD75}"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87C9-40AC-8356-B26819E04EB9}"/>
                </c:ext>
              </c:extLst>
            </c:dLbl>
            <c:dLbl>
              <c:idx val="12"/>
              <c:tx>
                <c:rich>
                  <a:bodyPr/>
                  <a:lstStyle/>
                  <a:p>
                    <a:endParaRPr lang="fr-F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87C9-40AC-8356-B26819E04EB9}"/>
                </c:ext>
              </c:extLst>
            </c:dLbl>
            <c:dLbl>
              <c:idx val="13"/>
              <c:tx>
                <c:rich>
                  <a:bodyPr/>
                  <a:lstStyle/>
                  <a:p>
                    <a:fld id="{E4D9419A-3D88-41EB-A72C-97F04B4CA366}"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87C9-40AC-8356-B26819E04EB9}"/>
                </c:ext>
              </c:extLst>
            </c:dLbl>
            <c:dLbl>
              <c:idx val="14"/>
              <c:tx>
                <c:rich>
                  <a:bodyPr/>
                  <a:lstStyle/>
                  <a:p>
                    <a:fld id="{2CA59B8F-1C73-4A6F-9870-CB9A6DFA716D}"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87C9-40AC-8356-B26819E04EB9}"/>
                </c:ext>
              </c:extLst>
            </c:dLbl>
            <c:dLbl>
              <c:idx val="15"/>
              <c:tx>
                <c:rich>
                  <a:bodyPr/>
                  <a:lstStyle/>
                  <a:p>
                    <a:fld id="{13EA3167-947B-41F6-95FE-8CBFEC63173C}"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87C9-40AC-8356-B26819E04EB9}"/>
                </c:ext>
              </c:extLst>
            </c:dLbl>
            <c:dLbl>
              <c:idx val="16"/>
              <c:tx>
                <c:rich>
                  <a:bodyPr/>
                  <a:lstStyle/>
                  <a:p>
                    <a:fld id="{82BF5728-1E34-47E4-83F8-298EBBD93F2F}"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87C9-40AC-8356-B26819E04EB9}"/>
                </c:ext>
              </c:extLst>
            </c:dLbl>
            <c:dLbl>
              <c:idx val="17"/>
              <c:tx>
                <c:rich>
                  <a:bodyPr/>
                  <a:lstStyle/>
                  <a:p>
                    <a:fld id="{C8C66000-0D81-49BF-87C6-C94697C4F727}"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87C9-40AC-8356-B26819E04EB9}"/>
                </c:ext>
              </c:extLst>
            </c:dLbl>
            <c:dLbl>
              <c:idx val="18"/>
              <c:tx>
                <c:rich>
                  <a:bodyPr/>
                  <a:lstStyle/>
                  <a:p>
                    <a:fld id="{FF21CF75-40E7-421F-A086-34011F467D01}"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87C9-40AC-8356-B26819E04EB9}"/>
                </c:ext>
              </c:extLst>
            </c:dLbl>
            <c:dLbl>
              <c:idx val="19"/>
              <c:tx>
                <c:rich>
                  <a:bodyPr/>
                  <a:lstStyle/>
                  <a:p>
                    <a:fld id="{B1B98464-9B84-48AB-B08A-0EF3EB21ED38}"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87C9-40AC-8356-B26819E04EB9}"/>
                </c:ext>
              </c:extLst>
            </c:dLbl>
            <c:dLbl>
              <c:idx val="20"/>
              <c:tx>
                <c:rich>
                  <a:bodyPr/>
                  <a:lstStyle/>
                  <a:p>
                    <a:fld id="{39CAD500-7170-4F5C-A344-ED5EF7EC3792}"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87C9-40AC-8356-B26819E04EB9}"/>
                </c:ext>
              </c:extLst>
            </c:dLbl>
            <c:spPr>
              <a:noFill/>
              <a:ln>
                <a:noFill/>
              </a:ln>
              <a:effectLst/>
            </c:sp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plus"/>
            <c:errValType val="cust"/>
            <c:noEndCap val="0"/>
            <c:plus>
              <c:numRef>
                <c:f>'R1'!$B$54:$V$54</c:f>
                <c:numCache>
                  <c:formatCode>General</c:formatCode>
                  <c:ptCount val="21"/>
                  <c:pt idx="0">
                    <c:v>2.914378771866416E-2</c:v>
                  </c:pt>
                  <c:pt idx="1">
                    <c:v>2.6078134362931427E-2</c:v>
                  </c:pt>
                  <c:pt idx="2">
                    <c:v>1.125059985461889E-2</c:v>
                  </c:pt>
                  <c:pt idx="3">
                    <c:v>0.16211980999657297</c:v>
                  </c:pt>
                  <c:pt idx="4">
                    <c:v>0.12225038640502217</c:v>
                  </c:pt>
                  <c:pt idx="5">
                    <c:v>0.19116129171664112</c:v>
                  </c:pt>
                  <c:pt idx="6">
                    <c:v>0.213742530480272</c:v>
                  </c:pt>
                  <c:pt idx="7">
                    <c:v>2.0101670768068212E-2</c:v>
                  </c:pt>
                  <c:pt idx="8">
                    <c:v>2.3240511976239837E-2</c:v>
                  </c:pt>
                  <c:pt idx="9">
                    <c:v>0.27072981491315784</c:v>
                  </c:pt>
                  <c:pt idx="10">
                    <c:v>0.14855812594975382</c:v>
                  </c:pt>
                  <c:pt idx="11">
                    <c:v>0.21259217302140432</c:v>
                  </c:pt>
                  <c:pt idx="13">
                    <c:v>0.17244275552540816</c:v>
                  </c:pt>
                  <c:pt idx="14">
                    <c:v>0.26465158118953219</c:v>
                  </c:pt>
                  <c:pt idx="15">
                    <c:v>1.5226725519421525E-2</c:v>
                  </c:pt>
                  <c:pt idx="16">
                    <c:v>0.18073540260851975</c:v>
                  </c:pt>
                  <c:pt idx="17">
                    <c:v>0.20677734611357854</c:v>
                  </c:pt>
                  <c:pt idx="18">
                    <c:v>0.15626474621881903</c:v>
                  </c:pt>
                  <c:pt idx="19">
                    <c:v>0.18849272230169276</c:v>
                  </c:pt>
                  <c:pt idx="20">
                    <c:v>0.16999925909689542</c:v>
                  </c:pt>
                </c:numCache>
              </c:numRef>
            </c:plus>
            <c:minus>
              <c:numRef>
                <c:f>'R1'!$N$48:$V$48</c:f>
                <c:numCache>
                  <c:formatCode>General</c:formatCode>
                  <c:ptCount val="9"/>
                  <c:pt idx="0">
                    <c:v>0</c:v>
                  </c:pt>
                  <c:pt idx="1">
                    <c:v>0.17244275552540816</c:v>
                  </c:pt>
                  <c:pt idx="2">
                    <c:v>0.26465158118953219</c:v>
                  </c:pt>
                  <c:pt idx="3">
                    <c:v>1.5226725519421525E-2</c:v>
                  </c:pt>
                  <c:pt idx="4">
                    <c:v>0.18073540260851975</c:v>
                  </c:pt>
                  <c:pt idx="5">
                    <c:v>0.20677734611357854</c:v>
                  </c:pt>
                  <c:pt idx="6">
                    <c:v>0.15626474621881903</c:v>
                  </c:pt>
                  <c:pt idx="7">
                    <c:v>0.18849272230169276</c:v>
                  </c:pt>
                  <c:pt idx="8">
                    <c:v>0.16999925909689542</c:v>
                  </c:pt>
                </c:numCache>
              </c:numRef>
            </c:minus>
          </c:errBars>
          <c:cat>
            <c:strRef>
              <c:f>'R1'!$B$52:$V$52</c:f>
              <c:strCache>
                <c:ptCount val="21"/>
                <c:pt idx="0">
                  <c:v>Témoin solvant</c:v>
                </c:pt>
                <c:pt idx="1">
                  <c:v>EE2-33,8ng/L</c:v>
                </c:pt>
                <c:pt idx="2">
                  <c:v>EE2-50,6ng/L</c:v>
                </c:pt>
                <c:pt idx="3">
                  <c:v>EE2-76ng/L</c:v>
                </c:pt>
                <c:pt idx="4">
                  <c:v>EE2-114ng/L</c:v>
                </c:pt>
                <c:pt idx="5">
                  <c:v>EE2-170,9ng/L</c:v>
                </c:pt>
                <c:pt idx="6">
                  <c:v>EE2-488ng/L</c:v>
                </c:pt>
                <c:pt idx="7">
                  <c:v>Testosterone 3,7µg/L</c:v>
                </c:pt>
                <c:pt idx="8">
                  <c:v>Testosterone 11µg/L</c:v>
                </c:pt>
                <c:pt idx="9">
                  <c:v>Testosterone 33µg/L</c:v>
                </c:pt>
                <c:pt idx="10">
                  <c:v>Testosterone 100µg/L</c:v>
                </c:pt>
                <c:pt idx="11">
                  <c:v>Testosterone 300µg/L</c:v>
                </c:pt>
                <c:pt idx="13">
                  <c:v>Testo -30µg/L</c:v>
                </c:pt>
                <c:pt idx="14">
                  <c:v>Testo 30µg/L + EE2 -64ng/L</c:v>
                </c:pt>
                <c:pt idx="15">
                  <c:v>Testo 30µg/L + FAD-10µg/L</c:v>
                </c:pt>
                <c:pt idx="16">
                  <c:v>Testosterone-3,7µg/L + Testostérone</c:v>
                </c:pt>
                <c:pt idx="17">
                  <c:v>Testosterone-11µg/L + Testostérone</c:v>
                </c:pt>
                <c:pt idx="18">
                  <c:v>Testosterone-33µg/L + Testostérone</c:v>
                </c:pt>
                <c:pt idx="19">
                  <c:v>Testosterone-100µg/L + Testostérone</c:v>
                </c:pt>
                <c:pt idx="20">
                  <c:v>Testosterone-300µg/L + Testostérone</c:v>
                </c:pt>
              </c:strCache>
            </c:strRef>
          </c:cat>
          <c:val>
            <c:numRef>
              <c:f>'R1'!$B$53:$V$53</c:f>
              <c:numCache>
                <c:formatCode>0.0000</c:formatCode>
                <c:ptCount val="21"/>
                <c:pt idx="0">
                  <c:v>6.7877986112858057E-2</c:v>
                </c:pt>
                <c:pt idx="1">
                  <c:v>9.7419361203308949E-2</c:v>
                </c:pt>
                <c:pt idx="2">
                  <c:v>5.2488029899232638E-2</c:v>
                </c:pt>
                <c:pt idx="3">
                  <c:v>0.33776741281569023</c:v>
                </c:pt>
                <c:pt idx="4">
                  <c:v>0.75064908108790673</c:v>
                </c:pt>
                <c:pt idx="5">
                  <c:v>1.4013498230372039</c:v>
                </c:pt>
                <c:pt idx="6">
                  <c:v>2.8586170371762449</c:v>
                </c:pt>
                <c:pt idx="7">
                  <c:v>6.3234617921091793E-2</c:v>
                </c:pt>
                <c:pt idx="8">
                  <c:v>5.953005485504919E-2</c:v>
                </c:pt>
                <c:pt idx="9">
                  <c:v>0.99814065996725765</c:v>
                </c:pt>
                <c:pt idx="10">
                  <c:v>1.3601862930939661</c:v>
                </c:pt>
                <c:pt idx="11">
                  <c:v>1.2278006632326155</c:v>
                </c:pt>
                <c:pt idx="13">
                  <c:v>1</c:v>
                </c:pt>
                <c:pt idx="14">
                  <c:v>2.0190402413405133</c:v>
                </c:pt>
                <c:pt idx="15">
                  <c:v>7.5854092206963916E-2</c:v>
                </c:pt>
                <c:pt idx="16">
                  <c:v>1.2656056523242489</c:v>
                </c:pt>
                <c:pt idx="17">
                  <c:v>1.5327621621008383</c:v>
                </c:pt>
                <c:pt idx="18">
                  <c:v>1.0794143664885516</c:v>
                </c:pt>
                <c:pt idx="19">
                  <c:v>1.0844974756192147</c:v>
                </c:pt>
                <c:pt idx="20">
                  <c:v>1.6055470534586402</c:v>
                </c:pt>
              </c:numCache>
            </c:numRef>
          </c:val>
          <c:extLst>
            <c:ext xmlns:c15="http://schemas.microsoft.com/office/drawing/2012/chart" uri="{02D57815-91ED-43cb-92C2-25804820EDAC}">
              <c15:datalabelsRange>
                <c15:f>'R1'!$B$61:$V$61</c15:f>
                <c15:dlblRangeCache>
                  <c:ptCount val="21"/>
                  <c:pt idx="1">
                    <c:v>NS</c:v>
                  </c:pt>
                  <c:pt idx="2">
                    <c:v>NS</c:v>
                  </c:pt>
                  <c:pt idx="3">
                    <c:v>NS</c:v>
                  </c:pt>
                  <c:pt idx="4">
                    <c:v>*</c:v>
                  </c:pt>
                  <c:pt idx="5">
                    <c:v>**</c:v>
                  </c:pt>
                  <c:pt idx="6">
                    <c:v>***</c:v>
                  </c:pt>
                  <c:pt idx="7">
                    <c:v>NS</c:v>
                  </c:pt>
                  <c:pt idx="8">
                    <c:v>NS</c:v>
                  </c:pt>
                  <c:pt idx="9">
                    <c:v>**</c:v>
                  </c:pt>
                  <c:pt idx="10">
                    <c:v>***</c:v>
                  </c:pt>
                  <c:pt idx="11">
                    <c:v>**</c:v>
                  </c:pt>
                  <c:pt idx="13">
                    <c:v>***</c:v>
                  </c:pt>
                  <c:pt idx="14">
                    <c:v>**</c:v>
                  </c:pt>
                  <c:pt idx="15">
                    <c:v>***</c:v>
                  </c:pt>
                  <c:pt idx="16">
                    <c:v>NS</c:v>
                  </c:pt>
                  <c:pt idx="17">
                    <c:v>NS</c:v>
                  </c:pt>
                  <c:pt idx="18">
                    <c:v>NS</c:v>
                  </c:pt>
                  <c:pt idx="19">
                    <c:v>NS</c:v>
                  </c:pt>
                  <c:pt idx="20">
                    <c:v>NS</c:v>
                  </c:pt>
                </c15:dlblRangeCache>
              </c15:datalabelsRange>
            </c:ext>
            <c:ext xmlns:c16="http://schemas.microsoft.com/office/drawing/2014/chart" uri="{C3380CC4-5D6E-409C-BE32-E72D297353CC}">
              <c16:uniqueId val="{00000000-4E48-433F-93CE-959A7E8575BB}"/>
            </c:ext>
          </c:extLst>
        </c:ser>
        <c:dLbls>
          <c:showLegendKey val="0"/>
          <c:showVal val="1"/>
          <c:showCatName val="0"/>
          <c:showSerName val="0"/>
          <c:showPercent val="0"/>
          <c:showBubbleSize val="0"/>
        </c:dLbls>
        <c:gapWidth val="150"/>
        <c:axId val="324817512"/>
        <c:axId val="324817904"/>
      </c:barChart>
      <c:catAx>
        <c:axId val="324817512"/>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324817904"/>
        <c:crosses val="autoZero"/>
        <c:auto val="1"/>
        <c:lblAlgn val="ctr"/>
        <c:lblOffset val="100"/>
        <c:noMultiLvlLbl val="0"/>
      </c:catAx>
      <c:valAx>
        <c:axId val="324817904"/>
        <c:scaling>
          <c:orientation val="minMax"/>
          <c:max val="3.4"/>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324817512"/>
        <c:crosses val="autoZero"/>
        <c:crossBetween val="between"/>
        <c:majorUnit val="0.2"/>
        <c:minorUnit val="0.1"/>
      </c:valAx>
    </c:plotArea>
    <c:plotVisOnly val="1"/>
    <c:dispBlanksAs val="gap"/>
    <c:showDLblsOverMax val="0"/>
  </c:chart>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0"/>
            <c:invertIfNegative val="0"/>
            <c:bubble3D val="0"/>
            <c:spPr>
              <a:solidFill>
                <a:schemeClr val="tx1"/>
              </a:solidFill>
            </c:spPr>
            <c:extLst>
              <c:ext xmlns:c16="http://schemas.microsoft.com/office/drawing/2014/chart" uri="{C3380CC4-5D6E-409C-BE32-E72D297353CC}">
                <c16:uniqueId val="{00000017-4F1D-4B63-A506-6CFDD2F97559}"/>
              </c:ext>
            </c:extLst>
          </c:dPt>
          <c:dPt>
            <c:idx val="1"/>
            <c:invertIfNegative val="0"/>
            <c:bubble3D val="0"/>
            <c:spPr>
              <a:solidFill>
                <a:srgbClr val="FF0000"/>
              </a:solidFill>
            </c:spPr>
            <c:extLst>
              <c:ext xmlns:c16="http://schemas.microsoft.com/office/drawing/2014/chart" uri="{C3380CC4-5D6E-409C-BE32-E72D297353CC}">
                <c16:uniqueId val="{00000018-4F1D-4B63-A506-6CFDD2F97559}"/>
              </c:ext>
            </c:extLst>
          </c:dPt>
          <c:dPt>
            <c:idx val="2"/>
            <c:invertIfNegative val="0"/>
            <c:bubble3D val="0"/>
            <c:spPr>
              <a:solidFill>
                <a:srgbClr val="FF0000"/>
              </a:solidFill>
            </c:spPr>
            <c:extLst>
              <c:ext xmlns:c16="http://schemas.microsoft.com/office/drawing/2014/chart" uri="{C3380CC4-5D6E-409C-BE32-E72D297353CC}">
                <c16:uniqueId val="{00000019-4F1D-4B63-A506-6CFDD2F97559}"/>
              </c:ext>
            </c:extLst>
          </c:dPt>
          <c:dPt>
            <c:idx val="3"/>
            <c:invertIfNegative val="0"/>
            <c:bubble3D val="0"/>
            <c:spPr>
              <a:solidFill>
                <a:srgbClr val="FF0000"/>
              </a:solidFill>
            </c:spPr>
            <c:extLst>
              <c:ext xmlns:c16="http://schemas.microsoft.com/office/drawing/2014/chart" uri="{C3380CC4-5D6E-409C-BE32-E72D297353CC}">
                <c16:uniqueId val="{0000001A-4F1D-4B63-A506-6CFDD2F97559}"/>
              </c:ext>
            </c:extLst>
          </c:dPt>
          <c:dPt>
            <c:idx val="4"/>
            <c:invertIfNegative val="0"/>
            <c:bubble3D val="0"/>
            <c:spPr>
              <a:solidFill>
                <a:srgbClr val="FF0000"/>
              </a:solidFill>
            </c:spPr>
            <c:extLst>
              <c:ext xmlns:c16="http://schemas.microsoft.com/office/drawing/2014/chart" uri="{C3380CC4-5D6E-409C-BE32-E72D297353CC}">
                <c16:uniqueId val="{0000001B-4F1D-4B63-A506-6CFDD2F97559}"/>
              </c:ext>
            </c:extLst>
          </c:dPt>
          <c:dPt>
            <c:idx val="5"/>
            <c:invertIfNegative val="0"/>
            <c:bubble3D val="0"/>
            <c:spPr>
              <a:solidFill>
                <a:srgbClr val="FF0000"/>
              </a:solidFill>
            </c:spPr>
            <c:extLst>
              <c:ext xmlns:c16="http://schemas.microsoft.com/office/drawing/2014/chart" uri="{C3380CC4-5D6E-409C-BE32-E72D297353CC}">
                <c16:uniqueId val="{0000001C-4F1D-4B63-A506-6CFDD2F97559}"/>
              </c:ext>
            </c:extLst>
          </c:dPt>
          <c:dPt>
            <c:idx val="6"/>
            <c:invertIfNegative val="0"/>
            <c:bubble3D val="0"/>
            <c:spPr>
              <a:solidFill>
                <a:srgbClr val="FF0000"/>
              </a:solidFill>
            </c:spPr>
            <c:extLst>
              <c:ext xmlns:c16="http://schemas.microsoft.com/office/drawing/2014/chart" uri="{C3380CC4-5D6E-409C-BE32-E72D297353CC}">
                <c16:uniqueId val="{0000001D-4F1D-4B63-A506-6CFDD2F97559}"/>
              </c:ext>
            </c:extLst>
          </c:dPt>
          <c:dPt>
            <c:idx val="7"/>
            <c:invertIfNegative val="0"/>
            <c:bubble3D val="0"/>
            <c:spPr>
              <a:solidFill>
                <a:schemeClr val="bg1">
                  <a:lumMod val="65000"/>
                </a:schemeClr>
              </a:solidFill>
            </c:spPr>
            <c:extLst>
              <c:ext xmlns:c16="http://schemas.microsoft.com/office/drawing/2014/chart" uri="{C3380CC4-5D6E-409C-BE32-E72D297353CC}">
                <c16:uniqueId val="{0000001E-4F1D-4B63-A506-6CFDD2F97559}"/>
              </c:ext>
            </c:extLst>
          </c:dPt>
          <c:dPt>
            <c:idx val="8"/>
            <c:invertIfNegative val="0"/>
            <c:bubble3D val="0"/>
            <c:spPr>
              <a:solidFill>
                <a:schemeClr val="bg1">
                  <a:lumMod val="65000"/>
                </a:schemeClr>
              </a:solidFill>
            </c:spPr>
            <c:extLst>
              <c:ext xmlns:c16="http://schemas.microsoft.com/office/drawing/2014/chart" uri="{C3380CC4-5D6E-409C-BE32-E72D297353CC}">
                <c16:uniqueId val="{0000001F-4F1D-4B63-A506-6CFDD2F97559}"/>
              </c:ext>
            </c:extLst>
          </c:dPt>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0"/>
            <c:invertIfNegative val="0"/>
            <c:bubble3D val="0"/>
            <c:spPr>
              <a:solidFill>
                <a:schemeClr val="bg1">
                  <a:lumMod val="65000"/>
                </a:schemeClr>
              </a:solidFill>
            </c:spPr>
            <c:extLst>
              <c:ext xmlns:c16="http://schemas.microsoft.com/office/drawing/2014/chart" uri="{C3380CC4-5D6E-409C-BE32-E72D297353CC}">
                <c16:uniqueId val="{00000020-4F1D-4B63-A506-6CFDD2F97559}"/>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rgbClr val="00B050"/>
              </a:solidFill>
            </c:spPr>
            <c:extLst>
              <c:ext xmlns:c16="http://schemas.microsoft.com/office/drawing/2014/chart" uri="{C3380CC4-5D6E-409C-BE32-E72D297353CC}">
                <c16:uniqueId val="{00000005-EED2-4ACE-91AA-7F8713196E92}"/>
              </c:ext>
            </c:extLst>
          </c:dPt>
          <c:dPt>
            <c:idx val="14"/>
            <c:invertIfNegative val="0"/>
            <c:bubble3D val="0"/>
            <c:spPr>
              <a:solidFill>
                <a:srgbClr val="92D050"/>
              </a:solidFill>
            </c:spPr>
            <c:extLst>
              <c:ext xmlns:c16="http://schemas.microsoft.com/office/drawing/2014/chart" uri="{C3380CC4-5D6E-409C-BE32-E72D297353CC}">
                <c16:uniqueId val="{00000021-4F1D-4B63-A506-6CFDD2F97559}"/>
              </c:ext>
            </c:extLst>
          </c:dPt>
          <c:dPt>
            <c:idx val="15"/>
            <c:invertIfNegative val="0"/>
            <c:bubble3D val="0"/>
            <c:spPr>
              <a:solidFill>
                <a:srgbClr val="92D050"/>
              </a:solidFill>
            </c:spPr>
            <c:extLst>
              <c:ext xmlns:c16="http://schemas.microsoft.com/office/drawing/2014/chart" uri="{C3380CC4-5D6E-409C-BE32-E72D297353CC}">
                <c16:uniqueId val="{00000007-EED2-4ACE-91AA-7F8713196E92}"/>
              </c:ext>
            </c:extLst>
          </c:dPt>
          <c:dPt>
            <c:idx val="16"/>
            <c:invertIfNegative val="0"/>
            <c:bubble3D val="0"/>
            <c:spPr>
              <a:solidFill>
                <a:schemeClr val="accent3">
                  <a:lumMod val="40000"/>
                  <a:lumOff val="60000"/>
                </a:schemeClr>
              </a:solidFill>
            </c:spPr>
            <c:extLst>
              <c:ext xmlns:c16="http://schemas.microsoft.com/office/drawing/2014/chart" uri="{C3380CC4-5D6E-409C-BE32-E72D297353CC}">
                <c16:uniqueId val="{00000022-4F1D-4B63-A506-6CFDD2F97559}"/>
              </c:ext>
            </c:extLst>
          </c:dPt>
          <c:dPt>
            <c:idx val="17"/>
            <c:invertIfNegative val="0"/>
            <c:bubble3D val="0"/>
            <c:spPr>
              <a:solidFill>
                <a:schemeClr val="accent3">
                  <a:lumMod val="40000"/>
                  <a:lumOff val="60000"/>
                </a:schemeClr>
              </a:solidFill>
            </c:spPr>
            <c:extLst>
              <c:ext xmlns:c16="http://schemas.microsoft.com/office/drawing/2014/chart" uri="{C3380CC4-5D6E-409C-BE32-E72D297353CC}">
                <c16:uniqueId val="{00000023-4F1D-4B63-A506-6CFDD2F97559}"/>
              </c:ext>
            </c:extLst>
          </c:dPt>
          <c:dPt>
            <c:idx val="18"/>
            <c:invertIfNegative val="0"/>
            <c:bubble3D val="0"/>
            <c:spPr>
              <a:solidFill>
                <a:schemeClr val="accent3">
                  <a:lumMod val="40000"/>
                  <a:lumOff val="60000"/>
                </a:schemeClr>
              </a:solidFill>
            </c:spPr>
            <c:extLst>
              <c:ext xmlns:c16="http://schemas.microsoft.com/office/drawing/2014/chart" uri="{C3380CC4-5D6E-409C-BE32-E72D297353CC}">
                <c16:uniqueId val="{00000024-4F1D-4B63-A506-6CFDD2F97559}"/>
              </c:ext>
            </c:extLst>
          </c:dPt>
          <c:dPt>
            <c:idx val="19"/>
            <c:invertIfNegative val="0"/>
            <c:bubble3D val="0"/>
            <c:spPr>
              <a:solidFill>
                <a:schemeClr val="accent3">
                  <a:lumMod val="40000"/>
                  <a:lumOff val="60000"/>
                </a:schemeClr>
              </a:solidFill>
            </c:spPr>
            <c:extLst>
              <c:ext xmlns:c16="http://schemas.microsoft.com/office/drawing/2014/chart" uri="{C3380CC4-5D6E-409C-BE32-E72D297353CC}">
                <c16:uniqueId val="{00000025-4F1D-4B63-A506-6CFDD2F97559}"/>
              </c:ext>
            </c:extLst>
          </c:dPt>
          <c:dPt>
            <c:idx val="20"/>
            <c:invertIfNegative val="0"/>
            <c:bubble3D val="0"/>
            <c:spPr>
              <a:solidFill>
                <a:schemeClr val="accent3">
                  <a:lumMod val="40000"/>
                  <a:lumOff val="60000"/>
                </a:schemeClr>
              </a:solidFill>
            </c:spPr>
            <c:extLst>
              <c:ext xmlns:c16="http://schemas.microsoft.com/office/drawing/2014/chart" uri="{C3380CC4-5D6E-409C-BE32-E72D297353CC}">
                <c16:uniqueId val="{00000026-4F1D-4B63-A506-6CFDD2F97559}"/>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dLbls>
            <c:dLbl>
              <c:idx val="0"/>
              <c:tx>
                <c:rich>
                  <a:bodyPr/>
                  <a:lstStyle/>
                  <a:p>
                    <a:fld id="{7A982016-15E7-4EF7-963A-859FD6CD2CB1}"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4F1D-4B63-A506-6CFDD2F97559}"/>
                </c:ext>
              </c:extLst>
            </c:dLbl>
            <c:dLbl>
              <c:idx val="1"/>
              <c:tx>
                <c:rich>
                  <a:bodyPr/>
                  <a:lstStyle/>
                  <a:p>
                    <a:fld id="{9DC38CFC-2B16-48A1-9901-EF4FC6366CE9}"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4F1D-4B63-A506-6CFDD2F97559}"/>
                </c:ext>
              </c:extLst>
            </c:dLbl>
            <c:dLbl>
              <c:idx val="2"/>
              <c:tx>
                <c:rich>
                  <a:bodyPr/>
                  <a:lstStyle/>
                  <a:p>
                    <a:fld id="{96F24451-D10B-4B8B-BB69-714555B5E557}"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4F1D-4B63-A506-6CFDD2F97559}"/>
                </c:ext>
              </c:extLst>
            </c:dLbl>
            <c:dLbl>
              <c:idx val="3"/>
              <c:tx>
                <c:rich>
                  <a:bodyPr/>
                  <a:lstStyle/>
                  <a:p>
                    <a:fld id="{CC5D16D3-A146-4CB0-A7A7-4A2DD0F672A8}"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4F1D-4B63-A506-6CFDD2F97559}"/>
                </c:ext>
              </c:extLst>
            </c:dLbl>
            <c:dLbl>
              <c:idx val="4"/>
              <c:tx>
                <c:rich>
                  <a:bodyPr/>
                  <a:lstStyle/>
                  <a:p>
                    <a:fld id="{5219097B-4B3A-440B-9489-4FA577782090}"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4F1D-4B63-A506-6CFDD2F97559}"/>
                </c:ext>
              </c:extLst>
            </c:dLbl>
            <c:dLbl>
              <c:idx val="5"/>
              <c:tx>
                <c:rich>
                  <a:bodyPr/>
                  <a:lstStyle/>
                  <a:p>
                    <a:fld id="{5C188A00-C354-445C-8572-1A9D6F6A3023}"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4F1D-4B63-A506-6CFDD2F97559}"/>
                </c:ext>
              </c:extLst>
            </c:dLbl>
            <c:dLbl>
              <c:idx val="6"/>
              <c:tx>
                <c:rich>
                  <a:bodyPr/>
                  <a:lstStyle/>
                  <a:p>
                    <a:fld id="{E7197D69-1257-4A7B-A145-49F6B5ADAAA1}"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4F1D-4B63-A506-6CFDD2F97559}"/>
                </c:ext>
              </c:extLst>
            </c:dLbl>
            <c:dLbl>
              <c:idx val="7"/>
              <c:tx>
                <c:rich>
                  <a:bodyPr/>
                  <a:lstStyle/>
                  <a:p>
                    <a:fld id="{2BFA4FEA-0014-43FA-A822-91A11F2724C9}"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4F1D-4B63-A506-6CFDD2F97559}"/>
                </c:ext>
              </c:extLst>
            </c:dLbl>
            <c:dLbl>
              <c:idx val="8"/>
              <c:tx>
                <c:rich>
                  <a:bodyPr/>
                  <a:lstStyle/>
                  <a:p>
                    <a:fld id="{D19DC439-F153-415A-810A-1246A8E741B6}"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4F1D-4B63-A506-6CFDD2F97559}"/>
                </c:ext>
              </c:extLst>
            </c:dLbl>
            <c:dLbl>
              <c:idx val="9"/>
              <c:tx>
                <c:rich>
                  <a:bodyPr/>
                  <a:lstStyle/>
                  <a:p>
                    <a:fld id="{7432FC97-D936-47B5-AD3F-B0FF460BB86E}"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ED2-4ACE-91AA-7F8713196E92}"/>
                </c:ext>
              </c:extLst>
            </c:dLbl>
            <c:dLbl>
              <c:idx val="10"/>
              <c:tx>
                <c:rich>
                  <a:bodyPr/>
                  <a:lstStyle/>
                  <a:p>
                    <a:fld id="{9BF0FB3F-69DC-4012-BDC5-D3EEB09D1C7D}"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4F1D-4B63-A506-6CFDD2F97559}"/>
                </c:ext>
              </c:extLst>
            </c:dLbl>
            <c:dLbl>
              <c:idx val="11"/>
              <c:tx>
                <c:rich>
                  <a:bodyPr/>
                  <a:lstStyle/>
                  <a:p>
                    <a:fld id="{EA435D39-8C0C-4386-A1A4-EAE22F57A629}"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ED2-4ACE-91AA-7F8713196E92}"/>
                </c:ext>
              </c:extLst>
            </c:dLbl>
            <c:dLbl>
              <c:idx val="12"/>
              <c:tx>
                <c:rich>
                  <a:bodyPr/>
                  <a:lstStyle/>
                  <a:p>
                    <a:endParaRPr lang="fr-F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7-4F1D-4B63-A506-6CFDD2F97559}"/>
                </c:ext>
              </c:extLst>
            </c:dLbl>
            <c:dLbl>
              <c:idx val="13"/>
              <c:tx>
                <c:rich>
                  <a:bodyPr/>
                  <a:lstStyle/>
                  <a:p>
                    <a:fld id="{E77B9ED3-D992-44CA-B32E-AE80B430EDB1}"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EED2-4ACE-91AA-7F8713196E92}"/>
                </c:ext>
              </c:extLst>
            </c:dLbl>
            <c:dLbl>
              <c:idx val="14"/>
              <c:tx>
                <c:rich>
                  <a:bodyPr/>
                  <a:lstStyle/>
                  <a:p>
                    <a:fld id="{540ABE60-FBD0-48B7-90CD-3EDFDB287E30}"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4F1D-4B63-A506-6CFDD2F97559}"/>
                </c:ext>
              </c:extLst>
            </c:dLbl>
            <c:dLbl>
              <c:idx val="15"/>
              <c:tx>
                <c:rich>
                  <a:bodyPr/>
                  <a:lstStyle/>
                  <a:p>
                    <a:fld id="{31D6D6D3-7680-458B-9946-9F443A9BB0E6}"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EED2-4ACE-91AA-7F8713196E92}"/>
                </c:ext>
              </c:extLst>
            </c:dLbl>
            <c:dLbl>
              <c:idx val="16"/>
              <c:tx>
                <c:rich>
                  <a:bodyPr/>
                  <a:lstStyle/>
                  <a:p>
                    <a:fld id="{9DEC83D4-46B1-4EFB-AC30-09E3A2234FAD}"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4F1D-4B63-A506-6CFDD2F97559}"/>
                </c:ext>
              </c:extLst>
            </c:dLbl>
            <c:dLbl>
              <c:idx val="17"/>
              <c:tx>
                <c:rich>
                  <a:bodyPr/>
                  <a:lstStyle/>
                  <a:p>
                    <a:fld id="{0C0CA9B8-841E-4D63-9C69-DF571F59327C}"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4F1D-4B63-A506-6CFDD2F97559}"/>
                </c:ext>
              </c:extLst>
            </c:dLbl>
            <c:dLbl>
              <c:idx val="18"/>
              <c:tx>
                <c:rich>
                  <a:bodyPr/>
                  <a:lstStyle/>
                  <a:p>
                    <a:fld id="{05A2AE70-1A0F-4567-B59C-842B360B1A03}"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4F1D-4B63-A506-6CFDD2F97559}"/>
                </c:ext>
              </c:extLst>
            </c:dLbl>
            <c:dLbl>
              <c:idx val="19"/>
              <c:tx>
                <c:rich>
                  <a:bodyPr/>
                  <a:lstStyle/>
                  <a:p>
                    <a:fld id="{CDB9B250-4707-4AA3-9861-24B219B78630}"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4F1D-4B63-A506-6CFDD2F97559}"/>
                </c:ext>
              </c:extLst>
            </c:dLbl>
            <c:dLbl>
              <c:idx val="20"/>
              <c:tx>
                <c:rich>
                  <a:bodyPr/>
                  <a:lstStyle/>
                  <a:p>
                    <a:fld id="{B16A9835-ED59-475A-9252-4D61A5E335FE}"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4F1D-4B63-A506-6CFDD2F97559}"/>
                </c:ext>
              </c:extLst>
            </c:dLbl>
            <c:spPr>
              <a:noFill/>
              <a:ln>
                <a:noFill/>
              </a:ln>
              <a:effectLst/>
            </c:sp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plus"/>
            <c:errValType val="cust"/>
            <c:noEndCap val="0"/>
            <c:plus>
              <c:numRef>
                <c:f>'R2'!$B$54:$V$54</c:f>
                <c:numCache>
                  <c:formatCode>General</c:formatCode>
                  <c:ptCount val="21"/>
                  <c:pt idx="0">
                    <c:v>3.2425518208431675E-2</c:v>
                  </c:pt>
                  <c:pt idx="1">
                    <c:v>1.3618197216180376E-2</c:v>
                  </c:pt>
                  <c:pt idx="2">
                    <c:v>3.0570382411771384E-2</c:v>
                  </c:pt>
                  <c:pt idx="3">
                    <c:v>0.12785382264732545</c:v>
                  </c:pt>
                  <c:pt idx="4">
                    <c:v>0.15598395354914255</c:v>
                  </c:pt>
                  <c:pt idx="5">
                    <c:v>0.18651075552601024</c:v>
                  </c:pt>
                  <c:pt idx="6">
                    <c:v>0.23691622586782388</c:v>
                  </c:pt>
                  <c:pt idx="7">
                    <c:v>3.1006703052656386E-2</c:v>
                  </c:pt>
                  <c:pt idx="8">
                    <c:v>2.2908655362943457E-2</c:v>
                  </c:pt>
                  <c:pt idx="9">
                    <c:v>0.12324141031220316</c:v>
                  </c:pt>
                  <c:pt idx="10">
                    <c:v>0.16015576269631943</c:v>
                  </c:pt>
                  <c:pt idx="11">
                    <c:v>0.22568958866212008</c:v>
                  </c:pt>
                  <c:pt idx="13">
                    <c:v>0.12563587883235158</c:v>
                  </c:pt>
                  <c:pt idx="14">
                    <c:v>0.36628368735779654</c:v>
                  </c:pt>
                  <c:pt idx="15">
                    <c:v>5.6092556790036371E-2</c:v>
                  </c:pt>
                  <c:pt idx="16">
                    <c:v>0.30801037025008959</c:v>
                  </c:pt>
                  <c:pt idx="17">
                    <c:v>0.24925365052348608</c:v>
                  </c:pt>
                  <c:pt idx="18">
                    <c:v>0.19352909388814904</c:v>
                  </c:pt>
                  <c:pt idx="19">
                    <c:v>0.16632422800631591</c:v>
                  </c:pt>
                  <c:pt idx="20">
                    <c:v>0.1293985340582427</c:v>
                  </c:pt>
                </c:numCache>
              </c:numRef>
            </c:plus>
            <c:minus>
              <c:numRef>
                <c:f>'R1'!$N$48:$V$48</c:f>
                <c:numCache>
                  <c:formatCode>General</c:formatCode>
                  <c:ptCount val="9"/>
                  <c:pt idx="0">
                    <c:v>0</c:v>
                  </c:pt>
                  <c:pt idx="1">
                    <c:v>0.17244275552540816</c:v>
                  </c:pt>
                  <c:pt idx="2">
                    <c:v>0.26465158118953219</c:v>
                  </c:pt>
                  <c:pt idx="3">
                    <c:v>1.5226725519421525E-2</c:v>
                  </c:pt>
                  <c:pt idx="4">
                    <c:v>0.18073540260851975</c:v>
                  </c:pt>
                  <c:pt idx="5">
                    <c:v>0.20677734611357854</c:v>
                  </c:pt>
                  <c:pt idx="6">
                    <c:v>0.15626474621881903</c:v>
                  </c:pt>
                  <c:pt idx="7">
                    <c:v>0.18849272230169276</c:v>
                  </c:pt>
                  <c:pt idx="8">
                    <c:v>0.16999925909689542</c:v>
                  </c:pt>
                </c:numCache>
              </c:numRef>
            </c:minus>
          </c:errBars>
          <c:cat>
            <c:strRef>
              <c:f>'R2'!$B$52:$V$52</c:f>
              <c:strCache>
                <c:ptCount val="21"/>
                <c:pt idx="0">
                  <c:v>Témoin solvant</c:v>
                </c:pt>
                <c:pt idx="1">
                  <c:v>EE2-33,8ng/L</c:v>
                </c:pt>
                <c:pt idx="2">
                  <c:v>EE2-50,6ng/L</c:v>
                </c:pt>
                <c:pt idx="3">
                  <c:v>EE2-76ng/L</c:v>
                </c:pt>
                <c:pt idx="4">
                  <c:v>EE2-114ng/L</c:v>
                </c:pt>
                <c:pt idx="5">
                  <c:v>EE2-170,9ng/L</c:v>
                </c:pt>
                <c:pt idx="6">
                  <c:v>EE2-488ng/L</c:v>
                </c:pt>
                <c:pt idx="7">
                  <c:v>Testosterone 3,7µg/L</c:v>
                </c:pt>
                <c:pt idx="8">
                  <c:v>Testosterone 11µg/L</c:v>
                </c:pt>
                <c:pt idx="9">
                  <c:v>Testosterone 33µg/L</c:v>
                </c:pt>
                <c:pt idx="10">
                  <c:v>Testosterone 100µg/L</c:v>
                </c:pt>
                <c:pt idx="11">
                  <c:v>Testosterone 300µg/L</c:v>
                </c:pt>
                <c:pt idx="13">
                  <c:v>Testo -30µg/L</c:v>
                </c:pt>
                <c:pt idx="14">
                  <c:v>Testo 30µg/L + EE2 -64ng/L</c:v>
                </c:pt>
                <c:pt idx="15">
                  <c:v>Testo 30µg/L + FAD-10µg/L</c:v>
                </c:pt>
                <c:pt idx="16">
                  <c:v>Testosterone-3,7µg/L + Testostérone</c:v>
                </c:pt>
                <c:pt idx="17">
                  <c:v>Testosterone-11µg/L + Testostérone</c:v>
                </c:pt>
                <c:pt idx="18">
                  <c:v>Testosterone-33µg/L + Testostérone</c:v>
                </c:pt>
                <c:pt idx="19">
                  <c:v>Testosterone-100µg/L + Testostérone</c:v>
                </c:pt>
                <c:pt idx="20">
                  <c:v>Testosterone-300µg/L + Testostérone</c:v>
                </c:pt>
              </c:strCache>
            </c:strRef>
          </c:cat>
          <c:val>
            <c:numRef>
              <c:f>'R2'!$B$53:$V$53</c:f>
              <c:numCache>
                <c:formatCode>0.0000</c:formatCode>
                <c:ptCount val="21"/>
                <c:pt idx="0">
                  <c:v>6.3333233364315483E-2</c:v>
                </c:pt>
                <c:pt idx="1">
                  <c:v>5.2155312848698988E-2</c:v>
                </c:pt>
                <c:pt idx="2">
                  <c:v>0.11935518633242354</c:v>
                </c:pt>
                <c:pt idx="3">
                  <c:v>0.5086730048545387</c:v>
                </c:pt>
                <c:pt idx="4">
                  <c:v>1.1762912567604127</c:v>
                </c:pt>
                <c:pt idx="5">
                  <c:v>1.6977679346224683</c:v>
                </c:pt>
                <c:pt idx="6">
                  <c:v>3.0741013324126798</c:v>
                </c:pt>
                <c:pt idx="7">
                  <c:v>8.8781271586128724E-2</c:v>
                </c:pt>
                <c:pt idx="8">
                  <c:v>0.1012564042136998</c:v>
                </c:pt>
                <c:pt idx="9">
                  <c:v>0.60716528870437447</c:v>
                </c:pt>
                <c:pt idx="10">
                  <c:v>0.64192603999189246</c:v>
                </c:pt>
                <c:pt idx="11">
                  <c:v>1.0875006852437412</c:v>
                </c:pt>
                <c:pt idx="13">
                  <c:v>1.0000000000000002</c:v>
                </c:pt>
                <c:pt idx="14">
                  <c:v>1.5729471466782072</c:v>
                </c:pt>
                <c:pt idx="15">
                  <c:v>0.20148749999952456</c:v>
                </c:pt>
                <c:pt idx="16">
                  <c:v>1.0608042438388501</c:v>
                </c:pt>
                <c:pt idx="17">
                  <c:v>0.78231037801258729</c:v>
                </c:pt>
                <c:pt idx="18">
                  <c:v>0.76529903234047802</c:v>
                </c:pt>
                <c:pt idx="19">
                  <c:v>0.59396257956807985</c:v>
                </c:pt>
                <c:pt idx="20">
                  <c:v>0.51367105954746783</c:v>
                </c:pt>
              </c:numCache>
            </c:numRef>
          </c:val>
          <c:extLst>
            <c:ext xmlns:c15="http://schemas.microsoft.com/office/drawing/2012/chart" uri="{02D57815-91ED-43cb-92C2-25804820EDAC}">
              <c15:datalabelsRange>
                <c15:f>'R2'!$B$61:$V$61</c15:f>
                <c15:dlblRangeCache>
                  <c:ptCount val="21"/>
                  <c:pt idx="1">
                    <c:v>NS</c:v>
                  </c:pt>
                  <c:pt idx="2">
                    <c:v>NS</c:v>
                  </c:pt>
                  <c:pt idx="3">
                    <c:v>NS</c:v>
                  </c:pt>
                  <c:pt idx="4">
                    <c:v>**</c:v>
                  </c:pt>
                  <c:pt idx="5">
                    <c:v>***</c:v>
                  </c:pt>
                  <c:pt idx="6">
                    <c:v>***</c:v>
                  </c:pt>
                  <c:pt idx="7">
                    <c:v>NS</c:v>
                  </c:pt>
                  <c:pt idx="8">
                    <c:v>NS</c:v>
                  </c:pt>
                  <c:pt idx="9">
                    <c:v>**</c:v>
                  </c:pt>
                  <c:pt idx="10">
                    <c:v>**</c:v>
                  </c:pt>
                  <c:pt idx="11">
                    <c:v>***</c:v>
                  </c:pt>
                  <c:pt idx="13">
                    <c:v>***</c:v>
                  </c:pt>
                  <c:pt idx="14">
                    <c:v>NS</c:v>
                  </c:pt>
                  <c:pt idx="15">
                    <c:v>***</c:v>
                  </c:pt>
                  <c:pt idx="16">
                    <c:v>NS</c:v>
                  </c:pt>
                  <c:pt idx="17">
                    <c:v>NS</c:v>
                  </c:pt>
                  <c:pt idx="18">
                    <c:v>NS</c:v>
                  </c:pt>
                  <c:pt idx="19">
                    <c:v>NS</c:v>
                  </c:pt>
                  <c:pt idx="20">
                    <c:v>NS</c:v>
                  </c:pt>
                </c15:dlblRangeCache>
              </c15:datalabelsRange>
            </c:ext>
            <c:ext xmlns:c16="http://schemas.microsoft.com/office/drawing/2014/chart" uri="{C3380CC4-5D6E-409C-BE32-E72D297353CC}">
              <c16:uniqueId val="{00000016-EED2-4ACE-91AA-7F8713196E92}"/>
            </c:ext>
          </c:extLst>
        </c:ser>
        <c:dLbls>
          <c:showLegendKey val="0"/>
          <c:showVal val="1"/>
          <c:showCatName val="0"/>
          <c:showSerName val="0"/>
          <c:showPercent val="0"/>
          <c:showBubbleSize val="0"/>
        </c:dLbls>
        <c:gapWidth val="150"/>
        <c:axId val="324818296"/>
        <c:axId val="324818688"/>
      </c:barChart>
      <c:catAx>
        <c:axId val="324818296"/>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324818688"/>
        <c:crosses val="autoZero"/>
        <c:auto val="1"/>
        <c:lblAlgn val="ctr"/>
        <c:lblOffset val="100"/>
        <c:noMultiLvlLbl val="0"/>
      </c:catAx>
      <c:valAx>
        <c:axId val="324818688"/>
        <c:scaling>
          <c:orientation val="minMax"/>
          <c:max val="3.4"/>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324818296"/>
        <c:crosses val="autoZero"/>
        <c:crossBetween val="between"/>
        <c:majorUnit val="0.2"/>
      </c:valAx>
    </c:plotArea>
    <c:plotVisOnly val="1"/>
    <c:dispBlanksAs val="gap"/>
    <c:showDLblsOverMax val="0"/>
  </c:chart>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0"/>
            <c:invertIfNegative val="0"/>
            <c:bubble3D val="0"/>
            <c:spPr>
              <a:solidFill>
                <a:schemeClr val="tx1"/>
              </a:solidFill>
            </c:spPr>
            <c:extLst>
              <c:ext xmlns:c16="http://schemas.microsoft.com/office/drawing/2014/chart" uri="{C3380CC4-5D6E-409C-BE32-E72D297353CC}">
                <c16:uniqueId val="{00000017-2304-44BE-B181-BFB79A603CED}"/>
              </c:ext>
            </c:extLst>
          </c:dPt>
          <c:dPt>
            <c:idx val="1"/>
            <c:invertIfNegative val="0"/>
            <c:bubble3D val="0"/>
            <c:spPr>
              <a:solidFill>
                <a:srgbClr val="FF0000"/>
              </a:solidFill>
            </c:spPr>
            <c:extLst>
              <c:ext xmlns:c16="http://schemas.microsoft.com/office/drawing/2014/chart" uri="{C3380CC4-5D6E-409C-BE32-E72D297353CC}">
                <c16:uniqueId val="{00000018-2304-44BE-B181-BFB79A603CED}"/>
              </c:ext>
            </c:extLst>
          </c:dPt>
          <c:dPt>
            <c:idx val="2"/>
            <c:invertIfNegative val="0"/>
            <c:bubble3D val="0"/>
            <c:spPr>
              <a:solidFill>
                <a:srgbClr val="FF0000"/>
              </a:solidFill>
            </c:spPr>
            <c:extLst>
              <c:ext xmlns:c16="http://schemas.microsoft.com/office/drawing/2014/chart" uri="{C3380CC4-5D6E-409C-BE32-E72D297353CC}">
                <c16:uniqueId val="{00000019-2304-44BE-B181-BFB79A603CED}"/>
              </c:ext>
            </c:extLst>
          </c:dPt>
          <c:dPt>
            <c:idx val="3"/>
            <c:invertIfNegative val="0"/>
            <c:bubble3D val="0"/>
            <c:spPr>
              <a:solidFill>
                <a:srgbClr val="FF0000"/>
              </a:solidFill>
            </c:spPr>
            <c:extLst>
              <c:ext xmlns:c16="http://schemas.microsoft.com/office/drawing/2014/chart" uri="{C3380CC4-5D6E-409C-BE32-E72D297353CC}">
                <c16:uniqueId val="{0000001A-2304-44BE-B181-BFB79A603CED}"/>
              </c:ext>
            </c:extLst>
          </c:dPt>
          <c:dPt>
            <c:idx val="4"/>
            <c:invertIfNegative val="0"/>
            <c:bubble3D val="0"/>
            <c:spPr>
              <a:solidFill>
                <a:srgbClr val="FF0000"/>
              </a:solidFill>
            </c:spPr>
            <c:extLst>
              <c:ext xmlns:c16="http://schemas.microsoft.com/office/drawing/2014/chart" uri="{C3380CC4-5D6E-409C-BE32-E72D297353CC}">
                <c16:uniqueId val="{0000001B-2304-44BE-B181-BFB79A603CED}"/>
              </c:ext>
            </c:extLst>
          </c:dPt>
          <c:dPt>
            <c:idx val="5"/>
            <c:invertIfNegative val="0"/>
            <c:bubble3D val="0"/>
            <c:spPr>
              <a:solidFill>
                <a:srgbClr val="FF0000"/>
              </a:solidFill>
            </c:spPr>
            <c:extLst>
              <c:ext xmlns:c16="http://schemas.microsoft.com/office/drawing/2014/chart" uri="{C3380CC4-5D6E-409C-BE32-E72D297353CC}">
                <c16:uniqueId val="{0000001C-2304-44BE-B181-BFB79A603CED}"/>
              </c:ext>
            </c:extLst>
          </c:dPt>
          <c:dPt>
            <c:idx val="6"/>
            <c:invertIfNegative val="0"/>
            <c:bubble3D val="0"/>
            <c:spPr>
              <a:solidFill>
                <a:srgbClr val="FF0000"/>
              </a:solidFill>
            </c:spPr>
            <c:extLst>
              <c:ext xmlns:c16="http://schemas.microsoft.com/office/drawing/2014/chart" uri="{C3380CC4-5D6E-409C-BE32-E72D297353CC}">
                <c16:uniqueId val="{0000001D-2304-44BE-B181-BFB79A603CED}"/>
              </c:ext>
            </c:extLst>
          </c:dPt>
          <c:dPt>
            <c:idx val="7"/>
            <c:invertIfNegative val="0"/>
            <c:bubble3D val="0"/>
            <c:spPr>
              <a:solidFill>
                <a:schemeClr val="bg1">
                  <a:lumMod val="65000"/>
                </a:schemeClr>
              </a:solidFill>
            </c:spPr>
            <c:extLst>
              <c:ext xmlns:c16="http://schemas.microsoft.com/office/drawing/2014/chart" uri="{C3380CC4-5D6E-409C-BE32-E72D297353CC}">
                <c16:uniqueId val="{0000001E-2304-44BE-B181-BFB79A603CED}"/>
              </c:ext>
            </c:extLst>
          </c:dPt>
          <c:dPt>
            <c:idx val="8"/>
            <c:invertIfNegative val="0"/>
            <c:bubble3D val="0"/>
            <c:spPr>
              <a:solidFill>
                <a:schemeClr val="bg1">
                  <a:lumMod val="65000"/>
                </a:schemeClr>
              </a:solidFill>
            </c:spPr>
            <c:extLst>
              <c:ext xmlns:c16="http://schemas.microsoft.com/office/drawing/2014/chart" uri="{C3380CC4-5D6E-409C-BE32-E72D297353CC}">
                <c16:uniqueId val="{00000020-2304-44BE-B181-BFB79A603CED}"/>
              </c:ext>
            </c:extLst>
          </c:dPt>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0"/>
            <c:invertIfNegative val="0"/>
            <c:bubble3D val="0"/>
            <c:spPr>
              <a:solidFill>
                <a:schemeClr val="bg1">
                  <a:lumMod val="65000"/>
                </a:schemeClr>
              </a:solidFill>
            </c:spPr>
            <c:extLst>
              <c:ext xmlns:c16="http://schemas.microsoft.com/office/drawing/2014/chart" uri="{C3380CC4-5D6E-409C-BE32-E72D297353CC}">
                <c16:uniqueId val="{0000001F-2304-44BE-B181-BFB79A603CED}"/>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rgbClr val="00B050"/>
              </a:solidFill>
            </c:spPr>
            <c:extLst>
              <c:ext xmlns:c16="http://schemas.microsoft.com/office/drawing/2014/chart" uri="{C3380CC4-5D6E-409C-BE32-E72D297353CC}">
                <c16:uniqueId val="{00000005-EED2-4ACE-91AA-7F8713196E92}"/>
              </c:ext>
            </c:extLst>
          </c:dPt>
          <c:dPt>
            <c:idx val="14"/>
            <c:invertIfNegative val="0"/>
            <c:bubble3D val="0"/>
            <c:spPr>
              <a:solidFill>
                <a:srgbClr val="92D050"/>
              </a:solidFill>
            </c:spPr>
            <c:extLst>
              <c:ext xmlns:c16="http://schemas.microsoft.com/office/drawing/2014/chart" uri="{C3380CC4-5D6E-409C-BE32-E72D297353CC}">
                <c16:uniqueId val="{00000021-2304-44BE-B181-BFB79A603CED}"/>
              </c:ext>
            </c:extLst>
          </c:dPt>
          <c:dPt>
            <c:idx val="15"/>
            <c:invertIfNegative val="0"/>
            <c:bubble3D val="0"/>
            <c:spPr>
              <a:solidFill>
                <a:srgbClr val="92D050"/>
              </a:solidFill>
            </c:spPr>
            <c:extLst>
              <c:ext xmlns:c16="http://schemas.microsoft.com/office/drawing/2014/chart" uri="{C3380CC4-5D6E-409C-BE32-E72D297353CC}">
                <c16:uniqueId val="{00000007-EED2-4ACE-91AA-7F8713196E92}"/>
              </c:ext>
            </c:extLst>
          </c:dPt>
          <c:dPt>
            <c:idx val="16"/>
            <c:invertIfNegative val="0"/>
            <c:bubble3D val="0"/>
            <c:spPr>
              <a:solidFill>
                <a:schemeClr val="accent3">
                  <a:lumMod val="40000"/>
                  <a:lumOff val="60000"/>
                </a:schemeClr>
              </a:solidFill>
            </c:spPr>
            <c:extLst>
              <c:ext xmlns:c16="http://schemas.microsoft.com/office/drawing/2014/chart" uri="{C3380CC4-5D6E-409C-BE32-E72D297353CC}">
                <c16:uniqueId val="{00000022-2304-44BE-B181-BFB79A603CED}"/>
              </c:ext>
            </c:extLst>
          </c:dPt>
          <c:dPt>
            <c:idx val="17"/>
            <c:invertIfNegative val="0"/>
            <c:bubble3D val="0"/>
            <c:spPr>
              <a:solidFill>
                <a:schemeClr val="accent3">
                  <a:lumMod val="40000"/>
                  <a:lumOff val="60000"/>
                </a:schemeClr>
              </a:solidFill>
            </c:spPr>
            <c:extLst>
              <c:ext xmlns:c16="http://schemas.microsoft.com/office/drawing/2014/chart" uri="{C3380CC4-5D6E-409C-BE32-E72D297353CC}">
                <c16:uniqueId val="{00000023-2304-44BE-B181-BFB79A603CED}"/>
              </c:ext>
            </c:extLst>
          </c:dPt>
          <c:dPt>
            <c:idx val="18"/>
            <c:invertIfNegative val="0"/>
            <c:bubble3D val="0"/>
            <c:spPr>
              <a:solidFill>
                <a:schemeClr val="accent3">
                  <a:lumMod val="40000"/>
                  <a:lumOff val="60000"/>
                </a:schemeClr>
              </a:solidFill>
            </c:spPr>
            <c:extLst>
              <c:ext xmlns:c16="http://schemas.microsoft.com/office/drawing/2014/chart" uri="{C3380CC4-5D6E-409C-BE32-E72D297353CC}">
                <c16:uniqueId val="{00000024-2304-44BE-B181-BFB79A603CED}"/>
              </c:ext>
            </c:extLst>
          </c:dPt>
          <c:dPt>
            <c:idx val="19"/>
            <c:invertIfNegative val="0"/>
            <c:bubble3D val="0"/>
            <c:spPr>
              <a:solidFill>
                <a:schemeClr val="accent3">
                  <a:lumMod val="40000"/>
                  <a:lumOff val="60000"/>
                </a:schemeClr>
              </a:solidFill>
            </c:spPr>
            <c:extLst>
              <c:ext xmlns:c16="http://schemas.microsoft.com/office/drawing/2014/chart" uri="{C3380CC4-5D6E-409C-BE32-E72D297353CC}">
                <c16:uniqueId val="{00000025-2304-44BE-B181-BFB79A603CED}"/>
              </c:ext>
            </c:extLst>
          </c:dPt>
          <c:dPt>
            <c:idx val="20"/>
            <c:invertIfNegative val="0"/>
            <c:bubble3D val="0"/>
            <c:spPr>
              <a:solidFill>
                <a:schemeClr val="accent3">
                  <a:lumMod val="40000"/>
                  <a:lumOff val="60000"/>
                </a:schemeClr>
              </a:solidFill>
            </c:spPr>
            <c:extLst>
              <c:ext xmlns:c16="http://schemas.microsoft.com/office/drawing/2014/chart" uri="{C3380CC4-5D6E-409C-BE32-E72D297353CC}">
                <c16:uniqueId val="{00000026-2304-44BE-B181-BFB79A603CED}"/>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dLbls>
            <c:dLbl>
              <c:idx val="0"/>
              <c:tx>
                <c:rich>
                  <a:bodyPr/>
                  <a:lstStyle/>
                  <a:p>
                    <a:fld id="{F2E6D646-6C28-47D8-8709-B02C04E2E026}"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2304-44BE-B181-BFB79A603CED}"/>
                </c:ext>
              </c:extLst>
            </c:dLbl>
            <c:dLbl>
              <c:idx val="1"/>
              <c:tx>
                <c:rich>
                  <a:bodyPr/>
                  <a:lstStyle/>
                  <a:p>
                    <a:fld id="{FB83065A-FEDC-4AB2-A941-CA8805C8D1FA}"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8-2304-44BE-B181-BFB79A603CED}"/>
                </c:ext>
              </c:extLst>
            </c:dLbl>
            <c:dLbl>
              <c:idx val="2"/>
              <c:tx>
                <c:rich>
                  <a:bodyPr/>
                  <a:lstStyle/>
                  <a:p>
                    <a:fld id="{E434F9C9-678E-4010-8001-1A169F2DD50F}"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9-2304-44BE-B181-BFB79A603CED}"/>
                </c:ext>
              </c:extLst>
            </c:dLbl>
            <c:dLbl>
              <c:idx val="3"/>
              <c:tx>
                <c:rich>
                  <a:bodyPr/>
                  <a:lstStyle/>
                  <a:p>
                    <a:fld id="{F6585362-1AE9-4878-BB0B-4976A29D5C90}"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A-2304-44BE-B181-BFB79A603CED}"/>
                </c:ext>
              </c:extLst>
            </c:dLbl>
            <c:dLbl>
              <c:idx val="4"/>
              <c:tx>
                <c:rich>
                  <a:bodyPr/>
                  <a:lstStyle/>
                  <a:p>
                    <a:fld id="{CEE77F7C-0283-4433-B4B8-C0DC70A95620}"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B-2304-44BE-B181-BFB79A603CED}"/>
                </c:ext>
              </c:extLst>
            </c:dLbl>
            <c:dLbl>
              <c:idx val="5"/>
              <c:tx>
                <c:rich>
                  <a:bodyPr/>
                  <a:lstStyle/>
                  <a:p>
                    <a:fld id="{D5A5AC29-ED96-4092-8E1E-BA00A36A39F1}"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C-2304-44BE-B181-BFB79A603CED}"/>
                </c:ext>
              </c:extLst>
            </c:dLbl>
            <c:dLbl>
              <c:idx val="6"/>
              <c:tx>
                <c:rich>
                  <a:bodyPr/>
                  <a:lstStyle/>
                  <a:p>
                    <a:fld id="{E9A3B111-CFB6-4057-87A4-C8EFD3BBC264}"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D-2304-44BE-B181-BFB79A603CED}"/>
                </c:ext>
              </c:extLst>
            </c:dLbl>
            <c:dLbl>
              <c:idx val="7"/>
              <c:tx>
                <c:rich>
                  <a:bodyPr/>
                  <a:lstStyle/>
                  <a:p>
                    <a:fld id="{53E53693-7430-4A28-81D7-6860C0DD7E1F}"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E-2304-44BE-B181-BFB79A603CED}"/>
                </c:ext>
              </c:extLst>
            </c:dLbl>
            <c:dLbl>
              <c:idx val="8"/>
              <c:tx>
                <c:rich>
                  <a:bodyPr/>
                  <a:lstStyle/>
                  <a:p>
                    <a:fld id="{A7FE6D07-4787-4A0D-8E11-40B1F6790A6A}"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0-2304-44BE-B181-BFB79A603CED}"/>
                </c:ext>
              </c:extLst>
            </c:dLbl>
            <c:dLbl>
              <c:idx val="9"/>
              <c:tx>
                <c:rich>
                  <a:bodyPr/>
                  <a:lstStyle/>
                  <a:p>
                    <a:fld id="{D158F465-4948-4828-B367-6D500E18C2EC}"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EED2-4ACE-91AA-7F8713196E92}"/>
                </c:ext>
              </c:extLst>
            </c:dLbl>
            <c:dLbl>
              <c:idx val="10"/>
              <c:tx>
                <c:rich>
                  <a:bodyPr/>
                  <a:lstStyle/>
                  <a:p>
                    <a:fld id="{C7237926-266E-49F8-B2E7-C77A271CB1F5}"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F-2304-44BE-B181-BFB79A603CED}"/>
                </c:ext>
              </c:extLst>
            </c:dLbl>
            <c:dLbl>
              <c:idx val="11"/>
              <c:tx>
                <c:rich>
                  <a:bodyPr/>
                  <a:lstStyle/>
                  <a:p>
                    <a:fld id="{5E5F0114-F949-4370-90C0-4657E1BB7491}"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ED2-4ACE-91AA-7F8713196E92}"/>
                </c:ext>
              </c:extLst>
            </c:dLbl>
            <c:dLbl>
              <c:idx val="12"/>
              <c:tx>
                <c:rich>
                  <a:bodyPr/>
                  <a:lstStyle/>
                  <a:p>
                    <a:endParaRPr lang="fr-F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7-2304-44BE-B181-BFB79A603CED}"/>
                </c:ext>
              </c:extLst>
            </c:dLbl>
            <c:dLbl>
              <c:idx val="13"/>
              <c:tx>
                <c:rich>
                  <a:bodyPr/>
                  <a:lstStyle/>
                  <a:p>
                    <a:fld id="{7CF7CE9E-E482-4931-810F-A789E56E28F7}"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EED2-4ACE-91AA-7F8713196E92}"/>
                </c:ext>
              </c:extLst>
            </c:dLbl>
            <c:dLbl>
              <c:idx val="14"/>
              <c:tx>
                <c:rich>
                  <a:bodyPr/>
                  <a:lstStyle/>
                  <a:p>
                    <a:fld id="{C798D3FC-2FD1-4D82-BD82-83FC4AA006F1}"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1-2304-44BE-B181-BFB79A603CED}"/>
                </c:ext>
              </c:extLst>
            </c:dLbl>
            <c:dLbl>
              <c:idx val="15"/>
              <c:tx>
                <c:rich>
                  <a:bodyPr/>
                  <a:lstStyle/>
                  <a:p>
                    <a:fld id="{84C301A7-74C3-41ED-AD57-F5FA8DF53122}"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EED2-4ACE-91AA-7F8713196E92}"/>
                </c:ext>
              </c:extLst>
            </c:dLbl>
            <c:dLbl>
              <c:idx val="16"/>
              <c:tx>
                <c:rich>
                  <a:bodyPr/>
                  <a:lstStyle/>
                  <a:p>
                    <a:fld id="{7BC8AE5E-C341-4947-9656-E534A66E8F95}"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2-2304-44BE-B181-BFB79A603CED}"/>
                </c:ext>
              </c:extLst>
            </c:dLbl>
            <c:dLbl>
              <c:idx val="17"/>
              <c:tx>
                <c:rich>
                  <a:bodyPr/>
                  <a:lstStyle/>
                  <a:p>
                    <a:fld id="{777D000A-4ABB-409B-BEEE-D548C51ED937}"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3-2304-44BE-B181-BFB79A603CED}"/>
                </c:ext>
              </c:extLst>
            </c:dLbl>
            <c:dLbl>
              <c:idx val="18"/>
              <c:tx>
                <c:rich>
                  <a:bodyPr/>
                  <a:lstStyle/>
                  <a:p>
                    <a:fld id="{0D50CB1C-28A5-4FD8-836F-D20A02BCF049}"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4-2304-44BE-B181-BFB79A603CED}"/>
                </c:ext>
              </c:extLst>
            </c:dLbl>
            <c:dLbl>
              <c:idx val="19"/>
              <c:tx>
                <c:rich>
                  <a:bodyPr/>
                  <a:lstStyle/>
                  <a:p>
                    <a:fld id="{D9FCC1BD-3A43-4E8C-B9B4-1A3BED83B81E}"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5-2304-44BE-B181-BFB79A603CED}"/>
                </c:ext>
              </c:extLst>
            </c:dLbl>
            <c:dLbl>
              <c:idx val="20"/>
              <c:tx>
                <c:rich>
                  <a:bodyPr/>
                  <a:lstStyle/>
                  <a:p>
                    <a:fld id="{4213F0A0-8A1E-4F43-B649-5C8EDBC571E1}"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6-2304-44BE-B181-BFB79A603CED}"/>
                </c:ext>
              </c:extLst>
            </c:dLbl>
            <c:spPr>
              <a:noFill/>
              <a:ln>
                <a:noFill/>
              </a:ln>
              <a:effectLst/>
            </c:sp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plus"/>
            <c:errValType val="cust"/>
            <c:noEndCap val="0"/>
            <c:plus>
              <c:numRef>
                <c:f>'R3'!$B$54:$V$54</c:f>
                <c:numCache>
                  <c:formatCode>General</c:formatCode>
                  <c:ptCount val="21"/>
                  <c:pt idx="0">
                    <c:v>2.6051680165624293E-2</c:v>
                  </c:pt>
                  <c:pt idx="1">
                    <c:v>1.4459486380457938E-2</c:v>
                  </c:pt>
                  <c:pt idx="2">
                    <c:v>1.9515747571160903E-2</c:v>
                  </c:pt>
                  <c:pt idx="3">
                    <c:v>4.3646951413958524E-2</c:v>
                  </c:pt>
                  <c:pt idx="4">
                    <c:v>0.13434052137602098</c:v>
                  </c:pt>
                  <c:pt idx="5">
                    <c:v>0.12123107218614339</c:v>
                  </c:pt>
                  <c:pt idx="6">
                    <c:v>0.33011736504208072</c:v>
                  </c:pt>
                  <c:pt idx="7">
                    <c:v>2.4968670215788399E-2</c:v>
                  </c:pt>
                  <c:pt idx="8">
                    <c:v>3.5650638780847566E-2</c:v>
                  </c:pt>
                  <c:pt idx="9">
                    <c:v>0.12631041254174283</c:v>
                  </c:pt>
                  <c:pt idx="10">
                    <c:v>0.20128429093562347</c:v>
                  </c:pt>
                  <c:pt idx="11">
                    <c:v>0.16814101139955442</c:v>
                  </c:pt>
                  <c:pt idx="13">
                    <c:v>0.12852823374983244</c:v>
                  </c:pt>
                  <c:pt idx="14">
                    <c:v>0.28619284518128246</c:v>
                  </c:pt>
                  <c:pt idx="15">
                    <c:v>3.6298655493161705E-2</c:v>
                  </c:pt>
                  <c:pt idx="16">
                    <c:v>0.20881136265018618</c:v>
                  </c:pt>
                  <c:pt idx="17">
                    <c:v>0.16261132842802253</c:v>
                  </c:pt>
                  <c:pt idx="18">
                    <c:v>0.10941700073349067</c:v>
                  </c:pt>
                  <c:pt idx="19">
                    <c:v>0.26067820178415951</c:v>
                  </c:pt>
                  <c:pt idx="20">
                    <c:v>0.24938373423202131</c:v>
                  </c:pt>
                </c:numCache>
              </c:numRef>
            </c:plus>
            <c:minus>
              <c:numRef>
                <c:f>'R1'!$N$48:$V$48</c:f>
                <c:numCache>
                  <c:formatCode>General</c:formatCode>
                  <c:ptCount val="9"/>
                  <c:pt idx="0">
                    <c:v>0</c:v>
                  </c:pt>
                  <c:pt idx="1">
                    <c:v>0.17244275552540816</c:v>
                  </c:pt>
                  <c:pt idx="2">
                    <c:v>0.26465158118953219</c:v>
                  </c:pt>
                  <c:pt idx="3">
                    <c:v>1.5226725519421525E-2</c:v>
                  </c:pt>
                  <c:pt idx="4">
                    <c:v>0.18073540260851975</c:v>
                  </c:pt>
                  <c:pt idx="5">
                    <c:v>0.20677734611357854</c:v>
                  </c:pt>
                  <c:pt idx="6">
                    <c:v>0.15626474621881903</c:v>
                  </c:pt>
                  <c:pt idx="7">
                    <c:v>0.18849272230169276</c:v>
                  </c:pt>
                  <c:pt idx="8">
                    <c:v>0.16999925909689542</c:v>
                  </c:pt>
                </c:numCache>
              </c:numRef>
            </c:minus>
          </c:errBars>
          <c:cat>
            <c:strRef>
              <c:f>'R3'!$B$52:$V$52</c:f>
              <c:strCache>
                <c:ptCount val="21"/>
                <c:pt idx="0">
                  <c:v>Témoin solvant</c:v>
                </c:pt>
                <c:pt idx="1">
                  <c:v>EE2-33,8ng/L</c:v>
                </c:pt>
                <c:pt idx="2">
                  <c:v>EE2-50,6ng/L</c:v>
                </c:pt>
                <c:pt idx="3">
                  <c:v>EE2-76ng/L</c:v>
                </c:pt>
                <c:pt idx="4">
                  <c:v>EE2-114ng/L</c:v>
                </c:pt>
                <c:pt idx="5">
                  <c:v>EE2-170,9ng/L</c:v>
                </c:pt>
                <c:pt idx="6">
                  <c:v>EE2-488ng/L</c:v>
                </c:pt>
                <c:pt idx="7">
                  <c:v>Testosterone 3,7µg/L</c:v>
                </c:pt>
                <c:pt idx="8">
                  <c:v>Testosterone 11µg/L</c:v>
                </c:pt>
                <c:pt idx="9">
                  <c:v>Testosterone 33µg/L</c:v>
                </c:pt>
                <c:pt idx="10">
                  <c:v>Testosterone 100µg/L</c:v>
                </c:pt>
                <c:pt idx="11">
                  <c:v>Testosterone 300µg/L</c:v>
                </c:pt>
                <c:pt idx="13">
                  <c:v>Testo -30µg/L</c:v>
                </c:pt>
                <c:pt idx="14">
                  <c:v>Testo 30µg/L + EE2 -64ng/L</c:v>
                </c:pt>
                <c:pt idx="15">
                  <c:v>Testo 30µg/L + FAD-10µg/L</c:v>
                </c:pt>
                <c:pt idx="16">
                  <c:v>Testosterone-3,7µg/L + Testostérone</c:v>
                </c:pt>
                <c:pt idx="17">
                  <c:v>Testosterone-11µg/L + Testostérone</c:v>
                </c:pt>
                <c:pt idx="18">
                  <c:v>Testosterone-33µg/L + Testostérone</c:v>
                </c:pt>
                <c:pt idx="19">
                  <c:v>Testosterone-100µg/L + Testostérone</c:v>
                </c:pt>
                <c:pt idx="20">
                  <c:v>Testosterone-300µg/L + Testostérone</c:v>
                </c:pt>
              </c:strCache>
            </c:strRef>
          </c:cat>
          <c:val>
            <c:numRef>
              <c:f>'R3'!$B$53:$V$53</c:f>
              <c:numCache>
                <c:formatCode>0.0000</c:formatCode>
                <c:ptCount val="21"/>
                <c:pt idx="0">
                  <c:v>5.5647891045661889E-2</c:v>
                </c:pt>
                <c:pt idx="1">
                  <c:v>5.6036508713488045E-2</c:v>
                </c:pt>
                <c:pt idx="2">
                  <c:v>9.3383986935182753E-2</c:v>
                </c:pt>
                <c:pt idx="3">
                  <c:v>0.23225910319856585</c:v>
                </c:pt>
                <c:pt idx="4">
                  <c:v>0.58555002992060989</c:v>
                </c:pt>
                <c:pt idx="5">
                  <c:v>1.2880874164497143</c:v>
                </c:pt>
                <c:pt idx="6">
                  <c:v>2.0158916694462619</c:v>
                </c:pt>
                <c:pt idx="7">
                  <c:v>9.0813510129998415E-2</c:v>
                </c:pt>
                <c:pt idx="8">
                  <c:v>7.4378663108785409E-2</c:v>
                </c:pt>
                <c:pt idx="9">
                  <c:v>0.87637685240135332</c:v>
                </c:pt>
                <c:pt idx="10">
                  <c:v>0.53047392884526245</c:v>
                </c:pt>
                <c:pt idx="11">
                  <c:v>0.75527970231623276</c:v>
                </c:pt>
                <c:pt idx="13">
                  <c:v>1</c:v>
                </c:pt>
                <c:pt idx="14">
                  <c:v>1.3852249132549852</c:v>
                </c:pt>
                <c:pt idx="15">
                  <c:v>0.10246140117566029</c:v>
                </c:pt>
                <c:pt idx="16">
                  <c:v>0.68618044695883462</c:v>
                </c:pt>
                <c:pt idx="17">
                  <c:v>0.3463511299594107</c:v>
                </c:pt>
                <c:pt idx="18">
                  <c:v>0.86973393863521198</c:v>
                </c:pt>
                <c:pt idx="19">
                  <c:v>0.83474773553275106</c:v>
                </c:pt>
                <c:pt idx="20">
                  <c:v>0.90479278662675611</c:v>
                </c:pt>
              </c:numCache>
            </c:numRef>
          </c:val>
          <c:extLst>
            <c:ext xmlns:c15="http://schemas.microsoft.com/office/drawing/2012/chart" uri="{02D57815-91ED-43cb-92C2-25804820EDAC}">
              <c15:datalabelsRange>
                <c15:f>'R3'!$B$61:$V$61</c15:f>
                <c15:dlblRangeCache>
                  <c:ptCount val="21"/>
                  <c:pt idx="1">
                    <c:v>NS</c:v>
                  </c:pt>
                  <c:pt idx="2">
                    <c:v>NS</c:v>
                  </c:pt>
                  <c:pt idx="3">
                    <c:v>NS</c:v>
                  </c:pt>
                  <c:pt idx="4">
                    <c:v>NS</c:v>
                  </c:pt>
                  <c:pt idx="5">
                    <c:v>***</c:v>
                  </c:pt>
                  <c:pt idx="6">
                    <c:v>***</c:v>
                  </c:pt>
                  <c:pt idx="7">
                    <c:v>NS</c:v>
                  </c:pt>
                  <c:pt idx="8">
                    <c:v>NS</c:v>
                  </c:pt>
                  <c:pt idx="9">
                    <c:v>***</c:v>
                  </c:pt>
                  <c:pt idx="10">
                    <c:v>*</c:v>
                  </c:pt>
                  <c:pt idx="11">
                    <c:v>**</c:v>
                  </c:pt>
                  <c:pt idx="13">
                    <c:v>***</c:v>
                  </c:pt>
                  <c:pt idx="14">
                    <c:v>NS</c:v>
                  </c:pt>
                  <c:pt idx="15">
                    <c:v>***</c:v>
                  </c:pt>
                  <c:pt idx="16">
                    <c:v>NS</c:v>
                  </c:pt>
                  <c:pt idx="17">
                    <c:v>*</c:v>
                  </c:pt>
                  <c:pt idx="18">
                    <c:v>NS</c:v>
                  </c:pt>
                  <c:pt idx="19">
                    <c:v>NS</c:v>
                  </c:pt>
                  <c:pt idx="20">
                    <c:v>NS</c:v>
                  </c:pt>
                </c15:dlblRangeCache>
              </c15:datalabelsRange>
            </c:ext>
            <c:ext xmlns:c16="http://schemas.microsoft.com/office/drawing/2014/chart" uri="{C3380CC4-5D6E-409C-BE32-E72D297353CC}">
              <c16:uniqueId val="{00000016-EED2-4ACE-91AA-7F8713196E92}"/>
            </c:ext>
          </c:extLst>
        </c:ser>
        <c:dLbls>
          <c:showLegendKey val="0"/>
          <c:showVal val="1"/>
          <c:showCatName val="0"/>
          <c:showSerName val="0"/>
          <c:showPercent val="0"/>
          <c:showBubbleSize val="0"/>
        </c:dLbls>
        <c:gapWidth val="150"/>
        <c:axId val="434373488"/>
        <c:axId val="434373880"/>
      </c:barChart>
      <c:catAx>
        <c:axId val="434373488"/>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434373880"/>
        <c:crosses val="autoZero"/>
        <c:auto val="1"/>
        <c:lblAlgn val="ctr"/>
        <c:lblOffset val="100"/>
        <c:noMultiLvlLbl val="0"/>
      </c:catAx>
      <c:valAx>
        <c:axId val="434373880"/>
        <c:scaling>
          <c:orientation val="minMax"/>
          <c:max val="3.4"/>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434373488"/>
        <c:crosses val="autoZero"/>
        <c:crossBetween val="between"/>
        <c:majorUnit val="0.2"/>
      </c:valAx>
    </c:plotArea>
    <c:plotVisOnly val="1"/>
    <c:dispBlanksAs val="gap"/>
    <c:showDLblsOverMax val="0"/>
  </c:chart>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fr-FR"/>
              <a:t>Testosterone Pool</a:t>
            </a:r>
          </a:p>
        </c:rich>
      </c:tx>
      <c:overlay val="0"/>
    </c:title>
    <c:autoTitleDeleted val="0"/>
    <c:plotArea>
      <c:layout>
        <c:manualLayout>
          <c:layoutTarget val="inner"/>
          <c:xMode val="edge"/>
          <c:yMode val="edge"/>
          <c:x val="6.8086563142153819E-2"/>
          <c:y val="0.10694631110669023"/>
          <c:w val="0.91688911122572669"/>
          <c:h val="0.69895377069250364"/>
        </c:manualLayout>
      </c:layout>
      <c:barChart>
        <c:barDir val="col"/>
        <c:grouping val="clustered"/>
        <c:varyColors val="0"/>
        <c:ser>
          <c:idx val="0"/>
          <c:order val="0"/>
          <c:tx>
            <c:v>Pool</c:v>
          </c:tx>
          <c:spPr>
            <a:solidFill>
              <a:srgbClr val="00B050"/>
            </a:solidFill>
          </c:spPr>
          <c:invertIfNegative val="0"/>
          <c:dPt>
            <c:idx val="0"/>
            <c:invertIfNegative val="0"/>
            <c:bubble3D val="0"/>
            <c:spPr>
              <a:solidFill>
                <a:schemeClr val="tx1"/>
              </a:solidFill>
            </c:spPr>
            <c:extLst>
              <c:ext xmlns:c16="http://schemas.microsoft.com/office/drawing/2014/chart" uri="{C3380CC4-5D6E-409C-BE32-E72D297353CC}">
                <c16:uniqueId val="{0000002C-033C-4530-84A9-991A3866ABD4}"/>
              </c:ext>
            </c:extLst>
          </c:dPt>
          <c:dPt>
            <c:idx val="1"/>
            <c:invertIfNegative val="0"/>
            <c:bubble3D val="0"/>
            <c:spPr>
              <a:solidFill>
                <a:srgbClr val="FF0000"/>
              </a:solidFill>
            </c:spPr>
            <c:extLst>
              <c:ext xmlns:c16="http://schemas.microsoft.com/office/drawing/2014/chart" uri="{C3380CC4-5D6E-409C-BE32-E72D297353CC}">
                <c16:uniqueId val="{00000001-033C-4530-84A9-991A3866ABD4}"/>
              </c:ext>
            </c:extLst>
          </c:dPt>
          <c:dPt>
            <c:idx val="2"/>
            <c:invertIfNegative val="0"/>
            <c:bubble3D val="0"/>
            <c:spPr>
              <a:solidFill>
                <a:srgbClr val="FF0000"/>
              </a:solidFill>
            </c:spPr>
            <c:extLst>
              <c:ext xmlns:c16="http://schemas.microsoft.com/office/drawing/2014/chart" uri="{C3380CC4-5D6E-409C-BE32-E72D297353CC}">
                <c16:uniqueId val="{00000003-033C-4530-84A9-991A3866ABD4}"/>
              </c:ext>
            </c:extLst>
          </c:dPt>
          <c:dPt>
            <c:idx val="3"/>
            <c:invertIfNegative val="0"/>
            <c:bubble3D val="0"/>
            <c:spPr>
              <a:solidFill>
                <a:srgbClr val="FF0000"/>
              </a:solidFill>
            </c:spPr>
            <c:extLst>
              <c:ext xmlns:c16="http://schemas.microsoft.com/office/drawing/2014/chart" uri="{C3380CC4-5D6E-409C-BE32-E72D297353CC}">
                <c16:uniqueId val="{00000005-033C-4530-84A9-991A3866ABD4}"/>
              </c:ext>
            </c:extLst>
          </c:dPt>
          <c:dPt>
            <c:idx val="4"/>
            <c:invertIfNegative val="0"/>
            <c:bubble3D val="0"/>
            <c:spPr>
              <a:solidFill>
                <a:srgbClr val="FF0000"/>
              </a:solidFill>
            </c:spPr>
            <c:extLst>
              <c:ext xmlns:c16="http://schemas.microsoft.com/office/drawing/2014/chart" uri="{C3380CC4-5D6E-409C-BE32-E72D297353CC}">
                <c16:uniqueId val="{00000007-033C-4530-84A9-991A3866ABD4}"/>
              </c:ext>
            </c:extLst>
          </c:dPt>
          <c:dPt>
            <c:idx val="5"/>
            <c:invertIfNegative val="0"/>
            <c:bubble3D val="0"/>
            <c:spPr>
              <a:solidFill>
                <a:srgbClr val="FF0000"/>
              </a:solidFill>
            </c:spPr>
            <c:extLst>
              <c:ext xmlns:c16="http://schemas.microsoft.com/office/drawing/2014/chart" uri="{C3380CC4-5D6E-409C-BE32-E72D297353CC}">
                <c16:uniqueId val="{00000009-033C-4530-84A9-991A3866ABD4}"/>
              </c:ext>
            </c:extLst>
          </c:dPt>
          <c:dPt>
            <c:idx val="6"/>
            <c:invertIfNegative val="0"/>
            <c:bubble3D val="0"/>
            <c:spPr>
              <a:solidFill>
                <a:srgbClr val="FF0000"/>
              </a:solidFill>
            </c:spPr>
            <c:extLst>
              <c:ext xmlns:c16="http://schemas.microsoft.com/office/drawing/2014/chart" uri="{C3380CC4-5D6E-409C-BE32-E72D297353CC}">
                <c16:uniqueId val="{0000000B-033C-4530-84A9-991A3866ABD4}"/>
              </c:ext>
            </c:extLst>
          </c:dPt>
          <c:dPt>
            <c:idx val="7"/>
            <c:invertIfNegative val="0"/>
            <c:bubble3D val="0"/>
            <c:spPr>
              <a:solidFill>
                <a:schemeClr val="bg1">
                  <a:lumMod val="65000"/>
                </a:schemeClr>
              </a:solidFill>
            </c:spPr>
            <c:extLst>
              <c:ext xmlns:c16="http://schemas.microsoft.com/office/drawing/2014/chart" uri="{C3380CC4-5D6E-409C-BE32-E72D297353CC}">
                <c16:uniqueId val="{0000000D-033C-4530-84A9-991A3866ABD4}"/>
              </c:ext>
            </c:extLst>
          </c:dPt>
          <c:dPt>
            <c:idx val="8"/>
            <c:invertIfNegative val="0"/>
            <c:bubble3D val="0"/>
            <c:spPr>
              <a:solidFill>
                <a:schemeClr val="bg1">
                  <a:lumMod val="65000"/>
                </a:schemeClr>
              </a:solidFill>
            </c:spPr>
            <c:extLst>
              <c:ext xmlns:c16="http://schemas.microsoft.com/office/drawing/2014/chart" uri="{C3380CC4-5D6E-409C-BE32-E72D297353CC}">
                <c16:uniqueId val="{0000000F-033C-4530-84A9-991A3866ABD4}"/>
              </c:ext>
            </c:extLst>
          </c:dPt>
          <c:dPt>
            <c:idx val="9"/>
            <c:invertIfNegative val="0"/>
            <c:bubble3D val="0"/>
            <c:spPr>
              <a:solidFill>
                <a:schemeClr val="bg1">
                  <a:lumMod val="65000"/>
                </a:schemeClr>
              </a:solidFill>
            </c:spPr>
            <c:extLst>
              <c:ext xmlns:c16="http://schemas.microsoft.com/office/drawing/2014/chart" uri="{C3380CC4-5D6E-409C-BE32-E72D297353CC}">
                <c16:uniqueId val="{00000011-033C-4530-84A9-991A3866ABD4}"/>
              </c:ext>
            </c:extLst>
          </c:dPt>
          <c:dPt>
            <c:idx val="10"/>
            <c:invertIfNegative val="0"/>
            <c:bubble3D val="0"/>
            <c:spPr>
              <a:solidFill>
                <a:schemeClr val="bg1">
                  <a:lumMod val="65000"/>
                </a:schemeClr>
              </a:solidFill>
            </c:spPr>
            <c:extLst>
              <c:ext xmlns:c16="http://schemas.microsoft.com/office/drawing/2014/chart" uri="{C3380CC4-5D6E-409C-BE32-E72D297353CC}">
                <c16:uniqueId val="{00000013-033C-4530-84A9-991A3866ABD4}"/>
              </c:ext>
            </c:extLst>
          </c:dPt>
          <c:dPt>
            <c:idx val="11"/>
            <c:invertIfNegative val="0"/>
            <c:bubble3D val="0"/>
            <c:spPr>
              <a:solidFill>
                <a:schemeClr val="bg1">
                  <a:lumMod val="65000"/>
                </a:schemeClr>
              </a:solidFill>
            </c:spPr>
            <c:extLst>
              <c:ext xmlns:c16="http://schemas.microsoft.com/office/drawing/2014/chart" uri="{C3380CC4-5D6E-409C-BE32-E72D297353CC}">
                <c16:uniqueId val="{00000015-033C-4530-84A9-991A3866ABD4}"/>
              </c:ext>
            </c:extLst>
          </c:dPt>
          <c:dPt>
            <c:idx val="12"/>
            <c:invertIfNegative val="0"/>
            <c:bubble3D val="0"/>
            <c:spPr>
              <a:solidFill>
                <a:schemeClr val="tx2">
                  <a:lumMod val="40000"/>
                  <a:lumOff val="60000"/>
                </a:schemeClr>
              </a:solidFill>
            </c:spPr>
            <c:extLst>
              <c:ext xmlns:c16="http://schemas.microsoft.com/office/drawing/2014/chart" uri="{C3380CC4-5D6E-409C-BE32-E72D297353CC}">
                <c16:uniqueId val="{00000017-033C-4530-84A9-991A3866ABD4}"/>
              </c:ext>
            </c:extLst>
          </c:dPt>
          <c:dPt>
            <c:idx val="13"/>
            <c:invertIfNegative val="0"/>
            <c:bubble3D val="0"/>
            <c:extLst>
              <c:ext xmlns:c16="http://schemas.microsoft.com/office/drawing/2014/chart" uri="{C3380CC4-5D6E-409C-BE32-E72D297353CC}">
                <c16:uniqueId val="{00000019-033C-4530-84A9-991A3866ABD4}"/>
              </c:ext>
            </c:extLst>
          </c:dPt>
          <c:dPt>
            <c:idx val="14"/>
            <c:invertIfNegative val="0"/>
            <c:bubble3D val="0"/>
            <c:spPr>
              <a:solidFill>
                <a:srgbClr val="92D050"/>
              </a:solidFill>
            </c:spPr>
            <c:extLst>
              <c:ext xmlns:c16="http://schemas.microsoft.com/office/drawing/2014/chart" uri="{C3380CC4-5D6E-409C-BE32-E72D297353CC}">
                <c16:uniqueId val="{0000001B-033C-4530-84A9-991A3866ABD4}"/>
              </c:ext>
            </c:extLst>
          </c:dPt>
          <c:dPt>
            <c:idx val="15"/>
            <c:invertIfNegative val="0"/>
            <c:bubble3D val="0"/>
            <c:spPr>
              <a:solidFill>
                <a:srgbClr val="92D050"/>
              </a:solidFill>
            </c:spPr>
            <c:extLst>
              <c:ext xmlns:c16="http://schemas.microsoft.com/office/drawing/2014/chart" uri="{C3380CC4-5D6E-409C-BE32-E72D297353CC}">
                <c16:uniqueId val="{0000001D-033C-4530-84A9-991A3866ABD4}"/>
              </c:ext>
            </c:extLst>
          </c:dPt>
          <c:dPt>
            <c:idx val="16"/>
            <c:invertIfNegative val="0"/>
            <c:bubble3D val="0"/>
            <c:spPr>
              <a:solidFill>
                <a:schemeClr val="accent3">
                  <a:lumMod val="40000"/>
                  <a:lumOff val="60000"/>
                </a:schemeClr>
              </a:solidFill>
            </c:spPr>
            <c:extLst>
              <c:ext xmlns:c16="http://schemas.microsoft.com/office/drawing/2014/chart" uri="{C3380CC4-5D6E-409C-BE32-E72D297353CC}">
                <c16:uniqueId val="{0000001F-033C-4530-84A9-991A3866ABD4}"/>
              </c:ext>
            </c:extLst>
          </c:dPt>
          <c:dPt>
            <c:idx val="17"/>
            <c:invertIfNegative val="0"/>
            <c:bubble3D val="0"/>
            <c:spPr>
              <a:solidFill>
                <a:schemeClr val="accent3">
                  <a:lumMod val="40000"/>
                  <a:lumOff val="60000"/>
                </a:schemeClr>
              </a:solidFill>
            </c:spPr>
            <c:extLst>
              <c:ext xmlns:c16="http://schemas.microsoft.com/office/drawing/2014/chart" uri="{C3380CC4-5D6E-409C-BE32-E72D297353CC}">
                <c16:uniqueId val="{00000021-033C-4530-84A9-991A3866ABD4}"/>
              </c:ext>
            </c:extLst>
          </c:dPt>
          <c:dPt>
            <c:idx val="18"/>
            <c:invertIfNegative val="0"/>
            <c:bubble3D val="0"/>
            <c:spPr>
              <a:solidFill>
                <a:schemeClr val="accent3">
                  <a:lumMod val="40000"/>
                  <a:lumOff val="60000"/>
                </a:schemeClr>
              </a:solidFill>
            </c:spPr>
            <c:extLst>
              <c:ext xmlns:c16="http://schemas.microsoft.com/office/drawing/2014/chart" uri="{C3380CC4-5D6E-409C-BE32-E72D297353CC}">
                <c16:uniqueId val="{00000023-033C-4530-84A9-991A3866ABD4}"/>
              </c:ext>
            </c:extLst>
          </c:dPt>
          <c:dPt>
            <c:idx val="19"/>
            <c:invertIfNegative val="0"/>
            <c:bubble3D val="0"/>
            <c:spPr>
              <a:solidFill>
                <a:schemeClr val="accent3">
                  <a:lumMod val="40000"/>
                  <a:lumOff val="60000"/>
                </a:schemeClr>
              </a:solidFill>
            </c:spPr>
            <c:extLst>
              <c:ext xmlns:c16="http://schemas.microsoft.com/office/drawing/2014/chart" uri="{C3380CC4-5D6E-409C-BE32-E72D297353CC}">
                <c16:uniqueId val="{00000025-033C-4530-84A9-991A3866ABD4}"/>
              </c:ext>
            </c:extLst>
          </c:dPt>
          <c:dPt>
            <c:idx val="20"/>
            <c:invertIfNegative val="0"/>
            <c:bubble3D val="0"/>
            <c:spPr>
              <a:solidFill>
                <a:schemeClr val="accent3">
                  <a:lumMod val="40000"/>
                  <a:lumOff val="60000"/>
                </a:schemeClr>
              </a:solidFill>
            </c:spPr>
            <c:extLst>
              <c:ext xmlns:c16="http://schemas.microsoft.com/office/drawing/2014/chart" uri="{C3380CC4-5D6E-409C-BE32-E72D297353CC}">
                <c16:uniqueId val="{00000027-033C-4530-84A9-991A3866ABD4}"/>
              </c:ext>
            </c:extLst>
          </c:dPt>
          <c:dPt>
            <c:idx val="21"/>
            <c:invertIfNegative val="0"/>
            <c:bubble3D val="0"/>
            <c:spPr>
              <a:solidFill>
                <a:schemeClr val="bg1">
                  <a:lumMod val="65000"/>
                </a:schemeClr>
              </a:solidFill>
            </c:spPr>
            <c:extLst>
              <c:ext xmlns:c16="http://schemas.microsoft.com/office/drawing/2014/chart" uri="{C3380CC4-5D6E-409C-BE32-E72D297353CC}">
                <c16:uniqueId val="{00000029-033C-4530-84A9-991A3866ABD4}"/>
              </c:ext>
            </c:extLst>
          </c:dPt>
          <c:dPt>
            <c:idx val="22"/>
            <c:invertIfNegative val="0"/>
            <c:bubble3D val="0"/>
            <c:spPr>
              <a:solidFill>
                <a:schemeClr val="bg1">
                  <a:lumMod val="65000"/>
                </a:schemeClr>
              </a:solidFill>
            </c:spPr>
            <c:extLst>
              <c:ext xmlns:c16="http://schemas.microsoft.com/office/drawing/2014/chart" uri="{C3380CC4-5D6E-409C-BE32-E72D297353CC}">
                <c16:uniqueId val="{0000002B-033C-4530-84A9-991A3866ABD4}"/>
              </c:ext>
            </c:extLst>
          </c:dPt>
          <c:dLbls>
            <c:dLbl>
              <c:idx val="0"/>
              <c:tx>
                <c:rich>
                  <a:bodyPr/>
                  <a:lstStyle/>
                  <a:p>
                    <a:fld id="{A1491267-3CBC-4CC8-88D9-32CE5E635D0E}"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C-033C-4530-84A9-991A3866ABD4}"/>
                </c:ext>
              </c:extLst>
            </c:dLbl>
            <c:dLbl>
              <c:idx val="1"/>
              <c:tx>
                <c:rich>
                  <a:bodyPr/>
                  <a:lstStyle/>
                  <a:p>
                    <a:fld id="{586756FE-A704-45DD-8CD9-38489E027B6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33C-4530-84A9-991A3866ABD4}"/>
                </c:ext>
              </c:extLst>
            </c:dLbl>
            <c:dLbl>
              <c:idx val="2"/>
              <c:tx>
                <c:rich>
                  <a:bodyPr/>
                  <a:lstStyle/>
                  <a:p>
                    <a:fld id="{CE4DBDFE-F02E-41CB-BC71-FF55F818DFB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33C-4530-84A9-991A3866ABD4}"/>
                </c:ext>
              </c:extLst>
            </c:dLbl>
            <c:dLbl>
              <c:idx val="3"/>
              <c:tx>
                <c:rich>
                  <a:bodyPr/>
                  <a:lstStyle/>
                  <a:p>
                    <a:fld id="{5E9865AC-79ED-4B33-B6F1-BDB94C27CBF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33C-4530-84A9-991A3866ABD4}"/>
                </c:ext>
              </c:extLst>
            </c:dLbl>
            <c:dLbl>
              <c:idx val="4"/>
              <c:tx>
                <c:rich>
                  <a:bodyPr/>
                  <a:lstStyle/>
                  <a:p>
                    <a:fld id="{5C43A2A0-1AA6-4850-94FD-07A193F47E4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33C-4530-84A9-991A3866ABD4}"/>
                </c:ext>
              </c:extLst>
            </c:dLbl>
            <c:dLbl>
              <c:idx val="5"/>
              <c:tx>
                <c:rich>
                  <a:bodyPr/>
                  <a:lstStyle/>
                  <a:p>
                    <a:fld id="{41035163-5E74-4C2C-8682-05A47A669CE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33C-4530-84A9-991A3866ABD4}"/>
                </c:ext>
              </c:extLst>
            </c:dLbl>
            <c:dLbl>
              <c:idx val="6"/>
              <c:tx>
                <c:rich>
                  <a:bodyPr/>
                  <a:lstStyle/>
                  <a:p>
                    <a:fld id="{53C6D105-7D3A-4541-8B1B-885ECF41FD5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33C-4530-84A9-991A3866ABD4}"/>
                </c:ext>
              </c:extLst>
            </c:dLbl>
            <c:dLbl>
              <c:idx val="7"/>
              <c:tx>
                <c:rich>
                  <a:bodyPr/>
                  <a:lstStyle/>
                  <a:p>
                    <a:fld id="{D2C7E0A5-F375-4CDF-ADD6-E03C58DF71D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33C-4530-84A9-991A3866ABD4}"/>
                </c:ext>
              </c:extLst>
            </c:dLbl>
            <c:dLbl>
              <c:idx val="8"/>
              <c:tx>
                <c:rich>
                  <a:bodyPr/>
                  <a:lstStyle/>
                  <a:p>
                    <a:fld id="{971FC909-3EE3-4CA6-A44D-F6DAFFD1848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33C-4530-84A9-991A3866ABD4}"/>
                </c:ext>
              </c:extLst>
            </c:dLbl>
            <c:dLbl>
              <c:idx val="9"/>
              <c:tx>
                <c:rich>
                  <a:bodyPr/>
                  <a:lstStyle/>
                  <a:p>
                    <a:fld id="{9A4A9923-A488-4039-B898-6C7F48D7B06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33C-4530-84A9-991A3866ABD4}"/>
                </c:ext>
              </c:extLst>
            </c:dLbl>
            <c:dLbl>
              <c:idx val="10"/>
              <c:tx>
                <c:rich>
                  <a:bodyPr/>
                  <a:lstStyle/>
                  <a:p>
                    <a:fld id="{A0444538-B7D9-4571-AEEC-2466062CC91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33C-4530-84A9-991A3866ABD4}"/>
                </c:ext>
              </c:extLst>
            </c:dLbl>
            <c:dLbl>
              <c:idx val="11"/>
              <c:tx>
                <c:rich>
                  <a:bodyPr/>
                  <a:lstStyle/>
                  <a:p>
                    <a:fld id="{41E2CC25-EB12-4F62-A037-6F38EC10C8C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033C-4530-84A9-991A3866ABD4}"/>
                </c:ext>
              </c:extLst>
            </c:dLbl>
            <c:dLbl>
              <c:idx val="12"/>
              <c:tx>
                <c:rich>
                  <a:bodyPr/>
                  <a:lstStyle/>
                  <a:p>
                    <a:endParaRPr lang="fr-FR"/>
                  </a:p>
                </c:rich>
              </c:tx>
              <c:dLblPos val="outEnd"/>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033C-4530-84A9-991A3866ABD4}"/>
                </c:ext>
              </c:extLst>
            </c:dLbl>
            <c:dLbl>
              <c:idx val="13"/>
              <c:tx>
                <c:rich>
                  <a:bodyPr/>
                  <a:lstStyle/>
                  <a:p>
                    <a:fld id="{3AEF2168-7861-4DC8-8938-245E334ADC7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033C-4530-84A9-991A3866ABD4}"/>
                </c:ext>
              </c:extLst>
            </c:dLbl>
            <c:dLbl>
              <c:idx val="14"/>
              <c:tx>
                <c:rich>
                  <a:bodyPr/>
                  <a:lstStyle/>
                  <a:p>
                    <a:fld id="{169089A6-2788-497E-8D72-983B56D52FD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033C-4530-84A9-991A3866ABD4}"/>
                </c:ext>
              </c:extLst>
            </c:dLbl>
            <c:dLbl>
              <c:idx val="15"/>
              <c:tx>
                <c:rich>
                  <a:bodyPr/>
                  <a:lstStyle/>
                  <a:p>
                    <a:fld id="{2D78E0BE-A7AA-462B-ABDB-36FB1D32DC7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033C-4530-84A9-991A3866ABD4}"/>
                </c:ext>
              </c:extLst>
            </c:dLbl>
            <c:dLbl>
              <c:idx val="16"/>
              <c:tx>
                <c:rich>
                  <a:bodyPr/>
                  <a:lstStyle/>
                  <a:p>
                    <a:fld id="{066C5690-AC2C-4D6A-9666-94E21A98AE7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033C-4530-84A9-991A3866ABD4}"/>
                </c:ext>
              </c:extLst>
            </c:dLbl>
            <c:dLbl>
              <c:idx val="17"/>
              <c:tx>
                <c:rich>
                  <a:bodyPr/>
                  <a:lstStyle/>
                  <a:p>
                    <a:fld id="{6ED17B3E-8991-4752-A571-396F4BA42F6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033C-4530-84A9-991A3866ABD4}"/>
                </c:ext>
              </c:extLst>
            </c:dLbl>
            <c:dLbl>
              <c:idx val="18"/>
              <c:tx>
                <c:rich>
                  <a:bodyPr/>
                  <a:lstStyle/>
                  <a:p>
                    <a:fld id="{811A8FB3-7DFA-40A8-AA5C-0A25CFA949A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033C-4530-84A9-991A3866ABD4}"/>
                </c:ext>
              </c:extLst>
            </c:dLbl>
            <c:dLbl>
              <c:idx val="19"/>
              <c:tx>
                <c:rich>
                  <a:bodyPr/>
                  <a:lstStyle/>
                  <a:p>
                    <a:fld id="{87F0FAE0-3536-488A-87B3-A5833C47F0A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033C-4530-84A9-991A3866ABD4}"/>
                </c:ext>
              </c:extLst>
            </c:dLbl>
            <c:dLbl>
              <c:idx val="20"/>
              <c:tx>
                <c:rich>
                  <a:bodyPr/>
                  <a:lstStyle/>
                  <a:p>
                    <a:fld id="{4D9BE0A6-A657-4ED6-BF39-2960B6A5B66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033C-4530-84A9-991A3866ABD4}"/>
                </c:ext>
              </c:extLst>
            </c:dLbl>
            <c:dLbl>
              <c:idx val="29"/>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033C-4530-84A9-991A3866ABD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plus"/>
            <c:errValType val="cust"/>
            <c:noEndCap val="0"/>
            <c:plus>
              <c:numRef>
                <c:f>'pooled normalised values'!$B$76:$V$76</c:f>
                <c:numCache>
                  <c:formatCode>General</c:formatCode>
                  <c:ptCount val="21"/>
                  <c:pt idx="0">
                    <c:v>1.6210876617294683E-2</c:v>
                  </c:pt>
                  <c:pt idx="1">
                    <c:v>1.1281009231620951E-2</c:v>
                  </c:pt>
                  <c:pt idx="2">
                    <c:v>1.3387563883421934E-2</c:v>
                  </c:pt>
                  <c:pt idx="3">
                    <c:v>7.3877231690285483E-2</c:v>
                  </c:pt>
                  <c:pt idx="4">
                    <c:v>9.3013113264922676E-2</c:v>
                  </c:pt>
                  <c:pt idx="5">
                    <c:v>9.9584543468548614E-2</c:v>
                  </c:pt>
                  <c:pt idx="6">
                    <c:v>0.17449821368879812</c:v>
                  </c:pt>
                  <c:pt idx="7">
                    <c:v>1.4443765681328361E-2</c:v>
                  </c:pt>
                  <c:pt idx="8">
                    <c:v>1.5409889097971408E-2</c:v>
                  </c:pt>
                  <c:pt idx="9">
                    <c:v>0.10842189009936436</c:v>
                  </c:pt>
                  <c:pt idx="10">
                    <c:v>0.12177574503465859</c:v>
                  </c:pt>
                  <c:pt idx="11">
                    <c:v>0.11921507950645623</c:v>
                  </c:pt>
                  <c:pt idx="13">
                    <c:v>8.1657667288199606E-2</c:v>
                  </c:pt>
                  <c:pt idx="14">
                    <c:v>0.17915909284290382</c:v>
                  </c:pt>
                  <c:pt idx="15">
                    <c:v>2.5427586141173873E-2</c:v>
                  </c:pt>
                  <c:pt idx="16">
                    <c:v>0.14094085537935699</c:v>
                  </c:pt>
                  <c:pt idx="17">
                    <c:v>0.15414827742503898</c:v>
                  </c:pt>
                  <c:pt idx="18">
                    <c:v>9.0736930856393963E-2</c:v>
                  </c:pt>
                  <c:pt idx="19">
                    <c:v>0.12372552320755391</c:v>
                  </c:pt>
                  <c:pt idx="20">
                    <c:v>0.1407499139230389</c:v>
                  </c:pt>
                </c:numCache>
              </c:numRef>
            </c:plus>
            <c:minus>
              <c:numRef>
                <c:f>'pooled normalised values'!$B$76:$V$76</c:f>
                <c:numCache>
                  <c:formatCode>General</c:formatCode>
                  <c:ptCount val="21"/>
                  <c:pt idx="0">
                    <c:v>1.6210876617294683E-2</c:v>
                  </c:pt>
                  <c:pt idx="1">
                    <c:v>1.1281009231620951E-2</c:v>
                  </c:pt>
                  <c:pt idx="2">
                    <c:v>1.3387563883421934E-2</c:v>
                  </c:pt>
                  <c:pt idx="3">
                    <c:v>7.3877231690285483E-2</c:v>
                  </c:pt>
                  <c:pt idx="4">
                    <c:v>9.3013113264922676E-2</c:v>
                  </c:pt>
                  <c:pt idx="5">
                    <c:v>9.9584543468548614E-2</c:v>
                  </c:pt>
                  <c:pt idx="6">
                    <c:v>0.17449821368879812</c:v>
                  </c:pt>
                  <c:pt idx="7">
                    <c:v>1.4443765681328361E-2</c:v>
                  </c:pt>
                  <c:pt idx="8">
                    <c:v>1.5409889097971408E-2</c:v>
                  </c:pt>
                  <c:pt idx="9">
                    <c:v>0.10842189009936436</c:v>
                  </c:pt>
                  <c:pt idx="10">
                    <c:v>0.12177574503465859</c:v>
                  </c:pt>
                  <c:pt idx="11">
                    <c:v>0.11921507950645623</c:v>
                  </c:pt>
                  <c:pt idx="13">
                    <c:v>8.1657667288199606E-2</c:v>
                  </c:pt>
                  <c:pt idx="14">
                    <c:v>0.17915909284290382</c:v>
                  </c:pt>
                  <c:pt idx="15">
                    <c:v>2.5427586141173873E-2</c:v>
                  </c:pt>
                  <c:pt idx="16">
                    <c:v>0.14094085537935699</c:v>
                  </c:pt>
                  <c:pt idx="17">
                    <c:v>0.15414827742503898</c:v>
                  </c:pt>
                  <c:pt idx="18">
                    <c:v>9.0736930856393963E-2</c:v>
                  </c:pt>
                  <c:pt idx="19">
                    <c:v>0.12372552320755391</c:v>
                  </c:pt>
                  <c:pt idx="20">
                    <c:v>0.1407499139230389</c:v>
                  </c:pt>
                </c:numCache>
              </c:numRef>
            </c:minus>
          </c:errBars>
          <c:cat>
            <c:strRef>
              <c:f>'pooled normalised values'!$B$74:$V$74</c:f>
              <c:strCache>
                <c:ptCount val="21"/>
                <c:pt idx="0">
                  <c:v>Témoin solvant</c:v>
                </c:pt>
                <c:pt idx="1">
                  <c:v>EE2-33,8ng/L</c:v>
                </c:pt>
                <c:pt idx="2">
                  <c:v>EE2-50,6ng/L</c:v>
                </c:pt>
                <c:pt idx="3">
                  <c:v>EE2-76ng/L</c:v>
                </c:pt>
                <c:pt idx="4">
                  <c:v>EE2-114ng/L</c:v>
                </c:pt>
                <c:pt idx="5">
                  <c:v>EE2-170,9ng/L</c:v>
                </c:pt>
                <c:pt idx="6">
                  <c:v>EE2-488ng/L</c:v>
                </c:pt>
                <c:pt idx="7">
                  <c:v>Testosterone 3,7µg/L</c:v>
                </c:pt>
                <c:pt idx="8">
                  <c:v>Testosterone 11µg/L</c:v>
                </c:pt>
                <c:pt idx="9">
                  <c:v>Testosterone 33µg/L</c:v>
                </c:pt>
                <c:pt idx="10">
                  <c:v>Testosterone 100µg/L</c:v>
                </c:pt>
                <c:pt idx="11">
                  <c:v>Testosterone 300µg/L</c:v>
                </c:pt>
                <c:pt idx="13">
                  <c:v>Testo -30µg/L</c:v>
                </c:pt>
                <c:pt idx="14">
                  <c:v>Testo 30µg/L + EE2 -64ng/L</c:v>
                </c:pt>
                <c:pt idx="15">
                  <c:v>Testo 30µg/L + FAD-10µg/L</c:v>
                </c:pt>
                <c:pt idx="16">
                  <c:v>Testosterone-3,7µg/L + Testostérone</c:v>
                </c:pt>
                <c:pt idx="17">
                  <c:v>Testosterone-11µg/L + Testostérone</c:v>
                </c:pt>
                <c:pt idx="18">
                  <c:v>Testosterone-33µg/L + Testostérone</c:v>
                </c:pt>
                <c:pt idx="19">
                  <c:v>Testosterone-100µg/L + Testostérone</c:v>
                </c:pt>
                <c:pt idx="20">
                  <c:v>Testosterone-300µg/L + Testostérone</c:v>
                </c:pt>
              </c:strCache>
            </c:strRef>
          </c:cat>
          <c:val>
            <c:numRef>
              <c:f>'pooled normalised values'!$B$75:$V$75</c:f>
              <c:numCache>
                <c:formatCode>0.0000</c:formatCode>
                <c:ptCount val="21"/>
                <c:pt idx="0">
                  <c:v>6.2286370174278488E-2</c:v>
                </c:pt>
                <c:pt idx="1">
                  <c:v>6.853706092183201E-2</c:v>
                </c:pt>
                <c:pt idx="2">
                  <c:v>8.8409067722279633E-2</c:v>
                </c:pt>
                <c:pt idx="3">
                  <c:v>0.36510161146746928</c:v>
                </c:pt>
                <c:pt idx="4">
                  <c:v>0.84845099618394892</c:v>
                </c:pt>
                <c:pt idx="5">
                  <c:v>1.4650561552103429</c:v>
                </c:pt>
                <c:pt idx="6">
                  <c:v>2.6495366796783957</c:v>
                </c:pt>
                <c:pt idx="7">
                  <c:v>8.0943133212406315E-2</c:v>
                </c:pt>
                <c:pt idx="8">
                  <c:v>7.8562709317890861E-2</c:v>
                </c:pt>
                <c:pt idx="9">
                  <c:v>0.82722760035766196</c:v>
                </c:pt>
                <c:pt idx="10">
                  <c:v>0.8441954206437069</c:v>
                </c:pt>
                <c:pt idx="11">
                  <c:v>1.0207455530911727</c:v>
                </c:pt>
                <c:pt idx="13">
                  <c:v>1.0000000000000002</c:v>
                </c:pt>
                <c:pt idx="14">
                  <c:v>1.659070767091235</c:v>
                </c:pt>
                <c:pt idx="15">
                  <c:v>0.12880738499348809</c:v>
                </c:pt>
                <c:pt idx="16">
                  <c:v>1.0041967810406445</c:v>
                </c:pt>
                <c:pt idx="17">
                  <c:v>0.88714122335761203</c:v>
                </c:pt>
                <c:pt idx="18">
                  <c:v>0.9048157791547472</c:v>
                </c:pt>
                <c:pt idx="19">
                  <c:v>0.82700716739744118</c:v>
                </c:pt>
                <c:pt idx="20">
                  <c:v>1.0080036332109545</c:v>
                </c:pt>
              </c:numCache>
            </c:numRef>
          </c:val>
          <c:extLst>
            <c:ext xmlns:c15="http://schemas.microsoft.com/office/drawing/2012/chart" uri="{02D57815-91ED-43cb-92C2-25804820EDAC}">
              <c15:datalabelsRange>
                <c15:f>'pooled normalised values'!$B$83:$V$83</c15:f>
                <c15:dlblRangeCache>
                  <c:ptCount val="21"/>
                  <c:pt idx="1">
                    <c:v>NS</c:v>
                  </c:pt>
                  <c:pt idx="2">
                    <c:v>NS</c:v>
                  </c:pt>
                  <c:pt idx="3">
                    <c:v>**</c:v>
                  </c:pt>
                  <c:pt idx="4">
                    <c:v>***</c:v>
                  </c:pt>
                  <c:pt idx="5">
                    <c:v>***</c:v>
                  </c:pt>
                  <c:pt idx="6">
                    <c:v>***</c:v>
                  </c:pt>
                  <c:pt idx="7">
                    <c:v>NS</c:v>
                  </c:pt>
                  <c:pt idx="8">
                    <c:v>NS</c:v>
                  </c:pt>
                  <c:pt idx="9">
                    <c:v>***</c:v>
                  </c:pt>
                  <c:pt idx="10">
                    <c:v>***</c:v>
                  </c:pt>
                  <c:pt idx="11">
                    <c:v>***</c:v>
                  </c:pt>
                  <c:pt idx="13">
                    <c:v>***</c:v>
                  </c:pt>
                  <c:pt idx="14">
                    <c:v>**</c:v>
                  </c:pt>
                  <c:pt idx="15">
                    <c:v>***</c:v>
                  </c:pt>
                  <c:pt idx="16">
                    <c:v>NS</c:v>
                  </c:pt>
                  <c:pt idx="17">
                    <c:v>NS</c:v>
                  </c:pt>
                  <c:pt idx="18">
                    <c:v>NS</c:v>
                  </c:pt>
                  <c:pt idx="19">
                    <c:v>NS</c:v>
                  </c:pt>
                  <c:pt idx="20">
                    <c:v>NS</c:v>
                  </c:pt>
                </c15:dlblRangeCache>
              </c15:datalabelsRange>
            </c:ext>
            <c:ext xmlns:c16="http://schemas.microsoft.com/office/drawing/2014/chart" uri="{C3380CC4-5D6E-409C-BE32-E72D297353CC}">
              <c16:uniqueId val="{0000004B-033C-4530-84A9-991A3866ABD4}"/>
            </c:ext>
          </c:extLst>
        </c:ser>
        <c:dLbls>
          <c:showLegendKey val="0"/>
          <c:showVal val="0"/>
          <c:showCatName val="0"/>
          <c:showSerName val="0"/>
          <c:showPercent val="0"/>
          <c:showBubbleSize val="0"/>
        </c:dLbls>
        <c:gapWidth val="150"/>
        <c:axId val="434374272"/>
        <c:axId val="434374664"/>
      </c:barChart>
      <c:catAx>
        <c:axId val="434374272"/>
        <c:scaling>
          <c:orientation val="minMax"/>
        </c:scaling>
        <c:delete val="0"/>
        <c:axPos val="b"/>
        <c:numFmt formatCode="General" sourceLinked="0"/>
        <c:majorTickMark val="out"/>
        <c:minorTickMark val="none"/>
        <c:tickLblPos val="nextTo"/>
        <c:txPr>
          <a:bodyPr rot="-2700000"/>
          <a:lstStyle/>
          <a:p>
            <a:pPr>
              <a:defRPr lang="en-GB" sz="1000"/>
            </a:pPr>
            <a:endParaRPr lang="fr-FR"/>
          </a:p>
        </c:txPr>
        <c:crossAx val="434374664"/>
        <c:crosses val="autoZero"/>
        <c:auto val="1"/>
        <c:lblAlgn val="ctr"/>
        <c:lblOffset val="100"/>
        <c:noMultiLvlLbl val="0"/>
      </c:catAx>
      <c:valAx>
        <c:axId val="434374664"/>
        <c:scaling>
          <c:orientation val="minMax"/>
          <c:max val="3.4"/>
          <c:min val="0"/>
        </c:scaling>
        <c:delete val="0"/>
        <c:axPos val="l"/>
        <c:majorGridlines/>
        <c:title>
          <c:tx>
            <c:rich>
              <a:bodyPr rot="-5400000" vert="horz"/>
              <a:lstStyle/>
              <a:p>
                <a:pPr>
                  <a:defRPr lang="en-GB" sz="1400"/>
                </a:pPr>
                <a:r>
                  <a:rPr lang="en-US" sz="1400"/>
                  <a:t>fluorescence totale (unités arbitraires)</a:t>
                </a:r>
              </a:p>
            </c:rich>
          </c:tx>
          <c:overlay val="0"/>
        </c:title>
        <c:numFmt formatCode="0.0" sourceLinked="0"/>
        <c:majorTickMark val="out"/>
        <c:minorTickMark val="none"/>
        <c:tickLblPos val="nextTo"/>
        <c:txPr>
          <a:bodyPr/>
          <a:lstStyle/>
          <a:p>
            <a:pPr>
              <a:defRPr lang="en-GB"/>
            </a:pPr>
            <a:endParaRPr lang="fr-FR"/>
          </a:p>
        </c:txPr>
        <c:crossAx val="434374272"/>
        <c:crosses val="autoZero"/>
        <c:crossBetween val="between"/>
      </c:valAx>
    </c:plotArea>
    <c:plotVisOnly val="1"/>
    <c:dispBlanksAs val="gap"/>
    <c:showDLblsOverMax val="0"/>
  </c:char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5E88AC78-30D4-42FF-910A-07E69F69A112}"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Testosterone-3,7µg/L : 0%</c:v>
                  </c:pt>
                  <c:pt idx="1">
                    <c:v>Testosterone-11µg/L : 0%</c:v>
                  </c:pt>
                  <c:pt idx="2">
                    <c:v>#NOMBRE!</c:v>
                  </c:pt>
                  <c:pt idx="3">
                    <c:v>#NOMBRE!</c:v>
                  </c:pt>
                  <c:pt idx="4">
                    <c:v>#NOMBRE!</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5448"/>
        <c:axId val="434375840"/>
      </c:scatterChart>
      <c:valAx>
        <c:axId val="434375448"/>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5840"/>
        <c:crosses val="autoZero"/>
        <c:crossBetween val="midCat"/>
        <c:majorUnit val="25"/>
      </c:valAx>
      <c:valAx>
        <c:axId val="434375840"/>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5448"/>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D28F3100-2D37-41F9-B47C-EC62E74CA322}"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Testosterone-3,7µg/L : 0%</c:v>
                  </c:pt>
                  <c:pt idx="1">
                    <c:v>Testosterone-11µg/L : 0%</c:v>
                  </c:pt>
                  <c:pt idx="2">
                    <c:v>Testosterone-33µg/L : 0%</c:v>
                  </c:pt>
                  <c:pt idx="3">
                    <c:v>Testosterone-100µg/L : 0%</c:v>
                  </c:pt>
                  <c:pt idx="4">
                    <c:v>Testosterone-300µg/L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6624"/>
        <c:axId val="434377016"/>
      </c:scatterChart>
      <c:valAx>
        <c:axId val="43437662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7016"/>
        <c:crosses val="autoZero"/>
        <c:crossBetween val="midCat"/>
        <c:majorUnit val="25"/>
      </c:valAx>
      <c:valAx>
        <c:axId val="43437701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662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CC82EA90-4D89-4CBA-A749-D2FF52953C47}"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Testosterone-3,7µg/L : 0%</c:v>
                  </c:pt>
                  <c:pt idx="1">
                    <c:v>Testosterone-11µg/L : 0%</c:v>
                  </c:pt>
                  <c:pt idx="2">
                    <c:v>#NOMBRE!</c:v>
                  </c:pt>
                  <c:pt idx="3">
                    <c:v>#NOMBRE!</c:v>
                  </c:pt>
                  <c:pt idx="4">
                    <c:v>#NOMBRE!</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7800"/>
        <c:axId val="434378192"/>
      </c:scatterChart>
      <c:valAx>
        <c:axId val="434377800"/>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192"/>
        <c:crosses val="autoZero"/>
        <c:crossBetween val="midCat"/>
        <c:majorUnit val="25"/>
      </c:valAx>
      <c:valAx>
        <c:axId val="434378192"/>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7800"/>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3948C0F4-E854-46A9-9773-E80AB9A367F4}"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Testosterone-3,7µg/L : 0%</c:v>
                  </c:pt>
                  <c:pt idx="1">
                    <c:v>Testosterone-11µg/L : 0%</c:v>
                  </c:pt>
                  <c:pt idx="2">
                    <c:v>Testosterone-33µg/L : 0%</c:v>
                  </c:pt>
                  <c:pt idx="3">
                    <c:v>Testosterone-100µg/L : 0%</c:v>
                  </c:pt>
                  <c:pt idx="4">
                    <c:v>Testosterone-300µg/L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2704"/>
        <c:axId val="434378976"/>
      </c:scatterChart>
      <c:valAx>
        <c:axId val="43437270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976"/>
        <c:crosses val="autoZero"/>
        <c:crossBetween val="midCat"/>
        <c:majorUnit val="25"/>
      </c:valAx>
      <c:valAx>
        <c:axId val="43437897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270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Testosterone 11µg/L</c:v>
                </c:pt>
                <c:pt idx="2">
                  <c:v>Testosterone 33µg/L</c:v>
                </c:pt>
                <c:pt idx="3">
                  <c:v>Testosterone 100µg/L</c:v>
                </c:pt>
                <c:pt idx="4">
                  <c:v>Testosterone 300µg/L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Testosterone 11µg/L</c:v>
                </c:pt>
                <c:pt idx="2">
                  <c:v>Testosterone 33µg/L</c:v>
                </c:pt>
                <c:pt idx="3">
                  <c:v>Testosterone 100µg/L</c:v>
                </c:pt>
                <c:pt idx="4">
                  <c:v>Testosterone 300µg/L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Testosterone 11µg/L</c:v>
                </c:pt>
                <c:pt idx="2">
                  <c:v>Testosterone 33µg/L</c:v>
                </c:pt>
                <c:pt idx="3">
                  <c:v>Testosterone 100µg/L</c:v>
                </c:pt>
                <c:pt idx="4">
                  <c:v>Testosterone 300µg/L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79760"/>
        <c:axId val="434380152"/>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DD060253-1522-4DCD-8DA0-842E2BE4B455}"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469ACD32-5814-40E8-BEB6-53EC5D484D7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08B5-430B-9986-9EC2C1992644}"/>
                </c:ext>
              </c:extLst>
            </c:dLbl>
            <c:dLbl>
              <c:idx val="2"/>
              <c:tx>
                <c:rich>
                  <a:bodyPr/>
                  <a:lstStyle/>
                  <a:p>
                    <a:fld id="{588DD8CF-7BF2-4908-8897-5EF60D2AA2A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8B5-430B-9986-9EC2C1992644}"/>
                </c:ext>
              </c:extLst>
            </c:dLbl>
            <c:dLbl>
              <c:idx val="3"/>
              <c:tx>
                <c:rich>
                  <a:bodyPr/>
                  <a:lstStyle/>
                  <a:p>
                    <a:fld id="{F803DE53-8C4D-48EA-B82F-7D1868CD4A7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8B5-430B-9986-9EC2C1992644}"/>
                </c:ext>
              </c:extLst>
            </c:dLbl>
            <c:dLbl>
              <c:idx val="4"/>
              <c:tx>
                <c:rich>
                  <a:bodyPr/>
                  <a:lstStyle/>
                  <a:p>
                    <a:fld id="{BAC24617-47B5-4888-B5D7-36A2E1BA531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8B5-430B-9986-9EC2C1992644}"/>
                </c:ext>
              </c:extLst>
            </c:dLbl>
            <c:dLbl>
              <c:idx val="5"/>
              <c:tx>
                <c:rich>
                  <a:bodyPr/>
                  <a:lstStyle/>
                  <a:p>
                    <a:fld id="{E6BACB32-D45F-4DD0-BD80-B5CA885B63C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8B5-430B-9986-9EC2C1992644}"/>
                </c:ext>
              </c:extLst>
            </c:dLbl>
            <c:dLbl>
              <c:idx val="6"/>
              <c:tx>
                <c:rich>
                  <a:bodyPr/>
                  <a:lstStyle/>
                  <a:p>
                    <a:fld id="{61DF070B-0C52-410A-BE3B-1A38DC2B3AE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8B5-430B-9986-9EC2C1992644}"/>
                </c:ext>
              </c:extLst>
            </c:dLbl>
            <c:dLbl>
              <c:idx val="7"/>
              <c:tx>
                <c:rich>
                  <a:bodyPr/>
                  <a:lstStyle/>
                  <a:p>
                    <a:fld id="{C806B880-00A3-4D9D-928A-3B839AC760C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8B5-430B-9986-9EC2C1992644}"/>
                </c:ext>
              </c:extLst>
            </c:dLbl>
            <c:dLbl>
              <c:idx val="8"/>
              <c:tx>
                <c:rich>
                  <a:bodyPr/>
                  <a:lstStyle/>
                  <a:p>
                    <a:fld id="{BB735EA7-6E4D-4C11-B2B5-28E8C5FFA3E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8B5-430B-9986-9EC2C1992644}"/>
                </c:ext>
              </c:extLst>
            </c:dLbl>
            <c:dLbl>
              <c:idx val="9"/>
              <c:tx>
                <c:rich>
                  <a:bodyPr/>
                  <a:lstStyle/>
                  <a:p>
                    <a:fld id="{D2BAB183-5C1D-49A3-AC0E-CF1AD7CDAF9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8B5-430B-9986-9EC2C1992644}"/>
                </c:ext>
              </c:extLst>
            </c:dLbl>
            <c:dLbl>
              <c:idx val="10"/>
              <c:tx>
                <c:rich>
                  <a:bodyPr/>
                  <a:lstStyle/>
                  <a:p>
                    <a:fld id="{47D27AC3-96EC-49F2-BD31-16F09612DF3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8B5-430B-9986-9EC2C1992644}"/>
                </c:ext>
              </c:extLst>
            </c:dLbl>
            <c:dLbl>
              <c:idx val="11"/>
              <c:tx>
                <c:rich>
                  <a:bodyPr/>
                  <a:lstStyle/>
                  <a:p>
                    <a:fld id="{5F6A2992-34E2-49B1-881E-3972716A32C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8B5-430B-9986-9EC2C1992644}"/>
                </c:ext>
              </c:extLst>
            </c:dLbl>
            <c:dLbl>
              <c:idx val="12"/>
              <c:tx>
                <c:rich>
                  <a:bodyPr/>
                  <a:lstStyle/>
                  <a:p>
                    <a:fld id="{C720AD2B-9B28-4EAB-B273-0301C9427C2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8B5-430B-9986-9EC2C1992644}"/>
                </c:ext>
              </c:extLst>
            </c:dLbl>
            <c:dLbl>
              <c:idx val="13"/>
              <c:tx>
                <c:rich>
                  <a:bodyPr/>
                  <a:lstStyle/>
                  <a:p>
                    <a:fld id="{FD1FBF26-45C0-40F7-AEE6-D95F0A590DD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8B5-430B-9986-9EC2C1992644}"/>
                </c:ext>
              </c:extLst>
            </c:dLbl>
            <c:dLbl>
              <c:idx val="14"/>
              <c:tx>
                <c:rich>
                  <a:bodyPr/>
                  <a:lstStyle/>
                  <a:p>
                    <a:fld id="{2D77D740-7F5D-4493-874C-2507640C7EB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8B5-430B-9986-9EC2C1992644}"/>
                </c:ext>
              </c:extLst>
            </c:dLbl>
            <c:dLbl>
              <c:idx val="15"/>
              <c:tx>
                <c:rich>
                  <a:bodyPr/>
                  <a:lstStyle/>
                  <a:p>
                    <a:fld id="{40AAC0A9-2014-42B1-A68E-0EDC5965A9D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08B5-430B-9986-9EC2C199264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1.5409889097971408E-2</c:v>
                  </c:pt>
                  <c:pt idx="2">
                    <c:v>0.10842189009936436</c:v>
                  </c:pt>
                  <c:pt idx="3">
                    <c:v>0.12177574503465859</c:v>
                  </c:pt>
                  <c:pt idx="4">
                    <c:v>0.11921507950645623</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1.5409889097971408E-2</c:v>
                  </c:pt>
                  <c:pt idx="2">
                    <c:v>0.10842189009936436</c:v>
                  </c:pt>
                  <c:pt idx="3">
                    <c:v>0.12177574503465859</c:v>
                  </c:pt>
                  <c:pt idx="4">
                    <c:v>0.11921507950645623</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Testosterone 11µg/L</c:v>
                </c:pt>
                <c:pt idx="2">
                  <c:v>Testosterone 33µg/L</c:v>
                </c:pt>
                <c:pt idx="3">
                  <c:v>Testosterone 100µg/L</c:v>
                </c:pt>
                <c:pt idx="4">
                  <c:v>Testosterone 300µg/L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7.8562709317890861E-2</c:v>
                </c:pt>
                <c:pt idx="2">
                  <c:v>0.82722760035766196</c:v>
                </c:pt>
                <c:pt idx="3">
                  <c:v>0.8441954206437069</c:v>
                </c:pt>
                <c:pt idx="4">
                  <c:v>1.0207455530911727</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c:v>
                  </c:pt>
                  <c:pt idx="3">
                    <c:v>***</c:v>
                  </c:pt>
                  <c:pt idx="4">
                    <c:v>***</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79760"/>
        <c:axId val="434380152"/>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6.2286370174278488E-2</c:v>
                </c:pt>
                <c:pt idx="1">
                  <c:v>6.2286370174278488E-2</c:v>
                </c:pt>
                <c:pt idx="2">
                  <c:v>6.2286370174278488E-2</c:v>
                </c:pt>
                <c:pt idx="3">
                  <c:v>6.2286370174278488E-2</c:v>
                </c:pt>
                <c:pt idx="4">
                  <c:v>6.2286370174278488E-2</c:v>
                </c:pt>
                <c:pt idx="5">
                  <c:v>6.2286370174278488E-2</c:v>
                </c:pt>
                <c:pt idx="6">
                  <c:v>6.2286370174278488E-2</c:v>
                </c:pt>
                <c:pt idx="7">
                  <c:v>6.2286370174278488E-2</c:v>
                </c:pt>
                <c:pt idx="8">
                  <c:v>6.2286370174278488E-2</c:v>
                </c:pt>
                <c:pt idx="9">
                  <c:v>6.2286370174278488E-2</c:v>
                </c:pt>
                <c:pt idx="10">
                  <c:v>6.2286370174278488E-2</c:v>
                </c:pt>
                <c:pt idx="11">
                  <c:v>6.2286370174278488E-2</c:v>
                </c:pt>
                <c:pt idx="12">
                  <c:v>6.2286370174278488E-2</c:v>
                </c:pt>
                <c:pt idx="13">
                  <c:v>6.2286370174278488E-2</c:v>
                </c:pt>
                <c:pt idx="14">
                  <c:v>6.2286370174278488E-2</c:v>
                </c:pt>
                <c:pt idx="15">
                  <c:v>6.2286370174278488E-2</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79760"/>
        <c:axId val="434380152"/>
      </c:lineChart>
      <c:dateAx>
        <c:axId val="43437976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0152"/>
        <c:crosses val="autoZero"/>
        <c:auto val="0"/>
        <c:lblOffset val="100"/>
        <c:baseTimeUnit val="days"/>
      </c:dateAx>
      <c:valAx>
        <c:axId val="434380152"/>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79760"/>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Testosterone-3,7µg/L + Testostérone</c:v>
                </c:pt>
                <c:pt idx="2">
                  <c:v>Testosterone-11µg/L + Testostérone</c:v>
                </c:pt>
                <c:pt idx="3">
                  <c:v>Testosterone-33µg/L + Testostérone</c:v>
                </c:pt>
                <c:pt idx="4">
                  <c:v>Testosterone-100µg/L + Testostérone</c:v>
                </c:pt>
                <c:pt idx="5">
                  <c:v>Testosterone-300µg/L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0.12880738499348809</c:v>
                </c:pt>
                <c:pt idx="1">
                  <c:v>0.12880738499348809</c:v>
                </c:pt>
                <c:pt idx="2">
                  <c:v>0.12880738499348809</c:v>
                </c:pt>
                <c:pt idx="3">
                  <c:v>0.12880738499348809</c:v>
                </c:pt>
                <c:pt idx="4">
                  <c:v>0.12880738499348809</c:v>
                </c:pt>
                <c:pt idx="5">
                  <c:v>0.12880738499348809</c:v>
                </c:pt>
                <c:pt idx="6">
                  <c:v>0.12880738499348809</c:v>
                </c:pt>
                <c:pt idx="7">
                  <c:v>0.12880738499348809</c:v>
                </c:pt>
                <c:pt idx="8">
                  <c:v>0.12880738499348809</c:v>
                </c:pt>
                <c:pt idx="9">
                  <c:v>0.12880738499348809</c:v>
                </c:pt>
                <c:pt idx="10">
                  <c:v>0.12880738499348809</c:v>
                </c:pt>
                <c:pt idx="11">
                  <c:v>0.12880738499348809</c:v>
                </c:pt>
                <c:pt idx="12">
                  <c:v>0.12880738499348809</c:v>
                </c:pt>
                <c:pt idx="13">
                  <c:v>0.12880738499348809</c:v>
                </c:pt>
                <c:pt idx="14">
                  <c:v>0.12880738499348809</c:v>
                </c:pt>
                <c:pt idx="15">
                  <c:v>0.12880738499348809</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Testosterone-3,7µg/L + Testostérone</c:v>
                </c:pt>
                <c:pt idx="2">
                  <c:v>Testosterone-11µg/L + Testostérone</c:v>
                </c:pt>
                <c:pt idx="3">
                  <c:v>Testosterone-33µg/L + Testostérone</c:v>
                </c:pt>
                <c:pt idx="4">
                  <c:v>Testosterone-100µg/L + Testostérone</c:v>
                </c:pt>
                <c:pt idx="5">
                  <c:v>Testosterone-300µg/L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1.5302633820977469</c:v>
                </c:pt>
                <c:pt idx="1">
                  <c:v>1.5302633820977469</c:v>
                </c:pt>
                <c:pt idx="2">
                  <c:v>1.5302633820977469</c:v>
                </c:pt>
                <c:pt idx="3">
                  <c:v>1.5302633820977469</c:v>
                </c:pt>
                <c:pt idx="4">
                  <c:v>1.5302633820977469</c:v>
                </c:pt>
                <c:pt idx="5">
                  <c:v>1.5302633820977469</c:v>
                </c:pt>
                <c:pt idx="6">
                  <c:v>1.5302633820977469</c:v>
                </c:pt>
                <c:pt idx="7">
                  <c:v>1.5302633820977469</c:v>
                </c:pt>
                <c:pt idx="8">
                  <c:v>1.5302633820977469</c:v>
                </c:pt>
                <c:pt idx="9">
                  <c:v>1.5302633820977469</c:v>
                </c:pt>
                <c:pt idx="10">
                  <c:v>1.5302633820977469</c:v>
                </c:pt>
                <c:pt idx="11">
                  <c:v>1.5302633820977469</c:v>
                </c:pt>
                <c:pt idx="12">
                  <c:v>1.5302633820977469</c:v>
                </c:pt>
                <c:pt idx="13">
                  <c:v>1.5302633820977469</c:v>
                </c:pt>
                <c:pt idx="14">
                  <c:v>1.5302633820977469</c:v>
                </c:pt>
                <c:pt idx="15">
                  <c:v>1.5302633820977469</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Testosterone-3,7µg/L + Testostérone</c:v>
                </c:pt>
                <c:pt idx="2">
                  <c:v>Testosterone-11µg/L + Testostérone</c:v>
                </c:pt>
                <c:pt idx="3">
                  <c:v>Testosterone-33µg/L + Testostérone</c:v>
                </c:pt>
                <c:pt idx="4">
                  <c:v>Testosterone-100µg/L + Testostérone</c:v>
                </c:pt>
                <c:pt idx="5">
                  <c:v>Testosterone-300µg/L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0.96973661790225307</c:v>
                </c:pt>
                <c:pt idx="1">
                  <c:v>0.96973661790225307</c:v>
                </c:pt>
                <c:pt idx="2">
                  <c:v>0.96973661790225307</c:v>
                </c:pt>
                <c:pt idx="3">
                  <c:v>0.96973661790225307</c:v>
                </c:pt>
                <c:pt idx="4">
                  <c:v>0.96973661790225307</c:v>
                </c:pt>
                <c:pt idx="5">
                  <c:v>0.96973661790225307</c:v>
                </c:pt>
                <c:pt idx="6">
                  <c:v>0.96973661790225307</c:v>
                </c:pt>
                <c:pt idx="7">
                  <c:v>0.96973661790225307</c:v>
                </c:pt>
                <c:pt idx="8">
                  <c:v>0.96973661790225307</c:v>
                </c:pt>
                <c:pt idx="9">
                  <c:v>0.96973661790225307</c:v>
                </c:pt>
                <c:pt idx="10">
                  <c:v>0.96973661790225307</c:v>
                </c:pt>
                <c:pt idx="11">
                  <c:v>0.96973661790225307</c:v>
                </c:pt>
                <c:pt idx="12">
                  <c:v>0.96973661790225307</c:v>
                </c:pt>
                <c:pt idx="13">
                  <c:v>0.96973661790225307</c:v>
                </c:pt>
                <c:pt idx="14">
                  <c:v>0.96973661790225307</c:v>
                </c:pt>
                <c:pt idx="15">
                  <c:v>0.96973661790225307</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0936"/>
        <c:axId val="434381328"/>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91D5FE-68FC-4D2B-92D2-B5C9629D3D4F}"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FB4BF89A-8331-41AB-A152-2C5811F1164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E32-4216-8FED-9A7B81C1A779}"/>
                </c:ext>
              </c:extLst>
            </c:dLbl>
            <c:dLbl>
              <c:idx val="2"/>
              <c:tx>
                <c:rich>
                  <a:bodyPr/>
                  <a:lstStyle/>
                  <a:p>
                    <a:fld id="{7EFCF640-C787-417F-9C36-ED77736F1F8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E32-4216-8FED-9A7B81C1A779}"/>
                </c:ext>
              </c:extLst>
            </c:dLbl>
            <c:dLbl>
              <c:idx val="3"/>
              <c:tx>
                <c:rich>
                  <a:bodyPr/>
                  <a:lstStyle/>
                  <a:p>
                    <a:fld id="{D79D3E5F-F272-4323-93D5-995427D439C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E32-4216-8FED-9A7B81C1A779}"/>
                </c:ext>
              </c:extLst>
            </c:dLbl>
            <c:dLbl>
              <c:idx val="4"/>
              <c:tx>
                <c:rich>
                  <a:bodyPr/>
                  <a:lstStyle/>
                  <a:p>
                    <a:fld id="{CB41A49F-28BD-4229-AEB6-E4309163571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E32-4216-8FED-9A7B81C1A779}"/>
                </c:ext>
              </c:extLst>
            </c:dLbl>
            <c:dLbl>
              <c:idx val="5"/>
              <c:tx>
                <c:rich>
                  <a:bodyPr/>
                  <a:lstStyle/>
                  <a:p>
                    <a:fld id="{76FC45A7-FFE0-49FE-B7B9-85CC6A09BC1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E32-4216-8FED-9A7B81C1A779}"/>
                </c:ext>
              </c:extLst>
            </c:dLbl>
            <c:dLbl>
              <c:idx val="6"/>
              <c:tx>
                <c:rich>
                  <a:bodyPr/>
                  <a:lstStyle/>
                  <a:p>
                    <a:fld id="{29384F9E-B5A1-4665-9301-612C6E0CAE4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E32-4216-8FED-9A7B81C1A779}"/>
                </c:ext>
              </c:extLst>
            </c:dLbl>
            <c:dLbl>
              <c:idx val="7"/>
              <c:tx>
                <c:rich>
                  <a:bodyPr/>
                  <a:lstStyle/>
                  <a:p>
                    <a:fld id="{13C3B036-E15E-403B-8563-DF6DB1CB397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E32-4216-8FED-9A7B81C1A779}"/>
                </c:ext>
              </c:extLst>
            </c:dLbl>
            <c:dLbl>
              <c:idx val="8"/>
              <c:tx>
                <c:rich>
                  <a:bodyPr/>
                  <a:lstStyle/>
                  <a:p>
                    <a:fld id="{66F621C0-6F95-4996-B89C-CC1E067AF10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E32-4216-8FED-9A7B81C1A779}"/>
                </c:ext>
              </c:extLst>
            </c:dLbl>
            <c:dLbl>
              <c:idx val="9"/>
              <c:tx>
                <c:rich>
                  <a:bodyPr/>
                  <a:lstStyle/>
                  <a:p>
                    <a:fld id="{499F8203-F6F3-4A46-AD01-D88133201A4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E32-4216-8FED-9A7B81C1A779}"/>
                </c:ext>
              </c:extLst>
            </c:dLbl>
            <c:dLbl>
              <c:idx val="10"/>
              <c:tx>
                <c:rich>
                  <a:bodyPr/>
                  <a:lstStyle/>
                  <a:p>
                    <a:fld id="{F12D33C0-4274-49A6-9E68-A911C9FF674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E32-4216-8FED-9A7B81C1A779}"/>
                </c:ext>
              </c:extLst>
            </c:dLbl>
            <c:dLbl>
              <c:idx val="11"/>
              <c:tx>
                <c:rich>
                  <a:bodyPr/>
                  <a:lstStyle/>
                  <a:p>
                    <a:fld id="{000ED86D-74DD-4949-B6DB-E3111A56044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E32-4216-8FED-9A7B81C1A779}"/>
                </c:ext>
              </c:extLst>
            </c:dLbl>
            <c:dLbl>
              <c:idx val="12"/>
              <c:tx>
                <c:rich>
                  <a:bodyPr/>
                  <a:lstStyle/>
                  <a:p>
                    <a:fld id="{DEA246CF-3DFB-49ED-9CB7-CE352FA116F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E32-4216-8FED-9A7B81C1A779}"/>
                </c:ext>
              </c:extLst>
            </c:dLbl>
            <c:dLbl>
              <c:idx val="13"/>
              <c:tx>
                <c:rich>
                  <a:bodyPr/>
                  <a:lstStyle/>
                  <a:p>
                    <a:fld id="{E2C1062E-921B-4183-A6B6-2DB1267F070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E32-4216-8FED-9A7B81C1A779}"/>
                </c:ext>
              </c:extLst>
            </c:dLbl>
            <c:dLbl>
              <c:idx val="14"/>
              <c:tx>
                <c:rich>
                  <a:bodyPr/>
                  <a:lstStyle/>
                  <a:p>
                    <a:fld id="{5C88F0F8-DEF1-475A-B4B5-4497DD92022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E32-4216-8FED-9A7B81C1A779}"/>
                </c:ext>
              </c:extLst>
            </c:dLbl>
            <c:dLbl>
              <c:idx val="15"/>
              <c:tx>
                <c:rich>
                  <a:bodyPr/>
                  <a:lstStyle/>
                  <a:p>
                    <a:fld id="{F3A91565-504F-4F2A-AB2B-DE6EF5D53688}"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E32-4216-8FED-9A7B81C1A779}"/>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0.14094085537935699</c:v>
                  </c:pt>
                  <c:pt idx="2">
                    <c:v>0.15414827742503898</c:v>
                  </c:pt>
                  <c:pt idx="3">
                    <c:v>9.0736930856393963E-2</c:v>
                  </c:pt>
                  <c:pt idx="4">
                    <c:v>0.12372552320755391</c:v>
                  </c:pt>
                  <c:pt idx="5">
                    <c:v>0.1407499139230389</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0.14094085537935699</c:v>
                  </c:pt>
                  <c:pt idx="2">
                    <c:v>0.15414827742503898</c:v>
                  </c:pt>
                  <c:pt idx="3">
                    <c:v>9.0736930856393963E-2</c:v>
                  </c:pt>
                  <c:pt idx="4">
                    <c:v>0.12372552320755391</c:v>
                  </c:pt>
                  <c:pt idx="5">
                    <c:v>0.1407499139230389</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Testosterone-3,7µg/L + Testostérone</c:v>
                </c:pt>
                <c:pt idx="2">
                  <c:v>Testosterone-11µg/L + Testostérone</c:v>
                </c:pt>
                <c:pt idx="3">
                  <c:v>Testosterone-33µg/L + Testostérone</c:v>
                </c:pt>
                <c:pt idx="4">
                  <c:v>Testosterone-100µg/L + Testostérone</c:v>
                </c:pt>
                <c:pt idx="5">
                  <c:v>Testosterone-300µg/L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1.0041967810406445</c:v>
                </c:pt>
                <c:pt idx="2">
                  <c:v>0.88714122335761203</c:v>
                </c:pt>
                <c:pt idx="3">
                  <c:v>0.9048157791547472</c:v>
                </c:pt>
                <c:pt idx="4">
                  <c:v>0.82700716739744118</c:v>
                </c:pt>
                <c:pt idx="5">
                  <c:v>1.0080036332109545</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NS</c:v>
                  </c:pt>
                  <c:pt idx="3">
                    <c:v>NS</c:v>
                  </c:pt>
                  <c:pt idx="4">
                    <c:v>NS</c:v>
                  </c:pt>
                  <c:pt idx="5">
                    <c:v>NS</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0936"/>
        <c:axId val="434381328"/>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Testosterone-3,7µg/L + Testostérone</c:v>
                </c:pt>
                <c:pt idx="2">
                  <c:v>Testosterone-11µg/L + Testostérone</c:v>
                </c:pt>
                <c:pt idx="3">
                  <c:v>Testosterone-33µg/L + Testostérone</c:v>
                </c:pt>
                <c:pt idx="4">
                  <c:v>Testosterone-100µg/L + Testostérone</c:v>
                </c:pt>
                <c:pt idx="5">
                  <c:v>Testosterone-300µg/L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1.0000000000000002</c:v>
                </c:pt>
                <c:pt idx="1">
                  <c:v>1.0000000000000002</c:v>
                </c:pt>
                <c:pt idx="2">
                  <c:v>1.0000000000000002</c:v>
                </c:pt>
                <c:pt idx="3">
                  <c:v>1.0000000000000002</c:v>
                </c:pt>
                <c:pt idx="4">
                  <c:v>1.0000000000000002</c:v>
                </c:pt>
                <c:pt idx="5">
                  <c:v>1.0000000000000002</c:v>
                </c:pt>
                <c:pt idx="6">
                  <c:v>1.0000000000000002</c:v>
                </c:pt>
                <c:pt idx="7">
                  <c:v>1.0000000000000002</c:v>
                </c:pt>
                <c:pt idx="8">
                  <c:v>1.0000000000000002</c:v>
                </c:pt>
                <c:pt idx="9">
                  <c:v>1.0000000000000002</c:v>
                </c:pt>
                <c:pt idx="10">
                  <c:v>1.0000000000000002</c:v>
                </c:pt>
                <c:pt idx="11">
                  <c:v>1.0000000000000002</c:v>
                </c:pt>
                <c:pt idx="12">
                  <c:v>1.0000000000000002</c:v>
                </c:pt>
                <c:pt idx="13">
                  <c:v>1.0000000000000002</c:v>
                </c:pt>
                <c:pt idx="14">
                  <c:v>1.0000000000000002</c:v>
                </c:pt>
                <c:pt idx="15">
                  <c:v>1.0000000000000002</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0936"/>
        <c:axId val="434381328"/>
      </c:lineChart>
      <c:dateAx>
        <c:axId val="43438093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1328"/>
        <c:crosses val="autoZero"/>
        <c:auto val="0"/>
        <c:lblOffset val="100"/>
        <c:baseTimeUnit val="days"/>
      </c:dateAx>
      <c:valAx>
        <c:axId val="434381328"/>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0936"/>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Testosterone 11µg/L</c:v>
                </c:pt>
                <c:pt idx="2">
                  <c:v>Testosterone 33µg/L</c:v>
                </c:pt>
                <c:pt idx="3">
                  <c:v>Testosterone 100µg/L</c:v>
                </c:pt>
                <c:pt idx="4">
                  <c:v>Testosterone 300µg/L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Testosterone 11µg/L</c:v>
                </c:pt>
                <c:pt idx="2">
                  <c:v>Testosterone 33µg/L</c:v>
                </c:pt>
                <c:pt idx="3">
                  <c:v>Testosterone 100µg/L</c:v>
                </c:pt>
                <c:pt idx="4">
                  <c:v>Testosterone 300µg/L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Testosterone 11µg/L</c:v>
                </c:pt>
                <c:pt idx="2">
                  <c:v>Testosterone 33µg/L</c:v>
                </c:pt>
                <c:pt idx="3">
                  <c:v>Testosterone 100µg/L</c:v>
                </c:pt>
                <c:pt idx="4">
                  <c:v>Testosterone 300µg/L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82112"/>
        <c:axId val="434382504"/>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BDF2FC-0662-42F7-88AA-6E891B8B54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BABF4963-3E17-47AA-B716-331E7598D48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1C6E-4AE4-BE8A-896B67024C51}"/>
                </c:ext>
              </c:extLst>
            </c:dLbl>
            <c:dLbl>
              <c:idx val="2"/>
              <c:tx>
                <c:rich>
                  <a:bodyPr/>
                  <a:lstStyle/>
                  <a:p>
                    <a:fld id="{7FA3F802-046F-4626-9E3E-53C6185BF8C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C6E-4AE4-BE8A-896B67024C51}"/>
                </c:ext>
              </c:extLst>
            </c:dLbl>
            <c:dLbl>
              <c:idx val="3"/>
              <c:tx>
                <c:rich>
                  <a:bodyPr/>
                  <a:lstStyle/>
                  <a:p>
                    <a:fld id="{74295769-A97D-4E54-9236-C35E76EA008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C6E-4AE4-BE8A-896B67024C51}"/>
                </c:ext>
              </c:extLst>
            </c:dLbl>
            <c:dLbl>
              <c:idx val="4"/>
              <c:tx>
                <c:rich>
                  <a:bodyPr/>
                  <a:lstStyle/>
                  <a:p>
                    <a:fld id="{A0D6A14A-655C-4BA5-B544-DB7D3F32CE8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C6E-4AE4-BE8A-896B67024C51}"/>
                </c:ext>
              </c:extLst>
            </c:dLbl>
            <c:dLbl>
              <c:idx val="5"/>
              <c:tx>
                <c:rich>
                  <a:bodyPr/>
                  <a:lstStyle/>
                  <a:p>
                    <a:fld id="{C28DCC16-F2EC-408D-8893-E6ADE22532A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C6E-4AE4-BE8A-896B67024C51}"/>
                </c:ext>
              </c:extLst>
            </c:dLbl>
            <c:dLbl>
              <c:idx val="6"/>
              <c:tx>
                <c:rich>
                  <a:bodyPr/>
                  <a:lstStyle/>
                  <a:p>
                    <a:fld id="{603B7079-5217-4BBA-9485-066BBEBE522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C6E-4AE4-BE8A-896B67024C51}"/>
                </c:ext>
              </c:extLst>
            </c:dLbl>
            <c:dLbl>
              <c:idx val="7"/>
              <c:tx>
                <c:rich>
                  <a:bodyPr/>
                  <a:lstStyle/>
                  <a:p>
                    <a:fld id="{89E4810B-AB43-4AE0-8BB3-291CE5D19D0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C6E-4AE4-BE8A-896B67024C51}"/>
                </c:ext>
              </c:extLst>
            </c:dLbl>
            <c:dLbl>
              <c:idx val="8"/>
              <c:tx>
                <c:rich>
                  <a:bodyPr/>
                  <a:lstStyle/>
                  <a:p>
                    <a:fld id="{A3BF04E7-7A0A-430A-B411-9074F416FCC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C6E-4AE4-BE8A-896B67024C51}"/>
                </c:ext>
              </c:extLst>
            </c:dLbl>
            <c:dLbl>
              <c:idx val="9"/>
              <c:tx>
                <c:rich>
                  <a:bodyPr/>
                  <a:lstStyle/>
                  <a:p>
                    <a:fld id="{D1A5B042-E874-4201-A499-FCA040B53EA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C6E-4AE4-BE8A-896B67024C51}"/>
                </c:ext>
              </c:extLst>
            </c:dLbl>
            <c:dLbl>
              <c:idx val="10"/>
              <c:tx>
                <c:rich>
                  <a:bodyPr/>
                  <a:lstStyle/>
                  <a:p>
                    <a:fld id="{2210933D-B219-4E6C-A187-2A97FF4D559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C6E-4AE4-BE8A-896B67024C51}"/>
                </c:ext>
              </c:extLst>
            </c:dLbl>
            <c:dLbl>
              <c:idx val="11"/>
              <c:tx>
                <c:rich>
                  <a:bodyPr/>
                  <a:lstStyle/>
                  <a:p>
                    <a:fld id="{8305BC67-EE5F-48D9-9406-915FD2AAB74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C6E-4AE4-BE8A-896B67024C51}"/>
                </c:ext>
              </c:extLst>
            </c:dLbl>
            <c:dLbl>
              <c:idx val="12"/>
              <c:tx>
                <c:rich>
                  <a:bodyPr/>
                  <a:lstStyle/>
                  <a:p>
                    <a:fld id="{6AEF9F55-A291-4843-9242-B103B771523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C6E-4AE4-BE8A-896B67024C51}"/>
                </c:ext>
              </c:extLst>
            </c:dLbl>
            <c:dLbl>
              <c:idx val="13"/>
              <c:tx>
                <c:rich>
                  <a:bodyPr/>
                  <a:lstStyle/>
                  <a:p>
                    <a:fld id="{616E4FF1-CC10-4C5C-9A25-B3EE382C68F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C6E-4AE4-BE8A-896B67024C51}"/>
                </c:ext>
              </c:extLst>
            </c:dLbl>
            <c:dLbl>
              <c:idx val="14"/>
              <c:tx>
                <c:rich>
                  <a:bodyPr/>
                  <a:lstStyle/>
                  <a:p>
                    <a:fld id="{B1C9D12F-E663-40EF-8798-D2B82064B23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1C6E-4AE4-BE8A-896B67024C51}"/>
                </c:ext>
              </c:extLst>
            </c:dLbl>
            <c:dLbl>
              <c:idx val="15"/>
              <c:tx>
                <c:rich>
                  <a:bodyPr/>
                  <a:lstStyle/>
                  <a:p>
                    <a:fld id="{FA396178-FD07-4ED1-A3AE-F891322054EC}"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1C6E-4AE4-BE8A-896B67024C51}"/>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1.5409889097971408E-2</c:v>
                  </c:pt>
                  <c:pt idx="2">
                    <c:v>0.10842189009936436</c:v>
                  </c:pt>
                  <c:pt idx="3">
                    <c:v>0.12177574503465859</c:v>
                  </c:pt>
                  <c:pt idx="4">
                    <c:v>0.11921507950645623</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1.5409889097971408E-2</c:v>
                  </c:pt>
                  <c:pt idx="2">
                    <c:v>0.10842189009936436</c:v>
                  </c:pt>
                  <c:pt idx="3">
                    <c:v>0.12177574503465859</c:v>
                  </c:pt>
                  <c:pt idx="4">
                    <c:v>0.11921507950645623</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Testosterone 11µg/L</c:v>
                </c:pt>
                <c:pt idx="2">
                  <c:v>Testosterone 33µg/L</c:v>
                </c:pt>
                <c:pt idx="3">
                  <c:v>Testosterone 100µg/L</c:v>
                </c:pt>
                <c:pt idx="4">
                  <c:v>Testosterone 300µg/L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7.8562709317890861E-2</c:v>
                </c:pt>
                <c:pt idx="2">
                  <c:v>0.82722760035766196</c:v>
                </c:pt>
                <c:pt idx="3">
                  <c:v>0.8441954206437069</c:v>
                </c:pt>
                <c:pt idx="4">
                  <c:v>1.0207455530911727</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c:v>
                  </c:pt>
                  <c:pt idx="3">
                    <c:v>***</c:v>
                  </c:pt>
                  <c:pt idx="4">
                    <c:v>***</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82112"/>
        <c:axId val="434382504"/>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6.2286370174278488E-2</c:v>
                </c:pt>
                <c:pt idx="1">
                  <c:v>6.2286370174278488E-2</c:v>
                </c:pt>
                <c:pt idx="2">
                  <c:v>6.2286370174278488E-2</c:v>
                </c:pt>
                <c:pt idx="3">
                  <c:v>6.2286370174278488E-2</c:v>
                </c:pt>
                <c:pt idx="4">
                  <c:v>6.2286370174278488E-2</c:v>
                </c:pt>
                <c:pt idx="5">
                  <c:v>6.2286370174278488E-2</c:v>
                </c:pt>
                <c:pt idx="6">
                  <c:v>6.2286370174278488E-2</c:v>
                </c:pt>
                <c:pt idx="7">
                  <c:v>6.2286370174278488E-2</c:v>
                </c:pt>
                <c:pt idx="8">
                  <c:v>6.2286370174278488E-2</c:v>
                </c:pt>
                <c:pt idx="9">
                  <c:v>6.2286370174278488E-2</c:v>
                </c:pt>
                <c:pt idx="10">
                  <c:v>6.2286370174278488E-2</c:v>
                </c:pt>
                <c:pt idx="11">
                  <c:v>6.2286370174278488E-2</c:v>
                </c:pt>
                <c:pt idx="12">
                  <c:v>6.2286370174278488E-2</c:v>
                </c:pt>
                <c:pt idx="13">
                  <c:v>6.2286370174278488E-2</c:v>
                </c:pt>
                <c:pt idx="14">
                  <c:v>6.2286370174278488E-2</c:v>
                </c:pt>
                <c:pt idx="15">
                  <c:v>6.2286370174278488E-2</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82112"/>
        <c:axId val="434382504"/>
      </c:lineChart>
      <c:dateAx>
        <c:axId val="43438211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2504"/>
        <c:crosses val="autoZero"/>
        <c:auto val="0"/>
        <c:lblOffset val="100"/>
        <c:baseTimeUnit val="days"/>
      </c:dateAx>
      <c:valAx>
        <c:axId val="434382504"/>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2112"/>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Testosterone-3,7µg/L + Testostérone</c:v>
                </c:pt>
                <c:pt idx="2">
                  <c:v>Testosterone-11µg/L + Testostérone</c:v>
                </c:pt>
                <c:pt idx="3">
                  <c:v>Testosterone-33µg/L + Testostérone</c:v>
                </c:pt>
                <c:pt idx="4">
                  <c:v>Testosterone-100µg/L + Testostérone</c:v>
                </c:pt>
                <c:pt idx="5">
                  <c:v>Testosterone-300µg/L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0.12880738499348809</c:v>
                </c:pt>
                <c:pt idx="1">
                  <c:v>0.12880738499348809</c:v>
                </c:pt>
                <c:pt idx="2">
                  <c:v>0.12880738499348809</c:v>
                </c:pt>
                <c:pt idx="3">
                  <c:v>0.12880738499348809</c:v>
                </c:pt>
                <c:pt idx="4">
                  <c:v>0.12880738499348809</c:v>
                </c:pt>
                <c:pt idx="5">
                  <c:v>0.12880738499348809</c:v>
                </c:pt>
                <c:pt idx="6">
                  <c:v>0.12880738499348809</c:v>
                </c:pt>
                <c:pt idx="7">
                  <c:v>0.12880738499348809</c:v>
                </c:pt>
                <c:pt idx="8">
                  <c:v>0.12880738499348809</c:v>
                </c:pt>
                <c:pt idx="9">
                  <c:v>0.12880738499348809</c:v>
                </c:pt>
                <c:pt idx="10">
                  <c:v>0.12880738499348809</c:v>
                </c:pt>
                <c:pt idx="11">
                  <c:v>0.12880738499348809</c:v>
                </c:pt>
                <c:pt idx="12">
                  <c:v>0.12880738499348809</c:v>
                </c:pt>
                <c:pt idx="13">
                  <c:v>0.12880738499348809</c:v>
                </c:pt>
                <c:pt idx="14">
                  <c:v>0.12880738499348809</c:v>
                </c:pt>
                <c:pt idx="15">
                  <c:v>0.12880738499348809</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Testosterone-3,7µg/L + Testostérone</c:v>
                </c:pt>
                <c:pt idx="2">
                  <c:v>Testosterone-11µg/L + Testostérone</c:v>
                </c:pt>
                <c:pt idx="3">
                  <c:v>Testosterone-33µg/L + Testostérone</c:v>
                </c:pt>
                <c:pt idx="4">
                  <c:v>Testosterone-100µg/L + Testostérone</c:v>
                </c:pt>
                <c:pt idx="5">
                  <c:v>Testosterone-300µg/L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1.5302633820977469</c:v>
                </c:pt>
                <c:pt idx="1">
                  <c:v>1.5302633820977469</c:v>
                </c:pt>
                <c:pt idx="2">
                  <c:v>1.5302633820977469</c:v>
                </c:pt>
                <c:pt idx="3">
                  <c:v>1.5302633820977469</c:v>
                </c:pt>
                <c:pt idx="4">
                  <c:v>1.5302633820977469</c:v>
                </c:pt>
                <c:pt idx="5">
                  <c:v>1.5302633820977469</c:v>
                </c:pt>
                <c:pt idx="6">
                  <c:v>1.5302633820977469</c:v>
                </c:pt>
                <c:pt idx="7">
                  <c:v>1.5302633820977469</c:v>
                </c:pt>
                <c:pt idx="8">
                  <c:v>1.5302633820977469</c:v>
                </c:pt>
                <c:pt idx="9">
                  <c:v>1.5302633820977469</c:v>
                </c:pt>
                <c:pt idx="10">
                  <c:v>1.5302633820977469</c:v>
                </c:pt>
                <c:pt idx="11">
                  <c:v>1.5302633820977469</c:v>
                </c:pt>
                <c:pt idx="12">
                  <c:v>1.5302633820977469</c:v>
                </c:pt>
                <c:pt idx="13">
                  <c:v>1.5302633820977469</c:v>
                </c:pt>
                <c:pt idx="14">
                  <c:v>1.5302633820977469</c:v>
                </c:pt>
                <c:pt idx="15">
                  <c:v>1.5302633820977469</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Testosterone-3,7µg/L + Testostérone</c:v>
                </c:pt>
                <c:pt idx="2">
                  <c:v>Testosterone-11µg/L + Testostérone</c:v>
                </c:pt>
                <c:pt idx="3">
                  <c:v>Testosterone-33µg/L + Testostérone</c:v>
                </c:pt>
                <c:pt idx="4">
                  <c:v>Testosterone-100µg/L + Testostérone</c:v>
                </c:pt>
                <c:pt idx="5">
                  <c:v>Testosterone-300µg/L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0.96973661790225307</c:v>
                </c:pt>
                <c:pt idx="1">
                  <c:v>0.96973661790225307</c:v>
                </c:pt>
                <c:pt idx="2">
                  <c:v>0.96973661790225307</c:v>
                </c:pt>
                <c:pt idx="3">
                  <c:v>0.96973661790225307</c:v>
                </c:pt>
                <c:pt idx="4">
                  <c:v>0.96973661790225307</c:v>
                </c:pt>
                <c:pt idx="5">
                  <c:v>0.96973661790225307</c:v>
                </c:pt>
                <c:pt idx="6">
                  <c:v>0.96973661790225307</c:v>
                </c:pt>
                <c:pt idx="7">
                  <c:v>0.96973661790225307</c:v>
                </c:pt>
                <c:pt idx="8">
                  <c:v>0.96973661790225307</c:v>
                </c:pt>
                <c:pt idx="9">
                  <c:v>0.96973661790225307</c:v>
                </c:pt>
                <c:pt idx="10">
                  <c:v>0.96973661790225307</c:v>
                </c:pt>
                <c:pt idx="11">
                  <c:v>0.96973661790225307</c:v>
                </c:pt>
                <c:pt idx="12">
                  <c:v>0.96973661790225307</c:v>
                </c:pt>
                <c:pt idx="13">
                  <c:v>0.96973661790225307</c:v>
                </c:pt>
                <c:pt idx="14">
                  <c:v>0.96973661790225307</c:v>
                </c:pt>
                <c:pt idx="15">
                  <c:v>0.96973661790225307</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3288"/>
        <c:axId val="434383680"/>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2DD39B6B-870F-4D26-80E9-D139EFD93F0F}"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F803A415-05E5-4EA4-A9FE-48EC32A16A6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A8E-4D40-9992-A189D0F7FB1C}"/>
                </c:ext>
              </c:extLst>
            </c:dLbl>
            <c:dLbl>
              <c:idx val="2"/>
              <c:tx>
                <c:rich>
                  <a:bodyPr/>
                  <a:lstStyle/>
                  <a:p>
                    <a:fld id="{7ABAC45A-81D9-401E-9368-23C604E62AC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A8E-4D40-9992-A189D0F7FB1C}"/>
                </c:ext>
              </c:extLst>
            </c:dLbl>
            <c:dLbl>
              <c:idx val="3"/>
              <c:tx>
                <c:rich>
                  <a:bodyPr/>
                  <a:lstStyle/>
                  <a:p>
                    <a:fld id="{8F30DB62-2284-44C9-925C-B6B63B6DA1F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A8E-4D40-9992-A189D0F7FB1C}"/>
                </c:ext>
              </c:extLst>
            </c:dLbl>
            <c:dLbl>
              <c:idx val="4"/>
              <c:tx>
                <c:rich>
                  <a:bodyPr/>
                  <a:lstStyle/>
                  <a:p>
                    <a:fld id="{69D8C326-29BA-46BB-A08E-96745F9C00C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A8E-4D40-9992-A189D0F7FB1C}"/>
                </c:ext>
              </c:extLst>
            </c:dLbl>
            <c:dLbl>
              <c:idx val="5"/>
              <c:tx>
                <c:rich>
                  <a:bodyPr/>
                  <a:lstStyle/>
                  <a:p>
                    <a:fld id="{BC27DF11-3216-49CE-9A4B-651C11E873D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A8E-4D40-9992-A189D0F7FB1C}"/>
                </c:ext>
              </c:extLst>
            </c:dLbl>
            <c:dLbl>
              <c:idx val="6"/>
              <c:tx>
                <c:rich>
                  <a:bodyPr/>
                  <a:lstStyle/>
                  <a:p>
                    <a:fld id="{855F81A7-E15A-4AD4-A644-EE910D91D80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A8E-4D40-9992-A189D0F7FB1C}"/>
                </c:ext>
              </c:extLst>
            </c:dLbl>
            <c:dLbl>
              <c:idx val="7"/>
              <c:tx>
                <c:rich>
                  <a:bodyPr/>
                  <a:lstStyle/>
                  <a:p>
                    <a:fld id="{1866BBCE-CFD9-493E-AFEB-755ABC7FD66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A8E-4D40-9992-A189D0F7FB1C}"/>
                </c:ext>
              </c:extLst>
            </c:dLbl>
            <c:dLbl>
              <c:idx val="8"/>
              <c:tx>
                <c:rich>
                  <a:bodyPr/>
                  <a:lstStyle/>
                  <a:p>
                    <a:fld id="{38321E44-FEF4-4EF8-8061-3760EBCDFD8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A8E-4D40-9992-A189D0F7FB1C}"/>
                </c:ext>
              </c:extLst>
            </c:dLbl>
            <c:dLbl>
              <c:idx val="9"/>
              <c:tx>
                <c:rich>
                  <a:bodyPr/>
                  <a:lstStyle/>
                  <a:p>
                    <a:fld id="{6B6828CF-93E7-46CC-B61C-BA72A98E0C6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A8E-4D40-9992-A189D0F7FB1C}"/>
                </c:ext>
              </c:extLst>
            </c:dLbl>
            <c:dLbl>
              <c:idx val="10"/>
              <c:tx>
                <c:rich>
                  <a:bodyPr/>
                  <a:lstStyle/>
                  <a:p>
                    <a:fld id="{05C80C66-BA1E-43B7-BD04-DFE2227066C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A8E-4D40-9992-A189D0F7FB1C}"/>
                </c:ext>
              </c:extLst>
            </c:dLbl>
            <c:dLbl>
              <c:idx val="11"/>
              <c:tx>
                <c:rich>
                  <a:bodyPr/>
                  <a:lstStyle/>
                  <a:p>
                    <a:fld id="{D01EE140-2E1E-4F87-AF5B-C0B26CD10EE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A8E-4D40-9992-A189D0F7FB1C}"/>
                </c:ext>
              </c:extLst>
            </c:dLbl>
            <c:dLbl>
              <c:idx val="12"/>
              <c:tx>
                <c:rich>
                  <a:bodyPr/>
                  <a:lstStyle/>
                  <a:p>
                    <a:fld id="{9475ED36-24B3-4CFD-A546-A0D7E9E8732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A8E-4D40-9992-A189D0F7FB1C}"/>
                </c:ext>
              </c:extLst>
            </c:dLbl>
            <c:dLbl>
              <c:idx val="13"/>
              <c:tx>
                <c:rich>
                  <a:bodyPr/>
                  <a:lstStyle/>
                  <a:p>
                    <a:fld id="{C7E96BFA-6D0D-4A22-8E21-BB3E815A1AF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A8E-4D40-9992-A189D0F7FB1C}"/>
                </c:ext>
              </c:extLst>
            </c:dLbl>
            <c:dLbl>
              <c:idx val="14"/>
              <c:tx>
                <c:rich>
                  <a:bodyPr/>
                  <a:lstStyle/>
                  <a:p>
                    <a:fld id="{86CB0F88-6B48-4D0A-B1D7-548D2FCF686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A8E-4D40-9992-A189D0F7FB1C}"/>
                </c:ext>
              </c:extLst>
            </c:dLbl>
            <c:dLbl>
              <c:idx val="15"/>
              <c:tx>
                <c:rich>
                  <a:bodyPr/>
                  <a:lstStyle/>
                  <a:p>
                    <a:fld id="{51219230-4898-46E6-B947-7A1543797311}"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A8E-4D40-9992-A189D0F7FB1C}"/>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0.14094085537935699</c:v>
                  </c:pt>
                  <c:pt idx="2">
                    <c:v>0.15414827742503898</c:v>
                  </c:pt>
                  <c:pt idx="3">
                    <c:v>9.0736930856393963E-2</c:v>
                  </c:pt>
                  <c:pt idx="4">
                    <c:v>0.12372552320755391</c:v>
                  </c:pt>
                  <c:pt idx="5">
                    <c:v>0.1407499139230389</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0.14094085537935699</c:v>
                  </c:pt>
                  <c:pt idx="2">
                    <c:v>0.15414827742503898</c:v>
                  </c:pt>
                  <c:pt idx="3">
                    <c:v>9.0736930856393963E-2</c:v>
                  </c:pt>
                  <c:pt idx="4">
                    <c:v>0.12372552320755391</c:v>
                  </c:pt>
                  <c:pt idx="5">
                    <c:v>0.1407499139230389</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Testosterone-3,7µg/L + Testostérone</c:v>
                </c:pt>
                <c:pt idx="2">
                  <c:v>Testosterone-11µg/L + Testostérone</c:v>
                </c:pt>
                <c:pt idx="3">
                  <c:v>Testosterone-33µg/L + Testostérone</c:v>
                </c:pt>
                <c:pt idx="4">
                  <c:v>Testosterone-100µg/L + Testostérone</c:v>
                </c:pt>
                <c:pt idx="5">
                  <c:v>Testosterone-300µg/L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1.0041967810406445</c:v>
                </c:pt>
                <c:pt idx="2">
                  <c:v>0.88714122335761203</c:v>
                </c:pt>
                <c:pt idx="3">
                  <c:v>0.9048157791547472</c:v>
                </c:pt>
                <c:pt idx="4">
                  <c:v>0.82700716739744118</c:v>
                </c:pt>
                <c:pt idx="5">
                  <c:v>1.0080036332109545</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NS</c:v>
                  </c:pt>
                  <c:pt idx="3">
                    <c:v>NS</c:v>
                  </c:pt>
                  <c:pt idx="4">
                    <c:v>NS</c:v>
                  </c:pt>
                  <c:pt idx="5">
                    <c:v>NS</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3288"/>
        <c:axId val="434383680"/>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Testosterone-3,7µg/L + Testostérone</c:v>
                </c:pt>
                <c:pt idx="2">
                  <c:v>Testosterone-11µg/L + Testostérone</c:v>
                </c:pt>
                <c:pt idx="3">
                  <c:v>Testosterone-33µg/L + Testostérone</c:v>
                </c:pt>
                <c:pt idx="4">
                  <c:v>Testosterone-100µg/L + Testostérone</c:v>
                </c:pt>
                <c:pt idx="5">
                  <c:v>Testosterone-300µg/L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1.0000000000000002</c:v>
                </c:pt>
                <c:pt idx="1">
                  <c:v>1.0000000000000002</c:v>
                </c:pt>
                <c:pt idx="2">
                  <c:v>1.0000000000000002</c:v>
                </c:pt>
                <c:pt idx="3">
                  <c:v>1.0000000000000002</c:v>
                </c:pt>
                <c:pt idx="4">
                  <c:v>1.0000000000000002</c:v>
                </c:pt>
                <c:pt idx="5">
                  <c:v>1.0000000000000002</c:v>
                </c:pt>
                <c:pt idx="6">
                  <c:v>1.0000000000000002</c:v>
                </c:pt>
                <c:pt idx="7">
                  <c:v>1.0000000000000002</c:v>
                </c:pt>
                <c:pt idx="8">
                  <c:v>1.0000000000000002</c:v>
                </c:pt>
                <c:pt idx="9">
                  <c:v>1.0000000000000002</c:v>
                </c:pt>
                <c:pt idx="10">
                  <c:v>1.0000000000000002</c:v>
                </c:pt>
                <c:pt idx="11">
                  <c:v>1.0000000000000002</c:v>
                </c:pt>
                <c:pt idx="12">
                  <c:v>1.0000000000000002</c:v>
                </c:pt>
                <c:pt idx="13">
                  <c:v>1.0000000000000002</c:v>
                </c:pt>
                <c:pt idx="14">
                  <c:v>1.0000000000000002</c:v>
                </c:pt>
                <c:pt idx="15">
                  <c:v>1.0000000000000002</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3288"/>
        <c:axId val="434383680"/>
      </c:lineChart>
      <c:dateAx>
        <c:axId val="434383288"/>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3680"/>
        <c:crosses val="autoZero"/>
        <c:auto val="0"/>
        <c:lblOffset val="100"/>
        <c:baseTimeUnit val="days"/>
      </c:dateAx>
      <c:valAx>
        <c:axId val="434383680"/>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3288"/>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Testosterone 11µg/L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Testosterone 11µg/L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Testosterone 11µg/L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4464"/>
        <c:axId val="434384856"/>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7131CB77-F3B6-429D-8A59-6D0621DDFA24}"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28A97207-BE3D-4D81-AF94-1E0B63541D3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4076-4183-9788-B9390BF1596B}"/>
                </c:ext>
              </c:extLst>
            </c:dLbl>
            <c:dLbl>
              <c:idx val="2"/>
              <c:tx>
                <c:rich>
                  <a:bodyPr/>
                  <a:lstStyle/>
                  <a:p>
                    <a:fld id="{29BB51D7-6BB9-4ED7-8EA9-8162CA79D81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4076-4183-9788-B9390BF1596B}"/>
                </c:ext>
              </c:extLst>
            </c:dLbl>
            <c:dLbl>
              <c:idx val="15"/>
              <c:tx>
                <c:rich>
                  <a:bodyPr/>
                  <a:lstStyle/>
                  <a:p>
                    <a:fld id="{D6BEB6DA-8213-4180-910B-2E965FB4A6C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1.5409889097971408E-2</c:v>
                  </c:pt>
                </c:numCache>
              </c:numRef>
            </c:plus>
            <c:minus>
              <c:numRef>
                <c:f>'Graph format rapport CHG 1éch'!$E$4:$G$4</c:f>
                <c:numCache>
                  <c:formatCode>General</c:formatCode>
                  <c:ptCount val="3"/>
                  <c:pt idx="1">
                    <c:v>1.5409889097971408E-2</c:v>
                  </c:pt>
                </c:numCache>
              </c:numRef>
            </c:minus>
          </c:errBars>
          <c:cat>
            <c:strRef>
              <c:f>'Graph format rapport CHG 1éch'!$E$2:$G$2</c:f>
              <c:strCache>
                <c:ptCount val="2"/>
                <c:pt idx="1">
                  <c:v>Testosterone 11µg/L</c:v>
                </c:pt>
              </c:strCache>
            </c:strRef>
          </c:cat>
          <c:val>
            <c:numRef>
              <c:f>'Graph format rapport CHG 1éch'!$E$3:$G$3</c:f>
              <c:numCache>
                <c:formatCode>General</c:formatCode>
                <c:ptCount val="3"/>
                <c:pt idx="1">
                  <c:v>7.8562709317890861E-2</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4464"/>
        <c:axId val="434384856"/>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6.2286370174278488E-2</c:v>
                </c:pt>
                <c:pt idx="1">
                  <c:v>6.2286370174278488E-2</c:v>
                </c:pt>
                <c:pt idx="2">
                  <c:v>6.2286370174278488E-2</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4464"/>
        <c:axId val="434384856"/>
      </c:lineChart>
      <c:dateAx>
        <c:axId val="434384464"/>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4856"/>
        <c:crosses val="autoZero"/>
        <c:auto val="0"/>
        <c:lblOffset val="100"/>
        <c:baseTimeUnit val="days"/>
      </c:dateAx>
      <c:valAx>
        <c:axId val="434384856"/>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4464"/>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57480830233223"/>
          <c:y val="4.909851894799426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Testosterone-3,7µg/L + Testostérone</c:v>
                </c:pt>
              </c:strCache>
            </c:strRef>
          </c:cat>
          <c:val>
            <c:numRef>
              <c:f>'Graph format rapport CHG 1éch'!$H$8:$J$8</c:f>
              <c:numCache>
                <c:formatCode>General</c:formatCode>
                <c:ptCount val="3"/>
                <c:pt idx="0">
                  <c:v>0.12880738499348809</c:v>
                </c:pt>
                <c:pt idx="1">
                  <c:v>0.12880738499348809</c:v>
                </c:pt>
                <c:pt idx="2">
                  <c:v>0.12880738499348809</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Testosterone-3,7µg/L + Testostérone</c:v>
                </c:pt>
              </c:strCache>
            </c:strRef>
          </c:cat>
          <c:val>
            <c:numRef>
              <c:f>'Graph format rapport CHG 1éch'!$H$9:$J$9</c:f>
              <c:numCache>
                <c:formatCode>General</c:formatCode>
                <c:ptCount val="3"/>
                <c:pt idx="0">
                  <c:v>1.5302633820977469</c:v>
                </c:pt>
                <c:pt idx="1">
                  <c:v>1.5302633820977469</c:v>
                </c:pt>
                <c:pt idx="2">
                  <c:v>1.5302633820977469</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Testosterone-3,7µg/L + Testostérone</c:v>
                </c:pt>
              </c:strCache>
            </c:strRef>
          </c:cat>
          <c:val>
            <c:numRef>
              <c:f>'Graph format rapport CHG 1éch'!$H$10:$J$10</c:f>
              <c:numCache>
                <c:formatCode>General</c:formatCode>
                <c:ptCount val="3"/>
                <c:pt idx="0">
                  <c:v>0.96973661790225307</c:v>
                </c:pt>
                <c:pt idx="1">
                  <c:v>0.96973661790225307</c:v>
                </c:pt>
                <c:pt idx="2">
                  <c:v>0.96973661790225307</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5640"/>
        <c:axId val="434386032"/>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6219D0BD-57F1-4CF5-9AE9-9ED666E0CD1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F9C8894B-6659-47AF-93DC-1DE0AE60D5C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AEE9-4347-837C-FBA7D320B8CC}"/>
                </c:ext>
              </c:extLst>
            </c:dLbl>
            <c:dLbl>
              <c:idx val="2"/>
              <c:tx>
                <c:rich>
                  <a:bodyPr/>
                  <a:lstStyle/>
                  <a:p>
                    <a:fld id="{F2FBA542-1DA1-4112-ABED-0F2BC8DAFA3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AEE9-4347-837C-FBA7D320B8CC}"/>
                </c:ext>
              </c:extLst>
            </c:dLbl>
            <c:dLbl>
              <c:idx val="15"/>
              <c:tx>
                <c:rich>
                  <a:bodyPr/>
                  <a:lstStyle/>
                  <a:p>
                    <a:fld id="{9F88FD52-D771-43D0-B1AB-DADC933A6E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0.14094085537935699</c:v>
                  </c:pt>
                </c:numCache>
              </c:numRef>
            </c:plus>
            <c:minus>
              <c:numRef>
                <c:f>'Graph format rapport CHG 1éch'!$H$4:$J$4</c:f>
                <c:numCache>
                  <c:formatCode>General</c:formatCode>
                  <c:ptCount val="3"/>
                  <c:pt idx="1">
                    <c:v>0.14094085537935699</c:v>
                  </c:pt>
                </c:numCache>
              </c:numRef>
            </c:minus>
          </c:errBars>
          <c:cat>
            <c:strRef>
              <c:f>'Graph format rapport CHG 1éch'!$H$2:$J$2</c:f>
              <c:strCache>
                <c:ptCount val="2"/>
                <c:pt idx="1">
                  <c:v>Testosterone-3,7µg/L + Testostérone</c:v>
                </c:pt>
              </c:strCache>
            </c:strRef>
          </c:cat>
          <c:val>
            <c:numRef>
              <c:f>'Graph format rapport CHG 1éch'!$H$3:$J$3</c:f>
              <c:numCache>
                <c:formatCode>General</c:formatCode>
                <c:ptCount val="3"/>
                <c:pt idx="1">
                  <c:v>1.0041967810406445</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5640"/>
        <c:axId val="434386032"/>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Testosterone-3,7µg/L + Testostérone</c:v>
                </c:pt>
              </c:strCache>
            </c:strRef>
          </c:cat>
          <c:val>
            <c:numRef>
              <c:f>'Graph format rapport CHG 1éch'!$H$7:$J$7</c:f>
              <c:numCache>
                <c:formatCode>General</c:formatCode>
                <c:ptCount val="3"/>
                <c:pt idx="0">
                  <c:v>1.0000000000000002</c:v>
                </c:pt>
                <c:pt idx="1">
                  <c:v>1.0000000000000002</c:v>
                </c:pt>
                <c:pt idx="2">
                  <c:v>1.0000000000000002</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5640"/>
        <c:axId val="434386032"/>
      </c:lineChart>
      <c:dateAx>
        <c:axId val="43438564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6032"/>
        <c:crosses val="autoZero"/>
        <c:auto val="0"/>
        <c:lblOffset val="100"/>
        <c:baseTimeUnit val="days"/>
      </c:dateAx>
      <c:valAx>
        <c:axId val="434386032"/>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5640"/>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Testosterone 11µg/L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Testosterone 11µg/L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Testosterone 11µg/L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6816"/>
        <c:axId val="434387208"/>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C813BDFE-50E8-46BA-BE99-0F1EE3E9E6B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E14DE6CC-FA38-4CBA-B420-68B51596155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3931-4034-B613-D94F9BFA86BA}"/>
                </c:ext>
              </c:extLst>
            </c:dLbl>
            <c:dLbl>
              <c:idx val="2"/>
              <c:tx>
                <c:rich>
                  <a:bodyPr/>
                  <a:lstStyle/>
                  <a:p>
                    <a:fld id="{5895A25A-032B-45CB-A37A-D9FEBAC022E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3931-4034-B613-D94F9BFA86BA}"/>
                </c:ext>
              </c:extLst>
            </c:dLbl>
            <c:dLbl>
              <c:idx val="15"/>
              <c:tx>
                <c:rich>
                  <a:bodyPr/>
                  <a:lstStyle/>
                  <a:p>
                    <a:fld id="{D6BEB6DA-8213-4180-910B-2E965FB4A6C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1.5409889097971408E-2</c:v>
                  </c:pt>
                </c:numCache>
              </c:numRef>
            </c:plus>
            <c:minus>
              <c:numRef>
                <c:f>'Graph format rapport CHG 1éch'!$E$4:$G$4</c:f>
                <c:numCache>
                  <c:formatCode>General</c:formatCode>
                  <c:ptCount val="3"/>
                  <c:pt idx="1">
                    <c:v>1.5409889097971408E-2</c:v>
                  </c:pt>
                </c:numCache>
              </c:numRef>
            </c:minus>
          </c:errBars>
          <c:cat>
            <c:strRef>
              <c:f>'Graph format rapport CHG 1éch'!$E$2:$G$2</c:f>
              <c:strCache>
                <c:ptCount val="2"/>
                <c:pt idx="1">
                  <c:v>Testosterone 11µg/L</c:v>
                </c:pt>
              </c:strCache>
            </c:strRef>
          </c:cat>
          <c:val>
            <c:numRef>
              <c:f>'Graph format rapport CHG 1éch'!$E$3:$G$3</c:f>
              <c:numCache>
                <c:formatCode>General</c:formatCode>
                <c:ptCount val="3"/>
                <c:pt idx="1">
                  <c:v>7.8562709317890861E-2</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6816"/>
        <c:axId val="434387208"/>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6.2286370174278488E-2</c:v>
                </c:pt>
                <c:pt idx="1">
                  <c:v>6.2286370174278488E-2</c:v>
                </c:pt>
                <c:pt idx="2">
                  <c:v>6.2286370174278488E-2</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6816"/>
        <c:axId val="434387208"/>
      </c:lineChart>
      <c:dateAx>
        <c:axId val="43438681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7208"/>
        <c:crosses val="autoZero"/>
        <c:auto val="0"/>
        <c:lblOffset val="100"/>
        <c:baseTimeUnit val="days"/>
      </c:dateAx>
      <c:valAx>
        <c:axId val="434387208"/>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6816"/>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Testosterone-3,7µg/L + Testostérone</c:v>
                </c:pt>
              </c:strCache>
            </c:strRef>
          </c:cat>
          <c:val>
            <c:numRef>
              <c:f>'Graph format rapport CHG 1éch'!$H$8:$J$8</c:f>
              <c:numCache>
                <c:formatCode>General</c:formatCode>
                <c:ptCount val="3"/>
                <c:pt idx="0">
                  <c:v>0.12880738499348809</c:v>
                </c:pt>
                <c:pt idx="1">
                  <c:v>0.12880738499348809</c:v>
                </c:pt>
                <c:pt idx="2">
                  <c:v>0.12880738499348809</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Testosterone-3,7µg/L + Testostérone</c:v>
                </c:pt>
              </c:strCache>
            </c:strRef>
          </c:cat>
          <c:val>
            <c:numRef>
              <c:f>'Graph format rapport CHG 1éch'!$H$9:$J$9</c:f>
              <c:numCache>
                <c:formatCode>General</c:formatCode>
                <c:ptCount val="3"/>
                <c:pt idx="0">
                  <c:v>1.5302633820977469</c:v>
                </c:pt>
                <c:pt idx="1">
                  <c:v>1.5302633820977469</c:v>
                </c:pt>
                <c:pt idx="2">
                  <c:v>1.5302633820977469</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Testosterone-3,7µg/L + Testostérone</c:v>
                </c:pt>
              </c:strCache>
            </c:strRef>
          </c:cat>
          <c:val>
            <c:numRef>
              <c:f>'Graph format rapport CHG 1éch'!$H$10:$J$10</c:f>
              <c:numCache>
                <c:formatCode>General</c:formatCode>
                <c:ptCount val="3"/>
                <c:pt idx="0">
                  <c:v>0.96973661790225307</c:v>
                </c:pt>
                <c:pt idx="1">
                  <c:v>0.96973661790225307</c:v>
                </c:pt>
                <c:pt idx="2">
                  <c:v>0.96973661790225307</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7992"/>
        <c:axId val="434388384"/>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9C4BAC22-3730-4BF5-BD9E-6C5BBDED390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CFFF1CAB-3163-4732-85AC-D8C49E165FE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5EBF-4732-9D62-4A2CE2E5DD11}"/>
                </c:ext>
              </c:extLst>
            </c:dLbl>
            <c:dLbl>
              <c:idx val="2"/>
              <c:tx>
                <c:rich>
                  <a:bodyPr/>
                  <a:lstStyle/>
                  <a:p>
                    <a:fld id="{CE503BEA-FB97-40A6-9EE6-DC777C2A2D1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5EBF-4732-9D62-4A2CE2E5DD11}"/>
                </c:ext>
              </c:extLst>
            </c:dLbl>
            <c:dLbl>
              <c:idx val="15"/>
              <c:tx>
                <c:rich>
                  <a:bodyPr/>
                  <a:lstStyle/>
                  <a:p>
                    <a:fld id="{9F88FD52-D771-43D0-B1AB-DADC933A6E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0.14094085537935699</c:v>
                  </c:pt>
                </c:numCache>
              </c:numRef>
            </c:plus>
            <c:minus>
              <c:numRef>
                <c:f>'Graph format rapport CHG 1éch'!$H$4:$J$4</c:f>
                <c:numCache>
                  <c:formatCode>General</c:formatCode>
                  <c:ptCount val="3"/>
                  <c:pt idx="1">
                    <c:v>0.14094085537935699</c:v>
                  </c:pt>
                </c:numCache>
              </c:numRef>
            </c:minus>
          </c:errBars>
          <c:cat>
            <c:strRef>
              <c:f>'Graph format rapport CHG 1éch'!$H$2:$J$2</c:f>
              <c:strCache>
                <c:ptCount val="2"/>
                <c:pt idx="1">
                  <c:v>Testosterone-3,7µg/L + Testostérone</c:v>
                </c:pt>
              </c:strCache>
            </c:strRef>
          </c:cat>
          <c:val>
            <c:numRef>
              <c:f>'Graph format rapport CHG 1éch'!$H$3:$J$3</c:f>
              <c:numCache>
                <c:formatCode>General</c:formatCode>
                <c:ptCount val="3"/>
                <c:pt idx="1">
                  <c:v>1.0041967810406445</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7992"/>
        <c:axId val="434388384"/>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Testosterone-3,7µg/L + Testostérone</c:v>
                </c:pt>
              </c:strCache>
            </c:strRef>
          </c:cat>
          <c:val>
            <c:numRef>
              <c:f>'Graph format rapport CHG 1éch'!$H$7:$J$7</c:f>
              <c:numCache>
                <c:formatCode>General</c:formatCode>
                <c:ptCount val="3"/>
                <c:pt idx="0">
                  <c:v>1.0000000000000002</c:v>
                </c:pt>
                <c:pt idx="1">
                  <c:v>1.0000000000000002</c:v>
                </c:pt>
                <c:pt idx="2">
                  <c:v>1.0000000000000002</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7992"/>
        <c:axId val="434388384"/>
      </c:lineChart>
      <c:dateAx>
        <c:axId val="43438799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8384"/>
        <c:crosses val="autoZero"/>
        <c:auto val="0"/>
        <c:lblOffset val="100"/>
        <c:baseTimeUnit val="days"/>
      </c:dateAx>
      <c:valAx>
        <c:axId val="434388384"/>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7992"/>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zoomScale="134" workbookViewId="0"/>
  </sheetViews>
  <pageMargins left="0.7" right="0.7" top="0.75" bottom="0.75" header="0.3" footer="0.3"/>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sheetViews>
    <sheetView zoomScale="116" workbookViewId="0" zoomToFit="1"/>
  </sheetViews>
  <pageMargins left="0.7" right="0.7" top="0.75" bottom="0.75" header="0.3" footer="0.3"/>
  <pageSetup paperSize="9"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sheetViews>
    <sheetView zoomScale="116" workbookViewId="0" zoomToFit="1"/>
  </sheetViews>
  <pageMargins left="0.7" right="0.7" top="0.75" bottom="0.75" header="0.3" footer="0.3"/>
  <pageSetup paperSize="9"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sheetViews>
    <sheetView zoomScale="116" workbookViewId="0" zoomToFit="1"/>
  </sheetViews>
  <pageMargins left="0.7" right="0.7" top="0.75" bottom="0.75" header="0.3" footer="0.3"/>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3" Type="http://schemas.openxmlformats.org/officeDocument/2006/relationships/image" Target="../media/image1.png"/><Relationship Id="rId7" Type="http://schemas.openxmlformats.org/officeDocument/2006/relationships/chart" Target="../charts/chart8.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7.xml"/><Relationship Id="rId5" Type="http://schemas.openxmlformats.org/officeDocument/2006/relationships/image" Target="../media/image3.png"/><Relationship Id="rId4" Type="http://schemas.openxmlformats.org/officeDocument/2006/relationships/image" Target="../media/image2.png"/></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absoluteAnchor>
    <xdr:pos x="0" y="0"/>
    <xdr:ext cx="9283321" cy="6049086"/>
    <xdr:graphicFrame macro="">
      <xdr:nvGraphicFramePr>
        <xdr:cNvPr id="2" name="Graphique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0.42494</cdr:x>
      <cdr:y>0.01696</cdr:y>
    </cdr:from>
    <cdr:to>
      <cdr:x>0.59244</cdr:x>
      <cdr:y>0.06852</cdr:y>
    </cdr:to>
    <cdr:sp macro="" textlink="">
      <cdr:nvSpPr>
        <cdr:cNvPr id="2" name="ZoneTexte 1"/>
        <cdr:cNvSpPr txBox="1"/>
      </cdr:nvSpPr>
      <cdr:spPr>
        <a:xfrm xmlns:a="http://schemas.openxmlformats.org/drawingml/2006/main">
          <a:off x="3946365" y="102453"/>
          <a:ext cx="1555576"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Testosterone</a:t>
          </a:r>
          <a:r>
            <a:rPr lang="fr-FR" sz="1400" b="1" baseline="0"/>
            <a:t> R1</a:t>
          </a:r>
          <a:endParaRPr lang="fr-FR" sz="1400" b="1"/>
        </a:p>
      </cdr:txBody>
    </cdr:sp>
  </cdr:relSizeAnchor>
</c:userShapes>
</file>

<file path=xl/drawings/drawing3.xml><?xml version="1.0" encoding="utf-8"?>
<xdr:wsDr xmlns:xdr="http://schemas.openxmlformats.org/drawingml/2006/spreadsheetDrawing" xmlns:a="http://schemas.openxmlformats.org/drawingml/2006/main">
  <xdr:absoluteAnchor>
    <xdr:pos x="0" y="0"/>
    <xdr:ext cx="9286875" cy="6051659"/>
    <xdr:graphicFrame macro="">
      <xdr:nvGraphicFramePr>
        <xdr:cNvPr id="2" name="Graphique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0.37494</cdr:x>
      <cdr:y>0.01504</cdr:y>
    </cdr:from>
    <cdr:to>
      <cdr:x>0.5575</cdr:x>
      <cdr:y>0.06657</cdr:y>
    </cdr:to>
    <cdr:sp macro="" textlink="">
      <cdr:nvSpPr>
        <cdr:cNvPr id="2" name="ZoneTexte 1"/>
        <cdr:cNvSpPr txBox="1"/>
      </cdr:nvSpPr>
      <cdr:spPr>
        <a:xfrm xmlns:a="http://schemas.openxmlformats.org/drawingml/2006/main">
          <a:off x="3480830" y="90920"/>
          <a:ext cx="1694833"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Testosterone</a:t>
          </a:r>
          <a:r>
            <a:rPr lang="fr-FR" sz="1400" b="1" baseline="0"/>
            <a:t> R2</a:t>
          </a:r>
          <a:endParaRPr lang="fr-FR" sz="1400" b="1"/>
        </a:p>
      </cdr:txBody>
    </cdr:sp>
  </cdr:relSizeAnchor>
</c:userShapes>
</file>

<file path=xl/drawings/drawing5.xml><?xml version="1.0" encoding="utf-8"?>
<xdr:wsDr xmlns:xdr="http://schemas.openxmlformats.org/drawingml/2006/spreadsheetDrawing" xmlns:a="http://schemas.openxmlformats.org/drawingml/2006/main">
  <xdr:absoluteAnchor>
    <xdr:pos x="0" y="0"/>
    <xdr:ext cx="9286875" cy="6051659"/>
    <xdr:graphicFrame macro="">
      <xdr:nvGraphicFramePr>
        <xdr:cNvPr id="2" name="Graphique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0.37494</cdr:x>
      <cdr:y>0.01504</cdr:y>
    </cdr:from>
    <cdr:to>
      <cdr:x>0.5575</cdr:x>
      <cdr:y>0.10273</cdr:y>
    </cdr:to>
    <cdr:sp macro="" textlink="">
      <cdr:nvSpPr>
        <cdr:cNvPr id="2" name="ZoneTexte 1"/>
        <cdr:cNvSpPr txBox="1"/>
      </cdr:nvSpPr>
      <cdr:spPr>
        <a:xfrm xmlns:a="http://schemas.openxmlformats.org/drawingml/2006/main">
          <a:off x="3482021" y="91017"/>
          <a:ext cx="1695412" cy="530658"/>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Testosterone</a:t>
          </a:r>
          <a:r>
            <a:rPr lang="fr-FR" sz="1400" b="1" baseline="0"/>
            <a:t> R3</a:t>
          </a:r>
        </a:p>
        <a:p xmlns:a="http://schemas.openxmlformats.org/drawingml/2006/main">
          <a:pPr algn="ctr"/>
          <a:endParaRPr lang="fr-FR" sz="1400" b="1"/>
        </a:p>
      </cdr:txBody>
    </cdr:sp>
  </cdr:relSizeAnchor>
</c:userShapes>
</file>

<file path=xl/drawings/drawing7.xml><?xml version="1.0" encoding="utf-8"?>
<xdr:wsDr xmlns:xdr="http://schemas.openxmlformats.org/drawingml/2006/spreadsheetDrawing" xmlns:a="http://schemas.openxmlformats.org/drawingml/2006/main">
  <xdr:absoluteAnchor>
    <xdr:pos x="0" y="0"/>
    <xdr:ext cx="9286875" cy="6051659"/>
    <xdr:graphicFrame macro="">
      <xdr:nvGraphicFramePr>
        <xdr:cNvPr id="2" name="Graphique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xdr:wsDr xmlns:xdr="http://schemas.openxmlformats.org/drawingml/2006/spreadsheetDrawing" xmlns:a="http://schemas.openxmlformats.org/drawingml/2006/main">
  <xdr:twoCellAnchor editAs="absolute">
    <xdr:from>
      <xdr:col>15</xdr:col>
      <xdr:colOff>384711</xdr:colOff>
      <xdr:row>4</xdr:row>
      <xdr:rowOff>197921</xdr:rowOff>
    </xdr:from>
    <xdr:to>
      <xdr:col>28</xdr:col>
      <xdr:colOff>573972</xdr:colOff>
      <xdr:row>17</xdr:row>
      <xdr:rowOff>43528</xdr:rowOff>
    </xdr:to>
    <xdr:graphicFrame macro="">
      <xdr:nvGraphicFramePr>
        <xdr:cNvPr id="2" name="Graphique 1">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15</xdr:col>
      <xdr:colOff>207819</xdr:colOff>
      <xdr:row>33</xdr:row>
      <xdr:rowOff>40820</xdr:rowOff>
    </xdr:from>
    <xdr:to>
      <xdr:col>28</xdr:col>
      <xdr:colOff>397080</xdr:colOff>
      <xdr:row>47</xdr:row>
      <xdr:rowOff>63320</xdr:rowOff>
    </xdr:to>
    <xdr:graphicFrame macro="">
      <xdr:nvGraphicFramePr>
        <xdr:cNvPr id="56" name="Graphique 55">
          <a:extLst>
            <a:ext uri="{FF2B5EF4-FFF2-40B4-BE49-F238E27FC236}">
              <a16:creationId xmlns:a16="http://schemas.microsoft.com/office/drawing/2014/main" id="{00000000-0008-0000-0D00-00003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15</xdr:col>
      <xdr:colOff>289462</xdr:colOff>
      <xdr:row>46</xdr:row>
      <xdr:rowOff>29696</xdr:rowOff>
    </xdr:from>
    <xdr:to>
      <xdr:col>28</xdr:col>
      <xdr:colOff>342269</xdr:colOff>
      <xdr:row>51</xdr:row>
      <xdr:rowOff>106544</xdr:rowOff>
    </xdr:to>
    <xdr:grpSp>
      <xdr:nvGrpSpPr>
        <xdr:cNvPr id="57" name="Groupe 56">
          <a:extLst>
            <a:ext uri="{FF2B5EF4-FFF2-40B4-BE49-F238E27FC236}">
              <a16:creationId xmlns:a16="http://schemas.microsoft.com/office/drawing/2014/main" id="{00000000-0008-0000-0D00-000039000000}"/>
            </a:ext>
          </a:extLst>
        </xdr:cNvPr>
        <xdr:cNvGrpSpPr/>
      </xdr:nvGrpSpPr>
      <xdr:grpSpPr>
        <a:xfrm>
          <a:off x="19448319" y="10275875"/>
          <a:ext cx="8012986" cy="1097383"/>
          <a:chOff x="367064" y="1542965"/>
          <a:chExt cx="7932581" cy="1097383"/>
        </a:xfrm>
      </xdr:grpSpPr>
      <xdr:sp macro="" textlink="">
        <xdr:nvSpPr>
          <xdr:cNvPr id="58" name="Shape 6">
            <a:extLst>
              <a:ext uri="{FF2B5EF4-FFF2-40B4-BE49-F238E27FC236}">
                <a16:creationId xmlns:a16="http://schemas.microsoft.com/office/drawing/2014/main" id="{00000000-0008-0000-0D00-00003A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59" name="Shape 322">
            <a:extLst>
              <a:ext uri="{FF2B5EF4-FFF2-40B4-BE49-F238E27FC236}">
                <a16:creationId xmlns:a16="http://schemas.microsoft.com/office/drawing/2014/main" id="{00000000-0008-0000-0D00-00003B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0" name="Shape 323">
            <a:extLst>
              <a:ext uri="{FF2B5EF4-FFF2-40B4-BE49-F238E27FC236}">
                <a16:creationId xmlns:a16="http://schemas.microsoft.com/office/drawing/2014/main" id="{00000000-0008-0000-0D00-00003C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1" name="Shape 324">
            <a:extLst>
              <a:ext uri="{FF2B5EF4-FFF2-40B4-BE49-F238E27FC236}">
                <a16:creationId xmlns:a16="http://schemas.microsoft.com/office/drawing/2014/main" id="{00000000-0008-0000-0D00-00003D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2" name="Shape 325">
            <a:extLst>
              <a:ext uri="{FF2B5EF4-FFF2-40B4-BE49-F238E27FC236}">
                <a16:creationId xmlns:a16="http://schemas.microsoft.com/office/drawing/2014/main" id="{00000000-0008-0000-0D00-00003E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3" name="Shape 326">
            <a:extLst>
              <a:ext uri="{FF2B5EF4-FFF2-40B4-BE49-F238E27FC236}">
                <a16:creationId xmlns:a16="http://schemas.microsoft.com/office/drawing/2014/main" id="{00000000-0008-0000-0D00-00003F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4" name="Shape 12">
            <a:extLst>
              <a:ext uri="{FF2B5EF4-FFF2-40B4-BE49-F238E27FC236}">
                <a16:creationId xmlns:a16="http://schemas.microsoft.com/office/drawing/2014/main" id="{00000000-0008-0000-0D00-000040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5" name="Shape 327">
            <a:extLst>
              <a:ext uri="{FF2B5EF4-FFF2-40B4-BE49-F238E27FC236}">
                <a16:creationId xmlns:a16="http://schemas.microsoft.com/office/drawing/2014/main" id="{00000000-0008-0000-0D00-000041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6" name="Shape 328">
            <a:extLst>
              <a:ext uri="{FF2B5EF4-FFF2-40B4-BE49-F238E27FC236}">
                <a16:creationId xmlns:a16="http://schemas.microsoft.com/office/drawing/2014/main" id="{00000000-0008-0000-0D00-000042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7" name="Shape 329">
            <a:extLst>
              <a:ext uri="{FF2B5EF4-FFF2-40B4-BE49-F238E27FC236}">
                <a16:creationId xmlns:a16="http://schemas.microsoft.com/office/drawing/2014/main" id="{00000000-0008-0000-0D00-000043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8" name="Shape 330">
            <a:extLst>
              <a:ext uri="{FF2B5EF4-FFF2-40B4-BE49-F238E27FC236}">
                <a16:creationId xmlns:a16="http://schemas.microsoft.com/office/drawing/2014/main" id="{00000000-0008-0000-0D00-000044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9" name="Shape 331">
            <a:extLst>
              <a:ext uri="{FF2B5EF4-FFF2-40B4-BE49-F238E27FC236}">
                <a16:creationId xmlns:a16="http://schemas.microsoft.com/office/drawing/2014/main" id="{00000000-0008-0000-0D00-000045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0" name="Shape 332">
            <a:extLst>
              <a:ext uri="{FF2B5EF4-FFF2-40B4-BE49-F238E27FC236}">
                <a16:creationId xmlns:a16="http://schemas.microsoft.com/office/drawing/2014/main" id="{00000000-0008-0000-0D00-000046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71" name="Picture 308">
            <a:extLst>
              <a:ext uri="{FF2B5EF4-FFF2-40B4-BE49-F238E27FC236}">
                <a16:creationId xmlns:a16="http://schemas.microsoft.com/office/drawing/2014/main" id="{00000000-0008-0000-0D00-000047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72" name="Shape 20">
            <a:extLst>
              <a:ext uri="{FF2B5EF4-FFF2-40B4-BE49-F238E27FC236}">
                <a16:creationId xmlns:a16="http://schemas.microsoft.com/office/drawing/2014/main" id="{00000000-0008-0000-0D00-000048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3" name="Shape 333">
            <a:extLst>
              <a:ext uri="{FF2B5EF4-FFF2-40B4-BE49-F238E27FC236}">
                <a16:creationId xmlns:a16="http://schemas.microsoft.com/office/drawing/2014/main" id="{00000000-0008-0000-0D00-000049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4" name="Rectangle 73">
            <a:extLst>
              <a:ext uri="{FF2B5EF4-FFF2-40B4-BE49-F238E27FC236}">
                <a16:creationId xmlns:a16="http://schemas.microsoft.com/office/drawing/2014/main" id="{00000000-0008-0000-0D00-00004A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75" name="Rectangle 74">
            <a:extLst>
              <a:ext uri="{FF2B5EF4-FFF2-40B4-BE49-F238E27FC236}">
                <a16:creationId xmlns:a16="http://schemas.microsoft.com/office/drawing/2014/main" id="{00000000-0008-0000-0D00-00004B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6" name="Picture 309">
            <a:extLst>
              <a:ext uri="{FF2B5EF4-FFF2-40B4-BE49-F238E27FC236}">
                <a16:creationId xmlns:a16="http://schemas.microsoft.com/office/drawing/2014/main" id="{00000000-0008-0000-0D00-00004C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77" name="Shape 334">
            <a:extLst>
              <a:ext uri="{FF2B5EF4-FFF2-40B4-BE49-F238E27FC236}">
                <a16:creationId xmlns:a16="http://schemas.microsoft.com/office/drawing/2014/main" id="{00000000-0008-0000-0D00-00004D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8" name="Rectangle 77">
            <a:extLst>
              <a:ext uri="{FF2B5EF4-FFF2-40B4-BE49-F238E27FC236}">
                <a16:creationId xmlns:a16="http://schemas.microsoft.com/office/drawing/2014/main" id="{00000000-0008-0000-0D00-00004E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9" name="Picture 311">
            <a:extLst>
              <a:ext uri="{FF2B5EF4-FFF2-40B4-BE49-F238E27FC236}">
                <a16:creationId xmlns:a16="http://schemas.microsoft.com/office/drawing/2014/main" id="{00000000-0008-0000-0D00-00004F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80" name="Shape 30">
            <a:extLst>
              <a:ext uri="{FF2B5EF4-FFF2-40B4-BE49-F238E27FC236}">
                <a16:creationId xmlns:a16="http://schemas.microsoft.com/office/drawing/2014/main" id="{00000000-0008-0000-0D00-000050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1" name="Shape 335">
            <a:extLst>
              <a:ext uri="{FF2B5EF4-FFF2-40B4-BE49-F238E27FC236}">
                <a16:creationId xmlns:a16="http://schemas.microsoft.com/office/drawing/2014/main" id="{00000000-0008-0000-0D00-000051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2" name="Rectangle 81">
            <a:extLst>
              <a:ext uri="{FF2B5EF4-FFF2-40B4-BE49-F238E27FC236}">
                <a16:creationId xmlns:a16="http://schemas.microsoft.com/office/drawing/2014/main" id="{00000000-0008-0000-0D00-000052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83" name="Picture 310">
            <a:extLst>
              <a:ext uri="{FF2B5EF4-FFF2-40B4-BE49-F238E27FC236}">
                <a16:creationId xmlns:a16="http://schemas.microsoft.com/office/drawing/2014/main" id="{00000000-0008-0000-0D00-000053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84" name="Shape 336">
            <a:extLst>
              <a:ext uri="{FF2B5EF4-FFF2-40B4-BE49-F238E27FC236}">
                <a16:creationId xmlns:a16="http://schemas.microsoft.com/office/drawing/2014/main" id="{00000000-0008-0000-0D00-000054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5" name="Rectangle 84">
            <a:extLst>
              <a:ext uri="{FF2B5EF4-FFF2-40B4-BE49-F238E27FC236}">
                <a16:creationId xmlns:a16="http://schemas.microsoft.com/office/drawing/2014/main" id="{00000000-0008-0000-0D00-000055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86" name="Picture 312">
            <a:extLst>
              <a:ext uri="{FF2B5EF4-FFF2-40B4-BE49-F238E27FC236}">
                <a16:creationId xmlns:a16="http://schemas.microsoft.com/office/drawing/2014/main" id="{00000000-0008-0000-0D00-000056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87" name="Shape 337">
            <a:extLst>
              <a:ext uri="{FF2B5EF4-FFF2-40B4-BE49-F238E27FC236}">
                <a16:creationId xmlns:a16="http://schemas.microsoft.com/office/drawing/2014/main" id="{00000000-0008-0000-0D00-000057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8" name="Rectangle 87">
            <a:extLst>
              <a:ext uri="{FF2B5EF4-FFF2-40B4-BE49-F238E27FC236}">
                <a16:creationId xmlns:a16="http://schemas.microsoft.com/office/drawing/2014/main" id="{00000000-0008-0000-0D00-000058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89" name="Rectangle 88">
            <a:extLst>
              <a:ext uri="{FF2B5EF4-FFF2-40B4-BE49-F238E27FC236}">
                <a16:creationId xmlns:a16="http://schemas.microsoft.com/office/drawing/2014/main" id="{00000000-0008-0000-0D00-000059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90" name="Shape 59">
            <a:extLst>
              <a:ext uri="{FF2B5EF4-FFF2-40B4-BE49-F238E27FC236}">
                <a16:creationId xmlns:a16="http://schemas.microsoft.com/office/drawing/2014/main" id="{00000000-0008-0000-0D00-00005A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91" name="Shape 62">
            <a:extLst>
              <a:ext uri="{FF2B5EF4-FFF2-40B4-BE49-F238E27FC236}">
                <a16:creationId xmlns:a16="http://schemas.microsoft.com/office/drawing/2014/main" id="{00000000-0008-0000-0D00-00005B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2" name="Shape 63">
            <a:extLst>
              <a:ext uri="{FF2B5EF4-FFF2-40B4-BE49-F238E27FC236}">
                <a16:creationId xmlns:a16="http://schemas.microsoft.com/office/drawing/2014/main" id="{00000000-0008-0000-0D00-00005C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3" name="Shape 64">
            <a:extLst>
              <a:ext uri="{FF2B5EF4-FFF2-40B4-BE49-F238E27FC236}">
                <a16:creationId xmlns:a16="http://schemas.microsoft.com/office/drawing/2014/main" id="{00000000-0008-0000-0D00-00005D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4" name="Shape 65">
            <a:extLst>
              <a:ext uri="{FF2B5EF4-FFF2-40B4-BE49-F238E27FC236}">
                <a16:creationId xmlns:a16="http://schemas.microsoft.com/office/drawing/2014/main" id="{00000000-0008-0000-0D00-00005E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5" name="Shape 66">
            <a:extLst>
              <a:ext uri="{FF2B5EF4-FFF2-40B4-BE49-F238E27FC236}">
                <a16:creationId xmlns:a16="http://schemas.microsoft.com/office/drawing/2014/main" id="{00000000-0008-0000-0D00-00005F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6" name="Shape 67">
            <a:extLst>
              <a:ext uri="{FF2B5EF4-FFF2-40B4-BE49-F238E27FC236}">
                <a16:creationId xmlns:a16="http://schemas.microsoft.com/office/drawing/2014/main" id="{00000000-0008-0000-0D00-000060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7" name="Shape 68">
            <a:extLst>
              <a:ext uri="{FF2B5EF4-FFF2-40B4-BE49-F238E27FC236}">
                <a16:creationId xmlns:a16="http://schemas.microsoft.com/office/drawing/2014/main" id="{00000000-0008-0000-0D00-000061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8" name="Shape 69">
            <a:extLst>
              <a:ext uri="{FF2B5EF4-FFF2-40B4-BE49-F238E27FC236}">
                <a16:creationId xmlns:a16="http://schemas.microsoft.com/office/drawing/2014/main" id="{00000000-0008-0000-0D00-000062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9" name="Shape 70">
            <a:extLst>
              <a:ext uri="{FF2B5EF4-FFF2-40B4-BE49-F238E27FC236}">
                <a16:creationId xmlns:a16="http://schemas.microsoft.com/office/drawing/2014/main" id="{00000000-0008-0000-0D00-000063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0" name="Shape 71">
            <a:extLst>
              <a:ext uri="{FF2B5EF4-FFF2-40B4-BE49-F238E27FC236}">
                <a16:creationId xmlns:a16="http://schemas.microsoft.com/office/drawing/2014/main" id="{00000000-0008-0000-0D00-000064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1" name="Shape 72">
            <a:extLst>
              <a:ext uri="{FF2B5EF4-FFF2-40B4-BE49-F238E27FC236}">
                <a16:creationId xmlns:a16="http://schemas.microsoft.com/office/drawing/2014/main" id="{00000000-0008-0000-0D00-000065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2" name="Shape 73">
            <a:extLst>
              <a:ext uri="{FF2B5EF4-FFF2-40B4-BE49-F238E27FC236}">
                <a16:creationId xmlns:a16="http://schemas.microsoft.com/office/drawing/2014/main" id="{00000000-0008-0000-0D00-000066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3" name="Shape 74">
            <a:extLst>
              <a:ext uri="{FF2B5EF4-FFF2-40B4-BE49-F238E27FC236}">
                <a16:creationId xmlns:a16="http://schemas.microsoft.com/office/drawing/2014/main" id="{00000000-0008-0000-0D00-000067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4" name="Shape 75">
            <a:extLst>
              <a:ext uri="{FF2B5EF4-FFF2-40B4-BE49-F238E27FC236}">
                <a16:creationId xmlns:a16="http://schemas.microsoft.com/office/drawing/2014/main" id="{00000000-0008-0000-0D00-000068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5" name="Shape 76">
            <a:extLst>
              <a:ext uri="{FF2B5EF4-FFF2-40B4-BE49-F238E27FC236}">
                <a16:creationId xmlns:a16="http://schemas.microsoft.com/office/drawing/2014/main" id="{00000000-0008-0000-0D00-000069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6" name="Shape 77">
            <a:extLst>
              <a:ext uri="{FF2B5EF4-FFF2-40B4-BE49-F238E27FC236}">
                <a16:creationId xmlns:a16="http://schemas.microsoft.com/office/drawing/2014/main" id="{00000000-0008-0000-0D00-00006A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7" name="Rectangle 106">
            <a:extLst>
              <a:ext uri="{FF2B5EF4-FFF2-40B4-BE49-F238E27FC236}">
                <a16:creationId xmlns:a16="http://schemas.microsoft.com/office/drawing/2014/main" id="{00000000-0008-0000-0D00-00006B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08" name="ZoneTexte 55">
            <a:extLst>
              <a:ext uri="{FF2B5EF4-FFF2-40B4-BE49-F238E27FC236}">
                <a16:creationId xmlns:a16="http://schemas.microsoft.com/office/drawing/2014/main" id="{00000000-0008-0000-0D00-00006C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09" name="ZoneTexte 56">
            <a:extLst>
              <a:ext uri="{FF2B5EF4-FFF2-40B4-BE49-F238E27FC236}">
                <a16:creationId xmlns:a16="http://schemas.microsoft.com/office/drawing/2014/main" id="{00000000-0008-0000-0D00-00006D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15</xdr:col>
      <xdr:colOff>452938</xdr:colOff>
      <xdr:row>15</xdr:row>
      <xdr:rowOff>189512</xdr:rowOff>
    </xdr:from>
    <xdr:to>
      <xdr:col>28</xdr:col>
      <xdr:colOff>505745</xdr:colOff>
      <xdr:row>21</xdr:row>
      <xdr:rowOff>62252</xdr:rowOff>
    </xdr:to>
    <xdr:grpSp>
      <xdr:nvGrpSpPr>
        <xdr:cNvPr id="110" name="Groupe 109">
          <a:extLst>
            <a:ext uri="{FF2B5EF4-FFF2-40B4-BE49-F238E27FC236}">
              <a16:creationId xmlns:a16="http://schemas.microsoft.com/office/drawing/2014/main" id="{00000000-0008-0000-0D00-00006E000000}"/>
            </a:ext>
          </a:extLst>
        </xdr:cNvPr>
        <xdr:cNvGrpSpPr/>
      </xdr:nvGrpSpPr>
      <xdr:grpSpPr>
        <a:xfrm>
          <a:off x="19611795" y="3904262"/>
          <a:ext cx="8012986" cy="1097383"/>
          <a:chOff x="367064" y="1542965"/>
          <a:chExt cx="7932581" cy="1097383"/>
        </a:xfrm>
      </xdr:grpSpPr>
      <xdr:sp macro="" textlink="">
        <xdr:nvSpPr>
          <xdr:cNvPr id="111" name="Shape 6">
            <a:extLst>
              <a:ext uri="{FF2B5EF4-FFF2-40B4-BE49-F238E27FC236}">
                <a16:creationId xmlns:a16="http://schemas.microsoft.com/office/drawing/2014/main" id="{00000000-0008-0000-0D00-00006F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2" name="Shape 322">
            <a:extLst>
              <a:ext uri="{FF2B5EF4-FFF2-40B4-BE49-F238E27FC236}">
                <a16:creationId xmlns:a16="http://schemas.microsoft.com/office/drawing/2014/main" id="{00000000-0008-0000-0D00-000070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3" name="Shape 323">
            <a:extLst>
              <a:ext uri="{FF2B5EF4-FFF2-40B4-BE49-F238E27FC236}">
                <a16:creationId xmlns:a16="http://schemas.microsoft.com/office/drawing/2014/main" id="{00000000-0008-0000-0D00-000071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4" name="Shape 324">
            <a:extLst>
              <a:ext uri="{FF2B5EF4-FFF2-40B4-BE49-F238E27FC236}">
                <a16:creationId xmlns:a16="http://schemas.microsoft.com/office/drawing/2014/main" id="{00000000-0008-0000-0D00-000072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5" name="Shape 325">
            <a:extLst>
              <a:ext uri="{FF2B5EF4-FFF2-40B4-BE49-F238E27FC236}">
                <a16:creationId xmlns:a16="http://schemas.microsoft.com/office/drawing/2014/main" id="{00000000-0008-0000-0D00-000073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6" name="Shape 326">
            <a:extLst>
              <a:ext uri="{FF2B5EF4-FFF2-40B4-BE49-F238E27FC236}">
                <a16:creationId xmlns:a16="http://schemas.microsoft.com/office/drawing/2014/main" id="{00000000-0008-0000-0D00-000074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7" name="Shape 12">
            <a:extLst>
              <a:ext uri="{FF2B5EF4-FFF2-40B4-BE49-F238E27FC236}">
                <a16:creationId xmlns:a16="http://schemas.microsoft.com/office/drawing/2014/main" id="{00000000-0008-0000-0D00-000075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8" name="Shape 327">
            <a:extLst>
              <a:ext uri="{FF2B5EF4-FFF2-40B4-BE49-F238E27FC236}">
                <a16:creationId xmlns:a16="http://schemas.microsoft.com/office/drawing/2014/main" id="{00000000-0008-0000-0D00-000076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9" name="Shape 328">
            <a:extLst>
              <a:ext uri="{FF2B5EF4-FFF2-40B4-BE49-F238E27FC236}">
                <a16:creationId xmlns:a16="http://schemas.microsoft.com/office/drawing/2014/main" id="{00000000-0008-0000-0D00-000077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0" name="Shape 329">
            <a:extLst>
              <a:ext uri="{FF2B5EF4-FFF2-40B4-BE49-F238E27FC236}">
                <a16:creationId xmlns:a16="http://schemas.microsoft.com/office/drawing/2014/main" id="{00000000-0008-0000-0D00-000078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1" name="Shape 330">
            <a:extLst>
              <a:ext uri="{FF2B5EF4-FFF2-40B4-BE49-F238E27FC236}">
                <a16:creationId xmlns:a16="http://schemas.microsoft.com/office/drawing/2014/main" id="{00000000-0008-0000-0D00-000079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2" name="Shape 331">
            <a:extLst>
              <a:ext uri="{FF2B5EF4-FFF2-40B4-BE49-F238E27FC236}">
                <a16:creationId xmlns:a16="http://schemas.microsoft.com/office/drawing/2014/main" id="{00000000-0008-0000-0D00-00007A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3" name="Shape 332">
            <a:extLst>
              <a:ext uri="{FF2B5EF4-FFF2-40B4-BE49-F238E27FC236}">
                <a16:creationId xmlns:a16="http://schemas.microsoft.com/office/drawing/2014/main" id="{00000000-0008-0000-0D00-00007B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24" name="Picture 308">
            <a:extLst>
              <a:ext uri="{FF2B5EF4-FFF2-40B4-BE49-F238E27FC236}">
                <a16:creationId xmlns:a16="http://schemas.microsoft.com/office/drawing/2014/main" id="{00000000-0008-0000-0D00-00007C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25" name="Shape 20">
            <a:extLst>
              <a:ext uri="{FF2B5EF4-FFF2-40B4-BE49-F238E27FC236}">
                <a16:creationId xmlns:a16="http://schemas.microsoft.com/office/drawing/2014/main" id="{00000000-0008-0000-0D00-00007D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6" name="Shape 333">
            <a:extLst>
              <a:ext uri="{FF2B5EF4-FFF2-40B4-BE49-F238E27FC236}">
                <a16:creationId xmlns:a16="http://schemas.microsoft.com/office/drawing/2014/main" id="{00000000-0008-0000-0D00-00007E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7" name="Rectangle 126">
            <a:extLst>
              <a:ext uri="{FF2B5EF4-FFF2-40B4-BE49-F238E27FC236}">
                <a16:creationId xmlns:a16="http://schemas.microsoft.com/office/drawing/2014/main" id="{00000000-0008-0000-0D00-00007F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28" name="Rectangle 127">
            <a:extLst>
              <a:ext uri="{FF2B5EF4-FFF2-40B4-BE49-F238E27FC236}">
                <a16:creationId xmlns:a16="http://schemas.microsoft.com/office/drawing/2014/main" id="{00000000-0008-0000-0D00-000080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29" name="Picture 309">
            <a:extLst>
              <a:ext uri="{FF2B5EF4-FFF2-40B4-BE49-F238E27FC236}">
                <a16:creationId xmlns:a16="http://schemas.microsoft.com/office/drawing/2014/main" id="{00000000-0008-0000-0D00-000081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30" name="Shape 334">
            <a:extLst>
              <a:ext uri="{FF2B5EF4-FFF2-40B4-BE49-F238E27FC236}">
                <a16:creationId xmlns:a16="http://schemas.microsoft.com/office/drawing/2014/main" id="{00000000-0008-0000-0D00-000082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1" name="Rectangle 130">
            <a:extLst>
              <a:ext uri="{FF2B5EF4-FFF2-40B4-BE49-F238E27FC236}">
                <a16:creationId xmlns:a16="http://schemas.microsoft.com/office/drawing/2014/main" id="{00000000-0008-0000-0D00-000083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2" name="Picture 311">
            <a:extLst>
              <a:ext uri="{FF2B5EF4-FFF2-40B4-BE49-F238E27FC236}">
                <a16:creationId xmlns:a16="http://schemas.microsoft.com/office/drawing/2014/main" id="{00000000-0008-0000-0D00-000084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33" name="Shape 30">
            <a:extLst>
              <a:ext uri="{FF2B5EF4-FFF2-40B4-BE49-F238E27FC236}">
                <a16:creationId xmlns:a16="http://schemas.microsoft.com/office/drawing/2014/main" id="{00000000-0008-0000-0D00-000085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4" name="Shape 335">
            <a:extLst>
              <a:ext uri="{FF2B5EF4-FFF2-40B4-BE49-F238E27FC236}">
                <a16:creationId xmlns:a16="http://schemas.microsoft.com/office/drawing/2014/main" id="{00000000-0008-0000-0D00-000086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5" name="Rectangle 134">
            <a:extLst>
              <a:ext uri="{FF2B5EF4-FFF2-40B4-BE49-F238E27FC236}">
                <a16:creationId xmlns:a16="http://schemas.microsoft.com/office/drawing/2014/main" id="{00000000-0008-0000-0D00-000087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6" name="Picture 310">
            <a:extLst>
              <a:ext uri="{FF2B5EF4-FFF2-40B4-BE49-F238E27FC236}">
                <a16:creationId xmlns:a16="http://schemas.microsoft.com/office/drawing/2014/main" id="{00000000-0008-0000-0D00-000088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37" name="Shape 336">
            <a:extLst>
              <a:ext uri="{FF2B5EF4-FFF2-40B4-BE49-F238E27FC236}">
                <a16:creationId xmlns:a16="http://schemas.microsoft.com/office/drawing/2014/main" id="{00000000-0008-0000-0D00-000089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8" name="Rectangle 137">
            <a:extLst>
              <a:ext uri="{FF2B5EF4-FFF2-40B4-BE49-F238E27FC236}">
                <a16:creationId xmlns:a16="http://schemas.microsoft.com/office/drawing/2014/main" id="{00000000-0008-0000-0D00-00008A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39" name="Picture 312">
            <a:extLst>
              <a:ext uri="{FF2B5EF4-FFF2-40B4-BE49-F238E27FC236}">
                <a16:creationId xmlns:a16="http://schemas.microsoft.com/office/drawing/2014/main" id="{00000000-0008-0000-0D00-00008B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40" name="Shape 337">
            <a:extLst>
              <a:ext uri="{FF2B5EF4-FFF2-40B4-BE49-F238E27FC236}">
                <a16:creationId xmlns:a16="http://schemas.microsoft.com/office/drawing/2014/main" id="{00000000-0008-0000-0D00-00008C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1" name="Rectangle 140">
            <a:extLst>
              <a:ext uri="{FF2B5EF4-FFF2-40B4-BE49-F238E27FC236}">
                <a16:creationId xmlns:a16="http://schemas.microsoft.com/office/drawing/2014/main" id="{00000000-0008-0000-0D00-00008D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42" name="Rectangle 141">
            <a:extLst>
              <a:ext uri="{FF2B5EF4-FFF2-40B4-BE49-F238E27FC236}">
                <a16:creationId xmlns:a16="http://schemas.microsoft.com/office/drawing/2014/main" id="{00000000-0008-0000-0D00-00008E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143" name="Shape 59">
            <a:extLst>
              <a:ext uri="{FF2B5EF4-FFF2-40B4-BE49-F238E27FC236}">
                <a16:creationId xmlns:a16="http://schemas.microsoft.com/office/drawing/2014/main" id="{00000000-0008-0000-0D00-00008F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44" name="Shape 62">
            <a:extLst>
              <a:ext uri="{FF2B5EF4-FFF2-40B4-BE49-F238E27FC236}">
                <a16:creationId xmlns:a16="http://schemas.microsoft.com/office/drawing/2014/main" id="{00000000-0008-0000-0D00-000090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5" name="Shape 63">
            <a:extLst>
              <a:ext uri="{FF2B5EF4-FFF2-40B4-BE49-F238E27FC236}">
                <a16:creationId xmlns:a16="http://schemas.microsoft.com/office/drawing/2014/main" id="{00000000-0008-0000-0D00-000091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6" name="Shape 64">
            <a:extLst>
              <a:ext uri="{FF2B5EF4-FFF2-40B4-BE49-F238E27FC236}">
                <a16:creationId xmlns:a16="http://schemas.microsoft.com/office/drawing/2014/main" id="{00000000-0008-0000-0D00-000092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7" name="Shape 65">
            <a:extLst>
              <a:ext uri="{FF2B5EF4-FFF2-40B4-BE49-F238E27FC236}">
                <a16:creationId xmlns:a16="http://schemas.microsoft.com/office/drawing/2014/main" id="{00000000-0008-0000-0D00-000093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8" name="Shape 66">
            <a:extLst>
              <a:ext uri="{FF2B5EF4-FFF2-40B4-BE49-F238E27FC236}">
                <a16:creationId xmlns:a16="http://schemas.microsoft.com/office/drawing/2014/main" id="{00000000-0008-0000-0D00-000094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9" name="Shape 67">
            <a:extLst>
              <a:ext uri="{FF2B5EF4-FFF2-40B4-BE49-F238E27FC236}">
                <a16:creationId xmlns:a16="http://schemas.microsoft.com/office/drawing/2014/main" id="{00000000-0008-0000-0D00-000095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0" name="Shape 68">
            <a:extLst>
              <a:ext uri="{FF2B5EF4-FFF2-40B4-BE49-F238E27FC236}">
                <a16:creationId xmlns:a16="http://schemas.microsoft.com/office/drawing/2014/main" id="{00000000-0008-0000-0D00-000096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1" name="Shape 69">
            <a:extLst>
              <a:ext uri="{FF2B5EF4-FFF2-40B4-BE49-F238E27FC236}">
                <a16:creationId xmlns:a16="http://schemas.microsoft.com/office/drawing/2014/main" id="{00000000-0008-0000-0D00-000097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2" name="Shape 70">
            <a:extLst>
              <a:ext uri="{FF2B5EF4-FFF2-40B4-BE49-F238E27FC236}">
                <a16:creationId xmlns:a16="http://schemas.microsoft.com/office/drawing/2014/main" id="{00000000-0008-0000-0D00-000098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3" name="Shape 71">
            <a:extLst>
              <a:ext uri="{FF2B5EF4-FFF2-40B4-BE49-F238E27FC236}">
                <a16:creationId xmlns:a16="http://schemas.microsoft.com/office/drawing/2014/main" id="{00000000-0008-0000-0D00-000099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4" name="Shape 72">
            <a:extLst>
              <a:ext uri="{FF2B5EF4-FFF2-40B4-BE49-F238E27FC236}">
                <a16:creationId xmlns:a16="http://schemas.microsoft.com/office/drawing/2014/main" id="{00000000-0008-0000-0D00-00009A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5" name="Shape 73">
            <a:extLst>
              <a:ext uri="{FF2B5EF4-FFF2-40B4-BE49-F238E27FC236}">
                <a16:creationId xmlns:a16="http://schemas.microsoft.com/office/drawing/2014/main" id="{00000000-0008-0000-0D00-00009B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6" name="Shape 74">
            <a:extLst>
              <a:ext uri="{FF2B5EF4-FFF2-40B4-BE49-F238E27FC236}">
                <a16:creationId xmlns:a16="http://schemas.microsoft.com/office/drawing/2014/main" id="{00000000-0008-0000-0D00-00009C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7" name="Shape 75">
            <a:extLst>
              <a:ext uri="{FF2B5EF4-FFF2-40B4-BE49-F238E27FC236}">
                <a16:creationId xmlns:a16="http://schemas.microsoft.com/office/drawing/2014/main" id="{00000000-0008-0000-0D00-00009D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8" name="Shape 76">
            <a:extLst>
              <a:ext uri="{FF2B5EF4-FFF2-40B4-BE49-F238E27FC236}">
                <a16:creationId xmlns:a16="http://schemas.microsoft.com/office/drawing/2014/main" id="{00000000-0008-0000-0D00-00009E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9" name="Shape 77">
            <a:extLst>
              <a:ext uri="{FF2B5EF4-FFF2-40B4-BE49-F238E27FC236}">
                <a16:creationId xmlns:a16="http://schemas.microsoft.com/office/drawing/2014/main" id="{00000000-0008-0000-0D00-00009F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0" name="Rectangle 159">
            <a:extLst>
              <a:ext uri="{FF2B5EF4-FFF2-40B4-BE49-F238E27FC236}">
                <a16:creationId xmlns:a16="http://schemas.microsoft.com/office/drawing/2014/main" id="{00000000-0008-0000-0D00-0000A0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61" name="ZoneTexte 55">
            <a:extLst>
              <a:ext uri="{FF2B5EF4-FFF2-40B4-BE49-F238E27FC236}">
                <a16:creationId xmlns:a16="http://schemas.microsoft.com/office/drawing/2014/main" id="{00000000-0008-0000-0D00-0000A1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62" name="ZoneTexte 56">
            <a:extLst>
              <a:ext uri="{FF2B5EF4-FFF2-40B4-BE49-F238E27FC236}">
                <a16:creationId xmlns:a16="http://schemas.microsoft.com/office/drawing/2014/main" id="{00000000-0008-0000-0D00-0000A2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30</xdr:col>
      <xdr:colOff>95250</xdr:colOff>
      <xdr:row>4</xdr:row>
      <xdr:rowOff>197921</xdr:rowOff>
    </xdr:from>
    <xdr:to>
      <xdr:col>43</xdr:col>
      <xdr:colOff>284512</xdr:colOff>
      <xdr:row>17</xdr:row>
      <xdr:rowOff>43528</xdr:rowOff>
    </xdr:to>
    <xdr:graphicFrame macro="">
      <xdr:nvGraphicFramePr>
        <xdr:cNvPr id="163" name="Graphique 162">
          <a:extLst>
            <a:ext uri="{FF2B5EF4-FFF2-40B4-BE49-F238E27FC236}">
              <a16:creationId xmlns:a16="http://schemas.microsoft.com/office/drawing/2014/main" id="{00000000-0008-0000-0D00-0000A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29</xdr:col>
      <xdr:colOff>530680</xdr:colOff>
      <xdr:row>33</xdr:row>
      <xdr:rowOff>40820</xdr:rowOff>
    </xdr:from>
    <xdr:to>
      <xdr:col>43</xdr:col>
      <xdr:colOff>107620</xdr:colOff>
      <xdr:row>47</xdr:row>
      <xdr:rowOff>63320</xdr:rowOff>
    </xdr:to>
    <xdr:graphicFrame macro="">
      <xdr:nvGraphicFramePr>
        <xdr:cNvPr id="164" name="Graphique 163">
          <a:extLst>
            <a:ext uri="{FF2B5EF4-FFF2-40B4-BE49-F238E27FC236}">
              <a16:creationId xmlns:a16="http://schemas.microsoft.com/office/drawing/2014/main" id="{00000000-0008-0000-0D00-0000A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30</xdr:col>
      <xdr:colOff>1</xdr:colOff>
      <xdr:row>46</xdr:row>
      <xdr:rowOff>29696</xdr:rowOff>
    </xdr:from>
    <xdr:to>
      <xdr:col>43</xdr:col>
      <xdr:colOff>52809</xdr:colOff>
      <xdr:row>51</xdr:row>
      <xdr:rowOff>106544</xdr:rowOff>
    </xdr:to>
    <xdr:grpSp>
      <xdr:nvGrpSpPr>
        <xdr:cNvPr id="165" name="Groupe 164">
          <a:extLst>
            <a:ext uri="{FF2B5EF4-FFF2-40B4-BE49-F238E27FC236}">
              <a16:creationId xmlns:a16="http://schemas.microsoft.com/office/drawing/2014/main" id="{00000000-0008-0000-0D00-0000A5000000}"/>
            </a:ext>
          </a:extLst>
        </xdr:cNvPr>
        <xdr:cNvGrpSpPr/>
      </xdr:nvGrpSpPr>
      <xdr:grpSpPr>
        <a:xfrm>
          <a:off x="28343680" y="10275875"/>
          <a:ext cx="8012986" cy="1097383"/>
          <a:chOff x="367064" y="1542965"/>
          <a:chExt cx="7932581" cy="1097383"/>
        </a:xfrm>
      </xdr:grpSpPr>
      <xdr:sp macro="" textlink="">
        <xdr:nvSpPr>
          <xdr:cNvPr id="166" name="Shape 6">
            <a:extLst>
              <a:ext uri="{FF2B5EF4-FFF2-40B4-BE49-F238E27FC236}">
                <a16:creationId xmlns:a16="http://schemas.microsoft.com/office/drawing/2014/main" id="{00000000-0008-0000-0D00-0000A6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7" name="Shape 322">
            <a:extLst>
              <a:ext uri="{FF2B5EF4-FFF2-40B4-BE49-F238E27FC236}">
                <a16:creationId xmlns:a16="http://schemas.microsoft.com/office/drawing/2014/main" id="{00000000-0008-0000-0D00-0000A7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8" name="Shape 323">
            <a:extLst>
              <a:ext uri="{FF2B5EF4-FFF2-40B4-BE49-F238E27FC236}">
                <a16:creationId xmlns:a16="http://schemas.microsoft.com/office/drawing/2014/main" id="{00000000-0008-0000-0D00-0000A8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9" name="Shape 324">
            <a:extLst>
              <a:ext uri="{FF2B5EF4-FFF2-40B4-BE49-F238E27FC236}">
                <a16:creationId xmlns:a16="http://schemas.microsoft.com/office/drawing/2014/main" id="{00000000-0008-0000-0D00-0000A9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0" name="Shape 325">
            <a:extLst>
              <a:ext uri="{FF2B5EF4-FFF2-40B4-BE49-F238E27FC236}">
                <a16:creationId xmlns:a16="http://schemas.microsoft.com/office/drawing/2014/main" id="{00000000-0008-0000-0D00-0000AA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1" name="Shape 326">
            <a:extLst>
              <a:ext uri="{FF2B5EF4-FFF2-40B4-BE49-F238E27FC236}">
                <a16:creationId xmlns:a16="http://schemas.microsoft.com/office/drawing/2014/main" id="{00000000-0008-0000-0D00-0000AB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2" name="Shape 12">
            <a:extLst>
              <a:ext uri="{FF2B5EF4-FFF2-40B4-BE49-F238E27FC236}">
                <a16:creationId xmlns:a16="http://schemas.microsoft.com/office/drawing/2014/main" id="{00000000-0008-0000-0D00-0000AC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3" name="Shape 327">
            <a:extLst>
              <a:ext uri="{FF2B5EF4-FFF2-40B4-BE49-F238E27FC236}">
                <a16:creationId xmlns:a16="http://schemas.microsoft.com/office/drawing/2014/main" id="{00000000-0008-0000-0D00-0000AD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4" name="Shape 328">
            <a:extLst>
              <a:ext uri="{FF2B5EF4-FFF2-40B4-BE49-F238E27FC236}">
                <a16:creationId xmlns:a16="http://schemas.microsoft.com/office/drawing/2014/main" id="{00000000-0008-0000-0D00-0000AE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5" name="Shape 329">
            <a:extLst>
              <a:ext uri="{FF2B5EF4-FFF2-40B4-BE49-F238E27FC236}">
                <a16:creationId xmlns:a16="http://schemas.microsoft.com/office/drawing/2014/main" id="{00000000-0008-0000-0D00-0000AF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6" name="Shape 330">
            <a:extLst>
              <a:ext uri="{FF2B5EF4-FFF2-40B4-BE49-F238E27FC236}">
                <a16:creationId xmlns:a16="http://schemas.microsoft.com/office/drawing/2014/main" id="{00000000-0008-0000-0D00-0000B0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7" name="Shape 331">
            <a:extLst>
              <a:ext uri="{FF2B5EF4-FFF2-40B4-BE49-F238E27FC236}">
                <a16:creationId xmlns:a16="http://schemas.microsoft.com/office/drawing/2014/main" id="{00000000-0008-0000-0D00-0000B1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8" name="Shape 332">
            <a:extLst>
              <a:ext uri="{FF2B5EF4-FFF2-40B4-BE49-F238E27FC236}">
                <a16:creationId xmlns:a16="http://schemas.microsoft.com/office/drawing/2014/main" id="{00000000-0008-0000-0D00-0000B2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79" name="Picture 308">
            <a:extLst>
              <a:ext uri="{FF2B5EF4-FFF2-40B4-BE49-F238E27FC236}">
                <a16:creationId xmlns:a16="http://schemas.microsoft.com/office/drawing/2014/main" id="{00000000-0008-0000-0D00-0000B3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80" name="Shape 20">
            <a:extLst>
              <a:ext uri="{FF2B5EF4-FFF2-40B4-BE49-F238E27FC236}">
                <a16:creationId xmlns:a16="http://schemas.microsoft.com/office/drawing/2014/main" id="{00000000-0008-0000-0D00-0000B4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1" name="Shape 333">
            <a:extLst>
              <a:ext uri="{FF2B5EF4-FFF2-40B4-BE49-F238E27FC236}">
                <a16:creationId xmlns:a16="http://schemas.microsoft.com/office/drawing/2014/main" id="{00000000-0008-0000-0D00-0000B5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2" name="Rectangle 181">
            <a:extLst>
              <a:ext uri="{FF2B5EF4-FFF2-40B4-BE49-F238E27FC236}">
                <a16:creationId xmlns:a16="http://schemas.microsoft.com/office/drawing/2014/main" id="{00000000-0008-0000-0D00-0000B6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83" name="Rectangle 182">
            <a:extLst>
              <a:ext uri="{FF2B5EF4-FFF2-40B4-BE49-F238E27FC236}">
                <a16:creationId xmlns:a16="http://schemas.microsoft.com/office/drawing/2014/main" id="{00000000-0008-0000-0D00-0000B7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4" name="Picture 309">
            <a:extLst>
              <a:ext uri="{FF2B5EF4-FFF2-40B4-BE49-F238E27FC236}">
                <a16:creationId xmlns:a16="http://schemas.microsoft.com/office/drawing/2014/main" id="{00000000-0008-0000-0D00-0000B8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85" name="Shape 334">
            <a:extLst>
              <a:ext uri="{FF2B5EF4-FFF2-40B4-BE49-F238E27FC236}">
                <a16:creationId xmlns:a16="http://schemas.microsoft.com/office/drawing/2014/main" id="{00000000-0008-0000-0D00-0000B9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6" name="Rectangle 185">
            <a:extLst>
              <a:ext uri="{FF2B5EF4-FFF2-40B4-BE49-F238E27FC236}">
                <a16:creationId xmlns:a16="http://schemas.microsoft.com/office/drawing/2014/main" id="{00000000-0008-0000-0D00-0000BA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7" name="Picture 311">
            <a:extLst>
              <a:ext uri="{FF2B5EF4-FFF2-40B4-BE49-F238E27FC236}">
                <a16:creationId xmlns:a16="http://schemas.microsoft.com/office/drawing/2014/main" id="{00000000-0008-0000-0D00-0000BB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88" name="Shape 30">
            <a:extLst>
              <a:ext uri="{FF2B5EF4-FFF2-40B4-BE49-F238E27FC236}">
                <a16:creationId xmlns:a16="http://schemas.microsoft.com/office/drawing/2014/main" id="{00000000-0008-0000-0D00-0000BC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9" name="Shape 335">
            <a:extLst>
              <a:ext uri="{FF2B5EF4-FFF2-40B4-BE49-F238E27FC236}">
                <a16:creationId xmlns:a16="http://schemas.microsoft.com/office/drawing/2014/main" id="{00000000-0008-0000-0D00-0000BD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0" name="Rectangle 189">
            <a:extLst>
              <a:ext uri="{FF2B5EF4-FFF2-40B4-BE49-F238E27FC236}">
                <a16:creationId xmlns:a16="http://schemas.microsoft.com/office/drawing/2014/main" id="{00000000-0008-0000-0D00-0000BE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91" name="Picture 310">
            <a:extLst>
              <a:ext uri="{FF2B5EF4-FFF2-40B4-BE49-F238E27FC236}">
                <a16:creationId xmlns:a16="http://schemas.microsoft.com/office/drawing/2014/main" id="{00000000-0008-0000-0D00-0000BF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92" name="Shape 336">
            <a:extLst>
              <a:ext uri="{FF2B5EF4-FFF2-40B4-BE49-F238E27FC236}">
                <a16:creationId xmlns:a16="http://schemas.microsoft.com/office/drawing/2014/main" id="{00000000-0008-0000-0D00-0000C0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3" name="Rectangle 192">
            <a:extLst>
              <a:ext uri="{FF2B5EF4-FFF2-40B4-BE49-F238E27FC236}">
                <a16:creationId xmlns:a16="http://schemas.microsoft.com/office/drawing/2014/main" id="{00000000-0008-0000-0D00-0000C1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94" name="Picture 312">
            <a:extLst>
              <a:ext uri="{FF2B5EF4-FFF2-40B4-BE49-F238E27FC236}">
                <a16:creationId xmlns:a16="http://schemas.microsoft.com/office/drawing/2014/main" id="{00000000-0008-0000-0D00-0000C2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95" name="Shape 337">
            <a:extLst>
              <a:ext uri="{FF2B5EF4-FFF2-40B4-BE49-F238E27FC236}">
                <a16:creationId xmlns:a16="http://schemas.microsoft.com/office/drawing/2014/main" id="{00000000-0008-0000-0D00-0000C3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6" name="Rectangle 195">
            <a:extLst>
              <a:ext uri="{FF2B5EF4-FFF2-40B4-BE49-F238E27FC236}">
                <a16:creationId xmlns:a16="http://schemas.microsoft.com/office/drawing/2014/main" id="{00000000-0008-0000-0D00-0000C4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97" name="Rectangle 196">
            <a:extLst>
              <a:ext uri="{FF2B5EF4-FFF2-40B4-BE49-F238E27FC236}">
                <a16:creationId xmlns:a16="http://schemas.microsoft.com/office/drawing/2014/main" id="{00000000-0008-0000-0D00-0000C5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198" name="Shape 59">
            <a:extLst>
              <a:ext uri="{FF2B5EF4-FFF2-40B4-BE49-F238E27FC236}">
                <a16:creationId xmlns:a16="http://schemas.microsoft.com/office/drawing/2014/main" id="{00000000-0008-0000-0D00-0000C6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99" name="Shape 62">
            <a:extLst>
              <a:ext uri="{FF2B5EF4-FFF2-40B4-BE49-F238E27FC236}">
                <a16:creationId xmlns:a16="http://schemas.microsoft.com/office/drawing/2014/main" id="{00000000-0008-0000-0D00-0000C7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0" name="Shape 63">
            <a:extLst>
              <a:ext uri="{FF2B5EF4-FFF2-40B4-BE49-F238E27FC236}">
                <a16:creationId xmlns:a16="http://schemas.microsoft.com/office/drawing/2014/main" id="{00000000-0008-0000-0D00-0000C8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1" name="Shape 64">
            <a:extLst>
              <a:ext uri="{FF2B5EF4-FFF2-40B4-BE49-F238E27FC236}">
                <a16:creationId xmlns:a16="http://schemas.microsoft.com/office/drawing/2014/main" id="{00000000-0008-0000-0D00-0000C9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2" name="Shape 65">
            <a:extLst>
              <a:ext uri="{FF2B5EF4-FFF2-40B4-BE49-F238E27FC236}">
                <a16:creationId xmlns:a16="http://schemas.microsoft.com/office/drawing/2014/main" id="{00000000-0008-0000-0D00-0000CA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3" name="Shape 66">
            <a:extLst>
              <a:ext uri="{FF2B5EF4-FFF2-40B4-BE49-F238E27FC236}">
                <a16:creationId xmlns:a16="http://schemas.microsoft.com/office/drawing/2014/main" id="{00000000-0008-0000-0D00-0000CB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4" name="Shape 67">
            <a:extLst>
              <a:ext uri="{FF2B5EF4-FFF2-40B4-BE49-F238E27FC236}">
                <a16:creationId xmlns:a16="http://schemas.microsoft.com/office/drawing/2014/main" id="{00000000-0008-0000-0D00-0000CC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5" name="Shape 68">
            <a:extLst>
              <a:ext uri="{FF2B5EF4-FFF2-40B4-BE49-F238E27FC236}">
                <a16:creationId xmlns:a16="http://schemas.microsoft.com/office/drawing/2014/main" id="{00000000-0008-0000-0D00-0000CD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6" name="Shape 69">
            <a:extLst>
              <a:ext uri="{FF2B5EF4-FFF2-40B4-BE49-F238E27FC236}">
                <a16:creationId xmlns:a16="http://schemas.microsoft.com/office/drawing/2014/main" id="{00000000-0008-0000-0D00-0000CE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7" name="Shape 70">
            <a:extLst>
              <a:ext uri="{FF2B5EF4-FFF2-40B4-BE49-F238E27FC236}">
                <a16:creationId xmlns:a16="http://schemas.microsoft.com/office/drawing/2014/main" id="{00000000-0008-0000-0D00-0000CF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8" name="Shape 71">
            <a:extLst>
              <a:ext uri="{FF2B5EF4-FFF2-40B4-BE49-F238E27FC236}">
                <a16:creationId xmlns:a16="http://schemas.microsoft.com/office/drawing/2014/main" id="{00000000-0008-0000-0D00-0000D0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9" name="Shape 72">
            <a:extLst>
              <a:ext uri="{FF2B5EF4-FFF2-40B4-BE49-F238E27FC236}">
                <a16:creationId xmlns:a16="http://schemas.microsoft.com/office/drawing/2014/main" id="{00000000-0008-0000-0D00-0000D1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0" name="Shape 73">
            <a:extLst>
              <a:ext uri="{FF2B5EF4-FFF2-40B4-BE49-F238E27FC236}">
                <a16:creationId xmlns:a16="http://schemas.microsoft.com/office/drawing/2014/main" id="{00000000-0008-0000-0D00-0000D2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1" name="Shape 74">
            <a:extLst>
              <a:ext uri="{FF2B5EF4-FFF2-40B4-BE49-F238E27FC236}">
                <a16:creationId xmlns:a16="http://schemas.microsoft.com/office/drawing/2014/main" id="{00000000-0008-0000-0D00-0000D3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2" name="Shape 75">
            <a:extLst>
              <a:ext uri="{FF2B5EF4-FFF2-40B4-BE49-F238E27FC236}">
                <a16:creationId xmlns:a16="http://schemas.microsoft.com/office/drawing/2014/main" id="{00000000-0008-0000-0D00-0000D4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3" name="Shape 76">
            <a:extLst>
              <a:ext uri="{FF2B5EF4-FFF2-40B4-BE49-F238E27FC236}">
                <a16:creationId xmlns:a16="http://schemas.microsoft.com/office/drawing/2014/main" id="{00000000-0008-0000-0D00-0000D5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4" name="Shape 77">
            <a:extLst>
              <a:ext uri="{FF2B5EF4-FFF2-40B4-BE49-F238E27FC236}">
                <a16:creationId xmlns:a16="http://schemas.microsoft.com/office/drawing/2014/main" id="{00000000-0008-0000-0D00-0000D6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5" name="Rectangle 214">
            <a:extLst>
              <a:ext uri="{FF2B5EF4-FFF2-40B4-BE49-F238E27FC236}">
                <a16:creationId xmlns:a16="http://schemas.microsoft.com/office/drawing/2014/main" id="{00000000-0008-0000-0D00-0000D7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16" name="ZoneTexte 55">
            <a:extLst>
              <a:ext uri="{FF2B5EF4-FFF2-40B4-BE49-F238E27FC236}">
                <a16:creationId xmlns:a16="http://schemas.microsoft.com/office/drawing/2014/main" id="{00000000-0008-0000-0D00-0000D8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17" name="ZoneTexte 56">
            <a:extLst>
              <a:ext uri="{FF2B5EF4-FFF2-40B4-BE49-F238E27FC236}">
                <a16:creationId xmlns:a16="http://schemas.microsoft.com/office/drawing/2014/main" id="{00000000-0008-0000-0D00-0000D9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twoCellAnchor editAs="absolute">
    <xdr:from>
      <xdr:col>30</xdr:col>
      <xdr:colOff>163477</xdr:colOff>
      <xdr:row>15</xdr:row>
      <xdr:rowOff>189512</xdr:rowOff>
    </xdr:from>
    <xdr:to>
      <xdr:col>43</xdr:col>
      <xdr:colOff>216285</xdr:colOff>
      <xdr:row>21</xdr:row>
      <xdr:rowOff>62252</xdr:rowOff>
    </xdr:to>
    <xdr:grpSp>
      <xdr:nvGrpSpPr>
        <xdr:cNvPr id="218" name="Groupe 217">
          <a:extLst>
            <a:ext uri="{FF2B5EF4-FFF2-40B4-BE49-F238E27FC236}">
              <a16:creationId xmlns:a16="http://schemas.microsoft.com/office/drawing/2014/main" id="{00000000-0008-0000-0D00-0000DA000000}"/>
            </a:ext>
          </a:extLst>
        </xdr:cNvPr>
        <xdr:cNvGrpSpPr/>
      </xdr:nvGrpSpPr>
      <xdr:grpSpPr>
        <a:xfrm>
          <a:off x="28507156" y="3904262"/>
          <a:ext cx="8012986" cy="1097383"/>
          <a:chOff x="367064" y="1542965"/>
          <a:chExt cx="7932581" cy="1097383"/>
        </a:xfrm>
      </xdr:grpSpPr>
      <xdr:sp macro="" textlink="">
        <xdr:nvSpPr>
          <xdr:cNvPr id="219" name="Shape 6">
            <a:extLst>
              <a:ext uri="{FF2B5EF4-FFF2-40B4-BE49-F238E27FC236}">
                <a16:creationId xmlns:a16="http://schemas.microsoft.com/office/drawing/2014/main" id="{00000000-0008-0000-0D00-0000DB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0" name="Shape 322">
            <a:extLst>
              <a:ext uri="{FF2B5EF4-FFF2-40B4-BE49-F238E27FC236}">
                <a16:creationId xmlns:a16="http://schemas.microsoft.com/office/drawing/2014/main" id="{00000000-0008-0000-0D00-0000DC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1" name="Shape 323">
            <a:extLst>
              <a:ext uri="{FF2B5EF4-FFF2-40B4-BE49-F238E27FC236}">
                <a16:creationId xmlns:a16="http://schemas.microsoft.com/office/drawing/2014/main" id="{00000000-0008-0000-0D00-0000DD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2" name="Shape 324">
            <a:extLst>
              <a:ext uri="{FF2B5EF4-FFF2-40B4-BE49-F238E27FC236}">
                <a16:creationId xmlns:a16="http://schemas.microsoft.com/office/drawing/2014/main" id="{00000000-0008-0000-0D00-0000DE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3" name="Shape 325">
            <a:extLst>
              <a:ext uri="{FF2B5EF4-FFF2-40B4-BE49-F238E27FC236}">
                <a16:creationId xmlns:a16="http://schemas.microsoft.com/office/drawing/2014/main" id="{00000000-0008-0000-0D00-0000DF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4" name="Shape 326">
            <a:extLst>
              <a:ext uri="{FF2B5EF4-FFF2-40B4-BE49-F238E27FC236}">
                <a16:creationId xmlns:a16="http://schemas.microsoft.com/office/drawing/2014/main" id="{00000000-0008-0000-0D00-0000E0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5" name="Shape 12">
            <a:extLst>
              <a:ext uri="{FF2B5EF4-FFF2-40B4-BE49-F238E27FC236}">
                <a16:creationId xmlns:a16="http://schemas.microsoft.com/office/drawing/2014/main" id="{00000000-0008-0000-0D00-0000E1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6" name="Shape 327">
            <a:extLst>
              <a:ext uri="{FF2B5EF4-FFF2-40B4-BE49-F238E27FC236}">
                <a16:creationId xmlns:a16="http://schemas.microsoft.com/office/drawing/2014/main" id="{00000000-0008-0000-0D00-0000E2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7" name="Shape 328">
            <a:extLst>
              <a:ext uri="{FF2B5EF4-FFF2-40B4-BE49-F238E27FC236}">
                <a16:creationId xmlns:a16="http://schemas.microsoft.com/office/drawing/2014/main" id="{00000000-0008-0000-0D00-0000E3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8" name="Shape 329">
            <a:extLst>
              <a:ext uri="{FF2B5EF4-FFF2-40B4-BE49-F238E27FC236}">
                <a16:creationId xmlns:a16="http://schemas.microsoft.com/office/drawing/2014/main" id="{00000000-0008-0000-0D00-0000E4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9" name="Shape 330">
            <a:extLst>
              <a:ext uri="{FF2B5EF4-FFF2-40B4-BE49-F238E27FC236}">
                <a16:creationId xmlns:a16="http://schemas.microsoft.com/office/drawing/2014/main" id="{00000000-0008-0000-0D00-0000E5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0" name="Shape 331">
            <a:extLst>
              <a:ext uri="{FF2B5EF4-FFF2-40B4-BE49-F238E27FC236}">
                <a16:creationId xmlns:a16="http://schemas.microsoft.com/office/drawing/2014/main" id="{00000000-0008-0000-0D00-0000E6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1" name="Shape 332">
            <a:extLst>
              <a:ext uri="{FF2B5EF4-FFF2-40B4-BE49-F238E27FC236}">
                <a16:creationId xmlns:a16="http://schemas.microsoft.com/office/drawing/2014/main" id="{00000000-0008-0000-0D00-0000E7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232" name="Picture 308">
            <a:extLst>
              <a:ext uri="{FF2B5EF4-FFF2-40B4-BE49-F238E27FC236}">
                <a16:creationId xmlns:a16="http://schemas.microsoft.com/office/drawing/2014/main" id="{00000000-0008-0000-0D00-0000E8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233" name="Shape 20">
            <a:extLst>
              <a:ext uri="{FF2B5EF4-FFF2-40B4-BE49-F238E27FC236}">
                <a16:creationId xmlns:a16="http://schemas.microsoft.com/office/drawing/2014/main" id="{00000000-0008-0000-0D00-0000E9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4" name="Shape 333">
            <a:extLst>
              <a:ext uri="{FF2B5EF4-FFF2-40B4-BE49-F238E27FC236}">
                <a16:creationId xmlns:a16="http://schemas.microsoft.com/office/drawing/2014/main" id="{00000000-0008-0000-0D00-0000EA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5" name="Rectangle 234">
            <a:extLst>
              <a:ext uri="{FF2B5EF4-FFF2-40B4-BE49-F238E27FC236}">
                <a16:creationId xmlns:a16="http://schemas.microsoft.com/office/drawing/2014/main" id="{00000000-0008-0000-0D00-0000EB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236" name="Rectangle 235">
            <a:extLst>
              <a:ext uri="{FF2B5EF4-FFF2-40B4-BE49-F238E27FC236}">
                <a16:creationId xmlns:a16="http://schemas.microsoft.com/office/drawing/2014/main" id="{00000000-0008-0000-0D00-0000EC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37" name="Picture 309">
            <a:extLst>
              <a:ext uri="{FF2B5EF4-FFF2-40B4-BE49-F238E27FC236}">
                <a16:creationId xmlns:a16="http://schemas.microsoft.com/office/drawing/2014/main" id="{00000000-0008-0000-0D00-0000ED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238" name="Shape 334">
            <a:extLst>
              <a:ext uri="{FF2B5EF4-FFF2-40B4-BE49-F238E27FC236}">
                <a16:creationId xmlns:a16="http://schemas.microsoft.com/office/drawing/2014/main" id="{00000000-0008-0000-0D00-0000EE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9" name="Rectangle 238">
            <a:extLst>
              <a:ext uri="{FF2B5EF4-FFF2-40B4-BE49-F238E27FC236}">
                <a16:creationId xmlns:a16="http://schemas.microsoft.com/office/drawing/2014/main" id="{00000000-0008-0000-0D00-0000EF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0" name="Picture 311">
            <a:extLst>
              <a:ext uri="{FF2B5EF4-FFF2-40B4-BE49-F238E27FC236}">
                <a16:creationId xmlns:a16="http://schemas.microsoft.com/office/drawing/2014/main" id="{00000000-0008-0000-0D00-0000F0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241" name="Shape 30">
            <a:extLst>
              <a:ext uri="{FF2B5EF4-FFF2-40B4-BE49-F238E27FC236}">
                <a16:creationId xmlns:a16="http://schemas.microsoft.com/office/drawing/2014/main" id="{00000000-0008-0000-0D00-0000F1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2" name="Shape 335">
            <a:extLst>
              <a:ext uri="{FF2B5EF4-FFF2-40B4-BE49-F238E27FC236}">
                <a16:creationId xmlns:a16="http://schemas.microsoft.com/office/drawing/2014/main" id="{00000000-0008-0000-0D00-0000F2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3" name="Rectangle 242">
            <a:extLst>
              <a:ext uri="{FF2B5EF4-FFF2-40B4-BE49-F238E27FC236}">
                <a16:creationId xmlns:a16="http://schemas.microsoft.com/office/drawing/2014/main" id="{00000000-0008-0000-0D00-0000F3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4" name="Picture 310">
            <a:extLst>
              <a:ext uri="{FF2B5EF4-FFF2-40B4-BE49-F238E27FC236}">
                <a16:creationId xmlns:a16="http://schemas.microsoft.com/office/drawing/2014/main" id="{00000000-0008-0000-0D00-0000F4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245" name="Shape 336">
            <a:extLst>
              <a:ext uri="{FF2B5EF4-FFF2-40B4-BE49-F238E27FC236}">
                <a16:creationId xmlns:a16="http://schemas.microsoft.com/office/drawing/2014/main" id="{00000000-0008-0000-0D00-0000F5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6" name="Rectangle 245">
            <a:extLst>
              <a:ext uri="{FF2B5EF4-FFF2-40B4-BE49-F238E27FC236}">
                <a16:creationId xmlns:a16="http://schemas.microsoft.com/office/drawing/2014/main" id="{00000000-0008-0000-0D00-0000F6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247" name="Picture 312">
            <a:extLst>
              <a:ext uri="{FF2B5EF4-FFF2-40B4-BE49-F238E27FC236}">
                <a16:creationId xmlns:a16="http://schemas.microsoft.com/office/drawing/2014/main" id="{00000000-0008-0000-0D00-0000F7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248" name="Shape 337">
            <a:extLst>
              <a:ext uri="{FF2B5EF4-FFF2-40B4-BE49-F238E27FC236}">
                <a16:creationId xmlns:a16="http://schemas.microsoft.com/office/drawing/2014/main" id="{00000000-0008-0000-0D00-0000F8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9" name="Rectangle 248">
            <a:extLst>
              <a:ext uri="{FF2B5EF4-FFF2-40B4-BE49-F238E27FC236}">
                <a16:creationId xmlns:a16="http://schemas.microsoft.com/office/drawing/2014/main" id="{00000000-0008-0000-0D00-0000F9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250" name="Rectangle 249">
            <a:extLst>
              <a:ext uri="{FF2B5EF4-FFF2-40B4-BE49-F238E27FC236}">
                <a16:creationId xmlns:a16="http://schemas.microsoft.com/office/drawing/2014/main" id="{00000000-0008-0000-0D00-0000FA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251" name="Shape 59">
            <a:extLst>
              <a:ext uri="{FF2B5EF4-FFF2-40B4-BE49-F238E27FC236}">
                <a16:creationId xmlns:a16="http://schemas.microsoft.com/office/drawing/2014/main" id="{00000000-0008-0000-0D00-0000FB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252" name="Shape 62">
            <a:extLst>
              <a:ext uri="{FF2B5EF4-FFF2-40B4-BE49-F238E27FC236}">
                <a16:creationId xmlns:a16="http://schemas.microsoft.com/office/drawing/2014/main" id="{00000000-0008-0000-0D00-0000FC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3" name="Shape 63">
            <a:extLst>
              <a:ext uri="{FF2B5EF4-FFF2-40B4-BE49-F238E27FC236}">
                <a16:creationId xmlns:a16="http://schemas.microsoft.com/office/drawing/2014/main" id="{00000000-0008-0000-0D00-0000FD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4" name="Shape 64">
            <a:extLst>
              <a:ext uri="{FF2B5EF4-FFF2-40B4-BE49-F238E27FC236}">
                <a16:creationId xmlns:a16="http://schemas.microsoft.com/office/drawing/2014/main" id="{00000000-0008-0000-0D00-0000FE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5" name="Shape 65">
            <a:extLst>
              <a:ext uri="{FF2B5EF4-FFF2-40B4-BE49-F238E27FC236}">
                <a16:creationId xmlns:a16="http://schemas.microsoft.com/office/drawing/2014/main" id="{00000000-0008-0000-0D00-0000FF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6" name="Shape 66">
            <a:extLst>
              <a:ext uri="{FF2B5EF4-FFF2-40B4-BE49-F238E27FC236}">
                <a16:creationId xmlns:a16="http://schemas.microsoft.com/office/drawing/2014/main" id="{00000000-0008-0000-0D00-00000001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7" name="Shape 67">
            <a:extLst>
              <a:ext uri="{FF2B5EF4-FFF2-40B4-BE49-F238E27FC236}">
                <a16:creationId xmlns:a16="http://schemas.microsoft.com/office/drawing/2014/main" id="{00000000-0008-0000-0D00-00000101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8" name="Shape 68">
            <a:extLst>
              <a:ext uri="{FF2B5EF4-FFF2-40B4-BE49-F238E27FC236}">
                <a16:creationId xmlns:a16="http://schemas.microsoft.com/office/drawing/2014/main" id="{00000000-0008-0000-0D00-00000201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9" name="Shape 69">
            <a:extLst>
              <a:ext uri="{FF2B5EF4-FFF2-40B4-BE49-F238E27FC236}">
                <a16:creationId xmlns:a16="http://schemas.microsoft.com/office/drawing/2014/main" id="{00000000-0008-0000-0D00-00000301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0" name="Shape 70">
            <a:extLst>
              <a:ext uri="{FF2B5EF4-FFF2-40B4-BE49-F238E27FC236}">
                <a16:creationId xmlns:a16="http://schemas.microsoft.com/office/drawing/2014/main" id="{00000000-0008-0000-0D00-00000401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1" name="Shape 71">
            <a:extLst>
              <a:ext uri="{FF2B5EF4-FFF2-40B4-BE49-F238E27FC236}">
                <a16:creationId xmlns:a16="http://schemas.microsoft.com/office/drawing/2014/main" id="{00000000-0008-0000-0D00-00000501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2" name="Shape 72">
            <a:extLst>
              <a:ext uri="{FF2B5EF4-FFF2-40B4-BE49-F238E27FC236}">
                <a16:creationId xmlns:a16="http://schemas.microsoft.com/office/drawing/2014/main" id="{00000000-0008-0000-0D00-00000601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3" name="Shape 73">
            <a:extLst>
              <a:ext uri="{FF2B5EF4-FFF2-40B4-BE49-F238E27FC236}">
                <a16:creationId xmlns:a16="http://schemas.microsoft.com/office/drawing/2014/main" id="{00000000-0008-0000-0D00-00000701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4" name="Shape 74">
            <a:extLst>
              <a:ext uri="{FF2B5EF4-FFF2-40B4-BE49-F238E27FC236}">
                <a16:creationId xmlns:a16="http://schemas.microsoft.com/office/drawing/2014/main" id="{00000000-0008-0000-0D00-00000801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5" name="Shape 75">
            <a:extLst>
              <a:ext uri="{FF2B5EF4-FFF2-40B4-BE49-F238E27FC236}">
                <a16:creationId xmlns:a16="http://schemas.microsoft.com/office/drawing/2014/main" id="{00000000-0008-0000-0D00-00000901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6" name="Shape 76">
            <a:extLst>
              <a:ext uri="{FF2B5EF4-FFF2-40B4-BE49-F238E27FC236}">
                <a16:creationId xmlns:a16="http://schemas.microsoft.com/office/drawing/2014/main" id="{00000000-0008-0000-0D00-00000A01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7" name="Shape 77">
            <a:extLst>
              <a:ext uri="{FF2B5EF4-FFF2-40B4-BE49-F238E27FC236}">
                <a16:creationId xmlns:a16="http://schemas.microsoft.com/office/drawing/2014/main" id="{00000000-0008-0000-0D00-00000B01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8" name="Rectangle 267">
            <a:extLst>
              <a:ext uri="{FF2B5EF4-FFF2-40B4-BE49-F238E27FC236}">
                <a16:creationId xmlns:a16="http://schemas.microsoft.com/office/drawing/2014/main" id="{00000000-0008-0000-0D00-00000C01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69" name="ZoneTexte 55">
            <a:extLst>
              <a:ext uri="{FF2B5EF4-FFF2-40B4-BE49-F238E27FC236}">
                <a16:creationId xmlns:a16="http://schemas.microsoft.com/office/drawing/2014/main" id="{00000000-0008-0000-0D00-00000D01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70" name="ZoneTexte 56">
            <a:extLst>
              <a:ext uri="{FF2B5EF4-FFF2-40B4-BE49-F238E27FC236}">
                <a16:creationId xmlns:a16="http://schemas.microsoft.com/office/drawing/2014/main" id="{00000000-0008-0000-0D00-00000E01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8</xdr:col>
      <xdr:colOff>154781</xdr:colOff>
      <xdr:row>32</xdr:row>
      <xdr:rowOff>95250</xdr:rowOff>
    </xdr:to>
    <xdr:graphicFrame macro="">
      <xdr:nvGraphicFramePr>
        <xdr:cNvPr id="2" name="Graphique 1">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377031</xdr:colOff>
      <xdr:row>11</xdr:row>
      <xdr:rowOff>91810</xdr:rowOff>
    </xdr:from>
    <xdr:to>
      <xdr:col>15</xdr:col>
      <xdr:colOff>398319</xdr:colOff>
      <xdr:row>32</xdr:row>
      <xdr:rowOff>51955</xdr:rowOff>
    </xdr:to>
    <xdr:graphicFrame macro="">
      <xdr:nvGraphicFramePr>
        <xdr:cNvPr id="3" name="Graphique 1">
          <a:extLst>
            <a:ext uri="{FF2B5EF4-FFF2-40B4-BE49-F238E27FC236}">
              <a16:creationId xmlns:a16="http://schemas.microsoft.com/office/drawing/2014/main" id="{00000000-0008-0000-0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35</xdr:row>
      <xdr:rowOff>0</xdr:rowOff>
    </xdr:from>
    <xdr:to>
      <xdr:col>7</xdr:col>
      <xdr:colOff>984059</xdr:colOff>
      <xdr:row>56</xdr:row>
      <xdr:rowOff>86784</xdr:rowOff>
    </xdr:to>
    <xdr:graphicFrame macro="">
      <xdr:nvGraphicFramePr>
        <xdr:cNvPr id="4" name="Graphique 3">
          <a:extLst>
            <a:ext uri="{FF2B5EF4-FFF2-40B4-BE49-F238E27FC236}">
              <a16:creationId xmlns:a16="http://schemas.microsoft.com/office/drawing/2014/main" id="{00000000-0008-0000-0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8</xdr:col>
      <xdr:colOff>212988</xdr:colOff>
      <xdr:row>35</xdr:row>
      <xdr:rowOff>83344</xdr:rowOff>
    </xdr:from>
    <xdr:to>
      <xdr:col>15</xdr:col>
      <xdr:colOff>234276</xdr:colOff>
      <xdr:row>56</xdr:row>
      <xdr:rowOff>43489</xdr:rowOff>
    </xdr:to>
    <xdr:graphicFrame macro="">
      <xdr:nvGraphicFramePr>
        <xdr:cNvPr id="5" name="Graphique 1">
          <a:extLst>
            <a:ext uri="{FF2B5EF4-FFF2-40B4-BE49-F238E27FC236}">
              <a16:creationId xmlns:a16="http://schemas.microsoft.com/office/drawing/2014/main" id="{00000000-0008-0000-0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c:userShapes xmlns:c="http://schemas.openxmlformats.org/drawingml/2006/chart">
  <cdr:absSizeAnchor xmlns:cdr="http://schemas.openxmlformats.org/drawingml/2006/chartDrawing">
    <cdr:from>
      <cdr:x>0.82371</cdr:x>
      <cdr:y>0.55101</cdr:y>
    </cdr:from>
    <cdr:ext cx="796018" cy="436786"/>
    <cdr:sp macro="" textlink="">
      <cdr:nvSpPr>
        <cdr:cNvPr id="4" name="ZoneTexte 1"/>
        <cdr:cNvSpPr txBox="1"/>
      </cdr:nvSpPr>
      <cdr:spPr>
        <a:xfrm xmlns:a="http://schemas.openxmlformats.org/drawingml/2006/main">
          <a:off x="5876731" y="1937227"/>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100" b="1">
              <a:solidFill>
                <a:srgbClr val="00B050"/>
              </a:solidFill>
            </a:rPr>
            <a:t>Niveau de référence</a:t>
          </a:r>
        </a:p>
      </cdr:txBody>
    </cdr:sp>
  </cdr:absSizeAnchor>
</c:userShapes>
</file>

<file path=xl/drawings/drawing11.xml><?xml version="1.0" encoding="utf-8"?>
<c:userShapes xmlns:c="http://schemas.openxmlformats.org/drawingml/2006/chart">
  <cdr:absSizeAnchor xmlns:cdr="http://schemas.openxmlformats.org/drawingml/2006/chartDrawing">
    <cdr:from>
      <cdr:x>0.8358</cdr:x>
      <cdr:y>0.20578</cdr:y>
    </cdr:from>
    <cdr:ext cx="850804" cy="436786"/>
    <cdr:sp macro="" textlink="">
      <cdr:nvSpPr>
        <cdr:cNvPr id="4" name="ZoneTexte 1"/>
        <cdr:cNvSpPr txBox="1"/>
      </cdr:nvSpPr>
      <cdr:spPr>
        <a:xfrm xmlns:a="http://schemas.openxmlformats.org/drawingml/2006/main">
          <a:off x="5829311" y="697435"/>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2.xml><?xml version="1.0" encoding="utf-8"?>
<c:userShapes xmlns:c="http://schemas.openxmlformats.org/drawingml/2006/chart">
  <cdr:absSizeAnchor xmlns:cdr="http://schemas.openxmlformats.org/drawingml/2006/chartDrawing">
    <cdr:from>
      <cdr:x>0.81608</cdr:x>
      <cdr:y>0.54327</cdr:y>
    </cdr:from>
    <cdr:ext cx="796018" cy="436785"/>
    <cdr:sp macro="" textlink="">
      <cdr:nvSpPr>
        <cdr:cNvPr id="4" name="ZoneTexte 1"/>
        <cdr:cNvSpPr txBox="1"/>
      </cdr:nvSpPr>
      <cdr:spPr>
        <a:xfrm xmlns:a="http://schemas.openxmlformats.org/drawingml/2006/main">
          <a:off x="5822303" y="1910013"/>
          <a:ext cx="796018" cy="436785"/>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a:t>
          </a:r>
          <a:r>
            <a:rPr lang="fr-FR" sz="1100" b="1" baseline="0">
              <a:solidFill>
                <a:srgbClr val="00B050"/>
              </a:solidFill>
            </a:rPr>
            <a:t> level</a:t>
          </a:r>
          <a:endParaRPr lang="fr-FR" sz="1100" b="1">
            <a:solidFill>
              <a:srgbClr val="00B050"/>
            </a:solidFill>
          </a:endParaRPr>
        </a:p>
      </cdr:txBody>
    </cdr:sp>
  </cdr:absSizeAnchor>
</c:userShapes>
</file>

<file path=xl/drawings/drawing13.xml><?xml version="1.0" encoding="utf-8"?>
<c:userShapes xmlns:c="http://schemas.openxmlformats.org/drawingml/2006/chart">
  <cdr:absSizeAnchor xmlns:cdr="http://schemas.openxmlformats.org/drawingml/2006/chartDrawing">
    <cdr:from>
      <cdr:x>0.82019</cdr:x>
      <cdr:y>0.2098</cdr:y>
    </cdr:from>
    <cdr:ext cx="850804" cy="436786"/>
    <cdr:sp macro="" textlink="">
      <cdr:nvSpPr>
        <cdr:cNvPr id="4" name="ZoneTexte 1"/>
        <cdr:cNvSpPr txBox="1"/>
      </cdr:nvSpPr>
      <cdr:spPr>
        <a:xfrm xmlns:a="http://schemas.openxmlformats.org/drawingml/2006/main">
          <a:off x="5720455" y="711042"/>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4.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4</xdr:col>
      <xdr:colOff>122465</xdr:colOff>
      <xdr:row>30</xdr:row>
      <xdr:rowOff>95250</xdr:rowOff>
    </xdr:to>
    <xdr:graphicFrame macro="">
      <xdr:nvGraphicFramePr>
        <xdr:cNvPr id="2" name="Graphique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295389</xdr:colOff>
      <xdr:row>11</xdr:row>
      <xdr:rowOff>132631</xdr:rowOff>
    </xdr:from>
    <xdr:to>
      <xdr:col>8</xdr:col>
      <xdr:colOff>340180</xdr:colOff>
      <xdr:row>32</xdr:row>
      <xdr:rowOff>92776</xdr:rowOff>
    </xdr:to>
    <xdr:graphicFrame macro="">
      <xdr:nvGraphicFramePr>
        <xdr:cNvPr id="3" name="Graphique 1">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0</xdr:rowOff>
    </xdr:from>
    <xdr:to>
      <xdr:col>3</xdr:col>
      <xdr:colOff>870100</xdr:colOff>
      <xdr:row>52</xdr:row>
      <xdr:rowOff>86784</xdr:rowOff>
    </xdr:to>
    <xdr:graphicFrame macro="">
      <xdr:nvGraphicFramePr>
        <xdr:cNvPr id="4" name="Graphique 3">
          <a:extLst>
            <a:ext uri="{FF2B5EF4-FFF2-40B4-BE49-F238E27FC236}">
              <a16:creationId xmlns:a16="http://schemas.microsoft.com/office/drawing/2014/main" id="{00000000-0008-0000-0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131346</xdr:colOff>
      <xdr:row>33</xdr:row>
      <xdr:rowOff>124165</xdr:rowOff>
    </xdr:from>
    <xdr:to>
      <xdr:col>8</xdr:col>
      <xdr:colOff>176137</xdr:colOff>
      <xdr:row>54</xdr:row>
      <xdr:rowOff>84310</xdr:rowOff>
    </xdr:to>
    <xdr:graphicFrame macro="">
      <xdr:nvGraphicFramePr>
        <xdr:cNvPr id="5" name="Graphique 1">
          <a:extLst>
            <a:ext uri="{FF2B5EF4-FFF2-40B4-BE49-F238E27FC236}">
              <a16:creationId xmlns:a16="http://schemas.microsoft.com/office/drawing/2014/main" id="{00000000-0008-0000-0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5.xml><?xml version="1.0" encoding="utf-8"?>
<c:userShapes xmlns:c="http://schemas.openxmlformats.org/drawingml/2006/chart">
  <cdr:absSizeAnchor xmlns:cdr="http://schemas.openxmlformats.org/drawingml/2006/chartDrawing">
    <cdr:from>
      <cdr:x>0.65754</cdr:x>
      <cdr:y>0.55369</cdr:y>
    </cdr:from>
    <cdr:ext cx="796018" cy="436786"/>
    <cdr:sp macro="" textlink="">
      <cdr:nvSpPr>
        <cdr:cNvPr id="4" name="ZoneTexte 1"/>
        <cdr:cNvSpPr txBox="1"/>
      </cdr:nvSpPr>
      <cdr:spPr>
        <a:xfrm xmlns:a="http://schemas.openxmlformats.org/drawingml/2006/main">
          <a:off x="2182630" y="1765836"/>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6.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10" y="1024007"/>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7.xml><?xml version="1.0" encoding="utf-8"?>
<c:userShapes xmlns:c="http://schemas.openxmlformats.org/drawingml/2006/chart">
  <cdr:absSizeAnchor xmlns:cdr="http://schemas.openxmlformats.org/drawingml/2006/chartDrawing">
    <cdr:from>
      <cdr:x>0.67394</cdr:x>
      <cdr:y>0.54089</cdr:y>
    </cdr:from>
    <cdr:ext cx="796018" cy="436786"/>
    <cdr:sp macro="" textlink="">
      <cdr:nvSpPr>
        <cdr:cNvPr id="4" name="ZoneTexte 1"/>
        <cdr:cNvSpPr txBox="1"/>
      </cdr:nvSpPr>
      <cdr:spPr>
        <a:xfrm xmlns:a="http://schemas.openxmlformats.org/drawingml/2006/main">
          <a:off x="2237059" y="1725014"/>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8.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02" y="1023996"/>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file:///C:\RealStats\RealStats%202013%202016.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s>
    <definedNames>
      <definedName name="DPTEST"/>
      <definedName name="SW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264.625261111112" createdVersion="5" refreshedVersion="6" minRefreshableVersion="3" recordCount="1556" xr:uid="{00000000-000A-0000-FFFF-FFFF0C000000}">
  <cacheSource type="worksheet">
    <worksheetSource name="Tableau4"/>
  </cacheSource>
  <cacheFields count="10">
    <cacheField name="Nom groupe" numFmtId="0">
      <sharedItems containsBlank="1" count="23">
        <s v="01 Evian + 0.2% DMSO"/>
        <s v=""/>
        <s v="02 EE2 33.8"/>
        <s v="03 EE2 50.6"/>
        <s v="04 EE2 76"/>
        <s v="05 EE2 114"/>
        <s v="06 EE2 170.9"/>
        <s v="07 EE2 488"/>
        <s v="08 Testosterone 3.7 µg_L"/>
        <s v="09  Testosterone 11 µg_L"/>
        <s v="10  Testosterone 33 µg_L"/>
        <s v="11  Testosterone 100 µg_L"/>
        <s v="12  Testosterone 300 µg_L"/>
        <s v="01 Testo 30"/>
        <s v="02 Testo 30"/>
        <s v="03 Testo+ EE2 64"/>
        <s v="04 Testo+ FAD"/>
        <s v="05 Testosterone 3.7 µg_L dopé"/>
        <s v="06  Testosterone 11 µg_Ldopé"/>
        <s v="07  Testosterone 33 µg_Ldopé"/>
        <s v="08  Testosterone 100 µg_Ldopé"/>
        <s v="09  Testosterone 300 µg_L dopé"/>
        <m u="1"/>
      </sharedItems>
    </cacheField>
    <cacheField name="N° de valeur" numFmtId="0">
      <sharedItems count="10">
        <s v="A"/>
        <s v="B"/>
        <s v="C"/>
        <s v="D"/>
        <s v="E"/>
        <s v="F"/>
        <s v="G"/>
        <s v="H"/>
        <e v="#VALUE!"/>
        <s v=" "/>
      </sharedItems>
    </cacheField>
    <cacheField name="file name" numFmtId="0">
      <sharedItems containsBlank="1"/>
    </cacheField>
    <cacheField name=" total area " numFmtId="0">
      <sharedItems containsBlank="1"/>
    </cacheField>
    <cacheField name=" mean intensity " numFmtId="0">
      <sharedItems containsBlank="1" containsMixedTypes="1" containsNumber="1" containsInteger="1" minValue="65" maxValue="68"/>
    </cacheField>
    <cacheField name=" " numFmtId="0">
      <sharedItems containsBlank="1" count="24">
        <s v=" "/>
        <m/>
        <s v=" SD mean fluo "/>
        <s v=" 2.7194 "/>
        <s v=" 4.0074 "/>
        <s v=" 2.2203 "/>
        <s v=" 3.7586 "/>
        <s v=" 2.9559 "/>
        <s v=" 5.0323 "/>
        <s v=" 4.5598 "/>
        <s v=" 3.033 "/>
        <s v=" 1.3719 "/>
        <s v=" 4.5829 "/>
        <s v=" 3.6294 "/>
        <s v=" 3.3494 "/>
        <s v=" 3.6782 "/>
        <s v=" 4.2728 "/>
        <s v=" 4.9341 "/>
        <s v=" 8.8641 "/>
        <s v=" 4.0444 "/>
        <s v=" 3.1395 "/>
        <s v=" 2.874 "/>
        <s v=" 3.4761 "/>
        <s v=" 2.6783 "/>
      </sharedItems>
    </cacheField>
    <cacheField name=" total fluorescence" numFmtId="0">
      <sharedItems containsBlank="1" containsMixedTypes="1" containsNumber="1" containsInteger="1" minValue="5256" maxValue="7923766"/>
    </cacheField>
    <cacheField name="         " numFmtId="0">
      <sharedItems containsBlank="1" containsMixedTypes="1" containsNumber="1" containsInteger="1" minValue="1541377" maxValue="1541377"/>
    </cacheField>
    <cacheField name="nbre de larves" numFmtId="0">
      <sharedItems containsBlank="1" containsMixedTypes="1" containsNumber="1" containsInteger="1" minValue="24" maxValue="24"/>
    </cacheField>
    <cacheField name="Colonne1" numFmtId="0">
      <sharedItems containsBlank="1" containsMixedTypes="1" containsNumber="1" containsInteger="1" minValue="24" maxValue="2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264.62526134259" createdVersion="5" refreshedVersion="6" minRefreshableVersion="3" recordCount="1530" xr:uid="{00000000-000A-0000-FFFF-FFFF10000000}">
  <cacheSource type="worksheet">
    <worksheetSource name="Tableau46"/>
  </cacheSource>
  <cacheFields count="10">
    <cacheField name="Nom groupe" numFmtId="0">
      <sharedItems count="22">
        <s v="01 Evian + 0.2% DMSO"/>
        <s v=""/>
        <s v="02 EE2 33.8"/>
        <s v="03 EE2 50.6"/>
        <s v="04 EE2 76"/>
        <s v="05 EE2 114"/>
        <s v="06 EE2 170.9"/>
        <s v="07 EE2 488"/>
        <s v="08 Testosterone 3.7 µg_L"/>
        <s v="09  Testosterone 11 µg_L"/>
        <s v="10  Testosterone 33 µg_L"/>
        <s v="11  Testosterone 100 µg_L"/>
        <s v="12  Testosterone 300 µg_L"/>
        <s v="01 Testo 30"/>
        <s v="02 Testo 30"/>
        <s v="03 Testo+ EE2 64"/>
        <s v="04 Testo+ FAD"/>
        <s v="05 Testosterone 3.7 µg_L dopé"/>
        <s v="06  Testosterone 11 µg_Ldopé"/>
        <s v="07  Testosterone 33 µg_Ldopé"/>
        <s v="08  Testosterone 100 µg_Ldopé"/>
        <s v="09  Testosterone 300 µg_L dopé"/>
      </sharedItems>
    </cacheField>
    <cacheField name="N° de valeur" numFmtId="0">
      <sharedItems count="10">
        <s v="A"/>
        <s v="B"/>
        <s v="C"/>
        <s v="D"/>
        <s v="E"/>
        <s v="F"/>
        <s v="G"/>
        <s v="H"/>
        <e v="#VALUE!"/>
        <s v=" "/>
      </sharedItems>
    </cacheField>
    <cacheField name="file name" numFmtId="0">
      <sharedItems containsBlank="1"/>
    </cacheField>
    <cacheField name=" total area " numFmtId="0">
      <sharedItems containsBlank="1"/>
    </cacheField>
    <cacheField name=" mean intensity " numFmtId="0">
      <sharedItems containsBlank="1" containsMixedTypes="1" containsNumber="1" containsInteger="1" minValue="63" maxValue="67"/>
    </cacheField>
    <cacheField name=" " numFmtId="0">
      <sharedItems containsBlank="1" count="24">
        <s v=" "/>
        <m/>
        <s v=" SD mean fluo "/>
        <s v=" 4.6831 "/>
        <s v=" 2.6443 "/>
        <s v=" 4.7675 "/>
        <s v=" 3.1836 "/>
        <s v=" 3.5135 "/>
        <s v=" 2.4849 "/>
        <s v=" 3.7021 "/>
        <s v=" 2.9649 "/>
        <s v=" 2.9177 "/>
        <s v=" 2.8652 "/>
        <s v=" 4.1446 "/>
        <s v=" 4.7932 "/>
        <s v=" 3.6852 "/>
        <s v=" 3.5544 "/>
        <s v=" 5.7042 "/>
        <s v=" 5.2033 "/>
        <s v=" 3.6013 "/>
        <s v=" 3.8427 "/>
        <s v=" 5.1943 "/>
        <s v=" 4.0375 "/>
        <s v=" 3.414 "/>
      </sharedItems>
    </cacheField>
    <cacheField name=" total fluorescence" numFmtId="0">
      <sharedItems containsBlank="1" containsMixedTypes="1" containsNumber="1" containsInteger="1" minValue="12113" maxValue="7025974"/>
    </cacheField>
    <cacheField name="         " numFmtId="0">
      <sharedItems containsBlank="1"/>
    </cacheField>
    <cacheField name="nbre de larves" numFmtId="0">
      <sharedItems containsBlank="1" containsMixedTypes="1" containsNumber="1" containsInteger="1" minValue="24" maxValue="24"/>
    </cacheField>
    <cacheField name="Colonne1" numFmtId="0">
      <sharedItems containsBlank="1" containsMixedTypes="1" containsNumber="1" containsInteger="1" minValue="24" maxValue="24"/>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264.62526134259" createdVersion="5" refreshedVersion="6" minRefreshableVersion="3" recordCount="1710" xr:uid="{00000000-000A-0000-FFFF-FFFF14000000}">
  <cacheSource type="worksheet">
    <worksheetSource name="Tableau467"/>
  </cacheSource>
  <cacheFields count="10">
    <cacheField name="Nom groupe" numFmtId="0">
      <sharedItems count="22">
        <s v="01 Evian + 0.2% DMSO"/>
        <s v=""/>
        <s v="02 EE2 33.8"/>
        <s v="03 EE2 50.6"/>
        <s v="04 EE2 76"/>
        <s v="05 EE2 114"/>
        <s v="06 EE2 170.9"/>
        <s v="07 EE2 488"/>
        <s v="08 Testosterone 3.7 µg_L"/>
        <s v="09  Testosterone 11 µg_L"/>
        <s v="10  Testosterone 33 µg_L"/>
        <s v="11  Testosterone 100 µg_L"/>
        <s v="12  Testosterone 300 µg_L"/>
        <s v="01 Testo 30"/>
        <s v="02 Testo 30"/>
        <s v="03 Testo+ EE2 64"/>
        <s v="04 Testo+ FAD"/>
        <s v="05 Testosterone 3.7 µg_L dopé"/>
        <s v="06  Testosterone 11 µg_Ldopé"/>
        <s v="07  Testosterone 33 µg_Ldopé"/>
        <s v="08  Testosterone 100 µg_Ldopé"/>
        <s v="09  Testosterone 300 µg_L dopé"/>
      </sharedItems>
    </cacheField>
    <cacheField name="N° de valeur" numFmtId="0">
      <sharedItems count="10">
        <s v="A"/>
        <s v="B"/>
        <s v="C"/>
        <s v="D"/>
        <s v="E"/>
        <s v="F"/>
        <s v="G"/>
        <s v="H"/>
        <e v="#VALUE!"/>
        <s v=" "/>
      </sharedItems>
    </cacheField>
    <cacheField name="file name" numFmtId="0">
      <sharedItems containsBlank="1"/>
    </cacheField>
    <cacheField name=" total area " numFmtId="0">
      <sharedItems containsBlank="1"/>
    </cacheField>
    <cacheField name=" mean intensity " numFmtId="0">
      <sharedItems containsBlank="1" containsMixedTypes="1" containsNumber="1" containsInteger="1" minValue="62" maxValue="65"/>
    </cacheField>
    <cacheField name=" " numFmtId="0">
      <sharedItems containsBlank="1" count="24">
        <s v=" "/>
        <m/>
        <s v=" SD mean fluo "/>
        <s v=" 2.431 "/>
        <s v=" 2.9132 "/>
        <s v=" 3.9781 "/>
        <s v=" 6.7821 "/>
        <s v=" 2.8784 "/>
        <s v=" 2.2693 "/>
        <s v=" 10.8492 "/>
        <s v=" 4.4696 "/>
        <s v=" 6.8863 "/>
        <s v=" 3.1495 "/>
        <s v=" 3.5958 "/>
        <s v=" 4.3524 "/>
        <s v=" 3.1861 "/>
        <s v=" 4.7604 "/>
        <s v=" 6.2302 "/>
        <s v=" 5.8625 "/>
        <s v=" 3.6843 "/>
        <s v=" 2.33 "/>
        <s v=" 3.0252 "/>
        <s v=" 5.1152 "/>
        <s v=" 5.1719 "/>
      </sharedItems>
    </cacheField>
    <cacheField name=" total fluorescence" numFmtId="0">
      <sharedItems containsBlank="1" containsMixedTypes="1" containsNumber="1" containsInteger="1" minValue="8154" maxValue="7747742"/>
    </cacheField>
    <cacheField name="         " numFmtId="0">
      <sharedItems containsBlank="1"/>
    </cacheField>
    <cacheField name="nbre de larves" numFmtId="0">
      <sharedItems containsBlank="1" containsMixedTypes="1" containsNumber="1" containsInteger="1" minValue="24" maxValue="24"/>
    </cacheField>
    <cacheField name="Colonne1" numFmtId="0">
      <sharedItems containsBlank="1" containsMixedTypes="1" containsNumber="1" containsInteger="1" minValue="24" maxValue="2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264.625261458335" createdVersion="6" refreshedVersion="6" minRefreshableVersion="3" recordCount="52" xr:uid="{8DEF666A-6C7D-4C16-AD6D-82242760D5D9}">
  <cacheSource type="worksheet">
    <worksheetSource name="liste_groupe"/>
  </cacheSource>
  <cacheFields count="6">
    <cacheField name="Nom sur le graphique" numFmtId="0">
      <sharedItems count="13">
        <s v="Témoin solvant"/>
        <s v="EE2-22,5ng/L"/>
        <s v="EE2-33,8ng/L"/>
        <s v="EE2-50,6ng/L"/>
        <s v="EE2-76ng/L"/>
        <s v="EE2-114ng/L"/>
        <s v="EE2-170,9ng/L"/>
        <s v="EE2-488ng/L"/>
        <s v=" "/>
        <s v="Testo -30µg/L"/>
        <s v="Testo 30µg/L + EE2 -64ng/L"/>
        <s v="Testo 30µg/L + FAD-10mg/L"/>
        <s v="0-00 + Testostérone"/>
      </sharedItems>
    </cacheField>
    <cacheField name="Code WF" numFmtId="0">
      <sharedItems containsBlank="1" containsMixedTypes="1" containsNumber="1" containsInteger="1" minValue="0" maxValue="0" count="3">
        <s v="Témoin"/>
        <m/>
        <n v="0"/>
      </sharedItems>
    </cacheField>
    <cacheField name="Concentration" numFmtId="0">
      <sharedItems containsString="0" containsBlank="1" containsNumber="1" minValue="0" maxValue="488"/>
    </cacheField>
    <cacheField name="Unité" numFmtId="0">
      <sharedItems containsBlank="1" containsMixedTypes="1" containsNumber="1" containsInteger="1" minValue="0" maxValue="0"/>
    </cacheField>
    <cacheField name="Nom de l'échantillon donné par le client" numFmtId="0">
      <sharedItems containsBlank="1" containsMixedTypes="1" containsNumber="1" containsInteger="1" minValue="0" maxValue="0"/>
    </cacheField>
    <cacheField name="Dopage (+Testostérone / + EE2, ….)" numFmtId="0">
      <sharedItems containsBlank="1" count="2">
        <m/>
        <s v=" + Testostéron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6">
  <r>
    <x v="0"/>
    <x v="0"/>
    <s v="F:\images\20210304\plaque 1/@01 Evian + 0.2% DMSO/A1_01.tif "/>
    <s v=" 2660.477 "/>
    <s v=" 66.2439 "/>
    <x v="0"/>
    <n v="176240"/>
    <m/>
    <m/>
    <m/>
  </r>
  <r>
    <x v="0"/>
    <x v="0"/>
    <s v="F:\images\20210304\plaque 1/@01 Evian + 0.2% DMSO/A1_02.tif "/>
    <s v=" 237.9288 "/>
    <s v=" 63.6364 "/>
    <x v="0"/>
    <n v="15141"/>
    <m/>
    <m/>
    <m/>
  </r>
  <r>
    <x v="0"/>
    <x v="0"/>
    <s v="F:\images\20210304\plaque 1/@01 Evian + 0.2% DMSO/A1_03.tif "/>
    <s v=" 237.9288 "/>
    <s v=" 62.7273 "/>
    <x v="0"/>
    <n v="14925"/>
    <m/>
    <m/>
    <m/>
  </r>
  <r>
    <x v="0"/>
    <x v="1"/>
    <s v="F:\images\20210304\plaque 1/@01 Evian + 0.2% DMSO/B1_01.tif "/>
    <s v=" 10987.9865 "/>
    <s v=" 69.3563 "/>
    <x v="0"/>
    <n v="762086"/>
    <m/>
    <m/>
    <m/>
  </r>
  <r>
    <x v="0"/>
    <x v="1"/>
    <s v="F:\images\20210304\plaque 1/@01 Evian + 0.2% DMSO/B1_02.tif "/>
    <s v=" 6791.7869 "/>
    <s v=" 64.9363 "/>
    <x v="0"/>
    <n v="441034"/>
    <m/>
    <m/>
    <m/>
  </r>
  <r>
    <x v="0"/>
    <x v="1"/>
    <s v="F:\images\20210304\plaque 1/@01 Evian + 0.2% DMSO/B1_03.tif "/>
    <s v=" 3525.6728 "/>
    <s v=" 63.5215 "/>
    <x v="0"/>
    <n v="223956"/>
    <m/>
    <m/>
    <m/>
  </r>
  <r>
    <x v="0"/>
    <x v="2"/>
    <s v="F:\images\20210304\plaque 1/@01 Evian + 0.2% DMSO/C1_01.tif "/>
    <s v=" 4304.349 "/>
    <s v=" 71.9548 "/>
    <x v="0"/>
    <n v="309718"/>
    <m/>
    <m/>
    <m/>
  </r>
  <r>
    <x v="0"/>
    <x v="2"/>
    <s v="F:\images\20210304\plaque 1/@01 Evian + 0.2% DMSO/C1_02.tif "/>
    <s v=" 3893.381 "/>
    <s v=" 70.35 "/>
    <x v="0"/>
    <n v="273899"/>
    <m/>
    <m/>
    <m/>
  </r>
  <r>
    <x v="0"/>
    <x v="2"/>
    <s v="F:\images\20210304\plaque 1/@01 Evian + 0.2% DMSO/C1_03.tif "/>
    <s v=" 4672.0572 "/>
    <s v=" 67.6204 "/>
    <x v="0"/>
    <n v="315926"/>
    <m/>
    <m/>
    <m/>
  </r>
  <r>
    <x v="0"/>
    <x v="3"/>
    <s v="F:\images\20210304\plaque 1/@01 Evian + 0.2% DMSO/D1_01.tif "/>
    <s v=" 302.8185 "/>
    <s v=" 64.5 "/>
    <x v="0"/>
    <n v="19532"/>
    <m/>
    <m/>
    <m/>
  </r>
  <r>
    <x v="0"/>
    <x v="3"/>
    <s v="F:\images\20210304\plaque 1/@01 Evian + 0.2% DMSO/D1_02.tif "/>
    <s v=" 108.1495 "/>
    <s v=" 64.8 "/>
    <x v="0"/>
    <n v="7008"/>
    <m/>
    <m/>
    <m/>
  </r>
  <r>
    <x v="0"/>
    <x v="3"/>
    <s v="F:\images\20210304\plaque 1/@01 Evian + 0.2% DMSO/D1_03.tif "/>
    <s v=" 86.5196 "/>
    <s v=" 60.75 "/>
    <x v="0"/>
    <n v="5256"/>
    <m/>
    <m/>
    <m/>
  </r>
  <r>
    <x v="0"/>
    <x v="4"/>
    <s v="F:\images\20210304\plaque 1/@01 Evian + 0.2% DMSO/E1_01.tif "/>
    <s v=" 173.0392 "/>
    <s v=" 65.375 "/>
    <x v="0"/>
    <n v="11312"/>
    <m/>
    <m/>
    <m/>
  </r>
  <r>
    <x v="0"/>
    <x v="4"/>
    <s v="F:\images\20210304\plaque 1/@01 Evian + 0.2% DMSO/E1_02.tif "/>
    <s v=" 281.1886 "/>
    <s v=" 65.2308 "/>
    <x v="0"/>
    <n v="18342"/>
    <m/>
    <m/>
    <m/>
  </r>
  <r>
    <x v="0"/>
    <x v="4"/>
    <s v="F:\images\20210304\plaque 1/@01 Evian + 0.2% DMSO/E1_03.tif "/>
    <s v=" 173.0392 "/>
    <s v=" 65.875 "/>
    <x v="0"/>
    <n v="11399"/>
    <m/>
    <m/>
    <m/>
  </r>
  <r>
    <x v="0"/>
    <x v="5"/>
    <s v="F:\images\20210304\plaque 1/@01 Evian + 0.2% DMSO/F1_01.tif "/>
    <s v=" 670.5267 "/>
    <s v=" 65.3226 "/>
    <x v="0"/>
    <n v="43801"/>
    <m/>
    <m/>
    <m/>
  </r>
  <r>
    <x v="0"/>
    <x v="5"/>
    <s v="F:\images\20210304\plaque 1/@01 Evian + 0.2% DMSO/F1_02.tif "/>
    <s v=" 713.7865 "/>
    <s v=" 64.8788 "/>
    <x v="0"/>
    <n v="46310"/>
    <m/>
    <m/>
    <m/>
  </r>
  <r>
    <x v="0"/>
    <x v="5"/>
    <s v="F:\images\20210304\plaque 1/@01 Evian + 0.2% DMSO/F1_03.tif "/>
    <s v=" 173.0392 "/>
    <s v=" 64.125 "/>
    <x v="0"/>
    <n v="11096"/>
    <m/>
    <m/>
    <m/>
  </r>
  <r>
    <x v="0"/>
    <x v="6"/>
    <s v="F:\images\20210304\plaque 1/@01 Evian + 0.2% DMSO/G1_01.tif "/>
    <s v=" 6272.6694 "/>
    <s v=" 68.9793 "/>
    <x v="0"/>
    <n v="432684"/>
    <m/>
    <m/>
    <m/>
  </r>
  <r>
    <x v="0"/>
    <x v="6"/>
    <s v="F:\images\20210304\plaque 1/@01 Evian + 0.2% DMSO/G1_02.tif "/>
    <s v=" 3741.9718 "/>
    <s v=" 67.3468 "/>
    <x v="0"/>
    <n v="252010"/>
    <m/>
    <m/>
    <m/>
  </r>
  <r>
    <x v="0"/>
    <x v="6"/>
    <s v="F:\images\20210304\plaque 1/@01 Evian + 0.2% DMSO/G1_03.tif "/>
    <s v=" 194.6691 "/>
    <s v=" 64.1111 "/>
    <x v="0"/>
    <n v="12480"/>
    <m/>
    <m/>
    <m/>
  </r>
  <r>
    <x v="0"/>
    <x v="7"/>
    <s v="F:\images\20210304\plaque 1/@01 Evian + 0.2% DMSO/H1_01.tif "/>
    <s v=" 194.6691 "/>
    <s v=" 61.8889 "/>
    <x v="0"/>
    <n v="12048"/>
    <m/>
    <m/>
    <m/>
  </r>
  <r>
    <x v="0"/>
    <x v="7"/>
    <s v="F:\images\20210304\plaque 1/@01 Evian + 0.2% DMSO/H1_02- exclu.tif"/>
    <m/>
    <m/>
    <x v="1"/>
    <m/>
    <m/>
    <m/>
    <m/>
  </r>
  <r>
    <x v="0"/>
    <x v="7"/>
    <s v="F:\images\20210304\plaque 1/@01 Evian + 0.2% DMSO/H1_03- exclu.tif"/>
    <m/>
    <m/>
    <x v="1"/>
    <m/>
    <m/>
    <m/>
    <m/>
  </r>
  <r>
    <x v="1"/>
    <x v="8"/>
    <s v=" "/>
    <m/>
    <m/>
    <x v="1"/>
    <m/>
    <m/>
    <m/>
    <m/>
  </r>
  <r>
    <x v="1"/>
    <x v="8"/>
    <s v="group "/>
    <s v=" "/>
    <s v=" mean of mean fluo "/>
    <x v="2"/>
    <s v=" mean of total fluo "/>
    <s v=" SD total fluo "/>
    <s v=" n fluorescent "/>
    <s v=" n total"/>
  </r>
  <r>
    <x v="0"/>
    <x v="9"/>
    <s v="F:\images\20210304\plaque 1/@01 Evian + 0.2% DMSO/ "/>
    <s v=" "/>
    <s v=" 65.405 "/>
    <x v="3"/>
    <s v=" 142913.208 "/>
    <s v=" 197143.03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
    <x v="0"/>
    <s v="F:\images\20210304\plaque 1/@02 EE2 33.8/A2_01.tif "/>
    <s v=" 1211.2741 "/>
    <s v=" 67.6071 "/>
    <x v="0"/>
    <n v="81891"/>
    <m/>
    <m/>
    <m/>
  </r>
  <r>
    <x v="2"/>
    <x v="0"/>
    <s v="F:\images\20210304\plaque 1/@02 EE2 33.8/A2_02.tif "/>
    <s v=" 3395.8935 "/>
    <s v=" 65.4459 "/>
    <x v="0"/>
    <n v="222247"/>
    <m/>
    <m/>
    <m/>
  </r>
  <r>
    <x v="2"/>
    <x v="0"/>
    <s v="F:\images\20210304\plaque 1/@02 EE2 33.8/A2_03.tif "/>
    <s v=" 778.6762 "/>
    <s v=" 63.1667 "/>
    <x v="0"/>
    <n v="49186"/>
    <m/>
    <m/>
    <m/>
  </r>
  <r>
    <x v="2"/>
    <x v="1"/>
    <s v="F:\images\20210304\plaque 1/@02 EE2 33.8/B2_01.tif "/>
    <s v=" 4801.8366 "/>
    <s v=" 73.8964 "/>
    <x v="0"/>
    <n v="354838"/>
    <m/>
    <m/>
    <m/>
  </r>
  <r>
    <x v="2"/>
    <x v="1"/>
    <s v="F:\images\20210304\plaque 1/@02 EE2 33.8/B2_02.tif "/>
    <s v=" 5126.285 "/>
    <s v=" 68.7173 "/>
    <x v="0"/>
    <n v="352264"/>
    <m/>
    <m/>
    <m/>
  </r>
  <r>
    <x v="2"/>
    <x v="1"/>
    <s v="F:\images\20210304\plaque 1/@02 EE2 33.8/B2_03- exclu.tif"/>
    <m/>
    <m/>
    <x v="1"/>
    <m/>
    <m/>
    <m/>
    <m/>
  </r>
  <r>
    <x v="2"/>
    <x v="2"/>
    <s v="F:\images\20210304\plaque 1/@02 EE2 33.8/C2_01.tif "/>
    <s v=" 6078.0004 "/>
    <s v=" 72.2954 "/>
    <x v="0"/>
    <n v="439411"/>
    <m/>
    <m/>
    <m/>
  </r>
  <r>
    <x v="2"/>
    <x v="2"/>
    <s v="F:\images\20210304\plaque 1/@02 EE2 33.8/C2_02.tif "/>
    <s v=" 6445.7086 "/>
    <s v=" 75.2148 "/>
    <x v="0"/>
    <n v="484812"/>
    <m/>
    <m/>
    <m/>
  </r>
  <r>
    <x v="2"/>
    <x v="2"/>
    <s v="F:\images\20210304\plaque 1/@02 EE2 33.8/C2_03.tif "/>
    <s v=" 6034.7406 "/>
    <s v=" 70.8853 "/>
    <x v="0"/>
    <n v="427774"/>
    <m/>
    <m/>
    <m/>
  </r>
  <r>
    <x v="2"/>
    <x v="3"/>
    <s v="F:\images\20210304\plaque 1/@02 EE2 33.8/D2_01.tif "/>
    <s v=" 2184.6194 "/>
    <s v=" 66.8218 "/>
    <x v="0"/>
    <n v="145980"/>
    <m/>
    <m/>
    <m/>
  </r>
  <r>
    <x v="2"/>
    <x v="3"/>
    <s v="F:\images\20210304\plaque 1/@02 EE2 33.8/D2_02.tif "/>
    <s v=" 2530.6977 "/>
    <s v=" 65.3761 "/>
    <x v="0"/>
    <n v="165447"/>
    <m/>
    <m/>
    <m/>
  </r>
  <r>
    <x v="2"/>
    <x v="3"/>
    <s v="F:\images\20210304\plaque 1/@02 EE2 33.8/D2_03.tif "/>
    <s v=" 216.2989 "/>
    <s v=" 64.5 "/>
    <x v="0"/>
    <n v="13951"/>
    <m/>
    <m/>
    <m/>
  </r>
  <r>
    <x v="2"/>
    <x v="4"/>
    <s v="F:\images\20210304\plaque 1/@02 EE2 33.8/E2_01.tif "/>
    <s v=" 6878.3065 "/>
    <s v=" 71.6635 "/>
    <x v="0"/>
    <n v="492924"/>
    <m/>
    <m/>
    <m/>
  </r>
  <r>
    <x v="2"/>
    <x v="4"/>
    <s v="F:\images\20210304\plaque 1/@02 EE2 33.8/E2_02.tif "/>
    <s v=" 6142.8901 "/>
    <s v=" 70.5915 "/>
    <x v="0"/>
    <n v="433636"/>
    <m/>
    <m/>
    <m/>
  </r>
  <r>
    <x v="2"/>
    <x v="4"/>
    <s v="F:\images\20210304\plaque 1/@02 EE2 33.8/E2_03.tif "/>
    <s v=" 1232.904 "/>
    <s v=" 63.4912 "/>
    <x v="0"/>
    <n v="78279"/>
    <m/>
    <m/>
    <m/>
  </r>
  <r>
    <x v="2"/>
    <x v="5"/>
    <s v="F:\images\20210304\plaque 1/@02 EE2 33.8/F2_01.tif "/>
    <s v=" 281.1886 "/>
    <s v=" 62.6154 "/>
    <x v="0"/>
    <n v="17607"/>
    <m/>
    <m/>
    <m/>
  </r>
  <r>
    <x v="2"/>
    <x v="5"/>
    <s v="F:\images\20210304\plaque 1/@02 EE2 33.8/F2_02.tif "/>
    <s v=" 216.2989 "/>
    <s v=" 62.9 "/>
    <x v="0"/>
    <n v="13605"/>
    <m/>
    <m/>
    <m/>
  </r>
  <r>
    <x v="2"/>
    <x v="5"/>
    <s v="F:\images\20210304\plaque 1/@02 EE2 33.8/F2_03.tif "/>
    <s v=" 151.4093 "/>
    <s v=" 62.1429 "/>
    <x v="0"/>
    <n v="9409"/>
    <m/>
    <m/>
    <m/>
  </r>
  <r>
    <x v="2"/>
    <x v="6"/>
    <s v="F:\images\20210304\plaque 1/@02 EE2 33.8/G2_01.tif "/>
    <s v=" 2530.6977 "/>
    <s v=" 65.8632 "/>
    <x v="0"/>
    <n v="166680"/>
    <m/>
    <m/>
    <m/>
  </r>
  <r>
    <x v="2"/>
    <x v="6"/>
    <s v="F:\images\20210304\plaque 1/@02 EE2 33.8/G2_02.tif "/>
    <s v=" 670.5267 "/>
    <s v=" 62.1935 "/>
    <x v="0"/>
    <n v="41702"/>
    <m/>
    <m/>
    <m/>
  </r>
  <r>
    <x v="2"/>
    <x v="6"/>
    <s v="F:\images\20210304\plaque 1/@02 EE2 33.8/G2_03.tif "/>
    <s v=" 281.1886 "/>
    <s v=" 64.2308 "/>
    <x v="0"/>
    <n v="18061"/>
    <m/>
    <m/>
    <m/>
  </r>
  <r>
    <x v="2"/>
    <x v="7"/>
    <s v="F:\images\20210304\plaque 1/@02 EE2 33.8/H2_01.tif "/>
    <s v=" 4044.7903 "/>
    <s v=" 63.7487 "/>
    <x v="0"/>
    <n v="257850"/>
    <m/>
    <m/>
    <m/>
  </r>
  <r>
    <x v="2"/>
    <x v="7"/>
    <s v="F:\images\20210304\plaque 1/@02 EE2 33.8/H2_02.tif "/>
    <s v=" 1881.8008 "/>
    <s v=" 66.4368 "/>
    <x v="0"/>
    <n v="125021"/>
    <m/>
    <m/>
    <m/>
  </r>
  <r>
    <x v="2"/>
    <x v="7"/>
    <s v="F:\images\20210304\plaque 1/@02 EE2 33.8/H2_03- exclu.tif"/>
    <m/>
    <m/>
    <x v="1"/>
    <m/>
    <m/>
    <m/>
    <m/>
  </r>
  <r>
    <x v="1"/>
    <x v="8"/>
    <s v=" "/>
    <m/>
    <m/>
    <x v="1"/>
    <m/>
    <m/>
    <m/>
    <m/>
  </r>
  <r>
    <x v="1"/>
    <x v="8"/>
    <s v="group "/>
    <s v=" "/>
    <s v=" mean of mean fluo "/>
    <x v="2"/>
    <s v=" mean of total fluo "/>
    <s v=" SD total fluo "/>
    <s v=" n fluorescent "/>
    <s v=" n total"/>
  </r>
  <r>
    <x v="2"/>
    <x v="9"/>
    <s v="F:\images\20210304\plaque 1/@02 EE2 33.8/ "/>
    <s v=" "/>
    <s v=" 66.4554 "/>
    <x v="4"/>
    <s v=" 185111.25 "/>
    <s v=" 174099.38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3"/>
    <x v="0"/>
    <s v="F:\images\20210304\plaque 1/@03 EE2 50.6/A3_01- exclu.tif"/>
    <m/>
    <m/>
    <x v="1"/>
    <m/>
    <m/>
    <m/>
    <m/>
  </r>
  <r>
    <x v="3"/>
    <x v="0"/>
    <s v="F:\images\20210304\plaque 1/@03 EE2 50.6/A3_02.tif "/>
    <s v=" 951.7154 "/>
    <s v=" 64.3409 "/>
    <x v="0"/>
    <n v="61234"/>
    <m/>
    <m/>
    <m/>
  </r>
  <r>
    <x v="3"/>
    <x v="0"/>
    <s v="F:\images\20210304\plaque 1/@03 EE2 50.6/A3_03- exclu.tif"/>
    <m/>
    <m/>
    <x v="1"/>
    <m/>
    <m/>
    <m/>
    <m/>
  </r>
  <r>
    <x v="3"/>
    <x v="1"/>
    <s v="F:\images\20210304\plaque 1/@03 EE2 50.6/B3_01.tif "/>
    <s v=" 4217.8295 "/>
    <s v=" 68.1231 "/>
    <x v="0"/>
    <n v="287332"/>
    <m/>
    <m/>
    <m/>
  </r>
  <r>
    <x v="3"/>
    <x v="1"/>
    <s v="F:\images\20210304\plaque 1/@03 EE2 50.6/B3_02.tif "/>
    <s v=" 3287.744 "/>
    <s v=" 65.3092 "/>
    <x v="0"/>
    <n v="214720"/>
    <m/>
    <m/>
    <m/>
  </r>
  <r>
    <x v="3"/>
    <x v="1"/>
    <s v="F:\images\20210304\plaque 1/@03 EE2 50.6/B3_03.tif "/>
    <s v=" 757.0463 "/>
    <s v=" 63.2857 "/>
    <x v="0"/>
    <n v="47910"/>
    <m/>
    <m/>
    <m/>
  </r>
  <r>
    <x v="3"/>
    <x v="2"/>
    <s v="F:\images\20210304\plaque 1/@03 EE2 50.6/C3_01.tif "/>
    <s v=" 4174.5697 "/>
    <s v=" 67.4611 "/>
    <x v="0"/>
    <n v="281621"/>
    <m/>
    <m/>
    <m/>
  </r>
  <r>
    <x v="3"/>
    <x v="2"/>
    <s v="F:\images\20210304\plaque 1/@03 EE2 50.6/C3_02.tif "/>
    <s v=" 3201.2244 "/>
    <s v=" 65.6959 "/>
    <x v="0"/>
    <n v="210307"/>
    <m/>
    <m/>
    <m/>
  </r>
  <r>
    <x v="3"/>
    <x v="2"/>
    <s v="F:\images\20210304\plaque 1/@03 EE2 50.6/C3_03.tif "/>
    <s v=" 951.7154 "/>
    <s v=" 62.75 "/>
    <x v="0"/>
    <n v="59720"/>
    <m/>
    <m/>
    <m/>
  </r>
  <r>
    <x v="3"/>
    <x v="3"/>
    <s v="F:\images\20210304\plaque 1/@03 EE2 50.6/D3_01- exclu.tif"/>
    <m/>
    <m/>
    <x v="1"/>
    <m/>
    <m/>
    <m/>
    <m/>
  </r>
  <r>
    <x v="3"/>
    <x v="3"/>
    <s v="F:\images\20210304\plaque 1/@03 EE2 50.6/D3_02.tif "/>
    <s v=" 1405.9432 "/>
    <s v=" 62.6154 "/>
    <x v="0"/>
    <n v="88034"/>
    <m/>
    <m/>
    <m/>
  </r>
  <r>
    <x v="3"/>
    <x v="3"/>
    <s v="F:\images\20210304\plaque 1/@03 EE2 50.6/D3_03.tif "/>
    <s v=" 475.8577 "/>
    <s v=" 64.0909 "/>
    <x v="0"/>
    <n v="30498"/>
    <m/>
    <m/>
    <m/>
  </r>
  <r>
    <x v="3"/>
    <x v="4"/>
    <s v="F:\images\20210304\plaque 1/@03 EE2 50.6/E3_01.tif "/>
    <s v=" 2054.84 "/>
    <s v=" 63.1579 "/>
    <x v="0"/>
    <n v="129779"/>
    <m/>
    <m/>
    <m/>
  </r>
  <r>
    <x v="3"/>
    <x v="4"/>
    <s v="F:\images\20210304\plaque 1/@03 EE2 50.6/E3_02- exclu.tif"/>
    <m/>
    <m/>
    <x v="1"/>
    <m/>
    <m/>
    <m/>
    <m/>
  </r>
  <r>
    <x v="3"/>
    <x v="4"/>
    <s v="F:\images\20210304\plaque 1/@03 EE2 50.6/E3_03.tif "/>
    <s v=" 930.0855 "/>
    <s v=" 62.6047 "/>
    <x v="0"/>
    <n v="58228"/>
    <m/>
    <m/>
    <m/>
  </r>
  <r>
    <x v="3"/>
    <x v="5"/>
    <s v="F:\images\20210304\plaque 1/@03 EE2 50.6/F3_01.tif "/>
    <s v=" 389.3381 "/>
    <s v=" 63.0556 "/>
    <x v="0"/>
    <n v="24550"/>
    <m/>
    <m/>
    <m/>
  </r>
  <r>
    <x v="3"/>
    <x v="5"/>
    <s v="F:\images\20210304\plaque 1/@03 EE2 50.6/F3_02.tif "/>
    <s v=" 86.5196 "/>
    <n v="65"/>
    <x v="0"/>
    <n v="5624"/>
    <m/>
    <m/>
    <m/>
  </r>
  <r>
    <x v="3"/>
    <x v="5"/>
    <s v="F:\images\20210304\plaque 1/@03 EE2 50.6/F3_03.tif "/>
    <s v=" 302.8185 "/>
    <s v=" 62.2857 "/>
    <x v="0"/>
    <n v="18861"/>
    <m/>
    <m/>
    <m/>
  </r>
  <r>
    <x v="3"/>
    <x v="6"/>
    <s v="F:\images\20210304\plaque 1/@03 EE2 50.6/G3_01.tif "/>
    <s v=" 2725.3667 "/>
    <s v=" 67.2381 "/>
    <x v="0"/>
    <n v="183248"/>
    <m/>
    <m/>
    <m/>
  </r>
  <r>
    <x v="3"/>
    <x v="6"/>
    <s v="F:\images\20210304\plaque 1/@03 EE2 50.6/G3_02.tif "/>
    <s v=" 1384.3133 "/>
    <s v=" 63.4531 "/>
    <x v="0"/>
    <n v="87839"/>
    <m/>
    <m/>
    <m/>
  </r>
  <r>
    <x v="3"/>
    <x v="6"/>
    <s v="F:\images\20210304\plaque 1/@03 EE2 50.6/G3_03.tif "/>
    <s v=" 324.4484 "/>
    <s v=" 63.4 "/>
    <x v="0"/>
    <n v="20570"/>
    <m/>
    <m/>
    <m/>
  </r>
  <r>
    <x v="3"/>
    <x v="7"/>
    <s v="F:\images\20210304\plaque 1/@03 EE2 50.6/H3_01.tif "/>
    <s v=" 692.1566 "/>
    <s v=" 64.5625 "/>
    <x v="0"/>
    <n v="44687"/>
    <m/>
    <m/>
    <m/>
  </r>
  <r>
    <x v="3"/>
    <x v="7"/>
    <s v="F:\images\20210304\plaque 1/@03 EE2 50.6/H3_02.tif "/>
    <s v=" 4758.5768 "/>
    <s v=" 71.0909 "/>
    <x v="0"/>
    <n v="338292"/>
    <m/>
    <m/>
    <m/>
  </r>
  <r>
    <x v="3"/>
    <x v="7"/>
    <s v="F:\images\20210304\plaque 1/@03 EE2 50.6/H3_03- exclu.tif"/>
    <m/>
    <m/>
    <x v="1"/>
    <m/>
    <m/>
    <m/>
    <m/>
  </r>
  <r>
    <x v="1"/>
    <x v="8"/>
    <s v=" "/>
    <m/>
    <m/>
    <x v="1"/>
    <m/>
    <m/>
    <m/>
    <m/>
  </r>
  <r>
    <x v="1"/>
    <x v="8"/>
    <s v="group "/>
    <s v=" "/>
    <s v=" mean of mean fluo "/>
    <x v="2"/>
    <s v=" mean of total fluo "/>
    <s v=" SD total fluo "/>
    <s v=" n fluorescent "/>
    <s v=" n total"/>
  </r>
  <r>
    <x v="3"/>
    <x v="9"/>
    <s v="F:\images\20210304\plaque 1/@03 EE2 50.6/ "/>
    <s v=" "/>
    <s v=" 64.4427 "/>
    <x v="5"/>
    <s v=" 106657.875 "/>
    <s v=" 102889.15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4"/>
    <x v="0"/>
    <s v="F:\images\20210304\plaque 1/@04 EE2 76/A4_01.tif "/>
    <s v=" 12307.41 "/>
    <s v=" 74.7838 "/>
    <x v="0"/>
    <n v="920395"/>
    <m/>
    <m/>
    <m/>
  </r>
  <r>
    <x v="4"/>
    <x v="0"/>
    <s v="F:\images\20210304\plaque 1/@04 EE2 76/A4_02.tif "/>
    <s v=" 11615.2534 "/>
    <s v=" 71.5847 "/>
    <x v="0"/>
    <n v="831475"/>
    <m/>
    <m/>
    <m/>
  </r>
  <r>
    <x v="4"/>
    <x v="0"/>
    <s v="F:\images\20210304\plaque 1/@04 EE2 76/A4_03.tif "/>
    <s v=" 9452.264 "/>
    <s v=" 70.1213 "/>
    <x v="0"/>
    <n v="662805"/>
    <m/>
    <m/>
    <m/>
  </r>
  <r>
    <x v="4"/>
    <x v="1"/>
    <s v="F:\images\20210304\plaque 1/@04 EE2 76/B4_01.tif "/>
    <s v=" 3114.7048 "/>
    <s v=" 63.0694 "/>
    <x v="0"/>
    <n v="196443"/>
    <m/>
    <m/>
    <m/>
  </r>
  <r>
    <x v="4"/>
    <x v="1"/>
    <s v="F:\images\20210304\plaque 1/@04 EE2 76/B4_02.tif "/>
    <s v=" 2271.1389 "/>
    <s v=" 63.8381 "/>
    <x v="0"/>
    <n v="144985"/>
    <m/>
    <m/>
    <m/>
  </r>
  <r>
    <x v="4"/>
    <x v="1"/>
    <s v="F:\images\20210304\plaque 1/@04 EE2 76/B4_03.tif "/>
    <s v=" 5775.1819 "/>
    <s v=" 66.0749 "/>
    <x v="0"/>
    <n v="381595"/>
    <m/>
    <m/>
    <m/>
  </r>
  <r>
    <x v="4"/>
    <x v="2"/>
    <s v="F:\images\20210304\plaque 1/@04 EE2 76/C4_01.tif "/>
    <s v=" 8349.1393 "/>
    <s v=" 65.6347 "/>
    <x v="0"/>
    <n v="547993"/>
    <m/>
    <m/>
    <m/>
  </r>
  <r>
    <x v="4"/>
    <x v="2"/>
    <s v="F:\images\20210304\plaque 1/@04 EE2 76/C4_02.tif "/>
    <s v=" 4693.6871 "/>
    <s v=" 63.53 "/>
    <x v="0"/>
    <n v="298190"/>
    <m/>
    <m/>
    <m/>
  </r>
  <r>
    <x v="4"/>
    <x v="2"/>
    <s v="F:\images\20210304\plaque 1/@04 EE2 76/C4_03.tif "/>
    <s v=" 4628.7975 "/>
    <s v=" 63.8364 "/>
    <x v="0"/>
    <n v="295486"/>
    <m/>
    <m/>
    <m/>
  </r>
  <r>
    <x v="4"/>
    <x v="3"/>
    <s v="F:\images\20210304\plaque 1/@04 EE2 76/D4_01.tif "/>
    <s v=" 5212.8046 "/>
    <s v=" 70.5477 "/>
    <x v="0"/>
    <n v="367751"/>
    <m/>
    <m/>
    <m/>
  </r>
  <r>
    <x v="4"/>
    <x v="3"/>
    <s v="F:\images\20210304\plaque 1/@04 EE2 76/D4_02- exclu.tif"/>
    <m/>
    <m/>
    <x v="1"/>
    <m/>
    <m/>
    <m/>
    <m/>
  </r>
  <r>
    <x v="4"/>
    <x v="3"/>
    <s v="F:\images\20210304\plaque 1/@04 EE2 76/D4_03.tif "/>
    <s v=" 1103.1246 "/>
    <s v=" 62.8627 "/>
    <x v="0"/>
    <n v="69345"/>
    <m/>
    <m/>
    <m/>
  </r>
  <r>
    <x v="4"/>
    <x v="4"/>
    <s v="F:\images\20210304\plaque 1/@04 EE2 76/E4_01.tif "/>
    <s v=" 50397.6545 "/>
    <s v=" 72.6009 "/>
    <x v="0"/>
    <n v="3658913"/>
    <m/>
    <m/>
    <m/>
  </r>
  <r>
    <x v="4"/>
    <x v="4"/>
    <s v="F:\images\20210304\plaque 1/@04 EE2 76/E4_02.tif "/>
    <s v=" 42070.1451 "/>
    <s v=" 69.9532 "/>
    <x v="0"/>
    <n v="2942942"/>
    <m/>
    <m/>
    <m/>
  </r>
  <r>
    <x v="4"/>
    <x v="4"/>
    <s v="F:\images\20210304\plaque 1/@04 EE2 76/E4_03.tif "/>
    <s v=" 36597.7817 "/>
    <s v=" 68.7843 "/>
    <x v="0"/>
    <n v="2517352"/>
    <m/>
    <m/>
    <m/>
  </r>
  <r>
    <x v="4"/>
    <x v="5"/>
    <s v="F:\images\20210304\plaque 1/@04 EE2 76/F4_01.tif "/>
    <s v=" 4563.9078 "/>
    <s v=" 65.7204 "/>
    <x v="0"/>
    <n v="299942"/>
    <m/>
    <m/>
    <m/>
  </r>
  <r>
    <x v="4"/>
    <x v="5"/>
    <s v="F:\images\20210304\plaque 1/@04 EE2 76/F4_02.tif "/>
    <s v=" 3201.2244 "/>
    <s v=" 65.277 "/>
    <x v="0"/>
    <n v="208966"/>
    <m/>
    <m/>
    <m/>
  </r>
  <r>
    <x v="4"/>
    <x v="5"/>
    <s v="F:\images\20210304\plaque 1/@04 EE2 76/F4_03.tif "/>
    <s v=" 692.1566 "/>
    <s v=" 62.7812 "/>
    <x v="0"/>
    <n v="43454"/>
    <m/>
    <m/>
    <m/>
  </r>
  <r>
    <x v="4"/>
    <x v="6"/>
    <s v="F:\images\20210304\plaque 1/@04 EE2 76/G4_01.tif "/>
    <s v=" 13259.1254 "/>
    <s v=" 70.6411 "/>
    <x v="0"/>
    <n v="936639"/>
    <m/>
    <m/>
    <m/>
  </r>
  <r>
    <x v="4"/>
    <x v="6"/>
    <s v="F:\images\20210304\plaque 1/@04 EE2 76/G4_02.tif "/>
    <s v=" 11550.3637 "/>
    <s v=" 71.4139 "/>
    <x v="0"/>
    <n v="824856"/>
    <m/>
    <m/>
    <m/>
  </r>
  <r>
    <x v="4"/>
    <x v="6"/>
    <s v="F:\images\20210304\plaque 1/@04 EE2 76/G4_03.tif "/>
    <s v=" 3222.8543 "/>
    <s v=" 62.8389 "/>
    <x v="0"/>
    <n v="202521"/>
    <m/>
    <m/>
    <m/>
  </r>
  <r>
    <x v="4"/>
    <x v="7"/>
    <s v="F:\images\20210304\plaque 1/@04 EE2 76/H4_01.tif "/>
    <s v=" 3417.5234 "/>
    <s v=" 65.1582 "/>
    <x v="0"/>
    <n v="222680"/>
    <m/>
    <m/>
    <m/>
  </r>
  <r>
    <x v="4"/>
    <x v="7"/>
    <s v="F:\images\20210304\plaque 1/@04 EE2 76/H4_02.tif "/>
    <s v=" 3893.381 "/>
    <s v=" 64.6778 "/>
    <x v="0"/>
    <n v="251815"/>
    <m/>
    <m/>
    <m/>
  </r>
  <r>
    <x v="4"/>
    <x v="7"/>
    <s v="F:\images\20210304\plaque 1/@04 EE2 76/H4_03.tif "/>
    <s v=" 1168.0143 "/>
    <s v=" 63.5 "/>
    <x v="0"/>
    <n v="74169"/>
    <m/>
    <m/>
    <m/>
  </r>
  <r>
    <x v="1"/>
    <x v="8"/>
    <s v=" "/>
    <m/>
    <m/>
    <x v="1"/>
    <m/>
    <m/>
    <m/>
    <m/>
  </r>
  <r>
    <x v="1"/>
    <x v="8"/>
    <s v="group "/>
    <s v=" "/>
    <s v=" mean of mean fluo "/>
    <x v="2"/>
    <s v=" mean of total fluo "/>
    <s v=" SD total fluo "/>
    <s v=" n fluorescent "/>
    <s v=" n total"/>
  </r>
  <r>
    <x v="4"/>
    <x v="9"/>
    <s v="F:\images\20210304\plaque 1/@04 EE2 76/ "/>
    <s v=" "/>
    <s v=" 66.7475 "/>
    <x v="6"/>
    <s v=" 705552.708 "/>
    <s v=" 957616.23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5"/>
    <x v="0"/>
    <s v="F:\images\20210304\plaque 1/@05 EE2 114/A5_01.tif "/>
    <s v=" 23922.6635 "/>
    <s v=" 68.906 "/>
    <x v="0"/>
    <n v="1648414"/>
    <m/>
    <m/>
    <m/>
  </r>
  <r>
    <x v="5"/>
    <x v="0"/>
    <s v="F:\images\20210304\plaque 1/@05 EE2 114/A5_02.tif "/>
    <s v=" 18861.2681 "/>
    <s v=" 66.2511 "/>
    <x v="0"/>
    <n v="1249581"/>
    <m/>
    <m/>
    <m/>
  </r>
  <r>
    <x v="5"/>
    <x v="0"/>
    <s v="F:\images\20210304\plaque 1/@05 EE2 114/A5_03.tif "/>
    <s v=" 14924.6273 "/>
    <s v=" 65.5261 "/>
    <x v="0"/>
    <n v="977952"/>
    <m/>
    <m/>
    <m/>
  </r>
  <r>
    <x v="5"/>
    <x v="1"/>
    <s v="F:\images\20210304\plaque 1/@05 EE2 114/B5_01.tif "/>
    <s v=" 32920.6996 "/>
    <s v=" 67.4921 "/>
    <x v="0"/>
    <n v="2221888"/>
    <m/>
    <m/>
    <m/>
  </r>
  <r>
    <x v="5"/>
    <x v="1"/>
    <s v="F:\images\20210304\plaque 1/@05 EE2 114/B5_02.tif "/>
    <s v=" 31579.6462 "/>
    <s v=" 66.7432 "/>
    <x v="0"/>
    <n v="2107725"/>
    <m/>
    <m/>
    <m/>
  </r>
  <r>
    <x v="5"/>
    <x v="1"/>
    <s v="F:\images\20210304\plaque 1/@05 EE2 114/B5_03.tif "/>
    <s v=" 28637.9805 "/>
    <s v=" 66.4879 "/>
    <x v="0"/>
    <n v="1904080"/>
    <m/>
    <m/>
    <m/>
  </r>
  <r>
    <x v="5"/>
    <x v="2"/>
    <s v="F:\images\20210304\plaque 1/@05 EE2 114/C5_01.tif "/>
    <s v=" 22603.2399 "/>
    <s v=" 67.3943 "/>
    <x v="0"/>
    <n v="1523329"/>
    <m/>
    <m/>
    <m/>
  </r>
  <r>
    <x v="5"/>
    <x v="2"/>
    <s v="F:\images\20210304\plaque 1/@05 EE2 114/C5_02.tif "/>
    <s v=" 16892.9477 "/>
    <s v=" 66.6325 "/>
    <x v="0"/>
    <n v="1125620"/>
    <m/>
    <m/>
    <m/>
  </r>
  <r>
    <x v="5"/>
    <x v="2"/>
    <s v="F:\images\20210304\plaque 1/@05 EE2 114/C5_03.tif "/>
    <s v=" 6705.2673 "/>
    <s v=" 63.7613 "/>
    <x v="0"/>
    <n v="427536"/>
    <m/>
    <m/>
    <m/>
  </r>
  <r>
    <x v="5"/>
    <x v="3"/>
    <s v="F:\images\20210304\plaque 1/@05 EE2 114/D5_01.tif "/>
    <s v=" 31925.7245 "/>
    <s v=" 71.5285 "/>
    <x v="0"/>
    <n v="2283598"/>
    <m/>
    <m/>
    <m/>
  </r>
  <r>
    <x v="5"/>
    <x v="3"/>
    <s v="F:\images\20210304\plaque 1/@05 EE2 114/D5_02.tif "/>
    <s v=" 29957.4041 "/>
    <s v=" 73.244 "/>
    <x v="0"/>
    <n v="2194201"/>
    <m/>
    <m/>
    <m/>
  </r>
  <r>
    <x v="5"/>
    <x v="3"/>
    <s v="F:\images\20210304\plaque 1/@05 EE2 114/D5_03.tif "/>
    <s v=" 29957.4041 "/>
    <s v=" 71.761 "/>
    <x v="0"/>
    <n v="2149774"/>
    <m/>
    <m/>
    <m/>
  </r>
  <r>
    <x v="5"/>
    <x v="4"/>
    <s v="F:\images\20210304\plaque 1/@05 EE2 114/E5_01.tif "/>
    <s v=" 17996.0723 "/>
    <s v=" 65.8846 "/>
    <x v="0"/>
    <n v="1185664"/>
    <m/>
    <m/>
    <m/>
  </r>
  <r>
    <x v="5"/>
    <x v="4"/>
    <s v="F:\images\20210304\plaque 1/@05 EE2 114/E5_02.tif "/>
    <s v=" 16049.3818 "/>
    <s v=" 65.8383 "/>
    <x v="0"/>
    <n v="1056664"/>
    <m/>
    <m/>
    <m/>
  </r>
  <r>
    <x v="5"/>
    <x v="4"/>
    <s v="F:\images\20210304\plaque 1/@05 EE2 114/E5_03.tif "/>
    <s v=" 3741.9718 "/>
    <s v=" 63.9133 "/>
    <x v="0"/>
    <n v="239162"/>
    <m/>
    <m/>
    <m/>
  </r>
  <r>
    <x v="5"/>
    <x v="5"/>
    <s v="F:\images\20210304\plaque 1/@05 EE2 114/F5_01.tif "/>
    <s v=" 5840.0715 "/>
    <s v=" 64.0852 "/>
    <x v="0"/>
    <n v="374262"/>
    <m/>
    <m/>
    <m/>
  </r>
  <r>
    <x v="5"/>
    <x v="5"/>
    <s v="F:\images\20210304\plaque 1/@05 EE2 114/F5_02.tif "/>
    <s v=" 13670.0934 "/>
    <s v=" 69.356 "/>
    <x v="0"/>
    <n v="948103"/>
    <m/>
    <m/>
    <m/>
  </r>
  <r>
    <x v="5"/>
    <x v="5"/>
    <s v="F:\images\20210304\plaque 1/@05 EE2 114/F5_03.tif "/>
    <s v=" 6705.2673 "/>
    <s v=" 63.5032 "/>
    <x v="0"/>
    <n v="425806"/>
    <m/>
    <m/>
    <m/>
  </r>
  <r>
    <x v="5"/>
    <x v="6"/>
    <s v="F:\images\20210304\plaque 1/@05 EE2 114/G5_01.tif "/>
    <s v=" 36338.223 "/>
    <s v=" 73.597 "/>
    <x v="0"/>
    <n v="2674385"/>
    <m/>
    <m/>
    <m/>
  </r>
  <r>
    <x v="5"/>
    <x v="6"/>
    <s v="F:\images\20210304\plaque 1/@05 EE2 114/G5_02.tif "/>
    <s v=" 33439.8171 "/>
    <s v=" 72.0517 "/>
    <x v="0"/>
    <n v="2409397"/>
    <m/>
    <m/>
    <m/>
  </r>
  <r>
    <x v="5"/>
    <x v="6"/>
    <s v="F:\images\20210304\plaque 1/@05 EE2 114/G5_03.tif "/>
    <s v=" 27015.7384 "/>
    <s v=" 68.4251 "/>
    <x v="0"/>
    <n v="1848556"/>
    <m/>
    <m/>
    <m/>
  </r>
  <r>
    <x v="5"/>
    <x v="7"/>
    <s v="F:\images\20210304\plaque 1/@05 EE2 114/H5_01.tif "/>
    <s v=" 41702.4368 "/>
    <s v=" 69.3558 "/>
    <x v="0"/>
    <n v="2892306"/>
    <m/>
    <m/>
    <m/>
  </r>
  <r>
    <x v="5"/>
    <x v="7"/>
    <s v="F:\images\20210304\plaque 1/@05 EE2 114/H5_02.tif "/>
    <s v=" 34110.3438 "/>
    <s v=" 68.0533 "/>
    <x v="0"/>
    <n v="2321320"/>
    <m/>
    <m/>
    <m/>
  </r>
  <r>
    <x v="5"/>
    <x v="7"/>
    <s v="F:\images\20210304\plaque 1/@05 EE2 114/H5_03.tif "/>
    <s v=" 27599.7455 "/>
    <s v=" 67.2563 "/>
    <x v="0"/>
    <n v="1856256"/>
    <m/>
    <m/>
    <m/>
  </r>
  <r>
    <x v="1"/>
    <x v="8"/>
    <s v=" "/>
    <m/>
    <m/>
    <x v="1"/>
    <m/>
    <m/>
    <m/>
    <m/>
  </r>
  <r>
    <x v="1"/>
    <x v="8"/>
    <s v="group "/>
    <s v=" "/>
    <s v=" mean of mean fluo "/>
    <x v="2"/>
    <s v=" mean of total fluo "/>
    <s v=" SD total fluo "/>
    <s v=" n fluorescent "/>
    <s v=" n total"/>
  </r>
  <r>
    <x v="5"/>
    <x v="9"/>
    <s v="F:\images\20210304\plaque 1/@05 EE2 114/ "/>
    <s v=" "/>
    <s v=" 67.7937 "/>
    <x v="7"/>
    <s v=" 1585232.46 "/>
    <s v=" 772466.2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6"/>
    <x v="0"/>
    <s v="F:\images\20210304\plaque 1/@06 EE2 170.9/A6_01.tif "/>
    <s v=" 47261.3198 "/>
    <s v=" 74.0792 "/>
    <x v="0"/>
    <n v="3501080"/>
    <m/>
    <m/>
    <m/>
  </r>
  <r>
    <x v="6"/>
    <x v="0"/>
    <s v="F:\images\20210304\plaque 1/@06 EE2 170.9/A6_02.tif "/>
    <s v=" 43865.4263 "/>
    <s v=" 73.7387 "/>
    <x v="0"/>
    <n v="3234578"/>
    <m/>
    <m/>
    <m/>
  </r>
  <r>
    <x v="6"/>
    <x v="0"/>
    <s v="F:\images\20210304\plaque 1/@06 EE2 170.9/A6_03.tif "/>
    <s v=" 37160.159 "/>
    <s v=" 75.7142 "/>
    <x v="0"/>
    <n v="2813552"/>
    <m/>
    <m/>
    <m/>
  </r>
  <r>
    <x v="6"/>
    <x v="1"/>
    <s v="F:\images\20210304\plaque 1/@06 EE2 170.9/B6_01.tif "/>
    <s v=" 49554.0886 "/>
    <s v=" 77.4876 "/>
    <x v="0"/>
    <n v="3839825"/>
    <m/>
    <m/>
    <m/>
  </r>
  <r>
    <x v="6"/>
    <x v="1"/>
    <s v="F:\images\20210304\plaque 1/@06 EE2 170.9/B6_02.tif "/>
    <s v=" 51760.3378 "/>
    <s v=" 77.6306 "/>
    <x v="0"/>
    <n v="4018186"/>
    <m/>
    <m/>
    <m/>
  </r>
  <r>
    <x v="6"/>
    <x v="1"/>
    <s v="F:\images\20210304\plaque 1/@06 EE2 170.9/B6_03.tif "/>
    <s v=" 45487.6684 "/>
    <s v=" 75.0918 "/>
    <x v="0"/>
    <n v="3415750"/>
    <m/>
    <m/>
    <m/>
  </r>
  <r>
    <x v="6"/>
    <x v="2"/>
    <s v="F:\images\20210304\plaque 1/@06 EE2 170.9/C6_01.tif "/>
    <s v=" 48083.2558 "/>
    <s v=" 80.1579 "/>
    <x v="0"/>
    <n v="3854253"/>
    <m/>
    <m/>
    <m/>
  </r>
  <r>
    <x v="6"/>
    <x v="2"/>
    <s v="F:\images\20210304\plaque 1/@06 EE2 170.9/C6_02.tif "/>
    <s v=" 40556.0524 "/>
    <s v=" 79.9451 "/>
    <x v="0"/>
    <n v="3242256"/>
    <m/>
    <m/>
    <m/>
  </r>
  <r>
    <x v="6"/>
    <x v="2"/>
    <s v="F:\images\20210304\plaque 1/@06 EE2 170.9/C6_03.tif "/>
    <s v=" 41075.1699 "/>
    <s v=" 79.0869 "/>
    <x v="0"/>
    <n v="3248507"/>
    <m/>
    <m/>
    <m/>
  </r>
  <r>
    <x v="6"/>
    <x v="3"/>
    <s v="F:\images\20210304\plaque 1/@06 EE2 170.9/D6_01.tif "/>
    <s v=" 12242.5204 "/>
    <s v=" 65.7951 "/>
    <x v="0"/>
    <n v="805497"/>
    <m/>
    <m/>
    <m/>
  </r>
  <r>
    <x v="6"/>
    <x v="3"/>
    <s v="F:\images\20210304\plaque 1/@06 EE2 170.9/D6_02.tif "/>
    <s v=" 8500.5486 "/>
    <s v=" 64.7939 "/>
    <x v="0"/>
    <n v="550784"/>
    <m/>
    <m/>
    <m/>
  </r>
  <r>
    <x v="6"/>
    <x v="3"/>
    <s v="F:\images\20210304\plaque 1/@06 EE2 170.9/D6_03.tif "/>
    <s v=" 7397.424 "/>
    <s v=" 65.0468 "/>
    <x v="0"/>
    <n v="481179"/>
    <m/>
    <m/>
    <m/>
  </r>
  <r>
    <x v="6"/>
    <x v="4"/>
    <s v="F:\images\20210304\plaque 1/@06 EE2 170.9/E6_01.tif "/>
    <s v=" 50181.3555 "/>
    <s v=" 75.8078 "/>
    <x v="0"/>
    <n v="3804136"/>
    <m/>
    <m/>
    <m/>
  </r>
  <r>
    <x v="6"/>
    <x v="4"/>
    <s v="F:\images\20210304\plaque 1/@06 EE2 170.9/E6_02- exclu.tif"/>
    <m/>
    <m/>
    <x v="1"/>
    <m/>
    <m/>
    <m/>
    <m/>
  </r>
  <r>
    <x v="6"/>
    <x v="4"/>
    <s v="F:\images\20210304\plaque 1/@06 EE2 170.9/E6_03.tif "/>
    <s v=" 43735.6469 "/>
    <s v=" 74.2394 "/>
    <x v="0"/>
    <n v="3246907"/>
    <m/>
    <m/>
    <m/>
  </r>
  <r>
    <x v="6"/>
    <x v="5"/>
    <s v="F:\images\20210304\plaque 1/@06 EE2 170.9/F6_01.tif "/>
    <s v=" 44946.921 "/>
    <s v=" 70.9962 "/>
    <x v="0"/>
    <n v="3191058"/>
    <m/>
    <m/>
    <m/>
  </r>
  <r>
    <x v="6"/>
    <x v="5"/>
    <s v="F:\images\20210304\plaque 1/@06 EE2 170.9/F6_02.tif "/>
    <s v=" 45768.857 "/>
    <s v=" 71.3133 "/>
    <x v="0"/>
    <n v="3263929"/>
    <m/>
    <m/>
    <m/>
  </r>
  <r>
    <x v="6"/>
    <x v="5"/>
    <s v="F:\images\20210304\plaque 1/@06 EE2 170.9/F6_03.tif "/>
    <s v=" 34175.2335 "/>
    <s v=" 68.4165 "/>
    <x v="0"/>
    <n v="2338148"/>
    <m/>
    <m/>
    <m/>
  </r>
  <r>
    <x v="6"/>
    <x v="6"/>
    <s v="F:\images\20210304\plaque 1/@06 EE2 170.9/G6_01.tif "/>
    <s v=" 45336.2591 "/>
    <s v=" 69.6741 "/>
    <x v="0"/>
    <n v="3158765"/>
    <m/>
    <m/>
    <m/>
  </r>
  <r>
    <x v="6"/>
    <x v="6"/>
    <s v="F:\images\20210304\plaque 1/@06 EE2 170.9/G6_02.tif "/>
    <s v=" 48148.1454 "/>
    <s v=" 69.7008 "/>
    <x v="0"/>
    <n v="3355965"/>
    <m/>
    <m/>
    <m/>
  </r>
  <r>
    <x v="6"/>
    <x v="6"/>
    <s v="F:\images\20210304\plaque 1/@06 EE2 170.9/G6_03- exclu.tif"/>
    <m/>
    <m/>
    <x v="1"/>
    <m/>
    <m/>
    <m/>
    <m/>
  </r>
  <r>
    <x v="6"/>
    <x v="7"/>
    <s v="F:\images\20210304\plaque 1/@06 EE2 170.9/H6_01- exclu.tif"/>
    <m/>
    <m/>
    <x v="1"/>
    <m/>
    <m/>
    <m/>
    <m/>
  </r>
  <r>
    <x v="6"/>
    <x v="7"/>
    <s v="F:\images\20210304\plaque 1/@06 EE2 170.9/H6_02- exclu.tif"/>
    <m/>
    <m/>
    <x v="1"/>
    <m/>
    <m/>
    <m/>
    <m/>
  </r>
  <r>
    <x v="6"/>
    <x v="7"/>
    <s v="F:\images\20210304\plaque 1/@06 EE2 170.9/H6_03- exclu.tif"/>
    <m/>
    <m/>
    <x v="1"/>
    <m/>
    <m/>
    <m/>
    <m/>
  </r>
  <r>
    <x v="1"/>
    <x v="8"/>
    <s v=" "/>
    <m/>
    <m/>
    <x v="1"/>
    <m/>
    <m/>
    <m/>
    <m/>
  </r>
  <r>
    <x v="1"/>
    <x v="8"/>
    <s v="group "/>
    <s v=" "/>
    <s v=" mean of mean fluo "/>
    <x v="2"/>
    <s v=" mean of total fluo "/>
    <s v=" SD total fluo "/>
    <s v=" n fluorescent "/>
    <s v=" n total"/>
  </r>
  <r>
    <x v="6"/>
    <x v="9"/>
    <s v="F:\images\20210304\plaque 1/@06 EE2 170.9/ "/>
    <s v=" "/>
    <s v=" 72.4076 "/>
    <x v="8"/>
    <s v=" 2629390.42 "/>
    <s v=" 1181496.5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7"/>
    <x v="0"/>
    <s v="F:\images\20210304\plaque 1/@07 EE2 488/A7_01.tif "/>
    <s v=" 82366.6387 "/>
    <s v=" 94.0953 "/>
    <x v="0"/>
    <n v="7750316"/>
    <m/>
    <m/>
    <m/>
  </r>
  <r>
    <x v="7"/>
    <x v="0"/>
    <s v="F:\images\20210304\plaque 1/@07 EE2 488/A7_02.tif "/>
    <s v=" 82561.3078 "/>
    <s v=" 90.7949 "/>
    <x v="0"/>
    <n v="7496143"/>
    <m/>
    <m/>
    <m/>
  </r>
  <r>
    <x v="7"/>
    <x v="0"/>
    <s v="F:\images\20210304\plaque 1/@07 EE2 488/A7_03.tif "/>
    <s v=" 81912.411 "/>
    <s v=" 91.8902 "/>
    <x v="0"/>
    <n v="7526944"/>
    <m/>
    <m/>
    <m/>
  </r>
  <r>
    <x v="7"/>
    <x v="1"/>
    <s v="F:\images\20210304\plaque 1/@07 EE2 488/B7_01.tif "/>
    <s v=" 63289.0717 "/>
    <s v=" 91.8893 "/>
    <x v="0"/>
    <n v="5815587"/>
    <m/>
    <m/>
    <m/>
  </r>
  <r>
    <x v="7"/>
    <x v="1"/>
    <s v="F:\images\20210304\plaque 1/@07 EE2 488/B7_02.tif "/>
    <s v=" 60455.5555 "/>
    <s v=" 91.1524 "/>
    <x v="0"/>
    <n v="5510670"/>
    <m/>
    <m/>
    <m/>
  </r>
  <r>
    <x v="7"/>
    <x v="1"/>
    <s v="F:\images\20210304\plaque 1/@07 EE2 488/B7_03.tif "/>
    <s v=" 60369.0359 "/>
    <s v=" 93.7087 "/>
    <x v="0"/>
    <n v="5657104"/>
    <m/>
    <m/>
    <m/>
  </r>
  <r>
    <x v="7"/>
    <x v="2"/>
    <s v="F:\images\20210304\plaque 1/@07 EE2 488/C7_01.tif "/>
    <s v=" 80117.1297 "/>
    <s v=" 92.1971 "/>
    <x v="0"/>
    <n v="7386566"/>
    <m/>
    <m/>
    <m/>
  </r>
  <r>
    <x v="7"/>
    <x v="2"/>
    <s v="F:\images\20210304\plaque 1/@07 EE2 488/C7_02.tif "/>
    <s v=" 76959.1651 "/>
    <s v=" 91.4236 "/>
    <x v="0"/>
    <n v="7035880"/>
    <m/>
    <m/>
    <m/>
  </r>
  <r>
    <x v="7"/>
    <x v="2"/>
    <s v="F:\images\20210304\plaque 1/@07 EE2 488/C7_03.tif "/>
    <s v=" 78192.0691 "/>
    <s v=" 87.2941 "/>
    <x v="0"/>
    <n v="6825703"/>
    <m/>
    <m/>
    <m/>
  </r>
  <r>
    <x v="7"/>
    <x v="3"/>
    <s v="F:\images\20210304\plaque 1/@07 EE2 488/D7_01.tif "/>
    <s v=" 53728.6583 "/>
    <s v=" 103.7041 "/>
    <x v="0"/>
    <n v="5571882"/>
    <m/>
    <m/>
    <m/>
  </r>
  <r>
    <x v="7"/>
    <x v="3"/>
    <s v="F:\images\20210304\plaque 1/@07 EE2 488/D7_02.tif "/>
    <s v=" 69194.0329 "/>
    <s v=" 98.1235 "/>
    <x v="0"/>
    <n v="6789559"/>
    <m/>
    <m/>
    <m/>
  </r>
  <r>
    <x v="7"/>
    <x v="3"/>
    <s v="F:\images\20210304\plaque 1/@07 EE2 488/D7_03.tif "/>
    <s v=" 67355.4919 "/>
    <s v=" 92.8112 "/>
    <x v="0"/>
    <n v="6251342"/>
    <m/>
    <m/>
    <m/>
  </r>
  <r>
    <x v="7"/>
    <x v="4"/>
    <s v="F:\images\20210304\plaque 1/@07 EE2 488/E7_01.tif "/>
    <s v=" 40404.6432 "/>
    <s v=" 89.637 "/>
    <x v="0"/>
    <n v="3621753"/>
    <m/>
    <m/>
    <m/>
  </r>
  <r>
    <x v="7"/>
    <x v="4"/>
    <s v="F:\images\20210304\plaque 1/@07 EE2 488/E7_02.tif "/>
    <s v=" 39907.1556 "/>
    <s v=" 90.2949 "/>
    <x v="0"/>
    <n v="3603411"/>
    <m/>
    <m/>
    <m/>
  </r>
  <r>
    <x v="7"/>
    <x v="4"/>
    <s v="F:\images\20210304\plaque 1/@07 EE2 488/E7_03.tif "/>
    <s v=" 42372.9636 "/>
    <s v=" 88.9112 "/>
    <x v="0"/>
    <n v="3767430"/>
    <m/>
    <m/>
    <m/>
  </r>
  <r>
    <x v="7"/>
    <x v="5"/>
    <s v="F:\images\20210304\plaque 1/@07 EE2 488/F7_01.tif "/>
    <s v=" 65646.7302 "/>
    <s v=" 89.8511 "/>
    <x v="0"/>
    <n v="5898429"/>
    <m/>
    <m/>
    <m/>
  </r>
  <r>
    <x v="7"/>
    <x v="5"/>
    <s v="F:\images\20210304\plaque 1/@07 EE2 488/F7_02.tif "/>
    <s v=" 66425.4064 "/>
    <s v=" 92.2761 "/>
    <x v="0"/>
    <n v="6129480"/>
    <m/>
    <m/>
    <m/>
  </r>
  <r>
    <x v="7"/>
    <x v="5"/>
    <s v="F:\images\20210304\plaque 1/@07 EE2 488/F7_03.tif "/>
    <s v=" 62402.246 "/>
    <s v=" 85.452 "/>
    <x v="0"/>
    <n v="5332396"/>
    <m/>
    <m/>
    <m/>
  </r>
  <r>
    <x v="7"/>
    <x v="6"/>
    <s v="F:\images\20210304\plaque 1/@07 EE2 488/G7_01.tif "/>
    <s v=" 59417.3205 "/>
    <s v=" 80.1889 "/>
    <x v="0"/>
    <n v="4764612"/>
    <m/>
    <m/>
    <m/>
  </r>
  <r>
    <x v="7"/>
    <x v="6"/>
    <s v="F:\images\20210304\plaque 1/@07 EE2 488/G7_02.tif "/>
    <s v=" 62056.1677 "/>
    <s v=" 90.2921 "/>
    <x v="0"/>
    <n v="5603181"/>
    <m/>
    <m/>
    <m/>
  </r>
  <r>
    <x v="7"/>
    <x v="6"/>
    <s v="F:\images\20210304\plaque 1/@07 EE2 488/G7_03.tif "/>
    <s v=" 59460.5803 "/>
    <s v=" 85.4369 "/>
    <x v="0"/>
    <n v="5080127"/>
    <m/>
    <m/>
    <m/>
  </r>
  <r>
    <x v="7"/>
    <x v="7"/>
    <s v="F:\images\20210304\plaque 1/@07 EE2 488/H7_01.tif "/>
    <s v=" 85935.5714 "/>
    <s v=" 92.2059 "/>
    <x v="0"/>
    <n v="7923766"/>
    <m/>
    <m/>
    <m/>
  </r>
  <r>
    <x v="7"/>
    <x v="7"/>
    <s v="F:\images\20210304\plaque 1/@07 EE2 488/H7_02.tif "/>
    <s v=" 74536.6169 "/>
    <s v=" 92.4919 "/>
    <x v="0"/>
    <n v="6894031"/>
    <m/>
    <m/>
    <m/>
  </r>
  <r>
    <x v="7"/>
    <x v="7"/>
    <s v="F:\images\20210304\plaque 1/@07 EE2 488/H7_03.tif "/>
    <s v=" 78278.5887 "/>
    <s v=" 84.9353 "/>
    <x v="0"/>
    <n v="6648619"/>
    <m/>
    <m/>
    <m/>
  </r>
  <r>
    <x v="1"/>
    <x v="8"/>
    <s v=" "/>
    <m/>
    <m/>
    <x v="1"/>
    <m/>
    <m/>
    <m/>
    <m/>
  </r>
  <r>
    <x v="1"/>
    <x v="8"/>
    <s v="group "/>
    <s v=" "/>
    <s v=" mean of mean fluo "/>
    <x v="2"/>
    <s v=" mean of total fluo "/>
    <s v=" SD total fluo "/>
    <s v=" n fluorescent "/>
    <s v=" n total"/>
  </r>
  <r>
    <x v="7"/>
    <x v="9"/>
    <s v="F:\images\20210304\plaque 1/@07 EE2 488/ "/>
    <s v=" "/>
    <s v=" 90.8774 "/>
    <x v="9"/>
    <s v=" 6036872.12 "/>
    <s v=" 1265715.1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8"/>
    <x v="0"/>
    <s v="F:\images\20210304\plaque 1/@08 Testosterone 3.7 µg_L/A8_01- exclu.tif"/>
    <m/>
    <m/>
    <x v="1"/>
    <m/>
    <m/>
    <m/>
    <m/>
  </r>
  <r>
    <x v="8"/>
    <x v="0"/>
    <s v="F:\images\20210304\plaque 1/@08 Testosterone 3.7 µg_L/A8_02.tif "/>
    <s v=" 4174.5697 "/>
    <s v=" 67.2228 "/>
    <x v="0"/>
    <n v="280626"/>
    <m/>
    <m/>
    <m/>
  </r>
  <r>
    <x v="8"/>
    <x v="0"/>
    <s v="F:\images\20210304\plaque 1/@08 Testosterone 3.7 µg_L/A8_03.tif "/>
    <s v=" 5147.9149 "/>
    <s v=" 68.3361 "/>
    <x v="0"/>
    <n v="351789"/>
    <m/>
    <m/>
    <m/>
  </r>
  <r>
    <x v="8"/>
    <x v="1"/>
    <s v="F:\images\20210304\plaque 1/@08 Testosterone 3.7 µg_L/B8_01.tif "/>
    <s v=" 3677.0821 "/>
    <s v=" 64.7647 "/>
    <x v="0"/>
    <n v="238145"/>
    <m/>
    <m/>
    <m/>
  </r>
  <r>
    <x v="8"/>
    <x v="1"/>
    <s v="F:\images\20210304\plaque 1/@08 Testosterone 3.7 µg_L/B8_02.tif "/>
    <s v=" 4845.0964 "/>
    <s v=" 66.2277 "/>
    <x v="0"/>
    <n v="320879"/>
    <m/>
    <m/>
    <m/>
  </r>
  <r>
    <x v="8"/>
    <x v="1"/>
    <s v="F:\images\20210304\plaque 1/@08 Testosterone 3.7 µg_L/B8_03- exclu.tif"/>
    <m/>
    <m/>
    <x v="1"/>
    <m/>
    <m/>
    <m/>
    <m/>
  </r>
  <r>
    <x v="8"/>
    <x v="2"/>
    <s v="F:\images\20210304\plaque 1/@08 Testosterone 3.7 µg_L/C8_01.tif "/>
    <s v=" 2119.7297 "/>
    <s v=" 67.3673 "/>
    <x v="0"/>
    <n v="142801"/>
    <m/>
    <m/>
    <m/>
  </r>
  <r>
    <x v="8"/>
    <x v="2"/>
    <s v="F:\images\20210304\plaque 1/@08 Testosterone 3.7 µg_L/C8_02.tif "/>
    <s v=" 584.0072 "/>
    <s v=" 63.3704 "/>
    <x v="0"/>
    <n v="37009"/>
    <m/>
    <m/>
    <m/>
  </r>
  <r>
    <x v="8"/>
    <x v="2"/>
    <s v="F:\images\20210304\plaque 1/@08 Testosterone 3.7 µg_L/C8_03.tif "/>
    <s v=" 735.4164 "/>
    <s v=" 63.8529 "/>
    <x v="0"/>
    <n v="46959"/>
    <m/>
    <m/>
    <m/>
  </r>
  <r>
    <x v="8"/>
    <x v="3"/>
    <s v="F:\images\20210304\plaque 1/@08 Testosterone 3.7 µg_L/D8_01.tif "/>
    <s v=" 5580.5128 "/>
    <s v=" 76.0504 "/>
    <x v="0"/>
    <n v="424400"/>
    <m/>
    <m/>
    <m/>
  </r>
  <r>
    <x v="8"/>
    <x v="3"/>
    <s v="F:\images\20210304\plaque 1/@08 Testosterone 3.7 µg_L/D8_02.tif "/>
    <s v=" 2768.6265 "/>
    <s v=" 66.7812 "/>
    <x v="0"/>
    <n v="184892"/>
    <m/>
    <m/>
    <m/>
  </r>
  <r>
    <x v="8"/>
    <x v="3"/>
    <s v="F:\images\20210304\plaque 1/@08 Testosterone 3.7 µg_L/D8_03.tif "/>
    <s v=" 648.8968 "/>
    <s v=" 63.1333 "/>
    <x v="0"/>
    <n v="40967"/>
    <m/>
    <m/>
    <m/>
  </r>
  <r>
    <x v="8"/>
    <x v="4"/>
    <s v="F:\images\20210304\plaque 1/@08 Testosterone 3.7 µg_L/E8_01.tif "/>
    <s v=" 410.968 "/>
    <s v=" 64.3158 "/>
    <x v="0"/>
    <n v="26432"/>
    <m/>
    <m/>
    <m/>
  </r>
  <r>
    <x v="8"/>
    <x v="4"/>
    <s v="F:\images\20210304\plaque 1/@08 Testosterone 3.7 µg_L/E8_02.tif "/>
    <s v=" 216.2989 "/>
    <s v=" 63.6 "/>
    <x v="0"/>
    <n v="13757"/>
    <m/>
    <m/>
    <m/>
  </r>
  <r>
    <x v="8"/>
    <x v="4"/>
    <s v="F:\images\20210304\plaque 1/@08 Testosterone 3.7 µg_L/E8_03.tif "/>
    <s v=" 129.7794 "/>
    <n v="68"/>
    <x v="0"/>
    <n v="8825"/>
    <m/>
    <m/>
    <m/>
  </r>
  <r>
    <x v="8"/>
    <x v="5"/>
    <s v="F:\images\20210304\plaque 1/@08 Testosterone 3.7 µg_L/F8_01.tif "/>
    <s v=" 2682.1069 "/>
    <s v=" 65.2177 "/>
    <x v="0"/>
    <n v="174921"/>
    <m/>
    <m/>
    <m/>
  </r>
  <r>
    <x v="8"/>
    <x v="5"/>
    <s v="F:\images\20210304\plaque 1/@08 Testosterone 3.7 µg_L/F8_02.tif "/>
    <s v=" 1449.2029 "/>
    <s v=" 63.9254 "/>
    <x v="0"/>
    <n v="92641"/>
    <m/>
    <m/>
    <m/>
  </r>
  <r>
    <x v="8"/>
    <x v="5"/>
    <s v="F:\images\20210304\plaque 1/@08 Testosterone 3.7 µg_L/F8_03.tif "/>
    <s v=" 670.5267 "/>
    <s v=" 62.9677 "/>
    <x v="0"/>
    <n v="42222"/>
    <m/>
    <m/>
    <m/>
  </r>
  <r>
    <x v="8"/>
    <x v="6"/>
    <s v="F:\images\20210304\plaque 1/@08 Testosterone 3.7 µg_L/G8_01.tif "/>
    <s v=" 648.8968 "/>
    <s v=" 62.2667 "/>
    <x v="0"/>
    <n v="40405"/>
    <m/>
    <m/>
    <m/>
  </r>
  <r>
    <x v="8"/>
    <x v="6"/>
    <s v="F:\images\20210304\plaque 1/@08 Testosterone 3.7 µg_L/G8_02.tif "/>
    <s v=" 584.0072 "/>
    <s v=" 62.4074 "/>
    <x v="0"/>
    <n v="36446"/>
    <m/>
    <m/>
    <m/>
  </r>
  <r>
    <x v="8"/>
    <x v="6"/>
    <s v="F:\images\20210304\plaque 1/@08 Testosterone 3.7 µg_L/G8_03.tif "/>
    <s v=" 194.6691 "/>
    <s v=" 62.5556 "/>
    <x v="0"/>
    <n v="12178"/>
    <m/>
    <m/>
    <m/>
  </r>
  <r>
    <x v="8"/>
    <x v="7"/>
    <s v="F:\images\20210304\plaque 1/@08 Testosterone 3.7 µg_L/H8_01.tif "/>
    <s v=" 735.4164 "/>
    <s v=" 63.6176 "/>
    <x v="0"/>
    <n v="46785"/>
    <m/>
    <m/>
    <m/>
  </r>
  <r>
    <x v="8"/>
    <x v="7"/>
    <s v="F:\images\20210304\plaque 1/@08 Testosterone 3.7 µg_L/H8_02.tif "/>
    <s v=" 540.7474 "/>
    <s v=" 62.88 "/>
    <x v="0"/>
    <n v="34002"/>
    <m/>
    <m/>
    <m/>
  </r>
  <r>
    <x v="8"/>
    <x v="7"/>
    <s v="F:\images\20210304\plaque 1/@08 Testosterone 3.7 µg_L/H8_03.tif "/>
    <s v=" 194.6691 "/>
    <s v=" 62.4444 "/>
    <x v="0"/>
    <n v="12156"/>
    <m/>
    <m/>
    <m/>
  </r>
  <r>
    <x v="1"/>
    <x v="8"/>
    <s v=" "/>
    <m/>
    <m/>
    <x v="1"/>
    <m/>
    <m/>
    <m/>
    <m/>
  </r>
  <r>
    <x v="1"/>
    <x v="8"/>
    <s v="group "/>
    <s v=" "/>
    <s v=" mean of mean fluo "/>
    <x v="2"/>
    <s v=" mean of total fluo "/>
    <s v=" SD total fluo "/>
    <s v=" n fluorescent "/>
    <s v=" n total"/>
  </r>
  <r>
    <x v="8"/>
    <x v="9"/>
    <s v="F:\images\20210304\plaque 1/@08 Testosterone 3.7 µg_L/ "/>
    <s v=" "/>
    <s v=" 64.9113 "/>
    <x v="10"/>
    <s v=" 109687.042 "/>
    <s v=" 125494.58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9"/>
    <x v="0"/>
    <s v="F:\images\20210304\plaque 1/@09  Testosterone 11 µg_L/A9_01.tif "/>
    <s v=" 6078.0004 "/>
    <s v=" 64.5694 "/>
    <x v="0"/>
    <n v="392453"/>
    <m/>
    <m/>
    <m/>
  </r>
  <r>
    <x v="9"/>
    <x v="0"/>
    <s v="F:\images\20210304\plaque 1/@09  Testosterone 11 µg_L/A9_02.tif "/>
    <s v=" 7635.3528 "/>
    <s v=" 65.949 "/>
    <x v="0"/>
    <n v="503544"/>
    <m/>
    <m/>
    <m/>
  </r>
  <r>
    <x v="9"/>
    <x v="0"/>
    <s v="F:\images\20210304\plaque 1/@09  Testosterone 11 µg_L/A9_03.tif "/>
    <s v=" 6813.4168 "/>
    <s v=" 66.2508 "/>
    <x v="0"/>
    <n v="451394"/>
    <m/>
    <m/>
    <m/>
  </r>
  <r>
    <x v="9"/>
    <x v="1"/>
    <s v="F:\images\20210304\plaque 1/@09  Testosterone 11 µg_L/B9_01.tif "/>
    <s v=" 389.3381 "/>
    <s v=" 63.6111 "/>
    <x v="0"/>
    <n v="24766"/>
    <m/>
    <m/>
    <m/>
  </r>
  <r>
    <x v="9"/>
    <x v="1"/>
    <s v="F:\images\20210304\plaque 1/@09  Testosterone 11 µg_L/B9_02.tif "/>
    <s v=" 1211.2741 "/>
    <s v=" 63.625 "/>
    <x v="0"/>
    <n v="77067"/>
    <m/>
    <m/>
    <m/>
  </r>
  <r>
    <x v="9"/>
    <x v="1"/>
    <s v="F:\images\20210304\plaque 1/@09  Testosterone 11 µg_L/B9_03.tif "/>
    <s v=" 237.9288 "/>
    <s v=" 63.6364 "/>
    <x v="0"/>
    <n v="15141"/>
    <m/>
    <m/>
    <m/>
  </r>
  <r>
    <x v="9"/>
    <x v="2"/>
    <s v="F:\images\20210304\plaque 1/@09  Testosterone 11 µg_L/C9_01.tif "/>
    <s v=" 3157.9646 "/>
    <s v=" 63.5479 "/>
    <x v="0"/>
    <n v="200682"/>
    <m/>
    <m/>
    <m/>
  </r>
  <r>
    <x v="9"/>
    <x v="2"/>
    <s v="F:\images\20210304\plaque 1/@09  Testosterone 11 µg_L/C9_02.tif "/>
    <s v=" 2444.1781 "/>
    <s v=" 63.7168 "/>
    <x v="0"/>
    <n v="155735"/>
    <m/>
    <m/>
    <m/>
  </r>
  <r>
    <x v="9"/>
    <x v="2"/>
    <s v="F:\images\20210304\plaque 1/@09  Testosterone 11 µg_L/C9_03.tif "/>
    <s v=" 2336.0286 "/>
    <s v=" 63.4722 "/>
    <x v="0"/>
    <n v="148273"/>
    <m/>
    <m/>
    <m/>
  </r>
  <r>
    <x v="9"/>
    <x v="3"/>
    <s v="F:\images\20210304\plaque 1/@09  Testosterone 11 µg_L/D9_01.tif "/>
    <s v=" 2314.3987 "/>
    <s v=" 67.6729 "/>
    <x v="0"/>
    <n v="156622"/>
    <m/>
    <m/>
    <m/>
  </r>
  <r>
    <x v="9"/>
    <x v="3"/>
    <s v="F:\images\20210304\plaque 1/@09  Testosterone 11 µg_L/D9_02- exclu.tif"/>
    <m/>
    <m/>
    <x v="1"/>
    <m/>
    <m/>
    <m/>
    <m/>
  </r>
  <r>
    <x v="9"/>
    <x v="3"/>
    <s v="F:\images\20210304\plaque 1/@09  Testosterone 11 µg_L/D9_03.tif "/>
    <s v=" 129.7794 "/>
    <s v=" 64.5 "/>
    <x v="0"/>
    <n v="8371"/>
    <m/>
    <m/>
    <m/>
  </r>
  <r>
    <x v="9"/>
    <x v="4"/>
    <s v="F:\images\20210304\plaque 1/@09  Testosterone 11 µg_L/E9_01.tif "/>
    <s v=" 2033.2101 "/>
    <s v=" 66.1915 "/>
    <x v="0"/>
    <n v="134581"/>
    <m/>
    <m/>
    <m/>
  </r>
  <r>
    <x v="9"/>
    <x v="4"/>
    <s v="F:\images\20210304\plaque 1/@09  Testosterone 11 µg_L/E9_02.tif "/>
    <s v=" 2552.3276 "/>
    <s v=" 64.9492 "/>
    <x v="0"/>
    <n v="165772"/>
    <m/>
    <m/>
    <m/>
  </r>
  <r>
    <x v="9"/>
    <x v="4"/>
    <s v="F:\images\20210304\plaque 1/@09  Testosterone 11 µg_L/E9_03.tif "/>
    <s v=" 562.3773 "/>
    <s v=" 63.3462 "/>
    <x v="0"/>
    <n v="35624"/>
    <m/>
    <m/>
    <m/>
  </r>
  <r>
    <x v="9"/>
    <x v="5"/>
    <s v="F:\images\20210304\plaque 1/@09  Testosterone 11 µg_L/F9_01.tif "/>
    <s v=" 735.4164 "/>
    <s v=" 62.4706 "/>
    <x v="0"/>
    <n v="45942"/>
    <m/>
    <m/>
    <m/>
  </r>
  <r>
    <x v="9"/>
    <x v="5"/>
    <s v="F:\images\20210304\plaque 1/@09  Testosterone 11 µg_L/F9_02- exclu.tif"/>
    <m/>
    <m/>
    <x v="1"/>
    <m/>
    <m/>
    <m/>
    <m/>
  </r>
  <r>
    <x v="9"/>
    <x v="5"/>
    <s v="F:\images\20210304\plaque 1/@09  Testosterone 11 µg_L/F9_03.tif "/>
    <s v=" 454.2278 "/>
    <s v=" 62.7143 "/>
    <x v="0"/>
    <n v="28487"/>
    <m/>
    <m/>
    <m/>
  </r>
  <r>
    <x v="9"/>
    <x v="6"/>
    <s v="F:\images\20210304\plaque 1/@09  Testosterone 11 µg_L/G9_01.tif "/>
    <s v=" 2400.9183 "/>
    <s v=" 64.4775 "/>
    <x v="0"/>
    <n v="154805"/>
    <m/>
    <m/>
    <m/>
  </r>
  <r>
    <x v="9"/>
    <x v="6"/>
    <s v="F:\images\20210304\plaque 1/@09  Testosterone 11 µg_L/G9_02- exclu.tif"/>
    <m/>
    <m/>
    <x v="1"/>
    <m/>
    <m/>
    <m/>
    <m/>
  </r>
  <r>
    <x v="9"/>
    <x v="6"/>
    <s v="F:\images\20210304\plaque 1/@09  Testosterone 11 µg_L/G9_03.tif "/>
    <s v=" 454.2278 "/>
    <s v=" 62.0952 "/>
    <x v="0"/>
    <n v="28205"/>
    <m/>
    <m/>
    <m/>
  </r>
  <r>
    <x v="9"/>
    <x v="7"/>
    <s v="F:\images\20210304\plaque 1/@09  Testosterone 11 µg_L/H9_01- exclu.tif"/>
    <m/>
    <m/>
    <x v="1"/>
    <m/>
    <m/>
    <m/>
    <m/>
  </r>
  <r>
    <x v="9"/>
    <x v="7"/>
    <s v="F:\images\20210304\plaque 1/@09  Testosterone 11 µg_L/H9_02- exclu.tif"/>
    <m/>
    <m/>
    <x v="1"/>
    <m/>
    <m/>
    <m/>
    <m/>
  </r>
  <r>
    <x v="9"/>
    <x v="7"/>
    <s v="F:\images\20210304\plaque 1/@09  Testosterone 11 µg_L/H9_03.tif "/>
    <s v=" 410.968 "/>
    <s v=" 63.6842 "/>
    <x v="0"/>
    <n v="26172"/>
    <m/>
    <m/>
    <m/>
  </r>
  <r>
    <x v="1"/>
    <x v="8"/>
    <s v=" "/>
    <m/>
    <m/>
    <x v="1"/>
    <m/>
    <m/>
    <m/>
    <m/>
  </r>
  <r>
    <x v="1"/>
    <x v="8"/>
    <s v="group "/>
    <s v=" "/>
    <s v=" mean of mean fluo "/>
    <x v="2"/>
    <s v=" mean of total fluo "/>
    <s v=" SD total fluo "/>
    <s v=" n fluorescent "/>
    <s v=" n total"/>
  </r>
  <r>
    <x v="9"/>
    <x v="9"/>
    <s v="F:\images\20210304\plaque 1/@09  Testosterone 11 µg_L/ "/>
    <s v=" "/>
    <s v=" 64.2621 "/>
    <x v="11"/>
    <s v=" 139684.917 "/>
    <s v=" 137729.22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0"/>
    <x v="0"/>
    <s v="F:\images\20210304\plaque 1/@10  Testosterone 33 µg_L/A10_01.tif "/>
    <s v=" 5991.4808 "/>
    <s v=" 70.3682 "/>
    <x v="0"/>
    <n v="421610"/>
    <m/>
    <m/>
    <m/>
  </r>
  <r>
    <x v="10"/>
    <x v="0"/>
    <s v="F:\images\20210304\plaque 1/@10  Testosterone 33 µg_L/A10_02.tif "/>
    <s v=" 4974.8758 "/>
    <s v=" 66.6957 "/>
    <x v="0"/>
    <n v="331803"/>
    <m/>
    <m/>
    <m/>
  </r>
  <r>
    <x v="10"/>
    <x v="0"/>
    <s v="F:\images\20210304\plaque 1/@10  Testosterone 33 µg_L/A10_03.tif "/>
    <s v=" 4996.5057 "/>
    <s v=" 68.3117 "/>
    <x v="0"/>
    <n v="341320"/>
    <m/>
    <m/>
    <m/>
  </r>
  <r>
    <x v="10"/>
    <x v="1"/>
    <s v="F:\images\20210304\plaque 1/@10  Testosterone 33 µg_L/B10_01.tif "/>
    <s v=" 46785.4621 "/>
    <s v=" 75.7513 "/>
    <x v="0"/>
    <n v="3544058"/>
    <m/>
    <m/>
    <m/>
  </r>
  <r>
    <x v="10"/>
    <x v="1"/>
    <s v="F:\images\20210304\plaque 1/@10  Testosterone 33 µg_L/B10_02.tif "/>
    <s v=" 50786.9926 "/>
    <s v=" 77.4536 "/>
    <x v="0"/>
    <n v="3933634"/>
    <m/>
    <m/>
    <m/>
  </r>
  <r>
    <x v="10"/>
    <x v="1"/>
    <s v="F:\images\20210304\plaque 1/@10  Testosterone 33 µg_L/B10_03.tif "/>
    <s v=" 47369.4692 "/>
    <s v=" 75.9543 "/>
    <x v="0"/>
    <n v="3597917"/>
    <m/>
    <m/>
    <m/>
  </r>
  <r>
    <x v="10"/>
    <x v="2"/>
    <s v="F:\images\20210304\plaque 1/@10  Testosterone 33 µg_L/C10_01.tif "/>
    <s v=" 51457.5193 "/>
    <s v=" 76.7327 "/>
    <x v="0"/>
    <n v="3948472"/>
    <m/>
    <m/>
    <m/>
  </r>
  <r>
    <x v="10"/>
    <x v="2"/>
    <s v="F:\images\20210304\plaque 1/@10  Testosterone 33 µg_L/C10_02.tif "/>
    <s v=" 43065.1202 "/>
    <s v=" 76.1748 "/>
    <x v="0"/>
    <n v="3280476"/>
    <m/>
    <m/>
    <m/>
  </r>
  <r>
    <x v="10"/>
    <x v="2"/>
    <s v="F:\images\20210304\plaque 1/@10  Testosterone 33 µg_L/C10_03.tif "/>
    <s v=" 49316.1598 "/>
    <s v=" 75.111 "/>
    <x v="0"/>
    <n v="3704184"/>
    <m/>
    <m/>
    <m/>
  </r>
  <r>
    <x v="10"/>
    <x v="3"/>
    <s v="F:\images\20210304\plaque 1/@10  Testosterone 33 µg_L/D10_01.tif "/>
    <s v=" 42048.5152 "/>
    <s v=" 73.6173 "/>
    <x v="0"/>
    <n v="3095497"/>
    <m/>
    <m/>
    <m/>
  </r>
  <r>
    <x v="10"/>
    <x v="3"/>
    <s v="F:\images\20210304\plaque 1/@10  Testosterone 33 µg_L/D10_02.tif "/>
    <s v=" 41464.508 "/>
    <s v=" 70.9661 "/>
    <x v="0"/>
    <n v="2942574"/>
    <m/>
    <m/>
    <m/>
  </r>
  <r>
    <x v="10"/>
    <x v="3"/>
    <s v="F:\images\20210304\plaque 1/@10  Testosterone 33 µg_L/D10_03.tif "/>
    <s v=" 32228.543 "/>
    <s v=" 71.1919 "/>
    <x v="0"/>
    <n v="2294413"/>
    <m/>
    <m/>
    <m/>
  </r>
  <r>
    <x v="10"/>
    <x v="4"/>
    <s v="F:\images\20210304\plaque 1/@10  Testosterone 33 µg_L/E10_01.tif "/>
    <s v=" 59785.0288 "/>
    <s v=" 74.4305 "/>
    <x v="0"/>
    <n v="4449832"/>
    <m/>
    <m/>
    <m/>
  </r>
  <r>
    <x v="10"/>
    <x v="4"/>
    <s v="F:\images\20210304\plaque 1/@10  Testosterone 33 µg_L/E10_02.tif "/>
    <s v=" 54961.5623 "/>
    <s v=" 75.2109 "/>
    <x v="0"/>
    <n v="4133711"/>
    <m/>
    <m/>
    <m/>
  </r>
  <r>
    <x v="10"/>
    <x v="4"/>
    <s v="F:\images\20210304\plaque 1/@10  Testosterone 33 µg_L/E10_03.tif "/>
    <s v=" 49705.4979 "/>
    <s v=" 73.4669 "/>
    <x v="0"/>
    <n v="3651710"/>
    <m/>
    <m/>
    <m/>
  </r>
  <r>
    <x v="10"/>
    <x v="5"/>
    <s v="F:\images\20210304\plaque 1/@10  Testosterone 33 µg_L/F10_01.tif "/>
    <s v=" 908.4556 "/>
    <s v=" 63.5238 "/>
    <x v="0"/>
    <n v="57709"/>
    <m/>
    <m/>
    <m/>
  </r>
  <r>
    <x v="10"/>
    <x v="5"/>
    <s v="F:\images\20210304\plaque 1/@10  Testosterone 33 µg_L/F10_02.tif "/>
    <s v=" 3417.5234 "/>
    <s v=" 65.1013 "/>
    <x v="0"/>
    <n v="222485"/>
    <m/>
    <m/>
    <m/>
  </r>
  <r>
    <x v="10"/>
    <x v="5"/>
    <s v="F:\images\20210304\plaque 1/@10  Testosterone 33 µg_L/F10_03.tif "/>
    <s v=" 389.3381 "/>
    <s v=" 65.2778 "/>
    <x v="0"/>
    <n v="25415"/>
    <m/>
    <m/>
    <m/>
  </r>
  <r>
    <x v="10"/>
    <x v="6"/>
    <s v="F:\images\20210304\plaque 1/@10  Testosterone 33 µg_L/G10_01.tif "/>
    <s v=" 17130.8765 "/>
    <s v=" 66.0871 "/>
    <x v="0"/>
    <n v="1132130"/>
    <m/>
    <m/>
    <m/>
  </r>
  <r>
    <x v="10"/>
    <x v="6"/>
    <s v="F:\images\20210304\plaque 1/@10  Testosterone 33 µg_L/G10_02.tif "/>
    <s v=" 24182.2222 "/>
    <s v=" 72.3694 "/>
    <x v="0"/>
    <n v="1750053"/>
    <m/>
    <m/>
    <m/>
  </r>
  <r>
    <x v="10"/>
    <x v="6"/>
    <s v="F:\images\20210304\plaque 1/@10  Testosterone 33 µg_L/G10_03.tif "/>
    <s v=" 11031.2463 "/>
    <s v=" 64.6647 "/>
    <x v="0"/>
    <n v="713332"/>
    <m/>
    <m/>
    <m/>
  </r>
  <r>
    <x v="10"/>
    <x v="7"/>
    <s v="F:\images\20210304\plaque 1/@10  Testosterone 33 µg_L/H10_01.tif "/>
    <s v=" 18796.3784 "/>
    <s v=" 67.8423 "/>
    <x v="0"/>
    <n v="1275190"/>
    <m/>
    <m/>
    <m/>
  </r>
  <r>
    <x v="10"/>
    <x v="7"/>
    <s v="F:\images\20210304\plaque 1/@10  Testosterone 33 µg_L/H10_02.tif "/>
    <s v=" 17974.4424 "/>
    <s v=" 66.9747 "/>
    <x v="0"/>
    <n v="1203833"/>
    <m/>
    <m/>
    <m/>
  </r>
  <r>
    <x v="10"/>
    <x v="7"/>
    <s v="F:\images\20210304\plaque 1/@10  Testosterone 33 µg_L/H10_03.tif "/>
    <s v=" 8262.6197 "/>
    <s v=" 65.1099 "/>
    <x v="0"/>
    <n v="537979"/>
    <m/>
    <m/>
    <m/>
  </r>
  <r>
    <x v="1"/>
    <x v="8"/>
    <s v=" "/>
    <m/>
    <m/>
    <x v="1"/>
    <m/>
    <m/>
    <m/>
    <m/>
  </r>
  <r>
    <x v="1"/>
    <x v="8"/>
    <s v="group "/>
    <s v=" "/>
    <s v=" mean of mean fluo "/>
    <x v="2"/>
    <s v=" mean of total fluo "/>
    <s v=" SD total fluo "/>
    <s v=" n fluorescent "/>
    <s v=" n total"/>
  </r>
  <r>
    <x v="10"/>
    <x v="9"/>
    <s v="F:\images\20210304\plaque 1/@10  Testosterone 33 µg_L/ "/>
    <s v=" "/>
    <s v=" 70.7662 "/>
    <x v="12"/>
    <s v=" 2107889.04 "/>
    <s v=" 1571756.1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1"/>
    <x v="0"/>
    <s v="F:\images\20210304\plaque 1/@11  Testosterone 100 µg_L/A11_01.tif "/>
    <s v=" 47412.729 "/>
    <s v=" 76.6469 "/>
    <x v="0"/>
    <n v="3634039"/>
    <m/>
    <m/>
    <m/>
  </r>
  <r>
    <x v="11"/>
    <x v="0"/>
    <s v="F:\images\20210304\plaque 1/@11  Testosterone 100 µg_L/A11_02.tif "/>
    <s v=" 40469.5329 "/>
    <s v=" 72.7787 "/>
    <x v="0"/>
    <n v="2945321"/>
    <m/>
    <m/>
    <m/>
  </r>
  <r>
    <x v="11"/>
    <x v="0"/>
    <s v="F:\images\20210304\plaque 1/@11  Testosterone 100 µg_L/A11_03.tif "/>
    <s v=" 38111.8743 "/>
    <s v=" 71.5221 "/>
    <x v="0"/>
    <n v="2725843"/>
    <m/>
    <m/>
    <m/>
  </r>
  <r>
    <x v="11"/>
    <x v="1"/>
    <s v="F:\images\20210304\plaque 1/@11  Testosterone 100 µg_L/B11_01.tif "/>
    <s v=" 45941.8962 "/>
    <s v=" 77.9718 "/>
    <x v="0"/>
    <n v="3582170"/>
    <m/>
    <m/>
    <m/>
  </r>
  <r>
    <x v="11"/>
    <x v="1"/>
    <s v="F:\images\20210304\plaque 1/@11  Testosterone 100 µg_L/B11_02.tif "/>
    <s v=" 50397.6545 "/>
    <s v=" 75.0605 "/>
    <x v="0"/>
    <n v="3782874"/>
    <m/>
    <m/>
    <m/>
  </r>
  <r>
    <x v="11"/>
    <x v="1"/>
    <s v="F:\images\20210304\plaque 1/@11  Testosterone 100 µg_L/B11_03.tif "/>
    <s v=" 44535.953 "/>
    <s v=" 72.3487 "/>
    <x v="0"/>
    <n v="3222119"/>
    <m/>
    <m/>
    <m/>
  </r>
  <r>
    <x v="11"/>
    <x v="2"/>
    <s v="F:\images\20210304\plaque 1/@11  Testosterone 100 µg_L/C11_01.tif "/>
    <s v=" 46093.3055 "/>
    <s v=" 79.0638 "/>
    <x v="0"/>
    <n v="3644313"/>
    <m/>
    <m/>
    <m/>
  </r>
  <r>
    <x v="11"/>
    <x v="2"/>
    <s v="F:\images\20210304\plaque 1/@11  Testosterone 100 µg_L/C11_02.tif "/>
    <s v=" 43584.2377 "/>
    <s v=" 76.5876 "/>
    <x v="0"/>
    <n v="3338012"/>
    <m/>
    <m/>
    <m/>
  </r>
  <r>
    <x v="11"/>
    <x v="2"/>
    <s v="F:\images\20210304\plaque 1/@11  Testosterone 100 µg_L/C11_03.tif "/>
    <s v=" 46093.3055 "/>
    <s v=" 77.0685 "/>
    <x v="0"/>
    <n v="3552342"/>
    <m/>
    <m/>
    <m/>
  </r>
  <r>
    <x v="11"/>
    <x v="3"/>
    <s v="F:\images\20210304\plaque 1/@11  Testosterone 100 µg_L/D11_01.tif "/>
    <s v=" 22213.9018 "/>
    <s v=" 69.1723 "/>
    <x v="0"/>
    <n v="1536588"/>
    <m/>
    <m/>
    <m/>
  </r>
  <r>
    <x v="11"/>
    <x v="3"/>
    <s v="F:\images\20210304\plaque 1/@11  Testosterone 100 µg_L/D11_02.tif "/>
    <s v=" 23079.0976 "/>
    <s v=" 68.0141 "/>
    <x v="0"/>
    <n v="1569703"/>
    <m/>
    <m/>
    <m/>
  </r>
  <r>
    <x v="11"/>
    <x v="3"/>
    <s v="F:\images\20210304\plaque 1/@11  Testosterone 100 µg_L/D11_03.tif "/>
    <s v=" 19337.1258 "/>
    <s v=" 66.5425 "/>
    <x v="0"/>
    <n v="1286741"/>
    <m/>
    <m/>
    <m/>
  </r>
  <r>
    <x v="11"/>
    <x v="4"/>
    <s v="F:\images\20210304\plaque 1/@11  Testosterone 100 µg_L/E11_01.tif "/>
    <s v=" 55091.3416 "/>
    <s v=" 75.7813 "/>
    <x v="0"/>
    <n v="4174894"/>
    <m/>
    <m/>
    <m/>
  </r>
  <r>
    <x v="11"/>
    <x v="4"/>
    <s v="F:\images\20210304\plaque 1/@11  Testosterone 100 µg_L/E11_02.tif "/>
    <s v=" 43778.9067 "/>
    <s v=" 75.4926 "/>
    <x v="0"/>
    <n v="3304983"/>
    <m/>
    <m/>
    <m/>
  </r>
  <r>
    <x v="11"/>
    <x v="4"/>
    <s v="F:\images\20210304\plaque 1/@11  Testosterone 100 µg_L/E11_03.tif "/>
    <s v=" 44708.9922 "/>
    <s v=" 71.1422 "/>
    <x v="0"/>
    <n v="3180698"/>
    <m/>
    <m/>
    <m/>
  </r>
  <r>
    <x v="11"/>
    <x v="5"/>
    <s v="F:\images\20210304\plaque 1/@11  Testosterone 100 µg_L/F11_01.tif "/>
    <s v=" 37809.0558 "/>
    <s v=" 71.8227 "/>
    <x v="0"/>
    <n v="2715547"/>
    <m/>
    <m/>
    <m/>
  </r>
  <r>
    <x v="11"/>
    <x v="5"/>
    <s v="F:\images\20210304\plaque 1/@11  Testosterone 100 µg_L/F11_02.tif "/>
    <s v=" 35126.9489 "/>
    <s v=" 73.3972 "/>
    <x v="0"/>
    <n v="2578219"/>
    <m/>
    <m/>
    <m/>
  </r>
  <r>
    <x v="11"/>
    <x v="5"/>
    <s v="F:\images\20210304\plaque 1/@11  Testosterone 100 µg_L/F11_03.tif "/>
    <s v=" 32358.3224 "/>
    <s v=" 69.6437 "/>
    <x v="0"/>
    <n v="2253554"/>
    <m/>
    <m/>
    <m/>
  </r>
  <r>
    <x v="11"/>
    <x v="6"/>
    <s v="F:\images\20210304\plaque 1/@11  Testosterone 100 µg_L/G11_01.tif "/>
    <s v=" 54420.8149 "/>
    <s v=" 76.3319 "/>
    <x v="0"/>
    <n v="4154043"/>
    <m/>
    <m/>
    <m/>
  </r>
  <r>
    <x v="11"/>
    <x v="6"/>
    <s v="F:\images\20210304\plaque 1/@11  Testosterone 100 µg_L/G11_02.tif "/>
    <s v=" 48797.0423 "/>
    <s v=" 73.4619 "/>
    <x v="0"/>
    <n v="3584722"/>
    <m/>
    <m/>
    <m/>
  </r>
  <r>
    <x v="11"/>
    <x v="6"/>
    <s v="F:\images\20210304\plaque 1/@11  Testosterone 100 µg_L/G11_03.tif "/>
    <s v=" 46179.825 "/>
    <s v=" 68.8159 "/>
    <x v="0"/>
    <n v="3177907"/>
    <m/>
    <m/>
    <m/>
  </r>
  <r>
    <x v="11"/>
    <x v="7"/>
    <s v="F:\images\20210304\plaque 1/@11  Testosterone 100 µg_L/H11_01.tif "/>
    <s v=" 22278.7915 "/>
    <s v=" 68.4398 "/>
    <x v="0"/>
    <n v="1524756"/>
    <m/>
    <m/>
    <m/>
  </r>
  <r>
    <x v="11"/>
    <x v="7"/>
    <s v="F:\images\20210304\plaque 1/@11  Testosterone 100 µg_L/H11_02.tif "/>
    <s v=" 26539.8807 "/>
    <s v=" 75.6227 "/>
    <x v="0"/>
    <n v="2007016"/>
    <m/>
    <m/>
    <m/>
  </r>
  <r>
    <x v="11"/>
    <x v="7"/>
    <s v="F:\images\20210304\plaque 1/@11  Testosterone 100 µg_L/H11_03.tif "/>
    <s v=" 21478.4854 "/>
    <s v=" 68.1007 "/>
    <x v="0"/>
    <n v="1462700"/>
    <m/>
    <m/>
    <m/>
  </r>
  <r>
    <x v="1"/>
    <x v="8"/>
    <s v=" "/>
    <m/>
    <m/>
    <x v="1"/>
    <m/>
    <m/>
    <m/>
    <m/>
  </r>
  <r>
    <x v="1"/>
    <x v="8"/>
    <s v="group "/>
    <s v=" "/>
    <s v=" mean of mean fluo "/>
    <x v="2"/>
    <s v=" mean of total fluo "/>
    <s v=" SD total fluo "/>
    <s v=" n fluorescent "/>
    <s v=" n total"/>
  </r>
  <r>
    <x v="11"/>
    <x v="9"/>
    <s v="F:\images\20210304\plaque 1/@11  Testosterone 100 µg_L/ "/>
    <s v=" "/>
    <s v=" 72.9513 "/>
    <x v="13"/>
    <s v=" 2872462.67 "/>
    <s v=" 899300.18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2"/>
    <x v="0"/>
    <s v="F:\images\20210304\plaque 1/@12  Testosterone 300 µg_L/A12_01.tif "/>
    <s v=" 16503.6096 "/>
    <s v=" 67.8545 "/>
    <x v="0"/>
    <n v="1119845"/>
    <m/>
    <m/>
    <m/>
  </r>
  <r>
    <x v="12"/>
    <x v="0"/>
    <s v="F:\images\20210304\plaque 1/@12  Testosterone 300 µg_L/A12_02.tif "/>
    <s v=" 18212.3713 "/>
    <s v=" 68.9086 "/>
    <x v="0"/>
    <n v="1254988"/>
    <m/>
    <m/>
    <m/>
  </r>
  <r>
    <x v="12"/>
    <x v="0"/>
    <s v="F:\images\20210304\plaque 1/@12  Testosterone 300 µg_L/A12_03.tif "/>
    <s v=" 15270.7056 "/>
    <s v=" 67.8839 "/>
    <x v="0"/>
    <n v="1036634"/>
    <m/>
    <m/>
    <m/>
  </r>
  <r>
    <x v="12"/>
    <x v="1"/>
    <s v="F:\images\20210304\plaque 1/@12  Testosterone 300 µg_L/B12_01.tif "/>
    <s v=" 53274.4305 "/>
    <s v=" 77.4803 "/>
    <x v="0"/>
    <n v="4127719"/>
    <m/>
    <m/>
    <m/>
  </r>
  <r>
    <x v="12"/>
    <x v="1"/>
    <s v="F:\images\20210304\plaque 1/@12  Testosterone 300 µg_L/B12_02.tif "/>
    <s v=" 56302.6157 "/>
    <s v=" 78.1414 "/>
    <x v="0"/>
    <n v="4399564"/>
    <m/>
    <m/>
    <m/>
  </r>
  <r>
    <x v="12"/>
    <x v="1"/>
    <s v="F:\images\20210304\plaque 1/@12  Testosterone 300 µg_L/B12_03.tif "/>
    <s v=" 45119.9602 "/>
    <s v=" 75.6779 "/>
    <x v="0"/>
    <n v="3414582"/>
    <m/>
    <m/>
    <m/>
  </r>
  <r>
    <x v="12"/>
    <x v="2"/>
    <s v="F:\images\20210304\plaque 1/@12  Testosterone 300 µg_L/C12_01.tif "/>
    <s v=" 38868.9206 "/>
    <s v=" 71.2276 "/>
    <x v="0"/>
    <n v="2768540"/>
    <m/>
    <m/>
    <m/>
  </r>
  <r>
    <x v="12"/>
    <x v="2"/>
    <s v="F:\images\20210304\plaque 1/@12  Testosterone 300 µg_L/C12_02.tif "/>
    <s v=" 36251.7034 "/>
    <s v=" 70.0919 "/>
    <x v="0"/>
    <n v="2540950"/>
    <m/>
    <m/>
    <m/>
  </r>
  <r>
    <x v="12"/>
    <x v="2"/>
    <s v="F:\images\20210304\plaque 1/@12  Testosterone 300 µg_L/C12_03.tif "/>
    <s v=" 28702.8702 "/>
    <s v=" 68.8402 "/>
    <x v="0"/>
    <n v="1975913"/>
    <m/>
    <m/>
    <m/>
  </r>
  <r>
    <x v="12"/>
    <x v="3"/>
    <s v="F:\images\20210304\plaque 1/@12  Testosterone 300 µg_L/D12_01.tif "/>
    <s v=" 66209.1075 "/>
    <s v=" 72.7893 "/>
    <x v="0"/>
    <n v="4819314"/>
    <m/>
    <m/>
    <m/>
  </r>
  <r>
    <x v="12"/>
    <x v="3"/>
    <s v="F:\images\20210304\plaque 1/@12  Testosterone 300 µg_L/D12_02.tif "/>
    <s v=" 70794.6451 "/>
    <s v=" 73.3645 "/>
    <x v="0"/>
    <n v="5193814"/>
    <m/>
    <m/>
    <m/>
  </r>
  <r>
    <x v="12"/>
    <x v="3"/>
    <s v="F:\images\20210304\plaque 1/@12  Testosterone 300 µg_L/D12_03.tif "/>
    <s v=" 62121.0574 "/>
    <s v=" 70.9377 "/>
    <x v="0"/>
    <n v="4406723"/>
    <m/>
    <m/>
    <m/>
  </r>
  <r>
    <x v="12"/>
    <x v="4"/>
    <s v="F:\images\20210304\plaque 1/@12  Testosterone 300 µg_L/E12_01.tif "/>
    <s v=" 25544.9056 "/>
    <s v=" 70.3963 "/>
    <x v="0"/>
    <n v="1798266"/>
    <m/>
    <m/>
    <m/>
  </r>
  <r>
    <x v="12"/>
    <x v="4"/>
    <s v="F:\images\20210304\plaque 1/@12  Testosterone 300 µg_L/E12_02.tif "/>
    <s v=" 26258.6921 "/>
    <s v=" 70.4662 "/>
    <x v="0"/>
    <n v="1850351"/>
    <m/>
    <m/>
    <m/>
  </r>
  <r>
    <x v="12"/>
    <x v="4"/>
    <s v="F:\images\20210304\plaque 1/@12  Testosterone 300 µg_L/E12_03.tif "/>
    <s v=" 20656.5494 "/>
    <s v=" 69.6419 "/>
    <x v="0"/>
    <n v="1438561"/>
    <m/>
    <m/>
    <m/>
  </r>
  <r>
    <x v="12"/>
    <x v="5"/>
    <s v="F:\images\20210304\plaque 1/@12  Testosterone 300 µg_L/F12_01.tif "/>
    <s v=" 26496.6209 "/>
    <s v=" 69.5837 "/>
    <x v="0"/>
    <n v="1843732"/>
    <m/>
    <m/>
    <m/>
  </r>
  <r>
    <x v="12"/>
    <x v="5"/>
    <s v="F:\images\20210304\plaque 1/@12  Testosterone 300 µg_L/F12_02.tif "/>
    <s v=" 25177.1973 "/>
    <s v=" 69.9218 "/>
    <x v="0"/>
    <n v="1760435"/>
    <m/>
    <m/>
    <m/>
  </r>
  <r>
    <x v="12"/>
    <x v="5"/>
    <s v="F:\images\20210304\plaque 1/@12  Testosterone 300 µg_L/F12_03.tif "/>
    <s v=" 22105.7523 "/>
    <s v=" 66.9237 "/>
    <x v="0"/>
    <n v="1479398"/>
    <m/>
    <m/>
    <m/>
  </r>
  <r>
    <x v="12"/>
    <x v="6"/>
    <s v="F:\images\20210304\plaque 1/@12  Testosterone 300 µg_L/G12_01.tif "/>
    <s v=" 26539.8807 "/>
    <s v=" 74.057 "/>
    <x v="0"/>
    <n v="1965465"/>
    <m/>
    <m/>
    <m/>
  </r>
  <r>
    <x v="12"/>
    <x v="6"/>
    <s v="F:\images\20210304\plaque 1/@12  Testosterone 300 µg_L/G12_02.tif "/>
    <s v=" 28637.9805 "/>
    <s v=" 71.247 "/>
    <x v="0"/>
    <n v="2040370"/>
    <m/>
    <m/>
    <m/>
  </r>
  <r>
    <x v="12"/>
    <x v="6"/>
    <s v="F:\images\20210304\plaque 1/@12  Testosterone 300 µg_L/G12_03.tif "/>
    <s v=" 25306.9767 "/>
    <s v=" 68.6641 "/>
    <x v="0"/>
    <n v="1737681"/>
    <m/>
    <m/>
    <m/>
  </r>
  <r>
    <x v="12"/>
    <x v="7"/>
    <s v="F:\images\20210304\plaque 1/@12  Testosterone 300 µg_L/H12_01.tif "/>
    <s v=" 46071.6756 "/>
    <s v=" 77.4789 "/>
    <x v="0"/>
    <n v="3569582"/>
    <m/>
    <m/>
    <m/>
  </r>
  <r>
    <x v="12"/>
    <x v="7"/>
    <s v="F:\images\20210304\plaque 1/@12  Testosterone 300 µg_L/H12_02- exclu.tif"/>
    <m/>
    <m/>
    <x v="1"/>
    <m/>
    <m/>
    <m/>
    <m/>
  </r>
  <r>
    <x v="12"/>
    <x v="7"/>
    <s v="F:\images\20210304\plaque 1/@12  Testosterone 300 µg_L/H12_03.tif "/>
    <s v=" 38111.8743 "/>
    <s v=" 68.2571 "/>
    <x v="0"/>
    <n v="2601406"/>
    <m/>
    <m/>
    <m/>
  </r>
  <r>
    <x v="1"/>
    <x v="8"/>
    <s v=" "/>
    <m/>
    <m/>
    <x v="1"/>
    <m/>
    <m/>
    <m/>
    <m/>
  </r>
  <r>
    <x v="1"/>
    <x v="8"/>
    <s v="group "/>
    <s v=" "/>
    <s v=" mean of mean fluo "/>
    <x v="2"/>
    <s v=" mean of total fluo "/>
    <s v=" SD total fluo "/>
    <s v=" n fluorescent "/>
    <s v=" n total"/>
  </r>
  <r>
    <x v="12"/>
    <x v="9"/>
    <s v="F:\images\20210304\plaque 1/@12  Testosterone 300 µg_L/ "/>
    <s v=" "/>
    <s v=" 71.4886 "/>
    <x v="14"/>
    <s v=" 2587028.25 "/>
    <s v=" 1244455.8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3"/>
    <x v="0"/>
    <s v="F:\images\20210304\plaque 2/@01 Testo 30/A1_01.tif "/>
    <s v=" 43843.7964 "/>
    <s v=" 67.7731 "/>
    <x v="0"/>
    <n v="2971428"/>
    <m/>
    <m/>
    <m/>
  </r>
  <r>
    <x v="13"/>
    <x v="0"/>
    <s v="F:\images\20210304\plaque 2/@01 Testo 30/A1_02.tif "/>
    <s v=" 52993.2418 "/>
    <s v=" 69.0176 "/>
    <x v="0"/>
    <n v="3657464"/>
    <m/>
    <m/>
    <m/>
  </r>
  <r>
    <x v="13"/>
    <x v="0"/>
    <s v="F:\images\20210304\plaque 2/@01 Testo 30/A1_03.tif "/>
    <s v=" 48018.3661 "/>
    <s v=" 68.6495 "/>
    <x v="0"/>
    <n v="3296439"/>
    <m/>
    <m/>
    <m/>
  </r>
  <r>
    <x v="13"/>
    <x v="1"/>
    <s v="F:\images\20210304\plaque 2/@01 Testo 30/B1_01.tif "/>
    <s v=" 1081.4947 "/>
    <s v=" 64.72 "/>
    <x v="0"/>
    <n v="69994"/>
    <m/>
    <m/>
    <m/>
  </r>
  <r>
    <x v="13"/>
    <x v="1"/>
    <s v="F:\images\20210304\plaque 2/@01 Testo 30/B1_02.tif "/>
    <s v=" 1946.6905 "/>
    <s v=" 64.4333 "/>
    <x v="0"/>
    <n v="125432"/>
    <m/>
    <m/>
    <m/>
  </r>
  <r>
    <x v="13"/>
    <x v="1"/>
    <s v="F:\images\20210304\plaque 2/@01 Testo 30/B1_03- exclu.tif"/>
    <m/>
    <m/>
    <x v="1"/>
    <m/>
    <m/>
    <m/>
    <m/>
  </r>
  <r>
    <x v="13"/>
    <x v="2"/>
    <s v="F:\images\20210304\plaque 2/@01 Testo 30/C1_01.tif "/>
    <s v=" 39863.8958 "/>
    <s v=" 71.3619 "/>
    <x v="0"/>
    <n v="2844764"/>
    <m/>
    <m/>
    <m/>
  </r>
  <r>
    <x v="13"/>
    <x v="2"/>
    <s v="F:\images\20210304\plaque 2/@01 Testo 30/C1_02.tif "/>
    <s v=" 38674.2516 "/>
    <s v=" 71.2992 "/>
    <x v="0"/>
    <n v="2757444"/>
    <m/>
    <m/>
    <m/>
  </r>
  <r>
    <x v="13"/>
    <x v="2"/>
    <s v="F:\images\20210304\plaque 2/@01 Testo 30/C1_03.tif "/>
    <s v=" 38630.9918 "/>
    <s v=" 71.3035 "/>
    <x v="0"/>
    <n v="2754524"/>
    <m/>
    <m/>
    <m/>
  </r>
  <r>
    <x v="13"/>
    <x v="3"/>
    <s v="F:\images\20210304\plaque 2/@01 Testo 30/D1_01.tif "/>
    <s v=" 47412.729 "/>
    <s v=" 74.7933 "/>
    <x v="0"/>
    <n v="3546156"/>
    <m/>
    <m/>
    <m/>
  </r>
  <r>
    <x v="13"/>
    <x v="3"/>
    <s v="F:\images\20210304\plaque 2/@01 Testo 30/D1_02.tif "/>
    <s v=" 55350.9004 "/>
    <s v=" 75.4873 "/>
    <x v="0"/>
    <n v="4178290"/>
    <m/>
    <m/>
    <m/>
  </r>
  <r>
    <x v="13"/>
    <x v="3"/>
    <s v="F:\images\20210304\plaque 2/@01 Testo 30/D1_03.tif "/>
    <s v=" 50505.804 "/>
    <s v=" 76.2895 "/>
    <x v="0"/>
    <n v="3853063"/>
    <m/>
    <m/>
    <m/>
  </r>
  <r>
    <x v="13"/>
    <x v="4"/>
    <s v="F:\images\20210304\plaque 2/@01 Testo 30/E1_01.tif "/>
    <s v=" 35862.3653 "/>
    <s v=" 75.1647 "/>
    <x v="0"/>
    <n v="2695582"/>
    <m/>
    <m/>
    <m/>
  </r>
  <r>
    <x v="13"/>
    <x v="4"/>
    <s v="F:\images\20210304\plaque 2/@01 Testo 30/E1_02.tif "/>
    <s v=" 33310.0377 "/>
    <s v=" 72.1019 "/>
    <x v="0"/>
    <n v="2401719"/>
    <m/>
    <m/>
    <m/>
  </r>
  <r>
    <x v="13"/>
    <x v="4"/>
    <s v="F:\images\20210304\plaque 2/@01 Testo 30/E1_03.tif "/>
    <s v=" 32747.6605 "/>
    <s v=" 72.6757 "/>
    <x v="0"/>
    <n v="2379959"/>
    <m/>
    <m/>
    <m/>
  </r>
  <r>
    <x v="13"/>
    <x v="5"/>
    <s v="F:\images\20210304\plaque 2/@01 Testo 30/F1_01.tif "/>
    <s v=" 40015.3051 "/>
    <s v=" 70.8481 "/>
    <x v="0"/>
    <n v="2835009"/>
    <m/>
    <m/>
    <m/>
  </r>
  <r>
    <x v="13"/>
    <x v="5"/>
    <s v="F:\images\20210304\plaque 2/@01 Testo 30/F1_02.tif "/>
    <s v=" 40620.9421 "/>
    <s v=" 69.9334 "/>
    <x v="0"/>
    <n v="2840762"/>
    <m/>
    <m/>
    <m/>
  </r>
  <r>
    <x v="13"/>
    <x v="5"/>
    <s v="F:\images\20210304\plaque 2/@01 Testo 30/F1_03.tif "/>
    <s v=" 30087.1834 "/>
    <s v=" 69.2782 "/>
    <x v="0"/>
    <n v="2084386"/>
    <m/>
    <m/>
    <m/>
  </r>
  <r>
    <x v="13"/>
    <x v="6"/>
    <s v="F:\images\20210304\plaque 2/@01 Testo 30/G1_01.tif "/>
    <s v=" 24658.0799 "/>
    <s v=" 67.6921 "/>
    <x v="0"/>
    <n v="1669157"/>
    <m/>
    <m/>
    <m/>
  </r>
  <r>
    <x v="13"/>
    <x v="6"/>
    <s v="F:\images\20210304\plaque 2/@01 Testo 30/G1_02.tif "/>
    <s v=" 28075.6032 "/>
    <s v=" 67.1086 "/>
    <x v="0"/>
    <n v="1884115"/>
    <m/>
    <m/>
    <m/>
  </r>
  <r>
    <x v="13"/>
    <x v="6"/>
    <s v="F:\images\20210304\plaque 2/@01 Testo 30/G1_03.tif "/>
    <s v=" 24052.4428 "/>
    <s v=" 66.7833 "/>
    <x v="0"/>
    <n v="1606301"/>
    <m/>
    <m/>
    <m/>
  </r>
  <r>
    <x v="13"/>
    <x v="7"/>
    <s v="F:\images\20210304\plaque 2/@01 Testo 30/H1_01.tif "/>
    <s v=" 9214.3351 "/>
    <s v=" 66.8404 "/>
    <x v="0"/>
    <n v="615890"/>
    <m/>
    <m/>
    <m/>
  </r>
  <r>
    <x v="13"/>
    <x v="7"/>
    <s v="F:\images\20210304\plaque 2/@01 Testo 30/H1_02.tif "/>
    <s v=" 11442.2143 "/>
    <s v=" 68.0227 "/>
    <x v="0"/>
    <n v="778330"/>
    <m/>
    <m/>
    <m/>
  </r>
  <r>
    <x v="13"/>
    <x v="7"/>
    <s v="F:\images\20210304\plaque 2/@01 Testo 30/H1_03.tif "/>
    <s v=" 4261.0892 "/>
    <s v=" 63.3503 "/>
    <x v="0"/>
    <n v="269941"/>
    <m/>
    <m/>
    <m/>
  </r>
  <r>
    <x v="1"/>
    <x v="8"/>
    <s v=" "/>
    <m/>
    <m/>
    <x v="1"/>
    <m/>
    <m/>
    <m/>
    <m/>
  </r>
  <r>
    <x v="1"/>
    <x v="8"/>
    <s v="group "/>
    <s v=" "/>
    <s v=" mean of mean fluo "/>
    <x v="2"/>
    <s v=" mean of total fluo "/>
    <s v=" SD total fluo "/>
    <s v=" n fluorescent "/>
    <s v=" n total"/>
  </r>
  <r>
    <x v="13"/>
    <x v="9"/>
    <s v="F:\images\20210304\plaque 2/@01 Testo 30/ "/>
    <s v=" "/>
    <s v=" 69.5618 "/>
    <x v="15"/>
    <s v=" 2178720.67 "/>
    <s v=" 1259527.8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4"/>
    <x v="0"/>
    <s v="F:\images\20210304\plaque 2/@02 Testo 30/A2_01.tif "/>
    <s v=" 56843.3631 "/>
    <s v=" 72.2386 "/>
    <x v="0"/>
    <n v="4106284"/>
    <m/>
    <m/>
    <m/>
  </r>
  <r>
    <x v="14"/>
    <x v="0"/>
    <s v="F:\images\20210304\plaque 2/@02 Testo 30/A2_02.tif "/>
    <s v=" 65949.5487 "/>
    <s v=" 76.307 "/>
    <x v="0"/>
    <n v="5032411"/>
    <m/>
    <m/>
    <m/>
  </r>
  <r>
    <x v="14"/>
    <x v="0"/>
    <s v="F:\images\20210304\plaque 2/@02 Testo 30/A2_03.tif "/>
    <s v=" 61385.641 "/>
    <s v=" 73.753 "/>
    <x v="0"/>
    <n v="4527375"/>
    <m/>
    <m/>
    <m/>
  </r>
  <r>
    <x v="14"/>
    <x v="1"/>
    <s v="F:\images\20210304\plaque 2/@02 Testo 30/B2_01.tif "/>
    <s v=" 13215.8656 "/>
    <s v=" 65.6105 "/>
    <x v="0"/>
    <n v="867099"/>
    <m/>
    <m/>
    <m/>
  </r>
  <r>
    <x v="14"/>
    <x v="1"/>
    <s v="F:\images\20210304\plaque 2/@02 Testo 30/B2_02.tif "/>
    <s v=" 12761.6378 "/>
    <s v=" 68.2746 "/>
    <x v="0"/>
    <n v="871295"/>
    <m/>
    <m/>
    <m/>
  </r>
  <r>
    <x v="14"/>
    <x v="1"/>
    <s v="F:\images\20210304\plaque 2/@02 Testo 30/B2_03.tif "/>
    <s v=" 13064.4564 "/>
    <s v=" 67.3063 "/>
    <x v="0"/>
    <n v="879320"/>
    <m/>
    <m/>
    <m/>
  </r>
  <r>
    <x v="14"/>
    <x v="2"/>
    <s v="F:\images\20210304\plaque 2/@02 Testo 30/C2_01.tif "/>
    <s v=" 25220.4571 "/>
    <s v=" 70.6441 "/>
    <x v="0"/>
    <n v="1781676"/>
    <m/>
    <m/>
    <m/>
  </r>
  <r>
    <x v="14"/>
    <x v="2"/>
    <s v="F:\images\20210304\plaque 2/@02 Testo 30/C2_02.tif "/>
    <s v=" 29373.3969 "/>
    <s v=" 71.7275 "/>
    <x v="0"/>
    <n v="2106882"/>
    <m/>
    <m/>
    <m/>
  </r>
  <r>
    <x v="14"/>
    <x v="2"/>
    <s v="F:\images\20210304\plaque 2/@02 Testo 30/C2_03.tif "/>
    <s v=" 26193.8024 "/>
    <s v=" 70.5145 "/>
    <x v="0"/>
    <n v="1847042"/>
    <m/>
    <m/>
    <m/>
  </r>
  <r>
    <x v="14"/>
    <x v="3"/>
    <s v="F:\images\20210304\plaque 2/@02 Testo 30/D2_01.tif "/>
    <s v=" 48580.7433 "/>
    <s v=" 76.2622 "/>
    <x v="0"/>
    <n v="3704877"/>
    <m/>
    <m/>
    <m/>
  </r>
  <r>
    <x v="14"/>
    <x v="3"/>
    <s v="F:\images\20210304\plaque 2/@02 Testo 30/D2_02.tif "/>
    <s v=" 50029.9463 "/>
    <s v=" 76.7302 "/>
    <x v="0"/>
    <n v="3838809"/>
    <m/>
    <m/>
    <m/>
  </r>
  <r>
    <x v="14"/>
    <x v="3"/>
    <s v="F:\images\20210304\plaque 2/@02 Testo 30/D2_03.tif "/>
    <s v=" 48559.1134 "/>
    <s v=" 75.3189 "/>
    <x v="0"/>
    <n v="3657421"/>
    <m/>
    <m/>
    <m/>
  </r>
  <r>
    <x v="14"/>
    <x v="4"/>
    <s v="F:\images\20210304\plaque 2/@02 Testo 30/E2_01.tif "/>
    <s v=" 367.7082 "/>
    <s v=" 63.2941 "/>
    <x v="0"/>
    <n v="23274"/>
    <m/>
    <m/>
    <m/>
  </r>
  <r>
    <x v="14"/>
    <x v="4"/>
    <s v="F:\images\20210304\plaque 2/@02 Testo 30/E2_02.tif "/>
    <s v=" 454.2278 "/>
    <s v=" 62.7143 "/>
    <x v="0"/>
    <n v="28487"/>
    <m/>
    <m/>
    <m/>
  </r>
  <r>
    <x v="14"/>
    <x v="4"/>
    <s v="F:\images\20210304\plaque 2/@02 Testo 30/E2_03.tif "/>
    <s v=" 324.4484 "/>
    <s v=" 62.9333 "/>
    <x v="0"/>
    <n v="20419"/>
    <m/>
    <m/>
    <m/>
  </r>
  <r>
    <x v="14"/>
    <x v="5"/>
    <s v="F:\images\20210304\plaque 2/@02 Testo 30/F2_01.tif "/>
    <s v=" 22581.61 "/>
    <s v=" 66.8784 "/>
    <x v="0"/>
    <n v="1510221"/>
    <m/>
    <m/>
    <m/>
  </r>
  <r>
    <x v="14"/>
    <x v="5"/>
    <s v="F:\images\20210304\plaque 2/@02 Testo 30/F2_02.tif "/>
    <s v=" 28400.0516 "/>
    <s v=" 67.9535 "/>
    <x v="0"/>
    <n v="1929884"/>
    <m/>
    <m/>
    <m/>
  </r>
  <r>
    <x v="14"/>
    <x v="5"/>
    <s v="F:\images\20210304\plaque 2/@02 Testo 30/F2_03.tif "/>
    <s v=" 19358.7557 "/>
    <s v=" 67.9061 "/>
    <x v="0"/>
    <n v="1314578"/>
    <m/>
    <m/>
    <m/>
  </r>
  <r>
    <x v="14"/>
    <x v="6"/>
    <s v="F:\images\20210304\plaque 2/@02 Testo 30/G2_01.tif "/>
    <s v=" 46547.5332 "/>
    <s v=" 73.9359 "/>
    <x v="0"/>
    <n v="3441533"/>
    <m/>
    <m/>
    <m/>
  </r>
  <r>
    <x v="14"/>
    <x v="6"/>
    <s v="F:\images\20210304\plaque 2/@02 Testo 30/G2_02.tif "/>
    <s v=" 49835.2772 "/>
    <s v=" 74.5056 "/>
    <x v="0"/>
    <n v="3713009"/>
    <m/>
    <m/>
    <m/>
  </r>
  <r>
    <x v="14"/>
    <x v="6"/>
    <s v="F:\images\20210304\plaque 2/@02 Testo 30/G2_03.tif "/>
    <s v=" 44341.284 "/>
    <s v=" 70.1522 "/>
    <x v="0"/>
    <n v="3110638"/>
    <m/>
    <m/>
    <m/>
  </r>
  <r>
    <x v="14"/>
    <x v="7"/>
    <s v="F:\images\20210304\plaque 2/@02 Testo 30/H2_01.tif "/>
    <s v=" 5169.5448 "/>
    <s v=" 67.7029 "/>
    <x v="0"/>
    <n v="349993"/>
    <m/>
    <m/>
    <m/>
  </r>
  <r>
    <x v="14"/>
    <x v="7"/>
    <s v="F:\images\20210304\plaque 2/@02 Testo 30/H2_02.tif "/>
    <s v=" 2941.6657 "/>
    <s v=" 67.4191 "/>
    <x v="0"/>
    <n v="198325"/>
    <m/>
    <m/>
    <m/>
  </r>
  <r>
    <x v="14"/>
    <x v="7"/>
    <s v="F:\images\20210304\plaque 2/@02 Testo 30/H2_03.tif "/>
    <s v=" 4239.4593 "/>
    <s v=" 68.9796 "/>
    <x v="0"/>
    <n v="292436"/>
    <m/>
    <m/>
    <m/>
  </r>
  <r>
    <x v="1"/>
    <x v="8"/>
    <s v=" "/>
    <m/>
    <m/>
    <x v="1"/>
    <m/>
    <m/>
    <m/>
    <m/>
  </r>
  <r>
    <x v="1"/>
    <x v="8"/>
    <s v="group "/>
    <s v=" "/>
    <s v=" mean of mean fluo "/>
    <x v="2"/>
    <s v=" mean of total fluo "/>
    <s v=" SD total fluo "/>
    <s v=" n fluorescent "/>
    <s v=" n total"/>
  </r>
  <r>
    <x v="14"/>
    <x v="9"/>
    <s v="F:\images\20210304\plaque 2/@02 Testo 30/ "/>
    <s v=" "/>
    <s v=" 69.9609 "/>
    <x v="16"/>
    <s v=" 2048053.67 "/>
    <s v=" 1621228.5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5"/>
    <x v="0"/>
    <s v="F:\images\20210304\plaque 2/@03 Testo+ EE2 64/A3_01.tif "/>
    <s v=" 58400.7155 "/>
    <s v=" 77.2756 "/>
    <x v="0"/>
    <n v="4512948"/>
    <m/>
    <m/>
    <m/>
  </r>
  <r>
    <x v="15"/>
    <x v="0"/>
    <s v="F:\images\20210304\plaque 2/@03 Testo+ EE2 64/A3_02.tif "/>
    <s v=" 59395.6907 "/>
    <s v=" 84.8117 "/>
    <x v="0"/>
    <n v="5037451"/>
    <m/>
    <m/>
    <m/>
  </r>
  <r>
    <x v="15"/>
    <x v="0"/>
    <s v="F:\images\20210304\plaque 2/@03 Testo+ EE2 64/A3_03- exclu.tif"/>
    <m/>
    <m/>
    <x v="1"/>
    <m/>
    <m/>
    <m/>
    <m/>
  </r>
  <r>
    <x v="15"/>
    <x v="1"/>
    <s v="F:\images\20210304\plaque 2/@03 Testo+ EE2 64/B3_01.tif "/>
    <s v=" 65041.0931 "/>
    <s v=" 81.3751 "/>
    <x v="0"/>
    <n v="5292727"/>
    <m/>
    <m/>
    <m/>
  </r>
  <r>
    <x v="15"/>
    <x v="1"/>
    <s v="F:\images\20210304\plaque 2/@03 Testo+ EE2 64/B3_02.tif "/>
    <s v=" 67679.9403 "/>
    <s v=" 81.7996 "/>
    <x v="0"/>
    <n v="5536193"/>
    <m/>
    <m/>
    <m/>
  </r>
  <r>
    <x v="15"/>
    <x v="1"/>
    <s v="F:\images\20210304\plaque 2/@03 Testo+ EE2 64/B3_03.tif "/>
    <s v=" 64500.3458 "/>
    <s v=" 81.7099 "/>
    <x v="0"/>
    <n v="5270318"/>
    <m/>
    <m/>
    <m/>
  </r>
  <r>
    <x v="15"/>
    <x v="2"/>
    <s v="F:\images\20210304\plaque 2/@03 Testo+ EE2 64/C3_01.tif "/>
    <s v=" 41291.4688 "/>
    <s v=" 71.6286 "/>
    <x v="0"/>
    <n v="2957650"/>
    <m/>
    <m/>
    <m/>
  </r>
  <r>
    <x v="15"/>
    <x v="2"/>
    <s v="F:\images\20210304\plaque 2/@03 Testo+ EE2 64/C3_02.tif "/>
    <s v=" 38328.1733 "/>
    <s v=" 67.2985 "/>
    <x v="0"/>
    <n v="2579430"/>
    <m/>
    <m/>
    <m/>
  </r>
  <r>
    <x v="15"/>
    <x v="2"/>
    <s v="F:\images\20210304\plaque 2/@03 Testo+ EE2 64/C3_03.tif "/>
    <s v=" 38306.5434 "/>
    <s v=" 71.3738 "/>
    <x v="0"/>
    <n v="2734084"/>
    <m/>
    <m/>
    <m/>
  </r>
  <r>
    <x v="15"/>
    <x v="3"/>
    <s v="F:\images\20210304\plaque 2/@03 Testo+ EE2 64/D3_01.tif "/>
    <s v=" 61969.6481 "/>
    <s v=" 73.6262 "/>
    <x v="0"/>
    <n v="4562588"/>
    <m/>
    <m/>
    <m/>
  </r>
  <r>
    <x v="15"/>
    <x v="3"/>
    <s v="F:\images\20210304\plaque 2/@03 Testo+ EE2 64/D3_02.tif "/>
    <s v=" 60715.1142 "/>
    <s v=" 72.5315 "/>
    <x v="0"/>
    <n v="4403760"/>
    <m/>
    <m/>
    <m/>
  </r>
  <r>
    <x v="15"/>
    <x v="3"/>
    <s v="F:\images\20210304\plaque 2/@03 Testo+ EE2 64/D3_03- exclu.tif"/>
    <m/>
    <m/>
    <x v="1"/>
    <m/>
    <m/>
    <m/>
    <m/>
  </r>
  <r>
    <x v="15"/>
    <x v="4"/>
    <s v="F:\images\20210304\plaque 2/@03 Testo+ EE2 64/E3_01.tif "/>
    <s v=" 15076.0366 "/>
    <s v=" 68.802 "/>
    <x v="0"/>
    <n v="1037262"/>
    <m/>
    <m/>
    <m/>
  </r>
  <r>
    <x v="15"/>
    <x v="4"/>
    <s v="F:\images\20210304\plaque 2/@03 Testo+ EE2 64/E3_02.tif "/>
    <s v=" 16438.7199 "/>
    <s v=" 71.4263 "/>
    <x v="0"/>
    <n v="1174157"/>
    <m/>
    <m/>
    <m/>
  </r>
  <r>
    <x v="15"/>
    <x v="4"/>
    <s v="F:\images\20210304\plaque 2/@03 Testo+ EE2 64/E3_03.tif "/>
    <s v=" 17368.8054 "/>
    <s v=" 68.9054 "/>
    <x v="0"/>
    <n v="1196804"/>
    <m/>
    <m/>
    <m/>
  </r>
  <r>
    <x v="15"/>
    <x v="5"/>
    <s v="F:\images\20210304\plaque 2/@03 Testo+ EE2 64/F3_01.tif "/>
    <s v=" 58595.3845 "/>
    <s v=" 80.0842 "/>
    <x v="0"/>
    <n v="4692562"/>
    <m/>
    <m/>
    <m/>
  </r>
  <r>
    <x v="15"/>
    <x v="5"/>
    <s v="F:\images\20210304\plaque 2/@03 Testo+ EE2 64/F3_02.tif "/>
    <s v=" 55329.2705 "/>
    <s v=" 79.3487 "/>
    <x v="0"/>
    <n v="4390306"/>
    <m/>
    <m/>
    <m/>
  </r>
  <r>
    <x v="15"/>
    <x v="5"/>
    <s v="F:\images\20210304\plaque 2/@03 Testo+ EE2 64/F3_03.tif "/>
    <s v=" 57081.2919 "/>
    <s v=" 79.5688 "/>
    <x v="0"/>
    <n v="4541889"/>
    <m/>
    <m/>
    <m/>
  </r>
  <r>
    <x v="15"/>
    <x v="6"/>
    <s v="F:\images\20210304\plaque 2/@03 Testo+ EE2 64/G3_01.tif "/>
    <s v=" 77954.1402 "/>
    <s v=" 79.553 "/>
    <x v="0"/>
    <n v="6201485"/>
    <m/>
    <m/>
    <m/>
  </r>
  <r>
    <x v="15"/>
    <x v="6"/>
    <s v="F:\images\20210304\plaque 2/@03 Testo+ EE2 64/G3_02.tif "/>
    <s v=" 74514.987 "/>
    <s v=" 80.6284 "/>
    <x v="0"/>
    <n v="6008028"/>
    <m/>
    <m/>
    <m/>
  </r>
  <r>
    <x v="15"/>
    <x v="6"/>
    <s v="F:\images\20210304\plaque 2/@03 Testo+ EE2 64/G3_03.tif "/>
    <s v=" 75920.9301 "/>
    <s v=" 80.0952 "/>
    <x v="0"/>
    <n v="6080899"/>
    <m/>
    <m/>
    <m/>
  </r>
  <r>
    <x v="15"/>
    <x v="7"/>
    <s v="F:\images\20210304\plaque 2/@03 Testo+ EE2 64/H3_01.tif "/>
    <s v=" 68804.6948 "/>
    <s v=" 78.2619 "/>
    <x v="0"/>
    <n v="5384784"/>
    <m/>
    <m/>
    <m/>
  </r>
  <r>
    <x v="15"/>
    <x v="7"/>
    <s v="F:\images\20210304\plaque 2/@03 Testo+ EE2 64/H3_02.tif "/>
    <s v=" 65343.9117 "/>
    <s v=" 76.3138 "/>
    <x v="0"/>
    <n v="4986642"/>
    <m/>
    <m/>
    <m/>
  </r>
  <r>
    <x v="15"/>
    <x v="7"/>
    <s v="F:\images\20210304\plaque 2/@03 Testo+ EE2 64/H3_03.tif "/>
    <s v=" 58876.5732 "/>
    <s v=" 76.2924 "/>
    <x v="0"/>
    <n v="4491837"/>
    <m/>
    <m/>
    <m/>
  </r>
  <r>
    <x v="1"/>
    <x v="8"/>
    <s v=" "/>
    <m/>
    <m/>
    <x v="1"/>
    <m/>
    <m/>
    <m/>
    <m/>
  </r>
  <r>
    <x v="1"/>
    <x v="8"/>
    <s v="group "/>
    <s v=" "/>
    <s v=" mean of mean fluo "/>
    <x v="2"/>
    <s v=" mean of total fluo "/>
    <s v=" SD total fluo "/>
    <s v=" n fluorescent "/>
    <s v=" n total"/>
  </r>
  <r>
    <x v="15"/>
    <x v="9"/>
    <s v="F:\images\20210304\plaque 2/@03 Testo+ EE2 64/ "/>
    <s v=" "/>
    <s v=" 76.1215 "/>
    <x v="17"/>
    <s v=" 4198409.42 "/>
    <n v="1541377"/>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6"/>
    <x v="0"/>
    <s v="F:\images\20210304\plaque 2/@04 Testo+ FAD/A4_01.tif "/>
    <s v=" 1211.2741 "/>
    <s v=" 63.4286 "/>
    <x v="0"/>
    <n v="76829"/>
    <m/>
    <m/>
    <m/>
  </r>
  <r>
    <x v="16"/>
    <x v="0"/>
    <s v="F:\images\20210304\plaque 2/@04 Testo+ FAD/A4_02.tif "/>
    <s v=" 4736.9469 "/>
    <s v=" 69.8219 "/>
    <x v="0"/>
    <n v="330743"/>
    <m/>
    <m/>
    <m/>
  </r>
  <r>
    <x v="16"/>
    <x v="0"/>
    <s v="F:\images\20210304\plaque 2/@04 Testo+ FAD/A4_03.tif "/>
    <s v=" 2487.4379 "/>
    <s v=" 65.3565 "/>
    <x v="0"/>
    <n v="162570"/>
    <m/>
    <m/>
    <m/>
  </r>
  <r>
    <x v="16"/>
    <x v="1"/>
    <s v="F:\images\20210304\plaque 2/@04 Testo+ FAD/B4_01.tif "/>
    <s v=" 2790.2564 "/>
    <s v=" 64.9457 "/>
    <x v="0"/>
    <n v="181215"/>
    <m/>
    <m/>
    <m/>
  </r>
  <r>
    <x v="16"/>
    <x v="1"/>
    <s v="F:\images\20210304\plaque 2/@04 Testo+ FAD/B4_02.tif "/>
    <s v=" 692.1566 "/>
    <s v=" 62.7812 "/>
    <x v="0"/>
    <n v="43454"/>
    <m/>
    <m/>
    <m/>
  </r>
  <r>
    <x v="16"/>
    <x v="1"/>
    <s v="F:\images\20210304\plaque 2/@04 Testo+ FAD/B4_03.tif "/>
    <s v=" 1622.2421 "/>
    <s v=" 62.9467 "/>
    <x v="0"/>
    <n v="102115"/>
    <m/>
    <m/>
    <m/>
  </r>
  <r>
    <x v="16"/>
    <x v="2"/>
    <s v="F:\images\20210304\plaque 2/@04 Testo+ FAD/C4_01.tif "/>
    <s v=" 1643.872 "/>
    <s v=" 64.7368 "/>
    <x v="0"/>
    <n v="106419"/>
    <m/>
    <m/>
    <m/>
  </r>
  <r>
    <x v="16"/>
    <x v="2"/>
    <s v="F:\images\20210304\plaque 2/@04 Testo+ FAD/C4_02.tif "/>
    <s v=" 2444.1781 "/>
    <s v=" 64.8938 "/>
    <x v="0"/>
    <n v="158612"/>
    <m/>
    <m/>
    <m/>
  </r>
  <r>
    <x v="16"/>
    <x v="2"/>
    <s v="F:\images\20210304\plaque 2/@04 Testo+ FAD/C4_03.tif "/>
    <s v=" 475.8577 "/>
    <s v=" 62.7273 "/>
    <x v="0"/>
    <n v="29849"/>
    <m/>
    <m/>
    <m/>
  </r>
  <r>
    <x v="16"/>
    <x v="3"/>
    <s v="F:\images\20210304\plaque 2/@04 Testo+ FAD/D4_01.tif "/>
    <s v=" 778.6762 "/>
    <s v=" 63.6111 "/>
    <x v="0"/>
    <n v="49532"/>
    <m/>
    <m/>
    <m/>
  </r>
  <r>
    <x v="16"/>
    <x v="3"/>
    <s v="F:\images\20210304\plaque 2/@04 Testo+ FAD/D4_02.tif "/>
    <s v=" 1903.4307 "/>
    <s v=" 63.7955 "/>
    <x v="0"/>
    <n v="121430"/>
    <m/>
    <m/>
    <m/>
  </r>
  <r>
    <x v="16"/>
    <x v="3"/>
    <s v="F:\images\20210304\plaque 2/@04 Testo+ FAD/D4_03.tif "/>
    <s v=" 1146.3844 "/>
    <s v=" 62.5094 "/>
    <x v="0"/>
    <n v="71660"/>
    <m/>
    <m/>
    <m/>
  </r>
  <r>
    <x v="16"/>
    <x v="4"/>
    <s v="F:\images\20210304\plaque 2/@04 Testo+ FAD/E4_01- exclu.tif"/>
    <m/>
    <m/>
    <x v="1"/>
    <m/>
    <m/>
    <m/>
    <m/>
  </r>
  <r>
    <x v="16"/>
    <x v="4"/>
    <s v="F:\images\20210304\plaque 2/@04 Testo+ FAD/E4_02- exclu.tif"/>
    <m/>
    <m/>
    <x v="1"/>
    <m/>
    <m/>
    <m/>
    <m/>
  </r>
  <r>
    <x v="16"/>
    <x v="4"/>
    <s v="F:\images\20210304\plaque 2/@04 Testo+ FAD/E4_03- exclu.tif"/>
    <m/>
    <m/>
    <x v="1"/>
    <m/>
    <m/>
    <m/>
    <m/>
  </r>
  <r>
    <x v="16"/>
    <x v="5"/>
    <s v="F:\images\20210304\plaque 2/@04 Testo+ FAD/F4_01.tif "/>
    <s v=" 6056.3705 "/>
    <s v=" 64.8536 "/>
    <x v="0"/>
    <n v="392777"/>
    <m/>
    <m/>
    <m/>
  </r>
  <r>
    <x v="16"/>
    <x v="5"/>
    <s v="F:\images\20210304\plaque 2/@04 Testo+ FAD/F4_02.tif "/>
    <s v=" 757.0463 "/>
    <s v=" 62.8286 "/>
    <x v="0"/>
    <n v="47564"/>
    <m/>
    <m/>
    <m/>
  </r>
  <r>
    <x v="16"/>
    <x v="5"/>
    <s v="F:\images\20210304\plaque 2/@04 Testo+ FAD/F4_03.tif "/>
    <s v=" 2768.6265 "/>
    <s v=" 64.4922 "/>
    <x v="0"/>
    <n v="178555"/>
    <m/>
    <m/>
    <m/>
  </r>
  <r>
    <x v="16"/>
    <x v="6"/>
    <s v="F:\images\20210304\plaque 2/@04 Testo+ FAD/G4_01.tif "/>
    <s v=" 2855.1461 "/>
    <s v=" 64.3864 "/>
    <x v="0"/>
    <n v="183832"/>
    <m/>
    <m/>
    <m/>
  </r>
  <r>
    <x v="16"/>
    <x v="6"/>
    <s v="F:\images\20210304\plaque 2/@04 Testo+ FAD/G4_02.tif "/>
    <s v=" 1665.5019 "/>
    <s v=" 64.0909 "/>
    <x v="0"/>
    <n v="106744"/>
    <m/>
    <m/>
    <m/>
  </r>
  <r>
    <x v="16"/>
    <x v="6"/>
    <s v="F:\images\20210304\plaque 2/@04 Testo+ FAD/G4_03.tif "/>
    <s v=" 886.8257 "/>
    <s v=" 65.7073 "/>
    <x v="0"/>
    <n v="58271"/>
    <m/>
    <m/>
    <m/>
  </r>
  <r>
    <x v="16"/>
    <x v="7"/>
    <s v="F:\images\20210304\plaque 2/@04 Testo+ FAD/H4_01.tif "/>
    <s v=" 5840.0715 "/>
    <s v=" 70.1259 "/>
    <x v="0"/>
    <n v="409540"/>
    <m/>
    <m/>
    <m/>
  </r>
  <r>
    <x v="16"/>
    <x v="7"/>
    <s v="F:\images\20210304\plaque 2/@04 Testo+ FAD/H4_02.tif "/>
    <s v=" 5061.3953 "/>
    <s v=" 71.6239 "/>
    <x v="0"/>
    <n v="362517"/>
    <m/>
    <m/>
    <m/>
  </r>
  <r>
    <x v="16"/>
    <x v="7"/>
    <s v="F:\images\20210304\plaque 2/@04 Testo+ FAD/H4_03.tif "/>
    <s v=" 2833.5162 "/>
    <s v=" 66.9695 "/>
    <x v="0"/>
    <n v="189759"/>
    <m/>
    <m/>
    <m/>
  </r>
  <r>
    <x v="1"/>
    <x v="8"/>
    <s v=" "/>
    <m/>
    <m/>
    <x v="1"/>
    <m/>
    <m/>
    <m/>
    <m/>
  </r>
  <r>
    <x v="1"/>
    <x v="8"/>
    <s v="group "/>
    <s v=" "/>
    <s v=" mean of mean fluo "/>
    <x v="2"/>
    <s v=" mean of total fluo "/>
    <s v=" SD total fluo "/>
    <s v=" n fluorescent "/>
    <s v=" n total"/>
  </r>
  <r>
    <x v="16"/>
    <x v="9"/>
    <s v="F:\images\20210304\plaque 2/@04 Testo+ FAD/ "/>
    <s v=" "/>
    <s v=" 67.4132 "/>
    <x v="18"/>
    <s v=" 237351.917 "/>
    <s v=" 305720.98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7"/>
    <x v="0"/>
    <s v="F:\images\20210304\plaque 2/@05 Testosterone 3.7 µg_L dopé/A5_01.tif "/>
    <s v=" 54983.1921 "/>
    <s v=" 75.3529 "/>
    <x v="0"/>
    <n v="4143141"/>
    <m/>
    <m/>
    <m/>
  </r>
  <r>
    <x v="17"/>
    <x v="0"/>
    <s v="F:\images\20210304\plaque 2/@05 Testosterone 3.7 µg_L dopé/A5_02.tif "/>
    <s v=" 55177.8612 "/>
    <s v=" 77.9106 "/>
    <x v="0"/>
    <n v="4298942"/>
    <m/>
    <m/>
    <m/>
  </r>
  <r>
    <x v="17"/>
    <x v="0"/>
    <s v="F:\images\20210304\plaque 2/@05 Testosterone 3.7 µg_L dopé/A5_03.tif "/>
    <s v=" 50570.6936 "/>
    <s v=" 78.873 "/>
    <x v="0"/>
    <n v="3988661"/>
    <m/>
    <m/>
    <m/>
  </r>
  <r>
    <x v="17"/>
    <x v="1"/>
    <s v="F:\images\20210304\plaque 2/@05 Testosterone 3.7 µg_L dopé/B5_01.tif "/>
    <s v=" 21673.1544 "/>
    <s v=" 67.6068 "/>
    <x v="0"/>
    <n v="1465252"/>
    <m/>
    <m/>
    <m/>
  </r>
  <r>
    <x v="17"/>
    <x v="1"/>
    <s v="F:\images\20210304\plaque 2/@05 Testosterone 3.7 µg_L dopé/B5_02.tif "/>
    <s v=" 28594.7207 "/>
    <s v=" 69.2897 "/>
    <x v="0"/>
    <n v="1981320"/>
    <m/>
    <m/>
    <m/>
  </r>
  <r>
    <x v="17"/>
    <x v="1"/>
    <s v="F:\images\20210304\plaque 2/@05 Testosterone 3.7 µg_L dopé/B5_03.tif "/>
    <s v=" 20050.9123 "/>
    <s v=" 67.5868 "/>
    <x v="0"/>
    <n v="1355178"/>
    <m/>
    <m/>
    <m/>
  </r>
  <r>
    <x v="17"/>
    <x v="2"/>
    <s v="F:\images\20210304\plaque 2/@05 Testosterone 3.7 µg_L dopé/C5_01.tif "/>
    <s v=" 31233.5678 "/>
    <s v=" 70.7902 "/>
    <x v="0"/>
    <n v="2211029"/>
    <m/>
    <m/>
    <m/>
  </r>
  <r>
    <x v="17"/>
    <x v="2"/>
    <s v="F:\images\20210304\plaque 2/@05 Testosterone 3.7 µg_L dopé/C5_02.tif "/>
    <s v=" 34975.5396 "/>
    <s v=" 73.697 "/>
    <x v="0"/>
    <n v="2577591"/>
    <m/>
    <m/>
    <m/>
  </r>
  <r>
    <x v="17"/>
    <x v="2"/>
    <s v="F:\images\20210304\plaque 2/@05 Testosterone 3.7 µg_L dopé/C5_03.tif "/>
    <s v=" 33764.2655 "/>
    <s v=" 72.417 "/>
    <x v="0"/>
    <n v="2445108"/>
    <m/>
    <m/>
    <m/>
  </r>
  <r>
    <x v="17"/>
    <x v="3"/>
    <s v="F:\images\20210304\plaque 2/@05 Testosterone 3.7 µg_L dopé/D5_01.tif "/>
    <s v=" 24268.7418 "/>
    <s v=" 65.6364 "/>
    <x v="0"/>
    <n v="1592912"/>
    <m/>
    <m/>
    <m/>
  </r>
  <r>
    <x v="17"/>
    <x v="3"/>
    <s v="F:\images\20210304\plaque 2/@05 Testosterone 3.7 µg_L dopé/D5_02.tif "/>
    <s v=" 22408.5708 "/>
    <s v=" 66.3214 "/>
    <x v="0"/>
    <n v="1486168"/>
    <m/>
    <m/>
    <m/>
  </r>
  <r>
    <x v="17"/>
    <x v="3"/>
    <s v="F:\images\20210304\plaque 2/@05 Testosterone 3.7 µg_L dopé/D5_03.tif "/>
    <s v=" 21932.7132 "/>
    <s v=" 65.7308 "/>
    <x v="0"/>
    <n v="1441654"/>
    <m/>
    <m/>
    <m/>
  </r>
  <r>
    <x v="17"/>
    <x v="4"/>
    <s v="F:\images\20210304\plaque 2/@05 Testosterone 3.7 µg_L dopé/E5_01.tif "/>
    <s v=" 59330.801 "/>
    <s v=" 75.7765 "/>
    <x v="0"/>
    <n v="4495882"/>
    <m/>
    <m/>
    <m/>
  </r>
  <r>
    <x v="17"/>
    <x v="4"/>
    <s v="F:\images\20210304\plaque 2/@05 Testosterone 3.7 µg_L dopé/E5_02.tif "/>
    <s v=" 58422.3454 "/>
    <s v=" 75.9448 "/>
    <x v="0"/>
    <n v="4436875"/>
    <m/>
    <m/>
    <m/>
  </r>
  <r>
    <x v="17"/>
    <x v="4"/>
    <s v="F:\images\20210304\plaque 2/@05 Testosterone 3.7 µg_L dopé/E5_03.tif "/>
    <s v=" 53923.3273 "/>
    <s v=" 76.0084 "/>
    <x v="0"/>
    <n v="4098627"/>
    <m/>
    <m/>
    <m/>
  </r>
  <r>
    <x v="17"/>
    <x v="5"/>
    <s v="F:\images\20210304\plaque 2/@05 Testosterone 3.7 µg_L dopé/F5_01.tif "/>
    <s v=" 43605.8676 "/>
    <s v=" 68.8304 "/>
    <x v="0"/>
    <n v="3001407"/>
    <m/>
    <m/>
    <m/>
  </r>
  <r>
    <x v="17"/>
    <x v="5"/>
    <s v="F:\images\20210304\plaque 2/@05 Testosterone 3.7 µg_L dopé/F5_02.tif "/>
    <s v=" 42005.2554 "/>
    <s v=" 68.4011 "/>
    <x v="0"/>
    <n v="2873207"/>
    <m/>
    <m/>
    <m/>
  </r>
  <r>
    <x v="17"/>
    <x v="5"/>
    <s v="F:\images\20210304\plaque 2/@05 Testosterone 3.7 µg_L dopé/F5_03.tif "/>
    <s v=" 28205.3826 "/>
    <s v=" 67.184 "/>
    <x v="0"/>
    <n v="1894952"/>
    <m/>
    <m/>
    <m/>
  </r>
  <r>
    <x v="17"/>
    <x v="6"/>
    <s v="F:\images\20210304\plaque 2/@05 Testosterone 3.7 µg_L dopé/G5_01.tif "/>
    <s v=" 45595.8179 "/>
    <s v=" 71.2946 "/>
    <x v="0"/>
    <n v="3250735"/>
    <m/>
    <m/>
    <m/>
  </r>
  <r>
    <x v="17"/>
    <x v="6"/>
    <s v="F:\images\20210304\plaque 2/@05 Testosterone 3.7 µg_L dopé/G5_02.tif "/>
    <s v=" 39236.6289 "/>
    <s v=" 71.4702 "/>
    <x v="0"/>
    <n v="2804251"/>
    <m/>
    <m/>
    <m/>
  </r>
  <r>
    <x v="17"/>
    <x v="6"/>
    <s v="F:\images\20210304\plaque 2/@05 Testosterone 3.7 µg_L dopé/G5_03.tif "/>
    <s v=" 36814.0807 "/>
    <s v=" 69.6804 "/>
    <x v="0"/>
    <n v="2565219"/>
    <m/>
    <m/>
    <m/>
  </r>
  <r>
    <x v="17"/>
    <x v="7"/>
    <s v="F:\images\20210304\plaque 2/@05 Testosterone 3.7 µg_L dopé/H5_01.tif "/>
    <s v=" 24376.8912 "/>
    <s v=" 67.3886 "/>
    <x v="0"/>
    <n v="1642726"/>
    <m/>
    <m/>
    <m/>
  </r>
  <r>
    <x v="17"/>
    <x v="7"/>
    <s v="F:\images\20210304\plaque 2/@05 Testosterone 3.7 µg_L dopé/H5_02.tif "/>
    <s v=" 31882.4647 "/>
    <s v=" 67.7483 "/>
    <x v="0"/>
    <n v="2159983"/>
    <m/>
    <m/>
    <m/>
  </r>
  <r>
    <x v="17"/>
    <x v="7"/>
    <s v="F:\images\20210304\plaque 2/@05 Testosterone 3.7 µg_L dopé/H5_03.tif "/>
    <s v=" 28573.0908 "/>
    <s v=" 67.707 "/>
    <x v="0"/>
    <n v="1934599"/>
    <m/>
    <m/>
    <m/>
  </r>
  <r>
    <x v="1"/>
    <x v="8"/>
    <s v=" "/>
    <m/>
    <m/>
    <x v="1"/>
    <m/>
    <m/>
    <m/>
    <m/>
  </r>
  <r>
    <x v="1"/>
    <x v="8"/>
    <s v="group "/>
    <s v=" "/>
    <s v=" mean of mean fluo "/>
    <x v="2"/>
    <s v=" mean of total fluo "/>
    <s v=" SD total fluo "/>
    <s v=" n fluorescent "/>
    <s v=" n total"/>
  </r>
  <r>
    <x v="17"/>
    <x v="9"/>
    <s v="F:\images\20210304\plaque 2/@05 Testosterone 3.7 µg_L dopé/ "/>
    <s v=" "/>
    <s v=" 70.777 "/>
    <x v="19"/>
    <s v=" 2672725.79 "/>
    <s v=" 1063789.1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8"/>
    <x v="0"/>
    <s v="F:\images\20210304\plaque 2/@06  Testosterone 11 µg_Ldopé/A6_01.tif "/>
    <s v=" 60780.0039 "/>
    <s v=" 71.3352 "/>
    <x v="0"/>
    <n v="4335756"/>
    <m/>
    <m/>
    <m/>
  </r>
  <r>
    <x v="18"/>
    <x v="0"/>
    <s v="F:\images\20210304\plaque 2/@06  Testosterone 11 µg_Ldopé/A6_02.tif "/>
    <s v=" 64781.5344 "/>
    <s v=" 72.7092 "/>
    <x v="0"/>
    <n v="4710212"/>
    <m/>
    <m/>
    <m/>
  </r>
  <r>
    <x v="18"/>
    <x v="0"/>
    <s v="F:\images\20210304\plaque 2/@06  Testosterone 11 µg_Ldopé/A6_03.tif "/>
    <s v=" 65041.0931 "/>
    <s v=" 71.7236 "/>
    <x v="0"/>
    <n v="4664984"/>
    <m/>
    <m/>
    <m/>
  </r>
  <r>
    <x v="18"/>
    <x v="1"/>
    <s v="F:\images\20210304\plaque 2/@06  Testosterone 11 µg_Ldopé/B6_01.tif "/>
    <s v=" 57903.2279 "/>
    <s v=" 72.3713 "/>
    <x v="0"/>
    <n v="4190533"/>
    <m/>
    <m/>
    <m/>
  </r>
  <r>
    <x v="18"/>
    <x v="1"/>
    <s v="F:\images\20210304\plaque 2/@06  Testosterone 11 µg_Ldopé/B6_02.tif "/>
    <s v=" 55048.0818 "/>
    <s v=" 72.1198 "/>
    <x v="0"/>
    <n v="3970059"/>
    <m/>
    <m/>
    <m/>
  </r>
  <r>
    <x v="18"/>
    <x v="1"/>
    <s v="F:\images\20210304\plaque 2/@06  Testosterone 11 µg_Ldopé/B6_03.tif "/>
    <s v=" 62121.0574 "/>
    <s v=" 73.2681 "/>
    <x v="0"/>
    <n v="4551492"/>
    <m/>
    <m/>
    <m/>
  </r>
  <r>
    <x v="18"/>
    <x v="2"/>
    <s v="F:\images\20210304\plaque 2/@06  Testosterone 11 µg_Ldopé/C6_01.tif "/>
    <s v=" 17325.5456 "/>
    <s v=" 66.9675 "/>
    <x v="0"/>
    <n v="1160249"/>
    <m/>
    <m/>
    <m/>
  </r>
  <r>
    <x v="18"/>
    <x v="2"/>
    <s v="F:\images\20210304\plaque 2/@06  Testosterone 11 µg_Ldopé/C6_02.tif "/>
    <s v=" 23100.7275 "/>
    <s v=" 67.7537 "/>
    <x v="0"/>
    <n v="1565161"/>
    <m/>
    <m/>
    <m/>
  </r>
  <r>
    <x v="18"/>
    <x v="2"/>
    <s v="F:\images\20210304\plaque 2/@06  Testosterone 11 µg_Ldopé/C6_03.tif "/>
    <s v=" 20461.8803 "/>
    <s v=" 69.3203 "/>
    <x v="0"/>
    <n v="1418424"/>
    <m/>
    <m/>
    <m/>
  </r>
  <r>
    <x v="18"/>
    <x v="3"/>
    <s v="F:\images\20210304\plaque 2/@06  Testosterone 11 µg_Ldopé/D6_01.tif "/>
    <s v=" 26128.9127 "/>
    <s v=" 68.7666 "/>
    <x v="0"/>
    <n v="1796795"/>
    <m/>
    <m/>
    <m/>
  </r>
  <r>
    <x v="18"/>
    <x v="3"/>
    <s v="F:\images\20210304\plaque 2/@06  Testosterone 11 µg_Ldopé/D6_02.tif "/>
    <s v=" 25999.1333 "/>
    <s v=" 69.8577 "/>
    <x v="0"/>
    <n v="1816241"/>
    <m/>
    <m/>
    <m/>
  </r>
  <r>
    <x v="18"/>
    <x v="3"/>
    <s v="F:\images\20210304\plaque 2/@06  Testosterone 11 µg_Ldopé/D6_03.tif "/>
    <s v=" 26929.2188 "/>
    <s v=" 69.5526 "/>
    <x v="0"/>
    <n v="1872997"/>
    <m/>
    <m/>
    <m/>
  </r>
  <r>
    <x v="18"/>
    <x v="4"/>
    <s v="F:\images\20210304\plaque 2/@06  Testosterone 11 µg_Ldopé/E6_01.tif "/>
    <s v=" 57016.4022 "/>
    <s v=" 77.7185 "/>
    <x v="0"/>
    <n v="4431230"/>
    <m/>
    <m/>
    <m/>
  </r>
  <r>
    <x v="18"/>
    <x v="4"/>
    <s v="F:\images\20210304\plaque 2/@06  Testosterone 11 µg_Ldopé/E6_02.tif "/>
    <s v=" 58033.0073 "/>
    <s v=" 77.1278 "/>
    <x v="0"/>
    <n v="4475961"/>
    <m/>
    <m/>
    <m/>
  </r>
  <r>
    <x v="18"/>
    <x v="4"/>
    <s v="F:\images\20210304\plaque 2/@06  Testosterone 11 µg_Ldopé/E6_03.tif "/>
    <s v=" 56086.3168 "/>
    <s v=" 77.8315 "/>
    <x v="0"/>
    <n v="4365280"/>
    <m/>
    <m/>
    <m/>
  </r>
  <r>
    <x v="18"/>
    <x v="5"/>
    <s v="F:\images\20210304\plaque 2/@06  Testosterone 11 µg_Ldopé/F6_01.tif "/>
    <s v=" 40447.903 "/>
    <s v=" 68.123 "/>
    <x v="0"/>
    <n v="2755432"/>
    <m/>
    <m/>
    <m/>
  </r>
  <r>
    <x v="18"/>
    <x v="5"/>
    <s v="F:\images\20210304\plaque 2/@06  Testosterone 11 µg_Ldopé/F6_02.tif "/>
    <s v=" 43540.9779 "/>
    <s v=" 70.1366 "/>
    <x v="0"/>
    <n v="3053817"/>
    <m/>
    <m/>
    <m/>
  </r>
  <r>
    <x v="18"/>
    <x v="5"/>
    <s v="F:\images\20210304\plaque 2/@06  Testosterone 11 µg_Ldopé/F6_03.tif "/>
    <s v=" 34196.8634 "/>
    <s v=" 68.1746 "/>
    <x v="0"/>
    <n v="2331357"/>
    <m/>
    <m/>
    <m/>
  </r>
  <r>
    <x v="18"/>
    <x v="6"/>
    <s v="F:\images\20210304\plaque 2/@06  Testosterone 11 µg_Ldopé/G6_01.tif "/>
    <s v=" 56929.8827 "/>
    <s v=" 75.0046 "/>
    <x v="0"/>
    <n v="4270001"/>
    <m/>
    <m/>
    <m/>
  </r>
  <r>
    <x v="18"/>
    <x v="6"/>
    <s v="F:\images\20210304\plaque 2/@06  Testosterone 11 µg_Ldopé/G6_02.tif "/>
    <s v=" 51911.7471 "/>
    <s v=" 74.2642 "/>
    <x v="0"/>
    <n v="3855183"/>
    <m/>
    <m/>
    <m/>
  </r>
  <r>
    <x v="18"/>
    <x v="6"/>
    <s v="F:\images\20210304\plaque 2/@06  Testosterone 11 µg_Ldopé/G6_03.tif "/>
    <s v=" 51046.5513 "/>
    <s v=" 74.9695 "/>
    <x v="0"/>
    <n v="3826934"/>
    <m/>
    <m/>
    <m/>
  </r>
  <r>
    <x v="18"/>
    <x v="7"/>
    <s v="F:\images\20210304\plaque 2/@06  Testosterone 11 µg_Ldopé/H6_01.tif "/>
    <s v=" 37225.0487 "/>
    <s v=" 70.4904 "/>
    <x v="0"/>
    <n v="2624009"/>
    <m/>
    <m/>
    <m/>
  </r>
  <r>
    <x v="18"/>
    <x v="7"/>
    <s v="F:\images\20210304\plaque 2/@06  Testosterone 11 µg_Ldopé/H6_02.tif "/>
    <s v=" 41940.3657 "/>
    <s v=" 71.2666 "/>
    <x v="0"/>
    <n v="2988949"/>
    <m/>
    <m/>
    <m/>
  </r>
  <r>
    <x v="18"/>
    <x v="7"/>
    <s v="F:\images\20210304\plaque 2/@06  Testosterone 11 µg_Ldopé/H6_03.tif "/>
    <s v=" 37657.6465 "/>
    <s v=" 70.4986 "/>
    <x v="0"/>
    <n v="2654810"/>
    <m/>
    <m/>
    <m/>
  </r>
  <r>
    <x v="1"/>
    <x v="8"/>
    <s v=" "/>
    <m/>
    <m/>
    <x v="1"/>
    <m/>
    <m/>
    <m/>
    <m/>
  </r>
  <r>
    <x v="1"/>
    <x v="8"/>
    <s v="group "/>
    <s v=" "/>
    <s v=" mean of mean fluo "/>
    <x v="2"/>
    <s v=" mean of total fluo "/>
    <s v=" SD total fluo "/>
    <s v=" n fluorescent "/>
    <s v=" n total"/>
  </r>
  <r>
    <x v="18"/>
    <x v="9"/>
    <s v="F:\images\20210304\plaque 2/@06  Testosterone 11 µg_Ldopé/ "/>
    <s v=" "/>
    <s v=" 71.723 "/>
    <x v="20"/>
    <s v=" 3236911.08 "/>
    <s v=" 1195153.8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9"/>
    <x v="0"/>
    <s v="F:\images\20210304\plaque 2/@07  Testosterone 33 µg_Ldopé/A7_01.tif "/>
    <s v=" 43476.0882 "/>
    <s v=" 68.8816 "/>
    <x v="0"/>
    <n v="2994702"/>
    <m/>
    <m/>
    <m/>
  </r>
  <r>
    <x v="19"/>
    <x v="0"/>
    <s v="F:\images\20210304\plaque 2/@07  Testosterone 33 µg_Ldopé/A7_02.tif "/>
    <s v=" 47455.9888 "/>
    <s v=" 74.366 "/>
    <x v="0"/>
    <n v="3529112"/>
    <m/>
    <m/>
    <m/>
  </r>
  <r>
    <x v="19"/>
    <x v="0"/>
    <s v="F:\images\20210304\plaque 2/@07  Testosterone 33 µg_Ldopé/A7_03.tif "/>
    <s v=" 42221.5543 "/>
    <s v=" 72.5497 "/>
    <x v="0"/>
    <n v="3063161"/>
    <m/>
    <m/>
    <m/>
  </r>
  <r>
    <x v="19"/>
    <x v="1"/>
    <s v="F:\images\20210304\plaque 2/@07  Testosterone 33 µg_Ldopé/B7_01.tif "/>
    <s v=" 45530.9282 "/>
    <s v=" 71.3658 "/>
    <x v="0"/>
    <n v="3249351"/>
    <m/>
    <m/>
    <m/>
  </r>
  <r>
    <x v="19"/>
    <x v="1"/>
    <s v="F:\images\20210304\plaque 2/@07  Testosterone 33 µg_Ldopé/B7_02.tif "/>
    <s v=" 43951.9459 "/>
    <s v=" 71.8898 "/>
    <x v="0"/>
    <n v="3159695"/>
    <m/>
    <m/>
    <m/>
  </r>
  <r>
    <x v="19"/>
    <x v="1"/>
    <s v="F:\images\20210304\plaque 2/@07  Testosterone 33 µg_Ldopé/B7_03.tif "/>
    <s v=" 46547.5332 "/>
    <s v=" 72.0232 "/>
    <x v="0"/>
    <n v="3352504"/>
    <m/>
    <m/>
    <m/>
  </r>
  <r>
    <x v="19"/>
    <x v="2"/>
    <s v="F:\images\20210304\plaque 2/@07  Testosterone 33 µg_Ldopé/C7_01.tif "/>
    <s v=" 26366.8416 "/>
    <s v=" 67.9664 "/>
    <x v="0"/>
    <n v="1792058"/>
    <m/>
    <m/>
    <m/>
  </r>
  <r>
    <x v="19"/>
    <x v="2"/>
    <s v="F:\images\20210304\plaque 2/@07  Testosterone 33 µg_Ldopé/C7_02.tif "/>
    <s v=" 26431.7312 "/>
    <s v=" 67.572 "/>
    <x v="0"/>
    <n v="1786045"/>
    <m/>
    <m/>
    <m/>
  </r>
  <r>
    <x v="19"/>
    <x v="2"/>
    <s v="F:\images\20210304\plaque 2/@07  Testosterone 33 µg_Ldopé/C7_03.tif "/>
    <s v=" 28032.3434 "/>
    <s v=" 68.3951 "/>
    <x v="0"/>
    <n v="1917274"/>
    <m/>
    <m/>
    <m/>
  </r>
  <r>
    <x v="19"/>
    <x v="3"/>
    <s v="F:\images\20210304\plaque 2/@07  Testosterone 33 µg_Ldopé/D7_01.tif "/>
    <s v=" 22235.5317 "/>
    <s v=" 67.1265 "/>
    <x v="0"/>
    <n v="1492593"/>
    <m/>
    <m/>
    <m/>
  </r>
  <r>
    <x v="19"/>
    <x v="3"/>
    <s v="F:\images\20210304\plaque 2/@07  Testosterone 33 µg_Ldopé/D7_02.tif "/>
    <s v=" 19596.6845 "/>
    <s v=" 67.3698 "/>
    <x v="0"/>
    <n v="1320224"/>
    <m/>
    <m/>
    <m/>
  </r>
  <r>
    <x v="19"/>
    <x v="3"/>
    <s v="F:\images\20210304\plaque 2/@07  Testosterone 33 µg_Ldopé/D7_03.tif "/>
    <s v=" 24138.9624 "/>
    <s v=" 68.0206 "/>
    <x v="0"/>
    <n v="1641947"/>
    <m/>
    <m/>
    <m/>
  </r>
  <r>
    <x v="19"/>
    <x v="4"/>
    <s v="F:\images\20210304\plaque 2/@07  Testosterone 33 µg_Ldopé/E7_01.tif "/>
    <s v=" 17455.325 "/>
    <s v=" 66.5564 "/>
    <x v="0"/>
    <n v="1161763"/>
    <m/>
    <m/>
    <m/>
  </r>
  <r>
    <x v="19"/>
    <x v="4"/>
    <s v="F:\images\20210304\plaque 2/@07  Testosterone 33 µg_Ldopé/E7_02.tif "/>
    <s v=" 9603.6732 "/>
    <s v=" 63.6486 "/>
    <x v="0"/>
    <n v="611261"/>
    <m/>
    <m/>
    <m/>
  </r>
  <r>
    <x v="19"/>
    <x v="4"/>
    <s v="F:\images\20210304\plaque 2/@07  Testosterone 33 µg_Ldopé/E7_03.tif "/>
    <s v=" 9582.0433 "/>
    <s v=" 63.9029 "/>
    <x v="0"/>
    <n v="612321"/>
    <m/>
    <m/>
    <m/>
  </r>
  <r>
    <x v="19"/>
    <x v="5"/>
    <s v="F:\images\20210304\plaque 2/@07  Testosterone 33 µg_Ldopé/F7_01.tif "/>
    <s v=" 30714.4504 "/>
    <s v=" 71.0035 "/>
    <x v="0"/>
    <n v="2180834"/>
    <m/>
    <m/>
    <m/>
  </r>
  <r>
    <x v="19"/>
    <x v="5"/>
    <s v="F:\images\20210304\plaque 2/@07  Testosterone 33 µg_Ldopé/F7_02.tif "/>
    <s v=" 28313.5321 "/>
    <s v=" 72.5661 "/>
    <x v="0"/>
    <n v="2054602"/>
    <m/>
    <m/>
    <m/>
  </r>
  <r>
    <x v="19"/>
    <x v="5"/>
    <s v="F:\images\20210304\plaque 2/@07  Testosterone 33 µg_Ldopé/F7_03.tif "/>
    <s v=" 31168.6782 "/>
    <s v=" 72.0083 "/>
    <x v="0"/>
    <n v="2244404"/>
    <m/>
    <m/>
    <m/>
  </r>
  <r>
    <x v="19"/>
    <x v="6"/>
    <s v="F:\images\20210304\plaque 2/@07  Testosterone 33 µg_Ldopé/G7_01.tif "/>
    <s v=" 29697.8453 "/>
    <s v=" 68.6468 "/>
    <x v="0"/>
    <n v="2038661"/>
    <m/>
    <m/>
    <m/>
  </r>
  <r>
    <x v="19"/>
    <x v="6"/>
    <s v="F:\images\20210304\plaque 2/@07  Testosterone 33 µg_Ldopé/G7_02.tif "/>
    <s v=" 32055.5038 "/>
    <s v=" 68.0108 "/>
    <x v="0"/>
    <n v="2180120"/>
    <m/>
    <m/>
    <m/>
  </r>
  <r>
    <x v="19"/>
    <x v="6"/>
    <s v="F:\images\20210304\plaque 2/@07  Testosterone 33 µg_Ldopé/G7_03.tif "/>
    <s v=" 31341.7173 "/>
    <s v=" 68.668 "/>
    <x v="0"/>
    <n v="2152175"/>
    <m/>
    <m/>
    <m/>
  </r>
  <r>
    <x v="19"/>
    <x v="7"/>
    <s v="F:\images\20210304\plaque 2/@07  Testosterone 33 µg_Ldopé/H7_01.tif "/>
    <s v=" 51738.708 "/>
    <s v=" 72.967 "/>
    <x v="0"/>
    <n v="3775217"/>
    <m/>
    <m/>
    <m/>
  </r>
  <r>
    <x v="19"/>
    <x v="7"/>
    <s v="F:\images\20210304\plaque 2/@07  Testosterone 33 µg_Ldopé/H7_02.tif "/>
    <s v=" 40036.935 "/>
    <s v=" 68.5548 "/>
    <x v="0"/>
    <n v="2744725"/>
    <m/>
    <m/>
    <m/>
  </r>
  <r>
    <x v="19"/>
    <x v="7"/>
    <s v="F:\images\20210304\plaque 2/@07  Testosterone 33 µg_Ldopé/H7_03.tif "/>
    <s v=" 50008.3164 "/>
    <s v=" 73.0644 "/>
    <x v="0"/>
    <n v="3653830"/>
    <m/>
    <m/>
    <m/>
  </r>
  <r>
    <x v="1"/>
    <x v="8"/>
    <s v=" "/>
    <m/>
    <m/>
    <x v="1"/>
    <m/>
    <m/>
    <m/>
    <m/>
  </r>
  <r>
    <x v="1"/>
    <x v="8"/>
    <s v="group "/>
    <s v=" "/>
    <s v=" mean of mean fluo "/>
    <x v="2"/>
    <s v=" mean of total fluo "/>
    <s v=" SD total fluo "/>
    <s v=" n fluorescent "/>
    <s v=" n total"/>
  </r>
  <r>
    <x v="19"/>
    <x v="9"/>
    <s v="F:\images\20210304\plaque 2/@07  Testosterone 33 µg_Ldopé/ "/>
    <s v=" "/>
    <s v=" 69.4635 "/>
    <x v="21"/>
    <s v=" 2279524.12 "/>
    <s v=" 918693.29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0"/>
    <x v="0"/>
    <s v="F:\images\20210304\plaque 2/@08  Testosterone 100 µg_Ldopé/A8_01.tif "/>
    <s v=" 32206.9131 "/>
    <s v=" 68.9557 "/>
    <x v="0"/>
    <n v="2220849"/>
    <m/>
    <m/>
    <m/>
  </r>
  <r>
    <x v="20"/>
    <x v="0"/>
    <s v="F:\images\20210304\plaque 2/@08  Testosterone 100 µg_Ldopé/A8_02.tif "/>
    <s v=" 37268.3084 "/>
    <s v=" 70.7899 "/>
    <x v="0"/>
    <n v="2638220"/>
    <m/>
    <m/>
    <m/>
  </r>
  <r>
    <x v="20"/>
    <x v="0"/>
    <s v="F:\images\20210304\plaque 2/@08  Testosterone 100 µg_Ldopé/A8_03.tif "/>
    <s v=" 34110.3438 "/>
    <s v=" 70.8852 "/>
    <x v="0"/>
    <n v="2417919"/>
    <m/>
    <m/>
    <m/>
  </r>
  <r>
    <x v="20"/>
    <x v="1"/>
    <s v="F:\images\20210304\plaque 2/@08  Testosterone 100 µg_Ldopé/B8_01.tif "/>
    <s v=" 48126.5155 "/>
    <s v=" 73.3187 "/>
    <x v="0"/>
    <n v="3528571"/>
    <m/>
    <m/>
    <m/>
  </r>
  <r>
    <x v="20"/>
    <x v="1"/>
    <s v="F:\images\20210304\plaque 2/@08  Testosterone 100 µg_Ldopé/B8_02.tif "/>
    <s v=" 52712.0532 "/>
    <s v=" 73.5224 "/>
    <x v="0"/>
    <n v="3875515"/>
    <m/>
    <m/>
    <m/>
  </r>
  <r>
    <x v="20"/>
    <x v="1"/>
    <s v="F:\images\20210304\plaque 2/@08  Testosterone 100 µg_Ldopé/B8_03.tif "/>
    <s v=" 50440.9143 "/>
    <s v=" 73.6055 "/>
    <x v="0"/>
    <n v="3712728"/>
    <m/>
    <m/>
    <m/>
  </r>
  <r>
    <x v="20"/>
    <x v="2"/>
    <s v="F:\images\20210304\plaque 2/@08  Testosterone 100 µg_Ldopé/C8_01.tif "/>
    <s v=" 4217.8295 "/>
    <s v=" 63.6615 "/>
    <x v="0"/>
    <n v="268514"/>
    <m/>
    <m/>
    <m/>
  </r>
  <r>
    <x v="20"/>
    <x v="2"/>
    <s v="F:\images\20210304\plaque 2/@08  Testosterone 100 µg_Ldopé/C8_02.tif "/>
    <s v=" 7224.3848 "/>
    <s v=" 66.1347 "/>
    <x v="0"/>
    <n v="477783"/>
    <m/>
    <m/>
    <m/>
  </r>
  <r>
    <x v="20"/>
    <x v="2"/>
    <s v="F:\images\20210304\plaque 2/@08  Testosterone 100 µg_Ldopé/C8_03- exclu.tif"/>
    <m/>
    <m/>
    <x v="1"/>
    <m/>
    <m/>
    <m/>
    <m/>
  </r>
  <r>
    <x v="20"/>
    <x v="3"/>
    <s v="F:\images\20210304\plaque 2/@08  Testosterone 100 µg_Ldopé/D8_01.tif "/>
    <s v=" 40556.0524 "/>
    <s v=" 74.2773 "/>
    <x v="0"/>
    <n v="3012395"/>
    <m/>
    <m/>
    <m/>
  </r>
  <r>
    <x v="20"/>
    <x v="3"/>
    <s v="F:\images\20210304\plaque 2/@08  Testosterone 100 µg_Ldopé/D8_02.tif "/>
    <s v=" 39712.4865 "/>
    <s v=" 74.024 "/>
    <x v="0"/>
    <n v="2939676"/>
    <m/>
    <m/>
    <m/>
  </r>
  <r>
    <x v="20"/>
    <x v="3"/>
    <s v="F:\images\20210304\plaque 2/@08  Testosterone 100 µg_Ldopé/D8_03.tif "/>
    <s v=" 37052.0095 "/>
    <s v=" 72.2376 "/>
    <x v="0"/>
    <n v="2676548"/>
    <m/>
    <m/>
    <m/>
  </r>
  <r>
    <x v="20"/>
    <x v="4"/>
    <s v="F:\images\20210304\plaque 2/@08  Testosterone 100 µg_Ldopé/E8_01- exclu.tif"/>
    <m/>
    <m/>
    <x v="1"/>
    <m/>
    <m/>
    <m/>
    <m/>
  </r>
  <r>
    <x v="20"/>
    <x v="4"/>
    <s v="F:\images\20210304\plaque 2/@08  Testosterone 100 µg_Ldopé/E8_02- exclu.tif"/>
    <m/>
    <m/>
    <x v="1"/>
    <m/>
    <m/>
    <m/>
    <m/>
  </r>
  <r>
    <x v="20"/>
    <x v="4"/>
    <s v="F:\images\20210304\plaque 2/@08  Testosterone 100 µg_Ldopé/E8_03- exclu.tif"/>
    <m/>
    <m/>
    <x v="1"/>
    <m/>
    <m/>
    <m/>
    <m/>
  </r>
  <r>
    <x v="20"/>
    <x v="5"/>
    <s v="F:\images\20210304\plaque 2/@08  Testosterone 100 µg_Ldopé/F8_01.tif "/>
    <s v=" 31579.6462 "/>
    <s v=" 67.987 "/>
    <x v="0"/>
    <n v="2147005"/>
    <m/>
    <m/>
    <m/>
  </r>
  <r>
    <x v="20"/>
    <x v="5"/>
    <s v="F:\images\20210304\plaque 2/@08  Testosterone 100 µg_Ldopé/F8_02.tif "/>
    <s v=" 31017.2689 "/>
    <s v=" 68.7315 "/>
    <x v="0"/>
    <n v="2131864"/>
    <m/>
    <m/>
    <m/>
  </r>
  <r>
    <x v="20"/>
    <x v="5"/>
    <s v="F:\images\20210304\plaque 2/@08  Testosterone 100 µg_Ldopé/F8_03.tif "/>
    <s v=" 26648.0302 "/>
    <s v=" 68.0609 "/>
    <x v="0"/>
    <n v="1813688"/>
    <m/>
    <m/>
    <m/>
  </r>
  <r>
    <x v="20"/>
    <x v="6"/>
    <s v="F:\images\20210304\plaque 2/@08  Testosterone 100 µg_Ldopé/G8_01.tif "/>
    <s v=" 25609.7952 "/>
    <s v=" 67.8057 "/>
    <x v="0"/>
    <n v="1736491"/>
    <m/>
    <m/>
    <m/>
  </r>
  <r>
    <x v="20"/>
    <x v="6"/>
    <s v="F:\images\20210304\plaque 2/@08  Testosterone 100 µg_Ldopé/G8_02.tif "/>
    <s v=" 30584.671 "/>
    <s v=" 68.3529 "/>
    <x v="0"/>
    <n v="2090551"/>
    <m/>
    <m/>
    <m/>
  </r>
  <r>
    <x v="20"/>
    <x v="6"/>
    <s v="F:\images\20210304\plaque 2/@08  Testosterone 100 µg_Ldopé/G8_03.tif "/>
    <s v=" 23252.1367 "/>
    <s v=" 66.0102 "/>
    <x v="0"/>
    <n v="1534879"/>
    <m/>
    <m/>
    <m/>
  </r>
  <r>
    <x v="20"/>
    <x v="7"/>
    <s v="F:\images\20210304\plaque 2/@08  Testosterone 100 µg_Ldopé/H8_01- exclu.tif"/>
    <m/>
    <m/>
    <x v="1"/>
    <m/>
    <m/>
    <m/>
    <m/>
  </r>
  <r>
    <x v="20"/>
    <x v="7"/>
    <s v="F:\images\20210304\plaque 2/@08  Testosterone 100 µg_Ldopé/H8_02.tif "/>
    <s v=" 38890.5505 "/>
    <s v=" 71.2764 "/>
    <x v="0"/>
    <n v="2771979"/>
    <m/>
    <m/>
    <m/>
  </r>
  <r>
    <x v="20"/>
    <x v="7"/>
    <s v="F:\images\20210304\plaque 2/@08  Testosterone 100 µg_Ldopé/H8_03.tif "/>
    <s v=" 40815.6112 "/>
    <s v=" 70.9062 "/>
    <x v="0"/>
    <n v="2894080"/>
    <m/>
    <m/>
    <m/>
  </r>
  <r>
    <x v="1"/>
    <x v="8"/>
    <s v=" "/>
    <m/>
    <m/>
    <x v="1"/>
    <m/>
    <m/>
    <m/>
    <m/>
  </r>
  <r>
    <x v="1"/>
    <x v="8"/>
    <s v="group "/>
    <s v=" "/>
    <s v=" mean of mean fluo "/>
    <x v="2"/>
    <s v=" mean of total fluo "/>
    <s v=" SD total fluo "/>
    <s v=" n fluorescent "/>
    <s v=" n total"/>
  </r>
  <r>
    <x v="20"/>
    <x v="9"/>
    <s v="F:\images\20210304\plaque 2/@08  Testosterone 100 µg_Ldopé/ "/>
    <s v=" "/>
    <s v=" 69.1817 "/>
    <x v="22"/>
    <s v=" 2017300.38 "/>
    <s v=" 1165440.0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1"/>
    <x v="0"/>
    <s v="F:\images\20210304\plaque 2/@09  Testosterone 300 µg_L dopé/A9_01.tif "/>
    <s v=" 50051.5762 "/>
    <s v=" 73.6984 "/>
    <x v="0"/>
    <n v="3688719"/>
    <m/>
    <m/>
    <m/>
  </r>
  <r>
    <x v="21"/>
    <x v="0"/>
    <s v="F:\images\20210304\plaque 2/@09  Testosterone 300 µg_L dopé/A9_02.tif "/>
    <s v=" 57254.3311 "/>
    <s v=" 74.926 "/>
    <x v="0"/>
    <n v="4289835"/>
    <m/>
    <m/>
    <m/>
  </r>
  <r>
    <x v="21"/>
    <x v="0"/>
    <s v="F:\images\20210304\plaque 2/@09  Testosterone 300 µg_L dopé/A9_03.tif "/>
    <s v=" 45833.7467 "/>
    <s v=" 75.411 "/>
    <x v="0"/>
    <n v="3456371"/>
    <m/>
    <m/>
    <m/>
  </r>
  <r>
    <x v="21"/>
    <x v="1"/>
    <s v="F:\images\20210304\plaque 2/@09  Testosterone 300 µg_L dopé/B9_01.tif "/>
    <s v=" 64067.7479 "/>
    <s v=" 73.4203 "/>
    <x v="0"/>
    <n v="4703875"/>
    <m/>
    <m/>
    <m/>
  </r>
  <r>
    <x v="21"/>
    <x v="1"/>
    <s v="F:\images\20210304\plaque 2/@09  Testosterone 300 µg_L dopé/B9_02- exclu.tif"/>
    <m/>
    <m/>
    <x v="1"/>
    <m/>
    <m/>
    <m/>
    <m/>
  </r>
  <r>
    <x v="21"/>
    <x v="1"/>
    <s v="F:\images\20210304\plaque 2/@09  Testosterone 300 µg_L dopé/B9_03.tif "/>
    <s v=" 64630.1252 "/>
    <s v=" 71.8705 "/>
    <x v="0"/>
    <n v="4644998"/>
    <m/>
    <m/>
    <m/>
  </r>
  <r>
    <x v="21"/>
    <x v="2"/>
    <s v="F:\images\20210304\plaque 2/@09  Testosterone 300 µg_L dopé/C9_01.tif "/>
    <s v=" 57102.9218 "/>
    <s v=" 74.6174 "/>
    <x v="0"/>
    <n v="4260873"/>
    <m/>
    <m/>
    <m/>
  </r>
  <r>
    <x v="21"/>
    <x v="2"/>
    <s v="F:\images\20210304\plaque 2/@09  Testosterone 300 µg_L dopé/C9_02.tif "/>
    <s v=" 65279.022 "/>
    <s v=" 75.1478 "/>
    <x v="0"/>
    <n v="4905574"/>
    <m/>
    <m/>
    <m/>
  </r>
  <r>
    <x v="21"/>
    <x v="2"/>
    <s v="F:\images\20210304\plaque 2/@09  Testosterone 300 µg_L dopé/C9_03.tif "/>
    <s v=" 58054.6372 "/>
    <s v=" 74.1121 "/>
    <x v="0"/>
    <n v="4302554"/>
    <m/>
    <m/>
    <m/>
  </r>
  <r>
    <x v="21"/>
    <x v="3"/>
    <s v="F:\images\20210304\plaque 2/@09  Testosterone 300 µg_L dopé/D9_01.tif "/>
    <s v=" 41832.2162 "/>
    <s v=" 69.7828 "/>
    <x v="0"/>
    <n v="2919171"/>
    <m/>
    <m/>
    <m/>
  </r>
  <r>
    <x v="21"/>
    <x v="3"/>
    <s v="F:\images\20210304\plaque 2/@09  Testosterone 300 µg_L dopé/D9_02.tif "/>
    <s v=" 50159.7256 "/>
    <s v=" 72.6244 "/>
    <x v="0"/>
    <n v="3642820"/>
    <m/>
    <m/>
    <m/>
  </r>
  <r>
    <x v="21"/>
    <x v="3"/>
    <s v="F:\images\20210304\plaque 2/@09  Testosterone 300 µg_L dopé/D9_03.tif "/>
    <s v=" 42070.1451 "/>
    <s v=" 70.8807 "/>
    <x v="0"/>
    <n v="2981962"/>
    <m/>
    <m/>
    <m/>
  </r>
  <r>
    <x v="21"/>
    <x v="4"/>
    <s v="F:\images\20210304\plaque 2/@09  Testosterone 300 µg_L dopé/E9_01.tif "/>
    <s v=" 28335.162 "/>
    <s v=" 69.6618 "/>
    <x v="0"/>
    <n v="1973879"/>
    <m/>
    <m/>
    <m/>
  </r>
  <r>
    <x v="21"/>
    <x v="4"/>
    <s v="F:\images\20210304\plaque 2/@09  Testosterone 300 µg_L dopé/E9_02.tif "/>
    <s v=" 30930.7493 "/>
    <s v=" 70.3923 "/>
    <x v="0"/>
    <n v="2177287"/>
    <m/>
    <m/>
    <m/>
  </r>
  <r>
    <x v="21"/>
    <x v="4"/>
    <s v="F:\images\20210304\plaque 2/@09  Testosterone 300 µg_L dopé/E9_03.tif "/>
    <s v=" 30909.1194 "/>
    <s v=" 71.0084 "/>
    <x v="0"/>
    <n v="2194807"/>
    <m/>
    <m/>
    <m/>
  </r>
  <r>
    <x v="21"/>
    <x v="5"/>
    <s v="F:\images\20210304\plaque 2/@09  Testosterone 300 µg_L dopé/F9_01.tif "/>
    <s v=" 55740.2385 "/>
    <s v=" 76.5871 "/>
    <x v="0"/>
    <n v="4268984"/>
    <m/>
    <m/>
    <m/>
  </r>
  <r>
    <x v="21"/>
    <x v="5"/>
    <s v="F:\images\20210304\plaque 2/@09  Testosterone 300 µg_L dopé/F9_02.tif "/>
    <s v=" 54766.8932 "/>
    <s v=" 75.0166 "/>
    <x v="0"/>
    <n v="4108425"/>
    <m/>
    <m/>
    <m/>
  </r>
  <r>
    <x v="21"/>
    <x v="5"/>
    <s v="F:\images\20210304\plaque 2/@09  Testosterone 300 µg_L dopé/F9_03.tif "/>
    <s v=" 48775.4124 "/>
    <s v=" 74.2111 "/>
    <x v="0"/>
    <n v="3619676"/>
    <m/>
    <m/>
    <m/>
  </r>
  <r>
    <x v="21"/>
    <x v="6"/>
    <s v="F:\images\20210304\plaque 2/@09  Testosterone 300 µg_L dopé/G9_01.tif "/>
    <s v=" 37138.5291 "/>
    <s v=" 73.4164 "/>
    <x v="0"/>
    <n v="2726578"/>
    <m/>
    <m/>
    <m/>
  </r>
  <r>
    <x v="21"/>
    <x v="6"/>
    <s v="F:\images\20210304\plaque 2/@09  Testosterone 300 µg_L dopé/G9_02.tif "/>
    <s v=" 39669.2267 "/>
    <s v=" 74.3757 "/>
    <x v="0"/>
    <n v="2950426"/>
    <m/>
    <m/>
    <m/>
  </r>
  <r>
    <x v="21"/>
    <x v="6"/>
    <s v="F:\images\20210304\plaque 2/@09  Testosterone 300 µg_L dopé/G9_03.tif "/>
    <s v=" 36576.1518 "/>
    <s v=" 74.8462 "/>
    <x v="0"/>
    <n v="2737588"/>
    <m/>
    <m/>
    <m/>
  </r>
  <r>
    <x v="21"/>
    <x v="7"/>
    <s v="F:\images\20210304\plaque 2/@09  Testosterone 300 µg_L dopé/H9_01.tif "/>
    <s v=" 25977.5034 "/>
    <s v=" 71.0733 "/>
    <x v="0"/>
    <n v="1846306"/>
    <m/>
    <m/>
    <m/>
  </r>
  <r>
    <x v="21"/>
    <x v="7"/>
    <s v="F:\images\20210304\plaque 2/@09  Testosterone 300 µg_L dopé/H9_02.tif "/>
    <s v=" 30454.8916 "/>
    <s v=" 73.0881 "/>
    <x v="0"/>
    <n v="2225889"/>
    <m/>
    <m/>
    <m/>
  </r>
  <r>
    <x v="21"/>
    <x v="7"/>
    <s v="F:\images\20210304\plaque 2/@09  Testosterone 300 µg_L dopé/H9_03.tif "/>
    <s v=" 28962.4289 "/>
    <s v=" 71.6042 "/>
    <x v="0"/>
    <n v="2073831"/>
    <m/>
    <m/>
    <m/>
  </r>
  <r>
    <x v="1"/>
    <x v="8"/>
    <s v=" "/>
    <m/>
    <m/>
    <x v="1"/>
    <m/>
    <m/>
    <m/>
    <m/>
  </r>
  <r>
    <x v="1"/>
    <x v="8"/>
    <s v="group "/>
    <s v=" "/>
    <s v=" mean of mean fluo "/>
    <x v="2"/>
    <s v=" mean of total fluo "/>
    <s v=" SD total fluo "/>
    <s v=" n fluorescent "/>
    <s v=" n total"/>
  </r>
  <r>
    <x v="21"/>
    <x v="9"/>
    <s v="F:\images\20210304\plaque 2/@09  Testosterone 300 µg_L dopé/ "/>
    <s v=" "/>
    <s v=" 72.7423 "/>
    <x v="23"/>
    <s v=" 3248779.5 "/>
    <s v=" 1049532.7 "/>
    <n v="24"/>
    <n v="24"/>
  </r>
  <r>
    <x v="1"/>
    <x v="8"/>
    <s v=" "/>
    <m/>
    <m/>
    <x v="1"/>
    <m/>
    <m/>
    <m/>
    <m/>
  </r>
  <r>
    <x v="1"/>
    <x v="8"/>
    <s v=" "/>
    <m/>
    <m/>
    <x v="1"/>
    <m/>
    <m/>
    <m/>
    <m/>
  </r>
  <r>
    <x v="1"/>
    <x v="8"/>
    <s v=" "/>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0">
  <r>
    <x v="0"/>
    <x v="0"/>
    <s v="F:\images\20210305\plaque 1/@01 Evian + 0.2% DMSO/A1_01.tif "/>
    <s v=" 346.0783 "/>
    <s v=" 63.1875 "/>
    <x v="0"/>
    <n v="21868"/>
    <m/>
    <m/>
    <m/>
  </r>
  <r>
    <x v="0"/>
    <x v="0"/>
    <s v="F:\images\20210305\plaque 1/@01 Evian + 0.2% DMSO/A1_02.tif "/>
    <s v=" 346.0783 "/>
    <s v=" 63.375 "/>
    <x v="0"/>
    <n v="21933"/>
    <m/>
    <m/>
    <m/>
  </r>
  <r>
    <x v="0"/>
    <x v="0"/>
    <s v="F:\images\20210305\plaque 1/@01 Evian + 0.2% DMSO/A1_03.tif "/>
    <s v=" 540.7474 "/>
    <s v=" 63.12 "/>
    <x v="0"/>
    <n v="34132"/>
    <m/>
    <m/>
    <m/>
  </r>
  <r>
    <x v="0"/>
    <x v="1"/>
    <s v="F:\images\20210305\plaque 1/@01 Evian + 0.2% DMSO/B1_01.tif "/>
    <s v=" 389.3381 "/>
    <s v=" 65.3333 "/>
    <x v="0"/>
    <n v="25437"/>
    <m/>
    <m/>
    <m/>
  </r>
  <r>
    <x v="0"/>
    <x v="1"/>
    <s v="F:\images\20210305\plaque 1/@01 Evian + 0.2% DMSO/B1_02.tif "/>
    <s v=" 216.2989 "/>
    <s v=" 63.9 "/>
    <x v="0"/>
    <n v="13822"/>
    <m/>
    <m/>
    <m/>
  </r>
  <r>
    <x v="0"/>
    <x v="1"/>
    <s v="F:\images\20210305\plaque 1/@01 Evian + 0.2% DMSO/B1_03.tif "/>
    <s v=" 432.5979 "/>
    <s v=" 65.9 "/>
    <x v="0"/>
    <n v="28508"/>
    <m/>
    <m/>
    <m/>
  </r>
  <r>
    <x v="0"/>
    <x v="2"/>
    <s v="F:\images\20210305\plaque 1/@01 Evian + 0.2% DMSO/C1_01.tif "/>
    <s v=" 259.5587 "/>
    <s v=" 63.3333 "/>
    <x v="0"/>
    <n v="16439"/>
    <m/>
    <m/>
    <m/>
  </r>
  <r>
    <x v="0"/>
    <x v="2"/>
    <s v="F:\images\20210305\plaque 1/@01 Evian + 0.2% DMSO/C1_02.tif "/>
    <s v=" 237.9288 "/>
    <s v=" 62.9091 "/>
    <x v="0"/>
    <n v="14968"/>
    <m/>
    <m/>
    <m/>
  </r>
  <r>
    <x v="0"/>
    <x v="2"/>
    <s v="F:\images\20210305\plaque 1/@01 Evian + 0.2% DMSO/C1_03.tif "/>
    <s v=" 302.8185 "/>
    <s v=" 67.4286 "/>
    <x v="0"/>
    <n v="20419"/>
    <m/>
    <m/>
    <m/>
  </r>
  <r>
    <x v="0"/>
    <x v="3"/>
    <s v="F:\images\20210305\plaque 1/@01 Evian + 0.2% DMSO/D1_01.tif "/>
    <s v=" 5840.0715 "/>
    <s v=" 83.8333 "/>
    <x v="0"/>
    <n v="489593"/>
    <m/>
    <m/>
    <m/>
  </r>
  <r>
    <x v="0"/>
    <x v="3"/>
    <s v="F:\images\20210305\plaque 1/@01 Evian + 0.2% DMSO/D1_02.tif "/>
    <s v=" 5926.5911 "/>
    <s v=" 73.562 "/>
    <x v="0"/>
    <n v="435972"/>
    <m/>
    <m/>
    <m/>
  </r>
  <r>
    <x v="0"/>
    <x v="3"/>
    <s v="F:\images\20210305\plaque 1/@01 Evian + 0.2% DMSO/D1_03.tif "/>
    <s v=" 4607.1676 "/>
    <s v=" 68.2441 "/>
    <x v="0"/>
    <n v="314412"/>
    <m/>
    <m/>
    <m/>
  </r>
  <r>
    <x v="0"/>
    <x v="4"/>
    <s v="F:\images\20210305\plaque 1/@01 Evian + 0.2% DMSO/E1_01.tif "/>
    <s v=" 5407.4737 "/>
    <s v=" 68.112 "/>
    <x v="0"/>
    <n v="368314"/>
    <m/>
    <m/>
    <m/>
  </r>
  <r>
    <x v="0"/>
    <x v="4"/>
    <s v="F:\images\20210305\plaque 1/@01 Evian + 0.2% DMSO/E1_02.tif "/>
    <s v=" 6056.3705 "/>
    <s v=" 69.7 "/>
    <x v="0"/>
    <n v="422129"/>
    <m/>
    <m/>
    <m/>
  </r>
  <r>
    <x v="0"/>
    <x v="4"/>
    <s v="F:\images\20210305\plaque 1/@01 Evian + 0.2% DMSO/E1_03.tif "/>
    <s v=" 2703.7368 "/>
    <s v=" 66.232 "/>
    <x v="0"/>
    <n v="179074"/>
    <m/>
    <m/>
    <m/>
  </r>
  <r>
    <x v="0"/>
    <x v="5"/>
    <s v="F:\images\20210305\plaque 1/@01 Evian + 0.2% DMSO/F1_01.tif "/>
    <s v=" 1016.605 "/>
    <s v=" 62.8723 "/>
    <x v="0"/>
    <n v="63916"/>
    <m/>
    <m/>
    <m/>
  </r>
  <r>
    <x v="0"/>
    <x v="5"/>
    <s v="F:\images\20210305\plaque 1/@01 Evian + 0.2% DMSO/F1_02.tif "/>
    <s v=" 562.3773 "/>
    <s v=" 62.9615 "/>
    <x v="0"/>
    <n v="35408"/>
    <m/>
    <m/>
    <m/>
  </r>
  <r>
    <x v="0"/>
    <x v="5"/>
    <s v="F:\images\20210305\plaque 1/@01 Evian + 0.2% DMSO/F1_03.tif "/>
    <s v=" 367.7082 "/>
    <s v=" 61.5294 "/>
    <x v="0"/>
    <n v="22625"/>
    <m/>
    <m/>
    <m/>
  </r>
  <r>
    <x v="0"/>
    <x v="6"/>
    <s v="F:\images\20210305\plaque 1/@01 Evian + 0.2% DMSO/G1_01.tif "/>
    <s v=" 432.5979 "/>
    <s v=" 63.75 "/>
    <x v="0"/>
    <n v="27578"/>
    <m/>
    <m/>
    <m/>
  </r>
  <r>
    <x v="0"/>
    <x v="6"/>
    <s v="F:\images\20210305\plaque 1/@01 Evian + 0.2% DMSO/G1_02.tif "/>
    <s v=" 346.0783 "/>
    <s v=" 64.5625 "/>
    <x v="0"/>
    <n v="22344"/>
    <m/>
    <m/>
    <m/>
  </r>
  <r>
    <x v="0"/>
    <x v="6"/>
    <s v="F:\images\20210305\plaque 1/@01 Evian + 0.2% DMSO/G1_03.tif "/>
    <s v=" 475.8577 "/>
    <s v=" 65.4545 "/>
    <x v="0"/>
    <n v="31147"/>
    <m/>
    <m/>
    <m/>
  </r>
  <r>
    <x v="0"/>
    <x v="7"/>
    <s v="F:\images\20210305\plaque 1/@01 Evian + 0.2% DMSO/H1_01.tif "/>
    <s v=" 216.2989 "/>
    <s v=" 65.3 "/>
    <x v="0"/>
    <n v="14124"/>
    <m/>
    <m/>
    <m/>
  </r>
  <r>
    <x v="0"/>
    <x v="7"/>
    <s v="F:\images\20210305\plaque 1/@01 Evian + 0.2% DMSO/H1_02.tif "/>
    <s v=" 367.7082 "/>
    <s v=" 64.5882 "/>
    <x v="0"/>
    <n v="23750"/>
    <m/>
    <m/>
    <m/>
  </r>
  <r>
    <x v="0"/>
    <x v="7"/>
    <s v="F:\images\20210305\plaque 1/@01 Evian + 0.2% DMSO/H1_03.tif "/>
    <s v=" 259.5587 "/>
    <s v=" 62.75 "/>
    <x v="0"/>
    <n v="16287"/>
    <m/>
    <m/>
    <m/>
  </r>
  <r>
    <x v="1"/>
    <x v="8"/>
    <s v=" "/>
    <m/>
    <m/>
    <x v="1"/>
    <m/>
    <m/>
    <m/>
    <m/>
  </r>
  <r>
    <x v="1"/>
    <x v="8"/>
    <s v="group "/>
    <s v=" "/>
    <s v=" mean of mean fluo "/>
    <x v="2"/>
    <s v=" mean of total fluo "/>
    <s v=" SD total fluo "/>
    <s v=" n fluorescent "/>
    <s v=" n total"/>
  </r>
  <r>
    <x v="0"/>
    <x v="9"/>
    <s v="F:\images\20210305\plaque 1/@01 Evian + 0.2% DMSO/ "/>
    <s v=" "/>
    <s v=" 65.9141 "/>
    <x v="3"/>
    <s v=" 111008.292 "/>
    <s v=" 160514.26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
    <x v="0"/>
    <s v="F:\images\20210305\plaque 1/@02 EE2 33.8/A2_01.tif "/>
    <s v=" 367.7082 "/>
    <s v=" 62.2941 "/>
    <x v="0"/>
    <n v="22906"/>
    <m/>
    <m/>
    <m/>
  </r>
  <r>
    <x v="2"/>
    <x v="0"/>
    <s v="F:\images\20210305\plaque 1/@02 EE2 33.8/A2_02.tif "/>
    <s v=" 930.0855 "/>
    <s v=" 63.2558 "/>
    <x v="0"/>
    <n v="58833"/>
    <m/>
    <m/>
    <m/>
  </r>
  <r>
    <x v="2"/>
    <x v="0"/>
    <s v="F:\images\20210305\plaque 1/@02 EE2 33.8/A2_03.tif "/>
    <s v=" 4758.5768 "/>
    <s v=" 67.9864 "/>
    <x v="0"/>
    <n v="323518"/>
    <m/>
    <m/>
    <m/>
  </r>
  <r>
    <x v="2"/>
    <x v="1"/>
    <s v="F:\images\20210305\plaque 1/@02 EE2 33.8/B2_01.tif "/>
    <s v=" 1578.9823 "/>
    <s v=" 65.1233 "/>
    <x v="0"/>
    <n v="102829"/>
    <m/>
    <m/>
    <m/>
  </r>
  <r>
    <x v="2"/>
    <x v="1"/>
    <s v="F:\images\20210305\plaque 1/@02 EE2 33.8/B2_02.tif "/>
    <s v=" 3915.0109 "/>
    <s v=" 72.3315 "/>
    <x v="0"/>
    <n v="283179"/>
    <m/>
    <m/>
    <m/>
  </r>
  <r>
    <x v="2"/>
    <x v="1"/>
    <s v="F:\images\20210305\plaque 1/@02 EE2 33.8/B2_03.tif "/>
    <s v=" 3439.1532 "/>
    <s v=" 70.7044 "/>
    <x v="0"/>
    <n v="243163"/>
    <m/>
    <m/>
    <m/>
  </r>
  <r>
    <x v="2"/>
    <x v="2"/>
    <s v="F:\images\20210305\plaque 1/@02 EE2 33.8/C2_01.tif "/>
    <s v=" 475.8577 "/>
    <s v=" 63.2727 "/>
    <x v="0"/>
    <n v="30109"/>
    <m/>
    <m/>
    <m/>
  </r>
  <r>
    <x v="2"/>
    <x v="2"/>
    <s v="F:\images\20210305\plaque 1/@02 EE2 33.8/C2_02.tif "/>
    <s v=" 584.0072 "/>
    <s v=" 62.7778 "/>
    <x v="0"/>
    <n v="36663"/>
    <m/>
    <m/>
    <m/>
  </r>
  <r>
    <x v="2"/>
    <x v="2"/>
    <s v="F:\images\20210305\plaque 1/@02 EE2 33.8/C2_03.tif "/>
    <s v=" 367.7082 "/>
    <s v=" 62.2353 "/>
    <x v="0"/>
    <n v="22884"/>
    <m/>
    <m/>
    <m/>
  </r>
  <r>
    <x v="2"/>
    <x v="3"/>
    <s v="F:\images\20210305\plaque 1/@02 EE2 33.8/D2_01.tif "/>
    <s v=" 1405.9432 "/>
    <s v=" 63.9846 "/>
    <x v="0"/>
    <n v="89959"/>
    <m/>
    <m/>
    <m/>
  </r>
  <r>
    <x v="2"/>
    <x v="3"/>
    <s v="F:\images\20210305\plaque 1/@02 EE2 33.8/D2_02.tif "/>
    <s v=" 281.1886 "/>
    <s v=" 64.5385 "/>
    <x v="0"/>
    <n v="18147"/>
    <m/>
    <m/>
    <m/>
  </r>
  <r>
    <x v="2"/>
    <x v="3"/>
    <s v="F:\images\20210305\plaque 1/@02 EE2 33.8/D2_03.tif "/>
    <s v=" 1016.605 "/>
    <s v=" 63.1702 "/>
    <x v="0"/>
    <n v="64219"/>
    <m/>
    <m/>
    <m/>
  </r>
  <r>
    <x v="2"/>
    <x v="4"/>
    <s v="F:\images\20210305\plaque 1/@02 EE2 33.8/E2_01.tif "/>
    <s v=" 1103.1246 "/>
    <s v=" 64.5098 "/>
    <x v="0"/>
    <n v="71162"/>
    <m/>
    <m/>
    <m/>
  </r>
  <r>
    <x v="2"/>
    <x v="4"/>
    <s v="F:\images\20210305\plaque 1/@02 EE2 33.8/E2_02.tif "/>
    <s v=" 692.1566 "/>
    <s v=" 62.7188 "/>
    <x v="0"/>
    <n v="43411"/>
    <m/>
    <m/>
    <m/>
  </r>
  <r>
    <x v="2"/>
    <x v="4"/>
    <s v="F:\images\20210305\plaque 1/@02 EE2 33.8/E2_03.tif "/>
    <s v=" 194.6691 "/>
    <s v=" 62.2222 "/>
    <x v="0"/>
    <n v="12113"/>
    <m/>
    <m/>
    <m/>
  </r>
  <r>
    <x v="2"/>
    <x v="5"/>
    <s v="F:\images\20210305\plaque 1/@02 EE2 33.8/F2_01- exclu.tif"/>
    <m/>
    <m/>
    <x v="1"/>
    <m/>
    <m/>
    <m/>
    <m/>
  </r>
  <r>
    <x v="2"/>
    <x v="5"/>
    <s v="F:\images\20210305\plaque 1/@02 EE2 33.8/F2_02.tif "/>
    <s v=" 389.3381 "/>
    <s v=" 63.1111 "/>
    <x v="0"/>
    <n v="24572"/>
    <m/>
    <m/>
    <m/>
  </r>
  <r>
    <x v="2"/>
    <x v="5"/>
    <s v="F:\images\20210305\plaque 1/@02 EE2 33.8/F2_03.tif "/>
    <s v=" 410.968 "/>
    <s v=" 65.2632 "/>
    <x v="0"/>
    <n v="26821"/>
    <m/>
    <m/>
    <m/>
  </r>
  <r>
    <x v="2"/>
    <x v="6"/>
    <s v="F:\images\20210305\plaque 1/@02 EE2 33.8/G2_01.tif "/>
    <s v=" 1405.9432 "/>
    <n v="63"/>
    <x v="0"/>
    <n v="88574"/>
    <m/>
    <m/>
    <m/>
  </r>
  <r>
    <x v="2"/>
    <x v="6"/>
    <s v="F:\images\20210305\plaque 1/@02 EE2 33.8/G2_02.tif "/>
    <s v=" 1643.872 "/>
    <s v=" 63.9868 "/>
    <x v="0"/>
    <n v="105186"/>
    <m/>
    <m/>
    <m/>
  </r>
  <r>
    <x v="2"/>
    <x v="6"/>
    <s v="F:\images\20210305\plaque 1/@02 EE2 33.8/G2_03.tif "/>
    <s v=" 540.7474 "/>
    <n v="63"/>
    <x v="0"/>
    <n v="34067"/>
    <m/>
    <m/>
    <m/>
  </r>
  <r>
    <x v="2"/>
    <x v="7"/>
    <s v="F:\images\20210305\plaque 1/@02 EE2 33.8/H2_01.tif "/>
    <s v=" 1470.8328 "/>
    <s v=" 64.1765 "/>
    <x v="0"/>
    <n v="94393"/>
    <m/>
    <m/>
    <m/>
  </r>
  <r>
    <x v="2"/>
    <x v="7"/>
    <s v="F:\images\20210305\plaque 1/@02 EE2 33.8/H2_02.tif "/>
    <s v=" 302.8185 "/>
    <s v=" 63.2143 "/>
    <x v="0"/>
    <n v="19142"/>
    <m/>
    <m/>
    <m/>
  </r>
  <r>
    <x v="2"/>
    <x v="7"/>
    <s v="F:\images\20210305\plaque 1/@02 EE2 33.8/H2_03.tif "/>
    <s v=" 5212.8046 "/>
    <s v=" 67.61 "/>
    <x v="0"/>
    <n v="352438"/>
    <m/>
    <m/>
    <m/>
  </r>
  <r>
    <x v="1"/>
    <x v="8"/>
    <s v=" "/>
    <m/>
    <m/>
    <x v="1"/>
    <m/>
    <m/>
    <m/>
    <m/>
  </r>
  <r>
    <x v="1"/>
    <x v="8"/>
    <s v="group "/>
    <s v=" "/>
    <s v=" mean of mean fluo "/>
    <x v="2"/>
    <s v=" mean of total fluo "/>
    <s v=" SD total fluo "/>
    <s v=" n fluorescent "/>
    <s v=" n total"/>
  </r>
  <r>
    <x v="2"/>
    <x v="9"/>
    <s v="F:\images\20210305\plaque 1/@02 EE2 33.8/ "/>
    <s v=" "/>
    <s v=" 64.4647 "/>
    <x v="4"/>
    <s v=" 90684.2083 "/>
    <s v=" 101839.44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3"/>
    <x v="0"/>
    <s v="F:\images\20210305\plaque 1/@03 EE2 50.6/A3_01.tif "/>
    <s v=" 302.8185 "/>
    <s v=" 62.9286 "/>
    <x v="0"/>
    <n v="19056"/>
    <m/>
    <m/>
    <m/>
  </r>
  <r>
    <x v="3"/>
    <x v="0"/>
    <s v="F:\images\20210305\plaque 1/@03 EE2 50.6/A3_02.tif "/>
    <s v=" 6402.4488 "/>
    <s v=" 75.7736 "/>
    <x v="0"/>
    <n v="485137"/>
    <m/>
    <m/>
    <m/>
  </r>
  <r>
    <x v="3"/>
    <x v="0"/>
    <s v="F:\images\20210305\plaque 1/@03 EE2 50.6/A3_03.tif "/>
    <s v=" 6402.4488 "/>
    <s v=" 73.3209 "/>
    <x v="0"/>
    <n v="469434"/>
    <m/>
    <m/>
    <m/>
  </r>
  <r>
    <x v="3"/>
    <x v="1"/>
    <s v="F:\images\20210305\plaque 1/@03 EE2 50.6/B3_01.tif "/>
    <s v=" 4325.9789 "/>
    <s v=" 65.86 "/>
    <x v="0"/>
    <n v="284909"/>
    <m/>
    <m/>
    <m/>
  </r>
  <r>
    <x v="3"/>
    <x v="1"/>
    <s v="F:\images\20210305\plaque 1/@03 EE2 50.6/B3_02.tif "/>
    <s v=" 7938.1713 "/>
    <s v=" 67.2153 "/>
    <x v="0"/>
    <n v="533566"/>
    <m/>
    <m/>
    <m/>
  </r>
  <r>
    <x v="3"/>
    <x v="1"/>
    <s v="F:\images\20210305\plaque 1/@03 EE2 50.6/B3_03.tif "/>
    <s v=" 4434.1284 "/>
    <s v=" 65.0585 "/>
    <x v="0"/>
    <n v="288478"/>
    <m/>
    <m/>
    <m/>
  </r>
  <r>
    <x v="3"/>
    <x v="2"/>
    <s v="F:\images\20210305\plaque 1/@03 EE2 50.6/C3_01.tif "/>
    <s v=" 1211.2741 "/>
    <s v=" 65.4286 "/>
    <x v="0"/>
    <n v="79252"/>
    <m/>
    <m/>
    <m/>
  </r>
  <r>
    <x v="3"/>
    <x v="2"/>
    <s v="F:\images\20210305\plaque 1/@03 EE2 50.6/C3_02.tif "/>
    <s v=" 908.4556 "/>
    <s v=" 62.1905 "/>
    <x v="0"/>
    <n v="56497"/>
    <m/>
    <m/>
    <m/>
  </r>
  <r>
    <x v="3"/>
    <x v="2"/>
    <s v="F:\images\20210305\plaque 1/@03 EE2 50.6/C3_03.tif "/>
    <s v=" 843.5659 "/>
    <s v=" 64.6923 "/>
    <x v="0"/>
    <n v="54572"/>
    <m/>
    <m/>
    <m/>
  </r>
  <r>
    <x v="3"/>
    <x v="3"/>
    <s v="F:\images\20210305\plaque 1/@03 EE2 50.6/D3_01.tif "/>
    <s v=" 1427.573 "/>
    <s v=" 68.0303 "/>
    <x v="0"/>
    <n v="97118"/>
    <m/>
    <m/>
    <m/>
  </r>
  <r>
    <x v="3"/>
    <x v="3"/>
    <s v="F:\images\20210305\plaque 1/@03 EE2 50.6/D3_02.tif "/>
    <s v=" 713.7865 "/>
    <s v=" 63.697 "/>
    <x v="0"/>
    <n v="45466"/>
    <m/>
    <m/>
    <m/>
  </r>
  <r>
    <x v="3"/>
    <x v="3"/>
    <s v="F:\images\20210305\plaque 1/@03 EE2 50.6/D3_03.tif "/>
    <s v=" 432.5979 "/>
    <s v=" 64.1 "/>
    <x v="0"/>
    <n v="27730"/>
    <m/>
    <m/>
    <m/>
  </r>
  <r>
    <x v="3"/>
    <x v="4"/>
    <s v="F:\images\20210305\plaque 1/@03 EE2 50.6/E3_01.tif "/>
    <s v=" 6445.7086 "/>
    <s v=" 80.6376 "/>
    <x v="0"/>
    <n v="519766"/>
    <m/>
    <m/>
    <m/>
  </r>
  <r>
    <x v="3"/>
    <x v="4"/>
    <s v="F:\images\20210305\plaque 1/@03 EE2 50.6/E3_02.tif "/>
    <s v=" 519.1175 "/>
    <s v=" 64.5833 "/>
    <x v="0"/>
    <n v="33526"/>
    <m/>
    <m/>
    <m/>
  </r>
  <r>
    <x v="3"/>
    <x v="4"/>
    <s v="F:\images\20210305\plaque 1/@03 EE2 50.6/E3_03.tif "/>
    <s v=" 8003.061 "/>
    <s v=" 74.1946 "/>
    <x v="0"/>
    <n v="593784"/>
    <m/>
    <m/>
    <m/>
  </r>
  <r>
    <x v="3"/>
    <x v="5"/>
    <s v="F:\images\20210305\plaque 1/@03 EE2 50.6/F3_01.tif "/>
    <s v=" 3936.6408 "/>
    <s v=" 63.7088 "/>
    <x v="0"/>
    <n v="250799"/>
    <m/>
    <m/>
    <m/>
  </r>
  <r>
    <x v="3"/>
    <x v="5"/>
    <s v="F:\images\20210305\plaque 1/@03 EE2 50.6/F3_02.tif "/>
    <s v=" 6142.8901 "/>
    <s v=" 64.5282 "/>
    <x v="0"/>
    <n v="396389"/>
    <m/>
    <m/>
    <m/>
  </r>
  <r>
    <x v="3"/>
    <x v="5"/>
    <s v="F:\images\20210305\plaque 1/@03 EE2 50.6/F3_03.tif "/>
    <s v=" 4390.8686 "/>
    <s v=" 64.0148 "/>
    <x v="0"/>
    <n v="281080"/>
    <m/>
    <m/>
    <m/>
  </r>
  <r>
    <x v="3"/>
    <x v="6"/>
    <s v="F:\images\20210305\plaque 1/@03 EE2 50.6/G3_01.tif "/>
    <s v=" 2444.1781 "/>
    <s v=" 64.3894 "/>
    <x v="0"/>
    <n v="157379"/>
    <m/>
    <m/>
    <m/>
  </r>
  <r>
    <x v="3"/>
    <x v="6"/>
    <s v="F:\images\20210305\plaque 1/@03 EE2 50.6/G3_02.tif "/>
    <s v=" 800.3061 "/>
    <s v=" 62.2162 "/>
    <x v="0"/>
    <n v="49792"/>
    <m/>
    <m/>
    <m/>
  </r>
  <r>
    <x v="3"/>
    <x v="6"/>
    <s v="F:\images\20210305\plaque 1/@03 EE2 50.6/G3_03.tif "/>
    <s v=" 3266.1141 "/>
    <s v=" 64.543 "/>
    <x v="0"/>
    <n v="210805"/>
    <m/>
    <m/>
    <m/>
  </r>
  <r>
    <x v="3"/>
    <x v="7"/>
    <s v="F:\images\20210305\plaque 1/@03 EE2 50.6/H3_01.tif "/>
    <s v=" 281.1886 "/>
    <s v=" 63.6923 "/>
    <x v="0"/>
    <n v="17910"/>
    <m/>
    <m/>
    <m/>
  </r>
  <r>
    <x v="3"/>
    <x v="7"/>
    <s v="F:\images\20210305\plaque 1/@03 EE2 50.6/H3_02.tif "/>
    <s v=" 562.3773 "/>
    <s v=" 62.8846 "/>
    <x v="0"/>
    <n v="35365"/>
    <m/>
    <m/>
    <m/>
  </r>
  <r>
    <x v="3"/>
    <x v="7"/>
    <s v="F:\images\20210305\plaque 1/@03 EE2 50.6/H3_03.tif "/>
    <s v=" 519.1175 "/>
    <s v=" 63.625 "/>
    <x v="0"/>
    <n v="33029"/>
    <m/>
    <m/>
    <m/>
  </r>
  <r>
    <x v="1"/>
    <x v="8"/>
    <s v=" "/>
    <m/>
    <m/>
    <x v="1"/>
    <m/>
    <m/>
    <m/>
    <m/>
  </r>
  <r>
    <x v="1"/>
    <x v="8"/>
    <s v="group "/>
    <s v=" "/>
    <s v=" mean of mean fluo "/>
    <x v="2"/>
    <s v=" mean of total fluo "/>
    <s v=" SD total fluo "/>
    <s v=" n fluorescent "/>
    <s v=" n total"/>
  </r>
  <r>
    <x v="3"/>
    <x v="9"/>
    <s v="F:\images\20210305\plaque 1/@03 EE2 50.6/ "/>
    <s v=" "/>
    <s v=" 66.3047 "/>
    <x v="5"/>
    <s v=" 209201.625 "/>
    <s v=" 195243.98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4"/>
    <x v="0"/>
    <s v="F:\images\20210305\plaque 1/@04 EE2 76/A4_01.tif "/>
    <s v=" 10360.7195 "/>
    <s v=" 72.8643 "/>
    <x v="0"/>
    <n v="754927"/>
    <m/>
    <m/>
    <m/>
  </r>
  <r>
    <x v="4"/>
    <x v="0"/>
    <s v="F:\images\20210305\plaque 1/@04 EE2 76/A4_02.tif "/>
    <s v=" 8543.8084 "/>
    <s v=" 69.438 "/>
    <x v="0"/>
    <n v="593265"/>
    <m/>
    <m/>
    <m/>
  </r>
  <r>
    <x v="4"/>
    <x v="0"/>
    <s v="F:\images\20210305\plaque 1/@04 EE2 76/A4_03.tif "/>
    <s v=" 2184.6194 "/>
    <s v=" 62.9307 "/>
    <x v="0"/>
    <n v="137480"/>
    <m/>
    <m/>
    <m/>
  </r>
  <r>
    <x v="4"/>
    <x v="1"/>
    <s v="F:\images\20210305\plaque 1/@04 EE2 76/B4_01.tif "/>
    <s v=" 14275.7305 "/>
    <s v=" 72.3439 "/>
    <x v="0"/>
    <n v="1032763"/>
    <m/>
    <m/>
    <m/>
  </r>
  <r>
    <x v="4"/>
    <x v="1"/>
    <s v="F:\images\20210305\plaque 1/@04 EE2 76/B4_02.tif "/>
    <s v=" 7462.3136 "/>
    <s v=" 66.6464 "/>
    <x v="0"/>
    <n v="497336"/>
    <m/>
    <m/>
    <m/>
  </r>
  <r>
    <x v="4"/>
    <x v="1"/>
    <s v="F:\images\20210305\plaque 1/@04 EE2 76/B4_03.tif "/>
    <s v=" 6532.2282 "/>
    <s v=" 66.5397 "/>
    <x v="0"/>
    <n v="434653"/>
    <m/>
    <m/>
    <m/>
  </r>
  <r>
    <x v="4"/>
    <x v="2"/>
    <s v="F:\images\20210305\plaque 1/@04 EE2 76/C4_01.tif "/>
    <s v=" 25717.9447 "/>
    <s v=" 71.5214 "/>
    <x v="0"/>
    <n v="1839385"/>
    <m/>
    <m/>
    <m/>
  </r>
  <r>
    <x v="4"/>
    <x v="2"/>
    <s v="F:\images\20210305\plaque 1/@04 EE2 76/C4_02.tif "/>
    <s v=" 27037.3683 "/>
    <s v=" 72.1128 "/>
    <x v="0"/>
    <n v="1949740"/>
    <m/>
    <m/>
    <m/>
  </r>
  <r>
    <x v="4"/>
    <x v="2"/>
    <s v="F:\images\20210305\plaque 1/@04 EE2 76/C4_03.tif "/>
    <s v=" 26237.0622 "/>
    <s v=" 71.2325 "/>
    <x v="0"/>
    <n v="1868931"/>
    <m/>
    <m/>
    <m/>
  </r>
  <r>
    <x v="4"/>
    <x v="3"/>
    <s v="F:\images\20210305\plaque 1/@04 EE2 76/D4_01.tif "/>
    <s v=" 21154.0369 "/>
    <s v=" 67.8528 "/>
    <x v="0"/>
    <n v="1435360"/>
    <m/>
    <m/>
    <m/>
  </r>
  <r>
    <x v="4"/>
    <x v="3"/>
    <s v="F:\images\20210305\plaque 1/@04 EE2 76/D4_02.tif "/>
    <s v=" 22733.0193 "/>
    <s v=" 68.8792 "/>
    <x v="0"/>
    <n v="1565831"/>
    <m/>
    <m/>
    <m/>
  </r>
  <r>
    <x v="4"/>
    <x v="3"/>
    <s v="F:\images\20210305\plaque 1/@04 EE2 76/D4_03.tif "/>
    <s v=" 17303.9157 "/>
    <s v=" 67.795 "/>
    <x v="0"/>
    <n v="1173119"/>
    <m/>
    <m/>
    <m/>
  </r>
  <r>
    <x v="4"/>
    <x v="4"/>
    <s v="F:\images\20210305\plaque 1/@04 EE2 76/E4_01.tif "/>
    <s v=" 6294.2993 "/>
    <s v=" 69.11 "/>
    <x v="0"/>
    <n v="434999"/>
    <m/>
    <m/>
    <m/>
  </r>
  <r>
    <x v="4"/>
    <x v="4"/>
    <s v="F:\images\20210305\plaque 1/@04 EE2 76/E4_02.tif "/>
    <s v=" 3114.7048 "/>
    <s v=" 63.5069 "/>
    <x v="0"/>
    <n v="197805"/>
    <m/>
    <m/>
    <m/>
  </r>
  <r>
    <x v="4"/>
    <x v="4"/>
    <s v="F:\images\20210305\plaque 1/@04 EE2 76/E4_03.tif "/>
    <s v=" 800.3061 "/>
    <s v=" 62.7568 "/>
    <x v="0"/>
    <n v="50225"/>
    <m/>
    <m/>
    <m/>
  </r>
  <r>
    <x v="4"/>
    <x v="5"/>
    <s v="F:\images\20210305\plaque 1/@04 EE2 76/F4_01.tif "/>
    <s v=" 17758.1435 "/>
    <s v=" 66.352 "/>
    <x v="0"/>
    <n v="1178289"/>
    <m/>
    <m/>
    <m/>
  </r>
  <r>
    <x v="4"/>
    <x v="5"/>
    <s v="F:\images\20210305\plaque 1/@04 EE2 76/F4_02.tif "/>
    <s v=" 18234.0012 "/>
    <s v=" 66.5338 "/>
    <x v="0"/>
    <n v="1213178"/>
    <m/>
    <m/>
    <m/>
  </r>
  <r>
    <x v="4"/>
    <x v="5"/>
    <s v="F:\images\20210305\plaque 1/@04 EE2 76/F4_03.tif "/>
    <s v=" 19293.866 "/>
    <s v=" 67.1648 "/>
    <x v="0"/>
    <n v="1295869"/>
    <m/>
    <m/>
    <m/>
  </r>
  <r>
    <x v="4"/>
    <x v="6"/>
    <s v="F:\images\20210305\plaque 1/@04 EE2 76/G4_01.tif "/>
    <s v=" 21024.2576 "/>
    <s v=" 68.7438 "/>
    <x v="0"/>
    <n v="1445288"/>
    <m/>
    <m/>
    <m/>
  </r>
  <r>
    <x v="4"/>
    <x v="6"/>
    <s v="F:\images\20210305\plaque 1/@04 EE2 76/G4_02.tif "/>
    <s v=" 17217.3961 "/>
    <s v=" 66.8141 "/>
    <x v="0"/>
    <n v="1150364"/>
    <m/>
    <m/>
    <m/>
  </r>
  <r>
    <x v="4"/>
    <x v="6"/>
    <s v="F:\images\20210305\plaque 1/@04 EE2 76/G4_03.tif "/>
    <s v=" 14686.6985 "/>
    <s v=" 68.3387 "/>
    <x v="0"/>
    <n v="1003670"/>
    <m/>
    <m/>
    <m/>
  </r>
  <r>
    <x v="4"/>
    <x v="7"/>
    <s v="F:\images\20210305\plaque 1/@04 EE2 76/H4_01.tif "/>
    <s v=" 821.936 "/>
    <s v=" 65.2368 "/>
    <x v="0"/>
    <n v="53621"/>
    <m/>
    <m/>
    <m/>
  </r>
  <r>
    <x v="4"/>
    <x v="7"/>
    <s v="F:\images\20210305\plaque 1/@04 EE2 76/H4_02.tif "/>
    <s v=" 670.5267 "/>
    <s v=" 64.7419 "/>
    <x v="0"/>
    <n v="43411"/>
    <m/>
    <m/>
    <m/>
  </r>
  <r>
    <x v="4"/>
    <x v="7"/>
    <s v="F:\images\20210305\plaque 1/@04 EE2 76/H4_03- exclu.tif"/>
    <m/>
    <m/>
    <x v="1"/>
    <m/>
    <m/>
    <m/>
    <m/>
  </r>
  <r>
    <x v="1"/>
    <x v="8"/>
    <s v=" "/>
    <m/>
    <m/>
    <x v="1"/>
    <m/>
    <m/>
    <m/>
    <m/>
  </r>
  <r>
    <x v="1"/>
    <x v="8"/>
    <s v="group "/>
    <s v=" "/>
    <s v=" mean of mean fluo "/>
    <x v="2"/>
    <s v=" mean of total fluo "/>
    <s v=" SD total fluo "/>
    <s v=" n fluorescent "/>
    <s v=" n total"/>
  </r>
  <r>
    <x v="4"/>
    <x v="9"/>
    <s v="F:\images\20210305\plaque 1/@04 EE2 76/ "/>
    <s v=" "/>
    <s v=" 67.519 "/>
    <x v="6"/>
    <s v=" 889672.833 "/>
    <s v=" 632725.94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5"/>
    <x v="0"/>
    <s v="F:\images\20210305\plaque 1/@05 EE2 114/A5_01.tif "/>
    <s v=" 21478.4854 "/>
    <s v=" 67.5982 "/>
    <x v="0"/>
    <n v="1451907"/>
    <m/>
    <m/>
    <m/>
  </r>
  <r>
    <x v="5"/>
    <x v="0"/>
    <s v="F:\images\20210305\plaque 1/@05 EE2 114/A5_02.tif "/>
    <s v=" 21348.706 "/>
    <s v=" 67.767 "/>
    <x v="0"/>
    <n v="1446737"/>
    <m/>
    <m/>
    <m/>
  </r>
  <r>
    <x v="5"/>
    <x v="0"/>
    <s v="F:\images\20210305\plaque 1/@05 EE2 114/A5_03.tif "/>
    <s v=" 22127.3822 "/>
    <s v=" 68.5699 "/>
    <x v="0"/>
    <n v="1517272"/>
    <m/>
    <m/>
    <m/>
  </r>
  <r>
    <x v="5"/>
    <x v="1"/>
    <s v="F:\images\20210305\plaque 1/@05 EE2 114/B5_01.tif "/>
    <s v=" 8781.7372 "/>
    <s v=" 69.7906 "/>
    <x v="0"/>
    <n v="612883"/>
    <m/>
    <m/>
    <m/>
  </r>
  <r>
    <x v="5"/>
    <x v="1"/>
    <s v="F:\images\20210305\plaque 1/@05 EE2 114/B5_02.tif "/>
    <s v=" 8976.4063 "/>
    <s v=" 69.1133 "/>
    <x v="0"/>
    <n v="620389"/>
    <m/>
    <m/>
    <m/>
  </r>
  <r>
    <x v="5"/>
    <x v="1"/>
    <s v="F:\images\20210305\plaque 1/@05 EE2 114/B5_03.tif "/>
    <s v=" 7743.5023 "/>
    <s v=" 68.3296 "/>
    <x v="0"/>
    <n v="529110"/>
    <m/>
    <m/>
    <m/>
  </r>
  <r>
    <x v="5"/>
    <x v="2"/>
    <s v="F:\images\20210305\plaque 1/@05 EE2 114/C5_01.tif "/>
    <s v=" 42805.5615 "/>
    <s v=" 76.4386 "/>
    <x v="0"/>
    <n v="3271997"/>
    <m/>
    <m/>
    <m/>
  </r>
  <r>
    <x v="5"/>
    <x v="2"/>
    <s v="F:\images\20210305\plaque 1/@05 EE2 114/C5_02.tif "/>
    <s v=" 39496.1876 "/>
    <s v=" 74.621 "/>
    <x v="0"/>
    <n v="2947246"/>
    <m/>
    <m/>
    <m/>
  </r>
  <r>
    <x v="5"/>
    <x v="2"/>
    <s v="F:\images\20210305\plaque 1/@05 EE2 114/C5_03.tif "/>
    <s v=" 38782.4011 "/>
    <s v=" 73.517 "/>
    <x v="0"/>
    <n v="2851166"/>
    <m/>
    <m/>
    <m/>
  </r>
  <r>
    <x v="5"/>
    <x v="3"/>
    <s v="F:\images\20210305\plaque 1/@05 EE2 114/D5_01.tif "/>
    <s v=" 29654.5855 "/>
    <s v=" 66.6834 "/>
    <x v="0"/>
    <n v="1977470"/>
    <m/>
    <m/>
    <m/>
  </r>
  <r>
    <x v="5"/>
    <x v="3"/>
    <s v="F:\images\20210305\plaque 1/@05 EE2 114/D5_02.tif "/>
    <s v=" 31752.6853 "/>
    <s v=" 66.6349 "/>
    <x v="0"/>
    <n v="2115836"/>
    <m/>
    <m/>
    <m/>
  </r>
  <r>
    <x v="5"/>
    <x v="3"/>
    <s v="F:\images\20210305\plaque 1/@05 EE2 114/D5_03- exclu.tif"/>
    <m/>
    <m/>
    <x v="1"/>
    <m/>
    <m/>
    <m/>
    <m/>
  </r>
  <r>
    <x v="5"/>
    <x v="4"/>
    <s v="F:\images\20210305\plaque 1/@05 EE2 114/E5_01.tif "/>
    <s v=" 33699.3758 "/>
    <s v=" 70.4089 "/>
    <x v="0"/>
    <n v="2372735"/>
    <m/>
    <m/>
    <m/>
  </r>
  <r>
    <x v="5"/>
    <x v="4"/>
    <s v="F:\images\20210305\plaque 1/@05 EE2 114/E5_02.tif "/>
    <s v=" 26950.8487 "/>
    <s v=" 69.5698 "/>
    <x v="0"/>
    <n v="1874966"/>
    <m/>
    <m/>
    <m/>
  </r>
  <r>
    <x v="5"/>
    <x v="4"/>
    <s v="F:\images\20210305\plaque 1/@05 EE2 114/E5_03.tif "/>
    <s v=" 23987.5531 "/>
    <s v=" 69.7187 "/>
    <x v="0"/>
    <n v="1672380"/>
    <m/>
    <m/>
    <m/>
  </r>
  <r>
    <x v="5"/>
    <x v="5"/>
    <s v="F:\images\20210305\plaque 1/@05 EE2 114/F5_01.tif "/>
    <s v=" 28486.5712 "/>
    <s v=" 71.8664 "/>
    <x v="0"/>
    <n v="2047226"/>
    <m/>
    <m/>
    <m/>
  </r>
  <r>
    <x v="5"/>
    <x v="5"/>
    <s v="F:\images\20210305\plaque 1/@05 EE2 114/F5_02- exclu.tif"/>
    <m/>
    <m/>
    <x v="1"/>
    <m/>
    <m/>
    <m/>
    <m/>
  </r>
  <r>
    <x v="5"/>
    <x v="5"/>
    <s v="F:\images\20210305\plaque 1/@05 EE2 114/F5_03.tif "/>
    <s v=" 28400.0516 "/>
    <s v=" 73.0244 "/>
    <x v="0"/>
    <n v="2073896"/>
    <m/>
    <m/>
    <m/>
  </r>
  <r>
    <x v="5"/>
    <x v="6"/>
    <s v="F:\images\20210305\plaque 1/@05 EE2 114/G5_01.tif "/>
    <s v=" 37073.6394 "/>
    <s v=" 75.5898 "/>
    <x v="0"/>
    <n v="2802391"/>
    <m/>
    <m/>
    <m/>
  </r>
  <r>
    <x v="5"/>
    <x v="6"/>
    <s v="F:\images\20210305\plaque 1/@05 EE2 114/G5_02.tif "/>
    <s v=" 33958.9346 "/>
    <s v=" 72.3592 "/>
    <x v="0"/>
    <n v="2457243"/>
    <m/>
    <m/>
    <m/>
  </r>
  <r>
    <x v="5"/>
    <x v="6"/>
    <s v="F:\images\20210305\plaque 1/@05 EE2 114/G5_03.tif "/>
    <s v=" 35775.8457 "/>
    <s v=" 73.1959 "/>
    <x v="0"/>
    <n v="2618645"/>
    <m/>
    <m/>
    <m/>
  </r>
  <r>
    <x v="5"/>
    <x v="7"/>
    <s v="F:\images\20210305\plaque 1/@05 EE2 114/H5_01.tif "/>
    <s v=" 36424.7426 "/>
    <s v=" 79.6378 "/>
    <x v="0"/>
    <n v="2900785"/>
    <m/>
    <m/>
    <m/>
  </r>
  <r>
    <x v="5"/>
    <x v="7"/>
    <s v="F:\images\20210305\plaque 1/@05 EE2 114/H5_02.tif "/>
    <s v=" 35883.9952 "/>
    <s v=" 74.7028 "/>
    <x v="0"/>
    <n v="2680636"/>
    <m/>
    <m/>
    <m/>
  </r>
  <r>
    <x v="5"/>
    <x v="7"/>
    <s v="F:\images\20210305\plaque 1/@05 EE2 114/H5_03.tif "/>
    <s v=" 35170.2087 "/>
    <s v=" 71.9975 "/>
    <x v="0"/>
    <n v="2532169"/>
    <m/>
    <m/>
    <m/>
  </r>
  <r>
    <x v="1"/>
    <x v="8"/>
    <s v=" "/>
    <m/>
    <m/>
    <x v="1"/>
    <m/>
    <m/>
    <m/>
    <m/>
  </r>
  <r>
    <x v="1"/>
    <x v="8"/>
    <s v="group "/>
    <s v=" "/>
    <s v=" mean of mean fluo "/>
    <x v="2"/>
    <s v=" mean of total fluo "/>
    <s v=" SD total fluo "/>
    <s v=" n fluorescent "/>
    <s v=" n total"/>
  </r>
  <r>
    <x v="5"/>
    <x v="9"/>
    <s v="F:\images\20210305\plaque 1/@05 EE2 114/ "/>
    <s v=" "/>
    <s v=" 71.1432 "/>
    <x v="7"/>
    <s v=" 2002975.12 "/>
    <s v=" 781315.48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6"/>
    <x v="0"/>
    <s v="F:\images\20210305\plaque 1/@06 EE2 170.9/A6_01.tif "/>
    <s v=" 26496.6209 "/>
    <s v=" 75.9363 "/>
    <x v="0"/>
    <n v="2012056"/>
    <m/>
    <m/>
    <m/>
  </r>
  <r>
    <x v="6"/>
    <x v="0"/>
    <s v="F:\images\20210305\plaque 1/@06 EE2 170.9/A6_02.tif "/>
    <s v=" 29481.5464 "/>
    <s v=" 76.8496 "/>
    <x v="0"/>
    <n v="2265645"/>
    <m/>
    <m/>
    <m/>
  </r>
  <r>
    <x v="6"/>
    <x v="0"/>
    <s v="F:\images\20210305\plaque 1/@06 EE2 170.9/A6_03.tif "/>
    <s v=" 24290.3717 "/>
    <s v=" 77.2814 "/>
    <x v="0"/>
    <n v="1877194"/>
    <m/>
    <m/>
    <m/>
  </r>
  <r>
    <x v="6"/>
    <x v="1"/>
    <s v="F:\images\20210305\plaque 1/@06 EE2 170.9/B6_01.tif "/>
    <s v=" 32336.6925 "/>
    <s v=" 73.1592 "/>
    <x v="0"/>
    <n v="2365726"/>
    <m/>
    <m/>
    <m/>
  </r>
  <r>
    <x v="6"/>
    <x v="1"/>
    <s v="F:\images\20210305\plaque 1/@06 EE2 170.9/B6_02.tif "/>
    <s v=" 30303.4824 "/>
    <s v=" 73.9336 "/>
    <x v="0"/>
    <n v="2240446"/>
    <m/>
    <m/>
    <m/>
  </r>
  <r>
    <x v="6"/>
    <x v="1"/>
    <s v="F:\images\20210305\plaque 1/@06 EE2 170.9/B6_03.tif "/>
    <s v=" 33526.3367 "/>
    <s v=" 74.1187 "/>
    <x v="0"/>
    <n v="2484929"/>
    <m/>
    <m/>
    <m/>
  </r>
  <r>
    <x v="6"/>
    <x v="2"/>
    <s v="F:\images\20210305\plaque 1/@06 EE2 170.9/C6_01.tif "/>
    <s v=" 41248.2091 "/>
    <s v=" 71.9413 "/>
    <x v="0"/>
    <n v="2967449"/>
    <m/>
    <m/>
    <m/>
  </r>
  <r>
    <x v="6"/>
    <x v="2"/>
    <s v="F:\images\20210305\plaque 1/@06 EE2 170.9/C6_02.tif "/>
    <s v=" 45011.8107 "/>
    <s v=" 73.7621 "/>
    <x v="0"/>
    <n v="3320167"/>
    <m/>
    <m/>
    <m/>
  </r>
  <r>
    <x v="6"/>
    <x v="2"/>
    <s v="F:\images\20210305\plaque 1/@06 EE2 170.9/C6_03.tif "/>
    <s v=" 35970.5148 "/>
    <s v=" 78.9417 "/>
    <x v="0"/>
    <n v="2839573"/>
    <m/>
    <m/>
    <m/>
  </r>
  <r>
    <x v="6"/>
    <x v="3"/>
    <s v="F:\images\20210305\plaque 1/@06 EE2 170.9/D6_01.tif "/>
    <s v=" 46244.7147 "/>
    <s v=" 79.0753 "/>
    <x v="0"/>
    <n v="3656815"/>
    <m/>
    <m/>
    <m/>
  </r>
  <r>
    <x v="6"/>
    <x v="3"/>
    <s v="F:\images\20210305\plaque 1/@06 EE2 170.9/D6_02.tif "/>
    <s v=" 49056.601 "/>
    <s v=" 78.108 "/>
    <x v="0"/>
    <n v="3831714"/>
    <m/>
    <m/>
    <m/>
  </r>
  <r>
    <x v="6"/>
    <x v="3"/>
    <s v="F:\images\20210305\plaque 1/@06 EE2 170.9/D6_03.tif "/>
    <s v=" 39777.3762 "/>
    <s v=" 78.6438 "/>
    <x v="0"/>
    <n v="3128245"/>
    <m/>
    <m/>
    <m/>
  </r>
  <r>
    <x v="6"/>
    <x v="4"/>
    <s v="F:\images\20210305\plaque 1/@06 EE2 170.9/E6_01.tif "/>
    <s v=" 49056.601 "/>
    <s v=" 78.1019 "/>
    <x v="0"/>
    <n v="3831411"/>
    <m/>
    <m/>
    <m/>
  </r>
  <r>
    <x v="6"/>
    <x v="4"/>
    <s v="F:\images\20210305\plaque 1/@06 EE2 170.9/E6_02.tif "/>
    <s v=" 45877.0065 "/>
    <s v=" 78.6662 "/>
    <x v="0"/>
    <n v="3608970"/>
    <m/>
    <m/>
    <m/>
  </r>
  <r>
    <x v="6"/>
    <x v="4"/>
    <s v="F:\images\20210305\plaque 1/@06 EE2 170.9/E6_03.tif "/>
    <s v=" 47001.761 "/>
    <s v=" 79.0907 "/>
    <x v="0"/>
    <n v="3717400"/>
    <m/>
    <m/>
    <m/>
  </r>
  <r>
    <x v="6"/>
    <x v="5"/>
    <s v="F:\images\20210305\plaque 1/@06 EE2 170.9/F6_01.tif "/>
    <s v=" 29827.6247 "/>
    <s v=" 74.4866 "/>
    <x v="0"/>
    <n v="2221758"/>
    <m/>
    <m/>
    <m/>
  </r>
  <r>
    <x v="6"/>
    <x v="5"/>
    <s v="F:\images\20210305\plaque 1/@06 EE2 170.9/F6_02.tif "/>
    <s v=" 24441.7809 "/>
    <s v=" 80.2389 "/>
    <x v="0"/>
    <n v="1961183"/>
    <m/>
    <m/>
    <m/>
  </r>
  <r>
    <x v="6"/>
    <x v="5"/>
    <s v="F:\images\20210305\plaque 1/@06 EE2 170.9/F6_03.tif "/>
    <s v=" 35148.5788 "/>
    <s v=" 74.9415 "/>
    <x v="0"/>
    <n v="2634089"/>
    <m/>
    <m/>
    <m/>
  </r>
  <r>
    <x v="6"/>
    <x v="6"/>
    <s v="F:\images\20210305\plaque 1/@06 EE2 170.9/G6_01.tif "/>
    <s v=" 58833.3134 "/>
    <s v=" 79.0467 "/>
    <x v="0"/>
    <n v="4650579"/>
    <m/>
    <m/>
    <m/>
  </r>
  <r>
    <x v="6"/>
    <x v="6"/>
    <s v="F:\images\20210305\plaque 1/@06 EE2 170.9/G6_02.tif "/>
    <s v=" 63937.9685 "/>
    <s v=" 80.48 "/>
    <x v="0"/>
    <n v="5145730"/>
    <m/>
    <m/>
    <m/>
  </r>
  <r>
    <x v="6"/>
    <x v="6"/>
    <s v="F:\images\20210305\plaque 1/@06 EE2 170.9/G6_03.tif "/>
    <s v=" 55480.6797 "/>
    <s v=" 74.1162 "/>
    <x v="0"/>
    <n v="4112016"/>
    <m/>
    <m/>
    <m/>
  </r>
  <r>
    <x v="6"/>
    <x v="7"/>
    <s v="F:\images\20210305\plaque 1/@06 EE2 170.9/H6_01.tif "/>
    <s v=" 31774.3152 "/>
    <s v=" 77.1123 "/>
    <x v="0"/>
    <n v="2450191"/>
    <m/>
    <m/>
    <m/>
  </r>
  <r>
    <x v="6"/>
    <x v="7"/>
    <s v="F:\images\20210305\plaque 1/@06 EE2 170.9/H6_02.tif "/>
    <s v=" 23598.215 "/>
    <s v=" 79.5894 "/>
    <x v="0"/>
    <n v="1878167"/>
    <m/>
    <m/>
    <m/>
  </r>
  <r>
    <x v="6"/>
    <x v="7"/>
    <s v="F:\images\20210305\plaque 1/@06 EE2 170.9/H6_03.tif "/>
    <s v=" 28854.2794 "/>
    <s v=" 76.8508 "/>
    <x v="0"/>
    <n v="2217475"/>
    <m/>
    <m/>
    <m/>
  </r>
  <r>
    <x v="1"/>
    <x v="8"/>
    <s v=" "/>
    <m/>
    <m/>
    <x v="1"/>
    <m/>
    <m/>
    <m/>
    <m/>
  </r>
  <r>
    <x v="1"/>
    <x v="8"/>
    <s v="group "/>
    <s v=" "/>
    <s v=" mean of mean fluo "/>
    <x v="2"/>
    <s v=" mean of total fluo "/>
    <s v=" SD total fluo "/>
    <s v=" n fluorescent "/>
    <s v=" n total"/>
  </r>
  <r>
    <x v="6"/>
    <x v="9"/>
    <s v="F:\images\20210305\plaque 1/@06 EE2 170.9/ "/>
    <s v=" "/>
    <s v=" 76.853 "/>
    <x v="8"/>
    <s v=" 2975788.67 "/>
    <s v=" 918626.09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7"/>
    <x v="0"/>
    <s v="F:\images\20210305\plaque 1/@07 EE2 488/A7_01.tif "/>
    <s v=" 60974.673 "/>
    <s v=" 95.2419 "/>
    <x v="0"/>
    <n v="5807346"/>
    <m/>
    <m/>
    <m/>
  </r>
  <r>
    <x v="7"/>
    <x v="0"/>
    <s v="F:\images\20210305\plaque 1/@07 EE2 488/A7_02.tif "/>
    <s v=" 55048.0818 "/>
    <s v=" 98.3014 "/>
    <x v="0"/>
    <n v="5411302"/>
    <m/>
    <m/>
    <m/>
  </r>
  <r>
    <x v="7"/>
    <x v="0"/>
    <s v="F:\images\20210305\plaque 1/@07 EE2 488/A7_03.tif "/>
    <s v=" 61926.3883 "/>
    <s v=" 93.4219 "/>
    <x v="0"/>
    <n v="5785283"/>
    <m/>
    <m/>
    <m/>
  </r>
  <r>
    <x v="7"/>
    <x v="1"/>
    <s v="F:\images\20210305\plaque 1/@07 EE2 488/B7_01.tif "/>
    <s v=" 49554.0886 "/>
    <s v=" 96.8429 "/>
    <x v="0"/>
    <n v="4798960"/>
    <m/>
    <m/>
    <m/>
  </r>
  <r>
    <x v="7"/>
    <x v="1"/>
    <s v="F:\images\20210305\plaque 1/@07 EE2 488/B7_02.tif "/>
    <s v=" 54009.8469 "/>
    <s v=" 96.1101 "/>
    <x v="0"/>
    <n v="5190894"/>
    <m/>
    <m/>
    <m/>
  </r>
  <r>
    <x v="7"/>
    <x v="1"/>
    <s v="F:\images\20210305\plaque 1/@07 EE2 488/B7_03.tif "/>
    <s v=" 60066.2174 "/>
    <s v=" 89.6251 "/>
    <x v="0"/>
    <n v="5383443"/>
    <m/>
    <m/>
    <m/>
  </r>
  <r>
    <x v="7"/>
    <x v="2"/>
    <s v="F:\images\20210305\plaque 1/@07 EE2 488/C7_01.tif "/>
    <s v=" 65863.0291 "/>
    <s v=" 95.8887 "/>
    <x v="0"/>
    <n v="6315518"/>
    <m/>
    <m/>
    <m/>
  </r>
  <r>
    <x v="7"/>
    <x v="2"/>
    <s v="F:\images\20210305\plaque 1/@07 EE2 488/C7_02.tif "/>
    <s v=" 75185.5137 "/>
    <s v=" 93.4485 "/>
    <x v="0"/>
    <n v="7025974"/>
    <m/>
    <m/>
    <m/>
  </r>
  <r>
    <x v="7"/>
    <x v="2"/>
    <s v="F:\images\20210305\plaque 1/@07 EE2 488/C7_03.tif "/>
    <s v=" 71659.8409 "/>
    <s v=" 92.4905 "/>
    <x v="0"/>
    <n v="6627854"/>
    <m/>
    <m/>
    <m/>
  </r>
  <r>
    <x v="7"/>
    <x v="3"/>
    <s v="F:\images\20210305\plaque 1/@07 EE2 488/D7_01.tif "/>
    <s v=" 64262.4169 "/>
    <s v=" 97.1703 "/>
    <x v="0"/>
    <n v="6244399"/>
    <m/>
    <m/>
    <m/>
  </r>
  <r>
    <x v="7"/>
    <x v="3"/>
    <s v="F:\images\20210305\plaque 1/@07 EE2 488/D7_02.tif "/>
    <s v=" 61407.2709 "/>
    <s v=" 94.7876 "/>
    <x v="0"/>
    <n v="5820648"/>
    <m/>
    <m/>
    <m/>
  </r>
  <r>
    <x v="7"/>
    <x v="3"/>
    <s v="F:\images\20210305\plaque 1/@07 EE2 488/D7_03.tif "/>
    <s v=" 65041.0931 "/>
    <s v=" 95.5717 "/>
    <x v="0"/>
    <n v="6216086"/>
    <m/>
    <m/>
    <m/>
  </r>
  <r>
    <x v="7"/>
    <x v="4"/>
    <s v="F:\images\20210305\plaque 1/@07 EE2 488/E7_01.tif "/>
    <s v=" 75272.0333 "/>
    <s v=" 86.9793 "/>
    <x v="0"/>
    <n v="6547110"/>
    <m/>
    <m/>
    <m/>
  </r>
  <r>
    <x v="7"/>
    <x v="4"/>
    <s v="F:\images\20210305\plaque 1/@07 EE2 488/E7_02.tif "/>
    <s v=" 67420.3816 "/>
    <s v=" 91.3144 "/>
    <x v="0"/>
    <n v="6156452"/>
    <m/>
    <m/>
    <m/>
  </r>
  <r>
    <x v="7"/>
    <x v="4"/>
    <s v="F:\images\20210305\plaque 1/@07 EE2 488/E7_03.tif "/>
    <s v=" 73087.414 "/>
    <s v=" 84.4146 "/>
    <x v="0"/>
    <n v="6169646"/>
    <m/>
    <m/>
    <m/>
  </r>
  <r>
    <x v="7"/>
    <x v="5"/>
    <s v="F:\images\20210305\plaque 1/@07 EE2 488/F7_01.tif "/>
    <s v=" 54182.886 "/>
    <s v=" 89.1046 "/>
    <x v="0"/>
    <n v="4827944"/>
    <m/>
    <m/>
    <m/>
  </r>
  <r>
    <x v="7"/>
    <x v="5"/>
    <s v="F:\images\20210305\plaque 1/@07 EE2 488/F7_02.tif "/>
    <s v=" 52344.345 "/>
    <s v=" 85.5483 "/>
    <x v="0"/>
    <n v="4477972"/>
    <m/>
    <m/>
    <m/>
  </r>
  <r>
    <x v="7"/>
    <x v="5"/>
    <s v="F:\images\20210305\plaque 1/@07 EE2 488/F7_03.tif "/>
    <s v=" 51068.1812 "/>
    <s v=" 90.5862 "/>
    <x v="0"/>
    <n v="4626072"/>
    <m/>
    <m/>
    <m/>
  </r>
  <r>
    <x v="7"/>
    <x v="6"/>
    <s v="F:\images\20210305\plaque 1/@07 EE2 488/G7_01.tif "/>
    <s v=" 28421.6815 "/>
    <s v=" 91.9619 "/>
    <x v="0"/>
    <n v="2613713"/>
    <m/>
    <m/>
    <m/>
  </r>
  <r>
    <x v="7"/>
    <x v="6"/>
    <s v="F:\images\20210305\plaque 1/@07 EE2 488/G7_02.tif "/>
    <s v=" 31255.1977 "/>
    <s v=" 95.7439 "/>
    <x v="0"/>
    <n v="2992496"/>
    <m/>
    <m/>
    <m/>
  </r>
  <r>
    <x v="7"/>
    <x v="6"/>
    <s v="F:\images\20210305\plaque 1/@07 EE2 488/G7_03.tif "/>
    <s v=" 35624.4365 "/>
    <s v=" 90.98 "/>
    <x v="0"/>
    <n v="3241110"/>
    <m/>
    <m/>
    <m/>
  </r>
  <r>
    <x v="7"/>
    <x v="7"/>
    <s v="F:\images\20210305\plaque 1/@07 EE2 488/H7_01.tif "/>
    <s v=" 65819.7694 "/>
    <s v=" 92.3188 "/>
    <x v="0"/>
    <n v="6076400"/>
    <m/>
    <m/>
    <m/>
  </r>
  <r>
    <x v="7"/>
    <x v="7"/>
    <s v="F:\images\20210305\plaque 1/@07 EE2 488/H7_02.tif "/>
    <s v=" 61839.8687 "/>
    <s v=" 90.2364 "/>
    <x v="0"/>
    <n v="5580210"/>
    <m/>
    <m/>
    <m/>
  </r>
  <r>
    <x v="7"/>
    <x v="7"/>
    <s v="F:\images\20210305\plaque 1/@07 EE2 488/H7_03.tif "/>
    <s v=" 59633.6195 "/>
    <s v=" 90.2082 "/>
    <x v="0"/>
    <n v="5379441"/>
    <m/>
    <m/>
    <m/>
  </r>
  <r>
    <x v="1"/>
    <x v="8"/>
    <s v=" "/>
    <m/>
    <m/>
    <x v="1"/>
    <m/>
    <m/>
    <m/>
    <m/>
  </r>
  <r>
    <x v="1"/>
    <x v="8"/>
    <s v="group "/>
    <s v=" "/>
    <s v=" mean of mean fluo "/>
    <x v="2"/>
    <s v=" mean of total fluo "/>
    <s v=" SD total fluo "/>
    <s v=" n fluorescent "/>
    <s v=" n total"/>
  </r>
  <r>
    <x v="7"/>
    <x v="9"/>
    <s v="F:\images\20210305\plaque 1/@07 EE2 488/ "/>
    <s v=" "/>
    <s v=" 92.4291 "/>
    <x v="9"/>
    <s v=" 5388178.04 "/>
    <s v=" 1146438.9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8"/>
    <x v="0"/>
    <s v="F:\images\20210305\plaque 1/@08 Testosterone 3.7 µg_L/A8_01.tif "/>
    <s v=" 713.7865 "/>
    <s v=" 67.2727 "/>
    <x v="0"/>
    <n v="48018"/>
    <m/>
    <m/>
    <m/>
  </r>
  <r>
    <x v="8"/>
    <x v="0"/>
    <s v="F:\images\20210305\plaque 1/@08 Testosterone 3.7 µg_L/A8_02.tif "/>
    <s v=" 757.0463 "/>
    <s v=" 65.4857 "/>
    <x v="0"/>
    <n v="49576"/>
    <m/>
    <m/>
    <m/>
  </r>
  <r>
    <x v="8"/>
    <x v="0"/>
    <s v="F:\images\20210305\plaque 1/@08 Testosterone 3.7 µg_L/A8_03.tif "/>
    <s v=" 973.3453 "/>
    <s v=" 68.0222 "/>
    <x v="0"/>
    <n v="66209"/>
    <m/>
    <m/>
    <m/>
  </r>
  <r>
    <x v="8"/>
    <x v="1"/>
    <s v="F:\images\20210305\plaque 1/@08 Testosterone 3.7 µg_L/B8_01.tif "/>
    <s v=" 346.0783 "/>
    <s v=" 61.8125 "/>
    <x v="0"/>
    <n v="21392"/>
    <m/>
    <m/>
    <m/>
  </r>
  <r>
    <x v="8"/>
    <x v="1"/>
    <s v="F:\images\20210305\plaque 1/@08 Testosterone 3.7 µg_L/B8_02.tif "/>
    <s v=" 627.2669 "/>
    <s v=" 63.1379 "/>
    <x v="0"/>
    <n v="39604"/>
    <m/>
    <m/>
    <m/>
  </r>
  <r>
    <x v="8"/>
    <x v="1"/>
    <s v="F:\images\20210305\plaque 1/@08 Testosterone 3.7 µg_L/B8_03.tif "/>
    <s v=" 908.4556 "/>
    <s v=" 64.119 "/>
    <x v="0"/>
    <n v="58249"/>
    <m/>
    <m/>
    <m/>
  </r>
  <r>
    <x v="8"/>
    <x v="2"/>
    <s v="F:\images\20210305\plaque 1/@08 Testosterone 3.7 µg_L/C8_01- exclu.tif"/>
    <m/>
    <m/>
    <x v="1"/>
    <m/>
    <m/>
    <m/>
    <m/>
  </r>
  <r>
    <x v="8"/>
    <x v="2"/>
    <s v="F:\images\20210305\plaque 1/@08 Testosterone 3.7 µg_L/C8_02.tif "/>
    <s v=" 1557.3524 "/>
    <s v=" 64.8889 "/>
    <x v="0"/>
    <n v="101055"/>
    <m/>
    <m/>
    <m/>
  </r>
  <r>
    <x v="8"/>
    <x v="2"/>
    <s v="F:\images\20210305\plaque 1/@08 Testosterone 3.7 µg_L/C8_03.tif "/>
    <s v=" 2444.1781 "/>
    <s v=" 66.7611 "/>
    <x v="0"/>
    <n v="163176"/>
    <m/>
    <m/>
    <m/>
  </r>
  <r>
    <x v="8"/>
    <x v="3"/>
    <s v="F:\images\20210305\plaque 1/@08 Testosterone 3.7 µg_L/D8_01.tif "/>
    <s v=" 1946.6905 "/>
    <s v=" 64.4889 "/>
    <x v="0"/>
    <n v="125540"/>
    <m/>
    <m/>
    <m/>
  </r>
  <r>
    <x v="8"/>
    <x v="3"/>
    <s v="F:\images\20210305\plaque 1/@08 Testosterone 3.7 µg_L/D8_02.tif "/>
    <s v=" 2206.2493 "/>
    <s v=" 64.0588 "/>
    <x v="0"/>
    <n v="141330"/>
    <m/>
    <m/>
    <m/>
  </r>
  <r>
    <x v="8"/>
    <x v="3"/>
    <s v="F:\images\20210305\plaque 1/@08 Testosterone 3.7 µg_L/D8_03.tif "/>
    <s v=" 2098.0998 "/>
    <s v=" 63.1031 "/>
    <x v="0"/>
    <n v="132397"/>
    <m/>
    <m/>
    <m/>
  </r>
  <r>
    <x v="8"/>
    <x v="4"/>
    <s v="F:\images\20210305\plaque 1/@08 Testosterone 3.7 µg_L/E8_01.tif "/>
    <s v=" 1297.7937 "/>
    <s v=" 67.0167 "/>
    <x v="0"/>
    <n v="86974"/>
    <m/>
    <m/>
    <m/>
  </r>
  <r>
    <x v="8"/>
    <x v="4"/>
    <s v="F:\images\20210305\plaque 1/@08 Testosterone 3.7 µg_L/E8_02.tif "/>
    <s v=" 1514.0926 "/>
    <s v=" 65.3 "/>
    <x v="0"/>
    <n v="98870"/>
    <m/>
    <m/>
    <m/>
  </r>
  <r>
    <x v="8"/>
    <x v="4"/>
    <s v="F:\images\20210305\plaque 1/@08 Testosterone 3.7 µg_L/E8_03- exclu.tif"/>
    <m/>
    <m/>
    <x v="1"/>
    <m/>
    <m/>
    <m/>
    <m/>
  </r>
  <r>
    <x v="8"/>
    <x v="5"/>
    <s v="F:\images\20210305\plaque 1/@08 Testosterone 3.7 µg_L/F8_01.tif "/>
    <s v=" 4823.4665 "/>
    <s v=" 74.2915 "/>
    <x v="0"/>
    <n v="358342"/>
    <m/>
    <m/>
    <m/>
  </r>
  <r>
    <x v="8"/>
    <x v="5"/>
    <s v="F:\images\20210305\plaque 1/@08 Testosterone 3.7 µg_L/F8_02.tif "/>
    <s v=" 1968.3204 "/>
    <s v=" 69.4066 "/>
    <x v="0"/>
    <n v="136614"/>
    <m/>
    <m/>
    <m/>
  </r>
  <r>
    <x v="8"/>
    <x v="5"/>
    <s v="F:\images\20210305\plaque 1/@08 Testosterone 3.7 µg_L/F8_03.tif "/>
    <s v=" 2617.2173 "/>
    <s v=" 68.0496 "/>
    <x v="0"/>
    <n v="178101"/>
    <m/>
    <m/>
    <m/>
  </r>
  <r>
    <x v="8"/>
    <x v="6"/>
    <s v="F:\images\20210305\plaque 1/@08 Testosterone 3.7 µg_L/G8_01.tif "/>
    <s v=" 6748.5271 "/>
    <s v=" 68.4936 "/>
    <x v="0"/>
    <n v="462231"/>
    <m/>
    <m/>
    <m/>
  </r>
  <r>
    <x v="8"/>
    <x v="6"/>
    <s v="F:\images\20210305\plaque 1/@08 Testosterone 3.7 µg_L/G8_02.tif "/>
    <s v=" 7181.125 "/>
    <s v=" 69.6386 "/>
    <x v="0"/>
    <n v="500083"/>
    <m/>
    <m/>
    <m/>
  </r>
  <r>
    <x v="8"/>
    <x v="6"/>
    <s v="F:\images\20210305\plaque 1/@08 Testosterone 3.7 µg_L/G8_03.tif "/>
    <s v=" 7916.5414 "/>
    <s v=" 70.4235 "/>
    <x v="0"/>
    <n v="557511"/>
    <m/>
    <m/>
    <m/>
  </r>
  <r>
    <x v="8"/>
    <x v="7"/>
    <s v="F:\images\20210305\plaque 1/@08 Testosterone 3.7 µg_L/H8_01.tif "/>
    <s v=" 930.0855 "/>
    <s v=" 62.9767 "/>
    <x v="0"/>
    <n v="58574"/>
    <m/>
    <m/>
    <m/>
  </r>
  <r>
    <x v="8"/>
    <x v="7"/>
    <s v="F:\images\20210305\plaque 1/@08 Testosterone 3.7 µg_L/H8_02.tif "/>
    <s v=" 843.5659 "/>
    <s v=" 64.9487 "/>
    <x v="0"/>
    <n v="54789"/>
    <m/>
    <m/>
    <m/>
  </r>
  <r>
    <x v="8"/>
    <x v="7"/>
    <s v="F:\images\20210305\plaque 1/@08 Testosterone 3.7 µg_L/H8_03.tif "/>
    <s v=" 1124.7545 "/>
    <s v=" 63.1538 "/>
    <x v="0"/>
    <n v="71033"/>
    <m/>
    <m/>
    <m/>
  </r>
  <r>
    <x v="1"/>
    <x v="8"/>
    <s v=" "/>
    <m/>
    <m/>
    <x v="1"/>
    <m/>
    <m/>
    <m/>
    <m/>
  </r>
  <r>
    <x v="1"/>
    <x v="8"/>
    <s v="group "/>
    <s v=" "/>
    <s v=" mean of mean fluo "/>
    <x v="2"/>
    <s v=" mean of total fluo "/>
    <s v=" SD total fluo "/>
    <s v=" n fluorescent "/>
    <s v=" n total"/>
  </r>
  <r>
    <x v="8"/>
    <x v="9"/>
    <s v="F:\images\20210305\plaque 1/@08 Testosterone 3.7 µg_L/ "/>
    <s v=" "/>
    <s v=" 66.1706 "/>
    <x v="10"/>
    <s v=" 151807.667 "/>
    <s v=" 154443.83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9"/>
    <x v="0"/>
    <s v="F:\images\20210305\plaque 1/@09  Testosterone 11 µg_L/A9_01.tif "/>
    <s v=" 216.2989 "/>
    <s v=" 65.9 "/>
    <x v="0"/>
    <n v="14254"/>
    <m/>
    <m/>
    <m/>
  </r>
  <r>
    <x v="9"/>
    <x v="0"/>
    <s v="F:\images\20210305\plaque 1/@09  Testosterone 11 µg_L/A9_02.tif "/>
    <s v=" 1189.6442 "/>
    <s v=" 65.4909 "/>
    <x v="0"/>
    <n v="77911"/>
    <m/>
    <m/>
    <m/>
  </r>
  <r>
    <x v="9"/>
    <x v="0"/>
    <s v="F:\images\20210305\plaque 1/@09  Testosterone 11 µg_L/A9_03.tif "/>
    <s v=" 2703.7368 "/>
    <s v=" 65.136 "/>
    <x v="0"/>
    <n v="176111"/>
    <m/>
    <m/>
    <m/>
  </r>
  <r>
    <x v="9"/>
    <x v="1"/>
    <s v="F:\images\20210305\plaque 1/@09  Testosterone 11 µg_L/B9_01.tif "/>
    <s v=" 562.3773 "/>
    <s v=" 63.3077 "/>
    <x v="0"/>
    <n v="35603"/>
    <m/>
    <m/>
    <m/>
  </r>
  <r>
    <x v="9"/>
    <x v="1"/>
    <s v="F:\images\20210305\plaque 1/@09  Testosterone 11 µg_L/B9_02.tif "/>
    <s v=" 1081.4947 "/>
    <s v=" 68.06 "/>
    <x v="0"/>
    <n v="73607"/>
    <m/>
    <m/>
    <m/>
  </r>
  <r>
    <x v="9"/>
    <x v="1"/>
    <s v="F:\images\20210305\plaque 1/@09  Testosterone 11 µg_L/B9_03.tif "/>
    <s v=" 1297.7937 "/>
    <s v=" 64.3167 "/>
    <x v="0"/>
    <n v="83470"/>
    <m/>
    <m/>
    <m/>
  </r>
  <r>
    <x v="9"/>
    <x v="2"/>
    <s v="F:\images\20210305\plaque 1/@09  Testosterone 11 µg_L/C9_01.tif "/>
    <s v=" 2703.7368 "/>
    <s v=" 64.288 "/>
    <x v="0"/>
    <n v="173818"/>
    <m/>
    <m/>
    <m/>
  </r>
  <r>
    <x v="9"/>
    <x v="2"/>
    <s v="F:\images\20210305\plaque 1/@09  Testosterone 11 µg_L/C9_02.tif "/>
    <s v=" 2162.9895 "/>
    <s v=" 66.86 "/>
    <x v="0"/>
    <n v="144617"/>
    <m/>
    <m/>
    <m/>
  </r>
  <r>
    <x v="9"/>
    <x v="2"/>
    <s v="F:\images\20210305\plaque 1/@09  Testosterone 11 µg_L/C9_03.tif "/>
    <s v=" 1752.0215 "/>
    <s v=" 66.7037 "/>
    <x v="0"/>
    <n v="116866"/>
    <m/>
    <m/>
    <m/>
  </r>
  <r>
    <x v="9"/>
    <x v="3"/>
    <s v="F:\images\20210305\plaque 1/@09  Testosterone 11 µg_L/D9_01.tif "/>
    <s v=" 1276.1638 "/>
    <s v=" 66.1186 "/>
    <x v="0"/>
    <n v="84378"/>
    <m/>
    <m/>
    <m/>
  </r>
  <r>
    <x v="9"/>
    <x v="3"/>
    <s v="F:\images\20210305\plaque 1/@09  Testosterone 11 µg_L/D9_02.tif "/>
    <s v=" 821.936 "/>
    <s v=" 65.2632 "/>
    <x v="0"/>
    <n v="53642"/>
    <m/>
    <m/>
    <m/>
  </r>
  <r>
    <x v="9"/>
    <x v="3"/>
    <s v="F:\images\20210305\plaque 1/@09  Testosterone 11 µg_L/D9_03.tif "/>
    <s v=" 346.0783 "/>
    <s v=" 63.625 "/>
    <x v="0"/>
    <n v="22019"/>
    <m/>
    <m/>
    <m/>
  </r>
  <r>
    <x v="9"/>
    <x v="4"/>
    <s v="F:\images\20210305\plaque 1/@09  Testosterone 11 µg_L/E9_01.tif "/>
    <s v=" 6770.157 "/>
    <s v=" 67.8403 "/>
    <x v="0"/>
    <n v="459289"/>
    <m/>
    <m/>
    <m/>
  </r>
  <r>
    <x v="9"/>
    <x v="4"/>
    <s v="F:\images\20210305\plaque 1/@09  Testosterone 11 µg_L/E9_02.tif "/>
    <s v=" 3287.744 "/>
    <s v=" 65.3618 "/>
    <x v="0"/>
    <n v="214893"/>
    <m/>
    <m/>
    <m/>
  </r>
  <r>
    <x v="9"/>
    <x v="4"/>
    <s v="F:\images\20210305\plaque 1/@09  Testosterone 11 µg_L/E9_03.tif "/>
    <s v=" 3331.0038 "/>
    <s v=" 66.0779 "/>
    <x v="0"/>
    <n v="220106"/>
    <m/>
    <m/>
    <m/>
  </r>
  <r>
    <x v="9"/>
    <x v="5"/>
    <s v="F:\images\20210305\plaque 1/@09  Testosterone 11 µg_L/F9_01.tif "/>
    <s v=" 5385.8438 "/>
    <s v=" 64.9116 "/>
    <x v="0"/>
    <n v="349604"/>
    <m/>
    <m/>
    <m/>
  </r>
  <r>
    <x v="9"/>
    <x v="5"/>
    <s v="F:\images\20210305\plaque 1/@09  Testosterone 11 µg_L/F9_02.tif "/>
    <s v=" 2573.9575 "/>
    <s v=" 65.958 "/>
    <x v="0"/>
    <n v="169773"/>
    <m/>
    <m/>
    <m/>
  </r>
  <r>
    <x v="9"/>
    <x v="5"/>
    <s v="F:\images\20210305\plaque 1/@09  Testosterone 11 µg_L/F9_03.tif "/>
    <s v=" 2249.509 "/>
    <s v=" 64.0962 "/>
    <x v="0"/>
    <n v="144185"/>
    <m/>
    <m/>
    <m/>
  </r>
  <r>
    <x v="9"/>
    <x v="6"/>
    <s v="F:\images\20210305\plaque 1/@09  Testosterone 11 µg_L/G9_01.tif "/>
    <s v=" 4953.2459 "/>
    <s v=" 68.2795 "/>
    <x v="0"/>
    <n v="338205"/>
    <m/>
    <m/>
    <m/>
  </r>
  <r>
    <x v="9"/>
    <x v="6"/>
    <s v="F:\images\20210305\plaque 1/@09  Testosterone 11 µg_L/G9_02.tif "/>
    <s v=" 1687.1318 "/>
    <s v=" 63.8718 "/>
    <x v="0"/>
    <n v="107760"/>
    <m/>
    <m/>
    <m/>
  </r>
  <r>
    <x v="9"/>
    <x v="6"/>
    <s v="F:\images\20210305\plaque 1/@09  Testosterone 11 µg_L/G9_03.tif "/>
    <s v=" 1427.573 "/>
    <s v=" 64.1061 "/>
    <x v="0"/>
    <n v="91516"/>
    <m/>
    <m/>
    <m/>
  </r>
  <r>
    <x v="9"/>
    <x v="7"/>
    <s v="F:\images\20210305\plaque 1/@09  Testosterone 11 µg_L/H9_01.tif "/>
    <s v=" 6315.9292 "/>
    <s v=" 71.7774 "/>
    <x v="0"/>
    <n v="453341"/>
    <m/>
    <m/>
    <m/>
  </r>
  <r>
    <x v="9"/>
    <x v="7"/>
    <s v="F:\images\20210305\plaque 1/@09  Testosterone 11 µg_L/H9_02.tif "/>
    <s v=" 6532.2282 "/>
    <s v=" 76.6656 "/>
    <x v="0"/>
    <n v="500797"/>
    <m/>
    <m/>
    <m/>
  </r>
  <r>
    <x v="9"/>
    <x v="7"/>
    <s v="F:\images\20210305\plaque 1/@09  Testosterone 11 µg_L/H9_03.tif "/>
    <s v=" 2379.2884 "/>
    <s v=" 64.6091 "/>
    <x v="0"/>
    <n v="153724"/>
    <m/>
    <m/>
    <m/>
  </r>
  <r>
    <x v="1"/>
    <x v="8"/>
    <s v=" "/>
    <m/>
    <m/>
    <x v="1"/>
    <m/>
    <m/>
    <m/>
    <m/>
  </r>
  <r>
    <x v="1"/>
    <x v="8"/>
    <s v="group "/>
    <s v=" "/>
    <s v=" mean of mean fluo "/>
    <x v="2"/>
    <s v=" mean of total fluo "/>
    <s v=" SD total fluo "/>
    <s v=" n fluorescent "/>
    <s v=" n total"/>
  </r>
  <r>
    <x v="9"/>
    <x v="9"/>
    <s v="F:\images\20210305\plaque 1/@09  Testosterone 11 µg_L/ "/>
    <s v=" "/>
    <s v=" 66.1927 "/>
    <x v="11"/>
    <s v=" 177478.708 "/>
    <s v=" 141722.77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0"/>
    <x v="0"/>
    <s v="F:\images\20210305\plaque 1/@10  Testosterone 33 µg_L/A10_01.tif "/>
    <s v=" 20223.9515 "/>
    <s v=" 69.5209 "/>
    <x v="0"/>
    <n v="1405986"/>
    <m/>
    <m/>
    <m/>
  </r>
  <r>
    <x v="10"/>
    <x v="0"/>
    <s v="F:\images\20210305\plaque 1/@10  Testosterone 33 µg_L/A10_02.tif "/>
    <s v=" 17563.4744 "/>
    <s v=" 69.75 "/>
    <x v="0"/>
    <n v="1225052"/>
    <m/>
    <m/>
    <m/>
  </r>
  <r>
    <x v="10"/>
    <x v="0"/>
    <s v="F:\images\20210305\plaque 1/@10  Testosterone 33 µg_L/A10_03.tif "/>
    <s v=" 19034.3073 "/>
    <s v=" 68.9602 "/>
    <x v="0"/>
    <n v="1312610"/>
    <m/>
    <m/>
    <m/>
  </r>
  <r>
    <x v="10"/>
    <x v="1"/>
    <s v="F:\images\20210305\plaque 1/@10  Testosterone 33 µg_L/B10_01.tif "/>
    <s v=" 24009.183 "/>
    <s v=" 72.7144 "/>
    <x v="0"/>
    <n v="1745814"/>
    <m/>
    <m/>
    <m/>
  </r>
  <r>
    <x v="10"/>
    <x v="1"/>
    <s v="F:\images\20210305\plaque 1/@10  Testosterone 33 µg_L/B10_02.tif "/>
    <s v=" 23014.2079 "/>
    <s v=" 74.1278 "/>
    <x v="0"/>
    <n v="1705993"/>
    <m/>
    <m/>
    <m/>
  </r>
  <r>
    <x v="10"/>
    <x v="1"/>
    <s v="F:\images\20210305\plaque 1/@10  Testosterone 33 µg_L/B10_03.tif "/>
    <s v=" 23619.8449 "/>
    <s v=" 72.1136 "/>
    <x v="0"/>
    <n v="1703311"/>
    <m/>
    <m/>
    <m/>
  </r>
  <r>
    <x v="10"/>
    <x v="2"/>
    <s v="F:\images\20210305\plaque 1/@10  Testosterone 33 µg_L/C10_01.tif "/>
    <s v=" 3374.2636 "/>
    <s v=" 64.5897 "/>
    <x v="0"/>
    <n v="217943"/>
    <m/>
    <m/>
    <m/>
  </r>
  <r>
    <x v="10"/>
    <x v="2"/>
    <s v="F:\images\20210305\plaque 1/@10  Testosterone 33 µg_L/C10_02.tif "/>
    <s v=" 3331.0038 "/>
    <s v=" 64.6169 "/>
    <x v="0"/>
    <n v="215239"/>
    <m/>
    <m/>
    <m/>
  </r>
  <r>
    <x v="10"/>
    <x v="2"/>
    <s v="F:\images\20210305\plaque 1/@10  Testosterone 33 µg_L/C10_03.tif "/>
    <s v=" 3136.3347 "/>
    <s v=" 65.1586 "/>
    <x v="0"/>
    <n v="204359"/>
    <m/>
    <m/>
    <m/>
  </r>
  <r>
    <x v="10"/>
    <x v="3"/>
    <s v="F:\images\20210305\plaque 1/@10  Testosterone 33 µg_L/D10_01.tif "/>
    <s v=" 8500.5486 "/>
    <s v=" 66.4962 "/>
    <x v="0"/>
    <n v="565254"/>
    <m/>
    <m/>
    <m/>
  </r>
  <r>
    <x v="10"/>
    <x v="3"/>
    <s v="F:\images\20210305\plaque 1/@10  Testosterone 33 µg_L/D10_02.tif "/>
    <s v=" 7613.7229 "/>
    <s v=" 66.5597 "/>
    <x v="0"/>
    <n v="506767"/>
    <m/>
    <m/>
    <m/>
  </r>
  <r>
    <x v="10"/>
    <x v="3"/>
    <s v="F:\images\20210305\plaque 1/@10  Testosterone 33 µg_L/D10_03- exclu.tif"/>
    <m/>
    <m/>
    <x v="1"/>
    <m/>
    <m/>
    <m/>
    <m/>
  </r>
  <r>
    <x v="10"/>
    <x v="4"/>
    <s v="F:\images\20210305\plaque 1/@10  Testosterone 33 µg_L/E10_01.tif "/>
    <s v=" 7656.9827 "/>
    <s v=" 68.3192 "/>
    <x v="0"/>
    <n v="523119"/>
    <m/>
    <m/>
    <m/>
  </r>
  <r>
    <x v="10"/>
    <x v="4"/>
    <s v="F:\images\20210305\plaque 1/@10  Testosterone 33 µg_L/E10_02.tif "/>
    <s v=" 7894.9115 "/>
    <s v=" 68.8 "/>
    <x v="0"/>
    <n v="543170"/>
    <m/>
    <m/>
    <m/>
  </r>
  <r>
    <x v="10"/>
    <x v="4"/>
    <s v="F:\images\20210305\plaque 1/@10  Testosterone 33 µg_L/E10_03.tif "/>
    <s v=" 10879.837 "/>
    <s v=" 68.5129 "/>
    <x v="0"/>
    <n v="745409"/>
    <m/>
    <m/>
    <m/>
  </r>
  <r>
    <x v="10"/>
    <x v="5"/>
    <s v="F:\images\20210305\plaque 1/@10  Testosterone 33 µg_L/F10_01.tif "/>
    <s v=" 35278.3581 "/>
    <s v=" 71.011 "/>
    <x v="0"/>
    <n v="2505153"/>
    <m/>
    <m/>
    <m/>
  </r>
  <r>
    <x v="10"/>
    <x v="5"/>
    <s v="F:\images\20210305\plaque 1/@10  Testosterone 33 µg_L/F10_02.tif "/>
    <s v=" 23727.9944 "/>
    <s v=" 67.1778 "/>
    <x v="0"/>
    <n v="1593993"/>
    <m/>
    <m/>
    <m/>
  </r>
  <r>
    <x v="10"/>
    <x v="5"/>
    <s v="F:\images\20210305\plaque 1/@10  Testosterone 33 µg_L/F10_03.tif "/>
    <s v=" 14189.2109 "/>
    <s v=" 65.1997 "/>
    <x v="0"/>
    <n v="925132"/>
    <m/>
    <m/>
    <m/>
  </r>
  <r>
    <x v="10"/>
    <x v="6"/>
    <s v="F:\images\20210305\plaque 1/@10  Testosterone 33 µg_L/G10_01.tif "/>
    <s v=" 24831.119 "/>
    <s v=" 68.7404 "/>
    <x v="0"/>
    <n v="1706902"/>
    <m/>
    <m/>
    <m/>
  </r>
  <r>
    <x v="10"/>
    <x v="6"/>
    <s v="F:\images\20210305\plaque 1/@10  Testosterone 33 µg_L/G10_02.tif "/>
    <s v=" 25285.3468 "/>
    <s v=" 68.3037 "/>
    <x v="0"/>
    <n v="1727082"/>
    <m/>
    <m/>
    <m/>
  </r>
  <r>
    <x v="10"/>
    <x v="6"/>
    <s v="F:\images\20210305\plaque 1/@10  Testosterone 33 µg_L/G10_03- exclu.tif"/>
    <m/>
    <m/>
    <x v="1"/>
    <m/>
    <m/>
    <m/>
    <m/>
  </r>
  <r>
    <x v="10"/>
    <x v="7"/>
    <s v="F:\images\20210305\plaque 1/@10  Testosterone 33 µg_L/H10_01- exclu.tif"/>
    <m/>
    <m/>
    <x v="1"/>
    <m/>
    <m/>
    <m/>
    <m/>
  </r>
  <r>
    <x v="10"/>
    <x v="7"/>
    <s v="F:\images\20210305\plaque 1/@10  Testosterone 33 µg_L/H10_02.tif "/>
    <s v=" 15573.5241 "/>
    <s v=" 66.8153 "/>
    <x v="0"/>
    <n v="1040549"/>
    <m/>
    <m/>
    <m/>
  </r>
  <r>
    <x v="10"/>
    <x v="7"/>
    <s v="F:\images\20210305\plaque 1/@10  Testosterone 33 µg_L/H10_03.tif "/>
    <s v=" 6640.3777 "/>
    <s v=" 65.1694 "/>
    <x v="0"/>
    <n v="432749"/>
    <m/>
    <m/>
    <m/>
  </r>
  <r>
    <x v="1"/>
    <x v="8"/>
    <s v=" "/>
    <m/>
    <m/>
    <x v="1"/>
    <m/>
    <m/>
    <m/>
    <m/>
  </r>
  <r>
    <x v="1"/>
    <x v="8"/>
    <s v="group "/>
    <s v=" "/>
    <s v=" mean of mean fluo "/>
    <x v="2"/>
    <s v=" mean of total fluo "/>
    <s v=" SD total fluo "/>
    <s v=" n fluorescent "/>
    <s v=" n total"/>
  </r>
  <r>
    <x v="10"/>
    <x v="9"/>
    <s v="F:\images\20210305\plaque 1/@10  Testosterone 33 µg_L/ "/>
    <s v=" "/>
    <s v=" 68.1971 "/>
    <x v="12"/>
    <s v=" 1020011.67 "/>
    <s v=" 654464.14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1"/>
    <x v="0"/>
    <s v="F:\images\20210305\plaque 1/@11  Testosterone 100 µg_L/A11_01.tif "/>
    <s v=" 7397.424 "/>
    <s v=" 65.6901 "/>
    <x v="0"/>
    <n v="485937"/>
    <m/>
    <m/>
    <m/>
  </r>
  <r>
    <x v="11"/>
    <x v="0"/>
    <s v="F:\images\20210305\plaque 1/@11  Testosterone 100 µg_L/A11_02.tif "/>
    <s v=" 6813.4168 "/>
    <s v=" 66.8032 "/>
    <x v="0"/>
    <n v="455158"/>
    <m/>
    <m/>
    <m/>
  </r>
  <r>
    <x v="11"/>
    <x v="0"/>
    <s v="F:\images\20210305\plaque 1/@11  Testosterone 100 µg_L/A11_03.tif "/>
    <s v=" 7354.1642 "/>
    <s v=" 65.7588 "/>
    <x v="0"/>
    <n v="483601"/>
    <m/>
    <m/>
    <m/>
  </r>
  <r>
    <x v="11"/>
    <x v="1"/>
    <s v="F:\images\20210305\plaque 1/@11  Testosterone 100 µg_L/B11_01.tif "/>
    <s v=" 26712.9199 "/>
    <s v=" 69.5822 "/>
    <x v="0"/>
    <n v="1858743"/>
    <m/>
    <m/>
    <m/>
  </r>
  <r>
    <x v="11"/>
    <x v="1"/>
    <s v="F:\images\20210305\plaque 1/@11  Testosterone 100 µg_L/B11_02.tif "/>
    <s v=" 26583.1405 "/>
    <s v=" 70.5077 "/>
    <x v="0"/>
    <n v="1874317"/>
    <m/>
    <m/>
    <m/>
  </r>
  <r>
    <x v="11"/>
    <x v="1"/>
    <s v="F:\images\20210305\plaque 1/@11  Testosterone 100 µg_L/B11_03.tif "/>
    <s v=" 28097.2331 "/>
    <s v=" 71.01 "/>
    <x v="0"/>
    <n v="1995185"/>
    <m/>
    <m/>
    <m/>
  </r>
  <r>
    <x v="11"/>
    <x v="2"/>
    <s v="F:\images\20210305\plaque 1/@11  Testosterone 100 µg_L/C11_01- exclu.tif"/>
    <m/>
    <m/>
    <x v="1"/>
    <m/>
    <m/>
    <m/>
    <m/>
  </r>
  <r>
    <x v="11"/>
    <x v="2"/>
    <s v="F:\images\20210305\plaque 1/@11  Testosterone 100 µg_L/C11_02.tif "/>
    <s v=" 10252.5701 "/>
    <s v=" 68.5886 "/>
    <x v="0"/>
    <n v="703210"/>
    <m/>
    <m/>
    <m/>
  </r>
  <r>
    <x v="11"/>
    <x v="2"/>
    <s v="F:\images\20210305\plaque 1/@11  Testosterone 100 µg_L/C11_03.tif "/>
    <s v=" 7808.392 "/>
    <s v=" 68.4211 "/>
    <x v="0"/>
    <n v="534258"/>
    <m/>
    <m/>
    <m/>
  </r>
  <r>
    <x v="11"/>
    <x v="3"/>
    <s v="F:\images\20210305\plaque 1/@11  Testosterone 100 µg_L/D11_01.tif "/>
    <s v=" 31406.607 "/>
    <s v=" 76.022 "/>
    <x v="0"/>
    <n v="2387594"/>
    <m/>
    <m/>
    <m/>
  </r>
  <r>
    <x v="11"/>
    <x v="3"/>
    <s v="F:\images\20210305\plaque 1/@11  Testosterone 100 µg_L/D11_02.tif "/>
    <s v=" 29611.3257 "/>
    <s v=" 76.8283 "/>
    <x v="0"/>
    <n v="2274989"/>
    <m/>
    <m/>
    <m/>
  </r>
  <r>
    <x v="11"/>
    <x v="3"/>
    <s v="F:\images\20210305\plaque 1/@11  Testosterone 100 µg_L/D11_03.tif "/>
    <s v=" 32142.0234 "/>
    <s v=" 73.3089 "/>
    <x v="0"/>
    <n v="2356296"/>
    <m/>
    <m/>
    <m/>
  </r>
  <r>
    <x v="11"/>
    <x v="4"/>
    <s v="F:\images\20210305\plaque 1/@11  Testosterone 100 µg_L/E11_01.tif "/>
    <s v=" 25480.0159 "/>
    <s v=" 73.9202 "/>
    <x v="0"/>
    <n v="1883488"/>
    <m/>
    <m/>
    <m/>
  </r>
  <r>
    <x v="11"/>
    <x v="4"/>
    <s v="F:\images\20210305\plaque 1/@11  Testosterone 100 µg_L/E11_02.tif "/>
    <s v=" 21327.0761 "/>
    <s v=" 75.143 "/>
    <x v="0"/>
    <n v="1602581"/>
    <m/>
    <m/>
    <m/>
  </r>
  <r>
    <x v="11"/>
    <x v="4"/>
    <s v="F:\images\20210305\plaque 1/@11  Testosterone 100 µg_L/E11_03.tif "/>
    <s v=" 28659.6104 "/>
    <s v=" 76.1094 "/>
    <x v="0"/>
    <n v="2181267"/>
    <m/>
    <m/>
    <m/>
  </r>
  <r>
    <x v="11"/>
    <x v="5"/>
    <s v="F:\images\20210305\plaque 1/@11  Testosterone 100 µg_L/F11_01.tif "/>
    <s v=" 7440.6838 "/>
    <s v=" 64.75 "/>
    <x v="0"/>
    <n v="481784"/>
    <m/>
    <m/>
    <m/>
  </r>
  <r>
    <x v="11"/>
    <x v="5"/>
    <s v="F:\images\20210305\plaque 1/@11  Testosterone 100 µg_L/F11_02.tif "/>
    <s v=" 8760.1073 "/>
    <s v=" 66.0938 "/>
    <x v="0"/>
    <n v="578989"/>
    <m/>
    <m/>
    <m/>
  </r>
  <r>
    <x v="11"/>
    <x v="5"/>
    <s v="F:\images\20210305\plaque 1/@11  Testosterone 100 µg_L/F11_03.tif "/>
    <s v=" 2638.8471 "/>
    <s v=" 64.0082 "/>
    <x v="0"/>
    <n v="168908"/>
    <m/>
    <m/>
    <m/>
  </r>
  <r>
    <x v="11"/>
    <x v="6"/>
    <s v="F:\images\20210305\plaque 1/@11  Testosterone 100 µg_L/G11_01.tif "/>
    <s v=" 11593.6235 "/>
    <s v=" 66.9422 "/>
    <x v="0"/>
    <n v="776102"/>
    <m/>
    <m/>
    <m/>
  </r>
  <r>
    <x v="11"/>
    <x v="6"/>
    <s v="F:\images\20210305\plaque 1/@11  Testosterone 100 µg_L/G11_02- exclu.tif"/>
    <m/>
    <m/>
    <x v="1"/>
    <m/>
    <m/>
    <m/>
    <m/>
  </r>
  <r>
    <x v="11"/>
    <x v="6"/>
    <s v="F:\images\20210305\plaque 1/@11  Testosterone 100 µg_L/G11_03.tif "/>
    <s v=" 519.1175 "/>
    <s v=" 63.25 "/>
    <x v="0"/>
    <n v="32834"/>
    <m/>
    <m/>
    <m/>
  </r>
  <r>
    <x v="11"/>
    <x v="7"/>
    <s v="F:\images\20210305\plaque 1/@11  Testosterone 100 µg_L/H11_01.tif "/>
    <s v=" 15400.485 "/>
    <s v=" 69.264 "/>
    <x v="0"/>
    <n v="1066700"/>
    <m/>
    <m/>
    <m/>
  </r>
  <r>
    <x v="11"/>
    <x v="7"/>
    <s v="F:\images\20210305\plaque 1/@11  Testosterone 100 µg_L/H11_02.tif "/>
    <s v=" 13561.9439 "/>
    <s v=" 68.5407 "/>
    <x v="0"/>
    <n v="929545"/>
    <m/>
    <m/>
    <m/>
  </r>
  <r>
    <x v="11"/>
    <x v="7"/>
    <s v="F:\images\20210305\plaque 1/@11  Testosterone 100 µg_L/H11_03.tif "/>
    <s v=" 12588.5987 "/>
    <s v=" 69.0155 "/>
    <x v="0"/>
    <n v="868808"/>
    <m/>
    <m/>
    <m/>
  </r>
  <r>
    <x v="1"/>
    <x v="8"/>
    <s v=" "/>
    <m/>
    <m/>
    <x v="1"/>
    <m/>
    <m/>
    <m/>
    <m/>
  </r>
  <r>
    <x v="1"/>
    <x v="8"/>
    <s v="group "/>
    <s v=" "/>
    <s v=" mean of mean fluo "/>
    <x v="2"/>
    <s v=" mean of total fluo "/>
    <s v=" SD total fluo "/>
    <s v=" n fluorescent "/>
    <s v=" n total"/>
  </r>
  <r>
    <x v="11"/>
    <x v="9"/>
    <s v="F:\images\20210305\plaque 1/@11  Testosterone 100 µg_L/ "/>
    <s v=" "/>
    <s v=" 69.1532 "/>
    <x v="13"/>
    <n v="1083975"/>
    <s v=" 819982.16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2"/>
    <x v="0"/>
    <s v="F:\images\20210305\plaque 1/@12  Testosterone 300 µg_L/A12_01.tif "/>
    <s v=" 44795.5118 "/>
    <s v=" 76.2482 "/>
    <x v="0"/>
    <n v="3415577"/>
    <m/>
    <m/>
    <m/>
  </r>
  <r>
    <x v="12"/>
    <x v="0"/>
    <s v="F:\images\20210305\plaque 1/@12  Testosterone 300 µg_L/A12_02.tif "/>
    <s v=" 38176.764 "/>
    <s v=" 73.9377 "/>
    <x v="0"/>
    <n v="2822701"/>
    <m/>
    <m/>
    <m/>
  </r>
  <r>
    <x v="12"/>
    <x v="0"/>
    <s v="F:\images\20210305\plaque 1/@12  Testosterone 300 µg_L/A12_03.tif "/>
    <s v=" 39582.7072 "/>
    <s v=" 77.8224 "/>
    <x v="0"/>
    <n v="3080421"/>
    <m/>
    <m/>
    <m/>
  </r>
  <r>
    <x v="12"/>
    <x v="1"/>
    <s v="F:\images\20210305\plaque 1/@12  Testosterone 300 µg_L/B12_01.tif "/>
    <s v=" 6402.4488 "/>
    <s v=" 67.3547 "/>
    <x v="0"/>
    <n v="431235"/>
    <m/>
    <m/>
    <m/>
  </r>
  <r>
    <x v="12"/>
    <x v="1"/>
    <s v="F:\images\20210305\plaque 1/@12  Testosterone 300 µg_L/B12_02.tif "/>
    <s v=" 6121.2602 "/>
    <s v=" 67.5936 "/>
    <x v="0"/>
    <n v="413758"/>
    <m/>
    <m/>
    <m/>
  </r>
  <r>
    <x v="12"/>
    <x v="1"/>
    <s v="F:\images\20210305\plaque 1/@12  Testosterone 300 µg_L/B12_03.tif "/>
    <s v=" 6402.4488 "/>
    <s v=" 69.8345 "/>
    <x v="0"/>
    <n v="447112"/>
    <m/>
    <m/>
    <m/>
  </r>
  <r>
    <x v="12"/>
    <x v="2"/>
    <s v="F:\images\20210305\plaque 1/@12  Testosterone 300 µg_L/C12_01- exclu.tif"/>
    <m/>
    <m/>
    <x v="1"/>
    <m/>
    <m/>
    <m/>
    <m/>
  </r>
  <r>
    <x v="12"/>
    <x v="2"/>
    <s v="F:\images\20210305\plaque 1/@12  Testosterone 300 µg_L/C12_02- exclu.tif"/>
    <m/>
    <m/>
    <x v="1"/>
    <m/>
    <m/>
    <m/>
    <m/>
  </r>
  <r>
    <x v="12"/>
    <x v="2"/>
    <s v="F:\images\20210305\plaque 1/@12  Testosterone 300 µg_L/C12_03- exclu.tif"/>
    <m/>
    <m/>
    <x v="1"/>
    <m/>
    <m/>
    <m/>
    <m/>
  </r>
  <r>
    <x v="12"/>
    <x v="3"/>
    <s v="F:\images\20210305\plaque 1/@12  Testosterone 300 µg_L/D12_01.tif "/>
    <s v=" 43238.1594 "/>
    <s v=" 72.1861 "/>
    <x v="0"/>
    <n v="3121194"/>
    <m/>
    <m/>
    <m/>
  </r>
  <r>
    <x v="12"/>
    <x v="3"/>
    <s v="F:\images\20210305\plaque 1/@12  Testosterone 300 µg_L/D12_02.tif "/>
    <s v=" 46569.1631 "/>
    <s v=" 72.3957 "/>
    <x v="0"/>
    <n v="3371408"/>
    <m/>
    <m/>
    <m/>
  </r>
  <r>
    <x v="12"/>
    <x v="3"/>
    <s v="F:\images\20210305\plaque 1/@12  Testosterone 300 µg_L/D12_03.tif "/>
    <s v=" 41010.2802 "/>
    <s v=" 71.6123 "/>
    <x v="0"/>
    <n v="2936842"/>
    <m/>
    <m/>
    <m/>
  </r>
  <r>
    <x v="12"/>
    <x v="4"/>
    <s v="F:\images\20210305\plaque 1/@12  Testosterone 300 µg_L/E12_01.tif "/>
    <s v=" 31060.5287 "/>
    <s v=" 74.7946 "/>
    <x v="0"/>
    <n v="2323159"/>
    <m/>
    <m/>
    <m/>
  </r>
  <r>
    <x v="12"/>
    <x v="4"/>
    <s v="F:\images\20210305\plaque 1/@12  Testosterone 300 µg_L/E12_02.tif "/>
    <s v=" 33418.1872 "/>
    <s v=" 73.9126 "/>
    <x v="0"/>
    <n v="2470026"/>
    <m/>
    <m/>
    <m/>
  </r>
  <r>
    <x v="12"/>
    <x v="4"/>
    <s v="F:\images\20210305\plaque 1/@12  Testosterone 300 µg_L/E12_03.tif "/>
    <s v=" 37506.2373 "/>
    <s v=" 74.8991 "/>
    <x v="0"/>
    <n v="2809183"/>
    <m/>
    <m/>
    <m/>
  </r>
  <r>
    <x v="12"/>
    <x v="5"/>
    <s v="F:\images\20210305\plaque 1/@12  Testosterone 300 µg_L/F12_01.tif "/>
    <s v=" 16568.4993 "/>
    <s v=" 68.9112 "/>
    <x v="0"/>
    <n v="1141756"/>
    <m/>
    <m/>
    <m/>
  </r>
  <r>
    <x v="12"/>
    <x v="5"/>
    <s v="F:\images\20210305\plaque 1/@12  Testosterone 300 µg_L/F12_02.tif "/>
    <s v=" 15768.1932 "/>
    <s v=" 70.7709 "/>
    <x v="0"/>
    <n v="1115930"/>
    <m/>
    <m/>
    <m/>
  </r>
  <r>
    <x v="12"/>
    <x v="5"/>
    <s v="F:\images\20210305\plaque 1/@12  Testosterone 300 µg_L/F12_03.tif "/>
    <s v=" 15724.9334 "/>
    <s v=" 70.37 "/>
    <x v="0"/>
    <n v="1106564"/>
    <m/>
    <m/>
    <m/>
  </r>
  <r>
    <x v="12"/>
    <x v="6"/>
    <s v="F:\images\20210305\plaque 1/@12  Testosterone 300 µg_L/G12_01- exclu.tif"/>
    <m/>
    <m/>
    <x v="1"/>
    <m/>
    <m/>
    <m/>
    <m/>
  </r>
  <r>
    <x v="12"/>
    <x v="6"/>
    <s v="F:\images\20210305\plaque 1/@12  Testosterone 300 µg_L/G12_02- exclu.tif"/>
    <m/>
    <m/>
    <x v="1"/>
    <m/>
    <m/>
    <m/>
    <m/>
  </r>
  <r>
    <x v="12"/>
    <x v="6"/>
    <s v="F:\images\20210305\plaque 1/@12  Testosterone 300 µg_L/G12_03.tif "/>
    <s v=" 18753.1186 "/>
    <s v=" 68.8155 "/>
    <x v="0"/>
    <n v="1290504"/>
    <m/>
    <m/>
    <m/>
  </r>
  <r>
    <x v="12"/>
    <x v="7"/>
    <s v="F:\images\20210305\plaque 1/@12  Testosterone 300 µg_L/H12_01.tif "/>
    <s v=" 24658.0799 "/>
    <s v=" 69.6246 "/>
    <x v="0"/>
    <n v="1716808"/>
    <m/>
    <m/>
    <m/>
  </r>
  <r>
    <x v="12"/>
    <x v="7"/>
    <s v="F:\images\20210305\plaque 1/@12  Testosterone 300 µg_L/H12_02- exclu.tif"/>
    <m/>
    <m/>
    <x v="1"/>
    <m/>
    <m/>
    <m/>
    <m/>
  </r>
  <r>
    <x v="12"/>
    <x v="7"/>
    <s v="F:\images\20210305\plaque 1/@12  Testosterone 300 µg_L/H12_03- exclu.tif"/>
    <m/>
    <m/>
    <x v="1"/>
    <m/>
    <m/>
    <m/>
    <m/>
  </r>
  <r>
    <x v="1"/>
    <x v="8"/>
    <s v=" "/>
    <m/>
    <m/>
    <x v="1"/>
    <m/>
    <m/>
    <m/>
    <m/>
  </r>
  <r>
    <x v="1"/>
    <x v="8"/>
    <s v="group "/>
    <s v=" "/>
    <s v=" mean of mean fluo "/>
    <x v="2"/>
    <s v=" mean of total fluo "/>
    <s v=" SD total fluo "/>
    <s v=" n fluorescent "/>
    <s v=" n total"/>
  </r>
  <r>
    <x v="12"/>
    <x v="9"/>
    <s v="F:\images\20210305\plaque 1/@12  Testosterone 300 µg_L/ "/>
    <s v=" "/>
    <s v=" 71.3569 "/>
    <x v="14"/>
    <s v=" 1553613.12 "/>
    <s v=" 1182147.1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3"/>
    <x v="0"/>
    <s v="F:\images\20210305\plaque 2/@01 Testo 30/A1_01.tif "/>
    <s v=" 24355.2614 "/>
    <s v=" 71.6359 "/>
    <x v="0"/>
    <n v="1744711"/>
    <m/>
    <m/>
    <m/>
  </r>
  <r>
    <x v="13"/>
    <x v="0"/>
    <s v="F:\images\20210305\plaque 2/@01 Testo 30/A1_02.tif "/>
    <s v=" 14881.3675 "/>
    <s v=" 66.782 "/>
    <x v="0"/>
    <n v="993807"/>
    <m/>
    <m/>
    <m/>
  </r>
  <r>
    <x v="13"/>
    <x v="0"/>
    <s v="F:\images\20210305\plaque 2/@01 Testo 30/A1_03.tif "/>
    <s v=" 21197.2967 "/>
    <s v=" 69.7643 "/>
    <x v="0"/>
    <n v="1478814"/>
    <m/>
    <m/>
    <m/>
  </r>
  <r>
    <x v="13"/>
    <x v="1"/>
    <s v="F:\images\20210305\plaque 2/@01 Testo 30/B1_01- exclu.tif"/>
    <m/>
    <m/>
    <x v="1"/>
    <m/>
    <m/>
    <m/>
    <m/>
  </r>
  <r>
    <x v="13"/>
    <x v="1"/>
    <s v="F:\images\20210305\plaque 2/@01 Testo 30/B1_02- exclu.tif"/>
    <m/>
    <m/>
    <x v="1"/>
    <m/>
    <m/>
    <m/>
    <m/>
  </r>
  <r>
    <x v="13"/>
    <x v="1"/>
    <s v="F:\images\20210305\plaque 2/@01 Testo 30/B1_03- exclu.tif"/>
    <m/>
    <m/>
    <x v="1"/>
    <m/>
    <m/>
    <m/>
    <m/>
  </r>
  <r>
    <x v="13"/>
    <x v="2"/>
    <s v="F:\images\20210305\plaque 2/@01 Testo 30/C1_01.tif "/>
    <s v=" 32596.2512 "/>
    <s v=" 68.5461 "/>
    <x v="0"/>
    <n v="2234346"/>
    <m/>
    <m/>
    <m/>
  </r>
  <r>
    <x v="13"/>
    <x v="2"/>
    <s v="F:\images\20210305\plaque 2/@01 Testo 30/C1_02- exclu.tif"/>
    <m/>
    <m/>
    <x v="1"/>
    <m/>
    <m/>
    <m/>
    <m/>
  </r>
  <r>
    <x v="13"/>
    <x v="2"/>
    <s v="F:\images\20210305\plaque 2/@01 Testo 30/C1_03.tif "/>
    <s v=" 26301.9519 "/>
    <s v=" 68.2516 "/>
    <x v="0"/>
    <n v="1795151"/>
    <m/>
    <m/>
    <m/>
  </r>
  <r>
    <x v="13"/>
    <x v="3"/>
    <s v="F:\images\20210305\plaque 2/@01 Testo 30/D1_01.tif "/>
    <s v=" 21413.5957 "/>
    <s v=" 67.6505 "/>
    <x v="0"/>
    <n v="1448641"/>
    <m/>
    <m/>
    <m/>
  </r>
  <r>
    <x v="13"/>
    <x v="3"/>
    <s v="F:\images\20210305\plaque 2/@01 Testo 30/D1_02.tif "/>
    <s v=" 22733.0193 "/>
    <s v=" 68.3654 "/>
    <x v="0"/>
    <n v="1554151"/>
    <m/>
    <m/>
    <m/>
  </r>
  <r>
    <x v="13"/>
    <x v="3"/>
    <s v="F:\images\20210305\plaque 2/@01 Testo 30/D1_03.tif "/>
    <s v=" 30325.1123 "/>
    <s v=" 69.0128 "/>
    <x v="0"/>
    <n v="2092822"/>
    <m/>
    <m/>
    <m/>
  </r>
  <r>
    <x v="13"/>
    <x v="4"/>
    <s v="F:\images\20210305\plaque 2/@01 Testo 30/E1_01.tif "/>
    <s v=" 4931.616 "/>
    <s v=" 64.443 "/>
    <x v="0"/>
    <n v="317808"/>
    <m/>
    <m/>
    <m/>
  </r>
  <r>
    <x v="13"/>
    <x v="4"/>
    <s v="F:\images\20210305\plaque 2/@01 Testo 30/E1_02.tif "/>
    <s v=" 3157.9646 "/>
    <s v=" 64.5479 "/>
    <x v="0"/>
    <n v="203840"/>
    <m/>
    <m/>
    <m/>
  </r>
  <r>
    <x v="13"/>
    <x v="4"/>
    <s v="F:\images\20210305\plaque 2/@01 Testo 30/E1_03.tif "/>
    <s v=" 5991.4808 "/>
    <s v=" 64.935 "/>
    <x v="0"/>
    <n v="389057"/>
    <m/>
    <m/>
    <m/>
  </r>
  <r>
    <x v="13"/>
    <x v="5"/>
    <s v="F:\images\20210305\plaque 2/@01 Testo 30/F1_01.tif "/>
    <s v=" 39755.7463 "/>
    <s v=" 74.8662 "/>
    <x v="0"/>
    <n v="2976360"/>
    <m/>
    <m/>
    <m/>
  </r>
  <r>
    <x v="13"/>
    <x v="5"/>
    <s v="F:\images\20210305\plaque 2/@01 Testo 30/F1_02.tif "/>
    <s v=" 41161.6895 "/>
    <s v=" 74.8203 "/>
    <x v="0"/>
    <n v="3079729"/>
    <m/>
    <m/>
    <m/>
  </r>
  <r>
    <x v="13"/>
    <x v="5"/>
    <s v="F:\images\20210305\plaque 2/@01 Testo 30/F1_03.tif "/>
    <s v=" 40620.9421 "/>
    <s v=" 73.2934 "/>
    <x v="0"/>
    <n v="2977247"/>
    <m/>
    <m/>
    <m/>
  </r>
  <r>
    <x v="13"/>
    <x v="6"/>
    <s v="F:\images\20210305\plaque 2/@01 Testo 30/G1_01.tif "/>
    <s v=" 42178.2945 "/>
    <s v=" 75.7138 "/>
    <x v="0"/>
    <n v="3193481"/>
    <m/>
    <m/>
    <m/>
  </r>
  <r>
    <x v="13"/>
    <x v="6"/>
    <s v="F:\images\20210305\plaque 2/@01 Testo 30/G1_02.tif "/>
    <s v=" 36922.2301 "/>
    <s v=" 73.8916 "/>
    <x v="0"/>
    <n v="2728243"/>
    <m/>
    <m/>
    <m/>
  </r>
  <r>
    <x v="13"/>
    <x v="6"/>
    <s v="F:\images\20210305\plaque 2/@01 Testo 30/G1_03.tif "/>
    <s v=" 38868.9206 "/>
    <s v=" 74.5454 "/>
    <x v="0"/>
    <n v="2897497"/>
    <m/>
    <m/>
    <m/>
  </r>
  <r>
    <x v="13"/>
    <x v="7"/>
    <s v="F:\images\20210305\plaque 2/@01 Testo 30/H1_01.tif "/>
    <s v=" 22906.0584 "/>
    <s v=" 68.6043 "/>
    <x v="0"/>
    <n v="1571455"/>
    <m/>
    <m/>
    <m/>
  </r>
  <r>
    <x v="13"/>
    <x v="7"/>
    <s v="F:\images\20210305\plaque 2/@01 Testo 30/H1_02.tif "/>
    <s v=" 21089.1473 "/>
    <s v=" 68.8431 "/>
    <x v="0"/>
    <n v="1451842"/>
    <m/>
    <m/>
    <m/>
  </r>
  <r>
    <x v="13"/>
    <x v="7"/>
    <s v="F:\images\20210305\plaque 2/@01 Testo 30/H1_03.tif "/>
    <s v=" 18471.93 "/>
    <s v=" 66.8454 "/>
    <x v="0"/>
    <n v="1234764"/>
    <m/>
    <m/>
    <m/>
  </r>
  <r>
    <x v="1"/>
    <x v="8"/>
    <s v=" "/>
    <m/>
    <m/>
    <x v="1"/>
    <m/>
    <m/>
    <m/>
    <m/>
  </r>
  <r>
    <x v="1"/>
    <x v="8"/>
    <s v="group "/>
    <s v=" "/>
    <s v=" mean of mean fluo "/>
    <x v="2"/>
    <s v=" mean of total fluo "/>
    <s v=" SD total fluo "/>
    <s v=" n fluorescent "/>
    <s v=" n total"/>
  </r>
  <r>
    <x v="13"/>
    <x v="9"/>
    <s v="F:\images\20210305\plaque 2/@01 Testo 30/ "/>
    <s v=" "/>
    <s v=" 69.0852 "/>
    <x v="15"/>
    <s v=" 1588297.46 "/>
    <s v=" 1028346.2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4"/>
    <x v="0"/>
    <s v="F:\images\20210305\plaque 2/@02 Testo 30/A2_01.tif "/>
    <s v=" 24095.7026 "/>
    <s v=" 74.4452 "/>
    <x v="0"/>
    <n v="1793810"/>
    <m/>
    <m/>
    <m/>
  </r>
  <r>
    <x v="14"/>
    <x v="0"/>
    <s v="F:\images\20210305\plaque 2/@02 Testo 30/A2_02.tif "/>
    <s v=" 22149.0121 "/>
    <s v=" 74.9551 "/>
    <x v="0"/>
    <n v="1660181"/>
    <m/>
    <m/>
    <m/>
  </r>
  <r>
    <x v="14"/>
    <x v="0"/>
    <s v="F:\images\20210305\plaque 2/@02 Testo 30/A2_03.tif "/>
    <s v=" 23338.6563 "/>
    <s v=" 76.7016 "/>
    <x v="0"/>
    <n v="1790112"/>
    <m/>
    <m/>
    <m/>
  </r>
  <r>
    <x v="14"/>
    <x v="1"/>
    <s v="F:\images\20210305\plaque 2/@02 Testo 30/B2_01- exclu.tif"/>
    <m/>
    <m/>
    <x v="1"/>
    <m/>
    <m/>
    <m/>
    <m/>
  </r>
  <r>
    <x v="14"/>
    <x v="1"/>
    <s v="F:\images\20210305\plaque 2/@02 Testo 30/B2_02.tif "/>
    <s v=" 14946.2572 "/>
    <s v=" 71.2981 "/>
    <x v="0"/>
    <n v="1065640"/>
    <m/>
    <m/>
    <m/>
  </r>
  <r>
    <x v="14"/>
    <x v="1"/>
    <s v="F:\images\20210305\plaque 2/@02 Testo 30/B2_03.tif "/>
    <s v=" 13756.613 "/>
    <n v="67"/>
    <x v="0"/>
    <n v="921693"/>
    <m/>
    <m/>
    <m/>
  </r>
  <r>
    <x v="14"/>
    <x v="2"/>
    <s v="F:\images\20210305\plaque 2/@02 Testo 30/C2_01.tif "/>
    <s v=" 7808.392 "/>
    <s v=" 71.2022 "/>
    <x v="0"/>
    <n v="555975"/>
    <m/>
    <m/>
    <m/>
  </r>
  <r>
    <x v="14"/>
    <x v="2"/>
    <s v="F:\images\20210305\plaque 2/@02 Testo 30/C2_02.tif "/>
    <s v=" 8435.6589 "/>
    <s v=" 74.8179 "/>
    <x v="0"/>
    <n v="631139"/>
    <m/>
    <m/>
    <m/>
  </r>
  <r>
    <x v="14"/>
    <x v="2"/>
    <s v="F:\images\20210305\plaque 2/@02 Testo 30/C2_03.tif "/>
    <s v=" 6164.52 "/>
    <s v=" 77.5298 "/>
    <x v="0"/>
    <n v="477934"/>
    <m/>
    <m/>
    <m/>
  </r>
  <r>
    <x v="14"/>
    <x v="3"/>
    <s v="F:\images\20210305\plaque 2/@02 Testo 30/D2_01.tif "/>
    <s v=" 26064.023 "/>
    <s v=" 72.7751 "/>
    <x v="0"/>
    <n v="1896812"/>
    <m/>
    <m/>
    <m/>
  </r>
  <r>
    <x v="14"/>
    <x v="3"/>
    <s v="F:\images\20210305\plaque 2/@02 Testo 30/D2_02.tif "/>
    <s v=" 25133.9376 "/>
    <s v=" 74.6876 "/>
    <x v="0"/>
    <n v="1877194"/>
    <m/>
    <m/>
    <m/>
  </r>
  <r>
    <x v="14"/>
    <x v="3"/>
    <s v="F:\images\20210305\plaque 2/@02 Testo 30/D2_03- exclu.tif"/>
    <m/>
    <m/>
    <x v="1"/>
    <m/>
    <m/>
    <m/>
    <m/>
  </r>
  <r>
    <x v="14"/>
    <x v="4"/>
    <s v="F:\images\20210305\plaque 2/@02 Testo 30/E2_01.tif "/>
    <s v=" 17195.7662 "/>
    <s v=" 67.5799 "/>
    <x v="0"/>
    <n v="1162088"/>
    <m/>
    <m/>
    <m/>
  </r>
  <r>
    <x v="14"/>
    <x v="4"/>
    <s v="F:\images\20210305\plaque 2/@02 Testo 30/E2_02.tif "/>
    <s v=" 17671.6239 "/>
    <s v=" 67.3953 "/>
    <x v="0"/>
    <n v="1190985"/>
    <m/>
    <m/>
    <m/>
  </r>
  <r>
    <x v="14"/>
    <x v="4"/>
    <s v="F:\images\20210305\plaque 2/@02 Testo 30/E2_03.tif "/>
    <s v=" 13713.3532 "/>
    <s v=" 66.2603 "/>
    <x v="0"/>
    <n v="908650"/>
    <m/>
    <m/>
    <m/>
  </r>
  <r>
    <x v="14"/>
    <x v="5"/>
    <s v="F:\images\20210305\plaque 2/@02 Testo 30/F2_01.tif "/>
    <s v=" 48191.4052 "/>
    <s v=" 73.2136 "/>
    <x v="0"/>
    <n v="3528268"/>
    <m/>
    <m/>
    <m/>
  </r>
  <r>
    <x v="14"/>
    <x v="5"/>
    <s v="F:\images\20210305\plaque 2/@02 Testo 30/F2_02.tif "/>
    <s v=" 42740.6718 "/>
    <s v=" 72.7869 "/>
    <x v="0"/>
    <n v="3110963"/>
    <m/>
    <m/>
    <m/>
  </r>
  <r>
    <x v="14"/>
    <x v="5"/>
    <s v="F:\images\20210305\plaque 2/@02 Testo 30/F2_03.tif "/>
    <s v=" 41918.7358 "/>
    <s v=" 72.3973 "/>
    <x v="0"/>
    <n v="3034804"/>
    <m/>
    <m/>
    <m/>
  </r>
  <r>
    <x v="14"/>
    <x v="6"/>
    <s v="F:\images\20210305\plaque 2/@02 Testo 30/G2_01.tif "/>
    <s v=" 34348.2727 "/>
    <s v=" 69.7897 "/>
    <x v="0"/>
    <n v="2397155"/>
    <m/>
    <m/>
    <m/>
  </r>
  <r>
    <x v="14"/>
    <x v="6"/>
    <s v="F:\images\20210305\plaque 2/@02 Testo 30/G2_02.tif "/>
    <s v=" 29503.1763 "/>
    <s v=" 69.9084 "/>
    <x v="0"/>
    <n v="2062519"/>
    <m/>
    <m/>
    <m/>
  </r>
  <r>
    <x v="14"/>
    <x v="6"/>
    <s v="F:\images\20210305\plaque 2/@02 Testo 30/G2_03.tif "/>
    <s v=" 27296.927 "/>
    <s v=" 69.0539 "/>
    <x v="0"/>
    <n v="1884959"/>
    <m/>
    <m/>
    <m/>
  </r>
  <r>
    <x v="14"/>
    <x v="7"/>
    <s v="F:\images\20210305\plaque 2/@02 Testo 30/H2_01.tif "/>
    <s v=" 31752.6853 "/>
    <s v=" 70.7098 "/>
    <x v="0"/>
    <n v="2245226"/>
    <m/>
    <m/>
    <m/>
  </r>
  <r>
    <x v="14"/>
    <x v="7"/>
    <s v="F:\images\20210305\plaque 2/@02 Testo 30/H2_02.tif "/>
    <s v=" 27145.5178 "/>
    <s v=" 68.5235 "/>
    <x v="0"/>
    <n v="1860106"/>
    <m/>
    <m/>
    <m/>
  </r>
  <r>
    <x v="14"/>
    <x v="7"/>
    <s v="F:\images\20210305\plaque 2/@02 Testo 30/H2_03.tif "/>
    <s v=" 22819.5388 "/>
    <s v=" 68.3204 "/>
    <x v="0"/>
    <n v="1559040"/>
    <m/>
    <m/>
    <m/>
  </r>
  <r>
    <x v="1"/>
    <x v="8"/>
    <s v=" "/>
    <m/>
    <m/>
    <x v="1"/>
    <m/>
    <m/>
    <m/>
    <m/>
  </r>
  <r>
    <x v="1"/>
    <x v="8"/>
    <s v="group "/>
    <s v=" "/>
    <s v=" mean of mean fluo "/>
    <x v="2"/>
    <s v=" mean of total fluo "/>
    <s v=" SD total fluo "/>
    <s v=" n fluorescent "/>
    <s v=" n total"/>
  </r>
  <r>
    <x v="14"/>
    <x v="9"/>
    <s v="F:\images\20210305\plaque 2/@02 Testo 30/ "/>
    <s v=" "/>
    <s v=" 70.9264 "/>
    <x v="16"/>
    <s v=" 1636934.25 "/>
    <s v=" 826852.28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5"/>
    <x v="0"/>
    <s v="F:\images\20210305\plaque 2/@03 Testo+ EE2 64/A3_01.tif "/>
    <s v=" 15962.8622 "/>
    <s v=" 72.9634 "/>
    <x v="0"/>
    <n v="1164705"/>
    <m/>
    <m/>
    <m/>
  </r>
  <r>
    <x v="15"/>
    <x v="0"/>
    <s v="F:\images\20210305\plaque 2/@03 Testo+ EE2 64/A3_02.tif "/>
    <s v=" 20634.9195 "/>
    <s v=" 70.4015 "/>
    <x v="0"/>
    <n v="1452729"/>
    <m/>
    <m/>
    <m/>
  </r>
  <r>
    <x v="15"/>
    <x v="0"/>
    <s v="F:\images\20210305\plaque 2/@03 Testo+ EE2 64/A3_03.tif "/>
    <s v=" 19704.834 "/>
    <s v=" 71.6685 "/>
    <x v="0"/>
    <n v="1412216"/>
    <m/>
    <m/>
    <m/>
  </r>
  <r>
    <x v="15"/>
    <x v="1"/>
    <s v="F:\images\20210305\plaque 2/@03 Testo+ EE2 64/B3_01.tif "/>
    <s v=" 77283.6135 "/>
    <s v=" 79.9197 "/>
    <x v="0"/>
    <n v="6176481"/>
    <m/>
    <m/>
    <m/>
  </r>
  <r>
    <x v="15"/>
    <x v="1"/>
    <s v="F:\images\20210305\plaque 2/@03 Testo+ EE2 64/B3_02.tif "/>
    <s v=" 73995.8695 "/>
    <s v=" 78.8305 "/>
    <x v="0"/>
    <n v="5833128"/>
    <m/>
    <m/>
    <m/>
  </r>
  <r>
    <x v="15"/>
    <x v="1"/>
    <s v="F:\images\20210305\plaque 2/@03 Testo+ EE2 64/B3_03.tif "/>
    <s v=" 77435.0228 "/>
    <s v=" 82.4148 "/>
    <x v="0"/>
    <n v="6381792"/>
    <m/>
    <m/>
    <m/>
  </r>
  <r>
    <x v="15"/>
    <x v="2"/>
    <s v="F:\images\20210305\plaque 2/@03 Testo+ EE2 64/C3_01.tif "/>
    <s v=" 33093.7388 "/>
    <s v=" 83.0065 "/>
    <x v="0"/>
    <n v="2746997"/>
    <m/>
    <m/>
    <m/>
  </r>
  <r>
    <x v="15"/>
    <x v="2"/>
    <s v="F:\images\20210305\plaque 2/@03 Testo+ EE2 64/C3_02.tif "/>
    <s v=" 33050.479 "/>
    <s v=" 81.6198 "/>
    <x v="0"/>
    <n v="2697572"/>
    <m/>
    <m/>
    <m/>
  </r>
  <r>
    <x v="15"/>
    <x v="2"/>
    <s v="F:\images\20210305\plaque 2/@03 Testo+ EE2 64/C3_03.tif "/>
    <s v=" 33699.3758 "/>
    <s v=" 81.3472 "/>
    <x v="0"/>
    <n v="2741351"/>
    <m/>
    <m/>
    <m/>
  </r>
  <r>
    <x v="15"/>
    <x v="3"/>
    <s v="F:\images\20210305\plaque 2/@03 Testo+ EE2 64/D3_01.tif "/>
    <s v=" 14210.8408 "/>
    <s v=" 70.0594 "/>
    <x v="0"/>
    <n v="995602"/>
    <m/>
    <m/>
    <m/>
  </r>
  <r>
    <x v="15"/>
    <x v="3"/>
    <s v="F:\images\20210305\plaque 2/@03 Testo+ EE2 64/D3_02.tif "/>
    <s v=" 9538.7835 "/>
    <s v=" 69.839 "/>
    <x v="0"/>
    <n v="666179"/>
    <m/>
    <m/>
    <m/>
  </r>
  <r>
    <x v="15"/>
    <x v="3"/>
    <s v="F:\images\20210305\plaque 2/@03 Testo+ EE2 64/D3_03.tif "/>
    <s v=" 4174.5697 "/>
    <s v=" 65.2383 "/>
    <x v="0"/>
    <n v="272342"/>
    <m/>
    <m/>
    <m/>
  </r>
  <r>
    <x v="15"/>
    <x v="4"/>
    <s v="F:\images\20210305\plaque 2/@03 Testo+ EE2 64/E3_01- exclu.tif"/>
    <m/>
    <m/>
    <x v="1"/>
    <m/>
    <m/>
    <m/>
    <m/>
  </r>
  <r>
    <x v="15"/>
    <x v="4"/>
    <s v="F:\images\20210305\plaque 2/@03 Testo+ EE2 64/E3_02.tif "/>
    <s v=" 48602.3732 "/>
    <s v=" 81.2145 "/>
    <x v="0"/>
    <n v="3947218"/>
    <m/>
    <m/>
    <m/>
  </r>
  <r>
    <x v="15"/>
    <x v="4"/>
    <s v="F:\images\20210305\plaque 2/@03 Testo+ EE2 64/E3_03.tif "/>
    <s v=" 48537.4835 "/>
    <s v=" 84.5107 "/>
    <x v="0"/>
    <n v="4101936"/>
    <m/>
    <m/>
    <m/>
  </r>
  <r>
    <x v="15"/>
    <x v="5"/>
    <s v="F:\images\20210305\plaque 2/@03 Testo+ EE2 64/F3_01.tif "/>
    <s v=" 47975.1063 "/>
    <s v=" 78.7804 "/>
    <x v="0"/>
    <n v="3779500"/>
    <m/>
    <m/>
    <m/>
  </r>
  <r>
    <x v="15"/>
    <x v="5"/>
    <s v="F:\images\20210305\plaque 2/@03 Testo+ EE2 64/F3_02.tif "/>
    <s v=" 41464.508 "/>
    <s v=" 79.963 "/>
    <x v="0"/>
    <n v="3315625"/>
    <m/>
    <m/>
    <m/>
  </r>
  <r>
    <x v="15"/>
    <x v="5"/>
    <s v="F:\images\20210305\plaque 2/@03 Testo+ EE2 64/F3_03.tif "/>
    <s v=" 42264.8141 "/>
    <s v=" 79.8572 "/>
    <x v="0"/>
    <n v="3375150"/>
    <m/>
    <m/>
    <m/>
  </r>
  <r>
    <x v="15"/>
    <x v="6"/>
    <s v="F:\images\20210305\plaque 2/@03 Testo+ EE2 64/G3_01.tif "/>
    <s v=" 38544.4722 "/>
    <s v=" 72.3361 "/>
    <x v="0"/>
    <n v="2788158"/>
    <m/>
    <m/>
    <m/>
  </r>
  <r>
    <x v="15"/>
    <x v="6"/>
    <s v="F:\images\20210305\plaque 2/@03 Testo+ EE2 64/G3_02.tif "/>
    <s v=" 37441.3476 "/>
    <s v=" 72.7267 "/>
    <x v="0"/>
    <n v="2722987"/>
    <m/>
    <m/>
    <m/>
  </r>
  <r>
    <x v="15"/>
    <x v="6"/>
    <s v="F:\images\20210305\plaque 2/@03 Testo+ EE2 64/G3_03.tif "/>
    <s v=" 36338.223 "/>
    <s v=" 70.9006 "/>
    <x v="0"/>
    <n v="2576402"/>
    <m/>
    <m/>
    <m/>
  </r>
  <r>
    <x v="15"/>
    <x v="7"/>
    <s v="F:\images\20210305\plaque 2/@03 Testo+ EE2 64/H3_01.tif "/>
    <s v=" 17260.6559 "/>
    <s v=" 76.8083 "/>
    <x v="0"/>
    <n v="1325761"/>
    <m/>
    <m/>
    <m/>
  </r>
  <r>
    <x v="15"/>
    <x v="7"/>
    <s v="F:\images\20210305\plaque 2/@03 Testo+ EE2 64/H3_02.tif "/>
    <s v=" 11139.3957 "/>
    <s v=" 67.0194 "/>
    <x v="0"/>
    <n v="746556"/>
    <m/>
    <m/>
    <m/>
  </r>
  <r>
    <x v="15"/>
    <x v="7"/>
    <s v="F:\images\20210305\plaque 2/@03 Testo+ EE2 64/H3_03.tif "/>
    <s v=" 13518.6841 "/>
    <s v=" 68.2912 "/>
    <x v="0"/>
    <n v="923207"/>
    <m/>
    <m/>
    <m/>
  </r>
  <r>
    <x v="1"/>
    <x v="8"/>
    <s v=" "/>
    <m/>
    <m/>
    <x v="1"/>
    <m/>
    <m/>
    <m/>
    <m/>
  </r>
  <r>
    <x v="1"/>
    <x v="8"/>
    <s v="group "/>
    <s v=" "/>
    <s v=" mean of mean fluo "/>
    <x v="2"/>
    <s v=" mean of total fluo "/>
    <s v=" SD total fluo "/>
    <s v=" n fluorescent "/>
    <s v=" n total"/>
  </r>
  <r>
    <x v="15"/>
    <x v="9"/>
    <s v="F:\images\20210305\plaque 2/@03 Testo+ EE2 64/ "/>
    <s v=" "/>
    <s v=" 75.6145 "/>
    <x v="17"/>
    <s v=" 2730309.08 "/>
    <s v=" 1729787.4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6"/>
    <x v="0"/>
    <s v="F:\images\20210305\plaque 2/@04 Testo+ FAD/A4_01- exclu.tif"/>
    <m/>
    <m/>
    <x v="1"/>
    <m/>
    <m/>
    <m/>
    <m/>
  </r>
  <r>
    <x v="16"/>
    <x v="0"/>
    <s v="F:\images\20210305\plaque 2/@04 Testo+ FAD/A4_02- exclu.tif"/>
    <m/>
    <m/>
    <x v="1"/>
    <m/>
    <m/>
    <m/>
    <m/>
  </r>
  <r>
    <x v="16"/>
    <x v="0"/>
    <s v="F:\images\20210305\plaque 2/@04 Testo+ FAD/A4_03.tif "/>
    <s v=" 1427.573 "/>
    <s v=" 66.1667 "/>
    <x v="0"/>
    <n v="94458"/>
    <m/>
    <m/>
    <m/>
  </r>
  <r>
    <x v="16"/>
    <x v="1"/>
    <s v="F:\images\20210305\plaque 2/@04 Testo+ FAD/B4_01.tif "/>
    <s v=" 5515.6231 "/>
    <s v=" 79.898 "/>
    <x v="0"/>
    <n v="440687"/>
    <m/>
    <m/>
    <m/>
  </r>
  <r>
    <x v="16"/>
    <x v="1"/>
    <s v="F:\images\20210305\plaque 2/@04 Testo+ FAD/B4_02.tif "/>
    <s v=" 7938.1713 "/>
    <s v=" 78.8719 "/>
    <x v="0"/>
    <n v="626099"/>
    <m/>
    <m/>
    <m/>
  </r>
  <r>
    <x v="16"/>
    <x v="1"/>
    <s v="F:\images\20210305\plaque 2/@04 Testo+ FAD/B4_03.tif "/>
    <s v=" 3244.4842 "/>
    <s v=" 67.12 "/>
    <x v="0"/>
    <n v="217770"/>
    <m/>
    <m/>
    <m/>
  </r>
  <r>
    <x v="16"/>
    <x v="2"/>
    <s v="F:\images\20210305\plaque 2/@04 Testo+ FAD/C4_01.tif "/>
    <s v=" 10512.1288 "/>
    <s v=" 68.8827 "/>
    <x v="0"/>
    <n v="724104"/>
    <m/>
    <m/>
    <m/>
  </r>
  <r>
    <x v="16"/>
    <x v="2"/>
    <s v="F:\images\20210305\plaque 2/@04 Testo+ FAD/C4_02.tif "/>
    <s v=" 10836.5772 "/>
    <s v=" 73.517 "/>
    <x v="0"/>
    <n v="796672"/>
    <m/>
    <m/>
    <m/>
  </r>
  <r>
    <x v="16"/>
    <x v="2"/>
    <s v="F:\images\20210305\plaque 2/@04 Testo+ FAD/C4_03.tif "/>
    <s v=" 11528.7338 "/>
    <s v=" 74.0356 "/>
    <x v="0"/>
    <n v="853537"/>
    <m/>
    <m/>
    <m/>
  </r>
  <r>
    <x v="16"/>
    <x v="3"/>
    <s v="F:\images\20210305\plaque 2/@04 Testo+ FAD/D4_01- exclu.tif"/>
    <m/>
    <m/>
    <x v="1"/>
    <m/>
    <m/>
    <m/>
    <m/>
  </r>
  <r>
    <x v="16"/>
    <x v="3"/>
    <s v="F:\images\20210305\plaque 2/@04 Testo+ FAD/D4_02.tif "/>
    <s v=" 821.936 "/>
    <s v=" 62.7368 "/>
    <x v="0"/>
    <n v="51566"/>
    <m/>
    <m/>
    <m/>
  </r>
  <r>
    <x v="16"/>
    <x v="3"/>
    <s v="F:\images\20210305\plaque 2/@04 Testo+ FAD/D4_03.tif "/>
    <s v=" 302.8185 "/>
    <s v=" 62.3571 "/>
    <x v="0"/>
    <n v="18883"/>
    <m/>
    <m/>
    <m/>
  </r>
  <r>
    <x v="16"/>
    <x v="4"/>
    <s v="F:\images\20210305\plaque 2/@04 Testo+ FAD/E4_01.tif "/>
    <s v=" 10987.9865 "/>
    <s v=" 75.685 "/>
    <x v="0"/>
    <n v="831626"/>
    <m/>
    <m/>
    <m/>
  </r>
  <r>
    <x v="16"/>
    <x v="4"/>
    <s v="F:\images\20210305\plaque 2/@04 Testo+ FAD/E4_02.tif "/>
    <s v=" 8305.8795 "/>
    <s v=" 71.3333 "/>
    <x v="0"/>
    <n v="592486"/>
    <m/>
    <m/>
    <m/>
  </r>
  <r>
    <x v="16"/>
    <x v="4"/>
    <s v="F:\images\20210305\plaque 2/@04 Testo+ FAD/E4_03.tif "/>
    <s v=" 5991.4808 "/>
    <s v=" 71.4801 "/>
    <x v="0"/>
    <n v="428272"/>
    <m/>
    <m/>
    <m/>
  </r>
  <r>
    <x v="16"/>
    <x v="5"/>
    <s v="F:\images\20210305\plaque 2/@04 Testo+ FAD/F4_01.tif "/>
    <s v=" 2184.6194 "/>
    <s v=" 66.7525 "/>
    <x v="0"/>
    <n v="145829"/>
    <m/>
    <m/>
    <m/>
  </r>
  <r>
    <x v="16"/>
    <x v="5"/>
    <s v="F:\images\20210305\plaque 2/@04 Testo+ FAD/F4_02.tif "/>
    <s v=" 237.9288 "/>
    <s v=" 66.7273 "/>
    <x v="0"/>
    <n v="15876"/>
    <m/>
    <m/>
    <m/>
  </r>
  <r>
    <x v="16"/>
    <x v="5"/>
    <s v="F:\images\20210305\plaque 2/@04 Testo+ FAD/F4_03.tif "/>
    <s v=" 994.9752 "/>
    <s v=" 64.8043 "/>
    <x v="0"/>
    <n v="64479"/>
    <m/>
    <m/>
    <m/>
  </r>
  <r>
    <x v="16"/>
    <x v="6"/>
    <s v="F:\images\20210305\plaque 2/@04 Testo+ FAD/G4_01.tif "/>
    <s v=" 6964.8261 "/>
    <s v=" 73.705 "/>
    <x v="0"/>
    <n v="513342"/>
    <m/>
    <m/>
    <m/>
  </r>
  <r>
    <x v="16"/>
    <x v="6"/>
    <s v="F:\images\20210305\plaque 2/@04 Testo+ FAD/G4_02.tif "/>
    <s v=" 6575.488 "/>
    <s v=" 76.227 "/>
    <x v="0"/>
    <n v="501230"/>
    <m/>
    <m/>
    <m/>
  </r>
  <r>
    <x v="16"/>
    <x v="6"/>
    <s v="F:\images\20210305\plaque 2/@04 Testo+ FAD/G4_03.tif "/>
    <s v=" 6683.6374 "/>
    <s v=" 74.7638 "/>
    <x v="0"/>
    <n v="499694"/>
    <m/>
    <m/>
    <m/>
  </r>
  <r>
    <x v="16"/>
    <x v="7"/>
    <s v="F:\images\20210305\plaque 2/@04 Testo+ FAD/H4_01.tif "/>
    <s v=" 3785.2316 "/>
    <s v=" 67.2171 "/>
    <x v="0"/>
    <n v="254432"/>
    <m/>
    <m/>
    <m/>
  </r>
  <r>
    <x v="16"/>
    <x v="7"/>
    <s v="F:\images\20210305\plaque 2/@04 Testo+ FAD/H4_02- exclu.tif"/>
    <m/>
    <m/>
    <x v="1"/>
    <m/>
    <m/>
    <m/>
    <m/>
  </r>
  <r>
    <x v="16"/>
    <x v="7"/>
    <s v="F:\images\20210305\plaque 2/@04 Testo+ FAD/H4_03.tif "/>
    <s v=" 4434.1284 "/>
    <s v=" 68.1756 "/>
    <x v="0"/>
    <n v="302299"/>
    <m/>
    <m/>
    <m/>
  </r>
  <r>
    <x v="1"/>
    <x v="8"/>
    <s v=" "/>
    <m/>
    <m/>
    <x v="1"/>
    <m/>
    <m/>
    <m/>
    <m/>
  </r>
  <r>
    <x v="1"/>
    <x v="8"/>
    <s v="group "/>
    <s v=" "/>
    <s v=" mean of mean fluo "/>
    <x v="2"/>
    <s v=" mean of total fluo "/>
    <s v=" SD total fluo "/>
    <s v=" n fluorescent "/>
    <s v=" n total"/>
  </r>
  <r>
    <x v="16"/>
    <x v="9"/>
    <s v="F:\images\20210305\plaque 2/@04 Testo+ FAD/ "/>
    <s v=" "/>
    <s v=" 70.0477 "/>
    <x v="18"/>
    <s v=" 377510.167 "/>
    <s v=" 278962.63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7"/>
    <x v="0"/>
    <s v="F:\images\20210305\plaque 2/@05 Testosterone 3.7 µg_L dopé/A5_01.tif "/>
    <s v=" 15854.7128 "/>
    <s v=" 73.0218 "/>
    <x v="0"/>
    <n v="1157740"/>
    <m/>
    <m/>
    <m/>
  </r>
  <r>
    <x v="17"/>
    <x v="0"/>
    <s v="F:\images\20210305\plaque 2/@05 Testosterone 3.7 µg_L dopé/A5_02.tif "/>
    <s v=" 14967.8871 "/>
    <s v=" 72.7428 "/>
    <x v="0"/>
    <n v="1088806"/>
    <m/>
    <m/>
    <m/>
  </r>
  <r>
    <x v="17"/>
    <x v="0"/>
    <s v="F:\images\20210305\plaque 2/@05 Testosterone 3.7 µg_L dopé/A5_03.tif "/>
    <s v=" 14621.8088 "/>
    <s v=" 72.8269 "/>
    <x v="0"/>
    <n v="1064861"/>
    <m/>
    <m/>
    <m/>
  </r>
  <r>
    <x v="17"/>
    <x v="1"/>
    <s v="F:\images\20210305\plaque 2/@05 Testosterone 3.7 µg_L dopé/B5_01.tif "/>
    <s v=" 11615.2534 "/>
    <s v=" 69.1341 "/>
    <x v="0"/>
    <n v="803010"/>
    <m/>
    <m/>
    <m/>
  </r>
  <r>
    <x v="17"/>
    <x v="1"/>
    <s v="F:\images\20210305\plaque 2/@05 Testosterone 3.7 µg_L dopé/B5_02.tif "/>
    <s v=" 11074.506 "/>
    <s v=" 69.7891 "/>
    <x v="0"/>
    <n v="772879"/>
    <m/>
    <m/>
    <m/>
  </r>
  <r>
    <x v="17"/>
    <x v="1"/>
    <s v="F:\images\20210305\plaque 2/@05 Testosterone 3.7 µg_L dopé/B5_03.tif "/>
    <s v=" 11269.1751 "/>
    <s v=" 68.3724 "/>
    <x v="0"/>
    <n v="770500"/>
    <m/>
    <m/>
    <m/>
  </r>
  <r>
    <x v="17"/>
    <x v="2"/>
    <s v="F:\images\20210305\plaque 2/@05 Testosterone 3.7 µg_L dopé/C5_01.tif "/>
    <s v=" 41659.1771 "/>
    <s v=" 73.4263 "/>
    <x v="0"/>
    <n v="3058878"/>
    <m/>
    <m/>
    <m/>
  </r>
  <r>
    <x v="17"/>
    <x v="2"/>
    <s v="F:\images\20210305\plaque 2/@05 Testosterone 3.7 µg_L dopé/C5_02.tif "/>
    <s v=" 39106.8495 "/>
    <s v=" 71.4812 "/>
    <x v="0"/>
    <n v="2795404"/>
    <m/>
    <m/>
    <m/>
  </r>
  <r>
    <x v="17"/>
    <x v="2"/>
    <s v="F:\images\20210305\plaque 2/@05 Testosterone 3.7 µg_L dopé/C5_03.tif "/>
    <s v=" 37225.0487 "/>
    <s v=" 71.921 "/>
    <x v="0"/>
    <n v="2677262"/>
    <m/>
    <m/>
    <m/>
  </r>
  <r>
    <x v="17"/>
    <x v="3"/>
    <s v="F:\images\20210305\plaque 2/@05 Testosterone 3.7 µg_L dopé/D5_01.tif "/>
    <s v=" 58119.5269 "/>
    <s v=" 76.8861 "/>
    <x v="0"/>
    <n v="4468585"/>
    <m/>
    <m/>
    <m/>
  </r>
  <r>
    <x v="17"/>
    <x v="3"/>
    <s v="F:\images\20210305\plaque 2/@05 Testosterone 3.7 µg_L dopé/D5_02.tif "/>
    <s v=" 55026.4519 "/>
    <s v=" 76.4088 "/>
    <x v="0"/>
    <n v="4204505"/>
    <m/>
    <m/>
    <m/>
  </r>
  <r>
    <x v="17"/>
    <x v="3"/>
    <s v="F:\images\20210305\plaque 2/@05 Testosterone 3.7 µg_L dopé/D5_03.tif "/>
    <s v=" 55069.7117 "/>
    <s v=" 75.5809 "/>
    <x v="0"/>
    <n v="4162219"/>
    <m/>
    <m/>
    <m/>
  </r>
  <r>
    <x v="17"/>
    <x v="4"/>
    <s v="F:\images\20210305\plaque 2/@05 Testosterone 3.7 µg_L dopé/E5_01- exclu.tif"/>
    <m/>
    <m/>
    <x v="1"/>
    <m/>
    <m/>
    <m/>
    <m/>
  </r>
  <r>
    <x v="17"/>
    <x v="4"/>
    <s v="F:\images\20210305\plaque 2/@05 Testosterone 3.7 µg_L dopé/E5_02.tif "/>
    <s v=" 1146.3844 "/>
    <s v=" 64.566 "/>
    <x v="0"/>
    <n v="74017"/>
    <m/>
    <m/>
    <m/>
  </r>
  <r>
    <x v="17"/>
    <x v="4"/>
    <s v="F:\images\20210305\plaque 2/@05 Testosterone 3.7 µg_L dopé/E5_03.tif "/>
    <s v=" 5061.3953 "/>
    <s v=" 71.6239 "/>
    <x v="0"/>
    <n v="362517"/>
    <m/>
    <m/>
    <m/>
  </r>
  <r>
    <x v="17"/>
    <x v="5"/>
    <s v="F:\images\20210305\plaque 2/@05 Testosterone 3.7 µg_L dopé/F5_01.tif "/>
    <s v=" 32206.9131 "/>
    <s v=" 72.4587 "/>
    <x v="0"/>
    <n v="2333671"/>
    <m/>
    <m/>
    <m/>
  </r>
  <r>
    <x v="17"/>
    <x v="5"/>
    <s v="F:\images\20210305\plaque 2/@05 Testosterone 3.7 µg_L dopé/F5_02.tif "/>
    <s v=" 40534.4225 "/>
    <s v=" 71.7129 "/>
    <x v="0"/>
    <n v="2906842"/>
    <m/>
    <m/>
    <m/>
  </r>
  <r>
    <x v="17"/>
    <x v="5"/>
    <s v="F:\images\20210305\plaque 2/@05 Testosterone 3.7 µg_L dopé/F5_03.tif "/>
    <s v=" 32444.8419 "/>
    <s v=" 72.4133 "/>
    <x v="0"/>
    <n v="2349439"/>
    <m/>
    <m/>
    <m/>
  </r>
  <r>
    <x v="17"/>
    <x v="6"/>
    <s v="F:\images\20210305\plaque 2/@05 Testosterone 3.7 µg_L dopé/G5_01.tif "/>
    <s v=" 41680.8069 "/>
    <s v=" 71.2475 "/>
    <x v="0"/>
    <n v="2969655"/>
    <m/>
    <m/>
    <m/>
  </r>
  <r>
    <x v="17"/>
    <x v="6"/>
    <s v="F:\images\20210305\plaque 2/@05 Testosterone 3.7 µg_L dopé/G5_02.tif "/>
    <s v=" 46136.5652 "/>
    <s v=" 71.812 "/>
    <x v="0"/>
    <n v="3313159"/>
    <m/>
    <m/>
    <m/>
  </r>
  <r>
    <x v="17"/>
    <x v="6"/>
    <s v="F:\images\20210305\plaque 2/@05 Testosterone 3.7 µg_L dopé/G5_03.tif "/>
    <s v=" 40469.5329 "/>
    <s v=" 70.8568 "/>
    <x v="0"/>
    <n v="2867540"/>
    <m/>
    <m/>
    <m/>
  </r>
  <r>
    <x v="17"/>
    <x v="7"/>
    <s v="F:\images\20210305\plaque 2/@05 Testosterone 3.7 µg_L dopé/H5_01.tif "/>
    <s v=" 1059.8648 "/>
    <s v=" 65.4082 "/>
    <x v="0"/>
    <n v="69324"/>
    <m/>
    <m/>
    <m/>
  </r>
  <r>
    <x v="17"/>
    <x v="7"/>
    <s v="F:\images\20210305\plaque 2/@05 Testosterone 3.7 µg_L dopé/H5_02.tif "/>
    <s v=" 1103.1246 "/>
    <s v=" 65.3725 "/>
    <x v="0"/>
    <n v="72114"/>
    <m/>
    <m/>
    <m/>
  </r>
  <r>
    <x v="17"/>
    <x v="7"/>
    <s v="F:\images\20210305\plaque 2/@05 Testosterone 3.7 µg_L dopé/H5_03.tif "/>
    <s v=" 951.7154 "/>
    <s v=" 66.1818 "/>
    <x v="0"/>
    <n v="62986"/>
    <m/>
    <m/>
    <m/>
  </r>
  <r>
    <x v="1"/>
    <x v="8"/>
    <s v=" "/>
    <m/>
    <m/>
    <x v="1"/>
    <m/>
    <m/>
    <m/>
    <m/>
  </r>
  <r>
    <x v="1"/>
    <x v="8"/>
    <s v="group "/>
    <s v=" "/>
    <s v=" mean of mean fluo "/>
    <x v="2"/>
    <s v=" mean of total fluo "/>
    <s v=" SD total fluo "/>
    <s v=" n fluorescent "/>
    <s v=" n total"/>
  </r>
  <r>
    <x v="17"/>
    <x v="9"/>
    <s v="F:\images\20210305\plaque 2/@05 Testosterone 3.7 µg_L dopé/ "/>
    <s v=" "/>
    <s v=" 70.7935 "/>
    <x v="19"/>
    <s v=" 1850533.88 "/>
    <s v=" 1477399.8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8"/>
    <x v="0"/>
    <s v="F:\images\20210305\plaque 2/@06  Testosterone 11 µg_Ldopé/A6_01.tif "/>
    <s v=" 757.0463 "/>
    <s v=" 63.4857 "/>
    <x v="0"/>
    <n v="48062"/>
    <m/>
    <m/>
    <m/>
  </r>
  <r>
    <x v="18"/>
    <x v="0"/>
    <s v="F:\images\20210305\plaque 2/@06  Testosterone 11 µg_Ldopé/A6_02.tif "/>
    <s v=" 1146.3844 "/>
    <s v=" 62.9623 "/>
    <x v="0"/>
    <n v="72179"/>
    <m/>
    <m/>
    <m/>
  </r>
  <r>
    <x v="18"/>
    <x v="0"/>
    <s v="F:\images\20210305\plaque 2/@06  Testosterone 11 µg_Ldopé/A6_03.tif "/>
    <s v=" 973.3453 "/>
    <s v=" 64.3111 "/>
    <x v="0"/>
    <n v="62597"/>
    <m/>
    <m/>
    <m/>
  </r>
  <r>
    <x v="18"/>
    <x v="1"/>
    <s v="F:\images\20210305\plaque 2/@06  Testosterone 11 µg_Ldopé/B6_01.tif "/>
    <s v=" 28421.6815 "/>
    <s v=" 72.2108 "/>
    <x v="0"/>
    <n v="2052353"/>
    <m/>
    <m/>
    <m/>
  </r>
  <r>
    <x v="18"/>
    <x v="1"/>
    <s v="F:\images\20210305\plaque 2/@06  Testosterone 11 µg_Ldopé/B6_02.tif "/>
    <s v=" 26842.6992 "/>
    <s v=" 75.7397 "/>
    <x v="0"/>
    <n v="2033059"/>
    <m/>
    <m/>
    <m/>
  </r>
  <r>
    <x v="18"/>
    <x v="1"/>
    <s v="F:\images\20210305\plaque 2/@06  Testosterone 11 µg_Ldopé/B6_03.tif "/>
    <s v=" 26842.6992 "/>
    <s v=" 75.2724 "/>
    <x v="0"/>
    <n v="2020513"/>
    <m/>
    <m/>
    <m/>
  </r>
  <r>
    <x v="18"/>
    <x v="2"/>
    <s v="F:\images\20210305\plaque 2/@06  Testosterone 11 µg_Ldopé/C6_01.tif "/>
    <s v=" 8003.061 "/>
    <s v=" 70.0568 "/>
    <x v="0"/>
    <n v="560668"/>
    <m/>
    <m/>
    <m/>
  </r>
  <r>
    <x v="18"/>
    <x v="2"/>
    <s v="F:\images\20210305\plaque 2/@06  Testosterone 11 µg_Ldopé/C6_02.tif "/>
    <s v=" 10512.1288 "/>
    <s v=" 68.5988 "/>
    <x v="0"/>
    <n v="721119"/>
    <m/>
    <m/>
    <m/>
  </r>
  <r>
    <x v="18"/>
    <x v="2"/>
    <s v="F:\images\20210305\plaque 2/@06  Testosterone 11 µg_Ldopé/C6_03.tif "/>
    <s v=" 7527.2033 "/>
    <s v=" 67.8305 "/>
    <x v="0"/>
    <n v="510574"/>
    <m/>
    <m/>
    <m/>
  </r>
  <r>
    <x v="18"/>
    <x v="3"/>
    <s v="F:\images\20210305\plaque 2/@06  Testosterone 11 µg_Ldopé/D6_01.tif "/>
    <s v=" 1514.0926 "/>
    <s v=" 63.3286 "/>
    <x v="0"/>
    <n v="95885"/>
    <m/>
    <m/>
    <m/>
  </r>
  <r>
    <x v="18"/>
    <x v="3"/>
    <s v="F:\images\20210305\plaque 2/@06  Testosterone 11 µg_Ldopé/D6_02.tif "/>
    <s v=" 2011.5802 "/>
    <s v=" 65.1613 "/>
    <x v="0"/>
    <n v="131077"/>
    <m/>
    <m/>
    <m/>
  </r>
  <r>
    <x v="18"/>
    <x v="3"/>
    <s v="F:\images\20210305\plaque 2/@06  Testosterone 11 µg_Ldopé/D6_03.tif "/>
    <s v=" 3395.8935 "/>
    <s v=" 65.1274 "/>
    <x v="0"/>
    <n v="221166"/>
    <m/>
    <m/>
    <m/>
  </r>
  <r>
    <x v="18"/>
    <x v="4"/>
    <s v="F:\images\20210305\plaque 2/@06  Testosterone 11 µg_Ldopé/E6_01.tif "/>
    <s v=" 33742.6356 "/>
    <s v=" 70.4571 "/>
    <x v="0"/>
    <n v="2377407"/>
    <m/>
    <m/>
    <m/>
  </r>
  <r>
    <x v="18"/>
    <x v="4"/>
    <s v="F:\images\20210305\plaque 2/@06  Testosterone 11 µg_Ldopé/E6_02.tif "/>
    <s v=" 33721.0057 "/>
    <s v=" 70.0032 "/>
    <x v="0"/>
    <n v="2360579"/>
    <m/>
    <m/>
    <m/>
  </r>
  <r>
    <x v="18"/>
    <x v="4"/>
    <s v="F:\images\20210305\plaque 2/@06  Testosterone 11 µg_Ldopé/E6_03.tif "/>
    <s v=" 29741.1051 "/>
    <s v=" 68.7113 "/>
    <x v="0"/>
    <n v="2043549"/>
    <m/>
    <m/>
    <m/>
  </r>
  <r>
    <x v="18"/>
    <x v="5"/>
    <s v="F:\images\20210305\plaque 2/@06  Testosterone 11 µg_Ldopé/F6_01.tif "/>
    <s v=" 18774.7485 "/>
    <s v=" 67.5507 "/>
    <x v="0"/>
    <n v="1268247"/>
    <m/>
    <m/>
    <m/>
  </r>
  <r>
    <x v="18"/>
    <x v="5"/>
    <s v="F:\images\20210305\plaque 2/@06  Testosterone 11 µg_Ldopé/F6_02.tif "/>
    <s v=" 16698.2787 "/>
    <s v=" 66.9145 "/>
    <x v="0"/>
    <n v="1117357"/>
    <m/>
    <m/>
    <m/>
  </r>
  <r>
    <x v="18"/>
    <x v="5"/>
    <s v="F:\images\20210305\plaque 2/@06  Testosterone 11 µg_Ldopé/F6_03.tif "/>
    <s v=" 19315.4959 "/>
    <s v=" 67.9451 "/>
    <x v="0"/>
    <n v="1312394"/>
    <m/>
    <m/>
    <m/>
  </r>
  <r>
    <x v="18"/>
    <x v="6"/>
    <s v="F:\images\20210305\plaque 2/@06  Testosterone 11 µg_Ldopé/G6_01.tif "/>
    <s v=" 12977.9368 "/>
    <s v=" 67.5483 "/>
    <x v="0"/>
    <n v="876638"/>
    <m/>
    <m/>
    <m/>
  </r>
  <r>
    <x v="18"/>
    <x v="6"/>
    <s v="F:\images\20210305\plaque 2/@06  Testosterone 11 µg_Ldopé/G6_02.tif "/>
    <s v=" 13129.346 "/>
    <s v=" 66.4876 "/>
    <x v="0"/>
    <n v="872939"/>
    <m/>
    <m/>
    <m/>
  </r>
  <r>
    <x v="18"/>
    <x v="6"/>
    <s v="F:\images\20210305\plaque 2/@06  Testosterone 11 µg_Ldopé/G6_03.tif "/>
    <s v=" 15573.5241 "/>
    <s v=" 66.9681 "/>
    <x v="0"/>
    <n v="1042929"/>
    <m/>
    <m/>
    <m/>
  </r>
  <r>
    <x v="18"/>
    <x v="7"/>
    <s v="F:\images\20210305\plaque 2/@06  Testosterone 11 µg_Ldopé/H6_01.tif "/>
    <s v=" 52798.5728 "/>
    <s v=" 73.4248 "/>
    <x v="0"/>
    <n v="3876726"/>
    <m/>
    <m/>
    <m/>
  </r>
  <r>
    <x v="18"/>
    <x v="7"/>
    <s v="F:\images\20210305\plaque 2/@06  Testosterone 11 µg_Ldopé/H6_02.tif "/>
    <s v=" 48515.8537 "/>
    <s v=" 72.6906 "/>
    <x v="0"/>
    <n v="3526646"/>
    <m/>
    <m/>
    <m/>
  </r>
  <r>
    <x v="18"/>
    <x v="7"/>
    <s v="F:\images\20210305\plaque 2/@06  Testosterone 11 µg_Ldopé/H6_03.tif "/>
    <s v=" 49316.1598 "/>
    <s v=" 75.1132 "/>
    <x v="0"/>
    <n v="3704292"/>
    <m/>
    <m/>
    <m/>
  </r>
  <r>
    <x v="1"/>
    <x v="8"/>
    <s v=" "/>
    <m/>
    <m/>
    <x v="1"/>
    <m/>
    <m/>
    <m/>
    <m/>
  </r>
  <r>
    <x v="1"/>
    <x v="8"/>
    <s v="group "/>
    <s v=" "/>
    <s v=" mean of mean fluo "/>
    <x v="2"/>
    <s v=" mean of total fluo "/>
    <s v=" SD total fluo "/>
    <s v=" n fluorescent "/>
    <s v=" n total"/>
  </r>
  <r>
    <x v="18"/>
    <x v="9"/>
    <s v="F:\images\20210305\plaque 2/@06  Testosterone 11 µg_Ldopé/ "/>
    <s v=" "/>
    <s v=" 68.6625 "/>
    <x v="20"/>
    <s v=" 1371206.46 "/>
    <s v=" 1184515.9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9"/>
    <x v="0"/>
    <s v="F:\images\20210305\plaque 2/@07  Testosterone 33 µg_Ldopé/A7_01.tif "/>
    <s v=" 22343.6812 "/>
    <s v=" 72.9013 "/>
    <x v="0"/>
    <n v="1628882"/>
    <m/>
    <m/>
    <m/>
  </r>
  <r>
    <x v="19"/>
    <x v="0"/>
    <s v="F:\images\20210305\plaque 2/@07  Testosterone 33 µg_Ldopé/A7_02.tif "/>
    <s v=" 22278.7915 "/>
    <s v=" 72.6252 "/>
    <x v="0"/>
    <n v="1618003"/>
    <m/>
    <m/>
    <m/>
  </r>
  <r>
    <x v="19"/>
    <x v="0"/>
    <s v="F:\images\20210305\plaque 2/@07  Testosterone 33 µg_Ldopé/A7_03.tif "/>
    <s v=" 20223.9515 "/>
    <s v=" 71.6439 "/>
    <x v="0"/>
    <n v="1448922"/>
    <m/>
    <m/>
    <m/>
  </r>
  <r>
    <x v="19"/>
    <x v="1"/>
    <s v="F:\images\20210305\plaque 2/@07  Testosterone 33 µg_Ldopé/B7_01.tif "/>
    <s v=" 2227.8791 "/>
    <s v=" 65.534 "/>
    <x v="0"/>
    <n v="146002"/>
    <m/>
    <m/>
    <m/>
  </r>
  <r>
    <x v="19"/>
    <x v="1"/>
    <s v="F:\images\20210305\plaque 2/@07  Testosterone 33 µg_Ldopé/B7_02.tif "/>
    <s v=" 1016.605 "/>
    <s v=" 65.9787 "/>
    <x v="0"/>
    <n v="67074"/>
    <m/>
    <m/>
    <m/>
  </r>
  <r>
    <x v="19"/>
    <x v="1"/>
    <s v="F:\images\20210305\plaque 2/@07  Testosterone 33 µg_Ldopé/B7_03.tif "/>
    <s v=" 886.8257 "/>
    <s v=" 64.439 "/>
    <x v="0"/>
    <n v="57146"/>
    <m/>
    <m/>
    <m/>
  </r>
  <r>
    <x v="19"/>
    <x v="2"/>
    <s v="F:\images\20210305\plaque 2/@07  Testosterone 33 µg_Ldopé/C7_01- exclu.tif"/>
    <m/>
    <m/>
    <x v="1"/>
    <m/>
    <m/>
    <m/>
    <m/>
  </r>
  <r>
    <x v="19"/>
    <x v="2"/>
    <s v="F:\images\20210305\plaque 2/@07  Testosterone 33 µg_Ldopé/C7_02.tif "/>
    <s v=" 38522.8423 "/>
    <s v=" 72.9759 "/>
    <x v="0"/>
    <n v="2811237"/>
    <m/>
    <m/>
    <m/>
  </r>
  <r>
    <x v="19"/>
    <x v="2"/>
    <s v="F:\images\20210305\plaque 2/@07  Testosterone 33 µg_Ldopé/C7_03.tif "/>
    <s v=" 35083.6891 "/>
    <s v=" 72.3218 "/>
    <x v="0"/>
    <n v="2537316"/>
    <m/>
    <m/>
    <m/>
  </r>
  <r>
    <x v="19"/>
    <x v="3"/>
    <s v="F:\images\20210305\plaque 2/@07  Testosterone 33 µg_Ldopé/D7_01.tif "/>
    <s v=" 38955.4402 "/>
    <s v=" 73.2993 "/>
    <x v="0"/>
    <n v="2855406"/>
    <m/>
    <m/>
    <m/>
  </r>
  <r>
    <x v="19"/>
    <x v="3"/>
    <s v="F:\images\20210305\plaque 2/@07  Testosterone 33 µg_Ldopé/D7_02.tif "/>
    <s v=" 37052.0095 "/>
    <s v=" 74.9837 "/>
    <x v="0"/>
    <n v="2778295"/>
    <m/>
    <m/>
    <m/>
  </r>
  <r>
    <x v="19"/>
    <x v="3"/>
    <s v="F:\images\20210305\plaque 2/@07  Testosterone 33 µg_Ldopé/D7_03.tif "/>
    <s v=" 31622.9059 "/>
    <s v=" 74.5773 "/>
    <x v="0"/>
    <n v="2358351"/>
    <m/>
    <m/>
    <m/>
  </r>
  <r>
    <x v="19"/>
    <x v="4"/>
    <s v="F:\images\20210305\plaque 2/@07  Testosterone 33 µg_Ldopé/E7_01.tif "/>
    <s v=" 6640.3777 "/>
    <s v=" 67.8274 "/>
    <x v="0"/>
    <n v="450399"/>
    <m/>
    <m/>
    <m/>
  </r>
  <r>
    <x v="19"/>
    <x v="4"/>
    <s v="F:\images\20210305\plaque 2/@07  Testosterone 33 µg_Ldopé/E7_02.tif "/>
    <s v=" 7181.125 "/>
    <s v=" 67.994 "/>
    <x v="0"/>
    <n v="488273"/>
    <m/>
    <m/>
    <m/>
  </r>
  <r>
    <x v="19"/>
    <x v="4"/>
    <s v="F:\images\20210305\plaque 2/@07  Testosterone 33 µg_Ldopé/E7_03.tif "/>
    <s v=" 7008.0859 "/>
    <s v=" 65.7932 "/>
    <x v="0"/>
    <n v="461084"/>
    <m/>
    <m/>
    <m/>
  </r>
  <r>
    <x v="19"/>
    <x v="5"/>
    <s v="F:\images\20210305\plaque 2/@07  Testosterone 33 µg_Ldopé/F7_01.tif "/>
    <s v=" 13215.8656 "/>
    <s v=" 71.0213 "/>
    <x v="0"/>
    <n v="938608"/>
    <m/>
    <m/>
    <m/>
  </r>
  <r>
    <x v="19"/>
    <x v="5"/>
    <s v="F:\images\20210305\plaque 2/@07  Testosterone 33 µg_Ldopé/F7_02.tif "/>
    <s v=" 13086.0863 "/>
    <s v=" 71.3868 "/>
    <x v="0"/>
    <n v="934174"/>
    <m/>
    <m/>
    <m/>
  </r>
  <r>
    <x v="19"/>
    <x v="5"/>
    <s v="F:\images\20210305\plaque 2/@07  Testosterone 33 µg_Ldopé/F7_03.tif "/>
    <s v=" 14600.1789 "/>
    <s v=" 68.8163 "/>
    <x v="0"/>
    <n v="1004730"/>
    <m/>
    <m/>
    <m/>
  </r>
  <r>
    <x v="19"/>
    <x v="6"/>
    <s v="F:\images\20210305\plaque 2/@07  Testosterone 33 µg_Ldopé/G7_01.tif "/>
    <s v=" 22646.4997 "/>
    <s v=" 67.852 "/>
    <x v="0"/>
    <n v="1536609"/>
    <m/>
    <m/>
    <m/>
  </r>
  <r>
    <x v="19"/>
    <x v="6"/>
    <s v="F:\images\20210305\plaque 2/@07  Testosterone 33 µg_Ldopé/G7_02.tif "/>
    <s v=" 22970.9481 "/>
    <s v=" 68.1064 "/>
    <x v="0"/>
    <n v="1564469"/>
    <m/>
    <m/>
    <m/>
  </r>
  <r>
    <x v="19"/>
    <x v="6"/>
    <s v="F:\images\20210305\plaque 2/@07  Testosterone 33 µg_Ldopé/G7_03.tif "/>
    <s v=" 23014.2079 "/>
    <s v=" 68.1917 "/>
    <x v="0"/>
    <n v="1569379"/>
    <m/>
    <m/>
    <m/>
  </r>
  <r>
    <x v="19"/>
    <x v="7"/>
    <s v="F:\images\20210305\plaque 2/@07  Testosterone 33 µg_Ldopé/H7_01.tif "/>
    <s v=" 13734.9831 "/>
    <s v=" 69.5764 "/>
    <x v="0"/>
    <n v="955630"/>
    <m/>
    <m/>
    <m/>
  </r>
  <r>
    <x v="19"/>
    <x v="7"/>
    <s v="F:\images\20210305\plaque 2/@07  Testosterone 33 µg_Ldopé/H7_02.tif "/>
    <s v=" 10339.0896 "/>
    <s v=" 69.0502 "/>
    <x v="0"/>
    <n v="713916"/>
    <m/>
    <m/>
    <m/>
  </r>
  <r>
    <x v="19"/>
    <x v="7"/>
    <s v="F:\images\20210305\plaque 2/@07  Testosterone 33 µg_Ldopé/H7_03.tif "/>
    <s v=" 8608.6981 "/>
    <s v=" 69.1357 "/>
    <x v="0"/>
    <n v="595168"/>
    <m/>
    <m/>
    <m/>
  </r>
  <r>
    <x v="1"/>
    <x v="8"/>
    <s v=" "/>
    <m/>
    <m/>
    <x v="1"/>
    <m/>
    <m/>
    <m/>
    <m/>
  </r>
  <r>
    <x v="1"/>
    <x v="8"/>
    <s v="group "/>
    <s v=" "/>
    <s v=" mean of mean fluo "/>
    <x v="2"/>
    <s v=" mean of total fluo "/>
    <s v=" SD total fluo "/>
    <s v=" n fluorescent "/>
    <s v=" n total"/>
  </r>
  <r>
    <x v="19"/>
    <x v="9"/>
    <s v="F:\images\20210305\plaque 2/@07  Testosterone 33 µg_Ldopé/ "/>
    <s v=" "/>
    <s v=" 70.7009 "/>
    <x v="21"/>
    <s v=" 1312113.5 "/>
    <s v=" 889762.77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0"/>
    <x v="0"/>
    <s v="F:\images\20210305\plaque 2/@08  Testosterone 100 µg_Ldopé/A8_01.tif "/>
    <s v=" 9906.4917 "/>
    <s v=" 70.7555 "/>
    <x v="0"/>
    <n v="700938"/>
    <m/>
    <m/>
    <m/>
  </r>
  <r>
    <x v="20"/>
    <x v="0"/>
    <s v="F:\images\20210305\plaque 2/@08  Testosterone 100 µg_Ldopé/A8_02.tif "/>
    <s v=" 7808.392 "/>
    <s v=" 69.9778 "/>
    <x v="0"/>
    <n v="546414"/>
    <m/>
    <m/>
    <m/>
  </r>
  <r>
    <x v="20"/>
    <x v="0"/>
    <s v="F:\images\20210305\plaque 2/@08  Testosterone 100 µg_Ldopé/A8_03.tif "/>
    <s v=" 7548.8332 "/>
    <s v=" 69.2837 "/>
    <x v="0"/>
    <n v="523011"/>
    <m/>
    <m/>
    <m/>
  </r>
  <r>
    <x v="20"/>
    <x v="1"/>
    <s v="F:\images\20210305\plaque 2/@08  Testosterone 100 µg_Ldopé/B8_01.tif "/>
    <s v=" 843.5659 "/>
    <s v=" 64.9744 "/>
    <x v="0"/>
    <n v="54810"/>
    <m/>
    <m/>
    <m/>
  </r>
  <r>
    <x v="20"/>
    <x v="1"/>
    <s v="F:\images\20210305\plaque 2/@08  Testosterone 100 µg_Ldopé/B8_02.tif "/>
    <s v=" 994.9752 "/>
    <s v=" 63.5435 "/>
    <x v="0"/>
    <n v="63224"/>
    <m/>
    <m/>
    <m/>
  </r>
  <r>
    <x v="20"/>
    <x v="1"/>
    <s v="F:\images\20210305\plaque 2/@08  Testosterone 100 µg_Ldopé/B8_03.tif "/>
    <s v=" 1297.7937 "/>
    <s v=" 64.9833 "/>
    <x v="0"/>
    <n v="84335"/>
    <m/>
    <m/>
    <m/>
  </r>
  <r>
    <x v="20"/>
    <x v="2"/>
    <s v="F:\images\20210305\plaque 2/@08  Testosterone 100 µg_Ldopé/C8_01.tif "/>
    <s v=" 9235.965 "/>
    <s v=" 66.6698 "/>
    <x v="0"/>
    <n v="615760"/>
    <m/>
    <m/>
    <m/>
  </r>
  <r>
    <x v="20"/>
    <x v="2"/>
    <s v="F:\images\20210305\plaque 2/@08  Testosterone 100 µg_Ldopé/C8_02.tif "/>
    <s v=" 9322.4846 "/>
    <s v=" 67.5244 "/>
    <x v="0"/>
    <n v="629495"/>
    <m/>
    <m/>
    <m/>
  </r>
  <r>
    <x v="20"/>
    <x v="2"/>
    <s v="F:\images\20210305\plaque 2/@08  Testosterone 100 µg_Ldopé/C8_03.tif "/>
    <s v=" 8457.2888 "/>
    <s v=" 67.1662 "/>
    <x v="0"/>
    <n v="568044"/>
    <m/>
    <m/>
    <m/>
  </r>
  <r>
    <x v="20"/>
    <x v="3"/>
    <s v="F:\images\20210305\plaque 2/@08  Testosterone 100 µg_Ldopé/D8_01.tif "/>
    <s v=" 21002.6277 "/>
    <s v=" 69.2235 "/>
    <x v="0"/>
    <n v="1453875"/>
    <m/>
    <m/>
    <m/>
  </r>
  <r>
    <x v="20"/>
    <x v="3"/>
    <s v="F:\images\20210305\plaque 2/@08  Testosterone 100 µg_Ldopé/D8_02.tif "/>
    <s v=" 25328.6066 "/>
    <s v=" 69.503 "/>
    <x v="0"/>
    <n v="1760414"/>
    <m/>
    <m/>
    <m/>
  </r>
  <r>
    <x v="20"/>
    <x v="3"/>
    <s v="F:\images\20210305\plaque 2/@08  Testosterone 100 µg_Ldopé/D8_03.tif "/>
    <s v=" 21500.1153 "/>
    <s v=" 69.7636 "/>
    <x v="0"/>
    <n v="1499925"/>
    <m/>
    <m/>
    <m/>
  </r>
  <r>
    <x v="20"/>
    <x v="4"/>
    <s v="F:\images\20210305\plaque 2/@08  Testosterone 100 µg_Ldopé/E8_01.tif "/>
    <s v=" 33742.6356 "/>
    <s v=" 71.291 "/>
    <x v="0"/>
    <n v="2405547"/>
    <m/>
    <m/>
    <m/>
  </r>
  <r>
    <x v="20"/>
    <x v="4"/>
    <s v="F:\images\20210305\plaque 2/@08  Testosterone 100 µg_Ldopé/E8_02.tif "/>
    <s v=" 32315.0626 "/>
    <s v=" 70.1205 "/>
    <x v="0"/>
    <n v="2265948"/>
    <m/>
    <m/>
    <m/>
  </r>
  <r>
    <x v="20"/>
    <x v="4"/>
    <s v="F:\images\20210305\plaque 2/@08  Testosterone 100 µg_Ldopé/E8_03.tif "/>
    <s v=" 29589.6959 "/>
    <s v=" 68.7222 "/>
    <x v="0"/>
    <n v="2033470"/>
    <m/>
    <m/>
    <m/>
  </r>
  <r>
    <x v="20"/>
    <x v="5"/>
    <s v="F:\images\20210305\plaque 2/@08  Testosterone 100 µg_Ldopé/F8_01.tif "/>
    <s v=" 7310.9044 "/>
    <s v=" 65.4467 "/>
    <x v="0"/>
    <n v="478475"/>
    <m/>
    <m/>
    <m/>
  </r>
  <r>
    <x v="20"/>
    <x v="5"/>
    <s v="F:\images\20210305\plaque 2/@08  Testosterone 100 µg_Ldopé/F8_02.tif "/>
    <s v=" 5429.1036 "/>
    <s v=" 65.6733 "/>
    <x v="0"/>
    <n v="356547"/>
    <m/>
    <m/>
    <m/>
  </r>
  <r>
    <x v="20"/>
    <x v="5"/>
    <s v="F:\images\20210305\plaque 2/@08  Testosterone 100 µg_Ldopé/F8_03.tif "/>
    <s v=" 5299.3242 "/>
    <s v=" 65.9143 "/>
    <x v="0"/>
    <n v="349301"/>
    <m/>
    <m/>
    <m/>
  </r>
  <r>
    <x v="20"/>
    <x v="6"/>
    <s v="F:\images\20210305\plaque 2/@08  Testosterone 100 µg_Ldopé/G8_01- exclu.tif"/>
    <m/>
    <m/>
    <x v="1"/>
    <m/>
    <m/>
    <m/>
    <m/>
  </r>
  <r>
    <x v="20"/>
    <x v="6"/>
    <s v="F:\images\20210305\plaque 2/@08  Testosterone 100 µg_Ldopé/G8_02.tif "/>
    <s v=" 10036.2711 "/>
    <s v=" 67.9332 "/>
    <x v="0"/>
    <n v="681796"/>
    <m/>
    <m/>
    <m/>
  </r>
  <r>
    <x v="20"/>
    <x v="6"/>
    <s v="F:\images\20210305\plaque 2/@08  Testosterone 100 µg_Ldopé/G8_03.tif "/>
    <s v=" 11247.5452 "/>
    <s v=" 69.2769 "/>
    <x v="0"/>
    <n v="779195"/>
    <m/>
    <m/>
    <m/>
  </r>
  <r>
    <x v="20"/>
    <x v="7"/>
    <s v="F:\images\20210305\plaque 2/@08  Testosterone 100 µg_Ldopé/H8_01.tif "/>
    <s v=" 27794.4146 "/>
    <s v=" 78.5136 "/>
    <x v="0"/>
    <n v="2182240"/>
    <m/>
    <m/>
    <m/>
  </r>
  <r>
    <x v="20"/>
    <x v="7"/>
    <s v="F:\images\20210305\plaque 2/@08  Testosterone 100 µg_Ldopé/H8_02.tif "/>
    <s v=" 27383.4466 "/>
    <s v=" 77.9344 "/>
    <x v="0"/>
    <n v="2134114"/>
    <m/>
    <m/>
    <m/>
  </r>
  <r>
    <x v="20"/>
    <x v="7"/>
    <s v="F:\images\20210305\plaque 2/@08  Testosterone 100 µg_Ldopé/H8_03.tif "/>
    <s v=" 27491.5961 "/>
    <s v=" 75.9677 "/>
    <x v="0"/>
    <n v="2088474"/>
    <m/>
    <m/>
    <m/>
  </r>
  <r>
    <x v="1"/>
    <x v="8"/>
    <s v=" "/>
    <m/>
    <m/>
    <x v="1"/>
    <m/>
    <m/>
    <m/>
    <m/>
  </r>
  <r>
    <x v="1"/>
    <x v="8"/>
    <s v="group "/>
    <s v=" "/>
    <s v=" mean of mean fluo "/>
    <x v="2"/>
    <s v=" mean of total fluo "/>
    <s v=" SD total fluo "/>
    <s v=" n fluorescent "/>
    <s v=" n total"/>
  </r>
  <r>
    <x v="20"/>
    <x v="9"/>
    <s v="F:\images\20210305\plaque 2/@08  Testosterone 100 µg_Ldopé/ "/>
    <s v=" "/>
    <s v=" 68.8773 "/>
    <x v="22"/>
    <s v=" 1015344.17 "/>
    <s v=" 812761.74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1"/>
    <x v="0"/>
    <s v="F:\images\20210305\plaque 2/@09  Testosterone 300 µg_L dopé/A9_01- exclu.tif"/>
    <m/>
    <m/>
    <x v="1"/>
    <m/>
    <m/>
    <m/>
    <m/>
  </r>
  <r>
    <x v="21"/>
    <x v="0"/>
    <s v="F:\images\20210305\plaque 2/@09  Testosterone 300 µg_L dopé/A9_02.tif "/>
    <s v=" 3374.2636 "/>
    <s v=" 66.6603 "/>
    <x v="0"/>
    <n v="224929"/>
    <m/>
    <m/>
    <m/>
  </r>
  <r>
    <x v="21"/>
    <x v="0"/>
    <s v="F:\images\20210305\plaque 2/@09  Testosterone 300 µg_L dopé/A9_03.tif "/>
    <s v=" 5212.8046 "/>
    <s v=" 66.4357 "/>
    <x v="0"/>
    <n v="346316"/>
    <m/>
    <m/>
    <m/>
  </r>
  <r>
    <x v="21"/>
    <x v="1"/>
    <s v="F:\images\20210305\plaque 2/@09  Testosterone 300 µg_L dopé/B9_01.tif "/>
    <s v=" 24463.4108 "/>
    <s v=" 68.473 "/>
    <x v="0"/>
    <n v="1675084"/>
    <m/>
    <m/>
    <m/>
  </r>
  <r>
    <x v="21"/>
    <x v="1"/>
    <s v="F:\images\20210305\plaque 2/@09  Testosterone 300 µg_L dopé/B9_02.tif "/>
    <s v=" 16265.6808 "/>
    <s v=" 67.6662 "/>
    <x v="0"/>
    <n v="1100637"/>
    <m/>
    <m/>
    <m/>
  </r>
  <r>
    <x v="21"/>
    <x v="1"/>
    <s v="F:\images\20210305\plaque 2/@09  Testosterone 300 µg_L dopé/B9_03.tif "/>
    <s v=" 21262.1864 "/>
    <s v=" 69.5392 "/>
    <x v="0"/>
    <n v="1478555"/>
    <m/>
    <m/>
    <m/>
  </r>
  <r>
    <x v="21"/>
    <x v="2"/>
    <s v="F:\images\20210305\plaque 2/@09  Testosterone 300 µg_L dopé/C9_01.tif "/>
    <s v=" 821.936 "/>
    <s v=" 63.2368 "/>
    <x v="0"/>
    <n v="51977"/>
    <m/>
    <m/>
    <m/>
  </r>
  <r>
    <x v="21"/>
    <x v="2"/>
    <s v="F:\images\20210305\plaque 2/@09  Testosterone 300 µg_L dopé/C9_02.tif "/>
    <s v=" 2162.9895 "/>
    <s v=" 64.77 "/>
    <x v="0"/>
    <n v="140097"/>
    <m/>
    <m/>
    <m/>
  </r>
  <r>
    <x v="21"/>
    <x v="2"/>
    <s v="F:\images\20210305\plaque 2/@09  Testosterone 300 µg_L dopé/C9_03.tif "/>
    <s v=" 994.9752 "/>
    <s v=" 63.6739 "/>
    <x v="0"/>
    <n v="63354"/>
    <m/>
    <m/>
    <m/>
  </r>
  <r>
    <x v="21"/>
    <x v="3"/>
    <s v="F:\images\20210305\plaque 2/@09  Testosterone 300 µg_L dopé/D9_01.tif "/>
    <s v=" 10620.2783 "/>
    <s v=" 70.1141 "/>
    <x v="0"/>
    <n v="744631"/>
    <m/>
    <m/>
    <m/>
  </r>
  <r>
    <x v="21"/>
    <x v="3"/>
    <s v="F:\images\20210305\plaque 2/@09  Testosterone 300 µg_L dopé/D9_02.tif "/>
    <s v=" 5493.9932 "/>
    <s v=" 66.7638 "/>
    <x v="0"/>
    <n v="366800"/>
    <m/>
    <m/>
    <m/>
  </r>
  <r>
    <x v="21"/>
    <x v="3"/>
    <s v="F:\images\20210305\plaque 2/@09  Testosterone 300 µg_L dopé/D9_03.tif "/>
    <s v=" 5991.4808 "/>
    <s v=" 64.7762 "/>
    <x v="0"/>
    <n v="388105"/>
    <m/>
    <m/>
    <m/>
  </r>
  <r>
    <x v="21"/>
    <x v="4"/>
    <s v="F:\images\20210305\plaque 2/@09  Testosterone 300 µg_L dopé/E9_01.tif "/>
    <s v=" 17498.5848 "/>
    <s v=" 71.8925 "/>
    <x v="0"/>
    <n v="1258016"/>
    <m/>
    <m/>
    <m/>
  </r>
  <r>
    <x v="21"/>
    <x v="4"/>
    <s v="F:\images\20210305\plaque 2/@09  Testosterone 300 µg_L dopé/E9_02.tif "/>
    <s v=" 15551.8942 "/>
    <s v=" 73.8971 "/>
    <x v="0"/>
    <n v="1149240"/>
    <m/>
    <m/>
    <m/>
  </r>
  <r>
    <x v="21"/>
    <x v="4"/>
    <s v="F:\images\20210305\plaque 2/@09  Testosterone 300 µg_L dopé/E9_03.tif "/>
    <s v=" 13670.0934 "/>
    <s v=" 74.4509 "/>
    <x v="0"/>
    <n v="1017751"/>
    <m/>
    <m/>
    <m/>
  </r>
  <r>
    <x v="21"/>
    <x v="5"/>
    <s v="F:\images\20210305\plaque 2/@09  Testosterone 300 µg_L dopé/F9_01.tif "/>
    <s v=" 28940.799 "/>
    <s v=" 73.1413 "/>
    <x v="0"/>
    <n v="2116766"/>
    <m/>
    <m/>
    <m/>
  </r>
  <r>
    <x v="21"/>
    <x v="5"/>
    <s v="F:\images\20210305\plaque 2/@09  Testosterone 300 µg_L dopé/F9_02.tif "/>
    <s v=" 26648.0302 "/>
    <s v=" 72.6193 "/>
    <x v="0"/>
    <n v="1935162"/>
    <m/>
    <m/>
    <m/>
  </r>
  <r>
    <x v="21"/>
    <x v="5"/>
    <s v="F:\images\20210305\plaque 2/@09  Testosterone 300 µg_L dopé/F9_03.tif "/>
    <s v=" 28919.1691 "/>
    <s v=" 73.7091 "/>
    <x v="0"/>
    <n v="2131604"/>
    <m/>
    <m/>
    <m/>
  </r>
  <r>
    <x v="21"/>
    <x v="6"/>
    <s v="F:\images\20210305\plaque 2/@09  Testosterone 300 µg_L dopé/G9_01.tif "/>
    <s v=" 14967.8871 "/>
    <s v=" 66.5173 "/>
    <x v="0"/>
    <n v="995624"/>
    <m/>
    <m/>
    <m/>
  </r>
  <r>
    <x v="21"/>
    <x v="6"/>
    <s v="F:\images\20210305\plaque 2/@09  Testosterone 300 µg_L dopé/G9_02.tif "/>
    <s v=" 12545.3389 "/>
    <s v=" 66.3793 "/>
    <x v="0"/>
    <n v="832751"/>
    <m/>
    <m/>
    <m/>
  </r>
  <r>
    <x v="21"/>
    <x v="6"/>
    <s v="F:\images\20210305\plaque 2/@09  Testosterone 300 µg_L dopé/G9_03.tif "/>
    <s v=" 11204.2854 "/>
    <s v=" 65.6351 "/>
    <x v="0"/>
    <n v="735395"/>
    <m/>
    <m/>
    <m/>
  </r>
  <r>
    <x v="21"/>
    <x v="7"/>
    <s v="F:\images\20210305\plaque 2/@09  Testosterone 300 µg_L dopé/H9_01.tif "/>
    <s v=" 12718.378 "/>
    <s v=" 69.7959 "/>
    <x v="0"/>
    <n v="887691"/>
    <m/>
    <m/>
    <m/>
  </r>
  <r>
    <x v="21"/>
    <x v="7"/>
    <s v="F:\images\20210305\plaque 2/@09  Testosterone 300 µg_L dopé/H9_02.tif "/>
    <s v=" 11896.442 "/>
    <s v=" 69.3945 "/>
    <x v="0"/>
    <n v="825548"/>
    <m/>
    <m/>
    <m/>
  </r>
  <r>
    <x v="21"/>
    <x v="7"/>
    <s v="F:\images\20210305\plaque 2/@09  Testosterone 300 µg_L dopé/H9_03- exclu.tif"/>
    <m/>
    <m/>
    <x v="1"/>
    <m/>
    <m/>
    <m/>
    <m/>
  </r>
  <r>
    <x v="1"/>
    <x v="8"/>
    <s v=" "/>
    <m/>
    <m/>
    <x v="1"/>
    <m/>
    <m/>
    <m/>
    <m/>
  </r>
  <r>
    <x v="1"/>
    <x v="8"/>
    <s v="group "/>
    <s v=" "/>
    <s v=" mean of mean fluo "/>
    <x v="2"/>
    <s v=" mean of total fluo "/>
    <s v=" SD total fluo "/>
    <s v=" n fluorescent "/>
    <s v=" n total"/>
  </r>
  <r>
    <x v="21"/>
    <x v="9"/>
    <s v="F:\images\20210305\plaque 2/@09  Testosterone 300 µg_L dopé/ "/>
    <s v=" "/>
    <s v=" 68.4005 "/>
    <x v="23"/>
    <s v=" 869063.917 "/>
    <s v=" 647761.632 "/>
    <n v="24"/>
    <n v="24"/>
  </r>
  <r>
    <x v="1"/>
    <x v="8"/>
    <s v=" "/>
    <m/>
    <m/>
    <x v="1"/>
    <m/>
    <m/>
    <m/>
    <m/>
  </r>
  <r>
    <x v="1"/>
    <x v="8"/>
    <s v=" "/>
    <m/>
    <m/>
    <x v="1"/>
    <m/>
    <m/>
    <m/>
    <m/>
  </r>
  <r>
    <x v="1"/>
    <x v="8"/>
    <s v=" "/>
    <m/>
    <m/>
    <x v="1"/>
    <m/>
    <m/>
    <m/>
    <m/>
  </r>
  <r>
    <x v="1"/>
    <x v="8"/>
    <s v=" "/>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10">
  <r>
    <x v="0"/>
    <x v="0"/>
    <s v="F:\images\20210309\plaque 1/@01 Evian + 0.2% DMSO/A1_01.tif "/>
    <s v=" 281.1886 "/>
    <s v=" 66.1538 "/>
    <x v="0"/>
    <n v="18602"/>
    <m/>
    <m/>
    <m/>
  </r>
  <r>
    <x v="0"/>
    <x v="0"/>
    <s v="F:\images\20210309\plaque 1/@01 Evian + 0.2% DMSO/A1_02.tif "/>
    <s v=" 670.5267 "/>
    <s v=" 64.5161 "/>
    <x v="0"/>
    <n v="43260"/>
    <m/>
    <m/>
    <m/>
  </r>
  <r>
    <x v="0"/>
    <x v="0"/>
    <s v="F:\images\20210309\plaque 1/@01 Evian + 0.2% DMSO/A1_03.tif "/>
    <s v=" 3741.9718 "/>
    <s v=" 71.237 "/>
    <x v="0"/>
    <n v="266567"/>
    <m/>
    <m/>
    <m/>
  </r>
  <r>
    <x v="0"/>
    <x v="1"/>
    <s v="F:\images\20210309\plaque 1/@01 Evian + 0.2% DMSO/B1_01.tif "/>
    <s v=" 670.5267 "/>
    <s v=" 63.5806 "/>
    <x v="0"/>
    <n v="42633"/>
    <m/>
    <m/>
    <m/>
  </r>
  <r>
    <x v="0"/>
    <x v="1"/>
    <s v="F:\images\20210309\plaque 1/@01 Evian + 0.2% DMSO/B1_02.tif "/>
    <s v=" 648.8968 "/>
    <s v=" 64.5 "/>
    <x v="0"/>
    <n v="41854"/>
    <m/>
    <m/>
    <m/>
  </r>
  <r>
    <x v="0"/>
    <x v="1"/>
    <s v="F:\images\20210309\plaque 1/@01 Evian + 0.2% DMSO/B1_03.tif "/>
    <s v=" 1103.1246 "/>
    <s v=" 64.8235 "/>
    <x v="0"/>
    <n v="71508"/>
    <m/>
    <m/>
    <m/>
  </r>
  <r>
    <x v="0"/>
    <x v="2"/>
    <s v="F:\images\20210309\plaque 1/@01 Evian + 0.2% DMSO/C1_01.tif "/>
    <s v=" 8565.4383 "/>
    <s v=" 69.6717 "/>
    <x v="0"/>
    <n v="596769"/>
    <m/>
    <m/>
    <m/>
  </r>
  <r>
    <x v="0"/>
    <x v="2"/>
    <s v="F:\images\20210309\plaque 1/@01 Evian + 0.2% DMSO/C1_02.tif "/>
    <s v=" 6943.1962 "/>
    <s v=" 67.1308 "/>
    <x v="0"/>
    <n v="466103"/>
    <m/>
    <m/>
    <m/>
  </r>
  <r>
    <x v="0"/>
    <x v="2"/>
    <s v="F:\images\20210309\plaque 1/@01 Evian + 0.2% DMSO/C1_03.tif "/>
    <s v=" 6510.5983 "/>
    <s v=" 67.7708 "/>
    <x v="0"/>
    <n v="441228"/>
    <m/>
    <m/>
    <m/>
  </r>
  <r>
    <x v="0"/>
    <x v="3"/>
    <s v="F:\images\20210309\plaque 1/@01 Evian + 0.2% DMSO/D1_01.tif "/>
    <s v=" 670.5267 "/>
    <s v=" 63.0323 "/>
    <x v="0"/>
    <n v="42265"/>
    <m/>
    <m/>
    <m/>
  </r>
  <r>
    <x v="0"/>
    <x v="3"/>
    <s v="F:\images\20210309\plaque 1/@01 Evian + 0.2% DMSO/D1_02.tif "/>
    <s v=" 757.0463 "/>
    <s v=" 62.4 "/>
    <x v="0"/>
    <n v="47240"/>
    <m/>
    <m/>
    <m/>
  </r>
  <r>
    <x v="0"/>
    <x v="3"/>
    <s v="F:\images\20210309\plaque 1/@01 Evian + 0.2% DMSO/D1_03.tif "/>
    <s v=" 843.5659 "/>
    <s v=" 63.2308 "/>
    <x v="0"/>
    <n v="53339"/>
    <m/>
    <m/>
    <m/>
  </r>
  <r>
    <x v="0"/>
    <x v="4"/>
    <s v="F:\images\20210309\plaque 1/@01 Evian + 0.2% DMSO/E1_01.tif "/>
    <s v=" 6402.4488 "/>
    <s v=" 67.4628 "/>
    <x v="0"/>
    <n v="431927"/>
    <m/>
    <m/>
    <m/>
  </r>
  <r>
    <x v="0"/>
    <x v="4"/>
    <s v="F:\images\20210309\plaque 1/@01 Evian + 0.2% DMSO/E1_02.tif "/>
    <s v=" 2184.6194 "/>
    <s v=" 63.7624 "/>
    <x v="0"/>
    <n v="139297"/>
    <m/>
    <m/>
    <m/>
  </r>
  <r>
    <x v="0"/>
    <x v="4"/>
    <s v="F:\images\20210309\plaque 1/@01 Evian + 0.2% DMSO/E1_03.tif "/>
    <s v=" 5061.3953 "/>
    <s v=" 68.547 "/>
    <x v="0"/>
    <n v="346944"/>
    <m/>
    <m/>
    <m/>
  </r>
  <r>
    <x v="0"/>
    <x v="5"/>
    <s v="F:\images\20210309\plaque 1/@01 Evian + 0.2% DMSO/F1_01.tif "/>
    <s v=" 324.4484 "/>
    <s v=" 62.1333 "/>
    <x v="0"/>
    <n v="20159"/>
    <m/>
    <m/>
    <m/>
  </r>
  <r>
    <x v="0"/>
    <x v="5"/>
    <s v="F:\images\20210309\plaque 1/@01 Evian + 0.2% DMSO/F1_02.tif "/>
    <s v=" 194.6691 "/>
    <s v=" 64.8889 "/>
    <x v="0"/>
    <n v="12632"/>
    <m/>
    <m/>
    <m/>
  </r>
  <r>
    <x v="0"/>
    <x v="5"/>
    <s v="F:\images\20210309\plaque 1/@01 Evian + 0.2% DMSO/F1_03.tif "/>
    <s v=" 129.7794 "/>
    <s v=" 62.8333 "/>
    <x v="0"/>
    <n v="8154"/>
    <m/>
    <m/>
    <m/>
  </r>
  <r>
    <x v="0"/>
    <x v="6"/>
    <s v="F:\images\20210309\plaque 1/@01 Evian + 0.2% DMSO/G1_01.tif "/>
    <s v=" 410.968 "/>
    <s v=" 62.1579 "/>
    <x v="0"/>
    <n v="25545"/>
    <m/>
    <m/>
    <m/>
  </r>
  <r>
    <x v="0"/>
    <x v="6"/>
    <s v="F:\images\20210309\plaque 1/@01 Evian + 0.2% DMSO/G1_02.tif "/>
    <s v=" 216.2989 "/>
    <s v=" 64.1 "/>
    <x v="0"/>
    <n v="13865"/>
    <m/>
    <m/>
    <m/>
  </r>
  <r>
    <x v="0"/>
    <x v="6"/>
    <s v="F:\images\20210309\plaque 1/@01 Evian + 0.2% DMSO/G1_03.tif "/>
    <s v=" 151.4093 "/>
    <s v=" 64.4286 "/>
    <x v="0"/>
    <n v="9755"/>
    <m/>
    <m/>
    <m/>
  </r>
  <r>
    <x v="0"/>
    <x v="7"/>
    <s v="F:\images\20210309\plaque 1/@01 Evian + 0.2% DMSO/H1_01.tif "/>
    <s v=" 324.4484 "/>
    <s v=" 63.8 "/>
    <x v="0"/>
    <n v="20700"/>
    <m/>
    <m/>
    <m/>
  </r>
  <r>
    <x v="0"/>
    <x v="7"/>
    <s v="F:\images\20210309\plaque 1/@01 Evian + 0.2% DMSO/H1_02.tif "/>
    <s v=" 605.637 "/>
    <s v=" 63.8571 "/>
    <x v="0"/>
    <n v="38674"/>
    <m/>
    <m/>
    <m/>
  </r>
  <r>
    <x v="0"/>
    <x v="7"/>
    <s v="F:\images\20210309\plaque 1/@01 Evian + 0.2% DMSO/H1_03.tif "/>
    <s v=" 194.6691 "/>
    <s v=" 64.4444 "/>
    <x v="0"/>
    <n v="12545"/>
    <m/>
    <m/>
    <m/>
  </r>
  <r>
    <x v="1"/>
    <x v="8"/>
    <s v=" "/>
    <m/>
    <m/>
    <x v="1"/>
    <m/>
    <m/>
    <m/>
    <m/>
  </r>
  <r>
    <x v="1"/>
    <x v="8"/>
    <s v="group "/>
    <s v=" "/>
    <s v=" mean of mean fluo "/>
    <x v="2"/>
    <s v=" mean of total fluo "/>
    <s v=" SD total fluo "/>
    <s v=" n fluorescent "/>
    <s v=" n total"/>
  </r>
  <r>
    <x v="0"/>
    <x v="9"/>
    <s v="F:\images\20210309\plaque 1/@01 Evian + 0.2% DMSO/ "/>
    <s v=" "/>
    <s v=" 65.0193 "/>
    <x v="3"/>
    <s v=" 133815.208 "/>
    <s v=" 181434.01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
    <x v="0"/>
    <s v="F:\images\20210309\plaque 1/@02 EE2 33.8/A2_01.tif "/>
    <s v=" 5429.1036 "/>
    <s v=" 68.2311 "/>
    <x v="0"/>
    <n v="370434"/>
    <m/>
    <m/>
    <m/>
  </r>
  <r>
    <x v="2"/>
    <x v="0"/>
    <s v="F:\images\20210309\plaque 1/@02 EE2 33.8/A2_02.tif "/>
    <s v=" 778.6762 "/>
    <s v=" 62.5833 "/>
    <x v="0"/>
    <n v="48732"/>
    <m/>
    <m/>
    <m/>
  </r>
  <r>
    <x v="2"/>
    <x v="0"/>
    <s v="F:\images\20210309\plaque 1/@02 EE2 33.8/A2_03.tif "/>
    <s v=" 4888.3562 "/>
    <s v=" 70.115 "/>
    <x v="0"/>
    <n v="342747"/>
    <m/>
    <m/>
    <m/>
  </r>
  <r>
    <x v="2"/>
    <x v="1"/>
    <s v="F:\images\20210309\plaque 1/@02 EE2 33.8/B2_01.tif "/>
    <s v=" 1989.9503 "/>
    <s v=" 65.5109 "/>
    <x v="0"/>
    <n v="130363"/>
    <m/>
    <m/>
    <m/>
  </r>
  <r>
    <x v="2"/>
    <x v="1"/>
    <s v="F:\images\20210309\plaque 1/@02 EE2 33.8/B2_02.tif "/>
    <s v=" 151.4093 "/>
    <n v="64"/>
    <x v="0"/>
    <n v="9690"/>
    <m/>
    <m/>
    <m/>
  </r>
  <r>
    <x v="2"/>
    <x v="1"/>
    <s v="F:\images\20210309\plaque 1/@02 EE2 33.8/B2_03.tif "/>
    <s v=" 692.1566 "/>
    <s v=" 64.0625 "/>
    <x v="0"/>
    <n v="44341"/>
    <m/>
    <m/>
    <m/>
  </r>
  <r>
    <x v="2"/>
    <x v="2"/>
    <s v="F:\images\20210309\plaque 1/@02 EE2 33.8/C2_01.tif "/>
    <s v=" 5212.8046 "/>
    <s v=" 72.4149 "/>
    <x v="0"/>
    <n v="377485"/>
    <m/>
    <m/>
    <m/>
  </r>
  <r>
    <x v="2"/>
    <x v="2"/>
    <s v="F:\images\20210309\plaque 1/@02 EE2 33.8/C2_02.tif "/>
    <s v=" 2206.2493 "/>
    <s v=" 66.4804 "/>
    <x v="0"/>
    <n v="146672"/>
    <m/>
    <m/>
    <m/>
  </r>
  <r>
    <x v="2"/>
    <x v="2"/>
    <s v="F:\images\20210309\plaque 1/@02 EE2 33.8/C2_03.tif "/>
    <s v=" 2184.6194 "/>
    <s v=" 66.3861 "/>
    <x v="0"/>
    <n v="145028"/>
    <m/>
    <m/>
    <m/>
  </r>
  <r>
    <x v="2"/>
    <x v="3"/>
    <s v="F:\images\20210309\plaque 1/@02 EE2 33.8/D2_01.tif "/>
    <s v=" 7981.4311 "/>
    <s v=" 72.7615 "/>
    <x v="0"/>
    <n v="580741"/>
    <m/>
    <m/>
    <m/>
  </r>
  <r>
    <x v="2"/>
    <x v="3"/>
    <s v="F:\images\20210309\plaque 1/@02 EE2 33.8/D2_02.tif "/>
    <s v=" 1276.1638 "/>
    <s v=" 63.9831 "/>
    <x v="0"/>
    <n v="81653"/>
    <m/>
    <m/>
    <m/>
  </r>
  <r>
    <x v="2"/>
    <x v="3"/>
    <s v="F:\images\20210309\plaque 1/@02 EE2 33.8/D2_03.tif "/>
    <s v=" 410.968 "/>
    <n v="63"/>
    <x v="0"/>
    <n v="25891"/>
    <m/>
    <m/>
    <m/>
  </r>
  <r>
    <x v="2"/>
    <x v="4"/>
    <s v="F:\images\20210309\plaque 1/@02 EE2 33.8/E2_01.tif "/>
    <s v=" 432.5979 "/>
    <s v=" 62.7 "/>
    <x v="0"/>
    <n v="27124"/>
    <m/>
    <m/>
    <m/>
  </r>
  <r>
    <x v="2"/>
    <x v="4"/>
    <s v="F:\images\20210309\plaque 1/@02 EE2 33.8/E2_02.tif "/>
    <s v=" 367.7082 "/>
    <s v=" 63.4118 "/>
    <x v="0"/>
    <n v="23317"/>
    <m/>
    <m/>
    <m/>
  </r>
  <r>
    <x v="2"/>
    <x v="4"/>
    <s v="F:\images\20210309\plaque 1/@02 EE2 33.8/E2_03.tif "/>
    <s v=" 584.0072 "/>
    <s v=" 64.9259 "/>
    <x v="0"/>
    <n v="37917"/>
    <m/>
    <m/>
    <m/>
  </r>
  <r>
    <x v="2"/>
    <x v="5"/>
    <s v="F:\images\20210309\plaque 1/@02 EE2 33.8/F2_01.tif "/>
    <s v=" 302.8185 "/>
    <s v=" 62.7143 "/>
    <x v="0"/>
    <n v="18991"/>
    <m/>
    <m/>
    <m/>
  </r>
  <r>
    <x v="2"/>
    <x v="5"/>
    <s v="F:\images\20210309\plaque 1/@02 EE2 33.8/F2_02.tif "/>
    <s v=" 216.2989 "/>
    <s v=" 63.8 "/>
    <x v="0"/>
    <n v="13800"/>
    <m/>
    <m/>
    <m/>
  </r>
  <r>
    <x v="2"/>
    <x v="5"/>
    <s v="F:\images\20210309\plaque 1/@02 EE2 33.8/F2_03.tif "/>
    <s v=" 173.0392 "/>
    <s v=" 63.25 "/>
    <x v="0"/>
    <n v="10945"/>
    <m/>
    <m/>
    <m/>
  </r>
  <r>
    <x v="2"/>
    <x v="6"/>
    <s v="F:\images\20210309\plaque 1/@02 EE2 33.8/G2_01.tif "/>
    <s v=" 4325.9789 "/>
    <s v=" 64.09 "/>
    <x v="0"/>
    <n v="277252"/>
    <m/>
    <m/>
    <m/>
  </r>
  <r>
    <x v="2"/>
    <x v="6"/>
    <s v="F:\images\20210309\plaque 1/@02 EE2 33.8/G2_02.tif "/>
    <s v=" 2811.8863 "/>
    <s v=" 64.2308 "/>
    <x v="0"/>
    <n v="180610"/>
    <m/>
    <m/>
    <m/>
  </r>
  <r>
    <x v="2"/>
    <x v="6"/>
    <s v="F:\images\20210309\plaque 1/@02 EE2 33.8/G2_03.tif "/>
    <s v=" 1622.2421 "/>
    <s v=" 63.52 "/>
    <x v="0"/>
    <n v="103045"/>
    <m/>
    <m/>
    <m/>
  </r>
  <r>
    <x v="2"/>
    <x v="7"/>
    <s v="F:\images\20210309\plaque 1/@02 EE2 33.8/H2_01.tif "/>
    <s v=" 2249.509 "/>
    <s v=" 64.6346 "/>
    <x v="0"/>
    <n v="145396"/>
    <m/>
    <m/>
    <m/>
  </r>
  <r>
    <x v="2"/>
    <x v="7"/>
    <s v="F:\images\20210309\plaque 1/@02 EE2 33.8/H2_02.tif "/>
    <s v=" 800.3061 "/>
    <s v=" 63.4324 "/>
    <x v="0"/>
    <n v="50765"/>
    <m/>
    <m/>
    <m/>
  </r>
  <r>
    <x v="2"/>
    <x v="7"/>
    <s v="F:\images\20210309\plaque 1/@02 EE2 33.8/H2_03.tif "/>
    <s v=" 648.8968 "/>
    <s v=" 63.2667 "/>
    <x v="0"/>
    <n v="41054"/>
    <m/>
    <m/>
    <m/>
  </r>
  <r>
    <x v="1"/>
    <x v="8"/>
    <s v=" "/>
    <m/>
    <m/>
    <x v="1"/>
    <m/>
    <m/>
    <m/>
    <m/>
  </r>
  <r>
    <x v="1"/>
    <x v="8"/>
    <s v="group "/>
    <s v=" "/>
    <s v=" mean of mean fluo "/>
    <x v="2"/>
    <s v=" mean of total fluo "/>
    <s v=" SD total fluo "/>
    <s v=" n fluorescent "/>
    <s v=" n total"/>
  </r>
  <r>
    <x v="2"/>
    <x v="9"/>
    <s v="F:\images\20210309\plaque 1/@02 EE2 33.8/ "/>
    <s v=" "/>
    <s v=" 65.1461 "/>
    <x v="4"/>
    <s v=" 134749.708 "/>
    <s v=" 150200.21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3"/>
    <x v="0"/>
    <s v="F:\images\20210309\plaque 1/@03 EE2 50.6/A3_01.tif "/>
    <s v=" 1232.904 "/>
    <s v=" 64.7368 "/>
    <x v="0"/>
    <n v="79814"/>
    <m/>
    <m/>
    <m/>
  </r>
  <r>
    <x v="3"/>
    <x v="0"/>
    <s v="F:\images\20210309\plaque 1/@03 EE2 50.6/A3_02.tif "/>
    <s v=" 5407.4737 "/>
    <s v=" 78.712 "/>
    <x v="0"/>
    <n v="425633"/>
    <m/>
    <m/>
    <m/>
  </r>
  <r>
    <x v="3"/>
    <x v="0"/>
    <s v="F:\images\20210309\plaque 1/@03 EE2 50.6/A3_03.tif "/>
    <s v=" 6553.8581 "/>
    <s v=" 73.7162 "/>
    <x v="0"/>
    <n v="483125"/>
    <m/>
    <m/>
    <m/>
  </r>
  <r>
    <x v="3"/>
    <x v="1"/>
    <s v="F:\images\20210309\plaque 1/@03 EE2 50.6/B3_01.tif "/>
    <s v=" 2530.6977 "/>
    <s v=" 67.2137 "/>
    <x v="0"/>
    <n v="170097"/>
    <m/>
    <m/>
    <m/>
  </r>
  <r>
    <x v="3"/>
    <x v="1"/>
    <s v="F:\images\20210309\plaque 1/@03 EE2 50.6/B3_02.tif "/>
    <s v=" 1059.8648 "/>
    <s v=" 63.449 "/>
    <x v="0"/>
    <n v="67247"/>
    <m/>
    <m/>
    <m/>
  </r>
  <r>
    <x v="3"/>
    <x v="1"/>
    <s v="F:\images\20210309\plaque 1/@03 EE2 50.6/B3_03.tif "/>
    <s v=" 1687.1318 "/>
    <s v=" 66.8333 "/>
    <x v="0"/>
    <n v="112757"/>
    <m/>
    <m/>
    <m/>
  </r>
  <r>
    <x v="3"/>
    <x v="2"/>
    <s v="F:\images\20210309\plaque 1/@03 EE2 50.6/C3_01.tif "/>
    <s v=" 7289.2745 "/>
    <s v=" 65.3442 "/>
    <x v="0"/>
    <n v="476312"/>
    <m/>
    <m/>
    <m/>
  </r>
  <r>
    <x v="3"/>
    <x v="2"/>
    <s v="F:\images\20210309\plaque 1/@03 EE2 50.6/C3_02.tif "/>
    <s v=" 627.2669 "/>
    <s v=" 62.8621 "/>
    <x v="0"/>
    <n v="39431"/>
    <m/>
    <m/>
    <m/>
  </r>
  <r>
    <x v="3"/>
    <x v="2"/>
    <s v="F:\images\20210309\plaque 1/@03 EE2 50.6/C3_03- exclu.tif"/>
    <m/>
    <m/>
    <x v="1"/>
    <m/>
    <m/>
    <m/>
    <m/>
  </r>
  <r>
    <x v="3"/>
    <x v="3"/>
    <s v="F:\images\20210309\plaque 1/@03 EE2 50.6/D3_01- exclu.tif"/>
    <m/>
    <m/>
    <x v="1"/>
    <m/>
    <m/>
    <m/>
    <m/>
  </r>
  <r>
    <x v="3"/>
    <x v="3"/>
    <s v="F:\images\20210309\plaque 1/@03 EE2 50.6/D3_02.tif "/>
    <s v=" 1384.3133 "/>
    <s v=" 63.0156 "/>
    <x v="0"/>
    <n v="87233"/>
    <m/>
    <m/>
    <m/>
  </r>
  <r>
    <x v="3"/>
    <x v="3"/>
    <s v="F:\images\20210309\plaque 1/@03 EE2 50.6/D3_03.tif "/>
    <s v=" 562.3773 "/>
    <s v=" 62.0769 "/>
    <x v="0"/>
    <n v="34911"/>
    <m/>
    <m/>
    <m/>
  </r>
  <r>
    <x v="3"/>
    <x v="4"/>
    <s v="F:\images\20210309\plaque 1/@03 EE2 50.6/E3_01.tif "/>
    <s v=" 4909.9861 "/>
    <s v=" 71.6035 "/>
    <x v="0"/>
    <n v="351572"/>
    <m/>
    <m/>
    <m/>
  </r>
  <r>
    <x v="3"/>
    <x v="4"/>
    <s v="F:\images\20210309\plaque 1/@03 EE2 50.6/E3_02.tif "/>
    <s v=" 1946.6905 "/>
    <s v=" 65.1222 "/>
    <x v="0"/>
    <n v="126773"/>
    <m/>
    <m/>
    <m/>
  </r>
  <r>
    <x v="3"/>
    <x v="4"/>
    <s v="F:\images\20210309\plaque 1/@03 EE2 50.6/E3_03.tif "/>
    <s v=" 6013.1107 "/>
    <s v=" 70.5719 "/>
    <x v="0"/>
    <n v="424357"/>
    <m/>
    <m/>
    <m/>
  </r>
  <r>
    <x v="3"/>
    <x v="5"/>
    <s v="F:\images\20210309\plaque 1/@03 EE2 50.6/F3_01.tif "/>
    <s v=" 3049.8151 "/>
    <s v=" 64.2411 "/>
    <x v="0"/>
    <n v="195924"/>
    <m/>
    <m/>
    <m/>
  </r>
  <r>
    <x v="3"/>
    <x v="5"/>
    <s v="F:\images\20210309\plaque 1/@03 EE2 50.6/F3_02.tif "/>
    <s v=" 3114.7048 "/>
    <s v=" 64.6319 "/>
    <x v="0"/>
    <n v="201309"/>
    <m/>
    <m/>
    <m/>
  </r>
  <r>
    <x v="3"/>
    <x v="5"/>
    <s v="F:\images\20210309\plaque 1/@03 EE2 50.6/F3_03.tif "/>
    <s v=" 3806.8615 "/>
    <s v=" 66.483 "/>
    <x v="0"/>
    <n v="253091"/>
    <m/>
    <m/>
    <m/>
  </r>
  <r>
    <x v="3"/>
    <x v="6"/>
    <s v="F:\images\20210309\plaque 1/@03 EE2 50.6/G3_01- exclu.tif"/>
    <m/>
    <m/>
    <x v="1"/>
    <m/>
    <m/>
    <m/>
    <m/>
  </r>
  <r>
    <x v="3"/>
    <x v="6"/>
    <s v="F:\images\20210309\plaque 1/@03 EE2 50.6/G3_02.tif "/>
    <s v=" 7570.4631 "/>
    <s v=" 70.0086 "/>
    <x v="0"/>
    <n v="529997"/>
    <m/>
    <m/>
    <m/>
  </r>
  <r>
    <x v="3"/>
    <x v="6"/>
    <s v="F:\images\20210309\plaque 1/@03 EE2 50.6/G3_03.tif "/>
    <s v=" 5126.285 "/>
    <s v=" 67.0717 "/>
    <x v="0"/>
    <n v="343829"/>
    <m/>
    <m/>
    <m/>
  </r>
  <r>
    <x v="3"/>
    <x v="7"/>
    <s v="F:\images\20210309\plaque 1/@03 EE2 50.6/H3_01- exclu.tif"/>
    <m/>
    <m/>
    <x v="1"/>
    <m/>
    <m/>
    <m/>
    <m/>
  </r>
  <r>
    <x v="3"/>
    <x v="7"/>
    <s v="F:\images\20210309\plaque 1/@03 EE2 50.6/H3_02.tif "/>
    <s v=" 627.2669 "/>
    <s v=" 62.931 "/>
    <x v="0"/>
    <n v="39475"/>
    <m/>
    <m/>
    <m/>
  </r>
  <r>
    <x v="3"/>
    <x v="7"/>
    <s v="F:\images\20210309\plaque 1/@03 EE2 50.6/H3_03.tif "/>
    <s v=" 1773.6514 "/>
    <s v=" 64.2439 "/>
    <x v="0"/>
    <n v="113946"/>
    <m/>
    <m/>
    <m/>
  </r>
  <r>
    <x v="1"/>
    <x v="8"/>
    <s v=" "/>
    <m/>
    <m/>
    <x v="1"/>
    <m/>
    <m/>
    <m/>
    <m/>
  </r>
  <r>
    <x v="1"/>
    <x v="8"/>
    <s v="group "/>
    <s v=" "/>
    <s v=" mean of mean fluo "/>
    <x v="2"/>
    <s v=" mean of total fluo "/>
    <s v=" SD total fluo "/>
    <s v=" n fluorescent "/>
    <s v=" n total"/>
  </r>
  <r>
    <x v="3"/>
    <x v="9"/>
    <s v="F:\images\20210309\plaque 1/@03 EE2 50.6/ "/>
    <s v=" "/>
    <s v=" 66.4948 "/>
    <x v="5"/>
    <s v=" 230883.75 "/>
    <s v=" 181520.17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4"/>
    <x v="0"/>
    <s v="F:\images\20210309\plaque 1/@04 EE2 76/A4_01.tif "/>
    <s v=" 11290.805 "/>
    <s v=" 70.6226 "/>
    <x v="0"/>
    <n v="797386"/>
    <m/>
    <m/>
    <m/>
  </r>
  <r>
    <x v="4"/>
    <x v="0"/>
    <s v="F:\images\20210309\plaque 1/@04 EE2 76/A4_02.tif "/>
    <s v=" 9798.3423 "/>
    <s v=" 66.3753 "/>
    <x v="0"/>
    <n v="650368"/>
    <m/>
    <m/>
    <m/>
  </r>
  <r>
    <x v="4"/>
    <x v="0"/>
    <s v="F:\images\20210309\plaque 1/@04 EE2 76/A4_03- exclu.tif"/>
    <m/>
    <m/>
    <x v="1"/>
    <m/>
    <m/>
    <m/>
    <m/>
  </r>
  <r>
    <x v="4"/>
    <x v="1"/>
    <s v="F:\images\20210309\plaque 1/@04 EE2 76/B4_01.tif "/>
    <s v=" 8738.4774 "/>
    <s v=" 69.5569 "/>
    <x v="0"/>
    <n v="607822"/>
    <m/>
    <m/>
    <m/>
  </r>
  <r>
    <x v="4"/>
    <x v="1"/>
    <s v="F:\images\20210309\plaque 1/@04 EE2 76/B4_02.tif "/>
    <s v=" 8998.0362 "/>
    <s v=" 68.1346 "/>
    <x v="0"/>
    <n v="613078"/>
    <m/>
    <m/>
    <m/>
  </r>
  <r>
    <x v="4"/>
    <x v="1"/>
    <s v="F:\images\20210309\plaque 1/@04 EE2 76/B4_03.tif "/>
    <s v=" 5688.6623 "/>
    <s v=" 67.0494 "/>
    <x v="0"/>
    <n v="381422"/>
    <m/>
    <m/>
    <m/>
  </r>
  <r>
    <x v="4"/>
    <x v="2"/>
    <s v="F:\images\20210309\plaque 1/@04 EE2 76/C4_01- exclu.tif"/>
    <m/>
    <m/>
    <x v="1"/>
    <m/>
    <m/>
    <m/>
    <m/>
  </r>
  <r>
    <x v="4"/>
    <x v="2"/>
    <s v="F:\images\20210309\plaque 1/@04 EE2 76/C4_02- exclu.tif"/>
    <m/>
    <m/>
    <x v="1"/>
    <m/>
    <m/>
    <m/>
    <m/>
  </r>
  <r>
    <x v="4"/>
    <x v="2"/>
    <s v="F:\images\20210309\plaque 1/@04 EE2 76/C4_03- exclu.tif"/>
    <m/>
    <m/>
    <x v="1"/>
    <m/>
    <m/>
    <m/>
    <m/>
  </r>
  <r>
    <x v="4"/>
    <x v="3"/>
    <s v="F:\images\20210309\plaque 1/@04 EE2 76/D4_01.tif "/>
    <s v=" 21478.4854 "/>
    <s v=" 67.3474 "/>
    <x v="0"/>
    <n v="1446521"/>
    <m/>
    <m/>
    <m/>
  </r>
  <r>
    <x v="4"/>
    <x v="3"/>
    <s v="F:\images\20210309\plaque 1/@04 EE2 76/D4_02.tif "/>
    <s v=" 13561.9439 "/>
    <s v=" 64.547 "/>
    <x v="0"/>
    <n v="875383"/>
    <m/>
    <m/>
    <m/>
  </r>
  <r>
    <x v="4"/>
    <x v="3"/>
    <s v="F:\images\20210309\plaque 1/@04 EE2 76/D4_03.tif "/>
    <s v=" 13367.2749 "/>
    <s v=" 64.7379 "/>
    <x v="0"/>
    <n v="865369"/>
    <m/>
    <m/>
    <m/>
  </r>
  <r>
    <x v="4"/>
    <x v="4"/>
    <s v="F:\images\20210309\plaque 1/@04 EE2 76/E4_01.tif "/>
    <s v=" 8327.5094 "/>
    <s v=" 65.4494 "/>
    <x v="0"/>
    <n v="545030"/>
    <m/>
    <m/>
    <m/>
  </r>
  <r>
    <x v="4"/>
    <x v="4"/>
    <s v="F:\images\20210309\plaque 1/@04 EE2 76/E4_02.tif "/>
    <s v=" 7181.125 "/>
    <s v=" 64.8133 "/>
    <x v="0"/>
    <n v="465432"/>
    <m/>
    <m/>
    <m/>
  </r>
  <r>
    <x v="4"/>
    <x v="4"/>
    <s v="F:\images\20210309\plaque 1/@04 EE2 76/E4_03.tif "/>
    <s v=" 12718.378 "/>
    <s v=" 66.6616 "/>
    <x v="0"/>
    <n v="847827"/>
    <m/>
    <m/>
    <m/>
  </r>
  <r>
    <x v="4"/>
    <x v="5"/>
    <s v="F:\images\20210309\plaque 1/@04 EE2 76/F4_01.tif "/>
    <s v=" 7246.0147 "/>
    <s v=" 74.8567 "/>
    <x v="0"/>
    <n v="542413"/>
    <m/>
    <m/>
    <m/>
  </r>
  <r>
    <x v="4"/>
    <x v="5"/>
    <s v="F:\images\20210309\plaque 1/@04 EE2 76/F4_02.tif "/>
    <s v=" 6445.7086 "/>
    <s v=" 68.5604 "/>
    <x v="0"/>
    <n v="441920"/>
    <m/>
    <m/>
    <m/>
  </r>
  <r>
    <x v="4"/>
    <x v="5"/>
    <s v="F:\images\20210309\plaque 1/@04 EE2 76/F4_03.tif "/>
    <s v=" 1232.904 "/>
    <s v=" 63.0526 "/>
    <x v="0"/>
    <n v="77738"/>
    <m/>
    <m/>
    <m/>
  </r>
  <r>
    <x v="4"/>
    <x v="6"/>
    <s v="F:\images\20210309\plaque 1/@04 EE2 76/G4_01.tif "/>
    <s v=" 5861.7014 "/>
    <s v=" 69.5314 "/>
    <x v="0"/>
    <n v="407572"/>
    <m/>
    <m/>
    <m/>
  </r>
  <r>
    <x v="4"/>
    <x v="6"/>
    <s v="F:\images\20210309\plaque 1/@04 EE2 76/G4_02.tif "/>
    <s v=" 3439.1532 "/>
    <s v=" 65.5031 "/>
    <x v="0"/>
    <n v="225275"/>
    <m/>
    <m/>
    <m/>
  </r>
  <r>
    <x v="4"/>
    <x v="6"/>
    <s v="F:\images\20210309\plaque 1/@04 EE2 76/G4_03.tif "/>
    <s v=" 1297.7937 "/>
    <s v=" 63.7667 "/>
    <x v="0"/>
    <n v="82756"/>
    <m/>
    <m/>
    <m/>
  </r>
  <r>
    <x v="4"/>
    <x v="7"/>
    <s v="F:\images\20210309\plaque 1/@04 EE2 76/H4_01.tif "/>
    <s v=" 4131.3099 "/>
    <s v=" 64.1257 "/>
    <x v="0"/>
    <n v="264923"/>
    <m/>
    <m/>
    <m/>
  </r>
  <r>
    <x v="4"/>
    <x v="7"/>
    <s v="F:\images\20210309\plaque 1/@04 EE2 76/H4_02.tif "/>
    <s v=" 6597.1179 "/>
    <s v=" 63.8131 "/>
    <x v="0"/>
    <n v="420983"/>
    <m/>
    <m/>
    <m/>
  </r>
  <r>
    <x v="4"/>
    <x v="7"/>
    <s v="F:\images\20210309\plaque 1/@04 EE2 76/H4_03.tif "/>
    <s v=" 6943.1962 "/>
    <s v=" 64.1745 "/>
    <x v="0"/>
    <n v="445576"/>
    <m/>
    <m/>
    <m/>
  </r>
  <r>
    <x v="1"/>
    <x v="8"/>
    <s v=" "/>
    <m/>
    <m/>
    <x v="1"/>
    <m/>
    <m/>
    <m/>
    <m/>
  </r>
  <r>
    <x v="1"/>
    <x v="8"/>
    <s v="group "/>
    <s v=" "/>
    <s v=" mean of mean fluo "/>
    <x v="2"/>
    <s v=" mean of total fluo "/>
    <s v=" SD total fluo "/>
    <s v=" n fluorescent "/>
    <s v=" n total"/>
  </r>
  <r>
    <x v="4"/>
    <x v="9"/>
    <s v="F:\images\20210309\plaque 1/@04 EE2 76/ "/>
    <s v=" "/>
    <s v=" 68.7151 "/>
    <x v="6"/>
    <s v=" 622762.542 "/>
    <s v=" 397823.52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5"/>
    <x v="0"/>
    <s v="F:\images\20210309\plaque 1/@05 EE2 114/A5_01- exclu.tif"/>
    <m/>
    <m/>
    <x v="1"/>
    <m/>
    <m/>
    <m/>
    <m/>
  </r>
  <r>
    <x v="5"/>
    <x v="0"/>
    <s v="F:\images\20210309\plaque 1/@05 EE2 114/A5_02- exclu.tif"/>
    <m/>
    <m/>
    <x v="1"/>
    <m/>
    <m/>
    <m/>
    <m/>
  </r>
  <r>
    <x v="5"/>
    <x v="0"/>
    <s v="F:\images\20210309\plaque 1/@05 EE2 114/A5_03- exclu.tif"/>
    <m/>
    <m/>
    <x v="1"/>
    <m/>
    <m/>
    <m/>
    <m/>
  </r>
  <r>
    <x v="5"/>
    <x v="1"/>
    <s v="F:\images\20210309\plaque 1/@05 EE2 114/B5_01.tif "/>
    <s v=" 27340.1868 "/>
    <s v=" 68.7832 "/>
    <x v="0"/>
    <n v="1880546"/>
    <m/>
    <m/>
    <m/>
  </r>
  <r>
    <x v="5"/>
    <x v="1"/>
    <s v="F:\images\20210309\plaque 1/@05 EE2 114/B5_02.tif "/>
    <s v=" 20743.0689 "/>
    <s v=" 66.8071 "/>
    <x v="0"/>
    <n v="1385784"/>
    <m/>
    <m/>
    <m/>
  </r>
  <r>
    <x v="5"/>
    <x v="1"/>
    <s v="F:\images\20210309\plaque 1/@05 EE2 114/B5_03.tif "/>
    <s v=" 25696.3148 "/>
    <s v=" 69.0816 "/>
    <x v="0"/>
    <n v="1775144"/>
    <m/>
    <m/>
    <m/>
  </r>
  <r>
    <x v="5"/>
    <x v="2"/>
    <s v="F:\images\20210309\plaque 1/@05 EE2 114/C5_01.tif "/>
    <s v=" 3590.5625 "/>
    <s v=" 67.3373 "/>
    <x v="0"/>
    <n v="241779"/>
    <m/>
    <m/>
    <m/>
  </r>
  <r>
    <x v="5"/>
    <x v="2"/>
    <s v="F:\images\20210309\plaque 1/@05 EE2 114/C5_02.tif "/>
    <s v=" 4109.68 "/>
    <s v=" 68.5263 "/>
    <x v="0"/>
    <n v="281621"/>
    <m/>
    <m/>
    <m/>
  </r>
  <r>
    <x v="5"/>
    <x v="2"/>
    <s v="F:\images\20210309\plaque 1/@05 EE2 114/C5_03.tif "/>
    <s v=" 973.3453 "/>
    <s v=" 63.2667 "/>
    <x v="0"/>
    <n v="61580"/>
    <m/>
    <m/>
    <m/>
  </r>
  <r>
    <x v="5"/>
    <x v="3"/>
    <s v="F:\images\20210309\plaque 1/@05 EE2 114/D5_01- exclu.tif"/>
    <m/>
    <m/>
    <x v="1"/>
    <m/>
    <m/>
    <m/>
    <m/>
  </r>
  <r>
    <x v="5"/>
    <x v="3"/>
    <s v="F:\images\20210309\plaque 1/@05 EE2 114/D5_02.tif "/>
    <s v=" 1449.2029 "/>
    <s v=" 62.8955 "/>
    <x v="0"/>
    <n v="91148"/>
    <m/>
    <m/>
    <m/>
  </r>
  <r>
    <x v="5"/>
    <x v="3"/>
    <s v="F:\images\20210309\plaque 1/@05 EE2 114/D5_03.tif "/>
    <s v=" 5450.7334 "/>
    <s v=" 68.1429 "/>
    <x v="0"/>
    <n v="371429"/>
    <m/>
    <m/>
    <m/>
  </r>
  <r>
    <x v="5"/>
    <x v="4"/>
    <s v="F:\images\20210309\plaque 1/@05 EE2 114/E5_01.tif "/>
    <s v=" 29027.3186 "/>
    <s v=" 71.2921 "/>
    <x v="0"/>
    <n v="2069419"/>
    <m/>
    <m/>
    <m/>
  </r>
  <r>
    <x v="5"/>
    <x v="4"/>
    <s v="F:\images\20210309\plaque 1/@05 EE2 114/E5_02.tif "/>
    <s v=" 28681.2403 "/>
    <s v=" 69.8522 "/>
    <x v="0"/>
    <n v="2003447"/>
    <m/>
    <m/>
    <m/>
  </r>
  <r>
    <x v="5"/>
    <x v="4"/>
    <s v="F:\images\20210309\plaque 1/@05 EE2 114/E5_03.tif "/>
    <s v=" 26064.023 "/>
    <s v=" 71.9178 "/>
    <x v="0"/>
    <n v="1874468"/>
    <m/>
    <m/>
    <m/>
  </r>
  <r>
    <x v="5"/>
    <x v="5"/>
    <s v="F:\images\20210309\plaque 1/@05 EE2 114/F5_01.tif "/>
    <s v=" 34196.8634 "/>
    <s v=" 70.3643 "/>
    <x v="0"/>
    <n v="2406239"/>
    <m/>
    <m/>
    <m/>
  </r>
  <r>
    <x v="5"/>
    <x v="5"/>
    <s v="F:\images\20210309\plaque 1/@05 EE2 114/F5_02.tif "/>
    <s v=" 31731.0554 "/>
    <s v=" 68.2979 "/>
    <x v="0"/>
    <n v="2167164"/>
    <m/>
    <m/>
    <m/>
  </r>
  <r>
    <x v="5"/>
    <x v="5"/>
    <s v="F:\images\20210309\plaque 1/@05 EE2 114/F5_03.tif "/>
    <s v=" 32704.4007 "/>
    <s v=" 69.588 "/>
    <x v="0"/>
    <n v="2275833"/>
    <m/>
    <m/>
    <m/>
  </r>
  <r>
    <x v="5"/>
    <x v="6"/>
    <s v="F:\images\20210309\plaque 1/@05 EE2 114/G5_01.tif "/>
    <s v=" 21608.2647 "/>
    <s v=" 69.3754 "/>
    <x v="0"/>
    <n v="1499081"/>
    <m/>
    <m/>
    <m/>
  </r>
  <r>
    <x v="5"/>
    <x v="6"/>
    <s v="F:\images\20210309\plaque 1/@05 EE2 114/G5_02.tif "/>
    <s v=" 17044.357 "/>
    <s v=" 73.2322 "/>
    <x v="0"/>
    <n v="1248196"/>
    <m/>
    <m/>
    <m/>
  </r>
  <r>
    <x v="5"/>
    <x v="6"/>
    <s v="F:\images\20210309\plaque 1/@05 EE2 114/G5_03.tif "/>
    <s v=" 24398.5211 "/>
    <s v=" 69.7934 "/>
    <x v="0"/>
    <n v="1702857"/>
    <m/>
    <m/>
    <m/>
  </r>
  <r>
    <x v="5"/>
    <x v="7"/>
    <s v="F:\images\20210309\plaque 1/@05 EE2 114/H5_01.tif "/>
    <s v=" 30065.5535 "/>
    <s v=" 67.7065 "/>
    <x v="0"/>
    <n v="2035633"/>
    <m/>
    <m/>
    <m/>
  </r>
  <r>
    <x v="5"/>
    <x v="7"/>
    <s v="F:\images\20210309\plaque 1/@05 EE2 114/H5_02.tif "/>
    <s v=" 25934.2437 "/>
    <s v=" 67.3703 "/>
    <x v="0"/>
    <n v="1747198"/>
    <m/>
    <m/>
    <m/>
  </r>
  <r>
    <x v="5"/>
    <x v="7"/>
    <s v="F:\images\20210309\plaque 1/@05 EE2 114/H5_03.tif "/>
    <s v=" 32379.9523 "/>
    <s v=" 68.5418 "/>
    <x v="0"/>
    <n v="2219379"/>
    <m/>
    <m/>
    <m/>
  </r>
  <r>
    <x v="1"/>
    <x v="8"/>
    <s v=" "/>
    <m/>
    <m/>
    <x v="1"/>
    <m/>
    <m/>
    <m/>
    <m/>
  </r>
  <r>
    <x v="1"/>
    <x v="8"/>
    <s v="group "/>
    <s v=" "/>
    <s v=" mean of mean fluo "/>
    <x v="2"/>
    <s v=" mean of total fluo "/>
    <s v=" SD total fluo "/>
    <s v=" n fluorescent "/>
    <s v=" n total"/>
  </r>
  <r>
    <x v="5"/>
    <x v="9"/>
    <s v="F:\images\20210309\plaque 1/@05 EE2 114/ "/>
    <s v=" "/>
    <s v=" 67.839 "/>
    <x v="7"/>
    <s v=" 1242937.54 "/>
    <s v=" 890041.01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6"/>
    <x v="0"/>
    <s v="F:\images\20210309\plaque 1/@06 EE2 170.9/A6_01.tif "/>
    <s v=" 23252.1367 "/>
    <s v=" 72.066 "/>
    <x v="0"/>
    <n v="1675690"/>
    <m/>
    <m/>
    <m/>
  </r>
  <r>
    <x v="6"/>
    <x v="0"/>
    <s v="F:\images\20210309\plaque 1/@06 EE2 170.9/A6_02.tif "/>
    <s v=" 26496.6209 "/>
    <s v=" 73.898 "/>
    <x v="0"/>
    <n v="1958046"/>
    <m/>
    <m/>
    <m/>
  </r>
  <r>
    <x v="6"/>
    <x v="0"/>
    <s v="F:\images\20210309\plaque 1/@06 EE2 170.9/A6_03- exclu.tif"/>
    <m/>
    <m/>
    <x v="1"/>
    <m/>
    <m/>
    <m/>
    <m/>
  </r>
  <r>
    <x v="6"/>
    <x v="1"/>
    <s v="F:\images\20210309\plaque 1/@06 EE2 170.9/B6_01.tif "/>
    <s v=" 59027.9824 "/>
    <s v=" 73.731 "/>
    <x v="0"/>
    <n v="4352194"/>
    <m/>
    <m/>
    <m/>
  </r>
  <r>
    <x v="6"/>
    <x v="1"/>
    <s v="F:\images\20210309\plaque 1/@06 EE2 170.9/B6_02.tif "/>
    <s v=" 51306.1101 "/>
    <s v=" 73.2078 "/>
    <x v="0"/>
    <n v="3756010"/>
    <m/>
    <m/>
    <m/>
  </r>
  <r>
    <x v="6"/>
    <x v="1"/>
    <s v="F:\images\20210309\plaque 1/@06 EE2 170.9/B6_03.tif "/>
    <s v=" 55545.5694 "/>
    <s v=" 72.7122 "/>
    <x v="0"/>
    <n v="4038842"/>
    <m/>
    <m/>
    <m/>
  </r>
  <r>
    <x v="6"/>
    <x v="2"/>
    <s v="F:\images\20210309\plaque 1/@06 EE2 170.9/C6_01.tif "/>
    <s v=" 49294.5299 "/>
    <s v=" 73.6893 "/>
    <x v="0"/>
    <n v="3632481"/>
    <m/>
    <m/>
    <m/>
  </r>
  <r>
    <x v="6"/>
    <x v="2"/>
    <s v="F:\images\20210309\plaque 1/@06 EE2 170.9/C6_02.tif "/>
    <s v=" 53815.1778 "/>
    <s v=" 74.994 "/>
    <x v="0"/>
    <n v="4035814"/>
    <m/>
    <m/>
    <m/>
  </r>
  <r>
    <x v="6"/>
    <x v="2"/>
    <s v="F:\images\20210309\plaque 1/@06 EE2 170.9/C6_03.tif "/>
    <s v=" 49056.601 "/>
    <s v=" 74.2496 "/>
    <x v="0"/>
    <n v="3642431"/>
    <m/>
    <m/>
    <m/>
  </r>
  <r>
    <x v="6"/>
    <x v="3"/>
    <s v="F:\images\20210309\plaque 1/@06 EE2 170.9/D6_01.tif "/>
    <s v=" 37549.4971 "/>
    <s v=" 77.2028 "/>
    <x v="0"/>
    <n v="2898925"/>
    <m/>
    <m/>
    <m/>
  </r>
  <r>
    <x v="6"/>
    <x v="3"/>
    <s v="F:\images\20210309\plaque 1/@06 EE2 170.9/D6_02.tif "/>
    <s v=" 27037.3683 "/>
    <s v=" 74.6128 "/>
    <x v="0"/>
    <n v="2017334"/>
    <m/>
    <m/>
    <m/>
  </r>
  <r>
    <x v="6"/>
    <x v="3"/>
    <s v="F:\images\20210309\plaque 1/@06 EE2 170.9/D6_03.tif "/>
    <s v=" 37571.127 "/>
    <s v=" 78.928 "/>
    <x v="0"/>
    <n v="2965415"/>
    <m/>
    <m/>
    <m/>
  </r>
  <r>
    <x v="6"/>
    <x v="4"/>
    <s v="F:\images\20210309\plaque 1/@06 EE2 170.9/E6_01.tif "/>
    <s v=" 40274.8638 "/>
    <s v=" 71.3996 "/>
    <x v="0"/>
    <n v="2875608"/>
    <m/>
    <m/>
    <m/>
  </r>
  <r>
    <x v="6"/>
    <x v="4"/>
    <s v="F:\images\20210309\plaque 1/@06 EE2 170.9/E6_02.tif "/>
    <s v=" 32488.1017 "/>
    <s v=" 71.5206 "/>
    <x v="0"/>
    <n v="2323570"/>
    <m/>
    <m/>
    <m/>
  </r>
  <r>
    <x v="6"/>
    <x v="4"/>
    <s v="F:\images\20210309\plaque 1/@06 EE2 170.9/E6_03.tif "/>
    <s v=" 29676.2154 "/>
    <s v=" 72.7442 "/>
    <x v="0"/>
    <n v="2158772"/>
    <m/>
    <m/>
    <m/>
  </r>
  <r>
    <x v="6"/>
    <x v="5"/>
    <s v="F:\images\20210309\plaque 1/@06 EE2 170.9/F6_01.tif "/>
    <s v=" 48840.3021 "/>
    <s v=" 72.2972 "/>
    <x v="0"/>
    <n v="3531015"/>
    <m/>
    <m/>
    <m/>
  </r>
  <r>
    <x v="6"/>
    <x v="5"/>
    <s v="F:\images\20210309\plaque 1/@06 EE2 170.9/F6_02.tif "/>
    <s v=" 49294.5299 "/>
    <s v=" 72.4493 "/>
    <x v="0"/>
    <n v="3571355"/>
    <m/>
    <m/>
    <m/>
  </r>
  <r>
    <x v="6"/>
    <x v="5"/>
    <s v="F:\images\20210309\plaque 1/@06 EE2 170.9/F6_03.tif "/>
    <s v=" 39171.7392 "/>
    <s v=" 68.7101 "/>
    <x v="0"/>
    <n v="2691494"/>
    <m/>
    <m/>
    <m/>
  </r>
  <r>
    <x v="6"/>
    <x v="6"/>
    <s v="F:\images\20210309\plaque 1/@06 EE2 170.9/G6_01.tif "/>
    <s v=" 54312.6654 "/>
    <s v=" 73.9056 "/>
    <x v="0"/>
    <n v="4014011"/>
    <m/>
    <m/>
    <m/>
  </r>
  <r>
    <x v="6"/>
    <x v="6"/>
    <s v="F:\images\20210309\plaque 1/@06 EE2 170.9/G6_02.tif "/>
    <s v=" 56021.4271 "/>
    <s v=" 73.0815 "/>
    <x v="0"/>
    <n v="4094128"/>
    <m/>
    <m/>
    <m/>
  </r>
  <r>
    <x v="6"/>
    <x v="6"/>
    <s v="F:\images\20210309\plaque 1/@06 EE2 170.9/G6_03.tif "/>
    <s v=" 55199.4911 "/>
    <s v=" 74.6042 "/>
    <x v="0"/>
    <n v="4118116"/>
    <m/>
    <m/>
    <m/>
  </r>
  <r>
    <x v="6"/>
    <x v="7"/>
    <s v="F:\images\20210309\plaque 1/@06 EE2 170.9/H6_01.tif "/>
    <s v=" 40036.935 "/>
    <s v=" 70.617 "/>
    <x v="0"/>
    <n v="2827287"/>
    <m/>
    <m/>
    <m/>
  </r>
  <r>
    <x v="6"/>
    <x v="7"/>
    <s v="F:\images\20210309\plaque 1/@06 EE2 170.9/H6_02.tif "/>
    <s v=" 40685.8318 "/>
    <s v=" 70.11 "/>
    <x v="0"/>
    <n v="2852486"/>
    <m/>
    <m/>
    <m/>
  </r>
  <r>
    <x v="6"/>
    <x v="7"/>
    <s v="F:\images\20210309\plaque 1/@06 EE2 170.9/H6_03.tif "/>
    <s v=" 35819.1055 "/>
    <s v=" 69.5308 "/>
    <x v="0"/>
    <n v="2490531"/>
    <m/>
    <m/>
    <m/>
  </r>
  <r>
    <x v="1"/>
    <x v="8"/>
    <s v=" "/>
    <m/>
    <m/>
    <x v="1"/>
    <m/>
    <m/>
    <m/>
    <m/>
  </r>
  <r>
    <x v="1"/>
    <x v="8"/>
    <s v="group "/>
    <s v=" "/>
    <s v=" mean of mean fluo "/>
    <x v="2"/>
    <s v=" mean of total fluo "/>
    <s v=" SD total fluo "/>
    <s v=" n fluorescent "/>
    <s v=" n total"/>
  </r>
  <r>
    <x v="6"/>
    <x v="9"/>
    <s v="F:\images\20210309\plaque 1/@06 EE2 170.9/ "/>
    <s v=" "/>
    <s v=" 73.0069 "/>
    <x v="8"/>
    <s v=" 3069167.62 "/>
    <s v=" 889620.96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7"/>
    <x v="0"/>
    <s v="F:\images\20210309\plaque 1/@07 EE2 488/A7_01.tif "/>
    <s v=" 56129.5766 "/>
    <s v=" 96.5345 "/>
    <x v="0"/>
    <n v="5418440"/>
    <m/>
    <m/>
    <m/>
  </r>
  <r>
    <x v="7"/>
    <x v="0"/>
    <s v="F:\images\20210309\plaque 1/@07 EE2 488/A7_02.tif "/>
    <s v=" 51111.441 "/>
    <s v=" 99.0224 "/>
    <x v="0"/>
    <n v="5061179"/>
    <m/>
    <m/>
    <m/>
  </r>
  <r>
    <x v="7"/>
    <x v="0"/>
    <s v="F:\images\20210309\plaque 1/@07 EE2 488/A7_03.tif "/>
    <s v=" 42870.4512 "/>
    <s v=" 99.3032 "/>
    <x v="0"/>
    <n v="4257174"/>
    <m/>
    <m/>
    <m/>
  </r>
  <r>
    <x v="7"/>
    <x v="1"/>
    <s v="F:\images\20210309\plaque 1/@07 EE2 488/B7_01.tif "/>
    <s v=" 39301.5185 "/>
    <s v=" 72.65 "/>
    <x v="0"/>
    <n v="2855254"/>
    <m/>
    <m/>
    <m/>
  </r>
  <r>
    <x v="7"/>
    <x v="1"/>
    <s v="F:\images\20210309\plaque 1/@07 EE2 488/B7_02.tif "/>
    <s v=" 34478.052 "/>
    <s v=" 70.8714 "/>
    <x v="0"/>
    <n v="2443508"/>
    <m/>
    <m/>
    <m/>
  </r>
  <r>
    <x v="7"/>
    <x v="1"/>
    <s v="F:\images\20210309\plaque 1/@07 EE2 488/B7_03.tif "/>
    <s v=" 37722.5362 "/>
    <s v=" 70.7798 "/>
    <x v="0"/>
    <n v="2669994"/>
    <m/>
    <m/>
    <m/>
  </r>
  <r>
    <x v="7"/>
    <x v="2"/>
    <s v="F:\images\20210309\plaque 1/@07 EE2 488/C7_01.tif "/>
    <s v=" 24333.6315 "/>
    <s v=" 72.4276 "/>
    <x v="0"/>
    <n v="1762425"/>
    <m/>
    <m/>
    <m/>
  </r>
  <r>
    <x v="7"/>
    <x v="2"/>
    <s v="F:\images\20210309\plaque 1/@07 EE2 488/C7_02.tif "/>
    <s v=" 19618.3144 "/>
    <s v=" 72.2106 "/>
    <x v="0"/>
    <n v="1416650"/>
    <m/>
    <m/>
    <m/>
  </r>
  <r>
    <x v="7"/>
    <x v="2"/>
    <s v="F:\images\20210309\plaque 1/@07 EE2 488/C7_03.tif "/>
    <s v=" 16157.5313 "/>
    <s v=" 72.7697 "/>
    <x v="0"/>
    <n v="1175779"/>
    <m/>
    <m/>
    <m/>
  </r>
  <r>
    <x v="7"/>
    <x v="3"/>
    <s v="F:\images\20210309\plaque 1/@07 EE2 488/D7_01.tif "/>
    <s v=" 80030.6101 "/>
    <s v=" 96.1424 "/>
    <x v="0"/>
    <n v="7694338"/>
    <m/>
    <m/>
    <m/>
  </r>
  <r>
    <x v="7"/>
    <x v="3"/>
    <s v="F:\images\20210309\plaque 1/@07 EE2 488/D7_02.tif "/>
    <s v=" 79446.603 "/>
    <s v=" 93.3964 "/>
    <x v="0"/>
    <n v="7420027"/>
    <m/>
    <m/>
    <m/>
  </r>
  <r>
    <x v="7"/>
    <x v="3"/>
    <s v="F:\images\20210309\plaque 1/@07 EE2 488/D7_03.tif "/>
    <s v=" 74666.3963 "/>
    <s v=" 103.7648 "/>
    <x v="0"/>
    <n v="7747742"/>
    <m/>
    <m/>
    <m/>
  </r>
  <r>
    <x v="7"/>
    <x v="4"/>
    <s v="F:\images\20210309\plaque 1/@07 EE2 488/E7_01.tif "/>
    <s v=" 73065.7841 "/>
    <s v=" 84.5305 "/>
    <x v="0"/>
    <n v="6176287"/>
    <m/>
    <m/>
    <m/>
  </r>
  <r>
    <x v="7"/>
    <x v="4"/>
    <s v="F:\images\20210309\plaque 1/@07 EE2 488/E7_02.tif "/>
    <s v=" 74017.4994 "/>
    <s v=" 85.289 "/>
    <x v="0"/>
    <n v="6312879"/>
    <m/>
    <m/>
    <m/>
  </r>
  <r>
    <x v="7"/>
    <x v="4"/>
    <s v="F:\images\20210309\plaque 1/@07 EE2 488/E7_03.tif "/>
    <s v=" 73346.9727 "/>
    <s v=" 85.9531 "/>
    <x v="0"/>
    <n v="6304400"/>
    <m/>
    <m/>
    <m/>
  </r>
  <r>
    <x v="7"/>
    <x v="5"/>
    <s v="F:\images\20210309\plaque 1/@07 EE2 488/F7_01.tif "/>
    <s v=" 56648.694 "/>
    <s v=" 100.7087 "/>
    <x v="0"/>
    <n v="5705014"/>
    <m/>
    <m/>
    <m/>
  </r>
  <r>
    <x v="7"/>
    <x v="5"/>
    <s v="F:\images\20210309\plaque 1/@07 EE2 488/F7_02.tif "/>
    <s v=" 55264.3808 "/>
    <s v=" 103.7722 "/>
    <x v="0"/>
    <n v="5734907"/>
    <m/>
    <m/>
    <m/>
  </r>
  <r>
    <x v="7"/>
    <x v="5"/>
    <s v="F:\images\20210309\plaque 1/@07 EE2 488/F7_03.tif "/>
    <s v=" 67442.0115 "/>
    <s v=" 88.152 "/>
    <x v="0"/>
    <n v="5945150"/>
    <m/>
    <m/>
    <m/>
  </r>
  <r>
    <x v="7"/>
    <x v="6"/>
    <s v="F:\images\20210309\plaque 1/@07 EE2 488/G7_01.tif "/>
    <s v=" 35602.8066 "/>
    <s v=" 86.8834 "/>
    <x v="0"/>
    <n v="3093291"/>
    <m/>
    <m/>
    <m/>
  </r>
  <r>
    <x v="7"/>
    <x v="6"/>
    <s v="F:\images\20210309\plaque 1/@07 EE2 488/G7_02.tif "/>
    <s v=" 32250.1729 "/>
    <s v=" 87.4883 "/>
    <x v="0"/>
    <n v="2821512"/>
    <m/>
    <m/>
    <m/>
  </r>
  <r>
    <x v="7"/>
    <x v="6"/>
    <s v="F:\images\20210309\plaque 1/@07 EE2 488/G7_03.tif "/>
    <s v=" 34369.9026 "/>
    <s v=" 90.2284 "/>
    <x v="0"/>
    <n v="3101143"/>
    <m/>
    <m/>
    <m/>
  </r>
  <r>
    <x v="7"/>
    <x v="7"/>
    <s v="F:\images\20210309\plaque 1/@07 EE2 488/H7_01.tif "/>
    <s v=" 86130.2404 "/>
    <s v=" 80.5716 "/>
    <x v="0"/>
    <n v="6939649"/>
    <m/>
    <m/>
    <m/>
  </r>
  <r>
    <x v="7"/>
    <x v="7"/>
    <s v="F:\images\20210309\plaque 1/@07 EE2 488/H7_02.tif "/>
    <s v=" 83556.283 "/>
    <s v=" 89.0828 "/>
    <x v="0"/>
    <n v="7443431"/>
    <m/>
    <m/>
    <m/>
  </r>
  <r>
    <x v="7"/>
    <x v="7"/>
    <s v="F:\images\20210309\plaque 1/@07 EE2 488/H7_03.tif "/>
    <s v=" 75142.2539 "/>
    <s v=" 91.0469 "/>
    <x v="0"/>
    <n v="6841471"/>
    <m/>
    <m/>
    <m/>
  </r>
  <r>
    <x v="1"/>
    <x v="8"/>
    <s v=" "/>
    <m/>
    <m/>
    <x v="1"/>
    <m/>
    <m/>
    <m/>
    <m/>
  </r>
  <r>
    <x v="1"/>
    <x v="8"/>
    <s v="group "/>
    <s v=" "/>
    <s v=" mean of mean fluo "/>
    <x v="2"/>
    <s v=" mean of total fluo "/>
    <s v=" SD total fluo "/>
    <s v=" n fluorescent "/>
    <s v=" n total"/>
  </r>
  <r>
    <x v="7"/>
    <x v="9"/>
    <s v="F:\images\20210309\plaque 1/@07 EE2 488/ "/>
    <s v=" "/>
    <s v=" 87.2325 "/>
    <x v="9"/>
    <s v=" 4847568.5 "/>
    <s v=" 2158908.1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8"/>
    <x v="0"/>
    <s v="F:\images\20210309\plaque 1/@08 Testosterone 3.7 µg_L/A8_01.tif "/>
    <s v=" 3504.0429 "/>
    <s v=" 64.1667 "/>
    <x v="0"/>
    <n v="224843"/>
    <m/>
    <m/>
    <m/>
  </r>
  <r>
    <x v="8"/>
    <x v="0"/>
    <s v="F:\images\20210309\plaque 1/@08 Testosterone 3.7 µg_L/A8_02.tif "/>
    <s v=" 6532.2282 "/>
    <s v=" 70.7318 "/>
    <x v="0"/>
    <n v="462036"/>
    <m/>
    <m/>
    <m/>
  </r>
  <r>
    <x v="8"/>
    <x v="0"/>
    <s v="F:\images\20210309\plaque 1/@08 Testosterone 3.7 µg_L/A8_03.tif "/>
    <s v=" 648.8968 "/>
    <s v=" 62.6333 "/>
    <x v="0"/>
    <n v="40643"/>
    <m/>
    <m/>
    <m/>
  </r>
  <r>
    <x v="8"/>
    <x v="1"/>
    <s v="F:\images\20210309\plaque 1/@08 Testosterone 3.7 µg_L/B8_01.tif "/>
    <s v=" 5602.1427 "/>
    <s v=" 74.1583 "/>
    <x v="0"/>
    <n v="415445"/>
    <m/>
    <m/>
    <m/>
  </r>
  <r>
    <x v="8"/>
    <x v="1"/>
    <s v="F:\images\20210309\plaque 1/@08 Testosterone 3.7 µg_L/B8_02.tif "/>
    <s v=" 4780.2067 "/>
    <s v=" 73.5747 "/>
    <x v="0"/>
    <n v="351702"/>
    <m/>
    <m/>
    <m/>
  </r>
  <r>
    <x v="8"/>
    <x v="1"/>
    <s v="F:\images\20210309\plaque 1/@08 Testosterone 3.7 µg_L/B8_03.tif "/>
    <s v=" 1968.3204 "/>
    <s v=" 65.4615 "/>
    <x v="0"/>
    <n v="128849"/>
    <m/>
    <m/>
    <m/>
  </r>
  <r>
    <x v="8"/>
    <x v="2"/>
    <s v="F:\images\20210309\plaque 1/@08 Testosterone 3.7 µg_L/C8_01.tif "/>
    <s v=" 194.6691 "/>
    <s v=" 62.5556 "/>
    <x v="0"/>
    <n v="12178"/>
    <m/>
    <m/>
    <m/>
  </r>
  <r>
    <x v="8"/>
    <x v="2"/>
    <s v="F:\images\20210309\plaque 1/@08 Testosterone 3.7 µg_L/C8_02.tif "/>
    <s v=" 216.2989 "/>
    <s v=" 62.2 "/>
    <x v="0"/>
    <n v="13454"/>
    <m/>
    <m/>
    <m/>
  </r>
  <r>
    <x v="8"/>
    <x v="2"/>
    <s v="F:\images\20210309\plaque 1/@08 Testosterone 3.7 µg_L/C8_03.tif "/>
    <s v=" 1276.1638 "/>
    <s v=" 63.7288 "/>
    <x v="0"/>
    <n v="81328"/>
    <m/>
    <m/>
    <m/>
  </r>
  <r>
    <x v="8"/>
    <x v="3"/>
    <s v="F:\images\20210309\plaque 1/@08 Testosterone 3.7 µg_L/D8_01.tif "/>
    <s v=" 5061.3953 "/>
    <s v=" 70.2265 "/>
    <x v="0"/>
    <n v="355444"/>
    <m/>
    <m/>
    <m/>
  </r>
  <r>
    <x v="8"/>
    <x v="3"/>
    <s v="F:\images\20210309\plaque 1/@08 Testosterone 3.7 µg_L/D8_02.tif "/>
    <s v=" 3093.0749 "/>
    <s v=" 70.6084 "/>
    <x v="0"/>
    <n v="218397"/>
    <m/>
    <m/>
    <m/>
  </r>
  <r>
    <x v="8"/>
    <x v="3"/>
    <s v="F:\images\20210309\plaque 1/@08 Testosterone 3.7 µg_L/D8_03.tif "/>
    <s v=" 908.4556 "/>
    <s v=" 64.881 "/>
    <x v="0"/>
    <n v="58941"/>
    <m/>
    <m/>
    <m/>
  </r>
  <r>
    <x v="8"/>
    <x v="4"/>
    <s v="F:\images\20210309\plaque 1/@08 Testosterone 3.7 µg_L/E8_01.tif "/>
    <s v=" 432.5979 "/>
    <s v=" 61.85 "/>
    <x v="0"/>
    <n v="26756"/>
    <m/>
    <m/>
    <m/>
  </r>
  <r>
    <x v="8"/>
    <x v="4"/>
    <s v="F:\images\20210309\plaque 1/@08 Testosterone 3.7 µg_L/E8_02.tif "/>
    <s v=" 302.8185 "/>
    <s v=" 63.0714 "/>
    <x v="0"/>
    <n v="19099"/>
    <m/>
    <m/>
    <m/>
  </r>
  <r>
    <x v="8"/>
    <x v="4"/>
    <s v="F:\images\20210309\plaque 1/@08 Testosterone 3.7 µg_L/E8_03.tif "/>
    <s v=" 346.0783 "/>
    <s v=" 62.875 "/>
    <x v="0"/>
    <n v="21760"/>
    <m/>
    <m/>
    <m/>
  </r>
  <r>
    <x v="8"/>
    <x v="5"/>
    <s v="F:\images\20210309\plaque 1/@08 Testosterone 3.7 µg_L/F8_01.tif "/>
    <s v=" 4563.9078 "/>
    <s v=" 65.5118 "/>
    <x v="0"/>
    <n v="298990"/>
    <m/>
    <m/>
    <m/>
  </r>
  <r>
    <x v="8"/>
    <x v="5"/>
    <s v="F:\images\20210309\plaque 1/@08 Testosterone 3.7 µg_L/F8_02.tif "/>
    <s v=" 6207.7798 "/>
    <s v=" 74.0418 "/>
    <x v="0"/>
    <n v="459635"/>
    <m/>
    <m/>
    <m/>
  </r>
  <r>
    <x v="8"/>
    <x v="5"/>
    <s v="F:\images\20210309\plaque 1/@08 Testosterone 3.7 µg_L/F8_03.tif "/>
    <s v=" 5710.2922 "/>
    <s v=" 69.3902 "/>
    <x v="0"/>
    <n v="396238"/>
    <m/>
    <m/>
    <m/>
  </r>
  <r>
    <x v="8"/>
    <x v="6"/>
    <s v="F:\images\20210309\plaque 1/@08 Testosterone 3.7 µg_L/G8_01.tif "/>
    <s v=" 8003.061 "/>
    <s v=" 74.5027 "/>
    <x v="0"/>
    <n v="596250"/>
    <m/>
    <m/>
    <m/>
  </r>
  <r>
    <x v="8"/>
    <x v="6"/>
    <s v="F:\images\20210309\plaque 1/@08 Testosterone 3.7 µg_L/G8_02.tif "/>
    <s v=" 5580.5128 "/>
    <s v=" 70.4612 "/>
    <x v="0"/>
    <n v="393210"/>
    <m/>
    <m/>
    <m/>
  </r>
  <r>
    <x v="8"/>
    <x v="6"/>
    <s v="F:\images\20210309\plaque 1/@08 Testosterone 3.7 µg_L/G8_03.tif "/>
    <s v=" 6445.7086 "/>
    <s v=" 72.9094 "/>
    <x v="0"/>
    <n v="469953"/>
    <m/>
    <m/>
    <m/>
  </r>
  <r>
    <x v="8"/>
    <x v="7"/>
    <s v="F:\images\20210309\plaque 1/@08 Testosterone 3.7 µg_L/H8_01.tif "/>
    <s v=" 237.9288 "/>
    <s v=" 62.5455 "/>
    <x v="0"/>
    <n v="14881"/>
    <m/>
    <m/>
    <m/>
  </r>
  <r>
    <x v="8"/>
    <x v="7"/>
    <s v="F:\images\20210309\plaque 1/@08 Testosterone 3.7 µg_L/H8_02.tif "/>
    <s v=" 151.4093 "/>
    <s v=" 65.4286 "/>
    <x v="0"/>
    <n v="9906"/>
    <m/>
    <m/>
    <m/>
  </r>
  <r>
    <x v="8"/>
    <x v="7"/>
    <s v="F:\images\20210309\plaque 1/@08 Testosterone 3.7 µg_L/H8_03.tif "/>
    <s v=" 2552.3276 "/>
    <s v=" 67.0424 "/>
    <x v="0"/>
    <n v="171114"/>
    <m/>
    <m/>
    <m/>
  </r>
  <r>
    <x v="1"/>
    <x v="8"/>
    <s v=" "/>
    <m/>
    <m/>
    <x v="1"/>
    <m/>
    <m/>
    <m/>
    <m/>
  </r>
  <r>
    <x v="1"/>
    <x v="8"/>
    <s v="group "/>
    <s v=" "/>
    <s v=" mean of mean fluo "/>
    <x v="2"/>
    <s v=" mean of total fluo "/>
    <s v=" SD total fluo "/>
    <s v=" n fluorescent "/>
    <s v=" n total"/>
  </r>
  <r>
    <x v="8"/>
    <x v="9"/>
    <s v="F:\images\20210309\plaque 1/@08 Testosterone 3.7 µg_L/ "/>
    <s v=" "/>
    <s v=" 67.2732 "/>
    <x v="10"/>
    <s v=" 218377.167 "/>
    <s v=" 190913.73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9"/>
    <x v="0"/>
    <s v="F:\images\20210309\plaque 1/@09  Testosterone 11 µg_L/A9_01- exclu.tif"/>
    <m/>
    <m/>
    <x v="1"/>
    <m/>
    <m/>
    <m/>
    <m/>
  </r>
  <r>
    <x v="9"/>
    <x v="0"/>
    <s v="F:\images\20210309\plaque 1/@09  Testosterone 11 µg_L/A9_02- exclu.tif"/>
    <m/>
    <m/>
    <x v="1"/>
    <m/>
    <m/>
    <m/>
    <m/>
  </r>
  <r>
    <x v="9"/>
    <x v="0"/>
    <s v="F:\images\20210309\plaque 1/@09  Testosterone 11 µg_L/A9_03- exclu.tif"/>
    <m/>
    <m/>
    <x v="1"/>
    <m/>
    <m/>
    <m/>
    <m/>
  </r>
  <r>
    <x v="9"/>
    <x v="1"/>
    <s v="F:\images\20210309\plaque 1/@09  Testosterone 11 µg_L/B9_01.tif "/>
    <s v=" 648.8968 "/>
    <s v=" 62.6333 "/>
    <x v="0"/>
    <n v="40643"/>
    <m/>
    <m/>
    <m/>
  </r>
  <r>
    <x v="9"/>
    <x v="1"/>
    <s v="F:\images\20210309\plaque 1/@09  Testosterone 11 µg_L/B9_02.tif "/>
    <s v=" 519.1175 "/>
    <s v=" 62.9583 "/>
    <x v="0"/>
    <n v="32683"/>
    <m/>
    <m/>
    <m/>
  </r>
  <r>
    <x v="9"/>
    <x v="1"/>
    <s v="F:\images\20210309\plaque 1/@09  Testosterone 11 µg_L/B9_03.tif "/>
    <s v=" 1708.7617 "/>
    <s v=" 63.9367 "/>
    <x v="0"/>
    <n v="109253"/>
    <m/>
    <m/>
    <m/>
  </r>
  <r>
    <x v="9"/>
    <x v="2"/>
    <s v="F:\images\20210309\plaque 1/@09  Testosterone 11 µg_L/C9_01.tif "/>
    <s v=" 7548.8332 "/>
    <s v=" 74.3381 "/>
    <x v="0"/>
    <n v="561166"/>
    <m/>
    <m/>
    <m/>
  </r>
  <r>
    <x v="9"/>
    <x v="2"/>
    <s v="F:\images\20210309\plaque 1/@09  Testosterone 11 µg_L/C9_02.tif "/>
    <s v=" 324.4484 "/>
    <s v=" 63.4667 "/>
    <x v="0"/>
    <n v="20592"/>
    <m/>
    <m/>
    <m/>
  </r>
  <r>
    <x v="9"/>
    <x v="2"/>
    <s v="F:\images\20210309\plaque 1/@09  Testosterone 11 µg_L/C9_03.tif "/>
    <s v=" 6943.1962 "/>
    <s v=" 72.8318 "/>
    <x v="0"/>
    <n v="505685"/>
    <m/>
    <m/>
    <m/>
  </r>
  <r>
    <x v="9"/>
    <x v="3"/>
    <s v="F:\images\20210309\plaque 1/@09  Testosterone 11 µg_L/D9_01.tif "/>
    <s v=" 10987.9865 "/>
    <s v=" 66.9567 "/>
    <x v="0"/>
    <n v="735719"/>
    <m/>
    <m/>
    <m/>
  </r>
  <r>
    <x v="9"/>
    <x v="3"/>
    <s v="F:\images\20210309\plaque 1/@09  Testosterone 11 µg_L/D9_02.tif "/>
    <s v=" 5602.1427 "/>
    <s v=" 65.9382 "/>
    <x v="0"/>
    <n v="369395"/>
    <m/>
    <m/>
    <m/>
  </r>
  <r>
    <x v="9"/>
    <x v="3"/>
    <s v="F:\images\20210309\plaque 1/@09  Testosterone 11 µg_L/D9_03.tif "/>
    <s v=" 10079.5309 "/>
    <s v=" 70.0901 "/>
    <x v="0"/>
    <n v="706476"/>
    <m/>
    <m/>
    <m/>
  </r>
  <r>
    <x v="9"/>
    <x v="4"/>
    <s v="F:\images\20210309\plaque 1/@09  Testosterone 11 µg_L/E9_01.tif "/>
    <s v=" 6878.3065 "/>
    <s v=" 69.5063 "/>
    <x v="0"/>
    <n v="478086"/>
    <m/>
    <m/>
    <m/>
  </r>
  <r>
    <x v="9"/>
    <x v="4"/>
    <s v="F:\images\20210309\plaque 1/@09  Testosterone 11 µg_L/E9_02.tif "/>
    <s v=" 432.5979 "/>
    <s v=" 62.45 "/>
    <x v="0"/>
    <n v="27016"/>
    <m/>
    <m/>
    <m/>
  </r>
  <r>
    <x v="9"/>
    <x v="4"/>
    <s v="F:\images\20210309\plaque 1/@09  Testosterone 11 µg_L/E9_03.tif "/>
    <s v=" 519.1175 "/>
    <n v="63"/>
    <x v="0"/>
    <n v="32704"/>
    <m/>
    <m/>
    <m/>
  </r>
  <r>
    <x v="9"/>
    <x v="5"/>
    <s v="F:\images\20210309\plaque 1/@09  Testosterone 11 µg_L/F9_01.tif "/>
    <s v=" 259.5587 "/>
    <s v=" 63.9167 "/>
    <x v="0"/>
    <n v="16590"/>
    <m/>
    <m/>
    <m/>
  </r>
  <r>
    <x v="9"/>
    <x v="5"/>
    <s v="F:\images\20210309\plaque 1/@09  Testosterone 11 µg_L/F9_02.tif "/>
    <s v=" 151.4093 "/>
    <s v=" 62.7143 "/>
    <x v="0"/>
    <n v="9496"/>
    <m/>
    <m/>
    <m/>
  </r>
  <r>
    <x v="9"/>
    <x v="5"/>
    <s v="F:\images\20210309\plaque 1/@09  Testosterone 11 µg_L/F9_03.tif "/>
    <s v=" 194.6691 "/>
    <s v=" 61.6667 "/>
    <x v="0"/>
    <n v="12005"/>
    <m/>
    <m/>
    <m/>
  </r>
  <r>
    <x v="9"/>
    <x v="6"/>
    <s v="F:\images\20210309\plaque 1/@09  Testosterone 11 µg_L/G9_01- exclu.tif"/>
    <m/>
    <m/>
    <x v="1"/>
    <m/>
    <m/>
    <m/>
    <m/>
  </r>
  <r>
    <x v="9"/>
    <x v="6"/>
    <s v="F:\images\20210309\plaque 1/@09  Testosterone 11 µg_L/G9_02- exclu.tif"/>
    <m/>
    <m/>
    <x v="1"/>
    <m/>
    <m/>
    <m/>
    <m/>
  </r>
  <r>
    <x v="9"/>
    <x v="6"/>
    <s v="F:\images\20210309\plaque 1/@09  Testosterone 11 µg_L/G9_03.tif "/>
    <s v=" 216.2989 "/>
    <n v="63"/>
    <x v="0"/>
    <n v="13627"/>
    <m/>
    <m/>
    <m/>
  </r>
  <r>
    <x v="9"/>
    <x v="7"/>
    <s v="F:\images\20210309\plaque 1/@09  Testosterone 11 µg_L/H9_01.tif "/>
    <s v=" 173.0392 "/>
    <n v="62"/>
    <x v="0"/>
    <n v="10728"/>
    <m/>
    <m/>
    <m/>
  </r>
  <r>
    <x v="9"/>
    <x v="7"/>
    <s v="F:\images\20210309\plaque 1/@09  Testosterone 11 µg_L/H9_02.tif "/>
    <s v=" 346.0783 "/>
    <s v=" 62.9375 "/>
    <x v="0"/>
    <n v="21781"/>
    <m/>
    <m/>
    <m/>
  </r>
  <r>
    <x v="9"/>
    <x v="7"/>
    <s v="F:\images\20210309\plaque 1/@09  Testosterone 11 µg_L/H9_03.tif "/>
    <s v=" 389.3381 "/>
    <s v=" 64.4444 "/>
    <x v="0"/>
    <n v="25091"/>
    <m/>
    <m/>
    <m/>
  </r>
  <r>
    <x v="1"/>
    <x v="8"/>
    <s v=" "/>
    <m/>
    <m/>
    <x v="1"/>
    <m/>
    <m/>
    <m/>
    <m/>
  </r>
  <r>
    <x v="1"/>
    <x v="8"/>
    <s v="group "/>
    <s v=" "/>
    <s v=" mean of mean fluo "/>
    <x v="2"/>
    <s v=" mean of total fluo "/>
    <s v=" SD total fluo "/>
    <s v=" n fluorescent "/>
    <s v=" n total"/>
  </r>
  <r>
    <x v="9"/>
    <x v="9"/>
    <s v="F:\images\20210309\plaque 1/@09  Testosterone 11 µg_L/ "/>
    <s v=" "/>
    <s v=" 67.5767 "/>
    <x v="11"/>
    <s v=" 320583.958 "/>
    <s v=" 382218.51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0"/>
    <x v="0"/>
    <s v="F:\images\20210309\plaque 1/@10  Testosterone 33 µg_L/A10_01.tif "/>
    <s v=" 42805.5615 "/>
    <s v=" 71.5326 "/>
    <x v="0"/>
    <n v="3061993"/>
    <m/>
    <m/>
    <m/>
  </r>
  <r>
    <x v="10"/>
    <x v="0"/>
    <s v="F:\images\20210309\plaque 1/@10  Testosterone 33 µg_L/A10_02.tif "/>
    <s v=" 36165.1838 "/>
    <s v=" 68.4354 "/>
    <x v="0"/>
    <n v="2474979"/>
    <m/>
    <m/>
    <m/>
  </r>
  <r>
    <x v="10"/>
    <x v="0"/>
    <s v="F:\images\20210309\plaque 1/@10  Testosterone 33 µg_L/A10_03.tif "/>
    <s v=" 38804.031 "/>
    <s v=" 68.7358 "/>
    <x v="0"/>
    <n v="2667226"/>
    <m/>
    <m/>
    <m/>
  </r>
  <r>
    <x v="10"/>
    <x v="1"/>
    <s v="F:\images\20210309\plaque 1/@10  Testosterone 33 µg_L/B10_01.tif "/>
    <s v=" 43238.1594 "/>
    <s v=" 72.1971 "/>
    <x v="0"/>
    <n v="3121670"/>
    <m/>
    <m/>
    <m/>
  </r>
  <r>
    <x v="10"/>
    <x v="1"/>
    <s v="F:\images\20210309\plaque 1/@10  Testosterone 33 µg_L/B10_02.tif "/>
    <s v=" 40512.7926 "/>
    <s v=" 73.1361 "/>
    <x v="0"/>
    <n v="2962949"/>
    <m/>
    <m/>
    <m/>
  </r>
  <r>
    <x v="10"/>
    <x v="1"/>
    <s v="F:\images\20210309\plaque 1/@10  Testosterone 33 µg_L/B10_03.tif "/>
    <s v=" 38501.2124 "/>
    <s v=" 73.1871 "/>
    <x v="0"/>
    <n v="2817791"/>
    <m/>
    <m/>
    <m/>
  </r>
  <r>
    <x v="10"/>
    <x v="2"/>
    <s v="F:\images\20210309\plaque 1/@10  Testosterone 33 µg_L/C10_01.tif "/>
    <s v=" 34067.084 "/>
    <s v=" 75.779 "/>
    <x v="0"/>
    <n v="2581571"/>
    <m/>
    <m/>
    <m/>
  </r>
  <r>
    <x v="10"/>
    <x v="2"/>
    <s v="F:\images\20210309\plaque 1/@10  Testosterone 33 µg_L/C10_02.tif "/>
    <s v=" 40318.1236 "/>
    <s v=" 74.9914 "/>
    <x v="0"/>
    <n v="3023513"/>
    <m/>
    <m/>
    <m/>
  </r>
  <r>
    <x v="10"/>
    <x v="2"/>
    <s v="F:\images\20210309\plaque 1/@10  Testosterone 33 µg_L/C10_03.tif "/>
    <s v=" 42632.5223 "/>
    <s v=" 77.2248 "/>
    <x v="0"/>
    <n v="3292286"/>
    <m/>
    <m/>
    <m/>
  </r>
  <r>
    <x v="10"/>
    <x v="3"/>
    <s v="F:\images\20210309\plaque 1/@10  Testosterone 33 µg_L/D10_01.tif "/>
    <s v=" 26345.2117 "/>
    <s v=" 68.6034 "/>
    <x v="0"/>
    <n v="1807372"/>
    <m/>
    <m/>
    <m/>
  </r>
  <r>
    <x v="10"/>
    <x v="3"/>
    <s v="F:\images\20210309\plaque 1/@10  Testosterone 33 µg_L/D10_02.tif "/>
    <s v=" 20288.8412 "/>
    <s v=" 67.467 "/>
    <x v="0"/>
    <n v="1368826"/>
    <m/>
    <m/>
    <m/>
  </r>
  <r>
    <x v="10"/>
    <x v="3"/>
    <s v="F:\images\20210309\plaque 1/@10  Testosterone 33 µg_L/D10_03.tif "/>
    <s v=" 25999.1333 "/>
    <s v=" 66.9601 "/>
    <x v="0"/>
    <n v="1740904"/>
    <m/>
    <m/>
    <m/>
  </r>
  <r>
    <x v="10"/>
    <x v="4"/>
    <s v="F:\images\20210309\plaque 1/@10  Testosterone 33 µg_L/E10_01.tif "/>
    <s v=" 35148.5788 "/>
    <s v=" 72.4972 "/>
    <x v="0"/>
    <n v="2548175"/>
    <m/>
    <m/>
    <m/>
  </r>
  <r>
    <x v="10"/>
    <x v="4"/>
    <s v="F:\images\20210309\plaque 1/@10  Testosterone 33 µg_L/E10_02.tif "/>
    <s v=" 39820.636 "/>
    <s v=" 73.1027 "/>
    <x v="0"/>
    <n v="2910994"/>
    <m/>
    <m/>
    <m/>
  </r>
  <r>
    <x v="10"/>
    <x v="4"/>
    <s v="F:\images\20210309\plaque 1/@10  Testosterone 33 µg_L/E10_03.tif "/>
    <s v=" 36468.0023 "/>
    <s v=" 71.1554 "/>
    <x v="0"/>
    <n v="2594895"/>
    <m/>
    <m/>
    <m/>
  </r>
  <r>
    <x v="10"/>
    <x v="5"/>
    <s v="F:\images\20210309\plaque 1/@10  Testosterone 33 µg_L/F10_01.tif "/>
    <s v=" 27924.194 "/>
    <s v=" 68.4919 "/>
    <x v="0"/>
    <n v="1912580"/>
    <m/>
    <m/>
    <m/>
  </r>
  <r>
    <x v="10"/>
    <x v="5"/>
    <s v="F:\images\20210309\plaque 1/@10  Testosterone 33 µg_L/F10_02.tif "/>
    <s v=" 25371.8664 "/>
    <s v=" 69.4885 "/>
    <x v="0"/>
    <n v="1763053"/>
    <m/>
    <m/>
    <m/>
  </r>
  <r>
    <x v="10"/>
    <x v="5"/>
    <s v="F:\images\20210309\plaque 1/@10  Testosterone 33 µg_L/F10_03.tif "/>
    <s v=" 26972.4786 "/>
    <s v=" 71.3504 "/>
    <x v="0"/>
    <n v="1924498"/>
    <m/>
    <m/>
    <m/>
  </r>
  <r>
    <x v="10"/>
    <x v="6"/>
    <s v="F:\images\20210309\plaque 1/@10  Testosterone 33 µg_L/G10_01.tif "/>
    <s v=" 24203.8521 "/>
    <s v=" 70.0045 "/>
    <x v="0"/>
    <n v="1694378"/>
    <m/>
    <m/>
    <m/>
  </r>
  <r>
    <x v="10"/>
    <x v="6"/>
    <s v="F:\images\20210309\plaque 1/@10  Testosterone 33 µg_L/G10_02.tif "/>
    <s v=" 15530.2643 "/>
    <s v=" 67.7897 "/>
    <x v="0"/>
    <n v="1052792"/>
    <m/>
    <m/>
    <m/>
  </r>
  <r>
    <x v="10"/>
    <x v="6"/>
    <s v="F:\images\20210309\plaque 1/@10  Testosterone 33 µg_L/G10_03.tif "/>
    <s v=" 19077.5671 "/>
    <s v=" 67.1905 "/>
    <x v="0"/>
    <n v="1281831"/>
    <m/>
    <m/>
    <m/>
  </r>
  <r>
    <x v="10"/>
    <x v="7"/>
    <s v="F:\images\20210309\plaque 1/@10  Testosterone 33 µg_L/H10_01.tif "/>
    <s v=" 16741.5384 "/>
    <s v=" 70.9251 "/>
    <x v="0"/>
    <n v="1187395"/>
    <m/>
    <m/>
    <m/>
  </r>
  <r>
    <x v="10"/>
    <x v="7"/>
    <s v="F:\images\20210309\plaque 1/@10  Testosterone 33 µg_L/H10_02.tif "/>
    <s v=" 9711.8227 "/>
    <s v=" 71.167 "/>
    <x v="0"/>
    <n v="691162"/>
    <m/>
    <m/>
    <m/>
  </r>
  <r>
    <x v="10"/>
    <x v="7"/>
    <s v="F:\images\20210309\plaque 1/@10  Testosterone 33 µg_L/H10_03.tif "/>
    <s v=" 1492.4627 "/>
    <s v=" 63.5507 "/>
    <x v="0"/>
    <n v="94847"/>
    <m/>
    <m/>
    <m/>
  </r>
  <r>
    <x v="1"/>
    <x v="8"/>
    <s v=" "/>
    <m/>
    <m/>
    <x v="1"/>
    <m/>
    <m/>
    <m/>
    <m/>
  </r>
  <r>
    <x v="1"/>
    <x v="8"/>
    <s v="group "/>
    <s v=" "/>
    <s v=" mean of mean fluo "/>
    <x v="2"/>
    <s v=" mean of total fluo "/>
    <s v=" SD total fluo "/>
    <s v=" n fluorescent "/>
    <s v=" n total"/>
  </r>
  <r>
    <x v="10"/>
    <x v="9"/>
    <s v="F:\images\20210309\plaque 1/@10  Testosterone 33 µg_L/ "/>
    <s v=" "/>
    <s v=" 70.6235 "/>
    <x v="12"/>
    <s v=" 2107403.33 "/>
    <s v=" 859665.06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1"/>
    <x v="0"/>
    <s v="F:\images\20210309\plaque 1/@11  Testosterone 100 µg_L/A11_01.tif "/>
    <s v=" 9603.6732 "/>
    <s v=" 65.8671 "/>
    <x v="0"/>
    <n v="632566"/>
    <m/>
    <m/>
    <m/>
  </r>
  <r>
    <x v="11"/>
    <x v="0"/>
    <s v="F:\images\20210309\plaque 1/@11  Testosterone 100 µg_L/A11_02.tif "/>
    <s v=" 4823.4665 "/>
    <s v=" 67.5247 "/>
    <x v="0"/>
    <n v="325703"/>
    <m/>
    <m/>
    <m/>
  </r>
  <r>
    <x v="11"/>
    <x v="0"/>
    <s v="F:\images\20210309\plaque 1/@11  Testosterone 100 µg_L/A11_03.tif "/>
    <s v=" 4542.2779 "/>
    <s v=" 65.7095 "/>
    <x v="0"/>
    <n v="298471"/>
    <m/>
    <m/>
    <m/>
  </r>
  <r>
    <x v="11"/>
    <x v="1"/>
    <s v="F:\images\20210309\plaque 1/@11  Testosterone 100 µg_L/B11_01.tif "/>
    <s v=" 52106.4162 "/>
    <s v=" 70.7758 "/>
    <x v="0"/>
    <n v="3687875"/>
    <m/>
    <m/>
    <m/>
  </r>
  <r>
    <x v="11"/>
    <x v="1"/>
    <s v="F:\images\20210309\plaque 1/@11  Testosterone 100 µg_L/B11_02.tif "/>
    <s v=" 50116.4659 "/>
    <s v=" 72.1752 "/>
    <x v="0"/>
    <n v="3617167"/>
    <m/>
    <m/>
    <m/>
  </r>
  <r>
    <x v="11"/>
    <x v="1"/>
    <s v="F:\images\20210309\plaque 1/@11  Testosterone 100 µg_L/B11_03.tif "/>
    <s v=" 52365.9749 "/>
    <s v=" 75.3218 "/>
    <x v="0"/>
    <n v="3944298"/>
    <m/>
    <m/>
    <m/>
  </r>
  <r>
    <x v="11"/>
    <x v="2"/>
    <s v="F:\images\20210309\plaque 1/@11  Testosterone 100 µg_L/C11_01.tif "/>
    <s v=" 44882.0314 "/>
    <s v=" 70.6395 "/>
    <x v="0"/>
    <n v="3170445"/>
    <m/>
    <m/>
    <m/>
  </r>
  <r>
    <x v="11"/>
    <x v="2"/>
    <s v="F:\images\20210309\plaque 1/@11  Testosterone 100 µg_L/C11_02.tif "/>
    <s v=" 43086.7501 "/>
    <s v=" 72.4468 "/>
    <x v="0"/>
    <n v="3121497"/>
    <m/>
    <m/>
    <m/>
  </r>
  <r>
    <x v="11"/>
    <x v="2"/>
    <s v="F:\images\20210309\plaque 1/@11  Testosterone 100 µg_L/C11_03.tif "/>
    <s v=" 42935.3408 "/>
    <s v=" 71.8227 "/>
    <x v="0"/>
    <n v="3083731"/>
    <m/>
    <m/>
    <m/>
  </r>
  <r>
    <x v="11"/>
    <x v="3"/>
    <s v="F:\images\20210309\plaque 1/@11  Testosterone 100 µg_L/D11_01.tif "/>
    <s v=" 2076.4699 "/>
    <s v=" 63.3542 "/>
    <x v="0"/>
    <n v="131553"/>
    <m/>
    <m/>
    <m/>
  </r>
  <r>
    <x v="11"/>
    <x v="3"/>
    <s v="F:\images\20210309\plaque 1/@11  Testosterone 100 µg_L/D11_02.tif "/>
    <s v=" 2357.6585 "/>
    <s v=" 63.7339 "/>
    <x v="0"/>
    <n v="150263"/>
    <m/>
    <m/>
    <m/>
  </r>
  <r>
    <x v="11"/>
    <x v="3"/>
    <s v="F:\images\20210309\plaque 1/@11  Testosterone 100 µg_L/D11_03.tif "/>
    <s v=" 886.8257 "/>
    <s v=" 62.9268 "/>
    <x v="0"/>
    <n v="55805"/>
    <m/>
    <m/>
    <m/>
  </r>
  <r>
    <x v="11"/>
    <x v="4"/>
    <s v="F:\images\20210309\plaque 1/@11  Testosterone 100 µg_L/E11_01.tif "/>
    <s v=" 9625.3031 "/>
    <s v=" 65.7303 "/>
    <x v="0"/>
    <n v="632674"/>
    <m/>
    <m/>
    <m/>
  </r>
  <r>
    <x v="11"/>
    <x v="4"/>
    <s v="F:\images\20210309\plaque 1/@11  Testosterone 100 µg_L/E11_02.tif "/>
    <s v=" 14448.7696 "/>
    <s v=" 66.8743 "/>
    <x v="0"/>
    <n v="966251"/>
    <m/>
    <m/>
    <m/>
  </r>
  <r>
    <x v="11"/>
    <x v="4"/>
    <s v="F:\images\20210309\plaque 1/@11  Testosterone 100 µg_L/E11_03.tif "/>
    <s v=" 5904.9612 "/>
    <s v=" 64.4322 "/>
    <x v="0"/>
    <n v="380470"/>
    <m/>
    <m/>
    <m/>
  </r>
  <r>
    <x v="11"/>
    <x v="5"/>
    <s v="F:\images\20210309\plaque 1/@11  Testosterone 100 µg_L/F11_01.tif "/>
    <s v=" 6921.5663 "/>
    <s v=" 64.825 "/>
    <x v="0"/>
    <n v="448691"/>
    <m/>
    <m/>
    <m/>
  </r>
  <r>
    <x v="11"/>
    <x v="5"/>
    <s v="F:\images\20210309\plaque 1/@11  Testosterone 100 µg_L/F11_02.tif "/>
    <s v=" 6662.0075 "/>
    <s v=" 65.5097 "/>
    <x v="0"/>
    <n v="436426"/>
    <m/>
    <m/>
    <m/>
  </r>
  <r>
    <x v="11"/>
    <x v="5"/>
    <s v="F:\images\20210309\plaque 1/@11  Testosterone 100 µg_L/F11_03.tif "/>
    <s v=" 5904.9612 "/>
    <s v=" 64.381 "/>
    <x v="0"/>
    <n v="380167"/>
    <m/>
    <m/>
    <m/>
  </r>
  <r>
    <x v="11"/>
    <x v="6"/>
    <s v="F:\images\20210309\plaque 1/@11  Testosterone 100 µg_L/G11_01.tif "/>
    <s v=" 14600.1789 "/>
    <s v=" 71.4533 "/>
    <x v="0"/>
    <n v="1043231"/>
    <m/>
    <m/>
    <m/>
  </r>
  <r>
    <x v="11"/>
    <x v="6"/>
    <s v="F:\images\20210309\plaque 1/@11  Testosterone 100 µg_L/G11_02.tif "/>
    <s v=" 1211.2741 "/>
    <s v=" 62.7321 "/>
    <x v="0"/>
    <n v="75986"/>
    <m/>
    <m/>
    <m/>
  </r>
  <r>
    <x v="11"/>
    <x v="6"/>
    <s v="F:\images\20210309\plaque 1/@11  Testosterone 100 µg_L/G11_03.tif "/>
    <s v=" 15032.7768 "/>
    <s v=" 70.8201 "/>
    <x v="0"/>
    <n v="1064623"/>
    <m/>
    <m/>
    <m/>
  </r>
  <r>
    <x v="11"/>
    <x v="7"/>
    <s v="F:\images\20210309\plaque 1/@11  Testosterone 100 µg_L/H11_01.tif "/>
    <s v=" 16676.6488 "/>
    <s v=" 68.9429 "/>
    <x v="0"/>
    <n v="1149737"/>
    <m/>
    <m/>
    <m/>
  </r>
  <r>
    <x v="11"/>
    <x v="7"/>
    <s v="F:\images\20210309\plaque 1/@11  Testosterone 100 µg_L/H11_02.tif "/>
    <s v=" 14513.6593 "/>
    <s v=" 66.6379 "/>
    <x v="0"/>
    <n v="967159"/>
    <m/>
    <m/>
    <m/>
  </r>
  <r>
    <x v="11"/>
    <x v="7"/>
    <s v="F:\images\20210309\plaque 1/@11  Testosterone 100 µg_L/H11_03.tif "/>
    <s v=" 13086.0863 "/>
    <s v=" 64.9587 "/>
    <x v="0"/>
    <n v="850055"/>
    <m/>
    <m/>
    <m/>
  </r>
  <r>
    <x v="1"/>
    <x v="8"/>
    <s v=" "/>
    <m/>
    <m/>
    <x v="1"/>
    <m/>
    <m/>
    <m/>
    <m/>
  </r>
  <r>
    <x v="1"/>
    <x v="8"/>
    <s v="group "/>
    <s v=" "/>
    <s v=" mean of mean fluo "/>
    <x v="2"/>
    <s v=" mean of total fluo "/>
    <s v=" SD total fluo "/>
    <s v=" n fluorescent "/>
    <s v=" n total"/>
  </r>
  <r>
    <x v="11"/>
    <x v="9"/>
    <s v="F:\images\20210309\plaque 1/@11  Testosterone 100 µg_L/ "/>
    <s v=" "/>
    <s v=" 67.4832 "/>
    <x v="13"/>
    <s v=" 1275618.5 "/>
    <s v=" 1324592.1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2"/>
    <x v="0"/>
    <s v="F:\images\20210309\plaque 1/@12  Testosterone 300 µg_L/A12_01.tif "/>
    <s v=" 15573.5241 "/>
    <s v=" 70.9764 "/>
    <x v="0"/>
    <n v="1105353"/>
    <m/>
    <m/>
    <m/>
  </r>
  <r>
    <x v="12"/>
    <x v="0"/>
    <s v="F:\images\20210309\plaque 1/@12  Testosterone 300 µg_L/A12_02.tif "/>
    <s v=" 14967.8871 "/>
    <s v=" 74.7991 "/>
    <x v="0"/>
    <n v="1119585"/>
    <m/>
    <m/>
    <m/>
  </r>
  <r>
    <x v="12"/>
    <x v="0"/>
    <s v="F:\images\20210309\plaque 1/@12  Testosterone 300 µg_L/A12_03.tif "/>
    <s v=" 12437.1894 "/>
    <s v=" 76.2313 "/>
    <x v="0"/>
    <n v="948103"/>
    <m/>
    <m/>
    <m/>
  </r>
  <r>
    <x v="12"/>
    <x v="1"/>
    <s v="F:\images\20210309\plaque 1/@12  Testosterone 300 µg_L/B12_01.tif "/>
    <s v=" 64327.3066 "/>
    <s v=" 74.3779 "/>
    <x v="0"/>
    <n v="4784533"/>
    <m/>
    <m/>
    <m/>
  </r>
  <r>
    <x v="12"/>
    <x v="1"/>
    <s v="F:\images\20210309\plaque 1/@12  Testosterone 300 µg_L/B12_02.tif "/>
    <s v=" 54788.5231 "/>
    <s v=" 75.3976 "/>
    <x v="0"/>
    <n v="4130921"/>
    <m/>
    <m/>
    <m/>
  </r>
  <r>
    <x v="12"/>
    <x v="1"/>
    <s v="F:\images\20210309\plaque 1/@12  Testosterone 300 µg_L/B12_03.tif "/>
    <s v=" 51284.4802 "/>
    <s v=" 75.7221 "/>
    <x v="0"/>
    <n v="3883366"/>
    <m/>
    <m/>
    <m/>
  </r>
  <r>
    <x v="12"/>
    <x v="2"/>
    <s v="F:\images\20210309\plaque 1/@12  Testosterone 300 µg_L/C12_01.tif "/>
    <s v=" 17866.293 "/>
    <s v=" 80.4576 "/>
    <x v="0"/>
    <n v="1437480"/>
    <m/>
    <m/>
    <m/>
  </r>
  <r>
    <x v="12"/>
    <x v="2"/>
    <s v="F:\images\20210309\plaque 1/@12  Testosterone 300 µg_L/C12_02.tif "/>
    <s v=" 17866.293 "/>
    <s v=" 79.6719 "/>
    <x v="0"/>
    <n v="1423442"/>
    <m/>
    <m/>
    <m/>
  </r>
  <r>
    <x v="12"/>
    <x v="2"/>
    <s v="F:\images\20210309\plaque 1/@12  Testosterone 300 µg_L/C12_03.tif "/>
    <s v=" 18017.7022 "/>
    <s v=" 80.6399 "/>
    <x v="0"/>
    <n v="1452945"/>
    <m/>
    <m/>
    <m/>
  </r>
  <r>
    <x v="12"/>
    <x v="3"/>
    <s v="F:\images\20210309\plaque 1/@12  Testosterone 300 µg_L/D12_01.tif "/>
    <s v=" 8543.8084 "/>
    <s v=" 68.1671 "/>
    <x v="0"/>
    <n v="582407"/>
    <m/>
    <m/>
    <m/>
  </r>
  <r>
    <x v="12"/>
    <x v="3"/>
    <s v="F:\images\20210309\plaque 1/@12  Testosterone 300 µg_L/D12_02.tif "/>
    <s v=" 8803.3671 "/>
    <s v=" 66.2629 "/>
    <x v="0"/>
    <n v="583337"/>
    <m/>
    <m/>
    <m/>
  </r>
  <r>
    <x v="12"/>
    <x v="3"/>
    <s v="F:\images\20210309\plaque 1/@12  Testosterone 300 µg_L/D12_03.tif "/>
    <s v=" 11355.6947 "/>
    <s v=" 67.0914 "/>
    <x v="0"/>
    <n v="761870"/>
    <m/>
    <m/>
    <m/>
  </r>
  <r>
    <x v="12"/>
    <x v="4"/>
    <s v="F:\images\20210309\plaque 1/@12  Testosterone 300 µg_L/E12_01.tif "/>
    <s v=" 16265.6808 "/>
    <s v=" 67.0878 "/>
    <x v="0"/>
    <n v="1091228"/>
    <m/>
    <m/>
    <m/>
  </r>
  <r>
    <x v="12"/>
    <x v="4"/>
    <s v="F:\images\20210309\plaque 1/@12  Testosterone 300 µg_L/E12_02.tif "/>
    <s v=" 21305.4462 "/>
    <s v=" 71.3706 "/>
    <x v="0"/>
    <n v="1520582"/>
    <m/>
    <m/>
    <m/>
  </r>
  <r>
    <x v="12"/>
    <x v="4"/>
    <s v="F:\images\20210309\plaque 1/@12  Testosterone 300 µg_L/E12_03.tif "/>
    <s v=" 15508.6344 "/>
    <s v=" 70.3682 "/>
    <x v="0"/>
    <n v="1091315"/>
    <m/>
    <m/>
    <m/>
  </r>
  <r>
    <x v="12"/>
    <x v="5"/>
    <s v="F:\images\20210309\plaque 1/@12  Testosterone 300 µg_L/F12_01.tif "/>
    <s v=" 45379.5189 "/>
    <s v=" 71.3103 "/>
    <x v="0"/>
    <n v="3236027"/>
    <m/>
    <m/>
    <m/>
  </r>
  <r>
    <x v="12"/>
    <x v="5"/>
    <s v="F:\images\20210309\plaque 1/@12  Testosterone 300 µg_L/F12_02.tif "/>
    <s v=" 32552.9914 "/>
    <s v=" 68.497 "/>
    <x v="0"/>
    <n v="2229783"/>
    <m/>
    <m/>
    <m/>
  </r>
  <r>
    <x v="12"/>
    <x v="5"/>
    <s v="F:\images\20210309\plaque 1/@12  Testosterone 300 µg_L/F12_03.tif "/>
    <s v=" 33331.6676 "/>
    <s v=" 70.331 "/>
    <x v="0"/>
    <n v="2344248"/>
    <m/>
    <m/>
    <m/>
  </r>
  <r>
    <x v="12"/>
    <x v="6"/>
    <s v="F:\images\20210309\plaque 1/@12  Testosterone 300 µg_L/G12_01.tif "/>
    <s v=" 25674.6849 "/>
    <s v=" 71.9503 "/>
    <x v="0"/>
    <n v="1847301"/>
    <m/>
    <m/>
    <m/>
  </r>
  <r>
    <x v="12"/>
    <x v="6"/>
    <s v="F:\images\20210309\plaque 1/@12  Testosterone 300 µg_L/G12_02.tif "/>
    <s v=" 23965.9232 "/>
    <s v=" 74.639 "/>
    <x v="0"/>
    <n v="1788792"/>
    <m/>
    <m/>
    <m/>
  </r>
  <r>
    <x v="12"/>
    <x v="6"/>
    <s v="F:\images\20210309\plaque 1/@12  Testosterone 300 µg_L/G12_03.tif "/>
    <s v=" 24030.8129 "/>
    <s v=" 71.1944 "/>
    <x v="0"/>
    <n v="1710860"/>
    <m/>
    <m/>
    <m/>
  </r>
  <r>
    <x v="12"/>
    <x v="7"/>
    <s v="F:\images\20210309\plaque 1/@12  Testosterone 300 µg_L/H12_01.tif "/>
    <s v=" 24939.2685 "/>
    <s v=" 69.634 "/>
    <x v="0"/>
    <n v="1736621"/>
    <m/>
    <m/>
    <m/>
  </r>
  <r>
    <x v="12"/>
    <x v="7"/>
    <s v="F:\images\20210309\plaque 1/@12  Testosterone 300 µg_L/H12_02.tif "/>
    <s v=" 23727.9944 "/>
    <s v=" 68.6235 "/>
    <x v="0"/>
    <n v="1628298"/>
    <m/>
    <m/>
    <m/>
  </r>
  <r>
    <x v="12"/>
    <x v="7"/>
    <s v="F:\images\20210309\plaque 1/@12  Testosterone 300 µg_L/H12_03.tif "/>
    <s v=" 17390.4353 "/>
    <s v=" 66.1567 "/>
    <x v="0"/>
    <n v="1150494"/>
    <m/>
    <m/>
    <m/>
  </r>
  <r>
    <x v="1"/>
    <x v="8"/>
    <s v=" "/>
    <m/>
    <m/>
    <x v="1"/>
    <m/>
    <m/>
    <m/>
    <m/>
  </r>
  <r>
    <x v="1"/>
    <x v="8"/>
    <s v="group "/>
    <s v=" "/>
    <s v=" mean of mean fluo "/>
    <x v="2"/>
    <s v=" mean of total fluo "/>
    <s v=" SD total fluo "/>
    <s v=" n fluorescent "/>
    <s v=" n total"/>
  </r>
  <r>
    <x v="12"/>
    <x v="9"/>
    <s v="F:\images\20210309\plaque 1/@12  Testosterone 300 µg_L/ "/>
    <s v=" "/>
    <s v=" 72.1232 "/>
    <x v="14"/>
    <s v=" 1816203.79 "/>
    <s v=" 1120395.3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3"/>
    <x v="0"/>
    <s v="F:\images\20210309\plaque 2/@01 Testo 30/A1_01.tif "/>
    <s v=" 43757.2768 "/>
    <s v=" 72.9768 "/>
    <x v="0"/>
    <n v="3193265"/>
    <m/>
    <m/>
    <m/>
  </r>
  <r>
    <x v="13"/>
    <x v="0"/>
    <s v="F:\images\20210309\plaque 2/@01 Testo 30/A1_02.tif "/>
    <s v=" 43130.0099 "/>
    <s v=" 70.3967 "/>
    <x v="0"/>
    <n v="3036210"/>
    <m/>
    <m/>
    <m/>
  </r>
  <r>
    <x v="13"/>
    <x v="0"/>
    <s v="F:\images\20210309\plaque 2/@01 Testo 30/A1_03.tif "/>
    <s v=" 22278.7915 "/>
    <s v=" 67.5485 "/>
    <x v="0"/>
    <n v="1504900"/>
    <m/>
    <m/>
    <m/>
  </r>
  <r>
    <x v="13"/>
    <x v="1"/>
    <s v="F:\images\20210309\plaque 2/@01 Testo 30/B1_01.tif "/>
    <s v=" 31363.3472 "/>
    <s v=" 74.5972 "/>
    <x v="0"/>
    <n v="2339619"/>
    <m/>
    <m/>
    <m/>
  </r>
  <r>
    <x v="13"/>
    <x v="1"/>
    <s v="F:\images\20210309\plaque 2/@01 Testo 30/B1_02.tif "/>
    <s v=" 34218.4933 "/>
    <s v=" 73.4962 "/>
    <x v="0"/>
    <n v="2514929"/>
    <m/>
    <m/>
    <m/>
  </r>
  <r>
    <x v="13"/>
    <x v="1"/>
    <s v="F:\images\20210309\plaque 2/@01 Testo 30/B1_03.tif "/>
    <s v=" 32120.3935 "/>
    <s v=" 72.934 "/>
    <x v="0"/>
    <n v="2342669"/>
    <m/>
    <m/>
    <m/>
  </r>
  <r>
    <x v="13"/>
    <x v="2"/>
    <s v="F:\images\20210309\plaque 2/@01 Testo 30/C1_01.tif "/>
    <s v=" 51414.2595 "/>
    <s v=" 74.4716 "/>
    <x v="0"/>
    <n v="3828902"/>
    <m/>
    <m/>
    <m/>
  </r>
  <r>
    <x v="13"/>
    <x v="2"/>
    <s v="F:\images\20210309\plaque 2/@01 Testo 30/C1_02- exclu.tif"/>
    <m/>
    <m/>
    <x v="1"/>
    <m/>
    <m/>
    <m/>
    <m/>
  </r>
  <r>
    <x v="13"/>
    <x v="2"/>
    <s v="F:\images\20210309\plaque 2/@01 Testo 30/C1_03.tif "/>
    <s v=" 51046.5513 "/>
    <s v=" 73.3148 "/>
    <x v="0"/>
    <n v="3742469"/>
    <m/>
    <m/>
    <m/>
  </r>
  <r>
    <x v="13"/>
    <x v="3"/>
    <s v="F:\images\20210309\plaque 2/@01 Testo 30/D1_01.tif "/>
    <s v=" 25025.7881 "/>
    <s v=" 67.2818 "/>
    <x v="0"/>
    <n v="1683779"/>
    <m/>
    <m/>
    <m/>
  </r>
  <r>
    <x v="13"/>
    <x v="3"/>
    <s v="F:\images\20210309\plaque 2/@01 Testo 30/D1_02- exclu.tif"/>
    <m/>
    <m/>
    <x v="1"/>
    <m/>
    <m/>
    <m/>
    <m/>
  </r>
  <r>
    <x v="13"/>
    <x v="3"/>
    <s v="F:\images\20210309\plaque 2/@01 Testo 30/D1_03.tif "/>
    <s v=" 26085.6529 "/>
    <s v=" 68.5398 "/>
    <x v="0"/>
    <n v="1787905"/>
    <m/>
    <m/>
    <m/>
  </r>
  <r>
    <x v="13"/>
    <x v="4"/>
    <s v="F:\images\20210309\plaque 2/@01 Testo 30/E1_01- exclu.tif"/>
    <m/>
    <m/>
    <x v="1"/>
    <m/>
    <m/>
    <m/>
    <m/>
  </r>
  <r>
    <x v="13"/>
    <x v="4"/>
    <s v="F:\images\20210309\plaque 2/@01 Testo 30/E1_02.tif "/>
    <s v=" 43000.2305 "/>
    <s v=" 75.1579 "/>
    <x v="0"/>
    <n v="3231809"/>
    <m/>
    <m/>
    <m/>
  </r>
  <r>
    <x v="13"/>
    <x v="4"/>
    <s v="F:\images\20210309\plaque 2/@01 Testo 30/E1_03.tif "/>
    <s v=" 40015.3051 "/>
    <s v=" 70.4686 "/>
    <x v="0"/>
    <n v="2819824"/>
    <m/>
    <m/>
    <m/>
  </r>
  <r>
    <x v="13"/>
    <x v="5"/>
    <s v="F:\images\20210309\plaque 2/@01 Testo 30/F1_01.tif "/>
    <s v=" 34088.7139 "/>
    <s v=" 72.0857 "/>
    <x v="0"/>
    <n v="2457307"/>
    <m/>
    <m/>
    <m/>
  </r>
  <r>
    <x v="13"/>
    <x v="5"/>
    <s v="F:\images\20210309\plaque 2/@01 Testo 30/F1_02.tif "/>
    <s v=" 36208.4436 "/>
    <s v=" 71.1804 "/>
    <x v="0"/>
    <n v="2577332"/>
    <m/>
    <m/>
    <m/>
  </r>
  <r>
    <x v="13"/>
    <x v="5"/>
    <s v="F:\images\20210309\plaque 2/@01 Testo 30/F1_03.tif "/>
    <s v=" 29935.7742 "/>
    <s v=" 71.0506 "/>
    <x v="0"/>
    <n v="2126954"/>
    <m/>
    <m/>
    <m/>
  </r>
  <r>
    <x v="13"/>
    <x v="6"/>
    <s v="F:\images\20210309\plaque 2/@01 Testo 30/G1_01.tif "/>
    <s v=" 39907.1556 "/>
    <s v=" 72.6688 "/>
    <x v="0"/>
    <n v="2900006"/>
    <m/>
    <m/>
    <m/>
  </r>
  <r>
    <x v="13"/>
    <x v="6"/>
    <s v="F:\images\20210309\plaque 2/@01 Testo 30/G1_02.tif "/>
    <s v=" 27253.6672 "/>
    <s v=" 71.6294 "/>
    <x v="0"/>
    <n v="1952163"/>
    <m/>
    <m/>
    <m/>
  </r>
  <r>
    <x v="13"/>
    <x v="6"/>
    <s v="F:\images\20210309\plaque 2/@01 Testo 30/G1_03.tif "/>
    <s v=" 28032.3434 "/>
    <s v=" 71.6481 "/>
    <x v="0"/>
    <n v="2008465"/>
    <m/>
    <m/>
    <m/>
  </r>
  <r>
    <x v="13"/>
    <x v="7"/>
    <s v="F:\images\20210309\plaque 2/@01 Testo 30/H1_01.tif "/>
    <s v=" 11658.5132 "/>
    <s v=" 70.0705 "/>
    <x v="0"/>
    <n v="816918"/>
    <m/>
    <m/>
    <m/>
  </r>
  <r>
    <x v="13"/>
    <x v="7"/>
    <s v="F:\images\20210309\plaque 2/@01 Testo 30/H1_02.tif "/>
    <s v=" 9192.7052 "/>
    <s v=" 71.0518 "/>
    <x v="0"/>
    <n v="653158"/>
    <m/>
    <m/>
    <m/>
  </r>
  <r>
    <x v="13"/>
    <x v="7"/>
    <s v="F:\images\20210309\plaque 2/@01 Testo 30/H1_03.tif "/>
    <s v=" 4001.5305 "/>
    <s v=" 64.1514 "/>
    <x v="0"/>
    <n v="256704"/>
    <m/>
    <m/>
    <m/>
  </r>
  <r>
    <x v="1"/>
    <x v="8"/>
    <s v=" "/>
    <m/>
    <m/>
    <x v="1"/>
    <m/>
    <m/>
    <m/>
    <m/>
  </r>
  <r>
    <x v="1"/>
    <x v="8"/>
    <s v="group "/>
    <s v=" "/>
    <s v=" mean of mean fluo "/>
    <x v="2"/>
    <s v=" mean of total fluo "/>
    <s v=" SD total fluo "/>
    <s v=" n fluorescent "/>
    <s v=" n total"/>
  </r>
  <r>
    <x v="13"/>
    <x v="9"/>
    <s v="F:\images\20210309\plaque 2/@01 Testo 30/ "/>
    <s v=" "/>
    <s v=" 70.6189 "/>
    <x v="15"/>
    <s v=" 2078315.54 "/>
    <s v=" 1049841.7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4"/>
    <x v="0"/>
    <s v="F:\images\20210309\plaque 2/@02 Testo 30/A2_01.tif "/>
    <s v=" 11831.5524 "/>
    <s v=" 70.4314 "/>
    <x v="0"/>
    <n v="833313"/>
    <m/>
    <m/>
    <m/>
  </r>
  <r>
    <x v="14"/>
    <x v="0"/>
    <s v="F:\images\20210309\plaque 2/@02 Testo 30/A2_02.tif "/>
    <s v=" 8630.328 "/>
    <s v=" 68.9524 "/>
    <x v="0"/>
    <n v="595082"/>
    <m/>
    <m/>
    <m/>
  </r>
  <r>
    <x v="14"/>
    <x v="0"/>
    <s v="F:\images\20210309\plaque 2/@02 Testo 30/A2_03.tif "/>
    <s v=" 12091.1111 "/>
    <s v=" 69.1807 "/>
    <x v="0"/>
    <n v="836471"/>
    <m/>
    <m/>
    <m/>
  </r>
  <r>
    <x v="14"/>
    <x v="1"/>
    <s v="F:\images\20210309\plaque 2/@02 Testo 30/B2_01.tif "/>
    <s v=" 2206.2493 "/>
    <s v=" 64.6569 "/>
    <x v="0"/>
    <n v="142649"/>
    <m/>
    <m/>
    <m/>
  </r>
  <r>
    <x v="14"/>
    <x v="1"/>
    <s v="F:\images\20210309\plaque 2/@02 Testo 30/B2_02.tif "/>
    <s v=" 1708.7617 "/>
    <s v=" 63.7089 "/>
    <x v="0"/>
    <n v="108863"/>
    <m/>
    <m/>
    <m/>
  </r>
  <r>
    <x v="14"/>
    <x v="1"/>
    <s v="F:\images\20210309\plaque 2/@02 Testo 30/B2_03.tif "/>
    <s v=" 2119.7297 "/>
    <s v=" 64.8878 "/>
    <x v="0"/>
    <n v="137544"/>
    <m/>
    <m/>
    <m/>
  </r>
  <r>
    <x v="14"/>
    <x v="2"/>
    <s v="F:\images\20210309\plaque 2/@02 Testo 30/C2_01.tif "/>
    <s v=" 59655.2494 "/>
    <s v=" 73.4576 "/>
    <x v="0"/>
    <n v="4382130"/>
    <m/>
    <m/>
    <m/>
  </r>
  <r>
    <x v="14"/>
    <x v="2"/>
    <s v="F:\images\20210309\plaque 2/@02 Testo 30/C2_02.tif "/>
    <s v=" 60152.737 "/>
    <s v=" 74.4941 "/>
    <x v="0"/>
    <n v="4481022"/>
    <m/>
    <m/>
    <m/>
  </r>
  <r>
    <x v="14"/>
    <x v="2"/>
    <s v="F:\images\20210309\plaque 2/@02 Testo 30/C2_03- exclu.tif"/>
    <m/>
    <m/>
    <x v="1"/>
    <m/>
    <m/>
    <m/>
    <m/>
  </r>
  <r>
    <x v="14"/>
    <x v="3"/>
    <s v="F:\images\20210309\plaque 2/@02 Testo 30/D2_01.tif "/>
    <s v=" 27383.4466 "/>
    <s v=" 65.9921 "/>
    <x v="0"/>
    <n v="1807091"/>
    <m/>
    <m/>
    <m/>
  </r>
  <r>
    <x v="14"/>
    <x v="3"/>
    <s v="F:\images\20210309\plaque 2/@02 Testo 30/D2_02.tif "/>
    <s v=" 17931.1826 "/>
    <s v=" 64.5223 "/>
    <x v="0"/>
    <n v="1156961"/>
    <m/>
    <m/>
    <m/>
  </r>
  <r>
    <x v="14"/>
    <x v="3"/>
    <s v="F:\images\20210309\plaque 2/@02 Testo 30/D2_03.tif "/>
    <s v=" 21456.8555 "/>
    <s v=" 66.1714 "/>
    <x v="0"/>
    <n v="1419830"/>
    <m/>
    <m/>
    <m/>
  </r>
  <r>
    <x v="14"/>
    <x v="4"/>
    <s v="F:\images\20210309\plaque 2/@02 Testo 30/E2_01.tif "/>
    <s v=" 36251.7034 "/>
    <s v=" 70.1629 "/>
    <x v="0"/>
    <n v="2543524"/>
    <m/>
    <m/>
    <m/>
  </r>
  <r>
    <x v="14"/>
    <x v="4"/>
    <s v="F:\images\20210309\plaque 2/@02 Testo 30/E2_02.tif "/>
    <s v=" 33677.7459 "/>
    <s v=" 69.9994 "/>
    <x v="0"/>
    <n v="2357421"/>
    <m/>
    <m/>
    <m/>
  </r>
  <r>
    <x v="14"/>
    <x v="4"/>
    <s v="F:\images\20210309\plaque 2/@02 Testo 30/E2_03.tif "/>
    <s v=" 32358.3224 "/>
    <s v=" 70.5582 "/>
    <x v="0"/>
    <n v="2283144"/>
    <m/>
    <m/>
    <m/>
  </r>
  <r>
    <x v="14"/>
    <x v="5"/>
    <s v="F:\images\20210309\plaque 2/@02 Testo 30/F2_01.tif "/>
    <s v=" 48277.9248 "/>
    <s v=" 75.4906 "/>
    <x v="0"/>
    <n v="3644529"/>
    <m/>
    <m/>
    <m/>
  </r>
  <r>
    <x v="14"/>
    <x v="5"/>
    <s v="F:\images\20210309\plaque 2/@02 Testo 30/F2_02.tif "/>
    <s v=" 51890.1172 "/>
    <s v=" 75.5982 "/>
    <x v="0"/>
    <n v="3922798"/>
    <m/>
    <m/>
    <m/>
  </r>
  <r>
    <x v="14"/>
    <x v="5"/>
    <s v="F:\images\20210309\plaque 2/@02 Testo 30/F2_03.tif "/>
    <s v=" 45292.9994 "/>
    <s v=" 73.3825 "/>
    <x v="0"/>
    <n v="3323714"/>
    <m/>
    <m/>
    <m/>
  </r>
  <r>
    <x v="14"/>
    <x v="6"/>
    <s v="F:\images\20210309\plaque 2/@02 Testo 30/G2_01.tif "/>
    <s v=" 47434.3589 "/>
    <s v=" 79.7424 "/>
    <x v="0"/>
    <n v="3782528"/>
    <m/>
    <m/>
    <m/>
  </r>
  <r>
    <x v="14"/>
    <x v="6"/>
    <s v="F:\images\20210309\plaque 2/@02 Testo 30/G2_02.tif "/>
    <s v=" 45963.5261 "/>
    <s v=" 79.2842 "/>
    <x v="0"/>
    <n v="3644183"/>
    <m/>
    <m/>
    <m/>
  </r>
  <r>
    <x v="14"/>
    <x v="6"/>
    <s v="F:\images\20210309\plaque 2/@02 Testo 30/G2_03.tif "/>
    <s v=" 49683.868 "/>
    <s v=" 78.636 "/>
    <x v="0"/>
    <n v="3906943"/>
    <m/>
    <m/>
    <m/>
  </r>
  <r>
    <x v="14"/>
    <x v="7"/>
    <s v="F:\images\20210309\plaque 2/@02 Testo 30/H2_01.tif "/>
    <s v=" 52019.8966 "/>
    <s v=" 68.9784 "/>
    <x v="0"/>
    <n v="3588248"/>
    <m/>
    <m/>
    <m/>
  </r>
  <r>
    <x v="14"/>
    <x v="7"/>
    <s v="F:\images\20210309\plaque 2/@02 Testo 30/H2_02.tif "/>
    <s v=" 44579.2128 "/>
    <s v=" 67.9583 "/>
    <x v="0"/>
    <n v="3029526"/>
    <m/>
    <m/>
    <m/>
  </r>
  <r>
    <x v="14"/>
    <x v="7"/>
    <s v="F:\images\20210309\plaque 2/@02 Testo 30/H2_03.tif "/>
    <s v=" 40556.0524 "/>
    <s v=" 67.6293 "/>
    <x v="0"/>
    <n v="2742779"/>
    <m/>
    <m/>
    <m/>
  </r>
  <r>
    <x v="1"/>
    <x v="8"/>
    <s v=" "/>
    <m/>
    <m/>
    <x v="1"/>
    <m/>
    <m/>
    <m/>
    <m/>
  </r>
  <r>
    <x v="1"/>
    <x v="8"/>
    <s v="group "/>
    <s v=" "/>
    <s v=" mean of mean fluo "/>
    <x v="2"/>
    <s v=" mean of total fluo "/>
    <s v=" SD total fluo "/>
    <s v=" n fluorescent "/>
    <s v=" n total"/>
  </r>
  <r>
    <x v="14"/>
    <x v="9"/>
    <s v="F:\images\20210309\plaque 2/@02 Testo 30/ "/>
    <s v=" "/>
    <s v=" 70.6389 "/>
    <x v="16"/>
    <s v=" 2357850.42 "/>
    <s v=" 1434664.9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5"/>
    <x v="0"/>
    <s v="F:\images\20210309\plaque 2/@03 Testo+ EE2 64/A3_01.tif "/>
    <s v=" 13994.5418 "/>
    <s v=" 68.728 "/>
    <x v="0"/>
    <n v="961817"/>
    <m/>
    <m/>
    <m/>
  </r>
  <r>
    <x v="15"/>
    <x v="0"/>
    <s v="F:\images\20210309\plaque 2/@03 Testo+ EE2 64/A3_02.tif "/>
    <s v=" 12285.7801 "/>
    <s v=" 69.2518 "/>
    <x v="0"/>
    <n v="850812"/>
    <m/>
    <m/>
    <m/>
  </r>
  <r>
    <x v="15"/>
    <x v="0"/>
    <s v="F:\images\20210309\plaque 2/@03 Testo+ EE2 64/A3_03.tif "/>
    <s v=" 12264.1503 "/>
    <s v=" 67.5573 "/>
    <x v="0"/>
    <n v="828533"/>
    <m/>
    <m/>
    <m/>
  </r>
  <r>
    <x v="15"/>
    <x v="1"/>
    <s v="F:\images\20210309\plaque 2/@03 Testo+ EE2 64/B3_01.tif "/>
    <s v=" 2119.7297 "/>
    <s v=" 63.4082 "/>
    <x v="0"/>
    <n v="134408"/>
    <m/>
    <m/>
    <m/>
  </r>
  <r>
    <x v="15"/>
    <x v="1"/>
    <s v="F:\images\20210309\plaque 2/@03 Testo+ EE2 64/B3_02.tif "/>
    <s v=" 3006.5554 "/>
    <s v=" 63.295 "/>
    <x v="0"/>
    <n v="190300"/>
    <m/>
    <m/>
    <m/>
  </r>
  <r>
    <x v="15"/>
    <x v="1"/>
    <s v="F:\images\20210309\plaque 2/@03 Testo+ EE2 64/B3_03.tif "/>
    <s v=" 6251.0395 "/>
    <s v=" 65.8997 "/>
    <x v="0"/>
    <n v="411941"/>
    <m/>
    <m/>
    <m/>
  </r>
  <r>
    <x v="15"/>
    <x v="2"/>
    <s v="F:\images\20210309\plaque 2/@03 Testo+ EE2 64/C3_01.tif "/>
    <s v=" 41853.8461 "/>
    <s v=" 78.0749 "/>
    <x v="0"/>
    <n v="3267736"/>
    <m/>
    <m/>
    <m/>
  </r>
  <r>
    <x v="15"/>
    <x v="2"/>
    <s v="F:\images\20210309\plaque 2/@03 Testo+ EE2 64/C3_02.tif "/>
    <s v=" 37636.0167 "/>
    <s v=" 75.2805 "/>
    <x v="0"/>
    <n v="2833257"/>
    <m/>
    <m/>
    <m/>
  </r>
  <r>
    <x v="15"/>
    <x v="2"/>
    <s v="F:\images\20210309\plaque 2/@03 Testo+ EE2 64/C3_03.tif "/>
    <s v=" 36165.1838 "/>
    <s v=" 78.4492 "/>
    <x v="0"/>
    <n v="2837128"/>
    <m/>
    <m/>
    <m/>
  </r>
  <r>
    <x v="15"/>
    <x v="3"/>
    <s v="F:\images\20210309\plaque 2/@03 Testo+ EE2 64/D3_01.tif "/>
    <s v=" 52755.313 "/>
    <s v=" 77.271 "/>
    <x v="0"/>
    <n v="4076456"/>
    <m/>
    <m/>
    <m/>
  </r>
  <r>
    <x v="15"/>
    <x v="3"/>
    <s v="F:\images\20210309\plaque 2/@03 Testo+ EE2 64/D3_02.tif "/>
    <s v=" 47953.4764 "/>
    <s v=" 76.7226 "/>
    <x v="0"/>
    <n v="3679115"/>
    <m/>
    <m/>
    <m/>
  </r>
  <r>
    <x v="15"/>
    <x v="3"/>
    <s v="F:\images\20210309\plaque 2/@03 Testo+ EE2 64/D3_03.tif "/>
    <s v=" 48169.7753 "/>
    <s v=" 76.0251 "/>
    <x v="0"/>
    <n v="3662114"/>
    <m/>
    <m/>
    <m/>
  </r>
  <r>
    <x v="15"/>
    <x v="4"/>
    <s v="F:\images\20210309\plaque 2/@03 Testo+ EE2 64/E3_01.tif "/>
    <s v=" 68436.9866 "/>
    <s v=" 87.2244 "/>
    <x v="0"/>
    <n v="5969375"/>
    <m/>
    <m/>
    <m/>
  </r>
  <r>
    <x v="15"/>
    <x v="4"/>
    <s v="F:\images\20210309\plaque 2/@03 Testo+ EE2 64/E3_02- exclu.tif"/>
    <m/>
    <m/>
    <x v="1"/>
    <m/>
    <m/>
    <m/>
    <m/>
  </r>
  <r>
    <x v="15"/>
    <x v="4"/>
    <s v="F:\images\20210309\plaque 2/@03 Testo+ EE2 64/E3_03.tif "/>
    <s v=" 71681.4708 "/>
    <s v=" 84.8639 "/>
    <x v="0"/>
    <n v="6083170"/>
    <m/>
    <m/>
    <m/>
  </r>
  <r>
    <x v="15"/>
    <x v="5"/>
    <s v="F:\images\20210309\plaque 2/@03 Testo+ EE2 64/F3_01.tif "/>
    <s v=" 67204.0826 "/>
    <s v=" 78.5462 "/>
    <x v="0"/>
    <n v="5278624"/>
    <m/>
    <m/>
    <m/>
  </r>
  <r>
    <x v="15"/>
    <x v="5"/>
    <s v="F:\images\20210309\plaque 2/@03 Testo+ EE2 64/F3_02.tif "/>
    <s v=" 57449.0001 "/>
    <s v=" 77.6724 "/>
    <x v="0"/>
    <n v="4462204"/>
    <m/>
    <m/>
    <m/>
  </r>
  <r>
    <x v="15"/>
    <x v="5"/>
    <s v="F:\images\20210309\plaque 2/@03 Testo+ EE2 64/F3_03.tif "/>
    <s v=" 65516.9508 "/>
    <s v=" 78.0703 "/>
    <x v="0"/>
    <n v="5114929"/>
    <m/>
    <m/>
    <m/>
  </r>
  <r>
    <x v="15"/>
    <x v="6"/>
    <s v="F:\images\20210309\plaque 2/@03 Testo+ EE2 64/G3_01.tif "/>
    <s v=" 51890.1172 "/>
    <s v=" 71.1647 "/>
    <x v="0"/>
    <n v="3692742"/>
    <m/>
    <m/>
    <m/>
  </r>
  <r>
    <x v="15"/>
    <x v="6"/>
    <s v="F:\images\20210309\plaque 2/@03 Testo+ EE2 64/G3_02.tif "/>
    <s v=" 46915.2415 "/>
    <s v=" 70.9295 "/>
    <x v="0"/>
    <n v="3327673"/>
    <m/>
    <m/>
    <m/>
  </r>
  <r>
    <x v="15"/>
    <x v="6"/>
    <s v="F:\images\20210309\plaque 2/@03 Testo+ EE2 64/G3_03.tif "/>
    <s v=" 52668.7934 "/>
    <s v=" 71.8275 "/>
    <x v="0"/>
    <n v="3783069"/>
    <m/>
    <m/>
    <m/>
  </r>
  <r>
    <x v="15"/>
    <x v="7"/>
    <s v="F:\images\20210309\plaque 2/@03 Testo+ EE2 64/H3_01.tif "/>
    <s v=" 60693.4843 "/>
    <s v=" 76.4291 "/>
    <x v="0"/>
    <n v="4638747"/>
    <m/>
    <m/>
    <m/>
  </r>
  <r>
    <x v="15"/>
    <x v="7"/>
    <s v="F:\images\20210309\plaque 2/@03 Testo+ EE2 64/H3_02.tif "/>
    <s v=" 53533.9892 "/>
    <s v=" 75.4929 "/>
    <x v="0"/>
    <n v="4041438"/>
    <m/>
    <m/>
    <m/>
  </r>
  <r>
    <x v="15"/>
    <x v="7"/>
    <s v="F:\images\20210309\plaque 2/@03 Testo+ EE2 64/H3_03.tif "/>
    <s v=" 47499.2486 "/>
    <s v=" 79.8452 "/>
    <x v="0"/>
    <n v="3792586"/>
    <m/>
    <m/>
    <m/>
  </r>
  <r>
    <x v="1"/>
    <x v="8"/>
    <s v=" "/>
    <m/>
    <m/>
    <x v="1"/>
    <m/>
    <m/>
    <m/>
    <m/>
  </r>
  <r>
    <x v="1"/>
    <x v="8"/>
    <s v="group "/>
    <s v=" "/>
    <s v=" mean of mean fluo "/>
    <x v="2"/>
    <s v=" mean of total fluo "/>
    <s v=" SD total fluo "/>
    <s v=" n fluorescent "/>
    <s v=" n total"/>
  </r>
  <r>
    <x v="15"/>
    <x v="9"/>
    <s v="F:\images\20210309\plaque 2/@03 Testo+ EE2 64/ "/>
    <s v=" "/>
    <s v=" 74.72 "/>
    <x v="17"/>
    <s v=" 3293309.12 "/>
    <s v=" 1825386.4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6"/>
    <x v="0"/>
    <s v="F:\images\20210309\plaque 2/@04 Testo+ FAD/A4_01.tif "/>
    <s v=" 778.6762 "/>
    <n v="65"/>
    <x v="0"/>
    <n v="50614"/>
    <m/>
    <m/>
    <m/>
  </r>
  <r>
    <x v="16"/>
    <x v="0"/>
    <s v="F:\images\20210309\plaque 2/@04 Testo+ FAD/A4_02.tif "/>
    <s v=" 3850.1212 "/>
    <s v=" 66.7865 "/>
    <x v="0"/>
    <n v="257136"/>
    <m/>
    <m/>
    <m/>
  </r>
  <r>
    <x v="16"/>
    <x v="0"/>
    <s v="F:\images\20210309\plaque 2/@04 Testo+ FAD/A4_03.tif "/>
    <s v=" 2703.7368 "/>
    <s v=" 66.888 "/>
    <x v="0"/>
    <n v="180848"/>
    <m/>
    <m/>
    <m/>
  </r>
  <r>
    <x v="16"/>
    <x v="1"/>
    <s v="F:\images\20210309\plaque 2/@04 Testo+ FAD/B4_01.tif "/>
    <s v=" 389.3381 "/>
    <s v=" 63.5 "/>
    <x v="0"/>
    <n v="24723"/>
    <m/>
    <m/>
    <m/>
  </r>
  <r>
    <x v="16"/>
    <x v="1"/>
    <s v="F:\images\20210309\plaque 2/@04 Testo+ FAD/B4_02.tif "/>
    <s v=" 237.9288 "/>
    <s v=" 68.1818 "/>
    <x v="0"/>
    <n v="16222"/>
    <m/>
    <m/>
    <m/>
  </r>
  <r>
    <x v="16"/>
    <x v="1"/>
    <s v="F:\images\20210309\plaque 2/@04 Testo+ FAD/B4_03.tif "/>
    <s v=" 389.3381 "/>
    <s v=" 63.3333 "/>
    <x v="0"/>
    <n v="24658"/>
    <m/>
    <m/>
    <m/>
  </r>
  <r>
    <x v="16"/>
    <x v="2"/>
    <s v="F:\images\20210309\plaque 2/@04 Testo+ FAD/C4_01.tif "/>
    <s v=" 692.1566 "/>
    <s v=" 62.375 "/>
    <x v="0"/>
    <n v="43173"/>
    <m/>
    <m/>
    <m/>
  </r>
  <r>
    <x v="16"/>
    <x v="2"/>
    <s v="F:\images\20210309\plaque 2/@04 Testo+ FAD/C4_02.tif "/>
    <s v=" 648.8968 "/>
    <s v=" 62.6 "/>
    <x v="0"/>
    <n v="40621"/>
    <m/>
    <m/>
    <m/>
  </r>
  <r>
    <x v="16"/>
    <x v="2"/>
    <s v="F:\images\20210309\plaque 2/@04 Testo+ FAD/C4_03.tif "/>
    <s v=" 1535.7225 "/>
    <s v=" 65.5493 "/>
    <x v="0"/>
    <n v="100666"/>
    <m/>
    <m/>
    <m/>
  </r>
  <r>
    <x v="16"/>
    <x v="3"/>
    <s v="F:\images\20210309\plaque 2/@04 Testo+ FAD/D4_01.tif "/>
    <s v=" 11528.7338 "/>
    <s v=" 82.1051 "/>
    <x v="0"/>
    <n v="946567"/>
    <m/>
    <m/>
    <m/>
  </r>
  <r>
    <x v="16"/>
    <x v="3"/>
    <s v="F:\images\20210309\plaque 2/@04 Testo+ FAD/D4_02.tif "/>
    <s v=" 7310.9044 "/>
    <s v=" 75.1213 "/>
    <x v="0"/>
    <n v="549205"/>
    <m/>
    <m/>
    <m/>
  </r>
  <r>
    <x v="16"/>
    <x v="3"/>
    <s v="F:\images\20210309\plaque 2/@04 Testo+ FAD/D4_03.tif "/>
    <s v=" 9171.0753 "/>
    <s v=" 77.8208 "/>
    <x v="0"/>
    <n v="713700"/>
    <m/>
    <m/>
    <m/>
  </r>
  <r>
    <x v="16"/>
    <x v="4"/>
    <s v="F:\images\20210309\plaque 2/@04 Testo+ FAD/E4_01.tif "/>
    <s v=" 8716.8475 "/>
    <s v=" 70.7692 "/>
    <x v="0"/>
    <n v="616885"/>
    <m/>
    <m/>
    <m/>
  </r>
  <r>
    <x v="16"/>
    <x v="4"/>
    <s v="F:\images\20210309\plaque 2/@04 Testo+ FAD/E4_02.tif "/>
    <s v=" 432.5979 "/>
    <s v=" 63.3 "/>
    <x v="0"/>
    <n v="27383"/>
    <m/>
    <m/>
    <m/>
  </r>
  <r>
    <x v="16"/>
    <x v="4"/>
    <s v="F:\images\20210309\plaque 2/@04 Testo+ FAD/E4_03- exclu.tif"/>
    <m/>
    <m/>
    <x v="1"/>
    <m/>
    <m/>
    <m/>
    <m/>
  </r>
  <r>
    <x v="16"/>
    <x v="5"/>
    <s v="F:\images\20210309\plaque 2/@04 Testo+ FAD/F4_01.tif "/>
    <s v=" 259.5587 "/>
    <s v=" 62.0833 "/>
    <x v="0"/>
    <n v="16114"/>
    <m/>
    <m/>
    <m/>
  </r>
  <r>
    <x v="16"/>
    <x v="5"/>
    <s v="F:\images\20210309\plaque 2/@04 Testo+ FAD/F4_02- exclu.tif"/>
    <m/>
    <m/>
    <x v="1"/>
    <m/>
    <m/>
    <m/>
    <m/>
  </r>
  <r>
    <x v="16"/>
    <x v="5"/>
    <s v="F:\images\20210309\plaque 2/@04 Testo+ FAD/F4_03.tif "/>
    <s v=" 886.8257 "/>
    <s v=" 63.4146 "/>
    <x v="0"/>
    <n v="56238"/>
    <m/>
    <m/>
    <m/>
  </r>
  <r>
    <x v="16"/>
    <x v="6"/>
    <s v="F:\images\20210309\plaque 2/@04 Testo+ FAD/G4_01.tif "/>
    <s v=" 6532.2282 "/>
    <s v=" 76.5662 "/>
    <x v="0"/>
    <n v="500148"/>
    <m/>
    <m/>
    <m/>
  </r>
  <r>
    <x v="16"/>
    <x v="6"/>
    <s v="F:\images\20210309\plaque 2/@04 Testo+ FAD/G4_02.tif "/>
    <s v=" 5169.5448 "/>
    <s v=" 74.5941 "/>
    <x v="0"/>
    <n v="385618"/>
    <m/>
    <m/>
    <m/>
  </r>
  <r>
    <x v="16"/>
    <x v="6"/>
    <s v="F:\images\20210309\plaque 2/@04 Testo+ FAD/G4_03.tif "/>
    <s v=" 6056.3705 "/>
    <s v=" 75.825 "/>
    <x v="0"/>
    <n v="459224"/>
    <m/>
    <m/>
    <m/>
  </r>
  <r>
    <x v="16"/>
    <x v="7"/>
    <s v="F:\images\20210309\plaque 2/@04 Testo+ FAD/H4_01.tif "/>
    <s v=" 2638.8471 "/>
    <s v=" 67.1066 "/>
    <x v="0"/>
    <n v="177084"/>
    <m/>
    <m/>
    <m/>
  </r>
  <r>
    <x v="16"/>
    <x v="7"/>
    <s v="F:\images\20210309\plaque 2/@04 Testo+ FAD/H4_02.tif "/>
    <s v=" 4390.8686 "/>
    <s v=" 68.4236 "/>
    <x v="0"/>
    <n v="300439"/>
    <m/>
    <m/>
    <m/>
  </r>
  <r>
    <x v="16"/>
    <x v="7"/>
    <s v="F:\images\20210309\plaque 2/@04 Testo+ FAD/H4_03.tif "/>
    <s v=" 1059.8648 "/>
    <s v=" 63.8776 "/>
    <x v="0"/>
    <n v="67702"/>
    <m/>
    <m/>
    <m/>
  </r>
  <r>
    <x v="1"/>
    <x v="8"/>
    <s v=" "/>
    <m/>
    <m/>
    <x v="1"/>
    <m/>
    <m/>
    <m/>
    <m/>
  </r>
  <r>
    <x v="1"/>
    <x v="8"/>
    <s v="group "/>
    <s v=" "/>
    <s v=" mean of mean fluo "/>
    <x v="2"/>
    <s v=" mean of total fluo "/>
    <s v=" SD total fluo "/>
    <s v=" n fluorescent "/>
    <s v=" n total"/>
  </r>
  <r>
    <x v="16"/>
    <x v="9"/>
    <s v="F:\images\20210309\plaque 2/@04 Testo+ FAD/ "/>
    <s v=" "/>
    <s v=" 68.1144 "/>
    <x v="18"/>
    <s v=" 243878.875 "/>
    <s v=" 263956.31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7"/>
    <x v="0"/>
    <s v="F:\images\20210309\plaque 2/@05 Testosterone 3.7 µg_L dopé/A5_01.tif "/>
    <s v=" 15270.7056 "/>
    <s v=" 65.8484 "/>
    <x v="0"/>
    <n v="1005552"/>
    <m/>
    <m/>
    <m/>
  </r>
  <r>
    <x v="17"/>
    <x v="0"/>
    <s v="F:\images\20210309\plaque 2/@05 Testosterone 3.7 µg_L dopé/A5_02- exclu.tif"/>
    <m/>
    <m/>
    <x v="1"/>
    <m/>
    <m/>
    <m/>
    <m/>
  </r>
  <r>
    <x v="17"/>
    <x v="0"/>
    <s v="F:\images\20210309\plaque 2/@05 Testosterone 3.7 µg_L dopé/A5_03.tif "/>
    <s v=" 16330.5704 "/>
    <s v=" 65.9457 "/>
    <x v="0"/>
    <n v="1076931"/>
    <m/>
    <m/>
    <m/>
  </r>
  <r>
    <x v="17"/>
    <x v="1"/>
    <s v="F:\images\20210309\plaque 2/@05 Testosterone 3.7 µg_L dopé/B5_01.tif "/>
    <s v=" 38046.9847 "/>
    <s v=" 71.0563 "/>
    <x v="0"/>
    <n v="2703477"/>
    <m/>
    <m/>
    <m/>
  </r>
  <r>
    <x v="17"/>
    <x v="1"/>
    <s v="F:\images\20210309\plaque 2/@05 Testosterone 3.7 µg_L dopé/B5_02- exclu.tif"/>
    <m/>
    <m/>
    <x v="1"/>
    <m/>
    <m/>
    <m/>
    <m/>
  </r>
  <r>
    <x v="17"/>
    <x v="1"/>
    <s v="F:\images\20210309\plaque 2/@05 Testosterone 3.7 µg_L dopé/B5_03.tif "/>
    <s v=" 38003.7249 "/>
    <s v=" 70.5139 "/>
    <x v="0"/>
    <n v="2679793"/>
    <m/>
    <m/>
    <m/>
  </r>
  <r>
    <x v="17"/>
    <x v="2"/>
    <s v="F:\images\20210309\plaque 2/@05 Testosterone 3.7 µg_L dopé/C5_01.tif "/>
    <s v=" 32142.0234 "/>
    <s v=" 69.4825 "/>
    <x v="0"/>
    <n v="2233308"/>
    <m/>
    <m/>
    <m/>
  </r>
  <r>
    <x v="17"/>
    <x v="2"/>
    <s v="F:\images\20210309\plaque 2/@05 Testosterone 3.7 µg_L dopé/C5_02.tif "/>
    <s v=" 30692.8205 "/>
    <s v=" 71.1698 "/>
    <x v="0"/>
    <n v="2184403"/>
    <m/>
    <m/>
    <m/>
  </r>
  <r>
    <x v="17"/>
    <x v="2"/>
    <s v="F:\images\20210309\plaque 2/@05 Testosterone 3.7 µg_L dopé/C5_03.tif "/>
    <s v=" 21673.1544 "/>
    <s v=" 66.0449 "/>
    <x v="0"/>
    <n v="1431402"/>
    <m/>
    <m/>
    <m/>
  </r>
  <r>
    <x v="17"/>
    <x v="3"/>
    <s v="F:\images\20210309\plaque 2/@05 Testosterone 3.7 µg_L dopé/D5_01.tif "/>
    <s v=" 42005.2554 "/>
    <s v=" 70.0407 "/>
    <x v="0"/>
    <n v="2942077"/>
    <m/>
    <m/>
    <m/>
  </r>
  <r>
    <x v="17"/>
    <x v="3"/>
    <s v="F:\images\20210309\plaque 2/@05 Testosterone 3.7 µg_L dopé/D5_02.tif "/>
    <s v=" 35451.3973 "/>
    <s v=" 68.8621 "/>
    <x v="0"/>
    <n v="2441258"/>
    <m/>
    <m/>
    <m/>
  </r>
  <r>
    <x v="17"/>
    <x v="3"/>
    <s v="F:\images\20210309\plaque 2/@05 Testosterone 3.7 µg_L dopé/D5_03.tif "/>
    <s v=" 35862.3653 "/>
    <s v=" 67.7479 "/>
    <x v="0"/>
    <n v="2429600"/>
    <m/>
    <m/>
    <m/>
  </r>
  <r>
    <x v="17"/>
    <x v="4"/>
    <s v="F:\images\20210309\plaque 2/@05 Testosterone 3.7 µg_L dopé/E5_01.tif "/>
    <s v=" 56627.0641 "/>
    <s v=" 74.8358 "/>
    <x v="0"/>
    <n v="4237729"/>
    <m/>
    <m/>
    <m/>
  </r>
  <r>
    <x v="17"/>
    <x v="4"/>
    <s v="F:\images\20210309\plaque 2/@05 Testosterone 3.7 µg_L dopé/E5_02.tif "/>
    <s v=" 53836.8077 "/>
    <s v=" 73.4789 "/>
    <x v="0"/>
    <n v="3955870"/>
    <m/>
    <m/>
    <m/>
  </r>
  <r>
    <x v="17"/>
    <x v="4"/>
    <s v="F:\images\20210309\plaque 2/@05 Testosterone 3.7 µg_L dopé/E5_03.tif "/>
    <s v=" 54680.3736 "/>
    <s v=" 73.2211 "/>
    <x v="0"/>
    <n v="4003758"/>
    <m/>
    <m/>
    <m/>
  </r>
  <r>
    <x v="17"/>
    <x v="5"/>
    <s v="F:\images\20210309\plaque 2/@05 Testosterone 3.7 µg_L dopé/F5_01.tif "/>
    <s v=" 454.2278 "/>
    <s v=" 64.1429 "/>
    <x v="0"/>
    <n v="29135"/>
    <m/>
    <m/>
    <m/>
  </r>
  <r>
    <x v="17"/>
    <x v="5"/>
    <s v="F:\images\20210309\plaque 2/@05 Testosterone 3.7 µg_L dopé/F5_02- exclu.tif"/>
    <m/>
    <m/>
    <x v="1"/>
    <m/>
    <m/>
    <m/>
    <m/>
  </r>
  <r>
    <x v="17"/>
    <x v="5"/>
    <s v="F:\images\20210309\plaque 2/@05 Testosterone 3.7 µg_L dopé/F5_03.tif "/>
    <s v=" 1168.0143 "/>
    <s v=" 62.4259 "/>
    <x v="0"/>
    <n v="72914"/>
    <m/>
    <m/>
    <m/>
  </r>
  <r>
    <x v="17"/>
    <x v="6"/>
    <s v="F:\images\20210309\plaque 2/@05 Testosterone 3.7 µg_L dopé/G5_01.tif "/>
    <s v=" 2054.84 "/>
    <s v=" 64.2842 "/>
    <x v="0"/>
    <n v="132094"/>
    <m/>
    <m/>
    <m/>
  </r>
  <r>
    <x v="17"/>
    <x v="6"/>
    <s v="F:\images\20210309\plaque 2/@05 Testosterone 3.7 µg_L dopé/G5_02- exclu.tif"/>
    <m/>
    <m/>
    <x v="1"/>
    <m/>
    <m/>
    <m/>
    <m/>
  </r>
  <r>
    <x v="17"/>
    <x v="6"/>
    <s v="F:\images\20210309\plaque 2/@05 Testosterone 3.7 µg_L dopé/G5_03.tif "/>
    <s v=" 2206.2493 "/>
    <s v=" 64.0294 "/>
    <x v="0"/>
    <n v="141265"/>
    <m/>
    <m/>
    <m/>
  </r>
  <r>
    <x v="17"/>
    <x v="7"/>
    <s v="F:\images\20210309\plaque 2/@05 Testosterone 3.7 µg_L dopé/H5_01.tif "/>
    <s v=" 12545.3389 "/>
    <s v=" 65.4655 "/>
    <x v="0"/>
    <n v="821287"/>
    <m/>
    <m/>
    <m/>
  </r>
  <r>
    <x v="17"/>
    <x v="7"/>
    <s v="F:\images\20210309\plaque 2/@05 Testosterone 3.7 µg_L dopé/H5_02.tif "/>
    <s v=" 9300.8547 "/>
    <s v=" 65.3372 "/>
    <x v="0"/>
    <n v="607692"/>
    <m/>
    <m/>
    <m/>
  </r>
  <r>
    <x v="17"/>
    <x v="7"/>
    <s v="F:\images\20210309\plaque 2/@05 Testosterone 3.7 µg_L dopé/H5_03.tif "/>
    <s v=" 8457.2888 "/>
    <s v=" 65.1381 "/>
    <x v="0"/>
    <n v="550892"/>
    <m/>
    <m/>
    <m/>
  </r>
  <r>
    <x v="1"/>
    <x v="8"/>
    <s v=" "/>
    <m/>
    <m/>
    <x v="1"/>
    <m/>
    <m/>
    <m/>
    <m/>
  </r>
  <r>
    <x v="1"/>
    <x v="8"/>
    <s v="group "/>
    <s v=" "/>
    <s v=" mean of mean fluo "/>
    <x v="2"/>
    <s v=" mean of total fluo "/>
    <s v=" SD total fluo "/>
    <s v=" n fluorescent "/>
    <s v=" n total"/>
  </r>
  <r>
    <x v="17"/>
    <x v="9"/>
    <s v="F:\images\20210309\plaque 2/@05 Testosterone 3.7 µg_L dopé/ "/>
    <s v=" "/>
    <s v=" 67.5562 "/>
    <x v="19"/>
    <s v=" 1644536.25 "/>
    <s v=" 1374920.5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8"/>
    <x v="0"/>
    <s v="F:\images\20210309\plaque 2/@06  Testosterone 11 µg_Ldopé/A6_01.tif "/>
    <s v=" 930.0855 "/>
    <s v=" 65.8837 "/>
    <x v="0"/>
    <n v="61277"/>
    <m/>
    <m/>
    <m/>
  </r>
  <r>
    <x v="18"/>
    <x v="0"/>
    <s v="F:\images\20210309\plaque 2/@06  Testosterone 11 µg_Ldopé/A6_02.tif "/>
    <s v=" 1881.8008 "/>
    <s v=" 64.1609 "/>
    <x v="0"/>
    <n v="120738"/>
    <m/>
    <m/>
    <m/>
  </r>
  <r>
    <x v="18"/>
    <x v="0"/>
    <s v="F:\images\20210309\plaque 2/@06  Testosterone 11 µg_Ldopé/A6_03.tif "/>
    <s v=" 151.4093 "/>
    <s v=" 64.7143 "/>
    <x v="0"/>
    <n v="9798"/>
    <m/>
    <m/>
    <m/>
  </r>
  <r>
    <x v="18"/>
    <x v="1"/>
    <s v="F:\images\20210309\plaque 2/@06  Testosterone 11 µg_Ldopé/B6_01.tif "/>
    <s v=" 7116.2353 "/>
    <s v=" 67.2979 "/>
    <x v="0"/>
    <n v="478907"/>
    <m/>
    <m/>
    <m/>
  </r>
  <r>
    <x v="18"/>
    <x v="1"/>
    <s v="F:\images\20210309\plaque 2/@06  Testosterone 11 µg_Ldopé/B6_02.tif "/>
    <s v=" 7137.8652 "/>
    <s v=" 66.6818 "/>
    <x v="0"/>
    <n v="475966"/>
    <m/>
    <m/>
    <m/>
  </r>
  <r>
    <x v="18"/>
    <x v="1"/>
    <s v="F:\images\20210309\plaque 2/@06  Testosterone 11 µg_Ldopé/B6_03.tif "/>
    <s v=" 9819.9722 "/>
    <s v=" 67.2533 "/>
    <x v="0"/>
    <n v="660426"/>
    <m/>
    <m/>
    <m/>
  </r>
  <r>
    <x v="18"/>
    <x v="2"/>
    <s v="F:\images\20210309\plaque 2/@06  Testosterone 11 µg_Ldopé/C6_01.tif "/>
    <s v=" 2984.9255 "/>
    <s v=" 66.5507 "/>
    <x v="0"/>
    <n v="198649"/>
    <m/>
    <m/>
    <m/>
  </r>
  <r>
    <x v="18"/>
    <x v="2"/>
    <s v="F:\images\20210309\plaque 2/@06  Testosterone 11 µg_Ldopé/C6_02.tif "/>
    <s v=" 1687.1318 "/>
    <s v=" 64.6282 "/>
    <x v="0"/>
    <n v="109036"/>
    <m/>
    <m/>
    <m/>
  </r>
  <r>
    <x v="18"/>
    <x v="2"/>
    <s v="F:\images\20210309\plaque 2/@06  Testosterone 11 µg_Ldopé/C6_03.tif "/>
    <s v=" 605.637 "/>
    <s v=" 63.3571 "/>
    <x v="0"/>
    <n v="38371"/>
    <m/>
    <m/>
    <m/>
  </r>
  <r>
    <x v="18"/>
    <x v="3"/>
    <s v="F:\images\20210309\plaque 2/@06  Testosterone 11 µg_Ldopé/D6_01.tif "/>
    <s v=" 3785.2316 "/>
    <s v=" 64.7543 "/>
    <x v="0"/>
    <n v="245110"/>
    <m/>
    <m/>
    <m/>
  </r>
  <r>
    <x v="18"/>
    <x v="3"/>
    <s v="F:\images\20210309\plaque 2/@06  Testosterone 11 µg_Ldopé/D6_02.tif "/>
    <s v=" 2682.1069 "/>
    <s v=" 64.9597 "/>
    <x v="0"/>
    <n v="174229"/>
    <m/>
    <m/>
    <m/>
  </r>
  <r>
    <x v="18"/>
    <x v="3"/>
    <s v="F:\images\20210309\plaque 2/@06  Testosterone 11 µg_Ldopé/D6_03.tif "/>
    <s v=" 3655.4522 "/>
    <s v=" 65.1775 "/>
    <x v="0"/>
    <n v="238253"/>
    <m/>
    <m/>
    <m/>
  </r>
  <r>
    <x v="18"/>
    <x v="4"/>
    <s v="F:\images\20210309\plaque 2/@06  Testosterone 11 µg_Ldopé/E6_01.tif "/>
    <s v=" 41810.5863 "/>
    <s v=" 70.6834 "/>
    <x v="0"/>
    <n v="2955314"/>
    <m/>
    <m/>
    <m/>
  </r>
  <r>
    <x v="18"/>
    <x v="4"/>
    <s v="F:\images\20210309\plaque 2/@06  Testosterone 11 µg_Ldopé/E6_02.tif "/>
    <s v=" 48061.6259 "/>
    <s v=" 72.5684 "/>
    <x v="0"/>
    <n v="3487756"/>
    <m/>
    <m/>
    <m/>
  </r>
  <r>
    <x v="18"/>
    <x v="4"/>
    <s v="F:\images\20210309\plaque 2/@06  Testosterone 11 µg_Ldopé/E6_03.tif "/>
    <s v=" 43216.5295 "/>
    <s v=" 71.0846 "/>
    <x v="0"/>
    <n v="3072029"/>
    <m/>
    <m/>
    <m/>
  </r>
  <r>
    <x v="18"/>
    <x v="5"/>
    <s v="F:\images\20210309\plaque 2/@06  Testosterone 11 µg_Ldopé/F6_01.tif "/>
    <s v=" 26410.1013 "/>
    <s v=" 67.5061 "/>
    <x v="0"/>
    <n v="1782844"/>
    <m/>
    <m/>
    <m/>
  </r>
  <r>
    <x v="18"/>
    <x v="5"/>
    <s v="F:\images\20210309\plaque 2/@06  Testosterone 11 µg_Ldopé/F6_02.tif "/>
    <s v=" 28659.6104 "/>
    <s v=" 68.3517 "/>
    <x v="0"/>
    <n v="1958933"/>
    <m/>
    <m/>
    <m/>
  </r>
  <r>
    <x v="18"/>
    <x v="5"/>
    <s v="F:\images\20210309\plaque 2/@06  Testosterone 11 µg_Ldopé/F6_03.tif "/>
    <s v=" 26518.2508 "/>
    <s v=" 67.3385 "/>
    <x v="0"/>
    <n v="1785699"/>
    <m/>
    <m/>
    <m/>
  </r>
  <r>
    <x v="18"/>
    <x v="6"/>
    <s v="F:\images\20210309\plaque 2/@06  Testosterone 11 µg_Ldopé/G6_01.tif "/>
    <s v=" 4044.7903 "/>
    <s v=" 67.5027 "/>
    <x v="0"/>
    <n v="273034"/>
    <m/>
    <m/>
    <m/>
  </r>
  <r>
    <x v="18"/>
    <x v="6"/>
    <s v="F:\images\20210309\plaque 2/@06  Testosterone 11 µg_Ldopé/G6_02.tif "/>
    <s v=" 2292.7688 "/>
    <s v=" 65.6887 "/>
    <x v="0"/>
    <n v="150609"/>
    <m/>
    <m/>
    <m/>
  </r>
  <r>
    <x v="18"/>
    <x v="6"/>
    <s v="F:\images\20210309\plaque 2/@06  Testosterone 11 µg_Ldopé/G6_03.tif "/>
    <s v=" 2660.477 "/>
    <s v=" 66.1138 "/>
    <x v="0"/>
    <n v="175894"/>
    <m/>
    <m/>
    <m/>
  </r>
  <r>
    <x v="18"/>
    <x v="7"/>
    <s v="F:\images\20210309\plaque 2/@06  Testosterone 11 µg_Ldopé/H6_01.tif "/>
    <s v=" 10079.5309 "/>
    <s v=" 64.9464 "/>
    <x v="0"/>
    <n v="654629"/>
    <m/>
    <m/>
    <m/>
  </r>
  <r>
    <x v="18"/>
    <x v="7"/>
    <s v="F:\images\20210309\plaque 2/@06  Testosterone 11 µg_Ldopé/H6_02.tif "/>
    <s v=" 5472.3633 "/>
    <s v=" 63.9723 "/>
    <x v="0"/>
    <n v="350080"/>
    <m/>
    <m/>
    <m/>
  </r>
  <r>
    <x v="18"/>
    <x v="7"/>
    <s v="F:\images\20210309\plaque 2/@06  Testosterone 11 µg_Ldopé/H6_03.tif "/>
    <s v=" 8197.7301 "/>
    <s v=" 64.7889 "/>
    <x v="0"/>
    <n v="531122"/>
    <m/>
    <m/>
    <m/>
  </r>
  <r>
    <x v="1"/>
    <x v="8"/>
    <s v=" "/>
    <m/>
    <m/>
    <x v="1"/>
    <m/>
    <m/>
    <m/>
    <m/>
  </r>
  <r>
    <x v="1"/>
    <x v="8"/>
    <s v="group "/>
    <s v=" "/>
    <s v=" mean of mean fluo "/>
    <x v="2"/>
    <s v=" mean of total fluo "/>
    <s v=" SD total fluo "/>
    <s v=" n fluorescent "/>
    <s v=" n total"/>
  </r>
  <r>
    <x v="18"/>
    <x v="9"/>
    <s v="F:\images\20210309\plaque 2/@06  Testosterone 11 µg_Ldopé/ "/>
    <s v=" "/>
    <s v=" 66.4985 "/>
    <x v="20"/>
    <s v=" 832862.625 "/>
    <s v=" 1062490.4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9"/>
    <x v="0"/>
    <s v="F:\images\20210309\plaque 2/@07  Testosterone 33 µg_Ldopé/A7_01.tif "/>
    <s v=" 36424.7426 "/>
    <s v=" 72.3783 "/>
    <x v="0"/>
    <n v="2636360"/>
    <m/>
    <m/>
    <m/>
  </r>
  <r>
    <x v="19"/>
    <x v="0"/>
    <s v="F:\images\20210309\plaque 2/@07  Testosterone 33 µg_Ldopé/A7_02.tif "/>
    <s v=" 37268.3084 "/>
    <s v=" 70.7887 "/>
    <x v="0"/>
    <n v="2638177"/>
    <m/>
    <m/>
    <m/>
  </r>
  <r>
    <x v="19"/>
    <x v="0"/>
    <s v="F:\images\20210309\plaque 2/@07  Testosterone 33 µg_Ldopé/A7_03.tif "/>
    <s v=" 38847.2908 "/>
    <s v=" 71.0635 "/>
    <x v="0"/>
    <n v="2760623"/>
    <m/>
    <m/>
    <m/>
  </r>
  <r>
    <x v="19"/>
    <x v="1"/>
    <s v="F:\images\20210309\plaque 2/@07  Testosterone 33 µg_Ldopé/B7_01.tif "/>
    <s v=" 29416.6567 "/>
    <s v=" 68.6691 "/>
    <x v="0"/>
    <n v="2020016"/>
    <m/>
    <m/>
    <m/>
  </r>
  <r>
    <x v="19"/>
    <x v="1"/>
    <s v="F:\images\20210309\plaque 2/@07  Testosterone 33 µg_Ldopé/B7_02.tif "/>
    <s v=" 34305.0129 "/>
    <s v=" 69.6009 "/>
    <x v="0"/>
    <n v="2387659"/>
    <m/>
    <m/>
    <m/>
  </r>
  <r>
    <x v="19"/>
    <x v="1"/>
    <s v="F:\images\20210309\plaque 2/@07  Testosterone 33 µg_Ldopé/B7_03.tif "/>
    <s v=" 32617.8811 "/>
    <s v=" 67.5199 "/>
    <x v="0"/>
    <n v="2202356"/>
    <m/>
    <m/>
    <m/>
  </r>
  <r>
    <x v="19"/>
    <x v="2"/>
    <s v="F:\images\20210309\plaque 2/@07  Testosterone 33 µg_Ldopé/C7_01.tif "/>
    <s v=" 20829.5885 "/>
    <s v=" 67.3126 "/>
    <x v="0"/>
    <n v="1402093"/>
    <m/>
    <m/>
    <m/>
  </r>
  <r>
    <x v="19"/>
    <x v="2"/>
    <s v="F:\images\20210309\plaque 2/@07  Testosterone 33 µg_Ldopé/C7_02- exclu.tif"/>
    <m/>
    <m/>
    <x v="1"/>
    <m/>
    <m/>
    <m/>
    <m/>
  </r>
  <r>
    <x v="19"/>
    <x v="2"/>
    <s v="F:\images\20210309\plaque 2/@07  Testosterone 33 µg_Ldopé/C7_03.tif "/>
    <s v=" 17498.5848 "/>
    <s v=" 68.6341 "/>
    <x v="0"/>
    <n v="1201000"/>
    <m/>
    <m/>
    <m/>
  </r>
  <r>
    <x v="19"/>
    <x v="3"/>
    <s v="F:\images\20210309\plaque 2/@07  Testosterone 33 µg_Ldopé/D7_01.tif "/>
    <s v=" 22776.279 "/>
    <s v=" 69.094 "/>
    <x v="0"/>
    <n v="1573705"/>
    <m/>
    <m/>
    <m/>
  </r>
  <r>
    <x v="19"/>
    <x v="3"/>
    <s v="F:\images\20210309\plaque 2/@07  Testosterone 33 µg_Ldopé/D7_02.tif "/>
    <s v=" 20634.9195 "/>
    <s v=" 69.6761 "/>
    <x v="0"/>
    <n v="1437761"/>
    <m/>
    <m/>
    <m/>
  </r>
  <r>
    <x v="19"/>
    <x v="3"/>
    <s v="F:\images\20210309\plaque 2/@07  Testosterone 33 µg_Ldopé/D7_03.tif "/>
    <s v=" 20743.0689 "/>
    <s v=" 70.7581 "/>
    <x v="0"/>
    <n v="1467740"/>
    <m/>
    <m/>
    <m/>
  </r>
  <r>
    <x v="19"/>
    <x v="4"/>
    <s v="F:\images\20210309\plaque 2/@07  Testosterone 33 µg_Ldopé/E7_01.tif "/>
    <s v=" 41680.8069 "/>
    <s v=" 77.7763 "/>
    <x v="0"/>
    <n v="3241780"/>
    <m/>
    <m/>
    <m/>
  </r>
  <r>
    <x v="19"/>
    <x v="4"/>
    <s v="F:\images\20210309\plaque 2/@07  Testosterone 33 µg_Ldopé/E7_02.tif "/>
    <s v=" 40556.0524 "/>
    <s v=" 75.9547 "/>
    <x v="0"/>
    <n v="3080421"/>
    <m/>
    <m/>
    <m/>
  </r>
  <r>
    <x v="19"/>
    <x v="4"/>
    <s v="F:\images\20210309\plaque 2/@07  Testosterone 33 µg_Ldopé/E7_03.tif "/>
    <s v=" 48818.6722 "/>
    <s v=" 76.4914 "/>
    <x v="0"/>
    <n v="3734207"/>
    <m/>
    <m/>
    <m/>
  </r>
  <r>
    <x v="19"/>
    <x v="5"/>
    <s v="F:\images\20210309\plaque 2/@07  Testosterone 33 µg_Ldopé/F7_01.tif "/>
    <s v=" 37722.5362 "/>
    <s v=" 72.7603 "/>
    <x v="0"/>
    <n v="2744704"/>
    <m/>
    <m/>
    <m/>
  </r>
  <r>
    <x v="19"/>
    <x v="5"/>
    <s v="F:\images\20210309\plaque 2/@07  Testosterone 33 µg_Ldopé/F7_02.tif "/>
    <s v=" 36316.5931 "/>
    <s v=" 71.0191 "/>
    <x v="0"/>
    <n v="2579170"/>
    <m/>
    <m/>
    <m/>
  </r>
  <r>
    <x v="19"/>
    <x v="5"/>
    <s v="F:\images\20210309\plaque 2/@07  Testosterone 33 µg_Ldopé/F7_03.tif "/>
    <s v=" 35624.4365 "/>
    <s v=" 72.0698 "/>
    <x v="0"/>
    <n v="2567447"/>
    <m/>
    <m/>
    <m/>
  </r>
  <r>
    <x v="19"/>
    <x v="6"/>
    <s v="F:\images\20210309\plaque 2/@07  Testosterone 33 µg_Ldopé/G7_01.tif "/>
    <s v=" 27037.3683 "/>
    <s v=" 67.8304 "/>
    <x v="0"/>
    <n v="1833956"/>
    <m/>
    <m/>
    <m/>
  </r>
  <r>
    <x v="19"/>
    <x v="6"/>
    <s v="F:\images\20210309\plaque 2/@07  Testosterone 33 µg_Ldopé/G7_02.tif "/>
    <s v=" 26388.4714 "/>
    <s v=" 67.5115 "/>
    <x v="0"/>
    <n v="1781525"/>
    <m/>
    <m/>
    <m/>
  </r>
  <r>
    <x v="19"/>
    <x v="6"/>
    <s v="F:\images\20210309\plaque 2/@07  Testosterone 33 µg_Ldopé/G7_03.tif "/>
    <s v=" 20851.2184 "/>
    <s v=" 68.3465 "/>
    <x v="0"/>
    <n v="1425107"/>
    <m/>
    <m/>
    <m/>
  </r>
  <r>
    <x v="19"/>
    <x v="7"/>
    <s v="F:\images\20210309\plaque 2/@07  Testosterone 33 µg_Ldopé/H7_01.tif "/>
    <s v=" 23079.0976 "/>
    <s v=" 67.7938 "/>
    <x v="0"/>
    <n v="1564620"/>
    <m/>
    <m/>
    <m/>
  </r>
  <r>
    <x v="19"/>
    <x v="7"/>
    <s v="F:\images\20210309\plaque 2/@07  Testosterone 33 µg_Ldopé/H7_02.tif "/>
    <s v=" 19034.3073 "/>
    <s v=" 67.6205 "/>
    <x v="0"/>
    <n v="1287109"/>
    <m/>
    <m/>
    <m/>
  </r>
  <r>
    <x v="19"/>
    <x v="7"/>
    <s v="F:\images\20210309\plaque 2/@07  Testosterone 33 µg_Ldopé/H7_03.tif "/>
    <s v=" 19358.7557 "/>
    <s v=" 68.4559 "/>
    <x v="0"/>
    <n v="1325220"/>
    <m/>
    <m/>
    <m/>
  </r>
  <r>
    <x v="1"/>
    <x v="8"/>
    <s v=" "/>
    <m/>
    <m/>
    <x v="1"/>
    <m/>
    <m/>
    <m/>
    <m/>
  </r>
  <r>
    <x v="1"/>
    <x v="8"/>
    <s v="group "/>
    <s v=" "/>
    <s v=" mean of mean fluo "/>
    <x v="2"/>
    <s v=" mean of total fluo "/>
    <s v=" SD total fluo "/>
    <s v=" n fluorescent "/>
    <s v=" n total"/>
  </r>
  <r>
    <x v="19"/>
    <x v="9"/>
    <s v="F:\images\20210309\plaque 2/@07  Testosterone 33 µg_Ldopé/ "/>
    <s v=" "/>
    <s v=" 70.259 "/>
    <x v="21"/>
    <s v=" 2037863.29 "/>
    <s v=" 827493.59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0"/>
    <x v="0"/>
    <s v="F:\images\20210309\plaque 2/@08  Testosterone 100 µg_Ldopé/A8_01.tif "/>
    <s v=" 59525.47 "/>
    <s v=" 80.5487 "/>
    <x v="0"/>
    <n v="4794699"/>
    <m/>
    <m/>
    <m/>
  </r>
  <r>
    <x v="20"/>
    <x v="0"/>
    <s v="F:\images\20210309\plaque 2/@08  Testosterone 100 µg_Ldopé/A8_02.tif "/>
    <s v=" 58076.2671 "/>
    <s v=" 79.5847 "/>
    <x v="0"/>
    <n v="4621984"/>
    <m/>
    <m/>
    <m/>
  </r>
  <r>
    <x v="20"/>
    <x v="0"/>
    <s v="F:\images\20210309\plaque 2/@08  Testosterone 100 µg_Ldopé/A8_03.tif "/>
    <s v=" 59590.3597 "/>
    <s v=" 80.9474 "/>
    <x v="0"/>
    <n v="4823683"/>
    <m/>
    <m/>
    <m/>
  </r>
  <r>
    <x v="20"/>
    <x v="1"/>
    <s v="F:\images\20210309\plaque 2/@08  Testosterone 100 µg_Ldopé/B8_01.tif "/>
    <s v=" 5342.584 "/>
    <s v=" 64.9676 "/>
    <x v="0"/>
    <n v="347095"/>
    <m/>
    <m/>
    <m/>
  </r>
  <r>
    <x v="20"/>
    <x v="1"/>
    <s v="F:\images\20210309\plaque 2/@08  Testosterone 100 µg_Ldopé/B8_02.tif "/>
    <s v=" 4477.3882 "/>
    <s v=" 63.8889 "/>
    <x v="0"/>
    <n v="286055"/>
    <m/>
    <m/>
    <m/>
  </r>
  <r>
    <x v="20"/>
    <x v="1"/>
    <s v="F:\images\20210309\plaque 2/@08  Testosterone 100 µg_Ldopé/B8_03.tif "/>
    <s v=" 1946.6905 "/>
    <s v=" 63.7333 "/>
    <x v="0"/>
    <n v="124069"/>
    <m/>
    <m/>
    <m/>
  </r>
  <r>
    <x v="20"/>
    <x v="2"/>
    <s v="F:\images\20210309\plaque 2/@08  Testosterone 100 µg_Ldopé/C8_01.tif "/>
    <s v=" 10512.1288 "/>
    <s v=" 68.6132 "/>
    <x v="0"/>
    <n v="721270"/>
    <m/>
    <m/>
    <m/>
  </r>
  <r>
    <x v="20"/>
    <x v="2"/>
    <s v="F:\images\20210309\plaque 2/@08  Testosterone 100 µg_Ldopé/C8_02.tif "/>
    <s v=" 1708.7617 "/>
    <s v=" 63.9494 "/>
    <x v="0"/>
    <n v="109274"/>
    <m/>
    <m/>
    <m/>
  </r>
  <r>
    <x v="20"/>
    <x v="2"/>
    <s v="F:\images\20210309\plaque 2/@08  Testosterone 100 µg_Ldopé/C8_03.tif "/>
    <s v=" 6034.7406 "/>
    <s v=" 66.405 "/>
    <x v="0"/>
    <n v="400737"/>
    <m/>
    <m/>
    <m/>
  </r>
  <r>
    <x v="20"/>
    <x v="3"/>
    <s v="F:\images\20210309\plaque 2/@08  Testosterone 100 µg_Ldopé/D8_01.tif "/>
    <s v=" 39301.5185 "/>
    <s v=" 70.0567 "/>
    <x v="0"/>
    <n v="2753334"/>
    <m/>
    <m/>
    <m/>
  </r>
  <r>
    <x v="20"/>
    <x v="3"/>
    <s v="F:\images\20210309\plaque 2/@08  Testosterone 100 µg_Ldopé/D8_02.tif "/>
    <s v=" 36554.5219 "/>
    <s v=" 69.4893 "/>
    <x v="0"/>
    <n v="2540150"/>
    <m/>
    <m/>
    <m/>
  </r>
  <r>
    <x v="20"/>
    <x v="3"/>
    <s v="F:\images\20210309\plaque 2/@08  Testosterone 100 µg_Ldopé/D8_03.tif "/>
    <s v=" 38284.9135 "/>
    <s v=" 70.1153 "/>
    <x v="0"/>
    <n v="2684356"/>
    <m/>
    <m/>
    <m/>
  </r>
  <r>
    <x v="20"/>
    <x v="4"/>
    <s v="F:\images\20210309\plaque 2/@08  Testosterone 100 µg_Ldopé/E8_01.tif "/>
    <s v=" 31449.8668 "/>
    <s v=" 70.7717 "/>
    <x v="0"/>
    <n v="2225759"/>
    <m/>
    <m/>
    <m/>
  </r>
  <r>
    <x v="20"/>
    <x v="4"/>
    <s v="F:\images\20210309\plaque 2/@08  Testosterone 100 µg_Ldopé/E8_02.tif "/>
    <s v=" 26972.4786 "/>
    <s v=" 71.0241 "/>
    <x v="0"/>
    <n v="1915695"/>
    <m/>
    <m/>
    <m/>
  </r>
  <r>
    <x v="20"/>
    <x v="4"/>
    <s v="F:\images\20210309\plaque 2/@08  Testosterone 100 µg_Ldopé/E8_03.tif "/>
    <s v=" 29503.1763 "/>
    <s v=" 70.206 "/>
    <x v="0"/>
    <n v="2071300"/>
    <m/>
    <m/>
    <m/>
  </r>
  <r>
    <x v="20"/>
    <x v="5"/>
    <s v="F:\images\20210309\plaque 2/@08  Testosterone 100 µg_Ldopé/F8_01.tif "/>
    <s v=" 15140.9262 "/>
    <s v=" 70.6929 "/>
    <x v="0"/>
    <n v="1070355"/>
    <m/>
    <m/>
    <m/>
  </r>
  <r>
    <x v="20"/>
    <x v="5"/>
    <s v="F:\images\20210309\plaque 2/@08  Testosterone 100 µg_Ldopé/F8_02- exclu.tif"/>
    <m/>
    <m/>
    <x v="1"/>
    <m/>
    <m/>
    <m/>
    <m/>
  </r>
  <r>
    <x v="20"/>
    <x v="5"/>
    <s v="F:\images\20210309\plaque 2/@08  Testosterone 100 µg_Ldopé/F8_03.tif "/>
    <s v=" 19661.5742 "/>
    <s v=" 69.7272 "/>
    <x v="0"/>
    <n v="1370946"/>
    <m/>
    <m/>
    <m/>
  </r>
  <r>
    <x v="20"/>
    <x v="6"/>
    <s v="F:\images\20210309\plaque 2/@08  Testosterone 100 µg_Ldopé/G8_01.tif "/>
    <s v=" 65819.7694 "/>
    <s v=" 73.5965 "/>
    <x v="0"/>
    <n v="4844101"/>
    <m/>
    <m/>
    <m/>
  </r>
  <r>
    <x v="20"/>
    <x v="6"/>
    <s v="F:\images\20210309\plaque 2/@08  Testosterone 100 µg_Ldopé/G8_02.tif "/>
    <s v=" 54442.4448 "/>
    <s v=" 72.1625 "/>
    <x v="0"/>
    <n v="3928703"/>
    <m/>
    <m/>
    <m/>
  </r>
  <r>
    <x v="20"/>
    <x v="6"/>
    <s v="F:\images\20210309\plaque 2/@08  Testosterone 100 µg_Ldopé/G8_03.tif "/>
    <s v=" 57492.2599 "/>
    <s v=" 71.623 "/>
    <x v="0"/>
    <n v="4117770"/>
    <m/>
    <m/>
    <m/>
  </r>
  <r>
    <x v="20"/>
    <x v="7"/>
    <s v="F:\images\20210309\plaque 2/@08  Testosterone 100 µg_Ldopé/H8_01.tif "/>
    <s v=" 4801.8366 "/>
    <s v=" 65.5135 "/>
    <x v="0"/>
    <n v="314585"/>
    <m/>
    <m/>
    <m/>
  </r>
  <r>
    <x v="20"/>
    <x v="7"/>
    <s v="F:\images\20210309\plaque 2/@08  Testosterone 100 µg_Ldopé/H8_02- exclu.tif"/>
    <m/>
    <m/>
    <x v="1"/>
    <m/>
    <m/>
    <m/>
    <m/>
  </r>
  <r>
    <x v="20"/>
    <x v="7"/>
    <s v="F:\images\20210309\plaque 2/@08  Testosterone 100 µg_Ldopé/H8_03.tif "/>
    <s v=" 7072.9755 "/>
    <s v=" 68.9297 "/>
    <x v="0"/>
    <n v="487538"/>
    <m/>
    <m/>
    <m/>
  </r>
  <r>
    <x v="1"/>
    <x v="8"/>
    <s v=" "/>
    <m/>
    <m/>
    <x v="1"/>
    <m/>
    <m/>
    <m/>
    <m/>
  </r>
  <r>
    <x v="1"/>
    <x v="8"/>
    <s v="group "/>
    <s v=" "/>
    <s v=" mean of mean fluo "/>
    <x v="2"/>
    <s v=" mean of total fluo "/>
    <s v=" SD total fluo "/>
    <s v=" n fluorescent "/>
    <s v=" n total"/>
  </r>
  <r>
    <x v="20"/>
    <x v="9"/>
    <s v="F:\images\20210309\plaque 2/@08  Testosterone 100 µg_Ldopé/ "/>
    <s v=" "/>
    <s v=" 69.7361 "/>
    <x v="22"/>
    <s v=" 1950606.38 "/>
    <s v=" 1752254.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1"/>
    <x v="0"/>
    <s v="F:\images\20210309\plaque 2/@09  Testosterone 300 µg_L dopé/A9_01.tif "/>
    <s v=" 52885.0924 "/>
    <s v=" 76.6421 "/>
    <x v="0"/>
    <n v="4053226"/>
    <m/>
    <m/>
    <m/>
  </r>
  <r>
    <x v="21"/>
    <x v="0"/>
    <s v="F:\images\20210309\plaque 2/@09  Testosterone 300 µg_L dopé/A9_02.tif "/>
    <s v=" 48710.5227 "/>
    <s v=" 74.5662 "/>
    <x v="0"/>
    <n v="3632157"/>
    <m/>
    <m/>
    <m/>
  </r>
  <r>
    <x v="21"/>
    <x v="0"/>
    <s v="F:\images\20210309\plaque 2/@09  Testosterone 300 µg_L dopé/A9_03.tif "/>
    <s v=" 48342.8145 "/>
    <s v=" 75.7163 "/>
    <x v="0"/>
    <n v="3660341"/>
    <m/>
    <m/>
    <m/>
  </r>
  <r>
    <x v="21"/>
    <x v="1"/>
    <s v="F:\images\20210309\plaque 2/@09  Testosterone 300 µg_L dopé/B9_01.tif "/>
    <s v=" 54053.1067 "/>
    <s v=" 75.9376 "/>
    <x v="0"/>
    <n v="4104662"/>
    <m/>
    <m/>
    <m/>
  </r>
  <r>
    <x v="21"/>
    <x v="1"/>
    <s v="F:\images\20210309\plaque 2/@09  Testosterone 300 µg_L dopé/B9_02.tif "/>
    <s v=" 51435.8894 "/>
    <s v=" 74.9975 "/>
    <x v="0"/>
    <n v="3857562"/>
    <m/>
    <m/>
    <m/>
  </r>
  <r>
    <x v="21"/>
    <x v="1"/>
    <s v="F:\images\20210309\plaque 2/@09  Testosterone 300 µg_L dopé/B9_03.tif "/>
    <s v=" 53014.8717 "/>
    <s v=" 75.3158 "/>
    <x v="0"/>
    <n v="3992857"/>
    <m/>
    <m/>
    <m/>
  </r>
  <r>
    <x v="21"/>
    <x v="2"/>
    <s v="F:\images\20210309\plaque 2/@09  Testosterone 300 µg_L dopé/C9_01- exclu.tif"/>
    <m/>
    <m/>
    <x v="1"/>
    <m/>
    <m/>
    <m/>
    <m/>
  </r>
  <r>
    <x v="21"/>
    <x v="2"/>
    <s v="F:\images\20210309\plaque 2/@09  Testosterone 300 µg_L dopé/C9_02.tif "/>
    <s v=" 11507.1039 "/>
    <s v=" 68.3139 "/>
    <x v="0"/>
    <n v="786095"/>
    <m/>
    <m/>
    <m/>
  </r>
  <r>
    <x v="21"/>
    <x v="2"/>
    <s v="F:\images\20210309\plaque 2/@09  Testosterone 300 µg_L dopé/C9_03.tif "/>
    <s v=" 11420.5844 "/>
    <s v=" 66.0227 "/>
    <x v="0"/>
    <n v="754018"/>
    <m/>
    <m/>
    <m/>
  </r>
  <r>
    <x v="21"/>
    <x v="3"/>
    <s v="F:\images\20210309\plaque 2/@09  Testosterone 300 µg_L dopé/D9_01.tif "/>
    <s v=" 994.9752 "/>
    <s v=" 62.8478 "/>
    <x v="0"/>
    <n v="62532"/>
    <m/>
    <m/>
    <m/>
  </r>
  <r>
    <x v="21"/>
    <x v="3"/>
    <s v="F:\images\20210309\plaque 2/@09  Testosterone 300 µg_L dopé/D9_02.tif "/>
    <s v=" 1730.3916 "/>
    <s v=" 65.1875 "/>
    <x v="0"/>
    <n v="112800"/>
    <m/>
    <m/>
    <m/>
  </r>
  <r>
    <x v="21"/>
    <x v="3"/>
    <s v="F:\images\20210309\plaque 2/@09  Testosterone 300 µg_L dopé/D9_03- exclu.tif"/>
    <m/>
    <m/>
    <x v="1"/>
    <m/>
    <m/>
    <m/>
    <m/>
  </r>
  <r>
    <x v="21"/>
    <x v="4"/>
    <s v="F:\images\20210309\plaque 2/@09  Testosterone 300 µg_L dopé/E9_01.tif "/>
    <s v=" 28919.1691 "/>
    <s v=" 72.6537 "/>
    <x v="0"/>
    <n v="2101085"/>
    <m/>
    <m/>
    <m/>
  </r>
  <r>
    <x v="21"/>
    <x v="4"/>
    <s v="F:\images\20210309\plaque 2/@09  Testosterone 300 µg_L dopé/E9_02.tif "/>
    <s v=" 28097.2331 "/>
    <s v=" 71.6928 "/>
    <x v="0"/>
    <n v="2014370"/>
    <m/>
    <m/>
    <m/>
  </r>
  <r>
    <x v="21"/>
    <x v="4"/>
    <s v="F:\images\20210309\plaque 2/@09  Testosterone 300 µg_L dopé/E9_03.tif "/>
    <s v=" 29438.2866 "/>
    <s v=" 72.845 "/>
    <x v="0"/>
    <n v="2144431"/>
    <m/>
    <m/>
    <m/>
  </r>
  <r>
    <x v="21"/>
    <x v="5"/>
    <s v="F:\images\20210309\plaque 2/@09  Testosterone 300 µg_L dopé/F9_01.tif "/>
    <s v=" 33223.5181 "/>
    <s v=" 70.1771 "/>
    <x v="0"/>
    <n v="2331530"/>
    <m/>
    <m/>
    <m/>
  </r>
  <r>
    <x v="21"/>
    <x v="5"/>
    <s v="F:\images\20210309\plaque 2/@09  Testosterone 300 µg_L dopé/F9_02.tif "/>
    <s v=" 28248.6424 "/>
    <s v=" 69.9012 "/>
    <x v="0"/>
    <n v="1974615"/>
    <m/>
    <m/>
    <m/>
  </r>
  <r>
    <x v="21"/>
    <x v="5"/>
    <s v="F:\images\20210309\plaque 2/@09  Testosterone 300 µg_L dopé/F9_03.tif "/>
    <s v=" 35883.9952 "/>
    <s v=" 71.267 "/>
    <x v="0"/>
    <n v="2557346"/>
    <m/>
    <m/>
    <m/>
  </r>
  <r>
    <x v="21"/>
    <x v="6"/>
    <s v="F:\images\20210309\plaque 2/@09  Testosterone 300 µg_L dopé/G9_01.tif "/>
    <s v=" 55718.6086 "/>
    <s v=" 77.3389 "/>
    <x v="0"/>
    <n v="4309216"/>
    <m/>
    <m/>
    <m/>
  </r>
  <r>
    <x v="21"/>
    <x v="6"/>
    <s v="F:\images\20210309\plaque 2/@09  Testosterone 300 µg_L dopé/G9_02.tif "/>
    <s v=" 50678.8431 "/>
    <s v=" 78.7746 "/>
    <x v="0"/>
    <n v="3992208"/>
    <m/>
    <m/>
    <m/>
  </r>
  <r>
    <x v="21"/>
    <x v="6"/>
    <s v="F:\images\20210309\plaque 2/@09  Testosterone 300 µg_L dopé/G9_03.tif "/>
    <s v=" 56107.9467 "/>
    <s v=" 76.3088 "/>
    <x v="0"/>
    <n v="4281529"/>
    <m/>
    <m/>
    <m/>
  </r>
  <r>
    <x v="21"/>
    <x v="7"/>
    <s v="F:\images\20210309\plaque 2/@09  Testosterone 300 µg_L dopé/H9_01.tif "/>
    <s v=" 5710.2922 "/>
    <s v=" 63.5909 "/>
    <x v="0"/>
    <n v="363123"/>
    <m/>
    <m/>
    <m/>
  </r>
  <r>
    <x v="21"/>
    <x v="7"/>
    <s v="F:\images\20210309\plaque 2/@09  Testosterone 300 µg_L dopé/H9_02.tif "/>
    <s v=" 2595.5874 "/>
    <s v=" 63.5917 "/>
    <x v="0"/>
    <n v="165058"/>
    <m/>
    <m/>
    <m/>
  </r>
  <r>
    <x v="21"/>
    <x v="7"/>
    <s v="F:\images\20210309\plaque 2/@09  Testosterone 300 µg_L dopé/H9_03.tif "/>
    <s v=" 1730.3916 "/>
    <s v=" 63.075 "/>
    <x v="0"/>
    <n v="109144"/>
    <m/>
    <m/>
    <m/>
  </r>
  <r>
    <x v="1"/>
    <x v="8"/>
    <s v=" "/>
    <m/>
    <m/>
    <x v="1"/>
    <m/>
    <m/>
    <m/>
    <m/>
  </r>
  <r>
    <x v="1"/>
    <x v="8"/>
    <s v="group "/>
    <s v=" "/>
    <s v=" mean of mean fluo "/>
    <x v="2"/>
    <s v=" mean of total fluo "/>
    <s v=" SD total fluo "/>
    <s v=" n fluorescent "/>
    <s v=" n total"/>
  </r>
  <r>
    <x v="21"/>
    <x v="9"/>
    <s v="F:\images\20210309\plaque 2/@09  Testosterone 300 µg_L dopé/ "/>
    <s v=" "/>
    <s v=" 70.7991 "/>
    <x v="23"/>
    <s v=" 2174399.29 "/>
    <s v=" 1627947.38 "/>
    <n v="24"/>
    <n v="24"/>
  </r>
  <r>
    <x v="1"/>
    <x v="8"/>
    <s v=" "/>
    <m/>
    <m/>
    <x v="1"/>
    <m/>
    <m/>
    <m/>
    <m/>
  </r>
  <r>
    <x v="1"/>
    <x v="8"/>
    <s v=" "/>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x v="0"/>
    <x v="0"/>
    <m/>
    <m/>
    <s v="Témoin solvant"/>
    <x v="0"/>
  </r>
  <r>
    <x v="1"/>
    <x v="0"/>
    <n v="22.5"/>
    <s v="ng/L"/>
    <s v="EE2"/>
    <x v="0"/>
  </r>
  <r>
    <x v="2"/>
    <x v="0"/>
    <n v="33.799999999999997"/>
    <s v="ng/L"/>
    <s v="EE2"/>
    <x v="0"/>
  </r>
  <r>
    <x v="3"/>
    <x v="0"/>
    <n v="50.6"/>
    <s v="ng/L"/>
    <s v="EE2"/>
    <x v="0"/>
  </r>
  <r>
    <x v="4"/>
    <x v="0"/>
    <n v="76"/>
    <s v="ng/L"/>
    <s v="EE2"/>
    <x v="0"/>
  </r>
  <r>
    <x v="5"/>
    <x v="0"/>
    <n v="114"/>
    <s v="ng/L"/>
    <s v="EE2"/>
    <x v="0"/>
  </r>
  <r>
    <x v="6"/>
    <x v="0"/>
    <n v="170.9"/>
    <s v="ng/L"/>
    <s v="EE2"/>
    <x v="0"/>
  </r>
  <r>
    <x v="7"/>
    <x v="0"/>
    <n v="488"/>
    <s v="ng/L"/>
    <s v="EE2"/>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9"/>
    <x v="0"/>
    <n v="30"/>
    <s v="µg/L"/>
    <s v="Testo "/>
    <x v="0"/>
  </r>
  <r>
    <x v="10"/>
    <x v="0"/>
    <n v="64"/>
    <s v="ng/L"/>
    <s v="Testo 30µg/L + EE2 "/>
    <x v="0"/>
  </r>
  <r>
    <x v="11"/>
    <x v="0"/>
    <n v="10"/>
    <s v="mg/L"/>
    <s v="Testo 30µg/L + FAD"/>
    <x v="0"/>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Tableau croisé dynamique3" cacheId="0" applyNumberFormats="0" applyBorderFormats="0" applyFontFormats="0" applyPatternFormats="0" applyAlignmentFormats="0" applyWidthHeightFormats="1" dataCaption="Valeurs" updatedVersion="6" minRefreshableVersion="3" rowGrandTotals="0" colGrandTotals="0" itemPrintTitles="1" createdVersion="5" indent="0" outline="1" outlineData="1" multipleFieldFilters="0">
  <location ref="K3:AF12" firstHeaderRow="1" firstDataRow="2" firstDataCol="1" rowPageCount="1" colPageCount="1"/>
  <pivotFields count="10">
    <pivotField axis="axisCol" subtotalTop="0" showAll="0">
      <items count="24">
        <item h="1" m="1" x="22"/>
        <item h="1" x="1"/>
        <item x="0"/>
        <item x="2"/>
        <item x="3"/>
        <item x="4"/>
        <item x="5"/>
        <item x="6"/>
        <item x="7"/>
        <item x="8"/>
        <item x="9"/>
        <item x="10"/>
        <item x="11"/>
        <item x="12"/>
        <item x="13"/>
        <item x="14"/>
        <item x="15"/>
        <item x="16"/>
        <item x="17"/>
        <item x="18"/>
        <item x="19"/>
        <item x="20"/>
        <item x="21"/>
        <item t="default"/>
      </items>
    </pivotField>
    <pivotField axis="axisRow" subtotalTop="0" showAll="0" sortType="ascending">
      <items count="11">
        <item h="1" x="9"/>
        <item x="0"/>
        <item x="1"/>
        <item x="2"/>
        <item x="3"/>
        <item x="4"/>
        <item x="5"/>
        <item x="6"/>
        <item x="7"/>
        <item h="1" x="8"/>
        <item t="default"/>
      </items>
    </pivotField>
    <pivotField subtotalTop="0" showAll="0"/>
    <pivotField subtotalTop="0" showAll="0"/>
    <pivotField subtotalTop="0" showAll="0"/>
    <pivotField axis="axisPage" subtotalTop="0" showAll="0">
      <items count="25">
        <item x="1"/>
        <item x="0"/>
        <item x="2"/>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 showAll="0"/>
  </pivotFields>
  <rowFields count="1">
    <field x="1"/>
  </rowFields>
  <rowItems count="8">
    <i>
      <x v="1"/>
    </i>
    <i>
      <x v="2"/>
    </i>
    <i>
      <x v="3"/>
    </i>
    <i>
      <x v="4"/>
    </i>
    <i>
      <x v="5"/>
    </i>
    <i>
      <x v="6"/>
    </i>
    <i>
      <x v="7"/>
    </i>
    <i>
      <x v="8"/>
    </i>
  </rowItems>
  <colFields count="1">
    <field x="0"/>
  </colFields>
  <colItems count="21">
    <i>
      <x v="2"/>
    </i>
    <i>
      <x v="3"/>
    </i>
    <i>
      <x v="4"/>
    </i>
    <i>
      <x v="5"/>
    </i>
    <i>
      <x v="6"/>
    </i>
    <i>
      <x v="7"/>
    </i>
    <i>
      <x v="8"/>
    </i>
    <i>
      <x v="9"/>
    </i>
    <i>
      <x v="10"/>
    </i>
    <i>
      <x v="11"/>
    </i>
    <i>
      <x v="12"/>
    </i>
    <i>
      <x v="13"/>
    </i>
    <i>
      <x v="14"/>
    </i>
    <i>
      <x v="15"/>
    </i>
    <i>
      <x v="16"/>
    </i>
    <i>
      <x v="17"/>
    </i>
    <i>
      <x v="18"/>
    </i>
    <i>
      <x v="19"/>
    </i>
    <i>
      <x v="20"/>
    </i>
    <i>
      <x v="21"/>
    </i>
    <i>
      <x v="22"/>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Tableau croisé dynamique3" cacheId="1" applyNumberFormats="0" applyBorderFormats="0" applyFontFormats="0" applyPatternFormats="0" applyAlignmentFormats="0" applyWidthHeightFormats="1" dataCaption="Valeurs" updatedVersion="6" minRefreshableVersion="3" rowGrandTotals="0" colGrandTotals="0" itemPrintTitles="1" createdVersion="5" indent="0" outline="1" outlineData="1" multipleFieldFilters="0">
  <location ref="K3:AF12" firstHeaderRow="1" firstDataRow="2" firstDataCol="1" rowPageCount="1" colPageCount="1"/>
  <pivotFields count="10">
    <pivotField axis="axisCol" subtotalTop="0" showAll="0">
      <items count="23">
        <item h="1" x="1"/>
        <item x="0"/>
        <item x="2"/>
        <item x="3"/>
        <item x="4"/>
        <item x="5"/>
        <item x="6"/>
        <item x="7"/>
        <item x="8"/>
        <item x="9"/>
        <item x="10"/>
        <item x="11"/>
        <item x="12"/>
        <item x="13"/>
        <item x="14"/>
        <item x="15"/>
        <item x="16"/>
        <item x="17"/>
        <item x="18"/>
        <item x="19"/>
        <item x="20"/>
        <item x="21"/>
        <item t="default"/>
      </items>
    </pivotField>
    <pivotField axis="axisRow" subtotalTop="0" showAll="0">
      <items count="11">
        <item h="1" x="8"/>
        <item x="0"/>
        <item x="1"/>
        <item x="2"/>
        <item x="3"/>
        <item x="4"/>
        <item x="5"/>
        <item x="6"/>
        <item x="7"/>
        <item h="1" x="9"/>
        <item t="default"/>
      </items>
    </pivotField>
    <pivotField subtotalTop="0" showAll="0"/>
    <pivotField subtotalTop="0" showAll="0"/>
    <pivotField subtotalTop="0" showAll="0"/>
    <pivotField axis="axisPage" subtotalTop="0" showAll="0">
      <items count="25">
        <item x="1"/>
        <item x="0"/>
        <item x="2"/>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 showAll="0"/>
  </pivotFields>
  <rowFields count="1">
    <field x="1"/>
  </rowFields>
  <rowItems count="8">
    <i>
      <x v="1"/>
    </i>
    <i>
      <x v="2"/>
    </i>
    <i>
      <x v="3"/>
    </i>
    <i>
      <x v="4"/>
    </i>
    <i>
      <x v="5"/>
    </i>
    <i>
      <x v="6"/>
    </i>
    <i>
      <x v="7"/>
    </i>
    <i>
      <x v="8"/>
    </i>
  </rowItems>
  <colFields count="1">
    <field x="0"/>
  </colFields>
  <colItems count="21">
    <i>
      <x v="1"/>
    </i>
    <i>
      <x v="2"/>
    </i>
    <i>
      <x v="3"/>
    </i>
    <i>
      <x v="4"/>
    </i>
    <i>
      <x v="5"/>
    </i>
    <i>
      <x v="6"/>
    </i>
    <i>
      <x v="7"/>
    </i>
    <i>
      <x v="8"/>
    </i>
    <i>
      <x v="9"/>
    </i>
    <i>
      <x v="10"/>
    </i>
    <i>
      <x v="11"/>
    </i>
    <i>
      <x v="12"/>
    </i>
    <i>
      <x v="13"/>
    </i>
    <i>
      <x v="14"/>
    </i>
    <i>
      <x v="15"/>
    </i>
    <i>
      <x v="16"/>
    </i>
    <i>
      <x v="17"/>
    </i>
    <i>
      <x v="18"/>
    </i>
    <i>
      <x v="19"/>
    </i>
    <i>
      <x v="20"/>
    </i>
    <i>
      <x v="21"/>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Tableau croisé dynamique3" cacheId="2" applyNumberFormats="0" applyBorderFormats="0" applyFontFormats="0" applyPatternFormats="0" applyAlignmentFormats="0" applyWidthHeightFormats="1" dataCaption="Valeurs" updatedVersion="6" minRefreshableVersion="3" rowGrandTotals="0" colGrandTotals="0" itemPrintTitles="1" createdVersion="5" indent="0" outline="1" outlineData="1" multipleFieldFilters="0">
  <location ref="K3:AF12" firstHeaderRow="1" firstDataRow="2" firstDataCol="1" rowPageCount="1" colPageCount="1"/>
  <pivotFields count="10">
    <pivotField axis="axisCol" subtotalTop="0" showAll="0">
      <items count="23">
        <item h="1" x="1"/>
        <item x="0"/>
        <item x="2"/>
        <item x="3"/>
        <item x="4"/>
        <item x="5"/>
        <item x="6"/>
        <item x="7"/>
        <item x="8"/>
        <item x="9"/>
        <item x="10"/>
        <item x="11"/>
        <item x="12"/>
        <item x="13"/>
        <item x="14"/>
        <item x="15"/>
        <item x="16"/>
        <item x="17"/>
        <item x="18"/>
        <item x="19"/>
        <item x="20"/>
        <item x="21"/>
        <item t="default"/>
      </items>
    </pivotField>
    <pivotField axis="axisRow" subtotalTop="0" showAll="0">
      <items count="11">
        <item h="1" x="8"/>
        <item x="0"/>
        <item x="1"/>
        <item x="2"/>
        <item x="3"/>
        <item x="4"/>
        <item x="5"/>
        <item x="6"/>
        <item x="7"/>
        <item h="1" x="9"/>
        <item t="default"/>
      </items>
    </pivotField>
    <pivotField subtotalTop="0" showAll="0"/>
    <pivotField subtotalTop="0" showAll="0"/>
    <pivotField subtotalTop="0" showAll="0"/>
    <pivotField axis="axisPage" subtotalTop="0" showAll="0">
      <items count="25">
        <item x="1"/>
        <item x="0"/>
        <item x="2"/>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 showAll="0"/>
  </pivotFields>
  <rowFields count="1">
    <field x="1"/>
  </rowFields>
  <rowItems count="8">
    <i>
      <x v="1"/>
    </i>
    <i>
      <x v="2"/>
    </i>
    <i>
      <x v="3"/>
    </i>
    <i>
      <x v="4"/>
    </i>
    <i>
      <x v="5"/>
    </i>
    <i>
      <x v="6"/>
    </i>
    <i>
      <x v="7"/>
    </i>
    <i>
      <x v="8"/>
    </i>
  </rowItems>
  <colFields count="1">
    <field x="0"/>
  </colFields>
  <colItems count="21">
    <i>
      <x v="1"/>
    </i>
    <i>
      <x v="2"/>
    </i>
    <i>
      <x v="3"/>
    </i>
    <i>
      <x v="4"/>
    </i>
    <i>
      <x v="5"/>
    </i>
    <i>
      <x v="6"/>
    </i>
    <i>
      <x v="7"/>
    </i>
    <i>
      <x v="8"/>
    </i>
    <i>
      <x v="9"/>
    </i>
    <i>
      <x v="10"/>
    </i>
    <i>
      <x v="11"/>
    </i>
    <i>
      <x v="12"/>
    </i>
    <i>
      <x v="13"/>
    </i>
    <i>
      <x v="14"/>
    </i>
    <i>
      <x v="15"/>
    </i>
    <i>
      <x v="16"/>
    </i>
    <i>
      <x v="17"/>
    </i>
    <i>
      <x v="18"/>
    </i>
    <i>
      <x v="19"/>
    </i>
    <i>
      <x v="20"/>
    </i>
    <i>
      <x v="21"/>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7EBC52-00CD-4364-A425-54249E53BA82}" name="Tableau croisé dynamique2" cacheId="3" applyNumberFormats="0" applyBorderFormats="0" applyFontFormats="0" applyPatternFormats="0" applyAlignmentFormats="0" applyWidthHeightFormats="1" dataCaption="Valeurs" updatedVersion="6" minRefreshableVersion="3" rowGrandTotals="0" colGrandTotals="0" itemPrintTitles="1" createdVersion="5" indent="0" outline="1" outlineData="1" multipleFieldFilters="0">
  <location ref="Q5:Q6" firstHeaderRow="1" firstDataRow="1" firstDataCol="1" rowPageCount="2" colPageCount="1"/>
  <pivotFields count="6">
    <pivotField axis="axisRow" showAll="0" defaultSubtotal="0">
      <items count="13">
        <item x="12"/>
        <item x="8"/>
        <item x="1"/>
        <item x="2"/>
        <item x="3"/>
        <item x="4"/>
        <item x="5"/>
        <item x="6"/>
        <item x="7"/>
        <item x="10"/>
        <item x="11"/>
        <item x="9"/>
        <item x="0"/>
      </items>
    </pivotField>
    <pivotField axis="axisPage" multipleItemSelectionAllowed="1" showAll="0" defaultSubtotal="0">
      <items count="3">
        <item x="2"/>
        <item x="1"/>
        <item h="1" x="0"/>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1">
    <i>
      <x v="1"/>
    </i>
  </rowItems>
  <colItems count="1">
    <i/>
  </colItems>
  <pageFields count="2">
    <pageField fld="1" hier="-1"/>
    <pageField fld="5" item="1"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EAF9C9-0BF8-4385-8AFD-DA7A17EBEF6D}" name="Tableau croisé dynamique3" cacheId="3" applyNumberFormats="0" applyBorderFormats="0" applyFontFormats="0" applyPatternFormats="0" applyAlignmentFormats="0" applyWidthHeightFormats="1" dataCaption="Valeurs" updatedVersion="6" minRefreshableVersion="3" rowGrandTotals="0" colGrandTotals="0" itemPrintTitles="1" createdVersion="5" indent="0" outline="1" outlineData="1" multipleFieldFilters="0">
  <location ref="U5:U6" firstHeaderRow="1" firstDataRow="1" firstDataCol="1" rowPageCount="2" colPageCount="1"/>
  <pivotFields count="6">
    <pivotField axis="axisRow" showAll="0" defaultSubtotal="0">
      <items count="13">
        <item x="12"/>
        <item x="8"/>
        <item x="1"/>
        <item x="2"/>
        <item x="3"/>
        <item x="4"/>
        <item x="5"/>
        <item x="6"/>
        <item x="7"/>
        <item x="10"/>
        <item x="11"/>
        <item x="9"/>
        <item x="0"/>
      </items>
    </pivotField>
    <pivotField axis="axisPage" multipleItemSelectionAllowed="1" showAll="0" defaultSubtotal="0">
      <items count="3">
        <item x="2"/>
        <item h="1" x="0"/>
        <item x="1"/>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1">
    <i>
      <x/>
    </i>
  </rowItems>
  <colItems count="1">
    <i/>
  </colItems>
  <pageFields count="2">
    <pageField fld="1" hier="-1"/>
    <pageField fld="5" item="0"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ste_groupe" displayName="liste_groupe" ref="A6:F58" totalsRowShown="0" headerRowDxfId="41" dataDxfId="40" tableBorderDxfId="39">
  <autoFilter ref="A6:F58" xr:uid="{00000000-0009-0000-0100-000001000000}"/>
  <tableColumns count="6">
    <tableColumn id="4" xr3:uid="{00000000-0010-0000-0000-000004000000}" name="Nom sur le graphique" dataDxfId="38">
      <calculatedColumnFormula>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calculatedColumnFormula>
    </tableColumn>
    <tableColumn id="1" xr3:uid="{00000000-0010-0000-0000-000001000000}" name="Code WF" dataDxfId="37">
      <calculatedColumnFormula>A2</calculatedColumnFormula>
    </tableColumn>
    <tableColumn id="2" xr3:uid="{00000000-0010-0000-0000-000002000000}" name="Concentration" dataDxfId="36">
      <calculatedColumnFormula>B2</calculatedColumnFormula>
    </tableColumn>
    <tableColumn id="10" xr3:uid="{00000000-0010-0000-0000-00000A000000}" name="Unité" dataDxfId="35"/>
    <tableColumn id="3" xr3:uid="{00000000-0010-0000-0000-000003000000}" name="Nom de l'échantillon donné par le client" dataDxfId="34">
      <calculatedColumnFormula>C2</calculatedColumnFormula>
    </tableColumn>
    <tableColumn id="9" xr3:uid="{00000000-0010-0000-0000-000009000000}" name="Dopage (+Testostérone / + EE2, ….)" dataDxfId="33"/>
  </tableColumns>
  <tableStyleInfo name="TableStyleLight15"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Tableau7" displayName="Tableau7" ref="A1:I7" totalsRowShown="0">
  <autoFilter ref="A1:I7" xr:uid="{00000000-0009-0000-0100-000007000000}"/>
  <tableColumns count="9">
    <tableColumn id="1" xr3:uid="{00000000-0010-0000-0100-000001000000}" name="Nom groupe"/>
    <tableColumn id="2" xr3:uid="{00000000-0010-0000-0100-000002000000}" name="N° de valeur"/>
    <tableColumn id="3" xr3:uid="{00000000-0010-0000-0100-000003000000}" name="file name"/>
    <tableColumn id="4" xr3:uid="{00000000-0010-0000-0100-000004000000}" name=" total area "/>
    <tableColumn id="5" xr3:uid="{00000000-0010-0000-0100-000005000000}" name=" mean intensity "/>
    <tableColumn id="6" xr3:uid="{00000000-0010-0000-0100-000006000000}" name=" "/>
    <tableColumn id="7" xr3:uid="{00000000-0010-0000-0100-000007000000}" name=" total fluorescence"/>
    <tableColumn id="8" xr3:uid="{00000000-0010-0000-0100-000008000000}" name="         "/>
    <tableColumn id="9" xr3:uid="{00000000-0010-0000-0100-000009000000}" name="nbre de larv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au4" displayName="Tableau4" ref="A1:J1557" totalsRowShown="0">
  <autoFilter ref="A1:J1557" xr:uid="{00000000-0009-0000-0100-000004000000}"/>
  <tableColumns count="10">
    <tableColumn id="1" xr3:uid="{00000000-0010-0000-0200-000001000000}" name="Nom groupe" dataDxfId="30">
      <calculatedColumnFormula>IFERROR(LEFT(RIGHT(C2,LEN(C2)-SEARCH("@",C2)),SEARCH("/",RIGHT(C2,LEN(C2)-SEARCH("@",C2)-1))),"")</calculatedColumnFormula>
    </tableColumn>
    <tableColumn id="2" xr3:uid="{00000000-0010-0000-0200-000002000000}" name="N° de valeur" dataDxfId="29">
      <calculatedColumnFormula>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calculatedColumnFormula>
    </tableColumn>
    <tableColumn id="3" xr3:uid="{00000000-0010-0000-0200-000003000000}" name="file name"/>
    <tableColumn id="4" xr3:uid="{00000000-0010-0000-0200-000004000000}" name=" total area "/>
    <tableColumn id="5" xr3:uid="{00000000-0010-0000-0200-000005000000}" name=" mean intensity "/>
    <tableColumn id="6" xr3:uid="{00000000-0010-0000-0200-000006000000}" name=" "/>
    <tableColumn id="7" xr3:uid="{00000000-0010-0000-0200-000007000000}" name=" total fluorescence"/>
    <tableColumn id="8" xr3:uid="{00000000-0010-0000-0200-000008000000}" name="         "/>
    <tableColumn id="9" xr3:uid="{00000000-0010-0000-0200-000009000000}" name="nbre de larves"/>
    <tableColumn id="10" xr3:uid="{929541C3-792B-4387-BDC7-2689CE7869FF}" name="Colonne1"/>
  </tableColumns>
  <tableStyleInfo name="TableStyleLight16"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au46" displayName="Tableau46" ref="A1:J1531" totalsRowShown="0">
  <autoFilter ref="A1:J1531" xr:uid="{00000000-0009-0000-0100-000005000000}"/>
  <tableColumns count="10">
    <tableColumn id="1" xr3:uid="{00000000-0010-0000-0300-000001000000}" name="Nom groupe" dataDxfId="26">
      <calculatedColumnFormula>IFERROR(LEFT(RIGHT(C2,LEN(C2)-SEARCH("@",C2)),SEARCH("/",RIGHT(C2,LEN(C2)-SEARCH("@",C2)-1))),"")</calculatedColumnFormula>
    </tableColumn>
    <tableColumn id="2" xr3:uid="{00000000-0010-0000-0300-000002000000}" name="N° de valeur" dataDxfId="25">
      <calculatedColumnFormula>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calculatedColumnFormula>
    </tableColumn>
    <tableColumn id="3" xr3:uid="{00000000-0010-0000-0300-000003000000}" name="file name"/>
    <tableColumn id="4" xr3:uid="{00000000-0010-0000-0300-000004000000}" name=" total area "/>
    <tableColumn id="5" xr3:uid="{00000000-0010-0000-0300-000005000000}" name=" mean intensity "/>
    <tableColumn id="6" xr3:uid="{00000000-0010-0000-0300-000006000000}" name=" "/>
    <tableColumn id="7" xr3:uid="{00000000-0010-0000-0300-000007000000}" name=" total fluorescence"/>
    <tableColumn id="8" xr3:uid="{00000000-0010-0000-0300-000008000000}" name="         "/>
    <tableColumn id="9" xr3:uid="{00000000-0010-0000-0300-000009000000}" name="nbre de larves"/>
    <tableColumn id="10" xr3:uid="{C23A44BF-F398-4B30-8DBE-E34685F8AC01}" name="Colonne1"/>
  </tableColumns>
  <tableStyleInfo name="TableStyleLight16"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au467" displayName="Tableau467" ref="A1:J1711" totalsRowShown="0">
  <autoFilter ref="A1:J1711" xr:uid="{00000000-0009-0000-0100-000006000000}"/>
  <tableColumns count="10">
    <tableColumn id="1" xr3:uid="{00000000-0010-0000-0400-000001000000}" name="Nom groupe" dataDxfId="22">
      <calculatedColumnFormula>IFERROR(LEFT(RIGHT(C2,LEN(C2)-SEARCH("@",C2)),SEARCH("/",RIGHT(C2,LEN(C2)-SEARCH("@",C2)-1))),"")</calculatedColumnFormula>
    </tableColumn>
    <tableColumn id="2" xr3:uid="{00000000-0010-0000-0400-000002000000}" name="N° de valeur" dataDxfId="21">
      <calculatedColumnFormula>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calculatedColumnFormula>
    </tableColumn>
    <tableColumn id="3" xr3:uid="{00000000-0010-0000-0400-000003000000}" name="file name"/>
    <tableColumn id="4" xr3:uid="{00000000-0010-0000-0400-000004000000}" name=" total area "/>
    <tableColumn id="5" xr3:uid="{00000000-0010-0000-0400-000005000000}" name=" mean intensity "/>
    <tableColumn id="6" xr3:uid="{00000000-0010-0000-0400-000006000000}" name=" "/>
    <tableColumn id="7" xr3:uid="{00000000-0010-0000-0400-000007000000}" name=" total fluorescence"/>
    <tableColumn id="8" xr3:uid="{00000000-0010-0000-0400-000008000000}" name="         "/>
    <tableColumn id="9" xr3:uid="{00000000-0010-0000-0400-000009000000}" name="nbre de larves"/>
    <tableColumn id="10" xr3:uid="{38A0A445-667A-43D0-99DD-18CB8774CEA5}" name="Colonne1"/>
  </tableColumns>
  <tableStyleInfo name="TableStyleLight16"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Tableau2" displayName="Tableau2" ref="A1:G2" totalsRowShown="0" headerRowDxfId="20" dataDxfId="19" tableBorderDxfId="18">
  <autoFilter ref="A1:G2" xr:uid="{00000000-0009-0000-0100-000002000000}"/>
  <tableColumns count="7">
    <tableColumn id="1" xr3:uid="{00000000-0010-0000-0500-000001000000}" name="Description" dataDxfId="17"/>
    <tableColumn id="2" xr3:uid="{00000000-0010-0000-0500-000002000000}" name="Problème" dataDxfId="16"/>
    <tableColumn id="3" xr3:uid="{00000000-0010-0000-0500-000003000000}" name="EqH RAPPORT" dataDxfId="15"/>
    <tableColumn id="4" xr3:uid="{00000000-0010-0000-0500-000004000000}" name="% atteinte du seuil RAPPORT" dataDxfId="14"/>
    <tableColumn id="5" xr3:uid="{00000000-0010-0000-0500-000005000000}" name="Valeur échelle sur graphique RAPPORT" dataDxfId="13"/>
    <tableColumn id="6" xr3:uid="{00000000-0010-0000-0500-000006000000}" name="EqH BASE DE DONNEES" dataDxfId="12"/>
    <tableColumn id="7" xr3:uid="{00000000-0010-0000-0500-000007000000}" name="% BASE DE DONNEES" dataDxfId="11"/>
  </tableColumns>
  <tableStyleInfo name="TableStyleLight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6000000}" name="Tableau3" displayName="Tableau3" ref="A1:N15" totalsRowShown="0" headerRowDxfId="10">
  <autoFilter ref="A1:N15" xr:uid="{00000000-0009-0000-0100-000003000000}"/>
  <tableColumns count="14">
    <tableColumn id="1" xr3:uid="{00000000-0010-0000-0600-000001000000}" name="Nom ND">
      <calculatedColumnFormula>Q6</calculatedColumnFormula>
    </tableColumn>
    <tableColumn id="2" xr3:uid="{00000000-0010-0000-0600-000002000000}" name="Nom D" dataDxfId="9">
      <calculatedColumnFormula>U6</calculatedColumnFormula>
    </tableColumn>
    <tableColumn id="3" xr3:uid="{00000000-0010-0000-0600-000003000000}" name="CHG-protocole"/>
    <tableColumn id="4" xr3:uid="{00000000-0010-0000-0600-000004000000}" name="CHG-dilution" dataDxfId="8">
      <calculatedColumnFormula>CONCATENATE(VLOOKUP(Tableau3[[#This Row],[Nom ND]],liste_groupe[],3,FALSE),VLOOKUP(Tableau3[[#This Row],[Nom ND]],liste_groupe[],4,FALSE))</calculatedColumnFormula>
    </tableColumn>
    <tableColumn id="5" xr3:uid="{00000000-0010-0000-0600-000005000000}" name="CHG-induction ND" dataDxfId="7">
      <calculatedColumnFormula>HLOOKUP(Tableau3[[#This Row],[Nom ND]],'pooled normalised values'!$B$74:$V$83,4,FALSE)</calculatedColumnFormula>
    </tableColumn>
    <tableColumn id="6" xr3:uid="{00000000-0010-0000-0600-000006000000}" name="CHG-test ND" dataDxfId="6">
      <calculatedColumnFormula>HLOOKUP(Tableau3[[#This Row],[Nom ND]],'pooled normalised values'!$B$74:$V$83,8,FALSE)</calculatedColumnFormula>
    </tableColumn>
    <tableColumn id="8" xr3:uid="{00000000-0010-0000-0600-000008000000}" name="CHG-EQH ND" dataDxfId="5">
      <calculatedColumnFormula>VLOOKUP(Tableau3[[#This Row],[Nom ND]],'summary results'!$A$6:$N$26,9,FALSE)</calculatedColumnFormula>
    </tableColumn>
    <tableColumn id="9" xr3:uid="{00000000-0010-0000-0600-000009000000}" name="CHG-% atteinte du seuil ND" dataDxfId="4">
      <calculatedColumnFormula>VLOOKUP(Tableau3[[#This Row],[Nom ND]],'summary results'!$A$6:$N$26,11,FALSE)</calculatedColumnFormula>
    </tableColumn>
    <tableColumn id="10" xr3:uid="{00000000-0010-0000-0600-00000A000000}" name="CHG-induction D" dataDxfId="3">
      <calculatedColumnFormula>HLOOKUP(Tableau3[[#This Row],[Nom D]],'pooled normalised values'!$B$74:$V$83,4,FALSE)</calculatedColumnFormula>
    </tableColumn>
    <tableColumn id="11" xr3:uid="{00000000-0010-0000-0600-00000B000000}" name="CHG-test D" dataDxfId="2">
      <calculatedColumnFormula>HLOOKUP(Tableau3[[#This Row],[Nom D]],'pooled normalised values'!$B$74:$V$83,8,FALSE)</calculatedColumnFormula>
    </tableColumn>
    <tableColumn id="13" xr3:uid="{00000000-0010-0000-0600-00000D000000}" name="CHG-EQH D" dataDxfId="1">
      <calculatedColumnFormula>VLOOKUP(Tableau3[[#This Row],[Nom D]],'summary results'!$A$29:$N$51,9,FALSE)</calculatedColumnFormula>
    </tableColumn>
    <tableColumn id="14" xr3:uid="{00000000-0010-0000-0600-00000E000000}" name="CHG-% atteinte seuil D" dataDxfId="0">
      <calculatedColumnFormula>VLOOKUP(Tableau3[[#This Row],[Nom D]],'summary results'!$A$29:$N$51,11,FALSE)</calculatedColumnFormula>
    </tableColumn>
    <tableColumn id="15" xr3:uid="{00000000-0010-0000-0600-00000F000000}" name="CHG-Testo+EE2">
      <calculatedColumnFormula>'summary results'!$G$30</calculatedColumnFormula>
    </tableColumn>
    <tableColumn id="16" xr3:uid="{00000000-0010-0000-0600-000010000000}" name="CHG-Testo+Fad">
      <calculatedColumnFormula>'summary results'!$G$31</calculatedColumnFormula>
    </tableColumn>
  </tableColumns>
  <tableStyleInfo name="TableStyleLight15" showFirstColumn="0" showLastColumn="0" showRowStripes="0"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58"/>
  <sheetViews>
    <sheetView showGridLines="0" tabSelected="1" zoomScale="55" zoomScaleNormal="55" workbookViewId="0">
      <selection activeCell="D44" sqref="D44"/>
    </sheetView>
  </sheetViews>
  <sheetFormatPr baseColWidth="10" defaultRowHeight="39" customHeight="1" x14ac:dyDescent="0.25"/>
  <cols>
    <col min="1" max="1" width="42" bestFit="1" customWidth="1"/>
    <col min="2" max="2" width="33.85546875" style="44" bestFit="1" customWidth="1"/>
    <col min="3" max="3" width="21.28515625" customWidth="1"/>
    <col min="4" max="4" width="30.42578125" customWidth="1"/>
    <col min="5" max="5" width="62.28515625" style="159" bestFit="1" customWidth="1"/>
    <col min="6" max="6" width="56.7109375" bestFit="1" customWidth="1"/>
    <col min="7" max="7" width="19.42578125" customWidth="1"/>
    <col min="8" max="8" width="15.28515625" customWidth="1"/>
    <col min="9" max="9" width="18" customWidth="1"/>
    <col min="10" max="10" width="19.5703125" bestFit="1" customWidth="1"/>
  </cols>
  <sheetData>
    <row r="1" spans="1:9" ht="39" customHeight="1" thickBot="1" x14ac:dyDescent="0.3">
      <c r="A1" s="198" t="s">
        <v>36</v>
      </c>
      <c r="B1" s="199"/>
      <c r="C1" s="199"/>
      <c r="D1" s="199"/>
      <c r="E1" s="199"/>
      <c r="F1" s="199"/>
      <c r="G1" s="199"/>
      <c r="H1" s="199"/>
      <c r="I1" s="200"/>
    </row>
    <row r="2" spans="1:9" ht="21" x14ac:dyDescent="0.35">
      <c r="A2" s="188" t="s">
        <v>17</v>
      </c>
      <c r="B2" s="42" t="s">
        <v>115</v>
      </c>
      <c r="C2" s="201"/>
      <c r="D2" s="202"/>
      <c r="E2" s="42" t="s">
        <v>21</v>
      </c>
      <c r="F2" s="213"/>
      <c r="G2" s="214"/>
      <c r="H2" s="214"/>
      <c r="I2" s="215"/>
    </row>
    <row r="3" spans="1:9" ht="21" x14ac:dyDescent="0.35">
      <c r="A3" s="189" t="s">
        <v>18</v>
      </c>
      <c r="B3" s="43" t="s">
        <v>115</v>
      </c>
      <c r="C3" s="203"/>
      <c r="D3" s="204"/>
      <c r="E3" s="43" t="s">
        <v>21</v>
      </c>
      <c r="F3" s="210"/>
      <c r="G3" s="211"/>
      <c r="H3" s="211"/>
      <c r="I3" s="212"/>
    </row>
    <row r="4" spans="1:9" ht="21.75" thickBot="1" x14ac:dyDescent="0.4">
      <c r="A4" s="190" t="s">
        <v>22</v>
      </c>
      <c r="B4" s="178" t="s">
        <v>115</v>
      </c>
      <c r="C4" s="205"/>
      <c r="D4" s="206"/>
      <c r="E4" s="178" t="s">
        <v>21</v>
      </c>
      <c r="F4" s="207"/>
      <c r="G4" s="208"/>
      <c r="H4" s="208"/>
      <c r="I4" s="209"/>
    </row>
    <row r="5" spans="1:9" s="1" customFormat="1" ht="65.25" customHeight="1" thickBot="1" x14ac:dyDescent="0.3">
      <c r="A5" s="198" t="s">
        <v>37</v>
      </c>
      <c r="B5" s="199"/>
      <c r="C5" s="199"/>
      <c r="D5" s="199"/>
      <c r="E5" s="199"/>
      <c r="F5" s="199"/>
      <c r="G5" s="199"/>
      <c r="H5" s="199"/>
      <c r="I5" s="200"/>
    </row>
    <row r="6" spans="1:9" s="109" customFormat="1" ht="39" customHeight="1" x14ac:dyDescent="0.35">
      <c r="A6" s="75" t="s">
        <v>35</v>
      </c>
      <c r="B6" s="100" t="s">
        <v>7</v>
      </c>
      <c r="C6" s="64" t="s">
        <v>19</v>
      </c>
      <c r="D6" s="64" t="s">
        <v>75</v>
      </c>
      <c r="E6" s="156" t="s">
        <v>51</v>
      </c>
      <c r="F6" s="108" t="s">
        <v>78</v>
      </c>
    </row>
    <row r="7" spans="1:9" s="165" customFormat="1" ht="39" customHeight="1" x14ac:dyDescent="0.35">
      <c r="A7"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Témoin solvant</v>
      </c>
      <c r="B7" s="161" t="s">
        <v>123</v>
      </c>
      <c r="C7" s="162"/>
      <c r="D7" s="163"/>
      <c r="E7" s="164" t="s">
        <v>125</v>
      </c>
      <c r="F7" s="110"/>
    </row>
    <row r="8" spans="1:9" s="165" customFormat="1" ht="39" customHeight="1" x14ac:dyDescent="0.35">
      <c r="A8"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EE2-22,5ng/L</v>
      </c>
      <c r="B8" s="161" t="s">
        <v>123</v>
      </c>
      <c r="C8" s="162">
        <v>22.5</v>
      </c>
      <c r="D8" s="163" t="s">
        <v>124</v>
      </c>
      <c r="E8" s="164" t="s">
        <v>126</v>
      </c>
      <c r="F8" s="110"/>
    </row>
    <row r="9" spans="1:9" s="165" customFormat="1" ht="39" customHeight="1" x14ac:dyDescent="0.35">
      <c r="A9"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EE2-33,8ng/L</v>
      </c>
      <c r="B9" s="161" t="s">
        <v>123</v>
      </c>
      <c r="C9" s="162">
        <v>33.799999999999997</v>
      </c>
      <c r="D9" s="163" t="s">
        <v>124</v>
      </c>
      <c r="E9" s="164" t="s">
        <v>126</v>
      </c>
      <c r="F9" s="110"/>
    </row>
    <row r="10" spans="1:9" s="165" customFormat="1" ht="39" customHeight="1" x14ac:dyDescent="0.35">
      <c r="A10"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EE2-50,6ng/L</v>
      </c>
      <c r="B10" s="161" t="s">
        <v>123</v>
      </c>
      <c r="C10" s="162">
        <v>50.6</v>
      </c>
      <c r="D10" s="163" t="s">
        <v>124</v>
      </c>
      <c r="E10" s="164" t="s">
        <v>126</v>
      </c>
      <c r="F10" s="110"/>
    </row>
    <row r="11" spans="1:9" s="165" customFormat="1" ht="39" customHeight="1" x14ac:dyDescent="0.35">
      <c r="A11"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EE2-76ng/L</v>
      </c>
      <c r="B11" s="161" t="s">
        <v>123</v>
      </c>
      <c r="C11" s="162">
        <v>76</v>
      </c>
      <c r="D11" s="163" t="s">
        <v>124</v>
      </c>
      <c r="E11" s="164" t="s">
        <v>126</v>
      </c>
      <c r="F11" s="110"/>
    </row>
    <row r="12" spans="1:9" s="165" customFormat="1" ht="39" customHeight="1" x14ac:dyDescent="0.35">
      <c r="A12"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EE2-114ng/L</v>
      </c>
      <c r="B12" s="161" t="s">
        <v>123</v>
      </c>
      <c r="C12" s="162">
        <v>114</v>
      </c>
      <c r="D12" s="163" t="s">
        <v>124</v>
      </c>
      <c r="E12" s="164" t="s">
        <v>126</v>
      </c>
      <c r="F12" s="110"/>
    </row>
    <row r="13" spans="1:9" s="165" customFormat="1" ht="39" customHeight="1" x14ac:dyDescent="0.35">
      <c r="A13"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EE2-170,9ng/L</v>
      </c>
      <c r="B13" s="161" t="s">
        <v>123</v>
      </c>
      <c r="C13" s="162">
        <v>170.9</v>
      </c>
      <c r="D13" s="163" t="s">
        <v>124</v>
      </c>
      <c r="E13" s="164" t="s">
        <v>126</v>
      </c>
      <c r="F13" s="110"/>
    </row>
    <row r="14" spans="1:9" s="165" customFormat="1" ht="39" customHeight="1" x14ac:dyDescent="0.35">
      <c r="A14"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EE2-488ng/L</v>
      </c>
      <c r="B14" s="161" t="s">
        <v>123</v>
      </c>
      <c r="C14" s="162">
        <v>488</v>
      </c>
      <c r="D14" s="163" t="s">
        <v>124</v>
      </c>
      <c r="E14" s="164" t="s">
        <v>126</v>
      </c>
      <c r="F14" s="110"/>
    </row>
    <row r="15" spans="1:9" s="165" customFormat="1" ht="39" customHeight="1" x14ac:dyDescent="0.35">
      <c r="A15" s="160" t="s">
        <v>4387</v>
      </c>
      <c r="B15" s="161"/>
      <c r="C15" s="162">
        <v>3.7</v>
      </c>
      <c r="D15" s="163" t="s">
        <v>127</v>
      </c>
      <c r="E15" s="164" t="s">
        <v>29</v>
      </c>
      <c r="F15" s="110"/>
    </row>
    <row r="16" spans="1:9" s="111" customFormat="1" ht="39" customHeight="1" x14ac:dyDescent="0.25">
      <c r="A16" s="160" t="s">
        <v>4388</v>
      </c>
      <c r="B16" s="40"/>
      <c r="C16" s="105">
        <v>11</v>
      </c>
      <c r="D16" s="163" t="s">
        <v>127</v>
      </c>
      <c r="E16" s="164" t="s">
        <v>29</v>
      </c>
      <c r="F16" s="110"/>
    </row>
    <row r="17" spans="1:6" s="111" customFormat="1" ht="39" customHeight="1" x14ac:dyDescent="0.25">
      <c r="A17" s="160" t="s">
        <v>4386</v>
      </c>
      <c r="B17" s="101"/>
      <c r="C17" s="105">
        <v>33</v>
      </c>
      <c r="D17" s="163" t="s">
        <v>127</v>
      </c>
      <c r="E17" s="164" t="s">
        <v>29</v>
      </c>
      <c r="F17" s="110"/>
    </row>
    <row r="18" spans="1:6" s="111" customFormat="1" ht="39" customHeight="1" x14ac:dyDescent="0.25">
      <c r="A18" s="160" t="s">
        <v>4389</v>
      </c>
      <c r="B18" s="40"/>
      <c r="C18" s="105">
        <v>100</v>
      </c>
      <c r="D18" s="163" t="s">
        <v>127</v>
      </c>
      <c r="E18" s="164" t="s">
        <v>29</v>
      </c>
      <c r="F18" s="110"/>
    </row>
    <row r="19" spans="1:6" s="111" customFormat="1" ht="39" customHeight="1" x14ac:dyDescent="0.25">
      <c r="A19" s="160" t="s">
        <v>4390</v>
      </c>
      <c r="B19" s="101"/>
      <c r="C19" s="105">
        <v>300</v>
      </c>
      <c r="D19" s="163" t="s">
        <v>127</v>
      </c>
      <c r="E19" s="164" t="s">
        <v>29</v>
      </c>
      <c r="F19" s="110"/>
    </row>
    <row r="20" spans="1:6" s="111" customFormat="1" ht="39" customHeight="1" x14ac:dyDescent="0.25">
      <c r="A20"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0" s="40"/>
      <c r="C20" s="105"/>
      <c r="D20" s="105"/>
      <c r="E20" s="40"/>
      <c r="F20" s="110"/>
    </row>
    <row r="21" spans="1:6" s="111" customFormat="1" ht="39" customHeight="1" x14ac:dyDescent="0.25">
      <c r="A21"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1" s="101"/>
      <c r="C21" s="105"/>
      <c r="D21" s="105"/>
      <c r="E21" s="101"/>
      <c r="F21" s="110"/>
    </row>
    <row r="22" spans="1:6" s="111" customFormat="1" ht="39" customHeight="1" x14ac:dyDescent="0.25">
      <c r="A22"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2" s="40"/>
      <c r="C22" s="105"/>
      <c r="D22" s="105"/>
      <c r="E22" s="40"/>
      <c r="F22" s="110"/>
    </row>
    <row r="23" spans="1:6" s="111" customFormat="1" ht="39" customHeight="1" x14ac:dyDescent="0.25">
      <c r="A23"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3" s="101"/>
      <c r="C23" s="105"/>
      <c r="D23" s="105"/>
      <c r="E23" s="101"/>
      <c r="F23" s="110"/>
    </row>
    <row r="24" spans="1:6" s="111" customFormat="1" ht="39" customHeight="1" x14ac:dyDescent="0.25">
      <c r="A24"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4" s="40"/>
      <c r="C24" s="105"/>
      <c r="D24" s="105"/>
      <c r="E24" s="40"/>
      <c r="F24" s="110"/>
    </row>
    <row r="25" spans="1:6" s="111" customFormat="1" ht="39" customHeight="1" x14ac:dyDescent="0.25">
      <c r="A25"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5" s="101"/>
      <c r="C25" s="105"/>
      <c r="D25" s="105"/>
      <c r="E25" s="101"/>
      <c r="F25" s="110"/>
    </row>
    <row r="26" spans="1:6" s="111" customFormat="1" ht="39" customHeight="1" x14ac:dyDescent="0.25">
      <c r="A26"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6" s="40"/>
      <c r="C26" s="105"/>
      <c r="D26" s="105"/>
      <c r="E26" s="40"/>
      <c r="F26" s="110"/>
    </row>
    <row r="27" spans="1:6" s="111" customFormat="1" ht="39" customHeight="1" x14ac:dyDescent="0.25">
      <c r="A27"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7" s="101"/>
      <c r="C27" s="105"/>
      <c r="D27" s="105"/>
      <c r="E27" s="101"/>
      <c r="F27" s="110"/>
    </row>
    <row r="28" spans="1:6" s="111" customFormat="1" ht="39" customHeight="1" x14ac:dyDescent="0.25">
      <c r="A28"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8" s="40"/>
      <c r="C28" s="105"/>
      <c r="D28" s="105"/>
      <c r="E28" s="40"/>
      <c r="F28" s="110"/>
    </row>
    <row r="29" spans="1:6" s="111" customFormat="1" ht="39" customHeight="1" x14ac:dyDescent="0.25">
      <c r="A29"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9" s="101"/>
      <c r="C29" s="105"/>
      <c r="D29" s="105"/>
      <c r="E29" s="101"/>
      <c r="F29" s="110"/>
    </row>
    <row r="30" spans="1:6" s="111" customFormat="1" ht="39" customHeight="1" x14ac:dyDescent="0.25">
      <c r="A30"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0" s="40"/>
      <c r="C30" s="105"/>
      <c r="D30" s="114"/>
      <c r="E30" s="40"/>
      <c r="F30" s="110"/>
    </row>
    <row r="31" spans="1:6" s="111" customFormat="1" ht="39" customHeight="1" x14ac:dyDescent="0.25">
      <c r="A31"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1" s="101"/>
      <c r="C31" s="105"/>
      <c r="D31" s="114"/>
      <c r="E31" s="101"/>
      <c r="F31" s="110"/>
    </row>
    <row r="32" spans="1:6" s="111" customFormat="1" ht="39" customHeight="1" x14ac:dyDescent="0.25">
      <c r="A32"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2" s="40"/>
      <c r="C32" s="105"/>
      <c r="D32" s="114"/>
      <c r="E32" s="40"/>
      <c r="F32" s="110"/>
    </row>
    <row r="33" spans="1:6" s="111" customFormat="1" ht="39" customHeight="1" x14ac:dyDescent="0.25">
      <c r="A33"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3" s="101"/>
      <c r="C33" s="105"/>
      <c r="D33" s="114"/>
      <c r="E33" s="101"/>
      <c r="F33" s="110"/>
    </row>
    <row r="34" spans="1:6" s="111" customFormat="1" ht="39" customHeight="1" x14ac:dyDescent="0.25">
      <c r="A34"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4" s="40"/>
      <c r="C34" s="105"/>
      <c r="D34" s="114"/>
      <c r="E34" s="40"/>
      <c r="F34" s="110"/>
    </row>
    <row r="35" spans="1:6" s="111" customFormat="1" ht="39" customHeight="1" thickBot="1" x14ac:dyDescent="0.3">
      <c r="A35" s="7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5" s="166"/>
      <c r="C35" s="167"/>
      <c r="D35" s="115"/>
      <c r="E35" s="166"/>
      <c r="F35" s="110"/>
    </row>
    <row r="36" spans="1:6" s="111" customFormat="1" ht="39" customHeight="1" x14ac:dyDescent="0.25">
      <c r="A36" s="1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v>
      </c>
      <c r="B36" s="102" t="s">
        <v>123</v>
      </c>
      <c r="C36" s="106">
        <v>30</v>
      </c>
      <c r="D36" s="116" t="s">
        <v>127</v>
      </c>
      <c r="E36" s="157" t="s">
        <v>20</v>
      </c>
      <c r="F36" s="169"/>
    </row>
    <row r="37" spans="1:6" s="111" customFormat="1" ht="39" customHeight="1" x14ac:dyDescent="0.25">
      <c r="A37" s="17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EE2 -64ng/L</v>
      </c>
      <c r="B37" s="103" t="s">
        <v>123</v>
      </c>
      <c r="C37" s="107">
        <v>64</v>
      </c>
      <c r="D37" s="117" t="s">
        <v>124</v>
      </c>
      <c r="E37" s="158" t="s">
        <v>128</v>
      </c>
      <c r="F37" s="171"/>
    </row>
    <row r="38" spans="1:6" s="111" customFormat="1" ht="39" customHeight="1" thickBot="1" x14ac:dyDescent="0.3">
      <c r="A38" s="17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FAD-10µg/L</v>
      </c>
      <c r="B38" s="173" t="s">
        <v>123</v>
      </c>
      <c r="C38" s="174">
        <v>10</v>
      </c>
      <c r="D38" s="175" t="s">
        <v>127</v>
      </c>
      <c r="E38" s="176" t="s">
        <v>129</v>
      </c>
      <c r="F38" s="177"/>
    </row>
    <row r="39" spans="1:6" s="111" customFormat="1" ht="39" customHeight="1" x14ac:dyDescent="0.25">
      <c r="A39" s="5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Testosterone-3,7µg/L + Testostérone</v>
      </c>
      <c r="B39" s="191">
        <f>B15</f>
        <v>0</v>
      </c>
      <c r="C39" s="197">
        <f t="shared" ref="C39:E39" si="0">C15</f>
        <v>3.7</v>
      </c>
      <c r="D39" s="197" t="str">
        <f t="shared" si="0"/>
        <v>µg/L</v>
      </c>
      <c r="E39" s="197" t="str">
        <f t="shared" si="0"/>
        <v>Testosterone</v>
      </c>
      <c r="F39" s="112" t="s">
        <v>50</v>
      </c>
    </row>
    <row r="40" spans="1:6" s="111" customFormat="1" ht="39" customHeight="1" x14ac:dyDescent="0.25">
      <c r="A40"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Testosterone-11µg/L + Testostérone</v>
      </c>
      <c r="B40" s="193">
        <f t="shared" ref="B40:E40" si="1">B16</f>
        <v>0</v>
      </c>
      <c r="C40" s="107">
        <f t="shared" si="1"/>
        <v>11</v>
      </c>
      <c r="D40" s="107" t="str">
        <f t="shared" si="1"/>
        <v>µg/L</v>
      </c>
      <c r="E40" s="107" t="str">
        <f t="shared" si="1"/>
        <v>Testosterone</v>
      </c>
      <c r="F40" s="113" t="s">
        <v>50</v>
      </c>
    </row>
    <row r="41" spans="1:6" s="111" customFormat="1" ht="39" customHeight="1" x14ac:dyDescent="0.25">
      <c r="A41"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Testosterone-33µg/L + Testostérone</v>
      </c>
      <c r="B41" s="193">
        <f t="shared" ref="B41:E41" si="2">B17</f>
        <v>0</v>
      </c>
      <c r="C41" s="107">
        <f t="shared" si="2"/>
        <v>33</v>
      </c>
      <c r="D41" s="107" t="str">
        <f t="shared" si="2"/>
        <v>µg/L</v>
      </c>
      <c r="E41" s="107" t="str">
        <f t="shared" si="2"/>
        <v>Testosterone</v>
      </c>
      <c r="F41" s="113" t="s">
        <v>50</v>
      </c>
    </row>
    <row r="42" spans="1:6" s="111" customFormat="1" ht="39" customHeight="1" x14ac:dyDescent="0.25">
      <c r="A42"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Testosterone-100µg/L + Testostérone</v>
      </c>
      <c r="B42" s="193">
        <f t="shared" ref="B42:E42" si="3">B18</f>
        <v>0</v>
      </c>
      <c r="C42" s="107">
        <f t="shared" si="3"/>
        <v>100</v>
      </c>
      <c r="D42" s="107" t="str">
        <f t="shared" si="3"/>
        <v>µg/L</v>
      </c>
      <c r="E42" s="107" t="str">
        <f t="shared" si="3"/>
        <v>Testosterone</v>
      </c>
      <c r="F42" s="113" t="s">
        <v>50</v>
      </c>
    </row>
    <row r="43" spans="1:6" s="111" customFormat="1" ht="39" customHeight="1" x14ac:dyDescent="0.25">
      <c r="A43"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Testosterone-300µg/L + Testostérone</v>
      </c>
      <c r="B43" s="193">
        <f t="shared" ref="B43:E43" si="4">B19</f>
        <v>0</v>
      </c>
      <c r="C43" s="107">
        <f t="shared" si="4"/>
        <v>300</v>
      </c>
      <c r="D43" s="107" t="str">
        <f t="shared" si="4"/>
        <v>µg/L</v>
      </c>
      <c r="E43" s="107" t="str">
        <f t="shared" si="4"/>
        <v>Testosterone</v>
      </c>
      <c r="F43" s="113" t="s">
        <v>50</v>
      </c>
    </row>
    <row r="44" spans="1:6" s="111" customFormat="1" ht="39" customHeight="1" x14ac:dyDescent="0.25">
      <c r="A44"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4" s="193">
        <f t="shared" ref="B44:E44" si="5">B20</f>
        <v>0</v>
      </c>
      <c r="C44" s="193">
        <f t="shared" si="5"/>
        <v>0</v>
      </c>
      <c r="D44" s="193">
        <f t="shared" si="5"/>
        <v>0</v>
      </c>
      <c r="E44" s="193">
        <f t="shared" si="5"/>
        <v>0</v>
      </c>
      <c r="F44" s="113" t="s">
        <v>50</v>
      </c>
    </row>
    <row r="45" spans="1:6" s="111" customFormat="1" ht="39" customHeight="1" x14ac:dyDescent="0.25">
      <c r="A45"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5" s="193">
        <f t="shared" ref="B45:E45" si="6">B21</f>
        <v>0</v>
      </c>
      <c r="C45" s="193">
        <f t="shared" si="6"/>
        <v>0</v>
      </c>
      <c r="D45" s="193">
        <f t="shared" si="6"/>
        <v>0</v>
      </c>
      <c r="E45" s="193">
        <f t="shared" si="6"/>
        <v>0</v>
      </c>
      <c r="F45" s="113" t="s">
        <v>50</v>
      </c>
    </row>
    <row r="46" spans="1:6" s="111" customFormat="1" ht="39" customHeight="1" x14ac:dyDescent="0.25">
      <c r="A46"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6" s="193">
        <f t="shared" ref="B46:E46" si="7">B22</f>
        <v>0</v>
      </c>
      <c r="C46" s="193">
        <f t="shared" si="7"/>
        <v>0</v>
      </c>
      <c r="D46" s="193">
        <f t="shared" si="7"/>
        <v>0</v>
      </c>
      <c r="E46" s="193">
        <f t="shared" si="7"/>
        <v>0</v>
      </c>
      <c r="F46" s="113" t="s">
        <v>50</v>
      </c>
    </row>
    <row r="47" spans="1:6" s="111" customFormat="1" ht="39" customHeight="1" x14ac:dyDescent="0.25">
      <c r="A47"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7" s="193">
        <f t="shared" ref="B47:E47" si="8">B23</f>
        <v>0</v>
      </c>
      <c r="C47" s="193">
        <f t="shared" si="8"/>
        <v>0</v>
      </c>
      <c r="D47" s="193">
        <f t="shared" si="8"/>
        <v>0</v>
      </c>
      <c r="E47" s="193">
        <f t="shared" si="8"/>
        <v>0</v>
      </c>
      <c r="F47" s="113" t="s">
        <v>50</v>
      </c>
    </row>
    <row r="48" spans="1:6" s="111" customFormat="1" ht="39" customHeight="1" x14ac:dyDescent="0.25">
      <c r="A48"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8" s="193">
        <f t="shared" ref="B48:E48" si="9">B24</f>
        <v>0</v>
      </c>
      <c r="C48" s="193">
        <f t="shared" si="9"/>
        <v>0</v>
      </c>
      <c r="D48" s="193">
        <f t="shared" si="9"/>
        <v>0</v>
      </c>
      <c r="E48" s="193">
        <f t="shared" si="9"/>
        <v>0</v>
      </c>
      <c r="F48" s="113" t="s">
        <v>50</v>
      </c>
    </row>
    <row r="49" spans="1:6" s="111" customFormat="1" ht="39" customHeight="1" x14ac:dyDescent="0.25">
      <c r="A49"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9" s="193">
        <f t="shared" ref="B49:E49" si="10">B25</f>
        <v>0</v>
      </c>
      <c r="C49" s="193">
        <f t="shared" si="10"/>
        <v>0</v>
      </c>
      <c r="D49" s="193">
        <f t="shared" si="10"/>
        <v>0</v>
      </c>
      <c r="E49" s="193">
        <f t="shared" si="10"/>
        <v>0</v>
      </c>
      <c r="F49" s="113" t="s">
        <v>50</v>
      </c>
    </row>
    <row r="50" spans="1:6" s="111" customFormat="1" ht="39" customHeight="1" x14ac:dyDescent="0.25">
      <c r="A50"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0" s="193">
        <f t="shared" ref="B50:E50" si="11">B26</f>
        <v>0</v>
      </c>
      <c r="C50" s="193">
        <f t="shared" si="11"/>
        <v>0</v>
      </c>
      <c r="D50" s="193">
        <f t="shared" si="11"/>
        <v>0</v>
      </c>
      <c r="E50" s="193">
        <f t="shared" si="11"/>
        <v>0</v>
      </c>
      <c r="F50" s="113" t="s">
        <v>50</v>
      </c>
    </row>
    <row r="51" spans="1:6" s="111" customFormat="1" ht="39" customHeight="1" x14ac:dyDescent="0.25">
      <c r="A51"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1" s="193">
        <f t="shared" ref="B51:E51" si="12">B27</f>
        <v>0</v>
      </c>
      <c r="C51" s="193">
        <f t="shared" si="12"/>
        <v>0</v>
      </c>
      <c r="D51" s="193">
        <f t="shared" si="12"/>
        <v>0</v>
      </c>
      <c r="E51" s="193">
        <f t="shared" si="12"/>
        <v>0</v>
      </c>
      <c r="F51" s="113" t="s">
        <v>50</v>
      </c>
    </row>
    <row r="52" spans="1:6" s="111" customFormat="1" ht="39" customHeight="1" x14ac:dyDescent="0.25">
      <c r="A52"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2" s="193">
        <f t="shared" ref="B52:E52" si="13">B28</f>
        <v>0</v>
      </c>
      <c r="C52" s="193">
        <f t="shared" si="13"/>
        <v>0</v>
      </c>
      <c r="D52" s="193">
        <f t="shared" si="13"/>
        <v>0</v>
      </c>
      <c r="E52" s="193">
        <f t="shared" si="13"/>
        <v>0</v>
      </c>
      <c r="F52" s="113" t="s">
        <v>50</v>
      </c>
    </row>
    <row r="53" spans="1:6" s="111" customFormat="1" ht="39" customHeight="1" x14ac:dyDescent="0.25">
      <c r="A53"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3" s="193">
        <f t="shared" ref="B53:E53" si="14">B29</f>
        <v>0</v>
      </c>
      <c r="C53" s="193">
        <f t="shared" si="14"/>
        <v>0</v>
      </c>
      <c r="D53" s="193">
        <f t="shared" si="14"/>
        <v>0</v>
      </c>
      <c r="E53" s="193">
        <f t="shared" si="14"/>
        <v>0</v>
      </c>
      <c r="F53" s="113" t="s">
        <v>50</v>
      </c>
    </row>
    <row r="54" spans="1:6" s="111" customFormat="1" ht="39" customHeight="1" x14ac:dyDescent="0.25">
      <c r="A54"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4" s="193">
        <f t="shared" ref="B54:E54" si="15">B30</f>
        <v>0</v>
      </c>
      <c r="C54" s="193">
        <f t="shared" si="15"/>
        <v>0</v>
      </c>
      <c r="D54" s="193">
        <f t="shared" si="15"/>
        <v>0</v>
      </c>
      <c r="E54" s="193">
        <f t="shared" si="15"/>
        <v>0</v>
      </c>
      <c r="F54" s="113" t="s">
        <v>50</v>
      </c>
    </row>
    <row r="55" spans="1:6" s="111" customFormat="1" ht="39" customHeight="1" x14ac:dyDescent="0.25">
      <c r="A55"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5" s="193">
        <f t="shared" ref="B55:E55" si="16">B31</f>
        <v>0</v>
      </c>
      <c r="C55" s="193">
        <f t="shared" si="16"/>
        <v>0</v>
      </c>
      <c r="D55" s="193">
        <f t="shared" si="16"/>
        <v>0</v>
      </c>
      <c r="E55" s="193">
        <f t="shared" si="16"/>
        <v>0</v>
      </c>
      <c r="F55" s="113" t="s">
        <v>50</v>
      </c>
    </row>
    <row r="56" spans="1:6" s="111" customFormat="1" ht="39" customHeight="1" x14ac:dyDescent="0.25">
      <c r="A56"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6" s="193">
        <f t="shared" ref="B56:E56" si="17">B32</f>
        <v>0</v>
      </c>
      <c r="C56" s="193">
        <f t="shared" si="17"/>
        <v>0</v>
      </c>
      <c r="D56" s="193">
        <f t="shared" si="17"/>
        <v>0</v>
      </c>
      <c r="E56" s="193">
        <f t="shared" si="17"/>
        <v>0</v>
      </c>
      <c r="F56" s="113" t="s">
        <v>50</v>
      </c>
    </row>
    <row r="57" spans="1:6" s="111" customFormat="1" ht="39" customHeight="1" x14ac:dyDescent="0.25">
      <c r="A57"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7" s="193">
        <f t="shared" ref="B57:E57" si="18">B33</f>
        <v>0</v>
      </c>
      <c r="C57" s="193">
        <f t="shared" si="18"/>
        <v>0</v>
      </c>
      <c r="D57" s="193">
        <f t="shared" si="18"/>
        <v>0</v>
      </c>
      <c r="E57" s="193">
        <f t="shared" si="18"/>
        <v>0</v>
      </c>
      <c r="F57" s="113" t="s">
        <v>50</v>
      </c>
    </row>
    <row r="58" spans="1:6" s="111" customFormat="1" ht="39" customHeight="1" x14ac:dyDescent="0.25">
      <c r="A58" s="10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8" s="192">
        <f t="shared" ref="B58:E58" si="19">B34</f>
        <v>0</v>
      </c>
      <c r="C58" s="192">
        <f t="shared" si="19"/>
        <v>0</v>
      </c>
      <c r="D58" s="192">
        <f t="shared" si="19"/>
        <v>0</v>
      </c>
      <c r="E58" s="192">
        <f t="shared" si="19"/>
        <v>0</v>
      </c>
      <c r="F58" s="113" t="s">
        <v>50</v>
      </c>
    </row>
  </sheetData>
  <protectedRanges>
    <protectedRange sqref="C20:D38 A20:A52 C16:C19" name="Plage1_1"/>
  </protectedRanges>
  <mergeCells count="8">
    <mergeCell ref="A5:I5"/>
    <mergeCell ref="A1:I1"/>
    <mergeCell ref="C2:D2"/>
    <mergeCell ref="C3:D3"/>
    <mergeCell ref="C4:D4"/>
    <mergeCell ref="F4:I4"/>
    <mergeCell ref="F3:I3"/>
    <mergeCell ref="F2:I2"/>
  </mergeCells>
  <dataValidations count="1">
    <dataValidation type="custom" allowBlank="1" showInputMessage="1" showErrorMessage="1" sqref="E7:E38" xr:uid="{E0A8F951-ED76-4488-98E3-F13AD7875916}">
      <formula1>ISERROR(SEARCH("-",E7))=TRUE</formula1>
    </dataValidation>
  </dataValidations>
  <pageMargins left="0.7" right="0.7" top="0.75" bottom="0.75" header="0.3" footer="0.3"/>
  <pageSetup paperSize="9" scale="35" orientation="landscape" r:id="rId1"/>
  <headerFooter>
    <oddHeader>&amp;C&amp;"-,Gras"&amp;20Résultats&amp;R&amp;"-,Gras"&amp;20Page : &amp;P/&amp;P</oddHead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
  <sheetViews>
    <sheetView workbookViewId="0">
      <selection activeCell="D12" sqref="D12"/>
    </sheetView>
  </sheetViews>
  <sheetFormatPr baseColWidth="10" defaultRowHeight="15" x14ac:dyDescent="0.25"/>
  <cols>
    <col min="1" max="1" width="14.140625" customWidth="1"/>
    <col min="2" max="2" width="14" customWidth="1"/>
    <col min="3" max="3" width="11.5703125" customWidth="1"/>
    <col min="4" max="4" width="12.42578125" customWidth="1"/>
    <col min="5" max="5" width="17.28515625" customWidth="1"/>
    <col min="7" max="7" width="19.5703125" customWidth="1"/>
    <col min="9" max="9" width="15.7109375" customWidth="1"/>
  </cols>
  <sheetData>
    <row r="1" spans="1:9" x14ac:dyDescent="0.25">
      <c r="A1" t="s">
        <v>107</v>
      </c>
      <c r="B1" t="s">
        <v>108</v>
      </c>
      <c r="C1" t="s">
        <v>109</v>
      </c>
      <c r="D1" t="s">
        <v>110</v>
      </c>
      <c r="E1" t="s">
        <v>111</v>
      </c>
      <c r="F1" t="s">
        <v>112</v>
      </c>
      <c r="G1" t="s">
        <v>113</v>
      </c>
      <c r="H1" t="s">
        <v>117</v>
      </c>
      <c r="I1" t="s">
        <v>118</v>
      </c>
    </row>
    <row r="2" spans="1:9" x14ac:dyDescent="0.25">
      <c r="A2" t="s">
        <v>152</v>
      </c>
      <c r="B2" t="s">
        <v>163</v>
      </c>
      <c r="C2" t="s">
        <v>143</v>
      </c>
      <c r="D2" t="s">
        <v>146</v>
      </c>
      <c r="E2" t="s">
        <v>147</v>
      </c>
      <c r="F2" t="s">
        <v>112</v>
      </c>
      <c r="G2">
        <v>360268</v>
      </c>
    </row>
    <row r="3" spans="1:9" x14ac:dyDescent="0.25">
      <c r="A3" t="s">
        <v>152</v>
      </c>
      <c r="B3" t="s">
        <v>163</v>
      </c>
      <c r="C3" t="s">
        <v>144</v>
      </c>
      <c r="D3" t="s">
        <v>148</v>
      </c>
      <c r="E3" t="s">
        <v>149</v>
      </c>
      <c r="F3" t="s">
        <v>112</v>
      </c>
      <c r="G3">
        <v>372315</v>
      </c>
    </row>
    <row r="4" spans="1:9" x14ac:dyDescent="0.25">
      <c r="A4" t="s">
        <v>152</v>
      </c>
      <c r="B4" t="s">
        <v>163</v>
      </c>
      <c r="C4" t="s">
        <v>145</v>
      </c>
      <c r="D4" t="s">
        <v>150</v>
      </c>
      <c r="E4" t="s">
        <v>151</v>
      </c>
      <c r="F4" t="s">
        <v>112</v>
      </c>
      <c r="G4">
        <v>237626</v>
      </c>
    </row>
    <row r="5" spans="1:9" x14ac:dyDescent="0.25">
      <c r="A5" t="s">
        <v>152</v>
      </c>
      <c r="B5" t="s">
        <v>163</v>
      </c>
      <c r="C5" t="s">
        <v>160</v>
      </c>
      <c r="D5" t="s">
        <v>161</v>
      </c>
      <c r="E5" t="s">
        <v>162</v>
      </c>
      <c r="F5" t="s">
        <v>112</v>
      </c>
      <c r="G5">
        <v>1439015</v>
      </c>
    </row>
    <row r="6" spans="1:9" x14ac:dyDescent="0.25">
      <c r="A6" t="s">
        <v>152</v>
      </c>
      <c r="B6" t="s">
        <v>163</v>
      </c>
      <c r="C6" t="s">
        <v>157</v>
      </c>
      <c r="D6" t="s">
        <v>158</v>
      </c>
      <c r="E6" t="s">
        <v>159</v>
      </c>
      <c r="F6" t="s">
        <v>112</v>
      </c>
      <c r="G6">
        <v>1433586</v>
      </c>
    </row>
    <row r="7" spans="1:9" x14ac:dyDescent="0.25">
      <c r="A7" t="s">
        <v>152</v>
      </c>
      <c r="B7" t="s">
        <v>163</v>
      </c>
      <c r="C7" t="s">
        <v>154</v>
      </c>
      <c r="D7" t="s">
        <v>155</v>
      </c>
      <c r="E7" t="s">
        <v>156</v>
      </c>
      <c r="F7" t="s">
        <v>112</v>
      </c>
      <c r="G7">
        <v>1115346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N1557"/>
  <sheetViews>
    <sheetView showGridLines="0" topLeftCell="S1" zoomScaleNormal="100" workbookViewId="0">
      <selection activeCell="AB5" sqref="AB5:AF12"/>
    </sheetView>
  </sheetViews>
  <sheetFormatPr baseColWidth="10" defaultColWidth="11.42578125" defaultRowHeight="15" x14ac:dyDescent="0.25"/>
  <cols>
    <col min="1" max="1" width="15" style="1" customWidth="1"/>
    <col min="2" max="2" width="26.5703125" style="1" customWidth="1"/>
    <col min="3" max="3" width="87.140625" style="1" bestFit="1" customWidth="1"/>
    <col min="4" max="4" width="14" style="1" customWidth="1"/>
    <col min="5" max="5" width="21.140625" style="1" customWidth="1"/>
    <col min="6" max="6" width="11.42578125" style="1"/>
    <col min="7" max="7" width="21.42578125" style="1" customWidth="1"/>
    <col min="8" max="8" width="12.28515625" style="1" customWidth="1"/>
    <col min="9" max="9" width="17.140625" style="1" customWidth="1"/>
    <col min="10" max="10" width="11.42578125" style="1"/>
    <col min="11" max="11" width="5.42578125" style="1" customWidth="1"/>
    <col min="12" max="12" width="15.42578125" style="1" customWidth="1"/>
    <col min="13" max="14" width="12.85546875" style="1" customWidth="1"/>
    <col min="15" max="20" width="12.28515625" style="1" customWidth="1"/>
    <col min="21" max="21" width="17.42578125" style="1" customWidth="1"/>
    <col min="22" max="25" width="12.28515625" style="1" customWidth="1"/>
    <col min="26" max="27" width="15.5703125" style="1" customWidth="1"/>
    <col min="28" max="28" width="14.28515625" style="1" customWidth="1"/>
    <col min="29" max="16384" width="11.42578125" style="1"/>
  </cols>
  <sheetData>
    <row r="1" spans="1:144" x14ac:dyDescent="0.25">
      <c r="A1" s="1" t="s">
        <v>107</v>
      </c>
      <c r="B1" s="1" t="s">
        <v>108</v>
      </c>
      <c r="C1" s="1" t="s">
        <v>109</v>
      </c>
      <c r="D1" s="1" t="s">
        <v>110</v>
      </c>
      <c r="E1" s="1" t="s">
        <v>111</v>
      </c>
      <c r="F1" s="1" t="s">
        <v>112</v>
      </c>
      <c r="G1" s="1" t="s">
        <v>113</v>
      </c>
      <c r="H1" s="1" t="s">
        <v>117</v>
      </c>
      <c r="I1" s="1" t="s">
        <v>118</v>
      </c>
      <c r="J1" s="1" t="s">
        <v>1648</v>
      </c>
      <c r="K1" s="118"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25">
      <c r="A2" s="1" t="str">
        <f t="shared" ref="A2:A65" si="0">IFERROR(LEFT(RIGHT(C2,LEN(C2)-SEARCH("@",C2)),SEARCH("/",RIGHT(C2,LEN(C2)-SEARCH("@",C2)-1))),"")</f>
        <v>01 Evian + 0.2% DMSO</v>
      </c>
      <c r="B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 s="1" t="s">
        <v>165</v>
      </c>
      <c r="D2" s="1" t="s">
        <v>166</v>
      </c>
      <c r="E2" s="1" t="s">
        <v>167</v>
      </c>
      <c r="F2" s="1" t="s">
        <v>112</v>
      </c>
      <c r="G2" s="1">
        <v>176240</v>
      </c>
      <c r="K2" s="155" t="s">
        <v>120</v>
      </c>
      <c r="L2" s="155"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25">
      <c r="A3" s="1" t="str">
        <f t="shared" si="0"/>
        <v>01 Evian + 0.2% DMSO</v>
      </c>
      <c r="B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 s="1" t="s">
        <v>168</v>
      </c>
      <c r="D3" s="1" t="s">
        <v>169</v>
      </c>
      <c r="E3" s="1" t="s">
        <v>170</v>
      </c>
      <c r="F3" s="1" t="s">
        <v>112</v>
      </c>
      <c r="G3" s="1">
        <v>15141</v>
      </c>
      <c r="K3" s="118" t="s">
        <v>153</v>
      </c>
      <c r="L3" s="118"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25">
      <c r="A4" s="1" t="str">
        <f t="shared" si="0"/>
        <v>01 Evian + 0.2% DMSO</v>
      </c>
      <c r="B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 s="1" t="s">
        <v>171</v>
      </c>
      <c r="D4" s="1" t="s">
        <v>169</v>
      </c>
      <c r="E4" s="1" t="s">
        <v>172</v>
      </c>
      <c r="F4" s="1" t="s">
        <v>112</v>
      </c>
      <c r="G4" s="1">
        <v>14925</v>
      </c>
      <c r="K4" s="118" t="s">
        <v>100</v>
      </c>
      <c r="L4" s="1" t="s">
        <v>1649</v>
      </c>
      <c r="M4" s="1" t="s">
        <v>1650</v>
      </c>
      <c r="N4" s="1" t="s">
        <v>1651</v>
      </c>
      <c r="O4" s="1" t="s">
        <v>1652</v>
      </c>
      <c r="P4" s="1" t="s">
        <v>1653</v>
      </c>
      <c r="Q4" s="1" t="s">
        <v>1654</v>
      </c>
      <c r="R4" s="1" t="s">
        <v>1655</v>
      </c>
      <c r="S4" s="1" t="s">
        <v>1656</v>
      </c>
      <c r="T4" s="1" t="s">
        <v>1657</v>
      </c>
      <c r="U4" s="1" t="s">
        <v>1658</v>
      </c>
      <c r="V4" s="1" t="s">
        <v>1659</v>
      </c>
      <c r="W4" s="1" t="s">
        <v>1660</v>
      </c>
      <c r="X4" s="1" t="s">
        <v>1661</v>
      </c>
      <c r="Y4" s="1" t="s">
        <v>1662</v>
      </c>
      <c r="Z4" s="1" t="s">
        <v>1663</v>
      </c>
      <c r="AA4" s="1" t="s">
        <v>1664</v>
      </c>
      <c r="AB4" s="1" t="s">
        <v>1665</v>
      </c>
      <c r="AC4" s="1" t="s">
        <v>1666</v>
      </c>
      <c r="AD4" s="1" t="s">
        <v>1667</v>
      </c>
      <c r="AE4" s="1" t="s">
        <v>1668</v>
      </c>
      <c r="AF4" s="1" t="s">
        <v>1669</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25">
      <c r="A5" s="1" t="str">
        <f t="shared" si="0"/>
        <v>01 Evian + 0.2% DMSO</v>
      </c>
      <c r="B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 s="1" t="s">
        <v>173</v>
      </c>
      <c r="D5" s="1" t="s">
        <v>174</v>
      </c>
      <c r="E5" s="1" t="s">
        <v>175</v>
      </c>
      <c r="F5" s="1" t="s">
        <v>112</v>
      </c>
      <c r="G5" s="1">
        <v>762086</v>
      </c>
      <c r="K5" s="145" t="s">
        <v>163</v>
      </c>
      <c r="L5" s="44">
        <v>68768.666666666672</v>
      </c>
      <c r="M5" s="44">
        <v>117774.66666666667</v>
      </c>
      <c r="N5" s="44">
        <v>61234</v>
      </c>
      <c r="O5" s="44">
        <v>804891.66666666663</v>
      </c>
      <c r="P5" s="44">
        <v>1291982.3333333333</v>
      </c>
      <c r="Q5" s="44">
        <v>3183070</v>
      </c>
      <c r="R5" s="44">
        <v>7591134.333333333</v>
      </c>
      <c r="S5" s="44">
        <v>316207.5</v>
      </c>
      <c r="T5" s="44">
        <v>449130.33333333331</v>
      </c>
      <c r="U5" s="44">
        <v>364911</v>
      </c>
      <c r="V5" s="44">
        <v>3101734.3333333335</v>
      </c>
      <c r="W5" s="44">
        <v>1137155.6666666667</v>
      </c>
      <c r="X5" s="44">
        <v>3308443.6666666665</v>
      </c>
      <c r="Y5" s="44">
        <v>4555356.666666667</v>
      </c>
      <c r="Z5" s="44">
        <v>4775199.5</v>
      </c>
      <c r="AA5" s="44">
        <v>190047.33333333334</v>
      </c>
      <c r="AB5" s="44">
        <v>4143581.3333333335</v>
      </c>
      <c r="AC5" s="44">
        <v>4570317.333333333</v>
      </c>
      <c r="AD5" s="44">
        <v>3195658.3333333335</v>
      </c>
      <c r="AE5" s="44">
        <v>2425662.6666666665</v>
      </c>
      <c r="AF5" s="44">
        <v>3811641.6666666665</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25">
      <c r="A6" s="1" t="str">
        <f t="shared" si="0"/>
        <v>01 Evian + 0.2% DMSO</v>
      </c>
      <c r="B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 s="1" t="s">
        <v>176</v>
      </c>
      <c r="D6" s="1" t="s">
        <v>177</v>
      </c>
      <c r="E6" s="1" t="s">
        <v>178</v>
      </c>
      <c r="F6" s="1" t="s">
        <v>112</v>
      </c>
      <c r="G6" s="1">
        <v>441034</v>
      </c>
      <c r="K6" s="145" t="s">
        <v>1670</v>
      </c>
      <c r="L6" s="44">
        <v>475692</v>
      </c>
      <c r="M6" s="44">
        <v>353551</v>
      </c>
      <c r="N6" s="44">
        <v>183320.66666666666</v>
      </c>
      <c r="O6" s="44">
        <v>241007.66666666666</v>
      </c>
      <c r="P6" s="44">
        <v>2077897.6666666667</v>
      </c>
      <c r="Q6" s="44">
        <v>3757920.3333333335</v>
      </c>
      <c r="R6" s="44">
        <v>5661120.333333333</v>
      </c>
      <c r="S6" s="44">
        <v>279512</v>
      </c>
      <c r="T6" s="44">
        <v>38991.333333333336</v>
      </c>
      <c r="U6" s="44">
        <v>3691869.6666666665</v>
      </c>
      <c r="V6" s="44">
        <v>3529054.3333333335</v>
      </c>
      <c r="W6" s="44">
        <v>3980621.6666666665</v>
      </c>
      <c r="X6" s="44">
        <v>97713</v>
      </c>
      <c r="Y6" s="44">
        <v>872571.33333333337</v>
      </c>
      <c r="Z6" s="44">
        <v>5366412.666666667</v>
      </c>
      <c r="AA6" s="44">
        <v>108928</v>
      </c>
      <c r="AB6" s="44">
        <v>1600583.3333333333</v>
      </c>
      <c r="AC6" s="44">
        <v>4237361.333333333</v>
      </c>
      <c r="AD6" s="44">
        <v>3253850</v>
      </c>
      <c r="AE6" s="44">
        <v>3705604.6666666665</v>
      </c>
      <c r="AF6" s="44">
        <v>4674436.5</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25">
      <c r="A7" s="1" t="str">
        <f t="shared" si="0"/>
        <v>01 Evian + 0.2% DMSO</v>
      </c>
      <c r="B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 s="1" t="s">
        <v>179</v>
      </c>
      <c r="D7" s="1" t="s">
        <v>180</v>
      </c>
      <c r="E7" s="1" t="s">
        <v>181</v>
      </c>
      <c r="F7" s="1" t="s">
        <v>112</v>
      </c>
      <c r="G7" s="1">
        <v>223956</v>
      </c>
      <c r="K7" s="145" t="s">
        <v>1671</v>
      </c>
      <c r="L7" s="44">
        <v>299847.66666666669</v>
      </c>
      <c r="M7" s="44">
        <v>450665.66666666669</v>
      </c>
      <c r="N7" s="44">
        <v>183882.66666666666</v>
      </c>
      <c r="O7" s="44">
        <v>380556.33333333331</v>
      </c>
      <c r="P7" s="44">
        <v>1025495</v>
      </c>
      <c r="Q7" s="44">
        <v>3448338.6666666665</v>
      </c>
      <c r="R7" s="44">
        <v>7082716.333333333</v>
      </c>
      <c r="S7" s="44">
        <v>75589.666666666672</v>
      </c>
      <c r="T7" s="44">
        <v>168230</v>
      </c>
      <c r="U7" s="44">
        <v>3644377.3333333335</v>
      </c>
      <c r="V7" s="44">
        <v>3511555.6666666665</v>
      </c>
      <c r="W7" s="44">
        <v>2428467.6666666665</v>
      </c>
      <c r="X7" s="44">
        <v>2785577.3333333335</v>
      </c>
      <c r="Y7" s="44">
        <v>1911866.6666666667</v>
      </c>
      <c r="Z7" s="44">
        <v>2757054.6666666665</v>
      </c>
      <c r="AA7" s="44">
        <v>98293.333333333328</v>
      </c>
      <c r="AB7" s="44">
        <v>2411242.6666666665</v>
      </c>
      <c r="AC7" s="44">
        <v>1381278</v>
      </c>
      <c r="AD7" s="44">
        <v>1831792.3333333333</v>
      </c>
      <c r="AE7" s="44">
        <v>373148.5</v>
      </c>
      <c r="AF7" s="44">
        <v>4489667</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25">
      <c r="A8" s="1" t="str">
        <f t="shared" si="0"/>
        <v>01 Evian + 0.2% DMSO</v>
      </c>
      <c r="B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8" s="1" t="s">
        <v>182</v>
      </c>
      <c r="D8" s="1" t="s">
        <v>183</v>
      </c>
      <c r="E8" s="1" t="s">
        <v>184</v>
      </c>
      <c r="F8" s="1" t="s">
        <v>112</v>
      </c>
      <c r="G8" s="1">
        <v>309718</v>
      </c>
      <c r="K8" s="145" t="s">
        <v>1672</v>
      </c>
      <c r="L8" s="44">
        <v>10598.666666666666</v>
      </c>
      <c r="M8" s="44">
        <v>108459.33333333333</v>
      </c>
      <c r="N8" s="44">
        <v>59266</v>
      </c>
      <c r="O8" s="44">
        <v>218548</v>
      </c>
      <c r="P8" s="44">
        <v>2209191</v>
      </c>
      <c r="Q8" s="44">
        <v>612486.66666666663</v>
      </c>
      <c r="R8" s="44">
        <v>6204261</v>
      </c>
      <c r="S8" s="44">
        <v>216753</v>
      </c>
      <c r="T8" s="44">
        <v>82496.5</v>
      </c>
      <c r="U8" s="44">
        <v>2777494.6666666665</v>
      </c>
      <c r="V8" s="44">
        <v>1464344</v>
      </c>
      <c r="W8" s="44">
        <v>4806617</v>
      </c>
      <c r="X8" s="44">
        <v>3859169.6666666665</v>
      </c>
      <c r="Y8" s="44">
        <v>3733702.3333333335</v>
      </c>
      <c r="Z8" s="44">
        <v>4483174</v>
      </c>
      <c r="AA8" s="44">
        <v>80874</v>
      </c>
      <c r="AB8" s="44">
        <v>1506911.3333333333</v>
      </c>
      <c r="AC8" s="44">
        <v>1828677.6666666667</v>
      </c>
      <c r="AD8" s="44">
        <v>1484921.3333333333</v>
      </c>
      <c r="AE8" s="44">
        <v>2876206.3333333335</v>
      </c>
      <c r="AF8" s="44">
        <v>3181317.6666666665</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25">
      <c r="A9" s="1" t="str">
        <f t="shared" si="0"/>
        <v>01 Evian + 0.2% DMSO</v>
      </c>
      <c r="B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9" s="1" t="s">
        <v>185</v>
      </c>
      <c r="D9" s="1" t="s">
        <v>186</v>
      </c>
      <c r="E9" s="1" t="s">
        <v>187</v>
      </c>
      <c r="F9" s="1" t="s">
        <v>112</v>
      </c>
      <c r="G9" s="1">
        <v>273899</v>
      </c>
      <c r="K9" s="145" t="s">
        <v>1673</v>
      </c>
      <c r="L9" s="44">
        <v>13684.333333333334</v>
      </c>
      <c r="M9" s="44">
        <v>334946.33333333331</v>
      </c>
      <c r="N9" s="44">
        <v>94003.5</v>
      </c>
      <c r="O9" s="44">
        <v>3039735.6666666665</v>
      </c>
      <c r="P9" s="44">
        <v>827163.33333333337</v>
      </c>
      <c r="Q9" s="44">
        <v>3525521.5</v>
      </c>
      <c r="R9" s="44">
        <v>3664198</v>
      </c>
      <c r="S9" s="44">
        <v>16338</v>
      </c>
      <c r="T9" s="44">
        <v>111992.33333333333</v>
      </c>
      <c r="U9" s="44">
        <v>4078417.6666666665</v>
      </c>
      <c r="V9" s="44">
        <v>3553525</v>
      </c>
      <c r="W9" s="44">
        <v>1695726</v>
      </c>
      <c r="X9" s="44">
        <v>2492420</v>
      </c>
      <c r="Y9" s="44">
        <v>24060</v>
      </c>
      <c r="Z9" s="44">
        <v>1136074.3333333333</v>
      </c>
      <c r="AA9" s="44"/>
      <c r="AB9" s="44">
        <v>4343794.666666667</v>
      </c>
      <c r="AC9" s="44">
        <v>4424157</v>
      </c>
      <c r="AD9" s="44">
        <v>795115</v>
      </c>
      <c r="AE9" s="44"/>
      <c r="AF9" s="44">
        <v>2115324.3333333335</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25">
      <c r="A10" s="1" t="str">
        <f t="shared" si="0"/>
        <v>01 Evian + 0.2% DMSO</v>
      </c>
      <c r="B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 s="1" t="s">
        <v>188</v>
      </c>
      <c r="D10" s="1" t="s">
        <v>189</v>
      </c>
      <c r="E10" s="1" t="s">
        <v>190</v>
      </c>
      <c r="F10" s="1" t="s">
        <v>112</v>
      </c>
      <c r="G10" s="1">
        <v>315926</v>
      </c>
      <c r="K10" s="145" t="s">
        <v>1674</v>
      </c>
      <c r="L10" s="44">
        <v>33735.666666666664</v>
      </c>
      <c r="M10" s="44">
        <v>13540.333333333334</v>
      </c>
      <c r="N10" s="44">
        <v>16345</v>
      </c>
      <c r="O10" s="44">
        <v>184120.66666666666</v>
      </c>
      <c r="P10" s="44">
        <v>582723.66666666663</v>
      </c>
      <c r="Q10" s="44">
        <v>2931045</v>
      </c>
      <c r="R10" s="44">
        <v>5786768.333333333</v>
      </c>
      <c r="S10" s="44">
        <v>103261.33333333333</v>
      </c>
      <c r="T10" s="44">
        <v>37214.5</v>
      </c>
      <c r="U10" s="44">
        <v>101869.66666666667</v>
      </c>
      <c r="V10" s="44">
        <v>2515773.3333333335</v>
      </c>
      <c r="W10" s="44">
        <v>1694521.6666666667</v>
      </c>
      <c r="X10" s="44">
        <v>2586719</v>
      </c>
      <c r="Y10" s="44">
        <v>1584894.3333333333</v>
      </c>
      <c r="Z10" s="44">
        <v>4541585.666666667</v>
      </c>
      <c r="AA10" s="44">
        <v>206298.66666666666</v>
      </c>
      <c r="AB10" s="44">
        <v>2589855.3333333335</v>
      </c>
      <c r="AC10" s="44">
        <v>2713535.3333333335</v>
      </c>
      <c r="AD10" s="44">
        <v>2159946.6666666665</v>
      </c>
      <c r="AE10" s="44">
        <v>2030852.3333333333</v>
      </c>
      <c r="AF10" s="44">
        <v>3999028.3333333335</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25">
      <c r="A11" s="1" t="str">
        <f t="shared" si="0"/>
        <v>01 Evian + 0.2% DMSO</v>
      </c>
      <c r="B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 s="1" t="s">
        <v>191</v>
      </c>
      <c r="D11" s="1" t="s">
        <v>192</v>
      </c>
      <c r="E11" s="1" t="s">
        <v>193</v>
      </c>
      <c r="F11" s="1" t="s">
        <v>112</v>
      </c>
      <c r="G11" s="1">
        <v>19532</v>
      </c>
      <c r="K11" s="145" t="s">
        <v>1675</v>
      </c>
      <c r="L11" s="44">
        <v>232391.33333333334</v>
      </c>
      <c r="M11" s="44">
        <v>75481</v>
      </c>
      <c r="N11" s="44">
        <v>97219</v>
      </c>
      <c r="O11" s="44">
        <v>654672</v>
      </c>
      <c r="P11" s="44">
        <v>2310779.3333333335</v>
      </c>
      <c r="Q11" s="44">
        <v>3257365</v>
      </c>
      <c r="R11" s="44">
        <v>5149306.666666667</v>
      </c>
      <c r="S11" s="44">
        <v>29676.333333333332</v>
      </c>
      <c r="T11" s="44">
        <v>91505</v>
      </c>
      <c r="U11" s="44">
        <v>1198505</v>
      </c>
      <c r="V11" s="44">
        <v>3638890.6666666665</v>
      </c>
      <c r="W11" s="44">
        <v>1914505.3333333333</v>
      </c>
      <c r="X11" s="44">
        <v>1719857.6666666667</v>
      </c>
      <c r="Y11" s="44">
        <v>3421726.6666666665</v>
      </c>
      <c r="Z11" s="44">
        <v>6096804</v>
      </c>
      <c r="AA11" s="44">
        <v>116282.33333333333</v>
      </c>
      <c r="AB11" s="44">
        <v>2873401.6666666665</v>
      </c>
      <c r="AC11" s="44">
        <v>3984039.3333333335</v>
      </c>
      <c r="AD11" s="44">
        <v>2123652</v>
      </c>
      <c r="AE11" s="44">
        <v>1787307</v>
      </c>
      <c r="AF11" s="44">
        <v>2804864</v>
      </c>
      <c r="AG11"/>
    </row>
    <row r="12" spans="1:144" x14ac:dyDescent="0.25">
      <c r="A12" s="1" t="str">
        <f t="shared" si="0"/>
        <v>01 Evian + 0.2% DMSO</v>
      </c>
      <c r="B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2" s="1" t="s">
        <v>194</v>
      </c>
      <c r="D12" s="1" t="s">
        <v>195</v>
      </c>
      <c r="E12" s="1" t="s">
        <v>196</v>
      </c>
      <c r="F12" s="1" t="s">
        <v>112</v>
      </c>
      <c r="G12" s="1">
        <v>7008</v>
      </c>
      <c r="K12" s="145" t="s">
        <v>1676</v>
      </c>
      <c r="L12" s="44">
        <v>12048</v>
      </c>
      <c r="M12" s="44">
        <v>191435.5</v>
      </c>
      <c r="N12" s="44">
        <v>191489.5</v>
      </c>
      <c r="O12" s="44">
        <v>182888</v>
      </c>
      <c r="P12" s="44">
        <v>2356627.3333333335</v>
      </c>
      <c r="Q12" s="44"/>
      <c r="R12" s="44">
        <v>7155472</v>
      </c>
      <c r="S12" s="44">
        <v>30981</v>
      </c>
      <c r="T12" s="44">
        <v>26172</v>
      </c>
      <c r="U12" s="44">
        <v>1005667.3333333334</v>
      </c>
      <c r="V12" s="44">
        <v>1664824</v>
      </c>
      <c r="W12" s="44">
        <v>3085494</v>
      </c>
      <c r="X12" s="44">
        <v>554720.33333333337</v>
      </c>
      <c r="Y12" s="44">
        <v>280251.33333333331</v>
      </c>
      <c r="Z12" s="44">
        <v>4954421</v>
      </c>
      <c r="AA12" s="44">
        <v>320605.33333333331</v>
      </c>
      <c r="AB12" s="44">
        <v>1912436</v>
      </c>
      <c r="AC12" s="44">
        <v>2755922.6666666665</v>
      </c>
      <c r="AD12" s="44">
        <v>3391257.3333333335</v>
      </c>
      <c r="AE12" s="44">
        <v>2833029.5</v>
      </c>
      <c r="AF12" s="44">
        <v>2048675.3333333333</v>
      </c>
      <c r="AG12"/>
    </row>
    <row r="13" spans="1:144" x14ac:dyDescent="0.25">
      <c r="A13" s="1" t="str">
        <f t="shared" si="0"/>
        <v>01 Evian + 0.2% DMSO</v>
      </c>
      <c r="B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3" s="1" t="s">
        <v>197</v>
      </c>
      <c r="D13" s="1" t="s">
        <v>198</v>
      </c>
      <c r="E13" s="1" t="s">
        <v>199</v>
      </c>
      <c r="F13" s="1" t="s">
        <v>112</v>
      </c>
      <c r="G13" s="1">
        <v>5256</v>
      </c>
      <c r="K13"/>
      <c r="L13"/>
      <c r="M13"/>
      <c r="N13"/>
      <c r="O13"/>
      <c r="P13"/>
      <c r="Q13"/>
      <c r="R13"/>
      <c r="S13"/>
      <c r="T13"/>
      <c r="U13"/>
      <c r="V13"/>
      <c r="W13"/>
      <c r="X13"/>
      <c r="Y13"/>
      <c r="Z13"/>
      <c r="AA13"/>
      <c r="AB13"/>
      <c r="AC13"/>
      <c r="AD13"/>
      <c r="AE13"/>
      <c r="AF13"/>
      <c r="AG13"/>
    </row>
    <row r="14" spans="1:144" x14ac:dyDescent="0.25">
      <c r="A14" s="1" t="str">
        <f t="shared" si="0"/>
        <v>01 Evian + 0.2% DMSO</v>
      </c>
      <c r="B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 s="1" t="s">
        <v>200</v>
      </c>
      <c r="D14" s="1" t="s">
        <v>201</v>
      </c>
      <c r="E14" s="1" t="s">
        <v>202</v>
      </c>
      <c r="F14" s="1" t="s">
        <v>112</v>
      </c>
      <c r="G14" s="1">
        <v>11312</v>
      </c>
      <c r="K14"/>
      <c r="L14"/>
      <c r="M14"/>
      <c r="N14"/>
      <c r="O14"/>
      <c r="P14"/>
      <c r="Q14"/>
      <c r="R14"/>
      <c r="S14"/>
      <c r="T14"/>
      <c r="U14"/>
      <c r="V14"/>
      <c r="W14"/>
      <c r="X14"/>
      <c r="Y14"/>
      <c r="Z14"/>
      <c r="AA14"/>
      <c r="AB14"/>
      <c r="AC14"/>
      <c r="AD14"/>
      <c r="AE14"/>
      <c r="AF14"/>
      <c r="AG14"/>
    </row>
    <row r="15" spans="1:144" x14ac:dyDescent="0.25">
      <c r="A15" s="1" t="str">
        <f t="shared" si="0"/>
        <v>01 Evian + 0.2% DMSO</v>
      </c>
      <c r="B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5" s="1" t="s">
        <v>203</v>
      </c>
      <c r="D15" s="1" t="s">
        <v>204</v>
      </c>
      <c r="E15" s="1" t="s">
        <v>205</v>
      </c>
      <c r="F15" s="1" t="s">
        <v>112</v>
      </c>
      <c r="G15" s="1">
        <v>18342</v>
      </c>
    </row>
    <row r="16" spans="1:144" x14ac:dyDescent="0.25">
      <c r="A16" s="1" t="str">
        <f t="shared" si="0"/>
        <v>01 Evian + 0.2% DMSO</v>
      </c>
      <c r="B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6" s="1" t="s">
        <v>206</v>
      </c>
      <c r="D16" s="1" t="s">
        <v>201</v>
      </c>
      <c r="E16" s="1" t="s">
        <v>207</v>
      </c>
      <c r="F16" s="1" t="s">
        <v>112</v>
      </c>
      <c r="G16" s="1">
        <v>11399</v>
      </c>
      <c r="M16"/>
      <c r="N16"/>
      <c r="O16"/>
      <c r="P16"/>
      <c r="Q16"/>
      <c r="R16"/>
      <c r="S16"/>
      <c r="T16"/>
      <c r="U16"/>
      <c r="V16"/>
      <c r="W16"/>
      <c r="X16"/>
      <c r="Y16"/>
      <c r="Z16"/>
      <c r="AA16"/>
      <c r="AB16"/>
      <c r="AC16"/>
      <c r="AD16"/>
      <c r="AE16"/>
      <c r="AF16"/>
      <c r="AG16"/>
      <c r="AH16"/>
    </row>
    <row r="17" spans="1:34" x14ac:dyDescent="0.25">
      <c r="A17" s="1" t="str">
        <f t="shared" si="0"/>
        <v>01 Evian + 0.2% DMSO</v>
      </c>
      <c r="B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7" s="1" t="s">
        <v>208</v>
      </c>
      <c r="D17" s="1" t="s">
        <v>209</v>
      </c>
      <c r="E17" s="1" t="s">
        <v>210</v>
      </c>
      <c r="F17" s="1" t="s">
        <v>112</v>
      </c>
      <c r="G17" s="1">
        <v>43801</v>
      </c>
      <c r="M17"/>
      <c r="N17"/>
      <c r="O17"/>
      <c r="P17"/>
      <c r="Q17"/>
      <c r="R17"/>
      <c r="S17"/>
      <c r="T17"/>
      <c r="U17"/>
      <c r="V17"/>
      <c r="W17"/>
      <c r="X17"/>
      <c r="Y17"/>
      <c r="Z17"/>
      <c r="AA17"/>
      <c r="AB17"/>
      <c r="AC17"/>
      <c r="AD17"/>
      <c r="AE17"/>
      <c r="AF17"/>
      <c r="AG17"/>
      <c r="AH17"/>
    </row>
    <row r="18" spans="1:34" x14ac:dyDescent="0.25">
      <c r="A18" s="1" t="str">
        <f t="shared" si="0"/>
        <v>01 Evian + 0.2% DMSO</v>
      </c>
      <c r="B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 s="1" t="s">
        <v>211</v>
      </c>
      <c r="D18" s="1" t="s">
        <v>212</v>
      </c>
      <c r="E18" s="1" t="s">
        <v>213</v>
      </c>
      <c r="F18" s="1" t="s">
        <v>112</v>
      </c>
      <c r="G18" s="1">
        <v>46310</v>
      </c>
      <c r="M18"/>
      <c r="N18"/>
      <c r="O18"/>
      <c r="P18"/>
      <c r="Q18"/>
      <c r="R18"/>
      <c r="S18"/>
      <c r="T18"/>
      <c r="U18"/>
      <c r="V18"/>
      <c r="W18"/>
      <c r="X18"/>
      <c r="Y18"/>
      <c r="Z18"/>
      <c r="AA18"/>
      <c r="AB18"/>
      <c r="AC18"/>
      <c r="AD18"/>
      <c r="AE18"/>
      <c r="AF18"/>
      <c r="AG18"/>
      <c r="AH18"/>
    </row>
    <row r="19" spans="1:34" x14ac:dyDescent="0.25">
      <c r="A19" s="1" t="str">
        <f t="shared" si="0"/>
        <v>01 Evian + 0.2% DMSO</v>
      </c>
      <c r="B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9" s="1" t="s">
        <v>214</v>
      </c>
      <c r="D19" s="1" t="s">
        <v>201</v>
      </c>
      <c r="E19" s="1" t="s">
        <v>215</v>
      </c>
      <c r="F19" s="1" t="s">
        <v>112</v>
      </c>
      <c r="G19" s="1">
        <v>11096</v>
      </c>
      <c r="K19"/>
      <c r="L19"/>
      <c r="M19"/>
      <c r="N19"/>
      <c r="O19"/>
      <c r="P19"/>
      <c r="Q19"/>
      <c r="R19"/>
      <c r="S19"/>
      <c r="T19"/>
      <c r="U19"/>
      <c r="V19"/>
      <c r="W19"/>
      <c r="X19"/>
      <c r="Y19"/>
      <c r="Z19"/>
      <c r="AA19"/>
      <c r="AB19"/>
      <c r="AC19"/>
      <c r="AD19"/>
      <c r="AE19"/>
      <c r="AF19"/>
      <c r="AG19"/>
      <c r="AH19"/>
    </row>
    <row r="20" spans="1:34" x14ac:dyDescent="0.25">
      <c r="A20" s="1" t="str">
        <f t="shared" si="0"/>
        <v>01 Evian + 0.2% DMSO</v>
      </c>
      <c r="B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0" s="1" t="s">
        <v>216</v>
      </c>
      <c r="D20" s="1" t="s">
        <v>217</v>
      </c>
      <c r="E20" s="1" t="s">
        <v>218</v>
      </c>
      <c r="F20" s="1" t="s">
        <v>112</v>
      </c>
      <c r="G20" s="1">
        <v>432684</v>
      </c>
      <c r="K20"/>
      <c r="L20"/>
      <c r="M20"/>
      <c r="N20"/>
      <c r="O20"/>
      <c r="P20"/>
      <c r="Q20"/>
      <c r="R20"/>
      <c r="S20"/>
      <c r="T20"/>
      <c r="U20"/>
      <c r="V20"/>
      <c r="W20"/>
      <c r="X20"/>
      <c r="Y20"/>
      <c r="Z20"/>
      <c r="AA20"/>
      <c r="AB20"/>
      <c r="AC20"/>
      <c r="AD20"/>
      <c r="AE20"/>
      <c r="AF20"/>
      <c r="AG20"/>
      <c r="AH20"/>
    </row>
    <row r="21" spans="1:34" x14ac:dyDescent="0.25">
      <c r="A21" s="1" t="str">
        <f t="shared" si="0"/>
        <v>01 Evian + 0.2% DMSO</v>
      </c>
      <c r="B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 s="1" t="s">
        <v>219</v>
      </c>
      <c r="D21" s="1" t="s">
        <v>220</v>
      </c>
      <c r="E21" s="1" t="s">
        <v>221</v>
      </c>
      <c r="F21" s="1" t="s">
        <v>112</v>
      </c>
      <c r="G21" s="1">
        <v>252010</v>
      </c>
      <c r="K21"/>
      <c r="L21"/>
      <c r="M21"/>
      <c r="N21"/>
      <c r="O21"/>
      <c r="P21"/>
      <c r="Q21"/>
      <c r="R21"/>
      <c r="S21"/>
      <c r="T21"/>
      <c r="U21"/>
      <c r="V21"/>
      <c r="W21"/>
      <c r="X21"/>
      <c r="Y21"/>
      <c r="Z21"/>
      <c r="AA21"/>
      <c r="AB21"/>
      <c r="AC21"/>
      <c r="AD21"/>
      <c r="AE21"/>
      <c r="AF21"/>
      <c r="AG21"/>
      <c r="AH21"/>
    </row>
    <row r="22" spans="1:34" x14ac:dyDescent="0.25">
      <c r="A22" s="1" t="str">
        <f t="shared" si="0"/>
        <v>01 Evian + 0.2% DMSO</v>
      </c>
      <c r="B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2" s="1" t="s">
        <v>222</v>
      </c>
      <c r="D22" s="1" t="s">
        <v>223</v>
      </c>
      <c r="E22" s="1" t="s">
        <v>224</v>
      </c>
      <c r="F22" s="1" t="s">
        <v>112</v>
      </c>
      <c r="G22" s="1">
        <v>12480</v>
      </c>
      <c r="K22"/>
      <c r="L22"/>
      <c r="M22"/>
      <c r="N22"/>
      <c r="O22"/>
      <c r="P22"/>
      <c r="Q22"/>
      <c r="R22"/>
      <c r="S22"/>
      <c r="T22"/>
      <c r="U22"/>
      <c r="V22"/>
      <c r="W22"/>
      <c r="X22"/>
      <c r="Y22"/>
      <c r="Z22"/>
      <c r="AA22"/>
      <c r="AB22"/>
      <c r="AC22"/>
      <c r="AD22"/>
      <c r="AE22"/>
      <c r="AF22"/>
      <c r="AG22"/>
      <c r="AH22"/>
    </row>
    <row r="23" spans="1:34" x14ac:dyDescent="0.25">
      <c r="A23" s="1" t="str">
        <f t="shared" si="0"/>
        <v>01 Evian + 0.2% DMSO</v>
      </c>
      <c r="B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3" s="1" t="s">
        <v>225</v>
      </c>
      <c r="D23" s="1" t="s">
        <v>223</v>
      </c>
      <c r="E23" s="1" t="s">
        <v>226</v>
      </c>
      <c r="F23" s="1" t="s">
        <v>112</v>
      </c>
      <c r="G23" s="1">
        <v>12048</v>
      </c>
      <c r="K23"/>
      <c r="L23"/>
      <c r="M23"/>
      <c r="N23"/>
      <c r="O23"/>
      <c r="P23"/>
      <c r="Q23"/>
      <c r="R23"/>
      <c r="S23"/>
      <c r="T23"/>
      <c r="U23"/>
      <c r="V23"/>
      <c r="W23"/>
      <c r="X23"/>
      <c r="Y23"/>
      <c r="Z23"/>
      <c r="AA23"/>
      <c r="AB23"/>
      <c r="AC23"/>
      <c r="AD23"/>
      <c r="AE23"/>
      <c r="AF23"/>
      <c r="AG23"/>
      <c r="AH23"/>
    </row>
    <row r="24" spans="1:34" x14ac:dyDescent="0.25">
      <c r="A24" s="1" t="str">
        <f t="shared" si="0"/>
        <v>01 Evian + 0.2% DMSO</v>
      </c>
      <c r="B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4" s="1" t="s">
        <v>227</v>
      </c>
      <c r="K24"/>
      <c r="L24"/>
      <c r="M24"/>
      <c r="N24"/>
      <c r="O24"/>
      <c r="P24"/>
      <c r="Q24"/>
      <c r="R24"/>
      <c r="S24"/>
      <c r="T24"/>
      <c r="U24"/>
      <c r="V24"/>
      <c r="W24"/>
      <c r="X24"/>
      <c r="Y24"/>
      <c r="Z24"/>
      <c r="AA24"/>
      <c r="AB24"/>
      <c r="AC24"/>
      <c r="AD24"/>
      <c r="AE24"/>
      <c r="AF24"/>
      <c r="AG24"/>
      <c r="AH24"/>
    </row>
    <row r="25" spans="1:34" x14ac:dyDescent="0.25">
      <c r="A25" s="1" t="str">
        <f t="shared" si="0"/>
        <v>01 Evian + 0.2% DMSO</v>
      </c>
      <c r="B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 s="1" t="s">
        <v>228</v>
      </c>
      <c r="K25"/>
      <c r="L25"/>
      <c r="M25"/>
      <c r="N25"/>
      <c r="O25"/>
      <c r="P25"/>
      <c r="Q25"/>
      <c r="R25"/>
      <c r="S25"/>
      <c r="T25"/>
      <c r="U25"/>
      <c r="V25"/>
      <c r="W25"/>
      <c r="X25"/>
      <c r="Y25"/>
      <c r="Z25"/>
      <c r="AA25"/>
      <c r="AB25"/>
      <c r="AC25"/>
      <c r="AD25"/>
      <c r="AE25"/>
      <c r="AF25"/>
      <c r="AG25"/>
      <c r="AH25"/>
    </row>
    <row r="26" spans="1:34" x14ac:dyDescent="0.25">
      <c r="A26" s="1" t="str">
        <f t="shared" si="0"/>
        <v/>
      </c>
      <c r="B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 s="1" t="s">
        <v>112</v>
      </c>
      <c r="K26"/>
      <c r="L26"/>
      <c r="M26"/>
      <c r="N26"/>
      <c r="O26"/>
      <c r="P26"/>
      <c r="Q26"/>
      <c r="R26"/>
      <c r="S26"/>
      <c r="T26"/>
      <c r="U26"/>
      <c r="V26"/>
      <c r="W26"/>
      <c r="X26"/>
      <c r="Y26"/>
      <c r="Z26"/>
      <c r="AA26"/>
      <c r="AB26"/>
      <c r="AC26"/>
      <c r="AD26"/>
      <c r="AE26"/>
      <c r="AF26"/>
      <c r="AG26"/>
      <c r="AH26"/>
    </row>
    <row r="27" spans="1:34" x14ac:dyDescent="0.25">
      <c r="A27" s="1" t="str">
        <f t="shared" si="0"/>
        <v/>
      </c>
      <c r="B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7" s="1" t="s">
        <v>229</v>
      </c>
      <c r="D27" s="1" t="s">
        <v>112</v>
      </c>
      <c r="E27" s="1" t="s">
        <v>230</v>
      </c>
      <c r="F27" s="1" t="s">
        <v>231</v>
      </c>
      <c r="G27" s="1" t="s">
        <v>232</v>
      </c>
      <c r="H27" s="1" t="s">
        <v>233</v>
      </c>
      <c r="I27" s="1" t="s">
        <v>234</v>
      </c>
      <c r="J27" s="1" t="s">
        <v>235</v>
      </c>
      <c r="K27"/>
      <c r="L27"/>
      <c r="M27"/>
      <c r="N27"/>
      <c r="O27"/>
      <c r="P27"/>
      <c r="Q27"/>
      <c r="R27"/>
      <c r="S27"/>
      <c r="T27"/>
      <c r="U27"/>
      <c r="V27"/>
      <c r="W27"/>
      <c r="X27"/>
      <c r="Y27"/>
      <c r="Z27"/>
      <c r="AA27"/>
      <c r="AB27"/>
      <c r="AC27"/>
      <c r="AD27"/>
      <c r="AE27"/>
      <c r="AF27"/>
      <c r="AG27"/>
      <c r="AH27"/>
    </row>
    <row r="28" spans="1:34" x14ac:dyDescent="0.25">
      <c r="A28" s="1" t="str">
        <f t="shared" si="0"/>
        <v>01 Evian + 0.2% DMSO</v>
      </c>
      <c r="B2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8" s="1" t="s">
        <v>236</v>
      </c>
      <c r="D28" s="1" t="s">
        <v>112</v>
      </c>
      <c r="E28" s="1" t="s">
        <v>237</v>
      </c>
      <c r="F28" s="1" t="s">
        <v>238</v>
      </c>
      <c r="G28" s="1" t="s">
        <v>239</v>
      </c>
      <c r="H28" s="1" t="s">
        <v>240</v>
      </c>
      <c r="I28" s="1">
        <v>24</v>
      </c>
      <c r="J28" s="1">
        <v>24</v>
      </c>
      <c r="K28"/>
      <c r="L28"/>
      <c r="M28"/>
      <c r="N28"/>
      <c r="O28"/>
      <c r="P28"/>
      <c r="Q28"/>
      <c r="R28"/>
      <c r="S28"/>
      <c r="T28"/>
      <c r="U28"/>
      <c r="V28"/>
      <c r="W28"/>
      <c r="X28"/>
      <c r="Y28"/>
      <c r="Z28"/>
      <c r="AA28"/>
      <c r="AB28"/>
      <c r="AC28"/>
      <c r="AD28"/>
      <c r="AE28"/>
      <c r="AF28"/>
      <c r="AG28"/>
      <c r="AH28"/>
    </row>
    <row r="29" spans="1:34" x14ac:dyDescent="0.25">
      <c r="A29" s="1" t="str">
        <f t="shared" si="0"/>
        <v/>
      </c>
      <c r="B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 s="1" t="s">
        <v>112</v>
      </c>
      <c r="K29"/>
      <c r="L29"/>
      <c r="M29"/>
      <c r="N29"/>
      <c r="O29"/>
      <c r="P29"/>
      <c r="Q29"/>
      <c r="R29"/>
      <c r="S29"/>
      <c r="T29"/>
      <c r="U29"/>
      <c r="V29"/>
      <c r="W29"/>
      <c r="X29"/>
      <c r="Y29"/>
      <c r="Z29"/>
      <c r="AA29"/>
      <c r="AB29"/>
      <c r="AC29"/>
      <c r="AD29"/>
      <c r="AE29"/>
      <c r="AF29"/>
      <c r="AG29"/>
      <c r="AH29"/>
    </row>
    <row r="30" spans="1:34" x14ac:dyDescent="0.25">
      <c r="A30" s="1" t="str">
        <f t="shared" si="0"/>
        <v/>
      </c>
      <c r="B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0" s="1" t="s">
        <v>112</v>
      </c>
      <c r="K30"/>
      <c r="L30"/>
      <c r="M30"/>
      <c r="N30"/>
      <c r="O30"/>
      <c r="P30"/>
      <c r="Q30"/>
      <c r="R30"/>
      <c r="S30"/>
      <c r="T30"/>
      <c r="U30"/>
      <c r="V30"/>
      <c r="W30"/>
      <c r="X30"/>
      <c r="Y30"/>
      <c r="Z30"/>
      <c r="AA30"/>
      <c r="AB30"/>
      <c r="AC30"/>
      <c r="AD30"/>
      <c r="AE30"/>
      <c r="AF30"/>
      <c r="AG30"/>
      <c r="AH30"/>
    </row>
    <row r="31" spans="1:34" x14ac:dyDescent="0.25">
      <c r="A31" s="1" t="str">
        <f t="shared" si="0"/>
        <v/>
      </c>
      <c r="B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1" s="1" t="s">
        <v>112</v>
      </c>
      <c r="K31"/>
      <c r="L31"/>
      <c r="M31"/>
      <c r="N31"/>
      <c r="O31"/>
      <c r="P31"/>
      <c r="Q31"/>
      <c r="R31"/>
      <c r="S31"/>
      <c r="T31"/>
      <c r="U31"/>
      <c r="V31"/>
      <c r="W31"/>
      <c r="X31"/>
      <c r="Y31"/>
      <c r="Z31"/>
      <c r="AA31"/>
      <c r="AB31"/>
      <c r="AC31"/>
      <c r="AD31"/>
      <c r="AE31"/>
      <c r="AF31"/>
      <c r="AG31"/>
      <c r="AH31"/>
    </row>
    <row r="32" spans="1:34" x14ac:dyDescent="0.25">
      <c r="A32" s="1" t="str">
        <f t="shared" si="0"/>
        <v/>
      </c>
      <c r="B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 s="1" t="s">
        <v>112</v>
      </c>
      <c r="K32"/>
      <c r="L32"/>
      <c r="M32"/>
      <c r="N32"/>
      <c r="O32"/>
      <c r="P32"/>
      <c r="Q32"/>
      <c r="R32"/>
      <c r="S32"/>
      <c r="T32"/>
      <c r="U32"/>
      <c r="V32"/>
      <c r="W32"/>
      <c r="X32"/>
      <c r="Y32"/>
      <c r="Z32"/>
      <c r="AA32"/>
      <c r="AB32"/>
      <c r="AC32"/>
      <c r="AD32"/>
      <c r="AE32"/>
      <c r="AF32"/>
      <c r="AG32"/>
      <c r="AH32"/>
    </row>
    <row r="33" spans="1:34" x14ac:dyDescent="0.25">
      <c r="A33" s="1" t="str">
        <f t="shared" si="0"/>
        <v/>
      </c>
      <c r="B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 s="1" t="s">
        <v>112</v>
      </c>
      <c r="K33"/>
      <c r="L33"/>
      <c r="M33"/>
      <c r="N33"/>
      <c r="O33"/>
      <c r="P33"/>
      <c r="Q33"/>
      <c r="R33"/>
      <c r="S33"/>
      <c r="T33"/>
      <c r="U33"/>
      <c r="V33"/>
      <c r="W33"/>
      <c r="X33"/>
      <c r="Y33"/>
      <c r="Z33"/>
      <c r="AA33"/>
      <c r="AB33"/>
      <c r="AC33"/>
      <c r="AD33"/>
      <c r="AE33"/>
      <c r="AF33"/>
      <c r="AG33"/>
      <c r="AH33"/>
    </row>
    <row r="34" spans="1:34" x14ac:dyDescent="0.25">
      <c r="A34" s="1" t="str">
        <f t="shared" si="0"/>
        <v/>
      </c>
      <c r="B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4" s="1" t="s">
        <v>241</v>
      </c>
      <c r="D34" s="1" t="s">
        <v>110</v>
      </c>
      <c r="E34" s="1" t="s">
        <v>111</v>
      </c>
      <c r="F34" s="1" t="s">
        <v>112</v>
      </c>
      <c r="G34" s="1" t="s">
        <v>113</v>
      </c>
      <c r="K34"/>
      <c r="L34"/>
      <c r="M34"/>
      <c r="N34"/>
      <c r="O34"/>
      <c r="P34"/>
      <c r="Q34"/>
      <c r="R34"/>
      <c r="S34"/>
      <c r="T34"/>
      <c r="U34"/>
      <c r="V34"/>
      <c r="W34"/>
      <c r="X34"/>
      <c r="Y34"/>
      <c r="Z34"/>
      <c r="AA34"/>
      <c r="AB34"/>
      <c r="AC34"/>
      <c r="AD34"/>
      <c r="AE34"/>
      <c r="AF34"/>
      <c r="AG34"/>
      <c r="AH34"/>
    </row>
    <row r="35" spans="1:34" x14ac:dyDescent="0.25">
      <c r="A35" s="1" t="str">
        <f t="shared" si="0"/>
        <v>02 EE2 33.8</v>
      </c>
      <c r="B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5" s="1" t="s">
        <v>242</v>
      </c>
      <c r="D35" s="1" t="s">
        <v>243</v>
      </c>
      <c r="E35" s="1" t="s">
        <v>244</v>
      </c>
      <c r="F35" s="1" t="s">
        <v>112</v>
      </c>
      <c r="G35" s="1">
        <v>81891</v>
      </c>
      <c r="K35"/>
      <c r="L35"/>
      <c r="M35"/>
      <c r="N35"/>
      <c r="O35"/>
      <c r="P35"/>
      <c r="Q35"/>
      <c r="R35"/>
      <c r="S35"/>
      <c r="T35"/>
      <c r="U35"/>
      <c r="V35"/>
      <c r="W35"/>
      <c r="X35"/>
      <c r="Y35"/>
      <c r="Z35"/>
      <c r="AA35"/>
      <c r="AB35"/>
      <c r="AC35"/>
      <c r="AD35"/>
      <c r="AE35"/>
      <c r="AF35"/>
      <c r="AG35"/>
      <c r="AH35"/>
    </row>
    <row r="36" spans="1:34" x14ac:dyDescent="0.25">
      <c r="A36" s="1" t="str">
        <f t="shared" si="0"/>
        <v>02 EE2 33.8</v>
      </c>
      <c r="B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 s="1" t="s">
        <v>245</v>
      </c>
      <c r="D36" s="1" t="s">
        <v>246</v>
      </c>
      <c r="E36" s="1" t="s">
        <v>247</v>
      </c>
      <c r="F36" s="1" t="s">
        <v>112</v>
      </c>
      <c r="G36" s="1">
        <v>222247</v>
      </c>
      <c r="K36"/>
      <c r="L36"/>
      <c r="M36"/>
      <c r="N36"/>
      <c r="O36"/>
      <c r="P36"/>
      <c r="Q36"/>
      <c r="R36"/>
      <c r="S36"/>
      <c r="T36"/>
      <c r="U36"/>
      <c r="V36"/>
      <c r="W36"/>
      <c r="X36"/>
      <c r="Y36"/>
      <c r="Z36"/>
      <c r="AA36"/>
      <c r="AB36"/>
      <c r="AC36"/>
      <c r="AD36"/>
      <c r="AE36"/>
      <c r="AF36"/>
      <c r="AG36"/>
      <c r="AH36"/>
    </row>
    <row r="37" spans="1:34" x14ac:dyDescent="0.25">
      <c r="A37" s="1" t="str">
        <f t="shared" si="0"/>
        <v>02 EE2 33.8</v>
      </c>
      <c r="B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7" s="1" t="s">
        <v>248</v>
      </c>
      <c r="D37" s="1" t="s">
        <v>249</v>
      </c>
      <c r="E37" s="1" t="s">
        <v>250</v>
      </c>
      <c r="F37" s="1" t="s">
        <v>112</v>
      </c>
      <c r="G37" s="1">
        <v>49186</v>
      </c>
      <c r="K37"/>
      <c r="L37"/>
      <c r="M37"/>
      <c r="N37"/>
      <c r="O37"/>
      <c r="P37"/>
      <c r="Q37"/>
      <c r="R37"/>
      <c r="S37"/>
      <c r="T37"/>
      <c r="U37"/>
      <c r="V37"/>
      <c r="W37"/>
      <c r="X37"/>
      <c r="Y37"/>
      <c r="Z37"/>
      <c r="AA37"/>
      <c r="AB37"/>
      <c r="AC37"/>
      <c r="AD37"/>
      <c r="AE37"/>
      <c r="AF37"/>
      <c r="AG37"/>
      <c r="AH37"/>
    </row>
    <row r="38" spans="1:34" x14ac:dyDescent="0.25">
      <c r="A38" s="1" t="str">
        <f t="shared" si="0"/>
        <v>02 EE2 33.8</v>
      </c>
      <c r="B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8" s="1" t="s">
        <v>251</v>
      </c>
      <c r="D38" s="1" t="s">
        <v>252</v>
      </c>
      <c r="E38" s="1" t="s">
        <v>253</v>
      </c>
      <c r="F38" s="1" t="s">
        <v>112</v>
      </c>
      <c r="G38" s="1">
        <v>354838</v>
      </c>
      <c r="K38"/>
      <c r="L38"/>
      <c r="M38"/>
      <c r="N38"/>
      <c r="O38"/>
      <c r="P38"/>
      <c r="Q38"/>
      <c r="R38"/>
      <c r="S38"/>
      <c r="T38"/>
      <c r="U38"/>
      <c r="V38"/>
      <c r="W38"/>
      <c r="X38"/>
      <c r="Y38"/>
      <c r="Z38"/>
      <c r="AA38"/>
      <c r="AB38"/>
      <c r="AC38"/>
      <c r="AD38"/>
      <c r="AE38"/>
      <c r="AF38"/>
      <c r="AG38"/>
      <c r="AH38"/>
    </row>
    <row r="39" spans="1:34" x14ac:dyDescent="0.25">
      <c r="A39" s="1" t="str">
        <f t="shared" si="0"/>
        <v>02 EE2 33.8</v>
      </c>
      <c r="B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9" s="1" t="s">
        <v>254</v>
      </c>
      <c r="D39" s="1" t="s">
        <v>255</v>
      </c>
      <c r="E39" s="1" t="s">
        <v>256</v>
      </c>
      <c r="F39" s="1" t="s">
        <v>112</v>
      </c>
      <c r="G39" s="1">
        <v>352264</v>
      </c>
    </row>
    <row r="40" spans="1:34" x14ac:dyDescent="0.25">
      <c r="A40" s="1" t="str">
        <f t="shared" si="0"/>
        <v>02 EE2 33.8</v>
      </c>
      <c r="B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 s="1" t="s">
        <v>257</v>
      </c>
    </row>
    <row r="41" spans="1:34" x14ac:dyDescent="0.25">
      <c r="A41" s="1" t="str">
        <f t="shared" si="0"/>
        <v>02 EE2 33.8</v>
      </c>
      <c r="B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1" s="1" t="s">
        <v>258</v>
      </c>
      <c r="D41" s="1" t="s">
        <v>259</v>
      </c>
      <c r="E41" s="1" t="s">
        <v>260</v>
      </c>
      <c r="F41" s="1" t="s">
        <v>112</v>
      </c>
      <c r="G41" s="1">
        <v>439411</v>
      </c>
    </row>
    <row r="42" spans="1:34" x14ac:dyDescent="0.25">
      <c r="A42" s="1" t="str">
        <f t="shared" si="0"/>
        <v>02 EE2 33.8</v>
      </c>
      <c r="B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2" s="1" t="s">
        <v>261</v>
      </c>
      <c r="D42" s="1" t="s">
        <v>262</v>
      </c>
      <c r="E42" s="1" t="s">
        <v>263</v>
      </c>
      <c r="F42" s="1" t="s">
        <v>112</v>
      </c>
      <c r="G42" s="1">
        <v>484812</v>
      </c>
    </row>
    <row r="43" spans="1:34" x14ac:dyDescent="0.25">
      <c r="A43" s="1" t="str">
        <f t="shared" si="0"/>
        <v>02 EE2 33.8</v>
      </c>
      <c r="B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 s="1" t="s">
        <v>264</v>
      </c>
      <c r="D43" s="1" t="s">
        <v>265</v>
      </c>
      <c r="E43" s="1" t="s">
        <v>266</v>
      </c>
      <c r="F43" s="1" t="s">
        <v>112</v>
      </c>
      <c r="G43" s="1">
        <v>427774</v>
      </c>
    </row>
    <row r="44" spans="1:34" x14ac:dyDescent="0.25">
      <c r="A44" s="1" t="str">
        <f t="shared" si="0"/>
        <v>02 EE2 33.8</v>
      </c>
      <c r="B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 s="1" t="s">
        <v>267</v>
      </c>
      <c r="D44" s="1" t="s">
        <v>268</v>
      </c>
      <c r="E44" s="1" t="s">
        <v>269</v>
      </c>
      <c r="F44" s="1" t="s">
        <v>112</v>
      </c>
      <c r="G44" s="1">
        <v>145980</v>
      </c>
    </row>
    <row r="45" spans="1:34" x14ac:dyDescent="0.25">
      <c r="A45" s="1" t="str">
        <f t="shared" si="0"/>
        <v>02 EE2 33.8</v>
      </c>
      <c r="B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5" s="1" t="s">
        <v>270</v>
      </c>
      <c r="D45" s="1" t="s">
        <v>271</v>
      </c>
      <c r="E45" s="1" t="s">
        <v>272</v>
      </c>
      <c r="F45" s="1" t="s">
        <v>112</v>
      </c>
      <c r="G45" s="1">
        <v>165447</v>
      </c>
    </row>
    <row r="46" spans="1:34" x14ac:dyDescent="0.25">
      <c r="A46" s="1" t="str">
        <f t="shared" si="0"/>
        <v>02 EE2 33.8</v>
      </c>
      <c r="B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6" s="1" t="s">
        <v>273</v>
      </c>
      <c r="D46" s="1" t="s">
        <v>274</v>
      </c>
      <c r="E46" s="1" t="s">
        <v>193</v>
      </c>
      <c r="F46" s="1" t="s">
        <v>112</v>
      </c>
      <c r="G46" s="1">
        <v>13951</v>
      </c>
    </row>
    <row r="47" spans="1:34" x14ac:dyDescent="0.25">
      <c r="A47" s="1" t="str">
        <f t="shared" si="0"/>
        <v>02 EE2 33.8</v>
      </c>
      <c r="B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 s="1" t="s">
        <v>275</v>
      </c>
      <c r="D47" s="1" t="s">
        <v>276</v>
      </c>
      <c r="E47" s="1" t="s">
        <v>277</v>
      </c>
      <c r="F47" s="1" t="s">
        <v>112</v>
      </c>
      <c r="G47" s="1">
        <v>492924</v>
      </c>
    </row>
    <row r="48" spans="1:34" x14ac:dyDescent="0.25">
      <c r="A48" s="1" t="str">
        <f t="shared" si="0"/>
        <v>02 EE2 33.8</v>
      </c>
      <c r="B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8" s="1" t="s">
        <v>278</v>
      </c>
      <c r="D48" s="1" t="s">
        <v>279</v>
      </c>
      <c r="E48" s="1" t="s">
        <v>280</v>
      </c>
      <c r="F48" s="1" t="s">
        <v>112</v>
      </c>
      <c r="G48" s="1">
        <v>433636</v>
      </c>
    </row>
    <row r="49" spans="1:10" x14ac:dyDescent="0.25">
      <c r="A49" s="1" t="str">
        <f t="shared" si="0"/>
        <v>02 EE2 33.8</v>
      </c>
      <c r="B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9" s="1" t="s">
        <v>281</v>
      </c>
      <c r="D49" s="1" t="s">
        <v>282</v>
      </c>
      <c r="E49" s="1" t="s">
        <v>283</v>
      </c>
      <c r="F49" s="1" t="s">
        <v>112</v>
      </c>
      <c r="G49" s="1">
        <v>78279</v>
      </c>
    </row>
    <row r="50" spans="1:10" x14ac:dyDescent="0.25">
      <c r="A50" s="1" t="str">
        <f t="shared" si="0"/>
        <v>02 EE2 33.8</v>
      </c>
      <c r="B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0" s="1" t="s">
        <v>284</v>
      </c>
      <c r="D50" s="1" t="s">
        <v>204</v>
      </c>
      <c r="E50" s="1" t="s">
        <v>285</v>
      </c>
      <c r="F50" s="1" t="s">
        <v>112</v>
      </c>
      <c r="G50" s="1">
        <v>17607</v>
      </c>
    </row>
    <row r="51" spans="1:10" x14ac:dyDescent="0.25">
      <c r="A51" s="1" t="str">
        <f t="shared" si="0"/>
        <v>02 EE2 33.8</v>
      </c>
      <c r="B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 s="1" t="s">
        <v>286</v>
      </c>
      <c r="D51" s="1" t="s">
        <v>274</v>
      </c>
      <c r="E51" s="1" t="s">
        <v>287</v>
      </c>
      <c r="F51" s="1" t="s">
        <v>112</v>
      </c>
      <c r="G51" s="1">
        <v>13605</v>
      </c>
    </row>
    <row r="52" spans="1:10" x14ac:dyDescent="0.25">
      <c r="A52" s="1" t="str">
        <f t="shared" si="0"/>
        <v>02 EE2 33.8</v>
      </c>
      <c r="B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2" s="1" t="s">
        <v>288</v>
      </c>
      <c r="D52" s="1" t="s">
        <v>289</v>
      </c>
      <c r="E52" s="1" t="s">
        <v>290</v>
      </c>
      <c r="F52" s="1" t="s">
        <v>112</v>
      </c>
      <c r="G52" s="1">
        <v>9409</v>
      </c>
    </row>
    <row r="53" spans="1:10" x14ac:dyDescent="0.25">
      <c r="A53" s="1" t="str">
        <f t="shared" si="0"/>
        <v>02 EE2 33.8</v>
      </c>
      <c r="B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3" s="1" t="s">
        <v>291</v>
      </c>
      <c r="D53" s="1" t="s">
        <v>271</v>
      </c>
      <c r="E53" s="1" t="s">
        <v>292</v>
      </c>
      <c r="F53" s="1" t="s">
        <v>112</v>
      </c>
      <c r="G53" s="1">
        <v>166680</v>
      </c>
    </row>
    <row r="54" spans="1:10" x14ac:dyDescent="0.25">
      <c r="A54" s="1" t="str">
        <f t="shared" si="0"/>
        <v>02 EE2 33.8</v>
      </c>
      <c r="B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 s="1" t="s">
        <v>293</v>
      </c>
      <c r="D54" s="1" t="s">
        <v>209</v>
      </c>
      <c r="E54" s="1" t="s">
        <v>294</v>
      </c>
      <c r="F54" s="1" t="s">
        <v>112</v>
      </c>
      <c r="G54" s="1">
        <v>41702</v>
      </c>
    </row>
    <row r="55" spans="1:10" x14ac:dyDescent="0.25">
      <c r="A55" s="1" t="str">
        <f t="shared" si="0"/>
        <v>02 EE2 33.8</v>
      </c>
      <c r="B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5" s="1" t="s">
        <v>295</v>
      </c>
      <c r="D55" s="1" t="s">
        <v>204</v>
      </c>
      <c r="E55" s="1" t="s">
        <v>296</v>
      </c>
      <c r="F55" s="1" t="s">
        <v>112</v>
      </c>
      <c r="G55" s="1">
        <v>18061</v>
      </c>
    </row>
    <row r="56" spans="1:10" x14ac:dyDescent="0.25">
      <c r="A56" s="1" t="str">
        <f t="shared" si="0"/>
        <v>02 EE2 33.8</v>
      </c>
      <c r="B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6" s="1" t="s">
        <v>297</v>
      </c>
      <c r="D56" s="1" t="s">
        <v>298</v>
      </c>
      <c r="E56" s="1" t="s">
        <v>299</v>
      </c>
      <c r="F56" s="1" t="s">
        <v>112</v>
      </c>
      <c r="G56" s="1">
        <v>257850</v>
      </c>
    </row>
    <row r="57" spans="1:10" x14ac:dyDescent="0.25">
      <c r="A57" s="1" t="str">
        <f t="shared" si="0"/>
        <v>02 EE2 33.8</v>
      </c>
      <c r="B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7" s="1" t="s">
        <v>300</v>
      </c>
      <c r="D57" s="1" t="s">
        <v>301</v>
      </c>
      <c r="E57" s="1" t="s">
        <v>302</v>
      </c>
      <c r="F57" s="1" t="s">
        <v>112</v>
      </c>
      <c r="G57" s="1">
        <v>125021</v>
      </c>
    </row>
    <row r="58" spans="1:10" x14ac:dyDescent="0.25">
      <c r="A58" s="1" t="str">
        <f t="shared" si="0"/>
        <v>02 EE2 33.8</v>
      </c>
      <c r="B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 s="1" t="s">
        <v>303</v>
      </c>
    </row>
    <row r="59" spans="1:10" x14ac:dyDescent="0.25">
      <c r="A59" s="1" t="str">
        <f t="shared" si="0"/>
        <v/>
      </c>
      <c r="B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 s="1" t="s">
        <v>112</v>
      </c>
    </row>
    <row r="60" spans="1:10" x14ac:dyDescent="0.25">
      <c r="A60" s="1" t="str">
        <f t="shared" si="0"/>
        <v/>
      </c>
      <c r="B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0" s="1" t="s">
        <v>229</v>
      </c>
      <c r="D60" s="1" t="s">
        <v>112</v>
      </c>
      <c r="E60" s="1" t="s">
        <v>230</v>
      </c>
      <c r="F60" s="1" t="s">
        <v>231</v>
      </c>
      <c r="G60" s="1" t="s">
        <v>232</v>
      </c>
      <c r="H60" s="1" t="s">
        <v>233</v>
      </c>
      <c r="I60" s="1" t="s">
        <v>234</v>
      </c>
      <c r="J60" s="1" t="s">
        <v>235</v>
      </c>
    </row>
    <row r="61" spans="1:10" x14ac:dyDescent="0.25">
      <c r="A61" s="1" t="str">
        <f t="shared" si="0"/>
        <v>02 EE2 33.8</v>
      </c>
      <c r="B6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1" s="1" t="s">
        <v>304</v>
      </c>
      <c r="D61" s="1" t="s">
        <v>112</v>
      </c>
      <c r="E61" s="1" t="s">
        <v>305</v>
      </c>
      <c r="F61" s="1" t="s">
        <v>306</v>
      </c>
      <c r="G61" s="1" t="s">
        <v>307</v>
      </c>
      <c r="H61" s="1" t="s">
        <v>308</v>
      </c>
      <c r="I61" s="1">
        <v>24</v>
      </c>
      <c r="J61" s="1">
        <v>24</v>
      </c>
    </row>
    <row r="62" spans="1:10" x14ac:dyDescent="0.25">
      <c r="A62" s="1" t="str">
        <f t="shared" si="0"/>
        <v/>
      </c>
      <c r="B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 s="1" t="s">
        <v>112</v>
      </c>
    </row>
    <row r="63" spans="1:10" x14ac:dyDescent="0.25">
      <c r="A63" s="1" t="str">
        <f t="shared" si="0"/>
        <v/>
      </c>
      <c r="B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3" s="1" t="s">
        <v>112</v>
      </c>
    </row>
    <row r="64" spans="1:10" x14ac:dyDescent="0.25">
      <c r="A64" s="1" t="str">
        <f t="shared" si="0"/>
        <v/>
      </c>
      <c r="B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4" s="1" t="s">
        <v>112</v>
      </c>
    </row>
    <row r="65" spans="1:7" x14ac:dyDescent="0.25">
      <c r="A65" s="1" t="str">
        <f t="shared" si="0"/>
        <v/>
      </c>
      <c r="B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 s="1" t="s">
        <v>112</v>
      </c>
    </row>
    <row r="66" spans="1:7" x14ac:dyDescent="0.25">
      <c r="A66" s="1" t="str">
        <f t="shared" ref="A66:A129" si="1">IFERROR(LEFT(RIGHT(C66,LEN(C66)-SEARCH("@",C66)),SEARCH("/",RIGHT(C66,LEN(C66)-SEARCH("@",C66)-1))),"")</f>
        <v/>
      </c>
      <c r="B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 s="1" t="s">
        <v>112</v>
      </c>
    </row>
    <row r="67" spans="1:7" x14ac:dyDescent="0.25">
      <c r="A67" s="1" t="str">
        <f t="shared" si="1"/>
        <v/>
      </c>
      <c r="B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7" s="1" t="s">
        <v>241</v>
      </c>
      <c r="D67" s="1" t="s">
        <v>110</v>
      </c>
      <c r="E67" s="1" t="s">
        <v>111</v>
      </c>
      <c r="F67" s="1" t="s">
        <v>112</v>
      </c>
      <c r="G67" s="1" t="s">
        <v>113</v>
      </c>
    </row>
    <row r="68" spans="1:7" x14ac:dyDescent="0.25">
      <c r="A68" s="1" t="str">
        <f t="shared" si="1"/>
        <v>03 EE2 50.6</v>
      </c>
      <c r="B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8" s="1" t="s">
        <v>309</v>
      </c>
    </row>
    <row r="69" spans="1:7" x14ac:dyDescent="0.25">
      <c r="A69" s="1" t="str">
        <f t="shared" si="1"/>
        <v>03 EE2 50.6</v>
      </c>
      <c r="B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9" s="1" t="s">
        <v>310</v>
      </c>
      <c r="D69" s="1" t="s">
        <v>311</v>
      </c>
      <c r="E69" s="1" t="s">
        <v>312</v>
      </c>
      <c r="F69" s="1" t="s">
        <v>112</v>
      </c>
      <c r="G69" s="1">
        <v>61234</v>
      </c>
    </row>
    <row r="70" spans="1:7" x14ac:dyDescent="0.25">
      <c r="A70" s="1" t="str">
        <f t="shared" si="1"/>
        <v>03 EE2 50.6</v>
      </c>
      <c r="B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70" s="1" t="s">
        <v>313</v>
      </c>
    </row>
    <row r="71" spans="1:7" x14ac:dyDescent="0.25">
      <c r="A71" s="1" t="str">
        <f t="shared" si="1"/>
        <v>03 EE2 50.6</v>
      </c>
      <c r="B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1" s="1" t="s">
        <v>314</v>
      </c>
      <c r="D71" s="1" t="s">
        <v>315</v>
      </c>
      <c r="E71" s="1" t="s">
        <v>316</v>
      </c>
      <c r="F71" s="1" t="s">
        <v>112</v>
      </c>
      <c r="G71" s="1">
        <v>287332</v>
      </c>
    </row>
    <row r="72" spans="1:7" x14ac:dyDescent="0.25">
      <c r="A72" s="1" t="str">
        <f t="shared" si="1"/>
        <v>03 EE2 50.6</v>
      </c>
      <c r="B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2" s="1" t="s">
        <v>317</v>
      </c>
      <c r="D72" s="1" t="s">
        <v>318</v>
      </c>
      <c r="E72" s="1" t="s">
        <v>319</v>
      </c>
      <c r="F72" s="1" t="s">
        <v>112</v>
      </c>
      <c r="G72" s="1">
        <v>214720</v>
      </c>
    </row>
    <row r="73" spans="1:7" x14ac:dyDescent="0.25">
      <c r="A73" s="1" t="str">
        <f t="shared" si="1"/>
        <v>03 EE2 50.6</v>
      </c>
      <c r="B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3" s="1" t="s">
        <v>320</v>
      </c>
      <c r="D73" s="1" t="s">
        <v>321</v>
      </c>
      <c r="E73" s="1" t="s">
        <v>322</v>
      </c>
      <c r="F73" s="1" t="s">
        <v>112</v>
      </c>
      <c r="G73" s="1">
        <v>47910</v>
      </c>
    </row>
    <row r="74" spans="1:7" x14ac:dyDescent="0.25">
      <c r="A74" s="1" t="str">
        <f t="shared" si="1"/>
        <v>03 EE2 50.6</v>
      </c>
      <c r="B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4" s="1" t="s">
        <v>323</v>
      </c>
      <c r="D74" s="1" t="s">
        <v>324</v>
      </c>
      <c r="E74" s="1" t="s">
        <v>325</v>
      </c>
      <c r="F74" s="1" t="s">
        <v>112</v>
      </c>
      <c r="G74" s="1">
        <v>281621</v>
      </c>
    </row>
    <row r="75" spans="1:7" x14ac:dyDescent="0.25">
      <c r="A75" s="1" t="str">
        <f t="shared" si="1"/>
        <v>03 EE2 50.6</v>
      </c>
      <c r="B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5" s="1" t="s">
        <v>326</v>
      </c>
      <c r="D75" s="1" t="s">
        <v>327</v>
      </c>
      <c r="E75" s="1" t="s">
        <v>328</v>
      </c>
      <c r="F75" s="1" t="s">
        <v>112</v>
      </c>
      <c r="G75" s="1">
        <v>210307</v>
      </c>
    </row>
    <row r="76" spans="1:7" x14ac:dyDescent="0.25">
      <c r="A76" s="1" t="str">
        <f t="shared" si="1"/>
        <v>03 EE2 50.6</v>
      </c>
      <c r="B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6" s="1" t="s">
        <v>329</v>
      </c>
      <c r="D76" s="1" t="s">
        <v>311</v>
      </c>
      <c r="E76" s="1" t="s">
        <v>330</v>
      </c>
      <c r="F76" s="1" t="s">
        <v>112</v>
      </c>
      <c r="G76" s="1">
        <v>59720</v>
      </c>
    </row>
    <row r="77" spans="1:7" x14ac:dyDescent="0.25">
      <c r="A77" s="1" t="str">
        <f t="shared" si="1"/>
        <v>03 EE2 50.6</v>
      </c>
      <c r="B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7" s="1" t="s">
        <v>331</v>
      </c>
    </row>
    <row r="78" spans="1:7" x14ac:dyDescent="0.25">
      <c r="A78" s="1" t="str">
        <f t="shared" si="1"/>
        <v>03 EE2 50.6</v>
      </c>
      <c r="B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8" s="1" t="s">
        <v>332</v>
      </c>
      <c r="D78" s="1" t="s">
        <v>333</v>
      </c>
      <c r="E78" s="1" t="s">
        <v>285</v>
      </c>
      <c r="F78" s="1" t="s">
        <v>112</v>
      </c>
      <c r="G78" s="1">
        <v>88034</v>
      </c>
    </row>
    <row r="79" spans="1:7" x14ac:dyDescent="0.25">
      <c r="A79" s="1" t="str">
        <f t="shared" si="1"/>
        <v>03 EE2 50.6</v>
      </c>
      <c r="B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9" s="1" t="s">
        <v>334</v>
      </c>
      <c r="D79" s="1" t="s">
        <v>335</v>
      </c>
      <c r="E79" s="1" t="s">
        <v>336</v>
      </c>
      <c r="F79" s="1" t="s">
        <v>112</v>
      </c>
      <c r="G79" s="1">
        <v>30498</v>
      </c>
    </row>
    <row r="80" spans="1:7" x14ac:dyDescent="0.25">
      <c r="A80" s="1" t="str">
        <f t="shared" si="1"/>
        <v>03 EE2 50.6</v>
      </c>
      <c r="B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0" s="1" t="s">
        <v>337</v>
      </c>
      <c r="D80" s="1" t="s">
        <v>338</v>
      </c>
      <c r="E80" s="1" t="s">
        <v>339</v>
      </c>
      <c r="F80" s="1" t="s">
        <v>112</v>
      </c>
      <c r="G80" s="1">
        <v>129779</v>
      </c>
    </row>
    <row r="81" spans="1:10" x14ac:dyDescent="0.25">
      <c r="A81" s="1" t="str">
        <f t="shared" si="1"/>
        <v>03 EE2 50.6</v>
      </c>
      <c r="B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1" s="1" t="s">
        <v>340</v>
      </c>
    </row>
    <row r="82" spans="1:10" x14ac:dyDescent="0.25">
      <c r="A82" s="1" t="str">
        <f t="shared" si="1"/>
        <v>03 EE2 50.6</v>
      </c>
      <c r="B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2" s="1" t="s">
        <v>341</v>
      </c>
      <c r="D82" s="1" t="s">
        <v>342</v>
      </c>
      <c r="E82" s="1" t="s">
        <v>343</v>
      </c>
      <c r="F82" s="1" t="s">
        <v>112</v>
      </c>
      <c r="G82" s="1">
        <v>58228</v>
      </c>
    </row>
    <row r="83" spans="1:10" x14ac:dyDescent="0.25">
      <c r="A83" s="1" t="str">
        <f t="shared" si="1"/>
        <v>03 EE2 50.6</v>
      </c>
      <c r="B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3" s="1" t="s">
        <v>344</v>
      </c>
      <c r="D83" s="1" t="s">
        <v>345</v>
      </c>
      <c r="E83" s="1" t="s">
        <v>346</v>
      </c>
      <c r="F83" s="1" t="s">
        <v>112</v>
      </c>
      <c r="G83" s="1">
        <v>24550</v>
      </c>
    </row>
    <row r="84" spans="1:10" x14ac:dyDescent="0.25">
      <c r="A84" s="1" t="str">
        <f t="shared" si="1"/>
        <v>03 EE2 50.6</v>
      </c>
      <c r="B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4" s="1" t="s">
        <v>347</v>
      </c>
      <c r="D84" s="1" t="s">
        <v>198</v>
      </c>
      <c r="E84" s="1">
        <v>65</v>
      </c>
      <c r="F84" s="1" t="s">
        <v>112</v>
      </c>
      <c r="G84" s="1">
        <v>5624</v>
      </c>
    </row>
    <row r="85" spans="1:10" x14ac:dyDescent="0.25">
      <c r="A85" s="1" t="str">
        <f t="shared" si="1"/>
        <v>03 EE2 50.6</v>
      </c>
      <c r="B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5" s="1" t="s">
        <v>348</v>
      </c>
      <c r="D85" s="1" t="s">
        <v>192</v>
      </c>
      <c r="E85" s="1" t="s">
        <v>349</v>
      </c>
      <c r="F85" s="1" t="s">
        <v>112</v>
      </c>
      <c r="G85" s="1">
        <v>18861</v>
      </c>
    </row>
    <row r="86" spans="1:10" x14ac:dyDescent="0.25">
      <c r="A86" s="1" t="str">
        <f t="shared" si="1"/>
        <v>03 EE2 50.6</v>
      </c>
      <c r="B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6" s="1" t="s">
        <v>350</v>
      </c>
      <c r="D86" s="1" t="s">
        <v>351</v>
      </c>
      <c r="E86" s="1" t="s">
        <v>352</v>
      </c>
      <c r="F86" s="1" t="s">
        <v>112</v>
      </c>
      <c r="G86" s="1">
        <v>183248</v>
      </c>
    </row>
    <row r="87" spans="1:10" x14ac:dyDescent="0.25">
      <c r="A87" s="1" t="str">
        <f t="shared" si="1"/>
        <v>03 EE2 50.6</v>
      </c>
      <c r="B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7" s="1" t="s">
        <v>353</v>
      </c>
      <c r="D87" s="1" t="s">
        <v>354</v>
      </c>
      <c r="E87" s="1" t="s">
        <v>355</v>
      </c>
      <c r="F87" s="1" t="s">
        <v>112</v>
      </c>
      <c r="G87" s="1">
        <v>87839</v>
      </c>
    </row>
    <row r="88" spans="1:10" x14ac:dyDescent="0.25">
      <c r="A88" s="1" t="str">
        <f t="shared" si="1"/>
        <v>03 EE2 50.6</v>
      </c>
      <c r="B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8" s="1" t="s">
        <v>356</v>
      </c>
      <c r="D88" s="1" t="s">
        <v>357</v>
      </c>
      <c r="E88" s="1" t="s">
        <v>358</v>
      </c>
      <c r="F88" s="1" t="s">
        <v>112</v>
      </c>
      <c r="G88" s="1">
        <v>20570</v>
      </c>
    </row>
    <row r="89" spans="1:10" x14ac:dyDescent="0.25">
      <c r="A89" s="1" t="str">
        <f t="shared" si="1"/>
        <v>03 EE2 50.6</v>
      </c>
      <c r="B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89" s="1" t="s">
        <v>359</v>
      </c>
      <c r="D89" s="1" t="s">
        <v>360</v>
      </c>
      <c r="E89" s="1" t="s">
        <v>361</v>
      </c>
      <c r="F89" s="1" t="s">
        <v>112</v>
      </c>
      <c r="G89" s="1">
        <v>44687</v>
      </c>
    </row>
    <row r="90" spans="1:10" x14ac:dyDescent="0.25">
      <c r="A90" s="1" t="str">
        <f t="shared" si="1"/>
        <v>03 EE2 50.6</v>
      </c>
      <c r="B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90" s="1" t="s">
        <v>362</v>
      </c>
      <c r="D90" s="1" t="s">
        <v>363</v>
      </c>
      <c r="E90" s="1" t="s">
        <v>364</v>
      </c>
      <c r="F90" s="1" t="s">
        <v>112</v>
      </c>
      <c r="G90" s="1">
        <v>338292</v>
      </c>
    </row>
    <row r="91" spans="1:10" x14ac:dyDescent="0.25">
      <c r="A91" s="1" t="str">
        <f t="shared" si="1"/>
        <v>03 EE2 50.6</v>
      </c>
      <c r="B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91" s="1" t="s">
        <v>365</v>
      </c>
    </row>
    <row r="92" spans="1:10" x14ac:dyDescent="0.25">
      <c r="A92" s="1" t="str">
        <f t="shared" si="1"/>
        <v/>
      </c>
      <c r="B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2" s="1" t="s">
        <v>112</v>
      </c>
    </row>
    <row r="93" spans="1:10" x14ac:dyDescent="0.25">
      <c r="A93" s="1" t="str">
        <f t="shared" si="1"/>
        <v/>
      </c>
      <c r="B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3" s="1" t="s">
        <v>229</v>
      </c>
      <c r="D93" s="1" t="s">
        <v>112</v>
      </c>
      <c r="E93" s="1" t="s">
        <v>230</v>
      </c>
      <c r="F93" s="1" t="s">
        <v>231</v>
      </c>
      <c r="G93" s="1" t="s">
        <v>232</v>
      </c>
      <c r="H93" s="1" t="s">
        <v>233</v>
      </c>
      <c r="I93" s="1" t="s">
        <v>234</v>
      </c>
      <c r="J93" s="1" t="s">
        <v>235</v>
      </c>
    </row>
    <row r="94" spans="1:10" x14ac:dyDescent="0.25">
      <c r="A94" s="1" t="str">
        <f t="shared" si="1"/>
        <v>03 EE2 50.6</v>
      </c>
      <c r="B9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94" s="1" t="s">
        <v>366</v>
      </c>
      <c r="D94" s="1" t="s">
        <v>112</v>
      </c>
      <c r="E94" s="1" t="s">
        <v>367</v>
      </c>
      <c r="F94" s="1" t="s">
        <v>368</v>
      </c>
      <c r="G94" s="1" t="s">
        <v>369</v>
      </c>
      <c r="H94" s="1" t="s">
        <v>370</v>
      </c>
      <c r="I94" s="1">
        <v>24</v>
      </c>
      <c r="J94" s="1">
        <v>24</v>
      </c>
    </row>
    <row r="95" spans="1:10" x14ac:dyDescent="0.25">
      <c r="A95" s="1" t="str">
        <f t="shared" si="1"/>
        <v/>
      </c>
      <c r="B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5" s="1" t="s">
        <v>112</v>
      </c>
    </row>
    <row r="96" spans="1:10" x14ac:dyDescent="0.25">
      <c r="A96" s="1" t="str">
        <f t="shared" si="1"/>
        <v/>
      </c>
      <c r="B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6" s="1" t="s">
        <v>112</v>
      </c>
    </row>
    <row r="97" spans="1:7" x14ac:dyDescent="0.25">
      <c r="A97" s="1" t="str">
        <f t="shared" si="1"/>
        <v/>
      </c>
      <c r="B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7" s="1" t="s">
        <v>112</v>
      </c>
    </row>
    <row r="98" spans="1:7" x14ac:dyDescent="0.25">
      <c r="A98" s="1" t="str">
        <f t="shared" si="1"/>
        <v/>
      </c>
      <c r="B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8" s="1" t="s">
        <v>112</v>
      </c>
    </row>
    <row r="99" spans="1:7" x14ac:dyDescent="0.25">
      <c r="A99" s="1" t="str">
        <f t="shared" si="1"/>
        <v/>
      </c>
      <c r="B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9" s="1" t="s">
        <v>112</v>
      </c>
    </row>
    <row r="100" spans="1:7" x14ac:dyDescent="0.25">
      <c r="A100" s="1" t="str">
        <f t="shared" si="1"/>
        <v/>
      </c>
      <c r="B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00" s="1" t="s">
        <v>241</v>
      </c>
      <c r="D100" s="1" t="s">
        <v>110</v>
      </c>
      <c r="E100" s="1" t="s">
        <v>111</v>
      </c>
      <c r="F100" s="1" t="s">
        <v>112</v>
      </c>
      <c r="G100" s="1" t="s">
        <v>113</v>
      </c>
    </row>
    <row r="101" spans="1:7" x14ac:dyDescent="0.25">
      <c r="A101" s="1" t="str">
        <f t="shared" si="1"/>
        <v>04 EE2 76</v>
      </c>
      <c r="B1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1" s="1" t="s">
        <v>371</v>
      </c>
      <c r="D101" s="1" t="s">
        <v>372</v>
      </c>
      <c r="E101" s="1" t="s">
        <v>373</v>
      </c>
      <c r="F101" s="1" t="s">
        <v>112</v>
      </c>
      <c r="G101" s="1">
        <v>920395</v>
      </c>
    </row>
    <row r="102" spans="1:7" x14ac:dyDescent="0.25">
      <c r="A102" s="1" t="str">
        <f t="shared" si="1"/>
        <v>04 EE2 76</v>
      </c>
      <c r="B1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2" s="1" t="s">
        <v>374</v>
      </c>
      <c r="D102" s="1" t="s">
        <v>375</v>
      </c>
      <c r="E102" s="1" t="s">
        <v>376</v>
      </c>
      <c r="F102" s="1" t="s">
        <v>112</v>
      </c>
      <c r="G102" s="1">
        <v>831475</v>
      </c>
    </row>
    <row r="103" spans="1:7" x14ac:dyDescent="0.25">
      <c r="A103" s="1" t="str">
        <f t="shared" si="1"/>
        <v>04 EE2 76</v>
      </c>
      <c r="B1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3" s="1" t="s">
        <v>377</v>
      </c>
      <c r="D103" s="1" t="s">
        <v>378</v>
      </c>
      <c r="E103" s="1" t="s">
        <v>379</v>
      </c>
      <c r="F103" s="1" t="s">
        <v>112</v>
      </c>
      <c r="G103" s="1">
        <v>662805</v>
      </c>
    </row>
    <row r="104" spans="1:7" x14ac:dyDescent="0.25">
      <c r="A104" s="1" t="str">
        <f t="shared" si="1"/>
        <v>04 EE2 76</v>
      </c>
      <c r="B1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4" s="1" t="s">
        <v>380</v>
      </c>
      <c r="D104" s="1" t="s">
        <v>381</v>
      </c>
      <c r="E104" s="1" t="s">
        <v>382</v>
      </c>
      <c r="F104" s="1" t="s">
        <v>112</v>
      </c>
      <c r="G104" s="1">
        <v>196443</v>
      </c>
    </row>
    <row r="105" spans="1:7" x14ac:dyDescent="0.25">
      <c r="A105" s="1" t="str">
        <f t="shared" si="1"/>
        <v>04 EE2 76</v>
      </c>
      <c r="B1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5" s="1" t="s">
        <v>383</v>
      </c>
      <c r="D105" s="1" t="s">
        <v>384</v>
      </c>
      <c r="E105" s="1" t="s">
        <v>385</v>
      </c>
      <c r="F105" s="1" t="s">
        <v>112</v>
      </c>
      <c r="G105" s="1">
        <v>144985</v>
      </c>
    </row>
    <row r="106" spans="1:7" x14ac:dyDescent="0.25">
      <c r="A106" s="1" t="str">
        <f t="shared" si="1"/>
        <v>04 EE2 76</v>
      </c>
      <c r="B1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6" s="1" t="s">
        <v>386</v>
      </c>
      <c r="D106" s="1" t="s">
        <v>387</v>
      </c>
      <c r="E106" s="1" t="s">
        <v>388</v>
      </c>
      <c r="F106" s="1" t="s">
        <v>112</v>
      </c>
      <c r="G106" s="1">
        <v>381595</v>
      </c>
    </row>
    <row r="107" spans="1:7" x14ac:dyDescent="0.25">
      <c r="A107" s="1" t="str">
        <f t="shared" si="1"/>
        <v>04 EE2 76</v>
      </c>
      <c r="B1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7" s="1" t="s">
        <v>389</v>
      </c>
      <c r="D107" s="1" t="s">
        <v>390</v>
      </c>
      <c r="E107" s="1" t="s">
        <v>391</v>
      </c>
      <c r="F107" s="1" t="s">
        <v>112</v>
      </c>
      <c r="G107" s="1">
        <v>547993</v>
      </c>
    </row>
    <row r="108" spans="1:7" x14ac:dyDescent="0.25">
      <c r="A108" s="1" t="str">
        <f t="shared" si="1"/>
        <v>04 EE2 76</v>
      </c>
      <c r="B1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8" s="1" t="s">
        <v>392</v>
      </c>
      <c r="D108" s="1" t="s">
        <v>393</v>
      </c>
      <c r="E108" s="1" t="s">
        <v>394</v>
      </c>
      <c r="F108" s="1" t="s">
        <v>112</v>
      </c>
      <c r="G108" s="1">
        <v>298190</v>
      </c>
    </row>
    <row r="109" spans="1:7" x14ac:dyDescent="0.25">
      <c r="A109" s="1" t="str">
        <f t="shared" si="1"/>
        <v>04 EE2 76</v>
      </c>
      <c r="B1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9" s="1" t="s">
        <v>395</v>
      </c>
      <c r="D109" s="1" t="s">
        <v>396</v>
      </c>
      <c r="E109" s="1" t="s">
        <v>397</v>
      </c>
      <c r="F109" s="1" t="s">
        <v>112</v>
      </c>
      <c r="G109" s="1">
        <v>295486</v>
      </c>
    </row>
    <row r="110" spans="1:7" x14ac:dyDescent="0.25">
      <c r="A110" s="1" t="str">
        <f t="shared" si="1"/>
        <v>04 EE2 76</v>
      </c>
      <c r="B1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0" s="1" t="s">
        <v>398</v>
      </c>
      <c r="D110" s="1" t="s">
        <v>399</v>
      </c>
      <c r="E110" s="1" t="s">
        <v>400</v>
      </c>
      <c r="F110" s="1" t="s">
        <v>112</v>
      </c>
      <c r="G110" s="1">
        <v>367751</v>
      </c>
    </row>
    <row r="111" spans="1:7" x14ac:dyDescent="0.25">
      <c r="A111" s="1" t="str">
        <f t="shared" si="1"/>
        <v>04 EE2 76</v>
      </c>
      <c r="B1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1" s="1" t="s">
        <v>401</v>
      </c>
    </row>
    <row r="112" spans="1:7" x14ac:dyDescent="0.25">
      <c r="A112" s="1" t="str">
        <f t="shared" si="1"/>
        <v>04 EE2 76</v>
      </c>
      <c r="B1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2" s="1" t="s">
        <v>402</v>
      </c>
      <c r="D112" s="1" t="s">
        <v>403</v>
      </c>
      <c r="E112" s="1" t="s">
        <v>404</v>
      </c>
      <c r="F112" s="1" t="s">
        <v>112</v>
      </c>
      <c r="G112" s="1">
        <v>69345</v>
      </c>
    </row>
    <row r="113" spans="1:10" x14ac:dyDescent="0.25">
      <c r="A113" s="1" t="str">
        <f t="shared" si="1"/>
        <v>04 EE2 76</v>
      </c>
      <c r="B1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3" s="1" t="s">
        <v>405</v>
      </c>
      <c r="D113" s="1" t="s">
        <v>406</v>
      </c>
      <c r="E113" s="1" t="s">
        <v>407</v>
      </c>
      <c r="F113" s="1" t="s">
        <v>112</v>
      </c>
      <c r="G113" s="1">
        <v>3658913</v>
      </c>
    </row>
    <row r="114" spans="1:10" x14ac:dyDescent="0.25">
      <c r="A114" s="1" t="str">
        <f t="shared" si="1"/>
        <v>04 EE2 76</v>
      </c>
      <c r="B1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4" s="1" t="s">
        <v>408</v>
      </c>
      <c r="D114" s="1" t="s">
        <v>409</v>
      </c>
      <c r="E114" s="1" t="s">
        <v>410</v>
      </c>
      <c r="F114" s="1" t="s">
        <v>112</v>
      </c>
      <c r="G114" s="1">
        <v>2942942</v>
      </c>
    </row>
    <row r="115" spans="1:10" x14ac:dyDescent="0.25">
      <c r="A115" s="1" t="str">
        <f t="shared" si="1"/>
        <v>04 EE2 76</v>
      </c>
      <c r="B1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5" s="1" t="s">
        <v>411</v>
      </c>
      <c r="D115" s="1" t="s">
        <v>412</v>
      </c>
      <c r="E115" s="1" t="s">
        <v>413</v>
      </c>
      <c r="F115" s="1" t="s">
        <v>112</v>
      </c>
      <c r="G115" s="1">
        <v>2517352</v>
      </c>
    </row>
    <row r="116" spans="1:10" x14ac:dyDescent="0.25">
      <c r="A116" s="1" t="str">
        <f t="shared" si="1"/>
        <v>04 EE2 76</v>
      </c>
      <c r="B1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6" s="1" t="s">
        <v>414</v>
      </c>
      <c r="D116" s="1" t="s">
        <v>415</v>
      </c>
      <c r="E116" s="1" t="s">
        <v>416</v>
      </c>
      <c r="F116" s="1" t="s">
        <v>112</v>
      </c>
      <c r="G116" s="1">
        <v>299942</v>
      </c>
    </row>
    <row r="117" spans="1:10" x14ac:dyDescent="0.25">
      <c r="A117" s="1" t="str">
        <f t="shared" si="1"/>
        <v>04 EE2 76</v>
      </c>
      <c r="B1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7" s="1" t="s">
        <v>417</v>
      </c>
      <c r="D117" s="1" t="s">
        <v>327</v>
      </c>
      <c r="E117" s="1" t="s">
        <v>418</v>
      </c>
      <c r="F117" s="1" t="s">
        <v>112</v>
      </c>
      <c r="G117" s="1">
        <v>208966</v>
      </c>
    </row>
    <row r="118" spans="1:10" x14ac:dyDescent="0.25">
      <c r="A118" s="1" t="str">
        <f t="shared" si="1"/>
        <v>04 EE2 76</v>
      </c>
      <c r="B1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8" s="1" t="s">
        <v>419</v>
      </c>
      <c r="D118" s="1" t="s">
        <v>360</v>
      </c>
      <c r="E118" s="1" t="s">
        <v>420</v>
      </c>
      <c r="F118" s="1" t="s">
        <v>112</v>
      </c>
      <c r="G118" s="1">
        <v>43454</v>
      </c>
    </row>
    <row r="119" spans="1:10" x14ac:dyDescent="0.25">
      <c r="A119" s="1" t="str">
        <f t="shared" si="1"/>
        <v>04 EE2 76</v>
      </c>
      <c r="B1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19" s="1" t="s">
        <v>421</v>
      </c>
      <c r="D119" s="1" t="s">
        <v>422</v>
      </c>
      <c r="E119" s="1" t="s">
        <v>423</v>
      </c>
      <c r="F119" s="1" t="s">
        <v>112</v>
      </c>
      <c r="G119" s="1">
        <v>936639</v>
      </c>
    </row>
    <row r="120" spans="1:10" x14ac:dyDescent="0.25">
      <c r="A120" s="1" t="str">
        <f t="shared" si="1"/>
        <v>04 EE2 76</v>
      </c>
      <c r="B1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20" s="1" t="s">
        <v>424</v>
      </c>
      <c r="D120" s="1" t="s">
        <v>425</v>
      </c>
      <c r="E120" s="1" t="s">
        <v>426</v>
      </c>
      <c r="F120" s="1" t="s">
        <v>112</v>
      </c>
      <c r="G120" s="1">
        <v>824856</v>
      </c>
    </row>
    <row r="121" spans="1:10" x14ac:dyDescent="0.25">
      <c r="A121" s="1" t="str">
        <f t="shared" si="1"/>
        <v>04 EE2 76</v>
      </c>
      <c r="B1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21" s="1" t="s">
        <v>427</v>
      </c>
      <c r="D121" s="1" t="s">
        <v>428</v>
      </c>
      <c r="E121" s="1" t="s">
        <v>429</v>
      </c>
      <c r="F121" s="1" t="s">
        <v>112</v>
      </c>
      <c r="G121" s="1">
        <v>202521</v>
      </c>
    </row>
    <row r="122" spans="1:10" x14ac:dyDescent="0.25">
      <c r="A122" s="1" t="str">
        <f t="shared" si="1"/>
        <v>04 EE2 76</v>
      </c>
      <c r="B1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2" s="1" t="s">
        <v>430</v>
      </c>
      <c r="D122" s="1" t="s">
        <v>431</v>
      </c>
      <c r="E122" s="1" t="s">
        <v>432</v>
      </c>
      <c r="F122" s="1" t="s">
        <v>112</v>
      </c>
      <c r="G122" s="1">
        <v>222680</v>
      </c>
    </row>
    <row r="123" spans="1:10" x14ac:dyDescent="0.25">
      <c r="A123" s="1" t="str">
        <f t="shared" si="1"/>
        <v>04 EE2 76</v>
      </c>
      <c r="B1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3" s="1" t="s">
        <v>433</v>
      </c>
      <c r="D123" s="1" t="s">
        <v>186</v>
      </c>
      <c r="E123" s="1" t="s">
        <v>434</v>
      </c>
      <c r="F123" s="1" t="s">
        <v>112</v>
      </c>
      <c r="G123" s="1">
        <v>251815</v>
      </c>
    </row>
    <row r="124" spans="1:10" x14ac:dyDescent="0.25">
      <c r="A124" s="1" t="str">
        <f t="shared" si="1"/>
        <v>04 EE2 76</v>
      </c>
      <c r="B1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4" s="1" t="s">
        <v>435</v>
      </c>
      <c r="D124" s="1" t="s">
        <v>436</v>
      </c>
      <c r="E124" s="1" t="s">
        <v>437</v>
      </c>
      <c r="F124" s="1" t="s">
        <v>112</v>
      </c>
      <c r="G124" s="1">
        <v>74169</v>
      </c>
    </row>
    <row r="125" spans="1:10" x14ac:dyDescent="0.25">
      <c r="A125" s="1" t="str">
        <f t="shared" si="1"/>
        <v/>
      </c>
      <c r="B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5" s="1" t="s">
        <v>112</v>
      </c>
    </row>
    <row r="126" spans="1:10" x14ac:dyDescent="0.25">
      <c r="A126" s="1" t="str">
        <f t="shared" si="1"/>
        <v/>
      </c>
      <c r="B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6" s="1" t="s">
        <v>229</v>
      </c>
      <c r="D126" s="1" t="s">
        <v>112</v>
      </c>
      <c r="E126" s="1" t="s">
        <v>230</v>
      </c>
      <c r="F126" s="1" t="s">
        <v>231</v>
      </c>
      <c r="G126" s="1" t="s">
        <v>232</v>
      </c>
      <c r="H126" s="1" t="s">
        <v>233</v>
      </c>
      <c r="I126" s="1" t="s">
        <v>234</v>
      </c>
      <c r="J126" s="1" t="s">
        <v>235</v>
      </c>
    </row>
    <row r="127" spans="1:10" x14ac:dyDescent="0.25">
      <c r="A127" s="1" t="str">
        <f t="shared" si="1"/>
        <v>04 EE2 76</v>
      </c>
      <c r="B12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27" s="1" t="s">
        <v>438</v>
      </c>
      <c r="D127" s="1" t="s">
        <v>112</v>
      </c>
      <c r="E127" s="1" t="s">
        <v>439</v>
      </c>
      <c r="F127" s="1" t="s">
        <v>440</v>
      </c>
      <c r="G127" s="1" t="s">
        <v>441</v>
      </c>
      <c r="H127" s="1" t="s">
        <v>442</v>
      </c>
      <c r="I127" s="1">
        <v>24</v>
      </c>
      <c r="J127" s="1">
        <v>24</v>
      </c>
    </row>
    <row r="128" spans="1:10" x14ac:dyDescent="0.25">
      <c r="A128" s="1" t="str">
        <f t="shared" si="1"/>
        <v/>
      </c>
      <c r="B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8" s="1" t="s">
        <v>112</v>
      </c>
    </row>
    <row r="129" spans="1:7" x14ac:dyDescent="0.25">
      <c r="A129" s="1" t="str">
        <f t="shared" si="1"/>
        <v/>
      </c>
      <c r="B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9" s="1" t="s">
        <v>112</v>
      </c>
    </row>
    <row r="130" spans="1:7" x14ac:dyDescent="0.25">
      <c r="A130" s="1" t="str">
        <f t="shared" ref="A130:A193" si="2">IFERROR(LEFT(RIGHT(C130,LEN(C130)-SEARCH("@",C130)),SEARCH("/",RIGHT(C130,LEN(C130)-SEARCH("@",C130)-1))),"")</f>
        <v/>
      </c>
      <c r="B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0" s="1" t="s">
        <v>112</v>
      </c>
    </row>
    <row r="131" spans="1:7" x14ac:dyDescent="0.25">
      <c r="A131" s="1" t="str">
        <f t="shared" si="2"/>
        <v/>
      </c>
      <c r="B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1" s="1" t="s">
        <v>112</v>
      </c>
    </row>
    <row r="132" spans="1:7" x14ac:dyDescent="0.25">
      <c r="A132" s="1" t="str">
        <f t="shared" si="2"/>
        <v/>
      </c>
      <c r="B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2" s="1" t="s">
        <v>112</v>
      </c>
    </row>
    <row r="133" spans="1:7" x14ac:dyDescent="0.25">
      <c r="A133" s="1" t="str">
        <f t="shared" si="2"/>
        <v/>
      </c>
      <c r="B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3" s="1" t="s">
        <v>241</v>
      </c>
      <c r="D133" s="1" t="s">
        <v>110</v>
      </c>
      <c r="E133" s="1" t="s">
        <v>111</v>
      </c>
      <c r="F133" s="1" t="s">
        <v>112</v>
      </c>
      <c r="G133" s="1" t="s">
        <v>113</v>
      </c>
    </row>
    <row r="134" spans="1:7" x14ac:dyDescent="0.25">
      <c r="A134" s="1" t="str">
        <f t="shared" si="2"/>
        <v>05 EE2 114</v>
      </c>
      <c r="B1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4" s="1" t="s">
        <v>443</v>
      </c>
      <c r="D134" s="1" t="s">
        <v>444</v>
      </c>
      <c r="E134" s="1" t="s">
        <v>445</v>
      </c>
      <c r="F134" s="1" t="s">
        <v>112</v>
      </c>
      <c r="G134" s="1">
        <v>1648414</v>
      </c>
    </row>
    <row r="135" spans="1:7" x14ac:dyDescent="0.25">
      <c r="A135" s="1" t="str">
        <f t="shared" si="2"/>
        <v>05 EE2 114</v>
      </c>
      <c r="B1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5" s="1" t="s">
        <v>446</v>
      </c>
      <c r="D135" s="1" t="s">
        <v>447</v>
      </c>
      <c r="E135" s="1" t="s">
        <v>448</v>
      </c>
      <c r="F135" s="1" t="s">
        <v>112</v>
      </c>
      <c r="G135" s="1">
        <v>1249581</v>
      </c>
    </row>
    <row r="136" spans="1:7" x14ac:dyDescent="0.25">
      <c r="A136" s="1" t="str">
        <f t="shared" si="2"/>
        <v>05 EE2 114</v>
      </c>
      <c r="B1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6" s="1" t="s">
        <v>449</v>
      </c>
      <c r="D136" s="1" t="s">
        <v>450</v>
      </c>
      <c r="E136" s="1" t="s">
        <v>451</v>
      </c>
      <c r="F136" s="1" t="s">
        <v>112</v>
      </c>
      <c r="G136" s="1">
        <v>977952</v>
      </c>
    </row>
    <row r="137" spans="1:7" x14ac:dyDescent="0.25">
      <c r="A137" s="1" t="str">
        <f t="shared" si="2"/>
        <v>05 EE2 114</v>
      </c>
      <c r="B1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7" s="1" t="s">
        <v>452</v>
      </c>
      <c r="D137" s="1" t="s">
        <v>453</v>
      </c>
      <c r="E137" s="1" t="s">
        <v>454</v>
      </c>
      <c r="F137" s="1" t="s">
        <v>112</v>
      </c>
      <c r="G137" s="1">
        <v>2221888</v>
      </c>
    </row>
    <row r="138" spans="1:7" x14ac:dyDescent="0.25">
      <c r="A138" s="1" t="str">
        <f t="shared" si="2"/>
        <v>05 EE2 114</v>
      </c>
      <c r="B1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8" s="1" t="s">
        <v>455</v>
      </c>
      <c r="D138" s="1" t="s">
        <v>456</v>
      </c>
      <c r="E138" s="1" t="s">
        <v>457</v>
      </c>
      <c r="F138" s="1" t="s">
        <v>112</v>
      </c>
      <c r="G138" s="1">
        <v>2107725</v>
      </c>
    </row>
    <row r="139" spans="1:7" x14ac:dyDescent="0.25">
      <c r="A139" s="1" t="str">
        <f t="shared" si="2"/>
        <v>05 EE2 114</v>
      </c>
      <c r="B1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9" s="1" t="s">
        <v>458</v>
      </c>
      <c r="D139" s="1" t="s">
        <v>459</v>
      </c>
      <c r="E139" s="1" t="s">
        <v>460</v>
      </c>
      <c r="F139" s="1" t="s">
        <v>112</v>
      </c>
      <c r="G139" s="1">
        <v>1904080</v>
      </c>
    </row>
    <row r="140" spans="1:7" x14ac:dyDescent="0.25">
      <c r="A140" s="1" t="str">
        <f t="shared" si="2"/>
        <v>05 EE2 114</v>
      </c>
      <c r="B1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0" s="1" t="s">
        <v>461</v>
      </c>
      <c r="D140" s="1" t="s">
        <v>462</v>
      </c>
      <c r="E140" s="1" t="s">
        <v>463</v>
      </c>
      <c r="F140" s="1" t="s">
        <v>112</v>
      </c>
      <c r="G140" s="1">
        <v>1523329</v>
      </c>
    </row>
    <row r="141" spans="1:7" x14ac:dyDescent="0.25">
      <c r="A141" s="1" t="str">
        <f t="shared" si="2"/>
        <v>05 EE2 114</v>
      </c>
      <c r="B1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1" s="1" t="s">
        <v>464</v>
      </c>
      <c r="D141" s="1" t="s">
        <v>465</v>
      </c>
      <c r="E141" s="1" t="s">
        <v>466</v>
      </c>
      <c r="F141" s="1" t="s">
        <v>112</v>
      </c>
      <c r="G141" s="1">
        <v>1125620</v>
      </c>
    </row>
    <row r="142" spans="1:7" x14ac:dyDescent="0.25">
      <c r="A142" s="1" t="str">
        <f t="shared" si="2"/>
        <v>05 EE2 114</v>
      </c>
      <c r="B1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2" s="1" t="s">
        <v>467</v>
      </c>
      <c r="D142" s="1" t="s">
        <v>468</v>
      </c>
      <c r="E142" s="1" t="s">
        <v>469</v>
      </c>
      <c r="F142" s="1" t="s">
        <v>112</v>
      </c>
      <c r="G142" s="1">
        <v>427536</v>
      </c>
    </row>
    <row r="143" spans="1:7" x14ac:dyDescent="0.25">
      <c r="A143" s="1" t="str">
        <f t="shared" si="2"/>
        <v>05 EE2 114</v>
      </c>
      <c r="B1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3" s="1" t="s">
        <v>470</v>
      </c>
      <c r="D143" s="1" t="s">
        <v>471</v>
      </c>
      <c r="E143" s="1" t="s">
        <v>472</v>
      </c>
      <c r="F143" s="1" t="s">
        <v>112</v>
      </c>
      <c r="G143" s="1">
        <v>2283598</v>
      </c>
    </row>
    <row r="144" spans="1:7" x14ac:dyDescent="0.25">
      <c r="A144" s="1" t="str">
        <f t="shared" si="2"/>
        <v>05 EE2 114</v>
      </c>
      <c r="B1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4" s="1" t="s">
        <v>473</v>
      </c>
      <c r="D144" s="1" t="s">
        <v>474</v>
      </c>
      <c r="E144" s="1" t="s">
        <v>475</v>
      </c>
      <c r="F144" s="1" t="s">
        <v>112</v>
      </c>
      <c r="G144" s="1">
        <v>2194201</v>
      </c>
    </row>
    <row r="145" spans="1:10" x14ac:dyDescent="0.25">
      <c r="A145" s="1" t="str">
        <f t="shared" si="2"/>
        <v>05 EE2 114</v>
      </c>
      <c r="B1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5" s="1" t="s">
        <v>476</v>
      </c>
      <c r="D145" s="1" t="s">
        <v>474</v>
      </c>
      <c r="E145" s="1" t="s">
        <v>477</v>
      </c>
      <c r="F145" s="1" t="s">
        <v>112</v>
      </c>
      <c r="G145" s="1">
        <v>2149774</v>
      </c>
    </row>
    <row r="146" spans="1:10" x14ac:dyDescent="0.25">
      <c r="A146" s="1" t="str">
        <f t="shared" si="2"/>
        <v>05 EE2 114</v>
      </c>
      <c r="B1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6" s="1" t="s">
        <v>478</v>
      </c>
      <c r="D146" s="1" t="s">
        <v>479</v>
      </c>
      <c r="E146" s="1" t="s">
        <v>480</v>
      </c>
      <c r="F146" s="1" t="s">
        <v>112</v>
      </c>
      <c r="G146" s="1">
        <v>1185664</v>
      </c>
    </row>
    <row r="147" spans="1:10" x14ac:dyDescent="0.25">
      <c r="A147" s="1" t="str">
        <f t="shared" si="2"/>
        <v>05 EE2 114</v>
      </c>
      <c r="B1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7" s="1" t="s">
        <v>481</v>
      </c>
      <c r="D147" s="1" t="s">
        <v>482</v>
      </c>
      <c r="E147" s="1" t="s">
        <v>483</v>
      </c>
      <c r="F147" s="1" t="s">
        <v>112</v>
      </c>
      <c r="G147" s="1">
        <v>1056664</v>
      </c>
    </row>
    <row r="148" spans="1:10" x14ac:dyDescent="0.25">
      <c r="A148" s="1" t="str">
        <f t="shared" si="2"/>
        <v>05 EE2 114</v>
      </c>
      <c r="B1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8" s="1" t="s">
        <v>484</v>
      </c>
      <c r="D148" s="1" t="s">
        <v>220</v>
      </c>
      <c r="E148" s="1" t="s">
        <v>485</v>
      </c>
      <c r="F148" s="1" t="s">
        <v>112</v>
      </c>
      <c r="G148" s="1">
        <v>239162</v>
      </c>
    </row>
    <row r="149" spans="1:10" x14ac:dyDescent="0.25">
      <c r="A149" s="1" t="str">
        <f t="shared" si="2"/>
        <v>05 EE2 114</v>
      </c>
      <c r="B1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49" s="1" t="s">
        <v>486</v>
      </c>
      <c r="D149" s="1" t="s">
        <v>487</v>
      </c>
      <c r="E149" s="1" t="s">
        <v>488</v>
      </c>
      <c r="F149" s="1" t="s">
        <v>112</v>
      </c>
      <c r="G149" s="1">
        <v>374262</v>
      </c>
    </row>
    <row r="150" spans="1:10" x14ac:dyDescent="0.25">
      <c r="A150" s="1" t="str">
        <f t="shared" si="2"/>
        <v>05 EE2 114</v>
      </c>
      <c r="B1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50" s="1" t="s">
        <v>489</v>
      </c>
      <c r="D150" s="1" t="s">
        <v>490</v>
      </c>
      <c r="E150" s="1" t="s">
        <v>491</v>
      </c>
      <c r="F150" s="1" t="s">
        <v>112</v>
      </c>
      <c r="G150" s="1">
        <v>948103</v>
      </c>
    </row>
    <row r="151" spans="1:10" x14ac:dyDescent="0.25">
      <c r="A151" s="1" t="str">
        <f t="shared" si="2"/>
        <v>05 EE2 114</v>
      </c>
      <c r="B1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51" s="1" t="s">
        <v>492</v>
      </c>
      <c r="D151" s="1" t="s">
        <v>468</v>
      </c>
      <c r="E151" s="1" t="s">
        <v>493</v>
      </c>
      <c r="F151" s="1" t="s">
        <v>112</v>
      </c>
      <c r="G151" s="1">
        <v>425806</v>
      </c>
    </row>
    <row r="152" spans="1:10" x14ac:dyDescent="0.25">
      <c r="A152" s="1" t="str">
        <f t="shared" si="2"/>
        <v>05 EE2 114</v>
      </c>
      <c r="B1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2" s="1" t="s">
        <v>494</v>
      </c>
      <c r="D152" s="1" t="s">
        <v>495</v>
      </c>
      <c r="E152" s="1" t="s">
        <v>496</v>
      </c>
      <c r="F152" s="1" t="s">
        <v>112</v>
      </c>
      <c r="G152" s="1">
        <v>2674385</v>
      </c>
    </row>
    <row r="153" spans="1:10" x14ac:dyDescent="0.25">
      <c r="A153" s="1" t="str">
        <f t="shared" si="2"/>
        <v>05 EE2 114</v>
      </c>
      <c r="B1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3" s="1" t="s">
        <v>497</v>
      </c>
      <c r="D153" s="1" t="s">
        <v>498</v>
      </c>
      <c r="E153" s="1" t="s">
        <v>499</v>
      </c>
      <c r="F153" s="1" t="s">
        <v>112</v>
      </c>
      <c r="G153" s="1">
        <v>2409397</v>
      </c>
    </row>
    <row r="154" spans="1:10" x14ac:dyDescent="0.25">
      <c r="A154" s="1" t="str">
        <f t="shared" si="2"/>
        <v>05 EE2 114</v>
      </c>
      <c r="B1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4" s="1" t="s">
        <v>500</v>
      </c>
      <c r="D154" s="1" t="s">
        <v>501</v>
      </c>
      <c r="E154" s="1" t="s">
        <v>502</v>
      </c>
      <c r="F154" s="1" t="s">
        <v>112</v>
      </c>
      <c r="G154" s="1">
        <v>1848556</v>
      </c>
    </row>
    <row r="155" spans="1:10" x14ac:dyDescent="0.25">
      <c r="A155" s="1" t="str">
        <f t="shared" si="2"/>
        <v>05 EE2 114</v>
      </c>
      <c r="B1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5" s="1" t="s">
        <v>503</v>
      </c>
      <c r="D155" s="1" t="s">
        <v>504</v>
      </c>
      <c r="E155" s="1" t="s">
        <v>505</v>
      </c>
      <c r="F155" s="1" t="s">
        <v>112</v>
      </c>
      <c r="G155" s="1">
        <v>2892306</v>
      </c>
    </row>
    <row r="156" spans="1:10" x14ac:dyDescent="0.25">
      <c r="A156" s="1" t="str">
        <f t="shared" si="2"/>
        <v>05 EE2 114</v>
      </c>
      <c r="B1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6" s="1" t="s">
        <v>506</v>
      </c>
      <c r="D156" s="1" t="s">
        <v>507</v>
      </c>
      <c r="E156" s="1" t="s">
        <v>508</v>
      </c>
      <c r="F156" s="1" t="s">
        <v>112</v>
      </c>
      <c r="G156" s="1">
        <v>2321320</v>
      </c>
    </row>
    <row r="157" spans="1:10" x14ac:dyDescent="0.25">
      <c r="A157" s="1" t="str">
        <f t="shared" si="2"/>
        <v>05 EE2 114</v>
      </c>
      <c r="B1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7" s="1" t="s">
        <v>509</v>
      </c>
      <c r="D157" s="1" t="s">
        <v>510</v>
      </c>
      <c r="E157" s="1" t="s">
        <v>511</v>
      </c>
      <c r="F157" s="1" t="s">
        <v>112</v>
      </c>
      <c r="G157" s="1">
        <v>1856256</v>
      </c>
    </row>
    <row r="158" spans="1:10" x14ac:dyDescent="0.25">
      <c r="A158" s="1" t="str">
        <f t="shared" si="2"/>
        <v/>
      </c>
      <c r="B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58" s="1" t="s">
        <v>112</v>
      </c>
    </row>
    <row r="159" spans="1:10" x14ac:dyDescent="0.25">
      <c r="A159" s="1" t="str">
        <f t="shared" si="2"/>
        <v/>
      </c>
      <c r="B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59" s="1" t="s">
        <v>229</v>
      </c>
      <c r="D159" s="1" t="s">
        <v>112</v>
      </c>
      <c r="E159" s="1" t="s">
        <v>230</v>
      </c>
      <c r="F159" s="1" t="s">
        <v>231</v>
      </c>
      <c r="G159" s="1" t="s">
        <v>232</v>
      </c>
      <c r="H159" s="1" t="s">
        <v>233</v>
      </c>
      <c r="I159" s="1" t="s">
        <v>234</v>
      </c>
      <c r="J159" s="1" t="s">
        <v>235</v>
      </c>
    </row>
    <row r="160" spans="1:10" x14ac:dyDescent="0.25">
      <c r="A160" s="1" t="str">
        <f t="shared" si="2"/>
        <v>05 EE2 114</v>
      </c>
      <c r="B16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60" s="1" t="s">
        <v>512</v>
      </c>
      <c r="D160" s="1" t="s">
        <v>112</v>
      </c>
      <c r="E160" s="1" t="s">
        <v>513</v>
      </c>
      <c r="F160" s="1" t="s">
        <v>514</v>
      </c>
      <c r="G160" s="1" t="s">
        <v>515</v>
      </c>
      <c r="H160" s="1" t="s">
        <v>516</v>
      </c>
      <c r="I160" s="1">
        <v>24</v>
      </c>
      <c r="J160" s="1">
        <v>24</v>
      </c>
    </row>
    <row r="161" spans="1:7" x14ac:dyDescent="0.25">
      <c r="A161" s="1" t="str">
        <f t="shared" si="2"/>
        <v/>
      </c>
      <c r="B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1" s="1" t="s">
        <v>112</v>
      </c>
    </row>
    <row r="162" spans="1:7" x14ac:dyDescent="0.25">
      <c r="A162" s="1" t="str">
        <f t="shared" si="2"/>
        <v/>
      </c>
      <c r="B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2" s="1" t="s">
        <v>112</v>
      </c>
    </row>
    <row r="163" spans="1:7" x14ac:dyDescent="0.25">
      <c r="A163" s="1" t="str">
        <f t="shared" si="2"/>
        <v/>
      </c>
      <c r="B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3" s="1" t="s">
        <v>112</v>
      </c>
    </row>
    <row r="164" spans="1:7" x14ac:dyDescent="0.25">
      <c r="A164" s="1" t="str">
        <f t="shared" si="2"/>
        <v/>
      </c>
      <c r="B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4" s="1" t="s">
        <v>112</v>
      </c>
    </row>
    <row r="165" spans="1:7" x14ac:dyDescent="0.25">
      <c r="A165" s="1" t="str">
        <f t="shared" si="2"/>
        <v/>
      </c>
      <c r="B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5" s="1" t="s">
        <v>112</v>
      </c>
    </row>
    <row r="166" spans="1:7" x14ac:dyDescent="0.25">
      <c r="A166" s="1" t="str">
        <f t="shared" si="2"/>
        <v/>
      </c>
      <c r="B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6" s="1" t="s">
        <v>241</v>
      </c>
      <c r="D166" s="1" t="s">
        <v>110</v>
      </c>
      <c r="E166" s="1" t="s">
        <v>111</v>
      </c>
      <c r="F166" s="1" t="s">
        <v>112</v>
      </c>
      <c r="G166" s="1" t="s">
        <v>113</v>
      </c>
    </row>
    <row r="167" spans="1:7" x14ac:dyDescent="0.25">
      <c r="A167" s="1" t="str">
        <f t="shared" si="2"/>
        <v>06 EE2 170.9</v>
      </c>
      <c r="B1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7" s="1" t="s">
        <v>517</v>
      </c>
      <c r="D167" s="1" t="s">
        <v>518</v>
      </c>
      <c r="E167" s="1" t="s">
        <v>519</v>
      </c>
      <c r="F167" s="1" t="s">
        <v>112</v>
      </c>
      <c r="G167" s="1">
        <v>3501080</v>
      </c>
    </row>
    <row r="168" spans="1:7" x14ac:dyDescent="0.25">
      <c r="A168" s="1" t="str">
        <f t="shared" si="2"/>
        <v>06 EE2 170.9</v>
      </c>
      <c r="B1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8" s="1" t="s">
        <v>520</v>
      </c>
      <c r="D168" s="1" t="s">
        <v>521</v>
      </c>
      <c r="E168" s="1" t="s">
        <v>522</v>
      </c>
      <c r="F168" s="1" t="s">
        <v>112</v>
      </c>
      <c r="G168" s="1">
        <v>3234578</v>
      </c>
    </row>
    <row r="169" spans="1:7" x14ac:dyDescent="0.25">
      <c r="A169" s="1" t="str">
        <f t="shared" si="2"/>
        <v>06 EE2 170.9</v>
      </c>
      <c r="B1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9" s="1" t="s">
        <v>523</v>
      </c>
      <c r="D169" s="1" t="s">
        <v>524</v>
      </c>
      <c r="E169" s="1" t="s">
        <v>525</v>
      </c>
      <c r="F169" s="1" t="s">
        <v>112</v>
      </c>
      <c r="G169" s="1">
        <v>2813552</v>
      </c>
    </row>
    <row r="170" spans="1:7" x14ac:dyDescent="0.25">
      <c r="A170" s="1" t="str">
        <f t="shared" si="2"/>
        <v>06 EE2 170.9</v>
      </c>
      <c r="B1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0" s="1" t="s">
        <v>526</v>
      </c>
      <c r="D170" s="1" t="s">
        <v>527</v>
      </c>
      <c r="E170" s="1" t="s">
        <v>528</v>
      </c>
      <c r="F170" s="1" t="s">
        <v>112</v>
      </c>
      <c r="G170" s="1">
        <v>3839825</v>
      </c>
    </row>
    <row r="171" spans="1:7" x14ac:dyDescent="0.25">
      <c r="A171" s="1" t="str">
        <f t="shared" si="2"/>
        <v>06 EE2 170.9</v>
      </c>
      <c r="B1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1" s="1" t="s">
        <v>529</v>
      </c>
      <c r="D171" s="1" t="s">
        <v>530</v>
      </c>
      <c r="E171" s="1" t="s">
        <v>531</v>
      </c>
      <c r="F171" s="1" t="s">
        <v>112</v>
      </c>
      <c r="G171" s="1">
        <v>4018186</v>
      </c>
    </row>
    <row r="172" spans="1:7" x14ac:dyDescent="0.25">
      <c r="A172" s="1" t="str">
        <f t="shared" si="2"/>
        <v>06 EE2 170.9</v>
      </c>
      <c r="B1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2" s="1" t="s">
        <v>532</v>
      </c>
      <c r="D172" s="1" t="s">
        <v>533</v>
      </c>
      <c r="E172" s="1" t="s">
        <v>534</v>
      </c>
      <c r="F172" s="1" t="s">
        <v>112</v>
      </c>
      <c r="G172" s="1">
        <v>3415750</v>
      </c>
    </row>
    <row r="173" spans="1:7" x14ac:dyDescent="0.25">
      <c r="A173" s="1" t="str">
        <f t="shared" si="2"/>
        <v>06 EE2 170.9</v>
      </c>
      <c r="B1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3" s="1" t="s">
        <v>535</v>
      </c>
      <c r="D173" s="1" t="s">
        <v>536</v>
      </c>
      <c r="E173" s="1" t="s">
        <v>537</v>
      </c>
      <c r="F173" s="1" t="s">
        <v>112</v>
      </c>
      <c r="G173" s="1">
        <v>3854253</v>
      </c>
    </row>
    <row r="174" spans="1:7" x14ac:dyDescent="0.25">
      <c r="A174" s="1" t="str">
        <f t="shared" si="2"/>
        <v>06 EE2 170.9</v>
      </c>
      <c r="B1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4" s="1" t="s">
        <v>538</v>
      </c>
      <c r="D174" s="1" t="s">
        <v>539</v>
      </c>
      <c r="E174" s="1" t="s">
        <v>540</v>
      </c>
      <c r="F174" s="1" t="s">
        <v>112</v>
      </c>
      <c r="G174" s="1">
        <v>3242256</v>
      </c>
    </row>
    <row r="175" spans="1:7" x14ac:dyDescent="0.25">
      <c r="A175" s="1" t="str">
        <f t="shared" si="2"/>
        <v>06 EE2 170.9</v>
      </c>
      <c r="B1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5" s="1" t="s">
        <v>541</v>
      </c>
      <c r="D175" s="1" t="s">
        <v>542</v>
      </c>
      <c r="E175" s="1" t="s">
        <v>543</v>
      </c>
      <c r="F175" s="1" t="s">
        <v>112</v>
      </c>
      <c r="G175" s="1">
        <v>3248507</v>
      </c>
    </row>
    <row r="176" spans="1:7" x14ac:dyDescent="0.25">
      <c r="A176" s="1" t="str">
        <f t="shared" si="2"/>
        <v>06 EE2 170.9</v>
      </c>
      <c r="B1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6" s="1" t="s">
        <v>544</v>
      </c>
      <c r="D176" s="1" t="s">
        <v>545</v>
      </c>
      <c r="E176" s="1" t="s">
        <v>546</v>
      </c>
      <c r="F176" s="1" t="s">
        <v>112</v>
      </c>
      <c r="G176" s="1">
        <v>805497</v>
      </c>
    </row>
    <row r="177" spans="1:10" x14ac:dyDescent="0.25">
      <c r="A177" s="1" t="str">
        <f t="shared" si="2"/>
        <v>06 EE2 170.9</v>
      </c>
      <c r="B1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7" s="1" t="s">
        <v>547</v>
      </c>
      <c r="D177" s="1" t="s">
        <v>548</v>
      </c>
      <c r="E177" s="1" t="s">
        <v>549</v>
      </c>
      <c r="F177" s="1" t="s">
        <v>112</v>
      </c>
      <c r="G177" s="1">
        <v>550784</v>
      </c>
    </row>
    <row r="178" spans="1:10" x14ac:dyDescent="0.25">
      <c r="A178" s="1" t="str">
        <f t="shared" si="2"/>
        <v>06 EE2 170.9</v>
      </c>
      <c r="B1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8" s="1" t="s">
        <v>550</v>
      </c>
      <c r="D178" s="1" t="s">
        <v>551</v>
      </c>
      <c r="E178" s="1" t="s">
        <v>552</v>
      </c>
      <c r="F178" s="1" t="s">
        <v>112</v>
      </c>
      <c r="G178" s="1">
        <v>481179</v>
      </c>
    </row>
    <row r="179" spans="1:10" x14ac:dyDescent="0.25">
      <c r="A179" s="1" t="str">
        <f t="shared" si="2"/>
        <v>06 EE2 170.9</v>
      </c>
      <c r="B1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79" s="1" t="s">
        <v>553</v>
      </c>
      <c r="D179" s="1" t="s">
        <v>554</v>
      </c>
      <c r="E179" s="1" t="s">
        <v>555</v>
      </c>
      <c r="F179" s="1" t="s">
        <v>112</v>
      </c>
      <c r="G179" s="1">
        <v>3804136</v>
      </c>
    </row>
    <row r="180" spans="1:10" x14ac:dyDescent="0.25">
      <c r="A180" s="1" t="str">
        <f t="shared" si="2"/>
        <v>06 EE2 170.9</v>
      </c>
      <c r="B1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80" s="1" t="s">
        <v>556</v>
      </c>
    </row>
    <row r="181" spans="1:10" x14ac:dyDescent="0.25">
      <c r="A181" s="1" t="str">
        <f t="shared" si="2"/>
        <v>06 EE2 170.9</v>
      </c>
      <c r="B1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81" s="1" t="s">
        <v>557</v>
      </c>
      <c r="D181" s="1" t="s">
        <v>558</v>
      </c>
      <c r="E181" s="1" t="s">
        <v>559</v>
      </c>
      <c r="F181" s="1" t="s">
        <v>112</v>
      </c>
      <c r="G181" s="1">
        <v>3246907</v>
      </c>
    </row>
    <row r="182" spans="1:10" x14ac:dyDescent="0.25">
      <c r="A182" s="1" t="str">
        <f t="shared" si="2"/>
        <v>06 EE2 170.9</v>
      </c>
      <c r="B1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2" s="1" t="s">
        <v>560</v>
      </c>
      <c r="D182" s="1" t="s">
        <v>561</v>
      </c>
      <c r="E182" s="1" t="s">
        <v>562</v>
      </c>
      <c r="F182" s="1" t="s">
        <v>112</v>
      </c>
      <c r="G182" s="1">
        <v>3191058</v>
      </c>
    </row>
    <row r="183" spans="1:10" x14ac:dyDescent="0.25">
      <c r="A183" s="1" t="str">
        <f t="shared" si="2"/>
        <v>06 EE2 170.9</v>
      </c>
      <c r="B1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3" s="1" t="s">
        <v>563</v>
      </c>
      <c r="D183" s="1" t="s">
        <v>564</v>
      </c>
      <c r="E183" s="1" t="s">
        <v>565</v>
      </c>
      <c r="F183" s="1" t="s">
        <v>112</v>
      </c>
      <c r="G183" s="1">
        <v>3263929</v>
      </c>
    </row>
    <row r="184" spans="1:10" x14ac:dyDescent="0.25">
      <c r="A184" s="1" t="str">
        <f t="shared" si="2"/>
        <v>06 EE2 170.9</v>
      </c>
      <c r="B1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4" s="1" t="s">
        <v>566</v>
      </c>
      <c r="D184" s="1" t="s">
        <v>567</v>
      </c>
      <c r="E184" s="1" t="s">
        <v>568</v>
      </c>
      <c r="F184" s="1" t="s">
        <v>112</v>
      </c>
      <c r="G184" s="1">
        <v>2338148</v>
      </c>
    </row>
    <row r="185" spans="1:10" x14ac:dyDescent="0.25">
      <c r="A185" s="1" t="str">
        <f t="shared" si="2"/>
        <v>06 EE2 170.9</v>
      </c>
      <c r="B1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5" s="1" t="s">
        <v>569</v>
      </c>
      <c r="D185" s="1" t="s">
        <v>570</v>
      </c>
      <c r="E185" s="1" t="s">
        <v>571</v>
      </c>
      <c r="F185" s="1" t="s">
        <v>112</v>
      </c>
      <c r="G185" s="1">
        <v>3158765</v>
      </c>
    </row>
    <row r="186" spans="1:10" x14ac:dyDescent="0.25">
      <c r="A186" s="1" t="str">
        <f t="shared" si="2"/>
        <v>06 EE2 170.9</v>
      </c>
      <c r="B1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6" s="1" t="s">
        <v>572</v>
      </c>
      <c r="D186" s="1" t="s">
        <v>573</v>
      </c>
      <c r="E186" s="1" t="s">
        <v>574</v>
      </c>
      <c r="F186" s="1" t="s">
        <v>112</v>
      </c>
      <c r="G186" s="1">
        <v>3355965</v>
      </c>
    </row>
    <row r="187" spans="1:10" x14ac:dyDescent="0.25">
      <c r="A187" s="1" t="str">
        <f t="shared" si="2"/>
        <v>06 EE2 170.9</v>
      </c>
      <c r="B1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7" s="1" t="s">
        <v>575</v>
      </c>
    </row>
    <row r="188" spans="1:10" x14ac:dyDescent="0.25">
      <c r="A188" s="1" t="str">
        <f t="shared" si="2"/>
        <v>06 EE2 170.9</v>
      </c>
      <c r="B1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88" s="1" t="s">
        <v>576</v>
      </c>
    </row>
    <row r="189" spans="1:10" x14ac:dyDescent="0.25">
      <c r="A189" s="1" t="str">
        <f t="shared" si="2"/>
        <v>06 EE2 170.9</v>
      </c>
      <c r="B1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89" s="1" t="s">
        <v>577</v>
      </c>
    </row>
    <row r="190" spans="1:10" x14ac:dyDescent="0.25">
      <c r="A190" s="1" t="str">
        <f t="shared" si="2"/>
        <v>06 EE2 170.9</v>
      </c>
      <c r="B1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90" s="1" t="s">
        <v>578</v>
      </c>
    </row>
    <row r="191" spans="1:10" x14ac:dyDescent="0.25">
      <c r="A191" s="1" t="str">
        <f t="shared" si="2"/>
        <v/>
      </c>
      <c r="B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1" s="1" t="s">
        <v>112</v>
      </c>
    </row>
    <row r="192" spans="1:10" x14ac:dyDescent="0.25">
      <c r="A192" s="1" t="str">
        <f t="shared" si="2"/>
        <v/>
      </c>
      <c r="B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2" s="1" t="s">
        <v>229</v>
      </c>
      <c r="D192" s="1" t="s">
        <v>112</v>
      </c>
      <c r="E192" s="1" t="s">
        <v>230</v>
      </c>
      <c r="F192" s="1" t="s">
        <v>231</v>
      </c>
      <c r="G192" s="1" t="s">
        <v>232</v>
      </c>
      <c r="H192" s="1" t="s">
        <v>233</v>
      </c>
      <c r="I192" s="1" t="s">
        <v>234</v>
      </c>
      <c r="J192" s="1" t="s">
        <v>235</v>
      </c>
    </row>
    <row r="193" spans="1:10" x14ac:dyDescent="0.25">
      <c r="A193" s="1" t="str">
        <f t="shared" si="2"/>
        <v>06 EE2 170.9</v>
      </c>
      <c r="B19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93" s="1" t="s">
        <v>579</v>
      </c>
      <c r="D193" s="1" t="s">
        <v>112</v>
      </c>
      <c r="E193" s="1" t="s">
        <v>580</v>
      </c>
      <c r="F193" s="1" t="s">
        <v>581</v>
      </c>
      <c r="G193" s="1" t="s">
        <v>582</v>
      </c>
      <c r="H193" s="1" t="s">
        <v>583</v>
      </c>
      <c r="I193" s="1">
        <v>24</v>
      </c>
      <c r="J193" s="1">
        <v>24</v>
      </c>
    </row>
    <row r="194" spans="1:10" x14ac:dyDescent="0.25">
      <c r="A194" s="1" t="str">
        <f t="shared" ref="A194:A257" si="3">IFERROR(LEFT(RIGHT(C194,LEN(C194)-SEARCH("@",C194)),SEARCH("/",RIGHT(C194,LEN(C194)-SEARCH("@",C194)-1))),"")</f>
        <v/>
      </c>
      <c r="B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4" s="1" t="s">
        <v>112</v>
      </c>
    </row>
    <row r="195" spans="1:10" x14ac:dyDescent="0.25">
      <c r="A195" s="1" t="str">
        <f t="shared" si="3"/>
        <v/>
      </c>
      <c r="B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5" s="1" t="s">
        <v>112</v>
      </c>
    </row>
    <row r="196" spans="1:10" x14ac:dyDescent="0.25">
      <c r="A196" s="1" t="str">
        <f t="shared" si="3"/>
        <v/>
      </c>
      <c r="B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6" s="1" t="s">
        <v>112</v>
      </c>
    </row>
    <row r="197" spans="1:10" x14ac:dyDescent="0.25">
      <c r="A197" s="1" t="str">
        <f t="shared" si="3"/>
        <v/>
      </c>
      <c r="B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7" s="1" t="s">
        <v>112</v>
      </c>
    </row>
    <row r="198" spans="1:10" x14ac:dyDescent="0.25">
      <c r="A198" s="1" t="str">
        <f t="shared" si="3"/>
        <v/>
      </c>
      <c r="B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8" s="1" t="s">
        <v>112</v>
      </c>
    </row>
    <row r="199" spans="1:10" x14ac:dyDescent="0.25">
      <c r="A199" s="1" t="str">
        <f t="shared" si="3"/>
        <v/>
      </c>
      <c r="B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9" s="1" t="s">
        <v>241</v>
      </c>
      <c r="D199" s="1" t="s">
        <v>110</v>
      </c>
      <c r="E199" s="1" t="s">
        <v>111</v>
      </c>
      <c r="F199" s="1" t="s">
        <v>112</v>
      </c>
      <c r="G199" s="1" t="s">
        <v>113</v>
      </c>
    </row>
    <row r="200" spans="1:10" x14ac:dyDescent="0.25">
      <c r="A200" s="1" t="str">
        <f t="shared" si="3"/>
        <v>07 EE2 488</v>
      </c>
      <c r="B2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0" s="1" t="s">
        <v>584</v>
      </c>
      <c r="D200" s="1" t="s">
        <v>585</v>
      </c>
      <c r="E200" s="1" t="s">
        <v>586</v>
      </c>
      <c r="F200" s="1" t="s">
        <v>112</v>
      </c>
      <c r="G200" s="1">
        <v>7750316</v>
      </c>
    </row>
    <row r="201" spans="1:10" x14ac:dyDescent="0.25">
      <c r="A201" s="1" t="str">
        <f t="shared" si="3"/>
        <v>07 EE2 488</v>
      </c>
      <c r="B2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1" s="1" t="s">
        <v>587</v>
      </c>
      <c r="D201" s="1" t="s">
        <v>588</v>
      </c>
      <c r="E201" s="1" t="s">
        <v>589</v>
      </c>
      <c r="F201" s="1" t="s">
        <v>112</v>
      </c>
      <c r="G201" s="1">
        <v>7496143</v>
      </c>
    </row>
    <row r="202" spans="1:10" x14ac:dyDescent="0.25">
      <c r="A202" s="1" t="str">
        <f t="shared" si="3"/>
        <v>07 EE2 488</v>
      </c>
      <c r="B2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2" s="1" t="s">
        <v>590</v>
      </c>
      <c r="D202" s="1" t="s">
        <v>591</v>
      </c>
      <c r="E202" s="1" t="s">
        <v>592</v>
      </c>
      <c r="F202" s="1" t="s">
        <v>112</v>
      </c>
      <c r="G202" s="1">
        <v>7526944</v>
      </c>
    </row>
    <row r="203" spans="1:10" x14ac:dyDescent="0.25">
      <c r="A203" s="1" t="str">
        <f t="shared" si="3"/>
        <v>07 EE2 488</v>
      </c>
      <c r="B2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3" s="1" t="s">
        <v>593</v>
      </c>
      <c r="D203" s="1" t="s">
        <v>594</v>
      </c>
      <c r="E203" s="1" t="s">
        <v>595</v>
      </c>
      <c r="F203" s="1" t="s">
        <v>112</v>
      </c>
      <c r="G203" s="1">
        <v>5815587</v>
      </c>
    </row>
    <row r="204" spans="1:10" x14ac:dyDescent="0.25">
      <c r="A204" s="1" t="str">
        <f t="shared" si="3"/>
        <v>07 EE2 488</v>
      </c>
      <c r="B2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4" s="1" t="s">
        <v>596</v>
      </c>
      <c r="D204" s="1" t="s">
        <v>597</v>
      </c>
      <c r="E204" s="1" t="s">
        <v>598</v>
      </c>
      <c r="F204" s="1" t="s">
        <v>112</v>
      </c>
      <c r="G204" s="1">
        <v>5510670</v>
      </c>
    </row>
    <row r="205" spans="1:10" x14ac:dyDescent="0.25">
      <c r="A205" s="1" t="str">
        <f t="shared" si="3"/>
        <v>07 EE2 488</v>
      </c>
      <c r="B2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5" s="1" t="s">
        <v>599</v>
      </c>
      <c r="D205" s="1" t="s">
        <v>600</v>
      </c>
      <c r="E205" s="1" t="s">
        <v>601</v>
      </c>
      <c r="F205" s="1" t="s">
        <v>112</v>
      </c>
      <c r="G205" s="1">
        <v>5657104</v>
      </c>
    </row>
    <row r="206" spans="1:10" x14ac:dyDescent="0.25">
      <c r="A206" s="1" t="str">
        <f t="shared" si="3"/>
        <v>07 EE2 488</v>
      </c>
      <c r="B2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6" s="1" t="s">
        <v>602</v>
      </c>
      <c r="D206" s="1" t="s">
        <v>603</v>
      </c>
      <c r="E206" s="1" t="s">
        <v>604</v>
      </c>
      <c r="F206" s="1" t="s">
        <v>112</v>
      </c>
      <c r="G206" s="1">
        <v>7386566</v>
      </c>
    </row>
    <row r="207" spans="1:10" x14ac:dyDescent="0.25">
      <c r="A207" s="1" t="str">
        <f t="shared" si="3"/>
        <v>07 EE2 488</v>
      </c>
      <c r="B2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7" s="1" t="s">
        <v>605</v>
      </c>
      <c r="D207" s="1" t="s">
        <v>606</v>
      </c>
      <c r="E207" s="1" t="s">
        <v>607</v>
      </c>
      <c r="F207" s="1" t="s">
        <v>112</v>
      </c>
      <c r="G207" s="1">
        <v>7035880</v>
      </c>
    </row>
    <row r="208" spans="1:10" x14ac:dyDescent="0.25">
      <c r="A208" s="1" t="str">
        <f t="shared" si="3"/>
        <v>07 EE2 488</v>
      </c>
      <c r="B2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8" s="1" t="s">
        <v>608</v>
      </c>
      <c r="D208" s="1" t="s">
        <v>609</v>
      </c>
      <c r="E208" s="1" t="s">
        <v>610</v>
      </c>
      <c r="F208" s="1" t="s">
        <v>112</v>
      </c>
      <c r="G208" s="1">
        <v>6825703</v>
      </c>
    </row>
    <row r="209" spans="1:7" x14ac:dyDescent="0.25">
      <c r="A209" s="1" t="str">
        <f t="shared" si="3"/>
        <v>07 EE2 488</v>
      </c>
      <c r="B2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09" s="1" t="s">
        <v>611</v>
      </c>
      <c r="D209" s="1" t="s">
        <v>612</v>
      </c>
      <c r="E209" s="1" t="s">
        <v>613</v>
      </c>
      <c r="F209" s="1" t="s">
        <v>112</v>
      </c>
      <c r="G209" s="1">
        <v>5571882</v>
      </c>
    </row>
    <row r="210" spans="1:7" x14ac:dyDescent="0.25">
      <c r="A210" s="1" t="str">
        <f t="shared" si="3"/>
        <v>07 EE2 488</v>
      </c>
      <c r="B2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10" s="1" t="s">
        <v>614</v>
      </c>
      <c r="D210" s="1" t="s">
        <v>615</v>
      </c>
      <c r="E210" s="1" t="s">
        <v>616</v>
      </c>
      <c r="F210" s="1" t="s">
        <v>112</v>
      </c>
      <c r="G210" s="1">
        <v>6789559</v>
      </c>
    </row>
    <row r="211" spans="1:7" x14ac:dyDescent="0.25">
      <c r="A211" s="1" t="str">
        <f t="shared" si="3"/>
        <v>07 EE2 488</v>
      </c>
      <c r="B2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11" s="1" t="s">
        <v>617</v>
      </c>
      <c r="D211" s="1" t="s">
        <v>618</v>
      </c>
      <c r="E211" s="1" t="s">
        <v>619</v>
      </c>
      <c r="F211" s="1" t="s">
        <v>112</v>
      </c>
      <c r="G211" s="1">
        <v>6251342</v>
      </c>
    </row>
    <row r="212" spans="1:7" x14ac:dyDescent="0.25">
      <c r="A212" s="1" t="str">
        <f t="shared" si="3"/>
        <v>07 EE2 488</v>
      </c>
      <c r="B2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2" s="1" t="s">
        <v>620</v>
      </c>
      <c r="D212" s="1" t="s">
        <v>621</v>
      </c>
      <c r="E212" s="1" t="s">
        <v>622</v>
      </c>
      <c r="F212" s="1" t="s">
        <v>112</v>
      </c>
      <c r="G212" s="1">
        <v>3621753</v>
      </c>
    </row>
    <row r="213" spans="1:7" x14ac:dyDescent="0.25">
      <c r="A213" s="1" t="str">
        <f t="shared" si="3"/>
        <v>07 EE2 488</v>
      </c>
      <c r="B2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3" s="1" t="s">
        <v>623</v>
      </c>
      <c r="D213" s="1" t="s">
        <v>624</v>
      </c>
      <c r="E213" s="1" t="s">
        <v>625</v>
      </c>
      <c r="F213" s="1" t="s">
        <v>112</v>
      </c>
      <c r="G213" s="1">
        <v>3603411</v>
      </c>
    </row>
    <row r="214" spans="1:7" x14ac:dyDescent="0.25">
      <c r="A214" s="1" t="str">
        <f t="shared" si="3"/>
        <v>07 EE2 488</v>
      </c>
      <c r="B2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4" s="1" t="s">
        <v>626</v>
      </c>
      <c r="D214" s="1" t="s">
        <v>627</v>
      </c>
      <c r="E214" s="1" t="s">
        <v>628</v>
      </c>
      <c r="F214" s="1" t="s">
        <v>112</v>
      </c>
      <c r="G214" s="1">
        <v>3767430</v>
      </c>
    </row>
    <row r="215" spans="1:7" x14ac:dyDescent="0.25">
      <c r="A215" s="1" t="str">
        <f t="shared" si="3"/>
        <v>07 EE2 488</v>
      </c>
      <c r="B2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5" s="1" t="s">
        <v>629</v>
      </c>
      <c r="D215" s="1" t="s">
        <v>630</v>
      </c>
      <c r="E215" s="1" t="s">
        <v>631</v>
      </c>
      <c r="F215" s="1" t="s">
        <v>112</v>
      </c>
      <c r="G215" s="1">
        <v>5898429</v>
      </c>
    </row>
    <row r="216" spans="1:7" x14ac:dyDescent="0.25">
      <c r="A216" s="1" t="str">
        <f t="shared" si="3"/>
        <v>07 EE2 488</v>
      </c>
      <c r="B2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6" s="1" t="s">
        <v>632</v>
      </c>
      <c r="D216" s="1" t="s">
        <v>633</v>
      </c>
      <c r="E216" s="1" t="s">
        <v>634</v>
      </c>
      <c r="F216" s="1" t="s">
        <v>112</v>
      </c>
      <c r="G216" s="1">
        <v>6129480</v>
      </c>
    </row>
    <row r="217" spans="1:7" x14ac:dyDescent="0.25">
      <c r="A217" s="1" t="str">
        <f t="shared" si="3"/>
        <v>07 EE2 488</v>
      </c>
      <c r="B2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7" s="1" t="s">
        <v>635</v>
      </c>
      <c r="D217" s="1" t="s">
        <v>636</v>
      </c>
      <c r="E217" s="1" t="s">
        <v>637</v>
      </c>
      <c r="F217" s="1" t="s">
        <v>112</v>
      </c>
      <c r="G217" s="1">
        <v>5332396</v>
      </c>
    </row>
    <row r="218" spans="1:7" x14ac:dyDescent="0.25">
      <c r="A218" s="1" t="str">
        <f t="shared" si="3"/>
        <v>07 EE2 488</v>
      </c>
      <c r="B2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8" s="1" t="s">
        <v>638</v>
      </c>
      <c r="D218" s="1" t="s">
        <v>639</v>
      </c>
      <c r="E218" s="1" t="s">
        <v>640</v>
      </c>
      <c r="F218" s="1" t="s">
        <v>112</v>
      </c>
      <c r="G218" s="1">
        <v>4764612</v>
      </c>
    </row>
    <row r="219" spans="1:7" x14ac:dyDescent="0.25">
      <c r="A219" s="1" t="str">
        <f t="shared" si="3"/>
        <v>07 EE2 488</v>
      </c>
      <c r="B2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9" s="1" t="s">
        <v>641</v>
      </c>
      <c r="D219" s="1" t="s">
        <v>642</v>
      </c>
      <c r="E219" s="1" t="s">
        <v>643</v>
      </c>
      <c r="F219" s="1" t="s">
        <v>112</v>
      </c>
      <c r="G219" s="1">
        <v>5603181</v>
      </c>
    </row>
    <row r="220" spans="1:7" x14ac:dyDescent="0.25">
      <c r="A220" s="1" t="str">
        <f t="shared" si="3"/>
        <v>07 EE2 488</v>
      </c>
      <c r="B2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20" s="1" t="s">
        <v>644</v>
      </c>
      <c r="D220" s="1" t="s">
        <v>645</v>
      </c>
      <c r="E220" s="1" t="s">
        <v>646</v>
      </c>
      <c r="F220" s="1" t="s">
        <v>112</v>
      </c>
      <c r="G220" s="1">
        <v>5080127</v>
      </c>
    </row>
    <row r="221" spans="1:7" x14ac:dyDescent="0.25">
      <c r="A221" s="1" t="str">
        <f t="shared" si="3"/>
        <v>07 EE2 488</v>
      </c>
      <c r="B2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1" s="1" t="s">
        <v>647</v>
      </c>
      <c r="D221" s="1" t="s">
        <v>648</v>
      </c>
      <c r="E221" s="1" t="s">
        <v>649</v>
      </c>
      <c r="F221" s="1" t="s">
        <v>112</v>
      </c>
      <c r="G221" s="1">
        <v>7923766</v>
      </c>
    </row>
    <row r="222" spans="1:7" x14ac:dyDescent="0.25">
      <c r="A222" s="1" t="str">
        <f t="shared" si="3"/>
        <v>07 EE2 488</v>
      </c>
      <c r="B2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2" s="1" t="s">
        <v>650</v>
      </c>
      <c r="D222" s="1" t="s">
        <v>651</v>
      </c>
      <c r="E222" s="1" t="s">
        <v>652</v>
      </c>
      <c r="F222" s="1" t="s">
        <v>112</v>
      </c>
      <c r="G222" s="1">
        <v>6894031</v>
      </c>
    </row>
    <row r="223" spans="1:7" x14ac:dyDescent="0.25">
      <c r="A223" s="1" t="str">
        <f t="shared" si="3"/>
        <v>07 EE2 488</v>
      </c>
      <c r="B2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3" s="1" t="s">
        <v>653</v>
      </c>
      <c r="D223" s="1" t="s">
        <v>654</v>
      </c>
      <c r="E223" s="1" t="s">
        <v>655</v>
      </c>
      <c r="F223" s="1" t="s">
        <v>112</v>
      </c>
      <c r="G223" s="1">
        <v>6648619</v>
      </c>
    </row>
    <row r="224" spans="1:7" x14ac:dyDescent="0.25">
      <c r="A224" s="1" t="str">
        <f t="shared" si="3"/>
        <v/>
      </c>
      <c r="B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4" s="1" t="s">
        <v>112</v>
      </c>
    </row>
    <row r="225" spans="1:10" x14ac:dyDescent="0.25">
      <c r="A225" s="1" t="str">
        <f t="shared" si="3"/>
        <v/>
      </c>
      <c r="B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5" s="1" t="s">
        <v>229</v>
      </c>
      <c r="D225" s="1" t="s">
        <v>112</v>
      </c>
      <c r="E225" s="1" t="s">
        <v>230</v>
      </c>
      <c r="F225" s="1" t="s">
        <v>231</v>
      </c>
      <c r="G225" s="1" t="s">
        <v>232</v>
      </c>
      <c r="H225" s="1" t="s">
        <v>233</v>
      </c>
      <c r="I225" s="1" t="s">
        <v>234</v>
      </c>
      <c r="J225" s="1" t="s">
        <v>235</v>
      </c>
    </row>
    <row r="226" spans="1:10" x14ac:dyDescent="0.25">
      <c r="A226" s="1" t="str">
        <f t="shared" si="3"/>
        <v>07 EE2 488</v>
      </c>
      <c r="B22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26" s="1" t="s">
        <v>656</v>
      </c>
      <c r="D226" s="1" t="s">
        <v>112</v>
      </c>
      <c r="E226" s="1" t="s">
        <v>657</v>
      </c>
      <c r="F226" s="1" t="s">
        <v>658</v>
      </c>
      <c r="G226" s="1" t="s">
        <v>659</v>
      </c>
      <c r="H226" s="1" t="s">
        <v>660</v>
      </c>
      <c r="I226" s="1">
        <v>24</v>
      </c>
      <c r="J226" s="1">
        <v>24</v>
      </c>
    </row>
    <row r="227" spans="1:10" x14ac:dyDescent="0.25">
      <c r="A227" s="1" t="str">
        <f t="shared" si="3"/>
        <v/>
      </c>
      <c r="B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7" s="1" t="s">
        <v>112</v>
      </c>
    </row>
    <row r="228" spans="1:10" x14ac:dyDescent="0.25">
      <c r="A228" s="1" t="str">
        <f t="shared" si="3"/>
        <v/>
      </c>
      <c r="B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8" s="1" t="s">
        <v>112</v>
      </c>
    </row>
    <row r="229" spans="1:10" x14ac:dyDescent="0.25">
      <c r="A229" s="1" t="str">
        <f t="shared" si="3"/>
        <v/>
      </c>
      <c r="B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9" s="1" t="s">
        <v>112</v>
      </c>
    </row>
    <row r="230" spans="1:10" x14ac:dyDescent="0.25">
      <c r="A230" s="1" t="str">
        <f t="shared" si="3"/>
        <v/>
      </c>
      <c r="B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0" s="1" t="s">
        <v>112</v>
      </c>
    </row>
    <row r="231" spans="1:10" x14ac:dyDescent="0.25">
      <c r="A231" s="1" t="str">
        <f t="shared" si="3"/>
        <v/>
      </c>
      <c r="B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1" s="1" t="s">
        <v>112</v>
      </c>
    </row>
    <row r="232" spans="1:10" x14ac:dyDescent="0.25">
      <c r="A232" s="1" t="str">
        <f t="shared" si="3"/>
        <v/>
      </c>
      <c r="B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2" s="1" t="s">
        <v>241</v>
      </c>
      <c r="D232" s="1" t="s">
        <v>110</v>
      </c>
      <c r="E232" s="1" t="s">
        <v>111</v>
      </c>
      <c r="F232" s="1" t="s">
        <v>112</v>
      </c>
      <c r="G232" s="1" t="s">
        <v>113</v>
      </c>
    </row>
    <row r="233" spans="1:10" x14ac:dyDescent="0.25">
      <c r="A233" s="1" t="str">
        <f t="shared" si="3"/>
        <v>08 Testosterone 3.7 µg_L</v>
      </c>
      <c r="B2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3" s="1" t="s">
        <v>661</v>
      </c>
    </row>
    <row r="234" spans="1:10" x14ac:dyDescent="0.25">
      <c r="A234" s="1" t="str">
        <f t="shared" si="3"/>
        <v>08 Testosterone 3.7 µg_L</v>
      </c>
      <c r="B2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4" s="1" t="s">
        <v>662</v>
      </c>
      <c r="D234" s="1" t="s">
        <v>324</v>
      </c>
      <c r="E234" s="1" t="s">
        <v>663</v>
      </c>
      <c r="F234" s="1" t="s">
        <v>112</v>
      </c>
      <c r="G234" s="1">
        <v>280626</v>
      </c>
    </row>
    <row r="235" spans="1:10" x14ac:dyDescent="0.25">
      <c r="A235" s="1" t="str">
        <f t="shared" si="3"/>
        <v>08 Testosterone 3.7 µg_L</v>
      </c>
      <c r="B2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5" s="1" t="s">
        <v>664</v>
      </c>
      <c r="D235" s="1" t="s">
        <v>665</v>
      </c>
      <c r="E235" s="1" t="s">
        <v>666</v>
      </c>
      <c r="F235" s="1" t="s">
        <v>112</v>
      </c>
      <c r="G235" s="1">
        <v>351789</v>
      </c>
    </row>
    <row r="236" spans="1:10" x14ac:dyDescent="0.25">
      <c r="A236" s="1" t="str">
        <f t="shared" si="3"/>
        <v>08 Testosterone 3.7 µg_L</v>
      </c>
      <c r="B2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6" s="1" t="s">
        <v>667</v>
      </c>
      <c r="D236" s="1" t="s">
        <v>668</v>
      </c>
      <c r="E236" s="1" t="s">
        <v>669</v>
      </c>
      <c r="F236" s="1" t="s">
        <v>112</v>
      </c>
      <c r="G236" s="1">
        <v>238145</v>
      </c>
    </row>
    <row r="237" spans="1:10" x14ac:dyDescent="0.25">
      <c r="A237" s="1" t="str">
        <f t="shared" si="3"/>
        <v>08 Testosterone 3.7 µg_L</v>
      </c>
      <c r="B2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7" s="1" t="s">
        <v>670</v>
      </c>
      <c r="D237" s="1" t="s">
        <v>671</v>
      </c>
      <c r="E237" s="1" t="s">
        <v>672</v>
      </c>
      <c r="F237" s="1" t="s">
        <v>112</v>
      </c>
      <c r="G237" s="1">
        <v>320879</v>
      </c>
    </row>
    <row r="238" spans="1:10" x14ac:dyDescent="0.25">
      <c r="A238" s="1" t="str">
        <f t="shared" si="3"/>
        <v>08 Testosterone 3.7 µg_L</v>
      </c>
      <c r="B2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8" s="1" t="s">
        <v>673</v>
      </c>
    </row>
    <row r="239" spans="1:10" x14ac:dyDescent="0.25">
      <c r="A239" s="1" t="str">
        <f t="shared" si="3"/>
        <v>08 Testosterone 3.7 µg_L</v>
      </c>
      <c r="B2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39" s="1" t="s">
        <v>674</v>
      </c>
      <c r="D239" s="1" t="s">
        <v>675</v>
      </c>
      <c r="E239" s="1" t="s">
        <v>676</v>
      </c>
      <c r="F239" s="1" t="s">
        <v>112</v>
      </c>
      <c r="G239" s="1">
        <v>142801</v>
      </c>
    </row>
    <row r="240" spans="1:10" x14ac:dyDescent="0.25">
      <c r="A240" s="1" t="str">
        <f t="shared" si="3"/>
        <v>08 Testosterone 3.7 µg_L</v>
      </c>
      <c r="B2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40" s="1" t="s">
        <v>677</v>
      </c>
      <c r="D240" s="1" t="s">
        <v>678</v>
      </c>
      <c r="E240" s="1" t="s">
        <v>679</v>
      </c>
      <c r="F240" s="1" t="s">
        <v>112</v>
      </c>
      <c r="G240" s="1">
        <v>37009</v>
      </c>
    </row>
    <row r="241" spans="1:7" x14ac:dyDescent="0.25">
      <c r="A241" s="1" t="str">
        <f t="shared" si="3"/>
        <v>08 Testosterone 3.7 µg_L</v>
      </c>
      <c r="B2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41" s="1" t="s">
        <v>680</v>
      </c>
      <c r="D241" s="1" t="s">
        <v>681</v>
      </c>
      <c r="E241" s="1" t="s">
        <v>682</v>
      </c>
      <c r="F241" s="1" t="s">
        <v>112</v>
      </c>
      <c r="G241" s="1">
        <v>46959</v>
      </c>
    </row>
    <row r="242" spans="1:7" x14ac:dyDescent="0.25">
      <c r="A242" s="1" t="str">
        <f t="shared" si="3"/>
        <v>08 Testosterone 3.7 µg_L</v>
      </c>
      <c r="B2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2" s="1" t="s">
        <v>683</v>
      </c>
      <c r="D242" s="1" t="s">
        <v>684</v>
      </c>
      <c r="E242" s="1" t="s">
        <v>685</v>
      </c>
      <c r="F242" s="1" t="s">
        <v>112</v>
      </c>
      <c r="G242" s="1">
        <v>424400</v>
      </c>
    </row>
    <row r="243" spans="1:7" x14ac:dyDescent="0.25">
      <c r="A243" s="1" t="str">
        <f t="shared" si="3"/>
        <v>08 Testosterone 3.7 µg_L</v>
      </c>
      <c r="B2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3" s="1" t="s">
        <v>686</v>
      </c>
      <c r="D243" s="1" t="s">
        <v>687</v>
      </c>
      <c r="E243" s="1" t="s">
        <v>688</v>
      </c>
      <c r="F243" s="1" t="s">
        <v>112</v>
      </c>
      <c r="G243" s="1">
        <v>184892</v>
      </c>
    </row>
    <row r="244" spans="1:7" x14ac:dyDescent="0.25">
      <c r="A244" s="1" t="str">
        <f t="shared" si="3"/>
        <v>08 Testosterone 3.7 µg_L</v>
      </c>
      <c r="B2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4" s="1" t="s">
        <v>689</v>
      </c>
      <c r="D244" s="1" t="s">
        <v>690</v>
      </c>
      <c r="E244" s="1" t="s">
        <v>691</v>
      </c>
      <c r="F244" s="1" t="s">
        <v>112</v>
      </c>
      <c r="G244" s="1">
        <v>40967</v>
      </c>
    </row>
    <row r="245" spans="1:7" x14ac:dyDescent="0.25">
      <c r="A245" s="1" t="str">
        <f t="shared" si="3"/>
        <v>08 Testosterone 3.7 µg_L</v>
      </c>
      <c r="B2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5" s="1" t="s">
        <v>692</v>
      </c>
      <c r="D245" s="1" t="s">
        <v>693</v>
      </c>
      <c r="E245" s="1" t="s">
        <v>694</v>
      </c>
      <c r="F245" s="1" t="s">
        <v>112</v>
      </c>
      <c r="G245" s="1">
        <v>26432</v>
      </c>
    </row>
    <row r="246" spans="1:7" x14ac:dyDescent="0.25">
      <c r="A246" s="1" t="str">
        <f t="shared" si="3"/>
        <v>08 Testosterone 3.7 µg_L</v>
      </c>
      <c r="B2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6" s="1" t="s">
        <v>695</v>
      </c>
      <c r="D246" s="1" t="s">
        <v>274</v>
      </c>
      <c r="E246" s="1" t="s">
        <v>696</v>
      </c>
      <c r="F246" s="1" t="s">
        <v>112</v>
      </c>
      <c r="G246" s="1">
        <v>13757</v>
      </c>
    </row>
    <row r="247" spans="1:7" x14ac:dyDescent="0.25">
      <c r="A247" s="1" t="str">
        <f t="shared" si="3"/>
        <v>08 Testosterone 3.7 µg_L</v>
      </c>
      <c r="B2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7" s="1" t="s">
        <v>697</v>
      </c>
      <c r="D247" s="1" t="s">
        <v>698</v>
      </c>
      <c r="E247" s="1">
        <v>68</v>
      </c>
      <c r="F247" s="1" t="s">
        <v>112</v>
      </c>
      <c r="G247" s="1">
        <v>8825</v>
      </c>
    </row>
    <row r="248" spans="1:7" x14ac:dyDescent="0.25">
      <c r="A248" s="1" t="str">
        <f t="shared" si="3"/>
        <v>08 Testosterone 3.7 µg_L</v>
      </c>
      <c r="B2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48" s="1" t="s">
        <v>699</v>
      </c>
      <c r="D248" s="1" t="s">
        <v>700</v>
      </c>
      <c r="E248" s="1" t="s">
        <v>701</v>
      </c>
      <c r="F248" s="1" t="s">
        <v>112</v>
      </c>
      <c r="G248" s="1">
        <v>174921</v>
      </c>
    </row>
    <row r="249" spans="1:7" x14ac:dyDescent="0.25">
      <c r="A249" s="1" t="str">
        <f t="shared" si="3"/>
        <v>08 Testosterone 3.7 µg_L</v>
      </c>
      <c r="B2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49" s="1" t="s">
        <v>702</v>
      </c>
      <c r="D249" s="1" t="s">
        <v>703</v>
      </c>
      <c r="E249" s="1" t="s">
        <v>704</v>
      </c>
      <c r="F249" s="1" t="s">
        <v>112</v>
      </c>
      <c r="G249" s="1">
        <v>92641</v>
      </c>
    </row>
    <row r="250" spans="1:7" x14ac:dyDescent="0.25">
      <c r="A250" s="1" t="str">
        <f t="shared" si="3"/>
        <v>08 Testosterone 3.7 µg_L</v>
      </c>
      <c r="B2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50" s="1" t="s">
        <v>705</v>
      </c>
      <c r="D250" s="1" t="s">
        <v>209</v>
      </c>
      <c r="E250" s="1" t="s">
        <v>706</v>
      </c>
      <c r="F250" s="1" t="s">
        <v>112</v>
      </c>
      <c r="G250" s="1">
        <v>42222</v>
      </c>
    </row>
    <row r="251" spans="1:7" x14ac:dyDescent="0.25">
      <c r="A251" s="1" t="str">
        <f t="shared" si="3"/>
        <v>08 Testosterone 3.7 µg_L</v>
      </c>
      <c r="B2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1" s="1" t="s">
        <v>707</v>
      </c>
      <c r="D251" s="1" t="s">
        <v>690</v>
      </c>
      <c r="E251" s="1" t="s">
        <v>708</v>
      </c>
      <c r="F251" s="1" t="s">
        <v>112</v>
      </c>
      <c r="G251" s="1">
        <v>40405</v>
      </c>
    </row>
    <row r="252" spans="1:7" x14ac:dyDescent="0.25">
      <c r="A252" s="1" t="str">
        <f t="shared" si="3"/>
        <v>08 Testosterone 3.7 µg_L</v>
      </c>
      <c r="B2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2" s="1" t="s">
        <v>709</v>
      </c>
      <c r="D252" s="1" t="s">
        <v>678</v>
      </c>
      <c r="E252" s="1" t="s">
        <v>710</v>
      </c>
      <c r="F252" s="1" t="s">
        <v>112</v>
      </c>
      <c r="G252" s="1">
        <v>36446</v>
      </c>
    </row>
    <row r="253" spans="1:7" x14ac:dyDescent="0.25">
      <c r="A253" s="1" t="str">
        <f t="shared" si="3"/>
        <v>08 Testosterone 3.7 µg_L</v>
      </c>
      <c r="B2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3" s="1" t="s">
        <v>711</v>
      </c>
      <c r="D253" s="1" t="s">
        <v>223</v>
      </c>
      <c r="E253" s="1" t="s">
        <v>712</v>
      </c>
      <c r="F253" s="1" t="s">
        <v>112</v>
      </c>
      <c r="G253" s="1">
        <v>12178</v>
      </c>
    </row>
    <row r="254" spans="1:7" x14ac:dyDescent="0.25">
      <c r="A254" s="1" t="str">
        <f t="shared" si="3"/>
        <v>08 Testosterone 3.7 µg_L</v>
      </c>
      <c r="B2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4" s="1" t="s">
        <v>713</v>
      </c>
      <c r="D254" s="1" t="s">
        <v>681</v>
      </c>
      <c r="E254" s="1" t="s">
        <v>714</v>
      </c>
      <c r="F254" s="1" t="s">
        <v>112</v>
      </c>
      <c r="G254" s="1">
        <v>46785</v>
      </c>
    </row>
    <row r="255" spans="1:7" x14ac:dyDescent="0.25">
      <c r="A255" s="1" t="str">
        <f t="shared" si="3"/>
        <v>08 Testosterone 3.7 µg_L</v>
      </c>
      <c r="B2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5" s="1" t="s">
        <v>715</v>
      </c>
      <c r="D255" s="1" t="s">
        <v>716</v>
      </c>
      <c r="E255" s="1" t="s">
        <v>717</v>
      </c>
      <c r="F255" s="1" t="s">
        <v>112</v>
      </c>
      <c r="G255" s="1">
        <v>34002</v>
      </c>
    </row>
    <row r="256" spans="1:7" x14ac:dyDescent="0.25">
      <c r="A256" s="1" t="str">
        <f t="shared" si="3"/>
        <v>08 Testosterone 3.7 µg_L</v>
      </c>
      <c r="B2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6" s="1" t="s">
        <v>718</v>
      </c>
      <c r="D256" s="1" t="s">
        <v>223</v>
      </c>
      <c r="E256" s="1" t="s">
        <v>719</v>
      </c>
      <c r="F256" s="1" t="s">
        <v>112</v>
      </c>
      <c r="G256" s="1">
        <v>12156</v>
      </c>
    </row>
    <row r="257" spans="1:10" x14ac:dyDescent="0.25">
      <c r="A257" s="1" t="str">
        <f t="shared" si="3"/>
        <v/>
      </c>
      <c r="B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57" s="1" t="s">
        <v>112</v>
      </c>
    </row>
    <row r="258" spans="1:10" x14ac:dyDescent="0.25">
      <c r="A258" s="1" t="str">
        <f t="shared" ref="A258:A321" si="4">IFERROR(LEFT(RIGHT(C258,LEN(C258)-SEARCH("@",C258)),SEARCH("/",RIGHT(C258,LEN(C258)-SEARCH("@",C258)-1))),"")</f>
        <v/>
      </c>
      <c r="B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58" s="1" t="s">
        <v>229</v>
      </c>
      <c r="D258" s="1" t="s">
        <v>112</v>
      </c>
      <c r="E258" s="1" t="s">
        <v>230</v>
      </c>
      <c r="F258" s="1" t="s">
        <v>231</v>
      </c>
      <c r="G258" s="1" t="s">
        <v>232</v>
      </c>
      <c r="H258" s="1" t="s">
        <v>233</v>
      </c>
      <c r="I258" s="1" t="s">
        <v>234</v>
      </c>
      <c r="J258" s="1" t="s">
        <v>235</v>
      </c>
    </row>
    <row r="259" spans="1:10" x14ac:dyDescent="0.25">
      <c r="A259" s="1" t="str">
        <f t="shared" si="4"/>
        <v>08 Testosterone 3.7 µg_L</v>
      </c>
      <c r="B25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59" s="1" t="s">
        <v>720</v>
      </c>
      <c r="D259" s="1" t="s">
        <v>112</v>
      </c>
      <c r="E259" s="1" t="s">
        <v>721</v>
      </c>
      <c r="F259" s="1" t="s">
        <v>722</v>
      </c>
      <c r="G259" s="1" t="s">
        <v>723</v>
      </c>
      <c r="H259" s="1" t="s">
        <v>724</v>
      </c>
      <c r="I259" s="1">
        <v>24</v>
      </c>
      <c r="J259" s="1">
        <v>24</v>
      </c>
    </row>
    <row r="260" spans="1:10" x14ac:dyDescent="0.25">
      <c r="A260" s="1" t="str">
        <f t="shared" si="4"/>
        <v/>
      </c>
      <c r="B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0" s="1" t="s">
        <v>112</v>
      </c>
    </row>
    <row r="261" spans="1:10" x14ac:dyDescent="0.25">
      <c r="A261" s="1" t="str">
        <f t="shared" si="4"/>
        <v/>
      </c>
      <c r="B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1" s="1" t="s">
        <v>112</v>
      </c>
    </row>
    <row r="262" spans="1:10" x14ac:dyDescent="0.25">
      <c r="A262" s="1" t="str">
        <f t="shared" si="4"/>
        <v/>
      </c>
      <c r="B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2" s="1" t="s">
        <v>112</v>
      </c>
    </row>
    <row r="263" spans="1:10" x14ac:dyDescent="0.25">
      <c r="A263" s="1" t="str">
        <f t="shared" si="4"/>
        <v/>
      </c>
      <c r="B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3" s="1" t="s">
        <v>112</v>
      </c>
    </row>
    <row r="264" spans="1:10" x14ac:dyDescent="0.25">
      <c r="A264" s="1" t="str">
        <f t="shared" si="4"/>
        <v/>
      </c>
      <c r="B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4" s="1" t="s">
        <v>112</v>
      </c>
    </row>
    <row r="265" spans="1:10" x14ac:dyDescent="0.25">
      <c r="A265" s="1" t="str">
        <f t="shared" si="4"/>
        <v/>
      </c>
      <c r="B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5" s="1" t="s">
        <v>241</v>
      </c>
      <c r="D265" s="1" t="s">
        <v>110</v>
      </c>
      <c r="E265" s="1" t="s">
        <v>111</v>
      </c>
      <c r="F265" s="1" t="s">
        <v>112</v>
      </c>
      <c r="G265" s="1" t="s">
        <v>113</v>
      </c>
    </row>
    <row r="266" spans="1:10" x14ac:dyDescent="0.25">
      <c r="A266" s="1" t="str">
        <f t="shared" si="4"/>
        <v>09  Testosterone 11 µg_L</v>
      </c>
      <c r="B2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6" s="1" t="s">
        <v>725</v>
      </c>
      <c r="D266" s="1" t="s">
        <v>259</v>
      </c>
      <c r="E266" s="1" t="s">
        <v>726</v>
      </c>
      <c r="F266" s="1" t="s">
        <v>112</v>
      </c>
      <c r="G266" s="1">
        <v>392453</v>
      </c>
    </row>
    <row r="267" spans="1:10" x14ac:dyDescent="0.25">
      <c r="A267" s="1" t="str">
        <f t="shared" si="4"/>
        <v>09  Testosterone 11 µg_L</v>
      </c>
      <c r="B2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7" s="1" t="s">
        <v>727</v>
      </c>
      <c r="D267" s="1" t="s">
        <v>728</v>
      </c>
      <c r="E267" s="1" t="s">
        <v>729</v>
      </c>
      <c r="F267" s="1" t="s">
        <v>112</v>
      </c>
      <c r="G267" s="1">
        <v>503544</v>
      </c>
    </row>
    <row r="268" spans="1:10" x14ac:dyDescent="0.25">
      <c r="A268" s="1" t="str">
        <f t="shared" si="4"/>
        <v>09  Testosterone 11 µg_L</v>
      </c>
      <c r="B2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8" s="1" t="s">
        <v>730</v>
      </c>
      <c r="D268" s="1" t="s">
        <v>731</v>
      </c>
      <c r="E268" s="1" t="s">
        <v>732</v>
      </c>
      <c r="F268" s="1" t="s">
        <v>112</v>
      </c>
      <c r="G268" s="1">
        <v>451394</v>
      </c>
    </row>
    <row r="269" spans="1:10" x14ac:dyDescent="0.25">
      <c r="A269" s="1" t="str">
        <f t="shared" si="4"/>
        <v>09  Testosterone 11 µg_L</v>
      </c>
      <c r="B2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69" s="1" t="s">
        <v>733</v>
      </c>
      <c r="D269" s="1" t="s">
        <v>345</v>
      </c>
      <c r="E269" s="1" t="s">
        <v>734</v>
      </c>
      <c r="F269" s="1" t="s">
        <v>112</v>
      </c>
      <c r="G269" s="1">
        <v>24766</v>
      </c>
    </row>
    <row r="270" spans="1:10" x14ac:dyDescent="0.25">
      <c r="A270" s="1" t="str">
        <f t="shared" si="4"/>
        <v>09  Testosterone 11 µg_L</v>
      </c>
      <c r="B2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70" s="1" t="s">
        <v>735</v>
      </c>
      <c r="D270" s="1" t="s">
        <v>243</v>
      </c>
      <c r="E270" s="1" t="s">
        <v>736</v>
      </c>
      <c r="F270" s="1" t="s">
        <v>112</v>
      </c>
      <c r="G270" s="1">
        <v>77067</v>
      </c>
    </row>
    <row r="271" spans="1:10" x14ac:dyDescent="0.25">
      <c r="A271" s="1" t="str">
        <f t="shared" si="4"/>
        <v>09  Testosterone 11 µg_L</v>
      </c>
      <c r="B2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71" s="1" t="s">
        <v>737</v>
      </c>
      <c r="D271" s="1" t="s">
        <v>169</v>
      </c>
      <c r="E271" s="1" t="s">
        <v>170</v>
      </c>
      <c r="F271" s="1" t="s">
        <v>112</v>
      </c>
      <c r="G271" s="1">
        <v>15141</v>
      </c>
    </row>
    <row r="272" spans="1:10" x14ac:dyDescent="0.25">
      <c r="A272" s="1" t="str">
        <f t="shared" si="4"/>
        <v>09  Testosterone 11 µg_L</v>
      </c>
      <c r="B2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2" s="1" t="s">
        <v>738</v>
      </c>
      <c r="D272" s="1" t="s">
        <v>739</v>
      </c>
      <c r="E272" s="1" t="s">
        <v>740</v>
      </c>
      <c r="F272" s="1" t="s">
        <v>112</v>
      </c>
      <c r="G272" s="1">
        <v>200682</v>
      </c>
    </row>
    <row r="273" spans="1:7" x14ac:dyDescent="0.25">
      <c r="A273" s="1" t="str">
        <f t="shared" si="4"/>
        <v>09  Testosterone 11 µg_L</v>
      </c>
      <c r="B2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3" s="1" t="s">
        <v>741</v>
      </c>
      <c r="D273" s="1" t="s">
        <v>742</v>
      </c>
      <c r="E273" s="1" t="s">
        <v>743</v>
      </c>
      <c r="F273" s="1" t="s">
        <v>112</v>
      </c>
      <c r="G273" s="1">
        <v>155735</v>
      </c>
    </row>
    <row r="274" spans="1:7" x14ac:dyDescent="0.25">
      <c r="A274" s="1" t="str">
        <f t="shared" si="4"/>
        <v>09  Testosterone 11 µg_L</v>
      </c>
      <c r="B2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4" s="1" t="s">
        <v>744</v>
      </c>
      <c r="D274" s="1" t="s">
        <v>745</v>
      </c>
      <c r="E274" s="1" t="s">
        <v>746</v>
      </c>
      <c r="F274" s="1" t="s">
        <v>112</v>
      </c>
      <c r="G274" s="1">
        <v>148273</v>
      </c>
    </row>
    <row r="275" spans="1:7" x14ac:dyDescent="0.25">
      <c r="A275" s="1" t="str">
        <f t="shared" si="4"/>
        <v>09  Testosterone 11 µg_L</v>
      </c>
      <c r="B2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5" s="1" t="s">
        <v>747</v>
      </c>
      <c r="D275" s="1" t="s">
        <v>748</v>
      </c>
      <c r="E275" s="1" t="s">
        <v>749</v>
      </c>
      <c r="F275" s="1" t="s">
        <v>112</v>
      </c>
      <c r="G275" s="1">
        <v>156622</v>
      </c>
    </row>
    <row r="276" spans="1:7" x14ac:dyDescent="0.25">
      <c r="A276" s="1" t="str">
        <f t="shared" si="4"/>
        <v>09  Testosterone 11 µg_L</v>
      </c>
      <c r="B2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6" s="1" t="s">
        <v>750</v>
      </c>
    </row>
    <row r="277" spans="1:7" x14ac:dyDescent="0.25">
      <c r="A277" s="1" t="str">
        <f t="shared" si="4"/>
        <v>09  Testosterone 11 µg_L</v>
      </c>
      <c r="B2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7" s="1" t="s">
        <v>751</v>
      </c>
      <c r="D277" s="1" t="s">
        <v>698</v>
      </c>
      <c r="E277" s="1" t="s">
        <v>193</v>
      </c>
      <c r="F277" s="1" t="s">
        <v>112</v>
      </c>
      <c r="G277" s="1">
        <v>8371</v>
      </c>
    </row>
    <row r="278" spans="1:7" x14ac:dyDescent="0.25">
      <c r="A278" s="1" t="str">
        <f t="shared" si="4"/>
        <v>09  Testosterone 11 µg_L</v>
      </c>
      <c r="B2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78" s="1" t="s">
        <v>752</v>
      </c>
      <c r="D278" s="1" t="s">
        <v>753</v>
      </c>
      <c r="E278" s="1" t="s">
        <v>754</v>
      </c>
      <c r="F278" s="1" t="s">
        <v>112</v>
      </c>
      <c r="G278" s="1">
        <v>134581</v>
      </c>
    </row>
    <row r="279" spans="1:7" x14ac:dyDescent="0.25">
      <c r="A279" s="1" t="str">
        <f t="shared" si="4"/>
        <v>09  Testosterone 11 µg_L</v>
      </c>
      <c r="B2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79" s="1" t="s">
        <v>755</v>
      </c>
      <c r="D279" s="1" t="s">
        <v>756</v>
      </c>
      <c r="E279" s="1" t="s">
        <v>757</v>
      </c>
      <c r="F279" s="1" t="s">
        <v>112</v>
      </c>
      <c r="G279" s="1">
        <v>165772</v>
      </c>
    </row>
    <row r="280" spans="1:7" x14ac:dyDescent="0.25">
      <c r="A280" s="1" t="str">
        <f t="shared" si="4"/>
        <v>09  Testosterone 11 µg_L</v>
      </c>
      <c r="B2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80" s="1" t="s">
        <v>758</v>
      </c>
      <c r="D280" s="1" t="s">
        <v>759</v>
      </c>
      <c r="E280" s="1" t="s">
        <v>760</v>
      </c>
      <c r="F280" s="1" t="s">
        <v>112</v>
      </c>
      <c r="G280" s="1">
        <v>35624</v>
      </c>
    </row>
    <row r="281" spans="1:7" x14ac:dyDescent="0.25">
      <c r="A281" s="1" t="str">
        <f t="shared" si="4"/>
        <v>09  Testosterone 11 µg_L</v>
      </c>
      <c r="B2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1" s="1" t="s">
        <v>761</v>
      </c>
      <c r="D281" s="1" t="s">
        <v>681</v>
      </c>
      <c r="E281" s="1" t="s">
        <v>762</v>
      </c>
      <c r="F281" s="1" t="s">
        <v>112</v>
      </c>
      <c r="G281" s="1">
        <v>45942</v>
      </c>
    </row>
    <row r="282" spans="1:7" x14ac:dyDescent="0.25">
      <c r="A282" s="1" t="str">
        <f t="shared" si="4"/>
        <v>09  Testosterone 11 µg_L</v>
      </c>
      <c r="B2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2" s="1" t="s">
        <v>763</v>
      </c>
    </row>
    <row r="283" spans="1:7" x14ac:dyDescent="0.25">
      <c r="A283" s="1" t="str">
        <f t="shared" si="4"/>
        <v>09  Testosterone 11 µg_L</v>
      </c>
      <c r="B2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3" s="1" t="s">
        <v>764</v>
      </c>
      <c r="D283" s="1" t="s">
        <v>765</v>
      </c>
      <c r="E283" s="1" t="s">
        <v>766</v>
      </c>
      <c r="F283" s="1" t="s">
        <v>112</v>
      </c>
      <c r="G283" s="1">
        <v>28487</v>
      </c>
    </row>
    <row r="284" spans="1:7" x14ac:dyDescent="0.25">
      <c r="A284" s="1" t="str">
        <f t="shared" si="4"/>
        <v>09  Testosterone 11 µg_L</v>
      </c>
      <c r="B2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4" s="1" t="s">
        <v>767</v>
      </c>
      <c r="D284" s="1" t="s">
        <v>768</v>
      </c>
      <c r="E284" s="1" t="s">
        <v>769</v>
      </c>
      <c r="F284" s="1" t="s">
        <v>112</v>
      </c>
      <c r="G284" s="1">
        <v>154805</v>
      </c>
    </row>
    <row r="285" spans="1:7" x14ac:dyDescent="0.25">
      <c r="A285" s="1" t="str">
        <f t="shared" si="4"/>
        <v>09  Testosterone 11 µg_L</v>
      </c>
      <c r="B2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5" s="1" t="s">
        <v>770</v>
      </c>
    </row>
    <row r="286" spans="1:7" x14ac:dyDescent="0.25">
      <c r="A286" s="1" t="str">
        <f t="shared" si="4"/>
        <v>09  Testosterone 11 µg_L</v>
      </c>
      <c r="B2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6" s="1" t="s">
        <v>771</v>
      </c>
      <c r="D286" s="1" t="s">
        <v>765</v>
      </c>
      <c r="E286" s="1" t="s">
        <v>772</v>
      </c>
      <c r="F286" s="1" t="s">
        <v>112</v>
      </c>
      <c r="G286" s="1">
        <v>28205</v>
      </c>
    </row>
    <row r="287" spans="1:7" x14ac:dyDescent="0.25">
      <c r="A287" s="1" t="str">
        <f t="shared" si="4"/>
        <v>09  Testosterone 11 µg_L</v>
      </c>
      <c r="B2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7" s="1" t="s">
        <v>773</v>
      </c>
    </row>
    <row r="288" spans="1:7" x14ac:dyDescent="0.25">
      <c r="A288" s="1" t="str">
        <f t="shared" si="4"/>
        <v>09  Testosterone 11 µg_L</v>
      </c>
      <c r="B2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8" s="1" t="s">
        <v>774</v>
      </c>
    </row>
    <row r="289" spans="1:10" x14ac:dyDescent="0.25">
      <c r="A289" s="1" t="str">
        <f t="shared" si="4"/>
        <v>09  Testosterone 11 µg_L</v>
      </c>
      <c r="B2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9" s="1" t="s">
        <v>775</v>
      </c>
      <c r="D289" s="1" t="s">
        <v>693</v>
      </c>
      <c r="E289" s="1" t="s">
        <v>776</v>
      </c>
      <c r="F289" s="1" t="s">
        <v>112</v>
      </c>
      <c r="G289" s="1">
        <v>26172</v>
      </c>
    </row>
    <row r="290" spans="1:10" x14ac:dyDescent="0.25">
      <c r="A290" s="1" t="str">
        <f t="shared" si="4"/>
        <v/>
      </c>
      <c r="B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0" s="1" t="s">
        <v>112</v>
      </c>
    </row>
    <row r="291" spans="1:10" x14ac:dyDescent="0.25">
      <c r="A291" s="1" t="str">
        <f t="shared" si="4"/>
        <v/>
      </c>
      <c r="B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1" s="1" t="s">
        <v>229</v>
      </c>
      <c r="D291" s="1" t="s">
        <v>112</v>
      </c>
      <c r="E291" s="1" t="s">
        <v>230</v>
      </c>
      <c r="F291" s="1" t="s">
        <v>231</v>
      </c>
      <c r="G291" s="1" t="s">
        <v>232</v>
      </c>
      <c r="H291" s="1" t="s">
        <v>233</v>
      </c>
      <c r="I291" s="1" t="s">
        <v>234</v>
      </c>
      <c r="J291" s="1" t="s">
        <v>235</v>
      </c>
    </row>
    <row r="292" spans="1:10" x14ac:dyDescent="0.25">
      <c r="A292" s="1" t="str">
        <f t="shared" si="4"/>
        <v>09  Testosterone 11 µg_L</v>
      </c>
      <c r="B29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92" s="1" t="s">
        <v>777</v>
      </c>
      <c r="D292" s="1" t="s">
        <v>112</v>
      </c>
      <c r="E292" s="1" t="s">
        <v>778</v>
      </c>
      <c r="F292" s="1" t="s">
        <v>779</v>
      </c>
      <c r="G292" s="1" t="s">
        <v>780</v>
      </c>
      <c r="H292" s="1" t="s">
        <v>781</v>
      </c>
      <c r="I292" s="1">
        <v>24</v>
      </c>
      <c r="J292" s="1">
        <v>24</v>
      </c>
    </row>
    <row r="293" spans="1:10" x14ac:dyDescent="0.25">
      <c r="A293" s="1" t="str">
        <f t="shared" si="4"/>
        <v/>
      </c>
      <c r="B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3" s="1" t="s">
        <v>112</v>
      </c>
    </row>
    <row r="294" spans="1:10" x14ac:dyDescent="0.25">
      <c r="A294" s="1" t="str">
        <f t="shared" si="4"/>
        <v/>
      </c>
      <c r="B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4" s="1" t="s">
        <v>112</v>
      </c>
    </row>
    <row r="295" spans="1:10" x14ac:dyDescent="0.25">
      <c r="A295" s="1" t="str">
        <f t="shared" si="4"/>
        <v/>
      </c>
      <c r="B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5" s="1" t="s">
        <v>112</v>
      </c>
    </row>
    <row r="296" spans="1:10" x14ac:dyDescent="0.25">
      <c r="A296" s="1" t="str">
        <f t="shared" si="4"/>
        <v/>
      </c>
      <c r="B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6" s="1" t="s">
        <v>112</v>
      </c>
    </row>
    <row r="297" spans="1:10" x14ac:dyDescent="0.25">
      <c r="A297" s="1" t="str">
        <f t="shared" si="4"/>
        <v/>
      </c>
      <c r="B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7" s="1" t="s">
        <v>112</v>
      </c>
    </row>
    <row r="298" spans="1:10" x14ac:dyDescent="0.25">
      <c r="A298" s="1" t="str">
        <f t="shared" si="4"/>
        <v/>
      </c>
      <c r="B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8" s="1" t="s">
        <v>241</v>
      </c>
      <c r="D298" s="1" t="s">
        <v>110</v>
      </c>
      <c r="E298" s="1" t="s">
        <v>111</v>
      </c>
      <c r="F298" s="1" t="s">
        <v>112</v>
      </c>
      <c r="G298" s="1" t="s">
        <v>113</v>
      </c>
    </row>
    <row r="299" spans="1:10" x14ac:dyDescent="0.25">
      <c r="A299" s="1" t="str">
        <f t="shared" si="4"/>
        <v>10  Testosterone 33 µg_L</v>
      </c>
      <c r="B2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99" s="1" t="s">
        <v>782</v>
      </c>
      <c r="D299" s="1" t="s">
        <v>783</v>
      </c>
      <c r="E299" s="1" t="s">
        <v>784</v>
      </c>
      <c r="F299" s="1" t="s">
        <v>112</v>
      </c>
      <c r="G299" s="1">
        <v>421610</v>
      </c>
    </row>
    <row r="300" spans="1:10" x14ac:dyDescent="0.25">
      <c r="A300" s="1" t="str">
        <f t="shared" si="4"/>
        <v>10  Testosterone 33 µg_L</v>
      </c>
      <c r="B3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00" s="1" t="s">
        <v>785</v>
      </c>
      <c r="D300" s="1" t="s">
        <v>786</v>
      </c>
      <c r="E300" s="1" t="s">
        <v>787</v>
      </c>
      <c r="F300" s="1" t="s">
        <v>112</v>
      </c>
      <c r="G300" s="1">
        <v>331803</v>
      </c>
    </row>
    <row r="301" spans="1:10" x14ac:dyDescent="0.25">
      <c r="A301" s="1" t="str">
        <f t="shared" si="4"/>
        <v>10  Testosterone 33 µg_L</v>
      </c>
      <c r="B3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01" s="1" t="s">
        <v>788</v>
      </c>
      <c r="D301" s="1" t="s">
        <v>789</v>
      </c>
      <c r="E301" s="1" t="s">
        <v>790</v>
      </c>
      <c r="F301" s="1" t="s">
        <v>112</v>
      </c>
      <c r="G301" s="1">
        <v>341320</v>
      </c>
    </row>
    <row r="302" spans="1:10" x14ac:dyDescent="0.25">
      <c r="A302" s="1" t="str">
        <f t="shared" si="4"/>
        <v>10  Testosterone 33 µg_L</v>
      </c>
      <c r="B3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2" s="1" t="s">
        <v>791</v>
      </c>
      <c r="D302" s="1" t="s">
        <v>792</v>
      </c>
      <c r="E302" s="1" t="s">
        <v>793</v>
      </c>
      <c r="F302" s="1" t="s">
        <v>112</v>
      </c>
      <c r="G302" s="1">
        <v>3544058</v>
      </c>
    </row>
    <row r="303" spans="1:10" x14ac:dyDescent="0.25">
      <c r="A303" s="1" t="str">
        <f t="shared" si="4"/>
        <v>10  Testosterone 33 µg_L</v>
      </c>
      <c r="B3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3" s="1" t="s">
        <v>794</v>
      </c>
      <c r="D303" s="1" t="s">
        <v>795</v>
      </c>
      <c r="E303" s="1" t="s">
        <v>796</v>
      </c>
      <c r="F303" s="1" t="s">
        <v>112</v>
      </c>
      <c r="G303" s="1">
        <v>3933634</v>
      </c>
    </row>
    <row r="304" spans="1:10" x14ac:dyDescent="0.25">
      <c r="A304" s="1" t="str">
        <f t="shared" si="4"/>
        <v>10  Testosterone 33 µg_L</v>
      </c>
      <c r="B3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4" s="1" t="s">
        <v>797</v>
      </c>
      <c r="D304" s="1" t="s">
        <v>798</v>
      </c>
      <c r="E304" s="1" t="s">
        <v>799</v>
      </c>
      <c r="F304" s="1" t="s">
        <v>112</v>
      </c>
      <c r="G304" s="1">
        <v>3597917</v>
      </c>
    </row>
    <row r="305" spans="1:7" x14ac:dyDescent="0.25">
      <c r="A305" s="1" t="str">
        <f t="shared" si="4"/>
        <v>10  Testosterone 33 µg_L</v>
      </c>
      <c r="B3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5" s="1" t="s">
        <v>800</v>
      </c>
      <c r="D305" s="1" t="s">
        <v>801</v>
      </c>
      <c r="E305" s="1" t="s">
        <v>802</v>
      </c>
      <c r="F305" s="1" t="s">
        <v>112</v>
      </c>
      <c r="G305" s="1">
        <v>3948472</v>
      </c>
    </row>
    <row r="306" spans="1:7" x14ac:dyDescent="0.25">
      <c r="A306" s="1" t="str">
        <f t="shared" si="4"/>
        <v>10  Testosterone 33 µg_L</v>
      </c>
      <c r="B3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6" s="1" t="s">
        <v>803</v>
      </c>
      <c r="D306" s="1" t="s">
        <v>804</v>
      </c>
      <c r="E306" s="1" t="s">
        <v>805</v>
      </c>
      <c r="F306" s="1" t="s">
        <v>112</v>
      </c>
      <c r="G306" s="1">
        <v>3280476</v>
      </c>
    </row>
    <row r="307" spans="1:7" x14ac:dyDescent="0.25">
      <c r="A307" s="1" t="str">
        <f t="shared" si="4"/>
        <v>10  Testosterone 33 µg_L</v>
      </c>
      <c r="B3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7" s="1" t="s">
        <v>806</v>
      </c>
      <c r="D307" s="1" t="s">
        <v>807</v>
      </c>
      <c r="E307" s="1" t="s">
        <v>808</v>
      </c>
      <c r="F307" s="1" t="s">
        <v>112</v>
      </c>
      <c r="G307" s="1">
        <v>3704184</v>
      </c>
    </row>
    <row r="308" spans="1:7" x14ac:dyDescent="0.25">
      <c r="A308" s="1" t="str">
        <f t="shared" si="4"/>
        <v>10  Testosterone 33 µg_L</v>
      </c>
      <c r="B3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08" s="1" t="s">
        <v>809</v>
      </c>
      <c r="D308" s="1" t="s">
        <v>810</v>
      </c>
      <c r="E308" s="1" t="s">
        <v>811</v>
      </c>
      <c r="F308" s="1" t="s">
        <v>112</v>
      </c>
      <c r="G308" s="1">
        <v>3095497</v>
      </c>
    </row>
    <row r="309" spans="1:7" x14ac:dyDescent="0.25">
      <c r="A309" s="1" t="str">
        <f t="shared" si="4"/>
        <v>10  Testosterone 33 µg_L</v>
      </c>
      <c r="B3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09" s="1" t="s">
        <v>812</v>
      </c>
      <c r="D309" s="1" t="s">
        <v>813</v>
      </c>
      <c r="E309" s="1" t="s">
        <v>814</v>
      </c>
      <c r="F309" s="1" t="s">
        <v>112</v>
      </c>
      <c r="G309" s="1">
        <v>2942574</v>
      </c>
    </row>
    <row r="310" spans="1:7" x14ac:dyDescent="0.25">
      <c r="A310" s="1" t="str">
        <f t="shared" si="4"/>
        <v>10  Testosterone 33 µg_L</v>
      </c>
      <c r="B3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10" s="1" t="s">
        <v>815</v>
      </c>
      <c r="D310" s="1" t="s">
        <v>816</v>
      </c>
      <c r="E310" s="1" t="s">
        <v>817</v>
      </c>
      <c r="F310" s="1" t="s">
        <v>112</v>
      </c>
      <c r="G310" s="1">
        <v>2294413</v>
      </c>
    </row>
    <row r="311" spans="1:7" x14ac:dyDescent="0.25">
      <c r="A311" s="1" t="str">
        <f t="shared" si="4"/>
        <v>10  Testosterone 33 µg_L</v>
      </c>
      <c r="B3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1" s="1" t="s">
        <v>818</v>
      </c>
      <c r="D311" s="1" t="s">
        <v>819</v>
      </c>
      <c r="E311" s="1" t="s">
        <v>820</v>
      </c>
      <c r="F311" s="1" t="s">
        <v>112</v>
      </c>
      <c r="G311" s="1">
        <v>4449832</v>
      </c>
    </row>
    <row r="312" spans="1:7" x14ac:dyDescent="0.25">
      <c r="A312" s="1" t="str">
        <f t="shared" si="4"/>
        <v>10  Testosterone 33 µg_L</v>
      </c>
      <c r="B3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2" s="1" t="s">
        <v>821</v>
      </c>
      <c r="D312" s="1" t="s">
        <v>822</v>
      </c>
      <c r="E312" s="1" t="s">
        <v>823</v>
      </c>
      <c r="F312" s="1" t="s">
        <v>112</v>
      </c>
      <c r="G312" s="1">
        <v>4133711</v>
      </c>
    </row>
    <row r="313" spans="1:7" x14ac:dyDescent="0.25">
      <c r="A313" s="1" t="str">
        <f t="shared" si="4"/>
        <v>10  Testosterone 33 µg_L</v>
      </c>
      <c r="B3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3" s="1" t="s">
        <v>824</v>
      </c>
      <c r="D313" s="1" t="s">
        <v>825</v>
      </c>
      <c r="E313" s="1" t="s">
        <v>826</v>
      </c>
      <c r="F313" s="1" t="s">
        <v>112</v>
      </c>
      <c r="G313" s="1">
        <v>3651710</v>
      </c>
    </row>
    <row r="314" spans="1:7" x14ac:dyDescent="0.25">
      <c r="A314" s="1" t="str">
        <f t="shared" si="4"/>
        <v>10  Testosterone 33 µg_L</v>
      </c>
      <c r="B3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4" s="1" t="s">
        <v>827</v>
      </c>
      <c r="D314" s="1" t="s">
        <v>828</v>
      </c>
      <c r="E314" s="1" t="s">
        <v>829</v>
      </c>
      <c r="F314" s="1" t="s">
        <v>112</v>
      </c>
      <c r="G314" s="1">
        <v>57709</v>
      </c>
    </row>
    <row r="315" spans="1:7" x14ac:dyDescent="0.25">
      <c r="A315" s="1" t="str">
        <f t="shared" si="4"/>
        <v>10  Testosterone 33 µg_L</v>
      </c>
      <c r="B3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5" s="1" t="s">
        <v>830</v>
      </c>
      <c r="D315" s="1" t="s">
        <v>431</v>
      </c>
      <c r="E315" s="1" t="s">
        <v>831</v>
      </c>
      <c r="F315" s="1" t="s">
        <v>112</v>
      </c>
      <c r="G315" s="1">
        <v>222485</v>
      </c>
    </row>
    <row r="316" spans="1:7" x14ac:dyDescent="0.25">
      <c r="A316" s="1" t="str">
        <f t="shared" si="4"/>
        <v>10  Testosterone 33 µg_L</v>
      </c>
      <c r="B3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6" s="1" t="s">
        <v>832</v>
      </c>
      <c r="D316" s="1" t="s">
        <v>345</v>
      </c>
      <c r="E316" s="1" t="s">
        <v>833</v>
      </c>
      <c r="F316" s="1" t="s">
        <v>112</v>
      </c>
      <c r="G316" s="1">
        <v>25415</v>
      </c>
    </row>
    <row r="317" spans="1:7" x14ac:dyDescent="0.25">
      <c r="A317" s="1" t="str">
        <f t="shared" si="4"/>
        <v>10  Testosterone 33 µg_L</v>
      </c>
      <c r="B3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7" s="1" t="s">
        <v>834</v>
      </c>
      <c r="D317" s="1" t="s">
        <v>835</v>
      </c>
      <c r="E317" s="1" t="s">
        <v>836</v>
      </c>
      <c r="F317" s="1" t="s">
        <v>112</v>
      </c>
      <c r="G317" s="1">
        <v>1132130</v>
      </c>
    </row>
    <row r="318" spans="1:7" x14ac:dyDescent="0.25">
      <c r="A318" s="1" t="str">
        <f t="shared" si="4"/>
        <v>10  Testosterone 33 µg_L</v>
      </c>
      <c r="B3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8" s="1" t="s">
        <v>837</v>
      </c>
      <c r="D318" s="1" t="s">
        <v>838</v>
      </c>
      <c r="E318" s="1" t="s">
        <v>839</v>
      </c>
      <c r="F318" s="1" t="s">
        <v>112</v>
      </c>
      <c r="G318" s="1">
        <v>1750053</v>
      </c>
    </row>
    <row r="319" spans="1:7" x14ac:dyDescent="0.25">
      <c r="A319" s="1" t="str">
        <f t="shared" si="4"/>
        <v>10  Testosterone 33 µg_L</v>
      </c>
      <c r="B3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9" s="1" t="s">
        <v>840</v>
      </c>
      <c r="D319" s="1" t="s">
        <v>841</v>
      </c>
      <c r="E319" s="1" t="s">
        <v>842</v>
      </c>
      <c r="F319" s="1" t="s">
        <v>112</v>
      </c>
      <c r="G319" s="1">
        <v>713332</v>
      </c>
    </row>
    <row r="320" spans="1:7" x14ac:dyDescent="0.25">
      <c r="A320" s="1" t="str">
        <f t="shared" si="4"/>
        <v>10  Testosterone 33 µg_L</v>
      </c>
      <c r="B3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0" s="1" t="s">
        <v>843</v>
      </c>
      <c r="D320" s="1" t="s">
        <v>844</v>
      </c>
      <c r="E320" s="1" t="s">
        <v>845</v>
      </c>
      <c r="F320" s="1" t="s">
        <v>112</v>
      </c>
      <c r="G320" s="1">
        <v>1275190</v>
      </c>
    </row>
    <row r="321" spans="1:10" x14ac:dyDescent="0.25">
      <c r="A321" s="1" t="str">
        <f t="shared" si="4"/>
        <v>10  Testosterone 33 µg_L</v>
      </c>
      <c r="B3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1" s="1" t="s">
        <v>846</v>
      </c>
      <c r="D321" s="1" t="s">
        <v>847</v>
      </c>
      <c r="E321" s="1" t="s">
        <v>848</v>
      </c>
      <c r="F321" s="1" t="s">
        <v>112</v>
      </c>
      <c r="G321" s="1">
        <v>1203833</v>
      </c>
    </row>
    <row r="322" spans="1:10" x14ac:dyDescent="0.25">
      <c r="A322" s="1" t="str">
        <f t="shared" ref="A322:A385" si="5">IFERROR(LEFT(RIGHT(C322,LEN(C322)-SEARCH("@",C322)),SEARCH("/",RIGHT(C322,LEN(C322)-SEARCH("@",C322)-1))),"")</f>
        <v>10  Testosterone 33 µg_L</v>
      </c>
      <c r="B3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2" s="1" t="s">
        <v>849</v>
      </c>
      <c r="D322" s="1" t="s">
        <v>850</v>
      </c>
      <c r="E322" s="1" t="s">
        <v>851</v>
      </c>
      <c r="F322" s="1" t="s">
        <v>112</v>
      </c>
      <c r="G322" s="1">
        <v>537979</v>
      </c>
    </row>
    <row r="323" spans="1:10" x14ac:dyDescent="0.25">
      <c r="A323" s="1" t="str">
        <f t="shared" si="5"/>
        <v/>
      </c>
      <c r="B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3" s="1" t="s">
        <v>112</v>
      </c>
    </row>
    <row r="324" spans="1:10" x14ac:dyDescent="0.25">
      <c r="A324" s="1" t="str">
        <f t="shared" si="5"/>
        <v/>
      </c>
      <c r="B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4" s="1" t="s">
        <v>229</v>
      </c>
      <c r="D324" s="1" t="s">
        <v>112</v>
      </c>
      <c r="E324" s="1" t="s">
        <v>230</v>
      </c>
      <c r="F324" s="1" t="s">
        <v>231</v>
      </c>
      <c r="G324" s="1" t="s">
        <v>232</v>
      </c>
      <c r="H324" s="1" t="s">
        <v>233</v>
      </c>
      <c r="I324" s="1" t="s">
        <v>234</v>
      </c>
      <c r="J324" s="1" t="s">
        <v>235</v>
      </c>
    </row>
    <row r="325" spans="1:10" x14ac:dyDescent="0.25">
      <c r="A325" s="1" t="str">
        <f t="shared" si="5"/>
        <v>10  Testosterone 33 µg_L</v>
      </c>
      <c r="B3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25" s="1" t="s">
        <v>852</v>
      </c>
      <c r="D325" s="1" t="s">
        <v>112</v>
      </c>
      <c r="E325" s="1" t="s">
        <v>853</v>
      </c>
      <c r="F325" s="1" t="s">
        <v>854</v>
      </c>
      <c r="G325" s="1" t="s">
        <v>855</v>
      </c>
      <c r="H325" s="1" t="s">
        <v>856</v>
      </c>
      <c r="I325" s="1">
        <v>24</v>
      </c>
      <c r="J325" s="1">
        <v>24</v>
      </c>
    </row>
    <row r="326" spans="1:10" x14ac:dyDescent="0.25">
      <c r="A326" s="1" t="str">
        <f t="shared" si="5"/>
        <v/>
      </c>
      <c r="B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6" s="1" t="s">
        <v>112</v>
      </c>
    </row>
    <row r="327" spans="1:10" x14ac:dyDescent="0.25">
      <c r="A327" s="1" t="str">
        <f t="shared" si="5"/>
        <v/>
      </c>
      <c r="B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7" s="1" t="s">
        <v>112</v>
      </c>
    </row>
    <row r="328" spans="1:10" x14ac:dyDescent="0.25">
      <c r="A328" s="1" t="str">
        <f t="shared" si="5"/>
        <v/>
      </c>
      <c r="B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8" s="1" t="s">
        <v>112</v>
      </c>
    </row>
    <row r="329" spans="1:10" x14ac:dyDescent="0.25">
      <c r="A329" s="1" t="str">
        <f t="shared" si="5"/>
        <v/>
      </c>
      <c r="B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9" s="1" t="s">
        <v>112</v>
      </c>
    </row>
    <row r="330" spans="1:10" x14ac:dyDescent="0.25">
      <c r="A330" s="1" t="str">
        <f t="shared" si="5"/>
        <v/>
      </c>
      <c r="B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0" s="1" t="s">
        <v>112</v>
      </c>
    </row>
    <row r="331" spans="1:10" x14ac:dyDescent="0.25">
      <c r="A331" s="1" t="str">
        <f t="shared" si="5"/>
        <v/>
      </c>
      <c r="B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1" s="1" t="s">
        <v>241</v>
      </c>
      <c r="D331" s="1" t="s">
        <v>110</v>
      </c>
      <c r="E331" s="1" t="s">
        <v>111</v>
      </c>
      <c r="F331" s="1" t="s">
        <v>112</v>
      </c>
      <c r="G331" s="1" t="s">
        <v>113</v>
      </c>
    </row>
    <row r="332" spans="1:10" x14ac:dyDescent="0.25">
      <c r="A332" s="1" t="str">
        <f t="shared" si="5"/>
        <v>11  Testosterone 100 µg_L</v>
      </c>
      <c r="B3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2" s="1" t="s">
        <v>857</v>
      </c>
      <c r="D332" s="1" t="s">
        <v>858</v>
      </c>
      <c r="E332" s="1" t="s">
        <v>859</v>
      </c>
      <c r="F332" s="1" t="s">
        <v>112</v>
      </c>
      <c r="G332" s="1">
        <v>3634039</v>
      </c>
    </row>
    <row r="333" spans="1:10" x14ac:dyDescent="0.25">
      <c r="A333" s="1" t="str">
        <f t="shared" si="5"/>
        <v>11  Testosterone 100 µg_L</v>
      </c>
      <c r="B3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3" s="1" t="s">
        <v>860</v>
      </c>
      <c r="D333" s="1" t="s">
        <v>861</v>
      </c>
      <c r="E333" s="1" t="s">
        <v>862</v>
      </c>
      <c r="F333" s="1" t="s">
        <v>112</v>
      </c>
      <c r="G333" s="1">
        <v>2945321</v>
      </c>
    </row>
    <row r="334" spans="1:10" x14ac:dyDescent="0.25">
      <c r="A334" s="1" t="str">
        <f t="shared" si="5"/>
        <v>11  Testosterone 100 µg_L</v>
      </c>
      <c r="B3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4" s="1" t="s">
        <v>863</v>
      </c>
      <c r="D334" s="1" t="s">
        <v>864</v>
      </c>
      <c r="E334" s="1" t="s">
        <v>865</v>
      </c>
      <c r="F334" s="1" t="s">
        <v>112</v>
      </c>
      <c r="G334" s="1">
        <v>2725843</v>
      </c>
    </row>
    <row r="335" spans="1:10" x14ac:dyDescent="0.25">
      <c r="A335" s="1" t="str">
        <f t="shared" si="5"/>
        <v>11  Testosterone 100 µg_L</v>
      </c>
      <c r="B3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5" s="1" t="s">
        <v>866</v>
      </c>
      <c r="D335" s="1" t="s">
        <v>867</v>
      </c>
      <c r="E335" s="1" t="s">
        <v>868</v>
      </c>
      <c r="F335" s="1" t="s">
        <v>112</v>
      </c>
      <c r="G335" s="1">
        <v>3582170</v>
      </c>
    </row>
    <row r="336" spans="1:10" x14ac:dyDescent="0.25">
      <c r="A336" s="1" t="str">
        <f t="shared" si="5"/>
        <v>11  Testosterone 100 µg_L</v>
      </c>
      <c r="B3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6" s="1" t="s">
        <v>869</v>
      </c>
      <c r="D336" s="1" t="s">
        <v>406</v>
      </c>
      <c r="E336" s="1" t="s">
        <v>870</v>
      </c>
      <c r="F336" s="1" t="s">
        <v>112</v>
      </c>
      <c r="G336" s="1">
        <v>3782874</v>
      </c>
    </row>
    <row r="337" spans="1:7" x14ac:dyDescent="0.25">
      <c r="A337" s="1" t="str">
        <f t="shared" si="5"/>
        <v>11  Testosterone 100 µg_L</v>
      </c>
      <c r="B3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7" s="1" t="s">
        <v>871</v>
      </c>
      <c r="D337" s="1" t="s">
        <v>872</v>
      </c>
      <c r="E337" s="1" t="s">
        <v>873</v>
      </c>
      <c r="F337" s="1" t="s">
        <v>112</v>
      </c>
      <c r="G337" s="1">
        <v>3222119</v>
      </c>
    </row>
    <row r="338" spans="1:7" x14ac:dyDescent="0.25">
      <c r="A338" s="1" t="str">
        <f t="shared" si="5"/>
        <v>11  Testosterone 100 µg_L</v>
      </c>
      <c r="B3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38" s="1" t="s">
        <v>874</v>
      </c>
      <c r="D338" s="1" t="s">
        <v>875</v>
      </c>
      <c r="E338" s="1" t="s">
        <v>876</v>
      </c>
      <c r="F338" s="1" t="s">
        <v>112</v>
      </c>
      <c r="G338" s="1">
        <v>3644313</v>
      </c>
    </row>
    <row r="339" spans="1:7" x14ac:dyDescent="0.25">
      <c r="A339" s="1" t="str">
        <f t="shared" si="5"/>
        <v>11  Testosterone 100 µg_L</v>
      </c>
      <c r="B3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39" s="1" t="s">
        <v>877</v>
      </c>
      <c r="D339" s="1" t="s">
        <v>878</v>
      </c>
      <c r="E339" s="1" t="s">
        <v>879</v>
      </c>
      <c r="F339" s="1" t="s">
        <v>112</v>
      </c>
      <c r="G339" s="1">
        <v>3338012</v>
      </c>
    </row>
    <row r="340" spans="1:7" x14ac:dyDescent="0.25">
      <c r="A340" s="1" t="str">
        <f t="shared" si="5"/>
        <v>11  Testosterone 100 µg_L</v>
      </c>
      <c r="B3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40" s="1" t="s">
        <v>880</v>
      </c>
      <c r="D340" s="1" t="s">
        <v>875</v>
      </c>
      <c r="E340" s="1" t="s">
        <v>881</v>
      </c>
      <c r="F340" s="1" t="s">
        <v>112</v>
      </c>
      <c r="G340" s="1">
        <v>3552342</v>
      </c>
    </row>
    <row r="341" spans="1:7" x14ac:dyDescent="0.25">
      <c r="A341" s="1" t="str">
        <f t="shared" si="5"/>
        <v>11  Testosterone 100 µg_L</v>
      </c>
      <c r="B3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1" s="1" t="s">
        <v>882</v>
      </c>
      <c r="D341" s="1" t="s">
        <v>883</v>
      </c>
      <c r="E341" s="1" t="s">
        <v>884</v>
      </c>
      <c r="F341" s="1" t="s">
        <v>112</v>
      </c>
      <c r="G341" s="1">
        <v>1536588</v>
      </c>
    </row>
    <row r="342" spans="1:7" x14ac:dyDescent="0.25">
      <c r="A342" s="1" t="str">
        <f t="shared" si="5"/>
        <v>11  Testosterone 100 µg_L</v>
      </c>
      <c r="B3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2" s="1" t="s">
        <v>885</v>
      </c>
      <c r="D342" s="1" t="s">
        <v>886</v>
      </c>
      <c r="E342" s="1" t="s">
        <v>887</v>
      </c>
      <c r="F342" s="1" t="s">
        <v>112</v>
      </c>
      <c r="G342" s="1">
        <v>1569703</v>
      </c>
    </row>
    <row r="343" spans="1:7" x14ac:dyDescent="0.25">
      <c r="A343" s="1" t="str">
        <f t="shared" si="5"/>
        <v>11  Testosterone 100 µg_L</v>
      </c>
      <c r="B3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3" s="1" t="s">
        <v>888</v>
      </c>
      <c r="D343" s="1" t="s">
        <v>889</v>
      </c>
      <c r="E343" s="1" t="s">
        <v>890</v>
      </c>
      <c r="F343" s="1" t="s">
        <v>112</v>
      </c>
      <c r="G343" s="1">
        <v>1286741</v>
      </c>
    </row>
    <row r="344" spans="1:7" x14ac:dyDescent="0.25">
      <c r="A344" s="1" t="str">
        <f t="shared" si="5"/>
        <v>11  Testosterone 100 µg_L</v>
      </c>
      <c r="B3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4" s="1" t="s">
        <v>891</v>
      </c>
      <c r="D344" s="1" t="s">
        <v>892</v>
      </c>
      <c r="E344" s="1" t="s">
        <v>893</v>
      </c>
      <c r="F344" s="1" t="s">
        <v>112</v>
      </c>
      <c r="G344" s="1">
        <v>4174894</v>
      </c>
    </row>
    <row r="345" spans="1:7" x14ac:dyDescent="0.25">
      <c r="A345" s="1" t="str">
        <f t="shared" si="5"/>
        <v>11  Testosterone 100 µg_L</v>
      </c>
      <c r="B3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5" s="1" t="s">
        <v>894</v>
      </c>
      <c r="D345" s="1" t="s">
        <v>895</v>
      </c>
      <c r="E345" s="1" t="s">
        <v>896</v>
      </c>
      <c r="F345" s="1" t="s">
        <v>112</v>
      </c>
      <c r="G345" s="1">
        <v>3304983</v>
      </c>
    </row>
    <row r="346" spans="1:7" x14ac:dyDescent="0.25">
      <c r="A346" s="1" t="str">
        <f t="shared" si="5"/>
        <v>11  Testosterone 100 µg_L</v>
      </c>
      <c r="B3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6" s="1" t="s">
        <v>897</v>
      </c>
      <c r="D346" s="1" t="s">
        <v>898</v>
      </c>
      <c r="E346" s="1" t="s">
        <v>899</v>
      </c>
      <c r="F346" s="1" t="s">
        <v>112</v>
      </c>
      <c r="G346" s="1">
        <v>3180698</v>
      </c>
    </row>
    <row r="347" spans="1:7" x14ac:dyDescent="0.25">
      <c r="A347" s="1" t="str">
        <f t="shared" si="5"/>
        <v>11  Testosterone 100 µg_L</v>
      </c>
      <c r="B3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7" s="1" t="s">
        <v>900</v>
      </c>
      <c r="D347" s="1" t="s">
        <v>901</v>
      </c>
      <c r="E347" s="1" t="s">
        <v>902</v>
      </c>
      <c r="F347" s="1" t="s">
        <v>112</v>
      </c>
      <c r="G347" s="1">
        <v>2715547</v>
      </c>
    </row>
    <row r="348" spans="1:7" x14ac:dyDescent="0.25">
      <c r="A348" s="1" t="str">
        <f t="shared" si="5"/>
        <v>11  Testosterone 100 µg_L</v>
      </c>
      <c r="B3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8" s="1" t="s">
        <v>903</v>
      </c>
      <c r="D348" s="1" t="s">
        <v>904</v>
      </c>
      <c r="E348" s="1" t="s">
        <v>905</v>
      </c>
      <c r="F348" s="1" t="s">
        <v>112</v>
      </c>
      <c r="G348" s="1">
        <v>2578219</v>
      </c>
    </row>
    <row r="349" spans="1:7" x14ac:dyDescent="0.25">
      <c r="A349" s="1" t="str">
        <f t="shared" si="5"/>
        <v>11  Testosterone 100 µg_L</v>
      </c>
      <c r="B3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9" s="1" t="s">
        <v>906</v>
      </c>
      <c r="D349" s="1" t="s">
        <v>907</v>
      </c>
      <c r="E349" s="1" t="s">
        <v>908</v>
      </c>
      <c r="F349" s="1" t="s">
        <v>112</v>
      </c>
      <c r="G349" s="1">
        <v>2253554</v>
      </c>
    </row>
    <row r="350" spans="1:7" x14ac:dyDescent="0.25">
      <c r="A350" s="1" t="str">
        <f t="shared" si="5"/>
        <v>11  Testosterone 100 µg_L</v>
      </c>
      <c r="B3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0" s="1" t="s">
        <v>909</v>
      </c>
      <c r="D350" s="1" t="s">
        <v>910</v>
      </c>
      <c r="E350" s="1" t="s">
        <v>911</v>
      </c>
      <c r="F350" s="1" t="s">
        <v>112</v>
      </c>
      <c r="G350" s="1">
        <v>4154043</v>
      </c>
    </row>
    <row r="351" spans="1:7" x14ac:dyDescent="0.25">
      <c r="A351" s="1" t="str">
        <f t="shared" si="5"/>
        <v>11  Testosterone 100 µg_L</v>
      </c>
      <c r="B3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1" s="1" t="s">
        <v>912</v>
      </c>
      <c r="D351" s="1" t="s">
        <v>913</v>
      </c>
      <c r="E351" s="1" t="s">
        <v>914</v>
      </c>
      <c r="F351" s="1" t="s">
        <v>112</v>
      </c>
      <c r="G351" s="1">
        <v>3584722</v>
      </c>
    </row>
    <row r="352" spans="1:7" x14ac:dyDescent="0.25">
      <c r="A352" s="1" t="str">
        <f t="shared" si="5"/>
        <v>11  Testosterone 100 µg_L</v>
      </c>
      <c r="B3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2" s="1" t="s">
        <v>915</v>
      </c>
      <c r="D352" s="1" t="s">
        <v>916</v>
      </c>
      <c r="E352" s="1" t="s">
        <v>917</v>
      </c>
      <c r="F352" s="1" t="s">
        <v>112</v>
      </c>
      <c r="G352" s="1">
        <v>3177907</v>
      </c>
    </row>
    <row r="353" spans="1:10" x14ac:dyDescent="0.25">
      <c r="A353" s="1" t="str">
        <f t="shared" si="5"/>
        <v>11  Testosterone 100 µg_L</v>
      </c>
      <c r="B3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3" s="1" t="s">
        <v>918</v>
      </c>
      <c r="D353" s="1" t="s">
        <v>919</v>
      </c>
      <c r="E353" s="1" t="s">
        <v>920</v>
      </c>
      <c r="F353" s="1" t="s">
        <v>112</v>
      </c>
      <c r="G353" s="1">
        <v>1524756</v>
      </c>
    </row>
    <row r="354" spans="1:10" x14ac:dyDescent="0.25">
      <c r="A354" s="1" t="str">
        <f t="shared" si="5"/>
        <v>11  Testosterone 100 µg_L</v>
      </c>
      <c r="B3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4" s="1" t="s">
        <v>921</v>
      </c>
      <c r="D354" s="1" t="s">
        <v>922</v>
      </c>
      <c r="E354" s="1" t="s">
        <v>923</v>
      </c>
      <c r="F354" s="1" t="s">
        <v>112</v>
      </c>
      <c r="G354" s="1">
        <v>2007016</v>
      </c>
    </row>
    <row r="355" spans="1:10" x14ac:dyDescent="0.25">
      <c r="A355" s="1" t="str">
        <f t="shared" si="5"/>
        <v>11  Testosterone 100 µg_L</v>
      </c>
      <c r="B3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5" s="1" t="s">
        <v>924</v>
      </c>
      <c r="D355" s="1" t="s">
        <v>925</v>
      </c>
      <c r="E355" s="1" t="s">
        <v>926</v>
      </c>
      <c r="F355" s="1" t="s">
        <v>112</v>
      </c>
      <c r="G355" s="1">
        <v>1462700</v>
      </c>
    </row>
    <row r="356" spans="1:10" x14ac:dyDescent="0.25">
      <c r="A356" s="1" t="str">
        <f t="shared" si="5"/>
        <v/>
      </c>
      <c r="B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6" s="1" t="s">
        <v>112</v>
      </c>
    </row>
    <row r="357" spans="1:10" x14ac:dyDescent="0.25">
      <c r="A357" s="1" t="str">
        <f t="shared" si="5"/>
        <v/>
      </c>
      <c r="B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7" s="1" t="s">
        <v>229</v>
      </c>
      <c r="D357" s="1" t="s">
        <v>112</v>
      </c>
      <c r="E357" s="1" t="s">
        <v>230</v>
      </c>
      <c r="F357" s="1" t="s">
        <v>231</v>
      </c>
      <c r="G357" s="1" t="s">
        <v>232</v>
      </c>
      <c r="H357" s="1" t="s">
        <v>233</v>
      </c>
      <c r="I357" s="1" t="s">
        <v>234</v>
      </c>
      <c r="J357" s="1" t="s">
        <v>235</v>
      </c>
    </row>
    <row r="358" spans="1:10" x14ac:dyDescent="0.25">
      <c r="A358" s="1" t="str">
        <f t="shared" si="5"/>
        <v>11  Testosterone 100 µg_L</v>
      </c>
      <c r="B3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58" s="1" t="s">
        <v>927</v>
      </c>
      <c r="D358" s="1" t="s">
        <v>112</v>
      </c>
      <c r="E358" s="1" t="s">
        <v>928</v>
      </c>
      <c r="F358" s="1" t="s">
        <v>929</v>
      </c>
      <c r="G358" s="1" t="s">
        <v>930</v>
      </c>
      <c r="H358" s="1" t="s">
        <v>931</v>
      </c>
      <c r="I358" s="1">
        <v>24</v>
      </c>
      <c r="J358" s="1">
        <v>24</v>
      </c>
    </row>
    <row r="359" spans="1:10" x14ac:dyDescent="0.25">
      <c r="A359" s="1" t="str">
        <f t="shared" si="5"/>
        <v/>
      </c>
      <c r="B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9" s="1" t="s">
        <v>112</v>
      </c>
    </row>
    <row r="360" spans="1:10" x14ac:dyDescent="0.25">
      <c r="A360" s="1" t="str">
        <f t="shared" si="5"/>
        <v/>
      </c>
      <c r="B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0" s="1" t="s">
        <v>112</v>
      </c>
    </row>
    <row r="361" spans="1:10" x14ac:dyDescent="0.25">
      <c r="A361" s="1" t="str">
        <f t="shared" si="5"/>
        <v/>
      </c>
      <c r="B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1" s="1" t="s">
        <v>112</v>
      </c>
    </row>
    <row r="362" spans="1:10" x14ac:dyDescent="0.25">
      <c r="A362" s="1" t="str">
        <f t="shared" si="5"/>
        <v/>
      </c>
      <c r="B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2" s="1" t="s">
        <v>112</v>
      </c>
    </row>
    <row r="363" spans="1:10" x14ac:dyDescent="0.25">
      <c r="A363" s="1" t="str">
        <f t="shared" si="5"/>
        <v/>
      </c>
      <c r="B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3" s="1" t="s">
        <v>112</v>
      </c>
    </row>
    <row r="364" spans="1:10" x14ac:dyDescent="0.25">
      <c r="A364" s="1" t="str">
        <f t="shared" si="5"/>
        <v/>
      </c>
      <c r="B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4" s="1" t="s">
        <v>241</v>
      </c>
      <c r="D364" s="1" t="s">
        <v>110</v>
      </c>
      <c r="E364" s="1" t="s">
        <v>111</v>
      </c>
      <c r="F364" s="1" t="s">
        <v>112</v>
      </c>
      <c r="G364" s="1" t="s">
        <v>113</v>
      </c>
    </row>
    <row r="365" spans="1:10" x14ac:dyDescent="0.25">
      <c r="A365" s="1" t="str">
        <f t="shared" si="5"/>
        <v>12  Testosterone 300 µg_L</v>
      </c>
      <c r="B3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5" s="1" t="s">
        <v>932</v>
      </c>
      <c r="D365" s="1" t="s">
        <v>933</v>
      </c>
      <c r="E365" s="1" t="s">
        <v>934</v>
      </c>
      <c r="F365" s="1" t="s">
        <v>112</v>
      </c>
      <c r="G365" s="1">
        <v>1119845</v>
      </c>
    </row>
    <row r="366" spans="1:10" x14ac:dyDescent="0.25">
      <c r="A366" s="1" t="str">
        <f t="shared" si="5"/>
        <v>12  Testosterone 300 µg_L</v>
      </c>
      <c r="B3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6" s="1" t="s">
        <v>935</v>
      </c>
      <c r="D366" s="1" t="s">
        <v>936</v>
      </c>
      <c r="E366" s="1" t="s">
        <v>937</v>
      </c>
      <c r="F366" s="1" t="s">
        <v>112</v>
      </c>
      <c r="G366" s="1">
        <v>1254988</v>
      </c>
    </row>
    <row r="367" spans="1:10" x14ac:dyDescent="0.25">
      <c r="A367" s="1" t="str">
        <f t="shared" si="5"/>
        <v>12  Testosterone 300 µg_L</v>
      </c>
      <c r="B3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7" s="1" t="s">
        <v>938</v>
      </c>
      <c r="D367" s="1" t="s">
        <v>939</v>
      </c>
      <c r="E367" s="1" t="s">
        <v>940</v>
      </c>
      <c r="F367" s="1" t="s">
        <v>112</v>
      </c>
      <c r="G367" s="1">
        <v>1036634</v>
      </c>
    </row>
    <row r="368" spans="1:10" x14ac:dyDescent="0.25">
      <c r="A368" s="1" t="str">
        <f t="shared" si="5"/>
        <v>12  Testosterone 300 µg_L</v>
      </c>
      <c r="B3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68" s="1" t="s">
        <v>941</v>
      </c>
      <c r="D368" s="1" t="s">
        <v>942</v>
      </c>
      <c r="E368" s="1" t="s">
        <v>943</v>
      </c>
      <c r="F368" s="1" t="s">
        <v>112</v>
      </c>
      <c r="G368" s="1">
        <v>4127719</v>
      </c>
    </row>
    <row r="369" spans="1:7" x14ac:dyDescent="0.25">
      <c r="A369" s="1" t="str">
        <f t="shared" si="5"/>
        <v>12  Testosterone 300 µg_L</v>
      </c>
      <c r="B3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69" s="1" t="s">
        <v>944</v>
      </c>
      <c r="D369" s="1" t="s">
        <v>945</v>
      </c>
      <c r="E369" s="1" t="s">
        <v>946</v>
      </c>
      <c r="F369" s="1" t="s">
        <v>112</v>
      </c>
      <c r="G369" s="1">
        <v>4399564</v>
      </c>
    </row>
    <row r="370" spans="1:7" x14ac:dyDescent="0.25">
      <c r="A370" s="1" t="str">
        <f t="shared" si="5"/>
        <v>12  Testosterone 300 µg_L</v>
      </c>
      <c r="B3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70" s="1" t="s">
        <v>947</v>
      </c>
      <c r="D370" s="1" t="s">
        <v>948</v>
      </c>
      <c r="E370" s="1" t="s">
        <v>949</v>
      </c>
      <c r="F370" s="1" t="s">
        <v>112</v>
      </c>
      <c r="G370" s="1">
        <v>3414582</v>
      </c>
    </row>
    <row r="371" spans="1:7" x14ac:dyDescent="0.25">
      <c r="A371" s="1" t="str">
        <f t="shared" si="5"/>
        <v>12  Testosterone 300 µg_L</v>
      </c>
      <c r="B3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1" s="1" t="s">
        <v>950</v>
      </c>
      <c r="D371" s="1" t="s">
        <v>951</v>
      </c>
      <c r="E371" s="1" t="s">
        <v>952</v>
      </c>
      <c r="F371" s="1" t="s">
        <v>112</v>
      </c>
      <c r="G371" s="1">
        <v>2768540</v>
      </c>
    </row>
    <row r="372" spans="1:7" x14ac:dyDescent="0.25">
      <c r="A372" s="1" t="str">
        <f t="shared" si="5"/>
        <v>12  Testosterone 300 µg_L</v>
      </c>
      <c r="B3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2" s="1" t="s">
        <v>953</v>
      </c>
      <c r="D372" s="1" t="s">
        <v>954</v>
      </c>
      <c r="E372" s="1" t="s">
        <v>955</v>
      </c>
      <c r="F372" s="1" t="s">
        <v>112</v>
      </c>
      <c r="G372" s="1">
        <v>2540950</v>
      </c>
    </row>
    <row r="373" spans="1:7" x14ac:dyDescent="0.25">
      <c r="A373" s="1" t="str">
        <f t="shared" si="5"/>
        <v>12  Testosterone 300 µg_L</v>
      </c>
      <c r="B3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3" s="1" t="s">
        <v>956</v>
      </c>
      <c r="D373" s="1" t="s">
        <v>957</v>
      </c>
      <c r="E373" s="1" t="s">
        <v>958</v>
      </c>
      <c r="F373" s="1" t="s">
        <v>112</v>
      </c>
      <c r="G373" s="1">
        <v>1975913</v>
      </c>
    </row>
    <row r="374" spans="1:7" x14ac:dyDescent="0.25">
      <c r="A374" s="1" t="str">
        <f t="shared" si="5"/>
        <v>12  Testosterone 300 µg_L</v>
      </c>
      <c r="B3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4" s="1" t="s">
        <v>959</v>
      </c>
      <c r="D374" s="1" t="s">
        <v>960</v>
      </c>
      <c r="E374" s="1" t="s">
        <v>961</v>
      </c>
      <c r="F374" s="1" t="s">
        <v>112</v>
      </c>
      <c r="G374" s="1">
        <v>4819314</v>
      </c>
    </row>
    <row r="375" spans="1:7" x14ac:dyDescent="0.25">
      <c r="A375" s="1" t="str">
        <f t="shared" si="5"/>
        <v>12  Testosterone 300 µg_L</v>
      </c>
      <c r="B3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5" s="1" t="s">
        <v>962</v>
      </c>
      <c r="D375" s="1" t="s">
        <v>963</v>
      </c>
      <c r="E375" s="1" t="s">
        <v>964</v>
      </c>
      <c r="F375" s="1" t="s">
        <v>112</v>
      </c>
      <c r="G375" s="1">
        <v>5193814</v>
      </c>
    </row>
    <row r="376" spans="1:7" x14ac:dyDescent="0.25">
      <c r="A376" s="1" t="str">
        <f t="shared" si="5"/>
        <v>12  Testosterone 300 µg_L</v>
      </c>
      <c r="B3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6" s="1" t="s">
        <v>965</v>
      </c>
      <c r="D376" s="1" t="s">
        <v>966</v>
      </c>
      <c r="E376" s="1" t="s">
        <v>967</v>
      </c>
      <c r="F376" s="1" t="s">
        <v>112</v>
      </c>
      <c r="G376" s="1">
        <v>4406723</v>
      </c>
    </row>
    <row r="377" spans="1:7" x14ac:dyDescent="0.25">
      <c r="A377" s="1" t="str">
        <f t="shared" si="5"/>
        <v>12  Testosterone 300 µg_L</v>
      </c>
      <c r="B3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7" s="1" t="s">
        <v>968</v>
      </c>
      <c r="D377" s="1" t="s">
        <v>969</v>
      </c>
      <c r="E377" s="1" t="s">
        <v>970</v>
      </c>
      <c r="F377" s="1" t="s">
        <v>112</v>
      </c>
      <c r="G377" s="1">
        <v>1798266</v>
      </c>
    </row>
    <row r="378" spans="1:7" x14ac:dyDescent="0.25">
      <c r="A378" s="1" t="str">
        <f t="shared" si="5"/>
        <v>12  Testosterone 300 µg_L</v>
      </c>
      <c r="B3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8" s="1" t="s">
        <v>971</v>
      </c>
      <c r="D378" s="1" t="s">
        <v>972</v>
      </c>
      <c r="E378" s="1" t="s">
        <v>973</v>
      </c>
      <c r="F378" s="1" t="s">
        <v>112</v>
      </c>
      <c r="G378" s="1">
        <v>1850351</v>
      </c>
    </row>
    <row r="379" spans="1:7" x14ac:dyDescent="0.25">
      <c r="A379" s="1" t="str">
        <f t="shared" si="5"/>
        <v>12  Testosterone 300 µg_L</v>
      </c>
      <c r="B3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9" s="1" t="s">
        <v>974</v>
      </c>
      <c r="D379" s="1" t="s">
        <v>975</v>
      </c>
      <c r="E379" s="1" t="s">
        <v>976</v>
      </c>
      <c r="F379" s="1" t="s">
        <v>112</v>
      </c>
      <c r="G379" s="1">
        <v>1438561</v>
      </c>
    </row>
    <row r="380" spans="1:7" x14ac:dyDescent="0.25">
      <c r="A380" s="1" t="str">
        <f t="shared" si="5"/>
        <v>12  Testosterone 300 µg_L</v>
      </c>
      <c r="B3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0" s="1" t="s">
        <v>977</v>
      </c>
      <c r="D380" s="1" t="s">
        <v>978</v>
      </c>
      <c r="E380" s="1" t="s">
        <v>979</v>
      </c>
      <c r="F380" s="1" t="s">
        <v>112</v>
      </c>
      <c r="G380" s="1">
        <v>1843732</v>
      </c>
    </row>
    <row r="381" spans="1:7" x14ac:dyDescent="0.25">
      <c r="A381" s="1" t="str">
        <f t="shared" si="5"/>
        <v>12  Testosterone 300 µg_L</v>
      </c>
      <c r="B3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1" s="1" t="s">
        <v>980</v>
      </c>
      <c r="D381" s="1" t="s">
        <v>981</v>
      </c>
      <c r="E381" s="1" t="s">
        <v>982</v>
      </c>
      <c r="F381" s="1" t="s">
        <v>112</v>
      </c>
      <c r="G381" s="1">
        <v>1760435</v>
      </c>
    </row>
    <row r="382" spans="1:7" x14ac:dyDescent="0.25">
      <c r="A382" s="1" t="str">
        <f t="shared" si="5"/>
        <v>12  Testosterone 300 µg_L</v>
      </c>
      <c r="B3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2" s="1" t="s">
        <v>983</v>
      </c>
      <c r="D382" s="1" t="s">
        <v>984</v>
      </c>
      <c r="E382" s="1" t="s">
        <v>985</v>
      </c>
      <c r="F382" s="1" t="s">
        <v>112</v>
      </c>
      <c r="G382" s="1">
        <v>1479398</v>
      </c>
    </row>
    <row r="383" spans="1:7" x14ac:dyDescent="0.25">
      <c r="A383" s="1" t="str">
        <f t="shared" si="5"/>
        <v>12  Testosterone 300 µg_L</v>
      </c>
      <c r="B3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3" s="1" t="s">
        <v>986</v>
      </c>
      <c r="D383" s="1" t="s">
        <v>922</v>
      </c>
      <c r="E383" s="1" t="s">
        <v>987</v>
      </c>
      <c r="F383" s="1" t="s">
        <v>112</v>
      </c>
      <c r="G383" s="1">
        <v>1965465</v>
      </c>
    </row>
    <row r="384" spans="1:7" x14ac:dyDescent="0.25">
      <c r="A384" s="1" t="str">
        <f t="shared" si="5"/>
        <v>12  Testosterone 300 µg_L</v>
      </c>
      <c r="B3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4" s="1" t="s">
        <v>988</v>
      </c>
      <c r="D384" s="1" t="s">
        <v>459</v>
      </c>
      <c r="E384" s="1" t="s">
        <v>989</v>
      </c>
      <c r="F384" s="1" t="s">
        <v>112</v>
      </c>
      <c r="G384" s="1">
        <v>2040370</v>
      </c>
    </row>
    <row r="385" spans="1:10" x14ac:dyDescent="0.25">
      <c r="A385" s="1" t="str">
        <f t="shared" si="5"/>
        <v>12  Testosterone 300 µg_L</v>
      </c>
      <c r="B3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5" s="1" t="s">
        <v>990</v>
      </c>
      <c r="D385" s="1" t="s">
        <v>991</v>
      </c>
      <c r="E385" s="1" t="s">
        <v>992</v>
      </c>
      <c r="F385" s="1" t="s">
        <v>112</v>
      </c>
      <c r="G385" s="1">
        <v>1737681</v>
      </c>
    </row>
    <row r="386" spans="1:10" x14ac:dyDescent="0.25">
      <c r="A386" s="1" t="str">
        <f t="shared" ref="A386:A449" si="6">IFERROR(LEFT(RIGHT(C386,LEN(C386)-SEARCH("@",C386)),SEARCH("/",RIGHT(C386,LEN(C386)-SEARCH("@",C386)-1))),"")</f>
        <v>12  Testosterone 300 µg_L</v>
      </c>
      <c r="B3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6" s="1" t="s">
        <v>993</v>
      </c>
      <c r="D386" s="1" t="s">
        <v>994</v>
      </c>
      <c r="E386" s="1" t="s">
        <v>995</v>
      </c>
      <c r="F386" s="1" t="s">
        <v>112</v>
      </c>
      <c r="G386" s="1">
        <v>3569582</v>
      </c>
    </row>
    <row r="387" spans="1:10" x14ac:dyDescent="0.25">
      <c r="A387" s="1" t="str">
        <f t="shared" si="6"/>
        <v>12  Testosterone 300 µg_L</v>
      </c>
      <c r="B3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7" s="1" t="s">
        <v>996</v>
      </c>
    </row>
    <row r="388" spans="1:10" x14ac:dyDescent="0.25">
      <c r="A388" s="1" t="str">
        <f t="shared" si="6"/>
        <v>12  Testosterone 300 µg_L</v>
      </c>
      <c r="B3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8" s="1" t="s">
        <v>997</v>
      </c>
      <c r="D388" s="1" t="s">
        <v>864</v>
      </c>
      <c r="E388" s="1" t="s">
        <v>998</v>
      </c>
      <c r="F388" s="1" t="s">
        <v>112</v>
      </c>
      <c r="G388" s="1">
        <v>2601406</v>
      </c>
    </row>
    <row r="389" spans="1:10" x14ac:dyDescent="0.25">
      <c r="A389" s="1" t="str">
        <f t="shared" si="6"/>
        <v/>
      </c>
      <c r="B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89" s="1" t="s">
        <v>112</v>
      </c>
    </row>
    <row r="390" spans="1:10" x14ac:dyDescent="0.25">
      <c r="A390" s="1" t="str">
        <f t="shared" si="6"/>
        <v/>
      </c>
      <c r="B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0" s="1" t="s">
        <v>229</v>
      </c>
      <c r="D390" s="1" t="s">
        <v>112</v>
      </c>
      <c r="E390" s="1" t="s">
        <v>230</v>
      </c>
      <c r="F390" s="1" t="s">
        <v>231</v>
      </c>
      <c r="G390" s="1" t="s">
        <v>232</v>
      </c>
      <c r="H390" s="1" t="s">
        <v>233</v>
      </c>
      <c r="I390" s="1" t="s">
        <v>234</v>
      </c>
      <c r="J390" s="1" t="s">
        <v>235</v>
      </c>
    </row>
    <row r="391" spans="1:10" x14ac:dyDescent="0.25">
      <c r="A391" s="1" t="str">
        <f t="shared" si="6"/>
        <v>12  Testosterone 300 µg_L</v>
      </c>
      <c r="B3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91" s="1" t="s">
        <v>999</v>
      </c>
      <c r="D391" s="1" t="s">
        <v>112</v>
      </c>
      <c r="E391" s="1" t="s">
        <v>1000</v>
      </c>
      <c r="F391" s="1" t="s">
        <v>1001</v>
      </c>
      <c r="G391" s="1" t="s">
        <v>1002</v>
      </c>
      <c r="H391" s="1" t="s">
        <v>1003</v>
      </c>
      <c r="I391" s="1">
        <v>24</v>
      </c>
      <c r="J391" s="1">
        <v>24</v>
      </c>
    </row>
    <row r="392" spans="1:10" x14ac:dyDescent="0.25">
      <c r="A392" s="1" t="str">
        <f t="shared" si="6"/>
        <v/>
      </c>
      <c r="B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2" s="1" t="s">
        <v>112</v>
      </c>
    </row>
    <row r="393" spans="1:10" x14ac:dyDescent="0.25">
      <c r="A393" s="1" t="str">
        <f t="shared" si="6"/>
        <v/>
      </c>
      <c r="B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3" s="1" t="s">
        <v>112</v>
      </c>
    </row>
    <row r="394" spans="1:10" x14ac:dyDescent="0.25">
      <c r="A394" s="1" t="str">
        <f t="shared" si="6"/>
        <v/>
      </c>
      <c r="B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4" s="1" t="s">
        <v>112</v>
      </c>
    </row>
    <row r="395" spans="1:10" x14ac:dyDescent="0.25">
      <c r="A395" s="1" t="str">
        <f t="shared" si="6"/>
        <v/>
      </c>
      <c r="B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5" s="1" t="s">
        <v>112</v>
      </c>
    </row>
    <row r="396" spans="1:10" x14ac:dyDescent="0.25">
      <c r="A396" s="1" t="str">
        <f t="shared" si="6"/>
        <v/>
      </c>
      <c r="B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6" s="1" t="s">
        <v>112</v>
      </c>
    </row>
    <row r="397" spans="1:10" x14ac:dyDescent="0.25">
      <c r="A397" s="1" t="str">
        <f t="shared" si="6"/>
        <v/>
      </c>
      <c r="B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7" s="1" t="s">
        <v>241</v>
      </c>
      <c r="D397" s="1" t="s">
        <v>110</v>
      </c>
      <c r="E397" s="1" t="s">
        <v>111</v>
      </c>
      <c r="F397" s="1" t="s">
        <v>112</v>
      </c>
      <c r="G397" s="1" t="s">
        <v>113</v>
      </c>
    </row>
    <row r="398" spans="1:10" x14ac:dyDescent="0.25">
      <c r="A398" s="1" t="str">
        <f t="shared" si="6"/>
        <v>01 Testo 30</v>
      </c>
      <c r="B3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98" s="1" t="s">
        <v>1004</v>
      </c>
      <c r="D398" s="1" t="s">
        <v>1005</v>
      </c>
      <c r="E398" s="1" t="s">
        <v>1006</v>
      </c>
      <c r="F398" s="1" t="s">
        <v>112</v>
      </c>
      <c r="G398" s="1">
        <v>2971428</v>
      </c>
    </row>
    <row r="399" spans="1:10" x14ac:dyDescent="0.25">
      <c r="A399" s="1" t="str">
        <f t="shared" si="6"/>
        <v>01 Testo 30</v>
      </c>
      <c r="B3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99" s="1" t="s">
        <v>1007</v>
      </c>
      <c r="D399" s="1" t="s">
        <v>1008</v>
      </c>
      <c r="E399" s="1" t="s">
        <v>1009</v>
      </c>
      <c r="F399" s="1" t="s">
        <v>112</v>
      </c>
      <c r="G399" s="1">
        <v>3657464</v>
      </c>
    </row>
    <row r="400" spans="1:10" x14ac:dyDescent="0.25">
      <c r="A400" s="1" t="str">
        <f t="shared" si="6"/>
        <v>01 Testo 30</v>
      </c>
      <c r="B4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00" s="1" t="s">
        <v>1010</v>
      </c>
      <c r="D400" s="1" t="s">
        <v>1011</v>
      </c>
      <c r="E400" s="1" t="s">
        <v>1012</v>
      </c>
      <c r="F400" s="1" t="s">
        <v>112</v>
      </c>
      <c r="G400" s="1">
        <v>3296439</v>
      </c>
    </row>
    <row r="401" spans="1:7" x14ac:dyDescent="0.25">
      <c r="A401" s="1" t="str">
        <f t="shared" si="6"/>
        <v>01 Testo 30</v>
      </c>
      <c r="B4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1" s="1" t="s">
        <v>1013</v>
      </c>
      <c r="D401" s="1" t="s">
        <v>1014</v>
      </c>
      <c r="E401" s="1" t="s">
        <v>1015</v>
      </c>
      <c r="F401" s="1" t="s">
        <v>112</v>
      </c>
      <c r="G401" s="1">
        <v>69994</v>
      </c>
    </row>
    <row r="402" spans="1:7" x14ac:dyDescent="0.25">
      <c r="A402" s="1" t="str">
        <f t="shared" si="6"/>
        <v>01 Testo 30</v>
      </c>
      <c r="B4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2" s="1" t="s">
        <v>1016</v>
      </c>
      <c r="D402" s="1" t="s">
        <v>1017</v>
      </c>
      <c r="E402" s="1" t="s">
        <v>1018</v>
      </c>
      <c r="F402" s="1" t="s">
        <v>112</v>
      </c>
      <c r="G402" s="1">
        <v>125432</v>
      </c>
    </row>
    <row r="403" spans="1:7" x14ac:dyDescent="0.25">
      <c r="A403" s="1" t="str">
        <f t="shared" si="6"/>
        <v>01 Testo 30</v>
      </c>
      <c r="B4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3" s="1" t="s">
        <v>1019</v>
      </c>
    </row>
    <row r="404" spans="1:7" x14ac:dyDescent="0.25">
      <c r="A404" s="1" t="str">
        <f t="shared" si="6"/>
        <v>01 Testo 30</v>
      </c>
      <c r="B4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4" s="1" t="s">
        <v>1020</v>
      </c>
      <c r="D404" s="1" t="s">
        <v>1021</v>
      </c>
      <c r="E404" s="1" t="s">
        <v>1022</v>
      </c>
      <c r="F404" s="1" t="s">
        <v>112</v>
      </c>
      <c r="G404" s="1">
        <v>2844764</v>
      </c>
    </row>
    <row r="405" spans="1:7" x14ac:dyDescent="0.25">
      <c r="A405" s="1" t="str">
        <f t="shared" si="6"/>
        <v>01 Testo 30</v>
      </c>
      <c r="B4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5" s="1" t="s">
        <v>1023</v>
      </c>
      <c r="D405" s="1" t="s">
        <v>1024</v>
      </c>
      <c r="E405" s="1" t="s">
        <v>1025</v>
      </c>
      <c r="F405" s="1" t="s">
        <v>112</v>
      </c>
      <c r="G405" s="1">
        <v>2757444</v>
      </c>
    </row>
    <row r="406" spans="1:7" x14ac:dyDescent="0.25">
      <c r="A406" s="1" t="str">
        <f t="shared" si="6"/>
        <v>01 Testo 30</v>
      </c>
      <c r="B4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6" s="1" t="s">
        <v>1026</v>
      </c>
      <c r="D406" s="1" t="s">
        <v>1027</v>
      </c>
      <c r="E406" s="1" t="s">
        <v>1028</v>
      </c>
      <c r="F406" s="1" t="s">
        <v>112</v>
      </c>
      <c r="G406" s="1">
        <v>2754524</v>
      </c>
    </row>
    <row r="407" spans="1:7" x14ac:dyDescent="0.25">
      <c r="A407" s="1" t="str">
        <f t="shared" si="6"/>
        <v>01 Testo 30</v>
      </c>
      <c r="B4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7" s="1" t="s">
        <v>1029</v>
      </c>
      <c r="D407" s="1" t="s">
        <v>858</v>
      </c>
      <c r="E407" s="1" t="s">
        <v>1030</v>
      </c>
      <c r="F407" s="1" t="s">
        <v>112</v>
      </c>
      <c r="G407" s="1">
        <v>3546156</v>
      </c>
    </row>
    <row r="408" spans="1:7" x14ac:dyDescent="0.25">
      <c r="A408" s="1" t="str">
        <f t="shared" si="6"/>
        <v>01 Testo 30</v>
      </c>
      <c r="B4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8" s="1" t="s">
        <v>1031</v>
      </c>
      <c r="D408" s="1" t="s">
        <v>1032</v>
      </c>
      <c r="E408" s="1" t="s">
        <v>1033</v>
      </c>
      <c r="F408" s="1" t="s">
        <v>112</v>
      </c>
      <c r="G408" s="1">
        <v>4178290</v>
      </c>
    </row>
    <row r="409" spans="1:7" x14ac:dyDescent="0.25">
      <c r="A409" s="1" t="str">
        <f t="shared" si="6"/>
        <v>01 Testo 30</v>
      </c>
      <c r="B4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9" s="1" t="s">
        <v>1034</v>
      </c>
      <c r="D409" s="1" t="s">
        <v>1035</v>
      </c>
      <c r="E409" s="1" t="s">
        <v>1036</v>
      </c>
      <c r="F409" s="1" t="s">
        <v>112</v>
      </c>
      <c r="G409" s="1">
        <v>3853063</v>
      </c>
    </row>
    <row r="410" spans="1:7" x14ac:dyDescent="0.25">
      <c r="A410" s="1" t="str">
        <f t="shared" si="6"/>
        <v>01 Testo 30</v>
      </c>
      <c r="B4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0" s="1" t="s">
        <v>1037</v>
      </c>
      <c r="D410" s="1" t="s">
        <v>1038</v>
      </c>
      <c r="E410" s="1" t="s">
        <v>1039</v>
      </c>
      <c r="F410" s="1" t="s">
        <v>112</v>
      </c>
      <c r="G410" s="1">
        <v>2695582</v>
      </c>
    </row>
    <row r="411" spans="1:7" x14ac:dyDescent="0.25">
      <c r="A411" s="1" t="str">
        <f t="shared" si="6"/>
        <v>01 Testo 30</v>
      </c>
      <c r="B4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1" s="1" t="s">
        <v>1040</v>
      </c>
      <c r="D411" s="1" t="s">
        <v>1041</v>
      </c>
      <c r="E411" s="1" t="s">
        <v>1042</v>
      </c>
      <c r="F411" s="1" t="s">
        <v>112</v>
      </c>
      <c r="G411" s="1">
        <v>2401719</v>
      </c>
    </row>
    <row r="412" spans="1:7" x14ac:dyDescent="0.25">
      <c r="A412" s="1" t="str">
        <f t="shared" si="6"/>
        <v>01 Testo 30</v>
      </c>
      <c r="B4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2" s="1" t="s">
        <v>1043</v>
      </c>
      <c r="D412" s="1" t="s">
        <v>1044</v>
      </c>
      <c r="E412" s="1" t="s">
        <v>1045</v>
      </c>
      <c r="F412" s="1" t="s">
        <v>112</v>
      </c>
      <c r="G412" s="1">
        <v>2379959</v>
      </c>
    </row>
    <row r="413" spans="1:7" x14ac:dyDescent="0.25">
      <c r="A413" s="1" t="str">
        <f t="shared" si="6"/>
        <v>01 Testo 30</v>
      </c>
      <c r="B4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3" s="1" t="s">
        <v>1046</v>
      </c>
      <c r="D413" s="1" t="s">
        <v>1047</v>
      </c>
      <c r="E413" s="1" t="s">
        <v>1048</v>
      </c>
      <c r="F413" s="1" t="s">
        <v>112</v>
      </c>
      <c r="G413" s="1">
        <v>2835009</v>
      </c>
    </row>
    <row r="414" spans="1:7" x14ac:dyDescent="0.25">
      <c r="A414" s="1" t="str">
        <f t="shared" si="6"/>
        <v>01 Testo 30</v>
      </c>
      <c r="B4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4" s="1" t="s">
        <v>1049</v>
      </c>
      <c r="D414" s="1" t="s">
        <v>1050</v>
      </c>
      <c r="E414" s="1" t="s">
        <v>1051</v>
      </c>
      <c r="F414" s="1" t="s">
        <v>112</v>
      </c>
      <c r="G414" s="1">
        <v>2840762</v>
      </c>
    </row>
    <row r="415" spans="1:7" x14ac:dyDescent="0.25">
      <c r="A415" s="1" t="str">
        <f t="shared" si="6"/>
        <v>01 Testo 30</v>
      </c>
      <c r="B4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5" s="1" t="s">
        <v>1052</v>
      </c>
      <c r="D415" s="1" t="s">
        <v>1053</v>
      </c>
      <c r="E415" s="1" t="s">
        <v>1054</v>
      </c>
      <c r="F415" s="1" t="s">
        <v>112</v>
      </c>
      <c r="G415" s="1">
        <v>2084386</v>
      </c>
    </row>
    <row r="416" spans="1:7" x14ac:dyDescent="0.25">
      <c r="A416" s="1" t="str">
        <f t="shared" si="6"/>
        <v>01 Testo 30</v>
      </c>
      <c r="B4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6" s="1" t="s">
        <v>1055</v>
      </c>
      <c r="D416" s="1" t="s">
        <v>1056</v>
      </c>
      <c r="E416" s="1" t="s">
        <v>1057</v>
      </c>
      <c r="F416" s="1" t="s">
        <v>112</v>
      </c>
      <c r="G416" s="1">
        <v>1669157</v>
      </c>
    </row>
    <row r="417" spans="1:10" x14ac:dyDescent="0.25">
      <c r="A417" s="1" t="str">
        <f t="shared" si="6"/>
        <v>01 Testo 30</v>
      </c>
      <c r="B4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7" s="1" t="s">
        <v>1058</v>
      </c>
      <c r="D417" s="1" t="s">
        <v>1059</v>
      </c>
      <c r="E417" s="1" t="s">
        <v>1060</v>
      </c>
      <c r="F417" s="1" t="s">
        <v>112</v>
      </c>
      <c r="G417" s="1">
        <v>1884115</v>
      </c>
    </row>
    <row r="418" spans="1:10" x14ac:dyDescent="0.25">
      <c r="A418" s="1" t="str">
        <f t="shared" si="6"/>
        <v>01 Testo 30</v>
      </c>
      <c r="B4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8" s="1" t="s">
        <v>1061</v>
      </c>
      <c r="D418" s="1" t="s">
        <v>1062</v>
      </c>
      <c r="E418" s="1" t="s">
        <v>1063</v>
      </c>
      <c r="F418" s="1" t="s">
        <v>112</v>
      </c>
      <c r="G418" s="1">
        <v>1606301</v>
      </c>
    </row>
    <row r="419" spans="1:10" x14ac:dyDescent="0.25">
      <c r="A419" s="1" t="str">
        <f t="shared" si="6"/>
        <v>01 Testo 30</v>
      </c>
      <c r="B4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19" s="1" t="s">
        <v>1064</v>
      </c>
      <c r="D419" s="1" t="s">
        <v>1065</v>
      </c>
      <c r="E419" s="1" t="s">
        <v>1066</v>
      </c>
      <c r="F419" s="1" t="s">
        <v>112</v>
      </c>
      <c r="G419" s="1">
        <v>615890</v>
      </c>
    </row>
    <row r="420" spans="1:10" x14ac:dyDescent="0.25">
      <c r="A420" s="1" t="str">
        <f t="shared" si="6"/>
        <v>01 Testo 30</v>
      </c>
      <c r="B4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20" s="1" t="s">
        <v>1067</v>
      </c>
      <c r="D420" s="1" t="s">
        <v>1068</v>
      </c>
      <c r="E420" s="1" t="s">
        <v>1069</v>
      </c>
      <c r="F420" s="1" t="s">
        <v>112</v>
      </c>
      <c r="G420" s="1">
        <v>778330</v>
      </c>
    </row>
    <row r="421" spans="1:10" x14ac:dyDescent="0.25">
      <c r="A421" s="1" t="str">
        <f t="shared" si="6"/>
        <v>01 Testo 30</v>
      </c>
      <c r="B4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21" s="1" t="s">
        <v>1070</v>
      </c>
      <c r="D421" s="1" t="s">
        <v>1071</v>
      </c>
      <c r="E421" s="1" t="s">
        <v>1072</v>
      </c>
      <c r="F421" s="1" t="s">
        <v>112</v>
      </c>
      <c r="G421" s="1">
        <v>269941</v>
      </c>
    </row>
    <row r="422" spans="1:10" x14ac:dyDescent="0.25">
      <c r="A422" s="1" t="str">
        <f t="shared" si="6"/>
        <v/>
      </c>
      <c r="B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2" s="1" t="s">
        <v>112</v>
      </c>
    </row>
    <row r="423" spans="1:10" x14ac:dyDescent="0.25">
      <c r="A423" s="1" t="str">
        <f t="shared" si="6"/>
        <v/>
      </c>
      <c r="B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3" s="1" t="s">
        <v>229</v>
      </c>
      <c r="D423" s="1" t="s">
        <v>112</v>
      </c>
      <c r="E423" s="1" t="s">
        <v>230</v>
      </c>
      <c r="F423" s="1" t="s">
        <v>231</v>
      </c>
      <c r="G423" s="1" t="s">
        <v>232</v>
      </c>
      <c r="H423" s="1" t="s">
        <v>233</v>
      </c>
      <c r="I423" s="1" t="s">
        <v>234</v>
      </c>
      <c r="J423" s="1" t="s">
        <v>235</v>
      </c>
    </row>
    <row r="424" spans="1:10" x14ac:dyDescent="0.25">
      <c r="A424" s="1" t="str">
        <f t="shared" si="6"/>
        <v>01 Testo 30</v>
      </c>
      <c r="B4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24" s="1" t="s">
        <v>1073</v>
      </c>
      <c r="D424" s="1" t="s">
        <v>112</v>
      </c>
      <c r="E424" s="1" t="s">
        <v>1074</v>
      </c>
      <c r="F424" s="1" t="s">
        <v>1075</v>
      </c>
      <c r="G424" s="1" t="s">
        <v>1076</v>
      </c>
      <c r="H424" s="1" t="s">
        <v>1077</v>
      </c>
      <c r="I424" s="1">
        <v>24</v>
      </c>
      <c r="J424" s="1">
        <v>24</v>
      </c>
    </row>
    <row r="425" spans="1:10" x14ac:dyDescent="0.25">
      <c r="A425" s="1" t="str">
        <f t="shared" si="6"/>
        <v/>
      </c>
      <c r="B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5" s="1" t="s">
        <v>112</v>
      </c>
    </row>
    <row r="426" spans="1:10" x14ac:dyDescent="0.25">
      <c r="A426" s="1" t="str">
        <f t="shared" si="6"/>
        <v/>
      </c>
      <c r="B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6" s="1" t="s">
        <v>112</v>
      </c>
    </row>
    <row r="427" spans="1:10" x14ac:dyDescent="0.25">
      <c r="A427" s="1" t="str">
        <f t="shared" si="6"/>
        <v/>
      </c>
      <c r="B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7" s="1" t="s">
        <v>112</v>
      </c>
    </row>
    <row r="428" spans="1:10" x14ac:dyDescent="0.25">
      <c r="A428" s="1" t="str">
        <f t="shared" si="6"/>
        <v/>
      </c>
      <c r="B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8" s="1" t="s">
        <v>112</v>
      </c>
    </row>
    <row r="429" spans="1:10" x14ac:dyDescent="0.25">
      <c r="A429" s="1" t="str">
        <f t="shared" si="6"/>
        <v/>
      </c>
      <c r="B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9" s="1" t="s">
        <v>112</v>
      </c>
    </row>
    <row r="430" spans="1:10" x14ac:dyDescent="0.25">
      <c r="A430" s="1" t="str">
        <f t="shared" si="6"/>
        <v/>
      </c>
      <c r="B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30" s="1" t="s">
        <v>241</v>
      </c>
      <c r="D430" s="1" t="s">
        <v>110</v>
      </c>
      <c r="E430" s="1" t="s">
        <v>111</v>
      </c>
      <c r="F430" s="1" t="s">
        <v>112</v>
      </c>
      <c r="G430" s="1" t="s">
        <v>113</v>
      </c>
    </row>
    <row r="431" spans="1:10" x14ac:dyDescent="0.25">
      <c r="A431" s="1" t="str">
        <f t="shared" si="6"/>
        <v>02 Testo 30</v>
      </c>
      <c r="B4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1" s="1" t="s">
        <v>1078</v>
      </c>
      <c r="D431" s="1" t="s">
        <v>1079</v>
      </c>
      <c r="E431" s="1" t="s">
        <v>1080</v>
      </c>
      <c r="F431" s="1" t="s">
        <v>112</v>
      </c>
      <c r="G431" s="1">
        <v>4106284</v>
      </c>
    </row>
    <row r="432" spans="1:10" x14ac:dyDescent="0.25">
      <c r="A432" s="1" t="str">
        <f t="shared" si="6"/>
        <v>02 Testo 30</v>
      </c>
      <c r="B4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2" s="1" t="s">
        <v>1081</v>
      </c>
      <c r="D432" s="1" t="s">
        <v>1082</v>
      </c>
      <c r="E432" s="1" t="s">
        <v>1083</v>
      </c>
      <c r="F432" s="1" t="s">
        <v>112</v>
      </c>
      <c r="G432" s="1">
        <v>5032411</v>
      </c>
    </row>
    <row r="433" spans="1:7" x14ac:dyDescent="0.25">
      <c r="A433" s="1" t="str">
        <f t="shared" si="6"/>
        <v>02 Testo 30</v>
      </c>
      <c r="B4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3" s="1" t="s">
        <v>1084</v>
      </c>
      <c r="D433" s="1" t="s">
        <v>1085</v>
      </c>
      <c r="E433" s="1" t="s">
        <v>1086</v>
      </c>
      <c r="F433" s="1" t="s">
        <v>112</v>
      </c>
      <c r="G433" s="1">
        <v>4527375</v>
      </c>
    </row>
    <row r="434" spans="1:7" x14ac:dyDescent="0.25">
      <c r="A434" s="1" t="str">
        <f t="shared" si="6"/>
        <v>02 Testo 30</v>
      </c>
      <c r="B4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4" s="1" t="s">
        <v>1087</v>
      </c>
      <c r="D434" s="1" t="s">
        <v>1088</v>
      </c>
      <c r="E434" s="1" t="s">
        <v>1089</v>
      </c>
      <c r="F434" s="1" t="s">
        <v>112</v>
      </c>
      <c r="G434" s="1">
        <v>867099</v>
      </c>
    </row>
    <row r="435" spans="1:7" x14ac:dyDescent="0.25">
      <c r="A435" s="1" t="str">
        <f t="shared" si="6"/>
        <v>02 Testo 30</v>
      </c>
      <c r="B4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5" s="1" t="s">
        <v>1090</v>
      </c>
      <c r="D435" s="1" t="s">
        <v>1091</v>
      </c>
      <c r="E435" s="1" t="s">
        <v>1092</v>
      </c>
      <c r="F435" s="1" t="s">
        <v>112</v>
      </c>
      <c r="G435" s="1">
        <v>871295</v>
      </c>
    </row>
    <row r="436" spans="1:7" x14ac:dyDescent="0.25">
      <c r="A436" s="1" t="str">
        <f t="shared" si="6"/>
        <v>02 Testo 30</v>
      </c>
      <c r="B4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6" s="1" t="s">
        <v>1093</v>
      </c>
      <c r="D436" s="1" t="s">
        <v>1094</v>
      </c>
      <c r="E436" s="1" t="s">
        <v>1095</v>
      </c>
      <c r="F436" s="1" t="s">
        <v>112</v>
      </c>
      <c r="G436" s="1">
        <v>879320</v>
      </c>
    </row>
    <row r="437" spans="1:7" x14ac:dyDescent="0.25">
      <c r="A437" s="1" t="str">
        <f t="shared" si="6"/>
        <v>02 Testo 30</v>
      </c>
      <c r="B4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7" s="1" t="s">
        <v>1096</v>
      </c>
      <c r="D437" s="1" t="s">
        <v>1097</v>
      </c>
      <c r="E437" s="1" t="s">
        <v>1098</v>
      </c>
      <c r="F437" s="1" t="s">
        <v>112</v>
      </c>
      <c r="G437" s="1">
        <v>1781676</v>
      </c>
    </row>
    <row r="438" spans="1:7" x14ac:dyDescent="0.25">
      <c r="A438" s="1" t="str">
        <f t="shared" si="6"/>
        <v>02 Testo 30</v>
      </c>
      <c r="B4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8" s="1" t="s">
        <v>1099</v>
      </c>
      <c r="D438" s="1" t="s">
        <v>1100</v>
      </c>
      <c r="E438" s="1" t="s">
        <v>1101</v>
      </c>
      <c r="F438" s="1" t="s">
        <v>112</v>
      </c>
      <c r="G438" s="1">
        <v>2106882</v>
      </c>
    </row>
    <row r="439" spans="1:7" x14ac:dyDescent="0.25">
      <c r="A439" s="1" t="str">
        <f t="shared" si="6"/>
        <v>02 Testo 30</v>
      </c>
      <c r="B4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9" s="1" t="s">
        <v>1102</v>
      </c>
      <c r="D439" s="1" t="s">
        <v>1103</v>
      </c>
      <c r="E439" s="1" t="s">
        <v>1104</v>
      </c>
      <c r="F439" s="1" t="s">
        <v>112</v>
      </c>
      <c r="G439" s="1">
        <v>1847042</v>
      </c>
    </row>
    <row r="440" spans="1:7" x14ac:dyDescent="0.25">
      <c r="A440" s="1" t="str">
        <f t="shared" si="6"/>
        <v>02 Testo 30</v>
      </c>
      <c r="B4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0" s="1" t="s">
        <v>1105</v>
      </c>
      <c r="D440" s="1" t="s">
        <v>1106</v>
      </c>
      <c r="E440" s="1" t="s">
        <v>1107</v>
      </c>
      <c r="F440" s="1" t="s">
        <v>112</v>
      </c>
      <c r="G440" s="1">
        <v>3704877</v>
      </c>
    </row>
    <row r="441" spans="1:7" x14ac:dyDescent="0.25">
      <c r="A441" s="1" t="str">
        <f t="shared" si="6"/>
        <v>02 Testo 30</v>
      </c>
      <c r="B4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1" s="1" t="s">
        <v>1108</v>
      </c>
      <c r="D441" s="1" t="s">
        <v>1109</v>
      </c>
      <c r="E441" s="1" t="s">
        <v>1110</v>
      </c>
      <c r="F441" s="1" t="s">
        <v>112</v>
      </c>
      <c r="G441" s="1">
        <v>3838809</v>
      </c>
    </row>
    <row r="442" spans="1:7" x14ac:dyDescent="0.25">
      <c r="A442" s="1" t="str">
        <f t="shared" si="6"/>
        <v>02 Testo 30</v>
      </c>
      <c r="B4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2" s="1" t="s">
        <v>1111</v>
      </c>
      <c r="D442" s="1" t="s">
        <v>1112</v>
      </c>
      <c r="E442" s="1" t="s">
        <v>1113</v>
      </c>
      <c r="F442" s="1" t="s">
        <v>112</v>
      </c>
      <c r="G442" s="1">
        <v>3657421</v>
      </c>
    </row>
    <row r="443" spans="1:7" x14ac:dyDescent="0.25">
      <c r="A443" s="1" t="str">
        <f t="shared" si="6"/>
        <v>02 Testo 30</v>
      </c>
      <c r="B4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3" s="1" t="s">
        <v>1114</v>
      </c>
      <c r="D443" s="1" t="s">
        <v>1115</v>
      </c>
      <c r="E443" s="1" t="s">
        <v>1116</v>
      </c>
      <c r="F443" s="1" t="s">
        <v>112</v>
      </c>
      <c r="G443" s="1">
        <v>23274</v>
      </c>
    </row>
    <row r="444" spans="1:7" x14ac:dyDescent="0.25">
      <c r="A444" s="1" t="str">
        <f t="shared" si="6"/>
        <v>02 Testo 30</v>
      </c>
      <c r="B4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4" s="1" t="s">
        <v>1117</v>
      </c>
      <c r="D444" s="1" t="s">
        <v>765</v>
      </c>
      <c r="E444" s="1" t="s">
        <v>766</v>
      </c>
      <c r="F444" s="1" t="s">
        <v>112</v>
      </c>
      <c r="G444" s="1">
        <v>28487</v>
      </c>
    </row>
    <row r="445" spans="1:7" x14ac:dyDescent="0.25">
      <c r="A445" s="1" t="str">
        <f t="shared" si="6"/>
        <v>02 Testo 30</v>
      </c>
      <c r="B4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5" s="1" t="s">
        <v>1118</v>
      </c>
      <c r="D445" s="1" t="s">
        <v>357</v>
      </c>
      <c r="E445" s="1" t="s">
        <v>1119</v>
      </c>
      <c r="F445" s="1" t="s">
        <v>112</v>
      </c>
      <c r="G445" s="1">
        <v>20419</v>
      </c>
    </row>
    <row r="446" spans="1:7" x14ac:dyDescent="0.25">
      <c r="A446" s="1" t="str">
        <f t="shared" si="6"/>
        <v>02 Testo 30</v>
      </c>
      <c r="B4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6" s="1" t="s">
        <v>1120</v>
      </c>
      <c r="D446" s="1" t="s">
        <v>1121</v>
      </c>
      <c r="E446" s="1" t="s">
        <v>1122</v>
      </c>
      <c r="F446" s="1" t="s">
        <v>112</v>
      </c>
      <c r="G446" s="1">
        <v>1510221</v>
      </c>
    </row>
    <row r="447" spans="1:7" x14ac:dyDescent="0.25">
      <c r="A447" s="1" t="str">
        <f t="shared" si="6"/>
        <v>02 Testo 30</v>
      </c>
      <c r="B4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7" s="1" t="s">
        <v>1123</v>
      </c>
      <c r="D447" s="1" t="s">
        <v>1124</v>
      </c>
      <c r="E447" s="1" t="s">
        <v>1125</v>
      </c>
      <c r="F447" s="1" t="s">
        <v>112</v>
      </c>
      <c r="G447" s="1">
        <v>1929884</v>
      </c>
    </row>
    <row r="448" spans="1:7" x14ac:dyDescent="0.25">
      <c r="A448" s="1" t="str">
        <f t="shared" si="6"/>
        <v>02 Testo 30</v>
      </c>
      <c r="B4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8" s="1" t="s">
        <v>1126</v>
      </c>
      <c r="D448" s="1" t="s">
        <v>1127</v>
      </c>
      <c r="E448" s="1" t="s">
        <v>1128</v>
      </c>
      <c r="F448" s="1" t="s">
        <v>112</v>
      </c>
      <c r="G448" s="1">
        <v>1314578</v>
      </c>
    </row>
    <row r="449" spans="1:10" x14ac:dyDescent="0.25">
      <c r="A449" s="1" t="str">
        <f t="shared" si="6"/>
        <v>02 Testo 30</v>
      </c>
      <c r="B4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49" s="1" t="s">
        <v>1129</v>
      </c>
      <c r="D449" s="1" t="s">
        <v>1130</v>
      </c>
      <c r="E449" s="1" t="s">
        <v>1131</v>
      </c>
      <c r="F449" s="1" t="s">
        <v>112</v>
      </c>
      <c r="G449" s="1">
        <v>3441533</v>
      </c>
    </row>
    <row r="450" spans="1:10" x14ac:dyDescent="0.25">
      <c r="A450" s="1" t="str">
        <f t="shared" ref="A450:A513" si="7">IFERROR(LEFT(RIGHT(C450,LEN(C450)-SEARCH("@",C450)),SEARCH("/",RIGHT(C450,LEN(C450)-SEARCH("@",C450)-1))),"")</f>
        <v>02 Testo 30</v>
      </c>
      <c r="B4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50" s="1" t="s">
        <v>1132</v>
      </c>
      <c r="D450" s="1" t="s">
        <v>1133</v>
      </c>
      <c r="E450" s="1" t="s">
        <v>1134</v>
      </c>
      <c r="F450" s="1" t="s">
        <v>112</v>
      </c>
      <c r="G450" s="1">
        <v>3713009</v>
      </c>
    </row>
    <row r="451" spans="1:10" x14ac:dyDescent="0.25">
      <c r="A451" s="1" t="str">
        <f t="shared" si="7"/>
        <v>02 Testo 30</v>
      </c>
      <c r="B4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51" s="1" t="s">
        <v>1135</v>
      </c>
      <c r="D451" s="1" t="s">
        <v>1136</v>
      </c>
      <c r="E451" s="1" t="s">
        <v>1137</v>
      </c>
      <c r="F451" s="1" t="s">
        <v>112</v>
      </c>
      <c r="G451" s="1">
        <v>3110638</v>
      </c>
    </row>
    <row r="452" spans="1:10" x14ac:dyDescent="0.25">
      <c r="A452" s="1" t="str">
        <f t="shared" si="7"/>
        <v>02 Testo 30</v>
      </c>
      <c r="B4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2" s="1" t="s">
        <v>1138</v>
      </c>
      <c r="D452" s="1" t="s">
        <v>1139</v>
      </c>
      <c r="E452" s="1" t="s">
        <v>1140</v>
      </c>
      <c r="F452" s="1" t="s">
        <v>112</v>
      </c>
      <c r="G452" s="1">
        <v>349993</v>
      </c>
    </row>
    <row r="453" spans="1:10" x14ac:dyDescent="0.25">
      <c r="A453" s="1" t="str">
        <f t="shared" si="7"/>
        <v>02 Testo 30</v>
      </c>
      <c r="B4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3" s="1" t="s">
        <v>1141</v>
      </c>
      <c r="D453" s="1" t="s">
        <v>1142</v>
      </c>
      <c r="E453" s="1" t="s">
        <v>1143</v>
      </c>
      <c r="F453" s="1" t="s">
        <v>112</v>
      </c>
      <c r="G453" s="1">
        <v>198325</v>
      </c>
    </row>
    <row r="454" spans="1:10" x14ac:dyDescent="0.25">
      <c r="A454" s="1" t="str">
        <f t="shared" si="7"/>
        <v>02 Testo 30</v>
      </c>
      <c r="B4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4" s="1" t="s">
        <v>1144</v>
      </c>
      <c r="D454" s="1" t="s">
        <v>1145</v>
      </c>
      <c r="E454" s="1" t="s">
        <v>1146</v>
      </c>
      <c r="F454" s="1" t="s">
        <v>112</v>
      </c>
      <c r="G454" s="1">
        <v>292436</v>
      </c>
    </row>
    <row r="455" spans="1:10" x14ac:dyDescent="0.25">
      <c r="A455" s="1" t="str">
        <f t="shared" si="7"/>
        <v/>
      </c>
      <c r="B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5" s="1" t="s">
        <v>112</v>
      </c>
    </row>
    <row r="456" spans="1:10" x14ac:dyDescent="0.25">
      <c r="A456" s="1" t="str">
        <f t="shared" si="7"/>
        <v/>
      </c>
      <c r="B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6" s="1" t="s">
        <v>229</v>
      </c>
      <c r="D456" s="1" t="s">
        <v>112</v>
      </c>
      <c r="E456" s="1" t="s">
        <v>230</v>
      </c>
      <c r="F456" s="1" t="s">
        <v>231</v>
      </c>
      <c r="G456" s="1" t="s">
        <v>232</v>
      </c>
      <c r="H456" s="1" t="s">
        <v>233</v>
      </c>
      <c r="I456" s="1" t="s">
        <v>234</v>
      </c>
      <c r="J456" s="1" t="s">
        <v>235</v>
      </c>
    </row>
    <row r="457" spans="1:10" x14ac:dyDescent="0.25">
      <c r="A457" s="1" t="str">
        <f t="shared" si="7"/>
        <v>02 Testo 30</v>
      </c>
      <c r="B4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57" s="1" t="s">
        <v>1147</v>
      </c>
      <c r="D457" s="1" t="s">
        <v>112</v>
      </c>
      <c r="E457" s="1" t="s">
        <v>1148</v>
      </c>
      <c r="F457" s="1" t="s">
        <v>1149</v>
      </c>
      <c r="G457" s="1" t="s">
        <v>1150</v>
      </c>
      <c r="H457" s="1" t="s">
        <v>1151</v>
      </c>
      <c r="I457" s="1">
        <v>24</v>
      </c>
      <c r="J457" s="1">
        <v>24</v>
      </c>
    </row>
    <row r="458" spans="1:10" x14ac:dyDescent="0.25">
      <c r="A458" s="1" t="str">
        <f t="shared" si="7"/>
        <v/>
      </c>
      <c r="B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8" s="1" t="s">
        <v>112</v>
      </c>
    </row>
    <row r="459" spans="1:10" x14ac:dyDescent="0.25">
      <c r="A459" s="1" t="str">
        <f t="shared" si="7"/>
        <v/>
      </c>
      <c r="B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9" s="1" t="s">
        <v>112</v>
      </c>
    </row>
    <row r="460" spans="1:10" x14ac:dyDescent="0.25">
      <c r="A460" s="1" t="str">
        <f t="shared" si="7"/>
        <v/>
      </c>
      <c r="B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0" s="1" t="s">
        <v>112</v>
      </c>
    </row>
    <row r="461" spans="1:10" x14ac:dyDescent="0.25">
      <c r="A461" s="1" t="str">
        <f t="shared" si="7"/>
        <v/>
      </c>
      <c r="B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1" s="1" t="s">
        <v>112</v>
      </c>
    </row>
    <row r="462" spans="1:10" x14ac:dyDescent="0.25">
      <c r="A462" s="1" t="str">
        <f t="shared" si="7"/>
        <v/>
      </c>
      <c r="B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2" s="1" t="s">
        <v>112</v>
      </c>
    </row>
    <row r="463" spans="1:10" x14ac:dyDescent="0.25">
      <c r="A463" s="1" t="str">
        <f t="shared" si="7"/>
        <v/>
      </c>
      <c r="B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3" s="1" t="s">
        <v>241</v>
      </c>
      <c r="D463" s="1" t="s">
        <v>110</v>
      </c>
      <c r="E463" s="1" t="s">
        <v>111</v>
      </c>
      <c r="F463" s="1" t="s">
        <v>112</v>
      </c>
      <c r="G463" s="1" t="s">
        <v>113</v>
      </c>
    </row>
    <row r="464" spans="1:10" x14ac:dyDescent="0.25">
      <c r="A464" s="1" t="str">
        <f t="shared" si="7"/>
        <v>03 Testo+ EE2 64</v>
      </c>
      <c r="B4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4" s="1" t="s">
        <v>1152</v>
      </c>
      <c r="D464" s="1" t="s">
        <v>1153</v>
      </c>
      <c r="E464" s="1" t="s">
        <v>1154</v>
      </c>
      <c r="F464" s="1" t="s">
        <v>112</v>
      </c>
      <c r="G464" s="1">
        <v>4512948</v>
      </c>
    </row>
    <row r="465" spans="1:7" x14ac:dyDescent="0.25">
      <c r="A465" s="1" t="str">
        <f t="shared" si="7"/>
        <v>03 Testo+ EE2 64</v>
      </c>
      <c r="B4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5" s="1" t="s">
        <v>1155</v>
      </c>
      <c r="D465" s="1" t="s">
        <v>1156</v>
      </c>
      <c r="E465" s="1" t="s">
        <v>1157</v>
      </c>
      <c r="F465" s="1" t="s">
        <v>112</v>
      </c>
      <c r="G465" s="1">
        <v>5037451</v>
      </c>
    </row>
    <row r="466" spans="1:7" x14ac:dyDescent="0.25">
      <c r="A466" s="1" t="str">
        <f t="shared" si="7"/>
        <v>03 Testo+ EE2 64</v>
      </c>
      <c r="B4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6" s="1" t="s">
        <v>1158</v>
      </c>
    </row>
    <row r="467" spans="1:7" x14ac:dyDescent="0.25">
      <c r="A467" s="1" t="str">
        <f t="shared" si="7"/>
        <v>03 Testo+ EE2 64</v>
      </c>
      <c r="B4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7" s="1" t="s">
        <v>1159</v>
      </c>
      <c r="D467" s="1" t="s">
        <v>1160</v>
      </c>
      <c r="E467" s="1" t="s">
        <v>1161</v>
      </c>
      <c r="F467" s="1" t="s">
        <v>112</v>
      </c>
      <c r="G467" s="1">
        <v>5292727</v>
      </c>
    </row>
    <row r="468" spans="1:7" x14ac:dyDescent="0.25">
      <c r="A468" s="1" t="str">
        <f t="shared" si="7"/>
        <v>03 Testo+ EE2 64</v>
      </c>
      <c r="B4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8" s="1" t="s">
        <v>1162</v>
      </c>
      <c r="D468" s="1" t="s">
        <v>1163</v>
      </c>
      <c r="E468" s="1" t="s">
        <v>1164</v>
      </c>
      <c r="F468" s="1" t="s">
        <v>112</v>
      </c>
      <c r="G468" s="1">
        <v>5536193</v>
      </c>
    </row>
    <row r="469" spans="1:7" x14ac:dyDescent="0.25">
      <c r="A469" s="1" t="str">
        <f t="shared" si="7"/>
        <v>03 Testo+ EE2 64</v>
      </c>
      <c r="B4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9" s="1" t="s">
        <v>1165</v>
      </c>
      <c r="D469" s="1" t="s">
        <v>1166</v>
      </c>
      <c r="E469" s="1" t="s">
        <v>1167</v>
      </c>
      <c r="F469" s="1" t="s">
        <v>112</v>
      </c>
      <c r="G469" s="1">
        <v>5270318</v>
      </c>
    </row>
    <row r="470" spans="1:7" x14ac:dyDescent="0.25">
      <c r="A470" s="1" t="str">
        <f t="shared" si="7"/>
        <v>03 Testo+ EE2 64</v>
      </c>
      <c r="B4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0" s="1" t="s">
        <v>1168</v>
      </c>
      <c r="D470" s="1" t="s">
        <v>1169</v>
      </c>
      <c r="E470" s="1" t="s">
        <v>1170</v>
      </c>
      <c r="F470" s="1" t="s">
        <v>112</v>
      </c>
      <c r="G470" s="1">
        <v>2957650</v>
      </c>
    </row>
    <row r="471" spans="1:7" x14ac:dyDescent="0.25">
      <c r="A471" s="1" t="str">
        <f t="shared" si="7"/>
        <v>03 Testo+ EE2 64</v>
      </c>
      <c r="B4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1" s="1" t="s">
        <v>1171</v>
      </c>
      <c r="D471" s="1" t="s">
        <v>1172</v>
      </c>
      <c r="E471" s="1" t="s">
        <v>1173</v>
      </c>
      <c r="F471" s="1" t="s">
        <v>112</v>
      </c>
      <c r="G471" s="1">
        <v>2579430</v>
      </c>
    </row>
    <row r="472" spans="1:7" x14ac:dyDescent="0.25">
      <c r="A472" s="1" t="str">
        <f t="shared" si="7"/>
        <v>03 Testo+ EE2 64</v>
      </c>
      <c r="B4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2" s="1" t="s">
        <v>1174</v>
      </c>
      <c r="D472" s="1" t="s">
        <v>1175</v>
      </c>
      <c r="E472" s="1" t="s">
        <v>1176</v>
      </c>
      <c r="F472" s="1" t="s">
        <v>112</v>
      </c>
      <c r="G472" s="1">
        <v>2734084</v>
      </c>
    </row>
    <row r="473" spans="1:7" x14ac:dyDescent="0.25">
      <c r="A473" s="1" t="str">
        <f t="shared" si="7"/>
        <v>03 Testo+ EE2 64</v>
      </c>
      <c r="B4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3" s="1" t="s">
        <v>1177</v>
      </c>
      <c r="D473" s="1" t="s">
        <v>1178</v>
      </c>
      <c r="E473" s="1" t="s">
        <v>1179</v>
      </c>
      <c r="F473" s="1" t="s">
        <v>112</v>
      </c>
      <c r="G473" s="1">
        <v>4562588</v>
      </c>
    </row>
    <row r="474" spans="1:7" x14ac:dyDescent="0.25">
      <c r="A474" s="1" t="str">
        <f t="shared" si="7"/>
        <v>03 Testo+ EE2 64</v>
      </c>
      <c r="B4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4" s="1" t="s">
        <v>1180</v>
      </c>
      <c r="D474" s="1" t="s">
        <v>1181</v>
      </c>
      <c r="E474" s="1" t="s">
        <v>1182</v>
      </c>
      <c r="F474" s="1" t="s">
        <v>112</v>
      </c>
      <c r="G474" s="1">
        <v>4403760</v>
      </c>
    </row>
    <row r="475" spans="1:7" x14ac:dyDescent="0.25">
      <c r="A475" s="1" t="str">
        <f t="shared" si="7"/>
        <v>03 Testo+ EE2 64</v>
      </c>
      <c r="B4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5" s="1" t="s">
        <v>1183</v>
      </c>
    </row>
    <row r="476" spans="1:7" x14ac:dyDescent="0.25">
      <c r="A476" s="1" t="str">
        <f t="shared" si="7"/>
        <v>03 Testo+ EE2 64</v>
      </c>
      <c r="B4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6" s="1" t="s">
        <v>1184</v>
      </c>
      <c r="D476" s="1" t="s">
        <v>1185</v>
      </c>
      <c r="E476" s="1" t="s">
        <v>1186</v>
      </c>
      <c r="F476" s="1" t="s">
        <v>112</v>
      </c>
      <c r="G476" s="1">
        <v>1037262</v>
      </c>
    </row>
    <row r="477" spans="1:7" x14ac:dyDescent="0.25">
      <c r="A477" s="1" t="str">
        <f t="shared" si="7"/>
        <v>03 Testo+ EE2 64</v>
      </c>
      <c r="B4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7" s="1" t="s">
        <v>1187</v>
      </c>
      <c r="D477" s="1" t="s">
        <v>1188</v>
      </c>
      <c r="E477" s="1" t="s">
        <v>1189</v>
      </c>
      <c r="F477" s="1" t="s">
        <v>112</v>
      </c>
      <c r="G477" s="1">
        <v>1174157</v>
      </c>
    </row>
    <row r="478" spans="1:7" x14ac:dyDescent="0.25">
      <c r="A478" s="1" t="str">
        <f t="shared" si="7"/>
        <v>03 Testo+ EE2 64</v>
      </c>
      <c r="B4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8" s="1" t="s">
        <v>1190</v>
      </c>
      <c r="D478" s="1" t="s">
        <v>1191</v>
      </c>
      <c r="E478" s="1" t="s">
        <v>1192</v>
      </c>
      <c r="F478" s="1" t="s">
        <v>112</v>
      </c>
      <c r="G478" s="1">
        <v>1196804</v>
      </c>
    </row>
    <row r="479" spans="1:7" x14ac:dyDescent="0.25">
      <c r="A479" s="1" t="str">
        <f t="shared" si="7"/>
        <v>03 Testo+ EE2 64</v>
      </c>
      <c r="B4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79" s="1" t="s">
        <v>1193</v>
      </c>
      <c r="D479" s="1" t="s">
        <v>1194</v>
      </c>
      <c r="E479" s="1" t="s">
        <v>1195</v>
      </c>
      <c r="F479" s="1" t="s">
        <v>112</v>
      </c>
      <c r="G479" s="1">
        <v>4692562</v>
      </c>
    </row>
    <row r="480" spans="1:7" x14ac:dyDescent="0.25">
      <c r="A480" s="1" t="str">
        <f t="shared" si="7"/>
        <v>03 Testo+ EE2 64</v>
      </c>
      <c r="B4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80" s="1" t="s">
        <v>1196</v>
      </c>
      <c r="D480" s="1" t="s">
        <v>1197</v>
      </c>
      <c r="E480" s="1" t="s">
        <v>1198</v>
      </c>
      <c r="F480" s="1" t="s">
        <v>112</v>
      </c>
      <c r="G480" s="1">
        <v>4390306</v>
      </c>
    </row>
    <row r="481" spans="1:10" x14ac:dyDescent="0.25">
      <c r="A481" s="1" t="str">
        <f t="shared" si="7"/>
        <v>03 Testo+ EE2 64</v>
      </c>
      <c r="B4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81" s="1" t="s">
        <v>1199</v>
      </c>
      <c r="D481" s="1" t="s">
        <v>1200</v>
      </c>
      <c r="E481" s="1" t="s">
        <v>1201</v>
      </c>
      <c r="F481" s="1" t="s">
        <v>112</v>
      </c>
      <c r="G481" s="1">
        <v>4541889</v>
      </c>
    </row>
    <row r="482" spans="1:10" x14ac:dyDescent="0.25">
      <c r="A482" s="1" t="str">
        <f t="shared" si="7"/>
        <v>03 Testo+ EE2 64</v>
      </c>
      <c r="B4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2" s="1" t="s">
        <v>1202</v>
      </c>
      <c r="D482" s="1" t="s">
        <v>1203</v>
      </c>
      <c r="E482" s="1" t="s">
        <v>1204</v>
      </c>
      <c r="F482" s="1" t="s">
        <v>112</v>
      </c>
      <c r="G482" s="1">
        <v>6201485</v>
      </c>
    </row>
    <row r="483" spans="1:10" x14ac:dyDescent="0.25">
      <c r="A483" s="1" t="str">
        <f t="shared" si="7"/>
        <v>03 Testo+ EE2 64</v>
      </c>
      <c r="B4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3" s="1" t="s">
        <v>1205</v>
      </c>
      <c r="D483" s="1" t="s">
        <v>1206</v>
      </c>
      <c r="E483" s="1" t="s">
        <v>1207</v>
      </c>
      <c r="F483" s="1" t="s">
        <v>112</v>
      </c>
      <c r="G483" s="1">
        <v>6008028</v>
      </c>
    </row>
    <row r="484" spans="1:10" x14ac:dyDescent="0.25">
      <c r="A484" s="1" t="str">
        <f t="shared" si="7"/>
        <v>03 Testo+ EE2 64</v>
      </c>
      <c r="B4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4" s="1" t="s">
        <v>1208</v>
      </c>
      <c r="D484" s="1" t="s">
        <v>1209</v>
      </c>
      <c r="E484" s="1" t="s">
        <v>1210</v>
      </c>
      <c r="F484" s="1" t="s">
        <v>112</v>
      </c>
      <c r="G484" s="1">
        <v>6080899</v>
      </c>
    </row>
    <row r="485" spans="1:10" x14ac:dyDescent="0.25">
      <c r="A485" s="1" t="str">
        <f t="shared" si="7"/>
        <v>03 Testo+ EE2 64</v>
      </c>
      <c r="B4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5" s="1" t="s">
        <v>1211</v>
      </c>
      <c r="D485" s="1" t="s">
        <v>1212</v>
      </c>
      <c r="E485" s="1" t="s">
        <v>1213</v>
      </c>
      <c r="F485" s="1" t="s">
        <v>112</v>
      </c>
      <c r="G485" s="1">
        <v>5384784</v>
      </c>
    </row>
    <row r="486" spans="1:10" x14ac:dyDescent="0.25">
      <c r="A486" s="1" t="str">
        <f t="shared" si="7"/>
        <v>03 Testo+ EE2 64</v>
      </c>
      <c r="B4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6" s="1" t="s">
        <v>1214</v>
      </c>
      <c r="D486" s="1" t="s">
        <v>1215</v>
      </c>
      <c r="E486" s="1" t="s">
        <v>1216</v>
      </c>
      <c r="F486" s="1" t="s">
        <v>112</v>
      </c>
      <c r="G486" s="1">
        <v>4986642</v>
      </c>
    </row>
    <row r="487" spans="1:10" x14ac:dyDescent="0.25">
      <c r="A487" s="1" t="str">
        <f t="shared" si="7"/>
        <v>03 Testo+ EE2 64</v>
      </c>
      <c r="B4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7" s="1" t="s">
        <v>1217</v>
      </c>
      <c r="D487" s="1" t="s">
        <v>1218</v>
      </c>
      <c r="E487" s="1" t="s">
        <v>1219</v>
      </c>
      <c r="F487" s="1" t="s">
        <v>112</v>
      </c>
      <c r="G487" s="1">
        <v>4491837</v>
      </c>
    </row>
    <row r="488" spans="1:10" x14ac:dyDescent="0.25">
      <c r="A488" s="1" t="str">
        <f t="shared" si="7"/>
        <v/>
      </c>
      <c r="B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88" s="1" t="s">
        <v>112</v>
      </c>
    </row>
    <row r="489" spans="1:10" x14ac:dyDescent="0.25">
      <c r="A489" s="1" t="str">
        <f t="shared" si="7"/>
        <v/>
      </c>
      <c r="B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89" s="1" t="s">
        <v>229</v>
      </c>
      <c r="D489" s="1" t="s">
        <v>112</v>
      </c>
      <c r="E489" s="1" t="s">
        <v>230</v>
      </c>
      <c r="F489" s="1" t="s">
        <v>231</v>
      </c>
      <c r="G489" s="1" t="s">
        <v>232</v>
      </c>
      <c r="H489" s="1" t="s">
        <v>233</v>
      </c>
      <c r="I489" s="1" t="s">
        <v>234</v>
      </c>
      <c r="J489" s="1" t="s">
        <v>235</v>
      </c>
    </row>
    <row r="490" spans="1:10" x14ac:dyDescent="0.25">
      <c r="A490" s="1" t="str">
        <f t="shared" si="7"/>
        <v>03 Testo+ EE2 64</v>
      </c>
      <c r="B4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90" s="1" t="s">
        <v>1220</v>
      </c>
      <c r="D490" s="1" t="s">
        <v>112</v>
      </c>
      <c r="E490" s="1" t="s">
        <v>1221</v>
      </c>
      <c r="F490" s="1" t="s">
        <v>1222</v>
      </c>
      <c r="G490" s="1" t="s">
        <v>1223</v>
      </c>
      <c r="H490" s="1">
        <v>1541377</v>
      </c>
      <c r="I490" s="1">
        <v>24</v>
      </c>
      <c r="J490" s="1">
        <v>24</v>
      </c>
    </row>
    <row r="491" spans="1:10" x14ac:dyDescent="0.25">
      <c r="A491" s="1" t="str">
        <f t="shared" si="7"/>
        <v/>
      </c>
      <c r="B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1" s="1" t="s">
        <v>112</v>
      </c>
    </row>
    <row r="492" spans="1:10" x14ac:dyDescent="0.25">
      <c r="A492" s="1" t="str">
        <f t="shared" si="7"/>
        <v/>
      </c>
      <c r="B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2" s="1" t="s">
        <v>112</v>
      </c>
    </row>
    <row r="493" spans="1:10" x14ac:dyDescent="0.25">
      <c r="A493" s="1" t="str">
        <f t="shared" si="7"/>
        <v/>
      </c>
      <c r="B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3" s="1" t="s">
        <v>112</v>
      </c>
    </row>
    <row r="494" spans="1:10" x14ac:dyDescent="0.25">
      <c r="A494" s="1" t="str">
        <f t="shared" si="7"/>
        <v/>
      </c>
      <c r="B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4" s="1" t="s">
        <v>112</v>
      </c>
    </row>
    <row r="495" spans="1:10" x14ac:dyDescent="0.25">
      <c r="A495" s="1" t="str">
        <f t="shared" si="7"/>
        <v/>
      </c>
      <c r="B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5" s="1" t="s">
        <v>112</v>
      </c>
    </row>
    <row r="496" spans="1:10" x14ac:dyDescent="0.25">
      <c r="A496" s="1" t="str">
        <f t="shared" si="7"/>
        <v/>
      </c>
      <c r="B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6" s="1" t="s">
        <v>241</v>
      </c>
      <c r="D496" s="1" t="s">
        <v>110</v>
      </c>
      <c r="E496" s="1" t="s">
        <v>111</v>
      </c>
      <c r="F496" s="1" t="s">
        <v>112</v>
      </c>
      <c r="G496" s="1" t="s">
        <v>113</v>
      </c>
    </row>
    <row r="497" spans="1:7" x14ac:dyDescent="0.25">
      <c r="A497" s="1" t="str">
        <f t="shared" si="7"/>
        <v>04 Testo+ FAD</v>
      </c>
      <c r="B49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7" s="1" t="s">
        <v>1224</v>
      </c>
      <c r="D497" s="1" t="s">
        <v>243</v>
      </c>
      <c r="E497" s="1" t="s">
        <v>1225</v>
      </c>
      <c r="F497" s="1" t="s">
        <v>112</v>
      </c>
      <c r="G497" s="1">
        <v>76829</v>
      </c>
    </row>
    <row r="498" spans="1:7" x14ac:dyDescent="0.25">
      <c r="A498" s="1" t="str">
        <f t="shared" si="7"/>
        <v>04 Testo+ FAD</v>
      </c>
      <c r="B4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8" s="1" t="s">
        <v>1226</v>
      </c>
      <c r="D498" s="1" t="s">
        <v>1227</v>
      </c>
      <c r="E498" s="1" t="s">
        <v>1228</v>
      </c>
      <c r="F498" s="1" t="s">
        <v>112</v>
      </c>
      <c r="G498" s="1">
        <v>330743</v>
      </c>
    </row>
    <row r="499" spans="1:7" x14ac:dyDescent="0.25">
      <c r="A499" s="1" t="str">
        <f t="shared" si="7"/>
        <v>04 Testo+ FAD</v>
      </c>
      <c r="B4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9" s="1" t="s">
        <v>1229</v>
      </c>
      <c r="D499" s="1" t="s">
        <v>1230</v>
      </c>
      <c r="E499" s="1" t="s">
        <v>1231</v>
      </c>
      <c r="F499" s="1" t="s">
        <v>112</v>
      </c>
      <c r="G499" s="1">
        <v>162570</v>
      </c>
    </row>
    <row r="500" spans="1:7" x14ac:dyDescent="0.25">
      <c r="A500" s="1" t="str">
        <f t="shared" si="7"/>
        <v>04 Testo+ FAD</v>
      </c>
      <c r="B5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0" s="1" t="s">
        <v>1232</v>
      </c>
      <c r="D500" s="1" t="s">
        <v>1233</v>
      </c>
      <c r="E500" s="1" t="s">
        <v>1234</v>
      </c>
      <c r="F500" s="1" t="s">
        <v>112</v>
      </c>
      <c r="G500" s="1">
        <v>181215</v>
      </c>
    </row>
    <row r="501" spans="1:7" x14ac:dyDescent="0.25">
      <c r="A501" s="1" t="str">
        <f t="shared" si="7"/>
        <v>04 Testo+ FAD</v>
      </c>
      <c r="B5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1" s="1" t="s">
        <v>1235</v>
      </c>
      <c r="D501" s="1" t="s">
        <v>360</v>
      </c>
      <c r="E501" s="1" t="s">
        <v>420</v>
      </c>
      <c r="F501" s="1" t="s">
        <v>112</v>
      </c>
      <c r="G501" s="1">
        <v>43454</v>
      </c>
    </row>
    <row r="502" spans="1:7" x14ac:dyDescent="0.25">
      <c r="A502" s="1" t="str">
        <f t="shared" si="7"/>
        <v>04 Testo+ FAD</v>
      </c>
      <c r="B5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2" s="1" t="s">
        <v>1236</v>
      </c>
      <c r="D502" s="1" t="s">
        <v>1237</v>
      </c>
      <c r="E502" s="1" t="s">
        <v>1238</v>
      </c>
      <c r="F502" s="1" t="s">
        <v>112</v>
      </c>
      <c r="G502" s="1">
        <v>102115</v>
      </c>
    </row>
    <row r="503" spans="1:7" x14ac:dyDescent="0.25">
      <c r="A503" s="1" t="str">
        <f t="shared" si="7"/>
        <v>04 Testo+ FAD</v>
      </c>
      <c r="B5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3" s="1" t="s">
        <v>1239</v>
      </c>
      <c r="D503" s="1" t="s">
        <v>1240</v>
      </c>
      <c r="E503" s="1" t="s">
        <v>1241</v>
      </c>
      <c r="F503" s="1" t="s">
        <v>112</v>
      </c>
      <c r="G503" s="1">
        <v>106419</v>
      </c>
    </row>
    <row r="504" spans="1:7" x14ac:dyDescent="0.25">
      <c r="A504" s="1" t="str">
        <f t="shared" si="7"/>
        <v>04 Testo+ FAD</v>
      </c>
      <c r="B5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4" s="1" t="s">
        <v>1242</v>
      </c>
      <c r="D504" s="1" t="s">
        <v>742</v>
      </c>
      <c r="E504" s="1" t="s">
        <v>1243</v>
      </c>
      <c r="F504" s="1" t="s">
        <v>112</v>
      </c>
      <c r="G504" s="1">
        <v>158612</v>
      </c>
    </row>
    <row r="505" spans="1:7" x14ac:dyDescent="0.25">
      <c r="A505" s="1" t="str">
        <f t="shared" si="7"/>
        <v>04 Testo+ FAD</v>
      </c>
      <c r="B5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5" s="1" t="s">
        <v>1244</v>
      </c>
      <c r="D505" s="1" t="s">
        <v>335</v>
      </c>
      <c r="E505" s="1" t="s">
        <v>172</v>
      </c>
      <c r="F505" s="1" t="s">
        <v>112</v>
      </c>
      <c r="G505" s="1">
        <v>29849</v>
      </c>
    </row>
    <row r="506" spans="1:7" x14ac:dyDescent="0.25">
      <c r="A506" s="1" t="str">
        <f t="shared" si="7"/>
        <v>04 Testo+ FAD</v>
      </c>
      <c r="B5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6" s="1" t="s">
        <v>1245</v>
      </c>
      <c r="D506" s="1" t="s">
        <v>249</v>
      </c>
      <c r="E506" s="1" t="s">
        <v>734</v>
      </c>
      <c r="F506" s="1" t="s">
        <v>112</v>
      </c>
      <c r="G506" s="1">
        <v>49532</v>
      </c>
    </row>
    <row r="507" spans="1:7" x14ac:dyDescent="0.25">
      <c r="A507" s="1" t="str">
        <f t="shared" si="7"/>
        <v>04 Testo+ FAD</v>
      </c>
      <c r="B5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7" s="1" t="s">
        <v>1246</v>
      </c>
      <c r="D507" s="1" t="s">
        <v>1247</v>
      </c>
      <c r="E507" s="1" t="s">
        <v>1248</v>
      </c>
      <c r="F507" s="1" t="s">
        <v>112</v>
      </c>
      <c r="G507" s="1">
        <v>121430</v>
      </c>
    </row>
    <row r="508" spans="1:7" x14ac:dyDescent="0.25">
      <c r="A508" s="1" t="str">
        <f t="shared" si="7"/>
        <v>04 Testo+ FAD</v>
      </c>
      <c r="B5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8" s="1" t="s">
        <v>1249</v>
      </c>
      <c r="D508" s="1" t="s">
        <v>1250</v>
      </c>
      <c r="E508" s="1" t="s">
        <v>1251</v>
      </c>
      <c r="F508" s="1" t="s">
        <v>112</v>
      </c>
      <c r="G508" s="1">
        <v>71660</v>
      </c>
    </row>
    <row r="509" spans="1:7" x14ac:dyDescent="0.25">
      <c r="A509" s="1" t="str">
        <f t="shared" si="7"/>
        <v>04 Testo+ FAD</v>
      </c>
      <c r="B5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09" s="1" t="s">
        <v>1252</v>
      </c>
    </row>
    <row r="510" spans="1:7" x14ac:dyDescent="0.25">
      <c r="A510" s="1" t="str">
        <f t="shared" si="7"/>
        <v>04 Testo+ FAD</v>
      </c>
      <c r="B5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10" s="1" t="s">
        <v>1253</v>
      </c>
    </row>
    <row r="511" spans="1:7" x14ac:dyDescent="0.25">
      <c r="A511" s="1" t="str">
        <f t="shared" si="7"/>
        <v>04 Testo+ FAD</v>
      </c>
      <c r="B5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11" s="1" t="s">
        <v>1254</v>
      </c>
    </row>
    <row r="512" spans="1:7" x14ac:dyDescent="0.25">
      <c r="A512" s="1" t="str">
        <f t="shared" si="7"/>
        <v>04 Testo+ FAD</v>
      </c>
      <c r="B5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2" s="1" t="s">
        <v>1255</v>
      </c>
      <c r="D512" s="1" t="s">
        <v>1256</v>
      </c>
      <c r="E512" s="1" t="s">
        <v>1257</v>
      </c>
      <c r="F512" s="1" t="s">
        <v>112</v>
      </c>
      <c r="G512" s="1">
        <v>392777</v>
      </c>
    </row>
    <row r="513" spans="1:10" x14ac:dyDescent="0.25">
      <c r="A513" s="1" t="str">
        <f t="shared" si="7"/>
        <v>04 Testo+ FAD</v>
      </c>
      <c r="B5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3" s="1" t="s">
        <v>1258</v>
      </c>
      <c r="D513" s="1" t="s">
        <v>321</v>
      </c>
      <c r="E513" s="1" t="s">
        <v>1259</v>
      </c>
      <c r="F513" s="1" t="s">
        <v>112</v>
      </c>
      <c r="G513" s="1">
        <v>47564</v>
      </c>
    </row>
    <row r="514" spans="1:10" x14ac:dyDescent="0.25">
      <c r="A514" s="1" t="str">
        <f t="shared" ref="A514:A577" si="8">IFERROR(LEFT(RIGHT(C514,LEN(C514)-SEARCH("@",C514)),SEARCH("/",RIGHT(C514,LEN(C514)-SEARCH("@",C514)-1))),"")</f>
        <v>04 Testo+ FAD</v>
      </c>
      <c r="B5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4" s="1" t="s">
        <v>1260</v>
      </c>
      <c r="D514" s="1" t="s">
        <v>687</v>
      </c>
      <c r="E514" s="1" t="s">
        <v>1261</v>
      </c>
      <c r="F514" s="1" t="s">
        <v>112</v>
      </c>
      <c r="G514" s="1">
        <v>178555</v>
      </c>
    </row>
    <row r="515" spans="1:10" x14ac:dyDescent="0.25">
      <c r="A515" s="1" t="str">
        <f t="shared" si="8"/>
        <v>04 Testo+ FAD</v>
      </c>
      <c r="B5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5" s="1" t="s">
        <v>1262</v>
      </c>
      <c r="D515" s="1" t="s">
        <v>1263</v>
      </c>
      <c r="E515" s="1" t="s">
        <v>1264</v>
      </c>
      <c r="F515" s="1" t="s">
        <v>112</v>
      </c>
      <c r="G515" s="1">
        <v>183832</v>
      </c>
    </row>
    <row r="516" spans="1:10" x14ac:dyDescent="0.25">
      <c r="A516" s="1" t="str">
        <f t="shared" si="8"/>
        <v>04 Testo+ FAD</v>
      </c>
      <c r="B5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6" s="1" t="s">
        <v>1265</v>
      </c>
      <c r="D516" s="1" t="s">
        <v>1266</v>
      </c>
      <c r="E516" s="1" t="s">
        <v>336</v>
      </c>
      <c r="F516" s="1" t="s">
        <v>112</v>
      </c>
      <c r="G516" s="1">
        <v>106744</v>
      </c>
    </row>
    <row r="517" spans="1:10" x14ac:dyDescent="0.25">
      <c r="A517" s="1" t="str">
        <f t="shared" si="8"/>
        <v>04 Testo+ FAD</v>
      </c>
      <c r="B5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7" s="1" t="s">
        <v>1267</v>
      </c>
      <c r="D517" s="1" t="s">
        <v>1268</v>
      </c>
      <c r="E517" s="1" t="s">
        <v>1269</v>
      </c>
      <c r="F517" s="1" t="s">
        <v>112</v>
      </c>
      <c r="G517" s="1">
        <v>58271</v>
      </c>
    </row>
    <row r="518" spans="1:10" x14ac:dyDescent="0.25">
      <c r="A518" s="1" t="str">
        <f t="shared" si="8"/>
        <v>04 Testo+ FAD</v>
      </c>
      <c r="B5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18" s="1" t="s">
        <v>1270</v>
      </c>
      <c r="D518" s="1" t="s">
        <v>487</v>
      </c>
      <c r="E518" s="1" t="s">
        <v>1271</v>
      </c>
      <c r="F518" s="1" t="s">
        <v>112</v>
      </c>
      <c r="G518" s="1">
        <v>409540</v>
      </c>
    </row>
    <row r="519" spans="1:10" x14ac:dyDescent="0.25">
      <c r="A519" s="1" t="str">
        <f t="shared" si="8"/>
        <v>04 Testo+ FAD</v>
      </c>
      <c r="B5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19" s="1" t="s">
        <v>1272</v>
      </c>
      <c r="D519" s="1" t="s">
        <v>1273</v>
      </c>
      <c r="E519" s="1" t="s">
        <v>1274</v>
      </c>
      <c r="F519" s="1" t="s">
        <v>112</v>
      </c>
      <c r="G519" s="1">
        <v>362517</v>
      </c>
    </row>
    <row r="520" spans="1:10" x14ac:dyDescent="0.25">
      <c r="A520" s="1" t="str">
        <f t="shared" si="8"/>
        <v>04 Testo+ FAD</v>
      </c>
      <c r="B5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20" s="1" t="s">
        <v>1275</v>
      </c>
      <c r="D520" s="1" t="s">
        <v>1276</v>
      </c>
      <c r="E520" s="1" t="s">
        <v>1277</v>
      </c>
      <c r="F520" s="1" t="s">
        <v>112</v>
      </c>
      <c r="G520" s="1">
        <v>189759</v>
      </c>
    </row>
    <row r="521" spans="1:10" x14ac:dyDescent="0.25">
      <c r="A521" s="1" t="str">
        <f t="shared" si="8"/>
        <v/>
      </c>
      <c r="B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1" s="1" t="s">
        <v>112</v>
      </c>
    </row>
    <row r="522" spans="1:10" x14ac:dyDescent="0.25">
      <c r="A522" s="1" t="str">
        <f t="shared" si="8"/>
        <v/>
      </c>
      <c r="B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2" s="1" t="s">
        <v>229</v>
      </c>
      <c r="D522" s="1" t="s">
        <v>112</v>
      </c>
      <c r="E522" s="1" t="s">
        <v>230</v>
      </c>
      <c r="F522" s="1" t="s">
        <v>231</v>
      </c>
      <c r="G522" s="1" t="s">
        <v>232</v>
      </c>
      <c r="H522" s="1" t="s">
        <v>233</v>
      </c>
      <c r="I522" s="1" t="s">
        <v>234</v>
      </c>
      <c r="J522" s="1" t="s">
        <v>235</v>
      </c>
    </row>
    <row r="523" spans="1:10" x14ac:dyDescent="0.25">
      <c r="A523" s="1" t="str">
        <f t="shared" si="8"/>
        <v>04 Testo+ FAD</v>
      </c>
      <c r="B5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23" s="1" t="s">
        <v>1278</v>
      </c>
      <c r="D523" s="1" t="s">
        <v>112</v>
      </c>
      <c r="E523" s="1" t="s">
        <v>1279</v>
      </c>
      <c r="F523" s="1" t="s">
        <v>1280</v>
      </c>
      <c r="G523" s="1" t="s">
        <v>1281</v>
      </c>
      <c r="H523" s="1" t="s">
        <v>1282</v>
      </c>
      <c r="I523" s="1">
        <v>24</v>
      </c>
      <c r="J523" s="1">
        <v>24</v>
      </c>
    </row>
    <row r="524" spans="1:10" x14ac:dyDescent="0.25">
      <c r="A524" s="1" t="str">
        <f t="shared" si="8"/>
        <v/>
      </c>
      <c r="B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4" s="1" t="s">
        <v>112</v>
      </c>
    </row>
    <row r="525" spans="1:10" x14ac:dyDescent="0.25">
      <c r="A525" s="1" t="str">
        <f t="shared" si="8"/>
        <v/>
      </c>
      <c r="B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5" s="1" t="s">
        <v>112</v>
      </c>
    </row>
    <row r="526" spans="1:10" x14ac:dyDescent="0.25">
      <c r="A526" s="1" t="str">
        <f t="shared" si="8"/>
        <v/>
      </c>
      <c r="B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6" s="1" t="s">
        <v>112</v>
      </c>
    </row>
    <row r="527" spans="1:10" x14ac:dyDescent="0.25">
      <c r="A527" s="1" t="str">
        <f t="shared" si="8"/>
        <v/>
      </c>
      <c r="B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7" s="1" t="s">
        <v>112</v>
      </c>
    </row>
    <row r="528" spans="1:10" x14ac:dyDescent="0.25">
      <c r="A528" s="1" t="str">
        <f t="shared" si="8"/>
        <v/>
      </c>
      <c r="B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8" s="1" t="s">
        <v>112</v>
      </c>
    </row>
    <row r="529" spans="1:7" x14ac:dyDescent="0.25">
      <c r="A529" s="1" t="str">
        <f t="shared" si="8"/>
        <v/>
      </c>
      <c r="B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9" s="1" t="s">
        <v>241</v>
      </c>
      <c r="D529" s="1" t="s">
        <v>110</v>
      </c>
      <c r="E529" s="1" t="s">
        <v>111</v>
      </c>
      <c r="F529" s="1" t="s">
        <v>112</v>
      </c>
      <c r="G529" s="1" t="s">
        <v>113</v>
      </c>
    </row>
    <row r="530" spans="1:7" x14ac:dyDescent="0.25">
      <c r="A530" s="1" t="str">
        <f t="shared" si="8"/>
        <v>05 Testosterone 3.7 µg_L dopé</v>
      </c>
      <c r="B53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0" s="1" t="s">
        <v>1283</v>
      </c>
      <c r="D530" s="1" t="s">
        <v>1284</v>
      </c>
      <c r="E530" s="1" t="s">
        <v>1285</v>
      </c>
      <c r="F530" s="1" t="s">
        <v>112</v>
      </c>
      <c r="G530" s="1">
        <v>4143141</v>
      </c>
    </row>
    <row r="531" spans="1:7" x14ac:dyDescent="0.25">
      <c r="A531" s="1" t="str">
        <f t="shared" si="8"/>
        <v>05 Testosterone 3.7 µg_L dopé</v>
      </c>
      <c r="B5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1" s="1" t="s">
        <v>1286</v>
      </c>
      <c r="D531" s="1" t="s">
        <v>1287</v>
      </c>
      <c r="E531" s="1" t="s">
        <v>1288</v>
      </c>
      <c r="F531" s="1" t="s">
        <v>112</v>
      </c>
      <c r="G531" s="1">
        <v>4298942</v>
      </c>
    </row>
    <row r="532" spans="1:7" x14ac:dyDescent="0.25">
      <c r="A532" s="1" t="str">
        <f t="shared" si="8"/>
        <v>05 Testosterone 3.7 µg_L dopé</v>
      </c>
      <c r="B5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2" s="1" t="s">
        <v>1289</v>
      </c>
      <c r="D532" s="1" t="s">
        <v>1290</v>
      </c>
      <c r="E532" s="1" t="s">
        <v>1291</v>
      </c>
      <c r="F532" s="1" t="s">
        <v>112</v>
      </c>
      <c r="G532" s="1">
        <v>3988661</v>
      </c>
    </row>
    <row r="533" spans="1:7" x14ac:dyDescent="0.25">
      <c r="A533" s="1" t="str">
        <f t="shared" si="8"/>
        <v>05 Testosterone 3.7 µg_L dopé</v>
      </c>
      <c r="B5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3" s="1" t="s">
        <v>1292</v>
      </c>
      <c r="D533" s="1" t="s">
        <v>1293</v>
      </c>
      <c r="E533" s="1" t="s">
        <v>1294</v>
      </c>
      <c r="F533" s="1" t="s">
        <v>112</v>
      </c>
      <c r="G533" s="1">
        <v>1465252</v>
      </c>
    </row>
    <row r="534" spans="1:7" x14ac:dyDescent="0.25">
      <c r="A534" s="1" t="str">
        <f t="shared" si="8"/>
        <v>05 Testosterone 3.7 µg_L dopé</v>
      </c>
      <c r="B5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4" s="1" t="s">
        <v>1295</v>
      </c>
      <c r="D534" s="1" t="s">
        <v>1296</v>
      </c>
      <c r="E534" s="1" t="s">
        <v>1297</v>
      </c>
      <c r="F534" s="1" t="s">
        <v>112</v>
      </c>
      <c r="G534" s="1">
        <v>1981320</v>
      </c>
    </row>
    <row r="535" spans="1:7" x14ac:dyDescent="0.25">
      <c r="A535" s="1" t="str">
        <f t="shared" si="8"/>
        <v>05 Testosterone 3.7 µg_L dopé</v>
      </c>
      <c r="B5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5" s="1" t="s">
        <v>1298</v>
      </c>
      <c r="D535" s="1" t="s">
        <v>1299</v>
      </c>
      <c r="E535" s="1" t="s">
        <v>1300</v>
      </c>
      <c r="F535" s="1" t="s">
        <v>112</v>
      </c>
      <c r="G535" s="1">
        <v>1355178</v>
      </c>
    </row>
    <row r="536" spans="1:7" x14ac:dyDescent="0.25">
      <c r="A536" s="1" t="str">
        <f t="shared" si="8"/>
        <v>05 Testosterone 3.7 µg_L dopé</v>
      </c>
      <c r="B5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6" s="1" t="s">
        <v>1301</v>
      </c>
      <c r="D536" s="1" t="s">
        <v>1302</v>
      </c>
      <c r="E536" s="1" t="s">
        <v>1303</v>
      </c>
      <c r="F536" s="1" t="s">
        <v>112</v>
      </c>
      <c r="G536" s="1">
        <v>2211029</v>
      </c>
    </row>
    <row r="537" spans="1:7" x14ac:dyDescent="0.25">
      <c r="A537" s="1" t="str">
        <f t="shared" si="8"/>
        <v>05 Testosterone 3.7 µg_L dopé</v>
      </c>
      <c r="B5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7" s="1" t="s">
        <v>1304</v>
      </c>
      <c r="D537" s="1" t="s">
        <v>1305</v>
      </c>
      <c r="E537" s="1" t="s">
        <v>1306</v>
      </c>
      <c r="F537" s="1" t="s">
        <v>112</v>
      </c>
      <c r="G537" s="1">
        <v>2577591</v>
      </c>
    </row>
    <row r="538" spans="1:7" x14ac:dyDescent="0.25">
      <c r="A538" s="1" t="str">
        <f t="shared" si="8"/>
        <v>05 Testosterone 3.7 µg_L dopé</v>
      </c>
      <c r="B5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8" s="1" t="s">
        <v>1307</v>
      </c>
      <c r="D538" s="1" t="s">
        <v>1308</v>
      </c>
      <c r="E538" s="1" t="s">
        <v>1309</v>
      </c>
      <c r="F538" s="1" t="s">
        <v>112</v>
      </c>
      <c r="G538" s="1">
        <v>2445108</v>
      </c>
    </row>
    <row r="539" spans="1:7" x14ac:dyDescent="0.25">
      <c r="A539" s="1" t="str">
        <f t="shared" si="8"/>
        <v>05 Testosterone 3.7 µg_L dopé</v>
      </c>
      <c r="B5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39" s="1" t="s">
        <v>1310</v>
      </c>
      <c r="D539" s="1" t="s">
        <v>1311</v>
      </c>
      <c r="E539" s="1" t="s">
        <v>1312</v>
      </c>
      <c r="F539" s="1" t="s">
        <v>112</v>
      </c>
      <c r="G539" s="1">
        <v>1592912</v>
      </c>
    </row>
    <row r="540" spans="1:7" x14ac:dyDescent="0.25">
      <c r="A540" s="1" t="str">
        <f t="shared" si="8"/>
        <v>05 Testosterone 3.7 µg_L dopé</v>
      </c>
      <c r="B5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40" s="1" t="s">
        <v>1313</v>
      </c>
      <c r="D540" s="1" t="s">
        <v>1314</v>
      </c>
      <c r="E540" s="1" t="s">
        <v>1315</v>
      </c>
      <c r="F540" s="1" t="s">
        <v>112</v>
      </c>
      <c r="G540" s="1">
        <v>1486168</v>
      </c>
    </row>
    <row r="541" spans="1:7" x14ac:dyDescent="0.25">
      <c r="A541" s="1" t="str">
        <f t="shared" si="8"/>
        <v>05 Testosterone 3.7 µg_L dopé</v>
      </c>
      <c r="B5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41" s="1" t="s">
        <v>1316</v>
      </c>
      <c r="D541" s="1" t="s">
        <v>1317</v>
      </c>
      <c r="E541" s="1" t="s">
        <v>1318</v>
      </c>
      <c r="F541" s="1" t="s">
        <v>112</v>
      </c>
      <c r="G541" s="1">
        <v>1441654</v>
      </c>
    </row>
    <row r="542" spans="1:7" x14ac:dyDescent="0.25">
      <c r="A542" s="1" t="str">
        <f t="shared" si="8"/>
        <v>05 Testosterone 3.7 µg_L dopé</v>
      </c>
      <c r="B5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2" s="1" t="s">
        <v>1319</v>
      </c>
      <c r="D542" s="1" t="s">
        <v>1320</v>
      </c>
      <c r="E542" s="1" t="s">
        <v>1321</v>
      </c>
      <c r="F542" s="1" t="s">
        <v>112</v>
      </c>
      <c r="G542" s="1">
        <v>4495882</v>
      </c>
    </row>
    <row r="543" spans="1:7" x14ac:dyDescent="0.25">
      <c r="A543" s="1" t="str">
        <f t="shared" si="8"/>
        <v>05 Testosterone 3.7 µg_L dopé</v>
      </c>
      <c r="B5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3" s="1" t="s">
        <v>1322</v>
      </c>
      <c r="D543" s="1" t="s">
        <v>1323</v>
      </c>
      <c r="E543" s="1" t="s">
        <v>1324</v>
      </c>
      <c r="F543" s="1" t="s">
        <v>112</v>
      </c>
      <c r="G543" s="1">
        <v>4436875</v>
      </c>
    </row>
    <row r="544" spans="1:7" x14ac:dyDescent="0.25">
      <c r="A544" s="1" t="str">
        <f t="shared" si="8"/>
        <v>05 Testosterone 3.7 µg_L dopé</v>
      </c>
      <c r="B5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4" s="1" t="s">
        <v>1325</v>
      </c>
      <c r="D544" s="1" t="s">
        <v>1326</v>
      </c>
      <c r="E544" s="1" t="s">
        <v>1327</v>
      </c>
      <c r="F544" s="1" t="s">
        <v>112</v>
      </c>
      <c r="G544" s="1">
        <v>4098627</v>
      </c>
    </row>
    <row r="545" spans="1:10" x14ac:dyDescent="0.25">
      <c r="A545" s="1" t="str">
        <f t="shared" si="8"/>
        <v>05 Testosterone 3.7 µg_L dopé</v>
      </c>
      <c r="B5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5" s="1" t="s">
        <v>1328</v>
      </c>
      <c r="D545" s="1" t="s">
        <v>1329</v>
      </c>
      <c r="E545" s="1" t="s">
        <v>1330</v>
      </c>
      <c r="F545" s="1" t="s">
        <v>112</v>
      </c>
      <c r="G545" s="1">
        <v>3001407</v>
      </c>
    </row>
    <row r="546" spans="1:10" x14ac:dyDescent="0.25">
      <c r="A546" s="1" t="str">
        <f t="shared" si="8"/>
        <v>05 Testosterone 3.7 µg_L dopé</v>
      </c>
      <c r="B5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6" s="1" t="s">
        <v>1331</v>
      </c>
      <c r="D546" s="1" t="s">
        <v>1332</v>
      </c>
      <c r="E546" s="1" t="s">
        <v>1333</v>
      </c>
      <c r="F546" s="1" t="s">
        <v>112</v>
      </c>
      <c r="G546" s="1">
        <v>2873207</v>
      </c>
    </row>
    <row r="547" spans="1:10" x14ac:dyDescent="0.25">
      <c r="A547" s="1" t="str">
        <f t="shared" si="8"/>
        <v>05 Testosterone 3.7 µg_L dopé</v>
      </c>
      <c r="B5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7" s="1" t="s">
        <v>1334</v>
      </c>
      <c r="D547" s="1" t="s">
        <v>1335</v>
      </c>
      <c r="E547" s="1" t="s">
        <v>1336</v>
      </c>
      <c r="F547" s="1" t="s">
        <v>112</v>
      </c>
      <c r="G547" s="1">
        <v>1894952</v>
      </c>
    </row>
    <row r="548" spans="1:10" x14ac:dyDescent="0.25">
      <c r="A548" s="1" t="str">
        <f t="shared" si="8"/>
        <v>05 Testosterone 3.7 µg_L dopé</v>
      </c>
      <c r="B5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8" s="1" t="s">
        <v>1337</v>
      </c>
      <c r="D548" s="1" t="s">
        <v>1338</v>
      </c>
      <c r="E548" s="1" t="s">
        <v>1339</v>
      </c>
      <c r="F548" s="1" t="s">
        <v>112</v>
      </c>
      <c r="G548" s="1">
        <v>3250735</v>
      </c>
    </row>
    <row r="549" spans="1:10" x14ac:dyDescent="0.25">
      <c r="A549" s="1" t="str">
        <f t="shared" si="8"/>
        <v>05 Testosterone 3.7 µg_L dopé</v>
      </c>
      <c r="B5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9" s="1" t="s">
        <v>1340</v>
      </c>
      <c r="D549" s="1" t="s">
        <v>1341</v>
      </c>
      <c r="E549" s="1" t="s">
        <v>1342</v>
      </c>
      <c r="F549" s="1" t="s">
        <v>112</v>
      </c>
      <c r="G549" s="1">
        <v>2804251</v>
      </c>
    </row>
    <row r="550" spans="1:10" x14ac:dyDescent="0.25">
      <c r="A550" s="1" t="str">
        <f t="shared" si="8"/>
        <v>05 Testosterone 3.7 µg_L dopé</v>
      </c>
      <c r="B5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50" s="1" t="s">
        <v>1343</v>
      </c>
      <c r="D550" s="1" t="s">
        <v>1344</v>
      </c>
      <c r="E550" s="1" t="s">
        <v>1345</v>
      </c>
      <c r="F550" s="1" t="s">
        <v>112</v>
      </c>
      <c r="G550" s="1">
        <v>2565219</v>
      </c>
    </row>
    <row r="551" spans="1:10" x14ac:dyDescent="0.25">
      <c r="A551" s="1" t="str">
        <f t="shared" si="8"/>
        <v>05 Testosterone 3.7 µg_L dopé</v>
      </c>
      <c r="B5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1" s="1" t="s">
        <v>1346</v>
      </c>
      <c r="D551" s="1" t="s">
        <v>1347</v>
      </c>
      <c r="E551" s="1" t="s">
        <v>1348</v>
      </c>
      <c r="F551" s="1" t="s">
        <v>112</v>
      </c>
      <c r="G551" s="1">
        <v>1642726</v>
      </c>
    </row>
    <row r="552" spans="1:10" x14ac:dyDescent="0.25">
      <c r="A552" s="1" t="str">
        <f t="shared" si="8"/>
        <v>05 Testosterone 3.7 µg_L dopé</v>
      </c>
      <c r="B5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2" s="1" t="s">
        <v>1349</v>
      </c>
      <c r="D552" s="1" t="s">
        <v>1350</v>
      </c>
      <c r="E552" s="1" t="s">
        <v>1351</v>
      </c>
      <c r="F552" s="1" t="s">
        <v>112</v>
      </c>
      <c r="G552" s="1">
        <v>2159983</v>
      </c>
    </row>
    <row r="553" spans="1:10" x14ac:dyDescent="0.25">
      <c r="A553" s="1" t="str">
        <f t="shared" si="8"/>
        <v>05 Testosterone 3.7 µg_L dopé</v>
      </c>
      <c r="B5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3" s="1" t="s">
        <v>1352</v>
      </c>
      <c r="D553" s="1" t="s">
        <v>1353</v>
      </c>
      <c r="E553" s="1" t="s">
        <v>1354</v>
      </c>
      <c r="F553" s="1" t="s">
        <v>112</v>
      </c>
      <c r="G553" s="1">
        <v>1934599</v>
      </c>
    </row>
    <row r="554" spans="1:10" x14ac:dyDescent="0.25">
      <c r="A554" s="1" t="str">
        <f t="shared" si="8"/>
        <v/>
      </c>
      <c r="B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4" s="1" t="s">
        <v>112</v>
      </c>
    </row>
    <row r="555" spans="1:10" x14ac:dyDescent="0.25">
      <c r="A555" s="1" t="str">
        <f t="shared" si="8"/>
        <v/>
      </c>
      <c r="B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5" s="1" t="s">
        <v>229</v>
      </c>
      <c r="D555" s="1" t="s">
        <v>112</v>
      </c>
      <c r="E555" s="1" t="s">
        <v>230</v>
      </c>
      <c r="F555" s="1" t="s">
        <v>231</v>
      </c>
      <c r="G555" s="1" t="s">
        <v>232</v>
      </c>
      <c r="H555" s="1" t="s">
        <v>233</v>
      </c>
      <c r="I555" s="1" t="s">
        <v>234</v>
      </c>
      <c r="J555" s="1" t="s">
        <v>235</v>
      </c>
    </row>
    <row r="556" spans="1:10" x14ac:dyDescent="0.25">
      <c r="A556" s="1" t="str">
        <f t="shared" si="8"/>
        <v>05 Testosterone 3.7 µg_L dopé</v>
      </c>
      <c r="B5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56" s="1" t="s">
        <v>1355</v>
      </c>
      <c r="D556" s="1" t="s">
        <v>112</v>
      </c>
      <c r="E556" s="1" t="s">
        <v>1356</v>
      </c>
      <c r="F556" s="1" t="s">
        <v>1357</v>
      </c>
      <c r="G556" s="1" t="s">
        <v>1358</v>
      </c>
      <c r="H556" s="1" t="s">
        <v>1359</v>
      </c>
      <c r="I556" s="1">
        <v>24</v>
      </c>
      <c r="J556" s="1">
        <v>24</v>
      </c>
    </row>
    <row r="557" spans="1:10" x14ac:dyDescent="0.25">
      <c r="A557" s="1" t="str">
        <f t="shared" si="8"/>
        <v/>
      </c>
      <c r="B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7" s="1" t="s">
        <v>112</v>
      </c>
    </row>
    <row r="558" spans="1:10" x14ac:dyDescent="0.25">
      <c r="A558" s="1" t="str">
        <f t="shared" si="8"/>
        <v/>
      </c>
      <c r="B5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8" s="1" t="s">
        <v>112</v>
      </c>
    </row>
    <row r="559" spans="1:10" x14ac:dyDescent="0.25">
      <c r="A559" s="1" t="str">
        <f t="shared" si="8"/>
        <v/>
      </c>
      <c r="B5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9" s="1" t="s">
        <v>112</v>
      </c>
    </row>
    <row r="560" spans="1:10" x14ac:dyDescent="0.25">
      <c r="A560" s="1" t="str">
        <f t="shared" si="8"/>
        <v/>
      </c>
      <c r="B5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0" s="1" t="s">
        <v>112</v>
      </c>
    </row>
    <row r="561" spans="1:7" x14ac:dyDescent="0.25">
      <c r="A561" s="1" t="str">
        <f t="shared" si="8"/>
        <v/>
      </c>
      <c r="B5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1" s="1" t="s">
        <v>112</v>
      </c>
    </row>
    <row r="562" spans="1:7" x14ac:dyDescent="0.25">
      <c r="A562" s="1" t="str">
        <f t="shared" si="8"/>
        <v/>
      </c>
      <c r="B5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2" s="1" t="s">
        <v>241</v>
      </c>
      <c r="D562" s="1" t="s">
        <v>110</v>
      </c>
      <c r="E562" s="1" t="s">
        <v>111</v>
      </c>
      <c r="F562" s="1" t="s">
        <v>112</v>
      </c>
      <c r="G562" s="1" t="s">
        <v>113</v>
      </c>
    </row>
    <row r="563" spans="1:7" x14ac:dyDescent="0.25">
      <c r="A563" s="1" t="str">
        <f t="shared" si="8"/>
        <v>06  Testosterone 11 µg_Ldopé</v>
      </c>
      <c r="B56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3" s="1" t="s">
        <v>1360</v>
      </c>
      <c r="D563" s="1" t="s">
        <v>1361</v>
      </c>
      <c r="E563" s="1" t="s">
        <v>1362</v>
      </c>
      <c r="F563" s="1" t="s">
        <v>112</v>
      </c>
      <c r="G563" s="1">
        <v>4335756</v>
      </c>
    </row>
    <row r="564" spans="1:7" x14ac:dyDescent="0.25">
      <c r="A564" s="1" t="str">
        <f t="shared" si="8"/>
        <v>06  Testosterone 11 µg_Ldopé</v>
      </c>
      <c r="B5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4" s="1" t="s">
        <v>1363</v>
      </c>
      <c r="D564" s="1" t="s">
        <v>1364</v>
      </c>
      <c r="E564" s="1" t="s">
        <v>1365</v>
      </c>
      <c r="F564" s="1" t="s">
        <v>112</v>
      </c>
      <c r="G564" s="1">
        <v>4710212</v>
      </c>
    </row>
    <row r="565" spans="1:7" x14ac:dyDescent="0.25">
      <c r="A565" s="1" t="str">
        <f t="shared" si="8"/>
        <v>06  Testosterone 11 µg_Ldopé</v>
      </c>
      <c r="B5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5" s="1" t="s">
        <v>1366</v>
      </c>
      <c r="D565" s="1" t="s">
        <v>1160</v>
      </c>
      <c r="E565" s="1" t="s">
        <v>1367</v>
      </c>
      <c r="F565" s="1" t="s">
        <v>112</v>
      </c>
      <c r="G565" s="1">
        <v>4664984</v>
      </c>
    </row>
    <row r="566" spans="1:7" x14ac:dyDescent="0.25">
      <c r="A566" s="1" t="str">
        <f t="shared" si="8"/>
        <v>06  Testosterone 11 µg_Ldopé</v>
      </c>
      <c r="B5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6" s="1" t="s">
        <v>1368</v>
      </c>
      <c r="D566" s="1" t="s">
        <v>1369</v>
      </c>
      <c r="E566" s="1" t="s">
        <v>1370</v>
      </c>
      <c r="F566" s="1" t="s">
        <v>112</v>
      </c>
      <c r="G566" s="1">
        <v>4190533</v>
      </c>
    </row>
    <row r="567" spans="1:7" x14ac:dyDescent="0.25">
      <c r="A567" s="1" t="str">
        <f t="shared" si="8"/>
        <v>06  Testosterone 11 µg_Ldopé</v>
      </c>
      <c r="B5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7" s="1" t="s">
        <v>1371</v>
      </c>
      <c r="D567" s="1" t="s">
        <v>1372</v>
      </c>
      <c r="E567" s="1" t="s">
        <v>1373</v>
      </c>
      <c r="F567" s="1" t="s">
        <v>112</v>
      </c>
      <c r="G567" s="1">
        <v>3970059</v>
      </c>
    </row>
    <row r="568" spans="1:7" x14ac:dyDescent="0.25">
      <c r="A568" s="1" t="str">
        <f t="shared" si="8"/>
        <v>06  Testosterone 11 µg_Ldopé</v>
      </c>
      <c r="B5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8" s="1" t="s">
        <v>1374</v>
      </c>
      <c r="D568" s="1" t="s">
        <v>966</v>
      </c>
      <c r="E568" s="1" t="s">
        <v>1375</v>
      </c>
      <c r="F568" s="1" t="s">
        <v>112</v>
      </c>
      <c r="G568" s="1">
        <v>4551492</v>
      </c>
    </row>
    <row r="569" spans="1:7" x14ac:dyDescent="0.25">
      <c r="A569" s="1" t="str">
        <f t="shared" si="8"/>
        <v>06  Testosterone 11 µg_Ldopé</v>
      </c>
      <c r="B5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69" s="1" t="s">
        <v>1376</v>
      </c>
      <c r="D569" s="1" t="s">
        <v>1377</v>
      </c>
      <c r="E569" s="1" t="s">
        <v>1378</v>
      </c>
      <c r="F569" s="1" t="s">
        <v>112</v>
      </c>
      <c r="G569" s="1">
        <v>1160249</v>
      </c>
    </row>
    <row r="570" spans="1:7" x14ac:dyDescent="0.25">
      <c r="A570" s="1" t="str">
        <f t="shared" si="8"/>
        <v>06  Testosterone 11 µg_Ldopé</v>
      </c>
      <c r="B5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70" s="1" t="s">
        <v>1379</v>
      </c>
      <c r="D570" s="1" t="s">
        <v>1380</v>
      </c>
      <c r="E570" s="1" t="s">
        <v>1381</v>
      </c>
      <c r="F570" s="1" t="s">
        <v>112</v>
      </c>
      <c r="G570" s="1">
        <v>1565161</v>
      </c>
    </row>
    <row r="571" spans="1:7" x14ac:dyDescent="0.25">
      <c r="A571" s="1" t="str">
        <f t="shared" si="8"/>
        <v>06  Testosterone 11 µg_Ldopé</v>
      </c>
      <c r="B5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71" s="1" t="s">
        <v>1382</v>
      </c>
      <c r="D571" s="1" t="s">
        <v>1383</v>
      </c>
      <c r="E571" s="1" t="s">
        <v>1384</v>
      </c>
      <c r="F571" s="1" t="s">
        <v>112</v>
      </c>
      <c r="G571" s="1">
        <v>1418424</v>
      </c>
    </row>
    <row r="572" spans="1:7" x14ac:dyDescent="0.25">
      <c r="A572" s="1" t="str">
        <f t="shared" si="8"/>
        <v>06  Testosterone 11 µg_Ldopé</v>
      </c>
      <c r="B5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2" s="1" t="s">
        <v>1385</v>
      </c>
      <c r="D572" s="1" t="s">
        <v>1386</v>
      </c>
      <c r="E572" s="1" t="s">
        <v>1387</v>
      </c>
      <c r="F572" s="1" t="s">
        <v>112</v>
      </c>
      <c r="G572" s="1">
        <v>1796795</v>
      </c>
    </row>
    <row r="573" spans="1:7" x14ac:dyDescent="0.25">
      <c r="A573" s="1" t="str">
        <f t="shared" si="8"/>
        <v>06  Testosterone 11 µg_Ldopé</v>
      </c>
      <c r="B5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3" s="1" t="s">
        <v>1388</v>
      </c>
      <c r="D573" s="1" t="s">
        <v>1389</v>
      </c>
      <c r="E573" s="1" t="s">
        <v>1390</v>
      </c>
      <c r="F573" s="1" t="s">
        <v>112</v>
      </c>
      <c r="G573" s="1">
        <v>1816241</v>
      </c>
    </row>
    <row r="574" spans="1:7" x14ac:dyDescent="0.25">
      <c r="A574" s="1" t="str">
        <f t="shared" si="8"/>
        <v>06  Testosterone 11 µg_Ldopé</v>
      </c>
      <c r="B5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4" s="1" t="s">
        <v>1391</v>
      </c>
      <c r="D574" s="1" t="s">
        <v>1392</v>
      </c>
      <c r="E574" s="1" t="s">
        <v>1393</v>
      </c>
      <c r="F574" s="1" t="s">
        <v>112</v>
      </c>
      <c r="G574" s="1">
        <v>1872997</v>
      </c>
    </row>
    <row r="575" spans="1:7" x14ac:dyDescent="0.25">
      <c r="A575" s="1" t="str">
        <f t="shared" si="8"/>
        <v>06  Testosterone 11 µg_Ldopé</v>
      </c>
      <c r="B5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5" s="1" t="s">
        <v>1394</v>
      </c>
      <c r="D575" s="1" t="s">
        <v>1395</v>
      </c>
      <c r="E575" s="1" t="s">
        <v>1396</v>
      </c>
      <c r="F575" s="1" t="s">
        <v>112</v>
      </c>
      <c r="G575" s="1">
        <v>4431230</v>
      </c>
    </row>
    <row r="576" spans="1:7" x14ac:dyDescent="0.25">
      <c r="A576" s="1" t="str">
        <f t="shared" si="8"/>
        <v>06  Testosterone 11 µg_Ldopé</v>
      </c>
      <c r="B5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6" s="1" t="s">
        <v>1397</v>
      </c>
      <c r="D576" s="1" t="s">
        <v>1398</v>
      </c>
      <c r="E576" s="1" t="s">
        <v>1399</v>
      </c>
      <c r="F576" s="1" t="s">
        <v>112</v>
      </c>
      <c r="G576" s="1">
        <v>4475961</v>
      </c>
    </row>
    <row r="577" spans="1:10" x14ac:dyDescent="0.25">
      <c r="A577" s="1" t="str">
        <f t="shared" si="8"/>
        <v>06  Testosterone 11 µg_Ldopé</v>
      </c>
      <c r="B5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7" s="1" t="s">
        <v>1400</v>
      </c>
      <c r="D577" s="1" t="s">
        <v>1401</v>
      </c>
      <c r="E577" s="1" t="s">
        <v>1402</v>
      </c>
      <c r="F577" s="1" t="s">
        <v>112</v>
      </c>
      <c r="G577" s="1">
        <v>4365280</v>
      </c>
    </row>
    <row r="578" spans="1:10" x14ac:dyDescent="0.25">
      <c r="A578" s="1" t="str">
        <f t="shared" ref="A578:A641" si="9">IFERROR(LEFT(RIGHT(C578,LEN(C578)-SEARCH("@",C578)),SEARCH("/",RIGHT(C578,LEN(C578)-SEARCH("@",C578)-1))),"")</f>
        <v>06  Testosterone 11 µg_Ldopé</v>
      </c>
      <c r="B5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78" s="1" t="s">
        <v>1403</v>
      </c>
      <c r="D578" s="1" t="s">
        <v>1404</v>
      </c>
      <c r="E578" s="1" t="s">
        <v>1405</v>
      </c>
      <c r="F578" s="1" t="s">
        <v>112</v>
      </c>
      <c r="G578" s="1">
        <v>2755432</v>
      </c>
    </row>
    <row r="579" spans="1:10" x14ac:dyDescent="0.25">
      <c r="A579" s="1" t="str">
        <f t="shared" si="9"/>
        <v>06  Testosterone 11 µg_Ldopé</v>
      </c>
      <c r="B5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79" s="1" t="s">
        <v>1406</v>
      </c>
      <c r="D579" s="1" t="s">
        <v>1407</v>
      </c>
      <c r="E579" s="1" t="s">
        <v>1408</v>
      </c>
      <c r="F579" s="1" t="s">
        <v>112</v>
      </c>
      <c r="G579" s="1">
        <v>3053817</v>
      </c>
    </row>
    <row r="580" spans="1:10" x14ac:dyDescent="0.25">
      <c r="A580" s="1" t="str">
        <f t="shared" si="9"/>
        <v>06  Testosterone 11 µg_Ldopé</v>
      </c>
      <c r="B5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80" s="1" t="s">
        <v>1409</v>
      </c>
      <c r="D580" s="1" t="s">
        <v>1410</v>
      </c>
      <c r="E580" s="1" t="s">
        <v>1411</v>
      </c>
      <c r="F580" s="1" t="s">
        <v>112</v>
      </c>
      <c r="G580" s="1">
        <v>2331357</v>
      </c>
    </row>
    <row r="581" spans="1:10" x14ac:dyDescent="0.25">
      <c r="A581" s="1" t="str">
        <f t="shared" si="9"/>
        <v>06  Testosterone 11 µg_Ldopé</v>
      </c>
      <c r="B5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1" s="1" t="s">
        <v>1412</v>
      </c>
      <c r="D581" s="1" t="s">
        <v>1413</v>
      </c>
      <c r="E581" s="1" t="s">
        <v>1414</v>
      </c>
      <c r="F581" s="1" t="s">
        <v>112</v>
      </c>
      <c r="G581" s="1">
        <v>4270001</v>
      </c>
    </row>
    <row r="582" spans="1:10" x14ac:dyDescent="0.25">
      <c r="A582" s="1" t="str">
        <f t="shared" si="9"/>
        <v>06  Testosterone 11 µg_Ldopé</v>
      </c>
      <c r="B5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2" s="1" t="s">
        <v>1415</v>
      </c>
      <c r="D582" s="1" t="s">
        <v>1416</v>
      </c>
      <c r="E582" s="1" t="s">
        <v>1417</v>
      </c>
      <c r="F582" s="1" t="s">
        <v>112</v>
      </c>
      <c r="G582" s="1">
        <v>3855183</v>
      </c>
    </row>
    <row r="583" spans="1:10" x14ac:dyDescent="0.25">
      <c r="A583" s="1" t="str">
        <f t="shared" si="9"/>
        <v>06  Testosterone 11 µg_Ldopé</v>
      </c>
      <c r="B5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3" s="1" t="s">
        <v>1418</v>
      </c>
      <c r="D583" s="1" t="s">
        <v>1419</v>
      </c>
      <c r="E583" s="1" t="s">
        <v>1420</v>
      </c>
      <c r="F583" s="1" t="s">
        <v>112</v>
      </c>
      <c r="G583" s="1">
        <v>3826934</v>
      </c>
    </row>
    <row r="584" spans="1:10" x14ac:dyDescent="0.25">
      <c r="A584" s="1" t="str">
        <f t="shared" si="9"/>
        <v>06  Testosterone 11 µg_Ldopé</v>
      </c>
      <c r="B5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4" s="1" t="s">
        <v>1421</v>
      </c>
      <c r="D584" s="1" t="s">
        <v>1422</v>
      </c>
      <c r="E584" s="1" t="s">
        <v>1423</v>
      </c>
      <c r="F584" s="1" t="s">
        <v>112</v>
      </c>
      <c r="G584" s="1">
        <v>2624009</v>
      </c>
    </row>
    <row r="585" spans="1:10" x14ac:dyDescent="0.25">
      <c r="A585" s="1" t="str">
        <f t="shared" si="9"/>
        <v>06  Testosterone 11 µg_Ldopé</v>
      </c>
      <c r="B5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5" s="1" t="s">
        <v>1424</v>
      </c>
      <c r="D585" s="1" t="s">
        <v>1425</v>
      </c>
      <c r="E585" s="1" t="s">
        <v>1426</v>
      </c>
      <c r="F585" s="1" t="s">
        <v>112</v>
      </c>
      <c r="G585" s="1">
        <v>2988949</v>
      </c>
    </row>
    <row r="586" spans="1:10" x14ac:dyDescent="0.25">
      <c r="A586" s="1" t="str">
        <f t="shared" si="9"/>
        <v>06  Testosterone 11 µg_Ldopé</v>
      </c>
      <c r="B5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6" s="1" t="s">
        <v>1427</v>
      </c>
      <c r="D586" s="1" t="s">
        <v>1428</v>
      </c>
      <c r="E586" s="1" t="s">
        <v>1429</v>
      </c>
      <c r="F586" s="1" t="s">
        <v>112</v>
      </c>
      <c r="G586" s="1">
        <v>2654810</v>
      </c>
    </row>
    <row r="587" spans="1:10" x14ac:dyDescent="0.25">
      <c r="A587" s="1" t="str">
        <f t="shared" si="9"/>
        <v/>
      </c>
      <c r="B5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87" s="1" t="s">
        <v>112</v>
      </c>
    </row>
    <row r="588" spans="1:10" x14ac:dyDescent="0.25">
      <c r="A588" s="1" t="str">
        <f t="shared" si="9"/>
        <v/>
      </c>
      <c r="B5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88" s="1" t="s">
        <v>229</v>
      </c>
      <c r="D588" s="1" t="s">
        <v>112</v>
      </c>
      <c r="E588" s="1" t="s">
        <v>230</v>
      </c>
      <c r="F588" s="1" t="s">
        <v>231</v>
      </c>
      <c r="G588" s="1" t="s">
        <v>232</v>
      </c>
      <c r="H588" s="1" t="s">
        <v>233</v>
      </c>
      <c r="I588" s="1" t="s">
        <v>234</v>
      </c>
      <c r="J588" s="1" t="s">
        <v>235</v>
      </c>
    </row>
    <row r="589" spans="1:10" x14ac:dyDescent="0.25">
      <c r="A589" s="1" t="str">
        <f t="shared" si="9"/>
        <v>06  Testosterone 11 µg_Ldopé</v>
      </c>
      <c r="B5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89" s="1" t="s">
        <v>1430</v>
      </c>
      <c r="D589" s="1" t="s">
        <v>112</v>
      </c>
      <c r="E589" s="1" t="s">
        <v>1431</v>
      </c>
      <c r="F589" s="1" t="s">
        <v>1432</v>
      </c>
      <c r="G589" s="1" t="s">
        <v>1433</v>
      </c>
      <c r="H589" s="1" t="s">
        <v>1434</v>
      </c>
      <c r="I589" s="1">
        <v>24</v>
      </c>
      <c r="J589" s="1">
        <v>24</v>
      </c>
    </row>
    <row r="590" spans="1:10" x14ac:dyDescent="0.25">
      <c r="A590" s="1" t="str">
        <f t="shared" si="9"/>
        <v/>
      </c>
      <c r="B5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0" s="1" t="s">
        <v>112</v>
      </c>
    </row>
    <row r="591" spans="1:10" x14ac:dyDescent="0.25">
      <c r="A591" s="1" t="str">
        <f t="shared" si="9"/>
        <v/>
      </c>
      <c r="B5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1" s="1" t="s">
        <v>112</v>
      </c>
    </row>
    <row r="592" spans="1:10" x14ac:dyDescent="0.25">
      <c r="A592" s="1" t="str">
        <f t="shared" si="9"/>
        <v/>
      </c>
      <c r="B5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2" s="1" t="s">
        <v>112</v>
      </c>
    </row>
    <row r="593" spans="1:7" x14ac:dyDescent="0.25">
      <c r="A593" s="1" t="str">
        <f t="shared" si="9"/>
        <v/>
      </c>
      <c r="B5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3" s="1" t="s">
        <v>112</v>
      </c>
    </row>
    <row r="594" spans="1:7" x14ac:dyDescent="0.25">
      <c r="A594" s="1" t="str">
        <f t="shared" si="9"/>
        <v/>
      </c>
      <c r="B5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4" s="1" t="s">
        <v>112</v>
      </c>
    </row>
    <row r="595" spans="1:7" x14ac:dyDescent="0.25">
      <c r="A595" s="1" t="str">
        <f t="shared" si="9"/>
        <v/>
      </c>
      <c r="B5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5" s="1" t="s">
        <v>241</v>
      </c>
      <c r="D595" s="1" t="s">
        <v>110</v>
      </c>
      <c r="E595" s="1" t="s">
        <v>111</v>
      </c>
      <c r="F595" s="1" t="s">
        <v>112</v>
      </c>
      <c r="G595" s="1" t="s">
        <v>113</v>
      </c>
    </row>
    <row r="596" spans="1:7" x14ac:dyDescent="0.25">
      <c r="A596" s="1" t="str">
        <f t="shared" si="9"/>
        <v>07  Testosterone 33 µg_Ldopé</v>
      </c>
      <c r="B59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6" s="1" t="s">
        <v>1435</v>
      </c>
      <c r="D596" s="1" t="s">
        <v>1436</v>
      </c>
      <c r="E596" s="1" t="s">
        <v>1437</v>
      </c>
      <c r="F596" s="1" t="s">
        <v>112</v>
      </c>
      <c r="G596" s="1">
        <v>2994702</v>
      </c>
    </row>
    <row r="597" spans="1:7" x14ac:dyDescent="0.25">
      <c r="A597" s="1" t="str">
        <f t="shared" si="9"/>
        <v>07  Testosterone 33 µg_Ldopé</v>
      </c>
      <c r="B59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7" s="1" t="s">
        <v>1438</v>
      </c>
      <c r="D597" s="1" t="s">
        <v>1439</v>
      </c>
      <c r="E597" s="1" t="s">
        <v>1440</v>
      </c>
      <c r="F597" s="1" t="s">
        <v>112</v>
      </c>
      <c r="G597" s="1">
        <v>3529112</v>
      </c>
    </row>
    <row r="598" spans="1:7" x14ac:dyDescent="0.25">
      <c r="A598" s="1" t="str">
        <f t="shared" si="9"/>
        <v>07  Testosterone 33 µg_Ldopé</v>
      </c>
      <c r="B5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8" s="1" t="s">
        <v>1441</v>
      </c>
      <c r="D598" s="1" t="s">
        <v>1442</v>
      </c>
      <c r="E598" s="1" t="s">
        <v>1443</v>
      </c>
      <c r="F598" s="1" t="s">
        <v>112</v>
      </c>
      <c r="G598" s="1">
        <v>3063161</v>
      </c>
    </row>
    <row r="599" spans="1:7" x14ac:dyDescent="0.25">
      <c r="A599" s="1" t="str">
        <f t="shared" si="9"/>
        <v>07  Testosterone 33 µg_Ldopé</v>
      </c>
      <c r="B5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99" s="1" t="s">
        <v>1444</v>
      </c>
      <c r="D599" s="1" t="s">
        <v>1445</v>
      </c>
      <c r="E599" s="1" t="s">
        <v>1446</v>
      </c>
      <c r="F599" s="1" t="s">
        <v>112</v>
      </c>
      <c r="G599" s="1">
        <v>3249351</v>
      </c>
    </row>
    <row r="600" spans="1:7" x14ac:dyDescent="0.25">
      <c r="A600" s="1" t="str">
        <f t="shared" si="9"/>
        <v>07  Testosterone 33 µg_Ldopé</v>
      </c>
      <c r="B6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00" s="1" t="s">
        <v>1447</v>
      </c>
      <c r="D600" s="1" t="s">
        <v>1448</v>
      </c>
      <c r="E600" s="1" t="s">
        <v>1449</v>
      </c>
      <c r="F600" s="1" t="s">
        <v>112</v>
      </c>
      <c r="G600" s="1">
        <v>3159695</v>
      </c>
    </row>
    <row r="601" spans="1:7" x14ac:dyDescent="0.25">
      <c r="A601" s="1" t="str">
        <f t="shared" si="9"/>
        <v>07  Testosterone 33 µg_Ldopé</v>
      </c>
      <c r="B6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01" s="1" t="s">
        <v>1450</v>
      </c>
      <c r="D601" s="1" t="s">
        <v>1130</v>
      </c>
      <c r="E601" s="1" t="s">
        <v>1451</v>
      </c>
      <c r="F601" s="1" t="s">
        <v>112</v>
      </c>
      <c r="G601" s="1">
        <v>3352504</v>
      </c>
    </row>
    <row r="602" spans="1:7" x14ac:dyDescent="0.25">
      <c r="A602" s="1" t="str">
        <f t="shared" si="9"/>
        <v>07  Testosterone 33 µg_Ldopé</v>
      </c>
      <c r="B6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2" s="1" t="s">
        <v>1452</v>
      </c>
      <c r="D602" s="1" t="s">
        <v>1453</v>
      </c>
      <c r="E602" s="1" t="s">
        <v>1454</v>
      </c>
      <c r="F602" s="1" t="s">
        <v>112</v>
      </c>
      <c r="G602" s="1">
        <v>1792058</v>
      </c>
    </row>
    <row r="603" spans="1:7" x14ac:dyDescent="0.25">
      <c r="A603" s="1" t="str">
        <f t="shared" si="9"/>
        <v>07  Testosterone 33 µg_Ldopé</v>
      </c>
      <c r="B6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3" s="1" t="s">
        <v>1455</v>
      </c>
      <c r="D603" s="1" t="s">
        <v>1456</v>
      </c>
      <c r="E603" s="1" t="s">
        <v>1457</v>
      </c>
      <c r="F603" s="1" t="s">
        <v>112</v>
      </c>
      <c r="G603" s="1">
        <v>1786045</v>
      </c>
    </row>
    <row r="604" spans="1:7" x14ac:dyDescent="0.25">
      <c r="A604" s="1" t="str">
        <f t="shared" si="9"/>
        <v>07  Testosterone 33 µg_Ldopé</v>
      </c>
      <c r="B6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4" s="1" t="s">
        <v>1458</v>
      </c>
      <c r="D604" s="1" t="s">
        <v>1459</v>
      </c>
      <c r="E604" s="1" t="s">
        <v>1460</v>
      </c>
      <c r="F604" s="1" t="s">
        <v>112</v>
      </c>
      <c r="G604" s="1">
        <v>1917274</v>
      </c>
    </row>
    <row r="605" spans="1:7" x14ac:dyDescent="0.25">
      <c r="A605" s="1" t="str">
        <f t="shared" si="9"/>
        <v>07  Testosterone 33 µg_Ldopé</v>
      </c>
      <c r="B6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5" s="1" t="s">
        <v>1461</v>
      </c>
      <c r="D605" s="1" t="s">
        <v>1462</v>
      </c>
      <c r="E605" s="1" t="s">
        <v>1463</v>
      </c>
      <c r="F605" s="1" t="s">
        <v>112</v>
      </c>
      <c r="G605" s="1">
        <v>1492593</v>
      </c>
    </row>
    <row r="606" spans="1:7" x14ac:dyDescent="0.25">
      <c r="A606" s="1" t="str">
        <f t="shared" si="9"/>
        <v>07  Testosterone 33 µg_Ldopé</v>
      </c>
      <c r="B6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6" s="1" t="s">
        <v>1464</v>
      </c>
      <c r="D606" s="1" t="s">
        <v>1465</v>
      </c>
      <c r="E606" s="1" t="s">
        <v>1466</v>
      </c>
      <c r="F606" s="1" t="s">
        <v>112</v>
      </c>
      <c r="G606" s="1">
        <v>1320224</v>
      </c>
    </row>
    <row r="607" spans="1:7" x14ac:dyDescent="0.25">
      <c r="A607" s="1" t="str">
        <f t="shared" si="9"/>
        <v>07  Testosterone 33 µg_Ldopé</v>
      </c>
      <c r="B6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7" s="1" t="s">
        <v>1467</v>
      </c>
      <c r="D607" s="1" t="s">
        <v>1468</v>
      </c>
      <c r="E607" s="1" t="s">
        <v>1469</v>
      </c>
      <c r="F607" s="1" t="s">
        <v>112</v>
      </c>
      <c r="G607" s="1">
        <v>1641947</v>
      </c>
    </row>
    <row r="608" spans="1:7" x14ac:dyDescent="0.25">
      <c r="A608" s="1" t="str">
        <f t="shared" si="9"/>
        <v>07  Testosterone 33 µg_Ldopé</v>
      </c>
      <c r="B6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08" s="1" t="s">
        <v>1470</v>
      </c>
      <c r="D608" s="1" t="s">
        <v>1471</v>
      </c>
      <c r="E608" s="1" t="s">
        <v>1472</v>
      </c>
      <c r="F608" s="1" t="s">
        <v>112</v>
      </c>
      <c r="G608" s="1">
        <v>1161763</v>
      </c>
    </row>
    <row r="609" spans="1:10" x14ac:dyDescent="0.25">
      <c r="A609" s="1" t="str">
        <f t="shared" si="9"/>
        <v>07  Testosterone 33 µg_Ldopé</v>
      </c>
      <c r="B6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09" s="1" t="s">
        <v>1473</v>
      </c>
      <c r="D609" s="1" t="s">
        <v>1474</v>
      </c>
      <c r="E609" s="1" t="s">
        <v>1475</v>
      </c>
      <c r="F609" s="1" t="s">
        <v>112</v>
      </c>
      <c r="G609" s="1">
        <v>611261</v>
      </c>
    </row>
    <row r="610" spans="1:10" x14ac:dyDescent="0.25">
      <c r="A610" s="1" t="str">
        <f t="shared" si="9"/>
        <v>07  Testosterone 33 µg_Ldopé</v>
      </c>
      <c r="B6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10" s="1" t="s">
        <v>1476</v>
      </c>
      <c r="D610" s="1" t="s">
        <v>1477</v>
      </c>
      <c r="E610" s="1" t="s">
        <v>1478</v>
      </c>
      <c r="F610" s="1" t="s">
        <v>112</v>
      </c>
      <c r="G610" s="1">
        <v>612321</v>
      </c>
    </row>
    <row r="611" spans="1:10" x14ac:dyDescent="0.25">
      <c r="A611" s="1" t="str">
        <f t="shared" si="9"/>
        <v>07  Testosterone 33 µg_Ldopé</v>
      </c>
      <c r="B6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1" s="1" t="s">
        <v>1479</v>
      </c>
      <c r="D611" s="1" t="s">
        <v>1480</v>
      </c>
      <c r="E611" s="1" t="s">
        <v>1481</v>
      </c>
      <c r="F611" s="1" t="s">
        <v>112</v>
      </c>
      <c r="G611" s="1">
        <v>2180834</v>
      </c>
    </row>
    <row r="612" spans="1:10" x14ac:dyDescent="0.25">
      <c r="A612" s="1" t="str">
        <f t="shared" si="9"/>
        <v>07  Testosterone 33 µg_Ldopé</v>
      </c>
      <c r="B6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2" s="1" t="s">
        <v>1482</v>
      </c>
      <c r="D612" s="1" t="s">
        <v>1483</v>
      </c>
      <c r="E612" s="1" t="s">
        <v>1484</v>
      </c>
      <c r="F612" s="1" t="s">
        <v>112</v>
      </c>
      <c r="G612" s="1">
        <v>2054602</v>
      </c>
    </row>
    <row r="613" spans="1:10" x14ac:dyDescent="0.25">
      <c r="A613" s="1" t="str">
        <f t="shared" si="9"/>
        <v>07  Testosterone 33 µg_Ldopé</v>
      </c>
      <c r="B6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3" s="1" t="s">
        <v>1485</v>
      </c>
      <c r="D613" s="1" t="s">
        <v>1486</v>
      </c>
      <c r="E613" s="1" t="s">
        <v>1487</v>
      </c>
      <c r="F613" s="1" t="s">
        <v>112</v>
      </c>
      <c r="G613" s="1">
        <v>2244404</v>
      </c>
    </row>
    <row r="614" spans="1:10" x14ac:dyDescent="0.25">
      <c r="A614" s="1" t="str">
        <f t="shared" si="9"/>
        <v>07  Testosterone 33 µg_Ldopé</v>
      </c>
      <c r="B6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4" s="1" t="s">
        <v>1488</v>
      </c>
      <c r="D614" s="1" t="s">
        <v>1489</v>
      </c>
      <c r="E614" s="1" t="s">
        <v>1490</v>
      </c>
      <c r="F614" s="1" t="s">
        <v>112</v>
      </c>
      <c r="G614" s="1">
        <v>2038661</v>
      </c>
    </row>
    <row r="615" spans="1:10" x14ac:dyDescent="0.25">
      <c r="A615" s="1" t="str">
        <f t="shared" si="9"/>
        <v>07  Testosterone 33 µg_Ldopé</v>
      </c>
      <c r="B6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5" s="1" t="s">
        <v>1491</v>
      </c>
      <c r="D615" s="1" t="s">
        <v>1492</v>
      </c>
      <c r="E615" s="1" t="s">
        <v>1493</v>
      </c>
      <c r="F615" s="1" t="s">
        <v>112</v>
      </c>
      <c r="G615" s="1">
        <v>2180120</v>
      </c>
    </row>
    <row r="616" spans="1:10" x14ac:dyDescent="0.25">
      <c r="A616" s="1" t="str">
        <f t="shared" si="9"/>
        <v>07  Testosterone 33 µg_Ldopé</v>
      </c>
      <c r="B6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6" s="1" t="s">
        <v>1494</v>
      </c>
      <c r="D616" s="1" t="s">
        <v>1495</v>
      </c>
      <c r="E616" s="1" t="s">
        <v>1496</v>
      </c>
      <c r="F616" s="1" t="s">
        <v>112</v>
      </c>
      <c r="G616" s="1">
        <v>2152175</v>
      </c>
    </row>
    <row r="617" spans="1:10" x14ac:dyDescent="0.25">
      <c r="A617" s="1" t="str">
        <f t="shared" si="9"/>
        <v>07  Testosterone 33 µg_Ldopé</v>
      </c>
      <c r="B6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7" s="1" t="s">
        <v>1497</v>
      </c>
      <c r="D617" s="1" t="s">
        <v>1498</v>
      </c>
      <c r="E617" s="1" t="s">
        <v>1499</v>
      </c>
      <c r="F617" s="1" t="s">
        <v>112</v>
      </c>
      <c r="G617" s="1">
        <v>3775217</v>
      </c>
    </row>
    <row r="618" spans="1:10" x14ac:dyDescent="0.25">
      <c r="A618" s="1" t="str">
        <f t="shared" si="9"/>
        <v>07  Testosterone 33 µg_Ldopé</v>
      </c>
      <c r="B6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8" s="1" t="s">
        <v>1500</v>
      </c>
      <c r="D618" s="1" t="s">
        <v>1501</v>
      </c>
      <c r="E618" s="1" t="s">
        <v>1502</v>
      </c>
      <c r="F618" s="1" t="s">
        <v>112</v>
      </c>
      <c r="G618" s="1">
        <v>2744725</v>
      </c>
    </row>
    <row r="619" spans="1:10" x14ac:dyDescent="0.25">
      <c r="A619" s="1" t="str">
        <f t="shared" si="9"/>
        <v>07  Testosterone 33 µg_Ldopé</v>
      </c>
      <c r="B6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9" s="1" t="s">
        <v>1503</v>
      </c>
      <c r="D619" s="1" t="s">
        <v>1504</v>
      </c>
      <c r="E619" s="1" t="s">
        <v>1505</v>
      </c>
      <c r="F619" s="1" t="s">
        <v>112</v>
      </c>
      <c r="G619" s="1">
        <v>3653830</v>
      </c>
    </row>
    <row r="620" spans="1:10" x14ac:dyDescent="0.25">
      <c r="A620" s="1" t="str">
        <f t="shared" si="9"/>
        <v/>
      </c>
      <c r="B6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0" s="1" t="s">
        <v>112</v>
      </c>
    </row>
    <row r="621" spans="1:10" x14ac:dyDescent="0.25">
      <c r="A621" s="1" t="str">
        <f t="shared" si="9"/>
        <v/>
      </c>
      <c r="B6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1" s="1" t="s">
        <v>229</v>
      </c>
      <c r="D621" s="1" t="s">
        <v>112</v>
      </c>
      <c r="E621" s="1" t="s">
        <v>230</v>
      </c>
      <c r="F621" s="1" t="s">
        <v>231</v>
      </c>
      <c r="G621" s="1" t="s">
        <v>232</v>
      </c>
      <c r="H621" s="1" t="s">
        <v>233</v>
      </c>
      <c r="I621" s="1" t="s">
        <v>234</v>
      </c>
      <c r="J621" s="1" t="s">
        <v>235</v>
      </c>
    </row>
    <row r="622" spans="1:10" x14ac:dyDescent="0.25">
      <c r="A622" s="1" t="str">
        <f t="shared" si="9"/>
        <v>07  Testosterone 33 µg_Ldopé</v>
      </c>
      <c r="B6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22" s="1" t="s">
        <v>1506</v>
      </c>
      <c r="D622" s="1" t="s">
        <v>112</v>
      </c>
      <c r="E622" s="1" t="s">
        <v>1507</v>
      </c>
      <c r="F622" s="1" t="s">
        <v>1508</v>
      </c>
      <c r="G622" s="1" t="s">
        <v>1509</v>
      </c>
      <c r="H622" s="1" t="s">
        <v>1510</v>
      </c>
      <c r="I622" s="1">
        <v>24</v>
      </c>
      <c r="J622" s="1">
        <v>24</v>
      </c>
    </row>
    <row r="623" spans="1:10" x14ac:dyDescent="0.25">
      <c r="A623" s="1" t="str">
        <f t="shared" si="9"/>
        <v/>
      </c>
      <c r="B6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3" s="1" t="s">
        <v>112</v>
      </c>
    </row>
    <row r="624" spans="1:10" x14ac:dyDescent="0.25">
      <c r="A624" s="1" t="str">
        <f t="shared" si="9"/>
        <v/>
      </c>
      <c r="B6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4" s="1" t="s">
        <v>112</v>
      </c>
    </row>
    <row r="625" spans="1:7" x14ac:dyDescent="0.25">
      <c r="A625" s="1" t="str">
        <f t="shared" si="9"/>
        <v/>
      </c>
      <c r="B6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5" s="1" t="s">
        <v>112</v>
      </c>
    </row>
    <row r="626" spans="1:7" x14ac:dyDescent="0.25">
      <c r="A626" s="1" t="str">
        <f t="shared" si="9"/>
        <v/>
      </c>
      <c r="B6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6" s="1" t="s">
        <v>112</v>
      </c>
    </row>
    <row r="627" spans="1:7" x14ac:dyDescent="0.25">
      <c r="A627" s="1" t="str">
        <f t="shared" si="9"/>
        <v/>
      </c>
      <c r="B6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7" s="1" t="s">
        <v>112</v>
      </c>
    </row>
    <row r="628" spans="1:7" x14ac:dyDescent="0.25">
      <c r="A628" s="1" t="str">
        <f t="shared" si="9"/>
        <v/>
      </c>
      <c r="B6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8" s="1" t="s">
        <v>241</v>
      </c>
      <c r="D628" s="1" t="s">
        <v>110</v>
      </c>
      <c r="E628" s="1" t="s">
        <v>111</v>
      </c>
      <c r="F628" s="1" t="s">
        <v>112</v>
      </c>
      <c r="G628" s="1" t="s">
        <v>113</v>
      </c>
    </row>
    <row r="629" spans="1:7" x14ac:dyDescent="0.25">
      <c r="A629" s="1" t="str">
        <f t="shared" si="9"/>
        <v>08  Testosterone 100 µg_Ldopé</v>
      </c>
      <c r="B62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29" s="1" t="s">
        <v>1511</v>
      </c>
      <c r="D629" s="1" t="s">
        <v>1512</v>
      </c>
      <c r="E629" s="1" t="s">
        <v>1513</v>
      </c>
      <c r="F629" s="1" t="s">
        <v>112</v>
      </c>
      <c r="G629" s="1">
        <v>2220849</v>
      </c>
    </row>
    <row r="630" spans="1:7" x14ac:dyDescent="0.25">
      <c r="A630" s="1" t="str">
        <f t="shared" si="9"/>
        <v>08  Testosterone 100 µg_Ldopé</v>
      </c>
      <c r="B63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30" s="1" t="s">
        <v>1514</v>
      </c>
      <c r="D630" s="1" t="s">
        <v>1515</v>
      </c>
      <c r="E630" s="1" t="s">
        <v>1516</v>
      </c>
      <c r="F630" s="1" t="s">
        <v>112</v>
      </c>
      <c r="G630" s="1">
        <v>2638220</v>
      </c>
    </row>
    <row r="631" spans="1:7" x14ac:dyDescent="0.25">
      <c r="A631" s="1" t="str">
        <f t="shared" si="9"/>
        <v>08  Testosterone 100 µg_Ldopé</v>
      </c>
      <c r="B6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31" s="1" t="s">
        <v>1517</v>
      </c>
      <c r="D631" s="1" t="s">
        <v>507</v>
      </c>
      <c r="E631" s="1" t="s">
        <v>1518</v>
      </c>
      <c r="F631" s="1" t="s">
        <v>112</v>
      </c>
      <c r="G631" s="1">
        <v>2417919</v>
      </c>
    </row>
    <row r="632" spans="1:7" x14ac:dyDescent="0.25">
      <c r="A632" s="1" t="str">
        <f t="shared" si="9"/>
        <v>08  Testosterone 100 µg_Ldopé</v>
      </c>
      <c r="B6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2" s="1" t="s">
        <v>1519</v>
      </c>
      <c r="D632" s="1" t="s">
        <v>1520</v>
      </c>
      <c r="E632" s="1" t="s">
        <v>1521</v>
      </c>
      <c r="F632" s="1" t="s">
        <v>112</v>
      </c>
      <c r="G632" s="1">
        <v>3528571</v>
      </c>
    </row>
    <row r="633" spans="1:7" x14ac:dyDescent="0.25">
      <c r="A633" s="1" t="str">
        <f t="shared" si="9"/>
        <v>08  Testosterone 100 µg_Ldopé</v>
      </c>
      <c r="B6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3" s="1" t="s">
        <v>1522</v>
      </c>
      <c r="D633" s="1" t="s">
        <v>1523</v>
      </c>
      <c r="E633" s="1" t="s">
        <v>1524</v>
      </c>
      <c r="F633" s="1" t="s">
        <v>112</v>
      </c>
      <c r="G633" s="1">
        <v>3875515</v>
      </c>
    </row>
    <row r="634" spans="1:7" x14ac:dyDescent="0.25">
      <c r="A634" s="1" t="str">
        <f t="shared" si="9"/>
        <v>08  Testosterone 100 µg_Ldopé</v>
      </c>
      <c r="B6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4" s="1" t="s">
        <v>1525</v>
      </c>
      <c r="D634" s="1" t="s">
        <v>1526</v>
      </c>
      <c r="E634" s="1" t="s">
        <v>1527</v>
      </c>
      <c r="F634" s="1" t="s">
        <v>112</v>
      </c>
      <c r="G634" s="1">
        <v>3712728</v>
      </c>
    </row>
    <row r="635" spans="1:7" x14ac:dyDescent="0.25">
      <c r="A635" s="1" t="str">
        <f t="shared" si="9"/>
        <v>08  Testosterone 100 µg_Ldopé</v>
      </c>
      <c r="B6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5" s="1" t="s">
        <v>1528</v>
      </c>
      <c r="D635" s="1" t="s">
        <v>315</v>
      </c>
      <c r="E635" s="1" t="s">
        <v>1529</v>
      </c>
      <c r="F635" s="1" t="s">
        <v>112</v>
      </c>
      <c r="G635" s="1">
        <v>268514</v>
      </c>
    </row>
    <row r="636" spans="1:7" x14ac:dyDescent="0.25">
      <c r="A636" s="1" t="str">
        <f t="shared" si="9"/>
        <v>08  Testosterone 100 µg_Ldopé</v>
      </c>
      <c r="B6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6" s="1" t="s">
        <v>1530</v>
      </c>
      <c r="D636" s="1" t="s">
        <v>1531</v>
      </c>
      <c r="E636" s="1" t="s">
        <v>1532</v>
      </c>
      <c r="F636" s="1" t="s">
        <v>112</v>
      </c>
      <c r="G636" s="1">
        <v>477783</v>
      </c>
    </row>
    <row r="637" spans="1:7" x14ac:dyDescent="0.25">
      <c r="A637" s="1" t="str">
        <f t="shared" si="9"/>
        <v>08  Testosterone 100 µg_Ldopé</v>
      </c>
      <c r="B6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7" s="1" t="s">
        <v>1533</v>
      </c>
    </row>
    <row r="638" spans="1:7" x14ac:dyDescent="0.25">
      <c r="A638" s="1" t="str">
        <f t="shared" si="9"/>
        <v>08  Testosterone 100 µg_Ldopé</v>
      </c>
      <c r="B6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38" s="1" t="s">
        <v>1534</v>
      </c>
      <c r="D638" s="1" t="s">
        <v>539</v>
      </c>
      <c r="E638" s="1" t="s">
        <v>1535</v>
      </c>
      <c r="F638" s="1" t="s">
        <v>112</v>
      </c>
      <c r="G638" s="1">
        <v>3012395</v>
      </c>
    </row>
    <row r="639" spans="1:7" x14ac:dyDescent="0.25">
      <c r="A639" s="1" t="str">
        <f t="shared" si="9"/>
        <v>08  Testosterone 100 µg_Ldopé</v>
      </c>
      <c r="B6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39" s="1" t="s">
        <v>1536</v>
      </c>
      <c r="D639" s="1" t="s">
        <v>1537</v>
      </c>
      <c r="E639" s="1" t="s">
        <v>1538</v>
      </c>
      <c r="F639" s="1" t="s">
        <v>112</v>
      </c>
      <c r="G639" s="1">
        <v>2939676</v>
      </c>
    </row>
    <row r="640" spans="1:7" x14ac:dyDescent="0.25">
      <c r="A640" s="1" t="str">
        <f t="shared" si="9"/>
        <v>08  Testosterone 100 µg_Ldopé</v>
      </c>
      <c r="B6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40" s="1" t="s">
        <v>1539</v>
      </c>
      <c r="D640" s="1" t="s">
        <v>1540</v>
      </c>
      <c r="E640" s="1" t="s">
        <v>1541</v>
      </c>
      <c r="F640" s="1" t="s">
        <v>112</v>
      </c>
      <c r="G640" s="1">
        <v>2676548</v>
      </c>
    </row>
    <row r="641" spans="1:10" x14ac:dyDescent="0.25">
      <c r="A641" s="1" t="str">
        <f t="shared" si="9"/>
        <v>08  Testosterone 100 µg_Ldopé</v>
      </c>
      <c r="B6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1" s="1" t="s">
        <v>1542</v>
      </c>
    </row>
    <row r="642" spans="1:10" x14ac:dyDescent="0.25">
      <c r="A642" s="1" t="str">
        <f t="shared" ref="A642:A705" si="10">IFERROR(LEFT(RIGHT(C642,LEN(C642)-SEARCH("@",C642)),SEARCH("/",RIGHT(C642,LEN(C642)-SEARCH("@",C642)-1))),"")</f>
        <v>08  Testosterone 100 µg_Ldopé</v>
      </c>
      <c r="B6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2" s="1" t="s">
        <v>1543</v>
      </c>
    </row>
    <row r="643" spans="1:10" x14ac:dyDescent="0.25">
      <c r="A643" s="1" t="str">
        <f t="shared" si="10"/>
        <v>08  Testosterone 100 µg_Ldopé</v>
      </c>
      <c r="B6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3" s="1" t="s">
        <v>1544</v>
      </c>
    </row>
    <row r="644" spans="1:10" x14ac:dyDescent="0.25">
      <c r="A644" s="1" t="str">
        <f t="shared" si="10"/>
        <v>08  Testosterone 100 µg_Ldopé</v>
      </c>
      <c r="B6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4" s="1" t="s">
        <v>1545</v>
      </c>
      <c r="D644" s="1" t="s">
        <v>456</v>
      </c>
      <c r="E644" s="1" t="s">
        <v>1546</v>
      </c>
      <c r="F644" s="1" t="s">
        <v>112</v>
      </c>
      <c r="G644" s="1">
        <v>2147005</v>
      </c>
    </row>
    <row r="645" spans="1:10" x14ac:dyDescent="0.25">
      <c r="A645" s="1" t="str">
        <f t="shared" si="10"/>
        <v>08  Testosterone 100 µg_Ldopé</v>
      </c>
      <c r="B6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5" s="1" t="s">
        <v>1547</v>
      </c>
      <c r="D645" s="1" t="s">
        <v>1548</v>
      </c>
      <c r="E645" s="1" t="s">
        <v>1549</v>
      </c>
      <c r="F645" s="1" t="s">
        <v>112</v>
      </c>
      <c r="G645" s="1">
        <v>2131864</v>
      </c>
    </row>
    <row r="646" spans="1:10" x14ac:dyDescent="0.25">
      <c r="A646" s="1" t="str">
        <f t="shared" si="10"/>
        <v>08  Testosterone 100 µg_Ldopé</v>
      </c>
      <c r="B6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6" s="1" t="s">
        <v>1550</v>
      </c>
      <c r="D646" s="1" t="s">
        <v>1551</v>
      </c>
      <c r="E646" s="1" t="s">
        <v>1552</v>
      </c>
      <c r="F646" s="1" t="s">
        <v>112</v>
      </c>
      <c r="G646" s="1">
        <v>1813688</v>
      </c>
    </row>
    <row r="647" spans="1:10" x14ac:dyDescent="0.25">
      <c r="A647" s="1" t="str">
        <f t="shared" si="10"/>
        <v>08  Testosterone 100 µg_Ldopé</v>
      </c>
      <c r="B6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7" s="1" t="s">
        <v>1553</v>
      </c>
      <c r="D647" s="1" t="s">
        <v>1554</v>
      </c>
      <c r="E647" s="1" t="s">
        <v>1555</v>
      </c>
      <c r="F647" s="1" t="s">
        <v>112</v>
      </c>
      <c r="G647" s="1">
        <v>1736491</v>
      </c>
    </row>
    <row r="648" spans="1:10" x14ac:dyDescent="0.25">
      <c r="A648" s="1" t="str">
        <f t="shared" si="10"/>
        <v>08  Testosterone 100 µg_Ldopé</v>
      </c>
      <c r="B6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8" s="1" t="s">
        <v>1556</v>
      </c>
      <c r="D648" s="1" t="s">
        <v>1557</v>
      </c>
      <c r="E648" s="1" t="s">
        <v>1558</v>
      </c>
      <c r="F648" s="1" t="s">
        <v>112</v>
      </c>
      <c r="G648" s="1">
        <v>2090551</v>
      </c>
    </row>
    <row r="649" spans="1:10" x14ac:dyDescent="0.25">
      <c r="A649" s="1" t="str">
        <f t="shared" si="10"/>
        <v>08  Testosterone 100 µg_Ldopé</v>
      </c>
      <c r="B6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9" s="1" t="s">
        <v>1559</v>
      </c>
      <c r="D649" s="1" t="s">
        <v>1560</v>
      </c>
      <c r="E649" s="1" t="s">
        <v>1561</v>
      </c>
      <c r="F649" s="1" t="s">
        <v>112</v>
      </c>
      <c r="G649" s="1">
        <v>1534879</v>
      </c>
    </row>
    <row r="650" spans="1:10" x14ac:dyDescent="0.25">
      <c r="A650" s="1" t="str">
        <f t="shared" si="10"/>
        <v>08  Testosterone 100 µg_Ldopé</v>
      </c>
      <c r="B6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0" s="1" t="s">
        <v>1562</v>
      </c>
    </row>
    <row r="651" spans="1:10" x14ac:dyDescent="0.25">
      <c r="A651" s="1" t="str">
        <f t="shared" si="10"/>
        <v>08  Testosterone 100 µg_Ldopé</v>
      </c>
      <c r="B6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1" s="1" t="s">
        <v>1563</v>
      </c>
      <c r="D651" s="1" t="s">
        <v>1564</v>
      </c>
      <c r="E651" s="1" t="s">
        <v>1565</v>
      </c>
      <c r="F651" s="1" t="s">
        <v>112</v>
      </c>
      <c r="G651" s="1">
        <v>2771979</v>
      </c>
    </row>
    <row r="652" spans="1:10" x14ac:dyDescent="0.25">
      <c r="A652" s="1" t="str">
        <f t="shared" si="10"/>
        <v>08  Testosterone 100 µg_Ldopé</v>
      </c>
      <c r="B6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2" s="1" t="s">
        <v>1566</v>
      </c>
      <c r="D652" s="1" t="s">
        <v>1567</v>
      </c>
      <c r="E652" s="1" t="s">
        <v>1568</v>
      </c>
      <c r="F652" s="1" t="s">
        <v>112</v>
      </c>
      <c r="G652" s="1">
        <v>2894080</v>
      </c>
    </row>
    <row r="653" spans="1:10" x14ac:dyDescent="0.25">
      <c r="A653" s="1" t="str">
        <f t="shared" si="10"/>
        <v/>
      </c>
      <c r="B6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3" s="1" t="s">
        <v>112</v>
      </c>
    </row>
    <row r="654" spans="1:10" x14ac:dyDescent="0.25">
      <c r="A654" s="1" t="str">
        <f t="shared" si="10"/>
        <v/>
      </c>
      <c r="B6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4" s="1" t="s">
        <v>229</v>
      </c>
      <c r="D654" s="1" t="s">
        <v>112</v>
      </c>
      <c r="E654" s="1" t="s">
        <v>230</v>
      </c>
      <c r="F654" s="1" t="s">
        <v>231</v>
      </c>
      <c r="G654" s="1" t="s">
        <v>232</v>
      </c>
      <c r="H654" s="1" t="s">
        <v>233</v>
      </c>
      <c r="I654" s="1" t="s">
        <v>234</v>
      </c>
      <c r="J654" s="1" t="s">
        <v>235</v>
      </c>
    </row>
    <row r="655" spans="1:10" x14ac:dyDescent="0.25">
      <c r="A655" s="1" t="str">
        <f t="shared" si="10"/>
        <v>08  Testosterone 100 µg_Ldopé</v>
      </c>
      <c r="B6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55" s="1" t="s">
        <v>1569</v>
      </c>
      <c r="D655" s="1" t="s">
        <v>112</v>
      </c>
      <c r="E655" s="1" t="s">
        <v>1570</v>
      </c>
      <c r="F655" s="1" t="s">
        <v>1571</v>
      </c>
      <c r="G655" s="1" t="s">
        <v>1572</v>
      </c>
      <c r="H655" s="1" t="s">
        <v>1573</v>
      </c>
      <c r="I655" s="1">
        <v>24</v>
      </c>
      <c r="J655" s="1">
        <v>24</v>
      </c>
    </row>
    <row r="656" spans="1:10" x14ac:dyDescent="0.25">
      <c r="A656" s="1" t="str">
        <f t="shared" si="10"/>
        <v/>
      </c>
      <c r="B6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6" s="1" t="s">
        <v>112</v>
      </c>
    </row>
    <row r="657" spans="1:7" x14ac:dyDescent="0.25">
      <c r="A657" s="1" t="str">
        <f t="shared" si="10"/>
        <v/>
      </c>
      <c r="B6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7" s="1" t="s">
        <v>112</v>
      </c>
    </row>
    <row r="658" spans="1:7" x14ac:dyDescent="0.25">
      <c r="A658" s="1" t="str">
        <f t="shared" si="10"/>
        <v/>
      </c>
      <c r="B6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8" s="1" t="s">
        <v>112</v>
      </c>
    </row>
    <row r="659" spans="1:7" x14ac:dyDescent="0.25">
      <c r="A659" s="1" t="str">
        <f t="shared" si="10"/>
        <v/>
      </c>
      <c r="B6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9" s="1" t="s">
        <v>112</v>
      </c>
    </row>
    <row r="660" spans="1:7" x14ac:dyDescent="0.25">
      <c r="A660" s="1" t="str">
        <f t="shared" si="10"/>
        <v/>
      </c>
      <c r="B6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0" s="1" t="s">
        <v>112</v>
      </c>
    </row>
    <row r="661" spans="1:7" x14ac:dyDescent="0.25">
      <c r="A661" s="1" t="str">
        <f t="shared" si="10"/>
        <v/>
      </c>
      <c r="B6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1" s="1" t="s">
        <v>241</v>
      </c>
      <c r="D661" s="1" t="s">
        <v>110</v>
      </c>
      <c r="E661" s="1" t="s">
        <v>111</v>
      </c>
      <c r="F661" s="1" t="s">
        <v>112</v>
      </c>
      <c r="G661" s="1" t="s">
        <v>113</v>
      </c>
    </row>
    <row r="662" spans="1:7" x14ac:dyDescent="0.25">
      <c r="A662" s="1" t="str">
        <f t="shared" si="10"/>
        <v>09  Testosterone 300 µg_L dopé</v>
      </c>
      <c r="B66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2" s="1" t="s">
        <v>1574</v>
      </c>
      <c r="D662" s="1" t="s">
        <v>1575</v>
      </c>
      <c r="E662" s="1" t="s">
        <v>1576</v>
      </c>
      <c r="F662" s="1" t="s">
        <v>112</v>
      </c>
      <c r="G662" s="1">
        <v>3688719</v>
      </c>
    </row>
    <row r="663" spans="1:7" x14ac:dyDescent="0.25">
      <c r="A663" s="1" t="str">
        <f t="shared" si="10"/>
        <v>09  Testosterone 300 µg_L dopé</v>
      </c>
      <c r="B66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3" s="1" t="s">
        <v>1577</v>
      </c>
      <c r="D663" s="1" t="s">
        <v>1578</v>
      </c>
      <c r="E663" s="1" t="s">
        <v>1579</v>
      </c>
      <c r="F663" s="1" t="s">
        <v>112</v>
      </c>
      <c r="G663" s="1">
        <v>4289835</v>
      </c>
    </row>
    <row r="664" spans="1:7" x14ac:dyDescent="0.25">
      <c r="A664" s="1" t="str">
        <f t="shared" si="10"/>
        <v>09  Testosterone 300 µg_L dopé</v>
      </c>
      <c r="B6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4" s="1" t="s">
        <v>1580</v>
      </c>
      <c r="D664" s="1" t="s">
        <v>1581</v>
      </c>
      <c r="E664" s="1" t="s">
        <v>1582</v>
      </c>
      <c r="F664" s="1" t="s">
        <v>112</v>
      </c>
      <c r="G664" s="1">
        <v>3456371</v>
      </c>
    </row>
    <row r="665" spans="1:7" x14ac:dyDescent="0.25">
      <c r="A665" s="1" t="str">
        <f t="shared" si="10"/>
        <v>09  Testosterone 300 µg_L dopé</v>
      </c>
      <c r="B6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5" s="1" t="s">
        <v>1583</v>
      </c>
      <c r="D665" s="1" t="s">
        <v>1584</v>
      </c>
      <c r="E665" s="1" t="s">
        <v>1585</v>
      </c>
      <c r="F665" s="1" t="s">
        <v>112</v>
      </c>
      <c r="G665" s="1">
        <v>4703875</v>
      </c>
    </row>
    <row r="666" spans="1:7" x14ac:dyDescent="0.25">
      <c r="A666" s="1" t="str">
        <f t="shared" si="10"/>
        <v>09  Testosterone 300 µg_L dopé</v>
      </c>
      <c r="B6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6" s="1" t="s">
        <v>1586</v>
      </c>
    </row>
    <row r="667" spans="1:7" x14ac:dyDescent="0.25">
      <c r="A667" s="1" t="str">
        <f t="shared" si="10"/>
        <v>09  Testosterone 300 µg_L dopé</v>
      </c>
      <c r="B6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7" s="1" t="s">
        <v>1587</v>
      </c>
      <c r="D667" s="1" t="s">
        <v>1588</v>
      </c>
      <c r="E667" s="1" t="s">
        <v>1589</v>
      </c>
      <c r="F667" s="1" t="s">
        <v>112</v>
      </c>
      <c r="G667" s="1">
        <v>4644998</v>
      </c>
    </row>
    <row r="668" spans="1:7" x14ac:dyDescent="0.25">
      <c r="A668" s="1" t="str">
        <f t="shared" si="10"/>
        <v>09  Testosterone 300 µg_L dopé</v>
      </c>
      <c r="B6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68" s="1" t="s">
        <v>1590</v>
      </c>
      <c r="D668" s="1" t="s">
        <v>1591</v>
      </c>
      <c r="E668" s="1" t="s">
        <v>1592</v>
      </c>
      <c r="F668" s="1" t="s">
        <v>112</v>
      </c>
      <c r="G668" s="1">
        <v>4260873</v>
      </c>
    </row>
    <row r="669" spans="1:7" x14ac:dyDescent="0.25">
      <c r="A669" s="1" t="str">
        <f t="shared" si="10"/>
        <v>09  Testosterone 300 µg_L dopé</v>
      </c>
      <c r="B6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69" s="1" t="s">
        <v>1593</v>
      </c>
      <c r="D669" s="1" t="s">
        <v>1594</v>
      </c>
      <c r="E669" s="1" t="s">
        <v>1595</v>
      </c>
      <c r="F669" s="1" t="s">
        <v>112</v>
      </c>
      <c r="G669" s="1">
        <v>4905574</v>
      </c>
    </row>
    <row r="670" spans="1:7" x14ac:dyDescent="0.25">
      <c r="A670" s="1" t="str">
        <f t="shared" si="10"/>
        <v>09  Testosterone 300 µg_L dopé</v>
      </c>
      <c r="B6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70" s="1" t="s">
        <v>1596</v>
      </c>
      <c r="D670" s="1" t="s">
        <v>1597</v>
      </c>
      <c r="E670" s="1" t="s">
        <v>1598</v>
      </c>
      <c r="F670" s="1" t="s">
        <v>112</v>
      </c>
      <c r="G670" s="1">
        <v>4302554</v>
      </c>
    </row>
    <row r="671" spans="1:7" x14ac:dyDescent="0.25">
      <c r="A671" s="1" t="str">
        <f t="shared" si="10"/>
        <v>09  Testosterone 300 µg_L dopé</v>
      </c>
      <c r="B6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1" s="1" t="s">
        <v>1599</v>
      </c>
      <c r="D671" s="1" t="s">
        <v>1600</v>
      </c>
      <c r="E671" s="1" t="s">
        <v>1601</v>
      </c>
      <c r="F671" s="1" t="s">
        <v>112</v>
      </c>
      <c r="G671" s="1">
        <v>2919171</v>
      </c>
    </row>
    <row r="672" spans="1:7" x14ac:dyDescent="0.25">
      <c r="A672" s="1" t="str">
        <f t="shared" si="10"/>
        <v>09  Testosterone 300 µg_L dopé</v>
      </c>
      <c r="B6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2" s="1" t="s">
        <v>1602</v>
      </c>
      <c r="D672" s="1" t="s">
        <v>1603</v>
      </c>
      <c r="E672" s="1" t="s">
        <v>1604</v>
      </c>
      <c r="F672" s="1" t="s">
        <v>112</v>
      </c>
      <c r="G672" s="1">
        <v>3642820</v>
      </c>
    </row>
    <row r="673" spans="1:10" x14ac:dyDescent="0.25">
      <c r="A673" s="1" t="str">
        <f t="shared" si="10"/>
        <v>09  Testosterone 300 µg_L dopé</v>
      </c>
      <c r="B6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3" s="1" t="s">
        <v>1605</v>
      </c>
      <c r="D673" s="1" t="s">
        <v>409</v>
      </c>
      <c r="E673" s="1" t="s">
        <v>1606</v>
      </c>
      <c r="F673" s="1" t="s">
        <v>112</v>
      </c>
      <c r="G673" s="1">
        <v>2981962</v>
      </c>
    </row>
    <row r="674" spans="1:10" x14ac:dyDescent="0.25">
      <c r="A674" s="1" t="str">
        <f t="shared" si="10"/>
        <v>09  Testosterone 300 µg_L dopé</v>
      </c>
      <c r="B6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4" s="1" t="s">
        <v>1607</v>
      </c>
      <c r="D674" s="1" t="s">
        <v>1608</v>
      </c>
      <c r="E674" s="1" t="s">
        <v>1609</v>
      </c>
      <c r="F674" s="1" t="s">
        <v>112</v>
      </c>
      <c r="G674" s="1">
        <v>1973879</v>
      </c>
    </row>
    <row r="675" spans="1:10" x14ac:dyDescent="0.25">
      <c r="A675" s="1" t="str">
        <f t="shared" si="10"/>
        <v>09  Testosterone 300 µg_L dopé</v>
      </c>
      <c r="B6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5" s="1" t="s">
        <v>1610</v>
      </c>
      <c r="D675" s="1" t="s">
        <v>1611</v>
      </c>
      <c r="E675" s="1" t="s">
        <v>1612</v>
      </c>
      <c r="F675" s="1" t="s">
        <v>112</v>
      </c>
      <c r="G675" s="1">
        <v>2177287</v>
      </c>
    </row>
    <row r="676" spans="1:10" x14ac:dyDescent="0.25">
      <c r="A676" s="1" t="str">
        <f t="shared" si="10"/>
        <v>09  Testosterone 300 µg_L dopé</v>
      </c>
      <c r="B6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6" s="1" t="s">
        <v>1613</v>
      </c>
      <c r="D676" s="1" t="s">
        <v>1614</v>
      </c>
      <c r="E676" s="1" t="s">
        <v>1615</v>
      </c>
      <c r="F676" s="1" t="s">
        <v>112</v>
      </c>
      <c r="G676" s="1">
        <v>2194807</v>
      </c>
    </row>
    <row r="677" spans="1:10" x14ac:dyDescent="0.25">
      <c r="A677" s="1" t="str">
        <f t="shared" si="10"/>
        <v>09  Testosterone 300 µg_L dopé</v>
      </c>
      <c r="B6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7" s="1" t="s">
        <v>1616</v>
      </c>
      <c r="D677" s="1" t="s">
        <v>1617</v>
      </c>
      <c r="E677" s="1" t="s">
        <v>1618</v>
      </c>
      <c r="F677" s="1" t="s">
        <v>112</v>
      </c>
      <c r="G677" s="1">
        <v>4268984</v>
      </c>
    </row>
    <row r="678" spans="1:10" x14ac:dyDescent="0.25">
      <c r="A678" s="1" t="str">
        <f t="shared" si="10"/>
        <v>09  Testosterone 300 µg_L dopé</v>
      </c>
      <c r="B6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8" s="1" t="s">
        <v>1619</v>
      </c>
      <c r="D678" s="1" t="s">
        <v>1620</v>
      </c>
      <c r="E678" s="1" t="s">
        <v>1621</v>
      </c>
      <c r="F678" s="1" t="s">
        <v>112</v>
      </c>
      <c r="G678" s="1">
        <v>4108425</v>
      </c>
    </row>
    <row r="679" spans="1:10" x14ac:dyDescent="0.25">
      <c r="A679" s="1" t="str">
        <f t="shared" si="10"/>
        <v>09  Testosterone 300 µg_L dopé</v>
      </c>
      <c r="B6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9" s="1" t="s">
        <v>1622</v>
      </c>
      <c r="D679" s="1" t="s">
        <v>1623</v>
      </c>
      <c r="E679" s="1" t="s">
        <v>1624</v>
      </c>
      <c r="F679" s="1" t="s">
        <v>112</v>
      </c>
      <c r="G679" s="1">
        <v>3619676</v>
      </c>
    </row>
    <row r="680" spans="1:10" x14ac:dyDescent="0.25">
      <c r="A680" s="1" t="str">
        <f t="shared" si="10"/>
        <v>09  Testosterone 300 µg_L dopé</v>
      </c>
      <c r="B6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0" s="1" t="s">
        <v>1625</v>
      </c>
      <c r="D680" s="1" t="s">
        <v>1626</v>
      </c>
      <c r="E680" s="1" t="s">
        <v>1627</v>
      </c>
      <c r="F680" s="1" t="s">
        <v>112</v>
      </c>
      <c r="G680" s="1">
        <v>2726578</v>
      </c>
    </row>
    <row r="681" spans="1:10" x14ac:dyDescent="0.25">
      <c r="A681" s="1" t="str">
        <f t="shared" si="10"/>
        <v>09  Testosterone 300 µg_L dopé</v>
      </c>
      <c r="B6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1" s="1" t="s">
        <v>1628</v>
      </c>
      <c r="D681" s="1" t="s">
        <v>1629</v>
      </c>
      <c r="E681" s="1" t="s">
        <v>1630</v>
      </c>
      <c r="F681" s="1" t="s">
        <v>112</v>
      </c>
      <c r="G681" s="1">
        <v>2950426</v>
      </c>
    </row>
    <row r="682" spans="1:10" x14ac:dyDescent="0.25">
      <c r="A682" s="1" t="str">
        <f t="shared" si="10"/>
        <v>09  Testosterone 300 µg_L dopé</v>
      </c>
      <c r="B6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2" s="1" t="s">
        <v>1631</v>
      </c>
      <c r="D682" s="1" t="s">
        <v>1632</v>
      </c>
      <c r="E682" s="1" t="s">
        <v>1633</v>
      </c>
      <c r="F682" s="1" t="s">
        <v>112</v>
      </c>
      <c r="G682" s="1">
        <v>2737588</v>
      </c>
    </row>
    <row r="683" spans="1:10" x14ac:dyDescent="0.25">
      <c r="A683" s="1" t="str">
        <f t="shared" si="10"/>
        <v>09  Testosterone 300 µg_L dopé</v>
      </c>
      <c r="B6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3" s="1" t="s">
        <v>1634</v>
      </c>
      <c r="D683" s="1" t="s">
        <v>1635</v>
      </c>
      <c r="E683" s="1" t="s">
        <v>1636</v>
      </c>
      <c r="F683" s="1" t="s">
        <v>112</v>
      </c>
      <c r="G683" s="1">
        <v>1846306</v>
      </c>
    </row>
    <row r="684" spans="1:10" x14ac:dyDescent="0.25">
      <c r="A684" s="1" t="str">
        <f t="shared" si="10"/>
        <v>09  Testosterone 300 µg_L dopé</v>
      </c>
      <c r="B6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4" s="1" t="s">
        <v>1637</v>
      </c>
      <c r="D684" s="1" t="s">
        <v>1638</v>
      </c>
      <c r="E684" s="1" t="s">
        <v>1639</v>
      </c>
      <c r="F684" s="1" t="s">
        <v>112</v>
      </c>
      <c r="G684" s="1">
        <v>2225889</v>
      </c>
    </row>
    <row r="685" spans="1:10" x14ac:dyDescent="0.25">
      <c r="A685" s="1" t="str">
        <f t="shared" si="10"/>
        <v>09  Testosterone 300 µg_L dopé</v>
      </c>
      <c r="B6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5" s="1" t="s">
        <v>1640</v>
      </c>
      <c r="D685" s="1" t="s">
        <v>1641</v>
      </c>
      <c r="E685" s="1" t="s">
        <v>1642</v>
      </c>
      <c r="F685" s="1" t="s">
        <v>112</v>
      </c>
      <c r="G685" s="1">
        <v>2073831</v>
      </c>
    </row>
    <row r="686" spans="1:10" x14ac:dyDescent="0.25">
      <c r="A686" s="1" t="str">
        <f t="shared" si="10"/>
        <v/>
      </c>
      <c r="B6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6" s="1" t="s">
        <v>112</v>
      </c>
    </row>
    <row r="687" spans="1:10" x14ac:dyDescent="0.25">
      <c r="A687" s="1" t="str">
        <f t="shared" si="10"/>
        <v/>
      </c>
      <c r="B6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7" s="1" t="s">
        <v>229</v>
      </c>
      <c r="D687" s="1" t="s">
        <v>112</v>
      </c>
      <c r="E687" s="1" t="s">
        <v>230</v>
      </c>
      <c r="F687" s="1" t="s">
        <v>231</v>
      </c>
      <c r="G687" s="1" t="s">
        <v>232</v>
      </c>
      <c r="H687" s="1" t="s">
        <v>233</v>
      </c>
      <c r="I687" s="1" t="s">
        <v>234</v>
      </c>
      <c r="J687" s="1" t="s">
        <v>235</v>
      </c>
    </row>
    <row r="688" spans="1:10" x14ac:dyDescent="0.25">
      <c r="A688" s="1" t="str">
        <f t="shared" si="10"/>
        <v>09  Testosterone 300 µg_L dopé</v>
      </c>
      <c r="B6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88" s="1" t="s">
        <v>1643</v>
      </c>
      <c r="D688" s="1" t="s">
        <v>112</v>
      </c>
      <c r="E688" s="1" t="s">
        <v>1644</v>
      </c>
      <c r="F688" s="1" t="s">
        <v>1645</v>
      </c>
      <c r="G688" s="1" t="s">
        <v>1646</v>
      </c>
      <c r="H688" s="1" t="s">
        <v>1647</v>
      </c>
      <c r="I688" s="1">
        <v>24</v>
      </c>
      <c r="J688" s="1">
        <v>24</v>
      </c>
    </row>
    <row r="689" spans="1:3" x14ac:dyDescent="0.25">
      <c r="A689" s="1" t="str">
        <f t="shared" si="10"/>
        <v/>
      </c>
      <c r="B6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9" s="1" t="s">
        <v>112</v>
      </c>
    </row>
    <row r="690" spans="1:3" x14ac:dyDescent="0.25">
      <c r="A690" s="1" t="str">
        <f t="shared" si="10"/>
        <v/>
      </c>
      <c r="B6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90" s="1" t="s">
        <v>112</v>
      </c>
    </row>
    <row r="691" spans="1:3" x14ac:dyDescent="0.25">
      <c r="A691" s="1" t="str">
        <f t="shared" si="10"/>
        <v/>
      </c>
      <c r="B6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91" s="1" t="s">
        <v>112</v>
      </c>
    </row>
    <row r="692" spans="1:3" x14ac:dyDescent="0.25">
      <c r="A692" s="1" t="str">
        <f t="shared" si="10"/>
        <v/>
      </c>
      <c r="B6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3" spans="1:3" x14ac:dyDescent="0.25">
      <c r="A693" s="1" t="str">
        <f t="shared" si="10"/>
        <v/>
      </c>
      <c r="B6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4" spans="1:3" x14ac:dyDescent="0.25">
      <c r="A694" s="1" t="str">
        <f t="shared" si="10"/>
        <v/>
      </c>
      <c r="B6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5" spans="1:3" x14ac:dyDescent="0.25">
      <c r="A695" s="1" t="str">
        <f t="shared" si="10"/>
        <v/>
      </c>
      <c r="B6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6" spans="1:3" x14ac:dyDescent="0.25">
      <c r="A696" s="1" t="str">
        <f t="shared" si="10"/>
        <v/>
      </c>
      <c r="B6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7" spans="1:3" x14ac:dyDescent="0.25">
      <c r="A697" s="1" t="str">
        <f t="shared" si="10"/>
        <v/>
      </c>
      <c r="B6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8" spans="1:3" x14ac:dyDescent="0.25">
      <c r="A698" s="1" t="str">
        <f t="shared" si="10"/>
        <v/>
      </c>
      <c r="B6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9" spans="1:3" x14ac:dyDescent="0.25">
      <c r="A699" s="1" t="str">
        <f t="shared" si="10"/>
        <v/>
      </c>
      <c r="B6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0" spans="1:3" x14ac:dyDescent="0.25">
      <c r="A700" s="1" t="str">
        <f t="shared" si="10"/>
        <v/>
      </c>
      <c r="B7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1" spans="1:3" x14ac:dyDescent="0.25">
      <c r="A701" s="1" t="str">
        <f t="shared" si="10"/>
        <v/>
      </c>
      <c r="B7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2" spans="1:3" x14ac:dyDescent="0.25">
      <c r="A702" s="1" t="str">
        <f t="shared" si="10"/>
        <v/>
      </c>
      <c r="B7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3" spans="1:3" x14ac:dyDescent="0.25">
      <c r="A703" s="1" t="str">
        <f t="shared" si="10"/>
        <v/>
      </c>
      <c r="B7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4" spans="1:3" x14ac:dyDescent="0.25">
      <c r="A704" s="1" t="str">
        <f t="shared" si="10"/>
        <v/>
      </c>
      <c r="B7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5" spans="1:2" x14ac:dyDescent="0.25">
      <c r="A705" s="1" t="str">
        <f t="shared" si="10"/>
        <v/>
      </c>
      <c r="B7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6" spans="1:2" x14ac:dyDescent="0.25">
      <c r="A706" s="1" t="str">
        <f t="shared" ref="A706:A769" si="11">IFERROR(LEFT(RIGHT(C706,LEN(C706)-SEARCH("@",C706)),SEARCH("/",RIGHT(C706,LEN(C706)-SEARCH("@",C706)-1))),"")</f>
        <v/>
      </c>
      <c r="B7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7" spans="1:2" x14ac:dyDescent="0.25">
      <c r="A707" s="1" t="str">
        <f t="shared" si="11"/>
        <v/>
      </c>
      <c r="B7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8" spans="1:2" x14ac:dyDescent="0.25">
      <c r="A708" s="1" t="str">
        <f t="shared" si="11"/>
        <v/>
      </c>
      <c r="B7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9" spans="1:2" x14ac:dyDescent="0.25">
      <c r="A709" s="1" t="str">
        <f t="shared" si="11"/>
        <v/>
      </c>
      <c r="B7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0" spans="1:2" x14ac:dyDescent="0.25">
      <c r="A710" s="1" t="str">
        <f t="shared" si="11"/>
        <v/>
      </c>
      <c r="B7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1" spans="1:2" x14ac:dyDescent="0.25">
      <c r="A711" s="1" t="str">
        <f t="shared" si="11"/>
        <v/>
      </c>
      <c r="B7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2" spans="1:2" x14ac:dyDescent="0.25">
      <c r="A712" s="1" t="str">
        <f t="shared" si="11"/>
        <v/>
      </c>
      <c r="B7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3" spans="1:2" x14ac:dyDescent="0.25">
      <c r="A713" s="1" t="str">
        <f t="shared" si="11"/>
        <v/>
      </c>
      <c r="B7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4" spans="1:2" x14ac:dyDescent="0.25">
      <c r="A714" s="1" t="str">
        <f t="shared" si="11"/>
        <v/>
      </c>
      <c r="B7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5" spans="1:2" x14ac:dyDescent="0.25">
      <c r="A715" s="1" t="str">
        <f t="shared" si="11"/>
        <v/>
      </c>
      <c r="B7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6" spans="1:2" x14ac:dyDescent="0.25">
      <c r="A716" s="1" t="str">
        <f t="shared" si="11"/>
        <v/>
      </c>
      <c r="B7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7" spans="1:2" x14ac:dyDescent="0.25">
      <c r="A717" s="1" t="str">
        <f t="shared" si="11"/>
        <v/>
      </c>
      <c r="B7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8" spans="1:2" x14ac:dyDescent="0.25">
      <c r="A718" s="1" t="str">
        <f t="shared" si="11"/>
        <v/>
      </c>
      <c r="B7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9" spans="1:2" x14ac:dyDescent="0.25">
      <c r="A719" s="1" t="str">
        <f t="shared" si="11"/>
        <v/>
      </c>
      <c r="B7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0" spans="1:2" x14ac:dyDescent="0.25">
      <c r="A720" s="1" t="str">
        <f t="shared" si="11"/>
        <v/>
      </c>
      <c r="B7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1" spans="1:2" x14ac:dyDescent="0.25">
      <c r="A721" s="1" t="str">
        <f t="shared" si="11"/>
        <v/>
      </c>
      <c r="B7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2" spans="1:2" x14ac:dyDescent="0.25">
      <c r="A722" s="1" t="str">
        <f t="shared" si="11"/>
        <v/>
      </c>
      <c r="B7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3" spans="1:2" x14ac:dyDescent="0.25">
      <c r="A723" s="1" t="str">
        <f t="shared" si="11"/>
        <v/>
      </c>
      <c r="B7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4" spans="1:2" x14ac:dyDescent="0.25">
      <c r="A724" s="1" t="str">
        <f t="shared" si="11"/>
        <v/>
      </c>
      <c r="B7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5" spans="1:2" x14ac:dyDescent="0.25">
      <c r="A725" s="1" t="str">
        <f t="shared" si="11"/>
        <v/>
      </c>
      <c r="B7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6" spans="1:2" x14ac:dyDescent="0.25">
      <c r="A726" s="1" t="str">
        <f t="shared" si="11"/>
        <v/>
      </c>
      <c r="B7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7" spans="1:2" x14ac:dyDescent="0.25">
      <c r="A727" s="1" t="str">
        <f t="shared" si="11"/>
        <v/>
      </c>
      <c r="B7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8" spans="1:2" x14ac:dyDescent="0.25">
      <c r="A728" s="1" t="str">
        <f t="shared" si="11"/>
        <v/>
      </c>
      <c r="B7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9" spans="1:2" x14ac:dyDescent="0.25">
      <c r="A729" s="1" t="str">
        <f t="shared" si="11"/>
        <v/>
      </c>
      <c r="B7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0" spans="1:2" x14ac:dyDescent="0.25">
      <c r="A730" s="1" t="str">
        <f t="shared" si="11"/>
        <v/>
      </c>
      <c r="B7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1" spans="1:2" x14ac:dyDescent="0.25">
      <c r="A731" s="1" t="str">
        <f t="shared" si="11"/>
        <v/>
      </c>
      <c r="B7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2" spans="1:2" x14ac:dyDescent="0.25">
      <c r="A732" s="1" t="str">
        <f t="shared" si="11"/>
        <v/>
      </c>
      <c r="B7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3" spans="1:2" x14ac:dyDescent="0.25">
      <c r="A733" s="1" t="str">
        <f t="shared" si="11"/>
        <v/>
      </c>
      <c r="B7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4" spans="1:2" x14ac:dyDescent="0.25">
      <c r="A734" s="1" t="str">
        <f t="shared" si="11"/>
        <v/>
      </c>
      <c r="B7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5" spans="1:2" x14ac:dyDescent="0.25">
      <c r="A735" s="1" t="str">
        <f t="shared" si="11"/>
        <v/>
      </c>
      <c r="B7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6" spans="1:2" x14ac:dyDescent="0.25">
      <c r="A736" s="1" t="str">
        <f t="shared" si="11"/>
        <v/>
      </c>
      <c r="B7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7" spans="1:2" x14ac:dyDescent="0.25">
      <c r="A737" s="1" t="str">
        <f t="shared" si="11"/>
        <v/>
      </c>
      <c r="B7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8" spans="1:2" x14ac:dyDescent="0.25">
      <c r="A738" s="1" t="str">
        <f t="shared" si="11"/>
        <v/>
      </c>
      <c r="B7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9" spans="1:2" x14ac:dyDescent="0.25">
      <c r="A739" s="1" t="str">
        <f t="shared" si="11"/>
        <v/>
      </c>
      <c r="B7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0" spans="1:2" x14ac:dyDescent="0.25">
      <c r="A740" s="1" t="str">
        <f t="shared" si="11"/>
        <v/>
      </c>
      <c r="B7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1" spans="1:2" x14ac:dyDescent="0.25">
      <c r="A741" s="1" t="str">
        <f t="shared" si="11"/>
        <v/>
      </c>
      <c r="B7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2" spans="1:2" x14ac:dyDescent="0.25">
      <c r="A742" s="1" t="str">
        <f t="shared" si="11"/>
        <v/>
      </c>
      <c r="B7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3" spans="1:2" x14ac:dyDescent="0.25">
      <c r="A743" s="1" t="str">
        <f t="shared" si="11"/>
        <v/>
      </c>
      <c r="B7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4" spans="1:2" x14ac:dyDescent="0.25">
      <c r="A744" s="1" t="str">
        <f t="shared" si="11"/>
        <v/>
      </c>
      <c r="B7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5" spans="1:2" x14ac:dyDescent="0.25">
      <c r="A745" s="1" t="str">
        <f t="shared" si="11"/>
        <v/>
      </c>
      <c r="B7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6" spans="1:2" x14ac:dyDescent="0.25">
      <c r="A746" s="1" t="str">
        <f t="shared" si="11"/>
        <v/>
      </c>
      <c r="B7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7" spans="1:2" x14ac:dyDescent="0.25">
      <c r="A747" s="1" t="str">
        <f t="shared" si="11"/>
        <v/>
      </c>
      <c r="B7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8" spans="1:2" x14ac:dyDescent="0.25">
      <c r="A748" s="1" t="str">
        <f t="shared" si="11"/>
        <v/>
      </c>
      <c r="B7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9" spans="1:2" x14ac:dyDescent="0.25">
      <c r="A749" s="1" t="str">
        <f t="shared" si="11"/>
        <v/>
      </c>
      <c r="B7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0" spans="1:2" x14ac:dyDescent="0.25">
      <c r="A750" s="1" t="str">
        <f t="shared" si="11"/>
        <v/>
      </c>
      <c r="B7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1" spans="1:2" x14ac:dyDescent="0.25">
      <c r="A751" s="1" t="str">
        <f t="shared" si="11"/>
        <v/>
      </c>
      <c r="B7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2" spans="1:2" x14ac:dyDescent="0.25">
      <c r="A752" s="1" t="str">
        <f t="shared" si="11"/>
        <v/>
      </c>
      <c r="B7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3" spans="1:2" x14ac:dyDescent="0.25">
      <c r="A753" s="1" t="str">
        <f t="shared" si="11"/>
        <v/>
      </c>
      <c r="B7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4" spans="1:2" x14ac:dyDescent="0.25">
      <c r="A754" s="1" t="str">
        <f t="shared" si="11"/>
        <v/>
      </c>
      <c r="B7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5" spans="1:2" x14ac:dyDescent="0.25">
      <c r="A755" s="1" t="str">
        <f t="shared" si="11"/>
        <v/>
      </c>
      <c r="B7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6" spans="1:2" x14ac:dyDescent="0.25">
      <c r="A756" s="1" t="str">
        <f t="shared" si="11"/>
        <v/>
      </c>
      <c r="B7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7" spans="1:2" x14ac:dyDescent="0.25">
      <c r="A757" s="1" t="str">
        <f t="shared" si="11"/>
        <v/>
      </c>
      <c r="B7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8" spans="1:2" x14ac:dyDescent="0.25">
      <c r="A758" s="1" t="str">
        <f t="shared" si="11"/>
        <v/>
      </c>
      <c r="B7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9" spans="1:2" x14ac:dyDescent="0.25">
      <c r="A759" s="1" t="str">
        <f t="shared" si="11"/>
        <v/>
      </c>
      <c r="B7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0" spans="1:2" x14ac:dyDescent="0.25">
      <c r="A760" s="1" t="str">
        <f t="shared" si="11"/>
        <v/>
      </c>
      <c r="B7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1" spans="1:2" x14ac:dyDescent="0.25">
      <c r="A761" s="1" t="str">
        <f t="shared" si="11"/>
        <v/>
      </c>
      <c r="B7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2" spans="1:2" x14ac:dyDescent="0.25">
      <c r="A762" s="1" t="str">
        <f t="shared" si="11"/>
        <v/>
      </c>
      <c r="B7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3" spans="1:2" x14ac:dyDescent="0.25">
      <c r="A763" s="1" t="str">
        <f t="shared" si="11"/>
        <v/>
      </c>
      <c r="B7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4" spans="1:2" x14ac:dyDescent="0.25">
      <c r="A764" s="1" t="str">
        <f t="shared" si="11"/>
        <v/>
      </c>
      <c r="B7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5" spans="1:2" x14ac:dyDescent="0.25">
      <c r="A765" s="1" t="str">
        <f t="shared" si="11"/>
        <v/>
      </c>
      <c r="B7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6" spans="1:2" x14ac:dyDescent="0.25">
      <c r="A766" s="1" t="str">
        <f t="shared" si="11"/>
        <v/>
      </c>
      <c r="B7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7" spans="1:2" x14ac:dyDescent="0.25">
      <c r="A767" s="1" t="str">
        <f t="shared" si="11"/>
        <v/>
      </c>
      <c r="B7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8" spans="1:2" x14ac:dyDescent="0.25">
      <c r="A768" s="1" t="str">
        <f t="shared" si="11"/>
        <v/>
      </c>
      <c r="B7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9" spans="1:2" x14ac:dyDescent="0.25">
      <c r="A769" s="1" t="str">
        <f t="shared" si="11"/>
        <v/>
      </c>
      <c r="B7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0" spans="1:2" x14ac:dyDescent="0.25">
      <c r="A770" s="1" t="str">
        <f t="shared" ref="A770:A833" si="12">IFERROR(LEFT(RIGHT(C770,LEN(C770)-SEARCH("@",C770)),SEARCH("/",RIGHT(C770,LEN(C770)-SEARCH("@",C770)-1))),"")</f>
        <v/>
      </c>
      <c r="B7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1" spans="1:2" x14ac:dyDescent="0.25">
      <c r="A771" s="1" t="str">
        <f t="shared" si="12"/>
        <v/>
      </c>
      <c r="B7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2" spans="1:2" x14ac:dyDescent="0.25">
      <c r="A772" s="1" t="str">
        <f t="shared" si="12"/>
        <v/>
      </c>
      <c r="B7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3" spans="1:2" x14ac:dyDescent="0.25">
      <c r="A773" s="1" t="str">
        <f t="shared" si="12"/>
        <v/>
      </c>
      <c r="B7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4" spans="1:2" x14ac:dyDescent="0.25">
      <c r="A774" s="1" t="str">
        <f t="shared" si="12"/>
        <v/>
      </c>
      <c r="B7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5" spans="1:2" x14ac:dyDescent="0.25">
      <c r="A775" s="1" t="str">
        <f t="shared" si="12"/>
        <v/>
      </c>
      <c r="B7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6" spans="1:2" x14ac:dyDescent="0.25">
      <c r="A776" s="1" t="str">
        <f t="shared" si="12"/>
        <v/>
      </c>
      <c r="B7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7" spans="1:2" x14ac:dyDescent="0.25">
      <c r="A777" s="1" t="str">
        <f t="shared" si="12"/>
        <v/>
      </c>
      <c r="B7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8" spans="1:2" x14ac:dyDescent="0.25">
      <c r="A778" s="1" t="str">
        <f t="shared" si="12"/>
        <v/>
      </c>
      <c r="B7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9" spans="1:2" x14ac:dyDescent="0.25">
      <c r="A779" s="1" t="str">
        <f t="shared" si="12"/>
        <v/>
      </c>
      <c r="B7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0" spans="1:2" x14ac:dyDescent="0.25">
      <c r="A780" s="1" t="str">
        <f t="shared" si="12"/>
        <v/>
      </c>
      <c r="B7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1" spans="1:2" x14ac:dyDescent="0.25">
      <c r="A781" s="1" t="str">
        <f t="shared" si="12"/>
        <v/>
      </c>
      <c r="B7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2" spans="1:2" x14ac:dyDescent="0.25">
      <c r="A782" s="1" t="str">
        <f t="shared" si="12"/>
        <v/>
      </c>
      <c r="B7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3" spans="1:2" x14ac:dyDescent="0.25">
      <c r="A783" s="1" t="str">
        <f t="shared" si="12"/>
        <v/>
      </c>
      <c r="B7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4" spans="1:2" x14ac:dyDescent="0.25">
      <c r="A784" s="1" t="str">
        <f t="shared" si="12"/>
        <v/>
      </c>
      <c r="B7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5" spans="1:2" x14ac:dyDescent="0.25">
      <c r="A785" s="1" t="str">
        <f t="shared" si="12"/>
        <v/>
      </c>
      <c r="B7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6" spans="1:2" x14ac:dyDescent="0.25">
      <c r="A786" s="1" t="str">
        <f t="shared" si="12"/>
        <v/>
      </c>
      <c r="B7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7" spans="1:2" x14ac:dyDescent="0.25">
      <c r="A787" s="1" t="str">
        <f t="shared" si="12"/>
        <v/>
      </c>
      <c r="B7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8" spans="1:2" x14ac:dyDescent="0.25">
      <c r="A788" s="1" t="str">
        <f t="shared" si="12"/>
        <v/>
      </c>
      <c r="B7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9" spans="1:2" x14ac:dyDescent="0.25">
      <c r="A789" s="1" t="str">
        <f t="shared" si="12"/>
        <v/>
      </c>
      <c r="B7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0" spans="1:2" x14ac:dyDescent="0.25">
      <c r="A790" s="1" t="str">
        <f t="shared" si="12"/>
        <v/>
      </c>
      <c r="B7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1" spans="1:2" x14ac:dyDescent="0.25">
      <c r="A791" s="1" t="str">
        <f t="shared" si="12"/>
        <v/>
      </c>
      <c r="B7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2" spans="1:2" x14ac:dyDescent="0.25">
      <c r="A792" s="1" t="str">
        <f t="shared" si="12"/>
        <v/>
      </c>
      <c r="B7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3" spans="1:2" x14ac:dyDescent="0.25">
      <c r="A793" s="1" t="str">
        <f t="shared" si="12"/>
        <v/>
      </c>
      <c r="B7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4" spans="1:2" x14ac:dyDescent="0.25">
      <c r="A794" s="1" t="str">
        <f t="shared" si="12"/>
        <v/>
      </c>
      <c r="B7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5" spans="1:2" x14ac:dyDescent="0.25">
      <c r="A795" s="1" t="str">
        <f t="shared" si="12"/>
        <v/>
      </c>
      <c r="B7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6" spans="1:2" x14ac:dyDescent="0.25">
      <c r="A796" s="1" t="str">
        <f t="shared" si="12"/>
        <v/>
      </c>
      <c r="B7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7" spans="1:2" x14ac:dyDescent="0.25">
      <c r="A797" s="1" t="str">
        <f t="shared" si="12"/>
        <v/>
      </c>
      <c r="B7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8" spans="1:2" x14ac:dyDescent="0.25">
      <c r="A798" s="1" t="str">
        <f t="shared" si="12"/>
        <v/>
      </c>
      <c r="B7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9" spans="1:2" x14ac:dyDescent="0.25">
      <c r="A799" s="1" t="str">
        <f t="shared" si="12"/>
        <v/>
      </c>
      <c r="B7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0" spans="1:2" x14ac:dyDescent="0.25">
      <c r="A800" s="1" t="str">
        <f t="shared" si="12"/>
        <v/>
      </c>
      <c r="B8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1" spans="1:2" x14ac:dyDescent="0.25">
      <c r="A801" s="1" t="str">
        <f t="shared" si="12"/>
        <v/>
      </c>
      <c r="B8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2" spans="1:2" x14ac:dyDescent="0.25">
      <c r="A802" s="1" t="str">
        <f t="shared" si="12"/>
        <v/>
      </c>
      <c r="B8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3" spans="1:2" x14ac:dyDescent="0.25">
      <c r="A803" s="1" t="str">
        <f t="shared" si="12"/>
        <v/>
      </c>
      <c r="B8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4" spans="1:2" x14ac:dyDescent="0.25">
      <c r="A804" s="1" t="str">
        <f t="shared" si="12"/>
        <v/>
      </c>
      <c r="B8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5" spans="1:2" x14ac:dyDescent="0.25">
      <c r="A805" s="1" t="str">
        <f t="shared" si="12"/>
        <v/>
      </c>
      <c r="B8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6" spans="1:2" x14ac:dyDescent="0.25">
      <c r="A806" s="1" t="str">
        <f t="shared" si="12"/>
        <v/>
      </c>
      <c r="B8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7" spans="1:2" x14ac:dyDescent="0.25">
      <c r="A807" s="1" t="str">
        <f t="shared" si="12"/>
        <v/>
      </c>
      <c r="B8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8" spans="1:2" x14ac:dyDescent="0.25">
      <c r="A808" s="1" t="str">
        <f t="shared" si="12"/>
        <v/>
      </c>
      <c r="B8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9" spans="1:2" x14ac:dyDescent="0.25">
      <c r="A809" s="1" t="str">
        <f t="shared" si="12"/>
        <v/>
      </c>
      <c r="B8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0" spans="1:2" x14ac:dyDescent="0.25">
      <c r="A810" s="1" t="str">
        <f t="shared" si="12"/>
        <v/>
      </c>
      <c r="B8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1" spans="1:2" x14ac:dyDescent="0.25">
      <c r="A811" s="1" t="str">
        <f t="shared" si="12"/>
        <v/>
      </c>
      <c r="B8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2" spans="1:2" x14ac:dyDescent="0.25">
      <c r="A812" s="1" t="str">
        <f t="shared" si="12"/>
        <v/>
      </c>
      <c r="B8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3" spans="1:2" x14ac:dyDescent="0.25">
      <c r="A813" s="1" t="str">
        <f t="shared" si="12"/>
        <v/>
      </c>
      <c r="B8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4" spans="1:2" x14ac:dyDescent="0.25">
      <c r="A814" s="1" t="str">
        <f t="shared" si="12"/>
        <v/>
      </c>
      <c r="B8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5" spans="1:2" x14ac:dyDescent="0.25">
      <c r="A815" s="1" t="str">
        <f t="shared" si="12"/>
        <v/>
      </c>
      <c r="B8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6" spans="1:2" x14ac:dyDescent="0.25">
      <c r="A816" s="1" t="str">
        <f t="shared" si="12"/>
        <v/>
      </c>
      <c r="B8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7" spans="1:2" x14ac:dyDescent="0.25">
      <c r="A817" s="1" t="str">
        <f t="shared" si="12"/>
        <v/>
      </c>
      <c r="B8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8" spans="1:2" x14ac:dyDescent="0.25">
      <c r="A818" s="1" t="str">
        <f t="shared" si="12"/>
        <v/>
      </c>
      <c r="B8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9" spans="1:2" x14ac:dyDescent="0.25">
      <c r="A819" s="1" t="str">
        <f t="shared" si="12"/>
        <v/>
      </c>
      <c r="B8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0" spans="1:2" x14ac:dyDescent="0.25">
      <c r="A820" s="1" t="str">
        <f t="shared" si="12"/>
        <v/>
      </c>
      <c r="B8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1" spans="1:2" x14ac:dyDescent="0.25">
      <c r="A821" s="1" t="str">
        <f t="shared" si="12"/>
        <v/>
      </c>
      <c r="B8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2" spans="1:2" x14ac:dyDescent="0.25">
      <c r="A822" s="1" t="str">
        <f t="shared" si="12"/>
        <v/>
      </c>
      <c r="B8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3" spans="1:2" x14ac:dyDescent="0.25">
      <c r="A823" s="1" t="str">
        <f t="shared" si="12"/>
        <v/>
      </c>
      <c r="B8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4" spans="1:2" x14ac:dyDescent="0.25">
      <c r="A824" s="1" t="str">
        <f t="shared" si="12"/>
        <v/>
      </c>
      <c r="B8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5" spans="1:2" x14ac:dyDescent="0.25">
      <c r="A825" s="1" t="str">
        <f t="shared" si="12"/>
        <v/>
      </c>
      <c r="B8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6" spans="1:2" x14ac:dyDescent="0.25">
      <c r="A826" s="1" t="str">
        <f t="shared" si="12"/>
        <v/>
      </c>
      <c r="B8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7" spans="1:2" x14ac:dyDescent="0.25">
      <c r="A827" s="1" t="str">
        <f t="shared" si="12"/>
        <v/>
      </c>
      <c r="B8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8" spans="1:2" x14ac:dyDescent="0.25">
      <c r="A828" s="1" t="str">
        <f t="shared" si="12"/>
        <v/>
      </c>
      <c r="B8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9" spans="1:2" x14ac:dyDescent="0.25">
      <c r="A829" s="1" t="str">
        <f t="shared" si="12"/>
        <v/>
      </c>
      <c r="B8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0" spans="1:2" x14ac:dyDescent="0.25">
      <c r="A830" s="1" t="str">
        <f t="shared" si="12"/>
        <v/>
      </c>
      <c r="B8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1" spans="1:2" x14ac:dyDescent="0.25">
      <c r="A831" s="1" t="str">
        <f t="shared" si="12"/>
        <v/>
      </c>
      <c r="B8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2" spans="1:2" x14ac:dyDescent="0.25">
      <c r="A832" s="1" t="str">
        <f t="shared" si="12"/>
        <v/>
      </c>
      <c r="B8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3" spans="1:2" x14ac:dyDescent="0.25">
      <c r="A833" s="1" t="str">
        <f t="shared" si="12"/>
        <v/>
      </c>
      <c r="B8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4" spans="1:2" x14ac:dyDescent="0.25">
      <c r="A834" s="1" t="str">
        <f t="shared" ref="A834:A897" si="13">IFERROR(LEFT(RIGHT(C834,LEN(C834)-SEARCH("@",C834)),SEARCH("/",RIGHT(C834,LEN(C834)-SEARCH("@",C834)-1))),"")</f>
        <v/>
      </c>
      <c r="B8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5" spans="1:2" x14ac:dyDescent="0.25">
      <c r="A835" s="1" t="str">
        <f t="shared" si="13"/>
        <v/>
      </c>
      <c r="B8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6" spans="1:2" x14ac:dyDescent="0.25">
      <c r="A836" s="1" t="str">
        <f t="shared" si="13"/>
        <v/>
      </c>
      <c r="B8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7" spans="1:2" x14ac:dyDescent="0.25">
      <c r="A837" s="1" t="str">
        <f t="shared" si="13"/>
        <v/>
      </c>
      <c r="B8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8" spans="1:2" x14ac:dyDescent="0.25">
      <c r="A838" s="1" t="str">
        <f t="shared" si="13"/>
        <v/>
      </c>
      <c r="B8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9" spans="1:2" x14ac:dyDescent="0.25">
      <c r="A839" s="1" t="str">
        <f t="shared" si="13"/>
        <v/>
      </c>
      <c r="B8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0" spans="1:2" x14ac:dyDescent="0.25">
      <c r="A840" s="1" t="str">
        <f t="shared" si="13"/>
        <v/>
      </c>
      <c r="B8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1" spans="1:2" x14ac:dyDescent="0.25">
      <c r="A841" s="1" t="str">
        <f t="shared" si="13"/>
        <v/>
      </c>
      <c r="B8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2" spans="1:2" x14ac:dyDescent="0.25">
      <c r="A842" s="1" t="str">
        <f t="shared" si="13"/>
        <v/>
      </c>
      <c r="B8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3" spans="1:2" x14ac:dyDescent="0.25">
      <c r="A843" s="1" t="str">
        <f t="shared" si="13"/>
        <v/>
      </c>
      <c r="B8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4" spans="1:2" x14ac:dyDescent="0.25">
      <c r="A844" s="1" t="str">
        <f t="shared" si="13"/>
        <v/>
      </c>
      <c r="B8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5" spans="1:2" x14ac:dyDescent="0.25">
      <c r="A845" s="1" t="str">
        <f t="shared" si="13"/>
        <v/>
      </c>
      <c r="B8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6" spans="1:2" x14ac:dyDescent="0.25">
      <c r="A846" s="1" t="str">
        <f t="shared" si="13"/>
        <v/>
      </c>
      <c r="B8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7" spans="1:2" x14ac:dyDescent="0.25">
      <c r="A847" s="1" t="str">
        <f t="shared" si="13"/>
        <v/>
      </c>
      <c r="B8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8" spans="1:2" x14ac:dyDescent="0.25">
      <c r="A848" s="1" t="str">
        <f t="shared" si="13"/>
        <v/>
      </c>
      <c r="B8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9" spans="1:2" x14ac:dyDescent="0.25">
      <c r="A849" s="1" t="str">
        <f t="shared" si="13"/>
        <v/>
      </c>
      <c r="B8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0" spans="1:2" x14ac:dyDescent="0.25">
      <c r="A850" s="1" t="str">
        <f t="shared" si="13"/>
        <v/>
      </c>
      <c r="B8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1" spans="1:2" x14ac:dyDescent="0.25">
      <c r="A851" s="1" t="str">
        <f t="shared" si="13"/>
        <v/>
      </c>
      <c r="B8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2" spans="1:2" x14ac:dyDescent="0.25">
      <c r="A852" s="1" t="str">
        <f t="shared" si="13"/>
        <v/>
      </c>
      <c r="B8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3" spans="1:2" x14ac:dyDescent="0.25">
      <c r="A853" s="1" t="str">
        <f t="shared" si="13"/>
        <v/>
      </c>
      <c r="B8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4" spans="1:2" x14ac:dyDescent="0.25">
      <c r="A854" s="1" t="str">
        <f t="shared" si="13"/>
        <v/>
      </c>
      <c r="B8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5" spans="1:2" x14ac:dyDescent="0.25">
      <c r="A855" s="1" t="str">
        <f t="shared" si="13"/>
        <v/>
      </c>
      <c r="B8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6" spans="1:2" x14ac:dyDescent="0.25">
      <c r="A856" s="1" t="str">
        <f t="shared" si="13"/>
        <v/>
      </c>
      <c r="B8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7" spans="1:2" x14ac:dyDescent="0.25">
      <c r="A857" s="1" t="str">
        <f t="shared" si="13"/>
        <v/>
      </c>
      <c r="B8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8" spans="1:2" x14ac:dyDescent="0.25">
      <c r="A858" s="1" t="str">
        <f t="shared" si="13"/>
        <v/>
      </c>
      <c r="B8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9" spans="1:2" x14ac:dyDescent="0.25">
      <c r="A859" s="1" t="str">
        <f t="shared" si="13"/>
        <v/>
      </c>
      <c r="B8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0" spans="1:2" x14ac:dyDescent="0.25">
      <c r="A860" s="1" t="str">
        <f t="shared" si="13"/>
        <v/>
      </c>
      <c r="B8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1" spans="1:2" x14ac:dyDescent="0.25">
      <c r="A861" s="1" t="str">
        <f t="shared" si="13"/>
        <v/>
      </c>
      <c r="B8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2" spans="1:2" x14ac:dyDescent="0.25">
      <c r="A862" s="1" t="str">
        <f t="shared" si="13"/>
        <v/>
      </c>
      <c r="B8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3" spans="1:2" x14ac:dyDescent="0.25">
      <c r="A863" s="1" t="str">
        <f t="shared" si="13"/>
        <v/>
      </c>
      <c r="B8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4" spans="1:2" x14ac:dyDescent="0.25">
      <c r="A864" s="1" t="str">
        <f t="shared" si="13"/>
        <v/>
      </c>
      <c r="B8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5" spans="1:2" x14ac:dyDescent="0.25">
      <c r="A865" s="1" t="str">
        <f t="shared" si="13"/>
        <v/>
      </c>
      <c r="B8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6" spans="1:2" x14ac:dyDescent="0.25">
      <c r="A866" s="1" t="str">
        <f t="shared" si="13"/>
        <v/>
      </c>
      <c r="B8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7" spans="1:2" x14ac:dyDescent="0.25">
      <c r="A867" s="1" t="str">
        <f t="shared" si="13"/>
        <v/>
      </c>
      <c r="B8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8" spans="1:2" x14ac:dyDescent="0.25">
      <c r="A868" s="1" t="str">
        <f t="shared" si="13"/>
        <v/>
      </c>
      <c r="B8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9" spans="1:2" x14ac:dyDescent="0.25">
      <c r="A869" s="1" t="str">
        <f t="shared" si="13"/>
        <v/>
      </c>
      <c r="B8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0" spans="1:2" x14ac:dyDescent="0.25">
      <c r="A870" s="1" t="str">
        <f t="shared" si="13"/>
        <v/>
      </c>
      <c r="B8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1" spans="1:2" x14ac:dyDescent="0.25">
      <c r="A871" s="1" t="str">
        <f t="shared" si="13"/>
        <v/>
      </c>
      <c r="B8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2" spans="1:2" x14ac:dyDescent="0.25">
      <c r="A872" s="1" t="str">
        <f t="shared" si="13"/>
        <v/>
      </c>
      <c r="B8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3" spans="1:2" x14ac:dyDescent="0.25">
      <c r="A873" s="1" t="str">
        <f t="shared" si="13"/>
        <v/>
      </c>
      <c r="B8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4" spans="1:2" x14ac:dyDescent="0.25">
      <c r="A874" s="1" t="str">
        <f t="shared" si="13"/>
        <v/>
      </c>
      <c r="B8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5" spans="1:2" x14ac:dyDescent="0.25">
      <c r="A875" s="1" t="str">
        <f t="shared" si="13"/>
        <v/>
      </c>
      <c r="B8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6" spans="1:2" x14ac:dyDescent="0.25">
      <c r="A876" s="1" t="str">
        <f t="shared" si="13"/>
        <v/>
      </c>
      <c r="B8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7" spans="1:2" x14ac:dyDescent="0.25">
      <c r="A877" s="1" t="str">
        <f t="shared" si="13"/>
        <v/>
      </c>
      <c r="B8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8" spans="1:2" x14ac:dyDescent="0.25">
      <c r="A878" s="1" t="str">
        <f t="shared" si="13"/>
        <v/>
      </c>
      <c r="B8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9" spans="1:2" x14ac:dyDescent="0.25">
      <c r="A879" s="1" t="str">
        <f t="shared" si="13"/>
        <v/>
      </c>
      <c r="B8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0" spans="1:2" x14ac:dyDescent="0.25">
      <c r="A880" s="1" t="str">
        <f t="shared" si="13"/>
        <v/>
      </c>
      <c r="B8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1" spans="1:2" x14ac:dyDescent="0.25">
      <c r="A881" s="1" t="str">
        <f t="shared" si="13"/>
        <v/>
      </c>
      <c r="B8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2" spans="1:2" x14ac:dyDescent="0.25">
      <c r="A882" s="1" t="str">
        <f t="shared" si="13"/>
        <v/>
      </c>
      <c r="B8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3" spans="1:2" x14ac:dyDescent="0.25">
      <c r="A883" s="1" t="str">
        <f t="shared" si="13"/>
        <v/>
      </c>
      <c r="B8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4" spans="1:2" x14ac:dyDescent="0.25">
      <c r="A884" s="1" t="str">
        <f t="shared" si="13"/>
        <v/>
      </c>
      <c r="B8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5" spans="1:2" x14ac:dyDescent="0.25">
      <c r="A885" s="1" t="str">
        <f t="shared" si="13"/>
        <v/>
      </c>
      <c r="B8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6" spans="1:2" x14ac:dyDescent="0.25">
      <c r="A886" s="1" t="str">
        <f t="shared" si="13"/>
        <v/>
      </c>
      <c r="B8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7" spans="1:2" x14ac:dyDescent="0.25">
      <c r="A887" s="1" t="str">
        <f t="shared" si="13"/>
        <v/>
      </c>
      <c r="B8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8" spans="1:2" x14ac:dyDescent="0.25">
      <c r="A888" s="1" t="str">
        <f t="shared" si="13"/>
        <v/>
      </c>
      <c r="B8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9" spans="1:2" x14ac:dyDescent="0.25">
      <c r="A889" s="1" t="str">
        <f t="shared" si="13"/>
        <v/>
      </c>
      <c r="B8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0" spans="1:2" x14ac:dyDescent="0.25">
      <c r="A890" s="1" t="str">
        <f t="shared" si="13"/>
        <v/>
      </c>
      <c r="B8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1" spans="1:2" x14ac:dyDescent="0.25">
      <c r="A891" s="1" t="str">
        <f t="shared" si="13"/>
        <v/>
      </c>
      <c r="B8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2" spans="1:2" x14ac:dyDescent="0.25">
      <c r="A892" s="1" t="str">
        <f t="shared" si="13"/>
        <v/>
      </c>
      <c r="B8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3" spans="1:2" x14ac:dyDescent="0.25">
      <c r="A893" s="1" t="str">
        <f t="shared" si="13"/>
        <v/>
      </c>
      <c r="B8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4" spans="1:2" x14ac:dyDescent="0.25">
      <c r="A894" s="1" t="str">
        <f t="shared" si="13"/>
        <v/>
      </c>
      <c r="B8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5" spans="1:2" x14ac:dyDescent="0.25">
      <c r="A895" s="1" t="str">
        <f t="shared" si="13"/>
        <v/>
      </c>
      <c r="B8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6" spans="1:2" x14ac:dyDescent="0.25">
      <c r="A896" s="1" t="str">
        <f t="shared" si="13"/>
        <v/>
      </c>
      <c r="B8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7" spans="1:2" x14ac:dyDescent="0.25">
      <c r="A897" s="1" t="str">
        <f t="shared" si="13"/>
        <v/>
      </c>
      <c r="B8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8" spans="1:2" x14ac:dyDescent="0.25">
      <c r="A898" s="1" t="str">
        <f t="shared" ref="A898:A961" si="14">IFERROR(LEFT(RIGHT(C898,LEN(C898)-SEARCH("@",C898)),SEARCH("/",RIGHT(C898,LEN(C898)-SEARCH("@",C898)-1))),"")</f>
        <v/>
      </c>
      <c r="B8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9" spans="1:2" x14ac:dyDescent="0.25">
      <c r="A899" s="1" t="str">
        <f t="shared" si="14"/>
        <v/>
      </c>
      <c r="B8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0" spans="1:2" x14ac:dyDescent="0.25">
      <c r="A900" s="1" t="str">
        <f t="shared" si="14"/>
        <v/>
      </c>
      <c r="B9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1" spans="1:2" x14ac:dyDescent="0.25">
      <c r="A901" s="1" t="str">
        <f t="shared" si="14"/>
        <v/>
      </c>
      <c r="B9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2" spans="1:2" x14ac:dyDescent="0.25">
      <c r="A902" s="1" t="str">
        <f t="shared" si="14"/>
        <v/>
      </c>
      <c r="B9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3" spans="1:2" x14ac:dyDescent="0.25">
      <c r="A903" s="1" t="str">
        <f t="shared" si="14"/>
        <v/>
      </c>
      <c r="B9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4" spans="1:2" x14ac:dyDescent="0.25">
      <c r="A904" s="1" t="str">
        <f t="shared" si="14"/>
        <v/>
      </c>
      <c r="B9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5" spans="1:2" x14ac:dyDescent="0.25">
      <c r="A905" s="1" t="str">
        <f t="shared" si="14"/>
        <v/>
      </c>
      <c r="B9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6" spans="1:2" x14ac:dyDescent="0.25">
      <c r="A906" s="1" t="str">
        <f t="shared" si="14"/>
        <v/>
      </c>
      <c r="B9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7" spans="1:2" x14ac:dyDescent="0.25">
      <c r="A907" s="1" t="str">
        <f t="shared" si="14"/>
        <v/>
      </c>
      <c r="B9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8" spans="1:2" x14ac:dyDescent="0.25">
      <c r="A908" s="1" t="str">
        <f t="shared" si="14"/>
        <v/>
      </c>
      <c r="B9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9" spans="1:2" x14ac:dyDescent="0.25">
      <c r="A909" s="1" t="str">
        <f t="shared" si="14"/>
        <v/>
      </c>
      <c r="B9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0" spans="1:2" x14ac:dyDescent="0.25">
      <c r="A910" s="1" t="str">
        <f t="shared" si="14"/>
        <v/>
      </c>
      <c r="B9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1" spans="1:2" x14ac:dyDescent="0.25">
      <c r="A911" s="1" t="str">
        <f t="shared" si="14"/>
        <v/>
      </c>
      <c r="B9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2" spans="1:2" x14ac:dyDescent="0.25">
      <c r="A912" s="1" t="str">
        <f t="shared" si="14"/>
        <v/>
      </c>
      <c r="B9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3" spans="1:2" x14ac:dyDescent="0.25">
      <c r="A913" s="1" t="str">
        <f t="shared" si="14"/>
        <v/>
      </c>
      <c r="B9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4" spans="1:2" x14ac:dyDescent="0.25">
      <c r="A914" s="1" t="str">
        <f t="shared" si="14"/>
        <v/>
      </c>
      <c r="B9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5" spans="1:2" x14ac:dyDescent="0.25">
      <c r="A915" s="1" t="str">
        <f t="shared" si="14"/>
        <v/>
      </c>
      <c r="B9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6" spans="1:2" x14ac:dyDescent="0.25">
      <c r="A916" s="1" t="str">
        <f t="shared" si="14"/>
        <v/>
      </c>
      <c r="B9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7" spans="1:2" x14ac:dyDescent="0.25">
      <c r="A917" s="1" t="str">
        <f t="shared" si="14"/>
        <v/>
      </c>
      <c r="B9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8" spans="1:2" x14ac:dyDescent="0.25">
      <c r="A918" s="1" t="str">
        <f t="shared" si="14"/>
        <v/>
      </c>
      <c r="B9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9" spans="1:2" x14ac:dyDescent="0.25">
      <c r="A919" s="1" t="str">
        <f t="shared" si="14"/>
        <v/>
      </c>
      <c r="B9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0" spans="1:2" x14ac:dyDescent="0.25">
      <c r="A920" s="1" t="str">
        <f t="shared" si="14"/>
        <v/>
      </c>
      <c r="B9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1" spans="1:2" x14ac:dyDescent="0.25">
      <c r="A921" s="1" t="str">
        <f t="shared" si="14"/>
        <v/>
      </c>
      <c r="B9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2" spans="1:2" x14ac:dyDescent="0.25">
      <c r="A922" s="1" t="str">
        <f t="shared" si="14"/>
        <v/>
      </c>
      <c r="B9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3" spans="1:2" x14ac:dyDescent="0.25">
      <c r="A923" s="1" t="str">
        <f t="shared" si="14"/>
        <v/>
      </c>
      <c r="B9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4" spans="1:2" x14ac:dyDescent="0.25">
      <c r="A924" s="1" t="str">
        <f t="shared" si="14"/>
        <v/>
      </c>
      <c r="B9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5" spans="1:2" x14ac:dyDescent="0.25">
      <c r="A925" s="1" t="str">
        <f t="shared" si="14"/>
        <v/>
      </c>
      <c r="B9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6" spans="1:2" x14ac:dyDescent="0.25">
      <c r="A926" s="1" t="str">
        <f t="shared" si="14"/>
        <v/>
      </c>
      <c r="B9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7" spans="1:2" x14ac:dyDescent="0.25">
      <c r="A927" s="1" t="str">
        <f t="shared" si="14"/>
        <v/>
      </c>
      <c r="B9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8" spans="1:2" x14ac:dyDescent="0.25">
      <c r="A928" s="1" t="str">
        <f t="shared" si="14"/>
        <v/>
      </c>
      <c r="B9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9" spans="1:2" x14ac:dyDescent="0.25">
      <c r="A929" s="1" t="str">
        <f t="shared" si="14"/>
        <v/>
      </c>
      <c r="B9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0" spans="1:2" x14ac:dyDescent="0.25">
      <c r="A930" s="1" t="str">
        <f t="shared" si="14"/>
        <v/>
      </c>
      <c r="B9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1" spans="1:2" x14ac:dyDescent="0.25">
      <c r="A931" s="1" t="str">
        <f t="shared" si="14"/>
        <v/>
      </c>
      <c r="B9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2" spans="1:2" x14ac:dyDescent="0.25">
      <c r="A932" s="1" t="str">
        <f t="shared" si="14"/>
        <v/>
      </c>
      <c r="B9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3" spans="1:2" x14ac:dyDescent="0.25">
      <c r="A933" s="1" t="str">
        <f t="shared" si="14"/>
        <v/>
      </c>
      <c r="B9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4" spans="1:2" x14ac:dyDescent="0.25">
      <c r="A934" s="1" t="str">
        <f t="shared" si="14"/>
        <v/>
      </c>
      <c r="B9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5" spans="1:2" x14ac:dyDescent="0.25">
      <c r="A935" s="1" t="str">
        <f t="shared" si="14"/>
        <v/>
      </c>
      <c r="B9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6" spans="1:2" x14ac:dyDescent="0.25">
      <c r="A936" s="1" t="str">
        <f t="shared" si="14"/>
        <v/>
      </c>
      <c r="B9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7" spans="1:2" x14ac:dyDescent="0.25">
      <c r="A937" s="1" t="str">
        <f t="shared" si="14"/>
        <v/>
      </c>
      <c r="B9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8" spans="1:2" x14ac:dyDescent="0.25">
      <c r="A938" s="1" t="str">
        <f t="shared" si="14"/>
        <v/>
      </c>
      <c r="B9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9" spans="1:2" x14ac:dyDescent="0.25">
      <c r="A939" s="1" t="str">
        <f t="shared" si="14"/>
        <v/>
      </c>
      <c r="B9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0" spans="1:2" x14ac:dyDescent="0.25">
      <c r="A940" s="1" t="str">
        <f t="shared" si="14"/>
        <v/>
      </c>
      <c r="B9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1" spans="1:2" x14ac:dyDescent="0.25">
      <c r="A941" s="1" t="str">
        <f t="shared" si="14"/>
        <v/>
      </c>
      <c r="B9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2" spans="1:2" x14ac:dyDescent="0.25">
      <c r="A942" s="1" t="str">
        <f t="shared" si="14"/>
        <v/>
      </c>
      <c r="B9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3" spans="1:2" x14ac:dyDescent="0.25">
      <c r="A943" s="1" t="str">
        <f t="shared" si="14"/>
        <v/>
      </c>
      <c r="B9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4" spans="1:2" x14ac:dyDescent="0.25">
      <c r="A944" s="1" t="str">
        <f t="shared" si="14"/>
        <v/>
      </c>
      <c r="B9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5" spans="1:2" x14ac:dyDescent="0.25">
      <c r="A945" s="1" t="str">
        <f t="shared" si="14"/>
        <v/>
      </c>
      <c r="B9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6" spans="1:2" x14ac:dyDescent="0.25">
      <c r="A946" s="1" t="str">
        <f t="shared" si="14"/>
        <v/>
      </c>
      <c r="B9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7" spans="1:2" x14ac:dyDescent="0.25">
      <c r="A947" s="1" t="str">
        <f t="shared" si="14"/>
        <v/>
      </c>
      <c r="B9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8" spans="1:2" x14ac:dyDescent="0.25">
      <c r="A948" s="1" t="str">
        <f t="shared" si="14"/>
        <v/>
      </c>
      <c r="B9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9" spans="1:2" x14ac:dyDescent="0.25">
      <c r="A949" s="1" t="str">
        <f t="shared" si="14"/>
        <v/>
      </c>
      <c r="B9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0" spans="1:2" x14ac:dyDescent="0.25">
      <c r="A950" s="1" t="str">
        <f t="shared" si="14"/>
        <v/>
      </c>
      <c r="B9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1" spans="1:2" x14ac:dyDescent="0.25">
      <c r="A951" s="1" t="str">
        <f t="shared" si="14"/>
        <v/>
      </c>
      <c r="B9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2" spans="1:2" x14ac:dyDescent="0.25">
      <c r="A952" s="1" t="str">
        <f t="shared" si="14"/>
        <v/>
      </c>
      <c r="B9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3" spans="1:2" x14ac:dyDescent="0.25">
      <c r="A953" s="1" t="str">
        <f t="shared" si="14"/>
        <v/>
      </c>
      <c r="B9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4" spans="1:2" x14ac:dyDescent="0.25">
      <c r="A954" s="1" t="str">
        <f t="shared" si="14"/>
        <v/>
      </c>
      <c r="B9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5" spans="1:2" x14ac:dyDescent="0.25">
      <c r="A955" s="1" t="str">
        <f t="shared" si="14"/>
        <v/>
      </c>
      <c r="B9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6" spans="1:2" x14ac:dyDescent="0.25">
      <c r="A956" s="1" t="str">
        <f t="shared" si="14"/>
        <v/>
      </c>
      <c r="B9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7" spans="1:2" x14ac:dyDescent="0.25">
      <c r="A957" s="1" t="str">
        <f t="shared" si="14"/>
        <v/>
      </c>
      <c r="B9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8" spans="1:2" x14ac:dyDescent="0.25">
      <c r="A958" s="1" t="str">
        <f t="shared" si="14"/>
        <v/>
      </c>
      <c r="B9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9" spans="1:2" x14ac:dyDescent="0.25">
      <c r="A959" s="1" t="str">
        <f t="shared" si="14"/>
        <v/>
      </c>
      <c r="B9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0" spans="1:2" x14ac:dyDescent="0.25">
      <c r="A960" s="1" t="str">
        <f t="shared" si="14"/>
        <v/>
      </c>
      <c r="B9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1" spans="1:2" x14ac:dyDescent="0.25">
      <c r="A961" s="1" t="str">
        <f t="shared" si="14"/>
        <v/>
      </c>
      <c r="B9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2" spans="1:2" x14ac:dyDescent="0.25">
      <c r="A962" s="1" t="str">
        <f t="shared" ref="A962:A1025" si="15">IFERROR(LEFT(RIGHT(C962,LEN(C962)-SEARCH("@",C962)),SEARCH("/",RIGHT(C962,LEN(C962)-SEARCH("@",C962)-1))),"")</f>
        <v/>
      </c>
      <c r="B9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3" spans="1:2" x14ac:dyDescent="0.25">
      <c r="A963" s="1" t="str">
        <f t="shared" si="15"/>
        <v/>
      </c>
      <c r="B9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4" spans="1:2" x14ac:dyDescent="0.25">
      <c r="A964" s="1" t="str">
        <f t="shared" si="15"/>
        <v/>
      </c>
      <c r="B9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5" spans="1:2" x14ac:dyDescent="0.25">
      <c r="A965" s="1" t="str">
        <f t="shared" si="15"/>
        <v/>
      </c>
      <c r="B9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6" spans="1:2" x14ac:dyDescent="0.25">
      <c r="A966" s="1" t="str">
        <f t="shared" si="15"/>
        <v/>
      </c>
      <c r="B9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7" spans="1:2" x14ac:dyDescent="0.25">
      <c r="A967" s="1" t="str">
        <f t="shared" si="15"/>
        <v/>
      </c>
      <c r="B9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8" spans="1:2" x14ac:dyDescent="0.25">
      <c r="A968" s="1" t="str">
        <f t="shared" si="15"/>
        <v/>
      </c>
      <c r="B9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9" spans="1:2" x14ac:dyDescent="0.25">
      <c r="A969" s="1" t="str">
        <f t="shared" si="15"/>
        <v/>
      </c>
      <c r="B9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0" spans="1:2" x14ac:dyDescent="0.25">
      <c r="A970" s="1" t="str">
        <f t="shared" si="15"/>
        <v/>
      </c>
      <c r="B9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1" spans="1:2" x14ac:dyDescent="0.25">
      <c r="A971" s="1" t="str">
        <f t="shared" si="15"/>
        <v/>
      </c>
      <c r="B9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2" spans="1:2" x14ac:dyDescent="0.25">
      <c r="A972" s="1" t="str">
        <f t="shared" si="15"/>
        <v/>
      </c>
      <c r="B9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3" spans="1:2" x14ac:dyDescent="0.25">
      <c r="A973" s="1" t="str">
        <f t="shared" si="15"/>
        <v/>
      </c>
      <c r="B9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4" spans="1:2" x14ac:dyDescent="0.25">
      <c r="A974" s="1" t="str">
        <f t="shared" si="15"/>
        <v/>
      </c>
      <c r="B9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5" spans="1:2" x14ac:dyDescent="0.25">
      <c r="A975" s="1" t="str">
        <f t="shared" si="15"/>
        <v/>
      </c>
      <c r="B9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6" spans="1:2" x14ac:dyDescent="0.25">
      <c r="A976" s="1" t="str">
        <f t="shared" si="15"/>
        <v/>
      </c>
      <c r="B9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7" spans="1:2" x14ac:dyDescent="0.25">
      <c r="A977" s="1" t="str">
        <f t="shared" si="15"/>
        <v/>
      </c>
      <c r="B9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8" spans="1:2" x14ac:dyDescent="0.25">
      <c r="A978" s="1" t="str">
        <f t="shared" si="15"/>
        <v/>
      </c>
      <c r="B9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9" spans="1:2" x14ac:dyDescent="0.25">
      <c r="A979" s="1" t="str">
        <f t="shared" si="15"/>
        <v/>
      </c>
      <c r="B9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0" spans="1:2" x14ac:dyDescent="0.25">
      <c r="A980" s="1" t="str">
        <f t="shared" si="15"/>
        <v/>
      </c>
      <c r="B9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1" spans="1:2" x14ac:dyDescent="0.25">
      <c r="A981" s="1" t="str">
        <f t="shared" si="15"/>
        <v/>
      </c>
      <c r="B9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2" spans="1:2" x14ac:dyDescent="0.25">
      <c r="A982" s="1" t="str">
        <f t="shared" si="15"/>
        <v/>
      </c>
      <c r="B9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3" spans="1:2" x14ac:dyDescent="0.25">
      <c r="A983" s="1" t="str">
        <f t="shared" si="15"/>
        <v/>
      </c>
      <c r="B9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4" spans="1:2" x14ac:dyDescent="0.25">
      <c r="A984" s="1" t="str">
        <f t="shared" si="15"/>
        <v/>
      </c>
      <c r="B9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5" spans="1:2" x14ac:dyDescent="0.25">
      <c r="A985" s="1" t="str">
        <f t="shared" si="15"/>
        <v/>
      </c>
      <c r="B9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6" spans="1:2" x14ac:dyDescent="0.25">
      <c r="A986" s="1" t="str">
        <f t="shared" si="15"/>
        <v/>
      </c>
      <c r="B9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7" spans="1:2" x14ac:dyDescent="0.25">
      <c r="A987" s="1" t="str">
        <f t="shared" si="15"/>
        <v/>
      </c>
      <c r="B9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8" spans="1:2" x14ac:dyDescent="0.25">
      <c r="A988" s="1" t="str">
        <f t="shared" si="15"/>
        <v/>
      </c>
      <c r="B9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9" spans="1:2" x14ac:dyDescent="0.25">
      <c r="A989" s="1" t="str">
        <f t="shared" si="15"/>
        <v/>
      </c>
      <c r="B9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0" spans="1:2" x14ac:dyDescent="0.25">
      <c r="A990" s="1" t="str">
        <f t="shared" si="15"/>
        <v/>
      </c>
      <c r="B9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1" spans="1:2" x14ac:dyDescent="0.25">
      <c r="A991" s="1" t="str">
        <f t="shared" si="15"/>
        <v/>
      </c>
      <c r="B9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2" spans="1:2" x14ac:dyDescent="0.25">
      <c r="A992" s="1" t="str">
        <f t="shared" si="15"/>
        <v/>
      </c>
      <c r="B9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3" spans="1:2" x14ac:dyDescent="0.25">
      <c r="A993" s="1" t="str">
        <f t="shared" si="15"/>
        <v/>
      </c>
      <c r="B9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4" spans="1:2" x14ac:dyDescent="0.25">
      <c r="A994" s="1" t="str">
        <f t="shared" si="15"/>
        <v/>
      </c>
      <c r="B9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5" spans="1:2" x14ac:dyDescent="0.25">
      <c r="A995" s="1" t="str">
        <f t="shared" si="15"/>
        <v/>
      </c>
      <c r="B9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6" spans="1:2" x14ac:dyDescent="0.25">
      <c r="A996" s="1" t="str">
        <f t="shared" si="15"/>
        <v/>
      </c>
      <c r="B9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7" spans="1:2" x14ac:dyDescent="0.25">
      <c r="A997" s="1" t="str">
        <f t="shared" si="15"/>
        <v/>
      </c>
      <c r="B9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8" spans="1:2" x14ac:dyDescent="0.25">
      <c r="A998" s="1" t="str">
        <f t="shared" si="15"/>
        <v/>
      </c>
      <c r="B9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9" spans="1:2" x14ac:dyDescent="0.25">
      <c r="A999" s="1" t="str">
        <f t="shared" si="15"/>
        <v/>
      </c>
      <c r="B9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0" spans="1:2" x14ac:dyDescent="0.25">
      <c r="A1000" s="1" t="str">
        <f t="shared" si="15"/>
        <v/>
      </c>
      <c r="B10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1" spans="1:2" x14ac:dyDescent="0.25">
      <c r="A1001" s="1" t="str">
        <f t="shared" si="15"/>
        <v/>
      </c>
      <c r="B10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2" spans="1:2" x14ac:dyDescent="0.25">
      <c r="A1002" s="1" t="str">
        <f t="shared" si="15"/>
        <v/>
      </c>
      <c r="B10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3" spans="1:2" x14ac:dyDescent="0.25">
      <c r="A1003" s="1" t="str">
        <f t="shared" si="15"/>
        <v/>
      </c>
      <c r="B10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4" spans="1:2" x14ac:dyDescent="0.25">
      <c r="A1004" s="1" t="str">
        <f t="shared" si="15"/>
        <v/>
      </c>
      <c r="B10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5" spans="1:2" x14ac:dyDescent="0.25">
      <c r="A1005" s="1" t="str">
        <f t="shared" si="15"/>
        <v/>
      </c>
      <c r="B10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6" spans="1:2" x14ac:dyDescent="0.25">
      <c r="A1006" s="1" t="str">
        <f t="shared" si="15"/>
        <v/>
      </c>
      <c r="B10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7" spans="1:2" x14ac:dyDescent="0.25">
      <c r="A1007" s="1" t="str">
        <f t="shared" si="15"/>
        <v/>
      </c>
      <c r="B10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8" spans="1:2" x14ac:dyDescent="0.25">
      <c r="A1008" s="1" t="str">
        <f t="shared" si="15"/>
        <v/>
      </c>
      <c r="B10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9" spans="1:2" x14ac:dyDescent="0.25">
      <c r="A1009" s="1" t="str">
        <f t="shared" si="15"/>
        <v/>
      </c>
      <c r="B10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0" spans="1:2" x14ac:dyDescent="0.25">
      <c r="A1010" s="1" t="str">
        <f t="shared" si="15"/>
        <v/>
      </c>
      <c r="B10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1" spans="1:2" x14ac:dyDescent="0.25">
      <c r="A1011" s="1" t="str">
        <f t="shared" si="15"/>
        <v/>
      </c>
      <c r="B10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2" spans="1:2" x14ac:dyDescent="0.25">
      <c r="A1012" s="1" t="str">
        <f t="shared" si="15"/>
        <v/>
      </c>
      <c r="B10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3" spans="1:2" x14ac:dyDescent="0.25">
      <c r="A1013" s="1" t="str">
        <f t="shared" si="15"/>
        <v/>
      </c>
      <c r="B10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4" spans="1:2" x14ac:dyDescent="0.25">
      <c r="A1014" s="1" t="str">
        <f t="shared" si="15"/>
        <v/>
      </c>
      <c r="B10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5" spans="1:2" x14ac:dyDescent="0.25">
      <c r="A1015" s="1" t="str">
        <f t="shared" si="15"/>
        <v/>
      </c>
      <c r="B10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6" spans="1:2" x14ac:dyDescent="0.25">
      <c r="A1016" s="1" t="str">
        <f t="shared" si="15"/>
        <v/>
      </c>
      <c r="B10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7" spans="1:2" x14ac:dyDescent="0.25">
      <c r="A1017" s="1" t="str">
        <f t="shared" si="15"/>
        <v/>
      </c>
      <c r="B10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8" spans="1:2" x14ac:dyDescent="0.25">
      <c r="A1018" s="1" t="str">
        <f t="shared" si="15"/>
        <v/>
      </c>
      <c r="B10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9" spans="1:2" x14ac:dyDescent="0.25">
      <c r="A1019" s="1" t="str">
        <f t="shared" si="15"/>
        <v/>
      </c>
      <c r="B10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0" spans="1:2" x14ac:dyDescent="0.25">
      <c r="A1020" s="1" t="str">
        <f t="shared" si="15"/>
        <v/>
      </c>
      <c r="B10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1" spans="1:2" x14ac:dyDescent="0.25">
      <c r="A1021" s="1" t="str">
        <f t="shared" si="15"/>
        <v/>
      </c>
      <c r="B10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2" spans="1:2" x14ac:dyDescent="0.25">
      <c r="A1022" s="1" t="str">
        <f t="shared" si="15"/>
        <v/>
      </c>
      <c r="B10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3" spans="1:2" x14ac:dyDescent="0.25">
      <c r="A1023" s="1" t="str">
        <f t="shared" si="15"/>
        <v/>
      </c>
      <c r="B10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4" spans="1:2" x14ac:dyDescent="0.25">
      <c r="A1024" s="1" t="str">
        <f t="shared" si="15"/>
        <v/>
      </c>
      <c r="B10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5" spans="1:2" x14ac:dyDescent="0.25">
      <c r="A1025" s="1" t="str">
        <f t="shared" si="15"/>
        <v/>
      </c>
      <c r="B10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6" spans="1:2" x14ac:dyDescent="0.25">
      <c r="A1026" s="1" t="str">
        <f t="shared" ref="A1026:A1089" si="16">IFERROR(LEFT(RIGHT(C1026,LEN(C1026)-SEARCH("@",C1026)),SEARCH("/",RIGHT(C1026,LEN(C1026)-SEARCH("@",C1026)-1))),"")</f>
        <v/>
      </c>
      <c r="B10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7" spans="1:2" x14ac:dyDescent="0.25">
      <c r="A1027" s="1" t="str">
        <f t="shared" si="16"/>
        <v/>
      </c>
      <c r="B10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8" spans="1:2" x14ac:dyDescent="0.25">
      <c r="A1028" s="1" t="str">
        <f t="shared" si="16"/>
        <v/>
      </c>
      <c r="B10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9" spans="1:2" x14ac:dyDescent="0.25">
      <c r="A1029" s="1" t="str">
        <f t="shared" si="16"/>
        <v/>
      </c>
      <c r="B10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0" spans="1:2" x14ac:dyDescent="0.25">
      <c r="A1030" s="1" t="str">
        <f t="shared" si="16"/>
        <v/>
      </c>
      <c r="B10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1" spans="1:2" x14ac:dyDescent="0.25">
      <c r="A1031" s="1" t="str">
        <f t="shared" si="16"/>
        <v/>
      </c>
      <c r="B10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2" spans="1:2" x14ac:dyDescent="0.25">
      <c r="A1032" s="1" t="str">
        <f t="shared" si="16"/>
        <v/>
      </c>
      <c r="B10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3" spans="1:2" x14ac:dyDescent="0.25">
      <c r="A1033" s="1" t="str">
        <f t="shared" si="16"/>
        <v/>
      </c>
      <c r="B10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4" spans="1:2" x14ac:dyDescent="0.25">
      <c r="A1034" s="1" t="str">
        <f t="shared" si="16"/>
        <v/>
      </c>
      <c r="B10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5" spans="1:2" x14ac:dyDescent="0.25">
      <c r="A1035" s="1" t="str">
        <f t="shared" si="16"/>
        <v/>
      </c>
      <c r="B10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6" spans="1:2" x14ac:dyDescent="0.25">
      <c r="A1036" s="1" t="str">
        <f t="shared" si="16"/>
        <v/>
      </c>
      <c r="B10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7" spans="1:2" x14ac:dyDescent="0.25">
      <c r="A1037" s="1" t="str">
        <f t="shared" si="16"/>
        <v/>
      </c>
      <c r="B10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8" spans="1:2" x14ac:dyDescent="0.25">
      <c r="A1038" s="1" t="str">
        <f t="shared" si="16"/>
        <v/>
      </c>
      <c r="B10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9" spans="1:2" x14ac:dyDescent="0.25">
      <c r="A1039" s="1" t="str">
        <f t="shared" si="16"/>
        <v/>
      </c>
      <c r="B10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0" spans="1:2" x14ac:dyDescent="0.25">
      <c r="A1040" s="1" t="str">
        <f t="shared" si="16"/>
        <v/>
      </c>
      <c r="B10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1" spans="1:2" x14ac:dyDescent="0.25">
      <c r="A1041" s="1" t="str">
        <f t="shared" si="16"/>
        <v/>
      </c>
      <c r="B10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2" spans="1:2" x14ac:dyDescent="0.25">
      <c r="A1042" s="1" t="str">
        <f t="shared" si="16"/>
        <v/>
      </c>
      <c r="B10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3" spans="1:2" x14ac:dyDescent="0.25">
      <c r="A1043" s="1" t="str">
        <f t="shared" si="16"/>
        <v/>
      </c>
      <c r="B10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4" spans="1:2" x14ac:dyDescent="0.25">
      <c r="A1044" s="1" t="str">
        <f t="shared" si="16"/>
        <v/>
      </c>
      <c r="B10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5" spans="1:2" x14ac:dyDescent="0.25">
      <c r="A1045" s="1" t="str">
        <f t="shared" si="16"/>
        <v/>
      </c>
      <c r="B10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6" spans="1:2" x14ac:dyDescent="0.25">
      <c r="A1046" s="1" t="str">
        <f t="shared" si="16"/>
        <v/>
      </c>
      <c r="B10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7" spans="1:2" x14ac:dyDescent="0.25">
      <c r="A1047" s="1" t="str">
        <f t="shared" si="16"/>
        <v/>
      </c>
      <c r="B10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8" spans="1:2" x14ac:dyDescent="0.25">
      <c r="A1048" s="1" t="str">
        <f t="shared" si="16"/>
        <v/>
      </c>
      <c r="B10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9" spans="1:2" x14ac:dyDescent="0.25">
      <c r="A1049" s="1" t="str">
        <f t="shared" si="16"/>
        <v/>
      </c>
      <c r="B10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0" spans="1:2" x14ac:dyDescent="0.25">
      <c r="A1050" s="1" t="str">
        <f t="shared" si="16"/>
        <v/>
      </c>
      <c r="B10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1" spans="1:2" x14ac:dyDescent="0.25">
      <c r="A1051" s="1" t="str">
        <f t="shared" si="16"/>
        <v/>
      </c>
      <c r="B10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2" spans="1:2" x14ac:dyDescent="0.25">
      <c r="A1052" s="1" t="str">
        <f t="shared" si="16"/>
        <v/>
      </c>
      <c r="B10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3" spans="1:2" x14ac:dyDescent="0.25">
      <c r="A1053" s="1" t="str">
        <f t="shared" si="16"/>
        <v/>
      </c>
      <c r="B10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4" spans="1:2" x14ac:dyDescent="0.25">
      <c r="A1054" s="1" t="str">
        <f t="shared" si="16"/>
        <v/>
      </c>
      <c r="B10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5" spans="1:2" x14ac:dyDescent="0.25">
      <c r="A1055" s="1" t="str">
        <f t="shared" si="16"/>
        <v/>
      </c>
      <c r="B10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6" spans="1:2" x14ac:dyDescent="0.25">
      <c r="A1056" s="1" t="str">
        <f t="shared" si="16"/>
        <v/>
      </c>
      <c r="B10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7" spans="1:2" x14ac:dyDescent="0.25">
      <c r="A1057" s="1" t="str">
        <f t="shared" si="16"/>
        <v/>
      </c>
      <c r="B10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8" spans="1:2" x14ac:dyDescent="0.25">
      <c r="A1058" s="1" t="str">
        <f t="shared" si="16"/>
        <v/>
      </c>
      <c r="B10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9" spans="1:2" x14ac:dyDescent="0.25">
      <c r="A1059" s="1" t="str">
        <f t="shared" si="16"/>
        <v/>
      </c>
      <c r="B10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0" spans="1:2" x14ac:dyDescent="0.25">
      <c r="A1060" s="1" t="str">
        <f t="shared" si="16"/>
        <v/>
      </c>
      <c r="B10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1" spans="1:2" x14ac:dyDescent="0.25">
      <c r="A1061" s="1" t="str">
        <f t="shared" si="16"/>
        <v/>
      </c>
      <c r="B10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2" spans="1:2" x14ac:dyDescent="0.25">
      <c r="A1062" s="1" t="str">
        <f t="shared" si="16"/>
        <v/>
      </c>
      <c r="B10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3" spans="1:2" x14ac:dyDescent="0.25">
      <c r="A1063" s="1" t="str">
        <f t="shared" si="16"/>
        <v/>
      </c>
      <c r="B10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4" spans="1:2" x14ac:dyDescent="0.25">
      <c r="A1064" s="1" t="str">
        <f t="shared" si="16"/>
        <v/>
      </c>
      <c r="B10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5" spans="1:2" x14ac:dyDescent="0.25">
      <c r="A1065" s="1" t="str">
        <f t="shared" si="16"/>
        <v/>
      </c>
      <c r="B10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6" spans="1:2" x14ac:dyDescent="0.25">
      <c r="A1066" s="1" t="str">
        <f t="shared" si="16"/>
        <v/>
      </c>
      <c r="B10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7" spans="1:2" x14ac:dyDescent="0.25">
      <c r="A1067" s="1" t="str">
        <f t="shared" si="16"/>
        <v/>
      </c>
      <c r="B10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8" spans="1:2" x14ac:dyDescent="0.25">
      <c r="A1068" s="1" t="str">
        <f t="shared" si="16"/>
        <v/>
      </c>
      <c r="B10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9" spans="1:2" x14ac:dyDescent="0.25">
      <c r="A1069" s="1" t="str">
        <f t="shared" si="16"/>
        <v/>
      </c>
      <c r="B10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0" spans="1:2" x14ac:dyDescent="0.25">
      <c r="A1070" s="1" t="str">
        <f t="shared" si="16"/>
        <v/>
      </c>
      <c r="B10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1" spans="1:2" x14ac:dyDescent="0.25">
      <c r="A1071" s="1" t="str">
        <f t="shared" si="16"/>
        <v/>
      </c>
      <c r="B10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2" spans="1:2" x14ac:dyDescent="0.25">
      <c r="A1072" s="1" t="str">
        <f t="shared" si="16"/>
        <v/>
      </c>
      <c r="B10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3" spans="1:2" x14ac:dyDescent="0.25">
      <c r="A1073" s="1" t="str">
        <f t="shared" si="16"/>
        <v/>
      </c>
      <c r="B10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4" spans="1:2" x14ac:dyDescent="0.25">
      <c r="A1074" s="1" t="str">
        <f t="shared" si="16"/>
        <v/>
      </c>
      <c r="B10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5" spans="1:2" x14ac:dyDescent="0.25">
      <c r="A1075" s="1" t="str">
        <f t="shared" si="16"/>
        <v/>
      </c>
      <c r="B10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6" spans="1:2" x14ac:dyDescent="0.25">
      <c r="A1076" s="1" t="str">
        <f t="shared" si="16"/>
        <v/>
      </c>
      <c r="B10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7" spans="1:2" x14ac:dyDescent="0.25">
      <c r="A1077" s="1" t="str">
        <f t="shared" si="16"/>
        <v/>
      </c>
      <c r="B10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8" spans="1:2" x14ac:dyDescent="0.25">
      <c r="A1078" s="1" t="str">
        <f t="shared" si="16"/>
        <v/>
      </c>
      <c r="B10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9" spans="1:2" x14ac:dyDescent="0.25">
      <c r="A1079" s="1" t="str">
        <f t="shared" si="16"/>
        <v/>
      </c>
      <c r="B10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0" spans="1:2" x14ac:dyDescent="0.25">
      <c r="A1080" s="1" t="str">
        <f t="shared" si="16"/>
        <v/>
      </c>
      <c r="B10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1" spans="1:2" x14ac:dyDescent="0.25">
      <c r="A1081" s="1" t="str">
        <f t="shared" si="16"/>
        <v/>
      </c>
      <c r="B10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2" spans="1:2" x14ac:dyDescent="0.25">
      <c r="A1082" s="1" t="str">
        <f t="shared" si="16"/>
        <v/>
      </c>
      <c r="B10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3" spans="1:2" x14ac:dyDescent="0.25">
      <c r="A1083" s="1" t="str">
        <f t="shared" si="16"/>
        <v/>
      </c>
      <c r="B10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4" spans="1:2" x14ac:dyDescent="0.25">
      <c r="A1084" s="1" t="str">
        <f t="shared" si="16"/>
        <v/>
      </c>
      <c r="B10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5" spans="1:2" x14ac:dyDescent="0.25">
      <c r="A1085" s="1" t="str">
        <f t="shared" si="16"/>
        <v/>
      </c>
      <c r="B10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6" spans="1:2" x14ac:dyDescent="0.25">
      <c r="A1086" s="1" t="str">
        <f t="shared" si="16"/>
        <v/>
      </c>
      <c r="B10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7" spans="1:2" x14ac:dyDescent="0.25">
      <c r="A1087" s="1" t="str">
        <f t="shared" si="16"/>
        <v/>
      </c>
      <c r="B10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8" spans="1:2" x14ac:dyDescent="0.25">
      <c r="A1088" s="1" t="str">
        <f t="shared" si="16"/>
        <v/>
      </c>
      <c r="B10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9" spans="1:2" x14ac:dyDescent="0.25">
      <c r="A1089" s="1" t="str">
        <f t="shared" si="16"/>
        <v/>
      </c>
      <c r="B10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0" spans="1:2" x14ac:dyDescent="0.25">
      <c r="A1090" s="1" t="str">
        <f t="shared" ref="A1090:A1153" si="17">IFERROR(LEFT(RIGHT(C1090,LEN(C1090)-SEARCH("@",C1090)),SEARCH("/",RIGHT(C1090,LEN(C1090)-SEARCH("@",C1090)-1))),"")</f>
        <v/>
      </c>
      <c r="B10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1" spans="1:2" x14ac:dyDescent="0.25">
      <c r="A1091" s="1" t="str">
        <f t="shared" si="17"/>
        <v/>
      </c>
      <c r="B10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2" spans="1:2" x14ac:dyDescent="0.25">
      <c r="A1092" s="1" t="str">
        <f t="shared" si="17"/>
        <v/>
      </c>
      <c r="B10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3" spans="1:2" x14ac:dyDescent="0.25">
      <c r="A1093" s="1" t="str">
        <f t="shared" si="17"/>
        <v/>
      </c>
      <c r="B10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4" spans="1:2" x14ac:dyDescent="0.25">
      <c r="A1094" s="1" t="str">
        <f t="shared" si="17"/>
        <v/>
      </c>
      <c r="B10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5" spans="1:2" x14ac:dyDescent="0.25">
      <c r="A1095" s="1" t="str">
        <f t="shared" si="17"/>
        <v/>
      </c>
      <c r="B10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6" spans="1:2" x14ac:dyDescent="0.25">
      <c r="A1096" s="1" t="str">
        <f t="shared" si="17"/>
        <v/>
      </c>
      <c r="B10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7" spans="1:2" x14ac:dyDescent="0.25">
      <c r="A1097" s="1" t="str">
        <f t="shared" si="17"/>
        <v/>
      </c>
      <c r="B10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8" spans="1:2" x14ac:dyDescent="0.25">
      <c r="A1098" s="1" t="str">
        <f t="shared" si="17"/>
        <v/>
      </c>
      <c r="B10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9" spans="1:2" x14ac:dyDescent="0.25">
      <c r="A1099" s="1" t="str">
        <f t="shared" si="17"/>
        <v/>
      </c>
      <c r="B10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0" spans="1:2" x14ac:dyDescent="0.25">
      <c r="A1100" s="1" t="str">
        <f t="shared" si="17"/>
        <v/>
      </c>
      <c r="B1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1" spans="1:2" x14ac:dyDescent="0.25">
      <c r="A1101" s="1" t="str">
        <f t="shared" si="17"/>
        <v/>
      </c>
      <c r="B11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2" spans="1:2" x14ac:dyDescent="0.25">
      <c r="A1102" s="1" t="str">
        <f t="shared" si="17"/>
        <v/>
      </c>
      <c r="B11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3" spans="1:2" x14ac:dyDescent="0.25">
      <c r="A1103" s="1" t="str">
        <f t="shared" si="17"/>
        <v/>
      </c>
      <c r="B11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4" spans="1:2" x14ac:dyDescent="0.25">
      <c r="A1104" s="1" t="str">
        <f t="shared" si="17"/>
        <v/>
      </c>
      <c r="B11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5" spans="1:2" x14ac:dyDescent="0.25">
      <c r="A1105" s="1" t="str">
        <f t="shared" si="17"/>
        <v/>
      </c>
      <c r="B11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6" spans="1:2" x14ac:dyDescent="0.25">
      <c r="A1106" s="1" t="str">
        <f t="shared" si="17"/>
        <v/>
      </c>
      <c r="B11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7" spans="1:2" x14ac:dyDescent="0.25">
      <c r="A1107" s="1" t="str">
        <f t="shared" si="17"/>
        <v/>
      </c>
      <c r="B11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8" spans="1:2" x14ac:dyDescent="0.25">
      <c r="A1108" s="1" t="str">
        <f t="shared" si="17"/>
        <v/>
      </c>
      <c r="B11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9" spans="1:2" x14ac:dyDescent="0.25">
      <c r="A1109" s="1" t="str">
        <f t="shared" si="17"/>
        <v/>
      </c>
      <c r="B11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0" spans="1:2" x14ac:dyDescent="0.25">
      <c r="A1110" s="1" t="str">
        <f t="shared" si="17"/>
        <v/>
      </c>
      <c r="B11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1" spans="1:2" x14ac:dyDescent="0.25">
      <c r="A1111" s="1" t="str">
        <f t="shared" si="17"/>
        <v/>
      </c>
      <c r="B11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2" spans="1:2" x14ac:dyDescent="0.25">
      <c r="A1112" s="1" t="str">
        <f t="shared" si="17"/>
        <v/>
      </c>
      <c r="B11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3" spans="1:2" x14ac:dyDescent="0.25">
      <c r="A1113" s="1" t="str">
        <f t="shared" si="17"/>
        <v/>
      </c>
      <c r="B11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4" spans="1:2" x14ac:dyDescent="0.25">
      <c r="A1114" s="1" t="str">
        <f t="shared" si="17"/>
        <v/>
      </c>
      <c r="B11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5" spans="1:2" x14ac:dyDescent="0.25">
      <c r="A1115" s="1" t="str">
        <f t="shared" si="17"/>
        <v/>
      </c>
      <c r="B11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6" spans="1:2" x14ac:dyDescent="0.25">
      <c r="A1116" s="1" t="str">
        <f t="shared" si="17"/>
        <v/>
      </c>
      <c r="B11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7" spans="1:2" x14ac:dyDescent="0.25">
      <c r="A1117" s="1" t="str">
        <f t="shared" si="17"/>
        <v/>
      </c>
      <c r="B11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8" spans="1:2" x14ac:dyDescent="0.25">
      <c r="A1118" s="1" t="str">
        <f t="shared" si="17"/>
        <v/>
      </c>
      <c r="B11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9" spans="1:2" x14ac:dyDescent="0.25">
      <c r="A1119" s="1" t="str">
        <f t="shared" si="17"/>
        <v/>
      </c>
      <c r="B11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0" spans="1:2" x14ac:dyDescent="0.25">
      <c r="A1120" s="1" t="str">
        <f t="shared" si="17"/>
        <v/>
      </c>
      <c r="B11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1" spans="1:2" x14ac:dyDescent="0.25">
      <c r="A1121" s="1" t="str">
        <f t="shared" si="17"/>
        <v/>
      </c>
      <c r="B11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2" spans="1:2" x14ac:dyDescent="0.25">
      <c r="A1122" s="1" t="str">
        <f t="shared" si="17"/>
        <v/>
      </c>
      <c r="B11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3" spans="1:2" x14ac:dyDescent="0.25">
      <c r="A1123" s="1" t="str">
        <f t="shared" si="17"/>
        <v/>
      </c>
      <c r="B11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4" spans="1:2" x14ac:dyDescent="0.25">
      <c r="A1124" s="1" t="str">
        <f t="shared" si="17"/>
        <v/>
      </c>
      <c r="B11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5" spans="1:2" x14ac:dyDescent="0.25">
      <c r="A1125" s="1" t="str">
        <f t="shared" si="17"/>
        <v/>
      </c>
      <c r="B1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6" spans="1:2" x14ac:dyDescent="0.25">
      <c r="A1126" s="1" t="str">
        <f t="shared" si="17"/>
        <v/>
      </c>
      <c r="B1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7" spans="1:2" x14ac:dyDescent="0.25">
      <c r="A1127" s="1" t="str">
        <f t="shared" si="17"/>
        <v/>
      </c>
      <c r="B11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8" spans="1:2" x14ac:dyDescent="0.25">
      <c r="A1128" s="1" t="str">
        <f t="shared" si="17"/>
        <v/>
      </c>
      <c r="B1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9" spans="1:2" x14ac:dyDescent="0.25">
      <c r="A1129" s="1" t="str">
        <f t="shared" si="17"/>
        <v/>
      </c>
      <c r="B1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0" spans="1:2" x14ac:dyDescent="0.25">
      <c r="A1130" s="1" t="str">
        <f t="shared" si="17"/>
        <v/>
      </c>
      <c r="B1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1" spans="1:2" x14ac:dyDescent="0.25">
      <c r="A1131" s="1" t="str">
        <f t="shared" si="17"/>
        <v/>
      </c>
      <c r="B1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2" spans="1:2" x14ac:dyDescent="0.25">
      <c r="A1132" s="1" t="str">
        <f t="shared" si="17"/>
        <v/>
      </c>
      <c r="B1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3" spans="1:2" x14ac:dyDescent="0.25">
      <c r="A1133" s="1" t="str">
        <f t="shared" si="17"/>
        <v/>
      </c>
      <c r="B1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4" spans="1:2" x14ac:dyDescent="0.25">
      <c r="A1134" s="1" t="str">
        <f t="shared" si="17"/>
        <v/>
      </c>
      <c r="B11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5" spans="1:2" x14ac:dyDescent="0.25">
      <c r="A1135" s="1" t="str">
        <f t="shared" si="17"/>
        <v/>
      </c>
      <c r="B11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6" spans="1:2" x14ac:dyDescent="0.25">
      <c r="A1136" s="1" t="str">
        <f t="shared" si="17"/>
        <v/>
      </c>
      <c r="B11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7" spans="1:2" x14ac:dyDescent="0.25">
      <c r="A1137" s="1" t="str">
        <f t="shared" si="17"/>
        <v/>
      </c>
      <c r="B11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8" spans="1:2" x14ac:dyDescent="0.25">
      <c r="A1138" s="1" t="str">
        <f t="shared" si="17"/>
        <v/>
      </c>
      <c r="B11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9" spans="1:2" x14ac:dyDescent="0.25">
      <c r="A1139" s="1" t="str">
        <f t="shared" si="17"/>
        <v/>
      </c>
      <c r="B11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0" spans="1:2" x14ac:dyDescent="0.25">
      <c r="A1140" s="1" t="str">
        <f t="shared" si="17"/>
        <v/>
      </c>
      <c r="B11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1" spans="1:2" x14ac:dyDescent="0.25">
      <c r="A1141" s="1" t="str">
        <f t="shared" si="17"/>
        <v/>
      </c>
      <c r="B11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2" spans="1:2" x14ac:dyDescent="0.25">
      <c r="A1142" s="1" t="str">
        <f t="shared" si="17"/>
        <v/>
      </c>
      <c r="B11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3" spans="1:2" x14ac:dyDescent="0.25">
      <c r="A1143" s="1" t="str">
        <f t="shared" si="17"/>
        <v/>
      </c>
      <c r="B11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4" spans="1:2" x14ac:dyDescent="0.25">
      <c r="A1144" s="1" t="str">
        <f t="shared" si="17"/>
        <v/>
      </c>
      <c r="B11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5" spans="1:2" x14ac:dyDescent="0.25">
      <c r="A1145" s="1" t="str">
        <f t="shared" si="17"/>
        <v/>
      </c>
      <c r="B11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6" spans="1:2" x14ac:dyDescent="0.25">
      <c r="A1146" s="1" t="str">
        <f t="shared" si="17"/>
        <v/>
      </c>
      <c r="B11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7" spans="1:2" x14ac:dyDescent="0.25">
      <c r="A1147" s="1" t="str">
        <f t="shared" si="17"/>
        <v/>
      </c>
      <c r="B11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8" spans="1:2" x14ac:dyDescent="0.25">
      <c r="A1148" s="1" t="str">
        <f t="shared" si="17"/>
        <v/>
      </c>
      <c r="B11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9" spans="1:2" x14ac:dyDescent="0.25">
      <c r="A1149" s="1" t="str">
        <f t="shared" si="17"/>
        <v/>
      </c>
      <c r="B11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0" spans="1:2" x14ac:dyDescent="0.25">
      <c r="A1150" s="1" t="str">
        <f t="shared" si="17"/>
        <v/>
      </c>
      <c r="B11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1" spans="1:2" x14ac:dyDescent="0.25">
      <c r="A1151" s="1" t="str">
        <f t="shared" si="17"/>
        <v/>
      </c>
      <c r="B11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2" spans="1:2" x14ac:dyDescent="0.25">
      <c r="A1152" s="1" t="str">
        <f t="shared" si="17"/>
        <v/>
      </c>
      <c r="B11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3" spans="1:2" x14ac:dyDescent="0.25">
      <c r="A1153" s="1" t="str">
        <f t="shared" si="17"/>
        <v/>
      </c>
      <c r="B11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4" spans="1:2" x14ac:dyDescent="0.25">
      <c r="A1154" s="1" t="str">
        <f t="shared" ref="A1154:A1217" si="18">IFERROR(LEFT(RIGHT(C1154,LEN(C1154)-SEARCH("@",C1154)),SEARCH("/",RIGHT(C1154,LEN(C1154)-SEARCH("@",C1154)-1))),"")</f>
        <v/>
      </c>
      <c r="B11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5" spans="1:2" x14ac:dyDescent="0.25">
      <c r="A1155" s="1" t="str">
        <f t="shared" si="18"/>
        <v/>
      </c>
      <c r="B11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6" spans="1:2" x14ac:dyDescent="0.25">
      <c r="A1156" s="1" t="str">
        <f t="shared" si="18"/>
        <v/>
      </c>
      <c r="B11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7" spans="1:2" x14ac:dyDescent="0.25">
      <c r="A1157" s="1" t="str">
        <f t="shared" si="18"/>
        <v/>
      </c>
      <c r="B11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8" spans="1:2" x14ac:dyDescent="0.25">
      <c r="A1158" s="1" t="str">
        <f t="shared" si="18"/>
        <v/>
      </c>
      <c r="B1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9" spans="1:2" x14ac:dyDescent="0.25">
      <c r="A1159" s="1" t="str">
        <f t="shared" si="18"/>
        <v/>
      </c>
      <c r="B1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0" spans="1:2" x14ac:dyDescent="0.25">
      <c r="A1160" s="1" t="str">
        <f t="shared" si="18"/>
        <v/>
      </c>
      <c r="B11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1" spans="1:2" x14ac:dyDescent="0.25">
      <c r="A1161" s="1" t="str">
        <f t="shared" si="18"/>
        <v/>
      </c>
      <c r="B1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2" spans="1:2" x14ac:dyDescent="0.25">
      <c r="A1162" s="1" t="str">
        <f t="shared" si="18"/>
        <v/>
      </c>
      <c r="B1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3" spans="1:2" x14ac:dyDescent="0.25">
      <c r="A1163" s="1" t="str">
        <f t="shared" si="18"/>
        <v/>
      </c>
      <c r="B1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4" spans="1:2" x14ac:dyDescent="0.25">
      <c r="A1164" s="1" t="str">
        <f t="shared" si="18"/>
        <v/>
      </c>
      <c r="B1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5" spans="1:2" x14ac:dyDescent="0.25">
      <c r="A1165" s="1" t="str">
        <f t="shared" si="18"/>
        <v/>
      </c>
      <c r="B1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6" spans="1:2" x14ac:dyDescent="0.25">
      <c r="A1166" s="1" t="str">
        <f t="shared" si="18"/>
        <v/>
      </c>
      <c r="B1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7" spans="1:2" x14ac:dyDescent="0.25">
      <c r="A1167" s="1" t="str">
        <f t="shared" si="18"/>
        <v/>
      </c>
      <c r="B11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8" spans="1:2" x14ac:dyDescent="0.25">
      <c r="A1168" s="1" t="str">
        <f t="shared" si="18"/>
        <v/>
      </c>
      <c r="B11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9" spans="1:2" x14ac:dyDescent="0.25">
      <c r="A1169" s="1" t="str">
        <f t="shared" si="18"/>
        <v/>
      </c>
      <c r="B11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0" spans="1:2" x14ac:dyDescent="0.25">
      <c r="A1170" s="1" t="str">
        <f t="shared" si="18"/>
        <v/>
      </c>
      <c r="B11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1" spans="1:2" x14ac:dyDescent="0.25">
      <c r="A1171" s="1" t="str">
        <f t="shared" si="18"/>
        <v/>
      </c>
      <c r="B11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2" spans="1:2" x14ac:dyDescent="0.25">
      <c r="A1172" s="1" t="str">
        <f t="shared" si="18"/>
        <v/>
      </c>
      <c r="B11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3" spans="1:2" x14ac:dyDescent="0.25">
      <c r="A1173" s="1" t="str">
        <f t="shared" si="18"/>
        <v/>
      </c>
      <c r="B11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4" spans="1:2" x14ac:dyDescent="0.25">
      <c r="A1174" s="1" t="str">
        <f t="shared" si="18"/>
        <v/>
      </c>
      <c r="B11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5" spans="1:2" x14ac:dyDescent="0.25">
      <c r="A1175" s="1" t="str">
        <f t="shared" si="18"/>
        <v/>
      </c>
      <c r="B11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6" spans="1:2" x14ac:dyDescent="0.25">
      <c r="A1176" s="1" t="str">
        <f t="shared" si="18"/>
        <v/>
      </c>
      <c r="B11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7" spans="1:2" x14ac:dyDescent="0.25">
      <c r="A1177" s="1" t="str">
        <f t="shared" si="18"/>
        <v/>
      </c>
      <c r="B11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8" spans="1:2" x14ac:dyDescent="0.25">
      <c r="A1178" s="1" t="str">
        <f t="shared" si="18"/>
        <v/>
      </c>
      <c r="B11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9" spans="1:2" x14ac:dyDescent="0.25">
      <c r="A1179" s="1" t="str">
        <f t="shared" si="18"/>
        <v/>
      </c>
      <c r="B11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0" spans="1:2" x14ac:dyDescent="0.25">
      <c r="A1180" s="1" t="str">
        <f t="shared" si="18"/>
        <v/>
      </c>
      <c r="B11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1" spans="1:2" x14ac:dyDescent="0.25">
      <c r="A1181" s="1" t="str">
        <f t="shared" si="18"/>
        <v/>
      </c>
      <c r="B11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2" spans="1:2" x14ac:dyDescent="0.25">
      <c r="A1182" s="1" t="str">
        <f t="shared" si="18"/>
        <v/>
      </c>
      <c r="B11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3" spans="1:2" x14ac:dyDescent="0.25">
      <c r="A1183" s="1" t="str">
        <f t="shared" si="18"/>
        <v/>
      </c>
      <c r="B11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4" spans="1:2" x14ac:dyDescent="0.25">
      <c r="A1184" s="1" t="str">
        <f t="shared" si="18"/>
        <v/>
      </c>
      <c r="B11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5" spans="1:2" x14ac:dyDescent="0.25">
      <c r="A1185" s="1" t="str">
        <f t="shared" si="18"/>
        <v/>
      </c>
      <c r="B11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6" spans="1:2" x14ac:dyDescent="0.25">
      <c r="A1186" s="1" t="str">
        <f t="shared" si="18"/>
        <v/>
      </c>
      <c r="B11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7" spans="1:2" x14ac:dyDescent="0.25">
      <c r="A1187" s="1" t="str">
        <f t="shared" si="18"/>
        <v/>
      </c>
      <c r="B11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8" spans="1:2" x14ac:dyDescent="0.25">
      <c r="A1188" s="1" t="str">
        <f t="shared" si="18"/>
        <v/>
      </c>
      <c r="B11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9" spans="1:2" x14ac:dyDescent="0.25">
      <c r="A1189" s="1" t="str">
        <f t="shared" si="18"/>
        <v/>
      </c>
      <c r="B11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0" spans="1:2" x14ac:dyDescent="0.25">
      <c r="A1190" s="1" t="str">
        <f t="shared" si="18"/>
        <v/>
      </c>
      <c r="B11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1" spans="1:2" x14ac:dyDescent="0.25">
      <c r="A1191" s="1" t="str">
        <f t="shared" si="18"/>
        <v/>
      </c>
      <c r="B1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2" spans="1:2" x14ac:dyDescent="0.25">
      <c r="A1192" s="1" t="str">
        <f t="shared" si="18"/>
        <v/>
      </c>
      <c r="B1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3" spans="1:2" x14ac:dyDescent="0.25">
      <c r="A1193" s="1" t="str">
        <f t="shared" si="18"/>
        <v/>
      </c>
      <c r="B11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4" spans="1:2" x14ac:dyDescent="0.25">
      <c r="A1194" s="1" t="str">
        <f t="shared" si="18"/>
        <v/>
      </c>
      <c r="B1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5" spans="1:2" x14ac:dyDescent="0.25">
      <c r="A1195" s="1" t="str">
        <f t="shared" si="18"/>
        <v/>
      </c>
      <c r="B1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6" spans="1:2" x14ac:dyDescent="0.25">
      <c r="A1196" s="1" t="str">
        <f t="shared" si="18"/>
        <v/>
      </c>
      <c r="B1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7" spans="1:2" x14ac:dyDescent="0.25">
      <c r="A1197" s="1" t="str">
        <f t="shared" si="18"/>
        <v/>
      </c>
      <c r="B1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8" spans="1:2" x14ac:dyDescent="0.25">
      <c r="A1198" s="1" t="str">
        <f t="shared" si="18"/>
        <v/>
      </c>
      <c r="B1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9" spans="1:2" x14ac:dyDescent="0.25">
      <c r="A1199" s="1" t="str">
        <f t="shared" si="18"/>
        <v/>
      </c>
      <c r="B1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0" spans="1:2" x14ac:dyDescent="0.25">
      <c r="A1200" s="1" t="str">
        <f t="shared" si="18"/>
        <v/>
      </c>
      <c r="B12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1" spans="1:2" x14ac:dyDescent="0.25">
      <c r="A1201" s="1" t="str">
        <f t="shared" si="18"/>
        <v/>
      </c>
      <c r="B12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2" spans="1:2" x14ac:dyDescent="0.25">
      <c r="A1202" s="1" t="str">
        <f t="shared" si="18"/>
        <v/>
      </c>
      <c r="B12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3" spans="1:2" x14ac:dyDescent="0.25">
      <c r="A1203" s="1" t="str">
        <f t="shared" si="18"/>
        <v/>
      </c>
      <c r="B12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4" spans="1:2" x14ac:dyDescent="0.25">
      <c r="A1204" s="1" t="str">
        <f t="shared" si="18"/>
        <v/>
      </c>
      <c r="B12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5" spans="1:2" x14ac:dyDescent="0.25">
      <c r="A1205" s="1" t="str">
        <f t="shared" si="18"/>
        <v/>
      </c>
      <c r="B12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6" spans="1:2" x14ac:dyDescent="0.25">
      <c r="A1206" s="1" t="str">
        <f t="shared" si="18"/>
        <v/>
      </c>
      <c r="B12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7" spans="1:2" x14ac:dyDescent="0.25">
      <c r="A1207" s="1" t="str">
        <f t="shared" si="18"/>
        <v/>
      </c>
      <c r="B12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8" spans="1:2" x14ac:dyDescent="0.25">
      <c r="A1208" s="1" t="str">
        <f t="shared" si="18"/>
        <v/>
      </c>
      <c r="B12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9" spans="1:2" x14ac:dyDescent="0.25">
      <c r="A1209" s="1" t="str">
        <f t="shared" si="18"/>
        <v/>
      </c>
      <c r="B12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0" spans="1:2" x14ac:dyDescent="0.25">
      <c r="A1210" s="1" t="str">
        <f t="shared" si="18"/>
        <v/>
      </c>
      <c r="B12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1" spans="1:2" x14ac:dyDescent="0.25">
      <c r="A1211" s="1" t="str">
        <f t="shared" si="18"/>
        <v/>
      </c>
      <c r="B12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2" spans="1:2" x14ac:dyDescent="0.25">
      <c r="A1212" s="1" t="str">
        <f t="shared" si="18"/>
        <v/>
      </c>
      <c r="B12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3" spans="1:2" x14ac:dyDescent="0.25">
      <c r="A1213" s="1" t="str">
        <f t="shared" si="18"/>
        <v/>
      </c>
      <c r="B12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4" spans="1:2" x14ac:dyDescent="0.25">
      <c r="A1214" s="1" t="str">
        <f t="shared" si="18"/>
        <v/>
      </c>
      <c r="B12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5" spans="1:2" x14ac:dyDescent="0.25">
      <c r="A1215" s="1" t="str">
        <f t="shared" si="18"/>
        <v/>
      </c>
      <c r="B12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6" spans="1:2" x14ac:dyDescent="0.25">
      <c r="A1216" s="1" t="str">
        <f t="shared" si="18"/>
        <v/>
      </c>
      <c r="B12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7" spans="1:2" x14ac:dyDescent="0.25">
      <c r="A1217" s="1" t="str">
        <f t="shared" si="18"/>
        <v/>
      </c>
      <c r="B12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8" spans="1:2" x14ac:dyDescent="0.25">
      <c r="A1218" s="1" t="str">
        <f t="shared" ref="A1218:A1281" si="19">IFERROR(LEFT(RIGHT(C1218,LEN(C1218)-SEARCH("@",C1218)),SEARCH("/",RIGHT(C1218,LEN(C1218)-SEARCH("@",C1218)-1))),"")</f>
        <v/>
      </c>
      <c r="B12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9" spans="1:2" x14ac:dyDescent="0.25">
      <c r="A1219" s="1" t="str">
        <f t="shared" si="19"/>
        <v/>
      </c>
      <c r="B12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0" spans="1:2" x14ac:dyDescent="0.25">
      <c r="A1220" s="1" t="str">
        <f t="shared" si="19"/>
        <v/>
      </c>
      <c r="B12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1" spans="1:2" x14ac:dyDescent="0.25">
      <c r="A1221" s="1" t="str">
        <f t="shared" si="19"/>
        <v/>
      </c>
      <c r="B12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2" spans="1:2" x14ac:dyDescent="0.25">
      <c r="A1222" s="1" t="str">
        <f t="shared" si="19"/>
        <v/>
      </c>
      <c r="B12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3" spans="1:2" x14ac:dyDescent="0.25">
      <c r="A1223" s="1" t="str">
        <f t="shared" si="19"/>
        <v/>
      </c>
      <c r="B12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4" spans="1:2" x14ac:dyDescent="0.25">
      <c r="A1224" s="1" t="str">
        <f t="shared" si="19"/>
        <v/>
      </c>
      <c r="B1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5" spans="1:2" x14ac:dyDescent="0.25">
      <c r="A1225" s="1" t="str">
        <f t="shared" si="19"/>
        <v/>
      </c>
      <c r="B1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6" spans="1:2" x14ac:dyDescent="0.25">
      <c r="A1226" s="1" t="str">
        <f t="shared" si="19"/>
        <v/>
      </c>
      <c r="B12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7" spans="1:2" x14ac:dyDescent="0.25">
      <c r="A1227" s="1" t="str">
        <f t="shared" si="19"/>
        <v/>
      </c>
      <c r="B1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8" spans="1:2" x14ac:dyDescent="0.25">
      <c r="A1228" s="1" t="str">
        <f t="shared" si="19"/>
        <v/>
      </c>
      <c r="B1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9" spans="1:2" x14ac:dyDescent="0.25">
      <c r="A1229" s="1" t="str">
        <f t="shared" si="19"/>
        <v/>
      </c>
      <c r="B1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0" spans="1:2" x14ac:dyDescent="0.25">
      <c r="A1230" s="1" t="str">
        <f t="shared" si="19"/>
        <v/>
      </c>
      <c r="B1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1" spans="1:2" x14ac:dyDescent="0.25">
      <c r="A1231" s="1" t="str">
        <f t="shared" si="19"/>
        <v/>
      </c>
      <c r="B1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2" spans="1:2" x14ac:dyDescent="0.25">
      <c r="A1232" s="1" t="str">
        <f t="shared" si="19"/>
        <v/>
      </c>
      <c r="B1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3" spans="1:2" x14ac:dyDescent="0.25">
      <c r="A1233" s="1" t="str">
        <f t="shared" si="19"/>
        <v/>
      </c>
      <c r="B12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4" spans="1:2" x14ac:dyDescent="0.25">
      <c r="A1234" s="1" t="str">
        <f t="shared" si="19"/>
        <v/>
      </c>
      <c r="B12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5" spans="1:2" x14ac:dyDescent="0.25">
      <c r="A1235" s="1" t="str">
        <f t="shared" si="19"/>
        <v/>
      </c>
      <c r="B12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6" spans="1:2" x14ac:dyDescent="0.25">
      <c r="A1236" s="1" t="str">
        <f t="shared" si="19"/>
        <v/>
      </c>
      <c r="B12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7" spans="1:2" x14ac:dyDescent="0.25">
      <c r="A1237" s="1" t="str">
        <f t="shared" si="19"/>
        <v/>
      </c>
      <c r="B12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8" spans="1:2" x14ac:dyDescent="0.25">
      <c r="A1238" s="1" t="str">
        <f t="shared" si="19"/>
        <v/>
      </c>
      <c r="B12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9" spans="1:2" x14ac:dyDescent="0.25">
      <c r="A1239" s="1" t="str">
        <f t="shared" si="19"/>
        <v/>
      </c>
      <c r="B12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0" spans="1:2" x14ac:dyDescent="0.25">
      <c r="A1240" s="1" t="str">
        <f t="shared" si="19"/>
        <v/>
      </c>
      <c r="B12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1" spans="1:2" x14ac:dyDescent="0.25">
      <c r="A1241" s="1" t="str">
        <f t="shared" si="19"/>
        <v/>
      </c>
      <c r="B12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2" spans="1:2" x14ac:dyDescent="0.25">
      <c r="A1242" s="1" t="str">
        <f t="shared" si="19"/>
        <v/>
      </c>
      <c r="B12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3" spans="1:2" x14ac:dyDescent="0.25">
      <c r="A1243" s="1" t="str">
        <f t="shared" si="19"/>
        <v/>
      </c>
      <c r="B12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4" spans="1:2" x14ac:dyDescent="0.25">
      <c r="A1244" s="1" t="str">
        <f t="shared" si="19"/>
        <v/>
      </c>
      <c r="B12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5" spans="1:2" x14ac:dyDescent="0.25">
      <c r="A1245" s="1" t="str">
        <f t="shared" si="19"/>
        <v/>
      </c>
      <c r="B12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6" spans="1:2" x14ac:dyDescent="0.25">
      <c r="A1246" s="1" t="str">
        <f t="shared" si="19"/>
        <v/>
      </c>
      <c r="B12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7" spans="1:2" x14ac:dyDescent="0.25">
      <c r="A1247" s="1" t="str">
        <f t="shared" si="19"/>
        <v/>
      </c>
      <c r="B12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8" spans="1:2" x14ac:dyDescent="0.25">
      <c r="A1248" s="1" t="str">
        <f t="shared" si="19"/>
        <v/>
      </c>
      <c r="B12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9" spans="1:2" x14ac:dyDescent="0.25">
      <c r="A1249" s="1" t="str">
        <f t="shared" si="19"/>
        <v/>
      </c>
      <c r="B12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0" spans="1:2" x14ac:dyDescent="0.25">
      <c r="A1250" s="1" t="str">
        <f t="shared" si="19"/>
        <v/>
      </c>
      <c r="B12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1" spans="1:2" x14ac:dyDescent="0.25">
      <c r="A1251" s="1" t="str">
        <f t="shared" si="19"/>
        <v/>
      </c>
      <c r="B12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2" spans="1:2" x14ac:dyDescent="0.25">
      <c r="A1252" s="1" t="str">
        <f t="shared" si="19"/>
        <v/>
      </c>
      <c r="B12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3" spans="1:2" x14ac:dyDescent="0.25">
      <c r="A1253" s="1" t="str">
        <f t="shared" si="19"/>
        <v/>
      </c>
      <c r="B12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4" spans="1:2" x14ac:dyDescent="0.25">
      <c r="A1254" s="1" t="str">
        <f t="shared" si="19"/>
        <v/>
      </c>
      <c r="B12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5" spans="1:2" x14ac:dyDescent="0.25">
      <c r="A1255" s="1" t="str">
        <f t="shared" si="19"/>
        <v/>
      </c>
      <c r="B12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6" spans="1:2" x14ac:dyDescent="0.25">
      <c r="A1256" s="1" t="str">
        <f t="shared" si="19"/>
        <v/>
      </c>
      <c r="B12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7" spans="1:2" x14ac:dyDescent="0.25">
      <c r="A1257" s="1" t="str">
        <f t="shared" si="19"/>
        <v/>
      </c>
      <c r="B1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8" spans="1:2" x14ac:dyDescent="0.25">
      <c r="A1258" s="1" t="str">
        <f t="shared" si="19"/>
        <v/>
      </c>
      <c r="B1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9" spans="1:2" x14ac:dyDescent="0.25">
      <c r="A1259" s="1" t="str">
        <f t="shared" si="19"/>
        <v/>
      </c>
      <c r="B12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0" spans="1:2" x14ac:dyDescent="0.25">
      <c r="A1260" s="1" t="str">
        <f t="shared" si="19"/>
        <v/>
      </c>
      <c r="B1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1" spans="1:2" x14ac:dyDescent="0.25">
      <c r="A1261" s="1" t="str">
        <f t="shared" si="19"/>
        <v/>
      </c>
      <c r="B1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2" spans="1:2" x14ac:dyDescent="0.25">
      <c r="A1262" s="1" t="str">
        <f t="shared" si="19"/>
        <v/>
      </c>
      <c r="B1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3" spans="1:2" x14ac:dyDescent="0.25">
      <c r="A1263" s="1" t="str">
        <f t="shared" si="19"/>
        <v/>
      </c>
      <c r="B1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4" spans="1:2" x14ac:dyDescent="0.25">
      <c r="A1264" s="1" t="str">
        <f t="shared" si="19"/>
        <v/>
      </c>
      <c r="B1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5" spans="1:2" x14ac:dyDescent="0.25">
      <c r="A1265" s="1" t="str">
        <f t="shared" si="19"/>
        <v/>
      </c>
      <c r="B1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6" spans="1:2" x14ac:dyDescent="0.25">
      <c r="A1266" s="1" t="str">
        <f t="shared" si="19"/>
        <v/>
      </c>
      <c r="B12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7" spans="1:2" x14ac:dyDescent="0.25">
      <c r="A1267" s="1" t="str">
        <f t="shared" si="19"/>
        <v/>
      </c>
      <c r="B12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8" spans="1:2" x14ac:dyDescent="0.25">
      <c r="A1268" s="1" t="str">
        <f t="shared" si="19"/>
        <v/>
      </c>
      <c r="B12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9" spans="1:2" x14ac:dyDescent="0.25">
      <c r="A1269" s="1" t="str">
        <f t="shared" si="19"/>
        <v/>
      </c>
      <c r="B12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0" spans="1:2" x14ac:dyDescent="0.25">
      <c r="A1270" s="1" t="str">
        <f t="shared" si="19"/>
        <v/>
      </c>
      <c r="B12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1" spans="1:2" x14ac:dyDescent="0.25">
      <c r="A1271" s="1" t="str">
        <f t="shared" si="19"/>
        <v/>
      </c>
      <c r="B12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2" spans="1:2" x14ac:dyDescent="0.25">
      <c r="A1272" s="1" t="str">
        <f t="shared" si="19"/>
        <v/>
      </c>
      <c r="B12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3" spans="1:2" x14ac:dyDescent="0.25">
      <c r="A1273" s="1" t="str">
        <f t="shared" si="19"/>
        <v/>
      </c>
      <c r="B12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4" spans="1:2" x14ac:dyDescent="0.25">
      <c r="A1274" s="1" t="str">
        <f t="shared" si="19"/>
        <v/>
      </c>
      <c r="B12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5" spans="1:2" x14ac:dyDescent="0.25">
      <c r="A1275" s="1" t="str">
        <f t="shared" si="19"/>
        <v/>
      </c>
      <c r="B12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6" spans="1:2" x14ac:dyDescent="0.25">
      <c r="A1276" s="1" t="str">
        <f t="shared" si="19"/>
        <v/>
      </c>
      <c r="B12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7" spans="1:2" x14ac:dyDescent="0.25">
      <c r="A1277" s="1" t="str">
        <f t="shared" si="19"/>
        <v/>
      </c>
      <c r="B12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8" spans="1:2" x14ac:dyDescent="0.25">
      <c r="A1278" s="1" t="str">
        <f t="shared" si="19"/>
        <v/>
      </c>
      <c r="B12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9" spans="1:2" x14ac:dyDescent="0.25">
      <c r="A1279" s="1" t="str">
        <f t="shared" si="19"/>
        <v/>
      </c>
      <c r="B12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0" spans="1:2" x14ac:dyDescent="0.25">
      <c r="A1280" s="1" t="str">
        <f t="shared" si="19"/>
        <v/>
      </c>
      <c r="B12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1" spans="1:2" x14ac:dyDescent="0.25">
      <c r="A1281" s="1" t="str">
        <f t="shared" si="19"/>
        <v/>
      </c>
      <c r="B12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2" spans="1:2" x14ac:dyDescent="0.25">
      <c r="A1282" s="1" t="str">
        <f t="shared" ref="A1282:A1345" si="20">IFERROR(LEFT(RIGHT(C1282,LEN(C1282)-SEARCH("@",C1282)),SEARCH("/",RIGHT(C1282,LEN(C1282)-SEARCH("@",C1282)-1))),"")</f>
        <v/>
      </c>
      <c r="B12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3" spans="1:2" x14ac:dyDescent="0.25">
      <c r="A1283" s="1" t="str">
        <f t="shared" si="20"/>
        <v/>
      </c>
      <c r="B12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4" spans="1:2" x14ac:dyDescent="0.25">
      <c r="A1284" s="1" t="str">
        <f t="shared" si="20"/>
        <v/>
      </c>
      <c r="B12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5" spans="1:2" x14ac:dyDescent="0.25">
      <c r="A1285" s="1" t="str">
        <f t="shared" si="20"/>
        <v/>
      </c>
      <c r="B12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6" spans="1:2" x14ac:dyDescent="0.25">
      <c r="A1286" s="1" t="str">
        <f t="shared" si="20"/>
        <v/>
      </c>
      <c r="B12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7" spans="1:2" x14ac:dyDescent="0.25">
      <c r="A1287" s="1" t="str">
        <f t="shared" si="20"/>
        <v/>
      </c>
      <c r="B12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8" spans="1:2" x14ac:dyDescent="0.25">
      <c r="A1288" s="1" t="str">
        <f t="shared" si="20"/>
        <v/>
      </c>
      <c r="B12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9" spans="1:2" x14ac:dyDescent="0.25">
      <c r="A1289" s="1" t="str">
        <f t="shared" si="20"/>
        <v/>
      </c>
      <c r="B12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0" spans="1:2" x14ac:dyDescent="0.25">
      <c r="A1290" s="1" t="str">
        <f t="shared" si="20"/>
        <v/>
      </c>
      <c r="B1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1" spans="1:2" x14ac:dyDescent="0.25">
      <c r="A1291" s="1" t="str">
        <f t="shared" si="20"/>
        <v/>
      </c>
      <c r="B1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2" spans="1:2" x14ac:dyDescent="0.25">
      <c r="A1292" s="1" t="str">
        <f t="shared" si="20"/>
        <v/>
      </c>
      <c r="B12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3" spans="1:2" x14ac:dyDescent="0.25">
      <c r="A1293" s="1" t="str">
        <f t="shared" si="20"/>
        <v/>
      </c>
      <c r="B1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4" spans="1:2" x14ac:dyDescent="0.25">
      <c r="A1294" s="1" t="str">
        <f t="shared" si="20"/>
        <v/>
      </c>
      <c r="B1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5" spans="1:2" x14ac:dyDescent="0.25">
      <c r="A1295" s="1" t="str">
        <f t="shared" si="20"/>
        <v/>
      </c>
      <c r="B1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6" spans="1:2" x14ac:dyDescent="0.25">
      <c r="A1296" s="1" t="str">
        <f t="shared" si="20"/>
        <v/>
      </c>
      <c r="B1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7" spans="1:2" x14ac:dyDescent="0.25">
      <c r="A1297" s="1" t="str">
        <f t="shared" si="20"/>
        <v/>
      </c>
      <c r="B1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8" spans="1:2" x14ac:dyDescent="0.25">
      <c r="A1298" s="1" t="str">
        <f t="shared" si="20"/>
        <v/>
      </c>
      <c r="B1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9" spans="1:2" x14ac:dyDescent="0.25">
      <c r="A1299" s="1" t="str">
        <f t="shared" si="20"/>
        <v/>
      </c>
      <c r="B12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0" spans="1:2" x14ac:dyDescent="0.25">
      <c r="A1300" s="1" t="str">
        <f t="shared" si="20"/>
        <v/>
      </c>
      <c r="B13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1" spans="1:2" x14ac:dyDescent="0.25">
      <c r="A1301" s="1" t="str">
        <f t="shared" si="20"/>
        <v/>
      </c>
      <c r="B13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2" spans="1:2" x14ac:dyDescent="0.25">
      <c r="A1302" s="1" t="str">
        <f t="shared" si="20"/>
        <v/>
      </c>
      <c r="B13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3" spans="1:2" x14ac:dyDescent="0.25">
      <c r="A1303" s="1" t="str">
        <f t="shared" si="20"/>
        <v/>
      </c>
      <c r="B13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4" spans="1:2" x14ac:dyDescent="0.25">
      <c r="A1304" s="1" t="str">
        <f t="shared" si="20"/>
        <v/>
      </c>
      <c r="B13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5" spans="1:2" x14ac:dyDescent="0.25">
      <c r="A1305" s="1" t="str">
        <f t="shared" si="20"/>
        <v/>
      </c>
      <c r="B13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6" spans="1:2" x14ac:dyDescent="0.25">
      <c r="A1306" s="1" t="str">
        <f t="shared" si="20"/>
        <v/>
      </c>
      <c r="B13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7" spans="1:2" x14ac:dyDescent="0.25">
      <c r="A1307" s="1" t="str">
        <f t="shared" si="20"/>
        <v/>
      </c>
      <c r="B13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8" spans="1:2" x14ac:dyDescent="0.25">
      <c r="A1308" s="1" t="str">
        <f t="shared" si="20"/>
        <v/>
      </c>
      <c r="B13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9" spans="1:2" x14ac:dyDescent="0.25">
      <c r="A1309" s="1" t="str">
        <f t="shared" si="20"/>
        <v/>
      </c>
      <c r="B13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0" spans="1:2" x14ac:dyDescent="0.25">
      <c r="A1310" s="1" t="str">
        <f t="shared" si="20"/>
        <v/>
      </c>
      <c r="B13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1" spans="1:2" x14ac:dyDescent="0.25">
      <c r="A1311" s="1" t="str">
        <f t="shared" si="20"/>
        <v/>
      </c>
      <c r="B13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2" spans="1:2" x14ac:dyDescent="0.25">
      <c r="A1312" s="1" t="str">
        <f t="shared" si="20"/>
        <v/>
      </c>
      <c r="B13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3" spans="1:2" x14ac:dyDescent="0.25">
      <c r="A1313" s="1" t="str">
        <f t="shared" si="20"/>
        <v/>
      </c>
      <c r="B13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4" spans="1:2" x14ac:dyDescent="0.25">
      <c r="A1314" s="1" t="str">
        <f t="shared" si="20"/>
        <v/>
      </c>
      <c r="B13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5" spans="1:2" x14ac:dyDescent="0.25">
      <c r="A1315" s="1" t="str">
        <f t="shared" si="20"/>
        <v/>
      </c>
      <c r="B13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6" spans="1:2" x14ac:dyDescent="0.25">
      <c r="A1316" s="1" t="str">
        <f t="shared" si="20"/>
        <v/>
      </c>
      <c r="B13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7" spans="1:2" x14ac:dyDescent="0.25">
      <c r="A1317" s="1" t="str">
        <f t="shared" si="20"/>
        <v/>
      </c>
      <c r="B13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8" spans="1:2" x14ac:dyDescent="0.25">
      <c r="A1318" s="1" t="str">
        <f t="shared" si="20"/>
        <v/>
      </c>
      <c r="B13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9" spans="1:2" x14ac:dyDescent="0.25">
      <c r="A1319" s="1" t="str">
        <f t="shared" si="20"/>
        <v/>
      </c>
      <c r="B13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0" spans="1:2" x14ac:dyDescent="0.25">
      <c r="A1320" s="1" t="str">
        <f t="shared" si="20"/>
        <v/>
      </c>
      <c r="B13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1" spans="1:2" x14ac:dyDescent="0.25">
      <c r="A1321" s="1" t="str">
        <f t="shared" si="20"/>
        <v/>
      </c>
      <c r="B13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2" spans="1:2" x14ac:dyDescent="0.25">
      <c r="A1322" s="1" t="str">
        <f t="shared" si="20"/>
        <v/>
      </c>
      <c r="B13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3" spans="1:2" x14ac:dyDescent="0.25">
      <c r="A1323" s="1" t="str">
        <f t="shared" si="20"/>
        <v/>
      </c>
      <c r="B1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4" spans="1:2" x14ac:dyDescent="0.25">
      <c r="A1324" s="1" t="str">
        <f t="shared" si="20"/>
        <v/>
      </c>
      <c r="B1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5" spans="1:2" x14ac:dyDescent="0.25">
      <c r="A1325" s="1" t="str">
        <f t="shared" si="20"/>
        <v/>
      </c>
      <c r="B13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6" spans="1:2" x14ac:dyDescent="0.25">
      <c r="A1326" s="1" t="str">
        <f t="shared" si="20"/>
        <v/>
      </c>
      <c r="B1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7" spans="1:2" x14ac:dyDescent="0.25">
      <c r="A1327" s="1" t="str">
        <f t="shared" si="20"/>
        <v/>
      </c>
      <c r="B1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8" spans="1:2" x14ac:dyDescent="0.25">
      <c r="A1328" s="1" t="str">
        <f t="shared" si="20"/>
        <v/>
      </c>
      <c r="B1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9" spans="1:2" x14ac:dyDescent="0.25">
      <c r="A1329" s="1" t="str">
        <f t="shared" si="20"/>
        <v/>
      </c>
      <c r="B1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0" spans="1:2" x14ac:dyDescent="0.25">
      <c r="A1330" s="1" t="str">
        <f t="shared" si="20"/>
        <v/>
      </c>
      <c r="B1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1" spans="1:2" x14ac:dyDescent="0.25">
      <c r="A1331" s="1" t="str">
        <f t="shared" si="20"/>
        <v/>
      </c>
      <c r="B1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2" spans="1:2" x14ac:dyDescent="0.25">
      <c r="A1332" s="1" t="str">
        <f t="shared" si="20"/>
        <v/>
      </c>
      <c r="B13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3" spans="1:2" x14ac:dyDescent="0.25">
      <c r="A1333" s="1" t="str">
        <f t="shared" si="20"/>
        <v/>
      </c>
      <c r="B13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4" spans="1:2" x14ac:dyDescent="0.25">
      <c r="A1334" s="1" t="str">
        <f t="shared" si="20"/>
        <v/>
      </c>
      <c r="B13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5" spans="1:2" x14ac:dyDescent="0.25">
      <c r="A1335" s="1" t="str">
        <f t="shared" si="20"/>
        <v/>
      </c>
      <c r="B13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6" spans="1:2" x14ac:dyDescent="0.25">
      <c r="A1336" s="1" t="str">
        <f t="shared" si="20"/>
        <v/>
      </c>
      <c r="B13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7" spans="1:2" x14ac:dyDescent="0.25">
      <c r="A1337" s="1" t="str">
        <f t="shared" si="20"/>
        <v/>
      </c>
      <c r="B13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8" spans="1:2" x14ac:dyDescent="0.25">
      <c r="A1338" s="1" t="str">
        <f t="shared" si="20"/>
        <v/>
      </c>
      <c r="B13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9" spans="1:2" x14ac:dyDescent="0.25">
      <c r="A1339" s="1" t="str">
        <f t="shared" si="20"/>
        <v/>
      </c>
      <c r="B13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0" spans="1:2" x14ac:dyDescent="0.25">
      <c r="A1340" s="1" t="str">
        <f t="shared" si="20"/>
        <v/>
      </c>
      <c r="B13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1" spans="1:2" x14ac:dyDescent="0.25">
      <c r="A1341" s="1" t="str">
        <f t="shared" si="20"/>
        <v/>
      </c>
      <c r="B13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2" spans="1:2" x14ac:dyDescent="0.25">
      <c r="A1342" s="1" t="str">
        <f t="shared" si="20"/>
        <v/>
      </c>
      <c r="B13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3" spans="1:2" x14ac:dyDescent="0.25">
      <c r="A1343" s="1" t="str">
        <f t="shared" si="20"/>
        <v/>
      </c>
      <c r="B13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4" spans="1:2" x14ac:dyDescent="0.25">
      <c r="A1344" s="1" t="str">
        <f t="shared" si="20"/>
        <v/>
      </c>
      <c r="B13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5" spans="1:2" x14ac:dyDescent="0.25">
      <c r="A1345" s="1" t="str">
        <f t="shared" si="20"/>
        <v/>
      </c>
      <c r="B13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6" spans="1:2" x14ac:dyDescent="0.25">
      <c r="A1346" s="1" t="str">
        <f t="shared" ref="A1346:A1409" si="21">IFERROR(LEFT(RIGHT(C1346,LEN(C1346)-SEARCH("@",C1346)),SEARCH("/",RIGHT(C1346,LEN(C1346)-SEARCH("@",C1346)-1))),"")</f>
        <v/>
      </c>
      <c r="B13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7" spans="1:2" x14ac:dyDescent="0.25">
      <c r="A1347" s="1" t="str">
        <f t="shared" si="21"/>
        <v/>
      </c>
      <c r="B13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8" spans="1:2" x14ac:dyDescent="0.25">
      <c r="A1348" s="1" t="str">
        <f t="shared" si="21"/>
        <v/>
      </c>
      <c r="B13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9" spans="1:2" x14ac:dyDescent="0.25">
      <c r="A1349" s="1" t="str">
        <f t="shared" si="21"/>
        <v/>
      </c>
      <c r="B13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0" spans="1:2" x14ac:dyDescent="0.25">
      <c r="A1350" s="1" t="str">
        <f t="shared" si="21"/>
        <v/>
      </c>
      <c r="B13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1" spans="1:2" x14ac:dyDescent="0.25">
      <c r="A1351" s="1" t="str">
        <f t="shared" si="21"/>
        <v/>
      </c>
      <c r="B13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2" spans="1:2" x14ac:dyDescent="0.25">
      <c r="A1352" s="1" t="str">
        <f t="shared" si="21"/>
        <v/>
      </c>
      <c r="B13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3" spans="1:2" x14ac:dyDescent="0.25">
      <c r="A1353" s="1" t="str">
        <f t="shared" si="21"/>
        <v/>
      </c>
      <c r="B13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4" spans="1:2" x14ac:dyDescent="0.25">
      <c r="A1354" s="1" t="str">
        <f t="shared" si="21"/>
        <v/>
      </c>
      <c r="B13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5" spans="1:2" x14ac:dyDescent="0.25">
      <c r="A1355" s="1" t="str">
        <f t="shared" si="21"/>
        <v/>
      </c>
      <c r="B13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6" spans="1:2" x14ac:dyDescent="0.25">
      <c r="A1356" s="1" t="str">
        <f t="shared" si="21"/>
        <v/>
      </c>
      <c r="B1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7" spans="1:2" x14ac:dyDescent="0.25">
      <c r="A1357" s="1" t="str">
        <f t="shared" si="21"/>
        <v/>
      </c>
      <c r="B1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8" spans="1:2" x14ac:dyDescent="0.25">
      <c r="A1358" s="1" t="str">
        <f t="shared" si="21"/>
        <v/>
      </c>
      <c r="B13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9" spans="1:2" x14ac:dyDescent="0.25">
      <c r="A1359" s="1" t="str">
        <f t="shared" si="21"/>
        <v/>
      </c>
      <c r="B1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0" spans="1:2" x14ac:dyDescent="0.25">
      <c r="A1360" s="1" t="str">
        <f t="shared" si="21"/>
        <v/>
      </c>
      <c r="B1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1" spans="1:2" x14ac:dyDescent="0.25">
      <c r="A1361" s="1" t="str">
        <f t="shared" si="21"/>
        <v/>
      </c>
      <c r="B1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2" spans="1:2" x14ac:dyDescent="0.25">
      <c r="A1362" s="1" t="str">
        <f t="shared" si="21"/>
        <v/>
      </c>
      <c r="B1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3" spans="1:2" x14ac:dyDescent="0.25">
      <c r="A1363" s="1" t="str">
        <f t="shared" si="21"/>
        <v/>
      </c>
      <c r="B1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4" spans="1:2" x14ac:dyDescent="0.25">
      <c r="A1364" s="1" t="str">
        <f t="shared" si="21"/>
        <v/>
      </c>
      <c r="B1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5" spans="1:2" x14ac:dyDescent="0.25">
      <c r="A1365" s="1" t="str">
        <f t="shared" si="21"/>
        <v/>
      </c>
      <c r="B13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6" spans="1:2" x14ac:dyDescent="0.25">
      <c r="A1366" s="1" t="str">
        <f t="shared" si="21"/>
        <v/>
      </c>
      <c r="B13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7" spans="1:2" x14ac:dyDescent="0.25">
      <c r="A1367" s="1" t="str">
        <f t="shared" si="21"/>
        <v/>
      </c>
      <c r="B13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8" spans="1:2" x14ac:dyDescent="0.25">
      <c r="A1368" s="1" t="str">
        <f t="shared" si="21"/>
        <v/>
      </c>
      <c r="B13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9" spans="1:2" x14ac:dyDescent="0.25">
      <c r="A1369" s="1" t="str">
        <f t="shared" si="21"/>
        <v/>
      </c>
      <c r="B13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0" spans="1:2" x14ac:dyDescent="0.25">
      <c r="A1370" s="1" t="str">
        <f t="shared" si="21"/>
        <v/>
      </c>
      <c r="B13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1" spans="1:2" x14ac:dyDescent="0.25">
      <c r="A1371" s="1" t="str">
        <f t="shared" si="21"/>
        <v/>
      </c>
      <c r="B13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2" spans="1:2" x14ac:dyDescent="0.25">
      <c r="A1372" s="1" t="str">
        <f t="shared" si="21"/>
        <v/>
      </c>
      <c r="B13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3" spans="1:2" x14ac:dyDescent="0.25">
      <c r="A1373" s="1" t="str">
        <f t="shared" si="21"/>
        <v/>
      </c>
      <c r="B13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4" spans="1:2" x14ac:dyDescent="0.25">
      <c r="A1374" s="1" t="str">
        <f t="shared" si="21"/>
        <v/>
      </c>
      <c r="B13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5" spans="1:2" x14ac:dyDescent="0.25">
      <c r="A1375" s="1" t="str">
        <f t="shared" si="21"/>
        <v/>
      </c>
      <c r="B13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6" spans="1:2" x14ac:dyDescent="0.25">
      <c r="A1376" s="1" t="str">
        <f t="shared" si="21"/>
        <v/>
      </c>
      <c r="B13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7" spans="1:2" x14ac:dyDescent="0.25">
      <c r="A1377" s="1" t="str">
        <f t="shared" si="21"/>
        <v/>
      </c>
      <c r="B13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8" spans="1:2" x14ac:dyDescent="0.25">
      <c r="A1378" s="1" t="str">
        <f t="shared" si="21"/>
        <v/>
      </c>
      <c r="B13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9" spans="1:2" x14ac:dyDescent="0.25">
      <c r="A1379" s="1" t="str">
        <f t="shared" si="21"/>
        <v/>
      </c>
      <c r="B13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0" spans="1:2" x14ac:dyDescent="0.25">
      <c r="A1380" s="1" t="str">
        <f t="shared" si="21"/>
        <v/>
      </c>
      <c r="B13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1" spans="1:2" x14ac:dyDescent="0.25">
      <c r="A1381" s="1" t="str">
        <f t="shared" si="21"/>
        <v/>
      </c>
      <c r="B13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2" spans="1:2" x14ac:dyDescent="0.25">
      <c r="A1382" s="1" t="str">
        <f t="shared" si="21"/>
        <v/>
      </c>
      <c r="B13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3" spans="1:2" x14ac:dyDescent="0.25">
      <c r="A1383" s="1" t="str">
        <f t="shared" si="21"/>
        <v/>
      </c>
      <c r="B13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4" spans="1:2" x14ac:dyDescent="0.25">
      <c r="A1384" s="1" t="str">
        <f t="shared" si="21"/>
        <v/>
      </c>
      <c r="B13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5" spans="1:2" x14ac:dyDescent="0.25">
      <c r="A1385" s="1" t="str">
        <f t="shared" si="21"/>
        <v/>
      </c>
      <c r="B13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6" spans="1:2" x14ac:dyDescent="0.25">
      <c r="A1386" s="1" t="str">
        <f t="shared" si="21"/>
        <v/>
      </c>
      <c r="B13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7" spans="1:2" x14ac:dyDescent="0.25">
      <c r="A1387" s="1" t="str">
        <f t="shared" si="21"/>
        <v/>
      </c>
      <c r="B13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8" spans="1:2" x14ac:dyDescent="0.25">
      <c r="A1388" s="1" t="str">
        <f t="shared" si="21"/>
        <v/>
      </c>
      <c r="B13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9" spans="1:2" x14ac:dyDescent="0.25">
      <c r="A1389" s="1" t="str">
        <f t="shared" si="21"/>
        <v/>
      </c>
      <c r="B1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0" spans="1:2" x14ac:dyDescent="0.25">
      <c r="A1390" s="1" t="str">
        <f t="shared" si="21"/>
        <v/>
      </c>
      <c r="B1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1" spans="1:2" x14ac:dyDescent="0.25">
      <c r="A1391" s="1" t="str">
        <f t="shared" si="21"/>
        <v/>
      </c>
      <c r="B13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2" spans="1:2" x14ac:dyDescent="0.25">
      <c r="A1392" s="1" t="str">
        <f t="shared" si="21"/>
        <v/>
      </c>
      <c r="B1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3" spans="1:2" x14ac:dyDescent="0.25">
      <c r="A1393" s="1" t="str">
        <f t="shared" si="21"/>
        <v/>
      </c>
      <c r="B1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4" spans="1:2" x14ac:dyDescent="0.25">
      <c r="A1394" s="1" t="str">
        <f t="shared" si="21"/>
        <v/>
      </c>
      <c r="B1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5" spans="1:2" x14ac:dyDescent="0.25">
      <c r="A1395" s="1" t="str">
        <f t="shared" si="21"/>
        <v/>
      </c>
      <c r="B1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6" spans="1:2" x14ac:dyDescent="0.25">
      <c r="A1396" s="1" t="str">
        <f t="shared" si="21"/>
        <v/>
      </c>
      <c r="B1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7" spans="1:2" x14ac:dyDescent="0.25">
      <c r="A1397" s="1" t="str">
        <f t="shared" si="21"/>
        <v/>
      </c>
      <c r="B1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8" spans="1:2" x14ac:dyDescent="0.25">
      <c r="A1398" s="1" t="str">
        <f t="shared" si="21"/>
        <v/>
      </c>
      <c r="B13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9" spans="1:2" x14ac:dyDescent="0.25">
      <c r="A1399" s="1" t="str">
        <f t="shared" si="21"/>
        <v/>
      </c>
      <c r="B13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0" spans="1:2" x14ac:dyDescent="0.25">
      <c r="A1400" s="1" t="str">
        <f t="shared" si="21"/>
        <v/>
      </c>
      <c r="B14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1" spans="1:2" x14ac:dyDescent="0.25">
      <c r="A1401" s="1" t="str">
        <f t="shared" si="21"/>
        <v/>
      </c>
      <c r="B14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2" spans="1:2" x14ac:dyDescent="0.25">
      <c r="A1402" s="1" t="str">
        <f t="shared" si="21"/>
        <v/>
      </c>
      <c r="B14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3" spans="1:2" x14ac:dyDescent="0.25">
      <c r="A1403" s="1" t="str">
        <f t="shared" si="21"/>
        <v/>
      </c>
      <c r="B14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4" spans="1:2" x14ac:dyDescent="0.25">
      <c r="A1404" s="1" t="str">
        <f t="shared" si="21"/>
        <v/>
      </c>
      <c r="B14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5" spans="1:2" x14ac:dyDescent="0.25">
      <c r="A1405" s="1" t="str">
        <f t="shared" si="21"/>
        <v/>
      </c>
      <c r="B14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6" spans="1:2" x14ac:dyDescent="0.25">
      <c r="A1406" s="1" t="str">
        <f t="shared" si="21"/>
        <v/>
      </c>
      <c r="B14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7" spans="1:2" x14ac:dyDescent="0.25">
      <c r="A1407" s="1" t="str">
        <f t="shared" si="21"/>
        <v/>
      </c>
      <c r="B14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8" spans="1:2" x14ac:dyDescent="0.25">
      <c r="A1408" s="1" t="str">
        <f t="shared" si="21"/>
        <v/>
      </c>
      <c r="B14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9" spans="1:2" x14ac:dyDescent="0.25">
      <c r="A1409" s="1" t="str">
        <f t="shared" si="21"/>
        <v/>
      </c>
      <c r="B14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0" spans="1:2" x14ac:dyDescent="0.25">
      <c r="A1410" s="1" t="str">
        <f t="shared" ref="A1410:A1473" si="22">IFERROR(LEFT(RIGHT(C1410,LEN(C1410)-SEARCH("@",C1410)),SEARCH("/",RIGHT(C1410,LEN(C1410)-SEARCH("@",C1410)-1))),"")</f>
        <v/>
      </c>
      <c r="B14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1" spans="1:2" x14ac:dyDescent="0.25">
      <c r="A1411" s="1" t="str">
        <f t="shared" si="22"/>
        <v/>
      </c>
      <c r="B14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2" spans="1:2" x14ac:dyDescent="0.25">
      <c r="A1412" s="1" t="str">
        <f t="shared" si="22"/>
        <v/>
      </c>
      <c r="B14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3" spans="1:2" x14ac:dyDescent="0.25">
      <c r="A1413" s="1" t="str">
        <f t="shared" si="22"/>
        <v/>
      </c>
      <c r="B14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4" spans="1:2" x14ac:dyDescent="0.25">
      <c r="A1414" s="1" t="str">
        <f t="shared" si="22"/>
        <v/>
      </c>
      <c r="B14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5" spans="1:2" x14ac:dyDescent="0.25">
      <c r="A1415" s="1" t="str">
        <f t="shared" si="22"/>
        <v/>
      </c>
      <c r="B14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6" spans="1:2" x14ac:dyDescent="0.25">
      <c r="A1416" s="1" t="str">
        <f t="shared" si="22"/>
        <v/>
      </c>
      <c r="B14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7" spans="1:2" x14ac:dyDescent="0.25">
      <c r="A1417" s="1" t="str">
        <f t="shared" si="22"/>
        <v/>
      </c>
      <c r="B14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8" spans="1:2" x14ac:dyDescent="0.25">
      <c r="A1418" s="1" t="str">
        <f t="shared" si="22"/>
        <v/>
      </c>
      <c r="B14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9" spans="1:2" x14ac:dyDescent="0.25">
      <c r="A1419" s="1" t="str">
        <f t="shared" si="22"/>
        <v/>
      </c>
      <c r="B14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0" spans="1:2" x14ac:dyDescent="0.25">
      <c r="A1420" s="1" t="str">
        <f t="shared" si="22"/>
        <v/>
      </c>
      <c r="B14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1" spans="1:2" x14ac:dyDescent="0.25">
      <c r="A1421" s="1" t="str">
        <f t="shared" si="22"/>
        <v/>
      </c>
      <c r="B14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2" spans="1:2" x14ac:dyDescent="0.25">
      <c r="A1422" s="1" t="str">
        <f t="shared" si="22"/>
        <v/>
      </c>
      <c r="B1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3" spans="1:2" x14ac:dyDescent="0.25">
      <c r="A1423" s="1" t="str">
        <f t="shared" si="22"/>
        <v/>
      </c>
      <c r="B1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4" spans="1:2" x14ac:dyDescent="0.25">
      <c r="A1424" s="1" t="str">
        <f t="shared" si="22"/>
        <v/>
      </c>
      <c r="B14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5" spans="1:2" x14ac:dyDescent="0.25">
      <c r="A1425" s="1" t="str">
        <f t="shared" si="22"/>
        <v/>
      </c>
      <c r="B1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6" spans="1:2" x14ac:dyDescent="0.25">
      <c r="A1426" s="1" t="str">
        <f t="shared" si="22"/>
        <v/>
      </c>
      <c r="B1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7" spans="1:2" x14ac:dyDescent="0.25">
      <c r="A1427" s="1" t="str">
        <f t="shared" si="22"/>
        <v/>
      </c>
      <c r="B1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8" spans="1:2" x14ac:dyDescent="0.25">
      <c r="A1428" s="1" t="str">
        <f t="shared" si="22"/>
        <v/>
      </c>
      <c r="B1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9" spans="1:2" x14ac:dyDescent="0.25">
      <c r="A1429" s="1" t="str">
        <f t="shared" si="22"/>
        <v/>
      </c>
      <c r="B1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0" spans="1:2" x14ac:dyDescent="0.25">
      <c r="A1430" s="1" t="str">
        <f t="shared" si="22"/>
        <v/>
      </c>
      <c r="B1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1" spans="1:2" x14ac:dyDescent="0.25">
      <c r="A1431" s="1" t="str">
        <f t="shared" si="22"/>
        <v/>
      </c>
      <c r="B14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2" spans="1:2" x14ac:dyDescent="0.25">
      <c r="A1432" s="1" t="str">
        <f t="shared" si="22"/>
        <v/>
      </c>
      <c r="B14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3" spans="1:2" x14ac:dyDescent="0.25">
      <c r="A1433" s="1" t="str">
        <f t="shared" si="22"/>
        <v/>
      </c>
      <c r="B14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4" spans="1:2" x14ac:dyDescent="0.25">
      <c r="A1434" s="1" t="str">
        <f t="shared" si="22"/>
        <v/>
      </c>
      <c r="B14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5" spans="1:2" x14ac:dyDescent="0.25">
      <c r="A1435" s="1" t="str">
        <f t="shared" si="22"/>
        <v/>
      </c>
      <c r="B14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6" spans="1:2" x14ac:dyDescent="0.25">
      <c r="A1436" s="1" t="str">
        <f t="shared" si="22"/>
        <v/>
      </c>
      <c r="B14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7" spans="1:2" x14ac:dyDescent="0.25">
      <c r="A1437" s="1" t="str">
        <f t="shared" si="22"/>
        <v/>
      </c>
      <c r="B14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8" spans="1:2" x14ac:dyDescent="0.25">
      <c r="A1438" s="1" t="str">
        <f t="shared" si="22"/>
        <v/>
      </c>
      <c r="B14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9" spans="1:2" x14ac:dyDescent="0.25">
      <c r="A1439" s="1" t="str">
        <f t="shared" si="22"/>
        <v/>
      </c>
      <c r="B14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0" spans="1:2" x14ac:dyDescent="0.25">
      <c r="A1440" s="1" t="str">
        <f t="shared" si="22"/>
        <v/>
      </c>
      <c r="B14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1" spans="1:2" x14ac:dyDescent="0.25">
      <c r="A1441" s="1" t="str">
        <f t="shared" si="22"/>
        <v/>
      </c>
      <c r="B14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2" spans="1:2" x14ac:dyDescent="0.25">
      <c r="A1442" s="1" t="str">
        <f t="shared" si="22"/>
        <v/>
      </c>
      <c r="B14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3" spans="1:2" x14ac:dyDescent="0.25">
      <c r="A1443" s="1" t="str">
        <f t="shared" si="22"/>
        <v/>
      </c>
      <c r="B14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4" spans="1:2" x14ac:dyDescent="0.25">
      <c r="A1444" s="1" t="str">
        <f t="shared" si="22"/>
        <v/>
      </c>
      <c r="B14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5" spans="1:2" x14ac:dyDescent="0.25">
      <c r="A1445" s="1" t="str">
        <f t="shared" si="22"/>
        <v/>
      </c>
      <c r="B14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6" spans="1:2" x14ac:dyDescent="0.25">
      <c r="A1446" s="1" t="str">
        <f t="shared" si="22"/>
        <v/>
      </c>
      <c r="B14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7" spans="1:2" x14ac:dyDescent="0.25">
      <c r="A1447" s="1" t="str">
        <f t="shared" si="22"/>
        <v/>
      </c>
      <c r="B14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8" spans="1:2" x14ac:dyDescent="0.25">
      <c r="A1448" s="1" t="str">
        <f t="shared" si="22"/>
        <v/>
      </c>
      <c r="B14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9" spans="1:2" x14ac:dyDescent="0.25">
      <c r="A1449" s="1" t="str">
        <f t="shared" si="22"/>
        <v/>
      </c>
      <c r="B14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0" spans="1:2" x14ac:dyDescent="0.25">
      <c r="A1450" s="1" t="str">
        <f t="shared" si="22"/>
        <v/>
      </c>
      <c r="B14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1" spans="1:2" x14ac:dyDescent="0.25">
      <c r="A1451" s="1" t="str">
        <f t="shared" si="22"/>
        <v/>
      </c>
      <c r="B14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2" spans="1:2" x14ac:dyDescent="0.25">
      <c r="A1452" s="1" t="str">
        <f t="shared" si="22"/>
        <v/>
      </c>
      <c r="B14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3" spans="1:2" x14ac:dyDescent="0.25">
      <c r="A1453" s="1" t="str">
        <f t="shared" si="22"/>
        <v/>
      </c>
      <c r="B14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4" spans="1:2" x14ac:dyDescent="0.25">
      <c r="A1454" s="1" t="str">
        <f t="shared" si="22"/>
        <v/>
      </c>
      <c r="B14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5" spans="1:2" x14ac:dyDescent="0.25">
      <c r="A1455" s="1" t="str">
        <f t="shared" si="22"/>
        <v/>
      </c>
      <c r="B1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6" spans="1:2" x14ac:dyDescent="0.25">
      <c r="A1456" s="1" t="str">
        <f t="shared" si="22"/>
        <v/>
      </c>
      <c r="B1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7" spans="1:2" x14ac:dyDescent="0.25">
      <c r="A1457" s="1" t="str">
        <f t="shared" si="22"/>
        <v/>
      </c>
      <c r="B14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8" spans="1:2" x14ac:dyDescent="0.25">
      <c r="A1458" s="1" t="str">
        <f t="shared" si="22"/>
        <v/>
      </c>
      <c r="B1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9" spans="1:2" x14ac:dyDescent="0.25">
      <c r="A1459" s="1" t="str">
        <f t="shared" si="22"/>
        <v/>
      </c>
      <c r="B1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0" spans="1:2" x14ac:dyDescent="0.25">
      <c r="A1460" s="1" t="str">
        <f t="shared" si="22"/>
        <v/>
      </c>
      <c r="B1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1" spans="1:2" x14ac:dyDescent="0.25">
      <c r="A1461" s="1" t="str">
        <f t="shared" si="22"/>
        <v/>
      </c>
      <c r="B1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2" spans="1:2" x14ac:dyDescent="0.25">
      <c r="A1462" s="1" t="str">
        <f t="shared" si="22"/>
        <v/>
      </c>
      <c r="B1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3" spans="1:2" x14ac:dyDescent="0.25">
      <c r="A1463" s="1" t="str">
        <f t="shared" si="22"/>
        <v/>
      </c>
      <c r="B1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4" spans="1:2" x14ac:dyDescent="0.25">
      <c r="A1464" s="1" t="str">
        <f t="shared" si="22"/>
        <v/>
      </c>
      <c r="B14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5" spans="1:2" x14ac:dyDescent="0.25">
      <c r="A1465" s="1" t="str">
        <f t="shared" si="22"/>
        <v/>
      </c>
      <c r="B14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6" spans="1:2" x14ac:dyDescent="0.25">
      <c r="A1466" s="1" t="str">
        <f t="shared" si="22"/>
        <v/>
      </c>
      <c r="B14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7" spans="1:2" x14ac:dyDescent="0.25">
      <c r="A1467" s="1" t="str">
        <f t="shared" si="22"/>
        <v/>
      </c>
      <c r="B14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8" spans="1:2" x14ac:dyDescent="0.25">
      <c r="A1468" s="1" t="str">
        <f t="shared" si="22"/>
        <v/>
      </c>
      <c r="B14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9" spans="1:2" x14ac:dyDescent="0.25">
      <c r="A1469" s="1" t="str">
        <f t="shared" si="22"/>
        <v/>
      </c>
      <c r="B14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0" spans="1:2" x14ac:dyDescent="0.25">
      <c r="A1470" s="1" t="str">
        <f t="shared" si="22"/>
        <v/>
      </c>
      <c r="B14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1" spans="1:2" x14ac:dyDescent="0.25">
      <c r="A1471" s="1" t="str">
        <f t="shared" si="22"/>
        <v/>
      </c>
      <c r="B14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2" spans="1:2" x14ac:dyDescent="0.25">
      <c r="A1472" s="1" t="str">
        <f t="shared" si="22"/>
        <v/>
      </c>
      <c r="B14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3" spans="1:2" x14ac:dyDescent="0.25">
      <c r="A1473" s="1" t="str">
        <f t="shared" si="22"/>
        <v/>
      </c>
      <c r="B14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4" spans="1:2" x14ac:dyDescent="0.25">
      <c r="A1474" s="1" t="str">
        <f t="shared" ref="A1474:A1537" si="23">IFERROR(LEFT(RIGHT(C1474,LEN(C1474)-SEARCH("@",C1474)),SEARCH("/",RIGHT(C1474,LEN(C1474)-SEARCH("@",C1474)-1))),"")</f>
        <v/>
      </c>
      <c r="B14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5" spans="1:2" x14ac:dyDescent="0.25">
      <c r="A1475" s="1" t="str">
        <f t="shared" si="23"/>
        <v/>
      </c>
      <c r="B14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6" spans="1:2" x14ac:dyDescent="0.25">
      <c r="A1476" s="1" t="str">
        <f t="shared" si="23"/>
        <v/>
      </c>
      <c r="B14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7" spans="1:2" x14ac:dyDescent="0.25">
      <c r="A1477" s="1" t="str">
        <f t="shared" si="23"/>
        <v/>
      </c>
      <c r="B14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8" spans="1:2" x14ac:dyDescent="0.25">
      <c r="A1478" s="1" t="str">
        <f t="shared" si="23"/>
        <v/>
      </c>
      <c r="B14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9" spans="1:2" x14ac:dyDescent="0.25">
      <c r="A1479" s="1" t="str">
        <f t="shared" si="23"/>
        <v/>
      </c>
      <c r="B14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0" spans="1:2" x14ac:dyDescent="0.25">
      <c r="A1480" s="1" t="str">
        <f t="shared" si="23"/>
        <v/>
      </c>
      <c r="B14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1" spans="1:2" x14ac:dyDescent="0.25">
      <c r="A1481" s="1" t="str">
        <f t="shared" si="23"/>
        <v/>
      </c>
      <c r="B14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2" spans="1:2" x14ac:dyDescent="0.25">
      <c r="A1482" s="1" t="str">
        <f t="shared" si="23"/>
        <v/>
      </c>
      <c r="B14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3" spans="1:2" x14ac:dyDescent="0.25">
      <c r="A1483" s="1" t="str">
        <f t="shared" si="23"/>
        <v/>
      </c>
      <c r="B14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4" spans="1:2" x14ac:dyDescent="0.25">
      <c r="A1484" s="1" t="str">
        <f t="shared" si="23"/>
        <v/>
      </c>
      <c r="B14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5" spans="1:2" x14ac:dyDescent="0.25">
      <c r="A1485" s="1" t="str">
        <f t="shared" si="23"/>
        <v/>
      </c>
      <c r="B14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6" spans="1:2" x14ac:dyDescent="0.25">
      <c r="A1486" s="1" t="str">
        <f t="shared" si="23"/>
        <v/>
      </c>
      <c r="B14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7" spans="1:2" x14ac:dyDescent="0.25">
      <c r="A1487" s="1" t="str">
        <f t="shared" si="23"/>
        <v/>
      </c>
      <c r="B14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8" spans="1:2" x14ac:dyDescent="0.25">
      <c r="A1488" s="1" t="str">
        <f t="shared" si="23"/>
        <v/>
      </c>
      <c r="B1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9" spans="1:2" x14ac:dyDescent="0.25">
      <c r="A1489" s="1" t="str">
        <f t="shared" si="23"/>
        <v/>
      </c>
      <c r="B1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0" spans="1:2" x14ac:dyDescent="0.25">
      <c r="A1490" s="1" t="str">
        <f t="shared" si="23"/>
        <v/>
      </c>
      <c r="B14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1" spans="1:2" x14ac:dyDescent="0.25">
      <c r="A1491" s="1" t="str">
        <f t="shared" si="23"/>
        <v/>
      </c>
      <c r="B1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2" spans="1:2" x14ac:dyDescent="0.25">
      <c r="A1492" s="1" t="str">
        <f t="shared" si="23"/>
        <v/>
      </c>
      <c r="B1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3" spans="1:2" x14ac:dyDescent="0.25">
      <c r="A1493" s="1" t="str">
        <f t="shared" si="23"/>
        <v/>
      </c>
      <c r="B1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4" spans="1:2" x14ac:dyDescent="0.25">
      <c r="A1494" s="1" t="str">
        <f t="shared" si="23"/>
        <v/>
      </c>
      <c r="B1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5" spans="1:2" x14ac:dyDescent="0.25">
      <c r="A1495" s="1" t="str">
        <f t="shared" si="23"/>
        <v/>
      </c>
      <c r="B1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6" spans="1:2" x14ac:dyDescent="0.25">
      <c r="A1496" s="1" t="str">
        <f t="shared" si="23"/>
        <v/>
      </c>
      <c r="B1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7" spans="1:2" x14ac:dyDescent="0.25">
      <c r="A1497" s="1" t="str">
        <f t="shared" si="23"/>
        <v/>
      </c>
      <c r="B14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8" spans="1:2" x14ac:dyDescent="0.25">
      <c r="A1498" s="1" t="str">
        <f t="shared" si="23"/>
        <v/>
      </c>
      <c r="B14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9" spans="1:2" x14ac:dyDescent="0.25">
      <c r="A1499" s="1" t="str">
        <f t="shared" si="23"/>
        <v/>
      </c>
      <c r="B14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0" spans="1:2" x14ac:dyDescent="0.25">
      <c r="A1500" s="1" t="str">
        <f t="shared" si="23"/>
        <v/>
      </c>
      <c r="B15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1" spans="1:2" x14ac:dyDescent="0.25">
      <c r="A1501" s="1" t="str">
        <f t="shared" si="23"/>
        <v/>
      </c>
      <c r="B15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2" spans="1:2" x14ac:dyDescent="0.25">
      <c r="A1502" s="1" t="str">
        <f t="shared" si="23"/>
        <v/>
      </c>
      <c r="B15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3" spans="1:2" x14ac:dyDescent="0.25">
      <c r="A1503" s="1" t="str">
        <f t="shared" si="23"/>
        <v/>
      </c>
      <c r="B15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4" spans="1:2" x14ac:dyDescent="0.25">
      <c r="A1504" s="1" t="str">
        <f t="shared" si="23"/>
        <v/>
      </c>
      <c r="B15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5" spans="1:2" x14ac:dyDescent="0.25">
      <c r="A1505" s="1" t="str">
        <f t="shared" si="23"/>
        <v/>
      </c>
      <c r="B15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6" spans="1:2" x14ac:dyDescent="0.25">
      <c r="A1506" s="1" t="str">
        <f t="shared" si="23"/>
        <v/>
      </c>
      <c r="B15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7" spans="1:2" x14ac:dyDescent="0.25">
      <c r="A1507" s="1" t="str">
        <f t="shared" si="23"/>
        <v/>
      </c>
      <c r="B15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8" spans="1:2" x14ac:dyDescent="0.25">
      <c r="A1508" s="1" t="str">
        <f t="shared" si="23"/>
        <v/>
      </c>
      <c r="B15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9" spans="1:2" x14ac:dyDescent="0.25">
      <c r="A1509" s="1" t="str">
        <f t="shared" si="23"/>
        <v/>
      </c>
      <c r="B15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0" spans="1:2" x14ac:dyDescent="0.25">
      <c r="A1510" s="1" t="str">
        <f t="shared" si="23"/>
        <v/>
      </c>
      <c r="B15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1" spans="1:2" x14ac:dyDescent="0.25">
      <c r="A1511" s="1" t="str">
        <f t="shared" si="23"/>
        <v/>
      </c>
      <c r="B15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2" spans="1:2" x14ac:dyDescent="0.25">
      <c r="A1512" s="1" t="str">
        <f t="shared" si="23"/>
        <v/>
      </c>
      <c r="B15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3" spans="1:2" x14ac:dyDescent="0.25">
      <c r="A1513" s="1" t="str">
        <f t="shared" si="23"/>
        <v/>
      </c>
      <c r="B15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4" spans="1:2" x14ac:dyDescent="0.25">
      <c r="A1514" s="1" t="str">
        <f t="shared" si="23"/>
        <v/>
      </c>
      <c r="B15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5" spans="1:2" x14ac:dyDescent="0.25">
      <c r="A1515" s="1" t="str">
        <f t="shared" si="23"/>
        <v/>
      </c>
      <c r="B15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6" spans="1:2" x14ac:dyDescent="0.25">
      <c r="A1516" s="1" t="str">
        <f t="shared" si="23"/>
        <v/>
      </c>
      <c r="B15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7" spans="1:2" x14ac:dyDescent="0.25">
      <c r="A1517" s="1" t="str">
        <f t="shared" si="23"/>
        <v/>
      </c>
      <c r="B15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8" spans="1:2" x14ac:dyDescent="0.25">
      <c r="A1518" s="1" t="str">
        <f t="shared" si="23"/>
        <v/>
      </c>
      <c r="B15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9" spans="1:2" x14ac:dyDescent="0.25">
      <c r="A1519" s="1" t="str">
        <f t="shared" si="23"/>
        <v/>
      </c>
      <c r="B15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0" spans="1:2" x14ac:dyDescent="0.25">
      <c r="A1520" s="1" t="str">
        <f t="shared" si="23"/>
        <v/>
      </c>
      <c r="B15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1" spans="1:2" x14ac:dyDescent="0.25">
      <c r="A1521" s="1" t="str">
        <f t="shared" si="23"/>
        <v/>
      </c>
      <c r="B1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2" spans="1:2" x14ac:dyDescent="0.25">
      <c r="A1522" s="1" t="str">
        <f t="shared" si="23"/>
        <v/>
      </c>
      <c r="B1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3" spans="1:2" x14ac:dyDescent="0.25">
      <c r="A1523" s="1" t="str">
        <f t="shared" si="23"/>
        <v/>
      </c>
      <c r="B15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4" spans="1:2" x14ac:dyDescent="0.25">
      <c r="A1524" s="1" t="str">
        <f t="shared" si="23"/>
        <v/>
      </c>
      <c r="B1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5" spans="1:2" x14ac:dyDescent="0.25">
      <c r="A1525" s="1" t="str">
        <f t="shared" si="23"/>
        <v/>
      </c>
      <c r="B1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6" spans="1:2" x14ac:dyDescent="0.25">
      <c r="A1526" s="1" t="str">
        <f t="shared" si="23"/>
        <v/>
      </c>
      <c r="B1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7" spans="1:2" x14ac:dyDescent="0.25">
      <c r="A1527" s="1" t="str">
        <f t="shared" si="23"/>
        <v/>
      </c>
      <c r="B1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8" spans="1:2" x14ac:dyDescent="0.25">
      <c r="A1528" s="1" t="str">
        <f t="shared" si="23"/>
        <v/>
      </c>
      <c r="B1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9" spans="1:2" x14ac:dyDescent="0.25">
      <c r="A1529" s="1" t="str">
        <f t="shared" si="23"/>
        <v/>
      </c>
      <c r="B1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0" spans="1:2" x14ac:dyDescent="0.25">
      <c r="A1530" s="1" t="str">
        <f t="shared" si="23"/>
        <v/>
      </c>
      <c r="B15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1" spans="1:2" x14ac:dyDescent="0.25">
      <c r="A1531" s="1" t="str">
        <f t="shared" si="23"/>
        <v/>
      </c>
      <c r="B15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2" spans="1:2" x14ac:dyDescent="0.25">
      <c r="A1532" s="1" t="str">
        <f t="shared" si="23"/>
        <v/>
      </c>
      <c r="B15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3" spans="1:2" x14ac:dyDescent="0.25">
      <c r="A1533" s="1" t="str">
        <f t="shared" si="23"/>
        <v/>
      </c>
      <c r="B15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4" spans="1:2" x14ac:dyDescent="0.25">
      <c r="A1534" s="1" t="str">
        <f t="shared" si="23"/>
        <v/>
      </c>
      <c r="B15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5" spans="1:2" x14ac:dyDescent="0.25">
      <c r="A1535" s="1" t="str">
        <f t="shared" si="23"/>
        <v/>
      </c>
      <c r="B15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6" spans="1:2" x14ac:dyDescent="0.25">
      <c r="A1536" s="1" t="str">
        <f t="shared" si="23"/>
        <v/>
      </c>
      <c r="B15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7" spans="1:2" x14ac:dyDescent="0.25">
      <c r="A1537" s="1" t="str">
        <f t="shared" si="23"/>
        <v/>
      </c>
      <c r="B15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8" spans="1:2" x14ac:dyDescent="0.25">
      <c r="A1538" s="1" t="str">
        <f t="shared" ref="A1538:A1557" si="24">IFERROR(LEFT(RIGHT(C1538,LEN(C1538)-SEARCH("@",C1538)),SEARCH("/",RIGHT(C1538,LEN(C1538)-SEARCH("@",C1538)-1))),"")</f>
        <v/>
      </c>
      <c r="B15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9" spans="1:2" x14ac:dyDescent="0.25">
      <c r="A1539" s="1" t="str">
        <f t="shared" si="24"/>
        <v/>
      </c>
      <c r="B15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0" spans="1:2" x14ac:dyDescent="0.25">
      <c r="A1540" s="1" t="str">
        <f t="shared" si="24"/>
        <v/>
      </c>
      <c r="B15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1" spans="1:2" x14ac:dyDescent="0.25">
      <c r="A1541" s="1" t="str">
        <f t="shared" si="24"/>
        <v/>
      </c>
      <c r="B15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2" spans="1:2" x14ac:dyDescent="0.25">
      <c r="A1542" s="1" t="str">
        <f t="shared" si="24"/>
        <v/>
      </c>
      <c r="B15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3" spans="1:2" x14ac:dyDescent="0.25">
      <c r="A1543" s="1" t="str">
        <f t="shared" si="24"/>
        <v/>
      </c>
      <c r="B15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4" spans="1:2" x14ac:dyDescent="0.25">
      <c r="A1544" s="1" t="str">
        <f t="shared" si="24"/>
        <v/>
      </c>
      <c r="B15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5" spans="1:2" x14ac:dyDescent="0.25">
      <c r="A1545" s="1" t="str">
        <f t="shared" si="24"/>
        <v/>
      </c>
      <c r="B15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6" spans="1:2" x14ac:dyDescent="0.25">
      <c r="A1546" s="1" t="str">
        <f t="shared" si="24"/>
        <v/>
      </c>
      <c r="B15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7" spans="1:2" x14ac:dyDescent="0.25">
      <c r="A1547" s="1" t="str">
        <f t="shared" si="24"/>
        <v/>
      </c>
      <c r="B15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8" spans="1:2" x14ac:dyDescent="0.25">
      <c r="A1548" s="1" t="str">
        <f t="shared" si="24"/>
        <v/>
      </c>
      <c r="B15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9" spans="1:2" x14ac:dyDescent="0.25">
      <c r="A1549" s="1" t="str">
        <f t="shared" si="24"/>
        <v/>
      </c>
      <c r="B15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0" spans="1:2" x14ac:dyDescent="0.25">
      <c r="A1550" s="1" t="str">
        <f t="shared" si="24"/>
        <v/>
      </c>
      <c r="B15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1" spans="1:2" x14ac:dyDescent="0.25">
      <c r="A1551" s="1" t="str">
        <f t="shared" si="24"/>
        <v/>
      </c>
      <c r="B15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2" spans="1:2" x14ac:dyDescent="0.25">
      <c r="A1552" s="1" t="str">
        <f t="shared" si="24"/>
        <v/>
      </c>
      <c r="B15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3" spans="1:2" x14ac:dyDescent="0.25">
      <c r="A1553" s="1" t="str">
        <f t="shared" si="24"/>
        <v/>
      </c>
      <c r="B15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4" spans="1:2" x14ac:dyDescent="0.25">
      <c r="A1554" s="1" t="str">
        <f t="shared" si="24"/>
        <v/>
      </c>
      <c r="B1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5" spans="1:2" x14ac:dyDescent="0.25">
      <c r="A1555" s="1" t="str">
        <f t="shared" si="24"/>
        <v/>
      </c>
      <c r="B1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6" spans="1:2" x14ac:dyDescent="0.25">
      <c r="A1556" s="1" t="str">
        <f t="shared" si="24"/>
        <v/>
      </c>
      <c r="B15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7" spans="1:2" x14ac:dyDescent="0.25">
      <c r="A1557" s="1" t="str">
        <f t="shared" si="24"/>
        <v/>
      </c>
      <c r="B1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sheetData>
  <conditionalFormatting sqref="A1:J2 A1558:XFD1048576 AI18:XFD38 C39:XFD1557 C3:J10 EO1:XFD10 C19:K38 K5 C11:K13 C14:J18 M15:XFD17 K1:L4 A3:B1557 AH11:XFD14">
    <cfRule type="containsText" dxfId="32" priority="1" operator="containsText" text="ERREUR">
      <formula>NOT(ISERROR(SEARCH("ERREUR",A1)))</formula>
    </cfRule>
    <cfRule type="containsText" dxfId="31" priority="2" operator="containsText" text="OK">
      <formula>NOT(ISERROR(SEARCH("OK",A1)))</formula>
    </cfRule>
  </conditionalFormatting>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76"/>
  <sheetViews>
    <sheetView showGridLines="0" topLeftCell="A40" zoomScaleNormal="100" zoomScaleSheetLayoutView="40" zoomScalePageLayoutView="30" workbookViewId="0">
      <pane xSplit="1" topLeftCell="K1" activePane="topRight" state="frozen"/>
      <selection pane="topRight" activeCell="Q65" sqref="Q65"/>
    </sheetView>
  </sheetViews>
  <sheetFormatPr baseColWidth="10" defaultColWidth="9.140625" defaultRowHeight="15" x14ac:dyDescent="0.25"/>
  <cols>
    <col min="1" max="1" width="29.5703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3" width="26.42578125" style="1" customWidth="1"/>
    <col min="14" max="14" width="18.28515625" bestFit="1" customWidth="1"/>
    <col min="15" max="15" width="14.85546875" customWidth="1"/>
    <col min="16" max="16" width="17.7109375" customWidth="1"/>
    <col min="17" max="18" width="25.85546875" bestFit="1" customWidth="1"/>
    <col min="19" max="22" width="25.85546875" style="1" customWidth="1"/>
  </cols>
  <sheetData>
    <row r="1" spans="1:22" s="1" customFormat="1" ht="27" thickBot="1" x14ac:dyDescent="0.45">
      <c r="A1" s="216" t="s">
        <v>40</v>
      </c>
      <c r="B1" s="217"/>
      <c r="C1" s="217"/>
      <c r="D1" s="217"/>
      <c r="E1" s="217"/>
      <c r="F1" s="217"/>
      <c r="G1" s="217"/>
      <c r="H1" s="217"/>
      <c r="I1" s="217"/>
      <c r="J1" s="217"/>
      <c r="K1" s="217"/>
      <c r="L1" s="217"/>
      <c r="M1" s="217"/>
      <c r="N1" s="217"/>
      <c r="O1" s="217"/>
      <c r="P1" s="217"/>
      <c r="Q1" s="217"/>
      <c r="R1" s="217"/>
      <c r="S1" s="217"/>
      <c r="T1" s="217"/>
      <c r="U1" s="217"/>
      <c r="V1" s="217"/>
    </row>
    <row r="2" spans="1:22" ht="15.75" thickBot="1" x14ac:dyDescent="0.3">
      <c r="A2"/>
      <c r="B2"/>
      <c r="C2"/>
      <c r="D2"/>
      <c r="E2"/>
      <c r="F2"/>
      <c r="G2"/>
      <c r="H2"/>
      <c r="I2"/>
      <c r="J2"/>
      <c r="K2"/>
      <c r="L2"/>
      <c r="M2"/>
      <c r="S2"/>
      <c r="T2"/>
      <c r="U2"/>
      <c r="V2"/>
    </row>
    <row r="3" spans="1:22" ht="15.75" thickBot="1" x14ac:dyDescent="0.3">
      <c r="A3" s="51" t="s">
        <v>17</v>
      </c>
      <c r="B3" s="224" t="s">
        <v>6</v>
      </c>
      <c r="C3" s="225"/>
      <c r="D3" s="225"/>
      <c r="E3" s="225"/>
      <c r="F3" s="225"/>
      <c r="G3" s="225"/>
      <c r="H3" s="225"/>
      <c r="I3" s="225"/>
      <c r="J3" s="225"/>
      <c r="K3" s="225"/>
      <c r="L3" s="225"/>
      <c r="M3" s="225"/>
      <c r="O3" s="224" t="s">
        <v>3</v>
      </c>
      <c r="P3" s="225"/>
      <c r="Q3" s="225"/>
      <c r="R3" s="225"/>
      <c r="S3" s="225"/>
      <c r="T3" s="225"/>
      <c r="U3" s="225"/>
      <c r="V3" s="225"/>
    </row>
    <row r="4" spans="1:22" x14ac:dyDescent="0.2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Testosterone 3,7µg/L</v>
      </c>
      <c r="J4" s="35" t="str">
        <f>'Page de garde'!A16</f>
        <v>Testosterone 11µg/L</v>
      </c>
      <c r="K4" s="35" t="str">
        <f>'Page de garde'!A17</f>
        <v>Testosterone 33µg/L</v>
      </c>
      <c r="L4" s="35" t="str">
        <f>'Page de garde'!A18</f>
        <v>Testosterone 100µg/L</v>
      </c>
      <c r="M4" s="35" t="str">
        <f>'Page de garde'!A19</f>
        <v>Testosterone 300µg/L</v>
      </c>
      <c r="N4" s="3"/>
      <c r="O4" s="36" t="str">
        <f>'Page de garde'!A36</f>
        <v>Testo -30µg/L</v>
      </c>
      <c r="P4" s="36" t="str">
        <f>'Page de garde'!A37</f>
        <v>Testo 30µg/L + EE2 -64ng/L</v>
      </c>
      <c r="Q4" s="36" t="str">
        <f>'Page de garde'!A38</f>
        <v>Testo 30µg/L + FAD-10µg/L</v>
      </c>
      <c r="R4" s="36" t="str">
        <f>'Page de garde'!A39</f>
        <v>Testosterone-3,7µg/L + Testostérone</v>
      </c>
      <c r="S4" s="36" t="str">
        <f>'Page de garde'!A40</f>
        <v>Testosterone-11µg/L + Testostérone</v>
      </c>
      <c r="T4" s="36" t="str">
        <f>'Page de garde'!A41</f>
        <v>Testosterone-33µg/L + Testostérone</v>
      </c>
      <c r="U4" s="36" t="str">
        <f>'Page de garde'!A42</f>
        <v>Testosterone-100µg/L + Testostérone</v>
      </c>
      <c r="V4" s="36" t="str">
        <f>'Page de garde'!A43</f>
        <v>Testosterone-300µg/L + Testostérone</v>
      </c>
    </row>
    <row r="5" spans="1:22" x14ac:dyDescent="0.25">
      <c r="A5" s="220" t="s">
        <v>33</v>
      </c>
      <c r="B5" s="195">
        <v>68768.666666666672</v>
      </c>
      <c r="C5" s="195">
        <v>117774.66666666667</v>
      </c>
      <c r="D5" s="195">
        <v>61234</v>
      </c>
      <c r="E5" s="195">
        <v>804891.66666666663</v>
      </c>
      <c r="F5" s="195">
        <v>1291982.3333333333</v>
      </c>
      <c r="G5" s="195">
        <v>3183070</v>
      </c>
      <c r="H5" s="195">
        <v>7591134.333333333</v>
      </c>
      <c r="I5" s="195">
        <v>316207.5</v>
      </c>
      <c r="J5" s="195">
        <v>449130.33333333331</v>
      </c>
      <c r="K5" s="195">
        <v>364911</v>
      </c>
      <c r="L5" s="195">
        <v>3101734.3333333335</v>
      </c>
      <c r="M5" s="195">
        <v>1137155.6666666667</v>
      </c>
      <c r="N5" s="3"/>
      <c r="O5" s="195">
        <v>3308443.6666666665</v>
      </c>
      <c r="P5" s="195">
        <v>4775199.5</v>
      </c>
      <c r="Q5" s="195">
        <v>190047.33333333334</v>
      </c>
      <c r="R5" s="195">
        <v>4143581.3333333335</v>
      </c>
      <c r="S5" s="195">
        <v>4570317.333333333</v>
      </c>
      <c r="T5" s="195">
        <v>3195658.3333333335</v>
      </c>
      <c r="U5" s="195">
        <v>2425662.6666666665</v>
      </c>
      <c r="V5" s="195">
        <v>3811641.6666666665</v>
      </c>
    </row>
    <row r="6" spans="1:22" x14ac:dyDescent="0.25">
      <c r="A6" s="221"/>
      <c r="B6" s="195">
        <v>475692</v>
      </c>
      <c r="C6" s="195">
        <v>353551</v>
      </c>
      <c r="D6" s="195">
        <v>183320.66666666666</v>
      </c>
      <c r="E6" s="195">
        <v>241007.66666666666</v>
      </c>
      <c r="F6" s="195">
        <v>2077897.6666666667</v>
      </c>
      <c r="G6" s="195">
        <v>3757920.3333333335</v>
      </c>
      <c r="H6" s="195">
        <v>5661120.333333333</v>
      </c>
      <c r="I6" s="195">
        <v>279512</v>
      </c>
      <c r="J6" s="195">
        <v>38991.333333333336</v>
      </c>
      <c r="K6" s="195">
        <v>3691869.6666666665</v>
      </c>
      <c r="L6" s="195">
        <v>3529054.3333333335</v>
      </c>
      <c r="M6" s="195">
        <v>3980621.6666666665</v>
      </c>
      <c r="N6" s="3"/>
      <c r="O6" s="195">
        <v>97713</v>
      </c>
      <c r="P6" s="195">
        <v>5366412.666666667</v>
      </c>
      <c r="Q6" s="195">
        <v>108928</v>
      </c>
      <c r="R6" s="195">
        <v>1600583.3333333333</v>
      </c>
      <c r="S6" s="195">
        <v>4237361.333333333</v>
      </c>
      <c r="T6" s="195">
        <v>3253850</v>
      </c>
      <c r="U6" s="195">
        <v>3705604.6666666665</v>
      </c>
      <c r="V6" s="195">
        <v>4674436.5</v>
      </c>
    </row>
    <row r="7" spans="1:22" x14ac:dyDescent="0.25">
      <c r="A7" s="221"/>
      <c r="B7" s="195">
        <v>299847.66666666669</v>
      </c>
      <c r="C7" s="195">
        <v>450665.66666666669</v>
      </c>
      <c r="D7" s="195">
        <v>183882.66666666666</v>
      </c>
      <c r="E7" s="195">
        <v>380556.33333333331</v>
      </c>
      <c r="F7" s="195">
        <v>1025495</v>
      </c>
      <c r="G7" s="195">
        <v>3448338.6666666665</v>
      </c>
      <c r="H7" s="195">
        <v>7082716.333333333</v>
      </c>
      <c r="I7" s="195">
        <v>75589.666666666672</v>
      </c>
      <c r="J7" s="195">
        <v>168230</v>
      </c>
      <c r="K7" s="195">
        <v>3644377.3333333335</v>
      </c>
      <c r="L7" s="195">
        <v>3511555.6666666665</v>
      </c>
      <c r="M7" s="195">
        <v>2428467.6666666665</v>
      </c>
      <c r="N7" s="3"/>
      <c r="O7" s="195">
        <v>2785577.3333333335</v>
      </c>
      <c r="P7" s="195">
        <v>2757054.6666666665</v>
      </c>
      <c r="Q7" s="195">
        <v>98293.333333333328</v>
      </c>
      <c r="R7" s="195">
        <v>2411242.6666666665</v>
      </c>
      <c r="S7" s="195">
        <v>1381278</v>
      </c>
      <c r="T7" s="195">
        <v>1831792.3333333333</v>
      </c>
      <c r="U7" s="195">
        <v>373148.5</v>
      </c>
      <c r="V7" s="195">
        <v>4489667</v>
      </c>
    </row>
    <row r="8" spans="1:22" x14ac:dyDescent="0.25">
      <c r="A8" s="221"/>
      <c r="B8" s="195">
        <v>10598.666666666666</v>
      </c>
      <c r="C8" s="195">
        <v>108459.33333333333</v>
      </c>
      <c r="D8" s="195">
        <v>59266</v>
      </c>
      <c r="E8" s="195">
        <v>218548</v>
      </c>
      <c r="F8" s="195">
        <v>2209191</v>
      </c>
      <c r="G8" s="195">
        <v>612486.66666666663</v>
      </c>
      <c r="H8" s="195">
        <v>6204261</v>
      </c>
      <c r="I8" s="195">
        <v>216753</v>
      </c>
      <c r="J8" s="195">
        <v>82496.5</v>
      </c>
      <c r="K8" s="195">
        <v>2777494.6666666665</v>
      </c>
      <c r="L8" s="195">
        <v>1464344</v>
      </c>
      <c r="M8" s="195">
        <v>4806617</v>
      </c>
      <c r="N8" s="3"/>
      <c r="O8" s="195">
        <v>3859169.6666666665</v>
      </c>
      <c r="P8" s="195">
        <v>4483174</v>
      </c>
      <c r="Q8" s="195">
        <v>80874</v>
      </c>
      <c r="R8" s="195">
        <v>1506911.3333333333</v>
      </c>
      <c r="S8" s="195">
        <v>1828677.6666666667</v>
      </c>
      <c r="T8" s="195">
        <v>1484921.3333333333</v>
      </c>
      <c r="U8" s="195">
        <v>2876206.3333333335</v>
      </c>
      <c r="V8" s="195">
        <v>3181317.6666666665</v>
      </c>
    </row>
    <row r="9" spans="1:22" x14ac:dyDescent="0.25">
      <c r="A9" s="221"/>
      <c r="B9" s="195">
        <v>13684.333333333334</v>
      </c>
      <c r="C9" s="195">
        <v>334946.33333333331</v>
      </c>
      <c r="D9" s="195">
        <v>94003.5</v>
      </c>
      <c r="E9" s="195">
        <v>3039735.6666666665</v>
      </c>
      <c r="F9" s="195">
        <v>827163.33333333337</v>
      </c>
      <c r="G9" s="195">
        <v>3525521.5</v>
      </c>
      <c r="H9" s="195">
        <v>3664198</v>
      </c>
      <c r="I9" s="195">
        <v>16338</v>
      </c>
      <c r="J9" s="195">
        <v>111992.33333333333</v>
      </c>
      <c r="K9" s="195">
        <v>4078417.6666666665</v>
      </c>
      <c r="L9" s="195">
        <v>3553525</v>
      </c>
      <c r="M9" s="195">
        <v>1695726</v>
      </c>
      <c r="N9" s="3"/>
      <c r="O9" s="195">
        <v>2492420</v>
      </c>
      <c r="P9" s="195">
        <v>1136074.3333333333</v>
      </c>
      <c r="Q9" s="195"/>
      <c r="R9" s="195">
        <v>4343794.666666667</v>
      </c>
      <c r="S9" s="195">
        <v>4424157</v>
      </c>
      <c r="T9" s="195">
        <v>795115</v>
      </c>
      <c r="U9" s="195"/>
      <c r="V9" s="195">
        <v>2115324.3333333335</v>
      </c>
    </row>
    <row r="10" spans="1:22" x14ac:dyDescent="0.25">
      <c r="A10" s="221"/>
      <c r="B10" s="195">
        <v>33735.666666666664</v>
      </c>
      <c r="C10" s="195">
        <v>13540.333333333334</v>
      </c>
      <c r="D10" s="195">
        <v>16345</v>
      </c>
      <c r="E10" s="195">
        <v>184120.66666666666</v>
      </c>
      <c r="F10" s="195">
        <v>582723.66666666663</v>
      </c>
      <c r="G10" s="195">
        <v>2931045</v>
      </c>
      <c r="H10" s="195">
        <v>5786768.333333333</v>
      </c>
      <c r="I10" s="195">
        <v>103261.33333333333</v>
      </c>
      <c r="J10" s="195">
        <v>37214.5</v>
      </c>
      <c r="K10" s="195">
        <v>101869.66666666667</v>
      </c>
      <c r="L10" s="195">
        <v>2515773.3333333335</v>
      </c>
      <c r="M10" s="195">
        <v>1694521.6666666667</v>
      </c>
      <c r="N10" s="3"/>
      <c r="O10" s="195">
        <v>2586719</v>
      </c>
      <c r="P10" s="195">
        <v>4541585.666666667</v>
      </c>
      <c r="Q10" s="195">
        <v>206298.66666666666</v>
      </c>
      <c r="R10" s="195">
        <v>2589855.3333333335</v>
      </c>
      <c r="S10" s="195">
        <v>2713535.3333333335</v>
      </c>
      <c r="T10" s="195">
        <v>2159946.6666666665</v>
      </c>
      <c r="U10" s="195">
        <v>2030852.3333333333</v>
      </c>
      <c r="V10" s="195">
        <v>3999028.3333333335</v>
      </c>
    </row>
    <row r="11" spans="1:22" x14ac:dyDescent="0.25">
      <c r="A11" s="221"/>
      <c r="B11" s="195">
        <v>232391.33333333334</v>
      </c>
      <c r="C11" s="195">
        <v>75481</v>
      </c>
      <c r="D11" s="195">
        <v>97219</v>
      </c>
      <c r="E11" s="195">
        <v>654672</v>
      </c>
      <c r="F11" s="195">
        <v>2310779.3333333335</v>
      </c>
      <c r="G11" s="195">
        <v>3257365</v>
      </c>
      <c r="H11" s="195">
        <v>5149306.666666667</v>
      </c>
      <c r="I11" s="195">
        <v>29676.333333333332</v>
      </c>
      <c r="J11" s="195">
        <v>91505</v>
      </c>
      <c r="K11" s="195">
        <v>1198505</v>
      </c>
      <c r="L11" s="195">
        <v>3638890.6666666665</v>
      </c>
      <c r="M11" s="195">
        <v>1914505.3333333333</v>
      </c>
      <c r="N11" s="3"/>
      <c r="O11" s="195">
        <v>1719857.6666666667</v>
      </c>
      <c r="P11" s="195">
        <v>6096804</v>
      </c>
      <c r="Q11" s="195">
        <v>116282.33333333333</v>
      </c>
      <c r="R11" s="195">
        <v>2873401.6666666665</v>
      </c>
      <c r="S11" s="195">
        <v>3984039.3333333335</v>
      </c>
      <c r="T11" s="195">
        <v>2123652</v>
      </c>
      <c r="U11" s="195">
        <v>1787307</v>
      </c>
      <c r="V11" s="195">
        <v>2804864</v>
      </c>
    </row>
    <row r="12" spans="1:22" x14ac:dyDescent="0.25">
      <c r="A12" s="221"/>
      <c r="B12" s="195">
        <v>12048</v>
      </c>
      <c r="C12" s="195">
        <v>191435.5</v>
      </c>
      <c r="D12" s="195">
        <v>191489.5</v>
      </c>
      <c r="E12" s="195">
        <v>182888</v>
      </c>
      <c r="F12" s="195">
        <v>2356627.3333333335</v>
      </c>
      <c r="G12" s="195"/>
      <c r="H12" s="195">
        <v>7155472</v>
      </c>
      <c r="I12" s="195">
        <v>30981</v>
      </c>
      <c r="J12" s="195">
        <v>26172</v>
      </c>
      <c r="K12" s="195">
        <v>1005667.3333333334</v>
      </c>
      <c r="L12" s="195">
        <v>1664824</v>
      </c>
      <c r="M12" s="195">
        <v>3085494</v>
      </c>
      <c r="N12" s="3"/>
      <c r="O12" s="195">
        <v>554720.33333333337</v>
      </c>
      <c r="P12" s="195">
        <v>4954421</v>
      </c>
      <c r="Q12" s="195">
        <v>320605.33333333331</v>
      </c>
      <c r="R12" s="195">
        <v>1912436</v>
      </c>
      <c r="S12" s="195">
        <v>2755922.6666666665</v>
      </c>
      <c r="T12" s="195">
        <v>3391257.3333333335</v>
      </c>
      <c r="U12" s="195">
        <v>2833029.5</v>
      </c>
      <c r="V12" s="195">
        <v>2048675.3333333333</v>
      </c>
    </row>
    <row r="13" spans="1:22" ht="16.5" x14ac:dyDescent="0.25">
      <c r="A13" s="221"/>
      <c r="B13" s="14"/>
      <c r="C13" s="13"/>
      <c r="D13" s="16"/>
      <c r="E13" s="16"/>
      <c r="F13" s="16"/>
      <c r="G13" s="16"/>
      <c r="H13" s="16"/>
      <c r="I13" s="32"/>
      <c r="J13" s="16"/>
      <c r="K13" s="13"/>
      <c r="L13" s="13"/>
      <c r="M13" s="13"/>
      <c r="N13" s="3"/>
      <c r="O13" s="195">
        <v>4555356.666666667</v>
      </c>
      <c r="P13" s="13"/>
      <c r="Q13" s="13"/>
      <c r="R13" s="4"/>
      <c r="S13" s="32"/>
      <c r="T13" s="32"/>
      <c r="U13" s="32"/>
      <c r="V13" s="32"/>
    </row>
    <row r="14" spans="1:22" ht="16.5" x14ac:dyDescent="0.25">
      <c r="A14" s="221"/>
      <c r="B14" s="14"/>
      <c r="C14" s="16"/>
      <c r="D14" s="16"/>
      <c r="E14" s="16"/>
      <c r="F14" s="16"/>
      <c r="G14" s="16"/>
      <c r="H14" s="16"/>
      <c r="I14" s="32"/>
      <c r="J14" s="16"/>
      <c r="K14" s="13"/>
      <c r="L14" s="13"/>
      <c r="M14" s="13"/>
      <c r="N14" s="3"/>
      <c r="O14" s="195">
        <v>872571.33333333337</v>
      </c>
      <c r="P14" s="13"/>
      <c r="Q14" s="13"/>
      <c r="R14" s="4"/>
      <c r="S14" s="32"/>
      <c r="T14" s="32"/>
      <c r="U14" s="32"/>
      <c r="V14" s="32"/>
    </row>
    <row r="15" spans="1:22" ht="16.5" x14ac:dyDescent="0.25">
      <c r="A15" s="221"/>
      <c r="B15" s="14"/>
      <c r="C15" s="16"/>
      <c r="D15" s="16"/>
      <c r="E15" s="16"/>
      <c r="F15" s="16"/>
      <c r="G15" s="16"/>
      <c r="H15" s="16"/>
      <c r="I15" s="32"/>
      <c r="J15" s="16"/>
      <c r="K15" s="13"/>
      <c r="L15" s="13"/>
      <c r="M15" s="13"/>
      <c r="N15" s="3"/>
      <c r="O15" s="195">
        <v>1911866.6666666667</v>
      </c>
      <c r="P15" s="13"/>
      <c r="Q15" s="13"/>
      <c r="R15" s="4"/>
      <c r="S15" s="32"/>
      <c r="T15" s="32"/>
      <c r="U15" s="32"/>
      <c r="V15" s="32"/>
    </row>
    <row r="16" spans="1:22" ht="16.5" x14ac:dyDescent="0.25">
      <c r="A16" s="221"/>
      <c r="B16" s="14"/>
      <c r="C16" s="16"/>
      <c r="D16" s="16"/>
      <c r="E16" s="16"/>
      <c r="F16" s="16"/>
      <c r="G16" s="16"/>
      <c r="H16" s="16"/>
      <c r="I16" s="32"/>
      <c r="J16" s="16"/>
      <c r="K16" s="13"/>
      <c r="L16" s="13"/>
      <c r="M16" s="13"/>
      <c r="N16" s="3"/>
      <c r="O16" s="195">
        <v>3733702.3333333335</v>
      </c>
      <c r="P16" s="13"/>
      <c r="Q16" s="13"/>
      <c r="R16" s="4"/>
      <c r="S16" s="32"/>
      <c r="T16" s="32"/>
      <c r="U16" s="32"/>
      <c r="V16" s="32"/>
    </row>
    <row r="17" spans="1:22" s="1" customFormat="1" ht="16.5" x14ac:dyDescent="0.25">
      <c r="A17" s="221"/>
      <c r="B17" s="14"/>
      <c r="C17" s="32"/>
      <c r="D17" s="32"/>
      <c r="E17" s="32"/>
      <c r="F17" s="32"/>
      <c r="G17" s="32"/>
      <c r="H17" s="32"/>
      <c r="I17" s="32"/>
      <c r="J17" s="32"/>
      <c r="K17" s="13"/>
      <c r="L17" s="13"/>
      <c r="M17" s="13"/>
      <c r="N17" s="3"/>
      <c r="O17" s="195">
        <v>24060</v>
      </c>
      <c r="P17" s="13"/>
      <c r="Q17" s="13"/>
      <c r="R17" s="32"/>
      <c r="S17" s="32"/>
      <c r="T17" s="32"/>
      <c r="U17" s="32"/>
      <c r="V17" s="32"/>
    </row>
    <row r="18" spans="1:22" s="1" customFormat="1" ht="16.5" x14ac:dyDescent="0.25">
      <c r="A18" s="221"/>
      <c r="B18" s="14"/>
      <c r="C18" s="32"/>
      <c r="D18" s="32"/>
      <c r="E18" s="32"/>
      <c r="F18" s="32"/>
      <c r="G18" s="32"/>
      <c r="H18" s="32"/>
      <c r="I18" s="32"/>
      <c r="J18" s="32"/>
      <c r="K18" s="13"/>
      <c r="L18" s="13"/>
      <c r="M18" s="13"/>
      <c r="N18" s="3"/>
      <c r="O18" s="195">
        <v>1584894.3333333333</v>
      </c>
      <c r="P18" s="13"/>
      <c r="Q18" s="13"/>
      <c r="R18" s="32"/>
      <c r="S18" s="32"/>
      <c r="T18" s="32"/>
      <c r="U18" s="32"/>
      <c r="V18" s="32"/>
    </row>
    <row r="19" spans="1:22" s="1" customFormat="1" ht="16.5" x14ac:dyDescent="0.25">
      <c r="A19" s="221"/>
      <c r="B19" s="14"/>
      <c r="C19" s="32"/>
      <c r="D19" s="32"/>
      <c r="E19" s="32"/>
      <c r="F19" s="32"/>
      <c r="G19" s="32"/>
      <c r="H19" s="32"/>
      <c r="I19" s="32"/>
      <c r="J19" s="32"/>
      <c r="K19" s="13"/>
      <c r="L19" s="13"/>
      <c r="M19" s="13"/>
      <c r="N19" s="3"/>
      <c r="O19" s="195">
        <v>3421726.6666666665</v>
      </c>
      <c r="P19" s="13"/>
      <c r="Q19" s="13"/>
      <c r="R19" s="32"/>
      <c r="S19" s="32"/>
      <c r="T19" s="32"/>
      <c r="U19" s="32"/>
      <c r="V19" s="32"/>
    </row>
    <row r="20" spans="1:22" ht="16.5" x14ac:dyDescent="0.25">
      <c r="A20" s="221"/>
      <c r="B20" s="14"/>
      <c r="C20" s="16"/>
      <c r="D20" s="16"/>
      <c r="E20" s="16"/>
      <c r="F20" s="16"/>
      <c r="G20" s="16"/>
      <c r="H20" s="16"/>
      <c r="I20" s="32"/>
      <c r="J20" s="16"/>
      <c r="K20" s="13"/>
      <c r="L20" s="13"/>
      <c r="M20" s="13"/>
      <c r="N20" s="3"/>
      <c r="O20" s="195">
        <v>280251.33333333331</v>
      </c>
      <c r="P20" s="13"/>
      <c r="Q20" s="13"/>
      <c r="R20" s="4"/>
      <c r="S20" s="32"/>
      <c r="T20" s="32"/>
      <c r="U20" s="32"/>
      <c r="V20" s="32"/>
    </row>
    <row r="21" spans="1:22" s="1" customFormat="1" ht="16.5" x14ac:dyDescent="0.25">
      <c r="A21" s="66"/>
      <c r="B21" s="67"/>
      <c r="C21" s="7"/>
      <c r="D21" s="7"/>
      <c r="E21" s="7"/>
      <c r="F21" s="7"/>
      <c r="G21" s="7"/>
      <c r="H21" s="7"/>
      <c r="I21" s="7"/>
      <c r="J21" s="7"/>
      <c r="K21" s="33"/>
      <c r="L21" s="33"/>
      <c r="M21" s="33"/>
      <c r="N21" s="3"/>
      <c r="O21" s="7"/>
      <c r="P21" s="33"/>
      <c r="Q21" s="33"/>
      <c r="R21" s="7"/>
      <c r="S21" s="7"/>
      <c r="T21" s="7"/>
      <c r="U21" s="7"/>
      <c r="V21" s="7"/>
    </row>
    <row r="22" spans="1:22" s="69" customFormat="1" x14ac:dyDescent="0.25">
      <c r="A22" s="68" t="str">
        <f t="shared" ref="A22:M22" si="0">A4</f>
        <v>Noms des groupes</v>
      </c>
      <c r="B22" s="68" t="str">
        <f t="shared" si="0"/>
        <v>Témoin solvant</v>
      </c>
      <c r="C22" s="68" t="str">
        <f t="shared" si="0"/>
        <v>EE2-33,8ng/L</v>
      </c>
      <c r="D22" s="68" t="str">
        <f t="shared" si="0"/>
        <v>EE2-50,6ng/L</v>
      </c>
      <c r="E22" s="68" t="str">
        <f t="shared" si="0"/>
        <v>EE2-76ng/L</v>
      </c>
      <c r="F22" s="68" t="str">
        <f t="shared" si="0"/>
        <v>EE2-114ng/L</v>
      </c>
      <c r="G22" s="68" t="str">
        <f t="shared" si="0"/>
        <v>EE2-170,9ng/L</v>
      </c>
      <c r="H22" s="68" t="str">
        <f t="shared" si="0"/>
        <v>EE2-488ng/L</v>
      </c>
      <c r="I22" s="68" t="str">
        <f t="shared" si="0"/>
        <v>Testosterone 3,7µg/L</v>
      </c>
      <c r="J22" s="68" t="str">
        <f t="shared" si="0"/>
        <v>Testosterone 11µg/L</v>
      </c>
      <c r="K22" s="68" t="str">
        <f t="shared" si="0"/>
        <v>Testosterone 33µg/L</v>
      </c>
      <c r="L22" s="68" t="str">
        <f t="shared" si="0"/>
        <v>Testosterone 100µg/L</v>
      </c>
      <c r="M22" s="68" t="str">
        <f t="shared" si="0"/>
        <v>Testosterone 300µg/L</v>
      </c>
      <c r="N22" s="68" t="s">
        <v>47</v>
      </c>
      <c r="O22" s="68" t="str">
        <f t="shared" ref="O22:V22" si="1">O4</f>
        <v>Testo -30µg/L</v>
      </c>
      <c r="P22" s="68" t="str">
        <f t="shared" si="1"/>
        <v>Testo 30µg/L + EE2 -64ng/L</v>
      </c>
      <c r="Q22" s="68" t="str">
        <f t="shared" si="1"/>
        <v>Testo 30µg/L + FAD-10µg/L</v>
      </c>
      <c r="R22" s="68" t="str">
        <f t="shared" si="1"/>
        <v>Testosterone-3,7µg/L + Testostérone</v>
      </c>
      <c r="S22" s="68" t="str">
        <f t="shared" si="1"/>
        <v>Testosterone-11µg/L + Testostérone</v>
      </c>
      <c r="T22" s="68" t="str">
        <f t="shared" si="1"/>
        <v>Testosterone-33µg/L + Testostérone</v>
      </c>
      <c r="U22" s="68" t="str">
        <f t="shared" si="1"/>
        <v>Testosterone-100µg/L + Testostérone</v>
      </c>
      <c r="V22" s="68" t="str">
        <f t="shared" si="1"/>
        <v>Testosterone-300µg/L + Testostérone</v>
      </c>
    </row>
    <row r="23" spans="1:22" x14ac:dyDescent="0.25">
      <c r="A23" s="5" t="s">
        <v>0</v>
      </c>
      <c r="B23" s="5">
        <f t="shared" ref="B23:M23" si="2">AVERAGE(B5:B20)</f>
        <v>143345.79166666666</v>
      </c>
      <c r="C23" s="5">
        <f t="shared" si="2"/>
        <v>205731.72916666666</v>
      </c>
      <c r="D23" s="5">
        <f t="shared" si="2"/>
        <v>110845.04166666666</v>
      </c>
      <c r="E23" s="5">
        <f t="shared" si="2"/>
        <v>713302.5</v>
      </c>
      <c r="F23" s="5">
        <f t="shared" si="2"/>
        <v>1585232.4583333335</v>
      </c>
      <c r="G23" s="5">
        <f t="shared" si="2"/>
        <v>2959392.452380952</v>
      </c>
      <c r="H23" s="5">
        <f t="shared" si="2"/>
        <v>6036872.125</v>
      </c>
      <c r="I23" s="5">
        <f t="shared" si="2"/>
        <v>133539.85416666669</v>
      </c>
      <c r="J23" s="5">
        <f t="shared" si="2"/>
        <v>125716.5</v>
      </c>
      <c r="K23" s="5">
        <f t="shared" si="2"/>
        <v>2107889.0416666665</v>
      </c>
      <c r="L23" s="5">
        <f t="shared" si="2"/>
        <v>2872462.666666667</v>
      </c>
      <c r="M23" s="5">
        <f t="shared" si="2"/>
        <v>2592888.625</v>
      </c>
      <c r="N23" s="5" t="s">
        <v>0</v>
      </c>
      <c r="O23" s="5">
        <f t="shared" ref="O23:V23" si="3">AVERAGE(O5:O20)</f>
        <v>2111815.625</v>
      </c>
      <c r="P23" s="5">
        <f t="shared" si="3"/>
        <v>4263840.729166667</v>
      </c>
      <c r="Q23" s="5">
        <f t="shared" si="3"/>
        <v>160189.85714285713</v>
      </c>
      <c r="R23" s="5">
        <f t="shared" si="3"/>
        <v>2672725.791666667</v>
      </c>
      <c r="S23" s="5">
        <f t="shared" si="3"/>
        <v>3236911.083333333</v>
      </c>
      <c r="T23" s="5">
        <f t="shared" si="3"/>
        <v>2279524.125</v>
      </c>
      <c r="U23" s="5">
        <f t="shared" si="3"/>
        <v>2290258.7142857141</v>
      </c>
      <c r="V23" s="5">
        <f t="shared" si="3"/>
        <v>3390619.354166666</v>
      </c>
    </row>
    <row r="24" spans="1:22" x14ac:dyDescent="0.25">
      <c r="A24" s="3" t="s">
        <v>1</v>
      </c>
      <c r="B24" s="3">
        <f t="shared" ref="B24:M24" si="4">STDEV(B5:B20)</f>
        <v>174079.24209885654</v>
      </c>
      <c r="C24" s="3">
        <f t="shared" si="4"/>
        <v>155767.73716149377</v>
      </c>
      <c r="D24" s="3">
        <f t="shared" si="4"/>
        <v>67201.144708973734</v>
      </c>
      <c r="E24" s="3">
        <f t="shared" si="4"/>
        <v>968360.52766540018</v>
      </c>
      <c r="F24" s="3">
        <f t="shared" si="4"/>
        <v>730215.81192926911</v>
      </c>
      <c r="G24" s="3">
        <f t="shared" si="4"/>
        <v>1068082.932579038</v>
      </c>
      <c r="H24" s="3">
        <f t="shared" si="4"/>
        <v>1276709.0561282453</v>
      </c>
      <c r="I24" s="3">
        <f t="shared" si="4"/>
        <v>120069.62327635448</v>
      </c>
      <c r="J24" s="3">
        <f t="shared" si="4"/>
        <v>138818.28778976115</v>
      </c>
      <c r="K24" s="3">
        <f t="shared" si="4"/>
        <v>1617100.7505474109</v>
      </c>
      <c r="L24" s="3">
        <f t="shared" si="4"/>
        <v>887355.00761275156</v>
      </c>
      <c r="M24" s="3">
        <f t="shared" si="4"/>
        <v>1269837.8368990999</v>
      </c>
      <c r="N24" s="3" t="s">
        <v>1</v>
      </c>
      <c r="O24" s="3">
        <f t="shared" ref="O24:V24" si="5">STDEV(O5:O20)</f>
        <v>1456669.2221464482</v>
      </c>
      <c r="P24" s="3">
        <f t="shared" si="5"/>
        <v>1580794.7518171621</v>
      </c>
      <c r="Q24" s="3">
        <f t="shared" si="5"/>
        <v>85076.876706122581</v>
      </c>
      <c r="R24" s="3">
        <f t="shared" si="5"/>
        <v>1079553.6328441547</v>
      </c>
      <c r="S24" s="3">
        <f t="shared" si="5"/>
        <v>1235105.1977918597</v>
      </c>
      <c r="T24" s="3">
        <f t="shared" si="5"/>
        <v>933387.54904261266</v>
      </c>
      <c r="U24" s="3">
        <f t="shared" si="5"/>
        <v>1053172.7307232472</v>
      </c>
      <c r="V24" s="3">
        <f t="shared" si="5"/>
        <v>1015425.3958555518</v>
      </c>
    </row>
    <row r="25" spans="1:22" ht="15.75" thickBot="1" x14ac:dyDescent="0.3"/>
    <row r="26" spans="1:22" ht="15.75" thickBot="1" x14ac:dyDescent="0.3">
      <c r="B26" s="224" t="s">
        <v>6</v>
      </c>
      <c r="C26" s="225"/>
      <c r="D26" s="225"/>
      <c r="E26" s="225"/>
      <c r="F26" s="225"/>
      <c r="G26" s="225"/>
      <c r="H26" s="225"/>
      <c r="I26" s="225"/>
      <c r="J26" s="225"/>
      <c r="K26" s="225"/>
      <c r="L26" s="225"/>
      <c r="M26" s="225"/>
      <c r="N26" s="1"/>
      <c r="O26" s="224" t="s">
        <v>3</v>
      </c>
      <c r="P26" s="225"/>
      <c r="Q26" s="225"/>
      <c r="R26" s="225"/>
      <c r="S26" s="225"/>
      <c r="T26" s="225"/>
      <c r="U26" s="225"/>
      <c r="V26" s="225"/>
    </row>
    <row r="27" spans="1:22" s="1" customFormat="1" x14ac:dyDescent="0.25">
      <c r="A27" s="34" t="s">
        <v>41</v>
      </c>
      <c r="B27" s="35" t="str">
        <f t="shared" ref="B27:M27" si="6">B4</f>
        <v>Témoin solvant</v>
      </c>
      <c r="C27" s="35" t="str">
        <f t="shared" si="6"/>
        <v>EE2-33,8ng/L</v>
      </c>
      <c r="D27" s="35" t="str">
        <f t="shared" si="6"/>
        <v>EE2-50,6ng/L</v>
      </c>
      <c r="E27" s="35" t="str">
        <f t="shared" si="6"/>
        <v>EE2-76ng/L</v>
      </c>
      <c r="F27" s="35" t="str">
        <f t="shared" si="6"/>
        <v>EE2-114ng/L</v>
      </c>
      <c r="G27" s="35" t="str">
        <f t="shared" si="6"/>
        <v>EE2-170,9ng/L</v>
      </c>
      <c r="H27" s="35" t="str">
        <f t="shared" si="6"/>
        <v>EE2-488ng/L</v>
      </c>
      <c r="I27" s="35" t="str">
        <f t="shared" si="6"/>
        <v>Testosterone 3,7µg/L</v>
      </c>
      <c r="J27" s="35" t="str">
        <f t="shared" si="6"/>
        <v>Testosterone 11µg/L</v>
      </c>
      <c r="K27" s="35" t="str">
        <f t="shared" si="6"/>
        <v>Testosterone 33µg/L</v>
      </c>
      <c r="L27" s="35" t="str">
        <f t="shared" si="6"/>
        <v>Testosterone 100µg/L</v>
      </c>
      <c r="M27" s="35" t="str">
        <f t="shared" si="6"/>
        <v>Testosterone 300µg/L</v>
      </c>
      <c r="N27" s="3"/>
      <c r="O27" s="36" t="str">
        <f t="shared" ref="O27:V27" si="7">O4</f>
        <v>Testo -30µg/L</v>
      </c>
      <c r="P27" s="36" t="str">
        <f t="shared" si="7"/>
        <v>Testo 30µg/L + EE2 -64ng/L</v>
      </c>
      <c r="Q27" s="36" t="str">
        <f t="shared" si="7"/>
        <v>Testo 30µg/L + FAD-10µg/L</v>
      </c>
      <c r="R27" s="36" t="str">
        <f t="shared" si="7"/>
        <v>Testosterone-3,7µg/L + Testostérone</v>
      </c>
      <c r="S27" s="36" t="str">
        <f t="shared" si="7"/>
        <v>Testosterone-11µg/L + Testostérone</v>
      </c>
      <c r="T27" s="36" t="str">
        <f t="shared" si="7"/>
        <v>Testosterone-33µg/L + Testostérone</v>
      </c>
      <c r="U27" s="36" t="str">
        <f t="shared" si="7"/>
        <v>Testosterone-100µg/L + Testostérone</v>
      </c>
      <c r="V27" s="36" t="str">
        <f t="shared" si="7"/>
        <v>Testosterone-300µg/L + Testostérone</v>
      </c>
    </row>
    <row r="28" spans="1:22" x14ac:dyDescent="0.25">
      <c r="A28" s="222" t="s">
        <v>34</v>
      </c>
      <c r="B28" s="11">
        <f t="shared" ref="B28:M28" si="8">IF(B5="","",(B5/$O$23))</f>
        <v>3.2563764493724057E-2</v>
      </c>
      <c r="C28" s="11">
        <f t="shared" si="8"/>
        <v>5.5769388801007035E-2</v>
      </c>
      <c r="D28" s="11">
        <f t="shared" si="8"/>
        <v>2.8995902518715384E-2</v>
      </c>
      <c r="E28" s="11">
        <f t="shared" si="8"/>
        <v>0.38113728165386912</v>
      </c>
      <c r="F28" s="11">
        <f t="shared" si="8"/>
        <v>0.6117874676362115</v>
      </c>
      <c r="G28" s="11">
        <f t="shared" si="8"/>
        <v>1.5072669992201615</v>
      </c>
      <c r="H28" s="11">
        <f t="shared" si="8"/>
        <v>3.5946008938793286</v>
      </c>
      <c r="I28" s="11">
        <f t="shared" si="8"/>
        <v>0.14973253169295969</v>
      </c>
      <c r="J28" s="11">
        <f t="shared" si="8"/>
        <v>0.21267497409170524</v>
      </c>
      <c r="K28" s="11">
        <f t="shared" si="8"/>
        <v>0.17279491432875443</v>
      </c>
      <c r="L28" s="11">
        <f t="shared" si="8"/>
        <v>1.4687524311377009</v>
      </c>
      <c r="M28" s="11">
        <f t="shared" si="8"/>
        <v>0.53847298656418774</v>
      </c>
      <c r="N28" s="6"/>
      <c r="O28" s="11">
        <f t="shared" ref="O28:V28" si="9">IF(O5="","",(O5/$O$23))</f>
        <v>1.5666347135141907</v>
      </c>
      <c r="P28" s="11">
        <f t="shared" si="9"/>
        <v>2.261182010148258</v>
      </c>
      <c r="Q28" s="11">
        <f t="shared" si="9"/>
        <v>8.9992389053061075E-2</v>
      </c>
      <c r="R28" s="11">
        <f t="shared" si="9"/>
        <v>1.9620942682121378</v>
      </c>
      <c r="S28" s="11">
        <f t="shared" si="9"/>
        <v>2.1641649390359694</v>
      </c>
      <c r="T28" s="11">
        <f t="shared" si="9"/>
        <v>1.5132279047008819</v>
      </c>
      <c r="U28" s="11">
        <f t="shared" si="9"/>
        <v>1.1486147928594224</v>
      </c>
      <c r="V28" s="11">
        <f t="shared" si="9"/>
        <v>1.8049121436283844</v>
      </c>
    </row>
    <row r="29" spans="1:22" x14ac:dyDescent="0.25">
      <c r="A29" s="223"/>
      <c r="B29" s="11">
        <f t="shared" ref="B29:M29" si="10">IF(B6="","",(B6/$O$23))</f>
        <v>0.22525261882177805</v>
      </c>
      <c r="C29" s="11">
        <f t="shared" si="10"/>
        <v>0.16741565684741064</v>
      </c>
      <c r="D29" s="11">
        <f t="shared" si="10"/>
        <v>8.6807136236936713E-2</v>
      </c>
      <c r="E29" s="11">
        <f t="shared" si="10"/>
        <v>0.11412344137129238</v>
      </c>
      <c r="F29" s="11">
        <f t="shared" si="10"/>
        <v>0.9839389585284779</v>
      </c>
      <c r="G29" s="11">
        <f t="shared" si="10"/>
        <v>1.7794736855085698</v>
      </c>
      <c r="H29" s="11">
        <f t="shared" si="10"/>
        <v>2.6806887241083523</v>
      </c>
      <c r="I29" s="11">
        <f t="shared" si="10"/>
        <v>0.13235625150751501</v>
      </c>
      <c r="J29" s="11">
        <f t="shared" si="10"/>
        <v>1.8463417389164044E-2</v>
      </c>
      <c r="K29" s="11">
        <f t="shared" si="10"/>
        <v>1.7481969651903995</v>
      </c>
      <c r="L29" s="11">
        <f t="shared" si="10"/>
        <v>1.671099641254588</v>
      </c>
      <c r="M29" s="11">
        <f t="shared" si="10"/>
        <v>1.8849285986633737</v>
      </c>
      <c r="N29" s="6"/>
      <c r="O29" s="11">
        <f t="shared" ref="O29:V29" si="11">IF(O6="","",(O6/$O$23))</f>
        <v>4.6269664284731296E-2</v>
      </c>
      <c r="P29" s="11">
        <f t="shared" si="11"/>
        <v>2.5411369265092292</v>
      </c>
      <c r="Q29" s="11">
        <f t="shared" si="11"/>
        <v>5.1580260468998093E-2</v>
      </c>
      <c r="R29" s="11">
        <f t="shared" si="11"/>
        <v>0.75791812238974854</v>
      </c>
      <c r="S29" s="11">
        <f t="shared" si="11"/>
        <v>2.0065015540044282</v>
      </c>
      <c r="T29" s="11">
        <f t="shared" si="11"/>
        <v>1.5407831827174781</v>
      </c>
      <c r="U29" s="11">
        <f t="shared" si="11"/>
        <v>1.7547008473652459</v>
      </c>
      <c r="V29" s="11">
        <f t="shared" si="11"/>
        <v>2.2134680909939757</v>
      </c>
    </row>
    <row r="30" spans="1:22" x14ac:dyDescent="0.25">
      <c r="A30" s="223"/>
      <c r="B30" s="11">
        <f t="shared" ref="B30:M30" si="12">IF(B7="","",(B7/$O$23))</f>
        <v>0.14198572219895697</v>
      </c>
      <c r="C30" s="11">
        <f t="shared" si="12"/>
        <v>0.21340199463041035</v>
      </c>
      <c r="D30" s="11">
        <f t="shared" si="12"/>
        <v>8.7073257953883473E-2</v>
      </c>
      <c r="E30" s="11">
        <f t="shared" si="12"/>
        <v>0.18020338936233285</v>
      </c>
      <c r="F30" s="11">
        <f t="shared" si="12"/>
        <v>0.48559873686889687</v>
      </c>
      <c r="G30" s="11">
        <f t="shared" si="12"/>
        <v>1.6328786594079048</v>
      </c>
      <c r="H30" s="11">
        <f t="shared" si="12"/>
        <v>3.3538516570703623</v>
      </c>
      <c r="I30" s="11">
        <f t="shared" si="12"/>
        <v>3.5793686613464028E-2</v>
      </c>
      <c r="J30" s="11">
        <f t="shared" si="12"/>
        <v>7.9661310394935639E-2</v>
      </c>
      <c r="K30" s="11">
        <f t="shared" si="12"/>
        <v>1.7257081016877756</v>
      </c>
      <c r="L30" s="11">
        <f t="shared" si="12"/>
        <v>1.6628135643549216</v>
      </c>
      <c r="M30" s="11">
        <f t="shared" si="12"/>
        <v>1.1499430338132224</v>
      </c>
      <c r="N30" s="6"/>
      <c r="O30" s="11">
        <f t="shared" ref="O30:V30" si="13">IF(O7="","",(O7/$O$23))</f>
        <v>1.3190438125171715</v>
      </c>
      <c r="P30" s="11">
        <f t="shared" si="13"/>
        <v>1.3055375829349054</v>
      </c>
      <c r="Q30" s="11">
        <f t="shared" si="13"/>
        <v>4.654446731510159E-2</v>
      </c>
      <c r="R30" s="11">
        <f t="shared" si="13"/>
        <v>1.1417865452466602</v>
      </c>
      <c r="S30" s="11">
        <f t="shared" si="13"/>
        <v>0.65407130416510673</v>
      </c>
      <c r="T30" s="11">
        <f t="shared" si="13"/>
        <v>0.86740163849925733</v>
      </c>
      <c r="U30" s="11">
        <f t="shared" si="13"/>
        <v>0.17669558629200879</v>
      </c>
      <c r="V30" s="11">
        <f t="shared" si="13"/>
        <v>2.1259748942334871</v>
      </c>
    </row>
    <row r="31" spans="1:22" x14ac:dyDescent="0.25">
      <c r="A31" s="223"/>
      <c r="B31" s="11">
        <f t="shared" ref="B31:M31" si="14">IF(B8="","",(B8/$O$23))</f>
        <v>5.0187462111739353E-3</v>
      </c>
      <c r="C31" s="11">
        <f t="shared" si="14"/>
        <v>5.1358334529480208E-2</v>
      </c>
      <c r="D31" s="11">
        <f t="shared" si="14"/>
        <v>2.8064002983214976E-2</v>
      </c>
      <c r="E31" s="11">
        <f t="shared" si="14"/>
        <v>0.1034882010592189</v>
      </c>
      <c r="F31" s="11">
        <f t="shared" si="14"/>
        <v>1.046109790005934</v>
      </c>
      <c r="G31" s="11">
        <f t="shared" si="14"/>
        <v>0.29002847569454204</v>
      </c>
      <c r="H31" s="11">
        <f t="shared" si="14"/>
        <v>2.9378800528573605</v>
      </c>
      <c r="I31" s="11">
        <f t="shared" si="14"/>
        <v>0.10263822155402416</v>
      </c>
      <c r="J31" s="11">
        <f t="shared" si="14"/>
        <v>3.9064253064232349E-2</v>
      </c>
      <c r="K31" s="11">
        <f t="shared" si="14"/>
        <v>1.3152164581918304</v>
      </c>
      <c r="L31" s="11">
        <f t="shared" si="14"/>
        <v>0.69340523039268642</v>
      </c>
      <c r="M31" s="11">
        <f t="shared" si="14"/>
        <v>2.2760590191200998</v>
      </c>
      <c r="N31" s="6"/>
      <c r="O31" s="11">
        <f t="shared" ref="O31:V31" si="15">IF(O8="","",(O8/$O$23))</f>
        <v>1.8274178962316687</v>
      </c>
      <c r="P31" s="11">
        <f t="shared" si="15"/>
        <v>2.1229002887029971</v>
      </c>
      <c r="Q31" s="11">
        <f t="shared" si="15"/>
        <v>3.8295956826249922E-2</v>
      </c>
      <c r="R31" s="11">
        <f t="shared" si="15"/>
        <v>0.71356197742562555</v>
      </c>
      <c r="S31" s="11">
        <f t="shared" si="15"/>
        <v>0.86592676226963083</v>
      </c>
      <c r="T31" s="11">
        <f t="shared" si="15"/>
        <v>0.70314913657925671</v>
      </c>
      <c r="U31" s="11">
        <f t="shared" si="15"/>
        <v>1.3619590172950509</v>
      </c>
      <c r="V31" s="11">
        <f t="shared" si="15"/>
        <v>1.5064372234989343</v>
      </c>
    </row>
    <row r="32" spans="1:22" x14ac:dyDescent="0.25">
      <c r="A32" s="223"/>
      <c r="B32" s="11">
        <f t="shared" ref="B32:M32" si="16">IF(B9="","",(B9/$O$23))</f>
        <v>6.4798901813851928E-3</v>
      </c>
      <c r="C32" s="11">
        <f t="shared" si="16"/>
        <v>0.15860585998521215</v>
      </c>
      <c r="D32" s="11">
        <f t="shared" si="16"/>
        <v>4.451311889502664E-2</v>
      </c>
      <c r="E32" s="11">
        <f t="shared" si="16"/>
        <v>1.4393944389281932</v>
      </c>
      <c r="F32" s="11">
        <f t="shared" si="16"/>
        <v>0.39168349904283589</v>
      </c>
      <c r="G32" s="11">
        <f t="shared" si="16"/>
        <v>1.6694267521578736</v>
      </c>
      <c r="H32" s="11">
        <f t="shared" si="16"/>
        <v>1.7350937063930474</v>
      </c>
      <c r="I32" s="11">
        <f t="shared" si="16"/>
        <v>7.7364708389256283E-3</v>
      </c>
      <c r="J32" s="11">
        <f t="shared" si="16"/>
        <v>5.3031302547225601E-2</v>
      </c>
      <c r="K32" s="11">
        <f t="shared" si="16"/>
        <v>1.9312375656216041</v>
      </c>
      <c r="L32" s="11">
        <f t="shared" si="16"/>
        <v>1.6826871427281915</v>
      </c>
      <c r="M32" s="11">
        <f t="shared" si="16"/>
        <v>0.80297066653250093</v>
      </c>
      <c r="N32" s="6"/>
      <c r="O32" s="11">
        <f t="shared" ref="O32:V32" si="17">IF(O9="","",(O9/$O$23))</f>
        <v>1.180226138349554</v>
      </c>
      <c r="P32" s="11">
        <f t="shared" si="17"/>
        <v>0.53796094691426166</v>
      </c>
      <c r="Q32" s="11" t="str">
        <f t="shared" si="17"/>
        <v/>
      </c>
      <c r="R32" s="11">
        <f t="shared" si="17"/>
        <v>2.0569005244795777</v>
      </c>
      <c r="S32" s="11">
        <f t="shared" si="17"/>
        <v>2.0949541937402798</v>
      </c>
      <c r="T32" s="11">
        <f t="shared" si="17"/>
        <v>0.37650777396819385</v>
      </c>
      <c r="U32" s="11" t="str">
        <f t="shared" si="17"/>
        <v/>
      </c>
      <c r="V32" s="11">
        <f t="shared" si="17"/>
        <v>1.0016614652774594</v>
      </c>
    </row>
    <row r="33" spans="1:22" x14ac:dyDescent="0.25">
      <c r="A33" s="223"/>
      <c r="B33" s="11">
        <f t="shared" ref="B33:M33" si="18">IF(B10="","",(B10/$O$23))</f>
        <v>1.5974721593731301E-2</v>
      </c>
      <c r="C33" s="11">
        <f t="shared" si="18"/>
        <v>6.4117024104949193E-3</v>
      </c>
      <c r="D33" s="11">
        <f t="shared" si="18"/>
        <v>7.7397855222327942E-3</v>
      </c>
      <c r="E33" s="11">
        <f t="shared" si="18"/>
        <v>8.7185957186327129E-2</v>
      </c>
      <c r="F33" s="11">
        <f t="shared" si="18"/>
        <v>0.27593491579865864</v>
      </c>
      <c r="G33" s="11">
        <f t="shared" si="18"/>
        <v>1.3879265620075143</v>
      </c>
      <c r="H33" s="11">
        <f t="shared" si="18"/>
        <v>2.74018634241961</v>
      </c>
      <c r="I33" s="11">
        <f t="shared" si="18"/>
        <v>4.8896945410816024E-2</v>
      </c>
      <c r="J33" s="11">
        <f t="shared" si="18"/>
        <v>1.762204027636172E-2</v>
      </c>
      <c r="K33" s="11">
        <f t="shared" si="18"/>
        <v>4.8237954800938967E-2</v>
      </c>
      <c r="L33" s="11">
        <f t="shared" si="18"/>
        <v>1.1912845532305092</v>
      </c>
      <c r="M33" s="11">
        <f t="shared" si="18"/>
        <v>0.80240038316160611</v>
      </c>
      <c r="N33" s="6"/>
      <c r="O33" s="11">
        <f t="shared" ref="O33:V33" si="19">IF(O10="","",(O10/$O$23))</f>
        <v>1.2248791842327618</v>
      </c>
      <c r="P33" s="11">
        <f t="shared" si="19"/>
        <v>2.1505597424806755</v>
      </c>
      <c r="Q33" s="11">
        <f t="shared" si="19"/>
        <v>9.7687820955802737E-2</v>
      </c>
      <c r="R33" s="11">
        <f t="shared" si="19"/>
        <v>1.2263643201964345</v>
      </c>
      <c r="S33" s="11">
        <f t="shared" si="19"/>
        <v>1.2849300389721918</v>
      </c>
      <c r="T33" s="11">
        <f t="shared" si="19"/>
        <v>1.0227913086241449</v>
      </c>
      <c r="U33" s="11">
        <f t="shared" si="19"/>
        <v>0.96166176123132585</v>
      </c>
      <c r="V33" s="11">
        <f t="shared" si="19"/>
        <v>1.8936446373405982</v>
      </c>
    </row>
    <row r="34" spans="1:22" x14ac:dyDescent="0.25">
      <c r="A34" s="223"/>
      <c r="B34" s="11">
        <f t="shared" ref="B34:M34" si="20">IF(B11="","",(B11/$O$23))</f>
        <v>0.11004338190429543</v>
      </c>
      <c r="C34" s="11">
        <f t="shared" si="20"/>
        <v>3.5742230101171828E-2</v>
      </c>
      <c r="D34" s="11">
        <f t="shared" si="20"/>
        <v>4.6035742348482719E-2</v>
      </c>
      <c r="E34" s="11">
        <f t="shared" si="20"/>
        <v>0.31000433572414732</v>
      </c>
      <c r="F34" s="11">
        <f t="shared" si="20"/>
        <v>1.0942145261063372</v>
      </c>
      <c r="G34" s="11">
        <f t="shared" si="20"/>
        <v>1.5424476272638621</v>
      </c>
      <c r="H34" s="11">
        <f t="shared" si="20"/>
        <v>2.4383315502112866</v>
      </c>
      <c r="I34" s="11">
        <f t="shared" si="20"/>
        <v>1.4052520959699468E-2</v>
      </c>
      <c r="J34" s="11">
        <f t="shared" si="20"/>
        <v>4.3330013717461723E-2</v>
      </c>
      <c r="K34" s="11">
        <f t="shared" si="20"/>
        <v>0.56752350243644023</v>
      </c>
      <c r="L34" s="11">
        <f t="shared" si="20"/>
        <v>1.7231100213432062</v>
      </c>
      <c r="M34" s="11">
        <f t="shared" si="20"/>
        <v>0.90656840998291854</v>
      </c>
      <c r="N34" s="6"/>
      <c r="O34" s="11">
        <f t="shared" ref="O34:V34" si="21">IF(O11="","",(O11/$O$23))</f>
        <v>0.81439764262880043</v>
      </c>
      <c r="P34" s="11">
        <f t="shared" si="21"/>
        <v>2.886996349409054</v>
      </c>
      <c r="Q34" s="11">
        <f t="shared" si="21"/>
        <v>5.506272988833167E-2</v>
      </c>
      <c r="R34" s="11">
        <f t="shared" si="21"/>
        <v>1.3606309341833127</v>
      </c>
      <c r="S34" s="11">
        <f t="shared" si="21"/>
        <v>1.886546953327582</v>
      </c>
      <c r="T34" s="11">
        <f t="shared" si="21"/>
        <v>1.0056048335185512</v>
      </c>
      <c r="U34" s="11">
        <f t="shared" si="21"/>
        <v>0.84633666824015474</v>
      </c>
      <c r="V34" s="11">
        <f t="shared" si="21"/>
        <v>1.3281765542387252</v>
      </c>
    </row>
    <row r="35" spans="1:22" x14ac:dyDescent="0.25">
      <c r="A35" s="223"/>
      <c r="B35" s="11">
        <f t="shared" ref="B35:M35" si="22">IF(B12="","",(B12/$O$23))</f>
        <v>5.7050434978195598E-3</v>
      </c>
      <c r="C35" s="11">
        <f t="shared" si="22"/>
        <v>9.0649722321284557E-2</v>
      </c>
      <c r="D35" s="11">
        <f t="shared" si="22"/>
        <v>9.067529273536841E-2</v>
      </c>
      <c r="E35" s="11">
        <f t="shared" si="22"/>
        <v>8.6602257240141409E-2</v>
      </c>
      <c r="F35" s="11">
        <f t="shared" si="22"/>
        <v>1.1159247547159017</v>
      </c>
      <c r="G35" s="11" t="str">
        <f t="shared" si="22"/>
        <v/>
      </c>
      <c r="H35" s="11">
        <f t="shared" si="22"/>
        <v>3.3883033704706111</v>
      </c>
      <c r="I35" s="11">
        <f t="shared" si="22"/>
        <v>1.4670314791330328E-2</v>
      </c>
      <c r="J35" s="11">
        <f t="shared" si="22"/>
        <v>1.2393127359307232E-2</v>
      </c>
      <c r="K35" s="11">
        <f t="shared" si="22"/>
        <v>0.47620981748031788</v>
      </c>
      <c r="L35" s="11">
        <f t="shared" si="22"/>
        <v>0.78833776030992286</v>
      </c>
      <c r="M35" s="11">
        <f t="shared" si="22"/>
        <v>1.4610622080230133</v>
      </c>
      <c r="N35" s="6"/>
      <c r="O35" s="11">
        <f t="shared" ref="O35:V35" si="23">IF(O12="","",(O12/$O$23))</f>
        <v>0.26267460414937188</v>
      </c>
      <c r="P35" s="11">
        <f t="shared" si="23"/>
        <v>2.3460480836247246</v>
      </c>
      <c r="Q35" s="11">
        <f t="shared" si="23"/>
        <v>0.15181502094120233</v>
      </c>
      <c r="R35" s="11">
        <f t="shared" si="23"/>
        <v>0.90558852646049537</v>
      </c>
      <c r="S35" s="11">
        <f t="shared" si="23"/>
        <v>1.3050015512915178</v>
      </c>
      <c r="T35" s="11">
        <f t="shared" si="23"/>
        <v>1.6058491533006503</v>
      </c>
      <c r="U35" s="11">
        <f t="shared" si="23"/>
        <v>1.3415136560512948</v>
      </c>
      <c r="V35" s="11">
        <f t="shared" si="23"/>
        <v>0.97010141845755749</v>
      </c>
    </row>
    <row r="36" spans="1:22" s="1" customFormat="1" x14ac:dyDescent="0.25">
      <c r="A36" s="223"/>
      <c r="B36" s="11" t="str">
        <f t="shared" ref="B36:M36" si="24">IF(B13="","",(B13/$O$23))</f>
        <v/>
      </c>
      <c r="C36" s="11" t="str">
        <f t="shared" si="24"/>
        <v/>
      </c>
      <c r="D36" s="11" t="str">
        <f t="shared" si="24"/>
        <v/>
      </c>
      <c r="E36" s="11" t="str">
        <f t="shared" si="24"/>
        <v/>
      </c>
      <c r="F36" s="11" t="str">
        <f t="shared" si="24"/>
        <v/>
      </c>
      <c r="G36" s="11" t="str">
        <f t="shared" si="24"/>
        <v/>
      </c>
      <c r="H36" s="11" t="str">
        <f t="shared" si="24"/>
        <v/>
      </c>
      <c r="I36" s="11" t="str">
        <f t="shared" si="24"/>
        <v/>
      </c>
      <c r="J36" s="11" t="str">
        <f t="shared" si="24"/>
        <v/>
      </c>
      <c r="K36" s="11" t="str">
        <f t="shared" si="24"/>
        <v/>
      </c>
      <c r="L36" s="11" t="str">
        <f t="shared" si="24"/>
        <v/>
      </c>
      <c r="M36" s="11" t="str">
        <f t="shared" si="24"/>
        <v/>
      </c>
      <c r="N36" s="6"/>
      <c r="O36" s="11">
        <f t="shared" ref="O36:V36" si="25">IF(O13="","",(O13/$O$23))</f>
        <v>2.1570806715982447</v>
      </c>
      <c r="P36" s="11" t="str">
        <f t="shared" si="25"/>
        <v/>
      </c>
      <c r="Q36" s="11" t="str">
        <f t="shared" si="25"/>
        <v/>
      </c>
      <c r="R36" s="11" t="str">
        <f t="shared" si="25"/>
        <v/>
      </c>
      <c r="S36" s="11" t="str">
        <f t="shared" si="25"/>
        <v/>
      </c>
      <c r="T36" s="11" t="str">
        <f t="shared" si="25"/>
        <v/>
      </c>
      <c r="U36" s="11" t="str">
        <f t="shared" si="25"/>
        <v/>
      </c>
      <c r="V36" s="11" t="str">
        <f t="shared" si="25"/>
        <v/>
      </c>
    </row>
    <row r="37" spans="1:22" s="1" customFormat="1" x14ac:dyDescent="0.25">
      <c r="A37" s="223"/>
      <c r="B37" s="11" t="str">
        <f t="shared" ref="B37:M37" si="26">IF(B14="","",(B14/$O$23))</f>
        <v/>
      </c>
      <c r="C37" s="11" t="str">
        <f t="shared" si="26"/>
        <v/>
      </c>
      <c r="D37" s="11" t="str">
        <f t="shared" si="26"/>
        <v/>
      </c>
      <c r="E37" s="11" t="str">
        <f t="shared" si="26"/>
        <v/>
      </c>
      <c r="F37" s="11" t="str">
        <f t="shared" si="26"/>
        <v/>
      </c>
      <c r="G37" s="11" t="str">
        <f t="shared" si="26"/>
        <v/>
      </c>
      <c r="H37" s="11" t="str">
        <f t="shared" si="26"/>
        <v/>
      </c>
      <c r="I37" s="11" t="str">
        <f t="shared" si="26"/>
        <v/>
      </c>
      <c r="J37" s="11" t="str">
        <f t="shared" si="26"/>
        <v/>
      </c>
      <c r="K37" s="11" t="str">
        <f t="shared" si="26"/>
        <v/>
      </c>
      <c r="L37" s="11" t="str">
        <f t="shared" si="26"/>
        <v/>
      </c>
      <c r="M37" s="11" t="str">
        <f t="shared" si="26"/>
        <v/>
      </c>
      <c r="N37" s="6"/>
      <c r="O37" s="11">
        <f t="shared" ref="O37:V37" si="27">IF(O14="","",(O14/$O$23))</f>
        <v>0.41318537613023548</v>
      </c>
      <c r="P37" s="11" t="str">
        <f t="shared" si="27"/>
        <v/>
      </c>
      <c r="Q37" s="11" t="str">
        <f t="shared" si="27"/>
        <v/>
      </c>
      <c r="R37" s="11" t="str">
        <f t="shared" si="27"/>
        <v/>
      </c>
      <c r="S37" s="11" t="str">
        <f t="shared" si="27"/>
        <v/>
      </c>
      <c r="T37" s="11" t="str">
        <f t="shared" si="27"/>
        <v/>
      </c>
      <c r="U37" s="11" t="str">
        <f t="shared" si="27"/>
        <v/>
      </c>
      <c r="V37" s="11" t="str">
        <f t="shared" si="27"/>
        <v/>
      </c>
    </row>
    <row r="38" spans="1:22" s="1" customFormat="1" x14ac:dyDescent="0.25">
      <c r="A38" s="223"/>
      <c r="B38" s="11" t="str">
        <f t="shared" ref="B38:M38" si="28">IF(B15="","",(B15/$O$23))</f>
        <v/>
      </c>
      <c r="C38" s="11" t="str">
        <f t="shared" si="28"/>
        <v/>
      </c>
      <c r="D38" s="11" t="str">
        <f t="shared" si="28"/>
        <v/>
      </c>
      <c r="E38" s="11" t="str">
        <f t="shared" si="28"/>
        <v/>
      </c>
      <c r="F38" s="11" t="str">
        <f t="shared" si="28"/>
        <v/>
      </c>
      <c r="G38" s="11" t="str">
        <f t="shared" si="28"/>
        <v/>
      </c>
      <c r="H38" s="11" t="str">
        <f t="shared" si="28"/>
        <v/>
      </c>
      <c r="I38" s="11" t="str">
        <f t="shared" si="28"/>
        <v/>
      </c>
      <c r="J38" s="11" t="str">
        <f t="shared" si="28"/>
        <v/>
      </c>
      <c r="K38" s="11" t="str">
        <f t="shared" si="28"/>
        <v/>
      </c>
      <c r="L38" s="11" t="str">
        <f t="shared" si="28"/>
        <v/>
      </c>
      <c r="M38" s="11" t="str">
        <f t="shared" si="28"/>
        <v/>
      </c>
      <c r="N38" s="6"/>
      <c r="O38" s="11">
        <f t="shared" ref="O38:R38" si="29">IF(O15="","",(O15/$O$23))</f>
        <v>0.90531893221817916</v>
      </c>
      <c r="P38" s="11" t="str">
        <f t="shared" si="29"/>
        <v/>
      </c>
      <c r="Q38" s="11" t="str">
        <f t="shared" si="29"/>
        <v/>
      </c>
      <c r="R38" s="11" t="str">
        <f t="shared" si="29"/>
        <v/>
      </c>
      <c r="S38" s="11" t="str">
        <f t="shared" ref="S38:V38" si="30">IF(S15="","",(S15/$O$23))</f>
        <v/>
      </c>
      <c r="T38" s="11" t="str">
        <f t="shared" si="30"/>
        <v/>
      </c>
      <c r="U38" s="11" t="str">
        <f t="shared" si="30"/>
        <v/>
      </c>
      <c r="V38" s="11" t="str">
        <f t="shared" si="30"/>
        <v/>
      </c>
    </row>
    <row r="39" spans="1:22" s="1" customFormat="1" x14ac:dyDescent="0.25">
      <c r="A39" s="223"/>
      <c r="B39" s="11" t="str">
        <f t="shared" ref="B39:M39" si="31">IF(B16="","",(B16/$O$23))</f>
        <v/>
      </c>
      <c r="C39" s="11" t="str">
        <f t="shared" si="31"/>
        <v/>
      </c>
      <c r="D39" s="11" t="str">
        <f t="shared" si="31"/>
        <v/>
      </c>
      <c r="E39" s="11" t="str">
        <f t="shared" si="31"/>
        <v/>
      </c>
      <c r="F39" s="11" t="str">
        <f t="shared" si="31"/>
        <v/>
      </c>
      <c r="G39" s="11" t="str">
        <f t="shared" si="31"/>
        <v/>
      </c>
      <c r="H39" s="11" t="str">
        <f t="shared" si="31"/>
        <v/>
      </c>
      <c r="I39" s="11" t="str">
        <f t="shared" si="31"/>
        <v/>
      </c>
      <c r="J39" s="11" t="str">
        <f t="shared" si="31"/>
        <v/>
      </c>
      <c r="K39" s="11" t="str">
        <f t="shared" si="31"/>
        <v/>
      </c>
      <c r="L39" s="11" t="str">
        <f t="shared" si="31"/>
        <v/>
      </c>
      <c r="M39" s="11" t="str">
        <f t="shared" si="31"/>
        <v/>
      </c>
      <c r="N39" s="6"/>
      <c r="O39" s="11">
        <f t="shared" ref="O39:R39" si="32">IF(O16="","",(O16/$O$23))</f>
        <v>1.7680058283181486</v>
      </c>
      <c r="P39" s="11" t="str">
        <f t="shared" si="32"/>
        <v/>
      </c>
      <c r="Q39" s="11" t="str">
        <f t="shared" si="32"/>
        <v/>
      </c>
      <c r="R39" s="11" t="str">
        <f t="shared" si="32"/>
        <v/>
      </c>
      <c r="S39" s="11" t="str">
        <f t="shared" ref="S39:V39" si="33">IF(S16="","",(S16/$O$23))</f>
        <v/>
      </c>
      <c r="T39" s="11" t="str">
        <f t="shared" si="33"/>
        <v/>
      </c>
      <c r="U39" s="11" t="str">
        <f t="shared" si="33"/>
        <v/>
      </c>
      <c r="V39" s="11" t="str">
        <f t="shared" si="33"/>
        <v/>
      </c>
    </row>
    <row r="40" spans="1:22" s="1" customFormat="1" x14ac:dyDescent="0.25">
      <c r="A40" s="223"/>
      <c r="B40" s="11" t="str">
        <f t="shared" ref="B40:M40" si="34">IF(B17="","",(B17/$O$23))</f>
        <v/>
      </c>
      <c r="C40" s="11" t="str">
        <f t="shared" si="34"/>
        <v/>
      </c>
      <c r="D40" s="11" t="str">
        <f t="shared" si="34"/>
        <v/>
      </c>
      <c r="E40" s="11" t="str">
        <f t="shared" si="34"/>
        <v/>
      </c>
      <c r="F40" s="11" t="str">
        <f t="shared" si="34"/>
        <v/>
      </c>
      <c r="G40" s="11" t="str">
        <f t="shared" si="34"/>
        <v/>
      </c>
      <c r="H40" s="11" t="str">
        <f t="shared" si="34"/>
        <v/>
      </c>
      <c r="I40" s="11" t="str">
        <f t="shared" si="34"/>
        <v/>
      </c>
      <c r="J40" s="11" t="str">
        <f t="shared" si="34"/>
        <v/>
      </c>
      <c r="K40" s="11" t="str">
        <f t="shared" si="34"/>
        <v/>
      </c>
      <c r="L40" s="11" t="str">
        <f t="shared" si="34"/>
        <v/>
      </c>
      <c r="M40" s="11" t="str">
        <f t="shared" si="34"/>
        <v/>
      </c>
      <c r="N40" s="6"/>
      <c r="O40" s="11">
        <f t="shared" ref="O40:R40" si="35">IF(O17="","",(O17/$O$23))</f>
        <v>1.1393040052916551E-2</v>
      </c>
      <c r="P40" s="11" t="str">
        <f t="shared" si="35"/>
        <v/>
      </c>
      <c r="Q40" s="11" t="str">
        <f t="shared" si="35"/>
        <v/>
      </c>
      <c r="R40" s="11" t="str">
        <f t="shared" si="35"/>
        <v/>
      </c>
      <c r="S40" s="11" t="str">
        <f t="shared" ref="S40:V40" si="36">IF(S17="","",(S17/$O$23))</f>
        <v/>
      </c>
      <c r="T40" s="11" t="str">
        <f t="shared" si="36"/>
        <v/>
      </c>
      <c r="U40" s="11" t="str">
        <f t="shared" si="36"/>
        <v/>
      </c>
      <c r="V40" s="11" t="str">
        <f t="shared" si="36"/>
        <v/>
      </c>
    </row>
    <row r="41" spans="1:22" s="1" customFormat="1" x14ac:dyDescent="0.25">
      <c r="A41" s="223"/>
      <c r="B41" s="11" t="str">
        <f t="shared" ref="B41:M41" si="37">IF(B18="","",(B18/$O$23))</f>
        <v/>
      </c>
      <c r="C41" s="11" t="str">
        <f t="shared" si="37"/>
        <v/>
      </c>
      <c r="D41" s="11" t="str">
        <f t="shared" si="37"/>
        <v/>
      </c>
      <c r="E41" s="11" t="str">
        <f t="shared" si="37"/>
        <v/>
      </c>
      <c r="F41" s="11" t="str">
        <f t="shared" si="37"/>
        <v/>
      </c>
      <c r="G41" s="11" t="str">
        <f t="shared" si="37"/>
        <v/>
      </c>
      <c r="H41" s="11" t="str">
        <f t="shared" si="37"/>
        <v/>
      </c>
      <c r="I41" s="11" t="str">
        <f t="shared" si="37"/>
        <v/>
      </c>
      <c r="J41" s="11" t="str">
        <f t="shared" si="37"/>
        <v/>
      </c>
      <c r="K41" s="11" t="str">
        <f t="shared" si="37"/>
        <v/>
      </c>
      <c r="L41" s="11" t="str">
        <f t="shared" si="37"/>
        <v/>
      </c>
      <c r="M41" s="11" t="str">
        <f t="shared" si="37"/>
        <v/>
      </c>
      <c r="N41" s="6"/>
      <c r="O41" s="11">
        <f t="shared" ref="O41:R41" si="38">IF(O18="","",(O18/$O$23))</f>
        <v>0.75048897004601589</v>
      </c>
      <c r="P41" s="11" t="str">
        <f t="shared" si="38"/>
        <v/>
      </c>
      <c r="Q41" s="11" t="str">
        <f t="shared" si="38"/>
        <v/>
      </c>
      <c r="R41" s="11" t="str">
        <f t="shared" si="38"/>
        <v/>
      </c>
      <c r="S41" s="11" t="str">
        <f t="shared" ref="S41:V41" si="39">IF(S18="","",(S18/$O$23))</f>
        <v/>
      </c>
      <c r="T41" s="11" t="str">
        <f t="shared" si="39"/>
        <v/>
      </c>
      <c r="U41" s="11" t="str">
        <f t="shared" si="39"/>
        <v/>
      </c>
      <c r="V41" s="11" t="str">
        <f t="shared" si="39"/>
        <v/>
      </c>
    </row>
    <row r="42" spans="1:22" s="1" customFormat="1" x14ac:dyDescent="0.25">
      <c r="A42" s="223"/>
      <c r="B42" s="11" t="str">
        <f t="shared" ref="B42:M42" si="40">IF(B19="","",(B19/$O$23))</f>
        <v/>
      </c>
      <c r="C42" s="11" t="str">
        <f t="shared" si="40"/>
        <v/>
      </c>
      <c r="D42" s="11" t="str">
        <f t="shared" si="40"/>
        <v/>
      </c>
      <c r="E42" s="11" t="str">
        <f t="shared" si="40"/>
        <v/>
      </c>
      <c r="F42" s="11" t="str">
        <f t="shared" si="40"/>
        <v/>
      </c>
      <c r="G42" s="11" t="str">
        <f t="shared" si="40"/>
        <v/>
      </c>
      <c r="H42" s="11" t="str">
        <f t="shared" si="40"/>
        <v/>
      </c>
      <c r="I42" s="11" t="str">
        <f t="shared" si="40"/>
        <v/>
      </c>
      <c r="J42" s="11" t="str">
        <f t="shared" si="40"/>
        <v/>
      </c>
      <c r="K42" s="11" t="str">
        <f t="shared" si="40"/>
        <v/>
      </c>
      <c r="L42" s="11" t="str">
        <f t="shared" si="40"/>
        <v/>
      </c>
      <c r="M42" s="11" t="str">
        <f t="shared" si="40"/>
        <v/>
      </c>
      <c r="N42" s="6"/>
      <c r="O42" s="11">
        <f t="shared" ref="O42:R42" si="41">IF(O19="","",(O19/$O$23))</f>
        <v>1.6202771805264329</v>
      </c>
      <c r="P42" s="11" t="str">
        <f t="shared" si="41"/>
        <v/>
      </c>
      <c r="Q42" s="11" t="str">
        <f t="shared" si="41"/>
        <v/>
      </c>
      <c r="R42" s="11" t="str">
        <f t="shared" si="41"/>
        <v/>
      </c>
      <c r="S42" s="11" t="str">
        <f t="shared" ref="S42:V42" si="42">IF(S19="","",(S19/$O$23))</f>
        <v/>
      </c>
      <c r="T42" s="11" t="str">
        <f t="shared" si="42"/>
        <v/>
      </c>
      <c r="U42" s="11" t="str">
        <f t="shared" si="42"/>
        <v/>
      </c>
      <c r="V42" s="11" t="str">
        <f t="shared" si="42"/>
        <v/>
      </c>
    </row>
    <row r="43" spans="1:22" s="1" customFormat="1" x14ac:dyDescent="0.25">
      <c r="A43" s="223"/>
      <c r="B43" s="11" t="str">
        <f t="shared" ref="B43:M43" si="43">IF(B20="","",(B20/$O$23))</f>
        <v/>
      </c>
      <c r="C43" s="11" t="str">
        <f t="shared" si="43"/>
        <v/>
      </c>
      <c r="D43" s="11" t="str">
        <f t="shared" si="43"/>
        <v/>
      </c>
      <c r="E43" s="11" t="str">
        <f t="shared" si="43"/>
        <v/>
      </c>
      <c r="F43" s="11" t="str">
        <f t="shared" si="43"/>
        <v/>
      </c>
      <c r="G43" s="11" t="str">
        <f t="shared" si="43"/>
        <v/>
      </c>
      <c r="H43" s="11" t="str">
        <f t="shared" si="43"/>
        <v/>
      </c>
      <c r="I43" s="11" t="str">
        <f t="shared" si="43"/>
        <v/>
      </c>
      <c r="J43" s="11" t="str">
        <f t="shared" si="43"/>
        <v/>
      </c>
      <c r="K43" s="11" t="str">
        <f t="shared" si="43"/>
        <v/>
      </c>
      <c r="L43" s="11" t="str">
        <f t="shared" si="43"/>
        <v/>
      </c>
      <c r="M43" s="11" t="str">
        <f t="shared" si="43"/>
        <v/>
      </c>
      <c r="N43" s="6"/>
      <c r="O43" s="11">
        <f t="shared" ref="O43:R43" si="44">IF(O20="","",(O20/$O$23))</f>
        <v>0.13270634520157665</v>
      </c>
      <c r="P43" s="11" t="str">
        <f t="shared" si="44"/>
        <v/>
      </c>
      <c r="Q43" s="11" t="str">
        <f t="shared" si="44"/>
        <v/>
      </c>
      <c r="R43" s="11" t="str">
        <f t="shared" si="44"/>
        <v/>
      </c>
      <c r="S43" s="11" t="str">
        <f t="shared" ref="S43:V43" si="45">IF(S20="","",(S20/$O$23))</f>
        <v/>
      </c>
      <c r="T43" s="11" t="str">
        <f t="shared" si="45"/>
        <v/>
      </c>
      <c r="U43" s="11" t="str">
        <f t="shared" si="45"/>
        <v/>
      </c>
      <c r="V43" s="11" t="str">
        <f t="shared" si="45"/>
        <v/>
      </c>
    </row>
    <row r="44" spans="1:22" x14ac:dyDescent="0.25">
      <c r="A44" s="7"/>
      <c r="B44" s="3"/>
      <c r="C44" s="3"/>
      <c r="D44" s="3"/>
      <c r="E44" s="3"/>
      <c r="F44" s="3"/>
      <c r="G44" s="3"/>
      <c r="H44" s="3"/>
      <c r="I44" s="3"/>
      <c r="J44" s="3"/>
      <c r="N44" s="7"/>
      <c r="O44" s="3"/>
      <c r="P44" s="3"/>
      <c r="Q44" s="3"/>
      <c r="R44" s="3"/>
      <c r="S44" s="3"/>
      <c r="T44" s="3"/>
      <c r="U44" s="3"/>
      <c r="V44" s="3"/>
    </row>
    <row r="45" spans="1:22" s="69" customFormat="1" x14ac:dyDescent="0.25">
      <c r="A45" s="70" t="str">
        <f t="shared" ref="A45:M45" si="46">A4</f>
        <v>Noms des groupes</v>
      </c>
      <c r="B45" s="70" t="str">
        <f t="shared" si="46"/>
        <v>Témoin solvant</v>
      </c>
      <c r="C45" s="70" t="str">
        <f t="shared" si="46"/>
        <v>EE2-33,8ng/L</v>
      </c>
      <c r="D45" s="70" t="str">
        <f t="shared" si="46"/>
        <v>EE2-50,6ng/L</v>
      </c>
      <c r="E45" s="70" t="str">
        <f t="shared" si="46"/>
        <v>EE2-76ng/L</v>
      </c>
      <c r="F45" s="70" t="str">
        <f t="shared" si="46"/>
        <v>EE2-114ng/L</v>
      </c>
      <c r="G45" s="70" t="str">
        <f t="shared" si="46"/>
        <v>EE2-170,9ng/L</v>
      </c>
      <c r="H45" s="70" t="str">
        <f t="shared" si="46"/>
        <v>EE2-488ng/L</v>
      </c>
      <c r="I45" s="70" t="str">
        <f t="shared" si="46"/>
        <v>Testosterone 3,7µg/L</v>
      </c>
      <c r="J45" s="70" t="str">
        <f t="shared" si="46"/>
        <v>Testosterone 11µg/L</v>
      </c>
      <c r="K45" s="70" t="str">
        <f t="shared" si="46"/>
        <v>Testosterone 33µg/L</v>
      </c>
      <c r="L45" s="70" t="str">
        <f t="shared" si="46"/>
        <v>Testosterone 100µg/L</v>
      </c>
      <c r="M45" s="70" t="str">
        <f t="shared" si="46"/>
        <v>Testosterone 300µg/L</v>
      </c>
      <c r="N45" s="70" t="str">
        <f>N22</f>
        <v>Nom des groupes</v>
      </c>
      <c r="O45" s="70" t="str">
        <f t="shared" ref="O45:V45" si="47">O4</f>
        <v>Testo -30µg/L</v>
      </c>
      <c r="P45" s="70" t="str">
        <f t="shared" si="47"/>
        <v>Testo 30µg/L + EE2 -64ng/L</v>
      </c>
      <c r="Q45" s="70" t="str">
        <f t="shared" si="47"/>
        <v>Testo 30µg/L + FAD-10µg/L</v>
      </c>
      <c r="R45" s="70" t="str">
        <f t="shared" si="47"/>
        <v>Testosterone-3,7µg/L + Testostérone</v>
      </c>
      <c r="S45" s="70" t="str">
        <f t="shared" si="47"/>
        <v>Testosterone-11µg/L + Testostérone</v>
      </c>
      <c r="T45" s="70" t="str">
        <f t="shared" si="47"/>
        <v>Testosterone-33µg/L + Testostérone</v>
      </c>
      <c r="U45" s="70" t="str">
        <f t="shared" si="47"/>
        <v>Testosterone-100µg/L + Testostérone</v>
      </c>
      <c r="V45" s="70" t="str">
        <f t="shared" si="47"/>
        <v>Testosterone-300µg/L + Testostérone</v>
      </c>
    </row>
    <row r="46" spans="1:22" x14ac:dyDescent="0.25">
      <c r="A46" s="8" t="s">
        <v>0</v>
      </c>
      <c r="B46" s="10">
        <f t="shared" ref="B46:H46" si="48">AVERAGE(B28:B43)</f>
        <v>6.7877986112858057E-2</v>
      </c>
      <c r="C46" s="10">
        <f t="shared" si="48"/>
        <v>9.7419361203308949E-2</v>
      </c>
      <c r="D46" s="10">
        <f t="shared" si="48"/>
        <v>5.2488029899232638E-2</v>
      </c>
      <c r="E46" s="10">
        <f t="shared" si="48"/>
        <v>0.33776741281569023</v>
      </c>
      <c r="F46" s="10">
        <f t="shared" si="48"/>
        <v>0.75064908108790673</v>
      </c>
      <c r="G46" s="10">
        <f t="shared" si="48"/>
        <v>1.4013498230372039</v>
      </c>
      <c r="H46" s="10">
        <f t="shared" si="48"/>
        <v>2.8586170371762449</v>
      </c>
      <c r="I46" s="10">
        <f>AVERAGE(I28:I43)</f>
        <v>6.3234617921091793E-2</v>
      </c>
      <c r="J46" s="9">
        <f>AVERAGE(J28:J43)</f>
        <v>5.953005485504919E-2</v>
      </c>
      <c r="K46" s="9">
        <f>AVERAGE(K28:K43)</f>
        <v>0.99814065996725765</v>
      </c>
      <c r="L46" s="9">
        <f t="shared" ref="L46:M46" si="49">AVERAGE(L28:L43)</f>
        <v>1.3601862930939661</v>
      </c>
      <c r="M46" s="9">
        <f t="shared" si="49"/>
        <v>1.2278006632326155</v>
      </c>
      <c r="N46" s="8" t="s">
        <v>0</v>
      </c>
      <c r="O46" s="10">
        <f>AVERAGE(O28:O43)</f>
        <v>1</v>
      </c>
      <c r="P46" s="10">
        <f>AVERAGE(P28:P43)</f>
        <v>2.0190402413405133</v>
      </c>
      <c r="Q46" s="10">
        <f>AVERAGE(Q28:Q43)</f>
        <v>7.5854092206963916E-2</v>
      </c>
      <c r="R46" s="10">
        <f>AVERAGE(R28:R43)</f>
        <v>1.2656056523242489</v>
      </c>
      <c r="S46" s="10">
        <f t="shared" ref="S46:V46" si="50">AVERAGE(S28:S43)</f>
        <v>1.5327621621008383</v>
      </c>
      <c r="T46" s="10">
        <f t="shared" si="50"/>
        <v>1.0794143664885516</v>
      </c>
      <c r="U46" s="10">
        <f t="shared" si="50"/>
        <v>1.0844974756192147</v>
      </c>
      <c r="V46" s="10">
        <f t="shared" si="50"/>
        <v>1.6055470534586402</v>
      </c>
    </row>
    <row r="47" spans="1:22" x14ac:dyDescent="0.25">
      <c r="A47" s="8" t="s">
        <v>1</v>
      </c>
      <c r="B47" s="8">
        <f t="shared" ref="B47:K47" si="51">STDEV(B28:B43)</f>
        <v>8.2431079701314608E-2</v>
      </c>
      <c r="C47" s="8">
        <f t="shared" si="51"/>
        <v>7.3760102594890964E-2</v>
      </c>
      <c r="D47" s="8">
        <f t="shared" si="51"/>
        <v>3.1821501798469612E-2</v>
      </c>
      <c r="E47" s="8">
        <f t="shared" si="51"/>
        <v>0.45854406805300552</v>
      </c>
      <c r="F47" s="8">
        <f t="shared" si="51"/>
        <v>0.34577630891866762</v>
      </c>
      <c r="G47" s="8">
        <f t="shared" si="51"/>
        <v>0.5057652381841039</v>
      </c>
      <c r="H47" s="8">
        <f t="shared" si="51"/>
        <v>0.60455517092229072</v>
      </c>
      <c r="I47" s="8">
        <f>STDEV(I28:I43)</f>
        <v>5.6856110853121714E-2</v>
      </c>
      <c r="J47" s="8">
        <f t="shared" si="51"/>
        <v>6.5734094466585444E-2</v>
      </c>
      <c r="K47" s="8">
        <f t="shared" si="51"/>
        <v>0.76573955197789123</v>
      </c>
      <c r="L47" s="8">
        <f t="shared" ref="L47:M47" si="52">STDEV(L28:L43)</f>
        <v>0.42018583303774459</v>
      </c>
      <c r="M47" s="8">
        <f t="shared" si="52"/>
        <v>0.60130146868247525</v>
      </c>
      <c r="N47" s="8" t="s">
        <v>1</v>
      </c>
      <c r="O47" s="8">
        <f>STDEV(O28:O43)</f>
        <v>0.68977102210163266</v>
      </c>
      <c r="P47" s="8">
        <f>STDEV(P28:P43)</f>
        <v>0.74854771084344141</v>
      </c>
      <c r="Q47" s="8">
        <f>STDEV(Q28:Q43)</f>
        <v>4.0286129006230159E-2</v>
      </c>
      <c r="R47" s="8">
        <f>STDEV(R28:R43)</f>
        <v>0.51119691513986065</v>
      </c>
      <c r="S47" s="8">
        <f t="shared" ref="S47:V47" si="53">STDEV(S28:S43)</f>
        <v>0.58485465453067675</v>
      </c>
      <c r="T47" s="8">
        <f t="shared" si="53"/>
        <v>0.44198344684688745</v>
      </c>
      <c r="U47" s="8">
        <f t="shared" si="53"/>
        <v>0.49870486715583745</v>
      </c>
      <c r="V47" s="8">
        <f t="shared" si="53"/>
        <v>0.48083051561641454</v>
      </c>
    </row>
    <row r="48" spans="1:22" x14ac:dyDescent="0.25">
      <c r="A48" s="8" t="s">
        <v>2</v>
      </c>
      <c r="B48" s="8">
        <f t="shared" ref="B48:K48" si="54" xml:space="preserve"> B47/SQRT(COUNT(B28:B43))</f>
        <v>2.914378771866416E-2</v>
      </c>
      <c r="C48" s="8">
        <f t="shared" si="54"/>
        <v>2.6078134362931427E-2</v>
      </c>
      <c r="D48" s="8">
        <f t="shared" si="54"/>
        <v>1.125059985461889E-2</v>
      </c>
      <c r="E48" s="8">
        <f t="shared" si="54"/>
        <v>0.16211980999657297</v>
      </c>
      <c r="F48" s="8">
        <f t="shared" si="54"/>
        <v>0.12225038640502217</v>
      </c>
      <c r="G48" s="8">
        <f t="shared" si="54"/>
        <v>0.19116129171664112</v>
      </c>
      <c r="H48" s="8">
        <f t="shared" si="54"/>
        <v>0.213742530480272</v>
      </c>
      <c r="I48" s="8">
        <f xml:space="preserve"> I47/SQRT(COUNT(I28:I43))</f>
        <v>2.0101670768068212E-2</v>
      </c>
      <c r="J48" s="8">
        <f t="shared" si="54"/>
        <v>2.3240511976239837E-2</v>
      </c>
      <c r="K48" s="8">
        <f t="shared" si="54"/>
        <v>0.27072981491315784</v>
      </c>
      <c r="L48" s="8">
        <f t="shared" ref="L48:M48" si="55" xml:space="preserve"> L47/SQRT(COUNT(L28:L43))</f>
        <v>0.14855812594975382</v>
      </c>
      <c r="M48" s="8">
        <f t="shared" si="55"/>
        <v>0.21259217302140432</v>
      </c>
      <c r="N48" s="8" t="s">
        <v>2</v>
      </c>
      <c r="O48" s="8">
        <f xml:space="preserve"> O47/SQRT(COUNT(O28:O43))</f>
        <v>0.17244275552540816</v>
      </c>
      <c r="P48" s="8">
        <f xml:space="preserve"> P47/SQRT(COUNT(P28:P43))</f>
        <v>0.26465158118953219</v>
      </c>
      <c r="Q48" s="8">
        <f xml:space="preserve"> Q47/SQRT(COUNT(Q28:Q43))</f>
        <v>1.5226725519421525E-2</v>
      </c>
      <c r="R48" s="8">
        <f xml:space="preserve"> R47/SQRT(COUNT(R28:R43))</f>
        <v>0.18073540260851975</v>
      </c>
      <c r="S48" s="8">
        <f t="shared" ref="S48:V48" si="56" xml:space="preserve"> S47/SQRT(COUNT(S28:S43))</f>
        <v>0.20677734611357854</v>
      </c>
      <c r="T48" s="8">
        <f t="shared" si="56"/>
        <v>0.15626474621881903</v>
      </c>
      <c r="U48" s="8">
        <f t="shared" si="56"/>
        <v>0.18849272230169276</v>
      </c>
      <c r="V48" s="8">
        <f t="shared" si="56"/>
        <v>0.16999925909689542</v>
      </c>
    </row>
    <row r="49" spans="1:22" s="1" customFormat="1" ht="15.75" thickBot="1" x14ac:dyDescent="0.3">
      <c r="A49" s="8"/>
      <c r="B49" s="8"/>
      <c r="C49" s="8"/>
      <c r="D49" s="8"/>
      <c r="E49" s="8"/>
      <c r="F49" s="8"/>
      <c r="G49" s="8"/>
      <c r="H49" s="8"/>
      <c r="I49" s="8"/>
      <c r="J49" s="8"/>
      <c r="K49" s="8"/>
      <c r="L49" s="8"/>
      <c r="M49" s="8"/>
      <c r="N49" s="8"/>
      <c r="O49" s="8"/>
      <c r="P49" s="8"/>
      <c r="Q49" s="8"/>
      <c r="R49" s="8"/>
      <c r="S49" s="8"/>
      <c r="T49" s="8"/>
      <c r="U49" s="8"/>
      <c r="V49" s="8"/>
    </row>
    <row r="50" spans="1:22" ht="27" thickBot="1" x14ac:dyDescent="0.45">
      <c r="A50" s="218" t="s">
        <v>38</v>
      </c>
      <c r="B50" s="219"/>
      <c r="C50" s="219"/>
      <c r="D50" s="219"/>
      <c r="E50" s="219"/>
      <c r="F50" s="219"/>
      <c r="G50" s="219"/>
      <c r="H50" s="219"/>
      <c r="I50" s="219"/>
      <c r="J50" s="219"/>
      <c r="K50" s="219"/>
      <c r="L50" s="219"/>
      <c r="M50" s="219"/>
      <c r="N50" s="219"/>
      <c r="O50" s="219"/>
      <c r="P50" s="219"/>
      <c r="Q50" s="219"/>
      <c r="R50" s="219"/>
      <c r="S50" s="219"/>
      <c r="T50" s="219"/>
      <c r="U50" s="219"/>
      <c r="V50" s="219"/>
    </row>
    <row r="51" spans="1:22" ht="15.75" thickBot="1" x14ac:dyDescent="0.3">
      <c r="A51"/>
      <c r="B51"/>
      <c r="C51"/>
      <c r="D51"/>
      <c r="E51"/>
      <c r="F51"/>
      <c r="G51"/>
      <c r="H51"/>
      <c r="I51"/>
      <c r="J51"/>
      <c r="K51"/>
      <c r="L51"/>
      <c r="M51"/>
      <c r="S51"/>
      <c r="T51"/>
      <c r="U51"/>
      <c r="V51"/>
    </row>
    <row r="52" spans="1:22" x14ac:dyDescent="0.25">
      <c r="A52" s="45" t="str">
        <f t="shared" ref="A52:H52" si="57">A27</f>
        <v>Noms des groupes</v>
      </c>
      <c r="B52" s="46" t="str">
        <f t="shared" si="57"/>
        <v>Témoin solvant</v>
      </c>
      <c r="C52" s="46" t="str">
        <f t="shared" si="57"/>
        <v>EE2-33,8ng/L</v>
      </c>
      <c r="D52" s="46" t="str">
        <f t="shared" si="57"/>
        <v>EE2-50,6ng/L</v>
      </c>
      <c r="E52" s="46" t="str">
        <f t="shared" si="57"/>
        <v>EE2-76ng/L</v>
      </c>
      <c r="F52" s="46" t="str">
        <f t="shared" si="57"/>
        <v>EE2-114ng/L</v>
      </c>
      <c r="G52" s="46" t="str">
        <f t="shared" si="57"/>
        <v>EE2-170,9ng/L</v>
      </c>
      <c r="H52" s="46" t="str">
        <f t="shared" si="57"/>
        <v>EE2-488ng/L</v>
      </c>
      <c r="I52" s="46" t="str">
        <f>I4</f>
        <v>Testosterone 3,7µg/L</v>
      </c>
      <c r="J52" s="46" t="str">
        <f>J4</f>
        <v>Testosterone 11µg/L</v>
      </c>
      <c r="K52" s="46" t="str">
        <f>K27</f>
        <v>Testosterone 33µg/L</v>
      </c>
      <c r="L52" s="46" t="str">
        <f t="shared" ref="L52:M52" si="58">L27</f>
        <v>Testosterone 100µg/L</v>
      </c>
      <c r="M52" s="46" t="str">
        <f t="shared" si="58"/>
        <v>Testosterone 300µg/L</v>
      </c>
      <c r="N52" s="47"/>
      <c r="O52" s="46" t="str">
        <f>O27</f>
        <v>Testo -30µg/L</v>
      </c>
      <c r="P52" s="46" t="str">
        <f>P27</f>
        <v>Testo 30µg/L + EE2 -64ng/L</v>
      </c>
      <c r="Q52" s="46" t="str">
        <f>Q27</f>
        <v>Testo 30µg/L + FAD-10µg/L</v>
      </c>
      <c r="R52" s="46" t="str">
        <f>R27</f>
        <v>Testosterone-3,7µg/L + Testostérone</v>
      </c>
      <c r="S52" s="46" t="str">
        <f t="shared" ref="S52:V52" si="59">S27</f>
        <v>Testosterone-11µg/L + Testostérone</v>
      </c>
      <c r="T52" s="46" t="str">
        <f t="shared" si="59"/>
        <v>Testosterone-33µg/L + Testostérone</v>
      </c>
      <c r="U52" s="46" t="str">
        <f t="shared" si="59"/>
        <v>Testosterone-100µg/L + Testostérone</v>
      </c>
      <c r="V52" s="46" t="str">
        <f t="shared" si="59"/>
        <v>Testosterone-300µg/L + Testostérone</v>
      </c>
    </row>
    <row r="53" spans="1:22" s="3" customFormat="1" x14ac:dyDescent="0.25">
      <c r="A53" s="61" t="s">
        <v>32</v>
      </c>
      <c r="B53" s="141">
        <f t="shared" ref="B53:M53" si="60">B46</f>
        <v>6.7877986112858057E-2</v>
      </c>
      <c r="C53" s="141">
        <f t="shared" si="60"/>
        <v>9.7419361203308949E-2</v>
      </c>
      <c r="D53" s="141">
        <f t="shared" si="60"/>
        <v>5.2488029899232638E-2</v>
      </c>
      <c r="E53" s="141">
        <f t="shared" si="60"/>
        <v>0.33776741281569023</v>
      </c>
      <c r="F53" s="141">
        <f t="shared" si="60"/>
        <v>0.75064908108790673</v>
      </c>
      <c r="G53" s="141">
        <f t="shared" si="60"/>
        <v>1.4013498230372039</v>
      </c>
      <c r="H53" s="141">
        <f t="shared" si="60"/>
        <v>2.8586170371762449</v>
      </c>
      <c r="I53" s="141">
        <f t="shared" si="60"/>
        <v>6.3234617921091793E-2</v>
      </c>
      <c r="J53" s="141">
        <f t="shared" si="60"/>
        <v>5.953005485504919E-2</v>
      </c>
      <c r="K53" s="141">
        <f t="shared" si="60"/>
        <v>0.99814065996725765</v>
      </c>
      <c r="L53" s="141">
        <f t="shared" si="60"/>
        <v>1.3601862930939661</v>
      </c>
      <c r="M53" s="141">
        <f t="shared" si="60"/>
        <v>1.2278006632326155</v>
      </c>
      <c r="N53" s="141"/>
      <c r="O53" s="141">
        <f t="shared" ref="O53:V53" si="61">O46</f>
        <v>1</v>
      </c>
      <c r="P53" s="141">
        <f t="shared" si="61"/>
        <v>2.0190402413405133</v>
      </c>
      <c r="Q53" s="141">
        <f t="shared" si="61"/>
        <v>7.5854092206963916E-2</v>
      </c>
      <c r="R53" s="141">
        <f t="shared" si="61"/>
        <v>1.2656056523242489</v>
      </c>
      <c r="S53" s="141">
        <f t="shared" si="61"/>
        <v>1.5327621621008383</v>
      </c>
      <c r="T53" s="141">
        <f t="shared" si="61"/>
        <v>1.0794143664885516</v>
      </c>
      <c r="U53" s="141">
        <f t="shared" si="61"/>
        <v>1.0844974756192147</v>
      </c>
      <c r="V53" s="141">
        <f t="shared" si="61"/>
        <v>1.6055470534586402</v>
      </c>
    </row>
    <row r="54" spans="1:22" s="3" customFormat="1" x14ac:dyDescent="0.25">
      <c r="A54" s="61" t="s">
        <v>2</v>
      </c>
      <c r="B54" s="141">
        <f t="shared" ref="B54:M54" si="62">B48</f>
        <v>2.914378771866416E-2</v>
      </c>
      <c r="C54" s="141">
        <f t="shared" si="62"/>
        <v>2.6078134362931427E-2</v>
      </c>
      <c r="D54" s="141">
        <f t="shared" si="62"/>
        <v>1.125059985461889E-2</v>
      </c>
      <c r="E54" s="141">
        <f t="shared" si="62"/>
        <v>0.16211980999657297</v>
      </c>
      <c r="F54" s="141">
        <f t="shared" si="62"/>
        <v>0.12225038640502217</v>
      </c>
      <c r="G54" s="141">
        <f t="shared" si="62"/>
        <v>0.19116129171664112</v>
      </c>
      <c r="H54" s="141">
        <f t="shared" si="62"/>
        <v>0.213742530480272</v>
      </c>
      <c r="I54" s="141">
        <f t="shared" si="62"/>
        <v>2.0101670768068212E-2</v>
      </c>
      <c r="J54" s="141">
        <f t="shared" si="62"/>
        <v>2.3240511976239837E-2</v>
      </c>
      <c r="K54" s="141">
        <f t="shared" si="62"/>
        <v>0.27072981491315784</v>
      </c>
      <c r="L54" s="141">
        <f t="shared" si="62"/>
        <v>0.14855812594975382</v>
      </c>
      <c r="M54" s="141">
        <f t="shared" si="62"/>
        <v>0.21259217302140432</v>
      </c>
      <c r="N54" s="141"/>
      <c r="O54" s="141">
        <f t="shared" ref="O54:V54" si="63">O48</f>
        <v>0.17244275552540816</v>
      </c>
      <c r="P54" s="141">
        <f t="shared" si="63"/>
        <v>0.26465158118953219</v>
      </c>
      <c r="Q54" s="141">
        <f t="shared" si="63"/>
        <v>1.5226725519421525E-2</v>
      </c>
      <c r="R54" s="141">
        <f t="shared" si="63"/>
        <v>0.18073540260851975</v>
      </c>
      <c r="S54" s="141">
        <f t="shared" si="63"/>
        <v>0.20677734611357854</v>
      </c>
      <c r="T54" s="141">
        <f t="shared" si="63"/>
        <v>0.15626474621881903</v>
      </c>
      <c r="U54" s="141">
        <f t="shared" si="63"/>
        <v>0.18849272230169276</v>
      </c>
      <c r="V54" s="141">
        <f t="shared" si="63"/>
        <v>0.16999925909689542</v>
      </c>
    </row>
    <row r="55" spans="1:22" s="3" customFormat="1" x14ac:dyDescent="0.25">
      <c r="A55" s="61" t="s">
        <v>79</v>
      </c>
      <c r="B55" s="141">
        <f t="shared" ref="B55:M55" si="64">(B53*100/$B$53)-100</f>
        <v>0</v>
      </c>
      <c r="C55" s="141">
        <f t="shared" si="64"/>
        <v>43.521289864630944</v>
      </c>
      <c r="D55" s="141">
        <f t="shared" si="64"/>
        <v>-22.672971157448814</v>
      </c>
      <c r="E55" s="141">
        <f t="shared" si="64"/>
        <v>397.60965543983235</v>
      </c>
      <c r="F55" s="141">
        <f t="shared" si="64"/>
        <v>1005.8800121733607</v>
      </c>
      <c r="G55" s="141">
        <f t="shared" si="64"/>
        <v>1964.5129640517539</v>
      </c>
      <c r="H55" s="141">
        <f t="shared" si="64"/>
        <v>4111.4052005363492</v>
      </c>
      <c r="I55" s="141">
        <f t="shared" si="64"/>
        <v>-6.8407571551193627</v>
      </c>
      <c r="J55" s="141">
        <f t="shared" si="64"/>
        <v>-12.298436850983009</v>
      </c>
      <c r="K55" s="141">
        <f t="shared" si="64"/>
        <v>1370.4924484761355</v>
      </c>
      <c r="L55" s="141">
        <f t="shared" si="64"/>
        <v>1903.8695473852713</v>
      </c>
      <c r="M55" s="141">
        <f t="shared" si="64"/>
        <v>1708.8348425529296</v>
      </c>
      <c r="N55" s="141"/>
      <c r="O55" s="141">
        <f>(O53*100/$O$53)-100</f>
        <v>0</v>
      </c>
      <c r="P55" s="141">
        <f t="shared" ref="P55:V55" si="65">(P53*100/$O$53)-100</f>
        <v>101.90402413405133</v>
      </c>
      <c r="Q55" s="141">
        <f t="shared" si="65"/>
        <v>-92.414590779303609</v>
      </c>
      <c r="R55" s="141">
        <f t="shared" si="65"/>
        <v>26.560565232424892</v>
      </c>
      <c r="S55" s="141">
        <f t="shared" si="65"/>
        <v>53.276216210083817</v>
      </c>
      <c r="T55" s="141">
        <f t="shared" si="65"/>
        <v>7.9414366488551593</v>
      </c>
      <c r="U55" s="141">
        <f t="shared" si="65"/>
        <v>8.4497475619214697</v>
      </c>
      <c r="V55" s="141">
        <f t="shared" si="65"/>
        <v>60.554705345864022</v>
      </c>
    </row>
    <row r="56" spans="1:22" s="3" customFormat="1" x14ac:dyDescent="0.25">
      <c r="A56" s="61" t="s">
        <v>81</v>
      </c>
      <c r="B56" s="141">
        <f>[1]!SWTEST(B28:B43)</f>
        <v>3.0818953983712261E-2</v>
      </c>
      <c r="C56" s="141">
        <f>[1]!SWTEST(C28:C43)</f>
        <v>0.46753840064325769</v>
      </c>
      <c r="D56" s="141">
        <f>[1]!SWTEST(D28:D43)</f>
        <v>0.19549393351153777</v>
      </c>
      <c r="E56" s="141">
        <f>[1]!SWTEST(E28:E43)</f>
        <v>2.3783021479872879E-4</v>
      </c>
      <c r="F56" s="141">
        <f>[1]!SWTEST(F28:F43)</f>
        <v>0.1272139782983206</v>
      </c>
      <c r="G56" s="141">
        <f>[1]!SWTEST(G28:G43)</f>
        <v>3.086124671203061E-3</v>
      </c>
      <c r="H56" s="141">
        <f>[1]!SWTEST(H28:H43)</f>
        <v>0.65771152460947724</v>
      </c>
      <c r="I56" s="141">
        <f>[1]!SWTEST(I28:I43)</f>
        <v>0.11939185066133906</v>
      </c>
      <c r="J56" s="141">
        <f>[1]!SWTEST(J28:J43)</f>
        <v>3.3593066865833521E-3</v>
      </c>
      <c r="K56" s="141">
        <f>[1]!SWTEST(K28:K43)</f>
        <v>0.18134876208685391</v>
      </c>
      <c r="L56" s="141">
        <f>[1]!SWTEST(L28:L43)</f>
        <v>3.7120080304592573E-2</v>
      </c>
      <c r="M56" s="141">
        <f>[1]!SWTEST(M28:M43)</f>
        <v>0.39942068486796367</v>
      </c>
      <c r="N56" s="141"/>
      <c r="O56" s="141">
        <f>[1]!SWTEST(O28:O43)</f>
        <v>0.44811986909137047</v>
      </c>
      <c r="P56" s="141">
        <f>[1]!SWTEST(P28:P43)</f>
        <v>0.18680373231853198</v>
      </c>
      <c r="Q56" s="141">
        <f>[1]!SWTEST(Q28:Q43)</f>
        <v>0.15984180682059201</v>
      </c>
      <c r="R56" s="141">
        <f>[1]!SWTEST(R28:R43)</f>
        <v>0.24986851071239913</v>
      </c>
      <c r="S56" s="141">
        <f>[1]!SWTEST(S28:S43)</f>
        <v>0.24558683882273202</v>
      </c>
      <c r="T56" s="141">
        <f>[1]!SWTEST(T28:T43)</f>
        <v>0.44612092679667725</v>
      </c>
      <c r="U56" s="141">
        <f>[1]!SWTEST(U28:U43)</f>
        <v>0.76549014826615991</v>
      </c>
      <c r="V56" s="141">
        <f>[1]!SWTEST(V28:V43)</f>
        <v>0.47554671529646897</v>
      </c>
    </row>
    <row r="57" spans="1:22" s="3" customFormat="1" x14ac:dyDescent="0.25">
      <c r="A57" s="61" t="s">
        <v>85</v>
      </c>
      <c r="B57" s="141" t="str">
        <f t="shared" ref="B57:M57" si="66">IF(B56&gt;0.05,"Oui","Non")</f>
        <v>Non</v>
      </c>
      <c r="C57" s="141" t="str">
        <f t="shared" si="66"/>
        <v>Oui</v>
      </c>
      <c r="D57" s="141" t="str">
        <f t="shared" si="66"/>
        <v>Oui</v>
      </c>
      <c r="E57" s="141" t="str">
        <f t="shared" si="66"/>
        <v>Non</v>
      </c>
      <c r="F57" s="141" t="str">
        <f t="shared" si="66"/>
        <v>Oui</v>
      </c>
      <c r="G57" s="141" t="str">
        <f t="shared" si="66"/>
        <v>Non</v>
      </c>
      <c r="H57" s="141" t="str">
        <f t="shared" si="66"/>
        <v>Oui</v>
      </c>
      <c r="I57" s="141" t="str">
        <f t="shared" si="66"/>
        <v>Oui</v>
      </c>
      <c r="J57" s="141" t="str">
        <f t="shared" si="66"/>
        <v>Non</v>
      </c>
      <c r="K57" s="141" t="str">
        <f t="shared" si="66"/>
        <v>Oui</v>
      </c>
      <c r="L57" s="141" t="str">
        <f t="shared" si="66"/>
        <v>Non</v>
      </c>
      <c r="M57" s="141" t="str">
        <f t="shared" si="66"/>
        <v>Oui</v>
      </c>
      <c r="N57" s="141"/>
      <c r="O57" s="141" t="str">
        <f t="shared" ref="O57:V57" si="67">IF(O56&gt;0.05,"Oui","Non")</f>
        <v>Oui</v>
      </c>
      <c r="P57" s="141" t="str">
        <f t="shared" si="67"/>
        <v>Oui</v>
      </c>
      <c r="Q57" s="141" t="str">
        <f t="shared" si="67"/>
        <v>Oui</v>
      </c>
      <c r="R57" s="141" t="str">
        <f t="shared" si="67"/>
        <v>Oui</v>
      </c>
      <c r="S57" s="141" t="str">
        <f t="shared" si="67"/>
        <v>Oui</v>
      </c>
      <c r="T57" s="141" t="str">
        <f t="shared" si="67"/>
        <v>Oui</v>
      </c>
      <c r="U57" s="141" t="str">
        <f t="shared" si="67"/>
        <v>Oui</v>
      </c>
      <c r="V57" s="141" t="str">
        <f t="shared" si="67"/>
        <v>Oui</v>
      </c>
    </row>
    <row r="58" spans="1:22" s="3" customFormat="1" x14ac:dyDescent="0.25">
      <c r="A58" s="61"/>
      <c r="B58" s="141"/>
      <c r="C58" s="141"/>
      <c r="D58" s="141"/>
      <c r="E58" s="141"/>
      <c r="F58" s="141"/>
      <c r="G58" s="141"/>
      <c r="H58" s="141"/>
      <c r="I58" s="141"/>
      <c r="J58" s="141"/>
      <c r="K58" s="141"/>
      <c r="L58" s="141"/>
      <c r="M58" s="141"/>
      <c r="N58" s="148"/>
      <c r="O58" s="149"/>
      <c r="P58" s="141"/>
      <c r="Q58" s="141"/>
      <c r="R58" s="141"/>
      <c r="S58" s="141"/>
      <c r="T58" s="141"/>
      <c r="U58" s="141"/>
      <c r="V58" s="141"/>
    </row>
    <row r="59" spans="1:22" s="3" customFormat="1" x14ac:dyDescent="0.25">
      <c r="A59" s="61" t="s">
        <v>82</v>
      </c>
      <c r="B59" s="150"/>
      <c r="C59" s="150" t="s">
        <v>3065</v>
      </c>
      <c r="D59" s="150" t="s">
        <v>3065</v>
      </c>
      <c r="E59" s="150" t="s">
        <v>3065</v>
      </c>
      <c r="F59" s="150" t="s">
        <v>3065</v>
      </c>
      <c r="G59" s="150" t="s">
        <v>3065</v>
      </c>
      <c r="H59" s="150" t="s">
        <v>3065</v>
      </c>
      <c r="I59" s="150" t="s">
        <v>3065</v>
      </c>
      <c r="J59" s="150" t="s">
        <v>3065</v>
      </c>
      <c r="K59" s="150" t="s">
        <v>3065</v>
      </c>
      <c r="L59" s="150" t="s">
        <v>3065</v>
      </c>
      <c r="M59" s="150" t="s">
        <v>3065</v>
      </c>
      <c r="N59" s="150"/>
      <c r="O59" s="150" t="str">
        <f>IF($B57="Non",IF(O$57="Non","Mann Withney",IF(O$57="Oui","Mann Withney","")),IF($B$57="Oui",IF(O$57="Oui","T-Test Welch",IF(O$57="Non","Mann Withney",""))))</f>
        <v>Mann Withney</v>
      </c>
      <c r="P59" s="150" t="str">
        <f>IF($O57="Non",IF(P$57="Non","Mann Withney",IF(P$57="Oui","Mann Withney","")),IF($O$57="Oui",IF(P$57="Oui","T-Test Welch",IF(P$57="Non","Mann Withney",""))))</f>
        <v>T-Test Welch</v>
      </c>
      <c r="Q59" s="150" t="str">
        <f t="shared" ref="Q59" si="68">IF($O57="Non",IF(Q$57="Non","Mann Withney",IF(Q$57="Oui","Mann Withney","")),IF($O$57="Oui",IF(Q$57="Oui","T-Test Welch",IF(Q$57="Non","Mann Withney",""))))</f>
        <v>T-Test Welch</v>
      </c>
      <c r="R59" s="150" t="s">
        <v>3066</v>
      </c>
      <c r="S59" s="150" t="s">
        <v>3066</v>
      </c>
      <c r="T59" s="150" t="s">
        <v>3066</v>
      </c>
      <c r="U59" s="150" t="s">
        <v>3066</v>
      </c>
      <c r="V59" s="150" t="s">
        <v>3066</v>
      </c>
    </row>
    <row r="60" spans="1:22" s="3" customFormat="1" ht="15.75" x14ac:dyDescent="0.25">
      <c r="A60" s="61" t="s">
        <v>83</v>
      </c>
      <c r="B60" s="151"/>
      <c r="C60" s="196">
        <v>0.99990000000000001</v>
      </c>
      <c r="D60" s="196">
        <v>0.99990000000000001</v>
      </c>
      <c r="E60" s="196">
        <v>0.45150000000000001</v>
      </c>
      <c r="F60" s="196">
        <v>1.6400000000000001E-2</v>
      </c>
      <c r="G60" s="196">
        <v>1.4E-3</v>
      </c>
      <c r="H60" s="196">
        <v>1E-4</v>
      </c>
      <c r="I60" s="196">
        <v>0.99990000000000001</v>
      </c>
      <c r="J60" s="196">
        <v>0.99990000000000001</v>
      </c>
      <c r="K60" s="196">
        <v>8.8999999999999999E-3</v>
      </c>
      <c r="L60" s="196">
        <v>8.9999999999999998E-4</v>
      </c>
      <c r="M60" s="196">
        <v>1.6999999999999999E-3</v>
      </c>
      <c r="N60" s="151"/>
      <c r="O60" s="196">
        <v>4.0000000000000002E-4</v>
      </c>
      <c r="P60" s="196">
        <v>6.6E-3</v>
      </c>
      <c r="Q60" s="196">
        <v>1E-4</v>
      </c>
      <c r="R60" s="196">
        <v>0.72109999999999996</v>
      </c>
      <c r="S60" s="196">
        <v>0.13189999999999999</v>
      </c>
      <c r="T60" s="196">
        <v>0.99729999999999996</v>
      </c>
      <c r="U60" s="196">
        <v>0.99709999999999999</v>
      </c>
      <c r="V60" s="196">
        <v>6.9199999999999998E-2</v>
      </c>
    </row>
    <row r="61" spans="1:22" s="3" customFormat="1" ht="15.75" thickBot="1" x14ac:dyDescent="0.3">
      <c r="A61" s="62" t="s">
        <v>84</v>
      </c>
      <c r="B61" s="142"/>
      <c r="C61" s="142" t="str">
        <f t="shared" ref="C61:M61" si="69">IF(C60&gt;0.05,"NS",IF(C60&gt;0.01,"*",IF(C60&gt;0.001,"**","***")))</f>
        <v>NS</v>
      </c>
      <c r="D61" s="142" t="str">
        <f t="shared" si="69"/>
        <v>NS</v>
      </c>
      <c r="E61" s="142" t="str">
        <f t="shared" si="69"/>
        <v>NS</v>
      </c>
      <c r="F61" s="142" t="str">
        <f t="shared" si="69"/>
        <v>*</v>
      </c>
      <c r="G61" s="142" t="str">
        <f t="shared" si="69"/>
        <v>**</v>
      </c>
      <c r="H61" s="142" t="str">
        <f t="shared" si="69"/>
        <v>***</v>
      </c>
      <c r="I61" s="142" t="str">
        <f t="shared" si="69"/>
        <v>NS</v>
      </c>
      <c r="J61" s="142" t="str">
        <f t="shared" si="69"/>
        <v>NS</v>
      </c>
      <c r="K61" s="142" t="str">
        <f t="shared" si="69"/>
        <v>**</v>
      </c>
      <c r="L61" s="142" t="str">
        <f t="shared" si="69"/>
        <v>***</v>
      </c>
      <c r="M61" s="142" t="str">
        <f t="shared" si="69"/>
        <v>**</v>
      </c>
      <c r="N61" s="142"/>
      <c r="O61" s="142" t="str">
        <f>IF(O60&gt;0.05,"NS",IF(O60&gt;0.01,"*",IF(O60&gt;0.001,"**","***")))</f>
        <v>***</v>
      </c>
      <c r="P61" s="142" t="str">
        <f>IF(P60&gt;0.05,"NS",IF(P60&gt;0.01,"*",IF(P60&gt;0.001,"**","***")))</f>
        <v>**</v>
      </c>
      <c r="Q61" s="142" t="str">
        <f t="shared" ref="Q61" si="70">IF(Q60&gt;0.05,"NS",IF(Q60&gt;0.01,"*",IF(Q60&gt;0.001,"**","***")))</f>
        <v>***</v>
      </c>
      <c r="R61" s="142" t="str">
        <f t="shared" ref="R61" si="71">IF(R60&gt;0.05,"NS",IF(R60&gt;0.01,"*",IF(R60&gt;0.001,"**","***")))</f>
        <v>NS</v>
      </c>
      <c r="S61" s="142" t="str">
        <f t="shared" ref="S61" si="72">IF(S60&gt;0.05,"NS",IF(S60&gt;0.01,"*",IF(S60&gt;0.001,"**","***")))</f>
        <v>NS</v>
      </c>
      <c r="T61" s="142" t="str">
        <f t="shared" ref="T61" si="73">IF(T60&gt;0.05,"NS",IF(T60&gt;0.01,"*",IF(T60&gt;0.001,"**","***")))</f>
        <v>NS</v>
      </c>
      <c r="U61" s="142" t="str">
        <f t="shared" ref="U61" si="74">IF(U60&gt;0.05,"NS",IF(U60&gt;0.01,"*",IF(U60&gt;0.001,"**","***")))</f>
        <v>NS</v>
      </c>
      <c r="V61" s="142" t="str">
        <f t="shared" ref="V61" si="75">IF(V60&gt;0.05,"NS",IF(V60&gt;0.01,"*",IF(V60&gt;0.001,"**","***")))</f>
        <v>NS</v>
      </c>
    </row>
    <row r="63" spans="1:22" x14ac:dyDescent="0.25">
      <c r="A63" s="2" t="s">
        <v>39</v>
      </c>
    </row>
    <row r="64" spans="1:22" x14ac:dyDescent="0.25">
      <c r="A64" s="1" t="s">
        <v>23</v>
      </c>
      <c r="B64" s="1">
        <f>B46+(3*B47)</f>
        <v>0.31517122521680185</v>
      </c>
    </row>
    <row r="65" spans="1:22" x14ac:dyDescent="0.25">
      <c r="A65" s="1" t="s">
        <v>24</v>
      </c>
      <c r="B65" s="1">
        <f>B46+(10*B47)</f>
        <v>0.89218878312600403</v>
      </c>
    </row>
    <row r="66" spans="1:22" ht="15.75" thickBot="1" x14ac:dyDescent="0.3"/>
    <row r="67" spans="1:22" s="1" customFormat="1" ht="27" thickBot="1" x14ac:dyDescent="0.45">
      <c r="A67" s="218" t="s">
        <v>52</v>
      </c>
      <c r="B67" s="219"/>
      <c r="C67" s="219"/>
      <c r="D67" s="219"/>
      <c r="E67" s="219"/>
      <c r="F67" s="219"/>
      <c r="G67" s="219"/>
      <c r="H67" s="219"/>
      <c r="I67" s="219"/>
      <c r="J67" s="219"/>
      <c r="K67" s="219"/>
      <c r="L67" s="219"/>
      <c r="M67" s="219"/>
      <c r="N67" s="219"/>
      <c r="O67" s="219"/>
      <c r="P67" s="219"/>
      <c r="Q67" s="219"/>
      <c r="R67" s="219"/>
      <c r="S67" s="219"/>
      <c r="T67" s="219"/>
      <c r="U67" s="219"/>
      <c r="V67" s="219"/>
    </row>
    <row r="68" spans="1:22" ht="16.5" x14ac:dyDescent="0.25">
      <c r="A68" s="12"/>
      <c r="B68" s="12"/>
      <c r="C68" s="12"/>
      <c r="D68" s="12"/>
      <c r="E68" s="12"/>
      <c r="F68" s="12"/>
      <c r="I68" s="196"/>
      <c r="N68" s="12"/>
      <c r="O68" s="12"/>
      <c r="P68" s="12"/>
      <c r="Q68" s="12"/>
      <c r="R68" s="12"/>
      <c r="S68" s="12"/>
      <c r="T68" s="12"/>
      <c r="U68" s="12"/>
      <c r="V68" s="12"/>
    </row>
    <row r="69" spans="1:22" ht="16.5" x14ac:dyDescent="0.25">
      <c r="A69" s="12"/>
      <c r="B69" s="12"/>
      <c r="C69" s="12"/>
      <c r="D69" s="12"/>
      <c r="E69" s="12"/>
      <c r="F69" s="12"/>
      <c r="I69" s="196"/>
      <c r="N69" s="12"/>
      <c r="O69" s="12"/>
      <c r="P69" s="12"/>
      <c r="Q69" s="12"/>
      <c r="R69" s="12"/>
      <c r="S69" s="12"/>
      <c r="T69" s="12"/>
      <c r="U69" s="12"/>
      <c r="V69" s="12"/>
    </row>
    <row r="70" spans="1:22" ht="16.5" x14ac:dyDescent="0.25">
      <c r="A70" s="12"/>
      <c r="B70" s="12"/>
      <c r="C70" s="196"/>
      <c r="D70" s="12"/>
      <c r="E70" s="12"/>
      <c r="F70" s="12"/>
      <c r="I70" s="196"/>
      <c r="N70" s="12"/>
      <c r="O70" s="12"/>
      <c r="P70" s="12"/>
      <c r="Q70" s="12"/>
      <c r="R70" s="12"/>
      <c r="S70" s="12"/>
      <c r="T70" s="12"/>
      <c r="U70" s="12"/>
      <c r="V70" s="12"/>
    </row>
    <row r="71" spans="1:22" ht="16.5" x14ac:dyDescent="0.25">
      <c r="A71" s="12"/>
      <c r="B71" s="12"/>
      <c r="C71" s="196"/>
      <c r="D71" s="12"/>
      <c r="E71" s="12"/>
      <c r="F71" s="12"/>
      <c r="I71" s="196"/>
      <c r="N71" s="12"/>
      <c r="O71" s="12"/>
      <c r="P71" s="12"/>
      <c r="Q71" s="12"/>
      <c r="R71" s="12"/>
      <c r="S71" s="12"/>
      <c r="T71" s="12"/>
      <c r="U71" s="12"/>
      <c r="V71" s="12"/>
    </row>
    <row r="72" spans="1:22" ht="16.5" x14ac:dyDescent="0.25">
      <c r="A72" s="12"/>
      <c r="B72" s="12"/>
      <c r="C72" s="196"/>
      <c r="D72" s="12"/>
      <c r="E72" s="12"/>
      <c r="F72" s="12"/>
      <c r="I72" s="196"/>
      <c r="N72" s="12"/>
      <c r="O72" s="12"/>
      <c r="P72" s="12"/>
      <c r="Q72" s="12"/>
      <c r="R72" s="196"/>
      <c r="S72" s="12"/>
      <c r="T72" s="12"/>
      <c r="U72" s="12"/>
      <c r="V72" s="12"/>
    </row>
    <row r="73" spans="1:22" ht="16.5" x14ac:dyDescent="0.25">
      <c r="A73" s="12"/>
      <c r="B73" s="12"/>
      <c r="C73" s="196"/>
      <c r="D73" s="12"/>
      <c r="E73" s="12"/>
      <c r="F73" s="12"/>
      <c r="N73" s="12"/>
      <c r="O73" s="12"/>
      <c r="P73" s="12"/>
      <c r="Q73" s="12"/>
      <c r="R73" s="196"/>
      <c r="S73" s="12"/>
      <c r="T73" s="12"/>
      <c r="U73" s="12"/>
      <c r="V73" s="12"/>
    </row>
    <row r="74" spans="1:22" ht="16.5" x14ac:dyDescent="0.25">
      <c r="A74" s="12"/>
      <c r="B74" s="12"/>
      <c r="C74" s="196"/>
      <c r="D74" s="12"/>
      <c r="E74" s="12"/>
      <c r="F74" s="12"/>
      <c r="N74" s="12"/>
      <c r="O74" s="12"/>
      <c r="P74" s="12"/>
      <c r="Q74" s="12"/>
      <c r="R74" s="196"/>
      <c r="S74" s="12"/>
      <c r="T74" s="12"/>
      <c r="U74" s="12"/>
      <c r="V74" s="12"/>
    </row>
    <row r="75" spans="1:22" ht="15.75" x14ac:dyDescent="0.25">
      <c r="C75" s="196"/>
      <c r="R75" s="196"/>
    </row>
    <row r="76" spans="1:22" ht="15.75" x14ac:dyDescent="0.25">
      <c r="R76" s="196"/>
    </row>
  </sheetData>
  <protectedRanges>
    <protectedRange sqref="O51:V51" name="Plage2"/>
    <protectedRange sqref="R5:V21" name="Plage1"/>
    <protectedRange sqref="B51:J51" name="Plage2_1"/>
    <protectedRange sqref="O5:O21 J5:J12 B13:J21" name="Plage1_1"/>
    <protectedRange sqref="B5:I12" name="Plage1_1_1"/>
  </protectedRanges>
  <mergeCells count="9">
    <mergeCell ref="A1:V1"/>
    <mergeCell ref="A67:V67"/>
    <mergeCell ref="A50:V50"/>
    <mergeCell ref="A5:A20"/>
    <mergeCell ref="A28:A43"/>
    <mergeCell ref="B3:M3"/>
    <mergeCell ref="B26:M26"/>
    <mergeCell ref="O26:V26"/>
    <mergeCell ref="O3:V3"/>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N1531"/>
  <sheetViews>
    <sheetView showGridLines="0" topLeftCell="K1" zoomScale="80" zoomScaleNormal="80" workbookViewId="0">
      <selection activeCell="AB5" sqref="AB5:AF12"/>
    </sheetView>
  </sheetViews>
  <sheetFormatPr baseColWidth="10" defaultColWidth="11.42578125" defaultRowHeight="15" x14ac:dyDescent="0.25"/>
  <cols>
    <col min="1" max="2" width="15" style="1" customWidth="1"/>
    <col min="3" max="3" width="25.42578125" style="1" customWidth="1"/>
    <col min="4" max="4" width="14" style="1" customWidth="1"/>
    <col min="5" max="5" width="21.140625" style="1" customWidth="1"/>
    <col min="6" max="6" width="11.42578125" style="1"/>
    <col min="7" max="7" width="21.42578125" style="1" customWidth="1"/>
    <col min="8" max="8" width="12.28515625" style="1" customWidth="1"/>
    <col min="9" max="9" width="17.140625" style="1" customWidth="1"/>
    <col min="10" max="10" width="11.42578125" style="1"/>
    <col min="11" max="11" width="37.42578125" style="1" bestFit="1" customWidth="1"/>
    <col min="12" max="12" width="38.42578125" style="1" bestFit="1" customWidth="1"/>
    <col min="13" max="14" width="12.85546875" style="1" customWidth="1"/>
    <col min="15" max="25" width="12.28515625" style="1" customWidth="1"/>
    <col min="26" max="16384" width="11.42578125" style="1"/>
  </cols>
  <sheetData>
    <row r="1" spans="1:144" x14ac:dyDescent="0.25">
      <c r="A1" s="1" t="s">
        <v>107</v>
      </c>
      <c r="B1" s="1" t="s">
        <v>108</v>
      </c>
      <c r="C1" s="1" t="s">
        <v>109</v>
      </c>
      <c r="D1" s="1" t="s">
        <v>110</v>
      </c>
      <c r="E1" s="1" t="s">
        <v>111</v>
      </c>
      <c r="F1" s="1" t="s">
        <v>112</v>
      </c>
      <c r="G1" s="1" t="s">
        <v>113</v>
      </c>
      <c r="H1" s="1" t="s">
        <v>117</v>
      </c>
      <c r="I1" s="1" t="s">
        <v>118</v>
      </c>
      <c r="J1" s="1" t="s">
        <v>1648</v>
      </c>
      <c r="K1" s="118"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25">
      <c r="A2" s="1" t="str">
        <f t="shared" ref="A2:A65" si="0">IFERROR(LEFT(RIGHT(C2,LEN(C2)-SEARCH("@",C2)),SEARCH("/",RIGHT(C2,LEN(C2)-SEARCH("@",C2)-1))),"")</f>
        <v>01 Evian + 0.2% DMSO</v>
      </c>
      <c r="B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 s="1" t="s">
        <v>1677</v>
      </c>
      <c r="D2" s="1" t="s">
        <v>1678</v>
      </c>
      <c r="E2" s="1" t="s">
        <v>1679</v>
      </c>
      <c r="F2" s="1" t="s">
        <v>112</v>
      </c>
      <c r="G2" s="1">
        <v>21868</v>
      </c>
      <c r="K2" s="155" t="s">
        <v>120</v>
      </c>
      <c r="L2" s="155"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25">
      <c r="A3" s="1" t="str">
        <f t="shared" si="0"/>
        <v>01 Evian + 0.2% DMSO</v>
      </c>
      <c r="B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 s="1" t="s">
        <v>1680</v>
      </c>
      <c r="D3" s="1" t="s">
        <v>1678</v>
      </c>
      <c r="E3" s="1" t="s">
        <v>1681</v>
      </c>
      <c r="F3" s="1" t="s">
        <v>112</v>
      </c>
      <c r="G3" s="1">
        <v>21933</v>
      </c>
      <c r="K3" s="118" t="s">
        <v>153</v>
      </c>
      <c r="L3" s="118"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25">
      <c r="A4" s="1" t="str">
        <f t="shared" si="0"/>
        <v>01 Evian + 0.2% DMSO</v>
      </c>
      <c r="B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 s="1" t="s">
        <v>1682</v>
      </c>
      <c r="D4" s="1" t="s">
        <v>716</v>
      </c>
      <c r="E4" s="1" t="s">
        <v>1683</v>
      </c>
      <c r="F4" s="1" t="s">
        <v>112</v>
      </c>
      <c r="G4" s="1">
        <v>34132</v>
      </c>
      <c r="K4" s="118" t="s">
        <v>100</v>
      </c>
      <c r="L4" s="1" t="s">
        <v>1649</v>
      </c>
      <c r="M4" s="1" t="s">
        <v>1650</v>
      </c>
      <c r="N4" s="1" t="s">
        <v>1651</v>
      </c>
      <c r="O4" s="1" t="s">
        <v>1652</v>
      </c>
      <c r="P4" s="1" t="s">
        <v>1653</v>
      </c>
      <c r="Q4" s="1" t="s">
        <v>1654</v>
      </c>
      <c r="R4" s="1" t="s">
        <v>1655</v>
      </c>
      <c r="S4" s="1" t="s">
        <v>1656</v>
      </c>
      <c r="T4" s="1" t="s">
        <v>1657</v>
      </c>
      <c r="U4" s="1" t="s">
        <v>1658</v>
      </c>
      <c r="V4" s="1" t="s">
        <v>1659</v>
      </c>
      <c r="W4" s="1" t="s">
        <v>1660</v>
      </c>
      <c r="X4" s="1" t="s">
        <v>1661</v>
      </c>
      <c r="Y4" s="1" t="s">
        <v>1662</v>
      </c>
      <c r="Z4" s="1" t="s">
        <v>1663</v>
      </c>
      <c r="AA4" s="1" t="s">
        <v>1664</v>
      </c>
      <c r="AB4" s="1" t="s">
        <v>1665</v>
      </c>
      <c r="AC4" s="1" t="s">
        <v>1666</v>
      </c>
      <c r="AD4" s="1" t="s">
        <v>1667</v>
      </c>
      <c r="AE4" s="1" t="s">
        <v>1668</v>
      </c>
      <c r="AF4" s="1" t="s">
        <v>1669</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25">
      <c r="A5" s="1" t="str">
        <f t="shared" si="0"/>
        <v>01 Evian + 0.2% DMSO</v>
      </c>
      <c r="B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 s="1" t="s">
        <v>1684</v>
      </c>
      <c r="D5" s="1" t="s">
        <v>345</v>
      </c>
      <c r="E5" s="1" t="s">
        <v>1685</v>
      </c>
      <c r="F5" s="1" t="s">
        <v>112</v>
      </c>
      <c r="G5" s="1">
        <v>25437</v>
      </c>
      <c r="K5" s="145" t="s">
        <v>163</v>
      </c>
      <c r="L5" s="44">
        <v>25977.666666666668</v>
      </c>
      <c r="M5" s="44">
        <v>135085.66666666666</v>
      </c>
      <c r="N5" s="44">
        <v>324542.33333333331</v>
      </c>
      <c r="O5" s="44">
        <v>495224</v>
      </c>
      <c r="P5" s="44">
        <v>1471972</v>
      </c>
      <c r="Q5" s="44">
        <v>2051631.6666666667</v>
      </c>
      <c r="R5" s="44">
        <v>5667977</v>
      </c>
      <c r="S5" s="44">
        <v>54601</v>
      </c>
      <c r="T5" s="44">
        <v>89425.333333333328</v>
      </c>
      <c r="U5" s="44">
        <v>1314549.3333333333</v>
      </c>
      <c r="V5" s="44">
        <v>474898.66666666669</v>
      </c>
      <c r="W5" s="44">
        <v>3106233</v>
      </c>
      <c r="X5" s="44">
        <v>1405777.3333333333</v>
      </c>
      <c r="Y5" s="44">
        <v>1748034.3333333333</v>
      </c>
      <c r="Z5" s="44">
        <v>1343216.6666666667</v>
      </c>
      <c r="AA5" s="44">
        <v>94458</v>
      </c>
      <c r="AB5" s="44">
        <v>1103802.3333333333</v>
      </c>
      <c r="AC5" s="44">
        <v>60946</v>
      </c>
      <c r="AD5" s="44">
        <v>1565269</v>
      </c>
      <c r="AE5" s="44">
        <v>590121</v>
      </c>
      <c r="AF5" s="44">
        <v>285622.5</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25">
      <c r="A6" s="1" t="str">
        <f t="shared" si="0"/>
        <v>01 Evian + 0.2% DMSO</v>
      </c>
      <c r="B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 s="1" t="s">
        <v>1686</v>
      </c>
      <c r="D6" s="1" t="s">
        <v>274</v>
      </c>
      <c r="E6" s="1" t="s">
        <v>1687</v>
      </c>
      <c r="F6" s="1" t="s">
        <v>112</v>
      </c>
      <c r="G6" s="1">
        <v>13822</v>
      </c>
      <c r="K6" s="145" t="s">
        <v>1670</v>
      </c>
      <c r="L6" s="44">
        <v>22589</v>
      </c>
      <c r="M6" s="44">
        <v>209723.66666666666</v>
      </c>
      <c r="N6" s="44">
        <v>368984.33333333331</v>
      </c>
      <c r="O6" s="44">
        <v>654917.33333333337</v>
      </c>
      <c r="P6" s="44">
        <v>587460.66666666663</v>
      </c>
      <c r="Q6" s="44">
        <v>2363700.3333333335</v>
      </c>
      <c r="R6" s="44">
        <v>5124432.333333333</v>
      </c>
      <c r="S6" s="44">
        <v>39748.333333333336</v>
      </c>
      <c r="T6" s="44">
        <v>64226.666666666664</v>
      </c>
      <c r="U6" s="44">
        <v>1718372.6666666667</v>
      </c>
      <c r="V6" s="44">
        <v>1909415</v>
      </c>
      <c r="W6" s="44">
        <v>430701.66666666669</v>
      </c>
      <c r="X6" s="44"/>
      <c r="Y6" s="44">
        <v>993666.5</v>
      </c>
      <c r="Z6" s="44">
        <v>6130467</v>
      </c>
      <c r="AA6" s="44">
        <v>428185.33333333331</v>
      </c>
      <c r="AB6" s="44">
        <v>782129.66666666663</v>
      </c>
      <c r="AC6" s="44">
        <v>2035308.3333333333</v>
      </c>
      <c r="AD6" s="44">
        <v>90074</v>
      </c>
      <c r="AE6" s="44">
        <v>67456.333333333328</v>
      </c>
      <c r="AF6" s="44">
        <v>1418092</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25">
      <c r="A7" s="1" t="str">
        <f t="shared" si="0"/>
        <v>01 Evian + 0.2% DMSO</v>
      </c>
      <c r="B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 s="1" t="s">
        <v>1688</v>
      </c>
      <c r="D7" s="1" t="s">
        <v>1689</v>
      </c>
      <c r="E7" s="1" t="s">
        <v>1690</v>
      </c>
      <c r="F7" s="1" t="s">
        <v>112</v>
      </c>
      <c r="G7" s="1">
        <v>28508</v>
      </c>
      <c r="K7" s="145" t="s">
        <v>1671</v>
      </c>
      <c r="L7" s="44">
        <v>17275.333333333332</v>
      </c>
      <c r="M7" s="44">
        <v>29885.333333333332</v>
      </c>
      <c r="N7" s="44">
        <v>63440.333333333336</v>
      </c>
      <c r="O7" s="44">
        <v>1886018.6666666667</v>
      </c>
      <c r="P7" s="44">
        <v>3023469.6666666665</v>
      </c>
      <c r="Q7" s="44">
        <v>3042396.3333333335</v>
      </c>
      <c r="R7" s="44">
        <v>6656448.666666667</v>
      </c>
      <c r="S7" s="44">
        <v>132115.5</v>
      </c>
      <c r="T7" s="44">
        <v>145100.33333333334</v>
      </c>
      <c r="U7" s="44">
        <v>212513.66666666666</v>
      </c>
      <c r="V7" s="44">
        <v>618734</v>
      </c>
      <c r="W7" s="44"/>
      <c r="X7" s="44">
        <v>2014748.5</v>
      </c>
      <c r="Y7" s="44">
        <v>555016</v>
      </c>
      <c r="Z7" s="44">
        <v>2728640</v>
      </c>
      <c r="AA7" s="44">
        <v>791437.66666666663</v>
      </c>
      <c r="AB7" s="44">
        <v>2843848</v>
      </c>
      <c r="AC7" s="44">
        <v>597453.66666666663</v>
      </c>
      <c r="AD7" s="44">
        <v>2674276.5</v>
      </c>
      <c r="AE7" s="44">
        <v>604433</v>
      </c>
      <c r="AF7" s="44">
        <v>85142.666666666672</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25">
      <c r="A8" s="1" t="str">
        <f t="shared" si="0"/>
        <v>01 Evian + 0.2% DMSO</v>
      </c>
      <c r="B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8" s="1" t="s">
        <v>1691</v>
      </c>
      <c r="D8" s="1" t="s">
        <v>1692</v>
      </c>
      <c r="E8" s="1" t="s">
        <v>1693</v>
      </c>
      <c r="F8" s="1" t="s">
        <v>112</v>
      </c>
      <c r="G8" s="1">
        <v>16439</v>
      </c>
      <c r="K8" s="145" t="s">
        <v>1672</v>
      </c>
      <c r="L8" s="44">
        <v>413325.66666666669</v>
      </c>
      <c r="M8" s="44">
        <v>57441.666666666664</v>
      </c>
      <c r="N8" s="44">
        <v>56771.333333333336</v>
      </c>
      <c r="O8" s="44">
        <v>1391436.6666666667</v>
      </c>
      <c r="P8" s="44">
        <v>2046653</v>
      </c>
      <c r="Q8" s="44">
        <v>3538924.6666666665</v>
      </c>
      <c r="R8" s="44">
        <v>6093711</v>
      </c>
      <c r="S8" s="44">
        <v>133089</v>
      </c>
      <c r="T8" s="44">
        <v>53346.333333333336</v>
      </c>
      <c r="U8" s="44">
        <v>536010.5</v>
      </c>
      <c r="V8" s="44">
        <v>2339626.3333333335</v>
      </c>
      <c r="W8" s="44">
        <v>3143148</v>
      </c>
      <c r="X8" s="44">
        <v>1698538</v>
      </c>
      <c r="Y8" s="44">
        <v>1887003</v>
      </c>
      <c r="Z8" s="44">
        <v>644707.66666666663</v>
      </c>
      <c r="AA8" s="44">
        <v>35224.5</v>
      </c>
      <c r="AB8" s="44">
        <v>4278436.333333333</v>
      </c>
      <c r="AC8" s="44">
        <v>149376</v>
      </c>
      <c r="AD8" s="44">
        <v>2664017.3333333335</v>
      </c>
      <c r="AE8" s="44">
        <v>1571404.6666666667</v>
      </c>
      <c r="AF8" s="44">
        <v>499845.33333333331</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25">
      <c r="A9" s="1" t="str">
        <f t="shared" si="0"/>
        <v>01 Evian + 0.2% DMSO</v>
      </c>
      <c r="B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9" s="1" t="s">
        <v>1694</v>
      </c>
      <c r="D9" s="1" t="s">
        <v>169</v>
      </c>
      <c r="E9" s="1" t="s">
        <v>1695</v>
      </c>
      <c r="F9" s="1" t="s">
        <v>112</v>
      </c>
      <c r="G9" s="1">
        <v>14968</v>
      </c>
      <c r="K9" s="145" t="s">
        <v>1673</v>
      </c>
      <c r="L9" s="44">
        <v>323172.33333333331</v>
      </c>
      <c r="M9" s="44">
        <v>42228.666666666664</v>
      </c>
      <c r="N9" s="44">
        <v>382358.66666666669</v>
      </c>
      <c r="O9" s="44">
        <v>227676.33333333334</v>
      </c>
      <c r="P9" s="44">
        <v>1973360.3333333333</v>
      </c>
      <c r="Q9" s="44">
        <v>3719260.3333333335</v>
      </c>
      <c r="R9" s="44">
        <v>6291069.333333333</v>
      </c>
      <c r="S9" s="44">
        <v>92922</v>
      </c>
      <c r="T9" s="44">
        <v>298096</v>
      </c>
      <c r="U9" s="44">
        <v>603899.33333333337</v>
      </c>
      <c r="V9" s="44">
        <v>1889112</v>
      </c>
      <c r="W9" s="44">
        <v>2534122.6666666665</v>
      </c>
      <c r="X9" s="44">
        <v>303568.33333333331</v>
      </c>
      <c r="Y9" s="44">
        <v>1087241</v>
      </c>
      <c r="Z9" s="44">
        <v>4024577</v>
      </c>
      <c r="AA9" s="44">
        <v>617461.33333333337</v>
      </c>
      <c r="AB9" s="44">
        <v>218267</v>
      </c>
      <c r="AC9" s="44">
        <v>2260511.6666666665</v>
      </c>
      <c r="AD9" s="44">
        <v>466585.33333333331</v>
      </c>
      <c r="AE9" s="44">
        <v>2234988.3333333335</v>
      </c>
      <c r="AF9" s="44">
        <v>1141669</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25">
      <c r="A10" s="1" t="str">
        <f t="shared" si="0"/>
        <v>01 Evian + 0.2% DMSO</v>
      </c>
      <c r="B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 s="1" t="s">
        <v>1696</v>
      </c>
      <c r="D10" s="1" t="s">
        <v>192</v>
      </c>
      <c r="E10" s="1" t="s">
        <v>1697</v>
      </c>
      <c r="F10" s="1" t="s">
        <v>112</v>
      </c>
      <c r="G10" s="1">
        <v>20419</v>
      </c>
      <c r="K10" s="145" t="s">
        <v>1674</v>
      </c>
      <c r="L10" s="44">
        <v>40649.666666666664</v>
      </c>
      <c r="M10" s="44">
        <v>25696.5</v>
      </c>
      <c r="N10" s="44">
        <v>309422.66666666669</v>
      </c>
      <c r="O10" s="44">
        <v>1229112</v>
      </c>
      <c r="P10" s="44">
        <v>2060561</v>
      </c>
      <c r="Q10" s="44">
        <v>2272343.3333333335</v>
      </c>
      <c r="R10" s="44">
        <v>4643996</v>
      </c>
      <c r="S10" s="44">
        <v>224352.33333333334</v>
      </c>
      <c r="T10" s="44">
        <v>221187.33333333334</v>
      </c>
      <c r="U10" s="44">
        <v>1674759.3333333333</v>
      </c>
      <c r="V10" s="44">
        <v>409893.66666666669</v>
      </c>
      <c r="W10" s="44">
        <v>1121416.6666666667</v>
      </c>
      <c r="X10" s="44">
        <v>3011112</v>
      </c>
      <c r="Y10" s="44">
        <v>3224678.3333333335</v>
      </c>
      <c r="Z10" s="44">
        <v>3490091.6666666665</v>
      </c>
      <c r="AA10" s="44">
        <v>75394.666666666672</v>
      </c>
      <c r="AB10" s="44">
        <v>2529984</v>
      </c>
      <c r="AC10" s="44">
        <v>1232666</v>
      </c>
      <c r="AD10" s="44">
        <v>959170.66666666663</v>
      </c>
      <c r="AE10" s="44">
        <v>394774.33333333331</v>
      </c>
      <c r="AF10" s="44">
        <v>2061177.3333333333</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25">
      <c r="A11" s="1" t="str">
        <f t="shared" si="0"/>
        <v>01 Evian + 0.2% DMSO</v>
      </c>
      <c r="B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 s="1" t="s">
        <v>1698</v>
      </c>
      <c r="D11" s="1" t="s">
        <v>487</v>
      </c>
      <c r="E11" s="1" t="s">
        <v>1699</v>
      </c>
      <c r="F11" s="1" t="s">
        <v>112</v>
      </c>
      <c r="G11" s="1">
        <v>489593</v>
      </c>
      <c r="K11" s="145" t="s">
        <v>1675</v>
      </c>
      <c r="L11" s="44">
        <v>27023</v>
      </c>
      <c r="M11" s="44">
        <v>75942.333333333328</v>
      </c>
      <c r="N11" s="44">
        <v>139325.33333333334</v>
      </c>
      <c r="O11" s="44">
        <v>1199774</v>
      </c>
      <c r="P11" s="44">
        <v>2626093</v>
      </c>
      <c r="Q11" s="44">
        <v>4636108.333333333</v>
      </c>
      <c r="R11" s="44">
        <v>2949106.3333333335</v>
      </c>
      <c r="S11" s="44">
        <v>506608.33333333331</v>
      </c>
      <c r="T11" s="44">
        <v>179160.33333333334</v>
      </c>
      <c r="U11" s="44">
        <v>1716992</v>
      </c>
      <c r="V11" s="44">
        <v>404468</v>
      </c>
      <c r="W11" s="44">
        <v>1290504</v>
      </c>
      <c r="X11" s="44">
        <v>2939740.3333333335</v>
      </c>
      <c r="Y11" s="44">
        <v>2114877.6666666665</v>
      </c>
      <c r="Z11" s="44">
        <v>2695849</v>
      </c>
      <c r="AA11" s="44">
        <v>504755.33333333331</v>
      </c>
      <c r="AB11" s="44">
        <v>3050118</v>
      </c>
      <c r="AC11" s="44">
        <v>930835.33333333337</v>
      </c>
      <c r="AD11" s="44">
        <v>1556819</v>
      </c>
      <c r="AE11" s="44">
        <v>730495.5</v>
      </c>
      <c r="AF11" s="44">
        <v>854590</v>
      </c>
      <c r="AG11"/>
    </row>
    <row r="12" spans="1:144" x14ac:dyDescent="0.25">
      <c r="A12" s="1" t="str">
        <f t="shared" si="0"/>
        <v>01 Evian + 0.2% DMSO</v>
      </c>
      <c r="B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2" s="1" t="s">
        <v>1700</v>
      </c>
      <c r="D12" s="1" t="s">
        <v>1701</v>
      </c>
      <c r="E12" s="1" t="s">
        <v>1702</v>
      </c>
      <c r="F12" s="1" t="s">
        <v>112</v>
      </c>
      <c r="G12" s="1">
        <v>435972</v>
      </c>
      <c r="K12" s="145" t="s">
        <v>1676</v>
      </c>
      <c r="L12" s="44">
        <v>18053.666666666668</v>
      </c>
      <c r="M12" s="44">
        <v>155324.33333333334</v>
      </c>
      <c r="N12" s="44">
        <v>28768</v>
      </c>
      <c r="O12" s="44">
        <v>48516</v>
      </c>
      <c r="P12" s="44">
        <v>2704530</v>
      </c>
      <c r="Q12" s="44">
        <v>2181944.3333333335</v>
      </c>
      <c r="R12" s="44">
        <v>5678683.666666667</v>
      </c>
      <c r="S12" s="44">
        <v>61465.333333333336</v>
      </c>
      <c r="T12" s="44">
        <v>369287.33333333331</v>
      </c>
      <c r="U12" s="44">
        <v>736649</v>
      </c>
      <c r="V12" s="44">
        <v>955017.66666666663</v>
      </c>
      <c r="W12" s="44">
        <v>1716808</v>
      </c>
      <c r="X12" s="44">
        <v>1419353.6666666667</v>
      </c>
      <c r="Y12" s="44">
        <v>1888124</v>
      </c>
      <c r="Z12" s="44">
        <v>998508</v>
      </c>
      <c r="AA12" s="44">
        <v>278365.5</v>
      </c>
      <c r="AB12" s="44">
        <v>68141.333333333328</v>
      </c>
      <c r="AC12" s="44">
        <v>3702554.6666666665</v>
      </c>
      <c r="AD12" s="44">
        <v>754904.66666666663</v>
      </c>
      <c r="AE12" s="44">
        <v>2134942.6666666665</v>
      </c>
      <c r="AF12" s="44">
        <v>856619.5</v>
      </c>
      <c r="AG12"/>
    </row>
    <row r="13" spans="1:144" x14ac:dyDescent="0.25">
      <c r="A13" s="1" t="str">
        <f t="shared" si="0"/>
        <v>01 Evian + 0.2% DMSO</v>
      </c>
      <c r="B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3" s="1" t="s">
        <v>1703</v>
      </c>
      <c r="D13" s="1" t="s">
        <v>1704</v>
      </c>
      <c r="E13" s="1" t="s">
        <v>1705</v>
      </c>
      <c r="F13" s="1" t="s">
        <v>112</v>
      </c>
      <c r="G13" s="1">
        <v>314412</v>
      </c>
      <c r="K13"/>
      <c r="L13"/>
      <c r="M13"/>
      <c r="N13"/>
      <c r="O13"/>
      <c r="P13"/>
      <c r="Q13"/>
      <c r="R13"/>
      <c r="S13"/>
      <c r="T13"/>
      <c r="U13"/>
      <c r="V13"/>
      <c r="W13"/>
      <c r="X13"/>
      <c r="Y13"/>
      <c r="Z13"/>
      <c r="AA13"/>
      <c r="AB13"/>
      <c r="AC13"/>
      <c r="AD13"/>
      <c r="AE13"/>
      <c r="AF13"/>
      <c r="AG13"/>
    </row>
    <row r="14" spans="1:144" x14ac:dyDescent="0.25">
      <c r="A14" s="1" t="str">
        <f t="shared" si="0"/>
        <v>01 Evian + 0.2% DMSO</v>
      </c>
      <c r="B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 s="1" t="s">
        <v>1706</v>
      </c>
      <c r="D14" s="1" t="s">
        <v>1707</v>
      </c>
      <c r="E14" s="1" t="s">
        <v>1708</v>
      </c>
      <c r="F14" s="1" t="s">
        <v>112</v>
      </c>
      <c r="G14" s="1">
        <v>368314</v>
      </c>
      <c r="K14"/>
      <c r="L14"/>
      <c r="M14"/>
      <c r="N14"/>
      <c r="O14"/>
      <c r="P14"/>
      <c r="Q14"/>
      <c r="R14"/>
      <c r="S14"/>
      <c r="T14"/>
      <c r="U14"/>
      <c r="V14"/>
      <c r="W14"/>
      <c r="X14"/>
      <c r="Y14"/>
      <c r="Z14"/>
      <c r="AA14"/>
      <c r="AB14"/>
      <c r="AC14"/>
      <c r="AD14"/>
      <c r="AE14"/>
      <c r="AF14"/>
      <c r="AG14"/>
    </row>
    <row r="15" spans="1:144" x14ac:dyDescent="0.25">
      <c r="A15" s="1" t="str">
        <f t="shared" si="0"/>
        <v>01 Evian + 0.2% DMSO</v>
      </c>
      <c r="B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5" s="1" t="s">
        <v>1709</v>
      </c>
      <c r="D15" s="1" t="s">
        <v>1256</v>
      </c>
      <c r="E15" s="1" t="s">
        <v>1710</v>
      </c>
      <c r="F15" s="1" t="s">
        <v>112</v>
      </c>
      <c r="G15" s="1">
        <v>422129</v>
      </c>
    </row>
    <row r="16" spans="1:144" x14ac:dyDescent="0.25">
      <c r="A16" s="1" t="str">
        <f t="shared" si="0"/>
        <v>01 Evian + 0.2% DMSO</v>
      </c>
      <c r="B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6" s="1" t="s">
        <v>1711</v>
      </c>
      <c r="D16" s="1" t="s">
        <v>1712</v>
      </c>
      <c r="E16" s="1" t="s">
        <v>1713</v>
      </c>
      <c r="F16" s="1" t="s">
        <v>112</v>
      </c>
      <c r="G16" s="1">
        <v>179074</v>
      </c>
    </row>
    <row r="17" spans="1:10" x14ac:dyDescent="0.25">
      <c r="A17" s="1" t="str">
        <f t="shared" si="0"/>
        <v>01 Evian + 0.2% DMSO</v>
      </c>
      <c r="B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7" s="1" t="s">
        <v>1714</v>
      </c>
      <c r="D17" s="1" t="s">
        <v>1715</v>
      </c>
      <c r="E17" s="1" t="s">
        <v>1716</v>
      </c>
      <c r="F17" s="1" t="s">
        <v>112</v>
      </c>
      <c r="G17" s="1">
        <v>63916</v>
      </c>
    </row>
    <row r="18" spans="1:10" x14ac:dyDescent="0.25">
      <c r="A18" s="1" t="str">
        <f t="shared" si="0"/>
        <v>01 Evian + 0.2% DMSO</v>
      </c>
      <c r="B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 s="1" t="s">
        <v>1717</v>
      </c>
      <c r="D18" s="1" t="s">
        <v>759</v>
      </c>
      <c r="E18" s="1" t="s">
        <v>1718</v>
      </c>
      <c r="F18" s="1" t="s">
        <v>112</v>
      </c>
      <c r="G18" s="1">
        <v>35408</v>
      </c>
    </row>
    <row r="19" spans="1:10" x14ac:dyDescent="0.25">
      <c r="A19" s="1" t="str">
        <f t="shared" si="0"/>
        <v>01 Evian + 0.2% DMSO</v>
      </c>
      <c r="B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9" s="1" t="s">
        <v>1719</v>
      </c>
      <c r="D19" s="1" t="s">
        <v>1115</v>
      </c>
      <c r="E19" s="1" t="s">
        <v>1720</v>
      </c>
      <c r="F19" s="1" t="s">
        <v>112</v>
      </c>
      <c r="G19" s="1">
        <v>22625</v>
      </c>
    </row>
    <row r="20" spans="1:10" x14ac:dyDescent="0.25">
      <c r="A20" s="1" t="str">
        <f t="shared" si="0"/>
        <v>01 Evian + 0.2% DMSO</v>
      </c>
      <c r="B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0" s="1" t="s">
        <v>1721</v>
      </c>
      <c r="D20" s="1" t="s">
        <v>1689</v>
      </c>
      <c r="E20" s="1" t="s">
        <v>1722</v>
      </c>
      <c r="F20" s="1" t="s">
        <v>112</v>
      </c>
      <c r="G20" s="1">
        <v>27578</v>
      </c>
    </row>
    <row r="21" spans="1:10" x14ac:dyDescent="0.25">
      <c r="A21" s="1" t="str">
        <f t="shared" si="0"/>
        <v>01 Evian + 0.2% DMSO</v>
      </c>
      <c r="B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 s="1" t="s">
        <v>1723</v>
      </c>
      <c r="D21" s="1" t="s">
        <v>1678</v>
      </c>
      <c r="E21" s="1" t="s">
        <v>361</v>
      </c>
      <c r="F21" s="1" t="s">
        <v>112</v>
      </c>
      <c r="G21" s="1">
        <v>22344</v>
      </c>
    </row>
    <row r="22" spans="1:10" x14ac:dyDescent="0.25">
      <c r="A22" s="1" t="str">
        <f t="shared" si="0"/>
        <v>01 Evian + 0.2% DMSO</v>
      </c>
      <c r="B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2" s="1" t="s">
        <v>1724</v>
      </c>
      <c r="D22" s="1" t="s">
        <v>335</v>
      </c>
      <c r="E22" s="1" t="s">
        <v>1725</v>
      </c>
      <c r="F22" s="1" t="s">
        <v>112</v>
      </c>
      <c r="G22" s="1">
        <v>31147</v>
      </c>
    </row>
    <row r="23" spans="1:10" x14ac:dyDescent="0.25">
      <c r="A23" s="1" t="str">
        <f t="shared" si="0"/>
        <v>01 Evian + 0.2% DMSO</v>
      </c>
      <c r="B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3" s="1" t="s">
        <v>1726</v>
      </c>
      <c r="D23" s="1" t="s">
        <v>274</v>
      </c>
      <c r="E23" s="1" t="s">
        <v>1727</v>
      </c>
      <c r="F23" s="1" t="s">
        <v>112</v>
      </c>
      <c r="G23" s="1">
        <v>14124</v>
      </c>
    </row>
    <row r="24" spans="1:10" x14ac:dyDescent="0.25">
      <c r="A24" s="1" t="str">
        <f t="shared" si="0"/>
        <v>01 Evian + 0.2% DMSO</v>
      </c>
      <c r="B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4" s="1" t="s">
        <v>1728</v>
      </c>
      <c r="D24" s="1" t="s">
        <v>1115</v>
      </c>
      <c r="E24" s="1" t="s">
        <v>1729</v>
      </c>
      <c r="F24" s="1" t="s">
        <v>112</v>
      </c>
      <c r="G24" s="1">
        <v>23750</v>
      </c>
    </row>
    <row r="25" spans="1:10" x14ac:dyDescent="0.25">
      <c r="A25" s="1" t="str">
        <f t="shared" si="0"/>
        <v>01 Evian + 0.2% DMSO</v>
      </c>
      <c r="B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 s="1" t="s">
        <v>1730</v>
      </c>
      <c r="D25" s="1" t="s">
        <v>1692</v>
      </c>
      <c r="E25" s="1" t="s">
        <v>330</v>
      </c>
      <c r="F25" s="1" t="s">
        <v>112</v>
      </c>
      <c r="G25" s="1">
        <v>16287</v>
      </c>
    </row>
    <row r="26" spans="1:10" x14ac:dyDescent="0.25">
      <c r="A26" s="1" t="str">
        <f t="shared" si="0"/>
        <v/>
      </c>
      <c r="B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 s="1" t="s">
        <v>112</v>
      </c>
    </row>
    <row r="27" spans="1:10" x14ac:dyDescent="0.25">
      <c r="A27" s="1" t="str">
        <f t="shared" si="0"/>
        <v/>
      </c>
      <c r="B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7" s="1" t="s">
        <v>229</v>
      </c>
      <c r="D27" s="1" t="s">
        <v>112</v>
      </c>
      <c r="E27" s="1" t="s">
        <v>230</v>
      </c>
      <c r="F27" s="1" t="s">
        <v>231</v>
      </c>
      <c r="G27" s="1" t="s">
        <v>232</v>
      </c>
      <c r="H27" s="1" t="s">
        <v>233</v>
      </c>
      <c r="I27" s="1" t="s">
        <v>234</v>
      </c>
      <c r="J27" s="1" t="s">
        <v>235</v>
      </c>
    </row>
    <row r="28" spans="1:10" x14ac:dyDescent="0.25">
      <c r="A28" s="1" t="str">
        <f t="shared" si="0"/>
        <v>01 Evian + 0.2% DMSO</v>
      </c>
      <c r="B2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8" s="1" t="s">
        <v>1731</v>
      </c>
      <c r="D28" s="1" t="s">
        <v>112</v>
      </c>
      <c r="E28" s="1" t="s">
        <v>1732</v>
      </c>
      <c r="F28" s="1" t="s">
        <v>1733</v>
      </c>
      <c r="G28" s="1" t="s">
        <v>1734</v>
      </c>
      <c r="H28" s="1" t="s">
        <v>1735</v>
      </c>
      <c r="I28" s="1">
        <v>24</v>
      </c>
      <c r="J28" s="1">
        <v>24</v>
      </c>
    </row>
    <row r="29" spans="1:10" x14ac:dyDescent="0.25">
      <c r="A29" s="1" t="str">
        <f t="shared" si="0"/>
        <v/>
      </c>
      <c r="B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 s="1" t="s">
        <v>112</v>
      </c>
    </row>
    <row r="30" spans="1:10" x14ac:dyDescent="0.25">
      <c r="A30" s="1" t="str">
        <f t="shared" si="0"/>
        <v/>
      </c>
      <c r="B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0" s="1" t="s">
        <v>112</v>
      </c>
    </row>
    <row r="31" spans="1:10" x14ac:dyDescent="0.25">
      <c r="A31" s="1" t="str">
        <f t="shared" si="0"/>
        <v/>
      </c>
      <c r="B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1" s="1" t="s">
        <v>112</v>
      </c>
    </row>
    <row r="32" spans="1:10" x14ac:dyDescent="0.25">
      <c r="A32" s="1" t="str">
        <f t="shared" si="0"/>
        <v/>
      </c>
      <c r="B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 s="1" t="s">
        <v>112</v>
      </c>
    </row>
    <row r="33" spans="1:7" x14ac:dyDescent="0.25">
      <c r="A33" s="1" t="str">
        <f t="shared" si="0"/>
        <v/>
      </c>
      <c r="B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 s="1" t="s">
        <v>112</v>
      </c>
    </row>
    <row r="34" spans="1:7" x14ac:dyDescent="0.25">
      <c r="A34" s="1" t="str">
        <f t="shared" si="0"/>
        <v/>
      </c>
      <c r="B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4" s="1" t="s">
        <v>241</v>
      </c>
      <c r="D34" s="1" t="s">
        <v>110</v>
      </c>
      <c r="E34" s="1" t="s">
        <v>111</v>
      </c>
      <c r="F34" s="1" t="s">
        <v>112</v>
      </c>
      <c r="G34" s="1" t="s">
        <v>113</v>
      </c>
    </row>
    <row r="35" spans="1:7" x14ac:dyDescent="0.25">
      <c r="A35" s="1" t="str">
        <f t="shared" si="0"/>
        <v>02 EE2 33.8</v>
      </c>
      <c r="B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5" s="1" t="s">
        <v>1736</v>
      </c>
      <c r="D35" s="1" t="s">
        <v>1115</v>
      </c>
      <c r="E35" s="1" t="s">
        <v>1737</v>
      </c>
      <c r="F35" s="1" t="s">
        <v>112</v>
      </c>
      <c r="G35" s="1">
        <v>22906</v>
      </c>
    </row>
    <row r="36" spans="1:7" x14ac:dyDescent="0.25">
      <c r="A36" s="1" t="str">
        <f t="shared" si="0"/>
        <v>02 EE2 33.8</v>
      </c>
      <c r="B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 s="1" t="s">
        <v>1738</v>
      </c>
      <c r="D36" s="1" t="s">
        <v>342</v>
      </c>
      <c r="E36" s="1" t="s">
        <v>1739</v>
      </c>
      <c r="F36" s="1" t="s">
        <v>112</v>
      </c>
      <c r="G36" s="1">
        <v>58833</v>
      </c>
    </row>
    <row r="37" spans="1:7" x14ac:dyDescent="0.25">
      <c r="A37" s="1" t="str">
        <f t="shared" si="0"/>
        <v>02 EE2 33.8</v>
      </c>
      <c r="B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7" s="1" t="s">
        <v>1740</v>
      </c>
      <c r="D37" s="1" t="s">
        <v>363</v>
      </c>
      <c r="E37" s="1" t="s">
        <v>1741</v>
      </c>
      <c r="F37" s="1" t="s">
        <v>112</v>
      </c>
      <c r="G37" s="1">
        <v>323518</v>
      </c>
    </row>
    <row r="38" spans="1:7" x14ac:dyDescent="0.25">
      <c r="A38" s="1" t="str">
        <f t="shared" si="0"/>
        <v>02 EE2 33.8</v>
      </c>
      <c r="B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8" s="1" t="s">
        <v>1742</v>
      </c>
      <c r="D38" s="1" t="s">
        <v>1743</v>
      </c>
      <c r="E38" s="1" t="s">
        <v>1744</v>
      </c>
      <c r="F38" s="1" t="s">
        <v>112</v>
      </c>
      <c r="G38" s="1">
        <v>102829</v>
      </c>
    </row>
    <row r="39" spans="1:7" x14ac:dyDescent="0.25">
      <c r="A39" s="1" t="str">
        <f t="shared" si="0"/>
        <v>02 EE2 33.8</v>
      </c>
      <c r="B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9" s="1" t="s">
        <v>1745</v>
      </c>
      <c r="D39" s="1" t="s">
        <v>1746</v>
      </c>
      <c r="E39" s="1" t="s">
        <v>1747</v>
      </c>
      <c r="F39" s="1" t="s">
        <v>112</v>
      </c>
      <c r="G39" s="1">
        <v>283179</v>
      </c>
    </row>
    <row r="40" spans="1:7" x14ac:dyDescent="0.25">
      <c r="A40" s="1" t="str">
        <f t="shared" si="0"/>
        <v>02 EE2 33.8</v>
      </c>
      <c r="B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 s="1" t="s">
        <v>1748</v>
      </c>
      <c r="D40" s="1" t="s">
        <v>1749</v>
      </c>
      <c r="E40" s="1" t="s">
        <v>1750</v>
      </c>
      <c r="F40" s="1" t="s">
        <v>112</v>
      </c>
      <c r="G40" s="1">
        <v>243163</v>
      </c>
    </row>
    <row r="41" spans="1:7" x14ac:dyDescent="0.25">
      <c r="A41" s="1" t="str">
        <f t="shared" si="0"/>
        <v>02 EE2 33.8</v>
      </c>
      <c r="B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1" s="1" t="s">
        <v>1751</v>
      </c>
      <c r="D41" s="1" t="s">
        <v>335</v>
      </c>
      <c r="E41" s="1" t="s">
        <v>1752</v>
      </c>
      <c r="F41" s="1" t="s">
        <v>112</v>
      </c>
      <c r="G41" s="1">
        <v>30109</v>
      </c>
    </row>
    <row r="42" spans="1:7" x14ac:dyDescent="0.25">
      <c r="A42" s="1" t="str">
        <f t="shared" si="0"/>
        <v>02 EE2 33.8</v>
      </c>
      <c r="B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2" s="1" t="s">
        <v>1753</v>
      </c>
      <c r="D42" s="1" t="s">
        <v>678</v>
      </c>
      <c r="E42" s="1" t="s">
        <v>1754</v>
      </c>
      <c r="F42" s="1" t="s">
        <v>112</v>
      </c>
      <c r="G42" s="1">
        <v>36663</v>
      </c>
    </row>
    <row r="43" spans="1:7" x14ac:dyDescent="0.25">
      <c r="A43" s="1" t="str">
        <f t="shared" si="0"/>
        <v>02 EE2 33.8</v>
      </c>
      <c r="B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 s="1" t="s">
        <v>1755</v>
      </c>
      <c r="D43" s="1" t="s">
        <v>1115</v>
      </c>
      <c r="E43" s="1" t="s">
        <v>1756</v>
      </c>
      <c r="F43" s="1" t="s">
        <v>112</v>
      </c>
      <c r="G43" s="1">
        <v>22884</v>
      </c>
    </row>
    <row r="44" spans="1:7" x14ac:dyDescent="0.25">
      <c r="A44" s="1" t="str">
        <f t="shared" si="0"/>
        <v>02 EE2 33.8</v>
      </c>
      <c r="B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 s="1" t="s">
        <v>1757</v>
      </c>
      <c r="D44" s="1" t="s">
        <v>333</v>
      </c>
      <c r="E44" s="1" t="s">
        <v>1758</v>
      </c>
      <c r="F44" s="1" t="s">
        <v>112</v>
      </c>
      <c r="G44" s="1">
        <v>89959</v>
      </c>
    </row>
    <row r="45" spans="1:7" x14ac:dyDescent="0.25">
      <c r="A45" s="1" t="str">
        <f t="shared" si="0"/>
        <v>02 EE2 33.8</v>
      </c>
      <c r="B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5" s="1" t="s">
        <v>1759</v>
      </c>
      <c r="D45" s="1" t="s">
        <v>204</v>
      </c>
      <c r="E45" s="1" t="s">
        <v>1760</v>
      </c>
      <c r="F45" s="1" t="s">
        <v>112</v>
      </c>
      <c r="G45" s="1">
        <v>18147</v>
      </c>
    </row>
    <row r="46" spans="1:7" x14ac:dyDescent="0.25">
      <c r="A46" s="1" t="str">
        <f t="shared" si="0"/>
        <v>02 EE2 33.8</v>
      </c>
      <c r="B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6" s="1" t="s">
        <v>1761</v>
      </c>
      <c r="D46" s="1" t="s">
        <v>1715</v>
      </c>
      <c r="E46" s="1" t="s">
        <v>1762</v>
      </c>
      <c r="F46" s="1" t="s">
        <v>112</v>
      </c>
      <c r="G46" s="1">
        <v>64219</v>
      </c>
    </row>
    <row r="47" spans="1:7" x14ac:dyDescent="0.25">
      <c r="A47" s="1" t="str">
        <f t="shared" si="0"/>
        <v>02 EE2 33.8</v>
      </c>
      <c r="B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 s="1" t="s">
        <v>1763</v>
      </c>
      <c r="D47" s="1" t="s">
        <v>403</v>
      </c>
      <c r="E47" s="1" t="s">
        <v>1764</v>
      </c>
      <c r="F47" s="1" t="s">
        <v>112</v>
      </c>
      <c r="G47" s="1">
        <v>71162</v>
      </c>
    </row>
    <row r="48" spans="1:7" x14ac:dyDescent="0.25">
      <c r="A48" s="1" t="str">
        <f t="shared" si="0"/>
        <v>02 EE2 33.8</v>
      </c>
      <c r="B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8" s="1" t="s">
        <v>1765</v>
      </c>
      <c r="D48" s="1" t="s">
        <v>360</v>
      </c>
      <c r="E48" s="1" t="s">
        <v>1766</v>
      </c>
      <c r="F48" s="1" t="s">
        <v>112</v>
      </c>
      <c r="G48" s="1">
        <v>43411</v>
      </c>
    </row>
    <row r="49" spans="1:10" x14ac:dyDescent="0.25">
      <c r="A49" s="1" t="str">
        <f t="shared" si="0"/>
        <v>02 EE2 33.8</v>
      </c>
      <c r="B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9" s="1" t="s">
        <v>1767</v>
      </c>
      <c r="D49" s="1" t="s">
        <v>223</v>
      </c>
      <c r="E49" s="1" t="s">
        <v>1768</v>
      </c>
      <c r="F49" s="1" t="s">
        <v>112</v>
      </c>
      <c r="G49" s="1">
        <v>12113</v>
      </c>
    </row>
    <row r="50" spans="1:10" x14ac:dyDescent="0.25">
      <c r="A50" s="1" t="str">
        <f t="shared" si="0"/>
        <v>02 EE2 33.8</v>
      </c>
      <c r="B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0" s="1" t="s">
        <v>1769</v>
      </c>
    </row>
    <row r="51" spans="1:10" x14ac:dyDescent="0.25">
      <c r="A51" s="1" t="str">
        <f t="shared" si="0"/>
        <v>02 EE2 33.8</v>
      </c>
      <c r="B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 s="1" t="s">
        <v>1770</v>
      </c>
      <c r="D51" s="1" t="s">
        <v>345</v>
      </c>
      <c r="E51" s="1" t="s">
        <v>1771</v>
      </c>
      <c r="F51" s="1" t="s">
        <v>112</v>
      </c>
      <c r="G51" s="1">
        <v>24572</v>
      </c>
    </row>
    <row r="52" spans="1:10" x14ac:dyDescent="0.25">
      <c r="A52" s="1" t="str">
        <f t="shared" si="0"/>
        <v>02 EE2 33.8</v>
      </c>
      <c r="B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2" s="1" t="s">
        <v>1772</v>
      </c>
      <c r="D52" s="1" t="s">
        <v>693</v>
      </c>
      <c r="E52" s="1" t="s">
        <v>1773</v>
      </c>
      <c r="F52" s="1" t="s">
        <v>112</v>
      </c>
      <c r="G52" s="1">
        <v>26821</v>
      </c>
    </row>
    <row r="53" spans="1:10" x14ac:dyDescent="0.25">
      <c r="A53" s="1" t="str">
        <f t="shared" si="0"/>
        <v>02 EE2 33.8</v>
      </c>
      <c r="B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3" s="1" t="s">
        <v>1774</v>
      </c>
      <c r="D53" s="1" t="s">
        <v>333</v>
      </c>
      <c r="E53" s="1">
        <v>63</v>
      </c>
      <c r="F53" s="1" t="s">
        <v>112</v>
      </c>
      <c r="G53" s="1">
        <v>88574</v>
      </c>
    </row>
    <row r="54" spans="1:10" x14ac:dyDescent="0.25">
      <c r="A54" s="1" t="str">
        <f t="shared" si="0"/>
        <v>02 EE2 33.8</v>
      </c>
      <c r="B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 s="1" t="s">
        <v>1775</v>
      </c>
      <c r="D54" s="1" t="s">
        <v>1240</v>
      </c>
      <c r="E54" s="1" t="s">
        <v>1776</v>
      </c>
      <c r="F54" s="1" t="s">
        <v>112</v>
      </c>
      <c r="G54" s="1">
        <v>105186</v>
      </c>
    </row>
    <row r="55" spans="1:10" x14ac:dyDescent="0.25">
      <c r="A55" s="1" t="str">
        <f t="shared" si="0"/>
        <v>02 EE2 33.8</v>
      </c>
      <c r="B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5" s="1" t="s">
        <v>1777</v>
      </c>
      <c r="D55" s="1" t="s">
        <v>716</v>
      </c>
      <c r="E55" s="1">
        <v>63</v>
      </c>
      <c r="F55" s="1" t="s">
        <v>112</v>
      </c>
      <c r="G55" s="1">
        <v>34067</v>
      </c>
    </row>
    <row r="56" spans="1:10" x14ac:dyDescent="0.25">
      <c r="A56" s="1" t="str">
        <f t="shared" si="0"/>
        <v>02 EE2 33.8</v>
      </c>
      <c r="B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6" s="1" t="s">
        <v>1778</v>
      </c>
      <c r="D56" s="1" t="s">
        <v>1779</v>
      </c>
      <c r="E56" s="1" t="s">
        <v>1780</v>
      </c>
      <c r="F56" s="1" t="s">
        <v>112</v>
      </c>
      <c r="G56" s="1">
        <v>94393</v>
      </c>
    </row>
    <row r="57" spans="1:10" x14ac:dyDescent="0.25">
      <c r="A57" s="1" t="str">
        <f t="shared" si="0"/>
        <v>02 EE2 33.8</v>
      </c>
      <c r="B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7" s="1" t="s">
        <v>1781</v>
      </c>
      <c r="D57" s="1" t="s">
        <v>192</v>
      </c>
      <c r="E57" s="1" t="s">
        <v>1782</v>
      </c>
      <c r="F57" s="1" t="s">
        <v>112</v>
      </c>
      <c r="G57" s="1">
        <v>19142</v>
      </c>
    </row>
    <row r="58" spans="1:10" x14ac:dyDescent="0.25">
      <c r="A58" s="1" t="str">
        <f t="shared" si="0"/>
        <v>02 EE2 33.8</v>
      </c>
      <c r="B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 s="1" t="s">
        <v>1783</v>
      </c>
      <c r="D58" s="1" t="s">
        <v>399</v>
      </c>
      <c r="E58" s="1" t="s">
        <v>1784</v>
      </c>
      <c r="F58" s="1" t="s">
        <v>112</v>
      </c>
      <c r="G58" s="1">
        <v>352438</v>
      </c>
    </row>
    <row r="59" spans="1:10" x14ac:dyDescent="0.25">
      <c r="A59" s="1" t="str">
        <f t="shared" si="0"/>
        <v/>
      </c>
      <c r="B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 s="1" t="s">
        <v>112</v>
      </c>
    </row>
    <row r="60" spans="1:10" x14ac:dyDescent="0.25">
      <c r="A60" s="1" t="str">
        <f t="shared" si="0"/>
        <v/>
      </c>
      <c r="B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0" s="1" t="s">
        <v>229</v>
      </c>
      <c r="D60" s="1" t="s">
        <v>112</v>
      </c>
      <c r="E60" s="1" t="s">
        <v>230</v>
      </c>
      <c r="F60" s="1" t="s">
        <v>231</v>
      </c>
      <c r="G60" s="1" t="s">
        <v>232</v>
      </c>
      <c r="H60" s="1" t="s">
        <v>233</v>
      </c>
      <c r="I60" s="1" t="s">
        <v>234</v>
      </c>
      <c r="J60" s="1" t="s">
        <v>235</v>
      </c>
    </row>
    <row r="61" spans="1:10" x14ac:dyDescent="0.25">
      <c r="A61" s="1" t="str">
        <f t="shared" si="0"/>
        <v>02 EE2 33.8</v>
      </c>
      <c r="B6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1" s="1" t="s">
        <v>1785</v>
      </c>
      <c r="D61" s="1" t="s">
        <v>112</v>
      </c>
      <c r="E61" s="1" t="s">
        <v>1786</v>
      </c>
      <c r="F61" s="1" t="s">
        <v>1787</v>
      </c>
      <c r="G61" s="1" t="s">
        <v>1788</v>
      </c>
      <c r="H61" s="1" t="s">
        <v>1789</v>
      </c>
      <c r="I61" s="1">
        <v>24</v>
      </c>
      <c r="J61" s="1">
        <v>24</v>
      </c>
    </row>
    <row r="62" spans="1:10" x14ac:dyDescent="0.25">
      <c r="A62" s="1" t="str">
        <f t="shared" si="0"/>
        <v/>
      </c>
      <c r="B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 s="1" t="s">
        <v>112</v>
      </c>
    </row>
    <row r="63" spans="1:10" x14ac:dyDescent="0.25">
      <c r="A63" s="1" t="str">
        <f t="shared" si="0"/>
        <v/>
      </c>
      <c r="B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3" s="1" t="s">
        <v>112</v>
      </c>
    </row>
    <row r="64" spans="1:10" x14ac:dyDescent="0.25">
      <c r="A64" s="1" t="str">
        <f t="shared" si="0"/>
        <v/>
      </c>
      <c r="B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4" s="1" t="s">
        <v>112</v>
      </c>
    </row>
    <row r="65" spans="1:7" x14ac:dyDescent="0.25">
      <c r="A65" s="1" t="str">
        <f t="shared" si="0"/>
        <v/>
      </c>
      <c r="B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 s="1" t="s">
        <v>112</v>
      </c>
    </row>
    <row r="66" spans="1:7" x14ac:dyDescent="0.25">
      <c r="A66" s="1" t="str">
        <f t="shared" ref="A66:A129" si="1">IFERROR(LEFT(RIGHT(C66,LEN(C66)-SEARCH("@",C66)),SEARCH("/",RIGHT(C66,LEN(C66)-SEARCH("@",C66)-1))),"")</f>
        <v/>
      </c>
      <c r="B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 s="1" t="s">
        <v>112</v>
      </c>
    </row>
    <row r="67" spans="1:7" x14ac:dyDescent="0.25">
      <c r="A67" s="1" t="str">
        <f t="shared" si="1"/>
        <v/>
      </c>
      <c r="B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7" s="1" t="s">
        <v>241</v>
      </c>
      <c r="D67" s="1" t="s">
        <v>110</v>
      </c>
      <c r="E67" s="1" t="s">
        <v>111</v>
      </c>
      <c r="F67" s="1" t="s">
        <v>112</v>
      </c>
      <c r="G67" s="1" t="s">
        <v>113</v>
      </c>
    </row>
    <row r="68" spans="1:7" x14ac:dyDescent="0.25">
      <c r="A68" s="1" t="str">
        <f t="shared" si="1"/>
        <v>03 EE2 50.6</v>
      </c>
      <c r="B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8" s="1" t="s">
        <v>1790</v>
      </c>
      <c r="D68" s="1" t="s">
        <v>192</v>
      </c>
      <c r="E68" s="1" t="s">
        <v>1791</v>
      </c>
      <c r="F68" s="1" t="s">
        <v>112</v>
      </c>
      <c r="G68" s="1">
        <v>19056</v>
      </c>
    </row>
    <row r="69" spans="1:7" x14ac:dyDescent="0.25">
      <c r="A69" s="1" t="str">
        <f t="shared" si="1"/>
        <v>03 EE2 50.6</v>
      </c>
      <c r="B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9" s="1" t="s">
        <v>1792</v>
      </c>
      <c r="D69" s="1" t="s">
        <v>1793</v>
      </c>
      <c r="E69" s="1" t="s">
        <v>1794</v>
      </c>
      <c r="F69" s="1" t="s">
        <v>112</v>
      </c>
      <c r="G69" s="1">
        <v>485137</v>
      </c>
    </row>
    <row r="70" spans="1:7" x14ac:dyDescent="0.25">
      <c r="A70" s="1" t="str">
        <f t="shared" si="1"/>
        <v>03 EE2 50.6</v>
      </c>
      <c r="B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70" s="1" t="s">
        <v>1795</v>
      </c>
      <c r="D70" s="1" t="s">
        <v>1793</v>
      </c>
      <c r="E70" s="1" t="s">
        <v>1796</v>
      </c>
      <c r="F70" s="1" t="s">
        <v>112</v>
      </c>
      <c r="G70" s="1">
        <v>469434</v>
      </c>
    </row>
    <row r="71" spans="1:7" x14ac:dyDescent="0.25">
      <c r="A71" s="1" t="str">
        <f t="shared" si="1"/>
        <v>03 EE2 50.6</v>
      </c>
      <c r="B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1" s="1" t="s">
        <v>1797</v>
      </c>
      <c r="D71" s="1" t="s">
        <v>1798</v>
      </c>
      <c r="E71" s="1" t="s">
        <v>1799</v>
      </c>
      <c r="F71" s="1" t="s">
        <v>112</v>
      </c>
      <c r="G71" s="1">
        <v>284909</v>
      </c>
    </row>
    <row r="72" spans="1:7" x14ac:dyDescent="0.25">
      <c r="A72" s="1" t="str">
        <f t="shared" si="1"/>
        <v>03 EE2 50.6</v>
      </c>
      <c r="B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2" s="1" t="s">
        <v>1800</v>
      </c>
      <c r="D72" s="1" t="s">
        <v>1801</v>
      </c>
      <c r="E72" s="1" t="s">
        <v>1802</v>
      </c>
      <c r="F72" s="1" t="s">
        <v>112</v>
      </c>
      <c r="G72" s="1">
        <v>533566</v>
      </c>
    </row>
    <row r="73" spans="1:7" x14ac:dyDescent="0.25">
      <c r="A73" s="1" t="str">
        <f t="shared" si="1"/>
        <v>03 EE2 50.6</v>
      </c>
      <c r="B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3" s="1" t="s">
        <v>1803</v>
      </c>
      <c r="D73" s="1" t="s">
        <v>1804</v>
      </c>
      <c r="E73" s="1" t="s">
        <v>1805</v>
      </c>
      <c r="F73" s="1" t="s">
        <v>112</v>
      </c>
      <c r="G73" s="1">
        <v>288478</v>
      </c>
    </row>
    <row r="74" spans="1:7" x14ac:dyDescent="0.25">
      <c r="A74" s="1" t="str">
        <f t="shared" si="1"/>
        <v>03 EE2 50.6</v>
      </c>
      <c r="B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4" s="1" t="s">
        <v>1806</v>
      </c>
      <c r="D74" s="1" t="s">
        <v>243</v>
      </c>
      <c r="E74" s="1" t="s">
        <v>1807</v>
      </c>
      <c r="F74" s="1" t="s">
        <v>112</v>
      </c>
      <c r="G74" s="1">
        <v>79252</v>
      </c>
    </row>
    <row r="75" spans="1:7" x14ac:dyDescent="0.25">
      <c r="A75" s="1" t="str">
        <f t="shared" si="1"/>
        <v>03 EE2 50.6</v>
      </c>
      <c r="B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5" s="1" t="s">
        <v>1808</v>
      </c>
      <c r="D75" s="1" t="s">
        <v>828</v>
      </c>
      <c r="E75" s="1" t="s">
        <v>1809</v>
      </c>
      <c r="F75" s="1" t="s">
        <v>112</v>
      </c>
      <c r="G75" s="1">
        <v>56497</v>
      </c>
    </row>
    <row r="76" spans="1:7" x14ac:dyDescent="0.25">
      <c r="A76" s="1" t="str">
        <f t="shared" si="1"/>
        <v>03 EE2 50.6</v>
      </c>
      <c r="B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6" s="1" t="s">
        <v>1810</v>
      </c>
      <c r="D76" s="1" t="s">
        <v>1811</v>
      </c>
      <c r="E76" s="1" t="s">
        <v>1812</v>
      </c>
      <c r="F76" s="1" t="s">
        <v>112</v>
      </c>
      <c r="G76" s="1">
        <v>54572</v>
      </c>
    </row>
    <row r="77" spans="1:7" x14ac:dyDescent="0.25">
      <c r="A77" s="1" t="str">
        <f t="shared" si="1"/>
        <v>03 EE2 50.6</v>
      </c>
      <c r="B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7" s="1" t="s">
        <v>1813</v>
      </c>
      <c r="D77" s="1" t="s">
        <v>1814</v>
      </c>
      <c r="E77" s="1" t="s">
        <v>1815</v>
      </c>
      <c r="F77" s="1" t="s">
        <v>112</v>
      </c>
      <c r="G77" s="1">
        <v>97118</v>
      </c>
    </row>
    <row r="78" spans="1:7" x14ac:dyDescent="0.25">
      <c r="A78" s="1" t="str">
        <f t="shared" si="1"/>
        <v>03 EE2 50.6</v>
      </c>
      <c r="B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8" s="1" t="s">
        <v>1816</v>
      </c>
      <c r="D78" s="1" t="s">
        <v>212</v>
      </c>
      <c r="E78" s="1" t="s">
        <v>1817</v>
      </c>
      <c r="F78" s="1" t="s">
        <v>112</v>
      </c>
      <c r="G78" s="1">
        <v>45466</v>
      </c>
    </row>
    <row r="79" spans="1:7" x14ac:dyDescent="0.25">
      <c r="A79" s="1" t="str">
        <f t="shared" si="1"/>
        <v>03 EE2 50.6</v>
      </c>
      <c r="B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9" s="1" t="s">
        <v>1818</v>
      </c>
      <c r="D79" s="1" t="s">
        <v>1689</v>
      </c>
      <c r="E79" s="1" t="s">
        <v>1819</v>
      </c>
      <c r="F79" s="1" t="s">
        <v>112</v>
      </c>
      <c r="G79" s="1">
        <v>27730</v>
      </c>
    </row>
    <row r="80" spans="1:7" x14ac:dyDescent="0.25">
      <c r="A80" s="1" t="str">
        <f t="shared" si="1"/>
        <v>03 EE2 50.6</v>
      </c>
      <c r="B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0" s="1" t="s">
        <v>1820</v>
      </c>
      <c r="D80" s="1" t="s">
        <v>262</v>
      </c>
      <c r="E80" s="1" t="s">
        <v>1821</v>
      </c>
      <c r="F80" s="1" t="s">
        <v>112</v>
      </c>
      <c r="G80" s="1">
        <v>519766</v>
      </c>
    </row>
    <row r="81" spans="1:10" x14ac:dyDescent="0.25">
      <c r="A81" s="1" t="str">
        <f t="shared" si="1"/>
        <v>03 EE2 50.6</v>
      </c>
      <c r="B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1" s="1" t="s">
        <v>1822</v>
      </c>
      <c r="D81" s="1" t="s">
        <v>1823</v>
      </c>
      <c r="E81" s="1" t="s">
        <v>1824</v>
      </c>
      <c r="F81" s="1" t="s">
        <v>112</v>
      </c>
      <c r="G81" s="1">
        <v>33526</v>
      </c>
    </row>
    <row r="82" spans="1:10" x14ac:dyDescent="0.25">
      <c r="A82" s="1" t="str">
        <f t="shared" si="1"/>
        <v>03 EE2 50.6</v>
      </c>
      <c r="B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2" s="1" t="s">
        <v>1825</v>
      </c>
      <c r="D82" s="1" t="s">
        <v>1826</v>
      </c>
      <c r="E82" s="1" t="s">
        <v>1827</v>
      </c>
      <c r="F82" s="1" t="s">
        <v>112</v>
      </c>
      <c r="G82" s="1">
        <v>593784</v>
      </c>
    </row>
    <row r="83" spans="1:10" x14ac:dyDescent="0.25">
      <c r="A83" s="1" t="str">
        <f t="shared" si="1"/>
        <v>03 EE2 50.6</v>
      </c>
      <c r="B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3" s="1" t="s">
        <v>1828</v>
      </c>
      <c r="D83" s="1" t="s">
        <v>1829</v>
      </c>
      <c r="E83" s="1" t="s">
        <v>1830</v>
      </c>
      <c r="F83" s="1" t="s">
        <v>112</v>
      </c>
      <c r="G83" s="1">
        <v>250799</v>
      </c>
    </row>
    <row r="84" spans="1:10" x14ac:dyDescent="0.25">
      <c r="A84" s="1" t="str">
        <f t="shared" si="1"/>
        <v>03 EE2 50.6</v>
      </c>
      <c r="B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4" s="1" t="s">
        <v>1831</v>
      </c>
      <c r="D84" s="1" t="s">
        <v>279</v>
      </c>
      <c r="E84" s="1" t="s">
        <v>1832</v>
      </c>
      <c r="F84" s="1" t="s">
        <v>112</v>
      </c>
      <c r="G84" s="1">
        <v>396389</v>
      </c>
    </row>
    <row r="85" spans="1:10" x14ac:dyDescent="0.25">
      <c r="A85" s="1" t="str">
        <f t="shared" si="1"/>
        <v>03 EE2 50.6</v>
      </c>
      <c r="B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5" s="1" t="s">
        <v>1833</v>
      </c>
      <c r="D85" s="1" t="s">
        <v>1834</v>
      </c>
      <c r="E85" s="1" t="s">
        <v>1835</v>
      </c>
      <c r="F85" s="1" t="s">
        <v>112</v>
      </c>
      <c r="G85" s="1">
        <v>281080</v>
      </c>
    </row>
    <row r="86" spans="1:10" x14ac:dyDescent="0.25">
      <c r="A86" s="1" t="str">
        <f t="shared" si="1"/>
        <v>03 EE2 50.6</v>
      </c>
      <c r="B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6" s="1" t="s">
        <v>1836</v>
      </c>
      <c r="D86" s="1" t="s">
        <v>742</v>
      </c>
      <c r="E86" s="1" t="s">
        <v>1837</v>
      </c>
      <c r="F86" s="1" t="s">
        <v>112</v>
      </c>
      <c r="G86" s="1">
        <v>157379</v>
      </c>
    </row>
    <row r="87" spans="1:10" x14ac:dyDescent="0.25">
      <c r="A87" s="1" t="str">
        <f t="shared" si="1"/>
        <v>03 EE2 50.6</v>
      </c>
      <c r="B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7" s="1" t="s">
        <v>1838</v>
      </c>
      <c r="D87" s="1" t="s">
        <v>1839</v>
      </c>
      <c r="E87" s="1" t="s">
        <v>1840</v>
      </c>
      <c r="F87" s="1" t="s">
        <v>112</v>
      </c>
      <c r="G87" s="1">
        <v>49792</v>
      </c>
    </row>
    <row r="88" spans="1:10" x14ac:dyDescent="0.25">
      <c r="A88" s="1" t="str">
        <f t="shared" si="1"/>
        <v>03 EE2 50.6</v>
      </c>
      <c r="B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8" s="1" t="s">
        <v>1841</v>
      </c>
      <c r="D88" s="1" t="s">
        <v>1842</v>
      </c>
      <c r="E88" s="1" t="s">
        <v>1843</v>
      </c>
      <c r="F88" s="1" t="s">
        <v>112</v>
      </c>
      <c r="G88" s="1">
        <v>210805</v>
      </c>
    </row>
    <row r="89" spans="1:10" x14ac:dyDescent="0.25">
      <c r="A89" s="1" t="str">
        <f t="shared" si="1"/>
        <v>03 EE2 50.6</v>
      </c>
      <c r="B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89" s="1" t="s">
        <v>1844</v>
      </c>
      <c r="D89" s="1" t="s">
        <v>204</v>
      </c>
      <c r="E89" s="1" t="s">
        <v>1845</v>
      </c>
      <c r="F89" s="1" t="s">
        <v>112</v>
      </c>
      <c r="G89" s="1">
        <v>17910</v>
      </c>
    </row>
    <row r="90" spans="1:10" x14ac:dyDescent="0.25">
      <c r="A90" s="1" t="str">
        <f t="shared" si="1"/>
        <v>03 EE2 50.6</v>
      </c>
      <c r="B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0" s="1" t="s">
        <v>1846</v>
      </c>
      <c r="D90" s="1" t="s">
        <v>759</v>
      </c>
      <c r="E90" s="1" t="s">
        <v>1847</v>
      </c>
      <c r="F90" s="1" t="s">
        <v>112</v>
      </c>
      <c r="G90" s="1">
        <v>35365</v>
      </c>
    </row>
    <row r="91" spans="1:10" x14ac:dyDescent="0.25">
      <c r="A91" s="1" t="str">
        <f t="shared" si="1"/>
        <v>03 EE2 50.6</v>
      </c>
      <c r="B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1" s="1" t="s">
        <v>1848</v>
      </c>
      <c r="D91" s="1" t="s">
        <v>1823</v>
      </c>
      <c r="E91" s="1" t="s">
        <v>736</v>
      </c>
      <c r="F91" s="1" t="s">
        <v>112</v>
      </c>
      <c r="G91" s="1">
        <v>33029</v>
      </c>
    </row>
    <row r="92" spans="1:10" x14ac:dyDescent="0.25">
      <c r="A92" s="1" t="str">
        <f t="shared" si="1"/>
        <v/>
      </c>
      <c r="B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2" s="1" t="s">
        <v>112</v>
      </c>
    </row>
    <row r="93" spans="1:10" x14ac:dyDescent="0.25">
      <c r="A93" s="1" t="str">
        <f t="shared" si="1"/>
        <v/>
      </c>
      <c r="B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3" s="1" t="s">
        <v>229</v>
      </c>
      <c r="D93" s="1" t="s">
        <v>112</v>
      </c>
      <c r="E93" s="1" t="s">
        <v>230</v>
      </c>
      <c r="F93" s="1" t="s">
        <v>231</v>
      </c>
      <c r="G93" s="1" t="s">
        <v>232</v>
      </c>
      <c r="H93" s="1" t="s">
        <v>233</v>
      </c>
      <c r="I93" s="1" t="s">
        <v>234</v>
      </c>
      <c r="J93" s="1" t="s">
        <v>235</v>
      </c>
    </row>
    <row r="94" spans="1:10" x14ac:dyDescent="0.25">
      <c r="A94" s="1" t="str">
        <f t="shared" si="1"/>
        <v>03 EE2 50.6</v>
      </c>
      <c r="B9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94" s="1" t="s">
        <v>1849</v>
      </c>
      <c r="D94" s="1" t="s">
        <v>112</v>
      </c>
      <c r="E94" s="1" t="s">
        <v>1850</v>
      </c>
      <c r="F94" s="1" t="s">
        <v>1851</v>
      </c>
      <c r="G94" s="1" t="s">
        <v>1852</v>
      </c>
      <c r="H94" s="1" t="s">
        <v>1853</v>
      </c>
      <c r="I94" s="1">
        <v>24</v>
      </c>
      <c r="J94" s="1">
        <v>24</v>
      </c>
    </row>
    <row r="95" spans="1:10" x14ac:dyDescent="0.25">
      <c r="A95" s="1" t="str">
        <f t="shared" si="1"/>
        <v/>
      </c>
      <c r="B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5" s="1" t="s">
        <v>112</v>
      </c>
    </row>
    <row r="96" spans="1:10" x14ac:dyDescent="0.25">
      <c r="A96" s="1" t="str">
        <f t="shared" si="1"/>
        <v/>
      </c>
      <c r="B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6" s="1" t="s">
        <v>112</v>
      </c>
    </row>
    <row r="97" spans="1:7" x14ac:dyDescent="0.25">
      <c r="A97" s="1" t="str">
        <f t="shared" si="1"/>
        <v/>
      </c>
      <c r="B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7" s="1" t="s">
        <v>112</v>
      </c>
    </row>
    <row r="98" spans="1:7" x14ac:dyDescent="0.25">
      <c r="A98" s="1" t="str">
        <f t="shared" si="1"/>
        <v/>
      </c>
      <c r="B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8" s="1" t="s">
        <v>112</v>
      </c>
    </row>
    <row r="99" spans="1:7" x14ac:dyDescent="0.25">
      <c r="A99" s="1" t="str">
        <f t="shared" si="1"/>
        <v/>
      </c>
      <c r="B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9" s="1" t="s">
        <v>112</v>
      </c>
    </row>
    <row r="100" spans="1:7" x14ac:dyDescent="0.25">
      <c r="A100" s="1" t="str">
        <f t="shared" si="1"/>
        <v/>
      </c>
      <c r="B1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00" s="1" t="s">
        <v>241</v>
      </c>
      <c r="D100" s="1" t="s">
        <v>110</v>
      </c>
      <c r="E100" s="1" t="s">
        <v>111</v>
      </c>
      <c r="F100" s="1" t="s">
        <v>112</v>
      </c>
      <c r="G100" s="1" t="s">
        <v>113</v>
      </c>
    </row>
    <row r="101" spans="1:7" x14ac:dyDescent="0.25">
      <c r="A101" s="1" t="str">
        <f t="shared" si="1"/>
        <v>04 EE2 76</v>
      </c>
      <c r="B1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1" s="1" t="s">
        <v>1854</v>
      </c>
      <c r="D101" s="1" t="s">
        <v>1855</v>
      </c>
      <c r="E101" s="1" t="s">
        <v>1856</v>
      </c>
      <c r="F101" s="1" t="s">
        <v>112</v>
      </c>
      <c r="G101" s="1">
        <v>754927</v>
      </c>
    </row>
    <row r="102" spans="1:7" x14ac:dyDescent="0.25">
      <c r="A102" s="1" t="str">
        <f t="shared" si="1"/>
        <v>04 EE2 76</v>
      </c>
      <c r="B1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2" s="1" t="s">
        <v>1857</v>
      </c>
      <c r="D102" s="1" t="s">
        <v>1858</v>
      </c>
      <c r="E102" s="1" t="s">
        <v>1859</v>
      </c>
      <c r="F102" s="1" t="s">
        <v>112</v>
      </c>
      <c r="G102" s="1">
        <v>593265</v>
      </c>
    </row>
    <row r="103" spans="1:7" x14ac:dyDescent="0.25">
      <c r="A103" s="1" t="str">
        <f t="shared" si="1"/>
        <v>04 EE2 76</v>
      </c>
      <c r="B1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3" s="1" t="s">
        <v>1860</v>
      </c>
      <c r="D103" s="1" t="s">
        <v>268</v>
      </c>
      <c r="E103" s="1" t="s">
        <v>1861</v>
      </c>
      <c r="F103" s="1" t="s">
        <v>112</v>
      </c>
      <c r="G103" s="1">
        <v>137480</v>
      </c>
    </row>
    <row r="104" spans="1:7" x14ac:dyDescent="0.25">
      <c r="A104" s="1" t="str">
        <f t="shared" si="1"/>
        <v>04 EE2 76</v>
      </c>
      <c r="B1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4" s="1" t="s">
        <v>1862</v>
      </c>
      <c r="D104" s="1" t="s">
        <v>1863</v>
      </c>
      <c r="E104" s="1" t="s">
        <v>1864</v>
      </c>
      <c r="F104" s="1" t="s">
        <v>112</v>
      </c>
      <c r="G104" s="1">
        <v>1032763</v>
      </c>
    </row>
    <row r="105" spans="1:7" x14ac:dyDescent="0.25">
      <c r="A105" s="1" t="str">
        <f t="shared" si="1"/>
        <v>04 EE2 76</v>
      </c>
      <c r="B1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5" s="1" t="s">
        <v>1865</v>
      </c>
      <c r="D105" s="1" t="s">
        <v>1866</v>
      </c>
      <c r="E105" s="1" t="s">
        <v>1867</v>
      </c>
      <c r="F105" s="1" t="s">
        <v>112</v>
      </c>
      <c r="G105" s="1">
        <v>497336</v>
      </c>
    </row>
    <row r="106" spans="1:7" x14ac:dyDescent="0.25">
      <c r="A106" s="1" t="str">
        <f t="shared" si="1"/>
        <v>04 EE2 76</v>
      </c>
      <c r="B1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6" s="1" t="s">
        <v>1868</v>
      </c>
      <c r="D106" s="1" t="s">
        <v>1869</v>
      </c>
      <c r="E106" s="1" t="s">
        <v>1870</v>
      </c>
      <c r="F106" s="1" t="s">
        <v>112</v>
      </c>
      <c r="G106" s="1">
        <v>434653</v>
      </c>
    </row>
    <row r="107" spans="1:7" x14ac:dyDescent="0.25">
      <c r="A107" s="1" t="str">
        <f t="shared" si="1"/>
        <v>04 EE2 76</v>
      </c>
      <c r="B1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7" s="1" t="s">
        <v>1871</v>
      </c>
      <c r="D107" s="1" t="s">
        <v>1872</v>
      </c>
      <c r="E107" s="1" t="s">
        <v>1873</v>
      </c>
      <c r="F107" s="1" t="s">
        <v>112</v>
      </c>
      <c r="G107" s="1">
        <v>1839385</v>
      </c>
    </row>
    <row r="108" spans="1:7" x14ac:dyDescent="0.25">
      <c r="A108" s="1" t="str">
        <f t="shared" si="1"/>
        <v>04 EE2 76</v>
      </c>
      <c r="B1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8" s="1" t="s">
        <v>1874</v>
      </c>
      <c r="D108" s="1" t="s">
        <v>1875</v>
      </c>
      <c r="E108" s="1" t="s">
        <v>1876</v>
      </c>
      <c r="F108" s="1" t="s">
        <v>112</v>
      </c>
      <c r="G108" s="1">
        <v>1949740</v>
      </c>
    </row>
    <row r="109" spans="1:7" x14ac:dyDescent="0.25">
      <c r="A109" s="1" t="str">
        <f t="shared" si="1"/>
        <v>04 EE2 76</v>
      </c>
      <c r="B1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9" s="1" t="s">
        <v>1877</v>
      </c>
      <c r="D109" s="1" t="s">
        <v>1878</v>
      </c>
      <c r="E109" s="1" t="s">
        <v>1879</v>
      </c>
      <c r="F109" s="1" t="s">
        <v>112</v>
      </c>
      <c r="G109" s="1">
        <v>1868931</v>
      </c>
    </row>
    <row r="110" spans="1:7" x14ac:dyDescent="0.25">
      <c r="A110" s="1" t="str">
        <f t="shared" si="1"/>
        <v>04 EE2 76</v>
      </c>
      <c r="B1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0" s="1" t="s">
        <v>1880</v>
      </c>
      <c r="D110" s="1" t="s">
        <v>1881</v>
      </c>
      <c r="E110" s="1" t="s">
        <v>1882</v>
      </c>
      <c r="F110" s="1" t="s">
        <v>112</v>
      </c>
      <c r="G110" s="1">
        <v>1435360</v>
      </c>
    </row>
    <row r="111" spans="1:7" x14ac:dyDescent="0.25">
      <c r="A111" s="1" t="str">
        <f t="shared" si="1"/>
        <v>04 EE2 76</v>
      </c>
      <c r="B1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1" s="1" t="s">
        <v>1883</v>
      </c>
      <c r="D111" s="1" t="s">
        <v>1884</v>
      </c>
      <c r="E111" s="1" t="s">
        <v>1885</v>
      </c>
      <c r="F111" s="1" t="s">
        <v>112</v>
      </c>
      <c r="G111" s="1">
        <v>1565831</v>
      </c>
    </row>
    <row r="112" spans="1:7" x14ac:dyDescent="0.25">
      <c r="A112" s="1" t="str">
        <f t="shared" si="1"/>
        <v>04 EE2 76</v>
      </c>
      <c r="B1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2" s="1" t="s">
        <v>1886</v>
      </c>
      <c r="D112" s="1" t="s">
        <v>1887</v>
      </c>
      <c r="E112" s="1" t="s">
        <v>1888</v>
      </c>
      <c r="F112" s="1" t="s">
        <v>112</v>
      </c>
      <c r="G112" s="1">
        <v>1173119</v>
      </c>
    </row>
    <row r="113" spans="1:10" x14ac:dyDescent="0.25">
      <c r="A113" s="1" t="str">
        <f t="shared" si="1"/>
        <v>04 EE2 76</v>
      </c>
      <c r="B1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3" s="1" t="s">
        <v>1889</v>
      </c>
      <c r="D113" s="1" t="s">
        <v>1890</v>
      </c>
      <c r="E113" s="1" t="s">
        <v>1891</v>
      </c>
      <c r="F113" s="1" t="s">
        <v>112</v>
      </c>
      <c r="G113" s="1">
        <v>434999</v>
      </c>
    </row>
    <row r="114" spans="1:10" x14ac:dyDescent="0.25">
      <c r="A114" s="1" t="str">
        <f t="shared" si="1"/>
        <v>04 EE2 76</v>
      </c>
      <c r="B1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4" s="1" t="s">
        <v>1892</v>
      </c>
      <c r="D114" s="1" t="s">
        <v>381</v>
      </c>
      <c r="E114" s="1" t="s">
        <v>1893</v>
      </c>
      <c r="F114" s="1" t="s">
        <v>112</v>
      </c>
      <c r="G114" s="1">
        <v>197805</v>
      </c>
    </row>
    <row r="115" spans="1:10" x14ac:dyDescent="0.25">
      <c r="A115" s="1" t="str">
        <f t="shared" si="1"/>
        <v>04 EE2 76</v>
      </c>
      <c r="B1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5" s="1" t="s">
        <v>1894</v>
      </c>
      <c r="D115" s="1" t="s">
        <v>1839</v>
      </c>
      <c r="E115" s="1" t="s">
        <v>1895</v>
      </c>
      <c r="F115" s="1" t="s">
        <v>112</v>
      </c>
      <c r="G115" s="1">
        <v>50225</v>
      </c>
    </row>
    <row r="116" spans="1:10" x14ac:dyDescent="0.25">
      <c r="A116" s="1" t="str">
        <f t="shared" si="1"/>
        <v>04 EE2 76</v>
      </c>
      <c r="B1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6" s="1" t="s">
        <v>1896</v>
      </c>
      <c r="D116" s="1" t="s">
        <v>1897</v>
      </c>
      <c r="E116" s="1" t="s">
        <v>1898</v>
      </c>
      <c r="F116" s="1" t="s">
        <v>112</v>
      </c>
      <c r="G116" s="1">
        <v>1178289</v>
      </c>
    </row>
    <row r="117" spans="1:10" x14ac:dyDescent="0.25">
      <c r="A117" s="1" t="str">
        <f t="shared" si="1"/>
        <v>04 EE2 76</v>
      </c>
      <c r="B1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7" s="1" t="s">
        <v>1899</v>
      </c>
      <c r="D117" s="1" t="s">
        <v>1900</v>
      </c>
      <c r="E117" s="1" t="s">
        <v>1901</v>
      </c>
      <c r="F117" s="1" t="s">
        <v>112</v>
      </c>
      <c r="G117" s="1">
        <v>1213178</v>
      </c>
    </row>
    <row r="118" spans="1:10" x14ac:dyDescent="0.25">
      <c r="A118" s="1" t="str">
        <f t="shared" si="1"/>
        <v>04 EE2 76</v>
      </c>
      <c r="B1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8" s="1" t="s">
        <v>1902</v>
      </c>
      <c r="D118" s="1" t="s">
        <v>1903</v>
      </c>
      <c r="E118" s="1" t="s">
        <v>1904</v>
      </c>
      <c r="F118" s="1" t="s">
        <v>112</v>
      </c>
      <c r="G118" s="1">
        <v>1295869</v>
      </c>
    </row>
    <row r="119" spans="1:10" x14ac:dyDescent="0.25">
      <c r="A119" s="1" t="str">
        <f t="shared" si="1"/>
        <v>04 EE2 76</v>
      </c>
      <c r="B1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19" s="1" t="s">
        <v>1905</v>
      </c>
      <c r="D119" s="1" t="s">
        <v>1906</v>
      </c>
      <c r="E119" s="1" t="s">
        <v>1907</v>
      </c>
      <c r="F119" s="1" t="s">
        <v>112</v>
      </c>
      <c r="G119" s="1">
        <v>1445288</v>
      </c>
    </row>
    <row r="120" spans="1:10" x14ac:dyDescent="0.25">
      <c r="A120" s="1" t="str">
        <f t="shared" si="1"/>
        <v>04 EE2 76</v>
      </c>
      <c r="B1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0" s="1" t="s">
        <v>1908</v>
      </c>
      <c r="D120" s="1" t="s">
        <v>1909</v>
      </c>
      <c r="E120" s="1" t="s">
        <v>1910</v>
      </c>
      <c r="F120" s="1" t="s">
        <v>112</v>
      </c>
      <c r="G120" s="1">
        <v>1150364</v>
      </c>
    </row>
    <row r="121" spans="1:10" x14ac:dyDescent="0.25">
      <c r="A121" s="1" t="str">
        <f t="shared" si="1"/>
        <v>04 EE2 76</v>
      </c>
      <c r="B1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1" s="1" t="s">
        <v>1911</v>
      </c>
      <c r="D121" s="1" t="s">
        <v>1912</v>
      </c>
      <c r="E121" s="1" t="s">
        <v>1913</v>
      </c>
      <c r="F121" s="1" t="s">
        <v>112</v>
      </c>
      <c r="G121" s="1">
        <v>1003670</v>
      </c>
    </row>
    <row r="122" spans="1:10" x14ac:dyDescent="0.25">
      <c r="A122" s="1" t="str">
        <f t="shared" si="1"/>
        <v>04 EE2 76</v>
      </c>
      <c r="B1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2" s="1" t="s">
        <v>1914</v>
      </c>
      <c r="D122" s="1" t="s">
        <v>1915</v>
      </c>
      <c r="E122" s="1" t="s">
        <v>1916</v>
      </c>
      <c r="F122" s="1" t="s">
        <v>112</v>
      </c>
      <c r="G122" s="1">
        <v>53621</v>
      </c>
    </row>
    <row r="123" spans="1:10" x14ac:dyDescent="0.25">
      <c r="A123" s="1" t="str">
        <f t="shared" si="1"/>
        <v>04 EE2 76</v>
      </c>
      <c r="B1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3" s="1" t="s">
        <v>1917</v>
      </c>
      <c r="D123" s="1" t="s">
        <v>209</v>
      </c>
      <c r="E123" s="1" t="s">
        <v>1918</v>
      </c>
      <c r="F123" s="1" t="s">
        <v>112</v>
      </c>
      <c r="G123" s="1">
        <v>43411</v>
      </c>
    </row>
    <row r="124" spans="1:10" x14ac:dyDescent="0.25">
      <c r="A124" s="1" t="str">
        <f t="shared" si="1"/>
        <v>04 EE2 76</v>
      </c>
      <c r="B1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4" s="1" t="s">
        <v>1919</v>
      </c>
    </row>
    <row r="125" spans="1:10" x14ac:dyDescent="0.25">
      <c r="A125" s="1" t="str">
        <f t="shared" si="1"/>
        <v/>
      </c>
      <c r="B1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5" s="1" t="s">
        <v>112</v>
      </c>
    </row>
    <row r="126" spans="1:10" x14ac:dyDescent="0.25">
      <c r="A126" s="1" t="str">
        <f t="shared" si="1"/>
        <v/>
      </c>
      <c r="B1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6" s="1" t="s">
        <v>229</v>
      </c>
      <c r="D126" s="1" t="s">
        <v>112</v>
      </c>
      <c r="E126" s="1" t="s">
        <v>230</v>
      </c>
      <c r="F126" s="1" t="s">
        <v>231</v>
      </c>
      <c r="G126" s="1" t="s">
        <v>232</v>
      </c>
      <c r="H126" s="1" t="s">
        <v>233</v>
      </c>
      <c r="I126" s="1" t="s">
        <v>234</v>
      </c>
      <c r="J126" s="1" t="s">
        <v>235</v>
      </c>
    </row>
    <row r="127" spans="1:10" x14ac:dyDescent="0.25">
      <c r="A127" s="1" t="str">
        <f t="shared" si="1"/>
        <v>04 EE2 76</v>
      </c>
      <c r="B12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27" s="1" t="s">
        <v>1920</v>
      </c>
      <c r="D127" s="1" t="s">
        <v>112</v>
      </c>
      <c r="E127" s="1" t="s">
        <v>1921</v>
      </c>
      <c r="F127" s="1" t="s">
        <v>1922</v>
      </c>
      <c r="G127" s="1" t="s">
        <v>1923</v>
      </c>
      <c r="H127" s="1" t="s">
        <v>1924</v>
      </c>
      <c r="I127" s="1">
        <v>24</v>
      </c>
      <c r="J127" s="1">
        <v>24</v>
      </c>
    </row>
    <row r="128" spans="1:10" x14ac:dyDescent="0.25">
      <c r="A128" s="1" t="str">
        <f t="shared" si="1"/>
        <v/>
      </c>
      <c r="B1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8" s="1" t="s">
        <v>112</v>
      </c>
    </row>
    <row r="129" spans="1:7" x14ac:dyDescent="0.25">
      <c r="A129" s="1" t="str">
        <f t="shared" si="1"/>
        <v/>
      </c>
      <c r="B1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9" s="1" t="s">
        <v>112</v>
      </c>
    </row>
    <row r="130" spans="1:7" x14ac:dyDescent="0.25">
      <c r="A130" s="1" t="str">
        <f t="shared" ref="A130:A193" si="2">IFERROR(LEFT(RIGHT(C130,LEN(C130)-SEARCH("@",C130)),SEARCH("/",RIGHT(C130,LEN(C130)-SEARCH("@",C130)-1))),"")</f>
        <v/>
      </c>
      <c r="B1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0" s="1" t="s">
        <v>112</v>
      </c>
    </row>
    <row r="131" spans="1:7" x14ac:dyDescent="0.25">
      <c r="A131" s="1" t="str">
        <f t="shared" si="2"/>
        <v/>
      </c>
      <c r="B1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1" s="1" t="s">
        <v>112</v>
      </c>
    </row>
    <row r="132" spans="1:7" x14ac:dyDescent="0.25">
      <c r="A132" s="1" t="str">
        <f t="shared" si="2"/>
        <v/>
      </c>
      <c r="B1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2" s="1" t="s">
        <v>112</v>
      </c>
    </row>
    <row r="133" spans="1:7" x14ac:dyDescent="0.25">
      <c r="A133" s="1" t="str">
        <f t="shared" si="2"/>
        <v/>
      </c>
      <c r="B1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3" s="1" t="s">
        <v>241</v>
      </c>
      <c r="D133" s="1" t="s">
        <v>110</v>
      </c>
      <c r="E133" s="1" t="s">
        <v>111</v>
      </c>
      <c r="F133" s="1" t="s">
        <v>112</v>
      </c>
      <c r="G133" s="1" t="s">
        <v>113</v>
      </c>
    </row>
    <row r="134" spans="1:7" x14ac:dyDescent="0.25">
      <c r="A134" s="1" t="str">
        <f t="shared" si="2"/>
        <v>05 EE2 114</v>
      </c>
      <c r="B1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4" s="1" t="s">
        <v>1925</v>
      </c>
      <c r="D134" s="1" t="s">
        <v>925</v>
      </c>
      <c r="E134" s="1" t="s">
        <v>1926</v>
      </c>
      <c r="F134" s="1" t="s">
        <v>112</v>
      </c>
      <c r="G134" s="1">
        <v>1451907</v>
      </c>
    </row>
    <row r="135" spans="1:7" x14ac:dyDescent="0.25">
      <c r="A135" s="1" t="str">
        <f t="shared" si="2"/>
        <v>05 EE2 114</v>
      </c>
      <c r="B1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5" s="1" t="s">
        <v>1927</v>
      </c>
      <c r="D135" s="1" t="s">
        <v>1928</v>
      </c>
      <c r="E135" s="1" t="s">
        <v>1929</v>
      </c>
      <c r="F135" s="1" t="s">
        <v>112</v>
      </c>
      <c r="G135" s="1">
        <v>1446737</v>
      </c>
    </row>
    <row r="136" spans="1:7" x14ac:dyDescent="0.25">
      <c r="A136" s="1" t="str">
        <f t="shared" si="2"/>
        <v>05 EE2 114</v>
      </c>
      <c r="B1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6" s="1" t="s">
        <v>1930</v>
      </c>
      <c r="D136" s="1" t="s">
        <v>1931</v>
      </c>
      <c r="E136" s="1" t="s">
        <v>1932</v>
      </c>
      <c r="F136" s="1" t="s">
        <v>112</v>
      </c>
      <c r="G136" s="1">
        <v>1517272</v>
      </c>
    </row>
    <row r="137" spans="1:7" x14ac:dyDescent="0.25">
      <c r="A137" s="1" t="str">
        <f t="shared" si="2"/>
        <v>05 EE2 114</v>
      </c>
      <c r="B1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7" s="1" t="s">
        <v>1933</v>
      </c>
      <c r="D137" s="1" t="s">
        <v>1934</v>
      </c>
      <c r="E137" s="1" t="s">
        <v>1935</v>
      </c>
      <c r="F137" s="1" t="s">
        <v>112</v>
      </c>
      <c r="G137" s="1">
        <v>612883</v>
      </c>
    </row>
    <row r="138" spans="1:7" x14ac:dyDescent="0.25">
      <c r="A138" s="1" t="str">
        <f t="shared" si="2"/>
        <v>05 EE2 114</v>
      </c>
      <c r="B1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8" s="1" t="s">
        <v>1936</v>
      </c>
      <c r="D138" s="1" t="s">
        <v>1937</v>
      </c>
      <c r="E138" s="1" t="s">
        <v>1938</v>
      </c>
      <c r="F138" s="1" t="s">
        <v>112</v>
      </c>
      <c r="G138" s="1">
        <v>620389</v>
      </c>
    </row>
    <row r="139" spans="1:7" x14ac:dyDescent="0.25">
      <c r="A139" s="1" t="str">
        <f t="shared" si="2"/>
        <v>05 EE2 114</v>
      </c>
      <c r="B1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9" s="1" t="s">
        <v>1939</v>
      </c>
      <c r="D139" s="1" t="s">
        <v>1940</v>
      </c>
      <c r="E139" s="1" t="s">
        <v>1941</v>
      </c>
      <c r="F139" s="1" t="s">
        <v>112</v>
      </c>
      <c r="G139" s="1">
        <v>529110</v>
      </c>
    </row>
    <row r="140" spans="1:7" x14ac:dyDescent="0.25">
      <c r="A140" s="1" t="str">
        <f t="shared" si="2"/>
        <v>05 EE2 114</v>
      </c>
      <c r="B1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0" s="1" t="s">
        <v>1942</v>
      </c>
      <c r="D140" s="1" t="s">
        <v>1943</v>
      </c>
      <c r="E140" s="1" t="s">
        <v>1944</v>
      </c>
      <c r="F140" s="1" t="s">
        <v>112</v>
      </c>
      <c r="G140" s="1">
        <v>3271997</v>
      </c>
    </row>
    <row r="141" spans="1:7" x14ac:dyDescent="0.25">
      <c r="A141" s="1" t="str">
        <f t="shared" si="2"/>
        <v>05 EE2 114</v>
      </c>
      <c r="B1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1" s="1" t="s">
        <v>1945</v>
      </c>
      <c r="D141" s="1" t="s">
        <v>1946</v>
      </c>
      <c r="E141" s="1" t="s">
        <v>1947</v>
      </c>
      <c r="F141" s="1" t="s">
        <v>112</v>
      </c>
      <c r="G141" s="1">
        <v>2947246</v>
      </c>
    </row>
    <row r="142" spans="1:7" x14ac:dyDescent="0.25">
      <c r="A142" s="1" t="str">
        <f t="shared" si="2"/>
        <v>05 EE2 114</v>
      </c>
      <c r="B1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2" s="1" t="s">
        <v>1948</v>
      </c>
      <c r="D142" s="1" t="s">
        <v>1949</v>
      </c>
      <c r="E142" s="1" t="s">
        <v>1950</v>
      </c>
      <c r="F142" s="1" t="s">
        <v>112</v>
      </c>
      <c r="G142" s="1">
        <v>2851166</v>
      </c>
    </row>
    <row r="143" spans="1:7" x14ac:dyDescent="0.25">
      <c r="A143" s="1" t="str">
        <f t="shared" si="2"/>
        <v>05 EE2 114</v>
      </c>
      <c r="B1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3" s="1" t="s">
        <v>1951</v>
      </c>
      <c r="D143" s="1" t="s">
        <v>1952</v>
      </c>
      <c r="E143" s="1" t="s">
        <v>1953</v>
      </c>
      <c r="F143" s="1" t="s">
        <v>112</v>
      </c>
      <c r="G143" s="1">
        <v>1977470</v>
      </c>
    </row>
    <row r="144" spans="1:7" x14ac:dyDescent="0.25">
      <c r="A144" s="1" t="str">
        <f t="shared" si="2"/>
        <v>05 EE2 114</v>
      </c>
      <c r="B1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4" s="1" t="s">
        <v>1954</v>
      </c>
      <c r="D144" s="1" t="s">
        <v>1955</v>
      </c>
      <c r="E144" s="1" t="s">
        <v>1956</v>
      </c>
      <c r="F144" s="1" t="s">
        <v>112</v>
      </c>
      <c r="G144" s="1">
        <v>2115836</v>
      </c>
    </row>
    <row r="145" spans="1:10" x14ac:dyDescent="0.25">
      <c r="A145" s="1" t="str">
        <f t="shared" si="2"/>
        <v>05 EE2 114</v>
      </c>
      <c r="B1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5" s="1" t="s">
        <v>1957</v>
      </c>
    </row>
    <row r="146" spans="1:10" x14ac:dyDescent="0.25">
      <c r="A146" s="1" t="str">
        <f t="shared" si="2"/>
        <v>05 EE2 114</v>
      </c>
      <c r="B1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6" s="1" t="s">
        <v>1958</v>
      </c>
      <c r="D146" s="1" t="s">
        <v>1959</v>
      </c>
      <c r="E146" s="1" t="s">
        <v>1960</v>
      </c>
      <c r="F146" s="1" t="s">
        <v>112</v>
      </c>
      <c r="G146" s="1">
        <v>2372735</v>
      </c>
    </row>
    <row r="147" spans="1:10" x14ac:dyDescent="0.25">
      <c r="A147" s="1" t="str">
        <f t="shared" si="2"/>
        <v>05 EE2 114</v>
      </c>
      <c r="B1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7" s="1" t="s">
        <v>1961</v>
      </c>
      <c r="D147" s="1" t="s">
        <v>1962</v>
      </c>
      <c r="E147" s="1" t="s">
        <v>1963</v>
      </c>
      <c r="F147" s="1" t="s">
        <v>112</v>
      </c>
      <c r="G147" s="1">
        <v>1874966</v>
      </c>
    </row>
    <row r="148" spans="1:10" x14ac:dyDescent="0.25">
      <c r="A148" s="1" t="str">
        <f t="shared" si="2"/>
        <v>05 EE2 114</v>
      </c>
      <c r="B1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8" s="1" t="s">
        <v>1964</v>
      </c>
      <c r="D148" s="1" t="s">
        <v>1965</v>
      </c>
      <c r="E148" s="1" t="s">
        <v>1966</v>
      </c>
      <c r="F148" s="1" t="s">
        <v>112</v>
      </c>
      <c r="G148" s="1">
        <v>1672380</v>
      </c>
    </row>
    <row r="149" spans="1:10" x14ac:dyDescent="0.25">
      <c r="A149" s="1" t="str">
        <f t="shared" si="2"/>
        <v>05 EE2 114</v>
      </c>
      <c r="B1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49" s="1" t="s">
        <v>1967</v>
      </c>
      <c r="D149" s="1" t="s">
        <v>1968</v>
      </c>
      <c r="E149" s="1" t="s">
        <v>1969</v>
      </c>
      <c r="F149" s="1" t="s">
        <v>112</v>
      </c>
      <c r="G149" s="1">
        <v>2047226</v>
      </c>
    </row>
    <row r="150" spans="1:10" x14ac:dyDescent="0.25">
      <c r="A150" s="1" t="str">
        <f t="shared" si="2"/>
        <v>05 EE2 114</v>
      </c>
      <c r="B1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50" s="1" t="s">
        <v>1970</v>
      </c>
    </row>
    <row r="151" spans="1:10" x14ac:dyDescent="0.25">
      <c r="A151" s="1" t="str">
        <f t="shared" si="2"/>
        <v>05 EE2 114</v>
      </c>
      <c r="B1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51" s="1" t="s">
        <v>1971</v>
      </c>
      <c r="D151" s="1" t="s">
        <v>1124</v>
      </c>
      <c r="E151" s="1" t="s">
        <v>1972</v>
      </c>
      <c r="F151" s="1" t="s">
        <v>112</v>
      </c>
      <c r="G151" s="1">
        <v>2073896</v>
      </c>
    </row>
    <row r="152" spans="1:10" x14ac:dyDescent="0.25">
      <c r="A152" s="1" t="str">
        <f t="shared" si="2"/>
        <v>05 EE2 114</v>
      </c>
      <c r="B1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2" s="1" t="s">
        <v>1973</v>
      </c>
      <c r="D152" s="1" t="s">
        <v>1974</v>
      </c>
      <c r="E152" s="1" t="s">
        <v>1975</v>
      </c>
      <c r="F152" s="1" t="s">
        <v>112</v>
      </c>
      <c r="G152" s="1">
        <v>2802391</v>
      </c>
    </row>
    <row r="153" spans="1:10" x14ac:dyDescent="0.25">
      <c r="A153" s="1" t="str">
        <f t="shared" si="2"/>
        <v>05 EE2 114</v>
      </c>
      <c r="B1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3" s="1" t="s">
        <v>1976</v>
      </c>
      <c r="D153" s="1" t="s">
        <v>1977</v>
      </c>
      <c r="E153" s="1" t="s">
        <v>1978</v>
      </c>
      <c r="F153" s="1" t="s">
        <v>112</v>
      </c>
      <c r="G153" s="1">
        <v>2457243</v>
      </c>
    </row>
    <row r="154" spans="1:10" x14ac:dyDescent="0.25">
      <c r="A154" s="1" t="str">
        <f t="shared" si="2"/>
        <v>05 EE2 114</v>
      </c>
      <c r="B1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4" s="1" t="s">
        <v>1979</v>
      </c>
      <c r="D154" s="1" t="s">
        <v>1980</v>
      </c>
      <c r="E154" s="1" t="s">
        <v>1981</v>
      </c>
      <c r="F154" s="1" t="s">
        <v>112</v>
      </c>
      <c r="G154" s="1">
        <v>2618645</v>
      </c>
    </row>
    <row r="155" spans="1:10" x14ac:dyDescent="0.25">
      <c r="A155" s="1" t="str">
        <f t="shared" si="2"/>
        <v>05 EE2 114</v>
      </c>
      <c r="B1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5" s="1" t="s">
        <v>1982</v>
      </c>
      <c r="D155" s="1" t="s">
        <v>1983</v>
      </c>
      <c r="E155" s="1" t="s">
        <v>1984</v>
      </c>
      <c r="F155" s="1" t="s">
        <v>112</v>
      </c>
      <c r="G155" s="1">
        <v>2900785</v>
      </c>
    </row>
    <row r="156" spans="1:10" x14ac:dyDescent="0.25">
      <c r="A156" s="1" t="str">
        <f t="shared" si="2"/>
        <v>05 EE2 114</v>
      </c>
      <c r="B1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6" s="1" t="s">
        <v>1985</v>
      </c>
      <c r="D156" s="1" t="s">
        <v>1986</v>
      </c>
      <c r="E156" s="1" t="s">
        <v>1987</v>
      </c>
      <c r="F156" s="1" t="s">
        <v>112</v>
      </c>
      <c r="G156" s="1">
        <v>2680636</v>
      </c>
    </row>
    <row r="157" spans="1:10" x14ac:dyDescent="0.25">
      <c r="A157" s="1" t="str">
        <f t="shared" si="2"/>
        <v>05 EE2 114</v>
      </c>
      <c r="B1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7" s="1" t="s">
        <v>1988</v>
      </c>
      <c r="D157" s="1" t="s">
        <v>1989</v>
      </c>
      <c r="E157" s="1" t="s">
        <v>1990</v>
      </c>
      <c r="F157" s="1" t="s">
        <v>112</v>
      </c>
      <c r="G157" s="1">
        <v>2532169</v>
      </c>
    </row>
    <row r="158" spans="1:10" x14ac:dyDescent="0.25">
      <c r="A158" s="1" t="str">
        <f t="shared" si="2"/>
        <v/>
      </c>
      <c r="B1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58" s="1" t="s">
        <v>112</v>
      </c>
    </row>
    <row r="159" spans="1:10" x14ac:dyDescent="0.25">
      <c r="A159" s="1" t="str">
        <f t="shared" si="2"/>
        <v/>
      </c>
      <c r="B1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59" s="1" t="s">
        <v>229</v>
      </c>
      <c r="D159" s="1" t="s">
        <v>112</v>
      </c>
      <c r="E159" s="1" t="s">
        <v>230</v>
      </c>
      <c r="F159" s="1" t="s">
        <v>231</v>
      </c>
      <c r="G159" s="1" t="s">
        <v>232</v>
      </c>
      <c r="H159" s="1" t="s">
        <v>233</v>
      </c>
      <c r="I159" s="1" t="s">
        <v>234</v>
      </c>
      <c r="J159" s="1" t="s">
        <v>235</v>
      </c>
    </row>
    <row r="160" spans="1:10" x14ac:dyDescent="0.25">
      <c r="A160" s="1" t="str">
        <f t="shared" si="2"/>
        <v>05 EE2 114</v>
      </c>
      <c r="B16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60" s="1" t="s">
        <v>1991</v>
      </c>
      <c r="D160" s="1" t="s">
        <v>112</v>
      </c>
      <c r="E160" s="1" t="s">
        <v>1992</v>
      </c>
      <c r="F160" s="1" t="s">
        <v>1993</v>
      </c>
      <c r="G160" s="1" t="s">
        <v>1994</v>
      </c>
      <c r="H160" s="1" t="s">
        <v>1995</v>
      </c>
      <c r="I160" s="1">
        <v>24</v>
      </c>
      <c r="J160" s="1">
        <v>24</v>
      </c>
    </row>
    <row r="161" spans="1:7" x14ac:dyDescent="0.25">
      <c r="A161" s="1" t="str">
        <f t="shared" si="2"/>
        <v/>
      </c>
      <c r="B1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1" s="1" t="s">
        <v>112</v>
      </c>
    </row>
    <row r="162" spans="1:7" x14ac:dyDescent="0.25">
      <c r="A162" s="1" t="str">
        <f t="shared" si="2"/>
        <v/>
      </c>
      <c r="B1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2" s="1" t="s">
        <v>112</v>
      </c>
    </row>
    <row r="163" spans="1:7" x14ac:dyDescent="0.25">
      <c r="A163" s="1" t="str">
        <f t="shared" si="2"/>
        <v/>
      </c>
      <c r="B1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3" s="1" t="s">
        <v>112</v>
      </c>
    </row>
    <row r="164" spans="1:7" x14ac:dyDescent="0.25">
      <c r="A164" s="1" t="str">
        <f t="shared" si="2"/>
        <v/>
      </c>
      <c r="B1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4" s="1" t="s">
        <v>112</v>
      </c>
    </row>
    <row r="165" spans="1:7" x14ac:dyDescent="0.25">
      <c r="A165" s="1" t="str">
        <f t="shared" si="2"/>
        <v/>
      </c>
      <c r="B1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5" s="1" t="s">
        <v>112</v>
      </c>
    </row>
    <row r="166" spans="1:7" x14ac:dyDescent="0.25">
      <c r="A166" s="1" t="str">
        <f t="shared" si="2"/>
        <v/>
      </c>
      <c r="B1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6" s="1" t="s">
        <v>241</v>
      </c>
      <c r="D166" s="1" t="s">
        <v>110</v>
      </c>
      <c r="E166" s="1" t="s">
        <v>111</v>
      </c>
      <c r="F166" s="1" t="s">
        <v>112</v>
      </c>
      <c r="G166" s="1" t="s">
        <v>113</v>
      </c>
    </row>
    <row r="167" spans="1:7" x14ac:dyDescent="0.25">
      <c r="A167" s="1" t="str">
        <f t="shared" si="2"/>
        <v>06 EE2 170.9</v>
      </c>
      <c r="B1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7" s="1" t="s">
        <v>1996</v>
      </c>
      <c r="D167" s="1" t="s">
        <v>978</v>
      </c>
      <c r="E167" s="1" t="s">
        <v>1997</v>
      </c>
      <c r="F167" s="1" t="s">
        <v>112</v>
      </c>
      <c r="G167" s="1">
        <v>2012056</v>
      </c>
    </row>
    <row r="168" spans="1:7" x14ac:dyDescent="0.25">
      <c r="A168" s="1" t="str">
        <f t="shared" si="2"/>
        <v>06 EE2 170.9</v>
      </c>
      <c r="B1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8" s="1" t="s">
        <v>1998</v>
      </c>
      <c r="D168" s="1" t="s">
        <v>1999</v>
      </c>
      <c r="E168" s="1" t="s">
        <v>2000</v>
      </c>
      <c r="F168" s="1" t="s">
        <v>112</v>
      </c>
      <c r="G168" s="1">
        <v>2265645</v>
      </c>
    </row>
    <row r="169" spans="1:7" x14ac:dyDescent="0.25">
      <c r="A169" s="1" t="str">
        <f t="shared" si="2"/>
        <v>06 EE2 170.9</v>
      </c>
      <c r="B1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9" s="1" t="s">
        <v>2001</v>
      </c>
      <c r="D169" s="1" t="s">
        <v>2002</v>
      </c>
      <c r="E169" s="1" t="s">
        <v>2003</v>
      </c>
      <c r="F169" s="1" t="s">
        <v>112</v>
      </c>
      <c r="G169" s="1">
        <v>1877194</v>
      </c>
    </row>
    <row r="170" spans="1:7" x14ac:dyDescent="0.25">
      <c r="A170" s="1" t="str">
        <f t="shared" si="2"/>
        <v>06 EE2 170.9</v>
      </c>
      <c r="B1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0" s="1" t="s">
        <v>2004</v>
      </c>
      <c r="D170" s="1" t="s">
        <v>2005</v>
      </c>
      <c r="E170" s="1" t="s">
        <v>2006</v>
      </c>
      <c r="F170" s="1" t="s">
        <v>112</v>
      </c>
      <c r="G170" s="1">
        <v>2365726</v>
      </c>
    </row>
    <row r="171" spans="1:7" x14ac:dyDescent="0.25">
      <c r="A171" s="1" t="str">
        <f t="shared" si="2"/>
        <v>06 EE2 170.9</v>
      </c>
      <c r="B1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1" s="1" t="s">
        <v>2007</v>
      </c>
      <c r="D171" s="1" t="s">
        <v>2008</v>
      </c>
      <c r="E171" s="1" t="s">
        <v>2009</v>
      </c>
      <c r="F171" s="1" t="s">
        <v>112</v>
      </c>
      <c r="G171" s="1">
        <v>2240446</v>
      </c>
    </row>
    <row r="172" spans="1:7" x14ac:dyDescent="0.25">
      <c r="A172" s="1" t="str">
        <f t="shared" si="2"/>
        <v>06 EE2 170.9</v>
      </c>
      <c r="B1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2" s="1" t="s">
        <v>2010</v>
      </c>
      <c r="D172" s="1" t="s">
        <v>2011</v>
      </c>
      <c r="E172" s="1" t="s">
        <v>2012</v>
      </c>
      <c r="F172" s="1" t="s">
        <v>112</v>
      </c>
      <c r="G172" s="1">
        <v>2484929</v>
      </c>
    </row>
    <row r="173" spans="1:7" x14ac:dyDescent="0.25">
      <c r="A173" s="1" t="str">
        <f t="shared" si="2"/>
        <v>06 EE2 170.9</v>
      </c>
      <c r="B1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3" s="1" t="s">
        <v>2013</v>
      </c>
      <c r="D173" s="1" t="s">
        <v>2014</v>
      </c>
      <c r="E173" s="1" t="s">
        <v>2015</v>
      </c>
      <c r="F173" s="1" t="s">
        <v>112</v>
      </c>
      <c r="G173" s="1">
        <v>2967449</v>
      </c>
    </row>
    <row r="174" spans="1:7" x14ac:dyDescent="0.25">
      <c r="A174" s="1" t="str">
        <f t="shared" si="2"/>
        <v>06 EE2 170.9</v>
      </c>
      <c r="B1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4" s="1" t="s">
        <v>2016</v>
      </c>
      <c r="D174" s="1" t="s">
        <v>2017</v>
      </c>
      <c r="E174" s="1" t="s">
        <v>2018</v>
      </c>
      <c r="F174" s="1" t="s">
        <v>112</v>
      </c>
      <c r="G174" s="1">
        <v>3320167</v>
      </c>
    </row>
    <row r="175" spans="1:7" x14ac:dyDescent="0.25">
      <c r="A175" s="1" t="str">
        <f t="shared" si="2"/>
        <v>06 EE2 170.9</v>
      </c>
      <c r="B1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5" s="1" t="s">
        <v>2019</v>
      </c>
      <c r="D175" s="1" t="s">
        <v>2020</v>
      </c>
      <c r="E175" s="1" t="s">
        <v>2021</v>
      </c>
      <c r="F175" s="1" t="s">
        <v>112</v>
      </c>
      <c r="G175" s="1">
        <v>2839573</v>
      </c>
    </row>
    <row r="176" spans="1:7" x14ac:dyDescent="0.25">
      <c r="A176" s="1" t="str">
        <f t="shared" si="2"/>
        <v>06 EE2 170.9</v>
      </c>
      <c r="B1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6" s="1" t="s">
        <v>2022</v>
      </c>
      <c r="D176" s="1" t="s">
        <v>2023</v>
      </c>
      <c r="E176" s="1" t="s">
        <v>2024</v>
      </c>
      <c r="F176" s="1" t="s">
        <v>112</v>
      </c>
      <c r="G176" s="1">
        <v>3656815</v>
      </c>
    </row>
    <row r="177" spans="1:10" x14ac:dyDescent="0.25">
      <c r="A177" s="1" t="str">
        <f t="shared" si="2"/>
        <v>06 EE2 170.9</v>
      </c>
      <c r="B1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7" s="1" t="s">
        <v>2025</v>
      </c>
      <c r="D177" s="1" t="s">
        <v>2026</v>
      </c>
      <c r="E177" s="1" t="s">
        <v>2027</v>
      </c>
      <c r="F177" s="1" t="s">
        <v>112</v>
      </c>
      <c r="G177" s="1">
        <v>3831714</v>
      </c>
    </row>
    <row r="178" spans="1:10" x14ac:dyDescent="0.25">
      <c r="A178" s="1" t="str">
        <f t="shared" si="2"/>
        <v>06 EE2 170.9</v>
      </c>
      <c r="B1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8" s="1" t="s">
        <v>2028</v>
      </c>
      <c r="D178" s="1" t="s">
        <v>2029</v>
      </c>
      <c r="E178" s="1" t="s">
        <v>2030</v>
      </c>
      <c r="F178" s="1" t="s">
        <v>112</v>
      </c>
      <c r="G178" s="1">
        <v>3128245</v>
      </c>
    </row>
    <row r="179" spans="1:10" x14ac:dyDescent="0.25">
      <c r="A179" s="1" t="str">
        <f t="shared" si="2"/>
        <v>06 EE2 170.9</v>
      </c>
      <c r="B1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79" s="1" t="s">
        <v>2031</v>
      </c>
      <c r="D179" s="1" t="s">
        <v>2026</v>
      </c>
      <c r="E179" s="1" t="s">
        <v>2032</v>
      </c>
      <c r="F179" s="1" t="s">
        <v>112</v>
      </c>
      <c r="G179" s="1">
        <v>3831411</v>
      </c>
    </row>
    <row r="180" spans="1:10" x14ac:dyDescent="0.25">
      <c r="A180" s="1" t="str">
        <f t="shared" si="2"/>
        <v>06 EE2 170.9</v>
      </c>
      <c r="B1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80" s="1" t="s">
        <v>2033</v>
      </c>
      <c r="D180" s="1" t="s">
        <v>2034</v>
      </c>
      <c r="E180" s="1" t="s">
        <v>2035</v>
      </c>
      <c r="F180" s="1" t="s">
        <v>112</v>
      </c>
      <c r="G180" s="1">
        <v>3608970</v>
      </c>
    </row>
    <row r="181" spans="1:10" x14ac:dyDescent="0.25">
      <c r="A181" s="1" t="str">
        <f t="shared" si="2"/>
        <v>06 EE2 170.9</v>
      </c>
      <c r="B1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81" s="1" t="s">
        <v>2036</v>
      </c>
      <c r="D181" s="1" t="s">
        <v>2037</v>
      </c>
      <c r="E181" s="1" t="s">
        <v>2038</v>
      </c>
      <c r="F181" s="1" t="s">
        <v>112</v>
      </c>
      <c r="G181" s="1">
        <v>3717400</v>
      </c>
    </row>
    <row r="182" spans="1:10" x14ac:dyDescent="0.25">
      <c r="A182" s="1" t="str">
        <f t="shared" si="2"/>
        <v>06 EE2 170.9</v>
      </c>
      <c r="B1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2" s="1" t="s">
        <v>2039</v>
      </c>
      <c r="D182" s="1" t="s">
        <v>2040</v>
      </c>
      <c r="E182" s="1" t="s">
        <v>2041</v>
      </c>
      <c r="F182" s="1" t="s">
        <v>112</v>
      </c>
      <c r="G182" s="1">
        <v>2221758</v>
      </c>
    </row>
    <row r="183" spans="1:10" x14ac:dyDescent="0.25">
      <c r="A183" s="1" t="str">
        <f t="shared" si="2"/>
        <v>06 EE2 170.9</v>
      </c>
      <c r="B1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3" s="1" t="s">
        <v>2042</v>
      </c>
      <c r="D183" s="1" t="s">
        <v>2043</v>
      </c>
      <c r="E183" s="1" t="s">
        <v>2044</v>
      </c>
      <c r="F183" s="1" t="s">
        <v>112</v>
      </c>
      <c r="G183" s="1">
        <v>1961183</v>
      </c>
    </row>
    <row r="184" spans="1:10" x14ac:dyDescent="0.25">
      <c r="A184" s="1" t="str">
        <f t="shared" si="2"/>
        <v>06 EE2 170.9</v>
      </c>
      <c r="B1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4" s="1" t="s">
        <v>2045</v>
      </c>
      <c r="D184" s="1" t="s">
        <v>2046</v>
      </c>
      <c r="E184" s="1" t="s">
        <v>2047</v>
      </c>
      <c r="F184" s="1" t="s">
        <v>112</v>
      </c>
      <c r="G184" s="1">
        <v>2634089</v>
      </c>
    </row>
    <row r="185" spans="1:10" x14ac:dyDescent="0.25">
      <c r="A185" s="1" t="str">
        <f t="shared" si="2"/>
        <v>06 EE2 170.9</v>
      </c>
      <c r="B1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5" s="1" t="s">
        <v>2048</v>
      </c>
      <c r="D185" s="1" t="s">
        <v>2049</v>
      </c>
      <c r="E185" s="1" t="s">
        <v>2050</v>
      </c>
      <c r="F185" s="1" t="s">
        <v>112</v>
      </c>
      <c r="G185" s="1">
        <v>4650579</v>
      </c>
    </row>
    <row r="186" spans="1:10" x14ac:dyDescent="0.25">
      <c r="A186" s="1" t="str">
        <f t="shared" si="2"/>
        <v>06 EE2 170.9</v>
      </c>
      <c r="B1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6" s="1" t="s">
        <v>2051</v>
      </c>
      <c r="D186" s="1" t="s">
        <v>2052</v>
      </c>
      <c r="E186" s="1" t="s">
        <v>2053</v>
      </c>
      <c r="F186" s="1" t="s">
        <v>112</v>
      </c>
      <c r="G186" s="1">
        <v>5145730</v>
      </c>
    </row>
    <row r="187" spans="1:10" x14ac:dyDescent="0.25">
      <c r="A187" s="1" t="str">
        <f t="shared" si="2"/>
        <v>06 EE2 170.9</v>
      </c>
      <c r="B1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7" s="1" t="s">
        <v>2054</v>
      </c>
      <c r="D187" s="1" t="s">
        <v>2055</v>
      </c>
      <c r="E187" s="1" t="s">
        <v>2056</v>
      </c>
      <c r="F187" s="1" t="s">
        <v>112</v>
      </c>
      <c r="G187" s="1">
        <v>4112016</v>
      </c>
    </row>
    <row r="188" spans="1:10" x14ac:dyDescent="0.25">
      <c r="A188" s="1" t="str">
        <f t="shared" si="2"/>
        <v>06 EE2 170.9</v>
      </c>
      <c r="B1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88" s="1" t="s">
        <v>2057</v>
      </c>
      <c r="D188" s="1" t="s">
        <v>2058</v>
      </c>
      <c r="E188" s="1" t="s">
        <v>2059</v>
      </c>
      <c r="F188" s="1" t="s">
        <v>112</v>
      </c>
      <c r="G188" s="1">
        <v>2450191</v>
      </c>
    </row>
    <row r="189" spans="1:10" x14ac:dyDescent="0.25">
      <c r="A189" s="1" t="str">
        <f t="shared" si="2"/>
        <v>06 EE2 170.9</v>
      </c>
      <c r="B1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89" s="1" t="s">
        <v>2060</v>
      </c>
      <c r="D189" s="1" t="s">
        <v>2061</v>
      </c>
      <c r="E189" s="1" t="s">
        <v>2062</v>
      </c>
      <c r="F189" s="1" t="s">
        <v>112</v>
      </c>
      <c r="G189" s="1">
        <v>1878167</v>
      </c>
    </row>
    <row r="190" spans="1:10" x14ac:dyDescent="0.25">
      <c r="A190" s="1" t="str">
        <f t="shared" si="2"/>
        <v>06 EE2 170.9</v>
      </c>
      <c r="B1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90" s="1" t="s">
        <v>2063</v>
      </c>
      <c r="D190" s="1" t="s">
        <v>2064</v>
      </c>
      <c r="E190" s="1" t="s">
        <v>2065</v>
      </c>
      <c r="F190" s="1" t="s">
        <v>112</v>
      </c>
      <c r="G190" s="1">
        <v>2217475</v>
      </c>
    </row>
    <row r="191" spans="1:10" x14ac:dyDescent="0.25">
      <c r="A191" s="1" t="str">
        <f t="shared" si="2"/>
        <v/>
      </c>
      <c r="B1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1" s="1" t="s">
        <v>112</v>
      </c>
    </row>
    <row r="192" spans="1:10" x14ac:dyDescent="0.25">
      <c r="A192" s="1" t="str">
        <f t="shared" si="2"/>
        <v/>
      </c>
      <c r="B1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2" s="1" t="s">
        <v>229</v>
      </c>
      <c r="D192" s="1" t="s">
        <v>112</v>
      </c>
      <c r="E192" s="1" t="s">
        <v>230</v>
      </c>
      <c r="F192" s="1" t="s">
        <v>231</v>
      </c>
      <c r="G192" s="1" t="s">
        <v>232</v>
      </c>
      <c r="H192" s="1" t="s">
        <v>233</v>
      </c>
      <c r="I192" s="1" t="s">
        <v>234</v>
      </c>
      <c r="J192" s="1" t="s">
        <v>235</v>
      </c>
    </row>
    <row r="193" spans="1:10" x14ac:dyDescent="0.25">
      <c r="A193" s="1" t="str">
        <f t="shared" si="2"/>
        <v>06 EE2 170.9</v>
      </c>
      <c r="B19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93" s="1" t="s">
        <v>2066</v>
      </c>
      <c r="D193" s="1" t="s">
        <v>112</v>
      </c>
      <c r="E193" s="1" t="s">
        <v>2067</v>
      </c>
      <c r="F193" s="1" t="s">
        <v>2068</v>
      </c>
      <c r="G193" s="1" t="s">
        <v>2069</v>
      </c>
      <c r="H193" s="1" t="s">
        <v>2070</v>
      </c>
      <c r="I193" s="1">
        <v>24</v>
      </c>
      <c r="J193" s="1">
        <v>24</v>
      </c>
    </row>
    <row r="194" spans="1:10" x14ac:dyDescent="0.25">
      <c r="A194" s="1" t="str">
        <f t="shared" ref="A194:A257" si="3">IFERROR(LEFT(RIGHT(C194,LEN(C194)-SEARCH("@",C194)),SEARCH("/",RIGHT(C194,LEN(C194)-SEARCH("@",C194)-1))),"")</f>
        <v/>
      </c>
      <c r="B1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4" s="1" t="s">
        <v>112</v>
      </c>
    </row>
    <row r="195" spans="1:10" x14ac:dyDescent="0.25">
      <c r="A195" s="1" t="str">
        <f t="shared" si="3"/>
        <v/>
      </c>
      <c r="B1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5" s="1" t="s">
        <v>112</v>
      </c>
    </row>
    <row r="196" spans="1:10" x14ac:dyDescent="0.25">
      <c r="A196" s="1" t="str">
        <f t="shared" si="3"/>
        <v/>
      </c>
      <c r="B1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6" s="1" t="s">
        <v>112</v>
      </c>
    </row>
    <row r="197" spans="1:10" x14ac:dyDescent="0.25">
      <c r="A197" s="1" t="str">
        <f t="shared" si="3"/>
        <v/>
      </c>
      <c r="B1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7" s="1" t="s">
        <v>112</v>
      </c>
    </row>
    <row r="198" spans="1:10" x14ac:dyDescent="0.25">
      <c r="A198" s="1" t="str">
        <f t="shared" si="3"/>
        <v/>
      </c>
      <c r="B1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8" s="1" t="s">
        <v>112</v>
      </c>
    </row>
    <row r="199" spans="1:10" x14ac:dyDescent="0.25">
      <c r="A199" s="1" t="str">
        <f t="shared" si="3"/>
        <v/>
      </c>
      <c r="B1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9" s="1" t="s">
        <v>241</v>
      </c>
      <c r="D199" s="1" t="s">
        <v>110</v>
      </c>
      <c r="E199" s="1" t="s">
        <v>111</v>
      </c>
      <c r="F199" s="1" t="s">
        <v>112</v>
      </c>
      <c r="G199" s="1" t="s">
        <v>113</v>
      </c>
    </row>
    <row r="200" spans="1:10" x14ac:dyDescent="0.25">
      <c r="A200" s="1" t="str">
        <f t="shared" si="3"/>
        <v>07 EE2 488</v>
      </c>
      <c r="B2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0" s="1" t="s">
        <v>2071</v>
      </c>
      <c r="D200" s="1" t="s">
        <v>2072</v>
      </c>
      <c r="E200" s="1" t="s">
        <v>2073</v>
      </c>
      <c r="F200" s="1" t="s">
        <v>112</v>
      </c>
      <c r="G200" s="1">
        <v>5807346</v>
      </c>
    </row>
    <row r="201" spans="1:10" x14ac:dyDescent="0.25">
      <c r="A201" s="1" t="str">
        <f t="shared" si="3"/>
        <v>07 EE2 488</v>
      </c>
      <c r="B2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1" s="1" t="s">
        <v>2074</v>
      </c>
      <c r="D201" s="1" t="s">
        <v>1372</v>
      </c>
      <c r="E201" s="1" t="s">
        <v>2075</v>
      </c>
      <c r="F201" s="1" t="s">
        <v>112</v>
      </c>
      <c r="G201" s="1">
        <v>5411302</v>
      </c>
    </row>
    <row r="202" spans="1:10" x14ac:dyDescent="0.25">
      <c r="A202" s="1" t="str">
        <f t="shared" si="3"/>
        <v>07 EE2 488</v>
      </c>
      <c r="B2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2" s="1" t="s">
        <v>2076</v>
      </c>
      <c r="D202" s="1" t="s">
        <v>2077</v>
      </c>
      <c r="E202" s="1" t="s">
        <v>2078</v>
      </c>
      <c r="F202" s="1" t="s">
        <v>112</v>
      </c>
      <c r="G202" s="1">
        <v>5785283</v>
      </c>
    </row>
    <row r="203" spans="1:10" x14ac:dyDescent="0.25">
      <c r="A203" s="1" t="str">
        <f t="shared" si="3"/>
        <v>07 EE2 488</v>
      </c>
      <c r="B2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3" s="1" t="s">
        <v>2079</v>
      </c>
      <c r="D203" s="1" t="s">
        <v>527</v>
      </c>
      <c r="E203" s="1" t="s">
        <v>2080</v>
      </c>
      <c r="F203" s="1" t="s">
        <v>112</v>
      </c>
      <c r="G203" s="1">
        <v>4798960</v>
      </c>
    </row>
    <row r="204" spans="1:10" x14ac:dyDescent="0.25">
      <c r="A204" s="1" t="str">
        <f t="shared" si="3"/>
        <v>07 EE2 488</v>
      </c>
      <c r="B2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4" s="1" t="s">
        <v>2081</v>
      </c>
      <c r="D204" s="1" t="s">
        <v>2082</v>
      </c>
      <c r="E204" s="1" t="s">
        <v>2083</v>
      </c>
      <c r="F204" s="1" t="s">
        <v>112</v>
      </c>
      <c r="G204" s="1">
        <v>5190894</v>
      </c>
    </row>
    <row r="205" spans="1:10" x14ac:dyDescent="0.25">
      <c r="A205" s="1" t="str">
        <f t="shared" si="3"/>
        <v>07 EE2 488</v>
      </c>
      <c r="B2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5" s="1" t="s">
        <v>2084</v>
      </c>
      <c r="D205" s="1" t="s">
        <v>2085</v>
      </c>
      <c r="E205" s="1" t="s">
        <v>2086</v>
      </c>
      <c r="F205" s="1" t="s">
        <v>112</v>
      </c>
      <c r="G205" s="1">
        <v>5383443</v>
      </c>
    </row>
    <row r="206" spans="1:10" x14ac:dyDescent="0.25">
      <c r="A206" s="1" t="str">
        <f t="shared" si="3"/>
        <v>07 EE2 488</v>
      </c>
      <c r="B2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6" s="1" t="s">
        <v>2087</v>
      </c>
      <c r="D206" s="1" t="s">
        <v>2088</v>
      </c>
      <c r="E206" s="1" t="s">
        <v>2089</v>
      </c>
      <c r="F206" s="1" t="s">
        <v>112</v>
      </c>
      <c r="G206" s="1">
        <v>6315518</v>
      </c>
    </row>
    <row r="207" spans="1:10" x14ac:dyDescent="0.25">
      <c r="A207" s="1" t="str">
        <f t="shared" si="3"/>
        <v>07 EE2 488</v>
      </c>
      <c r="B2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7" s="1" t="s">
        <v>2090</v>
      </c>
      <c r="D207" s="1" t="s">
        <v>2091</v>
      </c>
      <c r="E207" s="1" t="s">
        <v>2092</v>
      </c>
      <c r="F207" s="1" t="s">
        <v>112</v>
      </c>
      <c r="G207" s="1">
        <v>7025974</v>
      </c>
    </row>
    <row r="208" spans="1:10" x14ac:dyDescent="0.25">
      <c r="A208" s="1" t="str">
        <f t="shared" si="3"/>
        <v>07 EE2 488</v>
      </c>
      <c r="B2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8" s="1" t="s">
        <v>2093</v>
      </c>
      <c r="D208" s="1" t="s">
        <v>2094</v>
      </c>
      <c r="E208" s="1" t="s">
        <v>2095</v>
      </c>
      <c r="F208" s="1" t="s">
        <v>112</v>
      </c>
      <c r="G208" s="1">
        <v>6627854</v>
      </c>
    </row>
    <row r="209" spans="1:7" x14ac:dyDescent="0.25">
      <c r="A209" s="1" t="str">
        <f t="shared" si="3"/>
        <v>07 EE2 488</v>
      </c>
      <c r="B2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09" s="1" t="s">
        <v>2096</v>
      </c>
      <c r="D209" s="1" t="s">
        <v>2097</v>
      </c>
      <c r="E209" s="1" t="s">
        <v>2098</v>
      </c>
      <c r="F209" s="1" t="s">
        <v>112</v>
      </c>
      <c r="G209" s="1">
        <v>6244399</v>
      </c>
    </row>
    <row r="210" spans="1:7" x14ac:dyDescent="0.25">
      <c r="A210" s="1" t="str">
        <f t="shared" si="3"/>
        <v>07 EE2 488</v>
      </c>
      <c r="B2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10" s="1" t="s">
        <v>2099</v>
      </c>
      <c r="D210" s="1" t="s">
        <v>2100</v>
      </c>
      <c r="E210" s="1" t="s">
        <v>2101</v>
      </c>
      <c r="F210" s="1" t="s">
        <v>112</v>
      </c>
      <c r="G210" s="1">
        <v>5820648</v>
      </c>
    </row>
    <row r="211" spans="1:7" x14ac:dyDescent="0.25">
      <c r="A211" s="1" t="str">
        <f t="shared" si="3"/>
        <v>07 EE2 488</v>
      </c>
      <c r="B2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11" s="1" t="s">
        <v>2102</v>
      </c>
      <c r="D211" s="1" t="s">
        <v>1160</v>
      </c>
      <c r="E211" s="1" t="s">
        <v>2103</v>
      </c>
      <c r="F211" s="1" t="s">
        <v>112</v>
      </c>
      <c r="G211" s="1">
        <v>6216086</v>
      </c>
    </row>
    <row r="212" spans="1:7" x14ac:dyDescent="0.25">
      <c r="A212" s="1" t="str">
        <f t="shared" si="3"/>
        <v>07 EE2 488</v>
      </c>
      <c r="B2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2" s="1" t="s">
        <v>2104</v>
      </c>
      <c r="D212" s="1" t="s">
        <v>2105</v>
      </c>
      <c r="E212" s="1" t="s">
        <v>2106</v>
      </c>
      <c r="F212" s="1" t="s">
        <v>112</v>
      </c>
      <c r="G212" s="1">
        <v>6547110</v>
      </c>
    </row>
    <row r="213" spans="1:7" x14ac:dyDescent="0.25">
      <c r="A213" s="1" t="str">
        <f t="shared" si="3"/>
        <v>07 EE2 488</v>
      </c>
      <c r="B2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3" s="1" t="s">
        <v>2107</v>
      </c>
      <c r="D213" s="1" t="s">
        <v>2108</v>
      </c>
      <c r="E213" s="1" t="s">
        <v>2109</v>
      </c>
      <c r="F213" s="1" t="s">
        <v>112</v>
      </c>
      <c r="G213" s="1">
        <v>6156452</v>
      </c>
    </row>
    <row r="214" spans="1:7" x14ac:dyDescent="0.25">
      <c r="A214" s="1" t="str">
        <f t="shared" si="3"/>
        <v>07 EE2 488</v>
      </c>
      <c r="B2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4" s="1" t="s">
        <v>2110</v>
      </c>
      <c r="D214" s="1" t="s">
        <v>2111</v>
      </c>
      <c r="E214" s="1" t="s">
        <v>2112</v>
      </c>
      <c r="F214" s="1" t="s">
        <v>112</v>
      </c>
      <c r="G214" s="1">
        <v>6169646</v>
      </c>
    </row>
    <row r="215" spans="1:7" x14ac:dyDescent="0.25">
      <c r="A215" s="1" t="str">
        <f t="shared" si="3"/>
        <v>07 EE2 488</v>
      </c>
      <c r="B2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5" s="1" t="s">
        <v>2113</v>
      </c>
      <c r="D215" s="1" t="s">
        <v>2114</v>
      </c>
      <c r="E215" s="1" t="s">
        <v>2115</v>
      </c>
      <c r="F215" s="1" t="s">
        <v>112</v>
      </c>
      <c r="G215" s="1">
        <v>4827944</v>
      </c>
    </row>
    <row r="216" spans="1:7" x14ac:dyDescent="0.25">
      <c r="A216" s="1" t="str">
        <f t="shared" si="3"/>
        <v>07 EE2 488</v>
      </c>
      <c r="B2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6" s="1" t="s">
        <v>2116</v>
      </c>
      <c r="D216" s="1" t="s">
        <v>2117</v>
      </c>
      <c r="E216" s="1" t="s">
        <v>2118</v>
      </c>
      <c r="F216" s="1" t="s">
        <v>112</v>
      </c>
      <c r="G216" s="1">
        <v>4477972</v>
      </c>
    </row>
    <row r="217" spans="1:7" x14ac:dyDescent="0.25">
      <c r="A217" s="1" t="str">
        <f t="shared" si="3"/>
        <v>07 EE2 488</v>
      </c>
      <c r="B2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7" s="1" t="s">
        <v>2119</v>
      </c>
      <c r="D217" s="1" t="s">
        <v>2120</v>
      </c>
      <c r="E217" s="1" t="s">
        <v>2121</v>
      </c>
      <c r="F217" s="1" t="s">
        <v>112</v>
      </c>
      <c r="G217" s="1">
        <v>4626072</v>
      </c>
    </row>
    <row r="218" spans="1:7" x14ac:dyDescent="0.25">
      <c r="A218" s="1" t="str">
        <f t="shared" si="3"/>
        <v>07 EE2 488</v>
      </c>
      <c r="B2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8" s="1" t="s">
        <v>2122</v>
      </c>
      <c r="D218" s="1" t="s">
        <v>2123</v>
      </c>
      <c r="E218" s="1" t="s">
        <v>2124</v>
      </c>
      <c r="F218" s="1" t="s">
        <v>112</v>
      </c>
      <c r="G218" s="1">
        <v>2613713</v>
      </c>
    </row>
    <row r="219" spans="1:7" x14ac:dyDescent="0.25">
      <c r="A219" s="1" t="str">
        <f t="shared" si="3"/>
        <v>07 EE2 488</v>
      </c>
      <c r="B2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9" s="1" t="s">
        <v>2125</v>
      </c>
      <c r="D219" s="1" t="s">
        <v>2126</v>
      </c>
      <c r="E219" s="1" t="s">
        <v>2127</v>
      </c>
      <c r="F219" s="1" t="s">
        <v>112</v>
      </c>
      <c r="G219" s="1">
        <v>2992496</v>
      </c>
    </row>
    <row r="220" spans="1:7" x14ac:dyDescent="0.25">
      <c r="A220" s="1" t="str">
        <f t="shared" si="3"/>
        <v>07 EE2 488</v>
      </c>
      <c r="B2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20" s="1" t="s">
        <v>2128</v>
      </c>
      <c r="D220" s="1" t="s">
        <v>2129</v>
      </c>
      <c r="E220" s="1" t="s">
        <v>2130</v>
      </c>
      <c r="F220" s="1" t="s">
        <v>112</v>
      </c>
      <c r="G220" s="1">
        <v>3241110</v>
      </c>
    </row>
    <row r="221" spans="1:7" x14ac:dyDescent="0.25">
      <c r="A221" s="1" t="str">
        <f t="shared" si="3"/>
        <v>07 EE2 488</v>
      </c>
      <c r="B2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1" s="1" t="s">
        <v>2131</v>
      </c>
      <c r="D221" s="1" t="s">
        <v>2132</v>
      </c>
      <c r="E221" s="1" t="s">
        <v>2133</v>
      </c>
      <c r="F221" s="1" t="s">
        <v>112</v>
      </c>
      <c r="G221" s="1">
        <v>6076400</v>
      </c>
    </row>
    <row r="222" spans="1:7" x14ac:dyDescent="0.25">
      <c r="A222" s="1" t="str">
        <f t="shared" si="3"/>
        <v>07 EE2 488</v>
      </c>
      <c r="B2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2" s="1" t="s">
        <v>2134</v>
      </c>
      <c r="D222" s="1" t="s">
        <v>2135</v>
      </c>
      <c r="E222" s="1" t="s">
        <v>2136</v>
      </c>
      <c r="F222" s="1" t="s">
        <v>112</v>
      </c>
      <c r="G222" s="1">
        <v>5580210</v>
      </c>
    </row>
    <row r="223" spans="1:7" x14ac:dyDescent="0.25">
      <c r="A223" s="1" t="str">
        <f t="shared" si="3"/>
        <v>07 EE2 488</v>
      </c>
      <c r="B2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3" s="1" t="s">
        <v>2137</v>
      </c>
      <c r="D223" s="1" t="s">
        <v>2138</v>
      </c>
      <c r="E223" s="1" t="s">
        <v>2139</v>
      </c>
      <c r="F223" s="1" t="s">
        <v>112</v>
      </c>
      <c r="G223" s="1">
        <v>5379441</v>
      </c>
    </row>
    <row r="224" spans="1:7" x14ac:dyDescent="0.25">
      <c r="A224" s="1" t="str">
        <f t="shared" si="3"/>
        <v/>
      </c>
      <c r="B2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4" s="1" t="s">
        <v>112</v>
      </c>
    </row>
    <row r="225" spans="1:10" x14ac:dyDescent="0.25">
      <c r="A225" s="1" t="str">
        <f t="shared" si="3"/>
        <v/>
      </c>
      <c r="B2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5" s="1" t="s">
        <v>229</v>
      </c>
      <c r="D225" s="1" t="s">
        <v>112</v>
      </c>
      <c r="E225" s="1" t="s">
        <v>230</v>
      </c>
      <c r="F225" s="1" t="s">
        <v>231</v>
      </c>
      <c r="G225" s="1" t="s">
        <v>232</v>
      </c>
      <c r="H225" s="1" t="s">
        <v>233</v>
      </c>
      <c r="I225" s="1" t="s">
        <v>234</v>
      </c>
      <c r="J225" s="1" t="s">
        <v>235</v>
      </c>
    </row>
    <row r="226" spans="1:10" x14ac:dyDescent="0.25">
      <c r="A226" s="1" t="str">
        <f t="shared" si="3"/>
        <v>07 EE2 488</v>
      </c>
      <c r="B22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26" s="1" t="s">
        <v>2140</v>
      </c>
      <c r="D226" s="1" t="s">
        <v>112</v>
      </c>
      <c r="E226" s="1" t="s">
        <v>2141</v>
      </c>
      <c r="F226" s="1" t="s">
        <v>2142</v>
      </c>
      <c r="G226" s="1" t="s">
        <v>2143</v>
      </c>
      <c r="H226" s="1" t="s">
        <v>2144</v>
      </c>
      <c r="I226" s="1">
        <v>24</v>
      </c>
      <c r="J226" s="1">
        <v>24</v>
      </c>
    </row>
    <row r="227" spans="1:10" x14ac:dyDescent="0.25">
      <c r="A227" s="1" t="str">
        <f t="shared" si="3"/>
        <v/>
      </c>
      <c r="B2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7" s="1" t="s">
        <v>112</v>
      </c>
    </row>
    <row r="228" spans="1:10" x14ac:dyDescent="0.25">
      <c r="A228" s="1" t="str">
        <f t="shared" si="3"/>
        <v/>
      </c>
      <c r="B2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8" s="1" t="s">
        <v>112</v>
      </c>
    </row>
    <row r="229" spans="1:10" x14ac:dyDescent="0.25">
      <c r="A229" s="1" t="str">
        <f t="shared" si="3"/>
        <v/>
      </c>
      <c r="B2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9" s="1" t="s">
        <v>112</v>
      </c>
    </row>
    <row r="230" spans="1:10" x14ac:dyDescent="0.25">
      <c r="A230" s="1" t="str">
        <f t="shared" si="3"/>
        <v/>
      </c>
      <c r="B2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0" s="1" t="s">
        <v>112</v>
      </c>
    </row>
    <row r="231" spans="1:10" x14ac:dyDescent="0.25">
      <c r="A231" s="1" t="str">
        <f t="shared" si="3"/>
        <v/>
      </c>
      <c r="B2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1" s="1" t="s">
        <v>112</v>
      </c>
    </row>
    <row r="232" spans="1:10" x14ac:dyDescent="0.25">
      <c r="A232" s="1" t="str">
        <f t="shared" si="3"/>
        <v/>
      </c>
      <c r="B2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2" s="1" t="s">
        <v>241</v>
      </c>
      <c r="D232" s="1" t="s">
        <v>110</v>
      </c>
      <c r="E232" s="1" t="s">
        <v>111</v>
      </c>
      <c r="F232" s="1" t="s">
        <v>112</v>
      </c>
      <c r="G232" s="1" t="s">
        <v>113</v>
      </c>
    </row>
    <row r="233" spans="1:10" x14ac:dyDescent="0.25">
      <c r="A233" s="1" t="str">
        <f t="shared" si="3"/>
        <v>08 Testosterone 3.7 µg_L</v>
      </c>
      <c r="B2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3" s="1" t="s">
        <v>2145</v>
      </c>
      <c r="D233" s="1" t="s">
        <v>212</v>
      </c>
      <c r="E233" s="1" t="s">
        <v>2146</v>
      </c>
      <c r="F233" s="1" t="s">
        <v>112</v>
      </c>
      <c r="G233" s="1">
        <v>48018</v>
      </c>
    </row>
    <row r="234" spans="1:10" x14ac:dyDescent="0.25">
      <c r="A234" s="1" t="str">
        <f t="shared" si="3"/>
        <v>08 Testosterone 3.7 µg_L</v>
      </c>
      <c r="B2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4" s="1" t="s">
        <v>2147</v>
      </c>
      <c r="D234" s="1" t="s">
        <v>321</v>
      </c>
      <c r="E234" s="1" t="s">
        <v>2148</v>
      </c>
      <c r="F234" s="1" t="s">
        <v>112</v>
      </c>
      <c r="G234" s="1">
        <v>49576</v>
      </c>
    </row>
    <row r="235" spans="1:10" x14ac:dyDescent="0.25">
      <c r="A235" s="1" t="str">
        <f t="shared" si="3"/>
        <v>08 Testosterone 3.7 µg_L</v>
      </c>
      <c r="B2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5" s="1" t="s">
        <v>2149</v>
      </c>
      <c r="D235" s="1" t="s">
        <v>2150</v>
      </c>
      <c r="E235" s="1" t="s">
        <v>2151</v>
      </c>
      <c r="F235" s="1" t="s">
        <v>112</v>
      </c>
      <c r="G235" s="1">
        <v>66209</v>
      </c>
    </row>
    <row r="236" spans="1:10" x14ac:dyDescent="0.25">
      <c r="A236" s="1" t="str">
        <f t="shared" si="3"/>
        <v>08 Testosterone 3.7 µg_L</v>
      </c>
      <c r="B2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6" s="1" t="s">
        <v>2152</v>
      </c>
      <c r="D236" s="1" t="s">
        <v>1678</v>
      </c>
      <c r="E236" s="1" t="s">
        <v>2153</v>
      </c>
      <c r="F236" s="1" t="s">
        <v>112</v>
      </c>
      <c r="G236" s="1">
        <v>21392</v>
      </c>
    </row>
    <row r="237" spans="1:10" x14ac:dyDescent="0.25">
      <c r="A237" s="1" t="str">
        <f t="shared" si="3"/>
        <v>08 Testosterone 3.7 µg_L</v>
      </c>
      <c r="B2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7" s="1" t="s">
        <v>2154</v>
      </c>
      <c r="D237" s="1" t="s">
        <v>2155</v>
      </c>
      <c r="E237" s="1" t="s">
        <v>2156</v>
      </c>
      <c r="F237" s="1" t="s">
        <v>112</v>
      </c>
      <c r="G237" s="1">
        <v>39604</v>
      </c>
    </row>
    <row r="238" spans="1:10" x14ac:dyDescent="0.25">
      <c r="A238" s="1" t="str">
        <f t="shared" si="3"/>
        <v>08 Testosterone 3.7 µg_L</v>
      </c>
      <c r="B2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8" s="1" t="s">
        <v>2157</v>
      </c>
      <c r="D238" s="1" t="s">
        <v>828</v>
      </c>
      <c r="E238" s="1" t="s">
        <v>2158</v>
      </c>
      <c r="F238" s="1" t="s">
        <v>112</v>
      </c>
      <c r="G238" s="1">
        <v>58249</v>
      </c>
    </row>
    <row r="239" spans="1:10" x14ac:dyDescent="0.25">
      <c r="A239" s="1" t="str">
        <f t="shared" si="3"/>
        <v>08 Testosterone 3.7 µg_L</v>
      </c>
      <c r="B2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39" s="1" t="s">
        <v>2159</v>
      </c>
    </row>
    <row r="240" spans="1:10" x14ac:dyDescent="0.25">
      <c r="A240" s="1" t="str">
        <f t="shared" si="3"/>
        <v>08 Testosterone 3.7 µg_L</v>
      </c>
      <c r="B2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40" s="1" t="s">
        <v>2160</v>
      </c>
      <c r="D240" s="1" t="s">
        <v>2161</v>
      </c>
      <c r="E240" s="1" t="s">
        <v>2162</v>
      </c>
      <c r="F240" s="1" t="s">
        <v>112</v>
      </c>
      <c r="G240" s="1">
        <v>101055</v>
      </c>
    </row>
    <row r="241" spans="1:7" x14ac:dyDescent="0.25">
      <c r="A241" s="1" t="str">
        <f t="shared" si="3"/>
        <v>08 Testosterone 3.7 µg_L</v>
      </c>
      <c r="B2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41" s="1" t="s">
        <v>2163</v>
      </c>
      <c r="D241" s="1" t="s">
        <v>742</v>
      </c>
      <c r="E241" s="1" t="s">
        <v>2164</v>
      </c>
      <c r="F241" s="1" t="s">
        <v>112</v>
      </c>
      <c r="G241" s="1">
        <v>163176</v>
      </c>
    </row>
    <row r="242" spans="1:7" x14ac:dyDescent="0.25">
      <c r="A242" s="1" t="str">
        <f t="shared" si="3"/>
        <v>08 Testosterone 3.7 µg_L</v>
      </c>
      <c r="B2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2" s="1" t="s">
        <v>2165</v>
      </c>
      <c r="D242" s="1" t="s">
        <v>1017</v>
      </c>
      <c r="E242" s="1" t="s">
        <v>2166</v>
      </c>
      <c r="F242" s="1" t="s">
        <v>112</v>
      </c>
      <c r="G242" s="1">
        <v>125540</v>
      </c>
    </row>
    <row r="243" spans="1:7" x14ac:dyDescent="0.25">
      <c r="A243" s="1" t="str">
        <f t="shared" si="3"/>
        <v>08 Testosterone 3.7 µg_L</v>
      </c>
      <c r="B2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3" s="1" t="s">
        <v>2167</v>
      </c>
      <c r="D243" s="1" t="s">
        <v>2168</v>
      </c>
      <c r="E243" s="1" t="s">
        <v>2169</v>
      </c>
      <c r="F243" s="1" t="s">
        <v>112</v>
      </c>
      <c r="G243" s="1">
        <v>141330</v>
      </c>
    </row>
    <row r="244" spans="1:7" x14ac:dyDescent="0.25">
      <c r="A244" s="1" t="str">
        <f t="shared" si="3"/>
        <v>08 Testosterone 3.7 µg_L</v>
      </c>
      <c r="B2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4" s="1" t="s">
        <v>2170</v>
      </c>
      <c r="D244" s="1" t="s">
        <v>2171</v>
      </c>
      <c r="E244" s="1" t="s">
        <v>2172</v>
      </c>
      <c r="F244" s="1" t="s">
        <v>112</v>
      </c>
      <c r="G244" s="1">
        <v>132397</v>
      </c>
    </row>
    <row r="245" spans="1:7" x14ac:dyDescent="0.25">
      <c r="A245" s="1" t="str">
        <f t="shared" si="3"/>
        <v>08 Testosterone 3.7 µg_L</v>
      </c>
      <c r="B2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5" s="1" t="s">
        <v>2173</v>
      </c>
      <c r="D245" s="1" t="s">
        <v>2174</v>
      </c>
      <c r="E245" s="1" t="s">
        <v>2175</v>
      </c>
      <c r="F245" s="1" t="s">
        <v>112</v>
      </c>
      <c r="G245" s="1">
        <v>86974</v>
      </c>
    </row>
    <row r="246" spans="1:7" x14ac:dyDescent="0.25">
      <c r="A246" s="1" t="str">
        <f t="shared" si="3"/>
        <v>08 Testosterone 3.7 µg_L</v>
      </c>
      <c r="B2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6" s="1" t="s">
        <v>2176</v>
      </c>
      <c r="D246" s="1" t="s">
        <v>2177</v>
      </c>
      <c r="E246" s="1" t="s">
        <v>1727</v>
      </c>
      <c r="F246" s="1" t="s">
        <v>112</v>
      </c>
      <c r="G246" s="1">
        <v>98870</v>
      </c>
    </row>
    <row r="247" spans="1:7" x14ac:dyDescent="0.25">
      <c r="A247" s="1" t="str">
        <f t="shared" si="3"/>
        <v>08 Testosterone 3.7 µg_L</v>
      </c>
      <c r="B2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7" s="1" t="s">
        <v>2178</v>
      </c>
    </row>
    <row r="248" spans="1:7" x14ac:dyDescent="0.25">
      <c r="A248" s="1" t="str">
        <f t="shared" si="3"/>
        <v>08 Testosterone 3.7 µg_L</v>
      </c>
      <c r="B2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48" s="1" t="s">
        <v>2179</v>
      </c>
      <c r="D248" s="1" t="s">
        <v>2180</v>
      </c>
      <c r="E248" s="1" t="s">
        <v>2181</v>
      </c>
      <c r="F248" s="1" t="s">
        <v>112</v>
      </c>
      <c r="G248" s="1">
        <v>358342</v>
      </c>
    </row>
    <row r="249" spans="1:7" x14ac:dyDescent="0.25">
      <c r="A249" s="1" t="str">
        <f t="shared" si="3"/>
        <v>08 Testosterone 3.7 µg_L</v>
      </c>
      <c r="B2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49" s="1" t="s">
        <v>2182</v>
      </c>
      <c r="D249" s="1" t="s">
        <v>2183</v>
      </c>
      <c r="E249" s="1" t="s">
        <v>2184</v>
      </c>
      <c r="F249" s="1" t="s">
        <v>112</v>
      </c>
      <c r="G249" s="1">
        <v>136614</v>
      </c>
    </row>
    <row r="250" spans="1:7" x14ac:dyDescent="0.25">
      <c r="A250" s="1" t="str">
        <f t="shared" si="3"/>
        <v>08 Testosterone 3.7 µg_L</v>
      </c>
      <c r="B2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50" s="1" t="s">
        <v>2185</v>
      </c>
      <c r="D250" s="1" t="s">
        <v>2186</v>
      </c>
      <c r="E250" s="1" t="s">
        <v>2187</v>
      </c>
      <c r="F250" s="1" t="s">
        <v>112</v>
      </c>
      <c r="G250" s="1">
        <v>178101</v>
      </c>
    </row>
    <row r="251" spans="1:7" x14ac:dyDescent="0.25">
      <c r="A251" s="1" t="str">
        <f t="shared" si="3"/>
        <v>08 Testosterone 3.7 µg_L</v>
      </c>
      <c r="B2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1" s="1" t="s">
        <v>2188</v>
      </c>
      <c r="D251" s="1" t="s">
        <v>2189</v>
      </c>
      <c r="E251" s="1" t="s">
        <v>2190</v>
      </c>
      <c r="F251" s="1" t="s">
        <v>112</v>
      </c>
      <c r="G251" s="1">
        <v>462231</v>
      </c>
    </row>
    <row r="252" spans="1:7" x14ac:dyDescent="0.25">
      <c r="A252" s="1" t="str">
        <f t="shared" si="3"/>
        <v>08 Testosterone 3.7 µg_L</v>
      </c>
      <c r="B2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2" s="1" t="s">
        <v>2191</v>
      </c>
      <c r="D252" s="1" t="s">
        <v>2192</v>
      </c>
      <c r="E252" s="1" t="s">
        <v>2193</v>
      </c>
      <c r="F252" s="1" t="s">
        <v>112</v>
      </c>
      <c r="G252" s="1">
        <v>500083</v>
      </c>
    </row>
    <row r="253" spans="1:7" x14ac:dyDescent="0.25">
      <c r="A253" s="1" t="str">
        <f t="shared" si="3"/>
        <v>08 Testosterone 3.7 µg_L</v>
      </c>
      <c r="B2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3" s="1" t="s">
        <v>2194</v>
      </c>
      <c r="D253" s="1" t="s">
        <v>2195</v>
      </c>
      <c r="E253" s="1" t="s">
        <v>2196</v>
      </c>
      <c r="F253" s="1" t="s">
        <v>112</v>
      </c>
      <c r="G253" s="1">
        <v>557511</v>
      </c>
    </row>
    <row r="254" spans="1:7" x14ac:dyDescent="0.25">
      <c r="A254" s="1" t="str">
        <f t="shared" si="3"/>
        <v>08 Testosterone 3.7 µg_L</v>
      </c>
      <c r="B2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4" s="1" t="s">
        <v>2197</v>
      </c>
      <c r="D254" s="1" t="s">
        <v>342</v>
      </c>
      <c r="E254" s="1" t="s">
        <v>2198</v>
      </c>
      <c r="F254" s="1" t="s">
        <v>112</v>
      </c>
      <c r="G254" s="1">
        <v>58574</v>
      </c>
    </row>
    <row r="255" spans="1:7" x14ac:dyDescent="0.25">
      <c r="A255" s="1" t="str">
        <f t="shared" si="3"/>
        <v>08 Testosterone 3.7 µg_L</v>
      </c>
      <c r="B2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5" s="1" t="s">
        <v>2199</v>
      </c>
      <c r="D255" s="1" t="s">
        <v>1811</v>
      </c>
      <c r="E255" s="1" t="s">
        <v>2200</v>
      </c>
      <c r="F255" s="1" t="s">
        <v>112</v>
      </c>
      <c r="G255" s="1">
        <v>54789</v>
      </c>
    </row>
    <row r="256" spans="1:7" x14ac:dyDescent="0.25">
      <c r="A256" s="1" t="str">
        <f t="shared" si="3"/>
        <v>08 Testosterone 3.7 µg_L</v>
      </c>
      <c r="B2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6" s="1" t="s">
        <v>2201</v>
      </c>
      <c r="D256" s="1" t="s">
        <v>2202</v>
      </c>
      <c r="E256" s="1" t="s">
        <v>2203</v>
      </c>
      <c r="F256" s="1" t="s">
        <v>112</v>
      </c>
      <c r="G256" s="1">
        <v>71033</v>
      </c>
    </row>
    <row r="257" spans="1:10" x14ac:dyDescent="0.25">
      <c r="A257" s="1" t="str">
        <f t="shared" si="3"/>
        <v/>
      </c>
      <c r="B2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57" s="1" t="s">
        <v>112</v>
      </c>
    </row>
    <row r="258" spans="1:10" x14ac:dyDescent="0.25">
      <c r="A258" s="1" t="str">
        <f t="shared" ref="A258:A321" si="4">IFERROR(LEFT(RIGHT(C258,LEN(C258)-SEARCH("@",C258)),SEARCH("/",RIGHT(C258,LEN(C258)-SEARCH("@",C258)-1))),"")</f>
        <v/>
      </c>
      <c r="B2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58" s="1" t="s">
        <v>229</v>
      </c>
      <c r="D258" s="1" t="s">
        <v>112</v>
      </c>
      <c r="E258" s="1" t="s">
        <v>230</v>
      </c>
      <c r="F258" s="1" t="s">
        <v>231</v>
      </c>
      <c r="G258" s="1" t="s">
        <v>232</v>
      </c>
      <c r="H258" s="1" t="s">
        <v>233</v>
      </c>
      <c r="I258" s="1" t="s">
        <v>234</v>
      </c>
      <c r="J258" s="1" t="s">
        <v>235</v>
      </c>
    </row>
    <row r="259" spans="1:10" x14ac:dyDescent="0.25">
      <c r="A259" s="1" t="str">
        <f t="shared" si="4"/>
        <v>08 Testosterone 3.7 µg_L</v>
      </c>
      <c r="B25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59" s="1" t="s">
        <v>2204</v>
      </c>
      <c r="D259" s="1" t="s">
        <v>112</v>
      </c>
      <c r="E259" s="1" t="s">
        <v>2205</v>
      </c>
      <c r="F259" s="1" t="s">
        <v>2206</v>
      </c>
      <c r="G259" s="1" t="s">
        <v>2207</v>
      </c>
      <c r="H259" s="1" t="s">
        <v>2208</v>
      </c>
      <c r="I259" s="1">
        <v>24</v>
      </c>
      <c r="J259" s="1">
        <v>24</v>
      </c>
    </row>
    <row r="260" spans="1:10" x14ac:dyDescent="0.25">
      <c r="A260" s="1" t="str">
        <f t="shared" si="4"/>
        <v/>
      </c>
      <c r="B2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0" s="1" t="s">
        <v>112</v>
      </c>
    </row>
    <row r="261" spans="1:10" x14ac:dyDescent="0.25">
      <c r="A261" s="1" t="str">
        <f t="shared" si="4"/>
        <v/>
      </c>
      <c r="B2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1" s="1" t="s">
        <v>112</v>
      </c>
    </row>
    <row r="262" spans="1:10" x14ac:dyDescent="0.25">
      <c r="A262" s="1" t="str">
        <f t="shared" si="4"/>
        <v/>
      </c>
      <c r="B2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2" s="1" t="s">
        <v>112</v>
      </c>
    </row>
    <row r="263" spans="1:10" x14ac:dyDescent="0.25">
      <c r="A263" s="1" t="str">
        <f t="shared" si="4"/>
        <v/>
      </c>
      <c r="B2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3" s="1" t="s">
        <v>112</v>
      </c>
    </row>
    <row r="264" spans="1:10" x14ac:dyDescent="0.25">
      <c r="A264" s="1" t="str">
        <f t="shared" si="4"/>
        <v/>
      </c>
      <c r="B2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4" s="1" t="s">
        <v>112</v>
      </c>
    </row>
    <row r="265" spans="1:10" x14ac:dyDescent="0.25">
      <c r="A265" s="1" t="str">
        <f t="shared" si="4"/>
        <v/>
      </c>
      <c r="B2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5" s="1" t="s">
        <v>241</v>
      </c>
      <c r="D265" s="1" t="s">
        <v>110</v>
      </c>
      <c r="E265" s="1" t="s">
        <v>111</v>
      </c>
      <c r="F265" s="1" t="s">
        <v>112</v>
      </c>
      <c r="G265" s="1" t="s">
        <v>113</v>
      </c>
    </row>
    <row r="266" spans="1:10" x14ac:dyDescent="0.25">
      <c r="A266" s="1" t="str">
        <f t="shared" si="4"/>
        <v>09  Testosterone 11 µg_L</v>
      </c>
      <c r="B2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6" s="1" t="s">
        <v>2209</v>
      </c>
      <c r="D266" s="1" t="s">
        <v>274</v>
      </c>
      <c r="E266" s="1" t="s">
        <v>1690</v>
      </c>
      <c r="F266" s="1" t="s">
        <v>112</v>
      </c>
      <c r="G266" s="1">
        <v>14254</v>
      </c>
    </row>
    <row r="267" spans="1:10" x14ac:dyDescent="0.25">
      <c r="A267" s="1" t="str">
        <f t="shared" si="4"/>
        <v>09  Testosterone 11 µg_L</v>
      </c>
      <c r="B2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7" s="1" t="s">
        <v>2210</v>
      </c>
      <c r="D267" s="1" t="s">
        <v>2211</v>
      </c>
      <c r="E267" s="1" t="s">
        <v>2212</v>
      </c>
      <c r="F267" s="1" t="s">
        <v>112</v>
      </c>
      <c r="G267" s="1">
        <v>77911</v>
      </c>
    </row>
    <row r="268" spans="1:10" x14ac:dyDescent="0.25">
      <c r="A268" s="1" t="str">
        <f t="shared" si="4"/>
        <v>09  Testosterone 11 µg_L</v>
      </c>
      <c r="B2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8" s="1" t="s">
        <v>2213</v>
      </c>
      <c r="D268" s="1" t="s">
        <v>1712</v>
      </c>
      <c r="E268" s="1" t="s">
        <v>2214</v>
      </c>
      <c r="F268" s="1" t="s">
        <v>112</v>
      </c>
      <c r="G268" s="1">
        <v>176111</v>
      </c>
    </row>
    <row r="269" spans="1:10" x14ac:dyDescent="0.25">
      <c r="A269" s="1" t="str">
        <f t="shared" si="4"/>
        <v>09  Testosterone 11 µg_L</v>
      </c>
      <c r="B2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69" s="1" t="s">
        <v>2215</v>
      </c>
      <c r="D269" s="1" t="s">
        <v>759</v>
      </c>
      <c r="E269" s="1" t="s">
        <v>2216</v>
      </c>
      <c r="F269" s="1" t="s">
        <v>112</v>
      </c>
      <c r="G269" s="1">
        <v>35603</v>
      </c>
    </row>
    <row r="270" spans="1:10" x14ac:dyDescent="0.25">
      <c r="A270" s="1" t="str">
        <f t="shared" si="4"/>
        <v>09  Testosterone 11 µg_L</v>
      </c>
      <c r="B2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70" s="1" t="s">
        <v>2217</v>
      </c>
      <c r="D270" s="1" t="s">
        <v>1014</v>
      </c>
      <c r="E270" s="1" t="s">
        <v>2218</v>
      </c>
      <c r="F270" s="1" t="s">
        <v>112</v>
      </c>
      <c r="G270" s="1">
        <v>73607</v>
      </c>
    </row>
    <row r="271" spans="1:10" x14ac:dyDescent="0.25">
      <c r="A271" s="1" t="str">
        <f t="shared" si="4"/>
        <v>09  Testosterone 11 µg_L</v>
      </c>
      <c r="B2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71" s="1" t="s">
        <v>2219</v>
      </c>
      <c r="D271" s="1" t="s">
        <v>2174</v>
      </c>
      <c r="E271" s="1" t="s">
        <v>2220</v>
      </c>
      <c r="F271" s="1" t="s">
        <v>112</v>
      </c>
      <c r="G271" s="1">
        <v>83470</v>
      </c>
    </row>
    <row r="272" spans="1:10" x14ac:dyDescent="0.25">
      <c r="A272" s="1" t="str">
        <f t="shared" si="4"/>
        <v>09  Testosterone 11 µg_L</v>
      </c>
      <c r="B2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2" s="1" t="s">
        <v>2221</v>
      </c>
      <c r="D272" s="1" t="s">
        <v>1712</v>
      </c>
      <c r="E272" s="1" t="s">
        <v>2222</v>
      </c>
      <c r="F272" s="1" t="s">
        <v>112</v>
      </c>
      <c r="G272" s="1">
        <v>173818</v>
      </c>
    </row>
    <row r="273" spans="1:7" x14ac:dyDescent="0.25">
      <c r="A273" s="1" t="str">
        <f t="shared" si="4"/>
        <v>09  Testosterone 11 µg_L</v>
      </c>
      <c r="B2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3" s="1" t="s">
        <v>2223</v>
      </c>
      <c r="D273" s="1" t="s">
        <v>2224</v>
      </c>
      <c r="E273" s="1" t="s">
        <v>2225</v>
      </c>
      <c r="F273" s="1" t="s">
        <v>112</v>
      </c>
      <c r="G273" s="1">
        <v>144617</v>
      </c>
    </row>
    <row r="274" spans="1:7" x14ac:dyDescent="0.25">
      <c r="A274" s="1" t="str">
        <f t="shared" si="4"/>
        <v>09  Testosterone 11 µg_L</v>
      </c>
      <c r="B2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4" s="1" t="s">
        <v>2226</v>
      </c>
      <c r="D274" s="1" t="s">
        <v>2227</v>
      </c>
      <c r="E274" s="1" t="s">
        <v>2228</v>
      </c>
      <c r="F274" s="1" t="s">
        <v>112</v>
      </c>
      <c r="G274" s="1">
        <v>116866</v>
      </c>
    </row>
    <row r="275" spans="1:7" x14ac:dyDescent="0.25">
      <c r="A275" s="1" t="str">
        <f t="shared" si="4"/>
        <v>09  Testosterone 11 µg_L</v>
      </c>
      <c r="B2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5" s="1" t="s">
        <v>2229</v>
      </c>
      <c r="D275" s="1" t="s">
        <v>2230</v>
      </c>
      <c r="E275" s="1" t="s">
        <v>2231</v>
      </c>
      <c r="F275" s="1" t="s">
        <v>112</v>
      </c>
      <c r="G275" s="1">
        <v>84378</v>
      </c>
    </row>
    <row r="276" spans="1:7" x14ac:dyDescent="0.25">
      <c r="A276" s="1" t="str">
        <f t="shared" si="4"/>
        <v>09  Testosterone 11 µg_L</v>
      </c>
      <c r="B2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6" s="1" t="s">
        <v>2232</v>
      </c>
      <c r="D276" s="1" t="s">
        <v>1915</v>
      </c>
      <c r="E276" s="1" t="s">
        <v>1773</v>
      </c>
      <c r="F276" s="1" t="s">
        <v>112</v>
      </c>
      <c r="G276" s="1">
        <v>53642</v>
      </c>
    </row>
    <row r="277" spans="1:7" x14ac:dyDescent="0.25">
      <c r="A277" s="1" t="str">
        <f t="shared" si="4"/>
        <v>09  Testosterone 11 µg_L</v>
      </c>
      <c r="B2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7" s="1" t="s">
        <v>2233</v>
      </c>
      <c r="D277" s="1" t="s">
        <v>1678</v>
      </c>
      <c r="E277" s="1" t="s">
        <v>736</v>
      </c>
      <c r="F277" s="1" t="s">
        <v>112</v>
      </c>
      <c r="G277" s="1">
        <v>22019</v>
      </c>
    </row>
    <row r="278" spans="1:7" x14ac:dyDescent="0.25">
      <c r="A278" s="1" t="str">
        <f t="shared" si="4"/>
        <v>09  Testosterone 11 µg_L</v>
      </c>
      <c r="B2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78" s="1" t="s">
        <v>2234</v>
      </c>
      <c r="D278" s="1" t="s">
        <v>2235</v>
      </c>
      <c r="E278" s="1" t="s">
        <v>2236</v>
      </c>
      <c r="F278" s="1" t="s">
        <v>112</v>
      </c>
      <c r="G278" s="1">
        <v>459289</v>
      </c>
    </row>
    <row r="279" spans="1:7" x14ac:dyDescent="0.25">
      <c r="A279" s="1" t="str">
        <f t="shared" si="4"/>
        <v>09  Testosterone 11 µg_L</v>
      </c>
      <c r="B2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79" s="1" t="s">
        <v>2237</v>
      </c>
      <c r="D279" s="1" t="s">
        <v>318</v>
      </c>
      <c r="E279" s="1" t="s">
        <v>2238</v>
      </c>
      <c r="F279" s="1" t="s">
        <v>112</v>
      </c>
      <c r="G279" s="1">
        <v>214893</v>
      </c>
    </row>
    <row r="280" spans="1:7" x14ac:dyDescent="0.25">
      <c r="A280" s="1" t="str">
        <f t="shared" si="4"/>
        <v>09  Testosterone 11 µg_L</v>
      </c>
      <c r="B2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80" s="1" t="s">
        <v>2239</v>
      </c>
      <c r="D280" s="1" t="s">
        <v>2240</v>
      </c>
      <c r="E280" s="1" t="s">
        <v>2241</v>
      </c>
      <c r="F280" s="1" t="s">
        <v>112</v>
      </c>
      <c r="G280" s="1">
        <v>220106</v>
      </c>
    </row>
    <row r="281" spans="1:7" x14ac:dyDescent="0.25">
      <c r="A281" s="1" t="str">
        <f t="shared" si="4"/>
        <v>09  Testosterone 11 µg_L</v>
      </c>
      <c r="B2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1" s="1" t="s">
        <v>2242</v>
      </c>
      <c r="D281" s="1" t="s">
        <v>2243</v>
      </c>
      <c r="E281" s="1" t="s">
        <v>2244</v>
      </c>
      <c r="F281" s="1" t="s">
        <v>112</v>
      </c>
      <c r="G281" s="1">
        <v>349604</v>
      </c>
    </row>
    <row r="282" spans="1:7" x14ac:dyDescent="0.25">
      <c r="A282" s="1" t="str">
        <f t="shared" si="4"/>
        <v>09  Testosterone 11 µg_L</v>
      </c>
      <c r="B2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2" s="1" t="s">
        <v>2245</v>
      </c>
      <c r="D282" s="1" t="s">
        <v>2246</v>
      </c>
      <c r="E282" s="1" t="s">
        <v>2247</v>
      </c>
      <c r="F282" s="1" t="s">
        <v>112</v>
      </c>
      <c r="G282" s="1">
        <v>169773</v>
      </c>
    </row>
    <row r="283" spans="1:7" x14ac:dyDescent="0.25">
      <c r="A283" s="1" t="str">
        <f t="shared" si="4"/>
        <v>09  Testosterone 11 µg_L</v>
      </c>
      <c r="B2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3" s="1" t="s">
        <v>2248</v>
      </c>
      <c r="D283" s="1" t="s">
        <v>2249</v>
      </c>
      <c r="E283" s="1" t="s">
        <v>2250</v>
      </c>
      <c r="F283" s="1" t="s">
        <v>112</v>
      </c>
      <c r="G283" s="1">
        <v>144185</v>
      </c>
    </row>
    <row r="284" spans="1:7" x14ac:dyDescent="0.25">
      <c r="A284" s="1" t="str">
        <f t="shared" si="4"/>
        <v>09  Testosterone 11 µg_L</v>
      </c>
      <c r="B2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4" s="1" t="s">
        <v>2251</v>
      </c>
      <c r="D284" s="1" t="s">
        <v>2252</v>
      </c>
      <c r="E284" s="1" t="s">
        <v>2253</v>
      </c>
      <c r="F284" s="1" t="s">
        <v>112</v>
      </c>
      <c r="G284" s="1">
        <v>338205</v>
      </c>
    </row>
    <row r="285" spans="1:7" x14ac:dyDescent="0.25">
      <c r="A285" s="1" t="str">
        <f t="shared" si="4"/>
        <v>09  Testosterone 11 µg_L</v>
      </c>
      <c r="B2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5" s="1" t="s">
        <v>2254</v>
      </c>
      <c r="D285" s="1" t="s">
        <v>2255</v>
      </c>
      <c r="E285" s="1" t="s">
        <v>2256</v>
      </c>
      <c r="F285" s="1" t="s">
        <v>112</v>
      </c>
      <c r="G285" s="1">
        <v>107760</v>
      </c>
    </row>
    <row r="286" spans="1:7" x14ac:dyDescent="0.25">
      <c r="A286" s="1" t="str">
        <f t="shared" si="4"/>
        <v>09  Testosterone 11 µg_L</v>
      </c>
      <c r="B2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6" s="1" t="s">
        <v>2257</v>
      </c>
      <c r="D286" s="1" t="s">
        <v>1814</v>
      </c>
      <c r="E286" s="1" t="s">
        <v>2258</v>
      </c>
      <c r="F286" s="1" t="s">
        <v>112</v>
      </c>
      <c r="G286" s="1">
        <v>91516</v>
      </c>
    </row>
    <row r="287" spans="1:7" x14ac:dyDescent="0.25">
      <c r="A287" s="1" t="str">
        <f t="shared" si="4"/>
        <v>09  Testosterone 11 µg_L</v>
      </c>
      <c r="B2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7" s="1" t="s">
        <v>2259</v>
      </c>
      <c r="D287" s="1" t="s">
        <v>2260</v>
      </c>
      <c r="E287" s="1" t="s">
        <v>2261</v>
      </c>
      <c r="F287" s="1" t="s">
        <v>112</v>
      </c>
      <c r="G287" s="1">
        <v>453341</v>
      </c>
    </row>
    <row r="288" spans="1:7" x14ac:dyDescent="0.25">
      <c r="A288" s="1" t="str">
        <f t="shared" si="4"/>
        <v>09  Testosterone 11 µg_L</v>
      </c>
      <c r="B2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8" s="1" t="s">
        <v>2262</v>
      </c>
      <c r="D288" s="1" t="s">
        <v>1869</v>
      </c>
      <c r="E288" s="1" t="s">
        <v>2263</v>
      </c>
      <c r="F288" s="1" t="s">
        <v>112</v>
      </c>
      <c r="G288" s="1">
        <v>500797</v>
      </c>
    </row>
    <row r="289" spans="1:10" x14ac:dyDescent="0.25">
      <c r="A289" s="1" t="str">
        <f t="shared" si="4"/>
        <v>09  Testosterone 11 µg_L</v>
      </c>
      <c r="B2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9" s="1" t="s">
        <v>2264</v>
      </c>
      <c r="D289" s="1" t="s">
        <v>2265</v>
      </c>
      <c r="E289" s="1" t="s">
        <v>2266</v>
      </c>
      <c r="F289" s="1" t="s">
        <v>112</v>
      </c>
      <c r="G289" s="1">
        <v>153724</v>
      </c>
    </row>
    <row r="290" spans="1:10" x14ac:dyDescent="0.25">
      <c r="A290" s="1" t="str">
        <f t="shared" si="4"/>
        <v/>
      </c>
      <c r="B2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0" s="1" t="s">
        <v>112</v>
      </c>
    </row>
    <row r="291" spans="1:10" x14ac:dyDescent="0.25">
      <c r="A291" s="1" t="str">
        <f t="shared" si="4"/>
        <v/>
      </c>
      <c r="B2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1" s="1" t="s">
        <v>229</v>
      </c>
      <c r="D291" s="1" t="s">
        <v>112</v>
      </c>
      <c r="E291" s="1" t="s">
        <v>230</v>
      </c>
      <c r="F291" s="1" t="s">
        <v>231</v>
      </c>
      <c r="G291" s="1" t="s">
        <v>232</v>
      </c>
      <c r="H291" s="1" t="s">
        <v>233</v>
      </c>
      <c r="I291" s="1" t="s">
        <v>234</v>
      </c>
      <c r="J291" s="1" t="s">
        <v>235</v>
      </c>
    </row>
    <row r="292" spans="1:10" x14ac:dyDescent="0.25">
      <c r="A292" s="1" t="str">
        <f t="shared" si="4"/>
        <v>09  Testosterone 11 µg_L</v>
      </c>
      <c r="B29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92" s="1" t="s">
        <v>2267</v>
      </c>
      <c r="D292" s="1" t="s">
        <v>112</v>
      </c>
      <c r="E292" s="1" t="s">
        <v>2268</v>
      </c>
      <c r="F292" s="1" t="s">
        <v>2269</v>
      </c>
      <c r="G292" s="1" t="s">
        <v>2270</v>
      </c>
      <c r="H292" s="1" t="s">
        <v>2271</v>
      </c>
      <c r="I292" s="1">
        <v>24</v>
      </c>
      <c r="J292" s="1">
        <v>24</v>
      </c>
    </row>
    <row r="293" spans="1:10" x14ac:dyDescent="0.25">
      <c r="A293" s="1" t="str">
        <f t="shared" si="4"/>
        <v/>
      </c>
      <c r="B2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3" s="1" t="s">
        <v>112</v>
      </c>
    </row>
    <row r="294" spans="1:10" x14ac:dyDescent="0.25">
      <c r="A294" s="1" t="str">
        <f t="shared" si="4"/>
        <v/>
      </c>
      <c r="B2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4" s="1" t="s">
        <v>112</v>
      </c>
    </row>
    <row r="295" spans="1:10" x14ac:dyDescent="0.25">
      <c r="A295" s="1" t="str">
        <f t="shared" si="4"/>
        <v/>
      </c>
      <c r="B2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5" s="1" t="s">
        <v>112</v>
      </c>
    </row>
    <row r="296" spans="1:10" x14ac:dyDescent="0.25">
      <c r="A296" s="1" t="str">
        <f t="shared" si="4"/>
        <v/>
      </c>
      <c r="B2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6" s="1" t="s">
        <v>112</v>
      </c>
    </row>
    <row r="297" spans="1:10" x14ac:dyDescent="0.25">
      <c r="A297" s="1" t="str">
        <f t="shared" si="4"/>
        <v/>
      </c>
      <c r="B2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7" s="1" t="s">
        <v>112</v>
      </c>
    </row>
    <row r="298" spans="1:10" x14ac:dyDescent="0.25">
      <c r="A298" s="1" t="str">
        <f t="shared" si="4"/>
        <v/>
      </c>
      <c r="B2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8" s="1" t="s">
        <v>241</v>
      </c>
      <c r="D298" s="1" t="s">
        <v>110</v>
      </c>
      <c r="E298" s="1" t="s">
        <v>111</v>
      </c>
      <c r="F298" s="1" t="s">
        <v>112</v>
      </c>
      <c r="G298" s="1" t="s">
        <v>113</v>
      </c>
    </row>
    <row r="299" spans="1:10" x14ac:dyDescent="0.25">
      <c r="A299" s="1" t="str">
        <f t="shared" si="4"/>
        <v>10  Testosterone 33 µg_L</v>
      </c>
      <c r="B2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99" s="1" t="s">
        <v>2272</v>
      </c>
      <c r="D299" s="1" t="s">
        <v>2273</v>
      </c>
      <c r="E299" s="1" t="s">
        <v>2274</v>
      </c>
      <c r="F299" s="1" t="s">
        <v>112</v>
      </c>
      <c r="G299" s="1">
        <v>1405986</v>
      </c>
    </row>
    <row r="300" spans="1:10" x14ac:dyDescent="0.25">
      <c r="A300" s="1" t="str">
        <f t="shared" si="4"/>
        <v>10  Testosterone 33 µg_L</v>
      </c>
      <c r="B3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00" s="1" t="s">
        <v>2275</v>
      </c>
      <c r="D300" s="1" t="s">
        <v>2276</v>
      </c>
      <c r="E300" s="1" t="s">
        <v>2277</v>
      </c>
      <c r="F300" s="1" t="s">
        <v>112</v>
      </c>
      <c r="G300" s="1">
        <v>1225052</v>
      </c>
    </row>
    <row r="301" spans="1:10" x14ac:dyDescent="0.25">
      <c r="A301" s="1" t="str">
        <f t="shared" si="4"/>
        <v>10  Testosterone 33 µg_L</v>
      </c>
      <c r="B3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01" s="1" t="s">
        <v>2278</v>
      </c>
      <c r="D301" s="1" t="s">
        <v>2279</v>
      </c>
      <c r="E301" s="1" t="s">
        <v>2280</v>
      </c>
      <c r="F301" s="1" t="s">
        <v>112</v>
      </c>
      <c r="G301" s="1">
        <v>1312610</v>
      </c>
    </row>
    <row r="302" spans="1:10" x14ac:dyDescent="0.25">
      <c r="A302" s="1" t="str">
        <f t="shared" si="4"/>
        <v>10  Testosterone 33 µg_L</v>
      </c>
      <c r="B3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2" s="1" t="s">
        <v>2281</v>
      </c>
      <c r="D302" s="1" t="s">
        <v>2282</v>
      </c>
      <c r="E302" s="1" t="s">
        <v>2283</v>
      </c>
      <c r="F302" s="1" t="s">
        <v>112</v>
      </c>
      <c r="G302" s="1">
        <v>1745814</v>
      </c>
    </row>
    <row r="303" spans="1:10" x14ac:dyDescent="0.25">
      <c r="A303" s="1" t="str">
        <f t="shared" si="4"/>
        <v>10  Testosterone 33 µg_L</v>
      </c>
      <c r="B3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3" s="1" t="s">
        <v>2284</v>
      </c>
      <c r="D303" s="1" t="s">
        <v>2285</v>
      </c>
      <c r="E303" s="1" t="s">
        <v>2286</v>
      </c>
      <c r="F303" s="1" t="s">
        <v>112</v>
      </c>
      <c r="G303" s="1">
        <v>1705993</v>
      </c>
    </row>
    <row r="304" spans="1:10" x14ac:dyDescent="0.25">
      <c r="A304" s="1" t="str">
        <f t="shared" si="4"/>
        <v>10  Testosterone 33 µg_L</v>
      </c>
      <c r="B3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4" s="1" t="s">
        <v>2287</v>
      </c>
      <c r="D304" s="1" t="s">
        <v>2288</v>
      </c>
      <c r="E304" s="1" t="s">
        <v>2289</v>
      </c>
      <c r="F304" s="1" t="s">
        <v>112</v>
      </c>
      <c r="G304" s="1">
        <v>1703311</v>
      </c>
    </row>
    <row r="305" spans="1:7" x14ac:dyDescent="0.25">
      <c r="A305" s="1" t="str">
        <f t="shared" si="4"/>
        <v>10  Testosterone 33 µg_L</v>
      </c>
      <c r="B3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5" s="1" t="s">
        <v>2290</v>
      </c>
      <c r="D305" s="1" t="s">
        <v>2291</v>
      </c>
      <c r="E305" s="1" t="s">
        <v>2292</v>
      </c>
      <c r="F305" s="1" t="s">
        <v>112</v>
      </c>
      <c r="G305" s="1">
        <v>217943</v>
      </c>
    </row>
    <row r="306" spans="1:7" x14ac:dyDescent="0.25">
      <c r="A306" s="1" t="str">
        <f t="shared" si="4"/>
        <v>10  Testosterone 33 µg_L</v>
      </c>
      <c r="B3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6" s="1" t="s">
        <v>2293</v>
      </c>
      <c r="D306" s="1" t="s">
        <v>2240</v>
      </c>
      <c r="E306" s="1" t="s">
        <v>2294</v>
      </c>
      <c r="F306" s="1" t="s">
        <v>112</v>
      </c>
      <c r="G306" s="1">
        <v>215239</v>
      </c>
    </row>
    <row r="307" spans="1:7" x14ac:dyDescent="0.25">
      <c r="A307" s="1" t="str">
        <f t="shared" si="4"/>
        <v>10  Testosterone 33 µg_L</v>
      </c>
      <c r="B3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7" s="1" t="s">
        <v>2295</v>
      </c>
      <c r="D307" s="1" t="s">
        <v>2296</v>
      </c>
      <c r="E307" s="1" t="s">
        <v>2297</v>
      </c>
      <c r="F307" s="1" t="s">
        <v>112</v>
      </c>
      <c r="G307" s="1">
        <v>204359</v>
      </c>
    </row>
    <row r="308" spans="1:7" x14ac:dyDescent="0.25">
      <c r="A308" s="1" t="str">
        <f t="shared" si="4"/>
        <v>10  Testosterone 33 µg_L</v>
      </c>
      <c r="B3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08" s="1" t="s">
        <v>2298</v>
      </c>
      <c r="D308" s="1" t="s">
        <v>548</v>
      </c>
      <c r="E308" s="1" t="s">
        <v>2299</v>
      </c>
      <c r="F308" s="1" t="s">
        <v>112</v>
      </c>
      <c r="G308" s="1">
        <v>565254</v>
      </c>
    </row>
    <row r="309" spans="1:7" x14ac:dyDescent="0.25">
      <c r="A309" s="1" t="str">
        <f t="shared" si="4"/>
        <v>10  Testosterone 33 µg_L</v>
      </c>
      <c r="B3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09" s="1" t="s">
        <v>2300</v>
      </c>
      <c r="D309" s="1" t="s">
        <v>2301</v>
      </c>
      <c r="E309" s="1" t="s">
        <v>2302</v>
      </c>
      <c r="F309" s="1" t="s">
        <v>112</v>
      </c>
      <c r="G309" s="1">
        <v>506767</v>
      </c>
    </row>
    <row r="310" spans="1:7" x14ac:dyDescent="0.25">
      <c r="A310" s="1" t="str">
        <f t="shared" si="4"/>
        <v>10  Testosterone 33 µg_L</v>
      </c>
      <c r="B3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10" s="1" t="s">
        <v>2303</v>
      </c>
    </row>
    <row r="311" spans="1:7" x14ac:dyDescent="0.25">
      <c r="A311" s="1" t="str">
        <f t="shared" si="4"/>
        <v>10  Testosterone 33 µg_L</v>
      </c>
      <c r="B3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1" s="1" t="s">
        <v>2304</v>
      </c>
      <c r="D311" s="1" t="s">
        <v>2305</v>
      </c>
      <c r="E311" s="1" t="s">
        <v>2306</v>
      </c>
      <c r="F311" s="1" t="s">
        <v>112</v>
      </c>
      <c r="G311" s="1">
        <v>523119</v>
      </c>
    </row>
    <row r="312" spans="1:7" x14ac:dyDescent="0.25">
      <c r="A312" s="1" t="str">
        <f t="shared" si="4"/>
        <v>10  Testosterone 33 µg_L</v>
      </c>
      <c r="B3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2" s="1" t="s">
        <v>2307</v>
      </c>
      <c r="D312" s="1" t="s">
        <v>2308</v>
      </c>
      <c r="E312" s="1" t="s">
        <v>2309</v>
      </c>
      <c r="F312" s="1" t="s">
        <v>112</v>
      </c>
      <c r="G312" s="1">
        <v>543170</v>
      </c>
    </row>
    <row r="313" spans="1:7" x14ac:dyDescent="0.25">
      <c r="A313" s="1" t="str">
        <f t="shared" si="4"/>
        <v>10  Testosterone 33 µg_L</v>
      </c>
      <c r="B3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3" s="1" t="s">
        <v>2310</v>
      </c>
      <c r="D313" s="1" t="s">
        <v>2311</v>
      </c>
      <c r="E313" s="1" t="s">
        <v>2312</v>
      </c>
      <c r="F313" s="1" t="s">
        <v>112</v>
      </c>
      <c r="G313" s="1">
        <v>745409</v>
      </c>
    </row>
    <row r="314" spans="1:7" x14ac:dyDescent="0.25">
      <c r="A314" s="1" t="str">
        <f t="shared" si="4"/>
        <v>10  Testosterone 33 µg_L</v>
      </c>
      <c r="B3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4" s="1" t="s">
        <v>2313</v>
      </c>
      <c r="D314" s="1" t="s">
        <v>2314</v>
      </c>
      <c r="E314" s="1" t="s">
        <v>2315</v>
      </c>
      <c r="F314" s="1" t="s">
        <v>112</v>
      </c>
      <c r="G314" s="1">
        <v>2505153</v>
      </c>
    </row>
    <row r="315" spans="1:7" x14ac:dyDescent="0.25">
      <c r="A315" s="1" t="str">
        <f t="shared" si="4"/>
        <v>10  Testosterone 33 µg_L</v>
      </c>
      <c r="B3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5" s="1" t="s">
        <v>2316</v>
      </c>
      <c r="D315" s="1" t="s">
        <v>2317</v>
      </c>
      <c r="E315" s="1" t="s">
        <v>2318</v>
      </c>
      <c r="F315" s="1" t="s">
        <v>112</v>
      </c>
      <c r="G315" s="1">
        <v>1593993</v>
      </c>
    </row>
    <row r="316" spans="1:7" x14ac:dyDescent="0.25">
      <c r="A316" s="1" t="str">
        <f t="shared" si="4"/>
        <v>10  Testosterone 33 µg_L</v>
      </c>
      <c r="B3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6" s="1" t="s">
        <v>2319</v>
      </c>
      <c r="D316" s="1" t="s">
        <v>2320</v>
      </c>
      <c r="E316" s="1" t="s">
        <v>2321</v>
      </c>
      <c r="F316" s="1" t="s">
        <v>112</v>
      </c>
      <c r="G316" s="1">
        <v>925132</v>
      </c>
    </row>
    <row r="317" spans="1:7" x14ac:dyDescent="0.25">
      <c r="A317" s="1" t="str">
        <f t="shared" si="4"/>
        <v>10  Testosterone 33 µg_L</v>
      </c>
      <c r="B3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7" s="1" t="s">
        <v>2322</v>
      </c>
      <c r="D317" s="1" t="s">
        <v>2323</v>
      </c>
      <c r="E317" s="1" t="s">
        <v>2324</v>
      </c>
      <c r="F317" s="1" t="s">
        <v>112</v>
      </c>
      <c r="G317" s="1">
        <v>1706902</v>
      </c>
    </row>
    <row r="318" spans="1:7" x14ac:dyDescent="0.25">
      <c r="A318" s="1" t="str">
        <f t="shared" si="4"/>
        <v>10  Testosterone 33 µg_L</v>
      </c>
      <c r="B3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8" s="1" t="s">
        <v>2325</v>
      </c>
      <c r="D318" s="1" t="s">
        <v>2326</v>
      </c>
      <c r="E318" s="1" t="s">
        <v>2327</v>
      </c>
      <c r="F318" s="1" t="s">
        <v>112</v>
      </c>
      <c r="G318" s="1">
        <v>1727082</v>
      </c>
    </row>
    <row r="319" spans="1:7" x14ac:dyDescent="0.25">
      <c r="A319" s="1" t="str">
        <f t="shared" si="4"/>
        <v>10  Testosterone 33 µg_L</v>
      </c>
      <c r="B3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9" s="1" t="s">
        <v>2328</v>
      </c>
    </row>
    <row r="320" spans="1:7" x14ac:dyDescent="0.25">
      <c r="A320" s="1" t="str">
        <f t="shared" si="4"/>
        <v>10  Testosterone 33 µg_L</v>
      </c>
      <c r="B3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0" s="1" t="s">
        <v>2329</v>
      </c>
    </row>
    <row r="321" spans="1:10" x14ac:dyDescent="0.25">
      <c r="A321" s="1" t="str">
        <f t="shared" si="4"/>
        <v>10  Testosterone 33 µg_L</v>
      </c>
      <c r="B3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1" s="1" t="s">
        <v>2330</v>
      </c>
      <c r="D321" s="1" t="s">
        <v>2331</v>
      </c>
      <c r="E321" s="1" t="s">
        <v>2332</v>
      </c>
      <c r="F321" s="1" t="s">
        <v>112</v>
      </c>
      <c r="G321" s="1">
        <v>1040549</v>
      </c>
    </row>
    <row r="322" spans="1:10" x14ac:dyDescent="0.25">
      <c r="A322" s="1" t="str">
        <f t="shared" ref="A322:A385" si="5">IFERROR(LEFT(RIGHT(C322,LEN(C322)-SEARCH("@",C322)),SEARCH("/",RIGHT(C322,LEN(C322)-SEARCH("@",C322)-1))),"")</f>
        <v>10  Testosterone 33 µg_L</v>
      </c>
      <c r="B3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2" s="1" t="s">
        <v>2333</v>
      </c>
      <c r="D322" s="1" t="s">
        <v>2334</v>
      </c>
      <c r="E322" s="1" t="s">
        <v>2335</v>
      </c>
      <c r="F322" s="1" t="s">
        <v>112</v>
      </c>
      <c r="G322" s="1">
        <v>432749</v>
      </c>
    </row>
    <row r="323" spans="1:10" x14ac:dyDescent="0.25">
      <c r="A323" s="1" t="str">
        <f t="shared" si="5"/>
        <v/>
      </c>
      <c r="B3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3" s="1" t="s">
        <v>112</v>
      </c>
    </row>
    <row r="324" spans="1:10" x14ac:dyDescent="0.25">
      <c r="A324" s="1" t="str">
        <f t="shared" si="5"/>
        <v/>
      </c>
      <c r="B3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4" s="1" t="s">
        <v>229</v>
      </c>
      <c r="D324" s="1" t="s">
        <v>112</v>
      </c>
      <c r="E324" s="1" t="s">
        <v>230</v>
      </c>
      <c r="F324" s="1" t="s">
        <v>231</v>
      </c>
      <c r="G324" s="1" t="s">
        <v>232</v>
      </c>
      <c r="H324" s="1" t="s">
        <v>233</v>
      </c>
      <c r="I324" s="1" t="s">
        <v>234</v>
      </c>
      <c r="J324" s="1" t="s">
        <v>235</v>
      </c>
    </row>
    <row r="325" spans="1:10" x14ac:dyDescent="0.25">
      <c r="A325" s="1" t="str">
        <f t="shared" si="5"/>
        <v>10  Testosterone 33 µg_L</v>
      </c>
      <c r="B3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25" s="1" t="s">
        <v>2336</v>
      </c>
      <c r="D325" s="1" t="s">
        <v>112</v>
      </c>
      <c r="E325" s="1" t="s">
        <v>2337</v>
      </c>
      <c r="F325" s="1" t="s">
        <v>2338</v>
      </c>
      <c r="G325" s="1" t="s">
        <v>2339</v>
      </c>
      <c r="H325" s="1" t="s">
        <v>2340</v>
      </c>
      <c r="I325" s="1">
        <v>24</v>
      </c>
      <c r="J325" s="1">
        <v>24</v>
      </c>
    </row>
    <row r="326" spans="1:10" x14ac:dyDescent="0.25">
      <c r="A326" s="1" t="str">
        <f t="shared" si="5"/>
        <v/>
      </c>
      <c r="B3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6" s="1" t="s">
        <v>112</v>
      </c>
    </row>
    <row r="327" spans="1:10" x14ac:dyDescent="0.25">
      <c r="A327" s="1" t="str">
        <f t="shared" si="5"/>
        <v/>
      </c>
      <c r="B3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7" s="1" t="s">
        <v>112</v>
      </c>
    </row>
    <row r="328" spans="1:10" x14ac:dyDescent="0.25">
      <c r="A328" s="1" t="str">
        <f t="shared" si="5"/>
        <v/>
      </c>
      <c r="B3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8" s="1" t="s">
        <v>112</v>
      </c>
    </row>
    <row r="329" spans="1:10" x14ac:dyDescent="0.25">
      <c r="A329" s="1" t="str">
        <f t="shared" si="5"/>
        <v/>
      </c>
      <c r="B3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9" s="1" t="s">
        <v>112</v>
      </c>
    </row>
    <row r="330" spans="1:10" x14ac:dyDescent="0.25">
      <c r="A330" s="1" t="str">
        <f t="shared" si="5"/>
        <v/>
      </c>
      <c r="B3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0" s="1" t="s">
        <v>112</v>
      </c>
    </row>
    <row r="331" spans="1:10" x14ac:dyDescent="0.25">
      <c r="A331" s="1" t="str">
        <f t="shared" si="5"/>
        <v/>
      </c>
      <c r="B3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1" s="1" t="s">
        <v>241</v>
      </c>
      <c r="D331" s="1" t="s">
        <v>110</v>
      </c>
      <c r="E331" s="1" t="s">
        <v>111</v>
      </c>
      <c r="F331" s="1" t="s">
        <v>112</v>
      </c>
      <c r="G331" s="1" t="s">
        <v>113</v>
      </c>
    </row>
    <row r="332" spans="1:10" x14ac:dyDescent="0.25">
      <c r="A332" s="1" t="str">
        <f t="shared" si="5"/>
        <v>11  Testosterone 100 µg_L</v>
      </c>
      <c r="B3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2" s="1" t="s">
        <v>2341</v>
      </c>
      <c r="D332" s="1" t="s">
        <v>551</v>
      </c>
      <c r="E332" s="1" t="s">
        <v>2342</v>
      </c>
      <c r="F332" s="1" t="s">
        <v>112</v>
      </c>
      <c r="G332" s="1">
        <v>485937</v>
      </c>
    </row>
    <row r="333" spans="1:10" x14ac:dyDescent="0.25">
      <c r="A333" s="1" t="str">
        <f t="shared" si="5"/>
        <v>11  Testosterone 100 µg_L</v>
      </c>
      <c r="B3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3" s="1" t="s">
        <v>2343</v>
      </c>
      <c r="D333" s="1" t="s">
        <v>731</v>
      </c>
      <c r="E333" s="1" t="s">
        <v>2344</v>
      </c>
      <c r="F333" s="1" t="s">
        <v>112</v>
      </c>
      <c r="G333" s="1">
        <v>455158</v>
      </c>
    </row>
    <row r="334" spans="1:10" x14ac:dyDescent="0.25">
      <c r="A334" s="1" t="str">
        <f t="shared" si="5"/>
        <v>11  Testosterone 100 µg_L</v>
      </c>
      <c r="B3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4" s="1" t="s">
        <v>2345</v>
      </c>
      <c r="D334" s="1" t="s">
        <v>2346</v>
      </c>
      <c r="E334" s="1" t="s">
        <v>2347</v>
      </c>
      <c r="F334" s="1" t="s">
        <v>112</v>
      </c>
      <c r="G334" s="1">
        <v>483601</v>
      </c>
    </row>
    <row r="335" spans="1:10" x14ac:dyDescent="0.25">
      <c r="A335" s="1" t="str">
        <f t="shared" si="5"/>
        <v>11  Testosterone 100 µg_L</v>
      </c>
      <c r="B3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5" s="1" t="s">
        <v>2348</v>
      </c>
      <c r="D335" s="1" t="s">
        <v>2349</v>
      </c>
      <c r="E335" s="1" t="s">
        <v>2350</v>
      </c>
      <c r="F335" s="1" t="s">
        <v>112</v>
      </c>
      <c r="G335" s="1">
        <v>1858743</v>
      </c>
    </row>
    <row r="336" spans="1:10" x14ac:dyDescent="0.25">
      <c r="A336" s="1" t="str">
        <f t="shared" si="5"/>
        <v>11  Testosterone 100 µg_L</v>
      </c>
      <c r="B3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6" s="1" t="s">
        <v>2351</v>
      </c>
      <c r="D336" s="1" t="s">
        <v>2352</v>
      </c>
      <c r="E336" s="1" t="s">
        <v>2353</v>
      </c>
      <c r="F336" s="1" t="s">
        <v>112</v>
      </c>
      <c r="G336" s="1">
        <v>1874317</v>
      </c>
    </row>
    <row r="337" spans="1:7" x14ac:dyDescent="0.25">
      <c r="A337" s="1" t="str">
        <f t="shared" si="5"/>
        <v>11  Testosterone 100 µg_L</v>
      </c>
      <c r="B3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7" s="1" t="s">
        <v>2354</v>
      </c>
      <c r="D337" s="1" t="s">
        <v>2355</v>
      </c>
      <c r="E337" s="1" t="s">
        <v>2356</v>
      </c>
      <c r="F337" s="1" t="s">
        <v>112</v>
      </c>
      <c r="G337" s="1">
        <v>1995185</v>
      </c>
    </row>
    <row r="338" spans="1:7" x14ac:dyDescent="0.25">
      <c r="A338" s="1" t="str">
        <f t="shared" si="5"/>
        <v>11  Testosterone 100 µg_L</v>
      </c>
      <c r="B3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38" s="1" t="s">
        <v>2357</v>
      </c>
    </row>
    <row r="339" spans="1:7" x14ac:dyDescent="0.25">
      <c r="A339" s="1" t="str">
        <f t="shared" si="5"/>
        <v>11  Testosterone 100 µg_L</v>
      </c>
      <c r="B3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39" s="1" t="s">
        <v>2358</v>
      </c>
      <c r="D339" s="1" t="s">
        <v>2359</v>
      </c>
      <c r="E339" s="1" t="s">
        <v>2360</v>
      </c>
      <c r="F339" s="1" t="s">
        <v>112</v>
      </c>
      <c r="G339" s="1">
        <v>703210</v>
      </c>
    </row>
    <row r="340" spans="1:7" x14ac:dyDescent="0.25">
      <c r="A340" s="1" t="str">
        <f t="shared" si="5"/>
        <v>11  Testosterone 100 µg_L</v>
      </c>
      <c r="B3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40" s="1" t="s">
        <v>2361</v>
      </c>
      <c r="D340" s="1" t="s">
        <v>2362</v>
      </c>
      <c r="E340" s="1" t="s">
        <v>2363</v>
      </c>
      <c r="F340" s="1" t="s">
        <v>112</v>
      </c>
      <c r="G340" s="1">
        <v>534258</v>
      </c>
    </row>
    <row r="341" spans="1:7" x14ac:dyDescent="0.25">
      <c r="A341" s="1" t="str">
        <f t="shared" si="5"/>
        <v>11  Testosterone 100 µg_L</v>
      </c>
      <c r="B3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1" s="1" t="s">
        <v>2364</v>
      </c>
      <c r="D341" s="1" t="s">
        <v>2365</v>
      </c>
      <c r="E341" s="1" t="s">
        <v>2366</v>
      </c>
      <c r="F341" s="1" t="s">
        <v>112</v>
      </c>
      <c r="G341" s="1">
        <v>2387594</v>
      </c>
    </row>
    <row r="342" spans="1:7" x14ac:dyDescent="0.25">
      <c r="A342" s="1" t="str">
        <f t="shared" si="5"/>
        <v>11  Testosterone 100 µg_L</v>
      </c>
      <c r="B3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2" s="1" t="s">
        <v>2367</v>
      </c>
      <c r="D342" s="1" t="s">
        <v>2368</v>
      </c>
      <c r="E342" s="1" t="s">
        <v>2369</v>
      </c>
      <c r="F342" s="1" t="s">
        <v>112</v>
      </c>
      <c r="G342" s="1">
        <v>2274989</v>
      </c>
    </row>
    <row r="343" spans="1:7" x14ac:dyDescent="0.25">
      <c r="A343" s="1" t="str">
        <f t="shared" si="5"/>
        <v>11  Testosterone 100 µg_L</v>
      </c>
      <c r="B3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3" s="1" t="s">
        <v>2370</v>
      </c>
      <c r="D343" s="1" t="s">
        <v>2371</v>
      </c>
      <c r="E343" s="1" t="s">
        <v>2372</v>
      </c>
      <c r="F343" s="1" t="s">
        <v>112</v>
      </c>
      <c r="G343" s="1">
        <v>2356296</v>
      </c>
    </row>
    <row r="344" spans="1:7" x14ac:dyDescent="0.25">
      <c r="A344" s="1" t="str">
        <f t="shared" si="5"/>
        <v>11  Testosterone 100 µg_L</v>
      </c>
      <c r="B3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4" s="1" t="s">
        <v>2373</v>
      </c>
      <c r="D344" s="1" t="s">
        <v>2374</v>
      </c>
      <c r="E344" s="1" t="s">
        <v>2375</v>
      </c>
      <c r="F344" s="1" t="s">
        <v>112</v>
      </c>
      <c r="G344" s="1">
        <v>1883488</v>
      </c>
    </row>
    <row r="345" spans="1:7" x14ac:dyDescent="0.25">
      <c r="A345" s="1" t="str">
        <f t="shared" si="5"/>
        <v>11  Testosterone 100 µg_L</v>
      </c>
      <c r="B3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5" s="1" t="s">
        <v>2376</v>
      </c>
      <c r="D345" s="1" t="s">
        <v>2377</v>
      </c>
      <c r="E345" s="1" t="s">
        <v>2378</v>
      </c>
      <c r="F345" s="1" t="s">
        <v>112</v>
      </c>
      <c r="G345" s="1">
        <v>1602581</v>
      </c>
    </row>
    <row r="346" spans="1:7" x14ac:dyDescent="0.25">
      <c r="A346" s="1" t="str">
        <f t="shared" si="5"/>
        <v>11  Testosterone 100 µg_L</v>
      </c>
      <c r="B3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6" s="1" t="s">
        <v>2379</v>
      </c>
      <c r="D346" s="1" t="s">
        <v>2380</v>
      </c>
      <c r="E346" s="1" t="s">
        <v>2381</v>
      </c>
      <c r="F346" s="1" t="s">
        <v>112</v>
      </c>
      <c r="G346" s="1">
        <v>2181267</v>
      </c>
    </row>
    <row r="347" spans="1:7" x14ac:dyDescent="0.25">
      <c r="A347" s="1" t="str">
        <f t="shared" si="5"/>
        <v>11  Testosterone 100 µg_L</v>
      </c>
      <c r="B3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7" s="1" t="s">
        <v>2382</v>
      </c>
      <c r="D347" s="1" t="s">
        <v>2383</v>
      </c>
      <c r="E347" s="1" t="s">
        <v>2384</v>
      </c>
      <c r="F347" s="1" t="s">
        <v>112</v>
      </c>
      <c r="G347" s="1">
        <v>481784</v>
      </c>
    </row>
    <row r="348" spans="1:7" x14ac:dyDescent="0.25">
      <c r="A348" s="1" t="str">
        <f t="shared" si="5"/>
        <v>11  Testosterone 100 µg_L</v>
      </c>
      <c r="B3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8" s="1" t="s">
        <v>2385</v>
      </c>
      <c r="D348" s="1" t="s">
        <v>2386</v>
      </c>
      <c r="E348" s="1" t="s">
        <v>2387</v>
      </c>
      <c r="F348" s="1" t="s">
        <v>112</v>
      </c>
      <c r="G348" s="1">
        <v>578989</v>
      </c>
    </row>
    <row r="349" spans="1:7" x14ac:dyDescent="0.25">
      <c r="A349" s="1" t="str">
        <f t="shared" si="5"/>
        <v>11  Testosterone 100 µg_L</v>
      </c>
      <c r="B3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9" s="1" t="s">
        <v>2388</v>
      </c>
      <c r="D349" s="1" t="s">
        <v>2389</v>
      </c>
      <c r="E349" s="1" t="s">
        <v>2390</v>
      </c>
      <c r="F349" s="1" t="s">
        <v>112</v>
      </c>
      <c r="G349" s="1">
        <v>168908</v>
      </c>
    </row>
    <row r="350" spans="1:7" x14ac:dyDescent="0.25">
      <c r="A350" s="1" t="str">
        <f t="shared" si="5"/>
        <v>11  Testosterone 100 µg_L</v>
      </c>
      <c r="B3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0" s="1" t="s">
        <v>2391</v>
      </c>
      <c r="D350" s="1" t="s">
        <v>2392</v>
      </c>
      <c r="E350" s="1" t="s">
        <v>2393</v>
      </c>
      <c r="F350" s="1" t="s">
        <v>112</v>
      </c>
      <c r="G350" s="1">
        <v>776102</v>
      </c>
    </row>
    <row r="351" spans="1:7" x14ac:dyDescent="0.25">
      <c r="A351" s="1" t="str">
        <f t="shared" si="5"/>
        <v>11  Testosterone 100 µg_L</v>
      </c>
      <c r="B3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1" s="1" t="s">
        <v>2394</v>
      </c>
    </row>
    <row r="352" spans="1:7" x14ac:dyDescent="0.25">
      <c r="A352" s="1" t="str">
        <f t="shared" si="5"/>
        <v>11  Testosterone 100 µg_L</v>
      </c>
      <c r="B3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2" s="1" t="s">
        <v>2395</v>
      </c>
      <c r="D352" s="1" t="s">
        <v>1823</v>
      </c>
      <c r="E352" s="1" t="s">
        <v>2396</v>
      </c>
      <c r="F352" s="1" t="s">
        <v>112</v>
      </c>
      <c r="G352" s="1">
        <v>32834</v>
      </c>
    </row>
    <row r="353" spans="1:10" x14ac:dyDescent="0.25">
      <c r="A353" s="1" t="str">
        <f t="shared" si="5"/>
        <v>11  Testosterone 100 µg_L</v>
      </c>
      <c r="B3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3" s="1" t="s">
        <v>2397</v>
      </c>
      <c r="D353" s="1" t="s">
        <v>2398</v>
      </c>
      <c r="E353" s="1" t="s">
        <v>2399</v>
      </c>
      <c r="F353" s="1" t="s">
        <v>112</v>
      </c>
      <c r="G353" s="1">
        <v>1066700</v>
      </c>
    </row>
    <row r="354" spans="1:10" x14ac:dyDescent="0.25">
      <c r="A354" s="1" t="str">
        <f t="shared" si="5"/>
        <v>11  Testosterone 100 µg_L</v>
      </c>
      <c r="B3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4" s="1" t="s">
        <v>2400</v>
      </c>
      <c r="D354" s="1" t="s">
        <v>2401</v>
      </c>
      <c r="E354" s="1" t="s">
        <v>2402</v>
      </c>
      <c r="F354" s="1" t="s">
        <v>112</v>
      </c>
      <c r="G354" s="1">
        <v>929545</v>
      </c>
    </row>
    <row r="355" spans="1:10" x14ac:dyDescent="0.25">
      <c r="A355" s="1" t="str">
        <f t="shared" si="5"/>
        <v>11  Testosterone 100 µg_L</v>
      </c>
      <c r="B3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5" s="1" t="s">
        <v>2403</v>
      </c>
      <c r="D355" s="1" t="s">
        <v>2404</v>
      </c>
      <c r="E355" s="1" t="s">
        <v>2405</v>
      </c>
      <c r="F355" s="1" t="s">
        <v>112</v>
      </c>
      <c r="G355" s="1">
        <v>868808</v>
      </c>
    </row>
    <row r="356" spans="1:10" x14ac:dyDescent="0.25">
      <c r="A356" s="1" t="str">
        <f t="shared" si="5"/>
        <v/>
      </c>
      <c r="B3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6" s="1" t="s">
        <v>112</v>
      </c>
    </row>
    <row r="357" spans="1:10" x14ac:dyDescent="0.25">
      <c r="A357" s="1" t="str">
        <f t="shared" si="5"/>
        <v/>
      </c>
      <c r="B3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7" s="1" t="s">
        <v>229</v>
      </c>
      <c r="D357" s="1" t="s">
        <v>112</v>
      </c>
      <c r="E357" s="1" t="s">
        <v>230</v>
      </c>
      <c r="F357" s="1" t="s">
        <v>231</v>
      </c>
      <c r="G357" s="1" t="s">
        <v>232</v>
      </c>
      <c r="H357" s="1" t="s">
        <v>233</v>
      </c>
      <c r="I357" s="1" t="s">
        <v>234</v>
      </c>
      <c r="J357" s="1" t="s">
        <v>235</v>
      </c>
    </row>
    <row r="358" spans="1:10" x14ac:dyDescent="0.25">
      <c r="A358" s="1" t="str">
        <f t="shared" si="5"/>
        <v>11  Testosterone 100 µg_L</v>
      </c>
      <c r="B3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58" s="1" t="s">
        <v>2406</v>
      </c>
      <c r="D358" s="1" t="s">
        <v>112</v>
      </c>
      <c r="E358" s="1" t="s">
        <v>2407</v>
      </c>
      <c r="F358" s="1" t="s">
        <v>2408</v>
      </c>
      <c r="G358" s="1">
        <v>1083975</v>
      </c>
      <c r="H358" s="1" t="s">
        <v>2409</v>
      </c>
      <c r="I358" s="1">
        <v>24</v>
      </c>
      <c r="J358" s="1">
        <v>24</v>
      </c>
    </row>
    <row r="359" spans="1:10" x14ac:dyDescent="0.25">
      <c r="A359" s="1" t="str">
        <f t="shared" si="5"/>
        <v/>
      </c>
      <c r="B3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9" s="1" t="s">
        <v>112</v>
      </c>
    </row>
    <row r="360" spans="1:10" x14ac:dyDescent="0.25">
      <c r="A360" s="1" t="str">
        <f t="shared" si="5"/>
        <v/>
      </c>
      <c r="B3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0" s="1" t="s">
        <v>112</v>
      </c>
    </row>
    <row r="361" spans="1:10" x14ac:dyDescent="0.25">
      <c r="A361" s="1" t="str">
        <f t="shared" si="5"/>
        <v/>
      </c>
      <c r="B3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1" s="1" t="s">
        <v>112</v>
      </c>
    </row>
    <row r="362" spans="1:10" x14ac:dyDescent="0.25">
      <c r="A362" s="1" t="str">
        <f t="shared" si="5"/>
        <v/>
      </c>
      <c r="B3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2" s="1" t="s">
        <v>112</v>
      </c>
    </row>
    <row r="363" spans="1:10" x14ac:dyDescent="0.25">
      <c r="A363" s="1" t="str">
        <f t="shared" si="5"/>
        <v/>
      </c>
      <c r="B3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3" s="1" t="s">
        <v>112</v>
      </c>
    </row>
    <row r="364" spans="1:10" x14ac:dyDescent="0.25">
      <c r="A364" s="1" t="str">
        <f t="shared" si="5"/>
        <v/>
      </c>
      <c r="B3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4" s="1" t="s">
        <v>241</v>
      </c>
      <c r="D364" s="1" t="s">
        <v>110</v>
      </c>
      <c r="E364" s="1" t="s">
        <v>111</v>
      </c>
      <c r="F364" s="1" t="s">
        <v>112</v>
      </c>
      <c r="G364" s="1" t="s">
        <v>113</v>
      </c>
    </row>
    <row r="365" spans="1:10" x14ac:dyDescent="0.25">
      <c r="A365" s="1" t="str">
        <f t="shared" si="5"/>
        <v>12  Testosterone 300 µg_L</v>
      </c>
      <c r="B3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5" s="1" t="s">
        <v>2410</v>
      </c>
      <c r="D365" s="1" t="s">
        <v>2411</v>
      </c>
      <c r="E365" s="1" t="s">
        <v>2412</v>
      </c>
      <c r="F365" s="1" t="s">
        <v>112</v>
      </c>
      <c r="G365" s="1">
        <v>3415577</v>
      </c>
    </row>
    <row r="366" spans="1:10" x14ac:dyDescent="0.25">
      <c r="A366" s="1" t="str">
        <f t="shared" si="5"/>
        <v>12  Testosterone 300 µg_L</v>
      </c>
      <c r="B3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6" s="1" t="s">
        <v>2413</v>
      </c>
      <c r="D366" s="1" t="s">
        <v>2414</v>
      </c>
      <c r="E366" s="1" t="s">
        <v>2415</v>
      </c>
      <c r="F366" s="1" t="s">
        <v>112</v>
      </c>
      <c r="G366" s="1">
        <v>2822701</v>
      </c>
    </row>
    <row r="367" spans="1:10" x14ac:dyDescent="0.25">
      <c r="A367" s="1" t="str">
        <f t="shared" si="5"/>
        <v>12  Testosterone 300 µg_L</v>
      </c>
      <c r="B3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7" s="1" t="s">
        <v>2416</v>
      </c>
      <c r="D367" s="1" t="s">
        <v>2417</v>
      </c>
      <c r="E367" s="1" t="s">
        <v>2418</v>
      </c>
      <c r="F367" s="1" t="s">
        <v>112</v>
      </c>
      <c r="G367" s="1">
        <v>3080421</v>
      </c>
    </row>
    <row r="368" spans="1:10" x14ac:dyDescent="0.25">
      <c r="A368" s="1" t="str">
        <f t="shared" si="5"/>
        <v>12  Testosterone 300 µg_L</v>
      </c>
      <c r="B3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68" s="1" t="s">
        <v>2419</v>
      </c>
      <c r="D368" s="1" t="s">
        <v>1793</v>
      </c>
      <c r="E368" s="1" t="s">
        <v>2420</v>
      </c>
      <c r="F368" s="1" t="s">
        <v>112</v>
      </c>
      <c r="G368" s="1">
        <v>431235</v>
      </c>
    </row>
    <row r="369" spans="1:7" x14ac:dyDescent="0.25">
      <c r="A369" s="1" t="str">
        <f t="shared" si="5"/>
        <v>12  Testosterone 300 µg_L</v>
      </c>
      <c r="B3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69" s="1" t="s">
        <v>2421</v>
      </c>
      <c r="D369" s="1" t="s">
        <v>2422</v>
      </c>
      <c r="E369" s="1" t="s">
        <v>2423</v>
      </c>
      <c r="F369" s="1" t="s">
        <v>112</v>
      </c>
      <c r="G369" s="1">
        <v>413758</v>
      </c>
    </row>
    <row r="370" spans="1:7" x14ac:dyDescent="0.25">
      <c r="A370" s="1" t="str">
        <f t="shared" si="5"/>
        <v>12  Testosterone 300 µg_L</v>
      </c>
      <c r="B3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70" s="1" t="s">
        <v>2424</v>
      </c>
      <c r="D370" s="1" t="s">
        <v>1793</v>
      </c>
      <c r="E370" s="1" t="s">
        <v>2425</v>
      </c>
      <c r="F370" s="1" t="s">
        <v>112</v>
      </c>
      <c r="G370" s="1">
        <v>447112</v>
      </c>
    </row>
    <row r="371" spans="1:7" x14ac:dyDescent="0.25">
      <c r="A371" s="1" t="str">
        <f t="shared" si="5"/>
        <v>12  Testosterone 300 µg_L</v>
      </c>
      <c r="B3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1" s="1" t="s">
        <v>2426</v>
      </c>
    </row>
    <row r="372" spans="1:7" x14ac:dyDescent="0.25">
      <c r="A372" s="1" t="str">
        <f t="shared" si="5"/>
        <v>12  Testosterone 300 µg_L</v>
      </c>
      <c r="B3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2" s="1" t="s">
        <v>2427</v>
      </c>
    </row>
    <row r="373" spans="1:7" x14ac:dyDescent="0.25">
      <c r="A373" s="1" t="str">
        <f t="shared" si="5"/>
        <v>12  Testosterone 300 µg_L</v>
      </c>
      <c r="B3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3" s="1" t="s">
        <v>2428</v>
      </c>
    </row>
    <row r="374" spans="1:7" x14ac:dyDescent="0.25">
      <c r="A374" s="1" t="str">
        <f t="shared" si="5"/>
        <v>12  Testosterone 300 µg_L</v>
      </c>
      <c r="B3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4" s="1" t="s">
        <v>2429</v>
      </c>
      <c r="D374" s="1" t="s">
        <v>2430</v>
      </c>
      <c r="E374" s="1" t="s">
        <v>2431</v>
      </c>
      <c r="F374" s="1" t="s">
        <v>112</v>
      </c>
      <c r="G374" s="1">
        <v>3121194</v>
      </c>
    </row>
    <row r="375" spans="1:7" x14ac:dyDescent="0.25">
      <c r="A375" s="1" t="str">
        <f t="shared" si="5"/>
        <v>12  Testosterone 300 µg_L</v>
      </c>
      <c r="B3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5" s="1" t="s">
        <v>2432</v>
      </c>
      <c r="D375" s="1" t="s">
        <v>2433</v>
      </c>
      <c r="E375" s="1" t="s">
        <v>2434</v>
      </c>
      <c r="F375" s="1" t="s">
        <v>112</v>
      </c>
      <c r="G375" s="1">
        <v>3371408</v>
      </c>
    </row>
    <row r="376" spans="1:7" x14ac:dyDescent="0.25">
      <c r="A376" s="1" t="str">
        <f t="shared" si="5"/>
        <v>12  Testosterone 300 µg_L</v>
      </c>
      <c r="B3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6" s="1" t="s">
        <v>2435</v>
      </c>
      <c r="D376" s="1" t="s">
        <v>2436</v>
      </c>
      <c r="E376" s="1" t="s">
        <v>2437</v>
      </c>
      <c r="F376" s="1" t="s">
        <v>112</v>
      </c>
      <c r="G376" s="1">
        <v>2936842</v>
      </c>
    </row>
    <row r="377" spans="1:7" x14ac:dyDescent="0.25">
      <c r="A377" s="1" t="str">
        <f t="shared" si="5"/>
        <v>12  Testosterone 300 µg_L</v>
      </c>
      <c r="B3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7" s="1" t="s">
        <v>2438</v>
      </c>
      <c r="D377" s="1" t="s">
        <v>2439</v>
      </c>
      <c r="E377" s="1" t="s">
        <v>2440</v>
      </c>
      <c r="F377" s="1" t="s">
        <v>112</v>
      </c>
      <c r="G377" s="1">
        <v>2323159</v>
      </c>
    </row>
    <row r="378" spans="1:7" x14ac:dyDescent="0.25">
      <c r="A378" s="1" t="str">
        <f t="shared" si="5"/>
        <v>12  Testosterone 300 µg_L</v>
      </c>
      <c r="B3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8" s="1" t="s">
        <v>2441</v>
      </c>
      <c r="D378" s="1" t="s">
        <v>2442</v>
      </c>
      <c r="E378" s="1" t="s">
        <v>2443</v>
      </c>
      <c r="F378" s="1" t="s">
        <v>112</v>
      </c>
      <c r="G378" s="1">
        <v>2470026</v>
      </c>
    </row>
    <row r="379" spans="1:7" x14ac:dyDescent="0.25">
      <c r="A379" s="1" t="str">
        <f t="shared" si="5"/>
        <v>12  Testosterone 300 µg_L</v>
      </c>
      <c r="B3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9" s="1" t="s">
        <v>2444</v>
      </c>
      <c r="D379" s="1" t="s">
        <v>2445</v>
      </c>
      <c r="E379" s="1" t="s">
        <v>2446</v>
      </c>
      <c r="F379" s="1" t="s">
        <v>112</v>
      </c>
      <c r="G379" s="1">
        <v>2809183</v>
      </c>
    </row>
    <row r="380" spans="1:7" x14ac:dyDescent="0.25">
      <c r="A380" s="1" t="str">
        <f t="shared" si="5"/>
        <v>12  Testosterone 300 µg_L</v>
      </c>
      <c r="B3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0" s="1" t="s">
        <v>2447</v>
      </c>
      <c r="D380" s="1" t="s">
        <v>2448</v>
      </c>
      <c r="E380" s="1" t="s">
        <v>2449</v>
      </c>
      <c r="F380" s="1" t="s">
        <v>112</v>
      </c>
      <c r="G380" s="1">
        <v>1141756</v>
      </c>
    </row>
    <row r="381" spans="1:7" x14ac:dyDescent="0.25">
      <c r="A381" s="1" t="str">
        <f t="shared" si="5"/>
        <v>12  Testosterone 300 µg_L</v>
      </c>
      <c r="B3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1" s="1" t="s">
        <v>2450</v>
      </c>
      <c r="D381" s="1" t="s">
        <v>2451</v>
      </c>
      <c r="E381" s="1" t="s">
        <v>2452</v>
      </c>
      <c r="F381" s="1" t="s">
        <v>112</v>
      </c>
      <c r="G381" s="1">
        <v>1115930</v>
      </c>
    </row>
    <row r="382" spans="1:7" x14ac:dyDescent="0.25">
      <c r="A382" s="1" t="str">
        <f t="shared" si="5"/>
        <v>12  Testosterone 300 µg_L</v>
      </c>
      <c r="B3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2" s="1" t="s">
        <v>2453</v>
      </c>
      <c r="D382" s="1" t="s">
        <v>2454</v>
      </c>
      <c r="E382" s="1" t="s">
        <v>2455</v>
      </c>
      <c r="F382" s="1" t="s">
        <v>112</v>
      </c>
      <c r="G382" s="1">
        <v>1106564</v>
      </c>
    </row>
    <row r="383" spans="1:7" x14ac:dyDescent="0.25">
      <c r="A383" s="1" t="str">
        <f t="shared" si="5"/>
        <v>12  Testosterone 300 µg_L</v>
      </c>
      <c r="B3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3" s="1" t="s">
        <v>2456</v>
      </c>
    </row>
    <row r="384" spans="1:7" x14ac:dyDescent="0.25">
      <c r="A384" s="1" t="str">
        <f t="shared" si="5"/>
        <v>12  Testosterone 300 µg_L</v>
      </c>
      <c r="B3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4" s="1" t="s">
        <v>2457</v>
      </c>
    </row>
    <row r="385" spans="1:10" x14ac:dyDescent="0.25">
      <c r="A385" s="1" t="str">
        <f t="shared" si="5"/>
        <v>12  Testosterone 300 µg_L</v>
      </c>
      <c r="B3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5" s="1" t="s">
        <v>2458</v>
      </c>
      <c r="D385" s="1" t="s">
        <v>2459</v>
      </c>
      <c r="E385" s="1" t="s">
        <v>2460</v>
      </c>
      <c r="F385" s="1" t="s">
        <v>112</v>
      </c>
      <c r="G385" s="1">
        <v>1290504</v>
      </c>
    </row>
    <row r="386" spans="1:10" x14ac:dyDescent="0.25">
      <c r="A386" s="1" t="str">
        <f t="shared" ref="A386:A449" si="6">IFERROR(LEFT(RIGHT(C386,LEN(C386)-SEARCH("@",C386)),SEARCH("/",RIGHT(C386,LEN(C386)-SEARCH("@",C386)-1))),"")</f>
        <v>12  Testosterone 300 µg_L</v>
      </c>
      <c r="B3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6" s="1" t="s">
        <v>2461</v>
      </c>
      <c r="D386" s="1" t="s">
        <v>1056</v>
      </c>
      <c r="E386" s="1" t="s">
        <v>2462</v>
      </c>
      <c r="F386" s="1" t="s">
        <v>112</v>
      </c>
      <c r="G386" s="1">
        <v>1716808</v>
      </c>
    </row>
    <row r="387" spans="1:10" x14ac:dyDescent="0.25">
      <c r="A387" s="1" t="str">
        <f t="shared" si="6"/>
        <v>12  Testosterone 300 µg_L</v>
      </c>
      <c r="B3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7" s="1" t="s">
        <v>2463</v>
      </c>
    </row>
    <row r="388" spans="1:10" x14ac:dyDescent="0.25">
      <c r="A388" s="1" t="str">
        <f t="shared" si="6"/>
        <v>12  Testosterone 300 µg_L</v>
      </c>
      <c r="B3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8" s="1" t="s">
        <v>2464</v>
      </c>
    </row>
    <row r="389" spans="1:10" x14ac:dyDescent="0.25">
      <c r="A389" s="1" t="str">
        <f t="shared" si="6"/>
        <v/>
      </c>
      <c r="B3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89" s="1" t="s">
        <v>112</v>
      </c>
    </row>
    <row r="390" spans="1:10" x14ac:dyDescent="0.25">
      <c r="A390" s="1" t="str">
        <f t="shared" si="6"/>
        <v/>
      </c>
      <c r="B3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0" s="1" t="s">
        <v>229</v>
      </c>
      <c r="D390" s="1" t="s">
        <v>112</v>
      </c>
      <c r="E390" s="1" t="s">
        <v>230</v>
      </c>
      <c r="F390" s="1" t="s">
        <v>231</v>
      </c>
      <c r="G390" s="1" t="s">
        <v>232</v>
      </c>
      <c r="H390" s="1" t="s">
        <v>233</v>
      </c>
      <c r="I390" s="1" t="s">
        <v>234</v>
      </c>
      <c r="J390" s="1" t="s">
        <v>235</v>
      </c>
    </row>
    <row r="391" spans="1:10" x14ac:dyDescent="0.25">
      <c r="A391" s="1" t="str">
        <f t="shared" si="6"/>
        <v>12  Testosterone 300 µg_L</v>
      </c>
      <c r="B3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91" s="1" t="s">
        <v>2465</v>
      </c>
      <c r="D391" s="1" t="s">
        <v>112</v>
      </c>
      <c r="E391" s="1" t="s">
        <v>2466</v>
      </c>
      <c r="F391" s="1" t="s">
        <v>2467</v>
      </c>
      <c r="G391" s="1" t="s">
        <v>2468</v>
      </c>
      <c r="H391" s="1" t="s">
        <v>2469</v>
      </c>
      <c r="I391" s="1">
        <v>24</v>
      </c>
      <c r="J391" s="1">
        <v>24</v>
      </c>
    </row>
    <row r="392" spans="1:10" x14ac:dyDescent="0.25">
      <c r="A392" s="1" t="str">
        <f t="shared" si="6"/>
        <v/>
      </c>
      <c r="B3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2" s="1" t="s">
        <v>112</v>
      </c>
    </row>
    <row r="393" spans="1:10" x14ac:dyDescent="0.25">
      <c r="A393" s="1" t="str">
        <f t="shared" si="6"/>
        <v/>
      </c>
      <c r="B3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3" s="1" t="s">
        <v>112</v>
      </c>
    </row>
    <row r="394" spans="1:10" x14ac:dyDescent="0.25">
      <c r="A394" s="1" t="str">
        <f t="shared" si="6"/>
        <v/>
      </c>
      <c r="B3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4" s="1" t="s">
        <v>112</v>
      </c>
    </row>
    <row r="395" spans="1:10" x14ac:dyDescent="0.25">
      <c r="A395" s="1" t="str">
        <f t="shared" si="6"/>
        <v/>
      </c>
      <c r="B3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5" s="1" t="s">
        <v>112</v>
      </c>
    </row>
    <row r="396" spans="1:10" x14ac:dyDescent="0.25">
      <c r="A396" s="1" t="str">
        <f t="shared" si="6"/>
        <v/>
      </c>
      <c r="B3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6" s="1" t="s">
        <v>112</v>
      </c>
    </row>
    <row r="397" spans="1:10" x14ac:dyDescent="0.25">
      <c r="A397" s="1" t="str">
        <f t="shared" si="6"/>
        <v/>
      </c>
      <c r="B3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7" s="1" t="s">
        <v>241</v>
      </c>
      <c r="D397" s="1" t="s">
        <v>110</v>
      </c>
      <c r="E397" s="1" t="s">
        <v>111</v>
      </c>
      <c r="F397" s="1" t="s">
        <v>112</v>
      </c>
      <c r="G397" s="1" t="s">
        <v>113</v>
      </c>
    </row>
    <row r="398" spans="1:10" x14ac:dyDescent="0.25">
      <c r="A398" s="1" t="str">
        <f t="shared" si="6"/>
        <v>01 Testo 30</v>
      </c>
      <c r="B3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98" s="1" t="s">
        <v>2470</v>
      </c>
      <c r="D398" s="1" t="s">
        <v>2471</v>
      </c>
      <c r="E398" s="1" t="s">
        <v>2472</v>
      </c>
      <c r="F398" s="1" t="s">
        <v>112</v>
      </c>
      <c r="G398" s="1">
        <v>1744711</v>
      </c>
    </row>
    <row r="399" spans="1:10" x14ac:dyDescent="0.25">
      <c r="A399" s="1" t="str">
        <f t="shared" si="6"/>
        <v>01 Testo 30</v>
      </c>
      <c r="B3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99" s="1" t="s">
        <v>2473</v>
      </c>
      <c r="D399" s="1" t="s">
        <v>2474</v>
      </c>
      <c r="E399" s="1" t="s">
        <v>2475</v>
      </c>
      <c r="F399" s="1" t="s">
        <v>112</v>
      </c>
      <c r="G399" s="1">
        <v>993807</v>
      </c>
    </row>
    <row r="400" spans="1:10" x14ac:dyDescent="0.25">
      <c r="A400" s="1" t="str">
        <f t="shared" si="6"/>
        <v>01 Testo 30</v>
      </c>
      <c r="B4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00" s="1" t="s">
        <v>2476</v>
      </c>
      <c r="D400" s="1" t="s">
        <v>2477</v>
      </c>
      <c r="E400" s="1" t="s">
        <v>2478</v>
      </c>
      <c r="F400" s="1" t="s">
        <v>112</v>
      </c>
      <c r="G400" s="1">
        <v>1478814</v>
      </c>
    </row>
    <row r="401" spans="1:7" x14ac:dyDescent="0.25">
      <c r="A401" s="1" t="str">
        <f t="shared" si="6"/>
        <v>01 Testo 30</v>
      </c>
      <c r="B4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1" s="1" t="s">
        <v>2479</v>
      </c>
    </row>
    <row r="402" spans="1:7" x14ac:dyDescent="0.25">
      <c r="A402" s="1" t="str">
        <f t="shared" si="6"/>
        <v>01 Testo 30</v>
      </c>
      <c r="B4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2" s="1" t="s">
        <v>2480</v>
      </c>
    </row>
    <row r="403" spans="1:7" x14ac:dyDescent="0.25">
      <c r="A403" s="1" t="str">
        <f t="shared" si="6"/>
        <v>01 Testo 30</v>
      </c>
      <c r="B4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3" s="1" t="s">
        <v>2481</v>
      </c>
    </row>
    <row r="404" spans="1:7" x14ac:dyDescent="0.25">
      <c r="A404" s="1" t="str">
        <f t="shared" si="6"/>
        <v>01 Testo 30</v>
      </c>
      <c r="B4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4" s="1" t="s">
        <v>2482</v>
      </c>
      <c r="D404" s="1" t="s">
        <v>2483</v>
      </c>
      <c r="E404" s="1" t="s">
        <v>2484</v>
      </c>
      <c r="F404" s="1" t="s">
        <v>112</v>
      </c>
      <c r="G404" s="1">
        <v>2234346</v>
      </c>
    </row>
    <row r="405" spans="1:7" x14ac:dyDescent="0.25">
      <c r="A405" s="1" t="str">
        <f t="shared" si="6"/>
        <v>01 Testo 30</v>
      </c>
      <c r="B4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5" s="1" t="s">
        <v>2485</v>
      </c>
    </row>
    <row r="406" spans="1:7" x14ac:dyDescent="0.25">
      <c r="A406" s="1" t="str">
        <f t="shared" si="6"/>
        <v>01 Testo 30</v>
      </c>
      <c r="B4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6" s="1" t="s">
        <v>2486</v>
      </c>
      <c r="D406" s="1" t="s">
        <v>2487</v>
      </c>
      <c r="E406" s="1" t="s">
        <v>2488</v>
      </c>
      <c r="F406" s="1" t="s">
        <v>112</v>
      </c>
      <c r="G406" s="1">
        <v>1795151</v>
      </c>
    </row>
    <row r="407" spans="1:7" x14ac:dyDescent="0.25">
      <c r="A407" s="1" t="str">
        <f t="shared" si="6"/>
        <v>01 Testo 30</v>
      </c>
      <c r="B4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7" s="1" t="s">
        <v>2489</v>
      </c>
      <c r="D407" s="1" t="s">
        <v>2490</v>
      </c>
      <c r="E407" s="1" t="s">
        <v>2491</v>
      </c>
      <c r="F407" s="1" t="s">
        <v>112</v>
      </c>
      <c r="G407" s="1">
        <v>1448641</v>
      </c>
    </row>
    <row r="408" spans="1:7" x14ac:dyDescent="0.25">
      <c r="A408" s="1" t="str">
        <f t="shared" si="6"/>
        <v>01 Testo 30</v>
      </c>
      <c r="B4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8" s="1" t="s">
        <v>2492</v>
      </c>
      <c r="D408" s="1" t="s">
        <v>1884</v>
      </c>
      <c r="E408" s="1" t="s">
        <v>2493</v>
      </c>
      <c r="F408" s="1" t="s">
        <v>112</v>
      </c>
      <c r="G408" s="1">
        <v>1554151</v>
      </c>
    </row>
    <row r="409" spans="1:7" x14ac:dyDescent="0.25">
      <c r="A409" s="1" t="str">
        <f t="shared" si="6"/>
        <v>01 Testo 30</v>
      </c>
      <c r="B4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9" s="1" t="s">
        <v>2494</v>
      </c>
      <c r="D409" s="1" t="s">
        <v>2495</v>
      </c>
      <c r="E409" s="1" t="s">
        <v>2496</v>
      </c>
      <c r="F409" s="1" t="s">
        <v>112</v>
      </c>
      <c r="G409" s="1">
        <v>2092822</v>
      </c>
    </row>
    <row r="410" spans="1:7" x14ac:dyDescent="0.25">
      <c r="A410" s="1" t="str">
        <f t="shared" si="6"/>
        <v>01 Testo 30</v>
      </c>
      <c r="B4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0" s="1" t="s">
        <v>2497</v>
      </c>
      <c r="D410" s="1" t="s">
        <v>146</v>
      </c>
      <c r="E410" s="1" t="s">
        <v>2498</v>
      </c>
      <c r="F410" s="1" t="s">
        <v>112</v>
      </c>
      <c r="G410" s="1">
        <v>317808</v>
      </c>
    </row>
    <row r="411" spans="1:7" x14ac:dyDescent="0.25">
      <c r="A411" s="1" t="str">
        <f t="shared" si="6"/>
        <v>01 Testo 30</v>
      </c>
      <c r="B4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1" s="1" t="s">
        <v>2499</v>
      </c>
      <c r="D411" s="1" t="s">
        <v>739</v>
      </c>
      <c r="E411" s="1" t="s">
        <v>2500</v>
      </c>
      <c r="F411" s="1" t="s">
        <v>112</v>
      </c>
      <c r="G411" s="1">
        <v>203840</v>
      </c>
    </row>
    <row r="412" spans="1:7" x14ac:dyDescent="0.25">
      <c r="A412" s="1" t="str">
        <f t="shared" si="6"/>
        <v>01 Testo 30</v>
      </c>
      <c r="B4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2" s="1" t="s">
        <v>2501</v>
      </c>
      <c r="D412" s="1" t="s">
        <v>783</v>
      </c>
      <c r="E412" s="1" t="s">
        <v>2502</v>
      </c>
      <c r="F412" s="1" t="s">
        <v>112</v>
      </c>
      <c r="G412" s="1">
        <v>389057</v>
      </c>
    </row>
    <row r="413" spans="1:7" x14ac:dyDescent="0.25">
      <c r="A413" s="1" t="str">
        <f t="shared" si="6"/>
        <v>01 Testo 30</v>
      </c>
      <c r="B4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3" s="1" t="s">
        <v>2503</v>
      </c>
      <c r="D413" s="1" t="s">
        <v>2504</v>
      </c>
      <c r="E413" s="1" t="s">
        <v>2505</v>
      </c>
      <c r="F413" s="1" t="s">
        <v>112</v>
      </c>
      <c r="G413" s="1">
        <v>2976360</v>
      </c>
    </row>
    <row r="414" spans="1:7" x14ac:dyDescent="0.25">
      <c r="A414" s="1" t="str">
        <f t="shared" si="6"/>
        <v>01 Testo 30</v>
      </c>
      <c r="B4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4" s="1" t="s">
        <v>2506</v>
      </c>
      <c r="D414" s="1" t="s">
        <v>2507</v>
      </c>
      <c r="E414" s="1" t="s">
        <v>2508</v>
      </c>
      <c r="F414" s="1" t="s">
        <v>112</v>
      </c>
      <c r="G414" s="1">
        <v>3079729</v>
      </c>
    </row>
    <row r="415" spans="1:7" x14ac:dyDescent="0.25">
      <c r="A415" s="1" t="str">
        <f t="shared" si="6"/>
        <v>01 Testo 30</v>
      </c>
      <c r="B4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5" s="1" t="s">
        <v>2509</v>
      </c>
      <c r="D415" s="1" t="s">
        <v>1050</v>
      </c>
      <c r="E415" s="1" t="s">
        <v>2510</v>
      </c>
      <c r="F415" s="1" t="s">
        <v>112</v>
      </c>
      <c r="G415" s="1">
        <v>2977247</v>
      </c>
    </row>
    <row r="416" spans="1:7" x14ac:dyDescent="0.25">
      <c r="A416" s="1" t="str">
        <f t="shared" si="6"/>
        <v>01 Testo 30</v>
      </c>
      <c r="B4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6" s="1" t="s">
        <v>2511</v>
      </c>
      <c r="D416" s="1" t="s">
        <v>2512</v>
      </c>
      <c r="E416" s="1" t="s">
        <v>2513</v>
      </c>
      <c r="F416" s="1" t="s">
        <v>112</v>
      </c>
      <c r="G416" s="1">
        <v>3193481</v>
      </c>
    </row>
    <row r="417" spans="1:10" x14ac:dyDescent="0.25">
      <c r="A417" s="1" t="str">
        <f t="shared" si="6"/>
        <v>01 Testo 30</v>
      </c>
      <c r="B4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7" s="1" t="s">
        <v>2514</v>
      </c>
      <c r="D417" s="1" t="s">
        <v>2515</v>
      </c>
      <c r="E417" s="1" t="s">
        <v>2516</v>
      </c>
      <c r="F417" s="1" t="s">
        <v>112</v>
      </c>
      <c r="G417" s="1">
        <v>2728243</v>
      </c>
    </row>
    <row r="418" spans="1:10" x14ac:dyDescent="0.25">
      <c r="A418" s="1" t="str">
        <f t="shared" si="6"/>
        <v>01 Testo 30</v>
      </c>
      <c r="B4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8" s="1" t="s">
        <v>2517</v>
      </c>
      <c r="D418" s="1" t="s">
        <v>951</v>
      </c>
      <c r="E418" s="1" t="s">
        <v>2518</v>
      </c>
      <c r="F418" s="1" t="s">
        <v>112</v>
      </c>
      <c r="G418" s="1">
        <v>2897497</v>
      </c>
    </row>
    <row r="419" spans="1:10" x14ac:dyDescent="0.25">
      <c r="A419" s="1" t="str">
        <f t="shared" si="6"/>
        <v>01 Testo 30</v>
      </c>
      <c r="B4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19" s="1" t="s">
        <v>2519</v>
      </c>
      <c r="D419" s="1" t="s">
        <v>2520</v>
      </c>
      <c r="E419" s="1" t="s">
        <v>2521</v>
      </c>
      <c r="F419" s="1" t="s">
        <v>112</v>
      </c>
      <c r="G419" s="1">
        <v>1571455</v>
      </c>
    </row>
    <row r="420" spans="1:10" x14ac:dyDescent="0.25">
      <c r="A420" s="1" t="str">
        <f t="shared" si="6"/>
        <v>01 Testo 30</v>
      </c>
      <c r="B4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20" s="1" t="s">
        <v>2522</v>
      </c>
      <c r="D420" s="1" t="s">
        <v>2523</v>
      </c>
      <c r="E420" s="1" t="s">
        <v>2524</v>
      </c>
      <c r="F420" s="1" t="s">
        <v>112</v>
      </c>
      <c r="G420" s="1">
        <v>1451842</v>
      </c>
    </row>
    <row r="421" spans="1:10" x14ac:dyDescent="0.25">
      <c r="A421" s="1" t="str">
        <f t="shared" si="6"/>
        <v>01 Testo 30</v>
      </c>
      <c r="B4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21" s="1" t="s">
        <v>2525</v>
      </c>
      <c r="D421" s="1" t="s">
        <v>2526</v>
      </c>
      <c r="E421" s="1" t="s">
        <v>2527</v>
      </c>
      <c r="F421" s="1" t="s">
        <v>112</v>
      </c>
      <c r="G421" s="1">
        <v>1234764</v>
      </c>
    </row>
    <row r="422" spans="1:10" x14ac:dyDescent="0.25">
      <c r="A422" s="1" t="str">
        <f t="shared" si="6"/>
        <v/>
      </c>
      <c r="B4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2" s="1" t="s">
        <v>112</v>
      </c>
    </row>
    <row r="423" spans="1:10" x14ac:dyDescent="0.25">
      <c r="A423" s="1" t="str">
        <f t="shared" si="6"/>
        <v/>
      </c>
      <c r="B4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3" s="1" t="s">
        <v>229</v>
      </c>
      <c r="D423" s="1" t="s">
        <v>112</v>
      </c>
      <c r="E423" s="1" t="s">
        <v>230</v>
      </c>
      <c r="F423" s="1" t="s">
        <v>231</v>
      </c>
      <c r="G423" s="1" t="s">
        <v>232</v>
      </c>
      <c r="H423" s="1" t="s">
        <v>233</v>
      </c>
      <c r="I423" s="1" t="s">
        <v>234</v>
      </c>
      <c r="J423" s="1" t="s">
        <v>235</v>
      </c>
    </row>
    <row r="424" spans="1:10" x14ac:dyDescent="0.25">
      <c r="A424" s="1" t="str">
        <f t="shared" si="6"/>
        <v>01 Testo 30</v>
      </c>
      <c r="B4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24" s="1" t="s">
        <v>2528</v>
      </c>
      <c r="D424" s="1" t="s">
        <v>112</v>
      </c>
      <c r="E424" s="1" t="s">
        <v>2529</v>
      </c>
      <c r="F424" s="1" t="s">
        <v>2530</v>
      </c>
      <c r="G424" s="1" t="s">
        <v>2531</v>
      </c>
      <c r="H424" s="1" t="s">
        <v>2532</v>
      </c>
      <c r="I424" s="1">
        <v>24</v>
      </c>
      <c r="J424" s="1">
        <v>24</v>
      </c>
    </row>
    <row r="425" spans="1:10" x14ac:dyDescent="0.25">
      <c r="A425" s="1" t="str">
        <f t="shared" si="6"/>
        <v/>
      </c>
      <c r="B4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5" s="1" t="s">
        <v>112</v>
      </c>
    </row>
    <row r="426" spans="1:10" x14ac:dyDescent="0.25">
      <c r="A426" s="1" t="str">
        <f t="shared" si="6"/>
        <v/>
      </c>
      <c r="B4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6" s="1" t="s">
        <v>112</v>
      </c>
    </row>
    <row r="427" spans="1:10" x14ac:dyDescent="0.25">
      <c r="A427" s="1" t="str">
        <f t="shared" si="6"/>
        <v/>
      </c>
      <c r="B4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7" s="1" t="s">
        <v>112</v>
      </c>
    </row>
    <row r="428" spans="1:10" x14ac:dyDescent="0.25">
      <c r="A428" s="1" t="str">
        <f t="shared" si="6"/>
        <v/>
      </c>
      <c r="B4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8" s="1" t="s">
        <v>112</v>
      </c>
    </row>
    <row r="429" spans="1:10" x14ac:dyDescent="0.25">
      <c r="A429" s="1" t="str">
        <f t="shared" si="6"/>
        <v/>
      </c>
      <c r="B4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9" s="1" t="s">
        <v>112</v>
      </c>
    </row>
    <row r="430" spans="1:10" x14ac:dyDescent="0.25">
      <c r="A430" s="1" t="str">
        <f t="shared" si="6"/>
        <v/>
      </c>
      <c r="B4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30" s="1" t="s">
        <v>241</v>
      </c>
      <c r="D430" s="1" t="s">
        <v>110</v>
      </c>
      <c r="E430" s="1" t="s">
        <v>111</v>
      </c>
      <c r="F430" s="1" t="s">
        <v>112</v>
      </c>
      <c r="G430" s="1" t="s">
        <v>113</v>
      </c>
    </row>
    <row r="431" spans="1:10" x14ac:dyDescent="0.25">
      <c r="A431" s="1" t="str">
        <f t="shared" si="6"/>
        <v>02 Testo 30</v>
      </c>
      <c r="B4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1" s="1" t="s">
        <v>2533</v>
      </c>
      <c r="D431" s="1" t="s">
        <v>2534</v>
      </c>
      <c r="E431" s="1" t="s">
        <v>2535</v>
      </c>
      <c r="F431" s="1" t="s">
        <v>112</v>
      </c>
      <c r="G431" s="1">
        <v>1793810</v>
      </c>
    </row>
    <row r="432" spans="1:10" x14ac:dyDescent="0.25">
      <c r="A432" s="1" t="str">
        <f t="shared" si="6"/>
        <v>02 Testo 30</v>
      </c>
      <c r="B4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2" s="1" t="s">
        <v>2536</v>
      </c>
      <c r="D432" s="1" t="s">
        <v>2537</v>
      </c>
      <c r="E432" s="1" t="s">
        <v>2538</v>
      </c>
      <c r="F432" s="1" t="s">
        <v>112</v>
      </c>
      <c r="G432" s="1">
        <v>1660181</v>
      </c>
    </row>
    <row r="433" spans="1:7" x14ac:dyDescent="0.25">
      <c r="A433" s="1" t="str">
        <f t="shared" si="6"/>
        <v>02 Testo 30</v>
      </c>
      <c r="B4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3" s="1" t="s">
        <v>2539</v>
      </c>
      <c r="D433" s="1" t="s">
        <v>2540</v>
      </c>
      <c r="E433" s="1" t="s">
        <v>2541</v>
      </c>
      <c r="F433" s="1" t="s">
        <v>112</v>
      </c>
      <c r="G433" s="1">
        <v>1790112</v>
      </c>
    </row>
    <row r="434" spans="1:7" x14ac:dyDescent="0.25">
      <c r="A434" s="1" t="str">
        <f t="shared" si="6"/>
        <v>02 Testo 30</v>
      </c>
      <c r="B4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4" s="1" t="s">
        <v>2542</v>
      </c>
    </row>
    <row r="435" spans="1:7" x14ac:dyDescent="0.25">
      <c r="A435" s="1" t="str">
        <f t="shared" si="6"/>
        <v>02 Testo 30</v>
      </c>
      <c r="B4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5" s="1" t="s">
        <v>2543</v>
      </c>
      <c r="D435" s="1" t="s">
        <v>2544</v>
      </c>
      <c r="E435" s="1" t="s">
        <v>2545</v>
      </c>
      <c r="F435" s="1" t="s">
        <v>112</v>
      </c>
      <c r="G435" s="1">
        <v>1065640</v>
      </c>
    </row>
    <row r="436" spans="1:7" x14ac:dyDescent="0.25">
      <c r="A436" s="1" t="str">
        <f t="shared" si="6"/>
        <v>02 Testo 30</v>
      </c>
      <c r="B4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6" s="1" t="s">
        <v>2546</v>
      </c>
      <c r="D436" s="1" t="s">
        <v>2547</v>
      </c>
      <c r="E436" s="1">
        <v>67</v>
      </c>
      <c r="F436" s="1" t="s">
        <v>112</v>
      </c>
      <c r="G436" s="1">
        <v>921693</v>
      </c>
    </row>
    <row r="437" spans="1:7" x14ac:dyDescent="0.25">
      <c r="A437" s="1" t="str">
        <f t="shared" si="6"/>
        <v>02 Testo 30</v>
      </c>
      <c r="B4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7" s="1" t="s">
        <v>2548</v>
      </c>
      <c r="D437" s="1" t="s">
        <v>2362</v>
      </c>
      <c r="E437" s="1" t="s">
        <v>2549</v>
      </c>
      <c r="F437" s="1" t="s">
        <v>112</v>
      </c>
      <c r="G437" s="1">
        <v>555975</v>
      </c>
    </row>
    <row r="438" spans="1:7" x14ac:dyDescent="0.25">
      <c r="A438" s="1" t="str">
        <f t="shared" si="6"/>
        <v>02 Testo 30</v>
      </c>
      <c r="B4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8" s="1" t="s">
        <v>2550</v>
      </c>
      <c r="D438" s="1" t="s">
        <v>2551</v>
      </c>
      <c r="E438" s="1" t="s">
        <v>2552</v>
      </c>
      <c r="F438" s="1" t="s">
        <v>112</v>
      </c>
      <c r="G438" s="1">
        <v>631139</v>
      </c>
    </row>
    <row r="439" spans="1:7" x14ac:dyDescent="0.25">
      <c r="A439" s="1" t="str">
        <f t="shared" si="6"/>
        <v>02 Testo 30</v>
      </c>
      <c r="B4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9" s="1" t="s">
        <v>2553</v>
      </c>
      <c r="D439" s="1" t="s">
        <v>2554</v>
      </c>
      <c r="E439" s="1" t="s">
        <v>2555</v>
      </c>
      <c r="F439" s="1" t="s">
        <v>112</v>
      </c>
      <c r="G439" s="1">
        <v>477934</v>
      </c>
    </row>
    <row r="440" spans="1:7" x14ac:dyDescent="0.25">
      <c r="A440" s="1" t="str">
        <f t="shared" si="6"/>
        <v>02 Testo 30</v>
      </c>
      <c r="B4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0" s="1" t="s">
        <v>2556</v>
      </c>
      <c r="D440" s="1" t="s">
        <v>2557</v>
      </c>
      <c r="E440" s="1" t="s">
        <v>2558</v>
      </c>
      <c r="F440" s="1" t="s">
        <v>112</v>
      </c>
      <c r="G440" s="1">
        <v>1896812</v>
      </c>
    </row>
    <row r="441" spans="1:7" x14ac:dyDescent="0.25">
      <c r="A441" s="1" t="str">
        <f t="shared" si="6"/>
        <v>02 Testo 30</v>
      </c>
      <c r="B4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1" s="1" t="s">
        <v>2559</v>
      </c>
      <c r="D441" s="1" t="s">
        <v>2560</v>
      </c>
      <c r="E441" s="1" t="s">
        <v>2561</v>
      </c>
      <c r="F441" s="1" t="s">
        <v>112</v>
      </c>
      <c r="G441" s="1">
        <v>1877194</v>
      </c>
    </row>
    <row r="442" spans="1:7" x14ac:dyDescent="0.25">
      <c r="A442" s="1" t="str">
        <f t="shared" si="6"/>
        <v>02 Testo 30</v>
      </c>
      <c r="B4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2" s="1" t="s">
        <v>2562</v>
      </c>
    </row>
    <row r="443" spans="1:7" x14ac:dyDescent="0.25">
      <c r="A443" s="1" t="str">
        <f t="shared" si="6"/>
        <v>02 Testo 30</v>
      </c>
      <c r="B4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3" s="1" t="s">
        <v>2563</v>
      </c>
      <c r="D443" s="1" t="s">
        <v>2564</v>
      </c>
      <c r="E443" s="1" t="s">
        <v>2565</v>
      </c>
      <c r="F443" s="1" t="s">
        <v>112</v>
      </c>
      <c r="G443" s="1">
        <v>1162088</v>
      </c>
    </row>
    <row r="444" spans="1:7" x14ac:dyDescent="0.25">
      <c r="A444" s="1" t="str">
        <f t="shared" si="6"/>
        <v>02 Testo 30</v>
      </c>
      <c r="B4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4" s="1" t="s">
        <v>2566</v>
      </c>
      <c r="D444" s="1" t="s">
        <v>2567</v>
      </c>
      <c r="E444" s="1" t="s">
        <v>2568</v>
      </c>
      <c r="F444" s="1" t="s">
        <v>112</v>
      </c>
      <c r="G444" s="1">
        <v>1190985</v>
      </c>
    </row>
    <row r="445" spans="1:7" x14ac:dyDescent="0.25">
      <c r="A445" s="1" t="str">
        <f t="shared" si="6"/>
        <v>02 Testo 30</v>
      </c>
      <c r="B4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5" s="1" t="s">
        <v>2569</v>
      </c>
      <c r="D445" s="1" t="s">
        <v>2570</v>
      </c>
      <c r="E445" s="1" t="s">
        <v>2571</v>
      </c>
      <c r="F445" s="1" t="s">
        <v>112</v>
      </c>
      <c r="G445" s="1">
        <v>908650</v>
      </c>
    </row>
    <row r="446" spans="1:7" x14ac:dyDescent="0.25">
      <c r="A446" s="1" t="str">
        <f t="shared" si="6"/>
        <v>02 Testo 30</v>
      </c>
      <c r="B4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6" s="1" t="s">
        <v>2572</v>
      </c>
      <c r="D446" s="1" t="s">
        <v>2573</v>
      </c>
      <c r="E446" s="1" t="s">
        <v>2574</v>
      </c>
      <c r="F446" s="1" t="s">
        <v>112</v>
      </c>
      <c r="G446" s="1">
        <v>3528268</v>
      </c>
    </row>
    <row r="447" spans="1:7" x14ac:dyDescent="0.25">
      <c r="A447" s="1" t="str">
        <f t="shared" si="6"/>
        <v>02 Testo 30</v>
      </c>
      <c r="B4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7" s="1" t="s">
        <v>2575</v>
      </c>
      <c r="D447" s="1" t="s">
        <v>2576</v>
      </c>
      <c r="E447" s="1" t="s">
        <v>2577</v>
      </c>
      <c r="F447" s="1" t="s">
        <v>112</v>
      </c>
      <c r="G447" s="1">
        <v>3110963</v>
      </c>
    </row>
    <row r="448" spans="1:7" x14ac:dyDescent="0.25">
      <c r="A448" s="1" t="str">
        <f t="shared" si="6"/>
        <v>02 Testo 30</v>
      </c>
      <c r="B4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8" s="1" t="s">
        <v>2578</v>
      </c>
      <c r="D448" s="1" t="s">
        <v>2579</v>
      </c>
      <c r="E448" s="1" t="s">
        <v>2580</v>
      </c>
      <c r="F448" s="1" t="s">
        <v>112</v>
      </c>
      <c r="G448" s="1">
        <v>3034804</v>
      </c>
    </row>
    <row r="449" spans="1:10" x14ac:dyDescent="0.25">
      <c r="A449" s="1" t="str">
        <f t="shared" si="6"/>
        <v>02 Testo 30</v>
      </c>
      <c r="B4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49" s="1" t="s">
        <v>2581</v>
      </c>
      <c r="D449" s="1" t="s">
        <v>2582</v>
      </c>
      <c r="E449" s="1" t="s">
        <v>2583</v>
      </c>
      <c r="F449" s="1" t="s">
        <v>112</v>
      </c>
      <c r="G449" s="1">
        <v>2397155</v>
      </c>
    </row>
    <row r="450" spans="1:10" x14ac:dyDescent="0.25">
      <c r="A450" s="1" t="str">
        <f t="shared" ref="A450:A513" si="7">IFERROR(LEFT(RIGHT(C450,LEN(C450)-SEARCH("@",C450)),SEARCH("/",RIGHT(C450,LEN(C450)-SEARCH("@",C450)-1))),"")</f>
        <v>02 Testo 30</v>
      </c>
      <c r="B4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50" s="1" t="s">
        <v>2584</v>
      </c>
      <c r="D450" s="1" t="s">
        <v>2585</v>
      </c>
      <c r="E450" s="1" t="s">
        <v>2586</v>
      </c>
      <c r="F450" s="1" t="s">
        <v>112</v>
      </c>
      <c r="G450" s="1">
        <v>2062519</v>
      </c>
    </row>
    <row r="451" spans="1:10" x14ac:dyDescent="0.25">
      <c r="A451" s="1" t="str">
        <f t="shared" si="7"/>
        <v>02 Testo 30</v>
      </c>
      <c r="B4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51" s="1" t="s">
        <v>2587</v>
      </c>
      <c r="D451" s="1" t="s">
        <v>2588</v>
      </c>
      <c r="E451" s="1" t="s">
        <v>2589</v>
      </c>
      <c r="F451" s="1" t="s">
        <v>112</v>
      </c>
      <c r="G451" s="1">
        <v>1884959</v>
      </c>
    </row>
    <row r="452" spans="1:10" x14ac:dyDescent="0.25">
      <c r="A452" s="1" t="str">
        <f t="shared" si="7"/>
        <v>02 Testo 30</v>
      </c>
      <c r="B4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2" s="1" t="s">
        <v>2590</v>
      </c>
      <c r="D452" s="1" t="s">
        <v>1955</v>
      </c>
      <c r="E452" s="1" t="s">
        <v>2591</v>
      </c>
      <c r="F452" s="1" t="s">
        <v>112</v>
      </c>
      <c r="G452" s="1">
        <v>2245226</v>
      </c>
    </row>
    <row r="453" spans="1:10" x14ac:dyDescent="0.25">
      <c r="A453" s="1" t="str">
        <f t="shared" si="7"/>
        <v>02 Testo 30</v>
      </c>
      <c r="B4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3" s="1" t="s">
        <v>2592</v>
      </c>
      <c r="D453" s="1" t="s">
        <v>2593</v>
      </c>
      <c r="E453" s="1" t="s">
        <v>2594</v>
      </c>
      <c r="F453" s="1" t="s">
        <v>112</v>
      </c>
      <c r="G453" s="1">
        <v>1860106</v>
      </c>
    </row>
    <row r="454" spans="1:10" x14ac:dyDescent="0.25">
      <c r="A454" s="1" t="str">
        <f t="shared" si="7"/>
        <v>02 Testo 30</v>
      </c>
      <c r="B4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4" s="1" t="s">
        <v>2595</v>
      </c>
      <c r="D454" s="1" t="s">
        <v>2596</v>
      </c>
      <c r="E454" s="1" t="s">
        <v>2597</v>
      </c>
      <c r="F454" s="1" t="s">
        <v>112</v>
      </c>
      <c r="G454" s="1">
        <v>1559040</v>
      </c>
    </row>
    <row r="455" spans="1:10" x14ac:dyDescent="0.25">
      <c r="A455" s="1" t="str">
        <f t="shared" si="7"/>
        <v/>
      </c>
      <c r="B4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5" s="1" t="s">
        <v>112</v>
      </c>
    </row>
    <row r="456" spans="1:10" x14ac:dyDescent="0.25">
      <c r="A456" s="1" t="str">
        <f t="shared" si="7"/>
        <v/>
      </c>
      <c r="B4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6" s="1" t="s">
        <v>229</v>
      </c>
      <c r="D456" s="1" t="s">
        <v>112</v>
      </c>
      <c r="E456" s="1" t="s">
        <v>230</v>
      </c>
      <c r="F456" s="1" t="s">
        <v>231</v>
      </c>
      <c r="G456" s="1" t="s">
        <v>232</v>
      </c>
      <c r="H456" s="1" t="s">
        <v>233</v>
      </c>
      <c r="I456" s="1" t="s">
        <v>234</v>
      </c>
      <c r="J456" s="1" t="s">
        <v>235</v>
      </c>
    </row>
    <row r="457" spans="1:10" x14ac:dyDescent="0.25">
      <c r="A457" s="1" t="str">
        <f t="shared" si="7"/>
        <v>02 Testo 30</v>
      </c>
      <c r="B4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57" s="1" t="s">
        <v>2598</v>
      </c>
      <c r="D457" s="1" t="s">
        <v>112</v>
      </c>
      <c r="E457" s="1" t="s">
        <v>2599</v>
      </c>
      <c r="F457" s="1" t="s">
        <v>2600</v>
      </c>
      <c r="G457" s="1" t="s">
        <v>2601</v>
      </c>
      <c r="H457" s="1" t="s">
        <v>2602</v>
      </c>
      <c r="I457" s="1">
        <v>24</v>
      </c>
      <c r="J457" s="1">
        <v>24</v>
      </c>
    </row>
    <row r="458" spans="1:10" x14ac:dyDescent="0.25">
      <c r="A458" s="1" t="str">
        <f t="shared" si="7"/>
        <v/>
      </c>
      <c r="B4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8" s="1" t="s">
        <v>112</v>
      </c>
    </row>
    <row r="459" spans="1:10" x14ac:dyDescent="0.25">
      <c r="A459" s="1" t="str">
        <f t="shared" si="7"/>
        <v/>
      </c>
      <c r="B4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9" s="1" t="s">
        <v>112</v>
      </c>
    </row>
    <row r="460" spans="1:10" x14ac:dyDescent="0.25">
      <c r="A460" s="1" t="str">
        <f t="shared" si="7"/>
        <v/>
      </c>
      <c r="B4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0" s="1" t="s">
        <v>112</v>
      </c>
    </row>
    <row r="461" spans="1:10" x14ac:dyDescent="0.25">
      <c r="A461" s="1" t="str">
        <f t="shared" si="7"/>
        <v/>
      </c>
      <c r="B4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1" s="1" t="s">
        <v>112</v>
      </c>
    </row>
    <row r="462" spans="1:10" x14ac:dyDescent="0.25">
      <c r="A462" s="1" t="str">
        <f t="shared" si="7"/>
        <v/>
      </c>
      <c r="B4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2" s="1" t="s">
        <v>112</v>
      </c>
    </row>
    <row r="463" spans="1:10" x14ac:dyDescent="0.25">
      <c r="A463" s="1" t="str">
        <f t="shared" si="7"/>
        <v/>
      </c>
      <c r="B4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3" s="1" t="s">
        <v>241</v>
      </c>
      <c r="D463" s="1" t="s">
        <v>110</v>
      </c>
      <c r="E463" s="1" t="s">
        <v>111</v>
      </c>
      <c r="F463" s="1" t="s">
        <v>112</v>
      </c>
      <c r="G463" s="1" t="s">
        <v>113</v>
      </c>
    </row>
    <row r="464" spans="1:10" x14ac:dyDescent="0.25">
      <c r="A464" s="1" t="str">
        <f t="shared" si="7"/>
        <v>03 Testo+ EE2 64</v>
      </c>
      <c r="B4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4" s="1" t="s">
        <v>2603</v>
      </c>
      <c r="D464" s="1" t="s">
        <v>2604</v>
      </c>
      <c r="E464" s="1" t="s">
        <v>2605</v>
      </c>
      <c r="F464" s="1" t="s">
        <v>112</v>
      </c>
      <c r="G464" s="1">
        <v>1164705</v>
      </c>
    </row>
    <row r="465" spans="1:7" x14ac:dyDescent="0.25">
      <c r="A465" s="1" t="str">
        <f t="shared" si="7"/>
        <v>03 Testo+ EE2 64</v>
      </c>
      <c r="B4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5" s="1" t="s">
        <v>2606</v>
      </c>
      <c r="D465" s="1" t="s">
        <v>2607</v>
      </c>
      <c r="E465" s="1" t="s">
        <v>2608</v>
      </c>
      <c r="F465" s="1" t="s">
        <v>112</v>
      </c>
      <c r="G465" s="1">
        <v>1452729</v>
      </c>
    </row>
    <row r="466" spans="1:7" x14ac:dyDescent="0.25">
      <c r="A466" s="1" t="str">
        <f t="shared" si="7"/>
        <v>03 Testo+ EE2 64</v>
      </c>
      <c r="B4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6" s="1" t="s">
        <v>2609</v>
      </c>
      <c r="D466" s="1" t="s">
        <v>2610</v>
      </c>
      <c r="E466" s="1" t="s">
        <v>2611</v>
      </c>
      <c r="F466" s="1" t="s">
        <v>112</v>
      </c>
      <c r="G466" s="1">
        <v>1412216</v>
      </c>
    </row>
    <row r="467" spans="1:7" x14ac:dyDescent="0.25">
      <c r="A467" s="1" t="str">
        <f t="shared" si="7"/>
        <v>03 Testo+ EE2 64</v>
      </c>
      <c r="B4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7" s="1" t="s">
        <v>2612</v>
      </c>
      <c r="D467" s="1" t="s">
        <v>2613</v>
      </c>
      <c r="E467" s="1" t="s">
        <v>2614</v>
      </c>
      <c r="F467" s="1" t="s">
        <v>112</v>
      </c>
      <c r="G467" s="1">
        <v>6176481</v>
      </c>
    </row>
    <row r="468" spans="1:7" x14ac:dyDescent="0.25">
      <c r="A468" s="1" t="str">
        <f t="shared" si="7"/>
        <v>03 Testo+ EE2 64</v>
      </c>
      <c r="B4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8" s="1" t="s">
        <v>2615</v>
      </c>
      <c r="D468" s="1" t="s">
        <v>2616</v>
      </c>
      <c r="E468" s="1" t="s">
        <v>2617</v>
      </c>
      <c r="F468" s="1" t="s">
        <v>112</v>
      </c>
      <c r="G468" s="1">
        <v>5833128</v>
      </c>
    </row>
    <row r="469" spans="1:7" x14ac:dyDescent="0.25">
      <c r="A469" s="1" t="str">
        <f t="shared" si="7"/>
        <v>03 Testo+ EE2 64</v>
      </c>
      <c r="B4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9" s="1" t="s">
        <v>2618</v>
      </c>
      <c r="D469" s="1" t="s">
        <v>2619</v>
      </c>
      <c r="E469" s="1" t="s">
        <v>2620</v>
      </c>
      <c r="F469" s="1" t="s">
        <v>112</v>
      </c>
      <c r="G469" s="1">
        <v>6381792</v>
      </c>
    </row>
    <row r="470" spans="1:7" x14ac:dyDescent="0.25">
      <c r="A470" s="1" t="str">
        <f t="shared" si="7"/>
        <v>03 Testo+ EE2 64</v>
      </c>
      <c r="B4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0" s="1" t="s">
        <v>2621</v>
      </c>
      <c r="D470" s="1" t="s">
        <v>2622</v>
      </c>
      <c r="E470" s="1" t="s">
        <v>2623</v>
      </c>
      <c r="F470" s="1" t="s">
        <v>112</v>
      </c>
      <c r="G470" s="1">
        <v>2746997</v>
      </c>
    </row>
    <row r="471" spans="1:7" x14ac:dyDescent="0.25">
      <c r="A471" s="1" t="str">
        <f t="shared" si="7"/>
        <v>03 Testo+ EE2 64</v>
      </c>
      <c r="B4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1" s="1" t="s">
        <v>2624</v>
      </c>
      <c r="D471" s="1" t="s">
        <v>2625</v>
      </c>
      <c r="E471" s="1" t="s">
        <v>2626</v>
      </c>
      <c r="F471" s="1" t="s">
        <v>112</v>
      </c>
      <c r="G471" s="1">
        <v>2697572</v>
      </c>
    </row>
    <row r="472" spans="1:7" x14ac:dyDescent="0.25">
      <c r="A472" s="1" t="str">
        <f t="shared" si="7"/>
        <v>03 Testo+ EE2 64</v>
      </c>
      <c r="B4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2" s="1" t="s">
        <v>2627</v>
      </c>
      <c r="D472" s="1" t="s">
        <v>1959</v>
      </c>
      <c r="E472" s="1" t="s">
        <v>2628</v>
      </c>
      <c r="F472" s="1" t="s">
        <v>112</v>
      </c>
      <c r="G472" s="1">
        <v>2741351</v>
      </c>
    </row>
    <row r="473" spans="1:7" x14ac:dyDescent="0.25">
      <c r="A473" s="1" t="str">
        <f t="shared" si="7"/>
        <v>03 Testo+ EE2 64</v>
      </c>
      <c r="B4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3" s="1" t="s">
        <v>2629</v>
      </c>
      <c r="D473" s="1" t="s">
        <v>2630</v>
      </c>
      <c r="E473" s="1" t="s">
        <v>2631</v>
      </c>
      <c r="F473" s="1" t="s">
        <v>112</v>
      </c>
      <c r="G473" s="1">
        <v>995602</v>
      </c>
    </row>
    <row r="474" spans="1:7" x14ac:dyDescent="0.25">
      <c r="A474" s="1" t="str">
        <f t="shared" si="7"/>
        <v>03 Testo+ EE2 64</v>
      </c>
      <c r="B4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4" s="1" t="s">
        <v>2632</v>
      </c>
      <c r="D474" s="1" t="s">
        <v>2633</v>
      </c>
      <c r="E474" s="1" t="s">
        <v>2634</v>
      </c>
      <c r="F474" s="1" t="s">
        <v>112</v>
      </c>
      <c r="G474" s="1">
        <v>666179</v>
      </c>
    </row>
    <row r="475" spans="1:7" x14ac:dyDescent="0.25">
      <c r="A475" s="1" t="str">
        <f t="shared" si="7"/>
        <v>03 Testo+ EE2 64</v>
      </c>
      <c r="B4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5" s="1" t="s">
        <v>2635</v>
      </c>
      <c r="D475" s="1" t="s">
        <v>324</v>
      </c>
      <c r="E475" s="1" t="s">
        <v>2636</v>
      </c>
      <c r="F475" s="1" t="s">
        <v>112</v>
      </c>
      <c r="G475" s="1">
        <v>272342</v>
      </c>
    </row>
    <row r="476" spans="1:7" x14ac:dyDescent="0.25">
      <c r="A476" s="1" t="str">
        <f t="shared" si="7"/>
        <v>03 Testo+ EE2 64</v>
      </c>
      <c r="B4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6" s="1" t="s">
        <v>2637</v>
      </c>
    </row>
    <row r="477" spans="1:7" x14ac:dyDescent="0.25">
      <c r="A477" s="1" t="str">
        <f t="shared" si="7"/>
        <v>03 Testo+ EE2 64</v>
      </c>
      <c r="B4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7" s="1" t="s">
        <v>2638</v>
      </c>
      <c r="D477" s="1" t="s">
        <v>2639</v>
      </c>
      <c r="E477" s="1" t="s">
        <v>2640</v>
      </c>
      <c r="F477" s="1" t="s">
        <v>112</v>
      </c>
      <c r="G477" s="1">
        <v>3947218</v>
      </c>
    </row>
    <row r="478" spans="1:7" x14ac:dyDescent="0.25">
      <c r="A478" s="1" t="str">
        <f t="shared" si="7"/>
        <v>03 Testo+ EE2 64</v>
      </c>
      <c r="B4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8" s="1" t="s">
        <v>2641</v>
      </c>
      <c r="D478" s="1" t="s">
        <v>2642</v>
      </c>
      <c r="E478" s="1" t="s">
        <v>2643</v>
      </c>
      <c r="F478" s="1" t="s">
        <v>112</v>
      </c>
      <c r="G478" s="1">
        <v>4101936</v>
      </c>
    </row>
    <row r="479" spans="1:7" x14ac:dyDescent="0.25">
      <c r="A479" s="1" t="str">
        <f t="shared" si="7"/>
        <v>03 Testo+ EE2 64</v>
      </c>
      <c r="B4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79" s="1" t="s">
        <v>2644</v>
      </c>
      <c r="D479" s="1" t="s">
        <v>2645</v>
      </c>
      <c r="E479" s="1" t="s">
        <v>2646</v>
      </c>
      <c r="F479" s="1" t="s">
        <v>112</v>
      </c>
      <c r="G479" s="1">
        <v>3779500</v>
      </c>
    </row>
    <row r="480" spans="1:7" x14ac:dyDescent="0.25">
      <c r="A480" s="1" t="str">
        <f t="shared" si="7"/>
        <v>03 Testo+ EE2 64</v>
      </c>
      <c r="B4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80" s="1" t="s">
        <v>2647</v>
      </c>
      <c r="D480" s="1" t="s">
        <v>813</v>
      </c>
      <c r="E480" s="1" t="s">
        <v>2648</v>
      </c>
      <c r="F480" s="1" t="s">
        <v>112</v>
      </c>
      <c r="G480" s="1">
        <v>3315625</v>
      </c>
    </row>
    <row r="481" spans="1:10" x14ac:dyDescent="0.25">
      <c r="A481" s="1" t="str">
        <f t="shared" si="7"/>
        <v>03 Testo+ EE2 64</v>
      </c>
      <c r="B4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81" s="1" t="s">
        <v>2649</v>
      </c>
      <c r="D481" s="1" t="s">
        <v>2650</v>
      </c>
      <c r="E481" s="1" t="s">
        <v>2651</v>
      </c>
      <c r="F481" s="1" t="s">
        <v>112</v>
      </c>
      <c r="G481" s="1">
        <v>3375150</v>
      </c>
    </row>
    <row r="482" spans="1:10" x14ac:dyDescent="0.25">
      <c r="A482" s="1" t="str">
        <f t="shared" si="7"/>
        <v>03 Testo+ EE2 64</v>
      </c>
      <c r="B4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2" s="1" t="s">
        <v>2652</v>
      </c>
      <c r="D482" s="1" t="s">
        <v>2653</v>
      </c>
      <c r="E482" s="1" t="s">
        <v>2654</v>
      </c>
      <c r="F482" s="1" t="s">
        <v>112</v>
      </c>
      <c r="G482" s="1">
        <v>2788158</v>
      </c>
    </row>
    <row r="483" spans="1:10" x14ac:dyDescent="0.25">
      <c r="A483" s="1" t="str">
        <f t="shared" si="7"/>
        <v>03 Testo+ EE2 64</v>
      </c>
      <c r="B4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3" s="1" t="s">
        <v>2655</v>
      </c>
      <c r="D483" s="1" t="s">
        <v>2656</v>
      </c>
      <c r="E483" s="1" t="s">
        <v>2657</v>
      </c>
      <c r="F483" s="1" t="s">
        <v>112</v>
      </c>
      <c r="G483" s="1">
        <v>2722987</v>
      </c>
    </row>
    <row r="484" spans="1:10" x14ac:dyDescent="0.25">
      <c r="A484" s="1" t="str">
        <f t="shared" si="7"/>
        <v>03 Testo+ EE2 64</v>
      </c>
      <c r="B4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4" s="1" t="s">
        <v>2658</v>
      </c>
      <c r="D484" s="1" t="s">
        <v>495</v>
      </c>
      <c r="E484" s="1" t="s">
        <v>2659</v>
      </c>
      <c r="F484" s="1" t="s">
        <v>112</v>
      </c>
      <c r="G484" s="1">
        <v>2576402</v>
      </c>
    </row>
    <row r="485" spans="1:10" x14ac:dyDescent="0.25">
      <c r="A485" s="1" t="str">
        <f t="shared" si="7"/>
        <v>03 Testo+ EE2 64</v>
      </c>
      <c r="B4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5" s="1" t="s">
        <v>2660</v>
      </c>
      <c r="D485" s="1" t="s">
        <v>2661</v>
      </c>
      <c r="E485" s="1" t="s">
        <v>2662</v>
      </c>
      <c r="F485" s="1" t="s">
        <v>112</v>
      </c>
      <c r="G485" s="1">
        <v>1325761</v>
      </c>
    </row>
    <row r="486" spans="1:10" x14ac:dyDescent="0.25">
      <c r="A486" s="1" t="str">
        <f t="shared" si="7"/>
        <v>03 Testo+ EE2 64</v>
      </c>
      <c r="B4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6" s="1" t="s">
        <v>2663</v>
      </c>
      <c r="D486" s="1" t="s">
        <v>2664</v>
      </c>
      <c r="E486" s="1" t="s">
        <v>2665</v>
      </c>
      <c r="F486" s="1" t="s">
        <v>112</v>
      </c>
      <c r="G486" s="1">
        <v>746556</v>
      </c>
    </row>
    <row r="487" spans="1:10" x14ac:dyDescent="0.25">
      <c r="A487" s="1" t="str">
        <f t="shared" si="7"/>
        <v>03 Testo+ EE2 64</v>
      </c>
      <c r="B4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7" s="1" t="s">
        <v>2666</v>
      </c>
      <c r="D487" s="1" t="s">
        <v>2667</v>
      </c>
      <c r="E487" s="1" t="s">
        <v>2668</v>
      </c>
      <c r="F487" s="1" t="s">
        <v>112</v>
      </c>
      <c r="G487" s="1">
        <v>923207</v>
      </c>
    </row>
    <row r="488" spans="1:10" x14ac:dyDescent="0.25">
      <c r="A488" s="1" t="str">
        <f t="shared" si="7"/>
        <v/>
      </c>
      <c r="B4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88" s="1" t="s">
        <v>112</v>
      </c>
    </row>
    <row r="489" spans="1:10" x14ac:dyDescent="0.25">
      <c r="A489" s="1" t="str">
        <f t="shared" si="7"/>
        <v/>
      </c>
      <c r="B4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89" s="1" t="s">
        <v>229</v>
      </c>
      <c r="D489" s="1" t="s">
        <v>112</v>
      </c>
      <c r="E489" s="1" t="s">
        <v>230</v>
      </c>
      <c r="F489" s="1" t="s">
        <v>231</v>
      </c>
      <c r="G489" s="1" t="s">
        <v>232</v>
      </c>
      <c r="H489" s="1" t="s">
        <v>233</v>
      </c>
      <c r="I489" s="1" t="s">
        <v>234</v>
      </c>
      <c r="J489" s="1" t="s">
        <v>235</v>
      </c>
    </row>
    <row r="490" spans="1:10" x14ac:dyDescent="0.25">
      <c r="A490" s="1" t="str">
        <f t="shared" si="7"/>
        <v>03 Testo+ EE2 64</v>
      </c>
      <c r="B4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90" s="1" t="s">
        <v>2669</v>
      </c>
      <c r="D490" s="1" t="s">
        <v>112</v>
      </c>
      <c r="E490" s="1" t="s">
        <v>2670</v>
      </c>
      <c r="F490" s="1" t="s">
        <v>2671</v>
      </c>
      <c r="G490" s="1" t="s">
        <v>2672</v>
      </c>
      <c r="H490" s="1" t="s">
        <v>2673</v>
      </c>
      <c r="I490" s="1">
        <v>24</v>
      </c>
      <c r="J490" s="1">
        <v>24</v>
      </c>
    </row>
    <row r="491" spans="1:10" x14ac:dyDescent="0.25">
      <c r="A491" s="1" t="str">
        <f t="shared" si="7"/>
        <v/>
      </c>
      <c r="B4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1" s="1" t="s">
        <v>112</v>
      </c>
    </row>
    <row r="492" spans="1:10" x14ac:dyDescent="0.25">
      <c r="A492" s="1" t="str">
        <f t="shared" si="7"/>
        <v/>
      </c>
      <c r="B4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2" s="1" t="s">
        <v>112</v>
      </c>
    </row>
    <row r="493" spans="1:10" x14ac:dyDescent="0.25">
      <c r="A493" s="1" t="str">
        <f t="shared" si="7"/>
        <v/>
      </c>
      <c r="B4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3" s="1" t="s">
        <v>112</v>
      </c>
    </row>
    <row r="494" spans="1:10" x14ac:dyDescent="0.25">
      <c r="A494" s="1" t="str">
        <f t="shared" si="7"/>
        <v/>
      </c>
      <c r="B4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4" s="1" t="s">
        <v>112</v>
      </c>
    </row>
    <row r="495" spans="1:10" x14ac:dyDescent="0.25">
      <c r="A495" s="1" t="str">
        <f t="shared" si="7"/>
        <v/>
      </c>
      <c r="B4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5" s="1" t="s">
        <v>112</v>
      </c>
    </row>
    <row r="496" spans="1:10" x14ac:dyDescent="0.25">
      <c r="A496" s="1" t="str">
        <f t="shared" si="7"/>
        <v/>
      </c>
      <c r="B4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6" s="1" t="s">
        <v>241</v>
      </c>
      <c r="D496" s="1" t="s">
        <v>110</v>
      </c>
      <c r="E496" s="1" t="s">
        <v>111</v>
      </c>
      <c r="F496" s="1" t="s">
        <v>112</v>
      </c>
      <c r="G496" s="1" t="s">
        <v>113</v>
      </c>
    </row>
    <row r="497" spans="1:7" x14ac:dyDescent="0.25">
      <c r="A497" s="1" t="str">
        <f t="shared" si="7"/>
        <v>04 Testo+ FAD</v>
      </c>
      <c r="B49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7" s="1" t="s">
        <v>2674</v>
      </c>
    </row>
    <row r="498" spans="1:7" x14ac:dyDescent="0.25">
      <c r="A498" s="1" t="str">
        <f t="shared" si="7"/>
        <v>04 Testo+ FAD</v>
      </c>
      <c r="B4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8" s="1" t="s">
        <v>2675</v>
      </c>
    </row>
    <row r="499" spans="1:7" x14ac:dyDescent="0.25">
      <c r="A499" s="1" t="str">
        <f t="shared" si="7"/>
        <v>04 Testo+ FAD</v>
      </c>
      <c r="B4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9" s="1" t="s">
        <v>2676</v>
      </c>
      <c r="D499" s="1" t="s">
        <v>1814</v>
      </c>
      <c r="E499" s="1" t="s">
        <v>2677</v>
      </c>
      <c r="F499" s="1" t="s">
        <v>112</v>
      </c>
      <c r="G499" s="1">
        <v>94458</v>
      </c>
    </row>
    <row r="500" spans="1:7" x14ac:dyDescent="0.25">
      <c r="A500" s="1" t="str">
        <f t="shared" si="7"/>
        <v>04 Testo+ FAD</v>
      </c>
      <c r="B5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0" s="1" t="s">
        <v>2678</v>
      </c>
      <c r="D500" s="1" t="s">
        <v>2679</v>
      </c>
      <c r="E500" s="1" t="s">
        <v>2680</v>
      </c>
      <c r="F500" s="1" t="s">
        <v>112</v>
      </c>
      <c r="G500" s="1">
        <v>440687</v>
      </c>
    </row>
    <row r="501" spans="1:7" x14ac:dyDescent="0.25">
      <c r="A501" s="1" t="str">
        <f t="shared" si="7"/>
        <v>04 Testo+ FAD</v>
      </c>
      <c r="B5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1" s="1" t="s">
        <v>2681</v>
      </c>
      <c r="D501" s="1" t="s">
        <v>1801</v>
      </c>
      <c r="E501" s="1" t="s">
        <v>2682</v>
      </c>
      <c r="F501" s="1" t="s">
        <v>112</v>
      </c>
      <c r="G501" s="1">
        <v>626099</v>
      </c>
    </row>
    <row r="502" spans="1:7" x14ac:dyDescent="0.25">
      <c r="A502" s="1" t="str">
        <f t="shared" si="7"/>
        <v>04 Testo+ FAD</v>
      </c>
      <c r="B5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2" s="1" t="s">
        <v>2683</v>
      </c>
      <c r="D502" s="1" t="s">
        <v>2684</v>
      </c>
      <c r="E502" s="1" t="s">
        <v>2685</v>
      </c>
      <c r="F502" s="1" t="s">
        <v>112</v>
      </c>
      <c r="G502" s="1">
        <v>217770</v>
      </c>
    </row>
    <row r="503" spans="1:7" x14ac:dyDescent="0.25">
      <c r="A503" s="1" t="str">
        <f t="shared" si="7"/>
        <v>04 Testo+ FAD</v>
      </c>
      <c r="B5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3" s="1" t="s">
        <v>2686</v>
      </c>
      <c r="D503" s="1" t="s">
        <v>2687</v>
      </c>
      <c r="E503" s="1" t="s">
        <v>2688</v>
      </c>
      <c r="F503" s="1" t="s">
        <v>112</v>
      </c>
      <c r="G503" s="1">
        <v>724104</v>
      </c>
    </row>
    <row r="504" spans="1:7" x14ac:dyDescent="0.25">
      <c r="A504" s="1" t="str">
        <f t="shared" si="7"/>
        <v>04 Testo+ FAD</v>
      </c>
      <c r="B5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4" s="1" t="s">
        <v>2689</v>
      </c>
      <c r="D504" s="1" t="s">
        <v>2690</v>
      </c>
      <c r="E504" s="1" t="s">
        <v>1950</v>
      </c>
      <c r="F504" s="1" t="s">
        <v>112</v>
      </c>
      <c r="G504" s="1">
        <v>796672</v>
      </c>
    </row>
    <row r="505" spans="1:7" x14ac:dyDescent="0.25">
      <c r="A505" s="1" t="str">
        <f t="shared" si="7"/>
        <v>04 Testo+ FAD</v>
      </c>
      <c r="B5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5" s="1" t="s">
        <v>2691</v>
      </c>
      <c r="D505" s="1" t="s">
        <v>2692</v>
      </c>
      <c r="E505" s="1" t="s">
        <v>2693</v>
      </c>
      <c r="F505" s="1" t="s">
        <v>112</v>
      </c>
      <c r="G505" s="1">
        <v>853537</v>
      </c>
    </row>
    <row r="506" spans="1:7" x14ac:dyDescent="0.25">
      <c r="A506" s="1" t="str">
        <f t="shared" si="7"/>
        <v>04 Testo+ FAD</v>
      </c>
      <c r="B5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6" s="1" t="s">
        <v>2694</v>
      </c>
    </row>
    <row r="507" spans="1:7" x14ac:dyDescent="0.25">
      <c r="A507" s="1" t="str">
        <f t="shared" si="7"/>
        <v>04 Testo+ FAD</v>
      </c>
      <c r="B5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7" s="1" t="s">
        <v>2695</v>
      </c>
      <c r="D507" s="1" t="s">
        <v>1915</v>
      </c>
      <c r="E507" s="1" t="s">
        <v>2696</v>
      </c>
      <c r="F507" s="1" t="s">
        <v>112</v>
      </c>
      <c r="G507" s="1">
        <v>51566</v>
      </c>
    </row>
    <row r="508" spans="1:7" x14ac:dyDescent="0.25">
      <c r="A508" s="1" t="str">
        <f t="shared" si="7"/>
        <v>04 Testo+ FAD</v>
      </c>
      <c r="B5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8" s="1" t="s">
        <v>2697</v>
      </c>
      <c r="D508" s="1" t="s">
        <v>192</v>
      </c>
      <c r="E508" s="1" t="s">
        <v>2698</v>
      </c>
      <c r="F508" s="1" t="s">
        <v>112</v>
      </c>
      <c r="G508" s="1">
        <v>18883</v>
      </c>
    </row>
    <row r="509" spans="1:7" x14ac:dyDescent="0.25">
      <c r="A509" s="1" t="str">
        <f t="shared" si="7"/>
        <v>04 Testo+ FAD</v>
      </c>
      <c r="B5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09" s="1" t="s">
        <v>2699</v>
      </c>
      <c r="D509" s="1" t="s">
        <v>174</v>
      </c>
      <c r="E509" s="1" t="s">
        <v>2700</v>
      </c>
      <c r="F509" s="1" t="s">
        <v>112</v>
      </c>
      <c r="G509" s="1">
        <v>831626</v>
      </c>
    </row>
    <row r="510" spans="1:7" x14ac:dyDescent="0.25">
      <c r="A510" s="1" t="str">
        <f t="shared" si="7"/>
        <v>04 Testo+ FAD</v>
      </c>
      <c r="B5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10" s="1" t="s">
        <v>2701</v>
      </c>
      <c r="D510" s="1" t="s">
        <v>2702</v>
      </c>
      <c r="E510" s="1" t="s">
        <v>2703</v>
      </c>
      <c r="F510" s="1" t="s">
        <v>112</v>
      </c>
      <c r="G510" s="1">
        <v>592486</v>
      </c>
    </row>
    <row r="511" spans="1:7" x14ac:dyDescent="0.25">
      <c r="A511" s="1" t="str">
        <f t="shared" si="7"/>
        <v>04 Testo+ FAD</v>
      </c>
      <c r="B5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11" s="1" t="s">
        <v>2704</v>
      </c>
      <c r="D511" s="1" t="s">
        <v>783</v>
      </c>
      <c r="E511" s="1" t="s">
        <v>2705</v>
      </c>
      <c r="F511" s="1" t="s">
        <v>112</v>
      </c>
      <c r="G511" s="1">
        <v>428272</v>
      </c>
    </row>
    <row r="512" spans="1:7" x14ac:dyDescent="0.25">
      <c r="A512" s="1" t="str">
        <f t="shared" si="7"/>
        <v>04 Testo+ FAD</v>
      </c>
      <c r="B5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2" s="1" t="s">
        <v>2706</v>
      </c>
      <c r="D512" s="1" t="s">
        <v>268</v>
      </c>
      <c r="E512" s="1" t="s">
        <v>2707</v>
      </c>
      <c r="F512" s="1" t="s">
        <v>112</v>
      </c>
      <c r="G512" s="1">
        <v>145829</v>
      </c>
    </row>
    <row r="513" spans="1:10" x14ac:dyDescent="0.25">
      <c r="A513" s="1" t="str">
        <f t="shared" si="7"/>
        <v>04 Testo+ FAD</v>
      </c>
      <c r="B5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3" s="1" t="s">
        <v>2708</v>
      </c>
      <c r="D513" s="1" t="s">
        <v>169</v>
      </c>
      <c r="E513" s="1" t="s">
        <v>2709</v>
      </c>
      <c r="F513" s="1" t="s">
        <v>112</v>
      </c>
      <c r="G513" s="1">
        <v>15876</v>
      </c>
    </row>
    <row r="514" spans="1:10" x14ac:dyDescent="0.25">
      <c r="A514" s="1" t="str">
        <f t="shared" ref="A514:A577" si="8">IFERROR(LEFT(RIGHT(C514,LEN(C514)-SEARCH("@",C514)),SEARCH("/",RIGHT(C514,LEN(C514)-SEARCH("@",C514)-1))),"")</f>
        <v>04 Testo+ FAD</v>
      </c>
      <c r="B5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4" s="1" t="s">
        <v>2710</v>
      </c>
      <c r="D514" s="1" t="s">
        <v>2711</v>
      </c>
      <c r="E514" s="1" t="s">
        <v>2712</v>
      </c>
      <c r="F514" s="1" t="s">
        <v>112</v>
      </c>
      <c r="G514" s="1">
        <v>64479</v>
      </c>
    </row>
    <row r="515" spans="1:10" x14ac:dyDescent="0.25">
      <c r="A515" s="1" t="str">
        <f t="shared" si="8"/>
        <v>04 Testo+ FAD</v>
      </c>
      <c r="B5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5" s="1" t="s">
        <v>2713</v>
      </c>
      <c r="D515" s="1" t="s">
        <v>2714</v>
      </c>
      <c r="E515" s="1" t="s">
        <v>2715</v>
      </c>
      <c r="F515" s="1" t="s">
        <v>112</v>
      </c>
      <c r="G515" s="1">
        <v>513342</v>
      </c>
    </row>
    <row r="516" spans="1:10" x14ac:dyDescent="0.25">
      <c r="A516" s="1" t="str">
        <f t="shared" si="8"/>
        <v>04 Testo+ FAD</v>
      </c>
      <c r="B5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6" s="1" t="s">
        <v>2716</v>
      </c>
      <c r="D516" s="1" t="s">
        <v>2717</v>
      </c>
      <c r="E516" s="1" t="s">
        <v>2718</v>
      </c>
      <c r="F516" s="1" t="s">
        <v>112</v>
      </c>
      <c r="G516" s="1">
        <v>501230</v>
      </c>
    </row>
    <row r="517" spans="1:10" x14ac:dyDescent="0.25">
      <c r="A517" s="1" t="str">
        <f t="shared" si="8"/>
        <v>04 Testo+ FAD</v>
      </c>
      <c r="B5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7" s="1" t="s">
        <v>2719</v>
      </c>
      <c r="D517" s="1" t="s">
        <v>2720</v>
      </c>
      <c r="E517" s="1" t="s">
        <v>2721</v>
      </c>
      <c r="F517" s="1" t="s">
        <v>112</v>
      </c>
      <c r="G517" s="1">
        <v>499694</v>
      </c>
    </row>
    <row r="518" spans="1:10" x14ac:dyDescent="0.25">
      <c r="A518" s="1" t="str">
        <f t="shared" si="8"/>
        <v>04 Testo+ FAD</v>
      </c>
      <c r="B5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18" s="1" t="s">
        <v>2722</v>
      </c>
      <c r="D518" s="1" t="s">
        <v>2723</v>
      </c>
      <c r="E518" s="1" t="s">
        <v>2724</v>
      </c>
      <c r="F518" s="1" t="s">
        <v>112</v>
      </c>
      <c r="G518" s="1">
        <v>254432</v>
      </c>
    </row>
    <row r="519" spans="1:10" x14ac:dyDescent="0.25">
      <c r="A519" s="1" t="str">
        <f t="shared" si="8"/>
        <v>04 Testo+ FAD</v>
      </c>
      <c r="B5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19" s="1" t="s">
        <v>2725</v>
      </c>
    </row>
    <row r="520" spans="1:10" x14ac:dyDescent="0.25">
      <c r="A520" s="1" t="str">
        <f t="shared" si="8"/>
        <v>04 Testo+ FAD</v>
      </c>
      <c r="B5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20" s="1" t="s">
        <v>2726</v>
      </c>
      <c r="D520" s="1" t="s">
        <v>1804</v>
      </c>
      <c r="E520" s="1" t="s">
        <v>2727</v>
      </c>
      <c r="F520" s="1" t="s">
        <v>112</v>
      </c>
      <c r="G520" s="1">
        <v>302299</v>
      </c>
    </row>
    <row r="521" spans="1:10" x14ac:dyDescent="0.25">
      <c r="A521" s="1" t="str">
        <f t="shared" si="8"/>
        <v/>
      </c>
      <c r="B5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1" s="1" t="s">
        <v>112</v>
      </c>
    </row>
    <row r="522" spans="1:10" x14ac:dyDescent="0.25">
      <c r="A522" s="1" t="str">
        <f t="shared" si="8"/>
        <v/>
      </c>
      <c r="B5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2" s="1" t="s">
        <v>229</v>
      </c>
      <c r="D522" s="1" t="s">
        <v>112</v>
      </c>
      <c r="E522" s="1" t="s">
        <v>230</v>
      </c>
      <c r="F522" s="1" t="s">
        <v>231</v>
      </c>
      <c r="G522" s="1" t="s">
        <v>232</v>
      </c>
      <c r="H522" s="1" t="s">
        <v>233</v>
      </c>
      <c r="I522" s="1" t="s">
        <v>234</v>
      </c>
      <c r="J522" s="1" t="s">
        <v>235</v>
      </c>
    </row>
    <row r="523" spans="1:10" x14ac:dyDescent="0.25">
      <c r="A523" s="1" t="str">
        <f t="shared" si="8"/>
        <v>04 Testo+ FAD</v>
      </c>
      <c r="B5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23" s="1" t="s">
        <v>2728</v>
      </c>
      <c r="D523" s="1" t="s">
        <v>112</v>
      </c>
      <c r="E523" s="1" t="s">
        <v>2729</v>
      </c>
      <c r="F523" s="1" t="s">
        <v>2730</v>
      </c>
      <c r="G523" s="1" t="s">
        <v>2731</v>
      </c>
      <c r="H523" s="1" t="s">
        <v>2732</v>
      </c>
      <c r="I523" s="1">
        <v>24</v>
      </c>
      <c r="J523" s="1">
        <v>24</v>
      </c>
    </row>
    <row r="524" spans="1:10" x14ac:dyDescent="0.25">
      <c r="A524" s="1" t="str">
        <f t="shared" si="8"/>
        <v/>
      </c>
      <c r="B5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4" s="1" t="s">
        <v>112</v>
      </c>
    </row>
    <row r="525" spans="1:10" x14ac:dyDescent="0.25">
      <c r="A525" s="1" t="str">
        <f t="shared" si="8"/>
        <v/>
      </c>
      <c r="B5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5" s="1" t="s">
        <v>112</v>
      </c>
    </row>
    <row r="526" spans="1:10" x14ac:dyDescent="0.25">
      <c r="A526" s="1" t="str">
        <f t="shared" si="8"/>
        <v/>
      </c>
      <c r="B5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6" s="1" t="s">
        <v>112</v>
      </c>
    </row>
    <row r="527" spans="1:10" x14ac:dyDescent="0.25">
      <c r="A527" s="1" t="str">
        <f t="shared" si="8"/>
        <v/>
      </c>
      <c r="B5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7" s="1" t="s">
        <v>112</v>
      </c>
    </row>
    <row r="528" spans="1:10" x14ac:dyDescent="0.25">
      <c r="A528" s="1" t="str">
        <f t="shared" si="8"/>
        <v/>
      </c>
      <c r="B5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8" s="1" t="s">
        <v>112</v>
      </c>
    </row>
    <row r="529" spans="1:7" x14ac:dyDescent="0.25">
      <c r="A529" s="1" t="str">
        <f t="shared" si="8"/>
        <v/>
      </c>
      <c r="B5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9" s="1" t="s">
        <v>241</v>
      </c>
      <c r="D529" s="1" t="s">
        <v>110</v>
      </c>
      <c r="E529" s="1" t="s">
        <v>111</v>
      </c>
      <c r="F529" s="1" t="s">
        <v>112</v>
      </c>
      <c r="G529" s="1" t="s">
        <v>113</v>
      </c>
    </row>
    <row r="530" spans="1:7" x14ac:dyDescent="0.25">
      <c r="A530" s="1" t="str">
        <f t="shared" si="8"/>
        <v>05 Testosterone 3.7 µg_L dopé</v>
      </c>
      <c r="B53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0" s="1" t="s">
        <v>2733</v>
      </c>
      <c r="D530" s="1" t="s">
        <v>2734</v>
      </c>
      <c r="E530" s="1" t="s">
        <v>2735</v>
      </c>
      <c r="F530" s="1" t="s">
        <v>112</v>
      </c>
      <c r="G530" s="1">
        <v>1157740</v>
      </c>
    </row>
    <row r="531" spans="1:7" x14ac:dyDescent="0.25">
      <c r="A531" s="1" t="str">
        <f t="shared" si="8"/>
        <v>05 Testosterone 3.7 µg_L dopé</v>
      </c>
      <c r="B5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1" s="1" t="s">
        <v>2736</v>
      </c>
      <c r="D531" s="1" t="s">
        <v>2737</v>
      </c>
      <c r="E531" s="1" t="s">
        <v>2738</v>
      </c>
      <c r="F531" s="1" t="s">
        <v>112</v>
      </c>
      <c r="G531" s="1">
        <v>1088806</v>
      </c>
    </row>
    <row r="532" spans="1:7" x14ac:dyDescent="0.25">
      <c r="A532" s="1" t="str">
        <f t="shared" si="8"/>
        <v>05 Testosterone 3.7 µg_L dopé</v>
      </c>
      <c r="B5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2" s="1" t="s">
        <v>2739</v>
      </c>
      <c r="D532" s="1" t="s">
        <v>2740</v>
      </c>
      <c r="E532" s="1" t="s">
        <v>2741</v>
      </c>
      <c r="F532" s="1" t="s">
        <v>112</v>
      </c>
      <c r="G532" s="1">
        <v>1064861</v>
      </c>
    </row>
    <row r="533" spans="1:7" x14ac:dyDescent="0.25">
      <c r="A533" s="1" t="str">
        <f t="shared" si="8"/>
        <v>05 Testosterone 3.7 µg_L dopé</v>
      </c>
      <c r="B5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3" s="1" t="s">
        <v>2742</v>
      </c>
      <c r="D533" s="1" t="s">
        <v>375</v>
      </c>
      <c r="E533" s="1" t="s">
        <v>2743</v>
      </c>
      <c r="F533" s="1" t="s">
        <v>112</v>
      </c>
      <c r="G533" s="1">
        <v>803010</v>
      </c>
    </row>
    <row r="534" spans="1:7" x14ac:dyDescent="0.25">
      <c r="A534" s="1" t="str">
        <f t="shared" si="8"/>
        <v>05 Testosterone 3.7 µg_L dopé</v>
      </c>
      <c r="B5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4" s="1" t="s">
        <v>2744</v>
      </c>
      <c r="D534" s="1" t="s">
        <v>2745</v>
      </c>
      <c r="E534" s="1" t="s">
        <v>2746</v>
      </c>
      <c r="F534" s="1" t="s">
        <v>112</v>
      </c>
      <c r="G534" s="1">
        <v>772879</v>
      </c>
    </row>
    <row r="535" spans="1:7" x14ac:dyDescent="0.25">
      <c r="A535" s="1" t="str">
        <f t="shared" si="8"/>
        <v>05 Testosterone 3.7 µg_L dopé</v>
      </c>
      <c r="B5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5" s="1" t="s">
        <v>2747</v>
      </c>
      <c r="D535" s="1" t="s">
        <v>2748</v>
      </c>
      <c r="E535" s="1" t="s">
        <v>2749</v>
      </c>
      <c r="F535" s="1" t="s">
        <v>112</v>
      </c>
      <c r="G535" s="1">
        <v>770500</v>
      </c>
    </row>
    <row r="536" spans="1:7" x14ac:dyDescent="0.25">
      <c r="A536" s="1" t="str">
        <f t="shared" si="8"/>
        <v>05 Testosterone 3.7 µg_L dopé</v>
      </c>
      <c r="B5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6" s="1" t="s">
        <v>2750</v>
      </c>
      <c r="D536" s="1" t="s">
        <v>2751</v>
      </c>
      <c r="E536" s="1" t="s">
        <v>2752</v>
      </c>
      <c r="F536" s="1" t="s">
        <v>112</v>
      </c>
      <c r="G536" s="1">
        <v>3058878</v>
      </c>
    </row>
    <row r="537" spans="1:7" x14ac:dyDescent="0.25">
      <c r="A537" s="1" t="str">
        <f t="shared" si="8"/>
        <v>05 Testosterone 3.7 µg_L dopé</v>
      </c>
      <c r="B5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7" s="1" t="s">
        <v>2753</v>
      </c>
      <c r="D537" s="1" t="s">
        <v>2754</v>
      </c>
      <c r="E537" s="1" t="s">
        <v>2755</v>
      </c>
      <c r="F537" s="1" t="s">
        <v>112</v>
      </c>
      <c r="G537" s="1">
        <v>2795404</v>
      </c>
    </row>
    <row r="538" spans="1:7" x14ac:dyDescent="0.25">
      <c r="A538" s="1" t="str">
        <f t="shared" si="8"/>
        <v>05 Testosterone 3.7 µg_L dopé</v>
      </c>
      <c r="B5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8" s="1" t="s">
        <v>2756</v>
      </c>
      <c r="D538" s="1" t="s">
        <v>1422</v>
      </c>
      <c r="E538" s="1" t="s">
        <v>2757</v>
      </c>
      <c r="F538" s="1" t="s">
        <v>112</v>
      </c>
      <c r="G538" s="1">
        <v>2677262</v>
      </c>
    </row>
    <row r="539" spans="1:7" x14ac:dyDescent="0.25">
      <c r="A539" s="1" t="str">
        <f t="shared" si="8"/>
        <v>05 Testosterone 3.7 µg_L dopé</v>
      </c>
      <c r="B5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39" s="1" t="s">
        <v>2758</v>
      </c>
      <c r="D539" s="1" t="s">
        <v>2759</v>
      </c>
      <c r="E539" s="1" t="s">
        <v>2760</v>
      </c>
      <c r="F539" s="1" t="s">
        <v>112</v>
      </c>
      <c r="G539" s="1">
        <v>4468585</v>
      </c>
    </row>
    <row r="540" spans="1:7" x14ac:dyDescent="0.25">
      <c r="A540" s="1" t="str">
        <f t="shared" si="8"/>
        <v>05 Testosterone 3.7 µg_L dopé</v>
      </c>
      <c r="B5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40" s="1" t="s">
        <v>2761</v>
      </c>
      <c r="D540" s="1" t="s">
        <v>2762</v>
      </c>
      <c r="E540" s="1" t="s">
        <v>2763</v>
      </c>
      <c r="F540" s="1" t="s">
        <v>112</v>
      </c>
      <c r="G540" s="1">
        <v>4204505</v>
      </c>
    </row>
    <row r="541" spans="1:7" x14ac:dyDescent="0.25">
      <c r="A541" s="1" t="str">
        <f t="shared" si="8"/>
        <v>05 Testosterone 3.7 µg_L dopé</v>
      </c>
      <c r="B5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41" s="1" t="s">
        <v>2764</v>
      </c>
      <c r="D541" s="1" t="s">
        <v>2765</v>
      </c>
      <c r="E541" s="1" t="s">
        <v>2766</v>
      </c>
      <c r="F541" s="1" t="s">
        <v>112</v>
      </c>
      <c r="G541" s="1">
        <v>4162219</v>
      </c>
    </row>
    <row r="542" spans="1:7" x14ac:dyDescent="0.25">
      <c r="A542" s="1" t="str">
        <f t="shared" si="8"/>
        <v>05 Testosterone 3.7 µg_L dopé</v>
      </c>
      <c r="B5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2" s="1" t="s">
        <v>2767</v>
      </c>
    </row>
    <row r="543" spans="1:7" x14ac:dyDescent="0.25">
      <c r="A543" s="1" t="str">
        <f t="shared" si="8"/>
        <v>05 Testosterone 3.7 µg_L dopé</v>
      </c>
      <c r="B5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3" s="1" t="s">
        <v>2768</v>
      </c>
      <c r="D543" s="1" t="s">
        <v>1250</v>
      </c>
      <c r="E543" s="1" t="s">
        <v>2769</v>
      </c>
      <c r="F543" s="1" t="s">
        <v>112</v>
      </c>
      <c r="G543" s="1">
        <v>74017</v>
      </c>
    </row>
    <row r="544" spans="1:7" x14ac:dyDescent="0.25">
      <c r="A544" s="1" t="str">
        <f t="shared" si="8"/>
        <v>05 Testosterone 3.7 µg_L dopé</v>
      </c>
      <c r="B5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4" s="1" t="s">
        <v>2770</v>
      </c>
      <c r="D544" s="1" t="s">
        <v>1273</v>
      </c>
      <c r="E544" s="1" t="s">
        <v>1274</v>
      </c>
      <c r="F544" s="1" t="s">
        <v>112</v>
      </c>
      <c r="G544" s="1">
        <v>362517</v>
      </c>
    </row>
    <row r="545" spans="1:10" x14ac:dyDescent="0.25">
      <c r="A545" s="1" t="str">
        <f t="shared" si="8"/>
        <v>05 Testosterone 3.7 µg_L dopé</v>
      </c>
      <c r="B5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5" s="1" t="s">
        <v>2771</v>
      </c>
      <c r="D545" s="1" t="s">
        <v>1512</v>
      </c>
      <c r="E545" s="1" t="s">
        <v>2772</v>
      </c>
      <c r="F545" s="1" t="s">
        <v>112</v>
      </c>
      <c r="G545" s="1">
        <v>2333671</v>
      </c>
    </row>
    <row r="546" spans="1:10" x14ac:dyDescent="0.25">
      <c r="A546" s="1" t="str">
        <f t="shared" si="8"/>
        <v>05 Testosterone 3.7 µg_L dopé</v>
      </c>
      <c r="B5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6" s="1" t="s">
        <v>2773</v>
      </c>
      <c r="D546" s="1" t="s">
        <v>2774</v>
      </c>
      <c r="E546" s="1" t="s">
        <v>2775</v>
      </c>
      <c r="F546" s="1" t="s">
        <v>112</v>
      </c>
      <c r="G546" s="1">
        <v>2906842</v>
      </c>
    </row>
    <row r="547" spans="1:10" x14ac:dyDescent="0.25">
      <c r="A547" s="1" t="str">
        <f t="shared" si="8"/>
        <v>05 Testosterone 3.7 µg_L dopé</v>
      </c>
      <c r="B5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7" s="1" t="s">
        <v>2776</v>
      </c>
      <c r="D547" s="1" t="s">
        <v>2777</v>
      </c>
      <c r="E547" s="1" t="s">
        <v>2778</v>
      </c>
      <c r="F547" s="1" t="s">
        <v>112</v>
      </c>
      <c r="G547" s="1">
        <v>2349439</v>
      </c>
    </row>
    <row r="548" spans="1:10" x14ac:dyDescent="0.25">
      <c r="A548" s="1" t="str">
        <f t="shared" si="8"/>
        <v>05 Testosterone 3.7 µg_L dopé</v>
      </c>
      <c r="B5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8" s="1" t="s">
        <v>2779</v>
      </c>
      <c r="D548" s="1" t="s">
        <v>2780</v>
      </c>
      <c r="E548" s="1" t="s">
        <v>2781</v>
      </c>
      <c r="F548" s="1" t="s">
        <v>112</v>
      </c>
      <c r="G548" s="1">
        <v>2969655</v>
      </c>
    </row>
    <row r="549" spans="1:10" x14ac:dyDescent="0.25">
      <c r="A549" s="1" t="str">
        <f t="shared" si="8"/>
        <v>05 Testosterone 3.7 µg_L dopé</v>
      </c>
      <c r="B5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9" s="1" t="s">
        <v>2782</v>
      </c>
      <c r="D549" s="1" t="s">
        <v>2783</v>
      </c>
      <c r="E549" s="1" t="s">
        <v>2784</v>
      </c>
      <c r="F549" s="1" t="s">
        <v>112</v>
      </c>
      <c r="G549" s="1">
        <v>3313159</v>
      </c>
    </row>
    <row r="550" spans="1:10" x14ac:dyDescent="0.25">
      <c r="A550" s="1" t="str">
        <f t="shared" si="8"/>
        <v>05 Testosterone 3.7 µg_L dopé</v>
      </c>
      <c r="B5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50" s="1" t="s">
        <v>2785</v>
      </c>
      <c r="D550" s="1" t="s">
        <v>861</v>
      </c>
      <c r="E550" s="1" t="s">
        <v>2786</v>
      </c>
      <c r="F550" s="1" t="s">
        <v>112</v>
      </c>
      <c r="G550" s="1">
        <v>2867540</v>
      </c>
    </row>
    <row r="551" spans="1:10" x14ac:dyDescent="0.25">
      <c r="A551" s="1" t="str">
        <f t="shared" si="8"/>
        <v>05 Testosterone 3.7 µg_L dopé</v>
      </c>
      <c r="B5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1" s="1" t="s">
        <v>2787</v>
      </c>
      <c r="D551" s="1" t="s">
        <v>2788</v>
      </c>
      <c r="E551" s="1" t="s">
        <v>2789</v>
      </c>
      <c r="F551" s="1" t="s">
        <v>112</v>
      </c>
      <c r="G551" s="1">
        <v>69324</v>
      </c>
    </row>
    <row r="552" spans="1:10" x14ac:dyDescent="0.25">
      <c r="A552" s="1" t="str">
        <f t="shared" si="8"/>
        <v>05 Testosterone 3.7 µg_L dopé</v>
      </c>
      <c r="B5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2" s="1" t="s">
        <v>2790</v>
      </c>
      <c r="D552" s="1" t="s">
        <v>403</v>
      </c>
      <c r="E552" s="1" t="s">
        <v>2791</v>
      </c>
      <c r="F552" s="1" t="s">
        <v>112</v>
      </c>
      <c r="G552" s="1">
        <v>72114</v>
      </c>
    </row>
    <row r="553" spans="1:10" x14ac:dyDescent="0.25">
      <c r="A553" s="1" t="str">
        <f t="shared" si="8"/>
        <v>05 Testosterone 3.7 µg_L dopé</v>
      </c>
      <c r="B5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3" s="1" t="s">
        <v>2792</v>
      </c>
      <c r="D553" s="1" t="s">
        <v>311</v>
      </c>
      <c r="E553" s="1" t="s">
        <v>2793</v>
      </c>
      <c r="F553" s="1" t="s">
        <v>112</v>
      </c>
      <c r="G553" s="1">
        <v>62986</v>
      </c>
    </row>
    <row r="554" spans="1:10" x14ac:dyDescent="0.25">
      <c r="A554" s="1" t="str">
        <f t="shared" si="8"/>
        <v/>
      </c>
      <c r="B5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4" s="1" t="s">
        <v>112</v>
      </c>
    </row>
    <row r="555" spans="1:10" x14ac:dyDescent="0.25">
      <c r="A555" s="1" t="str">
        <f t="shared" si="8"/>
        <v/>
      </c>
      <c r="B5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5" s="1" t="s">
        <v>229</v>
      </c>
      <c r="D555" s="1" t="s">
        <v>112</v>
      </c>
      <c r="E555" s="1" t="s">
        <v>230</v>
      </c>
      <c r="F555" s="1" t="s">
        <v>231</v>
      </c>
      <c r="G555" s="1" t="s">
        <v>232</v>
      </c>
      <c r="H555" s="1" t="s">
        <v>233</v>
      </c>
      <c r="I555" s="1" t="s">
        <v>234</v>
      </c>
      <c r="J555" s="1" t="s">
        <v>235</v>
      </c>
    </row>
    <row r="556" spans="1:10" x14ac:dyDescent="0.25">
      <c r="A556" s="1" t="str">
        <f t="shared" si="8"/>
        <v>05 Testosterone 3.7 µg_L dopé</v>
      </c>
      <c r="B5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56" s="1" t="s">
        <v>2794</v>
      </c>
      <c r="D556" s="1" t="s">
        <v>112</v>
      </c>
      <c r="E556" s="1" t="s">
        <v>2795</v>
      </c>
      <c r="F556" s="1" t="s">
        <v>2796</v>
      </c>
      <c r="G556" s="1" t="s">
        <v>2797</v>
      </c>
      <c r="H556" s="1" t="s">
        <v>2798</v>
      </c>
      <c r="I556" s="1">
        <v>24</v>
      </c>
      <c r="J556" s="1">
        <v>24</v>
      </c>
    </row>
    <row r="557" spans="1:10" x14ac:dyDescent="0.25">
      <c r="A557" s="1" t="str">
        <f t="shared" si="8"/>
        <v/>
      </c>
      <c r="B5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7" s="1" t="s">
        <v>112</v>
      </c>
    </row>
    <row r="558" spans="1:10" x14ac:dyDescent="0.25">
      <c r="A558" s="1" t="str">
        <f t="shared" si="8"/>
        <v/>
      </c>
      <c r="B5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8" s="1" t="s">
        <v>112</v>
      </c>
    </row>
    <row r="559" spans="1:10" x14ac:dyDescent="0.25">
      <c r="A559" s="1" t="str">
        <f t="shared" si="8"/>
        <v/>
      </c>
      <c r="B5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9" s="1" t="s">
        <v>112</v>
      </c>
    </row>
    <row r="560" spans="1:10" x14ac:dyDescent="0.25">
      <c r="A560" s="1" t="str">
        <f t="shared" si="8"/>
        <v/>
      </c>
      <c r="B5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0" s="1" t="s">
        <v>112</v>
      </c>
    </row>
    <row r="561" spans="1:7" x14ac:dyDescent="0.25">
      <c r="A561" s="1" t="str">
        <f t="shared" si="8"/>
        <v/>
      </c>
      <c r="B5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1" s="1" t="s">
        <v>112</v>
      </c>
    </row>
    <row r="562" spans="1:7" x14ac:dyDescent="0.25">
      <c r="A562" s="1" t="str">
        <f t="shared" si="8"/>
        <v/>
      </c>
      <c r="B5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2" s="1" t="s">
        <v>241</v>
      </c>
      <c r="D562" s="1" t="s">
        <v>110</v>
      </c>
      <c r="E562" s="1" t="s">
        <v>111</v>
      </c>
      <c r="F562" s="1" t="s">
        <v>112</v>
      </c>
      <c r="G562" s="1" t="s">
        <v>113</v>
      </c>
    </row>
    <row r="563" spans="1:7" x14ac:dyDescent="0.25">
      <c r="A563" s="1" t="str">
        <f t="shared" si="8"/>
        <v>06  Testosterone 11 µg_Ldopé</v>
      </c>
      <c r="B56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3" s="1" t="s">
        <v>2799</v>
      </c>
      <c r="D563" s="1" t="s">
        <v>321</v>
      </c>
      <c r="E563" s="1" t="s">
        <v>2800</v>
      </c>
      <c r="F563" s="1" t="s">
        <v>112</v>
      </c>
      <c r="G563" s="1">
        <v>48062</v>
      </c>
    </row>
    <row r="564" spans="1:7" x14ac:dyDescent="0.25">
      <c r="A564" s="1" t="str">
        <f t="shared" si="8"/>
        <v>06  Testosterone 11 µg_Ldopé</v>
      </c>
      <c r="B5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4" s="1" t="s">
        <v>2801</v>
      </c>
      <c r="D564" s="1" t="s">
        <v>1250</v>
      </c>
      <c r="E564" s="1" t="s">
        <v>2802</v>
      </c>
      <c r="F564" s="1" t="s">
        <v>112</v>
      </c>
      <c r="G564" s="1">
        <v>72179</v>
      </c>
    </row>
    <row r="565" spans="1:7" x14ac:dyDescent="0.25">
      <c r="A565" s="1" t="str">
        <f t="shared" si="8"/>
        <v>06  Testosterone 11 µg_Ldopé</v>
      </c>
      <c r="B5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5" s="1" t="s">
        <v>2803</v>
      </c>
      <c r="D565" s="1" t="s">
        <v>2150</v>
      </c>
      <c r="E565" s="1" t="s">
        <v>2804</v>
      </c>
      <c r="F565" s="1" t="s">
        <v>112</v>
      </c>
      <c r="G565" s="1">
        <v>62597</v>
      </c>
    </row>
    <row r="566" spans="1:7" x14ac:dyDescent="0.25">
      <c r="A566" s="1" t="str">
        <f t="shared" si="8"/>
        <v>06  Testosterone 11 µg_Ldopé</v>
      </c>
      <c r="B5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6" s="1" t="s">
        <v>2805</v>
      </c>
      <c r="D566" s="1" t="s">
        <v>2123</v>
      </c>
      <c r="E566" s="1" t="s">
        <v>2806</v>
      </c>
      <c r="F566" s="1" t="s">
        <v>112</v>
      </c>
      <c r="G566" s="1">
        <v>2052353</v>
      </c>
    </row>
    <row r="567" spans="1:7" x14ac:dyDescent="0.25">
      <c r="A567" s="1" t="str">
        <f t="shared" si="8"/>
        <v>06  Testosterone 11 µg_Ldopé</v>
      </c>
      <c r="B5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7" s="1" t="s">
        <v>2807</v>
      </c>
      <c r="D567" s="1" t="s">
        <v>2808</v>
      </c>
      <c r="E567" s="1" t="s">
        <v>2809</v>
      </c>
      <c r="F567" s="1" t="s">
        <v>112</v>
      </c>
      <c r="G567" s="1">
        <v>2033059</v>
      </c>
    </row>
    <row r="568" spans="1:7" x14ac:dyDescent="0.25">
      <c r="A568" s="1" t="str">
        <f t="shared" si="8"/>
        <v>06  Testosterone 11 µg_Ldopé</v>
      </c>
      <c r="B5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8" s="1" t="s">
        <v>2810</v>
      </c>
      <c r="D568" s="1" t="s">
        <v>2808</v>
      </c>
      <c r="E568" s="1" t="s">
        <v>2811</v>
      </c>
      <c r="F568" s="1" t="s">
        <v>112</v>
      </c>
      <c r="G568" s="1">
        <v>2020513</v>
      </c>
    </row>
    <row r="569" spans="1:7" x14ac:dyDescent="0.25">
      <c r="A569" s="1" t="str">
        <f t="shared" si="8"/>
        <v>06  Testosterone 11 µg_Ldopé</v>
      </c>
      <c r="B5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69" s="1" t="s">
        <v>2812</v>
      </c>
      <c r="D569" s="1" t="s">
        <v>1826</v>
      </c>
      <c r="E569" s="1" t="s">
        <v>2813</v>
      </c>
      <c r="F569" s="1" t="s">
        <v>112</v>
      </c>
      <c r="G569" s="1">
        <v>560668</v>
      </c>
    </row>
    <row r="570" spans="1:7" x14ac:dyDescent="0.25">
      <c r="A570" s="1" t="str">
        <f t="shared" si="8"/>
        <v>06  Testosterone 11 µg_Ldopé</v>
      </c>
      <c r="B5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70" s="1" t="s">
        <v>2814</v>
      </c>
      <c r="D570" s="1" t="s">
        <v>2687</v>
      </c>
      <c r="E570" s="1" t="s">
        <v>2815</v>
      </c>
      <c r="F570" s="1" t="s">
        <v>112</v>
      </c>
      <c r="G570" s="1">
        <v>721119</v>
      </c>
    </row>
    <row r="571" spans="1:7" x14ac:dyDescent="0.25">
      <c r="A571" s="1" t="str">
        <f t="shared" si="8"/>
        <v>06  Testosterone 11 µg_Ldopé</v>
      </c>
      <c r="B5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71" s="1" t="s">
        <v>2816</v>
      </c>
      <c r="D571" s="1" t="s">
        <v>2817</v>
      </c>
      <c r="E571" s="1" t="s">
        <v>2818</v>
      </c>
      <c r="F571" s="1" t="s">
        <v>112</v>
      </c>
      <c r="G571" s="1">
        <v>510574</v>
      </c>
    </row>
    <row r="572" spans="1:7" x14ac:dyDescent="0.25">
      <c r="A572" s="1" t="str">
        <f t="shared" si="8"/>
        <v>06  Testosterone 11 µg_Ldopé</v>
      </c>
      <c r="B5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2" s="1" t="s">
        <v>2819</v>
      </c>
      <c r="D572" s="1" t="s">
        <v>2177</v>
      </c>
      <c r="E572" s="1" t="s">
        <v>2820</v>
      </c>
      <c r="F572" s="1" t="s">
        <v>112</v>
      </c>
      <c r="G572" s="1">
        <v>95885</v>
      </c>
    </row>
    <row r="573" spans="1:7" x14ac:dyDescent="0.25">
      <c r="A573" s="1" t="str">
        <f t="shared" si="8"/>
        <v>06  Testosterone 11 µg_Ldopé</v>
      </c>
      <c r="B5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3" s="1" t="s">
        <v>2821</v>
      </c>
      <c r="D573" s="1" t="s">
        <v>2822</v>
      </c>
      <c r="E573" s="1" t="s">
        <v>2823</v>
      </c>
      <c r="F573" s="1" t="s">
        <v>112</v>
      </c>
      <c r="G573" s="1">
        <v>131077</v>
      </c>
    </row>
    <row r="574" spans="1:7" x14ac:dyDescent="0.25">
      <c r="A574" s="1" t="str">
        <f t="shared" si="8"/>
        <v>06  Testosterone 11 µg_Ldopé</v>
      </c>
      <c r="B5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4" s="1" t="s">
        <v>2824</v>
      </c>
      <c r="D574" s="1" t="s">
        <v>246</v>
      </c>
      <c r="E574" s="1" t="s">
        <v>2825</v>
      </c>
      <c r="F574" s="1" t="s">
        <v>112</v>
      </c>
      <c r="G574" s="1">
        <v>221166</v>
      </c>
    </row>
    <row r="575" spans="1:7" x14ac:dyDescent="0.25">
      <c r="A575" s="1" t="str">
        <f t="shared" si="8"/>
        <v>06  Testosterone 11 µg_Ldopé</v>
      </c>
      <c r="B5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5" s="1" t="s">
        <v>2826</v>
      </c>
      <c r="D575" s="1" t="s">
        <v>2827</v>
      </c>
      <c r="E575" s="1" t="s">
        <v>2828</v>
      </c>
      <c r="F575" s="1" t="s">
        <v>112</v>
      </c>
      <c r="G575" s="1">
        <v>2377407</v>
      </c>
    </row>
    <row r="576" spans="1:7" x14ac:dyDescent="0.25">
      <c r="A576" s="1" t="str">
        <f t="shared" si="8"/>
        <v>06  Testosterone 11 µg_Ldopé</v>
      </c>
      <c r="B5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6" s="1" t="s">
        <v>2829</v>
      </c>
      <c r="D576" s="1" t="s">
        <v>2830</v>
      </c>
      <c r="E576" s="1" t="s">
        <v>2831</v>
      </c>
      <c r="F576" s="1" t="s">
        <v>112</v>
      </c>
      <c r="G576" s="1">
        <v>2360579</v>
      </c>
    </row>
    <row r="577" spans="1:10" x14ac:dyDescent="0.25">
      <c r="A577" s="1" t="str">
        <f t="shared" si="8"/>
        <v>06  Testosterone 11 µg_Ldopé</v>
      </c>
      <c r="B5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7" s="1" t="s">
        <v>2832</v>
      </c>
      <c r="D577" s="1" t="s">
        <v>2833</v>
      </c>
      <c r="E577" s="1" t="s">
        <v>2834</v>
      </c>
      <c r="F577" s="1" t="s">
        <v>112</v>
      </c>
      <c r="G577" s="1">
        <v>2043549</v>
      </c>
    </row>
    <row r="578" spans="1:10" x14ac:dyDescent="0.25">
      <c r="A578" s="1" t="str">
        <f t="shared" ref="A578:A641" si="9">IFERROR(LEFT(RIGHT(C578,LEN(C578)-SEARCH("@",C578)),SEARCH("/",RIGHT(C578,LEN(C578)-SEARCH("@",C578)-1))),"")</f>
        <v>06  Testosterone 11 µg_Ldopé</v>
      </c>
      <c r="B5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78" s="1" t="s">
        <v>2835</v>
      </c>
      <c r="D578" s="1" t="s">
        <v>2836</v>
      </c>
      <c r="E578" s="1" t="s">
        <v>2837</v>
      </c>
      <c r="F578" s="1" t="s">
        <v>112</v>
      </c>
      <c r="G578" s="1">
        <v>1268247</v>
      </c>
    </row>
    <row r="579" spans="1:10" x14ac:dyDescent="0.25">
      <c r="A579" s="1" t="str">
        <f t="shared" si="9"/>
        <v>06  Testosterone 11 µg_Ldopé</v>
      </c>
      <c r="B5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79" s="1" t="s">
        <v>2838</v>
      </c>
      <c r="D579" s="1" t="s">
        <v>2839</v>
      </c>
      <c r="E579" s="1" t="s">
        <v>2840</v>
      </c>
      <c r="F579" s="1" t="s">
        <v>112</v>
      </c>
      <c r="G579" s="1">
        <v>1117357</v>
      </c>
    </row>
    <row r="580" spans="1:10" x14ac:dyDescent="0.25">
      <c r="A580" s="1" t="str">
        <f t="shared" si="9"/>
        <v>06  Testosterone 11 µg_Ldopé</v>
      </c>
      <c r="B5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80" s="1" t="s">
        <v>2841</v>
      </c>
      <c r="D580" s="1" t="s">
        <v>2842</v>
      </c>
      <c r="E580" s="1" t="s">
        <v>2843</v>
      </c>
      <c r="F580" s="1" t="s">
        <v>112</v>
      </c>
      <c r="G580" s="1">
        <v>1312394</v>
      </c>
    </row>
    <row r="581" spans="1:10" x14ac:dyDescent="0.25">
      <c r="A581" s="1" t="str">
        <f t="shared" si="9"/>
        <v>06  Testosterone 11 µg_Ldopé</v>
      </c>
      <c r="B5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1" s="1" t="s">
        <v>2844</v>
      </c>
      <c r="D581" s="1" t="s">
        <v>2845</v>
      </c>
      <c r="E581" s="1" t="s">
        <v>2846</v>
      </c>
      <c r="F581" s="1" t="s">
        <v>112</v>
      </c>
      <c r="G581" s="1">
        <v>876638</v>
      </c>
    </row>
    <row r="582" spans="1:10" x14ac:dyDescent="0.25">
      <c r="A582" s="1" t="str">
        <f t="shared" si="9"/>
        <v>06  Testosterone 11 µg_Ldopé</v>
      </c>
      <c r="B5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2" s="1" t="s">
        <v>2847</v>
      </c>
      <c r="D582" s="1" t="s">
        <v>2848</v>
      </c>
      <c r="E582" s="1" t="s">
        <v>2849</v>
      </c>
      <c r="F582" s="1" t="s">
        <v>112</v>
      </c>
      <c r="G582" s="1">
        <v>872939</v>
      </c>
    </row>
    <row r="583" spans="1:10" x14ac:dyDescent="0.25">
      <c r="A583" s="1" t="str">
        <f t="shared" si="9"/>
        <v>06  Testosterone 11 µg_Ldopé</v>
      </c>
      <c r="B5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3" s="1" t="s">
        <v>2850</v>
      </c>
      <c r="D583" s="1" t="s">
        <v>2331</v>
      </c>
      <c r="E583" s="1" t="s">
        <v>2851</v>
      </c>
      <c r="F583" s="1" t="s">
        <v>112</v>
      </c>
      <c r="G583" s="1">
        <v>1042929</v>
      </c>
    </row>
    <row r="584" spans="1:10" x14ac:dyDescent="0.25">
      <c r="A584" s="1" t="str">
        <f t="shared" si="9"/>
        <v>06  Testosterone 11 µg_Ldopé</v>
      </c>
      <c r="B5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4" s="1" t="s">
        <v>2852</v>
      </c>
      <c r="D584" s="1" t="s">
        <v>2853</v>
      </c>
      <c r="E584" s="1" t="s">
        <v>2854</v>
      </c>
      <c r="F584" s="1" t="s">
        <v>112</v>
      </c>
      <c r="G584" s="1">
        <v>3876726</v>
      </c>
    </row>
    <row r="585" spans="1:10" x14ac:dyDescent="0.25">
      <c r="A585" s="1" t="str">
        <f t="shared" si="9"/>
        <v>06  Testosterone 11 µg_Ldopé</v>
      </c>
      <c r="B5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5" s="1" t="s">
        <v>2855</v>
      </c>
      <c r="D585" s="1" t="s">
        <v>2856</v>
      </c>
      <c r="E585" s="1" t="s">
        <v>2857</v>
      </c>
      <c r="F585" s="1" t="s">
        <v>112</v>
      </c>
      <c r="G585" s="1">
        <v>3526646</v>
      </c>
    </row>
    <row r="586" spans="1:10" x14ac:dyDescent="0.25">
      <c r="A586" s="1" t="str">
        <f t="shared" si="9"/>
        <v>06  Testosterone 11 µg_Ldopé</v>
      </c>
      <c r="B5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6" s="1" t="s">
        <v>2858</v>
      </c>
      <c r="D586" s="1" t="s">
        <v>807</v>
      </c>
      <c r="E586" s="1" t="s">
        <v>2859</v>
      </c>
      <c r="F586" s="1" t="s">
        <v>112</v>
      </c>
      <c r="G586" s="1">
        <v>3704292</v>
      </c>
    </row>
    <row r="587" spans="1:10" x14ac:dyDescent="0.25">
      <c r="A587" s="1" t="str">
        <f t="shared" si="9"/>
        <v/>
      </c>
      <c r="B5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87" s="1" t="s">
        <v>112</v>
      </c>
    </row>
    <row r="588" spans="1:10" x14ac:dyDescent="0.25">
      <c r="A588" s="1" t="str">
        <f t="shared" si="9"/>
        <v/>
      </c>
      <c r="B5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88" s="1" t="s">
        <v>229</v>
      </c>
      <c r="D588" s="1" t="s">
        <v>112</v>
      </c>
      <c r="E588" s="1" t="s">
        <v>230</v>
      </c>
      <c r="F588" s="1" t="s">
        <v>231</v>
      </c>
      <c r="G588" s="1" t="s">
        <v>232</v>
      </c>
      <c r="H588" s="1" t="s">
        <v>233</v>
      </c>
      <c r="I588" s="1" t="s">
        <v>234</v>
      </c>
      <c r="J588" s="1" t="s">
        <v>235</v>
      </c>
    </row>
    <row r="589" spans="1:10" x14ac:dyDescent="0.25">
      <c r="A589" s="1" t="str">
        <f t="shared" si="9"/>
        <v>06  Testosterone 11 µg_Ldopé</v>
      </c>
      <c r="B5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89" s="1" t="s">
        <v>2860</v>
      </c>
      <c r="D589" s="1" t="s">
        <v>112</v>
      </c>
      <c r="E589" s="1" t="s">
        <v>2861</v>
      </c>
      <c r="F589" s="1" t="s">
        <v>2862</v>
      </c>
      <c r="G589" s="1" t="s">
        <v>2863</v>
      </c>
      <c r="H589" s="1" t="s">
        <v>2864</v>
      </c>
      <c r="I589" s="1">
        <v>24</v>
      </c>
      <c r="J589" s="1">
        <v>24</v>
      </c>
    </row>
    <row r="590" spans="1:10" x14ac:dyDescent="0.25">
      <c r="A590" s="1" t="str">
        <f t="shared" si="9"/>
        <v/>
      </c>
      <c r="B5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0" s="1" t="s">
        <v>112</v>
      </c>
    </row>
    <row r="591" spans="1:10" x14ac:dyDescent="0.25">
      <c r="A591" s="1" t="str">
        <f t="shared" si="9"/>
        <v/>
      </c>
      <c r="B5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1" s="1" t="s">
        <v>112</v>
      </c>
    </row>
    <row r="592" spans="1:10" x14ac:dyDescent="0.25">
      <c r="A592" s="1" t="str">
        <f t="shared" si="9"/>
        <v/>
      </c>
      <c r="B5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2" s="1" t="s">
        <v>112</v>
      </c>
    </row>
    <row r="593" spans="1:7" x14ac:dyDescent="0.25">
      <c r="A593" s="1" t="str">
        <f t="shared" si="9"/>
        <v/>
      </c>
      <c r="B5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3" s="1" t="s">
        <v>112</v>
      </c>
    </row>
    <row r="594" spans="1:7" x14ac:dyDescent="0.25">
      <c r="A594" s="1" t="str">
        <f t="shared" si="9"/>
        <v/>
      </c>
      <c r="B5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4" s="1" t="s">
        <v>112</v>
      </c>
    </row>
    <row r="595" spans="1:7" x14ac:dyDescent="0.25">
      <c r="A595" s="1" t="str">
        <f t="shared" si="9"/>
        <v/>
      </c>
      <c r="B5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5" s="1" t="s">
        <v>241</v>
      </c>
      <c r="D595" s="1" t="s">
        <v>110</v>
      </c>
      <c r="E595" s="1" t="s">
        <v>111</v>
      </c>
      <c r="F595" s="1" t="s">
        <v>112</v>
      </c>
      <c r="G595" s="1" t="s">
        <v>113</v>
      </c>
    </row>
    <row r="596" spans="1:7" x14ac:dyDescent="0.25">
      <c r="A596" s="1" t="str">
        <f t="shared" si="9"/>
        <v>07  Testosterone 33 µg_Ldopé</v>
      </c>
      <c r="B59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6" s="1" t="s">
        <v>2865</v>
      </c>
      <c r="D596" s="1" t="s">
        <v>2866</v>
      </c>
      <c r="E596" s="1" t="s">
        <v>2867</v>
      </c>
      <c r="F596" s="1" t="s">
        <v>112</v>
      </c>
      <c r="G596" s="1">
        <v>1628882</v>
      </c>
    </row>
    <row r="597" spans="1:7" x14ac:dyDescent="0.25">
      <c r="A597" s="1" t="str">
        <f t="shared" si="9"/>
        <v>07  Testosterone 33 µg_Ldopé</v>
      </c>
      <c r="B59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7" s="1" t="s">
        <v>2868</v>
      </c>
      <c r="D597" s="1" t="s">
        <v>919</v>
      </c>
      <c r="E597" s="1" t="s">
        <v>2869</v>
      </c>
      <c r="F597" s="1" t="s">
        <v>112</v>
      </c>
      <c r="G597" s="1">
        <v>1618003</v>
      </c>
    </row>
    <row r="598" spans="1:7" x14ac:dyDescent="0.25">
      <c r="A598" s="1" t="str">
        <f t="shared" si="9"/>
        <v>07  Testosterone 33 µg_Ldopé</v>
      </c>
      <c r="B5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8" s="1" t="s">
        <v>2870</v>
      </c>
      <c r="D598" s="1" t="s">
        <v>2273</v>
      </c>
      <c r="E598" s="1" t="s">
        <v>2871</v>
      </c>
      <c r="F598" s="1" t="s">
        <v>112</v>
      </c>
      <c r="G598" s="1">
        <v>1448922</v>
      </c>
    </row>
    <row r="599" spans="1:7" x14ac:dyDescent="0.25">
      <c r="A599" s="1" t="str">
        <f t="shared" si="9"/>
        <v>07  Testosterone 33 µg_Ldopé</v>
      </c>
      <c r="B5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99" s="1" t="s">
        <v>2872</v>
      </c>
      <c r="D599" s="1" t="s">
        <v>2873</v>
      </c>
      <c r="E599" s="1" t="s">
        <v>2874</v>
      </c>
      <c r="F599" s="1" t="s">
        <v>112</v>
      </c>
      <c r="G599" s="1">
        <v>146002</v>
      </c>
    </row>
    <row r="600" spans="1:7" x14ac:dyDescent="0.25">
      <c r="A600" s="1" t="str">
        <f t="shared" si="9"/>
        <v>07  Testosterone 33 µg_Ldopé</v>
      </c>
      <c r="B6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00" s="1" t="s">
        <v>2875</v>
      </c>
      <c r="D600" s="1" t="s">
        <v>1715</v>
      </c>
      <c r="E600" s="1" t="s">
        <v>2876</v>
      </c>
      <c r="F600" s="1" t="s">
        <v>112</v>
      </c>
      <c r="G600" s="1">
        <v>67074</v>
      </c>
    </row>
    <row r="601" spans="1:7" x14ac:dyDescent="0.25">
      <c r="A601" s="1" t="str">
        <f t="shared" si="9"/>
        <v>07  Testosterone 33 µg_Ldopé</v>
      </c>
      <c r="B6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01" s="1" t="s">
        <v>2877</v>
      </c>
      <c r="D601" s="1" t="s">
        <v>1268</v>
      </c>
      <c r="E601" s="1" t="s">
        <v>2878</v>
      </c>
      <c r="F601" s="1" t="s">
        <v>112</v>
      </c>
      <c r="G601" s="1">
        <v>57146</v>
      </c>
    </row>
    <row r="602" spans="1:7" x14ac:dyDescent="0.25">
      <c r="A602" s="1" t="str">
        <f t="shared" si="9"/>
        <v>07  Testosterone 33 µg_Ldopé</v>
      </c>
      <c r="B6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2" s="1" t="s">
        <v>2879</v>
      </c>
    </row>
    <row r="603" spans="1:7" x14ac:dyDescent="0.25">
      <c r="A603" s="1" t="str">
        <f t="shared" si="9"/>
        <v>07  Testosterone 33 µg_Ldopé</v>
      </c>
      <c r="B6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3" s="1" t="s">
        <v>2880</v>
      </c>
      <c r="D603" s="1" t="s">
        <v>2881</v>
      </c>
      <c r="E603" s="1" t="s">
        <v>2882</v>
      </c>
      <c r="F603" s="1" t="s">
        <v>112</v>
      </c>
      <c r="G603" s="1">
        <v>2811237</v>
      </c>
    </row>
    <row r="604" spans="1:7" x14ac:dyDescent="0.25">
      <c r="A604" s="1" t="str">
        <f t="shared" si="9"/>
        <v>07  Testosterone 33 µg_Ldopé</v>
      </c>
      <c r="B6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4" s="1" t="s">
        <v>2883</v>
      </c>
      <c r="D604" s="1" t="s">
        <v>2884</v>
      </c>
      <c r="E604" s="1" t="s">
        <v>2885</v>
      </c>
      <c r="F604" s="1" t="s">
        <v>112</v>
      </c>
      <c r="G604" s="1">
        <v>2537316</v>
      </c>
    </row>
    <row r="605" spans="1:7" x14ac:dyDescent="0.25">
      <c r="A605" s="1" t="str">
        <f t="shared" si="9"/>
        <v>07  Testosterone 33 µg_Ldopé</v>
      </c>
      <c r="B6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5" s="1" t="s">
        <v>2886</v>
      </c>
      <c r="D605" s="1" t="s">
        <v>2887</v>
      </c>
      <c r="E605" s="1" t="s">
        <v>2888</v>
      </c>
      <c r="F605" s="1" t="s">
        <v>112</v>
      </c>
      <c r="G605" s="1">
        <v>2855406</v>
      </c>
    </row>
    <row r="606" spans="1:7" x14ac:dyDescent="0.25">
      <c r="A606" s="1" t="str">
        <f t="shared" si="9"/>
        <v>07  Testosterone 33 µg_Ldopé</v>
      </c>
      <c r="B6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6" s="1" t="s">
        <v>2889</v>
      </c>
      <c r="D606" s="1" t="s">
        <v>1540</v>
      </c>
      <c r="E606" s="1" t="s">
        <v>2890</v>
      </c>
      <c r="F606" s="1" t="s">
        <v>112</v>
      </c>
      <c r="G606" s="1">
        <v>2778295</v>
      </c>
    </row>
    <row r="607" spans="1:7" x14ac:dyDescent="0.25">
      <c r="A607" s="1" t="str">
        <f t="shared" si="9"/>
        <v>07  Testosterone 33 µg_Ldopé</v>
      </c>
      <c r="B6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7" s="1" t="s">
        <v>2891</v>
      </c>
      <c r="D607" s="1" t="s">
        <v>2892</v>
      </c>
      <c r="E607" s="1" t="s">
        <v>2893</v>
      </c>
      <c r="F607" s="1" t="s">
        <v>112</v>
      </c>
      <c r="G607" s="1">
        <v>2358351</v>
      </c>
    </row>
    <row r="608" spans="1:7" x14ac:dyDescent="0.25">
      <c r="A608" s="1" t="str">
        <f t="shared" si="9"/>
        <v>07  Testosterone 33 µg_Ldopé</v>
      </c>
      <c r="B6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08" s="1" t="s">
        <v>2894</v>
      </c>
      <c r="D608" s="1" t="s">
        <v>2334</v>
      </c>
      <c r="E608" s="1" t="s">
        <v>2895</v>
      </c>
      <c r="F608" s="1" t="s">
        <v>112</v>
      </c>
      <c r="G608" s="1">
        <v>450399</v>
      </c>
    </row>
    <row r="609" spans="1:10" x14ac:dyDescent="0.25">
      <c r="A609" s="1" t="str">
        <f t="shared" si="9"/>
        <v>07  Testosterone 33 µg_Ldopé</v>
      </c>
      <c r="B6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09" s="1" t="s">
        <v>2896</v>
      </c>
      <c r="D609" s="1" t="s">
        <v>2192</v>
      </c>
      <c r="E609" s="1" t="s">
        <v>2897</v>
      </c>
      <c r="F609" s="1" t="s">
        <v>112</v>
      </c>
      <c r="G609" s="1">
        <v>488273</v>
      </c>
    </row>
    <row r="610" spans="1:10" x14ac:dyDescent="0.25">
      <c r="A610" s="1" t="str">
        <f t="shared" si="9"/>
        <v>07  Testosterone 33 µg_Ldopé</v>
      </c>
      <c r="B6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10" s="1" t="s">
        <v>2898</v>
      </c>
      <c r="D610" s="1" t="s">
        <v>2899</v>
      </c>
      <c r="E610" s="1" t="s">
        <v>2900</v>
      </c>
      <c r="F610" s="1" t="s">
        <v>112</v>
      </c>
      <c r="G610" s="1">
        <v>461084</v>
      </c>
    </row>
    <row r="611" spans="1:10" x14ac:dyDescent="0.25">
      <c r="A611" s="1" t="str">
        <f t="shared" si="9"/>
        <v>07  Testosterone 33 µg_Ldopé</v>
      </c>
      <c r="B6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1" s="1" t="s">
        <v>2901</v>
      </c>
      <c r="D611" s="1" t="s">
        <v>1088</v>
      </c>
      <c r="E611" s="1" t="s">
        <v>2902</v>
      </c>
      <c r="F611" s="1" t="s">
        <v>112</v>
      </c>
      <c r="G611" s="1">
        <v>938608</v>
      </c>
    </row>
    <row r="612" spans="1:10" x14ac:dyDescent="0.25">
      <c r="A612" s="1" t="str">
        <f t="shared" si="9"/>
        <v>07  Testosterone 33 µg_Ldopé</v>
      </c>
      <c r="B6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2" s="1" t="s">
        <v>2903</v>
      </c>
      <c r="D612" s="1" t="s">
        <v>2904</v>
      </c>
      <c r="E612" s="1" t="s">
        <v>2905</v>
      </c>
      <c r="F612" s="1" t="s">
        <v>112</v>
      </c>
      <c r="G612" s="1">
        <v>934174</v>
      </c>
    </row>
    <row r="613" spans="1:10" x14ac:dyDescent="0.25">
      <c r="A613" s="1" t="str">
        <f t="shared" si="9"/>
        <v>07  Testosterone 33 µg_Ldopé</v>
      </c>
      <c r="B6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3" s="1" t="s">
        <v>2906</v>
      </c>
      <c r="D613" s="1" t="s">
        <v>2907</v>
      </c>
      <c r="E613" s="1" t="s">
        <v>2908</v>
      </c>
      <c r="F613" s="1" t="s">
        <v>112</v>
      </c>
      <c r="G613" s="1">
        <v>1004730</v>
      </c>
    </row>
    <row r="614" spans="1:10" x14ac:dyDescent="0.25">
      <c r="A614" s="1" t="str">
        <f t="shared" si="9"/>
        <v>07  Testosterone 33 µg_Ldopé</v>
      </c>
      <c r="B6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4" s="1" t="s">
        <v>2909</v>
      </c>
      <c r="D614" s="1" t="s">
        <v>2910</v>
      </c>
      <c r="E614" s="1" t="s">
        <v>2911</v>
      </c>
      <c r="F614" s="1" t="s">
        <v>112</v>
      </c>
      <c r="G614" s="1">
        <v>1536609</v>
      </c>
    </row>
    <row r="615" spans="1:10" x14ac:dyDescent="0.25">
      <c r="A615" s="1" t="str">
        <f t="shared" si="9"/>
        <v>07  Testosterone 33 µg_Ldopé</v>
      </c>
      <c r="B6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5" s="1" t="s">
        <v>2912</v>
      </c>
      <c r="D615" s="1" t="s">
        <v>2913</v>
      </c>
      <c r="E615" s="1" t="s">
        <v>2914</v>
      </c>
      <c r="F615" s="1" t="s">
        <v>112</v>
      </c>
      <c r="G615" s="1">
        <v>1564469</v>
      </c>
    </row>
    <row r="616" spans="1:10" x14ac:dyDescent="0.25">
      <c r="A616" s="1" t="str">
        <f t="shared" si="9"/>
        <v>07  Testosterone 33 µg_Ldopé</v>
      </c>
      <c r="B6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6" s="1" t="s">
        <v>2915</v>
      </c>
      <c r="D616" s="1" t="s">
        <v>2285</v>
      </c>
      <c r="E616" s="1" t="s">
        <v>2916</v>
      </c>
      <c r="F616" s="1" t="s">
        <v>112</v>
      </c>
      <c r="G616" s="1">
        <v>1569379</v>
      </c>
    </row>
    <row r="617" spans="1:10" x14ac:dyDescent="0.25">
      <c r="A617" s="1" t="str">
        <f t="shared" si="9"/>
        <v>07  Testosterone 33 µg_Ldopé</v>
      </c>
      <c r="B6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7" s="1" t="s">
        <v>2917</v>
      </c>
      <c r="D617" s="1" t="s">
        <v>2918</v>
      </c>
      <c r="E617" s="1" t="s">
        <v>2919</v>
      </c>
      <c r="F617" s="1" t="s">
        <v>112</v>
      </c>
      <c r="G617" s="1">
        <v>955630</v>
      </c>
    </row>
    <row r="618" spans="1:10" x14ac:dyDescent="0.25">
      <c r="A618" s="1" t="str">
        <f t="shared" si="9"/>
        <v>07  Testosterone 33 µg_Ldopé</v>
      </c>
      <c r="B6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8" s="1" t="s">
        <v>2920</v>
      </c>
      <c r="D618" s="1" t="s">
        <v>2921</v>
      </c>
      <c r="E618" s="1" t="s">
        <v>2922</v>
      </c>
      <c r="F618" s="1" t="s">
        <v>112</v>
      </c>
      <c r="G618" s="1">
        <v>713916</v>
      </c>
    </row>
    <row r="619" spans="1:10" x14ac:dyDescent="0.25">
      <c r="A619" s="1" t="str">
        <f t="shared" si="9"/>
        <v>07  Testosterone 33 µg_Ldopé</v>
      </c>
      <c r="B6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9" s="1" t="s">
        <v>2923</v>
      </c>
      <c r="D619" s="1" t="s">
        <v>2924</v>
      </c>
      <c r="E619" s="1" t="s">
        <v>2925</v>
      </c>
      <c r="F619" s="1" t="s">
        <v>112</v>
      </c>
      <c r="G619" s="1">
        <v>595168</v>
      </c>
    </row>
    <row r="620" spans="1:10" x14ac:dyDescent="0.25">
      <c r="A620" s="1" t="str">
        <f t="shared" si="9"/>
        <v/>
      </c>
      <c r="B6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0" s="1" t="s">
        <v>112</v>
      </c>
    </row>
    <row r="621" spans="1:10" x14ac:dyDescent="0.25">
      <c r="A621" s="1" t="str">
        <f t="shared" si="9"/>
        <v/>
      </c>
      <c r="B6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1" s="1" t="s">
        <v>229</v>
      </c>
      <c r="D621" s="1" t="s">
        <v>112</v>
      </c>
      <c r="E621" s="1" t="s">
        <v>230</v>
      </c>
      <c r="F621" s="1" t="s">
        <v>231</v>
      </c>
      <c r="G621" s="1" t="s">
        <v>232</v>
      </c>
      <c r="H621" s="1" t="s">
        <v>233</v>
      </c>
      <c r="I621" s="1" t="s">
        <v>234</v>
      </c>
      <c r="J621" s="1" t="s">
        <v>235</v>
      </c>
    </row>
    <row r="622" spans="1:10" x14ac:dyDescent="0.25">
      <c r="A622" s="1" t="str">
        <f t="shared" si="9"/>
        <v>07  Testosterone 33 µg_Ldopé</v>
      </c>
      <c r="B6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22" s="1" t="s">
        <v>2926</v>
      </c>
      <c r="D622" s="1" t="s">
        <v>112</v>
      </c>
      <c r="E622" s="1" t="s">
        <v>2927</v>
      </c>
      <c r="F622" s="1" t="s">
        <v>2928</v>
      </c>
      <c r="G622" s="1" t="s">
        <v>2929</v>
      </c>
      <c r="H622" s="1" t="s">
        <v>2930</v>
      </c>
      <c r="I622" s="1">
        <v>24</v>
      </c>
      <c r="J622" s="1">
        <v>24</v>
      </c>
    </row>
    <row r="623" spans="1:10" x14ac:dyDescent="0.25">
      <c r="A623" s="1" t="str">
        <f t="shared" si="9"/>
        <v/>
      </c>
      <c r="B6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3" s="1" t="s">
        <v>112</v>
      </c>
    </row>
    <row r="624" spans="1:10" x14ac:dyDescent="0.25">
      <c r="A624" s="1" t="str">
        <f t="shared" si="9"/>
        <v/>
      </c>
      <c r="B6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4" s="1" t="s">
        <v>112</v>
      </c>
    </row>
    <row r="625" spans="1:7" x14ac:dyDescent="0.25">
      <c r="A625" s="1" t="str">
        <f t="shared" si="9"/>
        <v/>
      </c>
      <c r="B6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5" s="1" t="s">
        <v>112</v>
      </c>
    </row>
    <row r="626" spans="1:7" x14ac:dyDescent="0.25">
      <c r="A626" s="1" t="str">
        <f t="shared" si="9"/>
        <v/>
      </c>
      <c r="B6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6" s="1" t="s">
        <v>112</v>
      </c>
    </row>
    <row r="627" spans="1:7" x14ac:dyDescent="0.25">
      <c r="A627" s="1" t="str">
        <f t="shared" si="9"/>
        <v/>
      </c>
      <c r="B6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7" s="1" t="s">
        <v>112</v>
      </c>
    </row>
    <row r="628" spans="1:7" x14ac:dyDescent="0.25">
      <c r="A628" s="1" t="str">
        <f t="shared" si="9"/>
        <v/>
      </c>
      <c r="B6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8" s="1" t="s">
        <v>241</v>
      </c>
      <c r="D628" s="1" t="s">
        <v>110</v>
      </c>
      <c r="E628" s="1" t="s">
        <v>111</v>
      </c>
      <c r="F628" s="1" t="s">
        <v>112</v>
      </c>
      <c r="G628" s="1" t="s">
        <v>113</v>
      </c>
    </row>
    <row r="629" spans="1:7" x14ac:dyDescent="0.25">
      <c r="A629" s="1" t="str">
        <f t="shared" si="9"/>
        <v>08  Testosterone 100 µg_Ldopé</v>
      </c>
      <c r="B62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29" s="1" t="s">
        <v>2931</v>
      </c>
      <c r="D629" s="1" t="s">
        <v>2932</v>
      </c>
      <c r="E629" s="1" t="s">
        <v>2933</v>
      </c>
      <c r="F629" s="1" t="s">
        <v>112</v>
      </c>
      <c r="G629" s="1">
        <v>700938</v>
      </c>
    </row>
    <row r="630" spans="1:7" x14ac:dyDescent="0.25">
      <c r="A630" s="1" t="str">
        <f t="shared" si="9"/>
        <v>08  Testosterone 100 µg_Ldopé</v>
      </c>
      <c r="B63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30" s="1" t="s">
        <v>2934</v>
      </c>
      <c r="D630" s="1" t="s">
        <v>2362</v>
      </c>
      <c r="E630" s="1" t="s">
        <v>2935</v>
      </c>
      <c r="F630" s="1" t="s">
        <v>112</v>
      </c>
      <c r="G630" s="1">
        <v>546414</v>
      </c>
    </row>
    <row r="631" spans="1:7" x14ac:dyDescent="0.25">
      <c r="A631" s="1" t="str">
        <f t="shared" si="9"/>
        <v>08  Testosterone 100 µg_Ldopé</v>
      </c>
      <c r="B6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31" s="1" t="s">
        <v>2936</v>
      </c>
      <c r="D631" s="1" t="s">
        <v>2937</v>
      </c>
      <c r="E631" s="1" t="s">
        <v>2938</v>
      </c>
      <c r="F631" s="1" t="s">
        <v>112</v>
      </c>
      <c r="G631" s="1">
        <v>523011</v>
      </c>
    </row>
    <row r="632" spans="1:7" x14ac:dyDescent="0.25">
      <c r="A632" s="1" t="str">
        <f t="shared" si="9"/>
        <v>08  Testosterone 100 µg_Ldopé</v>
      </c>
      <c r="B6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2" s="1" t="s">
        <v>2939</v>
      </c>
      <c r="D632" s="1" t="s">
        <v>1811</v>
      </c>
      <c r="E632" s="1" t="s">
        <v>2940</v>
      </c>
      <c r="F632" s="1" t="s">
        <v>112</v>
      </c>
      <c r="G632" s="1">
        <v>54810</v>
      </c>
    </row>
    <row r="633" spans="1:7" x14ac:dyDescent="0.25">
      <c r="A633" s="1" t="str">
        <f t="shared" si="9"/>
        <v>08  Testosterone 100 µg_Ldopé</v>
      </c>
      <c r="B6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3" s="1" t="s">
        <v>2941</v>
      </c>
      <c r="D633" s="1" t="s">
        <v>2711</v>
      </c>
      <c r="E633" s="1" t="s">
        <v>2942</v>
      </c>
      <c r="F633" s="1" t="s">
        <v>112</v>
      </c>
      <c r="G633" s="1">
        <v>63224</v>
      </c>
    </row>
    <row r="634" spans="1:7" x14ac:dyDescent="0.25">
      <c r="A634" s="1" t="str">
        <f t="shared" si="9"/>
        <v>08  Testosterone 100 µg_Ldopé</v>
      </c>
      <c r="B6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4" s="1" t="s">
        <v>2943</v>
      </c>
      <c r="D634" s="1" t="s">
        <v>2174</v>
      </c>
      <c r="E634" s="1" t="s">
        <v>2944</v>
      </c>
      <c r="F634" s="1" t="s">
        <v>112</v>
      </c>
      <c r="G634" s="1">
        <v>84335</v>
      </c>
    </row>
    <row r="635" spans="1:7" x14ac:dyDescent="0.25">
      <c r="A635" s="1" t="str">
        <f t="shared" si="9"/>
        <v>08  Testosterone 100 µg_Ldopé</v>
      </c>
      <c r="B6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5" s="1" t="s">
        <v>2945</v>
      </c>
      <c r="D635" s="1" t="s">
        <v>2946</v>
      </c>
      <c r="E635" s="1" t="s">
        <v>2947</v>
      </c>
      <c r="F635" s="1" t="s">
        <v>112</v>
      </c>
      <c r="G635" s="1">
        <v>615760</v>
      </c>
    </row>
    <row r="636" spans="1:7" x14ac:dyDescent="0.25">
      <c r="A636" s="1" t="str">
        <f t="shared" si="9"/>
        <v>08  Testosterone 100 µg_Ldopé</v>
      </c>
      <c r="B6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6" s="1" t="s">
        <v>2948</v>
      </c>
      <c r="D636" s="1" t="s">
        <v>2949</v>
      </c>
      <c r="E636" s="1" t="s">
        <v>2950</v>
      </c>
      <c r="F636" s="1" t="s">
        <v>112</v>
      </c>
      <c r="G636" s="1">
        <v>629495</v>
      </c>
    </row>
    <row r="637" spans="1:7" x14ac:dyDescent="0.25">
      <c r="A637" s="1" t="str">
        <f t="shared" si="9"/>
        <v>08  Testosterone 100 µg_Ldopé</v>
      </c>
      <c r="B6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7" s="1" t="s">
        <v>2951</v>
      </c>
      <c r="D637" s="1" t="s">
        <v>2952</v>
      </c>
      <c r="E637" s="1" t="s">
        <v>2953</v>
      </c>
      <c r="F637" s="1" t="s">
        <v>112</v>
      </c>
      <c r="G637" s="1">
        <v>568044</v>
      </c>
    </row>
    <row r="638" spans="1:7" x14ac:dyDescent="0.25">
      <c r="A638" s="1" t="str">
        <f t="shared" si="9"/>
        <v>08  Testosterone 100 µg_Ldopé</v>
      </c>
      <c r="B6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38" s="1" t="s">
        <v>2954</v>
      </c>
      <c r="D638" s="1" t="s">
        <v>2955</v>
      </c>
      <c r="E638" s="1" t="s">
        <v>2956</v>
      </c>
      <c r="F638" s="1" t="s">
        <v>112</v>
      </c>
      <c r="G638" s="1">
        <v>1453875</v>
      </c>
    </row>
    <row r="639" spans="1:7" x14ac:dyDescent="0.25">
      <c r="A639" s="1" t="str">
        <f t="shared" si="9"/>
        <v>08  Testosterone 100 µg_Ldopé</v>
      </c>
      <c r="B6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39" s="1" t="s">
        <v>2957</v>
      </c>
      <c r="D639" s="1" t="s">
        <v>2958</v>
      </c>
      <c r="E639" s="1" t="s">
        <v>2959</v>
      </c>
      <c r="F639" s="1" t="s">
        <v>112</v>
      </c>
      <c r="G639" s="1">
        <v>1760414</v>
      </c>
    </row>
    <row r="640" spans="1:7" x14ac:dyDescent="0.25">
      <c r="A640" s="1" t="str">
        <f t="shared" si="9"/>
        <v>08  Testosterone 100 µg_Ldopé</v>
      </c>
      <c r="B6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40" s="1" t="s">
        <v>2960</v>
      </c>
      <c r="D640" s="1" t="s">
        <v>2961</v>
      </c>
      <c r="E640" s="1" t="s">
        <v>2962</v>
      </c>
      <c r="F640" s="1" t="s">
        <v>112</v>
      </c>
      <c r="G640" s="1">
        <v>1499925</v>
      </c>
    </row>
    <row r="641" spans="1:10" x14ac:dyDescent="0.25">
      <c r="A641" s="1" t="str">
        <f t="shared" si="9"/>
        <v>08  Testosterone 100 µg_Ldopé</v>
      </c>
      <c r="B6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1" s="1" t="s">
        <v>2963</v>
      </c>
      <c r="D641" s="1" t="s">
        <v>2827</v>
      </c>
      <c r="E641" s="1" t="s">
        <v>2964</v>
      </c>
      <c r="F641" s="1" t="s">
        <v>112</v>
      </c>
      <c r="G641" s="1">
        <v>2405547</v>
      </c>
    </row>
    <row r="642" spans="1:10" x14ac:dyDescent="0.25">
      <c r="A642" s="1" t="str">
        <f t="shared" ref="A642:A705" si="10">IFERROR(LEFT(RIGHT(C642,LEN(C642)-SEARCH("@",C642)),SEARCH("/",RIGHT(C642,LEN(C642)-SEARCH("@",C642)-1))),"")</f>
        <v>08  Testosterone 100 µg_Ldopé</v>
      </c>
      <c r="B6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2" s="1" t="s">
        <v>2965</v>
      </c>
      <c r="D642" s="1" t="s">
        <v>2966</v>
      </c>
      <c r="E642" s="1" t="s">
        <v>2967</v>
      </c>
      <c r="F642" s="1" t="s">
        <v>112</v>
      </c>
      <c r="G642" s="1">
        <v>2265948</v>
      </c>
    </row>
    <row r="643" spans="1:10" x14ac:dyDescent="0.25">
      <c r="A643" s="1" t="str">
        <f t="shared" si="10"/>
        <v>08  Testosterone 100 µg_Ldopé</v>
      </c>
      <c r="B6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3" s="1" t="s">
        <v>2968</v>
      </c>
      <c r="D643" s="1" t="s">
        <v>2969</v>
      </c>
      <c r="E643" s="1" t="s">
        <v>2970</v>
      </c>
      <c r="F643" s="1" t="s">
        <v>112</v>
      </c>
      <c r="G643" s="1">
        <v>2033470</v>
      </c>
    </row>
    <row r="644" spans="1:10" x14ac:dyDescent="0.25">
      <c r="A644" s="1" t="str">
        <f t="shared" si="10"/>
        <v>08  Testosterone 100 µg_Ldopé</v>
      </c>
      <c r="B6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4" s="1" t="s">
        <v>2971</v>
      </c>
      <c r="D644" s="1" t="s">
        <v>2972</v>
      </c>
      <c r="E644" s="1" t="s">
        <v>2973</v>
      </c>
      <c r="F644" s="1" t="s">
        <v>112</v>
      </c>
      <c r="G644" s="1">
        <v>478475</v>
      </c>
    </row>
    <row r="645" spans="1:10" x14ac:dyDescent="0.25">
      <c r="A645" s="1" t="str">
        <f t="shared" si="10"/>
        <v>08  Testosterone 100 µg_Ldopé</v>
      </c>
      <c r="B6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5" s="1" t="s">
        <v>2974</v>
      </c>
      <c r="D645" s="1" t="s">
        <v>2975</v>
      </c>
      <c r="E645" s="1" t="s">
        <v>2976</v>
      </c>
      <c r="F645" s="1" t="s">
        <v>112</v>
      </c>
      <c r="G645" s="1">
        <v>356547</v>
      </c>
    </row>
    <row r="646" spans="1:10" x14ac:dyDescent="0.25">
      <c r="A646" s="1" t="str">
        <f t="shared" si="10"/>
        <v>08  Testosterone 100 µg_Ldopé</v>
      </c>
      <c r="B6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6" s="1" t="s">
        <v>2977</v>
      </c>
      <c r="D646" s="1" t="s">
        <v>2978</v>
      </c>
      <c r="E646" s="1" t="s">
        <v>2979</v>
      </c>
      <c r="F646" s="1" t="s">
        <v>112</v>
      </c>
      <c r="G646" s="1">
        <v>349301</v>
      </c>
    </row>
    <row r="647" spans="1:10" x14ac:dyDescent="0.25">
      <c r="A647" s="1" t="str">
        <f t="shared" si="10"/>
        <v>08  Testosterone 100 µg_Ldopé</v>
      </c>
      <c r="B6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7" s="1" t="s">
        <v>2980</v>
      </c>
    </row>
    <row r="648" spans="1:10" x14ac:dyDescent="0.25">
      <c r="A648" s="1" t="str">
        <f t="shared" si="10"/>
        <v>08  Testosterone 100 µg_Ldopé</v>
      </c>
      <c r="B6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8" s="1" t="s">
        <v>2981</v>
      </c>
      <c r="D648" s="1" t="s">
        <v>2982</v>
      </c>
      <c r="E648" s="1" t="s">
        <v>2983</v>
      </c>
      <c r="F648" s="1" t="s">
        <v>112</v>
      </c>
      <c r="G648" s="1">
        <v>681796</v>
      </c>
    </row>
    <row r="649" spans="1:10" x14ac:dyDescent="0.25">
      <c r="A649" s="1" t="str">
        <f t="shared" si="10"/>
        <v>08  Testosterone 100 µg_Ldopé</v>
      </c>
      <c r="B6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9" s="1" t="s">
        <v>2984</v>
      </c>
      <c r="D649" s="1" t="s">
        <v>2985</v>
      </c>
      <c r="E649" s="1" t="s">
        <v>2986</v>
      </c>
      <c r="F649" s="1" t="s">
        <v>112</v>
      </c>
      <c r="G649" s="1">
        <v>779195</v>
      </c>
    </row>
    <row r="650" spans="1:10" x14ac:dyDescent="0.25">
      <c r="A650" s="1" t="str">
        <f t="shared" si="10"/>
        <v>08  Testosterone 100 µg_Ldopé</v>
      </c>
      <c r="B6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0" s="1" t="s">
        <v>2987</v>
      </c>
      <c r="D650" s="1" t="s">
        <v>2988</v>
      </c>
      <c r="E650" s="1" t="s">
        <v>2989</v>
      </c>
      <c r="F650" s="1" t="s">
        <v>112</v>
      </c>
      <c r="G650" s="1">
        <v>2182240</v>
      </c>
    </row>
    <row r="651" spans="1:10" x14ac:dyDescent="0.25">
      <c r="A651" s="1" t="str">
        <f t="shared" si="10"/>
        <v>08  Testosterone 100 µg_Ldopé</v>
      </c>
      <c r="B6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1" s="1" t="s">
        <v>2990</v>
      </c>
      <c r="D651" s="1" t="s">
        <v>2991</v>
      </c>
      <c r="E651" s="1" t="s">
        <v>2992</v>
      </c>
      <c r="F651" s="1" t="s">
        <v>112</v>
      </c>
      <c r="G651" s="1">
        <v>2134114</v>
      </c>
    </row>
    <row r="652" spans="1:10" x14ac:dyDescent="0.25">
      <c r="A652" s="1" t="str">
        <f t="shared" si="10"/>
        <v>08  Testosterone 100 µg_Ldopé</v>
      </c>
      <c r="B6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2" s="1" t="s">
        <v>2993</v>
      </c>
      <c r="D652" s="1" t="s">
        <v>2994</v>
      </c>
      <c r="E652" s="1" t="s">
        <v>2995</v>
      </c>
      <c r="F652" s="1" t="s">
        <v>112</v>
      </c>
      <c r="G652" s="1">
        <v>2088474</v>
      </c>
    </row>
    <row r="653" spans="1:10" x14ac:dyDescent="0.25">
      <c r="A653" s="1" t="str">
        <f t="shared" si="10"/>
        <v/>
      </c>
      <c r="B6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3" s="1" t="s">
        <v>112</v>
      </c>
    </row>
    <row r="654" spans="1:10" x14ac:dyDescent="0.25">
      <c r="A654" s="1" t="str">
        <f t="shared" si="10"/>
        <v/>
      </c>
      <c r="B6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4" s="1" t="s">
        <v>229</v>
      </c>
      <c r="D654" s="1" t="s">
        <v>112</v>
      </c>
      <c r="E654" s="1" t="s">
        <v>230</v>
      </c>
      <c r="F654" s="1" t="s">
        <v>231</v>
      </c>
      <c r="G654" s="1" t="s">
        <v>232</v>
      </c>
      <c r="H654" s="1" t="s">
        <v>233</v>
      </c>
      <c r="I654" s="1" t="s">
        <v>234</v>
      </c>
      <c r="J654" s="1" t="s">
        <v>235</v>
      </c>
    </row>
    <row r="655" spans="1:10" x14ac:dyDescent="0.25">
      <c r="A655" s="1" t="str">
        <f t="shared" si="10"/>
        <v>08  Testosterone 100 µg_Ldopé</v>
      </c>
      <c r="B6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55" s="1" t="s">
        <v>2996</v>
      </c>
      <c r="D655" s="1" t="s">
        <v>112</v>
      </c>
      <c r="E655" s="1" t="s">
        <v>2997</v>
      </c>
      <c r="F655" s="1" t="s">
        <v>2998</v>
      </c>
      <c r="G655" s="1" t="s">
        <v>2999</v>
      </c>
      <c r="H655" s="1" t="s">
        <v>3000</v>
      </c>
      <c r="I655" s="1">
        <v>24</v>
      </c>
      <c r="J655" s="1">
        <v>24</v>
      </c>
    </row>
    <row r="656" spans="1:10" x14ac:dyDescent="0.25">
      <c r="A656" s="1" t="str">
        <f t="shared" si="10"/>
        <v/>
      </c>
      <c r="B6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6" s="1" t="s">
        <v>112</v>
      </c>
    </row>
    <row r="657" spans="1:7" x14ac:dyDescent="0.25">
      <c r="A657" s="1" t="str">
        <f t="shared" si="10"/>
        <v/>
      </c>
      <c r="B6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7" s="1" t="s">
        <v>112</v>
      </c>
    </row>
    <row r="658" spans="1:7" x14ac:dyDescent="0.25">
      <c r="A658" s="1" t="str">
        <f t="shared" si="10"/>
        <v/>
      </c>
      <c r="B6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8" s="1" t="s">
        <v>112</v>
      </c>
    </row>
    <row r="659" spans="1:7" x14ac:dyDescent="0.25">
      <c r="A659" s="1" t="str">
        <f t="shared" si="10"/>
        <v/>
      </c>
      <c r="B6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9" s="1" t="s">
        <v>112</v>
      </c>
    </row>
    <row r="660" spans="1:7" x14ac:dyDescent="0.25">
      <c r="A660" s="1" t="str">
        <f t="shared" si="10"/>
        <v/>
      </c>
      <c r="B6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0" s="1" t="s">
        <v>112</v>
      </c>
    </row>
    <row r="661" spans="1:7" x14ac:dyDescent="0.25">
      <c r="A661" s="1" t="str">
        <f t="shared" si="10"/>
        <v/>
      </c>
      <c r="B6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1" s="1" t="s">
        <v>241</v>
      </c>
      <c r="D661" s="1" t="s">
        <v>110</v>
      </c>
      <c r="E661" s="1" t="s">
        <v>111</v>
      </c>
      <c r="F661" s="1" t="s">
        <v>112</v>
      </c>
      <c r="G661" s="1" t="s">
        <v>113</v>
      </c>
    </row>
    <row r="662" spans="1:7" x14ac:dyDescent="0.25">
      <c r="A662" s="1" t="str">
        <f t="shared" si="10"/>
        <v>09  Testosterone 300 µg_L dopé</v>
      </c>
      <c r="B66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2" s="1" t="s">
        <v>3001</v>
      </c>
    </row>
    <row r="663" spans="1:7" x14ac:dyDescent="0.25">
      <c r="A663" s="1" t="str">
        <f t="shared" si="10"/>
        <v>09  Testosterone 300 µg_L dopé</v>
      </c>
      <c r="B66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3" s="1" t="s">
        <v>3002</v>
      </c>
      <c r="D663" s="1" t="s">
        <v>2291</v>
      </c>
      <c r="E663" s="1" t="s">
        <v>3003</v>
      </c>
      <c r="F663" s="1" t="s">
        <v>112</v>
      </c>
      <c r="G663" s="1">
        <v>224929</v>
      </c>
    </row>
    <row r="664" spans="1:7" x14ac:dyDescent="0.25">
      <c r="A664" s="1" t="str">
        <f t="shared" si="10"/>
        <v>09  Testosterone 300 µg_L dopé</v>
      </c>
      <c r="B6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4" s="1" t="s">
        <v>3004</v>
      </c>
      <c r="D664" s="1" t="s">
        <v>399</v>
      </c>
      <c r="E664" s="1" t="s">
        <v>3005</v>
      </c>
      <c r="F664" s="1" t="s">
        <v>112</v>
      </c>
      <c r="G664" s="1">
        <v>346316</v>
      </c>
    </row>
    <row r="665" spans="1:7" x14ac:dyDescent="0.25">
      <c r="A665" s="1" t="str">
        <f t="shared" si="10"/>
        <v>09  Testosterone 300 µg_L dopé</v>
      </c>
      <c r="B6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5" s="1" t="s">
        <v>3006</v>
      </c>
      <c r="D665" s="1" t="s">
        <v>3007</v>
      </c>
      <c r="E665" s="1" t="s">
        <v>3008</v>
      </c>
      <c r="F665" s="1" t="s">
        <v>112</v>
      </c>
      <c r="G665" s="1">
        <v>1675084</v>
      </c>
    </row>
    <row r="666" spans="1:7" x14ac:dyDescent="0.25">
      <c r="A666" s="1" t="str">
        <f t="shared" si="10"/>
        <v>09  Testosterone 300 µg_L dopé</v>
      </c>
      <c r="B6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6" s="1" t="s">
        <v>3009</v>
      </c>
      <c r="D666" s="1" t="s">
        <v>3010</v>
      </c>
      <c r="E666" s="1" t="s">
        <v>3011</v>
      </c>
      <c r="F666" s="1" t="s">
        <v>112</v>
      </c>
      <c r="G666" s="1">
        <v>1100637</v>
      </c>
    </row>
    <row r="667" spans="1:7" x14ac:dyDescent="0.25">
      <c r="A667" s="1" t="str">
        <f t="shared" si="10"/>
        <v>09  Testosterone 300 µg_L dopé</v>
      </c>
      <c r="B6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7" s="1" t="s">
        <v>3012</v>
      </c>
      <c r="D667" s="1" t="s">
        <v>3013</v>
      </c>
      <c r="E667" s="1" t="s">
        <v>3014</v>
      </c>
      <c r="F667" s="1" t="s">
        <v>112</v>
      </c>
      <c r="G667" s="1">
        <v>1478555</v>
      </c>
    </row>
    <row r="668" spans="1:7" x14ac:dyDescent="0.25">
      <c r="A668" s="1" t="str">
        <f t="shared" si="10"/>
        <v>09  Testosterone 300 µg_L dopé</v>
      </c>
      <c r="B6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68" s="1" t="s">
        <v>3015</v>
      </c>
      <c r="D668" s="1" t="s">
        <v>1915</v>
      </c>
      <c r="E668" s="1" t="s">
        <v>3016</v>
      </c>
      <c r="F668" s="1" t="s">
        <v>112</v>
      </c>
      <c r="G668" s="1">
        <v>51977</v>
      </c>
    </row>
    <row r="669" spans="1:7" x14ac:dyDescent="0.25">
      <c r="A669" s="1" t="str">
        <f t="shared" si="10"/>
        <v>09  Testosterone 300 µg_L dopé</v>
      </c>
      <c r="B6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69" s="1" t="s">
        <v>3017</v>
      </c>
      <c r="D669" s="1" t="s">
        <v>2224</v>
      </c>
      <c r="E669" s="1" t="s">
        <v>3018</v>
      </c>
      <c r="F669" s="1" t="s">
        <v>112</v>
      </c>
      <c r="G669" s="1">
        <v>140097</v>
      </c>
    </row>
    <row r="670" spans="1:7" x14ac:dyDescent="0.25">
      <c r="A670" s="1" t="str">
        <f t="shared" si="10"/>
        <v>09  Testosterone 300 µg_L dopé</v>
      </c>
      <c r="B6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70" s="1" t="s">
        <v>3019</v>
      </c>
      <c r="D670" s="1" t="s">
        <v>2711</v>
      </c>
      <c r="E670" s="1" t="s">
        <v>3020</v>
      </c>
      <c r="F670" s="1" t="s">
        <v>112</v>
      </c>
      <c r="G670" s="1">
        <v>63354</v>
      </c>
    </row>
    <row r="671" spans="1:7" x14ac:dyDescent="0.25">
      <c r="A671" s="1" t="str">
        <f t="shared" si="10"/>
        <v>09  Testosterone 300 µg_L dopé</v>
      </c>
      <c r="B6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1" s="1" t="s">
        <v>3021</v>
      </c>
      <c r="D671" s="1" t="s">
        <v>3022</v>
      </c>
      <c r="E671" s="1" t="s">
        <v>3023</v>
      </c>
      <c r="F671" s="1" t="s">
        <v>112</v>
      </c>
      <c r="G671" s="1">
        <v>744631</v>
      </c>
    </row>
    <row r="672" spans="1:7" x14ac:dyDescent="0.25">
      <c r="A672" s="1" t="str">
        <f t="shared" si="10"/>
        <v>09  Testosterone 300 µg_L dopé</v>
      </c>
      <c r="B6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2" s="1" t="s">
        <v>3024</v>
      </c>
      <c r="D672" s="1" t="s">
        <v>3025</v>
      </c>
      <c r="E672" s="1" t="s">
        <v>3026</v>
      </c>
      <c r="F672" s="1" t="s">
        <v>112</v>
      </c>
      <c r="G672" s="1">
        <v>366800</v>
      </c>
    </row>
    <row r="673" spans="1:10" x14ac:dyDescent="0.25">
      <c r="A673" s="1" t="str">
        <f t="shared" si="10"/>
        <v>09  Testosterone 300 µg_L dopé</v>
      </c>
      <c r="B6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3" s="1" t="s">
        <v>3027</v>
      </c>
      <c r="D673" s="1" t="s">
        <v>783</v>
      </c>
      <c r="E673" s="1" t="s">
        <v>3028</v>
      </c>
      <c r="F673" s="1" t="s">
        <v>112</v>
      </c>
      <c r="G673" s="1">
        <v>388105</v>
      </c>
    </row>
    <row r="674" spans="1:10" x14ac:dyDescent="0.25">
      <c r="A674" s="1" t="str">
        <f t="shared" si="10"/>
        <v>09  Testosterone 300 µg_L dopé</v>
      </c>
      <c r="B6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4" s="1" t="s">
        <v>3029</v>
      </c>
      <c r="D674" s="1" t="s">
        <v>3030</v>
      </c>
      <c r="E674" s="1" t="s">
        <v>3031</v>
      </c>
      <c r="F674" s="1" t="s">
        <v>112</v>
      </c>
      <c r="G674" s="1">
        <v>1258016</v>
      </c>
    </row>
    <row r="675" spans="1:10" x14ac:dyDescent="0.25">
      <c r="A675" s="1" t="str">
        <f t="shared" si="10"/>
        <v>09  Testosterone 300 µg_L dopé</v>
      </c>
      <c r="B6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5" s="1" t="s">
        <v>3032</v>
      </c>
      <c r="D675" s="1" t="s">
        <v>3033</v>
      </c>
      <c r="E675" s="1" t="s">
        <v>3034</v>
      </c>
      <c r="F675" s="1" t="s">
        <v>112</v>
      </c>
      <c r="G675" s="1">
        <v>1149240</v>
      </c>
    </row>
    <row r="676" spans="1:10" x14ac:dyDescent="0.25">
      <c r="A676" s="1" t="str">
        <f t="shared" si="10"/>
        <v>09  Testosterone 300 µg_L dopé</v>
      </c>
      <c r="B6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6" s="1" t="s">
        <v>3035</v>
      </c>
      <c r="D676" s="1" t="s">
        <v>490</v>
      </c>
      <c r="E676" s="1" t="s">
        <v>3036</v>
      </c>
      <c r="F676" s="1" t="s">
        <v>112</v>
      </c>
      <c r="G676" s="1">
        <v>1017751</v>
      </c>
    </row>
    <row r="677" spans="1:10" x14ac:dyDescent="0.25">
      <c r="A677" s="1" t="str">
        <f t="shared" si="10"/>
        <v>09  Testosterone 300 µg_L dopé</v>
      </c>
      <c r="B6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7" s="1" t="s">
        <v>3037</v>
      </c>
      <c r="D677" s="1" t="s">
        <v>3038</v>
      </c>
      <c r="E677" s="1" t="s">
        <v>3039</v>
      </c>
      <c r="F677" s="1" t="s">
        <v>112</v>
      </c>
      <c r="G677" s="1">
        <v>2116766</v>
      </c>
    </row>
    <row r="678" spans="1:10" x14ac:dyDescent="0.25">
      <c r="A678" s="1" t="str">
        <f t="shared" si="10"/>
        <v>09  Testosterone 300 µg_L dopé</v>
      </c>
      <c r="B6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8" s="1" t="s">
        <v>3040</v>
      </c>
      <c r="D678" s="1" t="s">
        <v>1551</v>
      </c>
      <c r="E678" s="1" t="s">
        <v>3041</v>
      </c>
      <c r="F678" s="1" t="s">
        <v>112</v>
      </c>
      <c r="G678" s="1">
        <v>1935162</v>
      </c>
    </row>
    <row r="679" spans="1:10" x14ac:dyDescent="0.25">
      <c r="A679" s="1" t="str">
        <f t="shared" si="10"/>
        <v>09  Testosterone 300 µg_L dopé</v>
      </c>
      <c r="B6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9" s="1" t="s">
        <v>3042</v>
      </c>
      <c r="D679" s="1" t="s">
        <v>3043</v>
      </c>
      <c r="E679" s="1" t="s">
        <v>3044</v>
      </c>
      <c r="F679" s="1" t="s">
        <v>112</v>
      </c>
      <c r="G679" s="1">
        <v>2131604</v>
      </c>
    </row>
    <row r="680" spans="1:10" x14ac:dyDescent="0.25">
      <c r="A680" s="1" t="str">
        <f t="shared" si="10"/>
        <v>09  Testosterone 300 µg_L dopé</v>
      </c>
      <c r="B6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0" s="1" t="s">
        <v>3045</v>
      </c>
      <c r="D680" s="1" t="s">
        <v>2737</v>
      </c>
      <c r="E680" s="1" t="s">
        <v>3046</v>
      </c>
      <c r="F680" s="1" t="s">
        <v>112</v>
      </c>
      <c r="G680" s="1">
        <v>995624</v>
      </c>
    </row>
    <row r="681" spans="1:10" x14ac:dyDescent="0.25">
      <c r="A681" s="1" t="str">
        <f t="shared" si="10"/>
        <v>09  Testosterone 300 µg_L dopé</v>
      </c>
      <c r="B6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1" s="1" t="s">
        <v>3047</v>
      </c>
      <c r="D681" s="1" t="s">
        <v>3048</v>
      </c>
      <c r="E681" s="1" t="s">
        <v>3049</v>
      </c>
      <c r="F681" s="1" t="s">
        <v>112</v>
      </c>
      <c r="G681" s="1">
        <v>832751</v>
      </c>
    </row>
    <row r="682" spans="1:10" x14ac:dyDescent="0.25">
      <c r="A682" s="1" t="str">
        <f t="shared" si="10"/>
        <v>09  Testosterone 300 µg_L dopé</v>
      </c>
      <c r="B6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2" s="1" t="s">
        <v>3050</v>
      </c>
      <c r="D682" s="1" t="s">
        <v>3051</v>
      </c>
      <c r="E682" s="1" t="s">
        <v>3052</v>
      </c>
      <c r="F682" s="1" t="s">
        <v>112</v>
      </c>
      <c r="G682" s="1">
        <v>735395</v>
      </c>
    </row>
    <row r="683" spans="1:10" x14ac:dyDescent="0.25">
      <c r="A683" s="1" t="str">
        <f t="shared" si="10"/>
        <v>09  Testosterone 300 µg_L dopé</v>
      </c>
      <c r="B6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3" s="1" t="s">
        <v>3053</v>
      </c>
      <c r="D683" s="1" t="s">
        <v>3054</v>
      </c>
      <c r="E683" s="1" t="s">
        <v>3055</v>
      </c>
      <c r="F683" s="1" t="s">
        <v>112</v>
      </c>
      <c r="G683" s="1">
        <v>887691</v>
      </c>
    </row>
    <row r="684" spans="1:10" x14ac:dyDescent="0.25">
      <c r="A684" s="1" t="str">
        <f t="shared" si="10"/>
        <v>09  Testosterone 300 µg_L dopé</v>
      </c>
      <c r="B6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4" s="1" t="s">
        <v>3056</v>
      </c>
      <c r="D684" s="1" t="s">
        <v>3057</v>
      </c>
      <c r="E684" s="1" t="s">
        <v>3058</v>
      </c>
      <c r="F684" s="1" t="s">
        <v>112</v>
      </c>
      <c r="G684" s="1">
        <v>825548</v>
      </c>
    </row>
    <row r="685" spans="1:10" x14ac:dyDescent="0.25">
      <c r="A685" s="1" t="str">
        <f t="shared" si="10"/>
        <v>09  Testosterone 300 µg_L dopé</v>
      </c>
      <c r="B6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5" s="1" t="s">
        <v>3059</v>
      </c>
    </row>
    <row r="686" spans="1:10" x14ac:dyDescent="0.25">
      <c r="A686" s="1" t="str">
        <f t="shared" si="10"/>
        <v/>
      </c>
      <c r="B6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6" s="1" t="s">
        <v>112</v>
      </c>
    </row>
    <row r="687" spans="1:10" x14ac:dyDescent="0.25">
      <c r="A687" s="1" t="str">
        <f t="shared" si="10"/>
        <v/>
      </c>
      <c r="B6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7" s="1" t="s">
        <v>229</v>
      </c>
      <c r="D687" s="1" t="s">
        <v>112</v>
      </c>
      <c r="E687" s="1" t="s">
        <v>230</v>
      </c>
      <c r="F687" s="1" t="s">
        <v>231</v>
      </c>
      <c r="G687" s="1" t="s">
        <v>232</v>
      </c>
      <c r="H687" s="1" t="s">
        <v>233</v>
      </c>
      <c r="I687" s="1" t="s">
        <v>234</v>
      </c>
      <c r="J687" s="1" t="s">
        <v>235</v>
      </c>
    </row>
    <row r="688" spans="1:10" x14ac:dyDescent="0.25">
      <c r="A688" s="1" t="str">
        <f t="shared" si="10"/>
        <v>09  Testosterone 300 µg_L dopé</v>
      </c>
      <c r="B6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88" s="1" t="s">
        <v>3060</v>
      </c>
      <c r="D688" s="1" t="s">
        <v>112</v>
      </c>
      <c r="E688" s="1" t="s">
        <v>3061</v>
      </c>
      <c r="F688" s="1" t="s">
        <v>3062</v>
      </c>
      <c r="G688" s="1" t="s">
        <v>3063</v>
      </c>
      <c r="H688" s="1" t="s">
        <v>3064</v>
      </c>
      <c r="I688" s="1">
        <v>24</v>
      </c>
      <c r="J688" s="1">
        <v>24</v>
      </c>
    </row>
    <row r="689" spans="1:3" x14ac:dyDescent="0.25">
      <c r="A689" s="1" t="str">
        <f t="shared" si="10"/>
        <v/>
      </c>
      <c r="B6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9" s="1" t="s">
        <v>112</v>
      </c>
    </row>
    <row r="690" spans="1:3" x14ac:dyDescent="0.25">
      <c r="A690" s="1" t="str">
        <f t="shared" si="10"/>
        <v/>
      </c>
      <c r="B6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90" s="1" t="s">
        <v>112</v>
      </c>
    </row>
    <row r="691" spans="1:3" x14ac:dyDescent="0.25">
      <c r="A691" s="1" t="str">
        <f t="shared" si="10"/>
        <v/>
      </c>
      <c r="B6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91" s="1" t="s">
        <v>112</v>
      </c>
    </row>
    <row r="692" spans="1:3" x14ac:dyDescent="0.25">
      <c r="A692" s="1" t="str">
        <f t="shared" si="10"/>
        <v/>
      </c>
      <c r="B6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92" s="1" t="s">
        <v>112</v>
      </c>
    </row>
    <row r="693" spans="1:3" x14ac:dyDescent="0.25">
      <c r="A693" s="1" t="str">
        <f t="shared" si="10"/>
        <v/>
      </c>
      <c r="B6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4" spans="1:3" x14ac:dyDescent="0.25">
      <c r="A694" s="1" t="str">
        <f t="shared" si="10"/>
        <v/>
      </c>
      <c r="B6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5" spans="1:3" x14ac:dyDescent="0.25">
      <c r="A695" s="1" t="str">
        <f t="shared" si="10"/>
        <v/>
      </c>
      <c r="B6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6" spans="1:3" x14ac:dyDescent="0.25">
      <c r="A696" s="1" t="str">
        <f t="shared" si="10"/>
        <v/>
      </c>
      <c r="B6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7" spans="1:3" x14ac:dyDescent="0.25">
      <c r="A697" s="1" t="str">
        <f t="shared" si="10"/>
        <v/>
      </c>
      <c r="B6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8" spans="1:3" x14ac:dyDescent="0.25">
      <c r="A698" s="1" t="str">
        <f t="shared" si="10"/>
        <v/>
      </c>
      <c r="B6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9" spans="1:3" x14ac:dyDescent="0.25">
      <c r="A699" s="1" t="str">
        <f t="shared" si="10"/>
        <v/>
      </c>
      <c r="B6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0" spans="1:3" x14ac:dyDescent="0.25">
      <c r="A700" s="1" t="str">
        <f t="shared" si="10"/>
        <v/>
      </c>
      <c r="B7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1" spans="1:3" x14ac:dyDescent="0.25">
      <c r="A701" s="1" t="str">
        <f t="shared" si="10"/>
        <v/>
      </c>
      <c r="B7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2" spans="1:3" x14ac:dyDescent="0.25">
      <c r="A702" s="1" t="str">
        <f t="shared" si="10"/>
        <v/>
      </c>
      <c r="B7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3" spans="1:3" x14ac:dyDescent="0.25">
      <c r="A703" s="1" t="str">
        <f t="shared" si="10"/>
        <v/>
      </c>
      <c r="B7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4" spans="1:3" x14ac:dyDescent="0.25">
      <c r="A704" s="1" t="str">
        <f t="shared" si="10"/>
        <v/>
      </c>
      <c r="B7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5" spans="1:2" x14ac:dyDescent="0.25">
      <c r="A705" s="1" t="str">
        <f t="shared" si="10"/>
        <v/>
      </c>
      <c r="B7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6" spans="1:2" x14ac:dyDescent="0.25">
      <c r="A706" s="1" t="str">
        <f t="shared" ref="A706:A769" si="11">IFERROR(LEFT(RIGHT(C706,LEN(C706)-SEARCH("@",C706)),SEARCH("/",RIGHT(C706,LEN(C706)-SEARCH("@",C706)-1))),"")</f>
        <v/>
      </c>
      <c r="B7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7" spans="1:2" x14ac:dyDescent="0.25">
      <c r="A707" s="1" t="str">
        <f t="shared" si="11"/>
        <v/>
      </c>
      <c r="B7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8" spans="1:2" x14ac:dyDescent="0.25">
      <c r="A708" s="1" t="str">
        <f t="shared" si="11"/>
        <v/>
      </c>
      <c r="B7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9" spans="1:2" x14ac:dyDescent="0.25">
      <c r="A709" s="1" t="str">
        <f t="shared" si="11"/>
        <v/>
      </c>
      <c r="B7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0" spans="1:2" x14ac:dyDescent="0.25">
      <c r="A710" s="1" t="str">
        <f t="shared" si="11"/>
        <v/>
      </c>
      <c r="B7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1" spans="1:2" x14ac:dyDescent="0.25">
      <c r="A711" s="1" t="str">
        <f t="shared" si="11"/>
        <v/>
      </c>
      <c r="B7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2" spans="1:2" x14ac:dyDescent="0.25">
      <c r="A712" s="1" t="str">
        <f t="shared" si="11"/>
        <v/>
      </c>
      <c r="B7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3" spans="1:2" x14ac:dyDescent="0.25">
      <c r="A713" s="1" t="str">
        <f t="shared" si="11"/>
        <v/>
      </c>
      <c r="B7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4" spans="1:2" x14ac:dyDescent="0.25">
      <c r="A714" s="1" t="str">
        <f t="shared" si="11"/>
        <v/>
      </c>
      <c r="B7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5" spans="1:2" x14ac:dyDescent="0.25">
      <c r="A715" s="1" t="str">
        <f t="shared" si="11"/>
        <v/>
      </c>
      <c r="B7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6" spans="1:2" x14ac:dyDescent="0.25">
      <c r="A716" s="1" t="str">
        <f t="shared" si="11"/>
        <v/>
      </c>
      <c r="B7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7" spans="1:2" x14ac:dyDescent="0.25">
      <c r="A717" s="1" t="str">
        <f t="shared" si="11"/>
        <v/>
      </c>
      <c r="B7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8" spans="1:2" x14ac:dyDescent="0.25">
      <c r="A718" s="1" t="str">
        <f t="shared" si="11"/>
        <v/>
      </c>
      <c r="B7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9" spans="1:2" x14ac:dyDescent="0.25">
      <c r="A719" s="1" t="str">
        <f t="shared" si="11"/>
        <v/>
      </c>
      <c r="B7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0" spans="1:2" x14ac:dyDescent="0.25">
      <c r="A720" s="1" t="str">
        <f t="shared" si="11"/>
        <v/>
      </c>
      <c r="B7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1" spans="1:2" x14ac:dyDescent="0.25">
      <c r="A721" s="1" t="str">
        <f t="shared" si="11"/>
        <v/>
      </c>
      <c r="B7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2" spans="1:2" x14ac:dyDescent="0.25">
      <c r="A722" s="1" t="str">
        <f t="shared" si="11"/>
        <v/>
      </c>
      <c r="B7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3" spans="1:2" x14ac:dyDescent="0.25">
      <c r="A723" s="1" t="str">
        <f t="shared" si="11"/>
        <v/>
      </c>
      <c r="B7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4" spans="1:2" x14ac:dyDescent="0.25">
      <c r="A724" s="1" t="str">
        <f t="shared" si="11"/>
        <v/>
      </c>
      <c r="B7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5" spans="1:2" x14ac:dyDescent="0.25">
      <c r="A725" s="1" t="str">
        <f t="shared" si="11"/>
        <v/>
      </c>
      <c r="B7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6" spans="1:2" x14ac:dyDescent="0.25">
      <c r="A726" s="1" t="str">
        <f t="shared" si="11"/>
        <v/>
      </c>
      <c r="B7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7" spans="1:2" x14ac:dyDescent="0.25">
      <c r="A727" s="1" t="str">
        <f t="shared" si="11"/>
        <v/>
      </c>
      <c r="B7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8" spans="1:2" x14ac:dyDescent="0.25">
      <c r="A728" s="1" t="str">
        <f t="shared" si="11"/>
        <v/>
      </c>
      <c r="B7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9" spans="1:2" x14ac:dyDescent="0.25">
      <c r="A729" s="1" t="str">
        <f t="shared" si="11"/>
        <v/>
      </c>
      <c r="B7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0" spans="1:2" x14ac:dyDescent="0.25">
      <c r="A730" s="1" t="str">
        <f t="shared" si="11"/>
        <v/>
      </c>
      <c r="B7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1" spans="1:2" x14ac:dyDescent="0.25">
      <c r="A731" s="1" t="str">
        <f t="shared" si="11"/>
        <v/>
      </c>
      <c r="B7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2" spans="1:2" x14ac:dyDescent="0.25">
      <c r="A732" s="1" t="str">
        <f t="shared" si="11"/>
        <v/>
      </c>
      <c r="B7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3" spans="1:2" x14ac:dyDescent="0.25">
      <c r="A733" s="1" t="str">
        <f t="shared" si="11"/>
        <v/>
      </c>
      <c r="B7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4" spans="1:2" x14ac:dyDescent="0.25">
      <c r="A734" s="1" t="str">
        <f t="shared" si="11"/>
        <v/>
      </c>
      <c r="B7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5" spans="1:2" x14ac:dyDescent="0.25">
      <c r="A735" s="1" t="str">
        <f t="shared" si="11"/>
        <v/>
      </c>
      <c r="B7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6" spans="1:2" x14ac:dyDescent="0.25">
      <c r="A736" s="1" t="str">
        <f t="shared" si="11"/>
        <v/>
      </c>
      <c r="B7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7" spans="1:2" x14ac:dyDescent="0.25">
      <c r="A737" s="1" t="str">
        <f t="shared" si="11"/>
        <v/>
      </c>
      <c r="B7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8" spans="1:2" x14ac:dyDescent="0.25">
      <c r="A738" s="1" t="str">
        <f t="shared" si="11"/>
        <v/>
      </c>
      <c r="B7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9" spans="1:2" x14ac:dyDescent="0.25">
      <c r="A739" s="1" t="str">
        <f t="shared" si="11"/>
        <v/>
      </c>
      <c r="B7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0" spans="1:2" x14ac:dyDescent="0.25">
      <c r="A740" s="1" t="str">
        <f t="shared" si="11"/>
        <v/>
      </c>
      <c r="B7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1" spans="1:2" x14ac:dyDescent="0.25">
      <c r="A741" s="1" t="str">
        <f t="shared" si="11"/>
        <v/>
      </c>
      <c r="B7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2" spans="1:2" x14ac:dyDescent="0.25">
      <c r="A742" s="1" t="str">
        <f t="shared" si="11"/>
        <v/>
      </c>
      <c r="B7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3" spans="1:2" x14ac:dyDescent="0.25">
      <c r="A743" s="1" t="str">
        <f t="shared" si="11"/>
        <v/>
      </c>
      <c r="B7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4" spans="1:2" x14ac:dyDescent="0.25">
      <c r="A744" s="1" t="str">
        <f t="shared" si="11"/>
        <v/>
      </c>
      <c r="B7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5" spans="1:2" x14ac:dyDescent="0.25">
      <c r="A745" s="1" t="str">
        <f t="shared" si="11"/>
        <v/>
      </c>
      <c r="B7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6" spans="1:2" x14ac:dyDescent="0.25">
      <c r="A746" s="1" t="str">
        <f t="shared" si="11"/>
        <v/>
      </c>
      <c r="B7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7" spans="1:2" x14ac:dyDescent="0.25">
      <c r="A747" s="1" t="str">
        <f t="shared" si="11"/>
        <v/>
      </c>
      <c r="B7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8" spans="1:2" x14ac:dyDescent="0.25">
      <c r="A748" s="1" t="str">
        <f t="shared" si="11"/>
        <v/>
      </c>
      <c r="B7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9" spans="1:2" x14ac:dyDescent="0.25">
      <c r="A749" s="1" t="str">
        <f t="shared" si="11"/>
        <v/>
      </c>
      <c r="B7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0" spans="1:2" x14ac:dyDescent="0.25">
      <c r="A750" s="1" t="str">
        <f t="shared" si="11"/>
        <v/>
      </c>
      <c r="B7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1" spans="1:2" x14ac:dyDescent="0.25">
      <c r="A751" s="1" t="str">
        <f t="shared" si="11"/>
        <v/>
      </c>
      <c r="B7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2" spans="1:2" x14ac:dyDescent="0.25">
      <c r="A752" s="1" t="str">
        <f t="shared" si="11"/>
        <v/>
      </c>
      <c r="B7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3" spans="1:2" x14ac:dyDescent="0.25">
      <c r="A753" s="1" t="str">
        <f t="shared" si="11"/>
        <v/>
      </c>
      <c r="B7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4" spans="1:2" x14ac:dyDescent="0.25">
      <c r="A754" s="1" t="str">
        <f t="shared" si="11"/>
        <v/>
      </c>
      <c r="B7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5" spans="1:2" x14ac:dyDescent="0.25">
      <c r="A755" s="1" t="str">
        <f t="shared" si="11"/>
        <v/>
      </c>
      <c r="B7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6" spans="1:2" x14ac:dyDescent="0.25">
      <c r="A756" s="1" t="str">
        <f t="shared" si="11"/>
        <v/>
      </c>
      <c r="B7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7" spans="1:2" x14ac:dyDescent="0.25">
      <c r="A757" s="1" t="str">
        <f t="shared" si="11"/>
        <v/>
      </c>
      <c r="B7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8" spans="1:2" x14ac:dyDescent="0.25">
      <c r="A758" s="1" t="str">
        <f t="shared" si="11"/>
        <v/>
      </c>
      <c r="B7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9" spans="1:2" x14ac:dyDescent="0.25">
      <c r="A759" s="1" t="str">
        <f t="shared" si="11"/>
        <v/>
      </c>
      <c r="B7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0" spans="1:2" x14ac:dyDescent="0.25">
      <c r="A760" s="1" t="str">
        <f t="shared" si="11"/>
        <v/>
      </c>
      <c r="B7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1" spans="1:2" x14ac:dyDescent="0.25">
      <c r="A761" s="1" t="str">
        <f t="shared" si="11"/>
        <v/>
      </c>
      <c r="B7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2" spans="1:2" x14ac:dyDescent="0.25">
      <c r="A762" s="1" t="str">
        <f t="shared" si="11"/>
        <v/>
      </c>
      <c r="B7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3" spans="1:2" x14ac:dyDescent="0.25">
      <c r="A763" s="1" t="str">
        <f t="shared" si="11"/>
        <v/>
      </c>
      <c r="B7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4" spans="1:2" x14ac:dyDescent="0.25">
      <c r="A764" s="1" t="str">
        <f t="shared" si="11"/>
        <v/>
      </c>
      <c r="B7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5" spans="1:2" x14ac:dyDescent="0.25">
      <c r="A765" s="1" t="str">
        <f t="shared" si="11"/>
        <v/>
      </c>
      <c r="B7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6" spans="1:2" x14ac:dyDescent="0.25">
      <c r="A766" s="1" t="str">
        <f t="shared" si="11"/>
        <v/>
      </c>
      <c r="B7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7" spans="1:2" x14ac:dyDescent="0.25">
      <c r="A767" s="1" t="str">
        <f t="shared" si="11"/>
        <v/>
      </c>
      <c r="B7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8" spans="1:2" x14ac:dyDescent="0.25">
      <c r="A768" s="1" t="str">
        <f t="shared" si="11"/>
        <v/>
      </c>
      <c r="B7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9" spans="1:2" x14ac:dyDescent="0.25">
      <c r="A769" s="1" t="str">
        <f t="shared" si="11"/>
        <v/>
      </c>
      <c r="B7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0" spans="1:2" x14ac:dyDescent="0.25">
      <c r="A770" s="1" t="str">
        <f t="shared" ref="A770:A833" si="12">IFERROR(LEFT(RIGHT(C770,LEN(C770)-SEARCH("@",C770)),SEARCH("/",RIGHT(C770,LEN(C770)-SEARCH("@",C770)-1))),"")</f>
        <v/>
      </c>
      <c r="B7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1" spans="1:2" x14ac:dyDescent="0.25">
      <c r="A771" s="1" t="str">
        <f t="shared" si="12"/>
        <v/>
      </c>
      <c r="B7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2" spans="1:2" x14ac:dyDescent="0.25">
      <c r="A772" s="1" t="str">
        <f t="shared" si="12"/>
        <v/>
      </c>
      <c r="B7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3" spans="1:2" x14ac:dyDescent="0.25">
      <c r="A773" s="1" t="str">
        <f t="shared" si="12"/>
        <v/>
      </c>
      <c r="B7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4" spans="1:2" x14ac:dyDescent="0.25">
      <c r="A774" s="1" t="str">
        <f t="shared" si="12"/>
        <v/>
      </c>
      <c r="B7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5" spans="1:2" x14ac:dyDescent="0.25">
      <c r="A775" s="1" t="str">
        <f t="shared" si="12"/>
        <v/>
      </c>
      <c r="B7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6" spans="1:2" x14ac:dyDescent="0.25">
      <c r="A776" s="1" t="str">
        <f t="shared" si="12"/>
        <v/>
      </c>
      <c r="B7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7" spans="1:2" x14ac:dyDescent="0.25">
      <c r="A777" s="1" t="str">
        <f t="shared" si="12"/>
        <v/>
      </c>
      <c r="B7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8" spans="1:2" x14ac:dyDescent="0.25">
      <c r="A778" s="1" t="str">
        <f t="shared" si="12"/>
        <v/>
      </c>
      <c r="B7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9" spans="1:2" x14ac:dyDescent="0.25">
      <c r="A779" s="1" t="str">
        <f t="shared" si="12"/>
        <v/>
      </c>
      <c r="B7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0" spans="1:2" x14ac:dyDescent="0.25">
      <c r="A780" s="1" t="str">
        <f t="shared" si="12"/>
        <v/>
      </c>
      <c r="B7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1" spans="1:2" x14ac:dyDescent="0.25">
      <c r="A781" s="1" t="str">
        <f t="shared" si="12"/>
        <v/>
      </c>
      <c r="B7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2" spans="1:2" x14ac:dyDescent="0.25">
      <c r="A782" s="1" t="str">
        <f t="shared" si="12"/>
        <v/>
      </c>
      <c r="B7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3" spans="1:2" x14ac:dyDescent="0.25">
      <c r="A783" s="1" t="str">
        <f t="shared" si="12"/>
        <v/>
      </c>
      <c r="B7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4" spans="1:2" x14ac:dyDescent="0.25">
      <c r="A784" s="1" t="str">
        <f t="shared" si="12"/>
        <v/>
      </c>
      <c r="B7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5" spans="1:2" x14ac:dyDescent="0.25">
      <c r="A785" s="1" t="str">
        <f t="shared" si="12"/>
        <v/>
      </c>
      <c r="B7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6" spans="1:2" x14ac:dyDescent="0.25">
      <c r="A786" s="1" t="str">
        <f t="shared" si="12"/>
        <v/>
      </c>
      <c r="B7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7" spans="1:2" x14ac:dyDescent="0.25">
      <c r="A787" s="1" t="str">
        <f t="shared" si="12"/>
        <v/>
      </c>
      <c r="B7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8" spans="1:2" x14ac:dyDescent="0.25">
      <c r="A788" s="1" t="str">
        <f t="shared" si="12"/>
        <v/>
      </c>
      <c r="B7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9" spans="1:2" x14ac:dyDescent="0.25">
      <c r="A789" s="1" t="str">
        <f t="shared" si="12"/>
        <v/>
      </c>
      <c r="B7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0" spans="1:2" x14ac:dyDescent="0.25">
      <c r="A790" s="1" t="str">
        <f t="shared" si="12"/>
        <v/>
      </c>
      <c r="B7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1" spans="1:2" x14ac:dyDescent="0.25">
      <c r="A791" s="1" t="str">
        <f t="shared" si="12"/>
        <v/>
      </c>
      <c r="B7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2" spans="1:2" x14ac:dyDescent="0.25">
      <c r="A792" s="1" t="str">
        <f t="shared" si="12"/>
        <v/>
      </c>
      <c r="B7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3" spans="1:2" x14ac:dyDescent="0.25">
      <c r="A793" s="1" t="str">
        <f t="shared" si="12"/>
        <v/>
      </c>
      <c r="B7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4" spans="1:2" x14ac:dyDescent="0.25">
      <c r="A794" s="1" t="str">
        <f t="shared" si="12"/>
        <v/>
      </c>
      <c r="B7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5" spans="1:2" x14ac:dyDescent="0.25">
      <c r="A795" s="1" t="str">
        <f t="shared" si="12"/>
        <v/>
      </c>
      <c r="B7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6" spans="1:2" x14ac:dyDescent="0.25">
      <c r="A796" s="1" t="str">
        <f t="shared" si="12"/>
        <v/>
      </c>
      <c r="B7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7" spans="1:2" x14ac:dyDescent="0.25">
      <c r="A797" s="1" t="str">
        <f t="shared" si="12"/>
        <v/>
      </c>
      <c r="B7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8" spans="1:2" x14ac:dyDescent="0.25">
      <c r="A798" s="1" t="str">
        <f t="shared" si="12"/>
        <v/>
      </c>
      <c r="B7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9" spans="1:2" x14ac:dyDescent="0.25">
      <c r="A799" s="1" t="str">
        <f t="shared" si="12"/>
        <v/>
      </c>
      <c r="B7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0" spans="1:2" x14ac:dyDescent="0.25">
      <c r="A800" s="1" t="str">
        <f t="shared" si="12"/>
        <v/>
      </c>
      <c r="B8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1" spans="1:2" x14ac:dyDescent="0.25">
      <c r="A801" s="1" t="str">
        <f t="shared" si="12"/>
        <v/>
      </c>
      <c r="B8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2" spans="1:2" x14ac:dyDescent="0.25">
      <c r="A802" s="1" t="str">
        <f t="shared" si="12"/>
        <v/>
      </c>
      <c r="B8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3" spans="1:2" x14ac:dyDescent="0.25">
      <c r="A803" s="1" t="str">
        <f t="shared" si="12"/>
        <v/>
      </c>
      <c r="B8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4" spans="1:2" x14ac:dyDescent="0.25">
      <c r="A804" s="1" t="str">
        <f t="shared" si="12"/>
        <v/>
      </c>
      <c r="B8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5" spans="1:2" x14ac:dyDescent="0.25">
      <c r="A805" s="1" t="str">
        <f t="shared" si="12"/>
        <v/>
      </c>
      <c r="B8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6" spans="1:2" x14ac:dyDescent="0.25">
      <c r="A806" s="1" t="str">
        <f t="shared" si="12"/>
        <v/>
      </c>
      <c r="B8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7" spans="1:2" x14ac:dyDescent="0.25">
      <c r="A807" s="1" t="str">
        <f t="shared" si="12"/>
        <v/>
      </c>
      <c r="B8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8" spans="1:2" x14ac:dyDescent="0.25">
      <c r="A808" s="1" t="str">
        <f t="shared" si="12"/>
        <v/>
      </c>
      <c r="B8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9" spans="1:2" x14ac:dyDescent="0.25">
      <c r="A809" s="1" t="str">
        <f t="shared" si="12"/>
        <v/>
      </c>
      <c r="B8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0" spans="1:2" x14ac:dyDescent="0.25">
      <c r="A810" s="1" t="str">
        <f t="shared" si="12"/>
        <v/>
      </c>
      <c r="B8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1" spans="1:2" x14ac:dyDescent="0.25">
      <c r="A811" s="1" t="str">
        <f t="shared" si="12"/>
        <v/>
      </c>
      <c r="B8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2" spans="1:2" x14ac:dyDescent="0.25">
      <c r="A812" s="1" t="str">
        <f t="shared" si="12"/>
        <v/>
      </c>
      <c r="B8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3" spans="1:2" x14ac:dyDescent="0.25">
      <c r="A813" s="1" t="str">
        <f t="shared" si="12"/>
        <v/>
      </c>
      <c r="B8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4" spans="1:2" x14ac:dyDescent="0.25">
      <c r="A814" s="1" t="str">
        <f t="shared" si="12"/>
        <v/>
      </c>
      <c r="B8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5" spans="1:2" x14ac:dyDescent="0.25">
      <c r="A815" s="1" t="str">
        <f t="shared" si="12"/>
        <v/>
      </c>
      <c r="B8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6" spans="1:2" x14ac:dyDescent="0.25">
      <c r="A816" s="1" t="str">
        <f t="shared" si="12"/>
        <v/>
      </c>
      <c r="B8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7" spans="1:2" x14ac:dyDescent="0.25">
      <c r="A817" s="1" t="str">
        <f t="shared" si="12"/>
        <v/>
      </c>
      <c r="B8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8" spans="1:2" x14ac:dyDescent="0.25">
      <c r="A818" s="1" t="str">
        <f t="shared" si="12"/>
        <v/>
      </c>
      <c r="B8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9" spans="1:2" x14ac:dyDescent="0.25">
      <c r="A819" s="1" t="str">
        <f t="shared" si="12"/>
        <v/>
      </c>
      <c r="B8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0" spans="1:2" x14ac:dyDescent="0.25">
      <c r="A820" s="1" t="str">
        <f t="shared" si="12"/>
        <v/>
      </c>
      <c r="B8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1" spans="1:2" x14ac:dyDescent="0.25">
      <c r="A821" s="1" t="str">
        <f t="shared" si="12"/>
        <v/>
      </c>
      <c r="B8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2" spans="1:2" x14ac:dyDescent="0.25">
      <c r="A822" s="1" t="str">
        <f t="shared" si="12"/>
        <v/>
      </c>
      <c r="B8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3" spans="1:2" x14ac:dyDescent="0.25">
      <c r="A823" s="1" t="str">
        <f t="shared" si="12"/>
        <v/>
      </c>
      <c r="B8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4" spans="1:2" x14ac:dyDescent="0.25">
      <c r="A824" s="1" t="str">
        <f t="shared" si="12"/>
        <v/>
      </c>
      <c r="B8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5" spans="1:2" x14ac:dyDescent="0.25">
      <c r="A825" s="1" t="str">
        <f t="shared" si="12"/>
        <v/>
      </c>
      <c r="B8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6" spans="1:2" x14ac:dyDescent="0.25">
      <c r="A826" s="1" t="str">
        <f t="shared" si="12"/>
        <v/>
      </c>
      <c r="B8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7" spans="1:2" x14ac:dyDescent="0.25">
      <c r="A827" s="1" t="str">
        <f t="shared" si="12"/>
        <v/>
      </c>
      <c r="B8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8" spans="1:2" x14ac:dyDescent="0.25">
      <c r="A828" s="1" t="str">
        <f t="shared" si="12"/>
        <v/>
      </c>
      <c r="B8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9" spans="1:2" x14ac:dyDescent="0.25">
      <c r="A829" s="1" t="str">
        <f t="shared" si="12"/>
        <v/>
      </c>
      <c r="B8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0" spans="1:2" x14ac:dyDescent="0.25">
      <c r="A830" s="1" t="str">
        <f t="shared" si="12"/>
        <v/>
      </c>
      <c r="B8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1" spans="1:2" x14ac:dyDescent="0.25">
      <c r="A831" s="1" t="str">
        <f t="shared" si="12"/>
        <v/>
      </c>
      <c r="B8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2" spans="1:2" x14ac:dyDescent="0.25">
      <c r="A832" s="1" t="str">
        <f t="shared" si="12"/>
        <v/>
      </c>
      <c r="B8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3" spans="1:2" x14ac:dyDescent="0.25">
      <c r="A833" s="1" t="str">
        <f t="shared" si="12"/>
        <v/>
      </c>
      <c r="B8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4" spans="1:2" x14ac:dyDescent="0.25">
      <c r="A834" s="1" t="str">
        <f t="shared" ref="A834:A897" si="13">IFERROR(LEFT(RIGHT(C834,LEN(C834)-SEARCH("@",C834)),SEARCH("/",RIGHT(C834,LEN(C834)-SEARCH("@",C834)-1))),"")</f>
        <v/>
      </c>
      <c r="B8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5" spans="1:2" x14ac:dyDescent="0.25">
      <c r="A835" s="1" t="str">
        <f t="shared" si="13"/>
        <v/>
      </c>
      <c r="B8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6" spans="1:2" x14ac:dyDescent="0.25">
      <c r="A836" s="1" t="str">
        <f t="shared" si="13"/>
        <v/>
      </c>
      <c r="B8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7" spans="1:2" x14ac:dyDescent="0.25">
      <c r="A837" s="1" t="str">
        <f t="shared" si="13"/>
        <v/>
      </c>
      <c r="B8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8" spans="1:2" x14ac:dyDescent="0.25">
      <c r="A838" s="1" t="str">
        <f t="shared" si="13"/>
        <v/>
      </c>
      <c r="B8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9" spans="1:2" x14ac:dyDescent="0.25">
      <c r="A839" s="1" t="str">
        <f t="shared" si="13"/>
        <v/>
      </c>
      <c r="B8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0" spans="1:2" x14ac:dyDescent="0.25">
      <c r="A840" s="1" t="str">
        <f t="shared" si="13"/>
        <v/>
      </c>
      <c r="B8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1" spans="1:2" x14ac:dyDescent="0.25">
      <c r="A841" s="1" t="str">
        <f t="shared" si="13"/>
        <v/>
      </c>
      <c r="B8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2" spans="1:2" x14ac:dyDescent="0.25">
      <c r="A842" s="1" t="str">
        <f t="shared" si="13"/>
        <v/>
      </c>
      <c r="B8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3" spans="1:2" x14ac:dyDescent="0.25">
      <c r="A843" s="1" t="str">
        <f t="shared" si="13"/>
        <v/>
      </c>
      <c r="B8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4" spans="1:2" x14ac:dyDescent="0.25">
      <c r="A844" s="1" t="str">
        <f t="shared" si="13"/>
        <v/>
      </c>
      <c r="B8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5" spans="1:2" x14ac:dyDescent="0.25">
      <c r="A845" s="1" t="str">
        <f t="shared" si="13"/>
        <v/>
      </c>
      <c r="B8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6" spans="1:2" x14ac:dyDescent="0.25">
      <c r="A846" s="1" t="str">
        <f t="shared" si="13"/>
        <v/>
      </c>
      <c r="B8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7" spans="1:2" x14ac:dyDescent="0.25">
      <c r="A847" s="1" t="str">
        <f t="shared" si="13"/>
        <v/>
      </c>
      <c r="B8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8" spans="1:2" x14ac:dyDescent="0.25">
      <c r="A848" s="1" t="str">
        <f t="shared" si="13"/>
        <v/>
      </c>
      <c r="B8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9" spans="1:2" x14ac:dyDescent="0.25">
      <c r="A849" s="1" t="str">
        <f t="shared" si="13"/>
        <v/>
      </c>
      <c r="B8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0" spans="1:2" x14ac:dyDescent="0.25">
      <c r="A850" s="1" t="str">
        <f t="shared" si="13"/>
        <v/>
      </c>
      <c r="B8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1" spans="1:2" x14ac:dyDescent="0.25">
      <c r="A851" s="1" t="str">
        <f t="shared" si="13"/>
        <v/>
      </c>
      <c r="B8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2" spans="1:2" x14ac:dyDescent="0.25">
      <c r="A852" s="1" t="str">
        <f t="shared" si="13"/>
        <v/>
      </c>
      <c r="B8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3" spans="1:2" x14ac:dyDescent="0.25">
      <c r="A853" s="1" t="str">
        <f t="shared" si="13"/>
        <v/>
      </c>
      <c r="B8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4" spans="1:2" x14ac:dyDescent="0.25">
      <c r="A854" s="1" t="str">
        <f t="shared" si="13"/>
        <v/>
      </c>
      <c r="B8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5" spans="1:2" x14ac:dyDescent="0.25">
      <c r="A855" s="1" t="str">
        <f t="shared" si="13"/>
        <v/>
      </c>
      <c r="B8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6" spans="1:2" x14ac:dyDescent="0.25">
      <c r="A856" s="1" t="str">
        <f t="shared" si="13"/>
        <v/>
      </c>
      <c r="B8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7" spans="1:2" x14ac:dyDescent="0.25">
      <c r="A857" s="1" t="str">
        <f t="shared" si="13"/>
        <v/>
      </c>
      <c r="B8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8" spans="1:2" x14ac:dyDescent="0.25">
      <c r="A858" s="1" t="str">
        <f t="shared" si="13"/>
        <v/>
      </c>
      <c r="B8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9" spans="1:2" x14ac:dyDescent="0.25">
      <c r="A859" s="1" t="str">
        <f t="shared" si="13"/>
        <v/>
      </c>
      <c r="B8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0" spans="1:2" x14ac:dyDescent="0.25">
      <c r="A860" s="1" t="str">
        <f t="shared" si="13"/>
        <v/>
      </c>
      <c r="B8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1" spans="1:2" x14ac:dyDescent="0.25">
      <c r="A861" s="1" t="str">
        <f t="shared" si="13"/>
        <v/>
      </c>
      <c r="B8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2" spans="1:2" x14ac:dyDescent="0.25">
      <c r="A862" s="1" t="str">
        <f t="shared" si="13"/>
        <v/>
      </c>
      <c r="B8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3" spans="1:2" x14ac:dyDescent="0.25">
      <c r="A863" s="1" t="str">
        <f t="shared" si="13"/>
        <v/>
      </c>
      <c r="B8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4" spans="1:2" x14ac:dyDescent="0.25">
      <c r="A864" s="1" t="str">
        <f t="shared" si="13"/>
        <v/>
      </c>
      <c r="B8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5" spans="1:2" x14ac:dyDescent="0.25">
      <c r="A865" s="1" t="str">
        <f t="shared" si="13"/>
        <v/>
      </c>
      <c r="B8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6" spans="1:2" x14ac:dyDescent="0.25">
      <c r="A866" s="1" t="str">
        <f t="shared" si="13"/>
        <v/>
      </c>
      <c r="B8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7" spans="1:2" x14ac:dyDescent="0.25">
      <c r="A867" s="1" t="str">
        <f t="shared" si="13"/>
        <v/>
      </c>
      <c r="B8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8" spans="1:2" x14ac:dyDescent="0.25">
      <c r="A868" s="1" t="str">
        <f t="shared" si="13"/>
        <v/>
      </c>
      <c r="B8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9" spans="1:2" x14ac:dyDescent="0.25">
      <c r="A869" s="1" t="str">
        <f t="shared" si="13"/>
        <v/>
      </c>
      <c r="B8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0" spans="1:2" x14ac:dyDescent="0.25">
      <c r="A870" s="1" t="str">
        <f t="shared" si="13"/>
        <v/>
      </c>
      <c r="B8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1" spans="1:2" x14ac:dyDescent="0.25">
      <c r="A871" s="1" t="str">
        <f t="shared" si="13"/>
        <v/>
      </c>
      <c r="B8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2" spans="1:2" x14ac:dyDescent="0.25">
      <c r="A872" s="1" t="str">
        <f t="shared" si="13"/>
        <v/>
      </c>
      <c r="B8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3" spans="1:2" x14ac:dyDescent="0.25">
      <c r="A873" s="1" t="str">
        <f t="shared" si="13"/>
        <v/>
      </c>
      <c r="B8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4" spans="1:2" x14ac:dyDescent="0.25">
      <c r="A874" s="1" t="str">
        <f t="shared" si="13"/>
        <v/>
      </c>
      <c r="B8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5" spans="1:2" x14ac:dyDescent="0.25">
      <c r="A875" s="1" t="str">
        <f t="shared" si="13"/>
        <v/>
      </c>
      <c r="B8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6" spans="1:2" x14ac:dyDescent="0.25">
      <c r="A876" s="1" t="str">
        <f t="shared" si="13"/>
        <v/>
      </c>
      <c r="B8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7" spans="1:2" x14ac:dyDescent="0.25">
      <c r="A877" s="1" t="str">
        <f t="shared" si="13"/>
        <v/>
      </c>
      <c r="B8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8" spans="1:2" x14ac:dyDescent="0.25">
      <c r="A878" s="1" t="str">
        <f t="shared" si="13"/>
        <v/>
      </c>
      <c r="B8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9" spans="1:2" x14ac:dyDescent="0.25">
      <c r="A879" s="1" t="str">
        <f t="shared" si="13"/>
        <v/>
      </c>
      <c r="B8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0" spans="1:2" x14ac:dyDescent="0.25">
      <c r="A880" s="1" t="str">
        <f t="shared" si="13"/>
        <v/>
      </c>
      <c r="B8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1" spans="1:2" x14ac:dyDescent="0.25">
      <c r="A881" s="1" t="str">
        <f t="shared" si="13"/>
        <v/>
      </c>
      <c r="B8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2" spans="1:2" x14ac:dyDescent="0.25">
      <c r="A882" s="1" t="str">
        <f t="shared" si="13"/>
        <v/>
      </c>
      <c r="B8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3" spans="1:2" x14ac:dyDescent="0.25">
      <c r="A883" s="1" t="str">
        <f t="shared" si="13"/>
        <v/>
      </c>
      <c r="B8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4" spans="1:2" x14ac:dyDescent="0.25">
      <c r="A884" s="1" t="str">
        <f t="shared" si="13"/>
        <v/>
      </c>
      <c r="B8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5" spans="1:2" x14ac:dyDescent="0.25">
      <c r="A885" s="1" t="str">
        <f t="shared" si="13"/>
        <v/>
      </c>
      <c r="B8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6" spans="1:2" x14ac:dyDescent="0.25">
      <c r="A886" s="1" t="str">
        <f t="shared" si="13"/>
        <v/>
      </c>
      <c r="B8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7" spans="1:2" x14ac:dyDescent="0.25">
      <c r="A887" s="1" t="str">
        <f t="shared" si="13"/>
        <v/>
      </c>
      <c r="B8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8" spans="1:2" x14ac:dyDescent="0.25">
      <c r="A888" s="1" t="str">
        <f t="shared" si="13"/>
        <v/>
      </c>
      <c r="B8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9" spans="1:2" x14ac:dyDescent="0.25">
      <c r="A889" s="1" t="str">
        <f t="shared" si="13"/>
        <v/>
      </c>
      <c r="B8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0" spans="1:2" x14ac:dyDescent="0.25">
      <c r="A890" s="1" t="str">
        <f t="shared" si="13"/>
        <v/>
      </c>
      <c r="B8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1" spans="1:2" x14ac:dyDescent="0.25">
      <c r="A891" s="1" t="str">
        <f t="shared" si="13"/>
        <v/>
      </c>
      <c r="B8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2" spans="1:2" x14ac:dyDescent="0.25">
      <c r="A892" s="1" t="str">
        <f t="shared" si="13"/>
        <v/>
      </c>
      <c r="B8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3" spans="1:2" x14ac:dyDescent="0.25">
      <c r="A893" s="1" t="str">
        <f t="shared" si="13"/>
        <v/>
      </c>
      <c r="B8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4" spans="1:2" x14ac:dyDescent="0.25">
      <c r="A894" s="1" t="str">
        <f t="shared" si="13"/>
        <v/>
      </c>
      <c r="B8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5" spans="1:2" x14ac:dyDescent="0.25">
      <c r="A895" s="1" t="str">
        <f t="shared" si="13"/>
        <v/>
      </c>
      <c r="B8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6" spans="1:2" x14ac:dyDescent="0.25">
      <c r="A896" s="1" t="str">
        <f t="shared" si="13"/>
        <v/>
      </c>
      <c r="B8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7" spans="1:2" x14ac:dyDescent="0.25">
      <c r="A897" s="1" t="str">
        <f t="shared" si="13"/>
        <v/>
      </c>
      <c r="B8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8" spans="1:2" x14ac:dyDescent="0.25">
      <c r="A898" s="1" t="str">
        <f t="shared" ref="A898:A961" si="14">IFERROR(LEFT(RIGHT(C898,LEN(C898)-SEARCH("@",C898)),SEARCH("/",RIGHT(C898,LEN(C898)-SEARCH("@",C898)-1))),"")</f>
        <v/>
      </c>
      <c r="B8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9" spans="1:2" x14ac:dyDescent="0.25">
      <c r="A899" s="1" t="str">
        <f t="shared" si="14"/>
        <v/>
      </c>
      <c r="B8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0" spans="1:2" x14ac:dyDescent="0.25">
      <c r="A900" s="1" t="str">
        <f t="shared" si="14"/>
        <v/>
      </c>
      <c r="B9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1" spans="1:2" x14ac:dyDescent="0.25">
      <c r="A901" s="1" t="str">
        <f t="shared" si="14"/>
        <v/>
      </c>
      <c r="B9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2" spans="1:2" x14ac:dyDescent="0.25">
      <c r="A902" s="1" t="str">
        <f t="shared" si="14"/>
        <v/>
      </c>
      <c r="B9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3" spans="1:2" x14ac:dyDescent="0.25">
      <c r="A903" s="1" t="str">
        <f t="shared" si="14"/>
        <v/>
      </c>
      <c r="B9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4" spans="1:2" x14ac:dyDescent="0.25">
      <c r="A904" s="1" t="str">
        <f t="shared" si="14"/>
        <v/>
      </c>
      <c r="B9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5" spans="1:2" x14ac:dyDescent="0.25">
      <c r="A905" s="1" t="str">
        <f t="shared" si="14"/>
        <v/>
      </c>
      <c r="B9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6" spans="1:2" x14ac:dyDescent="0.25">
      <c r="A906" s="1" t="str">
        <f t="shared" si="14"/>
        <v/>
      </c>
      <c r="B9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7" spans="1:2" x14ac:dyDescent="0.25">
      <c r="A907" s="1" t="str">
        <f t="shared" si="14"/>
        <v/>
      </c>
      <c r="B9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8" spans="1:2" x14ac:dyDescent="0.25">
      <c r="A908" s="1" t="str">
        <f t="shared" si="14"/>
        <v/>
      </c>
      <c r="B9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9" spans="1:2" x14ac:dyDescent="0.25">
      <c r="A909" s="1" t="str">
        <f t="shared" si="14"/>
        <v/>
      </c>
      <c r="B9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0" spans="1:2" x14ac:dyDescent="0.25">
      <c r="A910" s="1" t="str">
        <f t="shared" si="14"/>
        <v/>
      </c>
      <c r="B9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1" spans="1:2" x14ac:dyDescent="0.25">
      <c r="A911" s="1" t="str">
        <f t="shared" si="14"/>
        <v/>
      </c>
      <c r="B9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2" spans="1:2" x14ac:dyDescent="0.25">
      <c r="A912" s="1" t="str">
        <f t="shared" si="14"/>
        <v/>
      </c>
      <c r="B9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3" spans="1:2" x14ac:dyDescent="0.25">
      <c r="A913" s="1" t="str">
        <f t="shared" si="14"/>
        <v/>
      </c>
      <c r="B9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4" spans="1:2" x14ac:dyDescent="0.25">
      <c r="A914" s="1" t="str">
        <f t="shared" si="14"/>
        <v/>
      </c>
      <c r="B9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5" spans="1:2" x14ac:dyDescent="0.25">
      <c r="A915" s="1" t="str">
        <f t="shared" si="14"/>
        <v/>
      </c>
      <c r="B9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6" spans="1:2" x14ac:dyDescent="0.25">
      <c r="A916" s="1" t="str">
        <f t="shared" si="14"/>
        <v/>
      </c>
      <c r="B9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7" spans="1:2" x14ac:dyDescent="0.25">
      <c r="A917" s="1" t="str">
        <f t="shared" si="14"/>
        <v/>
      </c>
      <c r="B9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8" spans="1:2" x14ac:dyDescent="0.25">
      <c r="A918" s="1" t="str">
        <f t="shared" si="14"/>
        <v/>
      </c>
      <c r="B9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9" spans="1:2" x14ac:dyDescent="0.25">
      <c r="A919" s="1" t="str">
        <f t="shared" si="14"/>
        <v/>
      </c>
      <c r="B9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0" spans="1:2" x14ac:dyDescent="0.25">
      <c r="A920" s="1" t="str">
        <f t="shared" si="14"/>
        <v/>
      </c>
      <c r="B9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1" spans="1:2" x14ac:dyDescent="0.25">
      <c r="A921" s="1" t="str">
        <f t="shared" si="14"/>
        <v/>
      </c>
      <c r="B9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2" spans="1:2" x14ac:dyDescent="0.25">
      <c r="A922" s="1" t="str">
        <f t="shared" si="14"/>
        <v/>
      </c>
      <c r="B9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3" spans="1:2" x14ac:dyDescent="0.25">
      <c r="A923" s="1" t="str">
        <f t="shared" si="14"/>
        <v/>
      </c>
      <c r="B9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4" spans="1:2" x14ac:dyDescent="0.25">
      <c r="A924" s="1" t="str">
        <f t="shared" si="14"/>
        <v/>
      </c>
      <c r="B9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5" spans="1:2" x14ac:dyDescent="0.25">
      <c r="A925" s="1" t="str">
        <f t="shared" si="14"/>
        <v/>
      </c>
      <c r="B9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6" spans="1:2" x14ac:dyDescent="0.25">
      <c r="A926" s="1" t="str">
        <f t="shared" si="14"/>
        <v/>
      </c>
      <c r="B9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7" spans="1:2" x14ac:dyDescent="0.25">
      <c r="A927" s="1" t="str">
        <f t="shared" si="14"/>
        <v/>
      </c>
      <c r="B9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8" spans="1:2" x14ac:dyDescent="0.25">
      <c r="A928" s="1" t="str">
        <f t="shared" si="14"/>
        <v/>
      </c>
      <c r="B9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9" spans="1:2" x14ac:dyDescent="0.25">
      <c r="A929" s="1" t="str">
        <f t="shared" si="14"/>
        <v/>
      </c>
      <c r="B9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0" spans="1:2" x14ac:dyDescent="0.25">
      <c r="A930" s="1" t="str">
        <f t="shared" si="14"/>
        <v/>
      </c>
      <c r="B9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1" spans="1:2" x14ac:dyDescent="0.25">
      <c r="A931" s="1" t="str">
        <f t="shared" si="14"/>
        <v/>
      </c>
      <c r="B9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2" spans="1:2" x14ac:dyDescent="0.25">
      <c r="A932" s="1" t="str">
        <f t="shared" si="14"/>
        <v/>
      </c>
      <c r="B9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3" spans="1:2" x14ac:dyDescent="0.25">
      <c r="A933" s="1" t="str">
        <f t="shared" si="14"/>
        <v/>
      </c>
      <c r="B9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4" spans="1:2" x14ac:dyDescent="0.25">
      <c r="A934" s="1" t="str">
        <f t="shared" si="14"/>
        <v/>
      </c>
      <c r="B9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5" spans="1:2" x14ac:dyDescent="0.25">
      <c r="A935" s="1" t="str">
        <f t="shared" si="14"/>
        <v/>
      </c>
      <c r="B9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6" spans="1:2" x14ac:dyDescent="0.25">
      <c r="A936" s="1" t="str">
        <f t="shared" si="14"/>
        <v/>
      </c>
      <c r="B9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7" spans="1:2" x14ac:dyDescent="0.25">
      <c r="A937" s="1" t="str">
        <f t="shared" si="14"/>
        <v/>
      </c>
      <c r="B9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8" spans="1:2" x14ac:dyDescent="0.25">
      <c r="A938" s="1" t="str">
        <f t="shared" si="14"/>
        <v/>
      </c>
      <c r="B9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9" spans="1:2" x14ac:dyDescent="0.25">
      <c r="A939" s="1" t="str">
        <f t="shared" si="14"/>
        <v/>
      </c>
      <c r="B9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0" spans="1:2" x14ac:dyDescent="0.25">
      <c r="A940" s="1" t="str">
        <f t="shared" si="14"/>
        <v/>
      </c>
      <c r="B9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1" spans="1:2" x14ac:dyDescent="0.25">
      <c r="A941" s="1" t="str">
        <f t="shared" si="14"/>
        <v/>
      </c>
      <c r="B9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2" spans="1:2" x14ac:dyDescent="0.25">
      <c r="A942" s="1" t="str">
        <f t="shared" si="14"/>
        <v/>
      </c>
      <c r="B9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3" spans="1:2" x14ac:dyDescent="0.25">
      <c r="A943" s="1" t="str">
        <f t="shared" si="14"/>
        <v/>
      </c>
      <c r="B9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4" spans="1:2" x14ac:dyDescent="0.25">
      <c r="A944" s="1" t="str">
        <f t="shared" si="14"/>
        <v/>
      </c>
      <c r="B9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5" spans="1:2" x14ac:dyDescent="0.25">
      <c r="A945" s="1" t="str">
        <f t="shared" si="14"/>
        <v/>
      </c>
      <c r="B9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6" spans="1:2" x14ac:dyDescent="0.25">
      <c r="A946" s="1" t="str">
        <f t="shared" si="14"/>
        <v/>
      </c>
      <c r="B9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7" spans="1:2" x14ac:dyDescent="0.25">
      <c r="A947" s="1" t="str">
        <f t="shared" si="14"/>
        <v/>
      </c>
      <c r="B9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8" spans="1:2" x14ac:dyDescent="0.25">
      <c r="A948" s="1" t="str">
        <f t="shared" si="14"/>
        <v/>
      </c>
      <c r="B9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9" spans="1:2" x14ac:dyDescent="0.25">
      <c r="A949" s="1" t="str">
        <f t="shared" si="14"/>
        <v/>
      </c>
      <c r="B9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0" spans="1:2" x14ac:dyDescent="0.25">
      <c r="A950" s="1" t="str">
        <f t="shared" si="14"/>
        <v/>
      </c>
      <c r="B9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1" spans="1:2" x14ac:dyDescent="0.25">
      <c r="A951" s="1" t="str">
        <f t="shared" si="14"/>
        <v/>
      </c>
      <c r="B9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2" spans="1:2" x14ac:dyDescent="0.25">
      <c r="A952" s="1" t="str">
        <f t="shared" si="14"/>
        <v/>
      </c>
      <c r="B9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3" spans="1:2" x14ac:dyDescent="0.25">
      <c r="A953" s="1" t="str">
        <f t="shared" si="14"/>
        <v/>
      </c>
      <c r="B9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4" spans="1:2" x14ac:dyDescent="0.25">
      <c r="A954" s="1" t="str">
        <f t="shared" si="14"/>
        <v/>
      </c>
      <c r="B9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5" spans="1:2" x14ac:dyDescent="0.25">
      <c r="A955" s="1" t="str">
        <f t="shared" si="14"/>
        <v/>
      </c>
      <c r="B9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6" spans="1:2" x14ac:dyDescent="0.25">
      <c r="A956" s="1" t="str">
        <f t="shared" si="14"/>
        <v/>
      </c>
      <c r="B9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7" spans="1:2" x14ac:dyDescent="0.25">
      <c r="A957" s="1" t="str">
        <f t="shared" si="14"/>
        <v/>
      </c>
      <c r="B9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8" spans="1:2" x14ac:dyDescent="0.25">
      <c r="A958" s="1" t="str">
        <f t="shared" si="14"/>
        <v/>
      </c>
      <c r="B9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9" spans="1:2" x14ac:dyDescent="0.25">
      <c r="A959" s="1" t="str">
        <f t="shared" si="14"/>
        <v/>
      </c>
      <c r="B9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0" spans="1:2" x14ac:dyDescent="0.25">
      <c r="A960" s="1" t="str">
        <f t="shared" si="14"/>
        <v/>
      </c>
      <c r="B9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1" spans="1:2" x14ac:dyDescent="0.25">
      <c r="A961" s="1" t="str">
        <f t="shared" si="14"/>
        <v/>
      </c>
      <c r="B9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2" spans="1:2" x14ac:dyDescent="0.25">
      <c r="A962" s="1" t="str">
        <f t="shared" ref="A962:A1025" si="15">IFERROR(LEFT(RIGHT(C962,LEN(C962)-SEARCH("@",C962)),SEARCH("/",RIGHT(C962,LEN(C962)-SEARCH("@",C962)-1))),"")</f>
        <v/>
      </c>
      <c r="B9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3" spans="1:2" x14ac:dyDescent="0.25">
      <c r="A963" s="1" t="str">
        <f t="shared" si="15"/>
        <v/>
      </c>
      <c r="B9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4" spans="1:2" x14ac:dyDescent="0.25">
      <c r="A964" s="1" t="str">
        <f t="shared" si="15"/>
        <v/>
      </c>
      <c r="B9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5" spans="1:2" x14ac:dyDescent="0.25">
      <c r="A965" s="1" t="str">
        <f t="shared" si="15"/>
        <v/>
      </c>
      <c r="B9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6" spans="1:2" x14ac:dyDescent="0.25">
      <c r="A966" s="1" t="str">
        <f t="shared" si="15"/>
        <v/>
      </c>
      <c r="B9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7" spans="1:2" x14ac:dyDescent="0.25">
      <c r="A967" s="1" t="str">
        <f t="shared" si="15"/>
        <v/>
      </c>
      <c r="B9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8" spans="1:2" x14ac:dyDescent="0.25">
      <c r="A968" s="1" t="str">
        <f t="shared" si="15"/>
        <v/>
      </c>
      <c r="B9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9" spans="1:2" x14ac:dyDescent="0.25">
      <c r="A969" s="1" t="str">
        <f t="shared" si="15"/>
        <v/>
      </c>
      <c r="B9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0" spans="1:2" x14ac:dyDescent="0.25">
      <c r="A970" s="1" t="str">
        <f t="shared" si="15"/>
        <v/>
      </c>
      <c r="B9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1" spans="1:2" x14ac:dyDescent="0.25">
      <c r="A971" s="1" t="str">
        <f t="shared" si="15"/>
        <v/>
      </c>
      <c r="B9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2" spans="1:2" x14ac:dyDescent="0.25">
      <c r="A972" s="1" t="str">
        <f t="shared" si="15"/>
        <v/>
      </c>
      <c r="B9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3" spans="1:2" x14ac:dyDescent="0.25">
      <c r="A973" s="1" t="str">
        <f t="shared" si="15"/>
        <v/>
      </c>
      <c r="B9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4" spans="1:2" x14ac:dyDescent="0.25">
      <c r="A974" s="1" t="str">
        <f t="shared" si="15"/>
        <v/>
      </c>
      <c r="B9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5" spans="1:2" x14ac:dyDescent="0.25">
      <c r="A975" s="1" t="str">
        <f t="shared" si="15"/>
        <v/>
      </c>
      <c r="B9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6" spans="1:2" x14ac:dyDescent="0.25">
      <c r="A976" s="1" t="str">
        <f t="shared" si="15"/>
        <v/>
      </c>
      <c r="B9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7" spans="1:2" x14ac:dyDescent="0.25">
      <c r="A977" s="1" t="str">
        <f t="shared" si="15"/>
        <v/>
      </c>
      <c r="B9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8" spans="1:2" x14ac:dyDescent="0.25">
      <c r="A978" s="1" t="str">
        <f t="shared" si="15"/>
        <v/>
      </c>
      <c r="B9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9" spans="1:2" x14ac:dyDescent="0.25">
      <c r="A979" s="1" t="str">
        <f t="shared" si="15"/>
        <v/>
      </c>
      <c r="B9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0" spans="1:2" x14ac:dyDescent="0.25">
      <c r="A980" s="1" t="str">
        <f t="shared" si="15"/>
        <v/>
      </c>
      <c r="B9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1" spans="1:2" x14ac:dyDescent="0.25">
      <c r="A981" s="1" t="str">
        <f t="shared" si="15"/>
        <v/>
      </c>
      <c r="B9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2" spans="1:2" x14ac:dyDescent="0.25">
      <c r="A982" s="1" t="str">
        <f t="shared" si="15"/>
        <v/>
      </c>
      <c r="B9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3" spans="1:2" x14ac:dyDescent="0.25">
      <c r="A983" s="1" t="str">
        <f t="shared" si="15"/>
        <v/>
      </c>
      <c r="B9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4" spans="1:2" x14ac:dyDescent="0.25">
      <c r="A984" s="1" t="str">
        <f t="shared" si="15"/>
        <v/>
      </c>
      <c r="B9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5" spans="1:2" x14ac:dyDescent="0.25">
      <c r="A985" s="1" t="str">
        <f t="shared" si="15"/>
        <v/>
      </c>
      <c r="B9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6" spans="1:2" x14ac:dyDescent="0.25">
      <c r="A986" s="1" t="str">
        <f t="shared" si="15"/>
        <v/>
      </c>
      <c r="B9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7" spans="1:2" x14ac:dyDescent="0.25">
      <c r="A987" s="1" t="str">
        <f t="shared" si="15"/>
        <v/>
      </c>
      <c r="B9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8" spans="1:2" x14ac:dyDescent="0.25">
      <c r="A988" s="1" t="str">
        <f t="shared" si="15"/>
        <v/>
      </c>
      <c r="B9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9" spans="1:2" x14ac:dyDescent="0.25">
      <c r="A989" s="1" t="str">
        <f t="shared" si="15"/>
        <v/>
      </c>
      <c r="B9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0" spans="1:2" x14ac:dyDescent="0.25">
      <c r="A990" s="1" t="str">
        <f t="shared" si="15"/>
        <v/>
      </c>
      <c r="B9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1" spans="1:2" x14ac:dyDescent="0.25">
      <c r="A991" s="1" t="str">
        <f t="shared" si="15"/>
        <v/>
      </c>
      <c r="B9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2" spans="1:2" x14ac:dyDescent="0.25">
      <c r="A992" s="1" t="str">
        <f t="shared" si="15"/>
        <v/>
      </c>
      <c r="B9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3" spans="1:2" x14ac:dyDescent="0.25">
      <c r="A993" s="1" t="str">
        <f t="shared" si="15"/>
        <v/>
      </c>
      <c r="B9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4" spans="1:2" x14ac:dyDescent="0.25">
      <c r="A994" s="1" t="str">
        <f t="shared" si="15"/>
        <v/>
      </c>
      <c r="B9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5" spans="1:2" x14ac:dyDescent="0.25">
      <c r="A995" s="1" t="str">
        <f t="shared" si="15"/>
        <v/>
      </c>
      <c r="B9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6" spans="1:2" x14ac:dyDescent="0.25">
      <c r="A996" s="1" t="str">
        <f t="shared" si="15"/>
        <v/>
      </c>
      <c r="B9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7" spans="1:2" x14ac:dyDescent="0.25">
      <c r="A997" s="1" t="str">
        <f t="shared" si="15"/>
        <v/>
      </c>
      <c r="B9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8" spans="1:2" x14ac:dyDescent="0.25">
      <c r="A998" s="1" t="str">
        <f t="shared" si="15"/>
        <v/>
      </c>
      <c r="B9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9" spans="1:2" x14ac:dyDescent="0.25">
      <c r="A999" s="1" t="str">
        <f t="shared" si="15"/>
        <v/>
      </c>
      <c r="B9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0" spans="1:2" x14ac:dyDescent="0.25">
      <c r="A1000" s="1" t="str">
        <f t="shared" si="15"/>
        <v/>
      </c>
      <c r="B10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1" spans="1:2" x14ac:dyDescent="0.25">
      <c r="A1001" s="1" t="str">
        <f t="shared" si="15"/>
        <v/>
      </c>
      <c r="B10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2" spans="1:2" x14ac:dyDescent="0.25">
      <c r="A1002" s="1" t="str">
        <f t="shared" si="15"/>
        <v/>
      </c>
      <c r="B10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3" spans="1:2" x14ac:dyDescent="0.25">
      <c r="A1003" s="1" t="str">
        <f t="shared" si="15"/>
        <v/>
      </c>
      <c r="B10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4" spans="1:2" x14ac:dyDescent="0.25">
      <c r="A1004" s="1" t="str">
        <f t="shared" si="15"/>
        <v/>
      </c>
      <c r="B10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5" spans="1:2" x14ac:dyDescent="0.25">
      <c r="A1005" s="1" t="str">
        <f t="shared" si="15"/>
        <v/>
      </c>
      <c r="B10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6" spans="1:2" x14ac:dyDescent="0.25">
      <c r="A1006" s="1" t="str">
        <f t="shared" si="15"/>
        <v/>
      </c>
      <c r="B10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7" spans="1:2" x14ac:dyDescent="0.25">
      <c r="A1007" s="1" t="str">
        <f t="shared" si="15"/>
        <v/>
      </c>
      <c r="B10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8" spans="1:2" x14ac:dyDescent="0.25">
      <c r="A1008" s="1" t="str">
        <f t="shared" si="15"/>
        <v/>
      </c>
      <c r="B10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9" spans="1:2" x14ac:dyDescent="0.25">
      <c r="A1009" s="1" t="str">
        <f t="shared" si="15"/>
        <v/>
      </c>
      <c r="B10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0" spans="1:2" x14ac:dyDescent="0.25">
      <c r="A1010" s="1" t="str">
        <f t="shared" si="15"/>
        <v/>
      </c>
      <c r="B10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1" spans="1:2" x14ac:dyDescent="0.25">
      <c r="A1011" s="1" t="str">
        <f t="shared" si="15"/>
        <v/>
      </c>
      <c r="B10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2" spans="1:2" x14ac:dyDescent="0.25">
      <c r="A1012" s="1" t="str">
        <f t="shared" si="15"/>
        <v/>
      </c>
      <c r="B10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3" spans="1:2" x14ac:dyDescent="0.25">
      <c r="A1013" s="1" t="str">
        <f t="shared" si="15"/>
        <v/>
      </c>
      <c r="B10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4" spans="1:2" x14ac:dyDescent="0.25">
      <c r="A1014" s="1" t="str">
        <f t="shared" si="15"/>
        <v/>
      </c>
      <c r="B10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5" spans="1:2" x14ac:dyDescent="0.25">
      <c r="A1015" s="1" t="str">
        <f t="shared" si="15"/>
        <v/>
      </c>
      <c r="B10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6" spans="1:2" x14ac:dyDescent="0.25">
      <c r="A1016" s="1" t="str">
        <f t="shared" si="15"/>
        <v/>
      </c>
      <c r="B10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7" spans="1:2" x14ac:dyDescent="0.25">
      <c r="A1017" s="1" t="str">
        <f t="shared" si="15"/>
        <v/>
      </c>
      <c r="B10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8" spans="1:2" x14ac:dyDescent="0.25">
      <c r="A1018" s="1" t="str">
        <f t="shared" si="15"/>
        <v/>
      </c>
      <c r="B10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9" spans="1:2" x14ac:dyDescent="0.25">
      <c r="A1019" s="1" t="str">
        <f t="shared" si="15"/>
        <v/>
      </c>
      <c r="B10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0" spans="1:2" x14ac:dyDescent="0.25">
      <c r="A1020" s="1" t="str">
        <f t="shared" si="15"/>
        <v/>
      </c>
      <c r="B10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1" spans="1:2" x14ac:dyDescent="0.25">
      <c r="A1021" s="1" t="str">
        <f t="shared" si="15"/>
        <v/>
      </c>
      <c r="B10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2" spans="1:2" x14ac:dyDescent="0.25">
      <c r="A1022" s="1" t="str">
        <f t="shared" si="15"/>
        <v/>
      </c>
      <c r="B10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3" spans="1:2" x14ac:dyDescent="0.25">
      <c r="A1023" s="1" t="str">
        <f t="shared" si="15"/>
        <v/>
      </c>
      <c r="B10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4" spans="1:2" x14ac:dyDescent="0.25">
      <c r="A1024" s="1" t="str">
        <f t="shared" si="15"/>
        <v/>
      </c>
      <c r="B10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5" spans="1:2" x14ac:dyDescent="0.25">
      <c r="A1025" s="1" t="str">
        <f t="shared" si="15"/>
        <v/>
      </c>
      <c r="B10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6" spans="1:2" x14ac:dyDescent="0.25">
      <c r="A1026" s="1" t="str">
        <f t="shared" ref="A1026:A1089" si="16">IFERROR(LEFT(RIGHT(C1026,LEN(C1026)-SEARCH("@",C1026)),SEARCH("/",RIGHT(C1026,LEN(C1026)-SEARCH("@",C1026)-1))),"")</f>
        <v/>
      </c>
      <c r="B10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7" spans="1:2" x14ac:dyDescent="0.25">
      <c r="A1027" s="1" t="str">
        <f t="shared" si="16"/>
        <v/>
      </c>
      <c r="B10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8" spans="1:2" x14ac:dyDescent="0.25">
      <c r="A1028" s="1" t="str">
        <f t="shared" si="16"/>
        <v/>
      </c>
      <c r="B10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9" spans="1:2" x14ac:dyDescent="0.25">
      <c r="A1029" s="1" t="str">
        <f t="shared" si="16"/>
        <v/>
      </c>
      <c r="B10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0" spans="1:2" x14ac:dyDescent="0.25">
      <c r="A1030" s="1" t="str">
        <f t="shared" si="16"/>
        <v/>
      </c>
      <c r="B10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1" spans="1:2" x14ac:dyDescent="0.25">
      <c r="A1031" s="1" t="str">
        <f t="shared" si="16"/>
        <v/>
      </c>
      <c r="B10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2" spans="1:2" x14ac:dyDescent="0.25">
      <c r="A1032" s="1" t="str">
        <f t="shared" si="16"/>
        <v/>
      </c>
      <c r="B10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3" spans="1:2" x14ac:dyDescent="0.25">
      <c r="A1033" s="1" t="str">
        <f t="shared" si="16"/>
        <v/>
      </c>
      <c r="B10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4" spans="1:2" x14ac:dyDescent="0.25">
      <c r="A1034" s="1" t="str">
        <f t="shared" si="16"/>
        <v/>
      </c>
      <c r="B10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5" spans="1:2" x14ac:dyDescent="0.25">
      <c r="A1035" s="1" t="str">
        <f t="shared" si="16"/>
        <v/>
      </c>
      <c r="B10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6" spans="1:2" x14ac:dyDescent="0.25">
      <c r="A1036" s="1" t="str">
        <f t="shared" si="16"/>
        <v/>
      </c>
      <c r="B10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7" spans="1:2" x14ac:dyDescent="0.25">
      <c r="A1037" s="1" t="str">
        <f t="shared" si="16"/>
        <v/>
      </c>
      <c r="B10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8" spans="1:2" x14ac:dyDescent="0.25">
      <c r="A1038" s="1" t="str">
        <f t="shared" si="16"/>
        <v/>
      </c>
      <c r="B10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9" spans="1:2" x14ac:dyDescent="0.25">
      <c r="A1039" s="1" t="str">
        <f t="shared" si="16"/>
        <v/>
      </c>
      <c r="B10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0" spans="1:2" x14ac:dyDescent="0.25">
      <c r="A1040" s="1" t="str">
        <f t="shared" si="16"/>
        <v/>
      </c>
      <c r="B10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1" spans="1:2" x14ac:dyDescent="0.25">
      <c r="A1041" s="1" t="str">
        <f t="shared" si="16"/>
        <v/>
      </c>
      <c r="B10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2" spans="1:2" x14ac:dyDescent="0.25">
      <c r="A1042" s="1" t="str">
        <f t="shared" si="16"/>
        <v/>
      </c>
      <c r="B10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3" spans="1:2" x14ac:dyDescent="0.25">
      <c r="A1043" s="1" t="str">
        <f t="shared" si="16"/>
        <v/>
      </c>
      <c r="B10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4" spans="1:2" x14ac:dyDescent="0.25">
      <c r="A1044" s="1" t="str">
        <f t="shared" si="16"/>
        <v/>
      </c>
      <c r="B10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5" spans="1:2" x14ac:dyDescent="0.25">
      <c r="A1045" s="1" t="str">
        <f t="shared" si="16"/>
        <v/>
      </c>
      <c r="B10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6" spans="1:2" x14ac:dyDescent="0.25">
      <c r="A1046" s="1" t="str">
        <f t="shared" si="16"/>
        <v/>
      </c>
      <c r="B10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7" spans="1:2" x14ac:dyDescent="0.25">
      <c r="A1047" s="1" t="str">
        <f t="shared" si="16"/>
        <v/>
      </c>
      <c r="B10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8" spans="1:2" x14ac:dyDescent="0.25">
      <c r="A1048" s="1" t="str">
        <f t="shared" si="16"/>
        <v/>
      </c>
      <c r="B10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9" spans="1:2" x14ac:dyDescent="0.25">
      <c r="A1049" s="1" t="str">
        <f t="shared" si="16"/>
        <v/>
      </c>
      <c r="B10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0" spans="1:2" x14ac:dyDescent="0.25">
      <c r="A1050" s="1" t="str">
        <f t="shared" si="16"/>
        <v/>
      </c>
      <c r="B10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1" spans="1:2" x14ac:dyDescent="0.25">
      <c r="A1051" s="1" t="str">
        <f t="shared" si="16"/>
        <v/>
      </c>
      <c r="B10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2" spans="1:2" x14ac:dyDescent="0.25">
      <c r="A1052" s="1" t="str">
        <f t="shared" si="16"/>
        <v/>
      </c>
      <c r="B10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3" spans="1:2" x14ac:dyDescent="0.25">
      <c r="A1053" s="1" t="str">
        <f t="shared" si="16"/>
        <v/>
      </c>
      <c r="B10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4" spans="1:2" x14ac:dyDescent="0.25">
      <c r="A1054" s="1" t="str">
        <f t="shared" si="16"/>
        <v/>
      </c>
      <c r="B10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5" spans="1:2" x14ac:dyDescent="0.25">
      <c r="A1055" s="1" t="str">
        <f t="shared" si="16"/>
        <v/>
      </c>
      <c r="B10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6" spans="1:2" x14ac:dyDescent="0.25">
      <c r="A1056" s="1" t="str">
        <f t="shared" si="16"/>
        <v/>
      </c>
      <c r="B10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7" spans="1:2" x14ac:dyDescent="0.25">
      <c r="A1057" s="1" t="str">
        <f t="shared" si="16"/>
        <v/>
      </c>
      <c r="B10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8" spans="1:2" x14ac:dyDescent="0.25">
      <c r="A1058" s="1" t="str">
        <f t="shared" si="16"/>
        <v/>
      </c>
      <c r="B10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9" spans="1:2" x14ac:dyDescent="0.25">
      <c r="A1059" s="1" t="str">
        <f t="shared" si="16"/>
        <v/>
      </c>
      <c r="B10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0" spans="1:2" x14ac:dyDescent="0.25">
      <c r="A1060" s="1" t="str">
        <f t="shared" si="16"/>
        <v/>
      </c>
      <c r="B10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1" spans="1:2" x14ac:dyDescent="0.25">
      <c r="A1061" s="1" t="str">
        <f t="shared" si="16"/>
        <v/>
      </c>
      <c r="B10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2" spans="1:2" x14ac:dyDescent="0.25">
      <c r="A1062" s="1" t="str">
        <f t="shared" si="16"/>
        <v/>
      </c>
      <c r="B10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3" spans="1:2" x14ac:dyDescent="0.25">
      <c r="A1063" s="1" t="str">
        <f t="shared" si="16"/>
        <v/>
      </c>
      <c r="B10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4" spans="1:2" x14ac:dyDescent="0.25">
      <c r="A1064" s="1" t="str">
        <f t="shared" si="16"/>
        <v/>
      </c>
      <c r="B10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5" spans="1:2" x14ac:dyDescent="0.25">
      <c r="A1065" s="1" t="str">
        <f t="shared" si="16"/>
        <v/>
      </c>
      <c r="B10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6" spans="1:2" x14ac:dyDescent="0.25">
      <c r="A1066" s="1" t="str">
        <f t="shared" si="16"/>
        <v/>
      </c>
      <c r="B10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7" spans="1:2" x14ac:dyDescent="0.25">
      <c r="A1067" s="1" t="str">
        <f t="shared" si="16"/>
        <v/>
      </c>
      <c r="B10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8" spans="1:2" x14ac:dyDescent="0.25">
      <c r="A1068" s="1" t="str">
        <f t="shared" si="16"/>
        <v/>
      </c>
      <c r="B10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9" spans="1:2" x14ac:dyDescent="0.25">
      <c r="A1069" s="1" t="str">
        <f t="shared" si="16"/>
        <v/>
      </c>
      <c r="B10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0" spans="1:2" x14ac:dyDescent="0.25">
      <c r="A1070" s="1" t="str">
        <f t="shared" si="16"/>
        <v/>
      </c>
      <c r="B10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1" spans="1:2" x14ac:dyDescent="0.25">
      <c r="A1071" s="1" t="str">
        <f t="shared" si="16"/>
        <v/>
      </c>
      <c r="B10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2" spans="1:2" x14ac:dyDescent="0.25">
      <c r="A1072" s="1" t="str">
        <f t="shared" si="16"/>
        <v/>
      </c>
      <c r="B10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3" spans="1:2" x14ac:dyDescent="0.25">
      <c r="A1073" s="1" t="str">
        <f t="shared" si="16"/>
        <v/>
      </c>
      <c r="B10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4" spans="1:2" x14ac:dyDescent="0.25">
      <c r="A1074" s="1" t="str">
        <f t="shared" si="16"/>
        <v/>
      </c>
      <c r="B10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5" spans="1:2" x14ac:dyDescent="0.25">
      <c r="A1075" s="1" t="str">
        <f t="shared" si="16"/>
        <v/>
      </c>
      <c r="B10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6" spans="1:2" x14ac:dyDescent="0.25">
      <c r="A1076" s="1" t="str">
        <f t="shared" si="16"/>
        <v/>
      </c>
      <c r="B10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7" spans="1:2" x14ac:dyDescent="0.25">
      <c r="A1077" s="1" t="str">
        <f t="shared" si="16"/>
        <v/>
      </c>
      <c r="B10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8" spans="1:2" x14ac:dyDescent="0.25">
      <c r="A1078" s="1" t="str">
        <f t="shared" si="16"/>
        <v/>
      </c>
      <c r="B10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9" spans="1:2" x14ac:dyDescent="0.25">
      <c r="A1079" s="1" t="str">
        <f t="shared" si="16"/>
        <v/>
      </c>
      <c r="B10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0" spans="1:2" x14ac:dyDescent="0.25">
      <c r="A1080" s="1" t="str">
        <f t="shared" si="16"/>
        <v/>
      </c>
      <c r="B10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1" spans="1:2" x14ac:dyDescent="0.25">
      <c r="A1081" s="1" t="str">
        <f t="shared" si="16"/>
        <v/>
      </c>
      <c r="B10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2" spans="1:2" x14ac:dyDescent="0.25">
      <c r="A1082" s="1" t="str">
        <f t="shared" si="16"/>
        <v/>
      </c>
      <c r="B10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3" spans="1:2" x14ac:dyDescent="0.25">
      <c r="A1083" s="1" t="str">
        <f t="shared" si="16"/>
        <v/>
      </c>
      <c r="B10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4" spans="1:2" x14ac:dyDescent="0.25">
      <c r="A1084" s="1" t="str">
        <f t="shared" si="16"/>
        <v/>
      </c>
      <c r="B10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5" spans="1:2" x14ac:dyDescent="0.25">
      <c r="A1085" s="1" t="str">
        <f t="shared" si="16"/>
        <v/>
      </c>
      <c r="B10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6" spans="1:2" x14ac:dyDescent="0.25">
      <c r="A1086" s="1" t="str">
        <f t="shared" si="16"/>
        <v/>
      </c>
      <c r="B10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7" spans="1:2" x14ac:dyDescent="0.25">
      <c r="A1087" s="1" t="str">
        <f t="shared" si="16"/>
        <v/>
      </c>
      <c r="B10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8" spans="1:2" x14ac:dyDescent="0.25">
      <c r="A1088" s="1" t="str">
        <f t="shared" si="16"/>
        <v/>
      </c>
      <c r="B10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9" spans="1:2" x14ac:dyDescent="0.25">
      <c r="A1089" s="1" t="str">
        <f t="shared" si="16"/>
        <v/>
      </c>
      <c r="B10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0" spans="1:2" x14ac:dyDescent="0.25">
      <c r="A1090" s="1" t="str">
        <f t="shared" ref="A1090:A1153" si="17">IFERROR(LEFT(RIGHT(C1090,LEN(C1090)-SEARCH("@",C1090)),SEARCH("/",RIGHT(C1090,LEN(C1090)-SEARCH("@",C1090)-1))),"")</f>
        <v/>
      </c>
      <c r="B10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1" spans="1:2" x14ac:dyDescent="0.25">
      <c r="A1091" s="1" t="str">
        <f t="shared" si="17"/>
        <v/>
      </c>
      <c r="B10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2" spans="1:2" x14ac:dyDescent="0.25">
      <c r="A1092" s="1" t="str">
        <f t="shared" si="17"/>
        <v/>
      </c>
      <c r="B10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3" spans="1:2" x14ac:dyDescent="0.25">
      <c r="A1093" s="1" t="str">
        <f t="shared" si="17"/>
        <v/>
      </c>
      <c r="B10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4" spans="1:2" x14ac:dyDescent="0.25">
      <c r="A1094" s="1" t="str">
        <f t="shared" si="17"/>
        <v/>
      </c>
      <c r="B10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5" spans="1:2" x14ac:dyDescent="0.25">
      <c r="A1095" s="1" t="str">
        <f t="shared" si="17"/>
        <v/>
      </c>
      <c r="B10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6" spans="1:2" x14ac:dyDescent="0.25">
      <c r="A1096" s="1" t="str">
        <f t="shared" si="17"/>
        <v/>
      </c>
      <c r="B10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7" spans="1:2" x14ac:dyDescent="0.25">
      <c r="A1097" s="1" t="str">
        <f t="shared" si="17"/>
        <v/>
      </c>
      <c r="B10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8" spans="1:2" x14ac:dyDescent="0.25">
      <c r="A1098" s="1" t="str">
        <f t="shared" si="17"/>
        <v/>
      </c>
      <c r="B10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9" spans="1:2" x14ac:dyDescent="0.25">
      <c r="A1099" s="1" t="str">
        <f t="shared" si="17"/>
        <v/>
      </c>
      <c r="B10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0" spans="1:2" x14ac:dyDescent="0.25">
      <c r="A1100" s="1" t="str">
        <f t="shared" si="17"/>
        <v/>
      </c>
      <c r="B11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1" spans="1:2" x14ac:dyDescent="0.25">
      <c r="A1101" s="1" t="str">
        <f t="shared" si="17"/>
        <v/>
      </c>
      <c r="B11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2" spans="1:2" x14ac:dyDescent="0.25">
      <c r="A1102" s="1" t="str">
        <f t="shared" si="17"/>
        <v/>
      </c>
      <c r="B11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3" spans="1:2" x14ac:dyDescent="0.25">
      <c r="A1103" s="1" t="str">
        <f t="shared" si="17"/>
        <v/>
      </c>
      <c r="B11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4" spans="1:2" x14ac:dyDescent="0.25">
      <c r="A1104" s="1" t="str">
        <f t="shared" si="17"/>
        <v/>
      </c>
      <c r="B11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5" spans="1:2" x14ac:dyDescent="0.25">
      <c r="A1105" s="1" t="str">
        <f t="shared" si="17"/>
        <v/>
      </c>
      <c r="B11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6" spans="1:2" x14ac:dyDescent="0.25">
      <c r="A1106" s="1" t="str">
        <f t="shared" si="17"/>
        <v/>
      </c>
      <c r="B11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7" spans="1:2" x14ac:dyDescent="0.25">
      <c r="A1107" s="1" t="str">
        <f t="shared" si="17"/>
        <v/>
      </c>
      <c r="B11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8" spans="1:2" x14ac:dyDescent="0.25">
      <c r="A1108" s="1" t="str">
        <f t="shared" si="17"/>
        <v/>
      </c>
      <c r="B11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9" spans="1:2" x14ac:dyDescent="0.25">
      <c r="A1109" s="1" t="str">
        <f t="shared" si="17"/>
        <v/>
      </c>
      <c r="B11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0" spans="1:2" x14ac:dyDescent="0.25">
      <c r="A1110" s="1" t="str">
        <f t="shared" si="17"/>
        <v/>
      </c>
      <c r="B11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1" spans="1:2" x14ac:dyDescent="0.25">
      <c r="A1111" s="1" t="str">
        <f t="shared" si="17"/>
        <v/>
      </c>
      <c r="B11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2" spans="1:2" x14ac:dyDescent="0.25">
      <c r="A1112" s="1" t="str">
        <f t="shared" si="17"/>
        <v/>
      </c>
      <c r="B11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3" spans="1:2" x14ac:dyDescent="0.25">
      <c r="A1113" s="1" t="str">
        <f t="shared" si="17"/>
        <v/>
      </c>
      <c r="B11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4" spans="1:2" x14ac:dyDescent="0.25">
      <c r="A1114" s="1" t="str">
        <f t="shared" si="17"/>
        <v/>
      </c>
      <c r="B11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5" spans="1:2" x14ac:dyDescent="0.25">
      <c r="A1115" s="1" t="str">
        <f t="shared" si="17"/>
        <v/>
      </c>
      <c r="B11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6" spans="1:2" x14ac:dyDescent="0.25">
      <c r="A1116" s="1" t="str">
        <f t="shared" si="17"/>
        <v/>
      </c>
      <c r="B11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7" spans="1:2" x14ac:dyDescent="0.25">
      <c r="A1117" s="1" t="str">
        <f t="shared" si="17"/>
        <v/>
      </c>
      <c r="B11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8" spans="1:2" x14ac:dyDescent="0.25">
      <c r="A1118" s="1" t="str">
        <f t="shared" si="17"/>
        <v/>
      </c>
      <c r="B11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9" spans="1:2" x14ac:dyDescent="0.25">
      <c r="A1119" s="1" t="str">
        <f t="shared" si="17"/>
        <v/>
      </c>
      <c r="B11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0" spans="1:2" x14ac:dyDescent="0.25">
      <c r="A1120" s="1" t="str">
        <f t="shared" si="17"/>
        <v/>
      </c>
      <c r="B11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1" spans="1:2" x14ac:dyDescent="0.25">
      <c r="A1121" s="1" t="str">
        <f t="shared" si="17"/>
        <v/>
      </c>
      <c r="B11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2" spans="1:2" x14ac:dyDescent="0.25">
      <c r="A1122" s="1" t="str">
        <f t="shared" si="17"/>
        <v/>
      </c>
      <c r="B11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3" spans="1:2" x14ac:dyDescent="0.25">
      <c r="A1123" s="1" t="str">
        <f t="shared" si="17"/>
        <v/>
      </c>
      <c r="B11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4" spans="1:2" x14ac:dyDescent="0.25">
      <c r="A1124" s="1" t="str">
        <f t="shared" si="17"/>
        <v/>
      </c>
      <c r="B11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5" spans="1:2" x14ac:dyDescent="0.25">
      <c r="A1125" s="1" t="str">
        <f t="shared" si="17"/>
        <v/>
      </c>
      <c r="B11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6" spans="1:2" x14ac:dyDescent="0.25">
      <c r="A1126" s="1" t="str">
        <f t="shared" si="17"/>
        <v/>
      </c>
      <c r="B11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7" spans="1:2" x14ac:dyDescent="0.25">
      <c r="A1127" s="1" t="str">
        <f t="shared" si="17"/>
        <v/>
      </c>
      <c r="B11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8" spans="1:2" x14ac:dyDescent="0.25">
      <c r="A1128" s="1" t="str">
        <f t="shared" si="17"/>
        <v/>
      </c>
      <c r="B11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9" spans="1:2" x14ac:dyDescent="0.25">
      <c r="A1129" s="1" t="str">
        <f t="shared" si="17"/>
        <v/>
      </c>
      <c r="B11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0" spans="1:2" x14ac:dyDescent="0.25">
      <c r="A1130" s="1" t="str">
        <f t="shared" si="17"/>
        <v/>
      </c>
      <c r="B11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1" spans="1:2" x14ac:dyDescent="0.25">
      <c r="A1131" s="1" t="str">
        <f t="shared" si="17"/>
        <v/>
      </c>
      <c r="B11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2" spans="1:2" x14ac:dyDescent="0.25">
      <c r="A1132" s="1" t="str">
        <f t="shared" si="17"/>
        <v/>
      </c>
      <c r="B11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3" spans="1:2" x14ac:dyDescent="0.25">
      <c r="A1133" s="1" t="str">
        <f t="shared" si="17"/>
        <v/>
      </c>
      <c r="B11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4" spans="1:2" x14ac:dyDescent="0.25">
      <c r="A1134" s="1" t="str">
        <f t="shared" si="17"/>
        <v/>
      </c>
      <c r="B11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5" spans="1:2" x14ac:dyDescent="0.25">
      <c r="A1135" s="1" t="str">
        <f t="shared" si="17"/>
        <v/>
      </c>
      <c r="B11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6" spans="1:2" x14ac:dyDescent="0.25">
      <c r="A1136" s="1" t="str">
        <f t="shared" si="17"/>
        <v/>
      </c>
      <c r="B11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7" spans="1:2" x14ac:dyDescent="0.25">
      <c r="A1137" s="1" t="str">
        <f t="shared" si="17"/>
        <v/>
      </c>
      <c r="B11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8" spans="1:2" x14ac:dyDescent="0.25">
      <c r="A1138" s="1" t="str">
        <f t="shared" si="17"/>
        <v/>
      </c>
      <c r="B11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9" spans="1:2" x14ac:dyDescent="0.25">
      <c r="A1139" s="1" t="str">
        <f t="shared" si="17"/>
        <v/>
      </c>
      <c r="B11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0" spans="1:2" x14ac:dyDescent="0.25">
      <c r="A1140" s="1" t="str">
        <f t="shared" si="17"/>
        <v/>
      </c>
      <c r="B11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1" spans="1:2" x14ac:dyDescent="0.25">
      <c r="A1141" s="1" t="str">
        <f t="shared" si="17"/>
        <v/>
      </c>
      <c r="B11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2" spans="1:2" x14ac:dyDescent="0.25">
      <c r="A1142" s="1" t="str">
        <f t="shared" si="17"/>
        <v/>
      </c>
      <c r="B11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3" spans="1:2" x14ac:dyDescent="0.25">
      <c r="A1143" s="1" t="str">
        <f t="shared" si="17"/>
        <v/>
      </c>
      <c r="B11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4" spans="1:2" x14ac:dyDescent="0.25">
      <c r="A1144" s="1" t="str">
        <f t="shared" si="17"/>
        <v/>
      </c>
      <c r="B11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5" spans="1:2" x14ac:dyDescent="0.25">
      <c r="A1145" s="1" t="str">
        <f t="shared" si="17"/>
        <v/>
      </c>
      <c r="B11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6" spans="1:2" x14ac:dyDescent="0.25">
      <c r="A1146" s="1" t="str">
        <f t="shared" si="17"/>
        <v/>
      </c>
      <c r="B11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7" spans="1:2" x14ac:dyDescent="0.25">
      <c r="A1147" s="1" t="str">
        <f t="shared" si="17"/>
        <v/>
      </c>
      <c r="B11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8" spans="1:2" x14ac:dyDescent="0.25">
      <c r="A1148" s="1" t="str">
        <f t="shared" si="17"/>
        <v/>
      </c>
      <c r="B11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9" spans="1:2" x14ac:dyDescent="0.25">
      <c r="A1149" s="1" t="str">
        <f t="shared" si="17"/>
        <v/>
      </c>
      <c r="B11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0" spans="1:2" x14ac:dyDescent="0.25">
      <c r="A1150" s="1" t="str">
        <f t="shared" si="17"/>
        <v/>
      </c>
      <c r="B11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1" spans="1:2" x14ac:dyDescent="0.25">
      <c r="A1151" s="1" t="str">
        <f t="shared" si="17"/>
        <v/>
      </c>
      <c r="B11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2" spans="1:2" x14ac:dyDescent="0.25">
      <c r="A1152" s="1" t="str">
        <f t="shared" si="17"/>
        <v/>
      </c>
      <c r="B11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3" spans="1:2" x14ac:dyDescent="0.25">
      <c r="A1153" s="1" t="str">
        <f t="shared" si="17"/>
        <v/>
      </c>
      <c r="B11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4" spans="1:2" x14ac:dyDescent="0.25">
      <c r="A1154" s="1" t="str">
        <f t="shared" ref="A1154:A1217" si="18">IFERROR(LEFT(RIGHT(C1154,LEN(C1154)-SEARCH("@",C1154)),SEARCH("/",RIGHT(C1154,LEN(C1154)-SEARCH("@",C1154)-1))),"")</f>
        <v/>
      </c>
      <c r="B11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5" spans="1:2" x14ac:dyDescent="0.25">
      <c r="A1155" s="1" t="str">
        <f t="shared" si="18"/>
        <v/>
      </c>
      <c r="B11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6" spans="1:2" x14ac:dyDescent="0.25">
      <c r="A1156" s="1" t="str">
        <f t="shared" si="18"/>
        <v/>
      </c>
      <c r="B11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7" spans="1:2" x14ac:dyDescent="0.25">
      <c r="A1157" s="1" t="str">
        <f t="shared" si="18"/>
        <v/>
      </c>
      <c r="B11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8" spans="1:2" x14ac:dyDescent="0.25">
      <c r="A1158" s="1" t="str">
        <f t="shared" si="18"/>
        <v/>
      </c>
      <c r="B11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9" spans="1:2" x14ac:dyDescent="0.25">
      <c r="A1159" s="1" t="str">
        <f t="shared" si="18"/>
        <v/>
      </c>
      <c r="B11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0" spans="1:2" x14ac:dyDescent="0.25">
      <c r="A1160" s="1" t="str">
        <f t="shared" si="18"/>
        <v/>
      </c>
      <c r="B11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1" spans="1:2" x14ac:dyDescent="0.25">
      <c r="A1161" s="1" t="str">
        <f t="shared" si="18"/>
        <v/>
      </c>
      <c r="B11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2" spans="1:2" x14ac:dyDescent="0.25">
      <c r="A1162" s="1" t="str">
        <f t="shared" si="18"/>
        <v/>
      </c>
      <c r="B11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3" spans="1:2" x14ac:dyDescent="0.25">
      <c r="A1163" s="1" t="str">
        <f t="shared" si="18"/>
        <v/>
      </c>
      <c r="B11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4" spans="1:2" x14ac:dyDescent="0.25">
      <c r="A1164" s="1" t="str">
        <f t="shared" si="18"/>
        <v/>
      </c>
      <c r="B11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5" spans="1:2" x14ac:dyDescent="0.25">
      <c r="A1165" s="1" t="str">
        <f t="shared" si="18"/>
        <v/>
      </c>
      <c r="B11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6" spans="1:2" x14ac:dyDescent="0.25">
      <c r="A1166" s="1" t="str">
        <f t="shared" si="18"/>
        <v/>
      </c>
      <c r="B11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7" spans="1:2" x14ac:dyDescent="0.25">
      <c r="A1167" s="1" t="str">
        <f t="shared" si="18"/>
        <v/>
      </c>
      <c r="B11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8" spans="1:2" x14ac:dyDescent="0.25">
      <c r="A1168" s="1" t="str">
        <f t="shared" si="18"/>
        <v/>
      </c>
      <c r="B11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9" spans="1:2" x14ac:dyDescent="0.25">
      <c r="A1169" s="1" t="str">
        <f t="shared" si="18"/>
        <v/>
      </c>
      <c r="B11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0" spans="1:2" x14ac:dyDescent="0.25">
      <c r="A1170" s="1" t="str">
        <f t="shared" si="18"/>
        <v/>
      </c>
      <c r="B11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1" spans="1:2" x14ac:dyDescent="0.25">
      <c r="A1171" s="1" t="str">
        <f t="shared" si="18"/>
        <v/>
      </c>
      <c r="B11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2" spans="1:2" x14ac:dyDescent="0.25">
      <c r="A1172" s="1" t="str">
        <f t="shared" si="18"/>
        <v/>
      </c>
      <c r="B11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3" spans="1:2" x14ac:dyDescent="0.25">
      <c r="A1173" s="1" t="str">
        <f t="shared" si="18"/>
        <v/>
      </c>
      <c r="B11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4" spans="1:2" x14ac:dyDescent="0.25">
      <c r="A1174" s="1" t="str">
        <f t="shared" si="18"/>
        <v/>
      </c>
      <c r="B11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5" spans="1:2" x14ac:dyDescent="0.25">
      <c r="A1175" s="1" t="str">
        <f t="shared" si="18"/>
        <v/>
      </c>
      <c r="B11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6" spans="1:2" x14ac:dyDescent="0.25">
      <c r="A1176" s="1" t="str">
        <f t="shared" si="18"/>
        <v/>
      </c>
      <c r="B11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7" spans="1:2" x14ac:dyDescent="0.25">
      <c r="A1177" s="1" t="str">
        <f t="shared" si="18"/>
        <v/>
      </c>
      <c r="B11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8" spans="1:2" x14ac:dyDescent="0.25">
      <c r="A1178" s="1" t="str">
        <f t="shared" si="18"/>
        <v/>
      </c>
      <c r="B11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9" spans="1:2" x14ac:dyDescent="0.25">
      <c r="A1179" s="1" t="str">
        <f t="shared" si="18"/>
        <v/>
      </c>
      <c r="B11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0" spans="1:2" x14ac:dyDescent="0.25">
      <c r="A1180" s="1" t="str">
        <f t="shared" si="18"/>
        <v/>
      </c>
      <c r="B11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1" spans="1:2" x14ac:dyDescent="0.25">
      <c r="A1181" s="1" t="str">
        <f t="shared" si="18"/>
        <v/>
      </c>
      <c r="B11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2" spans="1:2" x14ac:dyDescent="0.25">
      <c r="A1182" s="1" t="str">
        <f t="shared" si="18"/>
        <v/>
      </c>
      <c r="B11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3" spans="1:2" x14ac:dyDescent="0.25">
      <c r="A1183" s="1" t="str">
        <f t="shared" si="18"/>
        <v/>
      </c>
      <c r="B11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4" spans="1:2" x14ac:dyDescent="0.25">
      <c r="A1184" s="1" t="str">
        <f t="shared" si="18"/>
        <v/>
      </c>
      <c r="B11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5" spans="1:2" x14ac:dyDescent="0.25">
      <c r="A1185" s="1" t="str">
        <f t="shared" si="18"/>
        <v/>
      </c>
      <c r="B11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6" spans="1:2" x14ac:dyDescent="0.25">
      <c r="A1186" s="1" t="str">
        <f t="shared" si="18"/>
        <v/>
      </c>
      <c r="B11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7" spans="1:2" x14ac:dyDescent="0.25">
      <c r="A1187" s="1" t="str">
        <f t="shared" si="18"/>
        <v/>
      </c>
      <c r="B11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8" spans="1:2" x14ac:dyDescent="0.25">
      <c r="A1188" s="1" t="str">
        <f t="shared" si="18"/>
        <v/>
      </c>
      <c r="B11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9" spans="1:2" x14ac:dyDescent="0.25">
      <c r="A1189" s="1" t="str">
        <f t="shared" si="18"/>
        <v/>
      </c>
      <c r="B11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0" spans="1:2" x14ac:dyDescent="0.25">
      <c r="A1190" s="1" t="str">
        <f t="shared" si="18"/>
        <v/>
      </c>
      <c r="B11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1" spans="1:2" x14ac:dyDescent="0.25">
      <c r="A1191" s="1" t="str">
        <f t="shared" si="18"/>
        <v/>
      </c>
      <c r="B11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2" spans="1:2" x14ac:dyDescent="0.25">
      <c r="A1192" s="1" t="str">
        <f t="shared" si="18"/>
        <v/>
      </c>
      <c r="B11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3" spans="1:2" x14ac:dyDescent="0.25">
      <c r="A1193" s="1" t="str">
        <f t="shared" si="18"/>
        <v/>
      </c>
      <c r="B11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4" spans="1:2" x14ac:dyDescent="0.25">
      <c r="A1194" s="1" t="str">
        <f t="shared" si="18"/>
        <v/>
      </c>
      <c r="B11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5" spans="1:2" x14ac:dyDescent="0.25">
      <c r="A1195" s="1" t="str">
        <f t="shared" si="18"/>
        <v/>
      </c>
      <c r="B11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6" spans="1:2" x14ac:dyDescent="0.25">
      <c r="A1196" s="1" t="str">
        <f t="shared" si="18"/>
        <v/>
      </c>
      <c r="B11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7" spans="1:2" x14ac:dyDescent="0.25">
      <c r="A1197" s="1" t="str">
        <f t="shared" si="18"/>
        <v/>
      </c>
      <c r="B11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8" spans="1:2" x14ac:dyDescent="0.25">
      <c r="A1198" s="1" t="str">
        <f t="shared" si="18"/>
        <v/>
      </c>
      <c r="B11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9" spans="1:2" x14ac:dyDescent="0.25">
      <c r="A1199" s="1" t="str">
        <f t="shared" si="18"/>
        <v/>
      </c>
      <c r="B11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0" spans="1:2" x14ac:dyDescent="0.25">
      <c r="A1200" s="1" t="str">
        <f t="shared" si="18"/>
        <v/>
      </c>
      <c r="B12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1" spans="1:2" x14ac:dyDescent="0.25">
      <c r="A1201" s="1" t="str">
        <f t="shared" si="18"/>
        <v/>
      </c>
      <c r="B12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2" spans="1:2" x14ac:dyDescent="0.25">
      <c r="A1202" s="1" t="str">
        <f t="shared" si="18"/>
        <v/>
      </c>
      <c r="B12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3" spans="1:2" x14ac:dyDescent="0.25">
      <c r="A1203" s="1" t="str">
        <f t="shared" si="18"/>
        <v/>
      </c>
      <c r="B12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4" spans="1:2" x14ac:dyDescent="0.25">
      <c r="A1204" s="1" t="str">
        <f t="shared" si="18"/>
        <v/>
      </c>
      <c r="B12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5" spans="1:2" x14ac:dyDescent="0.25">
      <c r="A1205" s="1" t="str">
        <f t="shared" si="18"/>
        <v/>
      </c>
      <c r="B12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6" spans="1:2" x14ac:dyDescent="0.25">
      <c r="A1206" s="1" t="str">
        <f t="shared" si="18"/>
        <v/>
      </c>
      <c r="B12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7" spans="1:2" x14ac:dyDescent="0.25">
      <c r="A1207" s="1" t="str">
        <f t="shared" si="18"/>
        <v/>
      </c>
      <c r="B12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8" spans="1:2" x14ac:dyDescent="0.25">
      <c r="A1208" s="1" t="str">
        <f t="shared" si="18"/>
        <v/>
      </c>
      <c r="B12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9" spans="1:2" x14ac:dyDescent="0.25">
      <c r="A1209" s="1" t="str">
        <f t="shared" si="18"/>
        <v/>
      </c>
      <c r="B12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0" spans="1:2" x14ac:dyDescent="0.25">
      <c r="A1210" s="1" t="str">
        <f t="shared" si="18"/>
        <v/>
      </c>
      <c r="B12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1" spans="1:2" x14ac:dyDescent="0.25">
      <c r="A1211" s="1" t="str">
        <f t="shared" si="18"/>
        <v/>
      </c>
      <c r="B12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2" spans="1:2" x14ac:dyDescent="0.25">
      <c r="A1212" s="1" t="str">
        <f t="shared" si="18"/>
        <v/>
      </c>
      <c r="B12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3" spans="1:2" x14ac:dyDescent="0.25">
      <c r="A1213" s="1" t="str">
        <f t="shared" si="18"/>
        <v/>
      </c>
      <c r="B12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4" spans="1:2" x14ac:dyDescent="0.25">
      <c r="A1214" s="1" t="str">
        <f t="shared" si="18"/>
        <v/>
      </c>
      <c r="B12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5" spans="1:2" x14ac:dyDescent="0.25">
      <c r="A1215" s="1" t="str">
        <f t="shared" si="18"/>
        <v/>
      </c>
      <c r="B12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6" spans="1:2" x14ac:dyDescent="0.25">
      <c r="A1216" s="1" t="str">
        <f t="shared" si="18"/>
        <v/>
      </c>
      <c r="B12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7" spans="1:2" x14ac:dyDescent="0.25">
      <c r="A1217" s="1" t="str">
        <f t="shared" si="18"/>
        <v/>
      </c>
      <c r="B12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8" spans="1:2" x14ac:dyDescent="0.25">
      <c r="A1218" s="1" t="str">
        <f t="shared" ref="A1218:A1281" si="19">IFERROR(LEFT(RIGHT(C1218,LEN(C1218)-SEARCH("@",C1218)),SEARCH("/",RIGHT(C1218,LEN(C1218)-SEARCH("@",C1218)-1))),"")</f>
        <v/>
      </c>
      <c r="B12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9" spans="1:2" x14ac:dyDescent="0.25">
      <c r="A1219" s="1" t="str">
        <f t="shared" si="19"/>
        <v/>
      </c>
      <c r="B12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0" spans="1:2" x14ac:dyDescent="0.25">
      <c r="A1220" s="1" t="str">
        <f t="shared" si="19"/>
        <v/>
      </c>
      <c r="B12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1" spans="1:2" x14ac:dyDescent="0.25">
      <c r="A1221" s="1" t="str">
        <f t="shared" si="19"/>
        <v/>
      </c>
      <c r="B12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2" spans="1:2" x14ac:dyDescent="0.25">
      <c r="A1222" s="1" t="str">
        <f t="shared" si="19"/>
        <v/>
      </c>
      <c r="B12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3" spans="1:2" x14ac:dyDescent="0.25">
      <c r="A1223" s="1" t="str">
        <f t="shared" si="19"/>
        <v/>
      </c>
      <c r="B12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4" spans="1:2" x14ac:dyDescent="0.25">
      <c r="A1224" s="1" t="str">
        <f t="shared" si="19"/>
        <v/>
      </c>
      <c r="B12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5" spans="1:2" x14ac:dyDescent="0.25">
      <c r="A1225" s="1" t="str">
        <f t="shared" si="19"/>
        <v/>
      </c>
      <c r="B12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6" spans="1:2" x14ac:dyDescent="0.25">
      <c r="A1226" s="1" t="str">
        <f t="shared" si="19"/>
        <v/>
      </c>
      <c r="B12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7" spans="1:2" x14ac:dyDescent="0.25">
      <c r="A1227" s="1" t="str">
        <f t="shared" si="19"/>
        <v/>
      </c>
      <c r="B12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8" spans="1:2" x14ac:dyDescent="0.25">
      <c r="A1228" s="1" t="str">
        <f t="shared" si="19"/>
        <v/>
      </c>
      <c r="B12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9" spans="1:2" x14ac:dyDescent="0.25">
      <c r="A1229" s="1" t="str">
        <f t="shared" si="19"/>
        <v/>
      </c>
      <c r="B12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0" spans="1:2" x14ac:dyDescent="0.25">
      <c r="A1230" s="1" t="str">
        <f t="shared" si="19"/>
        <v/>
      </c>
      <c r="B12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1" spans="1:2" x14ac:dyDescent="0.25">
      <c r="A1231" s="1" t="str">
        <f t="shared" si="19"/>
        <v/>
      </c>
      <c r="B12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2" spans="1:2" x14ac:dyDescent="0.25">
      <c r="A1232" s="1" t="str">
        <f t="shared" si="19"/>
        <v/>
      </c>
      <c r="B12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3" spans="1:2" x14ac:dyDescent="0.25">
      <c r="A1233" s="1" t="str">
        <f t="shared" si="19"/>
        <v/>
      </c>
      <c r="B12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4" spans="1:2" x14ac:dyDescent="0.25">
      <c r="A1234" s="1" t="str">
        <f t="shared" si="19"/>
        <v/>
      </c>
      <c r="B12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5" spans="1:2" x14ac:dyDescent="0.25">
      <c r="A1235" s="1" t="str">
        <f t="shared" si="19"/>
        <v/>
      </c>
      <c r="B12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6" spans="1:2" x14ac:dyDescent="0.25">
      <c r="A1236" s="1" t="str">
        <f t="shared" si="19"/>
        <v/>
      </c>
      <c r="B12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7" spans="1:2" x14ac:dyDescent="0.25">
      <c r="A1237" s="1" t="str">
        <f t="shared" si="19"/>
        <v/>
      </c>
      <c r="B12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8" spans="1:2" x14ac:dyDescent="0.25">
      <c r="A1238" s="1" t="str">
        <f t="shared" si="19"/>
        <v/>
      </c>
      <c r="B12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9" spans="1:2" x14ac:dyDescent="0.25">
      <c r="A1239" s="1" t="str">
        <f t="shared" si="19"/>
        <v/>
      </c>
      <c r="B12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0" spans="1:2" x14ac:dyDescent="0.25">
      <c r="A1240" s="1" t="str">
        <f t="shared" si="19"/>
        <v/>
      </c>
      <c r="B12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1" spans="1:2" x14ac:dyDescent="0.25">
      <c r="A1241" s="1" t="str">
        <f t="shared" si="19"/>
        <v/>
      </c>
      <c r="B12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2" spans="1:2" x14ac:dyDescent="0.25">
      <c r="A1242" s="1" t="str">
        <f t="shared" si="19"/>
        <v/>
      </c>
      <c r="B12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3" spans="1:2" x14ac:dyDescent="0.25">
      <c r="A1243" s="1" t="str">
        <f t="shared" si="19"/>
        <v/>
      </c>
      <c r="B12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4" spans="1:2" x14ac:dyDescent="0.25">
      <c r="A1244" s="1" t="str">
        <f t="shared" si="19"/>
        <v/>
      </c>
      <c r="B12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5" spans="1:2" x14ac:dyDescent="0.25">
      <c r="A1245" s="1" t="str">
        <f t="shared" si="19"/>
        <v/>
      </c>
      <c r="B12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6" spans="1:2" x14ac:dyDescent="0.25">
      <c r="A1246" s="1" t="str">
        <f t="shared" si="19"/>
        <v/>
      </c>
      <c r="B12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7" spans="1:2" x14ac:dyDescent="0.25">
      <c r="A1247" s="1" t="str">
        <f t="shared" si="19"/>
        <v/>
      </c>
      <c r="B12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8" spans="1:2" x14ac:dyDescent="0.25">
      <c r="A1248" s="1" t="str">
        <f t="shared" si="19"/>
        <v/>
      </c>
      <c r="B12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9" spans="1:2" x14ac:dyDescent="0.25">
      <c r="A1249" s="1" t="str">
        <f t="shared" si="19"/>
        <v/>
      </c>
      <c r="B12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0" spans="1:2" x14ac:dyDescent="0.25">
      <c r="A1250" s="1" t="str">
        <f t="shared" si="19"/>
        <v/>
      </c>
      <c r="B12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1" spans="1:2" x14ac:dyDescent="0.25">
      <c r="A1251" s="1" t="str">
        <f t="shared" si="19"/>
        <v/>
      </c>
      <c r="B12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2" spans="1:2" x14ac:dyDescent="0.25">
      <c r="A1252" s="1" t="str">
        <f t="shared" si="19"/>
        <v/>
      </c>
      <c r="B12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3" spans="1:2" x14ac:dyDescent="0.25">
      <c r="A1253" s="1" t="str">
        <f t="shared" si="19"/>
        <v/>
      </c>
      <c r="B12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4" spans="1:2" x14ac:dyDescent="0.25">
      <c r="A1254" s="1" t="str">
        <f t="shared" si="19"/>
        <v/>
      </c>
      <c r="B12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5" spans="1:2" x14ac:dyDescent="0.25">
      <c r="A1255" s="1" t="str">
        <f t="shared" si="19"/>
        <v/>
      </c>
      <c r="B12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6" spans="1:2" x14ac:dyDescent="0.25">
      <c r="A1256" s="1" t="str">
        <f t="shared" si="19"/>
        <v/>
      </c>
      <c r="B12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7" spans="1:2" x14ac:dyDescent="0.25">
      <c r="A1257" s="1" t="str">
        <f t="shared" si="19"/>
        <v/>
      </c>
      <c r="B12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8" spans="1:2" x14ac:dyDescent="0.25">
      <c r="A1258" s="1" t="str">
        <f t="shared" si="19"/>
        <v/>
      </c>
      <c r="B12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9" spans="1:2" x14ac:dyDescent="0.25">
      <c r="A1259" s="1" t="str">
        <f t="shared" si="19"/>
        <v/>
      </c>
      <c r="B12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0" spans="1:2" x14ac:dyDescent="0.25">
      <c r="A1260" s="1" t="str">
        <f t="shared" si="19"/>
        <v/>
      </c>
      <c r="B12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1" spans="1:2" x14ac:dyDescent="0.25">
      <c r="A1261" s="1" t="str">
        <f t="shared" si="19"/>
        <v/>
      </c>
      <c r="B12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2" spans="1:2" x14ac:dyDescent="0.25">
      <c r="A1262" s="1" t="str">
        <f t="shared" si="19"/>
        <v/>
      </c>
      <c r="B12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3" spans="1:2" x14ac:dyDescent="0.25">
      <c r="A1263" s="1" t="str">
        <f t="shared" si="19"/>
        <v/>
      </c>
      <c r="B12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4" spans="1:2" x14ac:dyDescent="0.25">
      <c r="A1264" s="1" t="str">
        <f t="shared" si="19"/>
        <v/>
      </c>
      <c r="B12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5" spans="1:2" x14ac:dyDescent="0.25">
      <c r="A1265" s="1" t="str">
        <f t="shared" si="19"/>
        <v/>
      </c>
      <c r="B12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6" spans="1:2" x14ac:dyDescent="0.25">
      <c r="A1266" s="1" t="str">
        <f t="shared" si="19"/>
        <v/>
      </c>
      <c r="B12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7" spans="1:2" x14ac:dyDescent="0.25">
      <c r="A1267" s="1" t="str">
        <f t="shared" si="19"/>
        <v/>
      </c>
      <c r="B12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8" spans="1:2" x14ac:dyDescent="0.25">
      <c r="A1268" s="1" t="str">
        <f t="shared" si="19"/>
        <v/>
      </c>
      <c r="B12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9" spans="1:2" x14ac:dyDescent="0.25">
      <c r="A1269" s="1" t="str">
        <f t="shared" si="19"/>
        <v/>
      </c>
      <c r="B12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0" spans="1:2" x14ac:dyDescent="0.25">
      <c r="A1270" s="1" t="str">
        <f t="shared" si="19"/>
        <v/>
      </c>
      <c r="B12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1" spans="1:2" x14ac:dyDescent="0.25">
      <c r="A1271" s="1" t="str">
        <f t="shared" si="19"/>
        <v/>
      </c>
      <c r="B12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2" spans="1:2" x14ac:dyDescent="0.25">
      <c r="A1272" s="1" t="str">
        <f t="shared" si="19"/>
        <v/>
      </c>
      <c r="B12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3" spans="1:2" x14ac:dyDescent="0.25">
      <c r="A1273" s="1" t="str">
        <f t="shared" si="19"/>
        <v/>
      </c>
      <c r="B12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4" spans="1:2" x14ac:dyDescent="0.25">
      <c r="A1274" s="1" t="str">
        <f t="shared" si="19"/>
        <v/>
      </c>
      <c r="B12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5" spans="1:2" x14ac:dyDescent="0.25">
      <c r="A1275" s="1" t="str">
        <f t="shared" si="19"/>
        <v/>
      </c>
      <c r="B12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6" spans="1:2" x14ac:dyDescent="0.25">
      <c r="A1276" s="1" t="str">
        <f t="shared" si="19"/>
        <v/>
      </c>
      <c r="B12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7" spans="1:2" x14ac:dyDescent="0.25">
      <c r="A1277" s="1" t="str">
        <f t="shared" si="19"/>
        <v/>
      </c>
      <c r="B12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8" spans="1:2" x14ac:dyDescent="0.25">
      <c r="A1278" s="1" t="str">
        <f t="shared" si="19"/>
        <v/>
      </c>
      <c r="B12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9" spans="1:2" x14ac:dyDescent="0.25">
      <c r="A1279" s="1" t="str">
        <f t="shared" si="19"/>
        <v/>
      </c>
      <c r="B12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0" spans="1:2" x14ac:dyDescent="0.25">
      <c r="A1280" s="1" t="str">
        <f t="shared" si="19"/>
        <v/>
      </c>
      <c r="B12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1" spans="1:2" x14ac:dyDescent="0.25">
      <c r="A1281" s="1" t="str">
        <f t="shared" si="19"/>
        <v/>
      </c>
      <c r="B12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2" spans="1:2" x14ac:dyDescent="0.25">
      <c r="A1282" s="1" t="str">
        <f t="shared" ref="A1282:A1345" si="20">IFERROR(LEFT(RIGHT(C1282,LEN(C1282)-SEARCH("@",C1282)),SEARCH("/",RIGHT(C1282,LEN(C1282)-SEARCH("@",C1282)-1))),"")</f>
        <v/>
      </c>
      <c r="B12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3" spans="1:2" x14ac:dyDescent="0.25">
      <c r="A1283" s="1" t="str">
        <f t="shared" si="20"/>
        <v/>
      </c>
      <c r="B12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4" spans="1:2" x14ac:dyDescent="0.25">
      <c r="A1284" s="1" t="str">
        <f t="shared" si="20"/>
        <v/>
      </c>
      <c r="B12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5" spans="1:2" x14ac:dyDescent="0.25">
      <c r="A1285" s="1" t="str">
        <f t="shared" si="20"/>
        <v/>
      </c>
      <c r="B12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6" spans="1:2" x14ac:dyDescent="0.25">
      <c r="A1286" s="1" t="str">
        <f t="shared" si="20"/>
        <v/>
      </c>
      <c r="B12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7" spans="1:2" x14ac:dyDescent="0.25">
      <c r="A1287" s="1" t="str">
        <f t="shared" si="20"/>
        <v/>
      </c>
      <c r="B12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8" spans="1:2" x14ac:dyDescent="0.25">
      <c r="A1288" s="1" t="str">
        <f t="shared" si="20"/>
        <v/>
      </c>
      <c r="B12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9" spans="1:2" x14ac:dyDescent="0.25">
      <c r="A1289" s="1" t="str">
        <f t="shared" si="20"/>
        <v/>
      </c>
      <c r="B12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0" spans="1:2" x14ac:dyDescent="0.25">
      <c r="A1290" s="1" t="str">
        <f t="shared" si="20"/>
        <v/>
      </c>
      <c r="B12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1" spans="1:2" x14ac:dyDescent="0.25">
      <c r="A1291" s="1" t="str">
        <f t="shared" si="20"/>
        <v/>
      </c>
      <c r="B12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2" spans="1:2" x14ac:dyDescent="0.25">
      <c r="A1292" s="1" t="str">
        <f t="shared" si="20"/>
        <v/>
      </c>
      <c r="B12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3" spans="1:2" x14ac:dyDescent="0.25">
      <c r="A1293" s="1" t="str">
        <f t="shared" si="20"/>
        <v/>
      </c>
      <c r="B12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4" spans="1:2" x14ac:dyDescent="0.25">
      <c r="A1294" s="1" t="str">
        <f t="shared" si="20"/>
        <v/>
      </c>
      <c r="B12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5" spans="1:2" x14ac:dyDescent="0.25">
      <c r="A1295" s="1" t="str">
        <f t="shared" si="20"/>
        <v/>
      </c>
      <c r="B12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6" spans="1:2" x14ac:dyDescent="0.25">
      <c r="A1296" s="1" t="str">
        <f t="shared" si="20"/>
        <v/>
      </c>
      <c r="B12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7" spans="1:2" x14ac:dyDescent="0.25">
      <c r="A1297" s="1" t="str">
        <f t="shared" si="20"/>
        <v/>
      </c>
      <c r="B12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8" spans="1:2" x14ac:dyDescent="0.25">
      <c r="A1298" s="1" t="str">
        <f t="shared" si="20"/>
        <v/>
      </c>
      <c r="B12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9" spans="1:2" x14ac:dyDescent="0.25">
      <c r="A1299" s="1" t="str">
        <f t="shared" si="20"/>
        <v/>
      </c>
      <c r="B12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0" spans="1:2" x14ac:dyDescent="0.25">
      <c r="A1300" s="1" t="str">
        <f t="shared" si="20"/>
        <v/>
      </c>
      <c r="B13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1" spans="1:2" x14ac:dyDescent="0.25">
      <c r="A1301" s="1" t="str">
        <f t="shared" si="20"/>
        <v/>
      </c>
      <c r="B13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2" spans="1:2" x14ac:dyDescent="0.25">
      <c r="A1302" s="1" t="str">
        <f t="shared" si="20"/>
        <v/>
      </c>
      <c r="B13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3" spans="1:2" x14ac:dyDescent="0.25">
      <c r="A1303" s="1" t="str">
        <f t="shared" si="20"/>
        <v/>
      </c>
      <c r="B13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4" spans="1:2" x14ac:dyDescent="0.25">
      <c r="A1304" s="1" t="str">
        <f t="shared" si="20"/>
        <v/>
      </c>
      <c r="B13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5" spans="1:2" x14ac:dyDescent="0.25">
      <c r="A1305" s="1" t="str">
        <f t="shared" si="20"/>
        <v/>
      </c>
      <c r="B13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6" spans="1:2" x14ac:dyDescent="0.25">
      <c r="A1306" s="1" t="str">
        <f t="shared" si="20"/>
        <v/>
      </c>
      <c r="B13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7" spans="1:2" x14ac:dyDescent="0.25">
      <c r="A1307" s="1" t="str">
        <f t="shared" si="20"/>
        <v/>
      </c>
      <c r="B13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8" spans="1:2" x14ac:dyDescent="0.25">
      <c r="A1308" s="1" t="str">
        <f t="shared" si="20"/>
        <v/>
      </c>
      <c r="B13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9" spans="1:2" x14ac:dyDescent="0.25">
      <c r="A1309" s="1" t="str">
        <f t="shared" si="20"/>
        <v/>
      </c>
      <c r="B13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0" spans="1:2" x14ac:dyDescent="0.25">
      <c r="A1310" s="1" t="str">
        <f t="shared" si="20"/>
        <v/>
      </c>
      <c r="B13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1" spans="1:2" x14ac:dyDescent="0.25">
      <c r="A1311" s="1" t="str">
        <f t="shared" si="20"/>
        <v/>
      </c>
      <c r="B13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2" spans="1:2" x14ac:dyDescent="0.25">
      <c r="A1312" s="1" t="str">
        <f t="shared" si="20"/>
        <v/>
      </c>
      <c r="B13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3" spans="1:2" x14ac:dyDescent="0.25">
      <c r="A1313" s="1" t="str">
        <f t="shared" si="20"/>
        <v/>
      </c>
      <c r="B13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4" spans="1:2" x14ac:dyDescent="0.25">
      <c r="A1314" s="1" t="str">
        <f t="shared" si="20"/>
        <v/>
      </c>
      <c r="B13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5" spans="1:2" x14ac:dyDescent="0.25">
      <c r="A1315" s="1" t="str">
        <f t="shared" si="20"/>
        <v/>
      </c>
      <c r="B13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6" spans="1:2" x14ac:dyDescent="0.25">
      <c r="A1316" s="1" t="str">
        <f t="shared" si="20"/>
        <v/>
      </c>
      <c r="B13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7" spans="1:2" x14ac:dyDescent="0.25">
      <c r="A1317" s="1" t="str">
        <f t="shared" si="20"/>
        <v/>
      </c>
      <c r="B13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8" spans="1:2" x14ac:dyDescent="0.25">
      <c r="A1318" s="1" t="str">
        <f t="shared" si="20"/>
        <v/>
      </c>
      <c r="B13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9" spans="1:2" x14ac:dyDescent="0.25">
      <c r="A1319" s="1" t="str">
        <f t="shared" si="20"/>
        <v/>
      </c>
      <c r="B13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0" spans="1:2" x14ac:dyDescent="0.25">
      <c r="A1320" s="1" t="str">
        <f t="shared" si="20"/>
        <v/>
      </c>
      <c r="B13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1" spans="1:2" x14ac:dyDescent="0.25">
      <c r="A1321" s="1" t="str">
        <f t="shared" si="20"/>
        <v/>
      </c>
      <c r="B13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2" spans="1:2" x14ac:dyDescent="0.25">
      <c r="A1322" s="1" t="str">
        <f t="shared" si="20"/>
        <v/>
      </c>
      <c r="B13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3" spans="1:2" x14ac:dyDescent="0.25">
      <c r="A1323" s="1" t="str">
        <f t="shared" si="20"/>
        <v/>
      </c>
      <c r="B13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4" spans="1:2" x14ac:dyDescent="0.25">
      <c r="A1324" s="1" t="str">
        <f t="shared" si="20"/>
        <v/>
      </c>
      <c r="B13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5" spans="1:2" x14ac:dyDescent="0.25">
      <c r="A1325" s="1" t="str">
        <f t="shared" si="20"/>
        <v/>
      </c>
      <c r="B13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6" spans="1:2" x14ac:dyDescent="0.25">
      <c r="A1326" s="1" t="str">
        <f t="shared" si="20"/>
        <v/>
      </c>
      <c r="B13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7" spans="1:2" x14ac:dyDescent="0.25">
      <c r="A1327" s="1" t="str">
        <f t="shared" si="20"/>
        <v/>
      </c>
      <c r="B13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8" spans="1:2" x14ac:dyDescent="0.25">
      <c r="A1328" s="1" t="str">
        <f t="shared" si="20"/>
        <v/>
      </c>
      <c r="B13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9" spans="1:2" x14ac:dyDescent="0.25">
      <c r="A1329" s="1" t="str">
        <f t="shared" si="20"/>
        <v/>
      </c>
      <c r="B13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0" spans="1:2" x14ac:dyDescent="0.25">
      <c r="A1330" s="1" t="str">
        <f t="shared" si="20"/>
        <v/>
      </c>
      <c r="B13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1" spans="1:2" x14ac:dyDescent="0.25">
      <c r="A1331" s="1" t="str">
        <f t="shared" si="20"/>
        <v/>
      </c>
      <c r="B13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2" spans="1:2" x14ac:dyDescent="0.25">
      <c r="A1332" s="1" t="str">
        <f t="shared" si="20"/>
        <v/>
      </c>
      <c r="B13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3" spans="1:2" x14ac:dyDescent="0.25">
      <c r="A1333" s="1" t="str">
        <f t="shared" si="20"/>
        <v/>
      </c>
      <c r="B13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4" spans="1:2" x14ac:dyDescent="0.25">
      <c r="A1334" s="1" t="str">
        <f t="shared" si="20"/>
        <v/>
      </c>
      <c r="B13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5" spans="1:2" x14ac:dyDescent="0.25">
      <c r="A1335" s="1" t="str">
        <f t="shared" si="20"/>
        <v/>
      </c>
      <c r="B13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6" spans="1:2" x14ac:dyDescent="0.25">
      <c r="A1336" s="1" t="str">
        <f t="shared" si="20"/>
        <v/>
      </c>
      <c r="B13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7" spans="1:2" x14ac:dyDescent="0.25">
      <c r="A1337" s="1" t="str">
        <f t="shared" si="20"/>
        <v/>
      </c>
      <c r="B13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8" spans="1:2" x14ac:dyDescent="0.25">
      <c r="A1338" s="1" t="str">
        <f t="shared" si="20"/>
        <v/>
      </c>
      <c r="B13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9" spans="1:2" x14ac:dyDescent="0.25">
      <c r="A1339" s="1" t="str">
        <f t="shared" si="20"/>
        <v/>
      </c>
      <c r="B13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0" spans="1:2" x14ac:dyDescent="0.25">
      <c r="A1340" s="1" t="str">
        <f t="shared" si="20"/>
        <v/>
      </c>
      <c r="B13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1" spans="1:2" x14ac:dyDescent="0.25">
      <c r="A1341" s="1" t="str">
        <f t="shared" si="20"/>
        <v/>
      </c>
      <c r="B13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2" spans="1:2" x14ac:dyDescent="0.25">
      <c r="A1342" s="1" t="str">
        <f t="shared" si="20"/>
        <v/>
      </c>
      <c r="B13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3" spans="1:2" x14ac:dyDescent="0.25">
      <c r="A1343" s="1" t="str">
        <f t="shared" si="20"/>
        <v/>
      </c>
      <c r="B13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4" spans="1:2" x14ac:dyDescent="0.25">
      <c r="A1344" s="1" t="str">
        <f t="shared" si="20"/>
        <v/>
      </c>
      <c r="B13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5" spans="1:2" x14ac:dyDescent="0.25">
      <c r="A1345" s="1" t="str">
        <f t="shared" si="20"/>
        <v/>
      </c>
      <c r="B13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6" spans="1:2" x14ac:dyDescent="0.25">
      <c r="A1346" s="1" t="str">
        <f t="shared" ref="A1346:A1409" si="21">IFERROR(LEFT(RIGHT(C1346,LEN(C1346)-SEARCH("@",C1346)),SEARCH("/",RIGHT(C1346,LEN(C1346)-SEARCH("@",C1346)-1))),"")</f>
        <v/>
      </c>
      <c r="B13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7" spans="1:2" x14ac:dyDescent="0.25">
      <c r="A1347" s="1" t="str">
        <f t="shared" si="21"/>
        <v/>
      </c>
      <c r="B13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8" spans="1:2" x14ac:dyDescent="0.25">
      <c r="A1348" s="1" t="str">
        <f t="shared" si="21"/>
        <v/>
      </c>
      <c r="B13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9" spans="1:2" x14ac:dyDescent="0.25">
      <c r="A1349" s="1" t="str">
        <f t="shared" si="21"/>
        <v/>
      </c>
      <c r="B13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0" spans="1:2" x14ac:dyDescent="0.25">
      <c r="A1350" s="1" t="str">
        <f t="shared" si="21"/>
        <v/>
      </c>
      <c r="B13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1" spans="1:2" x14ac:dyDescent="0.25">
      <c r="A1351" s="1" t="str">
        <f t="shared" si="21"/>
        <v/>
      </c>
      <c r="B13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2" spans="1:2" x14ac:dyDescent="0.25">
      <c r="A1352" s="1" t="str">
        <f t="shared" si="21"/>
        <v/>
      </c>
      <c r="B13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3" spans="1:2" x14ac:dyDescent="0.25">
      <c r="A1353" s="1" t="str">
        <f t="shared" si="21"/>
        <v/>
      </c>
      <c r="B13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4" spans="1:2" x14ac:dyDescent="0.25">
      <c r="A1354" s="1" t="str">
        <f t="shared" si="21"/>
        <v/>
      </c>
      <c r="B13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5" spans="1:2" x14ac:dyDescent="0.25">
      <c r="A1355" s="1" t="str">
        <f t="shared" si="21"/>
        <v/>
      </c>
      <c r="B13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6" spans="1:2" x14ac:dyDescent="0.25">
      <c r="A1356" s="1" t="str">
        <f t="shared" si="21"/>
        <v/>
      </c>
      <c r="B13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7" spans="1:2" x14ac:dyDescent="0.25">
      <c r="A1357" s="1" t="str">
        <f t="shared" si="21"/>
        <v/>
      </c>
      <c r="B13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8" spans="1:2" x14ac:dyDescent="0.25">
      <c r="A1358" s="1" t="str">
        <f t="shared" si="21"/>
        <v/>
      </c>
      <c r="B13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9" spans="1:2" x14ac:dyDescent="0.25">
      <c r="A1359" s="1" t="str">
        <f t="shared" si="21"/>
        <v/>
      </c>
      <c r="B13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0" spans="1:2" x14ac:dyDescent="0.25">
      <c r="A1360" s="1" t="str">
        <f t="shared" si="21"/>
        <v/>
      </c>
      <c r="B13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1" spans="1:2" x14ac:dyDescent="0.25">
      <c r="A1361" s="1" t="str">
        <f t="shared" si="21"/>
        <v/>
      </c>
      <c r="B13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2" spans="1:2" x14ac:dyDescent="0.25">
      <c r="A1362" s="1" t="str">
        <f t="shared" si="21"/>
        <v/>
      </c>
      <c r="B13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3" spans="1:2" x14ac:dyDescent="0.25">
      <c r="A1363" s="1" t="str">
        <f t="shared" si="21"/>
        <v/>
      </c>
      <c r="B13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4" spans="1:2" x14ac:dyDescent="0.25">
      <c r="A1364" s="1" t="str">
        <f t="shared" si="21"/>
        <v/>
      </c>
      <c r="B13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5" spans="1:2" x14ac:dyDescent="0.25">
      <c r="A1365" s="1" t="str">
        <f t="shared" si="21"/>
        <v/>
      </c>
      <c r="B13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6" spans="1:2" x14ac:dyDescent="0.25">
      <c r="A1366" s="1" t="str">
        <f t="shared" si="21"/>
        <v/>
      </c>
      <c r="B13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7" spans="1:2" x14ac:dyDescent="0.25">
      <c r="A1367" s="1" t="str">
        <f t="shared" si="21"/>
        <v/>
      </c>
      <c r="B13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8" spans="1:2" x14ac:dyDescent="0.25">
      <c r="A1368" s="1" t="str">
        <f t="shared" si="21"/>
        <v/>
      </c>
      <c r="B13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9" spans="1:2" x14ac:dyDescent="0.25">
      <c r="A1369" s="1" t="str">
        <f t="shared" si="21"/>
        <v/>
      </c>
      <c r="B13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0" spans="1:2" x14ac:dyDescent="0.25">
      <c r="A1370" s="1" t="str">
        <f t="shared" si="21"/>
        <v/>
      </c>
      <c r="B13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1" spans="1:2" x14ac:dyDescent="0.25">
      <c r="A1371" s="1" t="str">
        <f t="shared" si="21"/>
        <v/>
      </c>
      <c r="B13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2" spans="1:2" x14ac:dyDescent="0.25">
      <c r="A1372" s="1" t="str">
        <f t="shared" si="21"/>
        <v/>
      </c>
      <c r="B13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3" spans="1:2" x14ac:dyDescent="0.25">
      <c r="A1373" s="1" t="str">
        <f t="shared" si="21"/>
        <v/>
      </c>
      <c r="B13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4" spans="1:2" x14ac:dyDescent="0.25">
      <c r="A1374" s="1" t="str">
        <f t="shared" si="21"/>
        <v/>
      </c>
      <c r="B13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5" spans="1:2" x14ac:dyDescent="0.25">
      <c r="A1375" s="1" t="str">
        <f t="shared" si="21"/>
        <v/>
      </c>
      <c r="B13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6" spans="1:2" x14ac:dyDescent="0.25">
      <c r="A1376" s="1" t="str">
        <f t="shared" si="21"/>
        <v/>
      </c>
      <c r="B13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7" spans="1:2" x14ac:dyDescent="0.25">
      <c r="A1377" s="1" t="str">
        <f t="shared" si="21"/>
        <v/>
      </c>
      <c r="B13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8" spans="1:2" x14ac:dyDescent="0.25">
      <c r="A1378" s="1" t="str">
        <f t="shared" si="21"/>
        <v/>
      </c>
      <c r="B13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9" spans="1:2" x14ac:dyDescent="0.25">
      <c r="A1379" s="1" t="str">
        <f t="shared" si="21"/>
        <v/>
      </c>
      <c r="B13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0" spans="1:2" x14ac:dyDescent="0.25">
      <c r="A1380" s="1" t="str">
        <f t="shared" si="21"/>
        <v/>
      </c>
      <c r="B13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1" spans="1:2" x14ac:dyDescent="0.25">
      <c r="A1381" s="1" t="str">
        <f t="shared" si="21"/>
        <v/>
      </c>
      <c r="B13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2" spans="1:2" x14ac:dyDescent="0.25">
      <c r="A1382" s="1" t="str">
        <f t="shared" si="21"/>
        <v/>
      </c>
      <c r="B13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3" spans="1:2" x14ac:dyDescent="0.25">
      <c r="A1383" s="1" t="str">
        <f t="shared" si="21"/>
        <v/>
      </c>
      <c r="B13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4" spans="1:2" x14ac:dyDescent="0.25">
      <c r="A1384" s="1" t="str">
        <f t="shared" si="21"/>
        <v/>
      </c>
      <c r="B13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5" spans="1:2" x14ac:dyDescent="0.25">
      <c r="A1385" s="1" t="str">
        <f t="shared" si="21"/>
        <v/>
      </c>
      <c r="B13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6" spans="1:2" x14ac:dyDescent="0.25">
      <c r="A1386" s="1" t="str">
        <f t="shared" si="21"/>
        <v/>
      </c>
      <c r="B13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7" spans="1:2" x14ac:dyDescent="0.25">
      <c r="A1387" s="1" t="str">
        <f t="shared" si="21"/>
        <v/>
      </c>
      <c r="B13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8" spans="1:2" x14ac:dyDescent="0.25">
      <c r="A1388" s="1" t="str">
        <f t="shared" si="21"/>
        <v/>
      </c>
      <c r="B13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9" spans="1:2" x14ac:dyDescent="0.25">
      <c r="A1389" s="1" t="str">
        <f t="shared" si="21"/>
        <v/>
      </c>
      <c r="B13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0" spans="1:2" x14ac:dyDescent="0.25">
      <c r="A1390" s="1" t="str">
        <f t="shared" si="21"/>
        <v/>
      </c>
      <c r="B13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1" spans="1:2" x14ac:dyDescent="0.25">
      <c r="A1391" s="1" t="str">
        <f t="shared" si="21"/>
        <v/>
      </c>
      <c r="B13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2" spans="1:2" x14ac:dyDescent="0.25">
      <c r="A1392" s="1" t="str">
        <f t="shared" si="21"/>
        <v/>
      </c>
      <c r="B13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3" spans="1:2" x14ac:dyDescent="0.25">
      <c r="A1393" s="1" t="str">
        <f t="shared" si="21"/>
        <v/>
      </c>
      <c r="B13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4" spans="1:2" x14ac:dyDescent="0.25">
      <c r="A1394" s="1" t="str">
        <f t="shared" si="21"/>
        <v/>
      </c>
      <c r="B13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5" spans="1:2" x14ac:dyDescent="0.25">
      <c r="A1395" s="1" t="str">
        <f t="shared" si="21"/>
        <v/>
      </c>
      <c r="B13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6" spans="1:2" x14ac:dyDescent="0.25">
      <c r="A1396" s="1" t="str">
        <f t="shared" si="21"/>
        <v/>
      </c>
      <c r="B13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7" spans="1:2" x14ac:dyDescent="0.25">
      <c r="A1397" s="1" t="str">
        <f t="shared" si="21"/>
        <v/>
      </c>
      <c r="B13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8" spans="1:2" x14ac:dyDescent="0.25">
      <c r="A1398" s="1" t="str">
        <f t="shared" si="21"/>
        <v/>
      </c>
      <c r="B13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9" spans="1:2" x14ac:dyDescent="0.25">
      <c r="A1399" s="1" t="str">
        <f t="shared" si="21"/>
        <v/>
      </c>
      <c r="B13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0" spans="1:2" x14ac:dyDescent="0.25">
      <c r="A1400" s="1" t="str">
        <f t="shared" si="21"/>
        <v/>
      </c>
      <c r="B14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1" spans="1:2" x14ac:dyDescent="0.25">
      <c r="A1401" s="1" t="str">
        <f t="shared" si="21"/>
        <v/>
      </c>
      <c r="B14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2" spans="1:2" x14ac:dyDescent="0.25">
      <c r="A1402" s="1" t="str">
        <f t="shared" si="21"/>
        <v/>
      </c>
      <c r="B14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3" spans="1:2" x14ac:dyDescent="0.25">
      <c r="A1403" s="1" t="str">
        <f t="shared" si="21"/>
        <v/>
      </c>
      <c r="B14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4" spans="1:2" x14ac:dyDescent="0.25">
      <c r="A1404" s="1" t="str">
        <f t="shared" si="21"/>
        <v/>
      </c>
      <c r="B14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5" spans="1:2" x14ac:dyDescent="0.25">
      <c r="A1405" s="1" t="str">
        <f t="shared" si="21"/>
        <v/>
      </c>
      <c r="B14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6" spans="1:2" x14ac:dyDescent="0.25">
      <c r="A1406" s="1" t="str">
        <f t="shared" si="21"/>
        <v/>
      </c>
      <c r="B14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7" spans="1:2" x14ac:dyDescent="0.25">
      <c r="A1407" s="1" t="str">
        <f t="shared" si="21"/>
        <v/>
      </c>
      <c r="B14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8" spans="1:2" x14ac:dyDescent="0.25">
      <c r="A1408" s="1" t="str">
        <f t="shared" si="21"/>
        <v/>
      </c>
      <c r="B14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9" spans="1:2" x14ac:dyDescent="0.25">
      <c r="A1409" s="1" t="str">
        <f t="shared" si="21"/>
        <v/>
      </c>
      <c r="B14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0" spans="1:2" x14ac:dyDescent="0.25">
      <c r="A1410" s="1" t="str">
        <f t="shared" ref="A1410:A1473" si="22">IFERROR(LEFT(RIGHT(C1410,LEN(C1410)-SEARCH("@",C1410)),SEARCH("/",RIGHT(C1410,LEN(C1410)-SEARCH("@",C1410)-1))),"")</f>
        <v/>
      </c>
      <c r="B14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1" spans="1:2" x14ac:dyDescent="0.25">
      <c r="A1411" s="1" t="str">
        <f t="shared" si="22"/>
        <v/>
      </c>
      <c r="B14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2" spans="1:2" x14ac:dyDescent="0.25">
      <c r="A1412" s="1" t="str">
        <f t="shared" si="22"/>
        <v/>
      </c>
      <c r="B14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3" spans="1:2" x14ac:dyDescent="0.25">
      <c r="A1413" s="1" t="str">
        <f t="shared" si="22"/>
        <v/>
      </c>
      <c r="B14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4" spans="1:2" x14ac:dyDescent="0.25">
      <c r="A1414" s="1" t="str">
        <f t="shared" si="22"/>
        <v/>
      </c>
      <c r="B14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5" spans="1:2" x14ac:dyDescent="0.25">
      <c r="A1415" s="1" t="str">
        <f t="shared" si="22"/>
        <v/>
      </c>
      <c r="B14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6" spans="1:2" x14ac:dyDescent="0.25">
      <c r="A1416" s="1" t="str">
        <f t="shared" si="22"/>
        <v/>
      </c>
      <c r="B14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7" spans="1:2" x14ac:dyDescent="0.25">
      <c r="A1417" s="1" t="str">
        <f t="shared" si="22"/>
        <v/>
      </c>
      <c r="B14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8" spans="1:2" x14ac:dyDescent="0.25">
      <c r="A1418" s="1" t="str">
        <f t="shared" si="22"/>
        <v/>
      </c>
      <c r="B14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9" spans="1:2" x14ac:dyDescent="0.25">
      <c r="A1419" s="1" t="str">
        <f t="shared" si="22"/>
        <v/>
      </c>
      <c r="B14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0" spans="1:2" x14ac:dyDescent="0.25">
      <c r="A1420" s="1" t="str">
        <f t="shared" si="22"/>
        <v/>
      </c>
      <c r="B14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1" spans="1:2" x14ac:dyDescent="0.25">
      <c r="A1421" s="1" t="str">
        <f t="shared" si="22"/>
        <v/>
      </c>
      <c r="B14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2" spans="1:2" x14ac:dyDescent="0.25">
      <c r="A1422" s="1" t="str">
        <f t="shared" si="22"/>
        <v/>
      </c>
      <c r="B14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3" spans="1:2" x14ac:dyDescent="0.25">
      <c r="A1423" s="1" t="str">
        <f t="shared" si="22"/>
        <v/>
      </c>
      <c r="B14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4" spans="1:2" x14ac:dyDescent="0.25">
      <c r="A1424" s="1" t="str">
        <f t="shared" si="22"/>
        <v/>
      </c>
      <c r="B14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5" spans="1:2" x14ac:dyDescent="0.25">
      <c r="A1425" s="1" t="str">
        <f t="shared" si="22"/>
        <v/>
      </c>
      <c r="B14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6" spans="1:2" x14ac:dyDescent="0.25">
      <c r="A1426" s="1" t="str">
        <f t="shared" si="22"/>
        <v/>
      </c>
      <c r="B14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7" spans="1:2" x14ac:dyDescent="0.25">
      <c r="A1427" s="1" t="str">
        <f t="shared" si="22"/>
        <v/>
      </c>
      <c r="B14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8" spans="1:2" x14ac:dyDescent="0.25">
      <c r="A1428" s="1" t="str">
        <f t="shared" si="22"/>
        <v/>
      </c>
      <c r="B14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9" spans="1:2" x14ac:dyDescent="0.25">
      <c r="A1429" s="1" t="str">
        <f t="shared" si="22"/>
        <v/>
      </c>
      <c r="B14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0" spans="1:2" x14ac:dyDescent="0.25">
      <c r="A1430" s="1" t="str">
        <f t="shared" si="22"/>
        <v/>
      </c>
      <c r="B14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1" spans="1:2" x14ac:dyDescent="0.25">
      <c r="A1431" s="1" t="str">
        <f t="shared" si="22"/>
        <v/>
      </c>
      <c r="B14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2" spans="1:2" x14ac:dyDescent="0.25">
      <c r="A1432" s="1" t="str">
        <f t="shared" si="22"/>
        <v/>
      </c>
      <c r="B14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3" spans="1:2" x14ac:dyDescent="0.25">
      <c r="A1433" s="1" t="str">
        <f t="shared" si="22"/>
        <v/>
      </c>
      <c r="B14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4" spans="1:2" x14ac:dyDescent="0.25">
      <c r="A1434" s="1" t="str">
        <f t="shared" si="22"/>
        <v/>
      </c>
      <c r="B14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5" spans="1:2" x14ac:dyDescent="0.25">
      <c r="A1435" s="1" t="str">
        <f t="shared" si="22"/>
        <v/>
      </c>
      <c r="B14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6" spans="1:2" x14ac:dyDescent="0.25">
      <c r="A1436" s="1" t="str">
        <f t="shared" si="22"/>
        <v/>
      </c>
      <c r="B14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7" spans="1:2" x14ac:dyDescent="0.25">
      <c r="A1437" s="1" t="str">
        <f t="shared" si="22"/>
        <v/>
      </c>
      <c r="B14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8" spans="1:2" x14ac:dyDescent="0.25">
      <c r="A1438" s="1" t="str">
        <f t="shared" si="22"/>
        <v/>
      </c>
      <c r="B14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9" spans="1:2" x14ac:dyDescent="0.25">
      <c r="A1439" s="1" t="str">
        <f t="shared" si="22"/>
        <v/>
      </c>
      <c r="B14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0" spans="1:2" x14ac:dyDescent="0.25">
      <c r="A1440" s="1" t="str">
        <f t="shared" si="22"/>
        <v/>
      </c>
      <c r="B14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1" spans="1:2" x14ac:dyDescent="0.25">
      <c r="A1441" s="1" t="str">
        <f t="shared" si="22"/>
        <v/>
      </c>
      <c r="B14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2" spans="1:2" x14ac:dyDescent="0.25">
      <c r="A1442" s="1" t="str">
        <f t="shared" si="22"/>
        <v/>
      </c>
      <c r="B14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3" spans="1:2" x14ac:dyDescent="0.25">
      <c r="A1443" s="1" t="str">
        <f t="shared" si="22"/>
        <v/>
      </c>
      <c r="B14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4" spans="1:2" x14ac:dyDescent="0.25">
      <c r="A1444" s="1" t="str">
        <f t="shared" si="22"/>
        <v/>
      </c>
      <c r="B14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5" spans="1:2" x14ac:dyDescent="0.25">
      <c r="A1445" s="1" t="str">
        <f t="shared" si="22"/>
        <v/>
      </c>
      <c r="B14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6" spans="1:2" x14ac:dyDescent="0.25">
      <c r="A1446" s="1" t="str">
        <f t="shared" si="22"/>
        <v/>
      </c>
      <c r="B14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7" spans="1:2" x14ac:dyDescent="0.25">
      <c r="A1447" s="1" t="str">
        <f t="shared" si="22"/>
        <v/>
      </c>
      <c r="B14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8" spans="1:2" x14ac:dyDescent="0.25">
      <c r="A1448" s="1" t="str">
        <f t="shared" si="22"/>
        <v/>
      </c>
      <c r="B14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9" spans="1:2" x14ac:dyDescent="0.25">
      <c r="A1449" s="1" t="str">
        <f t="shared" si="22"/>
        <v/>
      </c>
      <c r="B14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0" spans="1:2" x14ac:dyDescent="0.25">
      <c r="A1450" s="1" t="str">
        <f t="shared" si="22"/>
        <v/>
      </c>
      <c r="B14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1" spans="1:2" x14ac:dyDescent="0.25">
      <c r="A1451" s="1" t="str">
        <f t="shared" si="22"/>
        <v/>
      </c>
      <c r="B14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2" spans="1:2" x14ac:dyDescent="0.25">
      <c r="A1452" s="1" t="str">
        <f t="shared" si="22"/>
        <v/>
      </c>
      <c r="B14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3" spans="1:2" x14ac:dyDescent="0.25">
      <c r="A1453" s="1" t="str">
        <f t="shared" si="22"/>
        <v/>
      </c>
      <c r="B14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4" spans="1:2" x14ac:dyDescent="0.25">
      <c r="A1454" s="1" t="str">
        <f t="shared" si="22"/>
        <v/>
      </c>
      <c r="B14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5" spans="1:2" x14ac:dyDescent="0.25">
      <c r="A1455" s="1" t="str">
        <f t="shared" si="22"/>
        <v/>
      </c>
      <c r="B14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6" spans="1:2" x14ac:dyDescent="0.25">
      <c r="A1456" s="1" t="str">
        <f t="shared" si="22"/>
        <v/>
      </c>
      <c r="B14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7" spans="1:2" x14ac:dyDescent="0.25">
      <c r="A1457" s="1" t="str">
        <f t="shared" si="22"/>
        <v/>
      </c>
      <c r="B14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8" spans="1:2" x14ac:dyDescent="0.25">
      <c r="A1458" s="1" t="str">
        <f t="shared" si="22"/>
        <v/>
      </c>
      <c r="B14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9" spans="1:2" x14ac:dyDescent="0.25">
      <c r="A1459" s="1" t="str">
        <f t="shared" si="22"/>
        <v/>
      </c>
      <c r="B14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0" spans="1:2" x14ac:dyDescent="0.25">
      <c r="A1460" s="1" t="str">
        <f t="shared" si="22"/>
        <v/>
      </c>
      <c r="B14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1" spans="1:2" x14ac:dyDescent="0.25">
      <c r="A1461" s="1" t="str">
        <f t="shared" si="22"/>
        <v/>
      </c>
      <c r="B14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2" spans="1:2" x14ac:dyDescent="0.25">
      <c r="A1462" s="1" t="str">
        <f t="shared" si="22"/>
        <v/>
      </c>
      <c r="B14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3" spans="1:2" x14ac:dyDescent="0.25">
      <c r="A1463" s="1" t="str">
        <f t="shared" si="22"/>
        <v/>
      </c>
      <c r="B14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4" spans="1:2" x14ac:dyDescent="0.25">
      <c r="A1464" s="1" t="str">
        <f t="shared" si="22"/>
        <v/>
      </c>
      <c r="B14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5" spans="1:2" x14ac:dyDescent="0.25">
      <c r="A1465" s="1" t="str">
        <f t="shared" si="22"/>
        <v/>
      </c>
      <c r="B14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6" spans="1:2" x14ac:dyDescent="0.25">
      <c r="A1466" s="1" t="str">
        <f t="shared" si="22"/>
        <v/>
      </c>
      <c r="B14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7" spans="1:2" x14ac:dyDescent="0.25">
      <c r="A1467" s="1" t="str">
        <f t="shared" si="22"/>
        <v/>
      </c>
      <c r="B14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8" spans="1:2" x14ac:dyDescent="0.25">
      <c r="A1468" s="1" t="str">
        <f t="shared" si="22"/>
        <v/>
      </c>
      <c r="B14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9" spans="1:2" x14ac:dyDescent="0.25">
      <c r="A1469" s="1" t="str">
        <f t="shared" si="22"/>
        <v/>
      </c>
      <c r="B14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0" spans="1:2" x14ac:dyDescent="0.25">
      <c r="A1470" s="1" t="str">
        <f t="shared" si="22"/>
        <v/>
      </c>
      <c r="B14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1" spans="1:2" x14ac:dyDescent="0.25">
      <c r="A1471" s="1" t="str">
        <f t="shared" si="22"/>
        <v/>
      </c>
      <c r="B14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2" spans="1:2" x14ac:dyDescent="0.25">
      <c r="A1472" s="1" t="str">
        <f t="shared" si="22"/>
        <v/>
      </c>
      <c r="B14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3" spans="1:2" x14ac:dyDescent="0.25">
      <c r="A1473" s="1" t="str">
        <f t="shared" si="22"/>
        <v/>
      </c>
      <c r="B14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4" spans="1:2" x14ac:dyDescent="0.25">
      <c r="A1474" s="1" t="str">
        <f t="shared" ref="A1474:A1531" si="23">IFERROR(LEFT(RIGHT(C1474,LEN(C1474)-SEARCH("@",C1474)),SEARCH("/",RIGHT(C1474,LEN(C1474)-SEARCH("@",C1474)-1))),"")</f>
        <v/>
      </c>
      <c r="B14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5" spans="1:2" x14ac:dyDescent="0.25">
      <c r="A1475" s="1" t="str">
        <f t="shared" si="23"/>
        <v/>
      </c>
      <c r="B14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6" spans="1:2" x14ac:dyDescent="0.25">
      <c r="A1476" s="1" t="str">
        <f t="shared" si="23"/>
        <v/>
      </c>
      <c r="B14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7" spans="1:2" x14ac:dyDescent="0.25">
      <c r="A1477" s="1" t="str">
        <f t="shared" si="23"/>
        <v/>
      </c>
      <c r="B14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8" spans="1:2" x14ac:dyDescent="0.25">
      <c r="A1478" s="1" t="str">
        <f t="shared" si="23"/>
        <v/>
      </c>
      <c r="B14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9" spans="1:2" x14ac:dyDescent="0.25">
      <c r="A1479" s="1" t="str">
        <f t="shared" si="23"/>
        <v/>
      </c>
      <c r="B14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0" spans="1:2" x14ac:dyDescent="0.25">
      <c r="A1480" s="1" t="str">
        <f t="shared" si="23"/>
        <v/>
      </c>
      <c r="B14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1" spans="1:2" x14ac:dyDescent="0.25">
      <c r="A1481" s="1" t="str">
        <f t="shared" si="23"/>
        <v/>
      </c>
      <c r="B14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2" spans="1:2" x14ac:dyDescent="0.25">
      <c r="A1482" s="1" t="str">
        <f t="shared" si="23"/>
        <v/>
      </c>
      <c r="B14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3" spans="1:2" x14ac:dyDescent="0.25">
      <c r="A1483" s="1" t="str">
        <f t="shared" si="23"/>
        <v/>
      </c>
      <c r="B14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4" spans="1:2" x14ac:dyDescent="0.25">
      <c r="A1484" s="1" t="str">
        <f t="shared" si="23"/>
        <v/>
      </c>
      <c r="B14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5" spans="1:2" x14ac:dyDescent="0.25">
      <c r="A1485" s="1" t="str">
        <f t="shared" si="23"/>
        <v/>
      </c>
      <c r="B14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6" spans="1:2" x14ac:dyDescent="0.25">
      <c r="A1486" s="1" t="str">
        <f t="shared" si="23"/>
        <v/>
      </c>
      <c r="B14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7" spans="1:2" x14ac:dyDescent="0.25">
      <c r="A1487" s="1" t="str">
        <f t="shared" si="23"/>
        <v/>
      </c>
      <c r="B14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8" spans="1:2" x14ac:dyDescent="0.25">
      <c r="A1488" s="1" t="str">
        <f t="shared" si="23"/>
        <v/>
      </c>
      <c r="B14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9" spans="1:2" x14ac:dyDescent="0.25">
      <c r="A1489" s="1" t="str">
        <f t="shared" si="23"/>
        <v/>
      </c>
      <c r="B14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0" spans="1:2" x14ac:dyDescent="0.25">
      <c r="A1490" s="1" t="str">
        <f t="shared" si="23"/>
        <v/>
      </c>
      <c r="B14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1" spans="1:2" x14ac:dyDescent="0.25">
      <c r="A1491" s="1" t="str">
        <f t="shared" si="23"/>
        <v/>
      </c>
      <c r="B14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2" spans="1:2" x14ac:dyDescent="0.25">
      <c r="A1492" s="1" t="str">
        <f t="shared" si="23"/>
        <v/>
      </c>
      <c r="B14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3" spans="1:2" x14ac:dyDescent="0.25">
      <c r="A1493" s="1" t="str">
        <f t="shared" si="23"/>
        <v/>
      </c>
      <c r="B14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4" spans="1:2" x14ac:dyDescent="0.25">
      <c r="A1494" s="1" t="str">
        <f t="shared" si="23"/>
        <v/>
      </c>
      <c r="B14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5" spans="1:2" x14ac:dyDescent="0.25">
      <c r="A1495" s="1" t="str">
        <f t="shared" si="23"/>
        <v/>
      </c>
      <c r="B14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6" spans="1:2" x14ac:dyDescent="0.25">
      <c r="A1496" s="1" t="str">
        <f t="shared" si="23"/>
        <v/>
      </c>
      <c r="B14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7" spans="1:2" x14ac:dyDescent="0.25">
      <c r="A1497" s="1" t="str">
        <f t="shared" si="23"/>
        <v/>
      </c>
      <c r="B14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8" spans="1:2" x14ac:dyDescent="0.25">
      <c r="A1498" s="1" t="str">
        <f t="shared" si="23"/>
        <v/>
      </c>
      <c r="B14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9" spans="1:2" x14ac:dyDescent="0.25">
      <c r="A1499" s="1" t="str">
        <f t="shared" si="23"/>
        <v/>
      </c>
      <c r="B14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0" spans="1:2" x14ac:dyDescent="0.25">
      <c r="A1500" s="1" t="str">
        <f t="shared" si="23"/>
        <v/>
      </c>
      <c r="B15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1" spans="1:2" x14ac:dyDescent="0.25">
      <c r="A1501" s="1" t="str">
        <f t="shared" si="23"/>
        <v/>
      </c>
      <c r="B15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2" spans="1:2" x14ac:dyDescent="0.25">
      <c r="A1502" s="1" t="str">
        <f t="shared" si="23"/>
        <v/>
      </c>
      <c r="B15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3" spans="1:2" x14ac:dyDescent="0.25">
      <c r="A1503" s="1" t="str">
        <f t="shared" si="23"/>
        <v/>
      </c>
      <c r="B15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4" spans="1:2" x14ac:dyDescent="0.25">
      <c r="A1504" s="1" t="str">
        <f t="shared" si="23"/>
        <v/>
      </c>
      <c r="B15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5" spans="1:2" x14ac:dyDescent="0.25">
      <c r="A1505" s="1" t="str">
        <f t="shared" si="23"/>
        <v/>
      </c>
      <c r="B15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6" spans="1:2" x14ac:dyDescent="0.25">
      <c r="A1506" s="1" t="str">
        <f t="shared" si="23"/>
        <v/>
      </c>
      <c r="B15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7" spans="1:2" x14ac:dyDescent="0.25">
      <c r="A1507" s="1" t="str">
        <f t="shared" si="23"/>
        <v/>
      </c>
      <c r="B15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8" spans="1:2" x14ac:dyDescent="0.25">
      <c r="A1508" s="1" t="str">
        <f t="shared" si="23"/>
        <v/>
      </c>
      <c r="B15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9" spans="1:2" x14ac:dyDescent="0.25">
      <c r="A1509" s="1" t="str">
        <f t="shared" si="23"/>
        <v/>
      </c>
      <c r="B15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0" spans="1:2" x14ac:dyDescent="0.25">
      <c r="A1510" s="1" t="str">
        <f t="shared" si="23"/>
        <v/>
      </c>
      <c r="B15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1" spans="1:2" x14ac:dyDescent="0.25">
      <c r="A1511" s="1" t="str">
        <f t="shared" si="23"/>
        <v/>
      </c>
      <c r="B15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2" spans="1:2" x14ac:dyDescent="0.25">
      <c r="A1512" s="1" t="str">
        <f t="shared" si="23"/>
        <v/>
      </c>
      <c r="B15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3" spans="1:2" x14ac:dyDescent="0.25">
      <c r="A1513" s="1" t="str">
        <f t="shared" si="23"/>
        <v/>
      </c>
      <c r="B15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4" spans="1:2" x14ac:dyDescent="0.25">
      <c r="A1514" s="1" t="str">
        <f t="shared" si="23"/>
        <v/>
      </c>
      <c r="B15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5" spans="1:2" x14ac:dyDescent="0.25">
      <c r="A1515" s="1" t="str">
        <f t="shared" si="23"/>
        <v/>
      </c>
      <c r="B15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6" spans="1:2" x14ac:dyDescent="0.25">
      <c r="A1516" s="1" t="str">
        <f t="shared" si="23"/>
        <v/>
      </c>
      <c r="B15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7" spans="1:2" x14ac:dyDescent="0.25">
      <c r="A1517" s="1" t="str">
        <f t="shared" si="23"/>
        <v/>
      </c>
      <c r="B15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8" spans="1:2" x14ac:dyDescent="0.25">
      <c r="A1518" s="1" t="str">
        <f t="shared" si="23"/>
        <v/>
      </c>
      <c r="B15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9" spans="1:2" x14ac:dyDescent="0.25">
      <c r="A1519" s="1" t="str">
        <f t="shared" si="23"/>
        <v/>
      </c>
      <c r="B15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0" spans="1:2" x14ac:dyDescent="0.25">
      <c r="A1520" s="1" t="str">
        <f t="shared" si="23"/>
        <v/>
      </c>
      <c r="B15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1" spans="1:2" x14ac:dyDescent="0.25">
      <c r="A1521" s="1" t="str">
        <f t="shared" si="23"/>
        <v/>
      </c>
      <c r="B15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2" spans="1:2" x14ac:dyDescent="0.25">
      <c r="A1522" s="1" t="str">
        <f t="shared" si="23"/>
        <v/>
      </c>
      <c r="B15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3" spans="1:2" x14ac:dyDescent="0.25">
      <c r="A1523" s="1" t="str">
        <f t="shared" si="23"/>
        <v/>
      </c>
      <c r="B15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4" spans="1:2" x14ac:dyDescent="0.25">
      <c r="A1524" s="1" t="str">
        <f t="shared" si="23"/>
        <v/>
      </c>
      <c r="B15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5" spans="1:2" x14ac:dyDescent="0.25">
      <c r="A1525" s="1" t="str">
        <f t="shared" si="23"/>
        <v/>
      </c>
      <c r="B15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6" spans="1:2" x14ac:dyDescent="0.25">
      <c r="A1526" s="1" t="str">
        <f t="shared" si="23"/>
        <v/>
      </c>
      <c r="B15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7" spans="1:2" x14ac:dyDescent="0.25">
      <c r="A1527" s="1" t="str">
        <f t="shared" si="23"/>
        <v/>
      </c>
      <c r="B15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8" spans="1:2" x14ac:dyDescent="0.25">
      <c r="A1528" s="1" t="str">
        <f t="shared" si="23"/>
        <v/>
      </c>
      <c r="B15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9" spans="1:2" x14ac:dyDescent="0.25">
      <c r="A1529" s="1" t="str">
        <f t="shared" si="23"/>
        <v/>
      </c>
      <c r="B15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0" spans="1:2" x14ac:dyDescent="0.25">
      <c r="A1530" s="1" t="str">
        <f t="shared" si="23"/>
        <v/>
      </c>
      <c r="B15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1" spans="1:2" x14ac:dyDescent="0.25">
      <c r="A1531" s="1" t="str">
        <f t="shared" si="23"/>
        <v/>
      </c>
      <c r="B15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sheetData>
  <conditionalFormatting sqref="A1:J2 EO1:XFD10 B11:K13 K1:L4 A1532:XFD1048576 M15:XFD19 B14:J19 K5:K6 B3:J10 B20:XFD1531 A3:A1531 AH11:XFD14">
    <cfRule type="containsText" dxfId="28" priority="1" operator="containsText" text="ERREUR">
      <formula>NOT(ISERROR(SEARCH("ERREUR",A1)))</formula>
    </cfRule>
    <cfRule type="containsText" dxfId="27" priority="2" operator="containsText" text="OK">
      <formula>NOT(ISERROR(SEARCH("OK",A1)))</formula>
    </cfRule>
  </conditionalFormatting>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76"/>
  <sheetViews>
    <sheetView showGridLines="0" topLeftCell="H25" zoomScaleNormal="100" zoomScaleSheetLayoutView="40" zoomScalePageLayoutView="30" workbookViewId="0">
      <selection activeCell="Q60" sqref="Q60"/>
    </sheetView>
  </sheetViews>
  <sheetFormatPr baseColWidth="10" defaultColWidth="9.140625" defaultRowHeight="15" x14ac:dyDescent="0.25"/>
  <cols>
    <col min="1" max="1" width="33.5703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3" width="26.42578125" style="1" customWidth="1"/>
    <col min="14" max="14" width="11.7109375" style="1" customWidth="1"/>
    <col min="15" max="15" width="14.85546875" style="1" customWidth="1"/>
    <col min="16" max="16" width="17.7109375" style="1" customWidth="1"/>
    <col min="17" max="18" width="25.85546875" style="1" bestFit="1" customWidth="1"/>
    <col min="19" max="22" width="25.85546875" style="1" customWidth="1"/>
    <col min="23" max="16384" width="9.140625" style="1"/>
  </cols>
  <sheetData>
    <row r="1" spans="1:22" ht="27" thickBot="1" x14ac:dyDescent="0.45">
      <c r="A1" s="216" t="s">
        <v>43</v>
      </c>
      <c r="B1" s="217"/>
      <c r="C1" s="217"/>
      <c r="D1" s="217"/>
      <c r="E1" s="217"/>
      <c r="F1" s="217"/>
      <c r="G1" s="217"/>
      <c r="H1" s="217"/>
      <c r="I1" s="217"/>
      <c r="J1" s="217"/>
      <c r="K1" s="217"/>
      <c r="L1" s="217"/>
      <c r="M1" s="217"/>
      <c r="N1" s="217"/>
      <c r="O1" s="217"/>
      <c r="P1" s="217"/>
      <c r="Q1" s="217"/>
      <c r="R1" s="217"/>
      <c r="S1" s="217"/>
      <c r="T1" s="217"/>
      <c r="U1" s="217"/>
      <c r="V1" s="217"/>
    </row>
    <row r="2" spans="1:22" customFormat="1" ht="15.75" thickBot="1" x14ac:dyDescent="0.3"/>
    <row r="3" spans="1:22" ht="15.75" thickBot="1" x14ac:dyDescent="0.3">
      <c r="A3" s="51" t="s">
        <v>18</v>
      </c>
      <c r="B3" s="224" t="s">
        <v>6</v>
      </c>
      <c r="C3" s="225"/>
      <c r="D3" s="225"/>
      <c r="E3" s="225"/>
      <c r="F3" s="225"/>
      <c r="G3" s="225"/>
      <c r="H3" s="225"/>
      <c r="I3" s="225"/>
      <c r="J3" s="225"/>
      <c r="K3" s="225"/>
      <c r="L3" s="225"/>
      <c r="M3" s="225"/>
      <c r="O3" s="224" t="s">
        <v>3</v>
      </c>
      <c r="P3" s="225"/>
      <c r="Q3" s="225"/>
      <c r="R3" s="225"/>
      <c r="S3" s="225"/>
      <c r="T3" s="225"/>
      <c r="U3" s="225"/>
      <c r="V3" s="225"/>
    </row>
    <row r="4" spans="1:22" x14ac:dyDescent="0.2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Testosterone 3,7µg/L</v>
      </c>
      <c r="J4" s="35" t="str">
        <f>'Page de garde'!A16</f>
        <v>Testosterone 11µg/L</v>
      </c>
      <c r="K4" s="35" t="str">
        <f>'Page de garde'!A17</f>
        <v>Testosterone 33µg/L</v>
      </c>
      <c r="L4" s="35" t="str">
        <f>'Page de garde'!A18</f>
        <v>Testosterone 100µg/L</v>
      </c>
      <c r="M4" s="35" t="str">
        <f>'Page de garde'!A19</f>
        <v>Testosterone 300µg/L</v>
      </c>
      <c r="N4" s="3"/>
      <c r="O4" s="36" t="str">
        <f>'Page de garde'!A36</f>
        <v>Testo -30µg/L</v>
      </c>
      <c r="P4" s="36" t="str">
        <f>'Page de garde'!A37</f>
        <v>Testo 30µg/L + EE2 -64ng/L</v>
      </c>
      <c r="Q4" s="36" t="str">
        <f>'Page de garde'!A38</f>
        <v>Testo 30µg/L + FAD-10µg/L</v>
      </c>
      <c r="R4" s="36" t="str">
        <f>'Page de garde'!A39</f>
        <v>Testosterone-3,7µg/L + Testostérone</v>
      </c>
      <c r="S4" s="36" t="str">
        <f>'Page de garde'!A40</f>
        <v>Testosterone-11µg/L + Testostérone</v>
      </c>
      <c r="T4" s="36" t="str">
        <f>'Page de garde'!A41</f>
        <v>Testosterone-33µg/L + Testostérone</v>
      </c>
      <c r="U4" s="36" t="str">
        <f>'Page de garde'!A42</f>
        <v>Testosterone-100µg/L + Testostérone</v>
      </c>
      <c r="V4" s="36" t="str">
        <f>'Page de garde'!A43</f>
        <v>Testosterone-300µg/L + Testostérone</v>
      </c>
    </row>
    <row r="5" spans="1:22" x14ac:dyDescent="0.25">
      <c r="A5" s="226" t="s">
        <v>33</v>
      </c>
      <c r="B5" s="195">
        <v>25977.666666666668</v>
      </c>
      <c r="C5" s="195">
        <v>135085.66666666666</v>
      </c>
      <c r="D5" s="195">
        <v>324542.33333333331</v>
      </c>
      <c r="E5" s="195">
        <v>495224</v>
      </c>
      <c r="F5" s="195">
        <v>1471972</v>
      </c>
      <c r="G5" s="195">
        <v>2051631.6666666667</v>
      </c>
      <c r="H5" s="195">
        <v>5667977</v>
      </c>
      <c r="I5" s="195">
        <v>54601</v>
      </c>
      <c r="J5" s="195">
        <v>89425.333333333328</v>
      </c>
      <c r="K5" s="195">
        <v>1314549.3333333333</v>
      </c>
      <c r="L5" s="195">
        <v>474898.66666666669</v>
      </c>
      <c r="M5" s="195">
        <v>3106233</v>
      </c>
      <c r="N5" s="3"/>
      <c r="O5" s="195">
        <v>1405777.3333333333</v>
      </c>
      <c r="P5" s="195">
        <v>1343216.6666666667</v>
      </c>
      <c r="Q5" s="195">
        <v>94458</v>
      </c>
      <c r="R5" s="195">
        <v>1103802.3333333333</v>
      </c>
      <c r="S5" s="195">
        <v>60946</v>
      </c>
      <c r="T5" s="195">
        <v>1565269</v>
      </c>
      <c r="U5" s="195">
        <v>590121</v>
      </c>
      <c r="V5" s="195">
        <v>285622.5</v>
      </c>
    </row>
    <row r="6" spans="1:22" x14ac:dyDescent="0.25">
      <c r="A6" s="226"/>
      <c r="B6" s="195">
        <v>22589</v>
      </c>
      <c r="C6" s="195">
        <v>209723.66666666666</v>
      </c>
      <c r="D6" s="195">
        <v>368984.33333333331</v>
      </c>
      <c r="E6" s="195">
        <v>654917.33333333337</v>
      </c>
      <c r="F6" s="195">
        <v>587460.66666666663</v>
      </c>
      <c r="G6" s="195">
        <v>2363700.3333333335</v>
      </c>
      <c r="H6" s="195">
        <v>5124432.333333333</v>
      </c>
      <c r="I6" s="195">
        <v>39748.333333333336</v>
      </c>
      <c r="J6" s="195">
        <v>64226.666666666664</v>
      </c>
      <c r="K6" s="195">
        <v>1718372.6666666667</v>
      </c>
      <c r="L6" s="195">
        <v>1909415</v>
      </c>
      <c r="M6" s="195">
        <v>430701.66666666669</v>
      </c>
      <c r="N6" s="3"/>
      <c r="O6" s="195"/>
      <c r="P6" s="195">
        <v>6130467</v>
      </c>
      <c r="Q6" s="195">
        <v>428185.33333333331</v>
      </c>
      <c r="R6" s="195">
        <v>782129.66666666663</v>
      </c>
      <c r="S6" s="195">
        <v>2035308.3333333333</v>
      </c>
      <c r="T6" s="195">
        <v>90074</v>
      </c>
      <c r="U6" s="195">
        <v>67456.333333333328</v>
      </c>
      <c r="V6" s="195">
        <v>1418092</v>
      </c>
    </row>
    <row r="7" spans="1:22" x14ac:dyDescent="0.25">
      <c r="A7" s="226"/>
      <c r="B7" s="195">
        <v>17275.333333333332</v>
      </c>
      <c r="C7" s="195">
        <v>29885.333333333332</v>
      </c>
      <c r="D7" s="195">
        <v>63440.333333333336</v>
      </c>
      <c r="E7" s="195">
        <v>1886018.6666666667</v>
      </c>
      <c r="F7" s="195">
        <v>3023469.6666666665</v>
      </c>
      <c r="G7" s="195">
        <v>3042396.3333333335</v>
      </c>
      <c r="H7" s="195">
        <v>6656448.666666667</v>
      </c>
      <c r="I7" s="195">
        <v>132115.5</v>
      </c>
      <c r="J7" s="195">
        <v>145100.33333333334</v>
      </c>
      <c r="K7" s="195">
        <v>212513.66666666666</v>
      </c>
      <c r="L7" s="195">
        <v>618734</v>
      </c>
      <c r="M7" s="195"/>
      <c r="N7" s="3"/>
      <c r="O7" s="195">
        <v>2014748.5</v>
      </c>
      <c r="P7" s="195">
        <v>2728640</v>
      </c>
      <c r="Q7" s="195">
        <v>791437.66666666663</v>
      </c>
      <c r="R7" s="195">
        <v>2843848</v>
      </c>
      <c r="S7" s="195">
        <v>597453.66666666663</v>
      </c>
      <c r="T7" s="195">
        <v>2674276.5</v>
      </c>
      <c r="U7" s="195">
        <v>604433</v>
      </c>
      <c r="V7" s="195">
        <v>85142.666666666672</v>
      </c>
    </row>
    <row r="8" spans="1:22" x14ac:dyDescent="0.25">
      <c r="A8" s="226"/>
      <c r="B8" s="195">
        <v>413325.66666666669</v>
      </c>
      <c r="C8" s="195">
        <v>57441.666666666664</v>
      </c>
      <c r="D8" s="195">
        <v>56771.333333333336</v>
      </c>
      <c r="E8" s="195">
        <v>1391436.6666666667</v>
      </c>
      <c r="F8" s="195">
        <v>2046653</v>
      </c>
      <c r="G8" s="195">
        <v>3538924.6666666665</v>
      </c>
      <c r="H8" s="195">
        <v>6093711</v>
      </c>
      <c r="I8" s="195">
        <v>133089</v>
      </c>
      <c r="J8" s="195">
        <v>53346.333333333336</v>
      </c>
      <c r="K8" s="195">
        <v>536010.5</v>
      </c>
      <c r="L8" s="195">
        <v>2339626.3333333335</v>
      </c>
      <c r="M8" s="195">
        <v>3143148</v>
      </c>
      <c r="N8" s="3"/>
      <c r="O8" s="195">
        <v>1698538</v>
      </c>
      <c r="P8" s="195">
        <v>644707.66666666663</v>
      </c>
      <c r="Q8" s="195">
        <v>35224.5</v>
      </c>
      <c r="R8" s="195">
        <v>4278436.333333333</v>
      </c>
      <c r="S8" s="195">
        <v>149376</v>
      </c>
      <c r="T8" s="195">
        <v>2664017.3333333335</v>
      </c>
      <c r="U8" s="195">
        <v>1571404.6666666667</v>
      </c>
      <c r="V8" s="195">
        <v>499845.33333333331</v>
      </c>
    </row>
    <row r="9" spans="1:22" x14ac:dyDescent="0.25">
      <c r="A9" s="226"/>
      <c r="B9" s="195">
        <v>323172.33333333331</v>
      </c>
      <c r="C9" s="195">
        <v>42228.666666666664</v>
      </c>
      <c r="D9" s="195">
        <v>382358.66666666669</v>
      </c>
      <c r="E9" s="195">
        <v>227676.33333333334</v>
      </c>
      <c r="F9" s="195">
        <v>1973360.3333333333</v>
      </c>
      <c r="G9" s="195">
        <v>3719260.3333333335</v>
      </c>
      <c r="H9" s="195">
        <v>6291069.333333333</v>
      </c>
      <c r="I9" s="195">
        <v>92922</v>
      </c>
      <c r="J9" s="195">
        <v>298096</v>
      </c>
      <c r="K9" s="195">
        <v>603899.33333333337</v>
      </c>
      <c r="L9" s="195">
        <v>1889112</v>
      </c>
      <c r="M9" s="195">
        <v>2534122.6666666665</v>
      </c>
      <c r="N9" s="3"/>
      <c r="O9" s="195">
        <v>303568.33333333331</v>
      </c>
      <c r="P9" s="195">
        <v>4024577</v>
      </c>
      <c r="Q9" s="195">
        <v>617461.33333333337</v>
      </c>
      <c r="R9" s="195">
        <v>218267</v>
      </c>
      <c r="S9" s="195">
        <v>2260511.6666666665</v>
      </c>
      <c r="T9" s="195">
        <v>466585.33333333331</v>
      </c>
      <c r="U9" s="195">
        <v>2234988.3333333335</v>
      </c>
      <c r="V9" s="195">
        <v>1141669</v>
      </c>
    </row>
    <row r="10" spans="1:22" x14ac:dyDescent="0.25">
      <c r="A10" s="226"/>
      <c r="B10" s="195">
        <v>40649.666666666664</v>
      </c>
      <c r="C10" s="195">
        <v>25696.5</v>
      </c>
      <c r="D10" s="195">
        <v>309422.66666666669</v>
      </c>
      <c r="E10" s="195">
        <v>1229112</v>
      </c>
      <c r="F10" s="195">
        <v>2060561</v>
      </c>
      <c r="G10" s="195">
        <v>2272343.3333333335</v>
      </c>
      <c r="H10" s="195">
        <v>4643996</v>
      </c>
      <c r="I10" s="195">
        <v>224352.33333333334</v>
      </c>
      <c r="J10" s="195">
        <v>221187.33333333334</v>
      </c>
      <c r="K10" s="195">
        <v>1674759.3333333333</v>
      </c>
      <c r="L10" s="195">
        <v>409893.66666666669</v>
      </c>
      <c r="M10" s="195">
        <v>1121416.6666666667</v>
      </c>
      <c r="N10" s="3"/>
      <c r="O10" s="195">
        <v>3011112</v>
      </c>
      <c r="P10" s="195">
        <v>3490091.6666666665</v>
      </c>
      <c r="Q10" s="195">
        <v>75394.666666666672</v>
      </c>
      <c r="R10" s="195">
        <v>2529984</v>
      </c>
      <c r="S10" s="195">
        <v>1232666</v>
      </c>
      <c r="T10" s="195">
        <v>959170.66666666663</v>
      </c>
      <c r="U10" s="195">
        <v>394774.33333333331</v>
      </c>
      <c r="V10" s="195">
        <v>2061177.3333333333</v>
      </c>
    </row>
    <row r="11" spans="1:22" x14ac:dyDescent="0.25">
      <c r="A11" s="226"/>
      <c r="B11" s="195">
        <v>27023</v>
      </c>
      <c r="C11" s="195">
        <v>75942.333333333328</v>
      </c>
      <c r="D11" s="195">
        <v>139325.33333333334</v>
      </c>
      <c r="E11" s="195">
        <v>1199774</v>
      </c>
      <c r="F11" s="195">
        <v>2626093</v>
      </c>
      <c r="G11" s="195">
        <v>4636108.333333333</v>
      </c>
      <c r="H11" s="195">
        <v>2949106.3333333335</v>
      </c>
      <c r="I11" s="195">
        <v>506608.33333333331</v>
      </c>
      <c r="J11" s="195">
        <v>179160.33333333334</v>
      </c>
      <c r="K11" s="195">
        <v>1716992</v>
      </c>
      <c r="L11" s="195">
        <v>404468</v>
      </c>
      <c r="M11" s="195">
        <v>1290504</v>
      </c>
      <c r="N11" s="3"/>
      <c r="O11" s="195">
        <v>2939740.3333333335</v>
      </c>
      <c r="P11" s="195">
        <v>2695849</v>
      </c>
      <c r="Q11" s="195">
        <v>504755.33333333331</v>
      </c>
      <c r="R11" s="195">
        <v>3050118</v>
      </c>
      <c r="S11" s="195">
        <v>930835.33333333337</v>
      </c>
      <c r="T11" s="195">
        <v>1556819</v>
      </c>
      <c r="U11" s="195">
        <v>730495.5</v>
      </c>
      <c r="V11" s="195">
        <v>854590</v>
      </c>
    </row>
    <row r="12" spans="1:22" x14ac:dyDescent="0.25">
      <c r="A12" s="226"/>
      <c r="B12" s="195">
        <v>18053.666666666668</v>
      </c>
      <c r="C12" s="195">
        <v>155324.33333333334</v>
      </c>
      <c r="D12" s="195">
        <v>28768</v>
      </c>
      <c r="E12" s="195">
        <v>48516</v>
      </c>
      <c r="F12" s="195">
        <v>2704530</v>
      </c>
      <c r="G12" s="195">
        <v>2181944.3333333335</v>
      </c>
      <c r="H12" s="195">
        <v>5678683.666666667</v>
      </c>
      <c r="I12" s="195">
        <v>61465.333333333336</v>
      </c>
      <c r="J12" s="195">
        <v>369287.33333333331</v>
      </c>
      <c r="K12" s="195">
        <v>736649</v>
      </c>
      <c r="L12" s="195">
        <v>955017.66666666663</v>
      </c>
      <c r="M12" s="195">
        <v>1716808</v>
      </c>
      <c r="N12" s="3"/>
      <c r="O12" s="195">
        <v>1419353.6666666667</v>
      </c>
      <c r="P12" s="195">
        <v>998508</v>
      </c>
      <c r="Q12" s="195">
        <v>278365.5</v>
      </c>
      <c r="R12" s="195">
        <v>68141.333333333328</v>
      </c>
      <c r="S12" s="195">
        <v>3702554.6666666665</v>
      </c>
      <c r="T12" s="195">
        <v>754904.66666666663</v>
      </c>
      <c r="U12" s="195">
        <v>2134942.6666666665</v>
      </c>
      <c r="V12" s="195">
        <v>856619.5</v>
      </c>
    </row>
    <row r="13" spans="1:22" ht="16.5" x14ac:dyDescent="0.25">
      <c r="A13" s="226"/>
      <c r="B13" s="14"/>
      <c r="C13" s="13"/>
      <c r="D13" s="32"/>
      <c r="E13" s="32"/>
      <c r="F13" s="32"/>
      <c r="G13" s="32"/>
      <c r="H13" s="32"/>
      <c r="I13" s="32"/>
      <c r="J13" s="32"/>
      <c r="K13" s="13"/>
      <c r="L13" s="13"/>
      <c r="M13" s="13"/>
      <c r="N13" s="3"/>
      <c r="O13" s="195">
        <v>1748034.3333333333</v>
      </c>
      <c r="P13" s="13"/>
      <c r="Q13" s="13"/>
      <c r="R13" s="32"/>
      <c r="S13" s="32"/>
      <c r="T13" s="32"/>
      <c r="U13" s="32"/>
      <c r="V13" s="32"/>
    </row>
    <row r="14" spans="1:22" ht="16.5" x14ac:dyDescent="0.25">
      <c r="A14" s="226"/>
      <c r="B14" s="14"/>
      <c r="C14" s="32"/>
      <c r="D14" s="32"/>
      <c r="E14" s="32"/>
      <c r="F14" s="32"/>
      <c r="G14" s="32"/>
      <c r="H14" s="32"/>
      <c r="I14" s="32"/>
      <c r="J14" s="32"/>
      <c r="K14" s="13"/>
      <c r="L14" s="13"/>
      <c r="M14" s="13"/>
      <c r="N14" s="3"/>
      <c r="O14" s="195">
        <v>993666.5</v>
      </c>
      <c r="P14" s="13"/>
      <c r="Q14" s="13"/>
      <c r="R14" s="32"/>
      <c r="S14" s="32"/>
      <c r="T14" s="32"/>
      <c r="U14" s="32"/>
      <c r="V14" s="32"/>
    </row>
    <row r="15" spans="1:22" ht="16.5" x14ac:dyDescent="0.25">
      <c r="A15" s="226"/>
      <c r="B15" s="14"/>
      <c r="C15" s="32"/>
      <c r="D15" s="32"/>
      <c r="E15" s="32"/>
      <c r="F15" s="32"/>
      <c r="G15" s="32"/>
      <c r="H15" s="32"/>
      <c r="I15" s="32"/>
      <c r="J15" s="32"/>
      <c r="K15" s="13"/>
      <c r="L15" s="13"/>
      <c r="M15" s="13"/>
      <c r="N15" s="3"/>
      <c r="O15" s="195">
        <v>555016</v>
      </c>
      <c r="P15" s="13"/>
      <c r="Q15" s="13"/>
      <c r="R15" s="32"/>
      <c r="S15" s="32"/>
      <c r="T15" s="32"/>
      <c r="U15" s="32"/>
      <c r="V15" s="32"/>
    </row>
    <row r="16" spans="1:22" ht="16.5" x14ac:dyDescent="0.25">
      <c r="A16" s="226"/>
      <c r="B16" s="14"/>
      <c r="C16" s="32"/>
      <c r="D16" s="32"/>
      <c r="E16" s="32"/>
      <c r="F16" s="32"/>
      <c r="G16" s="32"/>
      <c r="H16" s="32"/>
      <c r="I16" s="32"/>
      <c r="J16" s="32"/>
      <c r="K16" s="13"/>
      <c r="L16" s="13"/>
      <c r="M16" s="13"/>
      <c r="N16" s="3"/>
      <c r="O16" s="195">
        <v>1887003</v>
      </c>
      <c r="P16" s="13"/>
      <c r="Q16" s="13"/>
      <c r="R16" s="32"/>
      <c r="S16" s="32"/>
      <c r="T16" s="32"/>
      <c r="U16" s="32"/>
      <c r="V16" s="32"/>
    </row>
    <row r="17" spans="1:22" ht="16.5" x14ac:dyDescent="0.25">
      <c r="A17" s="226"/>
      <c r="B17" s="14"/>
      <c r="C17" s="32"/>
      <c r="D17" s="32"/>
      <c r="E17" s="32"/>
      <c r="F17" s="32"/>
      <c r="G17" s="32"/>
      <c r="H17" s="32"/>
      <c r="I17" s="32"/>
      <c r="J17" s="32"/>
      <c r="K17" s="13"/>
      <c r="L17" s="13"/>
      <c r="M17" s="13"/>
      <c r="N17" s="3"/>
      <c r="O17" s="195">
        <v>1087241</v>
      </c>
      <c r="P17" s="13"/>
      <c r="Q17" s="13"/>
      <c r="R17" s="32"/>
      <c r="S17" s="32"/>
      <c r="T17" s="32"/>
      <c r="U17" s="32"/>
      <c r="V17" s="32"/>
    </row>
    <row r="18" spans="1:22" ht="16.5" x14ac:dyDescent="0.25">
      <c r="A18" s="226"/>
      <c r="B18" s="14"/>
      <c r="C18" s="32"/>
      <c r="D18" s="32"/>
      <c r="E18" s="32"/>
      <c r="F18" s="32"/>
      <c r="G18" s="32"/>
      <c r="H18" s="32"/>
      <c r="I18" s="32"/>
      <c r="J18" s="32"/>
      <c r="K18" s="13"/>
      <c r="L18" s="13"/>
      <c r="M18" s="13"/>
      <c r="N18" s="3"/>
      <c r="O18" s="195">
        <v>3224678.3333333335</v>
      </c>
      <c r="P18" s="13"/>
      <c r="Q18" s="13"/>
      <c r="R18" s="32"/>
      <c r="S18" s="32"/>
      <c r="T18" s="32"/>
      <c r="U18" s="32"/>
      <c r="V18" s="32"/>
    </row>
    <row r="19" spans="1:22" ht="16.5" x14ac:dyDescent="0.25">
      <c r="A19" s="226"/>
      <c r="B19" s="14"/>
      <c r="C19" s="32"/>
      <c r="D19" s="32"/>
      <c r="E19" s="32"/>
      <c r="F19" s="32"/>
      <c r="G19" s="32"/>
      <c r="H19" s="32"/>
      <c r="I19" s="32"/>
      <c r="J19" s="32"/>
      <c r="K19" s="13"/>
      <c r="L19" s="13"/>
      <c r="M19" s="13"/>
      <c r="N19" s="3"/>
      <c r="O19" s="195">
        <v>2114877.6666666665</v>
      </c>
      <c r="P19" s="13"/>
      <c r="Q19" s="13"/>
      <c r="R19" s="32"/>
      <c r="S19" s="32"/>
      <c r="T19" s="32"/>
      <c r="U19" s="32"/>
      <c r="V19" s="32"/>
    </row>
    <row r="20" spans="1:22" ht="16.5" x14ac:dyDescent="0.25">
      <c r="A20" s="226"/>
      <c r="B20" s="14"/>
      <c r="C20" s="32"/>
      <c r="D20" s="32"/>
      <c r="E20" s="32"/>
      <c r="F20" s="32"/>
      <c r="G20" s="32"/>
      <c r="H20" s="32"/>
      <c r="I20" s="32"/>
      <c r="J20" s="32"/>
      <c r="K20" s="13"/>
      <c r="L20" s="13"/>
      <c r="M20" s="13"/>
      <c r="N20" s="3"/>
      <c r="O20" s="195">
        <v>1888124</v>
      </c>
      <c r="P20" s="13"/>
      <c r="Q20" s="13"/>
      <c r="R20" s="32"/>
      <c r="S20" s="32"/>
      <c r="T20" s="32"/>
      <c r="U20" s="32"/>
      <c r="V20" s="32"/>
    </row>
    <row r="21" spans="1:22" x14ac:dyDescent="0.25">
      <c r="A21" s="3"/>
      <c r="B21" s="7"/>
      <c r="C21" s="7"/>
      <c r="D21" s="7"/>
      <c r="E21" s="7"/>
      <c r="F21" s="7"/>
      <c r="G21" s="7"/>
      <c r="H21" s="7"/>
      <c r="I21" s="7"/>
      <c r="J21" s="7"/>
      <c r="N21" s="3"/>
      <c r="O21" s="7"/>
      <c r="R21" s="7"/>
      <c r="S21" s="7"/>
      <c r="T21" s="7"/>
      <c r="U21" s="7"/>
      <c r="V21" s="7"/>
    </row>
    <row r="22" spans="1:22" x14ac:dyDescent="0.25">
      <c r="A22" s="3" t="str">
        <f>A4</f>
        <v>Noms des groupes</v>
      </c>
      <c r="B22" s="3" t="str">
        <f t="shared" ref="B22:V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Testosterone 3,7µg/L</v>
      </c>
      <c r="J22" s="3" t="str">
        <f t="shared" si="0"/>
        <v>Testosterone 11µg/L</v>
      </c>
      <c r="K22" s="3" t="str">
        <f t="shared" si="0"/>
        <v>Testosterone 33µg/L</v>
      </c>
      <c r="L22" s="3" t="str">
        <f t="shared" si="0"/>
        <v>Testosterone 100µg/L</v>
      </c>
      <c r="M22" s="3" t="str">
        <f t="shared" si="0"/>
        <v>Testosterone 300µg/L</v>
      </c>
      <c r="N22" s="3" t="s">
        <v>41</v>
      </c>
      <c r="O22" s="3" t="str">
        <f t="shared" si="0"/>
        <v>Testo -30µg/L</v>
      </c>
      <c r="P22" s="3" t="str">
        <f t="shared" si="0"/>
        <v>Testo 30µg/L + EE2 -64ng/L</v>
      </c>
      <c r="Q22" s="3" t="str">
        <f t="shared" si="0"/>
        <v>Testo 30µg/L + FAD-10µg/L</v>
      </c>
      <c r="R22" s="3" t="str">
        <f t="shared" si="0"/>
        <v>Testosterone-3,7µg/L + Testostérone</v>
      </c>
      <c r="S22" s="3" t="str">
        <f t="shared" si="0"/>
        <v>Testosterone-11µg/L + Testostérone</v>
      </c>
      <c r="T22" s="3" t="str">
        <f t="shared" si="0"/>
        <v>Testosterone-33µg/L + Testostérone</v>
      </c>
      <c r="U22" s="3" t="str">
        <f t="shared" si="0"/>
        <v>Testosterone-100µg/L + Testostérone</v>
      </c>
      <c r="V22" s="3" t="str">
        <f t="shared" si="0"/>
        <v>Testosterone-300µg/L + Testostérone</v>
      </c>
    </row>
    <row r="23" spans="1:22" x14ac:dyDescent="0.25">
      <c r="A23" s="5" t="s">
        <v>0</v>
      </c>
      <c r="B23" s="5">
        <f t="shared" ref="B23:J23" si="1">AVERAGE(B5:B20)</f>
        <v>111008.29166666666</v>
      </c>
      <c r="C23" s="5">
        <f t="shared" si="1"/>
        <v>91416.020833333343</v>
      </c>
      <c r="D23" s="5">
        <f t="shared" si="1"/>
        <v>209201.625</v>
      </c>
      <c r="E23" s="5">
        <f t="shared" si="1"/>
        <v>891584.375</v>
      </c>
      <c r="F23" s="5">
        <f t="shared" si="1"/>
        <v>2061762.4583333333</v>
      </c>
      <c r="G23" s="5">
        <f t="shared" si="1"/>
        <v>2975788.6666666665</v>
      </c>
      <c r="H23" s="5">
        <f t="shared" si="1"/>
        <v>5388178.041666666</v>
      </c>
      <c r="I23" s="5">
        <f t="shared" si="1"/>
        <v>155612.72916666666</v>
      </c>
      <c r="J23" s="5">
        <f t="shared" si="1"/>
        <v>177478.70833333334</v>
      </c>
      <c r="K23" s="5"/>
      <c r="L23" s="5">
        <f>AVERAGE(L5:L20)</f>
        <v>1125145.6666666667</v>
      </c>
      <c r="M23" s="5"/>
      <c r="N23" s="5" t="s">
        <v>0</v>
      </c>
      <c r="O23" s="5">
        <f>AVERAGE(O5:O20)</f>
        <v>1752765.2666666666</v>
      </c>
      <c r="P23" s="5">
        <f>AVERAGE(P5:P20)</f>
        <v>2757007.125</v>
      </c>
      <c r="Q23" s="5">
        <f>AVERAGE(Q5:Q20)</f>
        <v>353160.29166666669</v>
      </c>
      <c r="R23" s="5">
        <f>AVERAGE(R5:R20)</f>
        <v>1859340.8333333333</v>
      </c>
      <c r="S23" s="5">
        <f>AVERAGE(S5:S20)</f>
        <v>1371206.4583333333</v>
      </c>
      <c r="T23" s="5">
        <f t="shared" ref="T23:V23" si="2">AVERAGE(T5:T20)</f>
        <v>1341389.5625</v>
      </c>
      <c r="U23" s="5">
        <f t="shared" si="2"/>
        <v>1041076.9791666667</v>
      </c>
      <c r="V23" s="5">
        <f t="shared" si="2"/>
        <v>900344.79166666663</v>
      </c>
    </row>
    <row r="24" spans="1:22" x14ac:dyDescent="0.25">
      <c r="A24" s="3" t="s">
        <v>1</v>
      </c>
      <c r="B24" s="3">
        <f t="shared" ref="B24:J24" si="3">STDEV(B5:B20)</f>
        <v>160751.73815767062</v>
      </c>
      <c r="C24" s="3">
        <f t="shared" si="3"/>
        <v>67513.14995193189</v>
      </c>
      <c r="D24" s="3">
        <f t="shared" si="3"/>
        <v>151554.77476869049</v>
      </c>
      <c r="E24" s="3">
        <f t="shared" si="3"/>
        <v>633844.12512845395</v>
      </c>
      <c r="F24" s="3">
        <f t="shared" si="3"/>
        <v>773301.18508976535</v>
      </c>
      <c r="G24" s="3">
        <f t="shared" si="3"/>
        <v>924639.90685306059</v>
      </c>
      <c r="H24" s="3">
        <f t="shared" si="3"/>
        <v>1174528.495156164</v>
      </c>
      <c r="I24" s="3">
        <f t="shared" si="3"/>
        <v>153717.86437501456</v>
      </c>
      <c r="J24" s="3">
        <f t="shared" si="3"/>
        <v>113571.23561684838</v>
      </c>
      <c r="K24" s="3"/>
      <c r="L24" s="3">
        <f>STDEV(L5:L20)</f>
        <v>793983.21605562407</v>
      </c>
      <c r="M24" s="3"/>
      <c r="N24" s="3" t="s">
        <v>1</v>
      </c>
      <c r="O24" s="3">
        <f>STDEV(O5:O20)</f>
        <v>852870.45533048804</v>
      </c>
      <c r="P24" s="3">
        <f>STDEV(P5:P20)</f>
        <v>1815876.5890210425</v>
      </c>
      <c r="Q24" s="3">
        <f>STDEV(Q5:Q20)</f>
        <v>278082.71077565977</v>
      </c>
      <c r="R24" s="3">
        <f>STDEV(R5:R20)</f>
        <v>1526982.6088828577</v>
      </c>
      <c r="S24" s="3">
        <f>STDEV(S5:S20)</f>
        <v>1235692.1269920068</v>
      </c>
      <c r="T24" s="3">
        <f t="shared" ref="T24:V24" si="4">STDEV(T5:T20)</f>
        <v>959433.80231034686</v>
      </c>
      <c r="U24" s="3">
        <f t="shared" si="4"/>
        <v>824563.80736563075</v>
      </c>
      <c r="V24" s="3">
        <f t="shared" si="4"/>
        <v>641502.13826060353</v>
      </c>
    </row>
    <row r="25" spans="1:22" ht="15.75" thickBot="1" x14ac:dyDescent="0.3"/>
    <row r="26" spans="1:22" ht="15.75" thickBot="1" x14ac:dyDescent="0.3">
      <c r="B26" s="224" t="s">
        <v>6</v>
      </c>
      <c r="C26" s="225"/>
      <c r="D26" s="225"/>
      <c r="E26" s="225"/>
      <c r="F26" s="225"/>
      <c r="G26" s="225"/>
      <c r="H26" s="225"/>
      <c r="I26" s="225"/>
      <c r="J26" s="225"/>
      <c r="K26" s="225"/>
      <c r="L26" s="225"/>
      <c r="M26" s="225"/>
      <c r="O26" s="224" t="s">
        <v>3</v>
      </c>
      <c r="P26" s="225"/>
      <c r="Q26" s="225"/>
      <c r="R26" s="225"/>
      <c r="S26" s="225"/>
      <c r="T26" s="225"/>
      <c r="U26" s="225"/>
      <c r="V26" s="225"/>
    </row>
    <row r="27" spans="1:22" x14ac:dyDescent="0.25">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Testosterone 3,7µg/L</v>
      </c>
      <c r="J27" s="35" t="str">
        <f t="shared" si="5"/>
        <v>Testosterone 11µg/L</v>
      </c>
      <c r="K27" s="35" t="str">
        <f t="shared" si="5"/>
        <v>Testosterone 33µg/L</v>
      </c>
      <c r="L27" s="35" t="str">
        <f t="shared" si="5"/>
        <v>Testosterone 100µg/L</v>
      </c>
      <c r="M27" s="35" t="str">
        <f t="shared" si="5"/>
        <v>Testosterone 300µg/L</v>
      </c>
      <c r="N27" s="3"/>
      <c r="O27" s="36" t="str">
        <f>O4</f>
        <v>Testo -30µg/L</v>
      </c>
      <c r="P27" s="36" t="str">
        <f t="shared" ref="P27:R27" si="6">P4</f>
        <v>Testo 30µg/L + EE2 -64ng/L</v>
      </c>
      <c r="Q27" s="36" t="str">
        <f t="shared" si="6"/>
        <v>Testo 30µg/L + FAD-10µg/L</v>
      </c>
      <c r="R27" s="36" t="str">
        <f t="shared" si="6"/>
        <v>Testosterone-3,7µg/L + Testostérone</v>
      </c>
      <c r="S27" s="36" t="str">
        <f t="shared" ref="S27:V27" si="7">S4</f>
        <v>Testosterone-11µg/L + Testostérone</v>
      </c>
      <c r="T27" s="36" t="str">
        <f t="shared" si="7"/>
        <v>Testosterone-33µg/L + Testostérone</v>
      </c>
      <c r="U27" s="36" t="str">
        <f t="shared" si="7"/>
        <v>Testosterone-100µg/L + Testostérone</v>
      </c>
      <c r="V27" s="36" t="str">
        <f t="shared" si="7"/>
        <v>Testosterone-300µg/L + Testostérone</v>
      </c>
    </row>
    <row r="28" spans="1:22" x14ac:dyDescent="0.25">
      <c r="A28" s="227" t="s">
        <v>34</v>
      </c>
      <c r="B28" s="11">
        <f t="shared" ref="B28:M28" si="8">IF(B5="","",(B5/$O$23))</f>
        <v>1.482096157466075E-2</v>
      </c>
      <c r="C28" s="11">
        <f t="shared" si="8"/>
        <v>7.7070027136929037E-2</v>
      </c>
      <c r="D28" s="11">
        <f t="shared" si="8"/>
        <v>0.18516018060452208</v>
      </c>
      <c r="E28" s="11">
        <f t="shared" si="8"/>
        <v>0.28253868867552107</v>
      </c>
      <c r="F28" s="11">
        <f t="shared" si="8"/>
        <v>0.83979984541759711</v>
      </c>
      <c r="G28" s="11">
        <f t="shared" si="8"/>
        <v>1.1705113660589426</v>
      </c>
      <c r="H28" s="11">
        <f t="shared" si="8"/>
        <v>3.2337342071931365</v>
      </c>
      <c r="I28" s="11">
        <f t="shared" si="8"/>
        <v>3.1151347552566367E-2</v>
      </c>
      <c r="J28" s="11">
        <f t="shared" si="8"/>
        <v>5.1019571778369716E-2</v>
      </c>
      <c r="K28" s="11">
        <f t="shared" si="8"/>
        <v>0.74998595552574276</v>
      </c>
      <c r="L28" s="11">
        <f t="shared" si="8"/>
        <v>0.2709425361730316</v>
      </c>
      <c r="M28" s="11">
        <f t="shared" si="8"/>
        <v>1.7721899555365448</v>
      </c>
      <c r="N28" s="6"/>
      <c r="O28" s="11">
        <f t="shared" ref="O28:S37" si="9">IF(O5="","",(O5/$O$23))</f>
        <v>0.80203399740273262</v>
      </c>
      <c r="P28" s="11">
        <f t="shared" si="9"/>
        <v>0.7663414446939254</v>
      </c>
      <c r="Q28" s="11">
        <f t="shared" si="9"/>
        <v>5.3890844254140285E-2</v>
      </c>
      <c r="R28" s="11">
        <f t="shared" si="9"/>
        <v>0.62974909095072207</v>
      </c>
      <c r="S28" s="11">
        <f t="shared" si="9"/>
        <v>3.4771341695916003E-2</v>
      </c>
      <c r="T28" s="11">
        <f t="shared" ref="T28:V28" si="10">IF(T5="","",(T5/$O$23))</f>
        <v>0.89302830776465636</v>
      </c>
      <c r="U28" s="11">
        <f t="shared" si="10"/>
        <v>0.33667999430537932</v>
      </c>
      <c r="V28" s="11">
        <f t="shared" si="10"/>
        <v>0.16295536283827927</v>
      </c>
    </row>
    <row r="29" spans="1:22" x14ac:dyDescent="0.25">
      <c r="A29" s="227"/>
      <c r="B29" s="11">
        <f t="shared" ref="B29:M29" si="11">IF(B6="","",(B6/$O$23))</f>
        <v>1.2887635571966111E-2</v>
      </c>
      <c r="C29" s="11">
        <f t="shared" si="11"/>
        <v>0.11965302522539717</v>
      </c>
      <c r="D29" s="11">
        <f t="shared" si="11"/>
        <v>0.21051554383836679</v>
      </c>
      <c r="E29" s="11">
        <f t="shared" si="11"/>
        <v>0.37364805532621426</v>
      </c>
      <c r="F29" s="11">
        <f t="shared" si="11"/>
        <v>0.33516220217204212</v>
      </c>
      <c r="G29" s="11">
        <f t="shared" si="11"/>
        <v>1.3485549823956273</v>
      </c>
      <c r="H29" s="11">
        <f t="shared" si="11"/>
        <v>2.923627271025719</v>
      </c>
      <c r="I29" s="11">
        <f t="shared" si="11"/>
        <v>2.2677499428617159E-2</v>
      </c>
      <c r="J29" s="11">
        <f t="shared" si="11"/>
        <v>3.6643050777021714E-2</v>
      </c>
      <c r="K29" s="11">
        <f t="shared" si="11"/>
        <v>0.98037809132000531</v>
      </c>
      <c r="L29" s="11">
        <f t="shared" si="11"/>
        <v>1.0893729105159888</v>
      </c>
      <c r="M29" s="11">
        <f t="shared" si="11"/>
        <v>0.24572695206686548</v>
      </c>
      <c r="N29" s="6"/>
      <c r="O29" s="11" t="str">
        <f t="shared" si="9"/>
        <v/>
      </c>
      <c r="P29" s="11">
        <f t="shared" si="9"/>
        <v>3.4975972633566945</v>
      </c>
      <c r="Q29" s="11">
        <f t="shared" si="9"/>
        <v>0.24429131582898017</v>
      </c>
      <c r="R29" s="11">
        <f t="shared" si="9"/>
        <v>0.44622613280903672</v>
      </c>
      <c r="S29" s="11">
        <f t="shared" si="9"/>
        <v>1.161198462817554</v>
      </c>
      <c r="T29" s="11">
        <f t="shared" ref="T29:V29" si="12">IF(T6="","",(T6/$O$23))</f>
        <v>5.1389653659271131E-2</v>
      </c>
      <c r="U29" s="11">
        <f t="shared" si="12"/>
        <v>3.8485662978488197E-2</v>
      </c>
      <c r="V29" s="11">
        <f t="shared" si="12"/>
        <v>0.80905984786934204</v>
      </c>
    </row>
    <row r="30" spans="1:22" x14ac:dyDescent="0.25">
      <c r="A30" s="227"/>
      <c r="B30" s="11">
        <f t="shared" ref="B30:M30" si="13">IF(B7="","",(B7/$O$23))</f>
        <v>9.8560449946539716E-3</v>
      </c>
      <c r="C30" s="11">
        <f t="shared" si="13"/>
        <v>1.70503911172133E-2</v>
      </c>
      <c r="D30" s="11">
        <f t="shared" si="13"/>
        <v>3.6194426338662808E-2</v>
      </c>
      <c r="E30" s="11">
        <f t="shared" si="13"/>
        <v>1.0760246694375772</v>
      </c>
      <c r="F30" s="11">
        <f t="shared" si="13"/>
        <v>1.7249712349769293</v>
      </c>
      <c r="G30" s="11">
        <f t="shared" si="13"/>
        <v>1.7357694103097054</v>
      </c>
      <c r="H30" s="11">
        <f t="shared" si="13"/>
        <v>3.7976840329142383</v>
      </c>
      <c r="I30" s="11">
        <f t="shared" si="13"/>
        <v>7.5375466705391511E-2</v>
      </c>
      <c r="J30" s="11">
        <f t="shared" si="13"/>
        <v>8.2783665384514898E-2</v>
      </c>
      <c r="K30" s="11">
        <f t="shared" si="13"/>
        <v>0.12124479569977786</v>
      </c>
      <c r="L30" s="11">
        <f t="shared" si="13"/>
        <v>0.35300448483708352</v>
      </c>
      <c r="M30" s="11" t="str">
        <f t="shared" si="13"/>
        <v/>
      </c>
      <c r="N30" s="6"/>
      <c r="O30" s="11">
        <f t="shared" si="9"/>
        <v>1.1494685217214293</v>
      </c>
      <c r="P30" s="11">
        <f t="shared" si="9"/>
        <v>1.5567629344853517</v>
      </c>
      <c r="Q30" s="11">
        <f t="shared" si="9"/>
        <v>0.45153659860671969</v>
      </c>
      <c r="R30" s="11">
        <f t="shared" si="9"/>
        <v>1.622492215063291</v>
      </c>
      <c r="S30" s="11">
        <f t="shared" si="9"/>
        <v>0.34086347900017339</v>
      </c>
      <c r="T30" s="11">
        <f t="shared" ref="T30:V30" si="14">IF(T7="","",(T7/$O$23))</f>
        <v>1.5257470871075758</v>
      </c>
      <c r="U30" s="11">
        <f t="shared" si="14"/>
        <v>0.34484537747001603</v>
      </c>
      <c r="V30" s="11">
        <f t="shared" si="14"/>
        <v>4.8576194591411159E-2</v>
      </c>
    </row>
    <row r="31" spans="1:22" x14ac:dyDescent="0.25">
      <c r="A31" s="227"/>
      <c r="B31" s="11">
        <f t="shared" ref="B31:M31" si="15">IF(B8="","",(B8/$O$23))</f>
        <v>0.23581347401566874</v>
      </c>
      <c r="C31" s="11">
        <f t="shared" si="15"/>
        <v>3.2772024730902356E-2</v>
      </c>
      <c r="D31" s="11">
        <f t="shared" si="15"/>
        <v>3.2389581430546377E-2</v>
      </c>
      <c r="E31" s="11">
        <f t="shared" si="15"/>
        <v>0.79385225912927915</v>
      </c>
      <c r="F31" s="11">
        <f t="shared" si="15"/>
        <v>1.1676709020439664</v>
      </c>
      <c r="G31" s="11">
        <f t="shared" si="15"/>
        <v>2.0190522564363915</v>
      </c>
      <c r="H31" s="11">
        <f t="shared" si="15"/>
        <v>3.4766269710425952</v>
      </c>
      <c r="I31" s="11">
        <f t="shared" si="15"/>
        <v>7.5930874790269498E-2</v>
      </c>
      <c r="J31" s="11">
        <f t="shared" si="15"/>
        <v>3.0435526278304849E-2</v>
      </c>
      <c r="K31" s="11">
        <f t="shared" si="15"/>
        <v>0.30580849027169604</v>
      </c>
      <c r="L31" s="11">
        <f t="shared" si="15"/>
        <v>1.3348201141518135</v>
      </c>
      <c r="M31" s="11">
        <f t="shared" si="15"/>
        <v>1.7932509616518721</v>
      </c>
      <c r="N31" s="6"/>
      <c r="O31" s="11">
        <f t="shared" si="9"/>
        <v>0.96906187742424077</v>
      </c>
      <c r="P31" s="11">
        <f t="shared" si="9"/>
        <v>0.36782316430353729</v>
      </c>
      <c r="Q31" s="11">
        <f t="shared" si="9"/>
        <v>2.0096530134345047E-2</v>
      </c>
      <c r="R31" s="11">
        <f t="shared" si="9"/>
        <v>2.4409636673539743</v>
      </c>
      <c r="S31" s="11">
        <f t="shared" si="9"/>
        <v>8.5223048882111199E-2</v>
      </c>
      <c r="T31" s="11">
        <f t="shared" ref="T31:V31" si="16">IF(T8="","",(T8/$O$23))</f>
        <v>1.5198939549958375</v>
      </c>
      <c r="U31" s="11">
        <f t="shared" si="16"/>
        <v>0.89652887157850658</v>
      </c>
      <c r="V31" s="11">
        <f t="shared" si="16"/>
        <v>0.28517528435733874</v>
      </c>
    </row>
    <row r="32" spans="1:22" x14ac:dyDescent="0.25">
      <c r="A32" s="227"/>
      <c r="B32" s="11">
        <f t="shared" ref="B32:M32" si="17">IF(B9="","",(B9/$O$23))</f>
        <v>0.18437855854362548</v>
      </c>
      <c r="C32" s="11">
        <f t="shared" si="17"/>
        <v>2.4092596692639467E-2</v>
      </c>
      <c r="D32" s="11">
        <f t="shared" si="17"/>
        <v>0.21814596280414655</v>
      </c>
      <c r="E32" s="11">
        <f t="shared" si="17"/>
        <v>0.12989550720976939</v>
      </c>
      <c r="F32" s="11">
        <f t="shared" si="17"/>
        <v>1.1258554530157852</v>
      </c>
      <c r="G32" s="11">
        <f t="shared" si="17"/>
        <v>2.1219386326649787</v>
      </c>
      <c r="H32" s="11">
        <f t="shared" si="17"/>
        <v>3.5892252390974275</v>
      </c>
      <c r="I32" s="11">
        <f t="shared" si="17"/>
        <v>5.3014514702653281E-2</v>
      </c>
      <c r="J32" s="11">
        <f t="shared" si="17"/>
        <v>0.17007183201827483</v>
      </c>
      <c r="K32" s="11">
        <f t="shared" si="17"/>
        <v>0.34454090620006583</v>
      </c>
      <c r="L32" s="11">
        <f t="shared" si="17"/>
        <v>1.0777894997843218</v>
      </c>
      <c r="M32" s="11">
        <f t="shared" si="17"/>
        <v>1.4457855337845391</v>
      </c>
      <c r="N32" s="6"/>
      <c r="O32" s="11">
        <f t="shared" si="9"/>
        <v>0.17319394622113118</v>
      </c>
      <c r="P32" s="11">
        <f t="shared" si="9"/>
        <v>2.2961300503482516</v>
      </c>
      <c r="Q32" s="11">
        <f t="shared" si="9"/>
        <v>0.35227839407589057</v>
      </c>
      <c r="R32" s="11">
        <f t="shared" si="9"/>
        <v>0.1245272280041758</v>
      </c>
      <c r="S32" s="11">
        <f t="shared" si="9"/>
        <v>1.289683056628347</v>
      </c>
      <c r="T32" s="11">
        <f t="shared" ref="T32:V32" si="18">IF(T9="","",(T9/$O$23))</f>
        <v>0.2661995546161553</v>
      </c>
      <c r="U32" s="11">
        <f t="shared" si="18"/>
        <v>1.2751213045108647</v>
      </c>
      <c r="V32" s="11">
        <f t="shared" si="18"/>
        <v>0.65135304864363086</v>
      </c>
    </row>
    <row r="33" spans="1:22" x14ac:dyDescent="0.25">
      <c r="A33" s="227"/>
      <c r="B33" s="11">
        <f t="shared" ref="B33:M33" si="19">IF(B10="","",(B10/$O$23))</f>
        <v>2.3191734477927238E-2</v>
      </c>
      <c r="C33" s="11">
        <f t="shared" si="19"/>
        <v>1.4660548385277222E-2</v>
      </c>
      <c r="D33" s="11">
        <f t="shared" si="19"/>
        <v>0.17653400175775583</v>
      </c>
      <c r="E33" s="11">
        <f t="shared" si="19"/>
        <v>0.70124164562974944</v>
      </c>
      <c r="F33" s="11">
        <f t="shared" si="19"/>
        <v>1.1756057922796965</v>
      </c>
      <c r="G33" s="11">
        <f t="shared" si="19"/>
        <v>1.2964333425289618</v>
      </c>
      <c r="H33" s="11">
        <f t="shared" si="19"/>
        <v>2.6495253462157837</v>
      </c>
      <c r="I33" s="11">
        <f t="shared" si="19"/>
        <v>0.12799907528975454</v>
      </c>
      <c r="J33" s="11">
        <f t="shared" si="19"/>
        <v>0.12619335717096783</v>
      </c>
      <c r="K33" s="11">
        <f t="shared" si="19"/>
        <v>0.9554955048363768</v>
      </c>
      <c r="L33" s="11">
        <f t="shared" si="19"/>
        <v>0.23385542517406496</v>
      </c>
      <c r="M33" s="11">
        <f t="shared" si="19"/>
        <v>0.63979854461591912</v>
      </c>
      <c r="N33" s="6"/>
      <c r="O33" s="11">
        <f t="shared" si="9"/>
        <v>1.7179208518470948</v>
      </c>
      <c r="P33" s="11">
        <f t="shared" si="9"/>
        <v>1.9911917089183153</v>
      </c>
      <c r="Q33" s="11">
        <f t="shared" si="9"/>
        <v>4.3014696890958479E-2</v>
      </c>
      <c r="R33" s="11">
        <f t="shared" si="9"/>
        <v>1.4434243124930324</v>
      </c>
      <c r="S33" s="11">
        <f t="shared" si="9"/>
        <v>0.70326929877166666</v>
      </c>
      <c r="T33" s="11">
        <f t="shared" ref="T33:V33" si="20">IF(T10="","",(T10/$O$23))</f>
        <v>0.54723281257779377</v>
      </c>
      <c r="U33" s="11">
        <f t="shared" si="20"/>
        <v>0.22522943650298258</v>
      </c>
      <c r="V33" s="11">
        <f t="shared" si="20"/>
        <v>1.1759574271192579</v>
      </c>
    </row>
    <row r="34" spans="1:22" x14ac:dyDescent="0.25">
      <c r="A34" s="227"/>
      <c r="B34" s="11">
        <f t="shared" ref="B34:M34" si="21">IF(B11="","",(B11/$O$23))</f>
        <v>1.5417352519422738E-2</v>
      </c>
      <c r="C34" s="11">
        <f t="shared" si="21"/>
        <v>4.3327155539633198E-2</v>
      </c>
      <c r="D34" s="11">
        <f t="shared" si="21"/>
        <v>7.9488871660662389E-2</v>
      </c>
      <c r="E34" s="11">
        <f t="shared" si="21"/>
        <v>0.68450352298552697</v>
      </c>
      <c r="F34" s="11">
        <f t="shared" si="21"/>
        <v>1.498257096909611</v>
      </c>
      <c r="G34" s="11">
        <f t="shared" si="21"/>
        <v>2.6450252190072683</v>
      </c>
      <c r="H34" s="11">
        <f t="shared" si="21"/>
        <v>1.6825449416520084</v>
      </c>
      <c r="I34" s="11">
        <f t="shared" si="21"/>
        <v>0.28903375880831961</v>
      </c>
      <c r="J34" s="11">
        <f t="shared" si="21"/>
        <v>0.10221581676709782</v>
      </c>
      <c r="K34" s="11">
        <f t="shared" si="21"/>
        <v>0.97959038363722328</v>
      </c>
      <c r="L34" s="11">
        <f t="shared" si="21"/>
        <v>0.2307599355669569</v>
      </c>
      <c r="M34" s="11">
        <f t="shared" si="21"/>
        <v>0.73626744239074571</v>
      </c>
      <c r="N34" s="6"/>
      <c r="O34" s="11">
        <f t="shared" si="9"/>
        <v>1.677201385285324</v>
      </c>
      <c r="P34" s="11">
        <f t="shared" si="9"/>
        <v>1.5380547819314387</v>
      </c>
      <c r="Q34" s="11">
        <f t="shared" si="9"/>
        <v>0.28797657218142808</v>
      </c>
      <c r="R34" s="11">
        <f t="shared" si="9"/>
        <v>1.7401748300276298</v>
      </c>
      <c r="S34" s="11">
        <f t="shared" si="9"/>
        <v>0.53106673839079199</v>
      </c>
      <c r="T34" s="11">
        <f t="shared" ref="T34:V34" si="22">IF(T11="","",(T11/$O$23))</f>
        <v>0.8882073541773744</v>
      </c>
      <c r="U34" s="11">
        <f t="shared" si="22"/>
        <v>0.41676744393116871</v>
      </c>
      <c r="V34" s="11">
        <f t="shared" si="22"/>
        <v>0.48756671315447869</v>
      </c>
    </row>
    <row r="35" spans="1:22" x14ac:dyDescent="0.25">
      <c r="A35" s="227"/>
      <c r="B35" s="11">
        <f t="shared" ref="B35:M35" si="23">IF(B12="","",(B12/$O$23))</f>
        <v>1.0300105216598885E-2</v>
      </c>
      <c r="C35" s="11">
        <f t="shared" si="23"/>
        <v>8.8616733961600261E-2</v>
      </c>
      <c r="D35" s="11">
        <f t="shared" si="23"/>
        <v>1.6412922224725356E-2</v>
      </c>
      <c r="E35" s="11">
        <f t="shared" si="23"/>
        <v>2.7679690442671559E-2</v>
      </c>
      <c r="F35" s="11">
        <f t="shared" si="23"/>
        <v>1.5430075272676749</v>
      </c>
      <c r="G35" s="11">
        <f t="shared" si="23"/>
        <v>1.2448582675778721</v>
      </c>
      <c r="H35" s="11">
        <f t="shared" si="23"/>
        <v>3.2398426501605333</v>
      </c>
      <c r="I35" s="11">
        <f t="shared" si="23"/>
        <v>3.506763541145784E-2</v>
      </c>
      <c r="J35" s="11">
        <f t="shared" si="23"/>
        <v>0.21068841353504686</v>
      </c>
      <c r="K35" s="11">
        <f t="shared" si="23"/>
        <v>0.42027818214410839</v>
      </c>
      <c r="L35" s="11">
        <f t="shared" si="23"/>
        <v>0.54486341373187863</v>
      </c>
      <c r="M35" s="11">
        <f t="shared" si="23"/>
        <v>0.97948540665970141</v>
      </c>
      <c r="N35" s="6"/>
      <c r="O35" s="11">
        <f t="shared" si="9"/>
        <v>0.80977966283296587</v>
      </c>
      <c r="P35" s="11">
        <f t="shared" si="9"/>
        <v>0.56967582538814199</v>
      </c>
      <c r="Q35" s="11">
        <f t="shared" si="9"/>
        <v>0.15881504802373422</v>
      </c>
      <c r="R35" s="11">
        <f t="shared" si="9"/>
        <v>3.8876474008936505E-2</v>
      </c>
      <c r="S35" s="11">
        <f t="shared" si="9"/>
        <v>2.1124075979141379</v>
      </c>
      <c r="T35" s="11">
        <f t="shared" ref="T35:V35" si="24">IF(T12="","",(T12/$O$23))</f>
        <v>0.43069353382516062</v>
      </c>
      <c r="U35" s="11">
        <f t="shared" si="24"/>
        <v>1.2180425452672328</v>
      </c>
      <c r="V35" s="11">
        <f t="shared" si="24"/>
        <v>0.48872459780600402</v>
      </c>
    </row>
    <row r="36" spans="1:22" x14ac:dyDescent="0.25">
      <c r="A36" s="227"/>
      <c r="B36" s="11" t="str">
        <f t="shared" ref="B36:M36" si="25">IF(B13="","",(B13/$O$23))</f>
        <v/>
      </c>
      <c r="C36" s="11" t="str">
        <f t="shared" si="25"/>
        <v/>
      </c>
      <c r="D36" s="11" t="str">
        <f t="shared" si="25"/>
        <v/>
      </c>
      <c r="E36" s="11" t="str">
        <f t="shared" si="25"/>
        <v/>
      </c>
      <c r="F36" s="11" t="str">
        <f t="shared" si="25"/>
        <v/>
      </c>
      <c r="G36" s="11" t="str">
        <f t="shared" si="25"/>
        <v/>
      </c>
      <c r="H36" s="11" t="str">
        <f t="shared" si="25"/>
        <v/>
      </c>
      <c r="I36" s="11" t="str">
        <f t="shared" si="25"/>
        <v/>
      </c>
      <c r="J36" s="11" t="str">
        <f t="shared" si="25"/>
        <v/>
      </c>
      <c r="K36" s="11" t="str">
        <f t="shared" si="25"/>
        <v/>
      </c>
      <c r="L36" s="11" t="str">
        <f t="shared" si="25"/>
        <v/>
      </c>
      <c r="M36" s="11" t="str">
        <f t="shared" si="25"/>
        <v/>
      </c>
      <c r="N36" s="6"/>
      <c r="O36" s="11">
        <f t="shared" si="9"/>
        <v>0.99730087455331062</v>
      </c>
      <c r="P36" s="11" t="str">
        <f t="shared" si="9"/>
        <v/>
      </c>
      <c r="Q36" s="11" t="str">
        <f t="shared" si="9"/>
        <v/>
      </c>
      <c r="R36" s="11" t="str">
        <f t="shared" si="9"/>
        <v/>
      </c>
      <c r="S36" s="11" t="str">
        <f t="shared" si="9"/>
        <v/>
      </c>
      <c r="T36" s="11" t="str">
        <f t="shared" ref="T36:V36" si="26">IF(T13="","",(T13/$O$23))</f>
        <v/>
      </c>
      <c r="U36" s="11" t="str">
        <f t="shared" si="26"/>
        <v/>
      </c>
      <c r="V36" s="11" t="str">
        <f t="shared" si="26"/>
        <v/>
      </c>
    </row>
    <row r="37" spans="1:22" x14ac:dyDescent="0.25">
      <c r="A37" s="227"/>
      <c r="B37" s="11" t="str">
        <f t="shared" ref="B37:M37" si="27">IF(B14="","",(B14/$O$23))</f>
        <v/>
      </c>
      <c r="C37" s="11" t="str">
        <f t="shared" si="27"/>
        <v/>
      </c>
      <c r="D37" s="11" t="str">
        <f t="shared" si="27"/>
        <v/>
      </c>
      <c r="E37" s="11" t="str">
        <f t="shared" si="27"/>
        <v/>
      </c>
      <c r="F37" s="11" t="str">
        <f t="shared" si="27"/>
        <v/>
      </c>
      <c r="G37" s="11" t="str">
        <f t="shared" si="27"/>
        <v/>
      </c>
      <c r="H37" s="11" t="str">
        <f t="shared" si="27"/>
        <v/>
      </c>
      <c r="I37" s="11" t="str">
        <f t="shared" si="27"/>
        <v/>
      </c>
      <c r="J37" s="11" t="str">
        <f t="shared" si="27"/>
        <v/>
      </c>
      <c r="K37" s="11" t="str">
        <f t="shared" si="27"/>
        <v/>
      </c>
      <c r="L37" s="11" t="str">
        <f t="shared" si="27"/>
        <v/>
      </c>
      <c r="M37" s="11" t="str">
        <f t="shared" si="27"/>
        <v/>
      </c>
      <c r="N37" s="6"/>
      <c r="O37" s="11">
        <f t="shared" si="9"/>
        <v>0.56691361866709744</v>
      </c>
      <c r="P37" s="11" t="str">
        <f t="shared" si="9"/>
        <v/>
      </c>
      <c r="Q37" s="11" t="str">
        <f t="shared" si="9"/>
        <v/>
      </c>
      <c r="R37" s="11" t="str">
        <f t="shared" si="9"/>
        <v/>
      </c>
      <c r="S37" s="11" t="str">
        <f t="shared" si="9"/>
        <v/>
      </c>
      <c r="T37" s="11" t="str">
        <f t="shared" ref="T37:V37" si="28">IF(T14="","",(T14/$O$23))</f>
        <v/>
      </c>
      <c r="U37" s="11" t="str">
        <f t="shared" si="28"/>
        <v/>
      </c>
      <c r="V37" s="11" t="str">
        <f t="shared" si="28"/>
        <v/>
      </c>
    </row>
    <row r="38" spans="1:22" x14ac:dyDescent="0.25">
      <c r="A38" s="227"/>
      <c r="B38" s="11" t="str">
        <f t="shared" ref="B38:M38" si="29">IF(B15="","",(B15/$O$23))</f>
        <v/>
      </c>
      <c r="C38" s="11" t="str">
        <f t="shared" si="29"/>
        <v/>
      </c>
      <c r="D38" s="11" t="str">
        <f t="shared" si="29"/>
        <v/>
      </c>
      <c r="E38" s="11" t="str">
        <f t="shared" si="29"/>
        <v/>
      </c>
      <c r="F38" s="11" t="str">
        <f t="shared" si="29"/>
        <v/>
      </c>
      <c r="G38" s="11" t="str">
        <f t="shared" si="29"/>
        <v/>
      </c>
      <c r="H38" s="11" t="str">
        <f t="shared" si="29"/>
        <v/>
      </c>
      <c r="I38" s="11" t="str">
        <f t="shared" si="29"/>
        <v/>
      </c>
      <c r="J38" s="11" t="str">
        <f t="shared" si="29"/>
        <v/>
      </c>
      <c r="K38" s="11" t="str">
        <f t="shared" si="29"/>
        <v/>
      </c>
      <c r="L38" s="11" t="str">
        <f t="shared" si="29"/>
        <v/>
      </c>
      <c r="M38" s="11" t="str">
        <f t="shared" si="29"/>
        <v/>
      </c>
      <c r="N38" s="6"/>
      <c r="O38" s="11">
        <f t="shared" ref="O38:V38" si="30">IF(O15="","",(O15/$O$23))</f>
        <v>0.31665164215371833</v>
      </c>
      <c r="P38" s="11" t="str">
        <f t="shared" si="30"/>
        <v/>
      </c>
      <c r="Q38" s="11" t="str">
        <f t="shared" si="30"/>
        <v/>
      </c>
      <c r="R38" s="11" t="str">
        <f t="shared" si="30"/>
        <v/>
      </c>
      <c r="S38" s="11" t="str">
        <f t="shared" si="30"/>
        <v/>
      </c>
      <c r="T38" s="11" t="str">
        <f t="shared" si="30"/>
        <v/>
      </c>
      <c r="U38" s="11" t="str">
        <f t="shared" si="30"/>
        <v/>
      </c>
      <c r="V38" s="11" t="str">
        <f t="shared" si="30"/>
        <v/>
      </c>
    </row>
    <row r="39" spans="1:22" x14ac:dyDescent="0.25">
      <c r="A39" s="227"/>
      <c r="B39" s="11" t="str">
        <f t="shared" ref="B39:M39" si="31">IF(B16="","",(B16/$O$23))</f>
        <v/>
      </c>
      <c r="C39" s="11" t="str">
        <f t="shared" si="31"/>
        <v/>
      </c>
      <c r="D39" s="11" t="str">
        <f t="shared" si="31"/>
        <v/>
      </c>
      <c r="E39" s="11" t="str">
        <f t="shared" si="31"/>
        <v/>
      </c>
      <c r="F39" s="11" t="str">
        <f t="shared" si="31"/>
        <v/>
      </c>
      <c r="G39" s="11" t="str">
        <f t="shared" si="31"/>
        <v/>
      </c>
      <c r="H39" s="11" t="str">
        <f t="shared" si="31"/>
        <v/>
      </c>
      <c r="I39" s="11" t="str">
        <f t="shared" si="31"/>
        <v/>
      </c>
      <c r="J39" s="11" t="str">
        <f t="shared" si="31"/>
        <v/>
      </c>
      <c r="K39" s="11" t="str">
        <f t="shared" si="31"/>
        <v/>
      </c>
      <c r="L39" s="11" t="str">
        <f t="shared" si="31"/>
        <v/>
      </c>
      <c r="M39" s="11" t="str">
        <f t="shared" si="31"/>
        <v/>
      </c>
      <c r="N39" s="6"/>
      <c r="O39" s="11">
        <f t="shared" ref="O39:V39" si="32">IF(O16="","",(O16/$O$23))</f>
        <v>1.0765862582321823</v>
      </c>
      <c r="P39" s="11" t="str">
        <f t="shared" si="32"/>
        <v/>
      </c>
      <c r="Q39" s="11" t="str">
        <f t="shared" si="32"/>
        <v/>
      </c>
      <c r="R39" s="11" t="str">
        <f t="shared" si="32"/>
        <v/>
      </c>
      <c r="S39" s="11" t="str">
        <f t="shared" si="32"/>
        <v/>
      </c>
      <c r="T39" s="11" t="str">
        <f t="shared" si="32"/>
        <v/>
      </c>
      <c r="U39" s="11" t="str">
        <f t="shared" si="32"/>
        <v/>
      </c>
      <c r="V39" s="11" t="str">
        <f t="shared" si="32"/>
        <v/>
      </c>
    </row>
    <row r="40" spans="1:22" x14ac:dyDescent="0.25">
      <c r="A40" s="227"/>
      <c r="B40" s="11" t="str">
        <f t="shared" ref="B40:M40" si="33">IF(B17="","",(B17/$O$23))</f>
        <v/>
      </c>
      <c r="C40" s="11" t="str">
        <f t="shared" si="33"/>
        <v/>
      </c>
      <c r="D40" s="11" t="str">
        <f t="shared" si="33"/>
        <v/>
      </c>
      <c r="E40" s="11" t="str">
        <f t="shared" si="33"/>
        <v/>
      </c>
      <c r="F40" s="11" t="str">
        <f t="shared" si="33"/>
        <v/>
      </c>
      <c r="G40" s="11" t="str">
        <f t="shared" si="33"/>
        <v/>
      </c>
      <c r="H40" s="11" t="str">
        <f t="shared" si="33"/>
        <v/>
      </c>
      <c r="I40" s="11" t="str">
        <f t="shared" si="33"/>
        <v/>
      </c>
      <c r="J40" s="11" t="str">
        <f t="shared" si="33"/>
        <v/>
      </c>
      <c r="K40" s="11" t="str">
        <f t="shared" si="33"/>
        <v/>
      </c>
      <c r="L40" s="11" t="str">
        <f t="shared" si="33"/>
        <v/>
      </c>
      <c r="M40" s="11" t="str">
        <f t="shared" si="33"/>
        <v/>
      </c>
      <c r="N40" s="6"/>
      <c r="O40" s="11">
        <f t="shared" ref="O40:V40" si="34">IF(O17="","",(O17/$O$23))</f>
        <v>0.62030040227101724</v>
      </c>
      <c r="P40" s="11" t="str">
        <f t="shared" si="34"/>
        <v/>
      </c>
      <c r="Q40" s="11" t="str">
        <f t="shared" si="34"/>
        <v/>
      </c>
      <c r="R40" s="11" t="str">
        <f t="shared" si="34"/>
        <v/>
      </c>
      <c r="S40" s="11" t="str">
        <f t="shared" si="34"/>
        <v/>
      </c>
      <c r="T40" s="11" t="str">
        <f t="shared" si="34"/>
        <v/>
      </c>
      <c r="U40" s="11" t="str">
        <f t="shared" si="34"/>
        <v/>
      </c>
      <c r="V40" s="11" t="str">
        <f t="shared" si="34"/>
        <v/>
      </c>
    </row>
    <row r="41" spans="1:22" x14ac:dyDescent="0.25">
      <c r="A41" s="227"/>
      <c r="B41" s="11" t="str">
        <f t="shared" ref="B41:M41" si="35">IF(B18="","",(B18/$O$23))</f>
        <v/>
      </c>
      <c r="C41" s="11" t="str">
        <f t="shared" si="35"/>
        <v/>
      </c>
      <c r="D41" s="11" t="str">
        <f t="shared" si="35"/>
        <v/>
      </c>
      <c r="E41" s="11" t="str">
        <f t="shared" si="35"/>
        <v/>
      </c>
      <c r="F41" s="11" t="str">
        <f t="shared" si="35"/>
        <v/>
      </c>
      <c r="G41" s="11" t="str">
        <f t="shared" si="35"/>
        <v/>
      </c>
      <c r="H41" s="11" t="str">
        <f t="shared" si="35"/>
        <v/>
      </c>
      <c r="I41" s="11" t="str">
        <f t="shared" si="35"/>
        <v/>
      </c>
      <c r="J41" s="11" t="str">
        <f t="shared" si="35"/>
        <v/>
      </c>
      <c r="K41" s="11" t="str">
        <f t="shared" si="35"/>
        <v/>
      </c>
      <c r="L41" s="11" t="str">
        <f t="shared" si="35"/>
        <v/>
      </c>
      <c r="M41" s="11" t="str">
        <f t="shared" si="35"/>
        <v/>
      </c>
      <c r="N41" s="6"/>
      <c r="O41" s="11">
        <f t="shared" ref="O41:V41" si="36">IF(O18="","",(O18/$O$23))</f>
        <v>1.8397662223566809</v>
      </c>
      <c r="P41" s="11" t="str">
        <f t="shared" si="36"/>
        <v/>
      </c>
      <c r="Q41" s="11" t="str">
        <f t="shared" si="36"/>
        <v/>
      </c>
      <c r="R41" s="11" t="str">
        <f t="shared" si="36"/>
        <v/>
      </c>
      <c r="S41" s="11" t="str">
        <f t="shared" si="36"/>
        <v/>
      </c>
      <c r="T41" s="11" t="str">
        <f t="shared" si="36"/>
        <v/>
      </c>
      <c r="U41" s="11" t="str">
        <f t="shared" si="36"/>
        <v/>
      </c>
      <c r="V41" s="11" t="str">
        <f t="shared" si="36"/>
        <v/>
      </c>
    </row>
    <row r="42" spans="1:22" x14ac:dyDescent="0.25">
      <c r="A42" s="227"/>
      <c r="B42" s="11" t="str">
        <f t="shared" ref="B42:M42" si="37">IF(B19="","",(B19/$O$23))</f>
        <v/>
      </c>
      <c r="C42" s="11" t="str">
        <f t="shared" si="37"/>
        <v/>
      </c>
      <c r="D42" s="11" t="str">
        <f t="shared" si="37"/>
        <v/>
      </c>
      <c r="E42" s="11" t="str">
        <f t="shared" si="37"/>
        <v/>
      </c>
      <c r="F42" s="11" t="str">
        <f t="shared" si="37"/>
        <v/>
      </c>
      <c r="G42" s="11" t="str">
        <f t="shared" si="37"/>
        <v/>
      </c>
      <c r="H42" s="11" t="str">
        <f t="shared" si="37"/>
        <v/>
      </c>
      <c r="I42" s="11" t="str">
        <f t="shared" si="37"/>
        <v/>
      </c>
      <c r="J42" s="11" t="str">
        <f t="shared" si="37"/>
        <v/>
      </c>
      <c r="K42" s="11" t="str">
        <f t="shared" si="37"/>
        <v/>
      </c>
      <c r="L42" s="11" t="str">
        <f t="shared" si="37"/>
        <v/>
      </c>
      <c r="M42" s="11" t="str">
        <f t="shared" si="37"/>
        <v/>
      </c>
      <c r="N42" s="6"/>
      <c r="O42" s="11">
        <f t="shared" ref="O42:V42" si="38">IF(O19="","",(O19/$O$23))</f>
        <v>1.2065949199738819</v>
      </c>
      <c r="P42" s="11" t="str">
        <f t="shared" si="38"/>
        <v/>
      </c>
      <c r="Q42" s="11" t="str">
        <f t="shared" si="38"/>
        <v/>
      </c>
      <c r="R42" s="11" t="str">
        <f t="shared" si="38"/>
        <v/>
      </c>
      <c r="S42" s="11" t="str">
        <f t="shared" si="38"/>
        <v/>
      </c>
      <c r="T42" s="11" t="str">
        <f t="shared" si="38"/>
        <v/>
      </c>
      <c r="U42" s="11" t="str">
        <f t="shared" si="38"/>
        <v/>
      </c>
      <c r="V42" s="11" t="str">
        <f t="shared" si="38"/>
        <v/>
      </c>
    </row>
    <row r="43" spans="1:22" x14ac:dyDescent="0.25">
      <c r="A43" s="227"/>
      <c r="B43" s="11" t="str">
        <f t="shared" ref="B43:M43" si="39">IF(B20="","",(B20/$O$23))</f>
        <v/>
      </c>
      <c r="C43" s="11" t="str">
        <f t="shared" si="39"/>
        <v/>
      </c>
      <c r="D43" s="11" t="str">
        <f t="shared" si="39"/>
        <v/>
      </c>
      <c r="E43" s="11" t="str">
        <f t="shared" si="39"/>
        <v/>
      </c>
      <c r="F43" s="11" t="str">
        <f t="shared" si="39"/>
        <v/>
      </c>
      <c r="G43" s="11" t="str">
        <f t="shared" si="39"/>
        <v/>
      </c>
      <c r="H43" s="11" t="str">
        <f t="shared" si="39"/>
        <v/>
      </c>
      <c r="I43" s="11" t="str">
        <f t="shared" si="39"/>
        <v/>
      </c>
      <c r="J43" s="11" t="str">
        <f t="shared" si="39"/>
        <v/>
      </c>
      <c r="K43" s="11" t="str">
        <f t="shared" si="39"/>
        <v/>
      </c>
      <c r="L43" s="11" t="str">
        <f t="shared" si="39"/>
        <v/>
      </c>
      <c r="M43" s="11" t="str">
        <f t="shared" si="39"/>
        <v/>
      </c>
      <c r="N43" s="6"/>
      <c r="O43" s="11">
        <f t="shared" ref="O43:V43" si="40">IF(O20="","",(O20/$O$23))</f>
        <v>1.0772258190571935</v>
      </c>
      <c r="P43" s="11" t="str">
        <f t="shared" si="40"/>
        <v/>
      </c>
      <c r="Q43" s="11" t="str">
        <f t="shared" si="40"/>
        <v/>
      </c>
      <c r="R43" s="11" t="str">
        <f t="shared" si="40"/>
        <v/>
      </c>
      <c r="S43" s="11" t="str">
        <f t="shared" si="40"/>
        <v/>
      </c>
      <c r="T43" s="11" t="str">
        <f t="shared" si="40"/>
        <v/>
      </c>
      <c r="U43" s="11" t="str">
        <f t="shared" si="40"/>
        <v/>
      </c>
      <c r="V43" s="11" t="str">
        <f t="shared" si="40"/>
        <v/>
      </c>
    </row>
    <row r="44" spans="1:22" x14ac:dyDescent="0.25">
      <c r="A44" s="7"/>
      <c r="B44" s="3"/>
      <c r="C44" s="3"/>
      <c r="D44" s="3"/>
      <c r="E44" s="3"/>
      <c r="F44" s="3"/>
      <c r="G44" s="3"/>
      <c r="H44" s="3"/>
      <c r="I44" s="3"/>
      <c r="J44" s="3"/>
      <c r="K44" s="3"/>
      <c r="L44" s="3"/>
      <c r="M44" s="3"/>
      <c r="N44" s="7"/>
      <c r="O44" s="3"/>
      <c r="P44" s="3"/>
      <c r="Q44" s="3"/>
      <c r="R44" s="3"/>
      <c r="S44" s="3"/>
      <c r="T44" s="3"/>
      <c r="U44" s="3"/>
      <c r="V44" s="3"/>
    </row>
    <row r="45" spans="1:22" x14ac:dyDescent="0.25">
      <c r="A45" s="7" t="str">
        <f>A4</f>
        <v>Noms des groupes</v>
      </c>
      <c r="B45" s="7" t="str">
        <f t="shared" ref="B45:R45" si="41">B4</f>
        <v>Témoin solvant</v>
      </c>
      <c r="C45" s="7" t="str">
        <f t="shared" si="41"/>
        <v>EE2-33,8ng/L</v>
      </c>
      <c r="D45" s="7" t="str">
        <f t="shared" si="41"/>
        <v>EE2-50,6ng/L</v>
      </c>
      <c r="E45" s="7" t="str">
        <f t="shared" si="41"/>
        <v>EE2-76ng/L</v>
      </c>
      <c r="F45" s="7" t="str">
        <f t="shared" si="41"/>
        <v>EE2-114ng/L</v>
      </c>
      <c r="G45" s="7" t="str">
        <f t="shared" si="41"/>
        <v>EE2-170,9ng/L</v>
      </c>
      <c r="H45" s="7" t="str">
        <f t="shared" si="41"/>
        <v>EE2-488ng/L</v>
      </c>
      <c r="I45" s="7" t="str">
        <f t="shared" si="41"/>
        <v>Testosterone 3,7µg/L</v>
      </c>
      <c r="J45" s="7" t="str">
        <f t="shared" si="41"/>
        <v>Testosterone 11µg/L</v>
      </c>
      <c r="K45" s="7" t="str">
        <f t="shared" ref="K45:M45" si="42">K4</f>
        <v>Testosterone 33µg/L</v>
      </c>
      <c r="L45" s="7" t="str">
        <f t="shared" si="42"/>
        <v>Testosterone 100µg/L</v>
      </c>
      <c r="M45" s="7" t="str">
        <f t="shared" si="42"/>
        <v>Testosterone 300µg/L</v>
      </c>
      <c r="N45" s="7"/>
      <c r="O45" s="7" t="str">
        <f t="shared" si="41"/>
        <v>Testo -30µg/L</v>
      </c>
      <c r="P45" s="7" t="str">
        <f t="shared" si="41"/>
        <v>Testo 30µg/L + EE2 -64ng/L</v>
      </c>
      <c r="Q45" s="7" t="str">
        <f t="shared" si="41"/>
        <v>Testo 30µg/L + FAD-10µg/L</v>
      </c>
      <c r="R45" s="7" t="str">
        <f t="shared" si="41"/>
        <v>Testosterone-3,7µg/L + Testostérone</v>
      </c>
      <c r="S45" s="7" t="str">
        <f t="shared" ref="S45:V45" si="43">S4</f>
        <v>Testosterone-11µg/L + Testostérone</v>
      </c>
      <c r="T45" s="7" t="str">
        <f t="shared" si="43"/>
        <v>Testosterone-33µg/L + Testostérone</v>
      </c>
      <c r="U45" s="7" t="str">
        <f t="shared" si="43"/>
        <v>Testosterone-100µg/L + Testostérone</v>
      </c>
      <c r="V45" s="7" t="str">
        <f t="shared" si="43"/>
        <v>Testosterone-300µg/L + Testostérone</v>
      </c>
    </row>
    <row r="46" spans="1:22" x14ac:dyDescent="0.25">
      <c r="A46" s="8" t="s">
        <v>0</v>
      </c>
      <c r="B46" s="10">
        <f t="shared" ref="B46:H46" si="44">AVERAGE(B28:B43)</f>
        <v>6.3333233364315483E-2</v>
      </c>
      <c r="C46" s="10">
        <f t="shared" si="44"/>
        <v>5.2155312848698988E-2</v>
      </c>
      <c r="D46" s="10">
        <f t="shared" si="44"/>
        <v>0.11935518633242354</v>
      </c>
      <c r="E46" s="10">
        <f t="shared" si="44"/>
        <v>0.5086730048545387</v>
      </c>
      <c r="F46" s="10">
        <f t="shared" si="44"/>
        <v>1.1762912567604127</v>
      </c>
      <c r="G46" s="10">
        <f t="shared" si="44"/>
        <v>1.6977679346224683</v>
      </c>
      <c r="H46" s="10">
        <f t="shared" si="44"/>
        <v>3.0741013324126798</v>
      </c>
      <c r="I46" s="10">
        <f>AVERAGE(I28:I43)</f>
        <v>8.8781271586128724E-2</v>
      </c>
      <c r="J46" s="9">
        <f>AVERAGE(J28:J43)</f>
        <v>0.1012564042136998</v>
      </c>
      <c r="K46" s="9">
        <f t="shared" ref="K46:M46" si="45">AVERAGE(K28:K43)</f>
        <v>0.60716528870437447</v>
      </c>
      <c r="L46" s="9">
        <f t="shared" si="45"/>
        <v>0.64192603999189246</v>
      </c>
      <c r="M46" s="9">
        <f t="shared" si="45"/>
        <v>1.0875006852437412</v>
      </c>
      <c r="N46" s="8" t="s">
        <v>0</v>
      </c>
      <c r="O46" s="10">
        <f t="shared" ref="O46:R46" si="46">AVERAGE(O28:O43)</f>
        <v>1.0000000000000002</v>
      </c>
      <c r="P46" s="10">
        <f t="shared" si="46"/>
        <v>1.5729471466782072</v>
      </c>
      <c r="Q46" s="10">
        <f t="shared" si="46"/>
        <v>0.20148749999952456</v>
      </c>
      <c r="R46" s="10">
        <f t="shared" si="46"/>
        <v>1.0608042438388501</v>
      </c>
      <c r="S46" s="10">
        <f t="shared" ref="S46:V46" si="47">AVERAGE(S28:S43)</f>
        <v>0.78231037801258729</v>
      </c>
      <c r="T46" s="10">
        <f t="shared" si="47"/>
        <v>0.76529903234047802</v>
      </c>
      <c r="U46" s="10">
        <f t="shared" si="47"/>
        <v>0.59396257956807985</v>
      </c>
      <c r="V46" s="10">
        <f t="shared" si="47"/>
        <v>0.51367105954746783</v>
      </c>
    </row>
    <row r="47" spans="1:22" x14ac:dyDescent="0.25">
      <c r="A47" s="8" t="s">
        <v>1</v>
      </c>
      <c r="B47" s="8">
        <f t="shared" ref="B47:J47" si="48">STDEV(B28:B43)</f>
        <v>9.1713215234679638E-2</v>
      </c>
      <c r="C47" s="8">
        <f t="shared" si="48"/>
        <v>3.8518078396387635E-2</v>
      </c>
      <c r="D47" s="8">
        <f t="shared" si="48"/>
        <v>8.6466098827318039E-2</v>
      </c>
      <c r="E47" s="8">
        <f t="shared" si="48"/>
        <v>0.36162521997818403</v>
      </c>
      <c r="F47" s="8">
        <f t="shared" si="48"/>
        <v>0.44118924524354458</v>
      </c>
      <c r="G47" s="8">
        <f t="shared" si="48"/>
        <v>0.52753207998667273</v>
      </c>
      <c r="H47" s="8">
        <f t="shared" si="48"/>
        <v>0.67010027953704809</v>
      </c>
      <c r="I47" s="8">
        <f t="shared" si="48"/>
        <v>8.7700199963083827E-2</v>
      </c>
      <c r="J47" s="8">
        <f t="shared" si="48"/>
        <v>6.4795462220011549E-2</v>
      </c>
      <c r="K47" s="8">
        <f t="shared" ref="K47:M47" si="49">STDEV(K28:K43)</f>
        <v>0.34857934781901029</v>
      </c>
      <c r="L47" s="8">
        <f t="shared" si="49"/>
        <v>0.45298890339468395</v>
      </c>
      <c r="M47" s="8">
        <f t="shared" si="49"/>
        <v>0.59711852509643237</v>
      </c>
      <c r="N47" s="8" t="s">
        <v>1</v>
      </c>
      <c r="O47" s="8">
        <f t="shared" ref="O47:R47" si="50">STDEV(O28:O43)</f>
        <v>0.48658566640383066</v>
      </c>
      <c r="P47" s="8">
        <f t="shared" si="50"/>
        <v>1.036006716674845</v>
      </c>
      <c r="Q47" s="8">
        <f t="shared" si="50"/>
        <v>0.15865370912130497</v>
      </c>
      <c r="R47" s="8">
        <f t="shared" si="50"/>
        <v>0.87118488591847043</v>
      </c>
      <c r="S47" s="8">
        <f t="shared" ref="S47:V47" si="51">STDEV(S28:S43)</f>
        <v>0.70499578608263547</v>
      </c>
      <c r="T47" s="8">
        <f t="shared" si="51"/>
        <v>0.5473829385807929</v>
      </c>
      <c r="U47" s="8">
        <f t="shared" si="51"/>
        <v>0.47043595799553389</v>
      </c>
      <c r="V47" s="8">
        <f t="shared" si="51"/>
        <v>0.36599432363272738</v>
      </c>
    </row>
    <row r="48" spans="1:22" x14ac:dyDescent="0.25">
      <c r="A48" s="8" t="s">
        <v>2</v>
      </c>
      <c r="B48" s="8">
        <f t="shared" ref="B48:J48" si="52" xml:space="preserve"> B47/SQRT(COUNT(B28:B43))</f>
        <v>3.2425518208431675E-2</v>
      </c>
      <c r="C48" s="8">
        <f t="shared" si="52"/>
        <v>1.3618197216180376E-2</v>
      </c>
      <c r="D48" s="8">
        <f t="shared" si="52"/>
        <v>3.0570382411771384E-2</v>
      </c>
      <c r="E48" s="8">
        <f t="shared" si="52"/>
        <v>0.12785382264732545</v>
      </c>
      <c r="F48" s="8">
        <f t="shared" si="52"/>
        <v>0.15598395354914255</v>
      </c>
      <c r="G48" s="8">
        <f t="shared" si="52"/>
        <v>0.18651075552601024</v>
      </c>
      <c r="H48" s="8">
        <f t="shared" si="52"/>
        <v>0.23691622586782388</v>
      </c>
      <c r="I48" s="8">
        <f t="shared" si="52"/>
        <v>3.1006703052656386E-2</v>
      </c>
      <c r="J48" s="8">
        <f t="shared" si="52"/>
        <v>2.2908655362943457E-2</v>
      </c>
      <c r="K48" s="8">
        <f t="shared" ref="K48:M48" si="53" xml:space="preserve"> K47/SQRT(COUNT(K28:K43))</f>
        <v>0.12324141031220316</v>
      </c>
      <c r="L48" s="8">
        <f t="shared" si="53"/>
        <v>0.16015576269631943</v>
      </c>
      <c r="M48" s="8">
        <f t="shared" si="53"/>
        <v>0.22568958866212008</v>
      </c>
      <c r="N48" s="8" t="s">
        <v>2</v>
      </c>
      <c r="O48" s="8">
        <f t="shared" ref="O48:R48" si="54" xml:space="preserve"> O47/SQRT(COUNT(O28:O43))</f>
        <v>0.12563587883235158</v>
      </c>
      <c r="P48" s="8">
        <f t="shared" si="54"/>
        <v>0.36628368735779654</v>
      </c>
      <c r="Q48" s="8">
        <f t="shared" si="54"/>
        <v>5.6092556790036371E-2</v>
      </c>
      <c r="R48" s="8">
        <f t="shared" si="54"/>
        <v>0.30801037025008959</v>
      </c>
      <c r="S48" s="8">
        <f t="shared" ref="S48:V48" si="55" xml:space="preserve"> S47/SQRT(COUNT(S28:S43))</f>
        <v>0.24925365052348608</v>
      </c>
      <c r="T48" s="8">
        <f t="shared" si="55"/>
        <v>0.19352909388814904</v>
      </c>
      <c r="U48" s="8">
        <f t="shared" si="55"/>
        <v>0.16632422800631591</v>
      </c>
      <c r="V48" s="8">
        <f t="shared" si="55"/>
        <v>0.1293985340582427</v>
      </c>
    </row>
    <row r="49" spans="1:22" ht="15.75" thickBot="1" x14ac:dyDescent="0.3">
      <c r="A49" s="8"/>
      <c r="B49" s="8"/>
      <c r="C49" s="8"/>
      <c r="D49" s="8"/>
      <c r="E49" s="8"/>
      <c r="F49" s="8"/>
      <c r="G49" s="8"/>
      <c r="H49" s="8"/>
      <c r="I49" s="8"/>
      <c r="J49" s="8"/>
      <c r="K49" s="8"/>
      <c r="L49" s="8"/>
      <c r="M49" s="8"/>
      <c r="N49" s="8"/>
      <c r="O49" s="8"/>
      <c r="P49" s="8"/>
      <c r="Q49" s="8"/>
      <c r="R49" s="8"/>
      <c r="S49" s="8"/>
      <c r="T49" s="8"/>
      <c r="U49" s="8"/>
      <c r="V49" s="8"/>
    </row>
    <row r="50" spans="1:22" ht="27" thickBot="1" x14ac:dyDescent="0.45">
      <c r="A50" s="218" t="s">
        <v>44</v>
      </c>
      <c r="B50" s="219"/>
      <c r="C50" s="219"/>
      <c r="D50" s="219"/>
      <c r="E50" s="219"/>
      <c r="F50" s="219"/>
      <c r="G50" s="219"/>
      <c r="H50" s="219"/>
      <c r="I50" s="219"/>
      <c r="J50" s="219"/>
      <c r="K50" s="219"/>
      <c r="L50" s="219"/>
      <c r="M50" s="219"/>
      <c r="N50" s="219"/>
      <c r="O50" s="219"/>
      <c r="P50" s="219"/>
      <c r="Q50" s="219"/>
      <c r="R50" s="219"/>
      <c r="S50" s="219"/>
      <c r="T50" s="219"/>
      <c r="U50" s="219"/>
      <c r="V50" s="219"/>
    </row>
    <row r="51" spans="1:22" customFormat="1" ht="15.75" thickBot="1" x14ac:dyDescent="0.3"/>
    <row r="52" spans="1:22" x14ac:dyDescent="0.25">
      <c r="A52" s="45" t="str">
        <f t="shared" ref="A52:H52" si="56">A27</f>
        <v>Noms des groupes</v>
      </c>
      <c r="B52" s="46" t="str">
        <f t="shared" si="56"/>
        <v>Témoin solvant</v>
      </c>
      <c r="C52" s="46" t="str">
        <f t="shared" si="56"/>
        <v>EE2-33,8ng/L</v>
      </c>
      <c r="D52" s="46" t="str">
        <f t="shared" si="56"/>
        <v>EE2-50,6ng/L</v>
      </c>
      <c r="E52" s="46" t="str">
        <f t="shared" si="56"/>
        <v>EE2-76ng/L</v>
      </c>
      <c r="F52" s="46" t="str">
        <f t="shared" si="56"/>
        <v>EE2-114ng/L</v>
      </c>
      <c r="G52" s="46" t="str">
        <f t="shared" si="56"/>
        <v>EE2-170,9ng/L</v>
      </c>
      <c r="H52" s="46" t="str">
        <f t="shared" si="56"/>
        <v>EE2-488ng/L</v>
      </c>
      <c r="I52" s="46" t="str">
        <f>I4</f>
        <v>Testosterone 3,7µg/L</v>
      </c>
      <c r="J52" s="46" t="str">
        <f>J4</f>
        <v>Testosterone 11µg/L</v>
      </c>
      <c r="K52" s="46" t="str">
        <f t="shared" ref="K52:M52" si="57">K4</f>
        <v>Testosterone 33µg/L</v>
      </c>
      <c r="L52" s="46" t="str">
        <f t="shared" si="57"/>
        <v>Testosterone 100µg/L</v>
      </c>
      <c r="M52" s="46" t="str">
        <f t="shared" si="57"/>
        <v>Testosterone 300µg/L</v>
      </c>
      <c r="N52" s="47"/>
      <c r="O52" s="46" t="str">
        <f>O27</f>
        <v>Testo -30µg/L</v>
      </c>
      <c r="P52" s="46" t="str">
        <f>P27</f>
        <v>Testo 30µg/L + EE2 -64ng/L</v>
      </c>
      <c r="Q52" s="46" t="str">
        <f>Q27</f>
        <v>Testo 30µg/L + FAD-10µg/L</v>
      </c>
      <c r="R52" s="46" t="str">
        <f>R27</f>
        <v>Testosterone-3,7µg/L + Testostérone</v>
      </c>
      <c r="S52" s="46" t="str">
        <f t="shared" ref="S52:V52" si="58">S27</f>
        <v>Testosterone-11µg/L + Testostérone</v>
      </c>
      <c r="T52" s="46" t="str">
        <f t="shared" si="58"/>
        <v>Testosterone-33µg/L + Testostérone</v>
      </c>
      <c r="U52" s="46" t="str">
        <f t="shared" si="58"/>
        <v>Testosterone-100µg/L + Testostérone</v>
      </c>
      <c r="V52" s="46" t="str">
        <f t="shared" si="58"/>
        <v>Testosterone-300µg/L + Testostérone</v>
      </c>
    </row>
    <row r="53" spans="1:22" s="3" customFormat="1" x14ac:dyDescent="0.25">
      <c r="A53" s="61" t="s">
        <v>32</v>
      </c>
      <c r="B53" s="141">
        <f t="shared" ref="B53" si="59">B46</f>
        <v>6.3333233364315483E-2</v>
      </c>
      <c r="C53" s="141">
        <f t="shared" ref="C53:V53" si="60">C46</f>
        <v>5.2155312848698988E-2</v>
      </c>
      <c r="D53" s="141">
        <f t="shared" si="60"/>
        <v>0.11935518633242354</v>
      </c>
      <c r="E53" s="141">
        <f t="shared" si="60"/>
        <v>0.5086730048545387</v>
      </c>
      <c r="F53" s="141">
        <f t="shared" si="60"/>
        <v>1.1762912567604127</v>
      </c>
      <c r="G53" s="141">
        <f t="shared" si="60"/>
        <v>1.6977679346224683</v>
      </c>
      <c r="H53" s="141">
        <f t="shared" si="60"/>
        <v>3.0741013324126798</v>
      </c>
      <c r="I53" s="141">
        <f t="shared" si="60"/>
        <v>8.8781271586128724E-2</v>
      </c>
      <c r="J53" s="141">
        <f t="shared" si="60"/>
        <v>0.1012564042136998</v>
      </c>
      <c r="K53" s="141">
        <f t="shared" si="60"/>
        <v>0.60716528870437447</v>
      </c>
      <c r="L53" s="141">
        <f t="shared" si="60"/>
        <v>0.64192603999189246</v>
      </c>
      <c r="M53" s="141">
        <f t="shared" si="60"/>
        <v>1.0875006852437412</v>
      </c>
      <c r="N53" s="141"/>
      <c r="O53" s="141">
        <f t="shared" si="60"/>
        <v>1.0000000000000002</v>
      </c>
      <c r="P53" s="141">
        <f t="shared" si="60"/>
        <v>1.5729471466782072</v>
      </c>
      <c r="Q53" s="141">
        <f t="shared" si="60"/>
        <v>0.20148749999952456</v>
      </c>
      <c r="R53" s="141">
        <f t="shared" si="60"/>
        <v>1.0608042438388501</v>
      </c>
      <c r="S53" s="141">
        <f t="shared" si="60"/>
        <v>0.78231037801258729</v>
      </c>
      <c r="T53" s="141">
        <f t="shared" si="60"/>
        <v>0.76529903234047802</v>
      </c>
      <c r="U53" s="141">
        <f t="shared" si="60"/>
        <v>0.59396257956807985</v>
      </c>
      <c r="V53" s="141">
        <f t="shared" si="60"/>
        <v>0.51367105954746783</v>
      </c>
    </row>
    <row r="54" spans="1:22" s="3" customFormat="1" x14ac:dyDescent="0.25">
      <c r="A54" s="61" t="s">
        <v>2</v>
      </c>
      <c r="B54" s="141">
        <f t="shared" ref="B54" si="61">B48</f>
        <v>3.2425518208431675E-2</v>
      </c>
      <c r="C54" s="141">
        <f t="shared" ref="C54:V54" si="62">C48</f>
        <v>1.3618197216180376E-2</v>
      </c>
      <c r="D54" s="141">
        <f t="shared" si="62"/>
        <v>3.0570382411771384E-2</v>
      </c>
      <c r="E54" s="141">
        <f t="shared" si="62"/>
        <v>0.12785382264732545</v>
      </c>
      <c r="F54" s="141">
        <f t="shared" si="62"/>
        <v>0.15598395354914255</v>
      </c>
      <c r="G54" s="141">
        <f t="shared" si="62"/>
        <v>0.18651075552601024</v>
      </c>
      <c r="H54" s="141">
        <f t="shared" si="62"/>
        <v>0.23691622586782388</v>
      </c>
      <c r="I54" s="141">
        <f t="shared" si="62"/>
        <v>3.1006703052656386E-2</v>
      </c>
      <c r="J54" s="141">
        <f t="shared" si="62"/>
        <v>2.2908655362943457E-2</v>
      </c>
      <c r="K54" s="141">
        <f t="shared" si="62"/>
        <v>0.12324141031220316</v>
      </c>
      <c r="L54" s="141">
        <f t="shared" si="62"/>
        <v>0.16015576269631943</v>
      </c>
      <c r="M54" s="141">
        <f t="shared" si="62"/>
        <v>0.22568958866212008</v>
      </c>
      <c r="N54" s="141"/>
      <c r="O54" s="141">
        <f t="shared" si="62"/>
        <v>0.12563587883235158</v>
      </c>
      <c r="P54" s="141">
        <f t="shared" si="62"/>
        <v>0.36628368735779654</v>
      </c>
      <c r="Q54" s="141">
        <f t="shared" si="62"/>
        <v>5.6092556790036371E-2</v>
      </c>
      <c r="R54" s="141">
        <f t="shared" si="62"/>
        <v>0.30801037025008959</v>
      </c>
      <c r="S54" s="141">
        <f t="shared" si="62"/>
        <v>0.24925365052348608</v>
      </c>
      <c r="T54" s="141">
        <f t="shared" si="62"/>
        <v>0.19352909388814904</v>
      </c>
      <c r="U54" s="141">
        <f t="shared" si="62"/>
        <v>0.16632422800631591</v>
      </c>
      <c r="V54" s="141">
        <f t="shared" si="62"/>
        <v>0.1293985340582427</v>
      </c>
    </row>
    <row r="55" spans="1:22" s="3" customFormat="1" x14ac:dyDescent="0.25">
      <c r="A55" s="61" t="s">
        <v>79</v>
      </c>
      <c r="B55" s="141">
        <f>(B53*100/$B53)-100</f>
        <v>0</v>
      </c>
      <c r="C55" s="141">
        <f t="shared" ref="C55:M55" si="63">(C53*100/$B53)-100</f>
        <v>-17.649376041354287</v>
      </c>
      <c r="D55" s="141">
        <f t="shared" si="63"/>
        <v>88.455854836669516</v>
      </c>
      <c r="E55" s="141">
        <f t="shared" si="63"/>
        <v>703.169170170847</v>
      </c>
      <c r="F55" s="141">
        <f t="shared" si="63"/>
        <v>1757.3049160366775</v>
      </c>
      <c r="G55" s="141">
        <f t="shared" si="63"/>
        <v>2580.6904439195423</v>
      </c>
      <c r="H55" s="141">
        <f t="shared" si="63"/>
        <v>4753.8518706748255</v>
      </c>
      <c r="I55" s="141">
        <f t="shared" si="63"/>
        <v>40.181176406116833</v>
      </c>
      <c r="J55" s="141">
        <f t="shared" si="63"/>
        <v>59.878785330975631</v>
      </c>
      <c r="K55" s="141">
        <f t="shared" si="63"/>
        <v>858.68354803826594</v>
      </c>
      <c r="L55" s="141">
        <f t="shared" si="63"/>
        <v>913.56903144247121</v>
      </c>
      <c r="M55" s="141">
        <f t="shared" si="63"/>
        <v>1617.1090555065252</v>
      </c>
      <c r="N55" s="141"/>
      <c r="O55" s="141">
        <f>(O53*100/$O53)-100</f>
        <v>0</v>
      </c>
      <c r="P55" s="141">
        <f t="shared" ref="P55:V55" si="64">(P53*100/$O53)-100</f>
        <v>57.294714667820699</v>
      </c>
      <c r="Q55" s="141">
        <f t="shared" si="64"/>
        <v>-79.851250000047543</v>
      </c>
      <c r="R55" s="141">
        <f t="shared" si="64"/>
        <v>6.0804243838849743</v>
      </c>
      <c r="S55" s="141">
        <f t="shared" si="64"/>
        <v>-21.768962198741278</v>
      </c>
      <c r="T55" s="141">
        <f t="shared" si="64"/>
        <v>-23.470096765952206</v>
      </c>
      <c r="U55" s="141">
        <f t="shared" si="64"/>
        <v>-40.603742043192028</v>
      </c>
      <c r="V55" s="141">
        <f t="shared" si="64"/>
        <v>-48.632894045253231</v>
      </c>
    </row>
    <row r="56" spans="1:22" s="3" customFormat="1" x14ac:dyDescent="0.25">
      <c r="A56" s="61" t="s">
        <v>81</v>
      </c>
      <c r="B56" s="141">
        <f>[1]!SWTEST(B28:B43)</f>
        <v>4.2484216260685326E-4</v>
      </c>
      <c r="C56" s="141">
        <f>[1]!SWTEST(C28:C43)</f>
        <v>0.22450931840103072</v>
      </c>
      <c r="D56" s="141">
        <f>[1]!SWTEST(D28:D43)</f>
        <v>7.9728983336261661E-2</v>
      </c>
      <c r="E56" s="141">
        <f>[1]!SWTEST(E28:E43)</f>
        <v>0.76552960262622538</v>
      </c>
      <c r="F56" s="141">
        <f>[1]!SWTEST(F28:F43)</f>
        <v>0.56741706585822305</v>
      </c>
      <c r="G56" s="141">
        <f>[1]!SWTEST(G28:G43)</f>
        <v>0.24287915586735953</v>
      </c>
      <c r="H56" s="141">
        <f>[1]!SWTEST(H28:H43)</f>
        <v>0.24287116227671213</v>
      </c>
      <c r="I56" s="141">
        <f>[1]!SWTEST(I28:I43)</f>
        <v>7.1067582180219802E-3</v>
      </c>
      <c r="J56" s="141">
        <f>[1]!SWTEST(J28:J43)</f>
        <v>0.53736159494046731</v>
      </c>
      <c r="K56" s="141">
        <f>[1]!SWTEST(K28:K43)</f>
        <v>0.13968362153653535</v>
      </c>
      <c r="L56" s="141">
        <f>[1]!SWTEST(L28:L43)</f>
        <v>5.6969738750124788E-2</v>
      </c>
      <c r="M56" s="141">
        <f>[1]!SWTEST(M28:M43)</f>
        <v>0.51811758322215318</v>
      </c>
      <c r="N56" s="141"/>
      <c r="O56" s="141">
        <f>[1]!SWTEST(O28:O43)</f>
        <v>0.6919481032933894</v>
      </c>
      <c r="P56" s="141">
        <f>[1]!SWTEST(P28:P43)</f>
        <v>0.59592541457450021</v>
      </c>
      <c r="Q56" s="141">
        <f>[1]!SWTEST(Q28:Q43)</f>
        <v>0.51136304546079969</v>
      </c>
      <c r="R56" s="141">
        <f>[1]!SWTEST(R28:R43)</f>
        <v>0.46856577726323301</v>
      </c>
      <c r="S56" s="141">
        <f>[1]!SWTEST(S28:S43)</f>
        <v>0.44994059937601871</v>
      </c>
      <c r="T56" s="141">
        <f>[1]!SWTEST(T28:T43)</f>
        <v>0.4270746283181972</v>
      </c>
      <c r="U56" s="141">
        <f>[1]!SWTEST(U28:U43)</f>
        <v>0.16913928457712535</v>
      </c>
      <c r="V56" s="141">
        <f>[1]!SWTEST(V28:V43)</f>
        <v>0.84622492113304859</v>
      </c>
    </row>
    <row r="57" spans="1:22" s="3" customFormat="1" x14ac:dyDescent="0.25">
      <c r="A57" s="61" t="s">
        <v>85</v>
      </c>
      <c r="B57" s="141" t="str">
        <f>IF(B56&gt;0.05,"Oui","Non")</f>
        <v>Non</v>
      </c>
      <c r="C57" s="141" t="str">
        <f t="shared" ref="C57:V57" si="65">IF(C56&gt;0.05,"Oui","Non")</f>
        <v>Oui</v>
      </c>
      <c r="D57" s="141" t="str">
        <f t="shared" si="65"/>
        <v>Oui</v>
      </c>
      <c r="E57" s="141" t="str">
        <f t="shared" si="65"/>
        <v>Oui</v>
      </c>
      <c r="F57" s="141" t="str">
        <f t="shared" si="65"/>
        <v>Oui</v>
      </c>
      <c r="G57" s="141" t="str">
        <f t="shared" si="65"/>
        <v>Oui</v>
      </c>
      <c r="H57" s="141" t="str">
        <f t="shared" si="65"/>
        <v>Oui</v>
      </c>
      <c r="I57" s="141" t="str">
        <f t="shared" si="65"/>
        <v>Non</v>
      </c>
      <c r="J57" s="141" t="str">
        <f t="shared" si="65"/>
        <v>Oui</v>
      </c>
      <c r="K57" s="141" t="str">
        <f t="shared" si="65"/>
        <v>Oui</v>
      </c>
      <c r="L57" s="141" t="str">
        <f t="shared" si="65"/>
        <v>Oui</v>
      </c>
      <c r="M57" s="141" t="str">
        <f t="shared" si="65"/>
        <v>Oui</v>
      </c>
      <c r="N57" s="141"/>
      <c r="O57" s="141" t="str">
        <f t="shared" si="65"/>
        <v>Oui</v>
      </c>
      <c r="P57" s="141" t="str">
        <f t="shared" si="65"/>
        <v>Oui</v>
      </c>
      <c r="Q57" s="141" t="str">
        <f t="shared" si="65"/>
        <v>Oui</v>
      </c>
      <c r="R57" s="141" t="str">
        <f t="shared" si="65"/>
        <v>Oui</v>
      </c>
      <c r="S57" s="141" t="str">
        <f t="shared" si="65"/>
        <v>Oui</v>
      </c>
      <c r="T57" s="141" t="str">
        <f t="shared" si="65"/>
        <v>Oui</v>
      </c>
      <c r="U57" s="141" t="str">
        <f t="shared" si="65"/>
        <v>Oui</v>
      </c>
      <c r="V57" s="141" t="str">
        <f t="shared" si="65"/>
        <v>Oui</v>
      </c>
    </row>
    <row r="58" spans="1:22" s="3" customFormat="1" x14ac:dyDescent="0.25">
      <c r="A58" s="61"/>
      <c r="B58" s="141"/>
      <c r="C58" s="141"/>
      <c r="D58" s="141"/>
      <c r="E58" s="141"/>
      <c r="F58" s="141"/>
      <c r="G58" s="141"/>
      <c r="H58" s="141"/>
      <c r="I58" s="141"/>
      <c r="J58" s="141"/>
      <c r="K58" s="141"/>
      <c r="L58" s="141"/>
      <c r="M58" s="141"/>
      <c r="N58" s="148"/>
      <c r="O58" s="149"/>
      <c r="P58" s="141"/>
      <c r="Q58" s="141"/>
      <c r="R58" s="141"/>
      <c r="S58" s="141"/>
      <c r="T58" s="141"/>
      <c r="U58" s="141"/>
      <c r="V58" s="141"/>
    </row>
    <row r="59" spans="1:22" s="3" customFormat="1" x14ac:dyDescent="0.25">
      <c r="A59" s="61" t="s">
        <v>82</v>
      </c>
      <c r="B59" s="150"/>
      <c r="C59" s="150" t="s">
        <v>3065</v>
      </c>
      <c r="D59" s="150" t="s">
        <v>3065</v>
      </c>
      <c r="E59" s="150" t="s">
        <v>3065</v>
      </c>
      <c r="F59" s="150" t="s">
        <v>3065</v>
      </c>
      <c r="G59" s="150" t="s">
        <v>3065</v>
      </c>
      <c r="H59" s="150" t="s">
        <v>3065</v>
      </c>
      <c r="I59" s="150" t="s">
        <v>3065</v>
      </c>
      <c r="J59" s="150" t="s">
        <v>3065</v>
      </c>
      <c r="K59" s="150" t="s">
        <v>3065</v>
      </c>
      <c r="L59" s="150" t="s">
        <v>3065</v>
      </c>
      <c r="M59" s="150" t="s">
        <v>3065</v>
      </c>
      <c r="N59" s="150"/>
      <c r="O59" s="150" t="str">
        <f t="shared" ref="O59" si="66">IF($B57="Non",IF(O57="Non","MW",IF(O57="Oui","MW","")),IF($B57="Oui",IF(O57="Oui","T-Test Welch",IF(O57="Non","MW",""))))</f>
        <v>MW</v>
      </c>
      <c r="P59" s="150" t="str">
        <f>IF($O57="Non",IF(P57="Non","MW",IF(P57="Oui","MW","")),IF($O57="Oui",IF(P57="Oui","T-Test Welch",IF(P57="Non","MW",""))))</f>
        <v>T-Test Welch</v>
      </c>
      <c r="Q59" s="150" t="str">
        <f t="shared" ref="Q59" si="67">IF($O57="Non",IF(Q57="Non","MW",IF(Q57="Oui","MW","")),IF($O57="Oui",IF(Q57="Oui","T-Test Welch",IF(Q57="Non","MW",""))))</f>
        <v>T-Test Welch</v>
      </c>
      <c r="R59" s="150" t="s">
        <v>3066</v>
      </c>
      <c r="S59" s="150" t="s">
        <v>3066</v>
      </c>
      <c r="T59" s="150" t="s">
        <v>3066</v>
      </c>
      <c r="U59" s="150" t="s">
        <v>3066</v>
      </c>
      <c r="V59" s="150" t="s">
        <v>3066</v>
      </c>
    </row>
    <row r="60" spans="1:22" s="3" customFormat="1" ht="15.75" x14ac:dyDescent="0.25">
      <c r="A60" s="61" t="s">
        <v>83</v>
      </c>
      <c r="B60" s="151"/>
      <c r="C60" s="196">
        <v>0.99990000000000001</v>
      </c>
      <c r="D60" s="196">
        <v>0.99990000000000001</v>
      </c>
      <c r="E60" s="196">
        <v>0.19120000000000001</v>
      </c>
      <c r="F60" s="196">
        <v>3.2000000000000002E-3</v>
      </c>
      <c r="G60" s="196">
        <v>2.0000000000000001E-4</v>
      </c>
      <c r="H60" s="196">
        <v>1E-4</v>
      </c>
      <c r="I60" s="196">
        <v>0.99990000000000001</v>
      </c>
      <c r="J60" s="196">
        <v>0.99990000000000001</v>
      </c>
      <c r="K60" s="196">
        <v>1.5E-3</v>
      </c>
      <c r="L60" s="196">
        <v>1.1999999999999999E-3</v>
      </c>
      <c r="M60" s="196">
        <v>1E-4</v>
      </c>
      <c r="N60" s="151"/>
      <c r="O60" s="196">
        <v>1E-4</v>
      </c>
      <c r="P60" s="196">
        <v>0.17430000000000001</v>
      </c>
      <c r="Q60" s="196">
        <v>1E-4</v>
      </c>
      <c r="R60" s="196">
        <v>0.99960000000000004</v>
      </c>
      <c r="S60" s="196">
        <v>0.86270000000000002</v>
      </c>
      <c r="T60" s="196">
        <v>0.82499999999999996</v>
      </c>
      <c r="U60" s="196">
        <v>0.376</v>
      </c>
      <c r="V60" s="196">
        <v>0.21990000000000001</v>
      </c>
    </row>
    <row r="61" spans="1:22" s="3" customFormat="1" ht="15.75" thickBot="1" x14ac:dyDescent="0.3">
      <c r="A61" s="62" t="s">
        <v>84</v>
      </c>
      <c r="B61" s="142"/>
      <c r="C61" s="142" t="str">
        <f t="shared" ref="C61:O61" si="68">IF(C60&gt;0.05,"NS",IF(C60&gt;0.01,"*",IF(C60&gt;0.001,"**","***")))</f>
        <v>NS</v>
      </c>
      <c r="D61" s="142" t="str">
        <f t="shared" si="68"/>
        <v>NS</v>
      </c>
      <c r="E61" s="142" t="str">
        <f t="shared" si="68"/>
        <v>NS</v>
      </c>
      <c r="F61" s="142" t="str">
        <f t="shared" si="68"/>
        <v>**</v>
      </c>
      <c r="G61" s="142" t="str">
        <f t="shared" si="68"/>
        <v>***</v>
      </c>
      <c r="H61" s="142" t="str">
        <f t="shared" si="68"/>
        <v>***</v>
      </c>
      <c r="I61" s="142" t="str">
        <f t="shared" si="68"/>
        <v>NS</v>
      </c>
      <c r="J61" s="142" t="str">
        <f t="shared" si="68"/>
        <v>NS</v>
      </c>
      <c r="K61" s="142" t="str">
        <f t="shared" si="68"/>
        <v>**</v>
      </c>
      <c r="L61" s="142" t="str">
        <f t="shared" si="68"/>
        <v>**</v>
      </c>
      <c r="M61" s="142" t="str">
        <f t="shared" si="68"/>
        <v>***</v>
      </c>
      <c r="N61" s="142"/>
      <c r="O61" s="142" t="str">
        <f t="shared" si="68"/>
        <v>***</v>
      </c>
      <c r="P61" s="142" t="str">
        <f>IF(P60&gt;0.05,"NS",IF(P60&gt;0.01,"*",IF(P60&gt;0.001,"**","***")))</f>
        <v>NS</v>
      </c>
      <c r="Q61" s="142" t="str">
        <f t="shared" ref="Q61:V61" si="69">IF(Q60&gt;0.05,"NS",IF(Q60&gt;0.01,"*",IF(Q60&gt;0.001,"**","***")))</f>
        <v>***</v>
      </c>
      <c r="R61" s="142" t="str">
        <f t="shared" si="69"/>
        <v>NS</v>
      </c>
      <c r="S61" s="142" t="str">
        <f t="shared" si="69"/>
        <v>NS</v>
      </c>
      <c r="T61" s="142" t="str">
        <f t="shared" si="69"/>
        <v>NS</v>
      </c>
      <c r="U61" s="142" t="str">
        <f t="shared" si="69"/>
        <v>NS</v>
      </c>
      <c r="V61" s="142" t="str">
        <f t="shared" si="69"/>
        <v>NS</v>
      </c>
    </row>
    <row r="63" spans="1:22" x14ac:dyDescent="0.25">
      <c r="A63" s="2" t="s">
        <v>39</v>
      </c>
    </row>
    <row r="64" spans="1:22" x14ac:dyDescent="0.25">
      <c r="A64" s="1" t="s">
        <v>23</v>
      </c>
      <c r="B64" s="1">
        <f>B46+(3*B47)</f>
        <v>0.33847287906835444</v>
      </c>
    </row>
    <row r="65" spans="1:22" x14ac:dyDescent="0.25">
      <c r="A65" s="1" t="s">
        <v>24</v>
      </c>
      <c r="B65" s="1">
        <f>B46+(10*B47)</f>
        <v>0.98046538571111186</v>
      </c>
    </row>
    <row r="66" spans="1:22" ht="15.75" thickBot="1" x14ac:dyDescent="0.3"/>
    <row r="67" spans="1:22" ht="27" thickBot="1" x14ac:dyDescent="0.45">
      <c r="A67" s="218" t="s">
        <v>45</v>
      </c>
      <c r="B67" s="219"/>
      <c r="C67" s="219"/>
      <c r="D67" s="219"/>
      <c r="E67" s="219"/>
      <c r="F67" s="219"/>
      <c r="G67" s="219"/>
      <c r="H67" s="219"/>
      <c r="I67" s="219"/>
      <c r="J67" s="219"/>
      <c r="K67" s="219"/>
      <c r="L67" s="219"/>
      <c r="M67" s="219"/>
      <c r="N67" s="219"/>
      <c r="O67" s="219"/>
      <c r="P67" s="219"/>
      <c r="Q67" s="219"/>
      <c r="R67" s="219"/>
      <c r="S67" s="219"/>
      <c r="T67" s="219"/>
      <c r="U67" s="219"/>
      <c r="V67" s="219"/>
    </row>
    <row r="68" spans="1:22" ht="16.5" x14ac:dyDescent="0.25">
      <c r="A68" s="12"/>
      <c r="B68" s="12"/>
      <c r="C68" s="12"/>
      <c r="D68" s="12"/>
      <c r="E68" s="12"/>
      <c r="F68" s="12"/>
      <c r="N68" s="12"/>
      <c r="O68" s="12"/>
      <c r="P68" s="12"/>
      <c r="Q68" s="12"/>
      <c r="R68" s="12"/>
      <c r="S68" s="12"/>
      <c r="T68" s="12"/>
      <c r="U68" s="12"/>
      <c r="V68" s="12"/>
    </row>
    <row r="69" spans="1:22" ht="16.5" x14ac:dyDescent="0.25">
      <c r="A69" s="12"/>
      <c r="B69" s="12"/>
      <c r="C69" s="196"/>
      <c r="D69" s="12"/>
      <c r="E69" s="12"/>
      <c r="F69" s="12"/>
      <c r="N69" s="12"/>
      <c r="O69" s="12"/>
      <c r="P69" s="12"/>
      <c r="Q69" s="12"/>
      <c r="R69" s="12"/>
      <c r="S69" s="12"/>
      <c r="T69" s="12"/>
      <c r="U69" s="12"/>
      <c r="V69" s="12"/>
    </row>
    <row r="70" spans="1:22" ht="16.5" x14ac:dyDescent="0.25">
      <c r="A70" s="12"/>
      <c r="B70" s="12"/>
      <c r="C70" s="196"/>
      <c r="D70" s="12"/>
      <c r="E70" s="12"/>
      <c r="F70" s="12"/>
      <c r="N70" s="12"/>
      <c r="O70" s="12"/>
      <c r="P70" s="12"/>
      <c r="Q70" s="12"/>
      <c r="R70" s="196"/>
      <c r="S70" s="12"/>
      <c r="T70" s="12"/>
      <c r="U70" s="12"/>
      <c r="V70" s="12"/>
    </row>
    <row r="71" spans="1:22" ht="16.5" x14ac:dyDescent="0.25">
      <c r="A71" s="12"/>
      <c r="B71" s="12"/>
      <c r="C71" s="196"/>
      <c r="D71" s="12"/>
      <c r="E71" s="12"/>
      <c r="F71" s="12"/>
      <c r="N71" s="12"/>
      <c r="O71" s="12"/>
      <c r="P71" s="12"/>
      <c r="Q71" s="12"/>
      <c r="R71" s="196"/>
      <c r="S71" s="12"/>
      <c r="T71" s="12"/>
      <c r="U71" s="12"/>
      <c r="V71" s="12"/>
    </row>
    <row r="72" spans="1:22" ht="16.5" x14ac:dyDescent="0.25">
      <c r="A72" s="12"/>
      <c r="B72" s="12"/>
      <c r="C72" s="196"/>
      <c r="D72" s="12"/>
      <c r="E72" s="12"/>
      <c r="F72" s="12"/>
      <c r="I72" s="196"/>
      <c r="N72" s="12"/>
      <c r="O72" s="12"/>
      <c r="P72" s="12"/>
      <c r="Q72" s="12"/>
      <c r="R72" s="196"/>
      <c r="S72" s="12"/>
      <c r="T72" s="196"/>
      <c r="U72" s="12"/>
      <c r="V72" s="12"/>
    </row>
    <row r="73" spans="1:22" ht="16.5" x14ac:dyDescent="0.25">
      <c r="A73" s="12"/>
      <c r="B73" s="12"/>
      <c r="C73" s="196"/>
      <c r="D73" s="12"/>
      <c r="E73" s="12"/>
      <c r="F73" s="12"/>
      <c r="I73" s="196"/>
      <c r="N73" s="12"/>
      <c r="O73" s="12"/>
      <c r="P73" s="12"/>
      <c r="Q73" s="12"/>
      <c r="R73" s="196"/>
      <c r="S73" s="12"/>
      <c r="T73" s="196"/>
      <c r="U73" s="12"/>
      <c r="V73" s="12"/>
    </row>
    <row r="74" spans="1:22" ht="16.5" x14ac:dyDescent="0.25">
      <c r="A74" s="12"/>
      <c r="B74" s="12"/>
      <c r="C74" s="196"/>
      <c r="D74" s="12"/>
      <c r="E74" s="12"/>
      <c r="F74" s="12"/>
      <c r="I74" s="196"/>
      <c r="N74" s="12"/>
      <c r="O74" s="12"/>
      <c r="P74" s="12"/>
      <c r="Q74" s="12"/>
      <c r="R74" s="196"/>
      <c r="S74" s="12"/>
      <c r="T74" s="196"/>
      <c r="U74" s="12"/>
      <c r="V74" s="12"/>
    </row>
    <row r="75" spans="1:22" ht="15.75" x14ac:dyDescent="0.25">
      <c r="I75" s="196"/>
      <c r="T75" s="196"/>
    </row>
    <row r="76" spans="1:22" ht="15.75" x14ac:dyDescent="0.25">
      <c r="I76" s="196"/>
      <c r="T76" s="196"/>
    </row>
  </sheetData>
  <protectedRanges>
    <protectedRange sqref="O51:V51" name="Plage2"/>
    <protectedRange sqref="R5:V20" name="Plage1"/>
    <protectedRange sqref="B51:J51" name="Plage2_1"/>
    <protectedRange sqref="O5:O20 B5:J20" name="Plage1_1"/>
  </protectedRanges>
  <mergeCells count="9">
    <mergeCell ref="A1:V1"/>
    <mergeCell ref="A67:V67"/>
    <mergeCell ref="A5:A20"/>
    <mergeCell ref="B3:M3"/>
    <mergeCell ref="O3:V3"/>
    <mergeCell ref="B26:M26"/>
    <mergeCell ref="O26:V26"/>
    <mergeCell ref="A28:A43"/>
    <mergeCell ref="A50:V50"/>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N1711"/>
  <sheetViews>
    <sheetView showGridLines="0" topLeftCell="R1" zoomScale="80" zoomScaleNormal="80" workbookViewId="0">
      <selection activeCell="AC4" sqref="AC4"/>
    </sheetView>
  </sheetViews>
  <sheetFormatPr baseColWidth="10" defaultColWidth="11.42578125" defaultRowHeight="15" x14ac:dyDescent="0.25"/>
  <cols>
    <col min="1" max="2" width="15" style="1" customWidth="1"/>
    <col min="3" max="3" width="25.42578125" style="1" customWidth="1"/>
    <col min="4" max="4" width="14" style="1" customWidth="1"/>
    <col min="5" max="5" width="21.140625" style="1" customWidth="1"/>
    <col min="6" max="6" width="11.42578125" style="1"/>
    <col min="7" max="7" width="21.42578125" style="1" customWidth="1"/>
    <col min="8" max="8" width="12.28515625" style="1" customWidth="1"/>
    <col min="9" max="9" width="17.140625" style="1" customWidth="1"/>
    <col min="10" max="10" width="11.42578125" style="1"/>
    <col min="11" max="11" width="37.42578125" style="1" bestFit="1" customWidth="1"/>
    <col min="12" max="12" width="38.42578125" style="1" bestFit="1" customWidth="1"/>
    <col min="13" max="14" width="12.85546875" style="1" customWidth="1"/>
    <col min="15" max="25" width="12.28515625" style="1" customWidth="1"/>
    <col min="26" max="16384" width="11.42578125" style="1"/>
  </cols>
  <sheetData>
    <row r="1" spans="1:144" x14ac:dyDescent="0.25">
      <c r="A1" s="1" t="s">
        <v>107</v>
      </c>
      <c r="B1" s="1" t="s">
        <v>108</v>
      </c>
      <c r="C1" s="1" t="s">
        <v>109</v>
      </c>
      <c r="D1" s="1" t="s">
        <v>110</v>
      </c>
      <c r="E1" s="1" t="s">
        <v>111</v>
      </c>
      <c r="F1" s="1" t="s">
        <v>112</v>
      </c>
      <c r="G1" s="1" t="s">
        <v>113</v>
      </c>
      <c r="H1" s="1" t="s">
        <v>117</v>
      </c>
      <c r="I1" s="1" t="s">
        <v>118</v>
      </c>
      <c r="J1" s="1" t="s">
        <v>1648</v>
      </c>
      <c r="K1" s="118"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25">
      <c r="A2" s="1" t="str">
        <f t="shared" ref="A2:A65" si="0">IFERROR(LEFT(RIGHT(C2,LEN(C2)-SEARCH("@",C2)),SEARCH("/",RIGHT(C2,LEN(C2)-SEARCH("@",C2)-1))),"")</f>
        <v>01 Evian + 0.2% DMSO</v>
      </c>
      <c r="B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 s="1" t="s">
        <v>3067</v>
      </c>
      <c r="D2" s="1" t="s">
        <v>204</v>
      </c>
      <c r="E2" s="1" t="s">
        <v>3068</v>
      </c>
      <c r="F2" s="1" t="s">
        <v>112</v>
      </c>
      <c r="G2" s="1">
        <v>18602</v>
      </c>
      <c r="K2" s="155" t="s">
        <v>120</v>
      </c>
      <c r="L2" s="155"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25">
      <c r="A3" s="1" t="str">
        <f t="shared" si="0"/>
        <v>01 Evian + 0.2% DMSO</v>
      </c>
      <c r="B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 s="1" t="s">
        <v>3069</v>
      </c>
      <c r="D3" s="1" t="s">
        <v>209</v>
      </c>
      <c r="E3" s="1" t="s">
        <v>3070</v>
      </c>
      <c r="F3" s="1" t="s">
        <v>112</v>
      </c>
      <c r="G3" s="1">
        <v>43260</v>
      </c>
      <c r="K3" s="118" t="s">
        <v>153</v>
      </c>
      <c r="L3" s="118"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25">
      <c r="A4" s="1" t="str">
        <f t="shared" si="0"/>
        <v>01 Evian + 0.2% DMSO</v>
      </c>
      <c r="B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 s="1" t="s">
        <v>3071</v>
      </c>
      <c r="D4" s="1" t="s">
        <v>220</v>
      </c>
      <c r="E4" s="1" t="s">
        <v>3072</v>
      </c>
      <c r="F4" s="1" t="s">
        <v>112</v>
      </c>
      <c r="G4" s="1">
        <v>266567</v>
      </c>
      <c r="K4" s="118" t="s">
        <v>100</v>
      </c>
      <c r="L4" s="1" t="s">
        <v>1649</v>
      </c>
      <c r="M4" s="1" t="s">
        <v>1650</v>
      </c>
      <c r="N4" s="1" t="s">
        <v>1651</v>
      </c>
      <c r="O4" s="1" t="s">
        <v>1652</v>
      </c>
      <c r="P4" s="1" t="s">
        <v>1653</v>
      </c>
      <c r="Q4" s="1" t="s">
        <v>1654</v>
      </c>
      <c r="R4" s="1" t="s">
        <v>1655</v>
      </c>
      <c r="S4" s="1" t="s">
        <v>1656</v>
      </c>
      <c r="T4" s="1" t="s">
        <v>1657</v>
      </c>
      <c r="U4" s="1" t="s">
        <v>1658</v>
      </c>
      <c r="V4" s="1" t="s">
        <v>1659</v>
      </c>
      <c r="W4" s="1" t="s">
        <v>1660</v>
      </c>
      <c r="X4" s="1" t="s">
        <v>1661</v>
      </c>
      <c r="Y4" s="1" t="s">
        <v>1662</v>
      </c>
      <c r="Z4" s="1" t="s">
        <v>1663</v>
      </c>
      <c r="AA4" s="1" t="s">
        <v>1664</v>
      </c>
      <c r="AB4" s="1" t="s">
        <v>1665</v>
      </c>
      <c r="AC4" s="1" t="s">
        <v>1666</v>
      </c>
      <c r="AD4" s="1" t="s">
        <v>1667</v>
      </c>
      <c r="AE4" s="1" t="s">
        <v>1668</v>
      </c>
      <c r="AF4" s="1" t="s">
        <v>1669</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25">
      <c r="A5" s="1" t="str">
        <f t="shared" si="0"/>
        <v>01 Evian + 0.2% DMSO</v>
      </c>
      <c r="B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 s="1" t="s">
        <v>3073</v>
      </c>
      <c r="D5" s="1" t="s">
        <v>209</v>
      </c>
      <c r="E5" s="1" t="s">
        <v>3074</v>
      </c>
      <c r="F5" s="1" t="s">
        <v>112</v>
      </c>
      <c r="G5" s="1">
        <v>42633</v>
      </c>
      <c r="K5" s="145" t="s">
        <v>163</v>
      </c>
      <c r="L5" s="44">
        <v>109476.33333333333</v>
      </c>
      <c r="M5" s="44">
        <v>253971</v>
      </c>
      <c r="N5" s="44">
        <v>329524</v>
      </c>
      <c r="O5" s="44">
        <v>723877</v>
      </c>
      <c r="P5" s="44"/>
      <c r="Q5" s="44">
        <v>1816868</v>
      </c>
      <c r="R5" s="44">
        <v>4912264.333333333</v>
      </c>
      <c r="S5" s="44">
        <v>242507.33333333334</v>
      </c>
      <c r="T5" s="44"/>
      <c r="U5" s="44">
        <v>2734732.6666666665</v>
      </c>
      <c r="V5" s="44">
        <v>418913.33333333331</v>
      </c>
      <c r="W5" s="44">
        <v>1057680.3333333333</v>
      </c>
      <c r="X5" s="44">
        <v>2578125</v>
      </c>
      <c r="Y5" s="44">
        <v>754955.33333333337</v>
      </c>
      <c r="Z5" s="44">
        <v>880387.33333333337</v>
      </c>
      <c r="AA5" s="44">
        <v>162866</v>
      </c>
      <c r="AB5" s="44">
        <v>1041241.5</v>
      </c>
      <c r="AC5" s="44">
        <v>63937.666666666664</v>
      </c>
      <c r="AD5" s="44">
        <v>2678386.6666666665</v>
      </c>
      <c r="AE5" s="44">
        <v>4746788.666666667</v>
      </c>
      <c r="AF5" s="44">
        <v>3781908</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25">
      <c r="A6" s="1" t="str">
        <f t="shared" si="0"/>
        <v>01 Evian + 0.2% DMSO</v>
      </c>
      <c r="B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 s="1" t="s">
        <v>3075</v>
      </c>
      <c r="D6" s="1" t="s">
        <v>690</v>
      </c>
      <c r="E6" s="1" t="s">
        <v>193</v>
      </c>
      <c r="F6" s="1" t="s">
        <v>112</v>
      </c>
      <c r="G6" s="1">
        <v>41854</v>
      </c>
      <c r="K6" s="145" t="s">
        <v>1670</v>
      </c>
      <c r="L6" s="44">
        <v>51998.333333333336</v>
      </c>
      <c r="M6" s="44">
        <v>61464.666666666664</v>
      </c>
      <c r="N6" s="44">
        <v>116700.33333333333</v>
      </c>
      <c r="O6" s="44">
        <v>534107.33333333337</v>
      </c>
      <c r="P6" s="44">
        <v>1680491.3333333333</v>
      </c>
      <c r="Q6" s="44">
        <v>4049015.3333333335</v>
      </c>
      <c r="R6" s="44">
        <v>2656252</v>
      </c>
      <c r="S6" s="44">
        <v>298665.33333333331</v>
      </c>
      <c r="T6" s="44">
        <v>60859.666666666664</v>
      </c>
      <c r="U6" s="44">
        <v>2967470</v>
      </c>
      <c r="V6" s="44">
        <v>3749780</v>
      </c>
      <c r="W6" s="44">
        <v>4266273.333333333</v>
      </c>
      <c r="X6" s="44">
        <v>2399072.3333333335</v>
      </c>
      <c r="Y6" s="44">
        <v>129685.33333333333</v>
      </c>
      <c r="Z6" s="44">
        <v>245549.66666666666</v>
      </c>
      <c r="AA6" s="44">
        <v>21867.666666666668</v>
      </c>
      <c r="AB6" s="44">
        <v>2691635</v>
      </c>
      <c r="AC6" s="44">
        <v>538433</v>
      </c>
      <c r="AD6" s="44">
        <v>2203343.6666666665</v>
      </c>
      <c r="AE6" s="44">
        <v>252406.33333333334</v>
      </c>
      <c r="AF6" s="44">
        <v>3985027</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25">
      <c r="A7" s="1" t="str">
        <f t="shared" si="0"/>
        <v>01 Evian + 0.2% DMSO</v>
      </c>
      <c r="B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 s="1" t="s">
        <v>3076</v>
      </c>
      <c r="D7" s="1" t="s">
        <v>403</v>
      </c>
      <c r="E7" s="1" t="s">
        <v>3077</v>
      </c>
      <c r="F7" s="1" t="s">
        <v>112</v>
      </c>
      <c r="G7" s="1">
        <v>71508</v>
      </c>
      <c r="K7" s="145" t="s">
        <v>1671</v>
      </c>
      <c r="L7" s="44">
        <v>501366.66666666669</v>
      </c>
      <c r="M7" s="44">
        <v>223061.66666666666</v>
      </c>
      <c r="N7" s="44">
        <v>257871.5</v>
      </c>
      <c r="O7" s="44"/>
      <c r="P7" s="44">
        <v>194993.33333333334</v>
      </c>
      <c r="Q7" s="44">
        <v>3770242</v>
      </c>
      <c r="R7" s="44">
        <v>1451618</v>
      </c>
      <c r="S7" s="44">
        <v>35653.333333333336</v>
      </c>
      <c r="T7" s="44">
        <v>362481</v>
      </c>
      <c r="U7" s="44">
        <v>2965790</v>
      </c>
      <c r="V7" s="44">
        <v>3125224.3333333335</v>
      </c>
      <c r="W7" s="44">
        <v>1437955.6666666667</v>
      </c>
      <c r="X7" s="44">
        <v>3785685.5</v>
      </c>
      <c r="Y7" s="44">
        <v>4431576</v>
      </c>
      <c r="Z7" s="44">
        <v>2979373.6666666665</v>
      </c>
      <c r="AA7" s="44">
        <v>61486.666666666664</v>
      </c>
      <c r="AB7" s="44">
        <v>1949704.3333333333</v>
      </c>
      <c r="AC7" s="44">
        <v>115352</v>
      </c>
      <c r="AD7" s="44">
        <v>1301546.5</v>
      </c>
      <c r="AE7" s="44">
        <v>410427</v>
      </c>
      <c r="AF7" s="44">
        <v>770056.5</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25">
      <c r="A8" s="1" t="str">
        <f t="shared" si="0"/>
        <v>01 Evian + 0.2% DMSO</v>
      </c>
      <c r="B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8" s="1" t="s">
        <v>3078</v>
      </c>
      <c r="D8" s="1" t="s">
        <v>3079</v>
      </c>
      <c r="E8" s="1" t="s">
        <v>3080</v>
      </c>
      <c r="F8" s="1" t="s">
        <v>112</v>
      </c>
      <c r="G8" s="1">
        <v>596769</v>
      </c>
      <c r="K8" s="145" t="s">
        <v>1672</v>
      </c>
      <c r="L8" s="44">
        <v>47614.666666666664</v>
      </c>
      <c r="M8" s="44">
        <v>229428.33333333334</v>
      </c>
      <c r="N8" s="44">
        <v>61072</v>
      </c>
      <c r="O8" s="44">
        <v>1062424.3333333333</v>
      </c>
      <c r="P8" s="44">
        <v>231288.5</v>
      </c>
      <c r="Q8" s="44">
        <v>2627224.6666666665</v>
      </c>
      <c r="R8" s="44">
        <v>7620702.333333333</v>
      </c>
      <c r="S8" s="44">
        <v>210927.33333333334</v>
      </c>
      <c r="T8" s="44">
        <v>603863.33333333337</v>
      </c>
      <c r="U8" s="44">
        <v>1639034</v>
      </c>
      <c r="V8" s="44">
        <v>112540.33333333333</v>
      </c>
      <c r="W8" s="44">
        <v>642538</v>
      </c>
      <c r="X8" s="44">
        <v>1735842</v>
      </c>
      <c r="Y8" s="44">
        <v>1461294</v>
      </c>
      <c r="Z8" s="44">
        <v>3805895</v>
      </c>
      <c r="AA8" s="44">
        <v>736490.66666666663</v>
      </c>
      <c r="AB8" s="44">
        <v>2604311.6666666665</v>
      </c>
      <c r="AC8" s="44">
        <v>219197.33333333334</v>
      </c>
      <c r="AD8" s="44">
        <v>1493068.6666666667</v>
      </c>
      <c r="AE8" s="44">
        <v>2659280</v>
      </c>
      <c r="AF8" s="44">
        <v>87666</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25">
      <c r="A9" s="1" t="str">
        <f t="shared" si="0"/>
        <v>01 Evian + 0.2% DMSO</v>
      </c>
      <c r="B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9" s="1" t="s">
        <v>3081</v>
      </c>
      <c r="D9" s="1" t="s">
        <v>3082</v>
      </c>
      <c r="E9" s="1" t="s">
        <v>3083</v>
      </c>
      <c r="F9" s="1" t="s">
        <v>112</v>
      </c>
      <c r="G9" s="1">
        <v>466103</v>
      </c>
      <c r="K9" s="145" t="s">
        <v>1673</v>
      </c>
      <c r="L9" s="44">
        <v>306056</v>
      </c>
      <c r="M9" s="44">
        <v>29452.666666666668</v>
      </c>
      <c r="N9" s="44">
        <v>300900.66666666669</v>
      </c>
      <c r="O9" s="44">
        <v>619429.66666666663</v>
      </c>
      <c r="P9" s="44">
        <v>1982444.6666666667</v>
      </c>
      <c r="Q9" s="44">
        <v>2452650</v>
      </c>
      <c r="R9" s="44">
        <v>6264522</v>
      </c>
      <c r="S9" s="44">
        <v>22538.333333333332</v>
      </c>
      <c r="T9" s="44">
        <v>179268.66666666666</v>
      </c>
      <c r="U9" s="44">
        <v>2684688</v>
      </c>
      <c r="V9" s="44">
        <v>659798.33333333337</v>
      </c>
      <c r="W9" s="44">
        <v>1234375</v>
      </c>
      <c r="X9" s="44">
        <v>3025816.5</v>
      </c>
      <c r="Y9" s="44">
        <v>2394696.3333333335</v>
      </c>
      <c r="Z9" s="44">
        <v>6026272.5</v>
      </c>
      <c r="AA9" s="44">
        <v>322134</v>
      </c>
      <c r="AB9" s="44">
        <v>4065785.6666666665</v>
      </c>
      <c r="AC9" s="44">
        <v>3171699.6666666665</v>
      </c>
      <c r="AD9" s="44">
        <v>3352136</v>
      </c>
      <c r="AE9" s="44">
        <v>2070918</v>
      </c>
      <c r="AF9" s="44">
        <v>2086628.6666666667</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25">
      <c r="A10" s="1" t="str">
        <f t="shared" si="0"/>
        <v>01 Evian + 0.2% DMSO</v>
      </c>
      <c r="B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 s="1" t="s">
        <v>3084</v>
      </c>
      <c r="D10" s="1" t="s">
        <v>3085</v>
      </c>
      <c r="E10" s="1" t="s">
        <v>3086</v>
      </c>
      <c r="F10" s="1" t="s">
        <v>112</v>
      </c>
      <c r="G10" s="1">
        <v>441228</v>
      </c>
      <c r="K10" s="145" t="s">
        <v>1674</v>
      </c>
      <c r="L10" s="44">
        <v>13648.333333333334</v>
      </c>
      <c r="M10" s="44">
        <v>14578.666666666666</v>
      </c>
      <c r="N10" s="44">
        <v>216774.66666666666</v>
      </c>
      <c r="O10" s="44">
        <v>354023.66666666669</v>
      </c>
      <c r="P10" s="44">
        <v>2283078.6666666665</v>
      </c>
      <c r="Q10" s="44">
        <v>3264621.3333333335</v>
      </c>
      <c r="R10" s="44">
        <v>5795023.666666667</v>
      </c>
      <c r="S10" s="44">
        <v>384954.33333333331</v>
      </c>
      <c r="T10" s="44">
        <v>12697</v>
      </c>
      <c r="U10" s="44">
        <v>1866710.3333333333</v>
      </c>
      <c r="V10" s="44">
        <v>421761.33333333331</v>
      </c>
      <c r="W10" s="44">
        <v>2603352.6666666665</v>
      </c>
      <c r="X10" s="44">
        <v>2387197.6666666665</v>
      </c>
      <c r="Y10" s="44">
        <v>3630347</v>
      </c>
      <c r="Z10" s="44">
        <v>4951919</v>
      </c>
      <c r="AA10" s="44">
        <v>36176</v>
      </c>
      <c r="AB10" s="44">
        <v>51024.5</v>
      </c>
      <c r="AC10" s="44">
        <v>1842492</v>
      </c>
      <c r="AD10" s="44">
        <v>2630440.3333333335</v>
      </c>
      <c r="AE10" s="44">
        <v>1220650.5</v>
      </c>
      <c r="AF10" s="44">
        <v>2287830.3333333335</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25">
      <c r="A11" s="1" t="str">
        <f t="shared" si="0"/>
        <v>01 Evian + 0.2% DMSO</v>
      </c>
      <c r="B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 s="1" t="s">
        <v>3087</v>
      </c>
      <c r="D11" s="1" t="s">
        <v>209</v>
      </c>
      <c r="E11" s="1" t="s">
        <v>3088</v>
      </c>
      <c r="F11" s="1" t="s">
        <v>112</v>
      </c>
      <c r="G11" s="1">
        <v>42265</v>
      </c>
      <c r="K11" s="145" t="s">
        <v>1675</v>
      </c>
      <c r="L11" s="44">
        <v>16388.333333333332</v>
      </c>
      <c r="M11" s="44">
        <v>186969</v>
      </c>
      <c r="N11" s="44">
        <v>436913</v>
      </c>
      <c r="O11" s="44">
        <v>238534.33333333334</v>
      </c>
      <c r="P11" s="44">
        <v>1483378</v>
      </c>
      <c r="Q11" s="44">
        <v>4075418.3333333335</v>
      </c>
      <c r="R11" s="44">
        <v>3005315.3333333335</v>
      </c>
      <c r="S11" s="44">
        <v>486471</v>
      </c>
      <c r="T11" s="44">
        <v>13627</v>
      </c>
      <c r="U11" s="44">
        <v>1343000.3333333333</v>
      </c>
      <c r="V11" s="44">
        <v>727946.66666666663</v>
      </c>
      <c r="W11" s="44">
        <v>1782317.6666666667</v>
      </c>
      <c r="X11" s="44">
        <v>2286878</v>
      </c>
      <c r="Y11" s="44">
        <v>3777884.6666666665</v>
      </c>
      <c r="Z11" s="44">
        <v>3601161.3333333335</v>
      </c>
      <c r="AA11" s="44">
        <v>448330</v>
      </c>
      <c r="AB11" s="44">
        <v>136679.5</v>
      </c>
      <c r="AC11" s="44">
        <v>199845.66666666666</v>
      </c>
      <c r="AD11" s="44">
        <v>1680196</v>
      </c>
      <c r="AE11" s="44">
        <v>4296858</v>
      </c>
      <c r="AF11" s="44">
        <v>4194317.666666667</v>
      </c>
      <c r="AG11"/>
    </row>
    <row r="12" spans="1:144" x14ac:dyDescent="0.25">
      <c r="A12" s="1" t="str">
        <f t="shared" si="0"/>
        <v>01 Evian + 0.2% DMSO</v>
      </c>
      <c r="B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2" s="1" t="s">
        <v>3089</v>
      </c>
      <c r="D12" s="1" t="s">
        <v>321</v>
      </c>
      <c r="E12" s="1" t="s">
        <v>3090</v>
      </c>
      <c r="F12" s="1" t="s">
        <v>112</v>
      </c>
      <c r="G12" s="1">
        <v>47240</v>
      </c>
      <c r="K12" s="145" t="s">
        <v>1676</v>
      </c>
      <c r="L12" s="44">
        <v>23973</v>
      </c>
      <c r="M12" s="44">
        <v>79071.666666666672</v>
      </c>
      <c r="N12" s="44">
        <v>76710.5</v>
      </c>
      <c r="O12" s="44">
        <v>377160.66666666669</v>
      </c>
      <c r="P12" s="44">
        <v>2000736.6666666667</v>
      </c>
      <c r="Q12" s="44">
        <v>2723434.6666666665</v>
      </c>
      <c r="R12" s="44">
        <v>7074850.333333333</v>
      </c>
      <c r="S12" s="44">
        <v>65300.333333333336</v>
      </c>
      <c r="T12" s="44">
        <v>19200</v>
      </c>
      <c r="U12" s="44">
        <v>657801.33333333337</v>
      </c>
      <c r="V12" s="44">
        <v>988983.66666666663</v>
      </c>
      <c r="W12" s="44">
        <v>1505137.6666666667</v>
      </c>
      <c r="X12" s="44">
        <v>575593.33333333337</v>
      </c>
      <c r="Y12" s="44">
        <v>3120184.3333333335</v>
      </c>
      <c r="Z12" s="44">
        <v>4157590.3333333335</v>
      </c>
      <c r="AA12" s="44">
        <v>181741.66666666666</v>
      </c>
      <c r="AB12" s="44">
        <v>659957</v>
      </c>
      <c r="AC12" s="44">
        <v>511943.66666666669</v>
      </c>
      <c r="AD12" s="44">
        <v>1392316.3333333333</v>
      </c>
      <c r="AE12" s="44">
        <v>401061.5</v>
      </c>
      <c r="AF12" s="44">
        <v>212441.66666666666</v>
      </c>
      <c r="AG12"/>
    </row>
    <row r="13" spans="1:144" x14ac:dyDescent="0.25">
      <c r="A13" s="1" t="str">
        <f t="shared" si="0"/>
        <v>01 Evian + 0.2% DMSO</v>
      </c>
      <c r="B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3" s="1" t="s">
        <v>3091</v>
      </c>
      <c r="D13" s="1" t="s">
        <v>1811</v>
      </c>
      <c r="E13" s="1" t="s">
        <v>3092</v>
      </c>
      <c r="F13" s="1" t="s">
        <v>112</v>
      </c>
      <c r="G13" s="1">
        <v>53339</v>
      </c>
      <c r="K13"/>
      <c r="L13"/>
      <c r="M13"/>
      <c r="N13"/>
      <c r="O13"/>
      <c r="P13"/>
      <c r="Q13"/>
      <c r="R13"/>
      <c r="S13"/>
      <c r="T13"/>
      <c r="U13"/>
      <c r="V13"/>
      <c r="W13"/>
      <c r="X13"/>
      <c r="Y13"/>
      <c r="Z13"/>
      <c r="AA13"/>
      <c r="AB13"/>
      <c r="AC13"/>
      <c r="AD13"/>
      <c r="AE13"/>
      <c r="AF13"/>
      <c r="AG13"/>
    </row>
    <row r="14" spans="1:144" x14ac:dyDescent="0.25">
      <c r="A14" s="1" t="str">
        <f t="shared" si="0"/>
        <v>01 Evian + 0.2% DMSO</v>
      </c>
      <c r="B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 s="1" t="s">
        <v>3093</v>
      </c>
      <c r="D14" s="1" t="s">
        <v>1793</v>
      </c>
      <c r="E14" s="1" t="s">
        <v>3094</v>
      </c>
      <c r="F14" s="1" t="s">
        <v>112</v>
      </c>
      <c r="G14" s="1">
        <v>431927</v>
      </c>
      <c r="K14"/>
      <c r="L14"/>
      <c r="M14"/>
      <c r="N14"/>
      <c r="O14"/>
      <c r="P14"/>
      <c r="Q14"/>
      <c r="R14"/>
      <c r="S14"/>
      <c r="T14"/>
      <c r="U14"/>
      <c r="V14"/>
      <c r="W14"/>
      <c r="X14"/>
      <c r="Y14"/>
      <c r="Z14"/>
      <c r="AA14"/>
      <c r="AB14"/>
      <c r="AC14"/>
      <c r="AD14"/>
      <c r="AE14"/>
      <c r="AF14"/>
      <c r="AG14"/>
    </row>
    <row r="15" spans="1:144" x14ac:dyDescent="0.25">
      <c r="A15" s="1" t="str">
        <f t="shared" si="0"/>
        <v>01 Evian + 0.2% DMSO</v>
      </c>
      <c r="B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5" s="1" t="s">
        <v>3095</v>
      </c>
      <c r="D15" s="1" t="s">
        <v>268</v>
      </c>
      <c r="E15" s="1" t="s">
        <v>3096</v>
      </c>
      <c r="F15" s="1" t="s">
        <v>112</v>
      </c>
      <c r="G15" s="1">
        <v>139297</v>
      </c>
    </row>
    <row r="16" spans="1:144" x14ac:dyDescent="0.25">
      <c r="A16" s="1" t="str">
        <f t="shared" si="0"/>
        <v>01 Evian + 0.2% DMSO</v>
      </c>
      <c r="B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6" s="1" t="s">
        <v>3097</v>
      </c>
      <c r="D16" s="1" t="s">
        <v>1273</v>
      </c>
      <c r="E16" s="1" t="s">
        <v>3098</v>
      </c>
      <c r="F16" s="1" t="s">
        <v>112</v>
      </c>
      <c r="G16" s="1">
        <v>346944</v>
      </c>
    </row>
    <row r="17" spans="1:10" x14ac:dyDescent="0.25">
      <c r="A17" s="1" t="str">
        <f t="shared" si="0"/>
        <v>01 Evian + 0.2% DMSO</v>
      </c>
      <c r="B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7" s="1" t="s">
        <v>3099</v>
      </c>
      <c r="D17" s="1" t="s">
        <v>357</v>
      </c>
      <c r="E17" s="1" t="s">
        <v>3100</v>
      </c>
      <c r="F17" s="1" t="s">
        <v>112</v>
      </c>
      <c r="G17" s="1">
        <v>20159</v>
      </c>
    </row>
    <row r="18" spans="1:10" x14ac:dyDescent="0.25">
      <c r="A18" s="1" t="str">
        <f t="shared" si="0"/>
        <v>01 Evian + 0.2% DMSO</v>
      </c>
      <c r="B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 s="1" t="s">
        <v>3101</v>
      </c>
      <c r="D18" s="1" t="s">
        <v>223</v>
      </c>
      <c r="E18" s="1" t="s">
        <v>2162</v>
      </c>
      <c r="F18" s="1" t="s">
        <v>112</v>
      </c>
      <c r="G18" s="1">
        <v>12632</v>
      </c>
    </row>
    <row r="19" spans="1:10" x14ac:dyDescent="0.25">
      <c r="A19" s="1" t="str">
        <f t="shared" si="0"/>
        <v>01 Evian + 0.2% DMSO</v>
      </c>
      <c r="B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9" s="1" t="s">
        <v>3102</v>
      </c>
      <c r="D19" s="1" t="s">
        <v>698</v>
      </c>
      <c r="E19" s="1" t="s">
        <v>3103</v>
      </c>
      <c r="F19" s="1" t="s">
        <v>112</v>
      </c>
      <c r="G19" s="1">
        <v>8154</v>
      </c>
    </row>
    <row r="20" spans="1:10" x14ac:dyDescent="0.25">
      <c r="A20" s="1" t="str">
        <f t="shared" si="0"/>
        <v>01 Evian + 0.2% DMSO</v>
      </c>
      <c r="B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0" s="1" t="s">
        <v>3104</v>
      </c>
      <c r="D20" s="1" t="s">
        <v>693</v>
      </c>
      <c r="E20" s="1" t="s">
        <v>3105</v>
      </c>
      <c r="F20" s="1" t="s">
        <v>112</v>
      </c>
      <c r="G20" s="1">
        <v>25545</v>
      </c>
    </row>
    <row r="21" spans="1:10" x14ac:dyDescent="0.25">
      <c r="A21" s="1" t="str">
        <f t="shared" si="0"/>
        <v>01 Evian + 0.2% DMSO</v>
      </c>
      <c r="B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 s="1" t="s">
        <v>3106</v>
      </c>
      <c r="D21" s="1" t="s">
        <v>274</v>
      </c>
      <c r="E21" s="1" t="s">
        <v>1819</v>
      </c>
      <c r="F21" s="1" t="s">
        <v>112</v>
      </c>
      <c r="G21" s="1">
        <v>13865</v>
      </c>
    </row>
    <row r="22" spans="1:10" x14ac:dyDescent="0.25">
      <c r="A22" s="1" t="str">
        <f t="shared" si="0"/>
        <v>01 Evian + 0.2% DMSO</v>
      </c>
      <c r="B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2" s="1" t="s">
        <v>3107</v>
      </c>
      <c r="D22" s="1" t="s">
        <v>289</v>
      </c>
      <c r="E22" s="1" t="s">
        <v>3108</v>
      </c>
      <c r="F22" s="1" t="s">
        <v>112</v>
      </c>
      <c r="G22" s="1">
        <v>9755</v>
      </c>
    </row>
    <row r="23" spans="1:10" x14ac:dyDescent="0.25">
      <c r="A23" s="1" t="str">
        <f t="shared" si="0"/>
        <v>01 Evian + 0.2% DMSO</v>
      </c>
      <c r="B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3" s="1" t="s">
        <v>3109</v>
      </c>
      <c r="D23" s="1" t="s">
        <v>357</v>
      </c>
      <c r="E23" s="1" t="s">
        <v>3110</v>
      </c>
      <c r="F23" s="1" t="s">
        <v>112</v>
      </c>
      <c r="G23" s="1">
        <v>20700</v>
      </c>
    </row>
    <row r="24" spans="1:10" x14ac:dyDescent="0.25">
      <c r="A24" s="1" t="str">
        <f t="shared" si="0"/>
        <v>01 Evian + 0.2% DMSO</v>
      </c>
      <c r="B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4" s="1" t="s">
        <v>3111</v>
      </c>
      <c r="D24" s="1" t="s">
        <v>3112</v>
      </c>
      <c r="E24" s="1" t="s">
        <v>3113</v>
      </c>
      <c r="F24" s="1" t="s">
        <v>112</v>
      </c>
      <c r="G24" s="1">
        <v>38674</v>
      </c>
    </row>
    <row r="25" spans="1:10" x14ac:dyDescent="0.25">
      <c r="A25" s="1" t="str">
        <f t="shared" si="0"/>
        <v>01 Evian + 0.2% DMSO</v>
      </c>
      <c r="B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 s="1" t="s">
        <v>3114</v>
      </c>
      <c r="D25" s="1" t="s">
        <v>223</v>
      </c>
      <c r="E25" s="1" t="s">
        <v>3115</v>
      </c>
      <c r="F25" s="1" t="s">
        <v>112</v>
      </c>
      <c r="G25" s="1">
        <v>12545</v>
      </c>
    </row>
    <row r="26" spans="1:10" x14ac:dyDescent="0.25">
      <c r="A26" s="1" t="str">
        <f t="shared" si="0"/>
        <v/>
      </c>
      <c r="B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 s="1" t="s">
        <v>112</v>
      </c>
    </row>
    <row r="27" spans="1:10" x14ac:dyDescent="0.25">
      <c r="A27" s="1" t="str">
        <f t="shared" si="0"/>
        <v/>
      </c>
      <c r="B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7" s="1" t="s">
        <v>229</v>
      </c>
      <c r="D27" s="1" t="s">
        <v>112</v>
      </c>
      <c r="E27" s="1" t="s">
        <v>230</v>
      </c>
      <c r="F27" s="1" t="s">
        <v>231</v>
      </c>
      <c r="G27" s="1" t="s">
        <v>232</v>
      </c>
      <c r="H27" s="1" t="s">
        <v>233</v>
      </c>
      <c r="I27" s="1" t="s">
        <v>234</v>
      </c>
      <c r="J27" s="1" t="s">
        <v>235</v>
      </c>
    </row>
    <row r="28" spans="1:10" x14ac:dyDescent="0.25">
      <c r="A28" s="1" t="str">
        <f t="shared" si="0"/>
        <v>01 Evian + 0.2% DMSO</v>
      </c>
      <c r="B2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8" s="1" t="s">
        <v>3116</v>
      </c>
      <c r="D28" s="1" t="s">
        <v>112</v>
      </c>
      <c r="E28" s="1" t="s">
        <v>3117</v>
      </c>
      <c r="F28" s="1" t="s">
        <v>3118</v>
      </c>
      <c r="G28" s="1" t="s">
        <v>3119</v>
      </c>
      <c r="H28" s="1" t="s">
        <v>3120</v>
      </c>
      <c r="I28" s="1">
        <v>24</v>
      </c>
      <c r="J28" s="1">
        <v>24</v>
      </c>
    </row>
    <row r="29" spans="1:10" x14ac:dyDescent="0.25">
      <c r="A29" s="1" t="str">
        <f t="shared" si="0"/>
        <v/>
      </c>
      <c r="B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 s="1" t="s">
        <v>112</v>
      </c>
    </row>
    <row r="30" spans="1:10" x14ac:dyDescent="0.25">
      <c r="A30" s="1" t="str">
        <f t="shared" si="0"/>
        <v/>
      </c>
      <c r="B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0" s="1" t="s">
        <v>112</v>
      </c>
    </row>
    <row r="31" spans="1:10" x14ac:dyDescent="0.25">
      <c r="A31" s="1" t="str">
        <f t="shared" si="0"/>
        <v/>
      </c>
      <c r="B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1" s="1" t="s">
        <v>112</v>
      </c>
    </row>
    <row r="32" spans="1:10" x14ac:dyDescent="0.25">
      <c r="A32" s="1" t="str">
        <f t="shared" si="0"/>
        <v/>
      </c>
      <c r="B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 s="1" t="s">
        <v>112</v>
      </c>
    </row>
    <row r="33" spans="1:7" x14ac:dyDescent="0.25">
      <c r="A33" s="1" t="str">
        <f t="shared" si="0"/>
        <v/>
      </c>
      <c r="B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 s="1" t="s">
        <v>112</v>
      </c>
    </row>
    <row r="34" spans="1:7" x14ac:dyDescent="0.25">
      <c r="A34" s="1" t="str">
        <f t="shared" si="0"/>
        <v/>
      </c>
      <c r="B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4" s="1" t="s">
        <v>241</v>
      </c>
      <c r="D34" s="1" t="s">
        <v>110</v>
      </c>
      <c r="E34" s="1" t="s">
        <v>111</v>
      </c>
      <c r="F34" s="1" t="s">
        <v>112</v>
      </c>
      <c r="G34" s="1" t="s">
        <v>113</v>
      </c>
    </row>
    <row r="35" spans="1:7" x14ac:dyDescent="0.25">
      <c r="A35" s="1" t="str">
        <f t="shared" si="0"/>
        <v>02 EE2 33.8</v>
      </c>
      <c r="B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5" s="1" t="s">
        <v>3121</v>
      </c>
      <c r="D35" s="1" t="s">
        <v>2975</v>
      </c>
      <c r="E35" s="1" t="s">
        <v>3122</v>
      </c>
      <c r="F35" s="1" t="s">
        <v>112</v>
      </c>
      <c r="G35" s="1">
        <v>370434</v>
      </c>
    </row>
    <row r="36" spans="1:7" x14ac:dyDescent="0.25">
      <c r="A36" s="1" t="str">
        <f t="shared" si="0"/>
        <v>02 EE2 33.8</v>
      </c>
      <c r="B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 s="1" t="s">
        <v>3123</v>
      </c>
      <c r="D36" s="1" t="s">
        <v>249</v>
      </c>
      <c r="E36" s="1" t="s">
        <v>3124</v>
      </c>
      <c r="F36" s="1" t="s">
        <v>112</v>
      </c>
      <c r="G36" s="1">
        <v>48732</v>
      </c>
    </row>
    <row r="37" spans="1:7" x14ac:dyDescent="0.25">
      <c r="A37" s="1" t="str">
        <f t="shared" si="0"/>
        <v>02 EE2 33.8</v>
      </c>
      <c r="B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7" s="1" t="s">
        <v>3125</v>
      </c>
      <c r="D37" s="1" t="s">
        <v>3126</v>
      </c>
      <c r="E37" s="1" t="s">
        <v>3127</v>
      </c>
      <c r="F37" s="1" t="s">
        <v>112</v>
      </c>
      <c r="G37" s="1">
        <v>342747</v>
      </c>
    </row>
    <row r="38" spans="1:7" x14ac:dyDescent="0.25">
      <c r="A38" s="1" t="str">
        <f t="shared" si="0"/>
        <v>02 EE2 33.8</v>
      </c>
      <c r="B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8" s="1" t="s">
        <v>3128</v>
      </c>
      <c r="D38" s="1" t="s">
        <v>3129</v>
      </c>
      <c r="E38" s="1" t="s">
        <v>3130</v>
      </c>
      <c r="F38" s="1" t="s">
        <v>112</v>
      </c>
      <c r="G38" s="1">
        <v>130363</v>
      </c>
    </row>
    <row r="39" spans="1:7" x14ac:dyDescent="0.25">
      <c r="A39" s="1" t="str">
        <f t="shared" si="0"/>
        <v>02 EE2 33.8</v>
      </c>
      <c r="B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9" s="1" t="s">
        <v>3131</v>
      </c>
      <c r="D39" s="1" t="s">
        <v>289</v>
      </c>
      <c r="E39" s="1">
        <v>64</v>
      </c>
      <c r="F39" s="1" t="s">
        <v>112</v>
      </c>
      <c r="G39" s="1">
        <v>9690</v>
      </c>
    </row>
    <row r="40" spans="1:7" x14ac:dyDescent="0.25">
      <c r="A40" s="1" t="str">
        <f t="shared" si="0"/>
        <v>02 EE2 33.8</v>
      </c>
      <c r="B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 s="1" t="s">
        <v>3132</v>
      </c>
      <c r="D40" s="1" t="s">
        <v>360</v>
      </c>
      <c r="E40" s="1" t="s">
        <v>3133</v>
      </c>
      <c r="F40" s="1" t="s">
        <v>112</v>
      </c>
      <c r="G40" s="1">
        <v>44341</v>
      </c>
    </row>
    <row r="41" spans="1:7" x14ac:dyDescent="0.25">
      <c r="A41" s="1" t="str">
        <f t="shared" si="0"/>
        <v>02 EE2 33.8</v>
      </c>
      <c r="B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1" s="1" t="s">
        <v>3134</v>
      </c>
      <c r="D41" s="1" t="s">
        <v>399</v>
      </c>
      <c r="E41" s="1" t="s">
        <v>3135</v>
      </c>
      <c r="F41" s="1" t="s">
        <v>112</v>
      </c>
      <c r="G41" s="1">
        <v>377485</v>
      </c>
    </row>
    <row r="42" spans="1:7" x14ac:dyDescent="0.25">
      <c r="A42" s="1" t="str">
        <f t="shared" si="0"/>
        <v>02 EE2 33.8</v>
      </c>
      <c r="B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2" s="1" t="s">
        <v>3136</v>
      </c>
      <c r="D42" s="1" t="s">
        <v>2168</v>
      </c>
      <c r="E42" s="1" t="s">
        <v>3137</v>
      </c>
      <c r="F42" s="1" t="s">
        <v>112</v>
      </c>
      <c r="G42" s="1">
        <v>146672</v>
      </c>
    </row>
    <row r="43" spans="1:7" x14ac:dyDescent="0.25">
      <c r="A43" s="1" t="str">
        <f t="shared" si="0"/>
        <v>02 EE2 33.8</v>
      </c>
      <c r="B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 s="1" t="s">
        <v>3138</v>
      </c>
      <c r="D43" s="1" t="s">
        <v>268</v>
      </c>
      <c r="E43" s="1" t="s">
        <v>3139</v>
      </c>
      <c r="F43" s="1" t="s">
        <v>112</v>
      </c>
      <c r="G43" s="1">
        <v>145028</v>
      </c>
    </row>
    <row r="44" spans="1:7" x14ac:dyDescent="0.25">
      <c r="A44" s="1" t="str">
        <f t="shared" si="0"/>
        <v>02 EE2 33.8</v>
      </c>
      <c r="B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 s="1" t="s">
        <v>3140</v>
      </c>
      <c r="D44" s="1" t="s">
        <v>3141</v>
      </c>
      <c r="E44" s="1" t="s">
        <v>3142</v>
      </c>
      <c r="F44" s="1" t="s">
        <v>112</v>
      </c>
      <c r="G44" s="1">
        <v>580741</v>
      </c>
    </row>
    <row r="45" spans="1:7" x14ac:dyDescent="0.25">
      <c r="A45" s="1" t="str">
        <f t="shared" si="0"/>
        <v>02 EE2 33.8</v>
      </c>
      <c r="B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5" s="1" t="s">
        <v>3143</v>
      </c>
      <c r="D45" s="1" t="s">
        <v>2230</v>
      </c>
      <c r="E45" s="1" t="s">
        <v>3144</v>
      </c>
      <c r="F45" s="1" t="s">
        <v>112</v>
      </c>
      <c r="G45" s="1">
        <v>81653</v>
      </c>
    </row>
    <row r="46" spans="1:7" x14ac:dyDescent="0.25">
      <c r="A46" s="1" t="str">
        <f t="shared" si="0"/>
        <v>02 EE2 33.8</v>
      </c>
      <c r="B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6" s="1" t="s">
        <v>3145</v>
      </c>
      <c r="D46" s="1" t="s">
        <v>693</v>
      </c>
      <c r="E46" s="1">
        <v>63</v>
      </c>
      <c r="F46" s="1" t="s">
        <v>112</v>
      </c>
      <c r="G46" s="1">
        <v>25891</v>
      </c>
    </row>
    <row r="47" spans="1:7" x14ac:dyDescent="0.25">
      <c r="A47" s="1" t="str">
        <f t="shared" si="0"/>
        <v>02 EE2 33.8</v>
      </c>
      <c r="B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 s="1" t="s">
        <v>3146</v>
      </c>
      <c r="D47" s="1" t="s">
        <v>1689</v>
      </c>
      <c r="E47" s="1" t="s">
        <v>3147</v>
      </c>
      <c r="F47" s="1" t="s">
        <v>112</v>
      </c>
      <c r="G47" s="1">
        <v>27124</v>
      </c>
    </row>
    <row r="48" spans="1:7" x14ac:dyDescent="0.25">
      <c r="A48" s="1" t="str">
        <f t="shared" si="0"/>
        <v>02 EE2 33.8</v>
      </c>
      <c r="B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8" s="1" t="s">
        <v>3148</v>
      </c>
      <c r="D48" s="1" t="s">
        <v>1115</v>
      </c>
      <c r="E48" s="1" t="s">
        <v>3149</v>
      </c>
      <c r="F48" s="1" t="s">
        <v>112</v>
      </c>
      <c r="G48" s="1">
        <v>23317</v>
      </c>
    </row>
    <row r="49" spans="1:10" x14ac:dyDescent="0.25">
      <c r="A49" s="1" t="str">
        <f t="shared" si="0"/>
        <v>02 EE2 33.8</v>
      </c>
      <c r="B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9" s="1" t="s">
        <v>3150</v>
      </c>
      <c r="D49" s="1" t="s">
        <v>678</v>
      </c>
      <c r="E49" s="1" t="s">
        <v>3151</v>
      </c>
      <c r="F49" s="1" t="s">
        <v>112</v>
      </c>
      <c r="G49" s="1">
        <v>37917</v>
      </c>
    </row>
    <row r="50" spans="1:10" x14ac:dyDescent="0.25">
      <c r="A50" s="1" t="str">
        <f t="shared" si="0"/>
        <v>02 EE2 33.8</v>
      </c>
      <c r="B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0" s="1" t="s">
        <v>3152</v>
      </c>
      <c r="D50" s="1" t="s">
        <v>192</v>
      </c>
      <c r="E50" s="1" t="s">
        <v>766</v>
      </c>
      <c r="F50" s="1" t="s">
        <v>112</v>
      </c>
      <c r="G50" s="1">
        <v>18991</v>
      </c>
    </row>
    <row r="51" spans="1:10" x14ac:dyDescent="0.25">
      <c r="A51" s="1" t="str">
        <f t="shared" si="0"/>
        <v>02 EE2 33.8</v>
      </c>
      <c r="B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 s="1" t="s">
        <v>3153</v>
      </c>
      <c r="D51" s="1" t="s">
        <v>274</v>
      </c>
      <c r="E51" s="1" t="s">
        <v>3110</v>
      </c>
      <c r="F51" s="1" t="s">
        <v>112</v>
      </c>
      <c r="G51" s="1">
        <v>13800</v>
      </c>
    </row>
    <row r="52" spans="1:10" x14ac:dyDescent="0.25">
      <c r="A52" s="1" t="str">
        <f t="shared" si="0"/>
        <v>02 EE2 33.8</v>
      </c>
      <c r="B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2" s="1" t="s">
        <v>3154</v>
      </c>
      <c r="D52" s="1" t="s">
        <v>201</v>
      </c>
      <c r="E52" s="1" t="s">
        <v>2396</v>
      </c>
      <c r="F52" s="1" t="s">
        <v>112</v>
      </c>
      <c r="G52" s="1">
        <v>10945</v>
      </c>
    </row>
    <row r="53" spans="1:10" x14ac:dyDescent="0.25">
      <c r="A53" s="1" t="str">
        <f t="shared" si="0"/>
        <v>02 EE2 33.8</v>
      </c>
      <c r="B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3" s="1" t="s">
        <v>3155</v>
      </c>
      <c r="D53" s="1" t="s">
        <v>1798</v>
      </c>
      <c r="E53" s="1" t="s">
        <v>3156</v>
      </c>
      <c r="F53" s="1" t="s">
        <v>112</v>
      </c>
      <c r="G53" s="1">
        <v>277252</v>
      </c>
    </row>
    <row r="54" spans="1:10" x14ac:dyDescent="0.25">
      <c r="A54" s="1" t="str">
        <f t="shared" si="0"/>
        <v>02 EE2 33.8</v>
      </c>
      <c r="B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 s="1" t="s">
        <v>3157</v>
      </c>
      <c r="D54" s="1" t="s">
        <v>3158</v>
      </c>
      <c r="E54" s="1" t="s">
        <v>296</v>
      </c>
      <c r="F54" s="1" t="s">
        <v>112</v>
      </c>
      <c r="G54" s="1">
        <v>180610</v>
      </c>
    </row>
    <row r="55" spans="1:10" x14ac:dyDescent="0.25">
      <c r="A55" s="1" t="str">
        <f t="shared" si="0"/>
        <v>02 EE2 33.8</v>
      </c>
      <c r="B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5" s="1" t="s">
        <v>3159</v>
      </c>
      <c r="D55" s="1" t="s">
        <v>1237</v>
      </c>
      <c r="E55" s="1" t="s">
        <v>3160</v>
      </c>
      <c r="F55" s="1" t="s">
        <v>112</v>
      </c>
      <c r="G55" s="1">
        <v>103045</v>
      </c>
    </row>
    <row r="56" spans="1:10" x14ac:dyDescent="0.25">
      <c r="A56" s="1" t="str">
        <f t="shared" si="0"/>
        <v>02 EE2 33.8</v>
      </c>
      <c r="B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6" s="1" t="s">
        <v>3161</v>
      </c>
      <c r="D56" s="1" t="s">
        <v>2249</v>
      </c>
      <c r="E56" s="1" t="s">
        <v>3162</v>
      </c>
      <c r="F56" s="1" t="s">
        <v>112</v>
      </c>
      <c r="G56" s="1">
        <v>145396</v>
      </c>
    </row>
    <row r="57" spans="1:10" x14ac:dyDescent="0.25">
      <c r="A57" s="1" t="str">
        <f t="shared" si="0"/>
        <v>02 EE2 33.8</v>
      </c>
      <c r="B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7" s="1" t="s">
        <v>3163</v>
      </c>
      <c r="D57" s="1" t="s">
        <v>1839</v>
      </c>
      <c r="E57" s="1" t="s">
        <v>3164</v>
      </c>
      <c r="F57" s="1" t="s">
        <v>112</v>
      </c>
      <c r="G57" s="1">
        <v>50765</v>
      </c>
    </row>
    <row r="58" spans="1:10" x14ac:dyDescent="0.25">
      <c r="A58" s="1" t="str">
        <f t="shared" si="0"/>
        <v>02 EE2 33.8</v>
      </c>
      <c r="B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 s="1" t="s">
        <v>3165</v>
      </c>
      <c r="D58" s="1" t="s">
        <v>690</v>
      </c>
      <c r="E58" s="1" t="s">
        <v>3166</v>
      </c>
      <c r="F58" s="1" t="s">
        <v>112</v>
      </c>
      <c r="G58" s="1">
        <v>41054</v>
      </c>
    </row>
    <row r="59" spans="1:10" x14ac:dyDescent="0.25">
      <c r="A59" s="1" t="str">
        <f t="shared" si="0"/>
        <v/>
      </c>
      <c r="B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 s="1" t="s">
        <v>112</v>
      </c>
    </row>
    <row r="60" spans="1:10" x14ac:dyDescent="0.25">
      <c r="A60" s="1" t="str">
        <f t="shared" si="0"/>
        <v/>
      </c>
      <c r="B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0" s="1" t="s">
        <v>229</v>
      </c>
      <c r="D60" s="1" t="s">
        <v>112</v>
      </c>
      <c r="E60" s="1" t="s">
        <v>230</v>
      </c>
      <c r="F60" s="1" t="s">
        <v>231</v>
      </c>
      <c r="G60" s="1" t="s">
        <v>232</v>
      </c>
      <c r="H60" s="1" t="s">
        <v>233</v>
      </c>
      <c r="I60" s="1" t="s">
        <v>234</v>
      </c>
      <c r="J60" s="1" t="s">
        <v>235</v>
      </c>
    </row>
    <row r="61" spans="1:10" x14ac:dyDescent="0.25">
      <c r="A61" s="1" t="str">
        <f t="shared" si="0"/>
        <v>02 EE2 33.8</v>
      </c>
      <c r="B6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1" s="1" t="s">
        <v>3167</v>
      </c>
      <c r="D61" s="1" t="s">
        <v>112</v>
      </c>
      <c r="E61" s="1" t="s">
        <v>3168</v>
      </c>
      <c r="F61" s="1" t="s">
        <v>3169</v>
      </c>
      <c r="G61" s="1" t="s">
        <v>3170</v>
      </c>
      <c r="H61" s="1" t="s">
        <v>3171</v>
      </c>
      <c r="I61" s="1">
        <v>24</v>
      </c>
      <c r="J61" s="1">
        <v>24</v>
      </c>
    </row>
    <row r="62" spans="1:10" x14ac:dyDescent="0.25">
      <c r="A62" s="1" t="str">
        <f t="shared" si="0"/>
        <v/>
      </c>
      <c r="B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 s="1" t="s">
        <v>112</v>
      </c>
    </row>
    <row r="63" spans="1:10" x14ac:dyDescent="0.25">
      <c r="A63" s="1" t="str">
        <f t="shared" si="0"/>
        <v/>
      </c>
      <c r="B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3" s="1" t="s">
        <v>112</v>
      </c>
    </row>
    <row r="64" spans="1:10" x14ac:dyDescent="0.25">
      <c r="A64" s="1" t="str">
        <f t="shared" si="0"/>
        <v/>
      </c>
      <c r="B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4" s="1" t="s">
        <v>112</v>
      </c>
    </row>
    <row r="65" spans="1:7" x14ac:dyDescent="0.25">
      <c r="A65" s="1" t="str">
        <f t="shared" si="0"/>
        <v/>
      </c>
      <c r="B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 s="1" t="s">
        <v>112</v>
      </c>
    </row>
    <row r="66" spans="1:7" x14ac:dyDescent="0.25">
      <c r="A66" s="1" t="str">
        <f t="shared" ref="A66:A129" si="1">IFERROR(LEFT(RIGHT(C66,LEN(C66)-SEARCH("@",C66)),SEARCH("/",RIGHT(C66,LEN(C66)-SEARCH("@",C66)-1))),"")</f>
        <v/>
      </c>
      <c r="B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 s="1" t="s">
        <v>112</v>
      </c>
    </row>
    <row r="67" spans="1:7" x14ac:dyDescent="0.25">
      <c r="A67" s="1" t="str">
        <f t="shared" si="1"/>
        <v/>
      </c>
      <c r="B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7" s="1" t="s">
        <v>241</v>
      </c>
      <c r="D67" s="1" t="s">
        <v>110</v>
      </c>
      <c r="E67" s="1" t="s">
        <v>111</v>
      </c>
      <c r="F67" s="1" t="s">
        <v>112</v>
      </c>
      <c r="G67" s="1" t="s">
        <v>113</v>
      </c>
    </row>
    <row r="68" spans="1:7" x14ac:dyDescent="0.25">
      <c r="A68" s="1" t="str">
        <f t="shared" si="1"/>
        <v>03 EE2 50.6</v>
      </c>
      <c r="B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8" s="1" t="s">
        <v>3172</v>
      </c>
      <c r="D68" s="1" t="s">
        <v>282</v>
      </c>
      <c r="E68" s="1" t="s">
        <v>1241</v>
      </c>
      <c r="F68" s="1" t="s">
        <v>112</v>
      </c>
      <c r="G68" s="1">
        <v>79814</v>
      </c>
    </row>
    <row r="69" spans="1:7" x14ac:dyDescent="0.25">
      <c r="A69" s="1" t="str">
        <f t="shared" si="1"/>
        <v>03 EE2 50.6</v>
      </c>
      <c r="B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9" s="1" t="s">
        <v>3173</v>
      </c>
      <c r="D69" s="1" t="s">
        <v>1707</v>
      </c>
      <c r="E69" s="1" t="s">
        <v>3174</v>
      </c>
      <c r="F69" s="1" t="s">
        <v>112</v>
      </c>
      <c r="G69" s="1">
        <v>425633</v>
      </c>
    </row>
    <row r="70" spans="1:7" x14ac:dyDescent="0.25">
      <c r="A70" s="1" t="str">
        <f t="shared" si="1"/>
        <v>03 EE2 50.6</v>
      </c>
      <c r="B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70" s="1" t="s">
        <v>3175</v>
      </c>
      <c r="D70" s="1" t="s">
        <v>3176</v>
      </c>
      <c r="E70" s="1" t="s">
        <v>3177</v>
      </c>
      <c r="F70" s="1" t="s">
        <v>112</v>
      </c>
      <c r="G70" s="1">
        <v>483125</v>
      </c>
    </row>
    <row r="71" spans="1:7" x14ac:dyDescent="0.25">
      <c r="A71" s="1" t="str">
        <f t="shared" si="1"/>
        <v>03 EE2 50.6</v>
      </c>
      <c r="B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1" s="1" t="s">
        <v>3178</v>
      </c>
      <c r="D71" s="1" t="s">
        <v>271</v>
      </c>
      <c r="E71" s="1" t="s">
        <v>3179</v>
      </c>
      <c r="F71" s="1" t="s">
        <v>112</v>
      </c>
      <c r="G71" s="1">
        <v>170097</v>
      </c>
    </row>
    <row r="72" spans="1:7" x14ac:dyDescent="0.25">
      <c r="A72" s="1" t="str">
        <f t="shared" si="1"/>
        <v>03 EE2 50.6</v>
      </c>
      <c r="B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2" s="1" t="s">
        <v>3180</v>
      </c>
      <c r="D72" s="1" t="s">
        <v>2788</v>
      </c>
      <c r="E72" s="1" t="s">
        <v>3181</v>
      </c>
      <c r="F72" s="1" t="s">
        <v>112</v>
      </c>
      <c r="G72" s="1">
        <v>67247</v>
      </c>
    </row>
    <row r="73" spans="1:7" x14ac:dyDescent="0.25">
      <c r="A73" s="1" t="str">
        <f t="shared" si="1"/>
        <v>03 EE2 50.6</v>
      </c>
      <c r="B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3" s="1" t="s">
        <v>3182</v>
      </c>
      <c r="D73" s="1" t="s">
        <v>2255</v>
      </c>
      <c r="E73" s="1" t="s">
        <v>3183</v>
      </c>
      <c r="F73" s="1" t="s">
        <v>112</v>
      </c>
      <c r="G73" s="1">
        <v>112757</v>
      </c>
    </row>
    <row r="74" spans="1:7" x14ac:dyDescent="0.25">
      <c r="A74" s="1" t="str">
        <f t="shared" si="1"/>
        <v>03 EE2 50.6</v>
      </c>
      <c r="B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4" s="1" t="s">
        <v>3184</v>
      </c>
      <c r="D74" s="1" t="s">
        <v>3185</v>
      </c>
      <c r="E74" s="1" t="s">
        <v>3186</v>
      </c>
      <c r="F74" s="1" t="s">
        <v>112</v>
      </c>
      <c r="G74" s="1">
        <v>476312</v>
      </c>
    </row>
    <row r="75" spans="1:7" x14ac:dyDescent="0.25">
      <c r="A75" s="1" t="str">
        <f t="shared" si="1"/>
        <v>03 EE2 50.6</v>
      </c>
      <c r="B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5" s="1" t="s">
        <v>3187</v>
      </c>
      <c r="D75" s="1" t="s">
        <v>2155</v>
      </c>
      <c r="E75" s="1" t="s">
        <v>3188</v>
      </c>
      <c r="F75" s="1" t="s">
        <v>112</v>
      </c>
      <c r="G75" s="1">
        <v>39431</v>
      </c>
    </row>
    <row r="76" spans="1:7" x14ac:dyDescent="0.25">
      <c r="A76" s="1" t="str">
        <f t="shared" si="1"/>
        <v>03 EE2 50.6</v>
      </c>
      <c r="B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6" s="1" t="s">
        <v>3189</v>
      </c>
    </row>
    <row r="77" spans="1:7" x14ac:dyDescent="0.25">
      <c r="A77" s="1" t="str">
        <f t="shared" si="1"/>
        <v>03 EE2 50.6</v>
      </c>
      <c r="B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7" s="1" t="s">
        <v>3190</v>
      </c>
    </row>
    <row r="78" spans="1:7" x14ac:dyDescent="0.25">
      <c r="A78" s="1" t="str">
        <f t="shared" si="1"/>
        <v>03 EE2 50.6</v>
      </c>
      <c r="B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8" s="1" t="s">
        <v>3191</v>
      </c>
      <c r="D78" s="1" t="s">
        <v>354</v>
      </c>
      <c r="E78" s="1" t="s">
        <v>3192</v>
      </c>
      <c r="F78" s="1" t="s">
        <v>112</v>
      </c>
      <c r="G78" s="1">
        <v>87233</v>
      </c>
    </row>
    <row r="79" spans="1:7" x14ac:dyDescent="0.25">
      <c r="A79" s="1" t="str">
        <f t="shared" si="1"/>
        <v>03 EE2 50.6</v>
      </c>
      <c r="B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9" s="1" t="s">
        <v>3193</v>
      </c>
      <c r="D79" s="1" t="s">
        <v>759</v>
      </c>
      <c r="E79" s="1" t="s">
        <v>3194</v>
      </c>
      <c r="F79" s="1" t="s">
        <v>112</v>
      </c>
      <c r="G79" s="1">
        <v>34911</v>
      </c>
    </row>
    <row r="80" spans="1:7" x14ac:dyDescent="0.25">
      <c r="A80" s="1" t="str">
        <f t="shared" si="1"/>
        <v>03 EE2 50.6</v>
      </c>
      <c r="B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0" s="1" t="s">
        <v>3195</v>
      </c>
      <c r="D80" s="1" t="s">
        <v>3196</v>
      </c>
      <c r="E80" s="1" t="s">
        <v>3197</v>
      </c>
      <c r="F80" s="1" t="s">
        <v>112</v>
      </c>
      <c r="G80" s="1">
        <v>351572</v>
      </c>
    </row>
    <row r="81" spans="1:10" x14ac:dyDescent="0.25">
      <c r="A81" s="1" t="str">
        <f t="shared" si="1"/>
        <v>03 EE2 50.6</v>
      </c>
      <c r="B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1" s="1" t="s">
        <v>3198</v>
      </c>
      <c r="D81" s="1" t="s">
        <v>1017</v>
      </c>
      <c r="E81" s="1" t="s">
        <v>3199</v>
      </c>
      <c r="F81" s="1" t="s">
        <v>112</v>
      </c>
      <c r="G81" s="1">
        <v>126773</v>
      </c>
    </row>
    <row r="82" spans="1:10" x14ac:dyDescent="0.25">
      <c r="A82" s="1" t="str">
        <f t="shared" si="1"/>
        <v>03 EE2 50.6</v>
      </c>
      <c r="B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2" s="1" t="s">
        <v>3200</v>
      </c>
      <c r="D82" s="1" t="s">
        <v>3201</v>
      </c>
      <c r="E82" s="1" t="s">
        <v>3202</v>
      </c>
      <c r="F82" s="1" t="s">
        <v>112</v>
      </c>
      <c r="G82" s="1">
        <v>424357</v>
      </c>
    </row>
    <row r="83" spans="1:10" x14ac:dyDescent="0.25">
      <c r="A83" s="1" t="str">
        <f t="shared" si="1"/>
        <v>03 EE2 50.6</v>
      </c>
      <c r="B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3" s="1" t="s">
        <v>3203</v>
      </c>
      <c r="D83" s="1" t="s">
        <v>3204</v>
      </c>
      <c r="E83" s="1" t="s">
        <v>3205</v>
      </c>
      <c r="F83" s="1" t="s">
        <v>112</v>
      </c>
      <c r="G83" s="1">
        <v>195924</v>
      </c>
    </row>
    <row r="84" spans="1:10" x14ac:dyDescent="0.25">
      <c r="A84" s="1" t="str">
        <f t="shared" si="1"/>
        <v>03 EE2 50.6</v>
      </c>
      <c r="B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4" s="1" t="s">
        <v>3206</v>
      </c>
      <c r="D84" s="1" t="s">
        <v>381</v>
      </c>
      <c r="E84" s="1" t="s">
        <v>3207</v>
      </c>
      <c r="F84" s="1" t="s">
        <v>112</v>
      </c>
      <c r="G84" s="1">
        <v>201309</v>
      </c>
    </row>
    <row r="85" spans="1:10" x14ac:dyDescent="0.25">
      <c r="A85" s="1" t="str">
        <f t="shared" si="1"/>
        <v>03 EE2 50.6</v>
      </c>
      <c r="B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5" s="1" t="s">
        <v>3208</v>
      </c>
      <c r="D85" s="1" t="s">
        <v>3209</v>
      </c>
      <c r="E85" s="1" t="s">
        <v>3210</v>
      </c>
      <c r="F85" s="1" t="s">
        <v>112</v>
      </c>
      <c r="G85" s="1">
        <v>253091</v>
      </c>
    </row>
    <row r="86" spans="1:10" x14ac:dyDescent="0.25">
      <c r="A86" s="1" t="str">
        <f t="shared" si="1"/>
        <v>03 EE2 50.6</v>
      </c>
      <c r="B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6" s="1" t="s">
        <v>3211</v>
      </c>
    </row>
    <row r="87" spans="1:10" x14ac:dyDescent="0.25">
      <c r="A87" s="1" t="str">
        <f t="shared" si="1"/>
        <v>03 EE2 50.6</v>
      </c>
      <c r="B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7" s="1" t="s">
        <v>3212</v>
      </c>
      <c r="D87" s="1" t="s">
        <v>3213</v>
      </c>
      <c r="E87" s="1" t="s">
        <v>3214</v>
      </c>
      <c r="F87" s="1" t="s">
        <v>112</v>
      </c>
      <c r="G87" s="1">
        <v>529997</v>
      </c>
    </row>
    <row r="88" spans="1:10" x14ac:dyDescent="0.25">
      <c r="A88" s="1" t="str">
        <f t="shared" si="1"/>
        <v>03 EE2 50.6</v>
      </c>
      <c r="B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8" s="1" t="s">
        <v>3215</v>
      </c>
      <c r="D88" s="1" t="s">
        <v>255</v>
      </c>
      <c r="E88" s="1" t="s">
        <v>3216</v>
      </c>
      <c r="F88" s="1" t="s">
        <v>112</v>
      </c>
      <c r="G88" s="1">
        <v>343829</v>
      </c>
    </row>
    <row r="89" spans="1:10" x14ac:dyDescent="0.25">
      <c r="A89" s="1" t="str">
        <f t="shared" si="1"/>
        <v>03 EE2 50.6</v>
      </c>
      <c r="B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89" s="1" t="s">
        <v>3217</v>
      </c>
    </row>
    <row r="90" spans="1:10" x14ac:dyDescent="0.25">
      <c r="A90" s="1" t="str">
        <f t="shared" si="1"/>
        <v>03 EE2 50.6</v>
      </c>
      <c r="B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90" s="1" t="s">
        <v>3218</v>
      </c>
      <c r="D90" s="1" t="s">
        <v>2155</v>
      </c>
      <c r="E90" s="1" t="s">
        <v>3219</v>
      </c>
      <c r="F90" s="1" t="s">
        <v>112</v>
      </c>
      <c r="G90" s="1">
        <v>39475</v>
      </c>
    </row>
    <row r="91" spans="1:10" x14ac:dyDescent="0.25">
      <c r="A91" s="1" t="str">
        <f t="shared" si="1"/>
        <v>03 EE2 50.6</v>
      </c>
      <c r="B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91" s="1" t="s">
        <v>3220</v>
      </c>
      <c r="D91" s="1" t="s">
        <v>3221</v>
      </c>
      <c r="E91" s="1" t="s">
        <v>3222</v>
      </c>
      <c r="F91" s="1" t="s">
        <v>112</v>
      </c>
      <c r="G91" s="1">
        <v>113946</v>
      </c>
    </row>
    <row r="92" spans="1:10" x14ac:dyDescent="0.25">
      <c r="A92" s="1" t="str">
        <f t="shared" si="1"/>
        <v/>
      </c>
      <c r="B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2" s="1" t="s">
        <v>112</v>
      </c>
    </row>
    <row r="93" spans="1:10" x14ac:dyDescent="0.25">
      <c r="A93" s="1" t="str">
        <f t="shared" si="1"/>
        <v/>
      </c>
      <c r="B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3" s="1" t="s">
        <v>229</v>
      </c>
      <c r="D93" s="1" t="s">
        <v>112</v>
      </c>
      <c r="E93" s="1" t="s">
        <v>230</v>
      </c>
      <c r="F93" s="1" t="s">
        <v>231</v>
      </c>
      <c r="G93" s="1" t="s">
        <v>232</v>
      </c>
      <c r="H93" s="1" t="s">
        <v>233</v>
      </c>
      <c r="I93" s="1" t="s">
        <v>234</v>
      </c>
      <c r="J93" s="1" t="s">
        <v>235</v>
      </c>
    </row>
    <row r="94" spans="1:10" x14ac:dyDescent="0.25">
      <c r="A94" s="1" t="str">
        <f t="shared" si="1"/>
        <v>03 EE2 50.6</v>
      </c>
      <c r="B9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94" s="1" t="s">
        <v>3223</v>
      </c>
      <c r="D94" s="1" t="s">
        <v>112</v>
      </c>
      <c r="E94" s="1" t="s">
        <v>3224</v>
      </c>
      <c r="F94" s="1" t="s">
        <v>3225</v>
      </c>
      <c r="G94" s="1" t="s">
        <v>3226</v>
      </c>
      <c r="H94" s="1" t="s">
        <v>3227</v>
      </c>
      <c r="I94" s="1">
        <v>24</v>
      </c>
      <c r="J94" s="1">
        <v>24</v>
      </c>
    </row>
    <row r="95" spans="1:10" x14ac:dyDescent="0.25">
      <c r="A95" s="1" t="str">
        <f t="shared" si="1"/>
        <v/>
      </c>
      <c r="B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5" s="1" t="s">
        <v>112</v>
      </c>
    </row>
    <row r="96" spans="1:10" x14ac:dyDescent="0.25">
      <c r="A96" s="1" t="str">
        <f t="shared" si="1"/>
        <v/>
      </c>
      <c r="B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6" s="1" t="s">
        <v>112</v>
      </c>
    </row>
    <row r="97" spans="1:7" x14ac:dyDescent="0.25">
      <c r="A97" s="1" t="str">
        <f t="shared" si="1"/>
        <v/>
      </c>
      <c r="B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7" s="1" t="s">
        <v>112</v>
      </c>
    </row>
    <row r="98" spans="1:7" x14ac:dyDescent="0.25">
      <c r="A98" s="1" t="str">
        <f t="shared" si="1"/>
        <v/>
      </c>
      <c r="B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8" s="1" t="s">
        <v>112</v>
      </c>
    </row>
    <row r="99" spans="1:7" x14ac:dyDescent="0.25">
      <c r="A99" s="1" t="str">
        <f t="shared" si="1"/>
        <v/>
      </c>
      <c r="B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9" s="1" t="s">
        <v>112</v>
      </c>
    </row>
    <row r="100" spans="1:7" x14ac:dyDescent="0.25">
      <c r="A100" s="1" t="str">
        <f t="shared" si="1"/>
        <v/>
      </c>
      <c r="B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00" s="1" t="s">
        <v>241</v>
      </c>
      <c r="D100" s="1" t="s">
        <v>110</v>
      </c>
      <c r="E100" s="1" t="s">
        <v>111</v>
      </c>
      <c r="F100" s="1" t="s">
        <v>112</v>
      </c>
      <c r="G100" s="1" t="s">
        <v>113</v>
      </c>
    </row>
    <row r="101" spans="1:7" x14ac:dyDescent="0.25">
      <c r="A101" s="1" t="str">
        <f t="shared" si="1"/>
        <v>04 EE2 76</v>
      </c>
      <c r="B1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1" s="1" t="s">
        <v>3228</v>
      </c>
      <c r="D101" s="1" t="s">
        <v>3229</v>
      </c>
      <c r="E101" s="1" t="s">
        <v>3230</v>
      </c>
      <c r="F101" s="1" t="s">
        <v>112</v>
      </c>
      <c r="G101" s="1">
        <v>797386</v>
      </c>
    </row>
    <row r="102" spans="1:7" x14ac:dyDescent="0.25">
      <c r="A102" s="1" t="str">
        <f t="shared" si="1"/>
        <v>04 EE2 76</v>
      </c>
      <c r="B1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2" s="1" t="s">
        <v>3231</v>
      </c>
      <c r="D102" s="1" t="s">
        <v>3232</v>
      </c>
      <c r="E102" s="1" t="s">
        <v>3233</v>
      </c>
      <c r="F102" s="1" t="s">
        <v>112</v>
      </c>
      <c r="G102" s="1">
        <v>650368</v>
      </c>
    </row>
    <row r="103" spans="1:7" x14ac:dyDescent="0.25">
      <c r="A103" s="1" t="str">
        <f t="shared" si="1"/>
        <v>04 EE2 76</v>
      </c>
      <c r="B1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3" s="1" t="s">
        <v>3234</v>
      </c>
    </row>
    <row r="104" spans="1:7" x14ac:dyDescent="0.25">
      <c r="A104" s="1" t="str">
        <f t="shared" si="1"/>
        <v>04 EE2 76</v>
      </c>
      <c r="B1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4" s="1" t="s">
        <v>3235</v>
      </c>
      <c r="D104" s="1" t="s">
        <v>3236</v>
      </c>
      <c r="E104" s="1" t="s">
        <v>3237</v>
      </c>
      <c r="F104" s="1" t="s">
        <v>112</v>
      </c>
      <c r="G104" s="1">
        <v>607822</v>
      </c>
    </row>
    <row r="105" spans="1:7" x14ac:dyDescent="0.25">
      <c r="A105" s="1" t="str">
        <f t="shared" si="1"/>
        <v>04 EE2 76</v>
      </c>
      <c r="B1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5" s="1" t="s">
        <v>3238</v>
      </c>
      <c r="D105" s="1" t="s">
        <v>3239</v>
      </c>
      <c r="E105" s="1" t="s">
        <v>3240</v>
      </c>
      <c r="F105" s="1" t="s">
        <v>112</v>
      </c>
      <c r="G105" s="1">
        <v>613078</v>
      </c>
    </row>
    <row r="106" spans="1:7" x14ac:dyDescent="0.25">
      <c r="A106" s="1" t="str">
        <f t="shared" si="1"/>
        <v>04 EE2 76</v>
      </c>
      <c r="B1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6" s="1" t="s">
        <v>3241</v>
      </c>
      <c r="D106" s="1" t="s">
        <v>3242</v>
      </c>
      <c r="E106" s="1" t="s">
        <v>3243</v>
      </c>
      <c r="F106" s="1" t="s">
        <v>112</v>
      </c>
      <c r="G106" s="1">
        <v>381422</v>
      </c>
    </row>
    <row r="107" spans="1:7" x14ac:dyDescent="0.25">
      <c r="A107" s="1" t="str">
        <f t="shared" si="1"/>
        <v>04 EE2 76</v>
      </c>
      <c r="B1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7" s="1" t="s">
        <v>3244</v>
      </c>
    </row>
    <row r="108" spans="1:7" x14ac:dyDescent="0.25">
      <c r="A108" s="1" t="str">
        <f t="shared" si="1"/>
        <v>04 EE2 76</v>
      </c>
      <c r="B1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8" s="1" t="s">
        <v>3245</v>
      </c>
    </row>
    <row r="109" spans="1:7" x14ac:dyDescent="0.25">
      <c r="A109" s="1" t="str">
        <f t="shared" si="1"/>
        <v>04 EE2 76</v>
      </c>
      <c r="B1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9" s="1" t="s">
        <v>3246</v>
      </c>
    </row>
    <row r="110" spans="1:7" x14ac:dyDescent="0.25">
      <c r="A110" s="1" t="str">
        <f t="shared" si="1"/>
        <v>04 EE2 76</v>
      </c>
      <c r="B1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0" s="1" t="s">
        <v>3247</v>
      </c>
      <c r="D110" s="1" t="s">
        <v>925</v>
      </c>
      <c r="E110" s="1" t="s">
        <v>3248</v>
      </c>
      <c r="F110" s="1" t="s">
        <v>112</v>
      </c>
      <c r="G110" s="1">
        <v>1446521</v>
      </c>
    </row>
    <row r="111" spans="1:7" x14ac:dyDescent="0.25">
      <c r="A111" s="1" t="str">
        <f t="shared" si="1"/>
        <v>04 EE2 76</v>
      </c>
      <c r="B1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1" s="1" t="s">
        <v>3249</v>
      </c>
      <c r="D111" s="1" t="s">
        <v>2401</v>
      </c>
      <c r="E111" s="1" t="s">
        <v>3250</v>
      </c>
      <c r="F111" s="1" t="s">
        <v>112</v>
      </c>
      <c r="G111" s="1">
        <v>875383</v>
      </c>
    </row>
    <row r="112" spans="1:7" x14ac:dyDescent="0.25">
      <c r="A112" s="1" t="str">
        <f t="shared" si="1"/>
        <v>04 EE2 76</v>
      </c>
      <c r="B1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2" s="1" t="s">
        <v>3251</v>
      </c>
      <c r="D112" s="1" t="s">
        <v>3252</v>
      </c>
      <c r="E112" s="1" t="s">
        <v>3253</v>
      </c>
      <c r="F112" s="1" t="s">
        <v>112</v>
      </c>
      <c r="G112" s="1">
        <v>865369</v>
      </c>
    </row>
    <row r="113" spans="1:10" x14ac:dyDescent="0.25">
      <c r="A113" s="1" t="str">
        <f t="shared" si="1"/>
        <v>04 EE2 76</v>
      </c>
      <c r="B1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3" s="1" t="s">
        <v>3254</v>
      </c>
      <c r="D113" s="1" t="s">
        <v>3255</v>
      </c>
      <c r="E113" s="1" t="s">
        <v>3256</v>
      </c>
      <c r="F113" s="1" t="s">
        <v>112</v>
      </c>
      <c r="G113" s="1">
        <v>545030</v>
      </c>
    </row>
    <row r="114" spans="1:10" x14ac:dyDescent="0.25">
      <c r="A114" s="1" t="str">
        <f t="shared" si="1"/>
        <v>04 EE2 76</v>
      </c>
      <c r="B1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4" s="1" t="s">
        <v>3257</v>
      </c>
      <c r="D114" s="1" t="s">
        <v>2192</v>
      </c>
      <c r="E114" s="1" t="s">
        <v>3258</v>
      </c>
      <c r="F114" s="1" t="s">
        <v>112</v>
      </c>
      <c r="G114" s="1">
        <v>465432</v>
      </c>
    </row>
    <row r="115" spans="1:10" x14ac:dyDescent="0.25">
      <c r="A115" s="1" t="str">
        <f t="shared" si="1"/>
        <v>04 EE2 76</v>
      </c>
      <c r="B1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5" s="1" t="s">
        <v>3259</v>
      </c>
      <c r="D115" s="1" t="s">
        <v>3054</v>
      </c>
      <c r="E115" s="1" t="s">
        <v>3260</v>
      </c>
      <c r="F115" s="1" t="s">
        <v>112</v>
      </c>
      <c r="G115" s="1">
        <v>847827</v>
      </c>
    </row>
    <row r="116" spans="1:10" x14ac:dyDescent="0.25">
      <c r="A116" s="1" t="str">
        <f t="shared" si="1"/>
        <v>04 EE2 76</v>
      </c>
      <c r="B1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6" s="1" t="s">
        <v>3261</v>
      </c>
      <c r="D116" s="1" t="s">
        <v>3262</v>
      </c>
      <c r="E116" s="1" t="s">
        <v>3263</v>
      </c>
      <c r="F116" s="1" t="s">
        <v>112</v>
      </c>
      <c r="G116" s="1">
        <v>542413</v>
      </c>
    </row>
    <row r="117" spans="1:10" x14ac:dyDescent="0.25">
      <c r="A117" s="1" t="str">
        <f t="shared" si="1"/>
        <v>04 EE2 76</v>
      </c>
      <c r="B1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7" s="1" t="s">
        <v>3264</v>
      </c>
      <c r="D117" s="1" t="s">
        <v>262</v>
      </c>
      <c r="E117" s="1" t="s">
        <v>3265</v>
      </c>
      <c r="F117" s="1" t="s">
        <v>112</v>
      </c>
      <c r="G117" s="1">
        <v>441920</v>
      </c>
    </row>
    <row r="118" spans="1:10" x14ac:dyDescent="0.25">
      <c r="A118" s="1" t="str">
        <f t="shared" si="1"/>
        <v>04 EE2 76</v>
      </c>
      <c r="B1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8" s="1" t="s">
        <v>3266</v>
      </c>
      <c r="D118" s="1" t="s">
        <v>282</v>
      </c>
      <c r="E118" s="1" t="s">
        <v>3267</v>
      </c>
      <c r="F118" s="1" t="s">
        <v>112</v>
      </c>
      <c r="G118" s="1">
        <v>77738</v>
      </c>
    </row>
    <row r="119" spans="1:10" x14ac:dyDescent="0.25">
      <c r="A119" s="1" t="str">
        <f t="shared" si="1"/>
        <v>04 EE2 76</v>
      </c>
      <c r="B1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19" s="1" t="s">
        <v>3268</v>
      </c>
      <c r="D119" s="1" t="s">
        <v>3269</v>
      </c>
      <c r="E119" s="1" t="s">
        <v>3270</v>
      </c>
      <c r="F119" s="1" t="s">
        <v>112</v>
      </c>
      <c r="G119" s="1">
        <v>407572</v>
      </c>
    </row>
    <row r="120" spans="1:10" x14ac:dyDescent="0.25">
      <c r="A120" s="1" t="str">
        <f t="shared" si="1"/>
        <v>04 EE2 76</v>
      </c>
      <c r="B1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20" s="1" t="s">
        <v>3271</v>
      </c>
      <c r="D120" s="1" t="s">
        <v>1749</v>
      </c>
      <c r="E120" s="1" t="s">
        <v>3272</v>
      </c>
      <c r="F120" s="1" t="s">
        <v>112</v>
      </c>
      <c r="G120" s="1">
        <v>225275</v>
      </c>
    </row>
    <row r="121" spans="1:10" x14ac:dyDescent="0.25">
      <c r="A121" s="1" t="str">
        <f t="shared" si="1"/>
        <v>04 EE2 76</v>
      </c>
      <c r="B1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21" s="1" t="s">
        <v>3273</v>
      </c>
      <c r="D121" s="1" t="s">
        <v>2174</v>
      </c>
      <c r="E121" s="1" t="s">
        <v>3274</v>
      </c>
      <c r="F121" s="1" t="s">
        <v>112</v>
      </c>
      <c r="G121" s="1">
        <v>82756</v>
      </c>
    </row>
    <row r="122" spans="1:10" x14ac:dyDescent="0.25">
      <c r="A122" s="1" t="str">
        <f t="shared" si="1"/>
        <v>04 EE2 76</v>
      </c>
      <c r="B1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2" s="1" t="s">
        <v>3275</v>
      </c>
      <c r="D122" s="1" t="s">
        <v>3276</v>
      </c>
      <c r="E122" s="1" t="s">
        <v>3277</v>
      </c>
      <c r="F122" s="1" t="s">
        <v>112</v>
      </c>
      <c r="G122" s="1">
        <v>264923</v>
      </c>
    </row>
    <row r="123" spans="1:10" x14ac:dyDescent="0.25">
      <c r="A123" s="1" t="str">
        <f t="shared" si="1"/>
        <v>04 EE2 76</v>
      </c>
      <c r="B1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3" s="1" t="s">
        <v>3278</v>
      </c>
      <c r="D123" s="1" t="s">
        <v>3279</v>
      </c>
      <c r="E123" s="1" t="s">
        <v>3280</v>
      </c>
      <c r="F123" s="1" t="s">
        <v>112</v>
      </c>
      <c r="G123" s="1">
        <v>420983</v>
      </c>
    </row>
    <row r="124" spans="1:10" x14ac:dyDescent="0.25">
      <c r="A124" s="1" t="str">
        <f t="shared" si="1"/>
        <v>04 EE2 76</v>
      </c>
      <c r="B1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4" s="1" t="s">
        <v>3281</v>
      </c>
      <c r="D124" s="1" t="s">
        <v>3082</v>
      </c>
      <c r="E124" s="1" t="s">
        <v>3282</v>
      </c>
      <c r="F124" s="1" t="s">
        <v>112</v>
      </c>
      <c r="G124" s="1">
        <v>445576</v>
      </c>
    </row>
    <row r="125" spans="1:10" x14ac:dyDescent="0.25">
      <c r="A125" s="1" t="str">
        <f t="shared" si="1"/>
        <v/>
      </c>
      <c r="B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5" s="1" t="s">
        <v>112</v>
      </c>
    </row>
    <row r="126" spans="1:10" x14ac:dyDescent="0.25">
      <c r="A126" s="1" t="str">
        <f t="shared" si="1"/>
        <v/>
      </c>
      <c r="B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6" s="1" t="s">
        <v>229</v>
      </c>
      <c r="D126" s="1" t="s">
        <v>112</v>
      </c>
      <c r="E126" s="1" t="s">
        <v>230</v>
      </c>
      <c r="F126" s="1" t="s">
        <v>231</v>
      </c>
      <c r="G126" s="1" t="s">
        <v>232</v>
      </c>
      <c r="H126" s="1" t="s">
        <v>233</v>
      </c>
      <c r="I126" s="1" t="s">
        <v>234</v>
      </c>
      <c r="J126" s="1" t="s">
        <v>235</v>
      </c>
    </row>
    <row r="127" spans="1:10" x14ac:dyDescent="0.25">
      <c r="A127" s="1" t="str">
        <f t="shared" si="1"/>
        <v>04 EE2 76</v>
      </c>
      <c r="B12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27" s="1" t="s">
        <v>3283</v>
      </c>
      <c r="D127" s="1" t="s">
        <v>112</v>
      </c>
      <c r="E127" s="1" t="s">
        <v>3284</v>
      </c>
      <c r="F127" s="1" t="s">
        <v>3285</v>
      </c>
      <c r="G127" s="1" t="s">
        <v>3286</v>
      </c>
      <c r="H127" s="1" t="s">
        <v>3287</v>
      </c>
      <c r="I127" s="1">
        <v>24</v>
      </c>
      <c r="J127" s="1">
        <v>24</v>
      </c>
    </row>
    <row r="128" spans="1:10" x14ac:dyDescent="0.25">
      <c r="A128" s="1" t="str">
        <f t="shared" si="1"/>
        <v/>
      </c>
      <c r="B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8" s="1" t="s">
        <v>112</v>
      </c>
    </row>
    <row r="129" spans="1:7" x14ac:dyDescent="0.25">
      <c r="A129" s="1" t="str">
        <f t="shared" si="1"/>
        <v/>
      </c>
      <c r="B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9" s="1" t="s">
        <v>112</v>
      </c>
    </row>
    <row r="130" spans="1:7" x14ac:dyDescent="0.25">
      <c r="A130" s="1" t="str">
        <f t="shared" ref="A130:A193" si="2">IFERROR(LEFT(RIGHT(C130,LEN(C130)-SEARCH("@",C130)),SEARCH("/",RIGHT(C130,LEN(C130)-SEARCH("@",C130)-1))),"")</f>
        <v/>
      </c>
      <c r="B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0" s="1" t="s">
        <v>112</v>
      </c>
    </row>
    <row r="131" spans="1:7" x14ac:dyDescent="0.25">
      <c r="A131" s="1" t="str">
        <f t="shared" si="2"/>
        <v/>
      </c>
      <c r="B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1" s="1" t="s">
        <v>112</v>
      </c>
    </row>
    <row r="132" spans="1:7" x14ac:dyDescent="0.25">
      <c r="A132" s="1" t="str">
        <f t="shared" si="2"/>
        <v/>
      </c>
      <c r="B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2" s="1" t="s">
        <v>112</v>
      </c>
    </row>
    <row r="133" spans="1:7" x14ac:dyDescent="0.25">
      <c r="A133" s="1" t="str">
        <f t="shared" si="2"/>
        <v/>
      </c>
      <c r="B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3" s="1" t="s">
        <v>241</v>
      </c>
      <c r="D133" s="1" t="s">
        <v>110</v>
      </c>
      <c r="E133" s="1" t="s">
        <v>111</v>
      </c>
      <c r="F133" s="1" t="s">
        <v>112</v>
      </c>
      <c r="G133" s="1" t="s">
        <v>113</v>
      </c>
    </row>
    <row r="134" spans="1:7" x14ac:dyDescent="0.25">
      <c r="A134" s="1" t="str">
        <f t="shared" si="2"/>
        <v>05 EE2 114</v>
      </c>
      <c r="B1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4" s="1" t="s">
        <v>3288</v>
      </c>
    </row>
    <row r="135" spans="1:7" x14ac:dyDescent="0.25">
      <c r="A135" s="1" t="str">
        <f t="shared" si="2"/>
        <v>05 EE2 114</v>
      </c>
      <c r="B1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5" s="1" t="s">
        <v>3289</v>
      </c>
    </row>
    <row r="136" spans="1:7" x14ac:dyDescent="0.25">
      <c r="A136" s="1" t="str">
        <f t="shared" si="2"/>
        <v>05 EE2 114</v>
      </c>
      <c r="B1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6" s="1" t="s">
        <v>3290</v>
      </c>
    </row>
    <row r="137" spans="1:7" x14ac:dyDescent="0.25">
      <c r="A137" s="1" t="str">
        <f t="shared" si="2"/>
        <v>05 EE2 114</v>
      </c>
      <c r="B1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7" s="1" t="s">
        <v>3291</v>
      </c>
      <c r="D137" s="1" t="s">
        <v>3292</v>
      </c>
      <c r="E137" s="1" t="s">
        <v>3293</v>
      </c>
      <c r="F137" s="1" t="s">
        <v>112</v>
      </c>
      <c r="G137" s="1">
        <v>1880546</v>
      </c>
    </row>
    <row r="138" spans="1:7" x14ac:dyDescent="0.25">
      <c r="A138" s="1" t="str">
        <f t="shared" si="2"/>
        <v>05 EE2 114</v>
      </c>
      <c r="B1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8" s="1" t="s">
        <v>3294</v>
      </c>
      <c r="D138" s="1" t="s">
        <v>3295</v>
      </c>
      <c r="E138" s="1" t="s">
        <v>3296</v>
      </c>
      <c r="F138" s="1" t="s">
        <v>112</v>
      </c>
      <c r="G138" s="1">
        <v>1385784</v>
      </c>
    </row>
    <row r="139" spans="1:7" x14ac:dyDescent="0.25">
      <c r="A139" s="1" t="str">
        <f t="shared" si="2"/>
        <v>05 EE2 114</v>
      </c>
      <c r="B1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9" s="1" t="s">
        <v>3297</v>
      </c>
      <c r="D139" s="1" t="s">
        <v>3298</v>
      </c>
      <c r="E139" s="1" t="s">
        <v>3299</v>
      </c>
      <c r="F139" s="1" t="s">
        <v>112</v>
      </c>
      <c r="G139" s="1">
        <v>1775144</v>
      </c>
    </row>
    <row r="140" spans="1:7" x14ac:dyDescent="0.25">
      <c r="A140" s="1" t="str">
        <f t="shared" si="2"/>
        <v>05 EE2 114</v>
      </c>
      <c r="B1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0" s="1" t="s">
        <v>3300</v>
      </c>
      <c r="D140" s="1" t="s">
        <v>3301</v>
      </c>
      <c r="E140" s="1" t="s">
        <v>3302</v>
      </c>
      <c r="F140" s="1" t="s">
        <v>112</v>
      </c>
      <c r="G140" s="1">
        <v>241779</v>
      </c>
    </row>
    <row r="141" spans="1:7" x14ac:dyDescent="0.25">
      <c r="A141" s="1" t="str">
        <f t="shared" si="2"/>
        <v>05 EE2 114</v>
      </c>
      <c r="B1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1" s="1" t="s">
        <v>3303</v>
      </c>
      <c r="D141" s="1" t="s">
        <v>3304</v>
      </c>
      <c r="E141" s="1" t="s">
        <v>3305</v>
      </c>
      <c r="F141" s="1" t="s">
        <v>112</v>
      </c>
      <c r="G141" s="1">
        <v>281621</v>
      </c>
    </row>
    <row r="142" spans="1:7" x14ac:dyDescent="0.25">
      <c r="A142" s="1" t="str">
        <f t="shared" si="2"/>
        <v>05 EE2 114</v>
      </c>
      <c r="B1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2" s="1" t="s">
        <v>3306</v>
      </c>
      <c r="D142" s="1" t="s">
        <v>2150</v>
      </c>
      <c r="E142" s="1" t="s">
        <v>3166</v>
      </c>
      <c r="F142" s="1" t="s">
        <v>112</v>
      </c>
      <c r="G142" s="1">
        <v>61580</v>
      </c>
    </row>
    <row r="143" spans="1:7" x14ac:dyDescent="0.25">
      <c r="A143" s="1" t="str">
        <f t="shared" si="2"/>
        <v>05 EE2 114</v>
      </c>
      <c r="B1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3" s="1" t="s">
        <v>3307</v>
      </c>
    </row>
    <row r="144" spans="1:7" x14ac:dyDescent="0.25">
      <c r="A144" s="1" t="str">
        <f t="shared" si="2"/>
        <v>05 EE2 114</v>
      </c>
      <c r="B1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4" s="1" t="s">
        <v>3308</v>
      </c>
      <c r="D144" s="1" t="s">
        <v>703</v>
      </c>
      <c r="E144" s="1" t="s">
        <v>3309</v>
      </c>
      <c r="F144" s="1" t="s">
        <v>112</v>
      </c>
      <c r="G144" s="1">
        <v>91148</v>
      </c>
    </row>
    <row r="145" spans="1:10" x14ac:dyDescent="0.25">
      <c r="A145" s="1" t="str">
        <f t="shared" si="2"/>
        <v>05 EE2 114</v>
      </c>
      <c r="B1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5" s="1" t="s">
        <v>3310</v>
      </c>
      <c r="D145" s="1" t="s">
        <v>3311</v>
      </c>
      <c r="E145" s="1" t="s">
        <v>3312</v>
      </c>
      <c r="F145" s="1" t="s">
        <v>112</v>
      </c>
      <c r="G145" s="1">
        <v>371429</v>
      </c>
    </row>
    <row r="146" spans="1:10" x14ac:dyDescent="0.25">
      <c r="A146" s="1" t="str">
        <f t="shared" si="2"/>
        <v>05 EE2 114</v>
      </c>
      <c r="B1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6" s="1" t="s">
        <v>3313</v>
      </c>
      <c r="D146" s="1" t="s">
        <v>3314</v>
      </c>
      <c r="E146" s="1" t="s">
        <v>3315</v>
      </c>
      <c r="F146" s="1" t="s">
        <v>112</v>
      </c>
      <c r="G146" s="1">
        <v>2069419</v>
      </c>
    </row>
    <row r="147" spans="1:10" x14ac:dyDescent="0.25">
      <c r="A147" s="1" t="str">
        <f t="shared" si="2"/>
        <v>05 EE2 114</v>
      </c>
      <c r="B1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7" s="1" t="s">
        <v>3316</v>
      </c>
      <c r="D147" s="1" t="s">
        <v>3317</v>
      </c>
      <c r="E147" s="1" t="s">
        <v>3318</v>
      </c>
      <c r="F147" s="1" t="s">
        <v>112</v>
      </c>
      <c r="G147" s="1">
        <v>2003447</v>
      </c>
    </row>
    <row r="148" spans="1:10" x14ac:dyDescent="0.25">
      <c r="A148" s="1" t="str">
        <f t="shared" si="2"/>
        <v>05 EE2 114</v>
      </c>
      <c r="B1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8" s="1" t="s">
        <v>3319</v>
      </c>
      <c r="D148" s="1" t="s">
        <v>2557</v>
      </c>
      <c r="E148" s="1" t="s">
        <v>3320</v>
      </c>
      <c r="F148" s="1" t="s">
        <v>112</v>
      </c>
      <c r="G148" s="1">
        <v>1874468</v>
      </c>
    </row>
    <row r="149" spans="1:10" x14ac:dyDescent="0.25">
      <c r="A149" s="1" t="str">
        <f t="shared" si="2"/>
        <v>05 EE2 114</v>
      </c>
      <c r="B1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49" s="1" t="s">
        <v>3321</v>
      </c>
      <c r="D149" s="1" t="s">
        <v>1410</v>
      </c>
      <c r="E149" s="1" t="s">
        <v>3322</v>
      </c>
      <c r="F149" s="1" t="s">
        <v>112</v>
      </c>
      <c r="G149" s="1">
        <v>2406239</v>
      </c>
    </row>
    <row r="150" spans="1:10" x14ac:dyDescent="0.25">
      <c r="A150" s="1" t="str">
        <f t="shared" si="2"/>
        <v>05 EE2 114</v>
      </c>
      <c r="B1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50" s="1" t="s">
        <v>3323</v>
      </c>
      <c r="D150" s="1" t="s">
        <v>3324</v>
      </c>
      <c r="E150" s="1" t="s">
        <v>3325</v>
      </c>
      <c r="F150" s="1" t="s">
        <v>112</v>
      </c>
      <c r="G150" s="1">
        <v>2167164</v>
      </c>
    </row>
    <row r="151" spans="1:10" x14ac:dyDescent="0.25">
      <c r="A151" s="1" t="str">
        <f t="shared" si="2"/>
        <v>05 EE2 114</v>
      </c>
      <c r="B1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51" s="1" t="s">
        <v>3326</v>
      </c>
      <c r="D151" s="1" t="s">
        <v>3327</v>
      </c>
      <c r="E151" s="1" t="s">
        <v>3328</v>
      </c>
      <c r="F151" s="1" t="s">
        <v>112</v>
      </c>
      <c r="G151" s="1">
        <v>2275833</v>
      </c>
    </row>
    <row r="152" spans="1:10" x14ac:dyDescent="0.25">
      <c r="A152" s="1" t="str">
        <f t="shared" si="2"/>
        <v>05 EE2 114</v>
      </c>
      <c r="B1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2" s="1" t="s">
        <v>3329</v>
      </c>
      <c r="D152" s="1" t="s">
        <v>3330</v>
      </c>
      <c r="E152" s="1" t="s">
        <v>3331</v>
      </c>
      <c r="F152" s="1" t="s">
        <v>112</v>
      </c>
      <c r="G152" s="1">
        <v>1499081</v>
      </c>
    </row>
    <row r="153" spans="1:10" x14ac:dyDescent="0.25">
      <c r="A153" s="1" t="str">
        <f t="shared" si="2"/>
        <v>05 EE2 114</v>
      </c>
      <c r="B1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3" s="1" t="s">
        <v>3332</v>
      </c>
      <c r="D153" s="1" t="s">
        <v>3333</v>
      </c>
      <c r="E153" s="1" t="s">
        <v>3334</v>
      </c>
      <c r="F153" s="1" t="s">
        <v>112</v>
      </c>
      <c r="G153" s="1">
        <v>1248196</v>
      </c>
    </row>
    <row r="154" spans="1:10" x14ac:dyDescent="0.25">
      <c r="A154" s="1" t="str">
        <f t="shared" si="2"/>
        <v>05 EE2 114</v>
      </c>
      <c r="B1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4" s="1" t="s">
        <v>3335</v>
      </c>
      <c r="D154" s="1" t="s">
        <v>3336</v>
      </c>
      <c r="E154" s="1" t="s">
        <v>3337</v>
      </c>
      <c r="F154" s="1" t="s">
        <v>112</v>
      </c>
      <c r="G154" s="1">
        <v>1702857</v>
      </c>
    </row>
    <row r="155" spans="1:10" x14ac:dyDescent="0.25">
      <c r="A155" s="1" t="str">
        <f t="shared" si="2"/>
        <v>05 EE2 114</v>
      </c>
      <c r="B1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5" s="1" t="s">
        <v>3338</v>
      </c>
      <c r="D155" s="1" t="s">
        <v>3339</v>
      </c>
      <c r="E155" s="1" t="s">
        <v>3340</v>
      </c>
      <c r="F155" s="1" t="s">
        <v>112</v>
      </c>
      <c r="G155" s="1">
        <v>2035633</v>
      </c>
    </row>
    <row r="156" spans="1:10" x14ac:dyDescent="0.25">
      <c r="A156" s="1" t="str">
        <f t="shared" si="2"/>
        <v>05 EE2 114</v>
      </c>
      <c r="B1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6" s="1" t="s">
        <v>3341</v>
      </c>
      <c r="D156" s="1" t="s">
        <v>3342</v>
      </c>
      <c r="E156" s="1" t="s">
        <v>3343</v>
      </c>
      <c r="F156" s="1" t="s">
        <v>112</v>
      </c>
      <c r="G156" s="1">
        <v>1747198</v>
      </c>
    </row>
    <row r="157" spans="1:10" x14ac:dyDescent="0.25">
      <c r="A157" s="1" t="str">
        <f t="shared" si="2"/>
        <v>05 EE2 114</v>
      </c>
      <c r="B1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7" s="1" t="s">
        <v>3344</v>
      </c>
      <c r="D157" s="1" t="s">
        <v>3345</v>
      </c>
      <c r="E157" s="1" t="s">
        <v>3346</v>
      </c>
      <c r="F157" s="1" t="s">
        <v>112</v>
      </c>
      <c r="G157" s="1">
        <v>2219379</v>
      </c>
    </row>
    <row r="158" spans="1:10" x14ac:dyDescent="0.25">
      <c r="A158" s="1" t="str">
        <f t="shared" si="2"/>
        <v/>
      </c>
      <c r="B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58" s="1" t="s">
        <v>112</v>
      </c>
    </row>
    <row r="159" spans="1:10" x14ac:dyDescent="0.25">
      <c r="A159" s="1" t="str">
        <f t="shared" si="2"/>
        <v/>
      </c>
      <c r="B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59" s="1" t="s">
        <v>229</v>
      </c>
      <c r="D159" s="1" t="s">
        <v>112</v>
      </c>
      <c r="E159" s="1" t="s">
        <v>230</v>
      </c>
      <c r="F159" s="1" t="s">
        <v>231</v>
      </c>
      <c r="G159" s="1" t="s">
        <v>232</v>
      </c>
      <c r="H159" s="1" t="s">
        <v>233</v>
      </c>
      <c r="I159" s="1" t="s">
        <v>234</v>
      </c>
      <c r="J159" s="1" t="s">
        <v>235</v>
      </c>
    </row>
    <row r="160" spans="1:10" x14ac:dyDescent="0.25">
      <c r="A160" s="1" t="str">
        <f t="shared" si="2"/>
        <v>05 EE2 114</v>
      </c>
      <c r="B16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60" s="1" t="s">
        <v>3347</v>
      </c>
      <c r="D160" s="1" t="s">
        <v>112</v>
      </c>
      <c r="E160" s="1" t="s">
        <v>3348</v>
      </c>
      <c r="F160" s="1" t="s">
        <v>3349</v>
      </c>
      <c r="G160" s="1" t="s">
        <v>3350</v>
      </c>
      <c r="H160" s="1" t="s">
        <v>3351</v>
      </c>
      <c r="I160" s="1">
        <v>24</v>
      </c>
      <c r="J160" s="1">
        <v>24</v>
      </c>
    </row>
    <row r="161" spans="1:7" x14ac:dyDescent="0.25">
      <c r="A161" s="1" t="str">
        <f t="shared" si="2"/>
        <v/>
      </c>
      <c r="B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1" s="1" t="s">
        <v>112</v>
      </c>
    </row>
    <row r="162" spans="1:7" x14ac:dyDescent="0.25">
      <c r="A162" s="1" t="str">
        <f t="shared" si="2"/>
        <v/>
      </c>
      <c r="B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2" s="1" t="s">
        <v>112</v>
      </c>
    </row>
    <row r="163" spans="1:7" x14ac:dyDescent="0.25">
      <c r="A163" s="1" t="str">
        <f t="shared" si="2"/>
        <v/>
      </c>
      <c r="B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3" s="1" t="s">
        <v>112</v>
      </c>
    </row>
    <row r="164" spans="1:7" x14ac:dyDescent="0.25">
      <c r="A164" s="1" t="str">
        <f t="shared" si="2"/>
        <v/>
      </c>
      <c r="B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4" s="1" t="s">
        <v>112</v>
      </c>
    </row>
    <row r="165" spans="1:7" x14ac:dyDescent="0.25">
      <c r="A165" s="1" t="str">
        <f t="shared" si="2"/>
        <v/>
      </c>
      <c r="B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5" s="1" t="s">
        <v>112</v>
      </c>
    </row>
    <row r="166" spans="1:7" x14ac:dyDescent="0.25">
      <c r="A166" s="1" t="str">
        <f t="shared" si="2"/>
        <v/>
      </c>
      <c r="B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6" s="1" t="s">
        <v>241</v>
      </c>
      <c r="D166" s="1" t="s">
        <v>110</v>
      </c>
      <c r="E166" s="1" t="s">
        <v>111</v>
      </c>
      <c r="F166" s="1" t="s">
        <v>112</v>
      </c>
      <c r="G166" s="1" t="s">
        <v>113</v>
      </c>
    </row>
    <row r="167" spans="1:7" x14ac:dyDescent="0.25">
      <c r="A167" s="1" t="str">
        <f t="shared" si="2"/>
        <v>06 EE2 170.9</v>
      </c>
      <c r="B1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7" s="1" t="s">
        <v>3352</v>
      </c>
      <c r="D167" s="1" t="s">
        <v>1560</v>
      </c>
      <c r="E167" s="1" t="s">
        <v>3353</v>
      </c>
      <c r="F167" s="1" t="s">
        <v>112</v>
      </c>
      <c r="G167" s="1">
        <v>1675690</v>
      </c>
    </row>
    <row r="168" spans="1:7" x14ac:dyDescent="0.25">
      <c r="A168" s="1" t="str">
        <f t="shared" si="2"/>
        <v>06 EE2 170.9</v>
      </c>
      <c r="B1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8" s="1" t="s">
        <v>3354</v>
      </c>
      <c r="D168" s="1" t="s">
        <v>978</v>
      </c>
      <c r="E168" s="1" t="s">
        <v>3355</v>
      </c>
      <c r="F168" s="1" t="s">
        <v>112</v>
      </c>
      <c r="G168" s="1">
        <v>1958046</v>
      </c>
    </row>
    <row r="169" spans="1:7" x14ac:dyDescent="0.25">
      <c r="A169" s="1" t="str">
        <f t="shared" si="2"/>
        <v>06 EE2 170.9</v>
      </c>
      <c r="B1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9" s="1" t="s">
        <v>3356</v>
      </c>
    </row>
    <row r="170" spans="1:7" x14ac:dyDescent="0.25">
      <c r="A170" s="1" t="str">
        <f t="shared" si="2"/>
        <v>06 EE2 170.9</v>
      </c>
      <c r="B1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0" s="1" t="s">
        <v>3357</v>
      </c>
      <c r="D170" s="1" t="s">
        <v>3358</v>
      </c>
      <c r="E170" s="1" t="s">
        <v>3359</v>
      </c>
      <c r="F170" s="1" t="s">
        <v>112</v>
      </c>
      <c r="G170" s="1">
        <v>4352194</v>
      </c>
    </row>
    <row r="171" spans="1:7" x14ac:dyDescent="0.25">
      <c r="A171" s="1" t="str">
        <f t="shared" si="2"/>
        <v>06 EE2 170.9</v>
      </c>
      <c r="B1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1" s="1" t="s">
        <v>3360</v>
      </c>
      <c r="D171" s="1" t="s">
        <v>3361</v>
      </c>
      <c r="E171" s="1" t="s">
        <v>3362</v>
      </c>
      <c r="F171" s="1" t="s">
        <v>112</v>
      </c>
      <c r="G171" s="1">
        <v>3756010</v>
      </c>
    </row>
    <row r="172" spans="1:7" x14ac:dyDescent="0.25">
      <c r="A172" s="1" t="str">
        <f t="shared" si="2"/>
        <v>06 EE2 170.9</v>
      </c>
      <c r="B1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2" s="1" t="s">
        <v>3363</v>
      </c>
      <c r="D172" s="1" t="s">
        <v>3364</v>
      </c>
      <c r="E172" s="1" t="s">
        <v>3365</v>
      </c>
      <c r="F172" s="1" t="s">
        <v>112</v>
      </c>
      <c r="G172" s="1">
        <v>4038842</v>
      </c>
    </row>
    <row r="173" spans="1:7" x14ac:dyDescent="0.25">
      <c r="A173" s="1" t="str">
        <f t="shared" si="2"/>
        <v>06 EE2 170.9</v>
      </c>
      <c r="B1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3" s="1" t="s">
        <v>3366</v>
      </c>
      <c r="D173" s="1" t="s">
        <v>3367</v>
      </c>
      <c r="E173" s="1" t="s">
        <v>3368</v>
      </c>
      <c r="F173" s="1" t="s">
        <v>112</v>
      </c>
      <c r="G173" s="1">
        <v>3632481</v>
      </c>
    </row>
    <row r="174" spans="1:7" x14ac:dyDescent="0.25">
      <c r="A174" s="1" t="str">
        <f t="shared" si="2"/>
        <v>06 EE2 170.9</v>
      </c>
      <c r="B1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4" s="1" t="s">
        <v>3369</v>
      </c>
      <c r="D174" s="1" t="s">
        <v>3370</v>
      </c>
      <c r="E174" s="1" t="s">
        <v>3371</v>
      </c>
      <c r="F174" s="1" t="s">
        <v>112</v>
      </c>
      <c r="G174" s="1">
        <v>4035814</v>
      </c>
    </row>
    <row r="175" spans="1:7" x14ac:dyDescent="0.25">
      <c r="A175" s="1" t="str">
        <f t="shared" si="2"/>
        <v>06 EE2 170.9</v>
      </c>
      <c r="B1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5" s="1" t="s">
        <v>3372</v>
      </c>
      <c r="D175" s="1" t="s">
        <v>2026</v>
      </c>
      <c r="E175" s="1" t="s">
        <v>3373</v>
      </c>
      <c r="F175" s="1" t="s">
        <v>112</v>
      </c>
      <c r="G175" s="1">
        <v>3642431</v>
      </c>
    </row>
    <row r="176" spans="1:7" x14ac:dyDescent="0.25">
      <c r="A176" s="1" t="str">
        <f t="shared" si="2"/>
        <v>06 EE2 170.9</v>
      </c>
      <c r="B1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6" s="1" t="s">
        <v>3374</v>
      </c>
      <c r="D176" s="1" t="s">
        <v>3375</v>
      </c>
      <c r="E176" s="1" t="s">
        <v>3376</v>
      </c>
      <c r="F176" s="1" t="s">
        <v>112</v>
      </c>
      <c r="G176" s="1">
        <v>2898925</v>
      </c>
    </row>
    <row r="177" spans="1:10" x14ac:dyDescent="0.25">
      <c r="A177" s="1" t="str">
        <f t="shared" si="2"/>
        <v>06 EE2 170.9</v>
      </c>
      <c r="B1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7" s="1" t="s">
        <v>3377</v>
      </c>
      <c r="D177" s="1" t="s">
        <v>1875</v>
      </c>
      <c r="E177" s="1" t="s">
        <v>3378</v>
      </c>
      <c r="F177" s="1" t="s">
        <v>112</v>
      </c>
      <c r="G177" s="1">
        <v>2017334</v>
      </c>
    </row>
    <row r="178" spans="1:10" x14ac:dyDescent="0.25">
      <c r="A178" s="1" t="str">
        <f t="shared" si="2"/>
        <v>06 EE2 170.9</v>
      </c>
      <c r="B1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8" s="1" t="s">
        <v>3379</v>
      </c>
      <c r="D178" s="1" t="s">
        <v>3380</v>
      </c>
      <c r="E178" s="1" t="s">
        <v>3381</v>
      </c>
      <c r="F178" s="1" t="s">
        <v>112</v>
      </c>
      <c r="G178" s="1">
        <v>2965415</v>
      </c>
    </row>
    <row r="179" spans="1:10" x14ac:dyDescent="0.25">
      <c r="A179" s="1" t="str">
        <f t="shared" si="2"/>
        <v>06 EE2 170.9</v>
      </c>
      <c r="B1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79" s="1" t="s">
        <v>3382</v>
      </c>
      <c r="D179" s="1" t="s">
        <v>3383</v>
      </c>
      <c r="E179" s="1" t="s">
        <v>3384</v>
      </c>
      <c r="F179" s="1" t="s">
        <v>112</v>
      </c>
      <c r="G179" s="1">
        <v>2875608</v>
      </c>
    </row>
    <row r="180" spans="1:10" x14ac:dyDescent="0.25">
      <c r="A180" s="1" t="str">
        <f t="shared" si="2"/>
        <v>06 EE2 170.9</v>
      </c>
      <c r="B1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0" s="1" t="s">
        <v>3385</v>
      </c>
      <c r="D180" s="1" t="s">
        <v>3386</v>
      </c>
      <c r="E180" s="1" t="s">
        <v>3387</v>
      </c>
      <c r="F180" s="1" t="s">
        <v>112</v>
      </c>
      <c r="G180" s="1">
        <v>2323570</v>
      </c>
    </row>
    <row r="181" spans="1:10" x14ac:dyDescent="0.25">
      <c r="A181" s="1" t="str">
        <f t="shared" si="2"/>
        <v>06 EE2 170.9</v>
      </c>
      <c r="B1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1" s="1" t="s">
        <v>3388</v>
      </c>
      <c r="D181" s="1" t="s">
        <v>3389</v>
      </c>
      <c r="E181" s="1" t="s">
        <v>3390</v>
      </c>
      <c r="F181" s="1" t="s">
        <v>112</v>
      </c>
      <c r="G181" s="1">
        <v>2158772</v>
      </c>
    </row>
    <row r="182" spans="1:10" x14ac:dyDescent="0.25">
      <c r="A182" s="1" t="str">
        <f t="shared" si="2"/>
        <v>06 EE2 170.9</v>
      </c>
      <c r="B1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2" s="1" t="s">
        <v>3391</v>
      </c>
      <c r="D182" s="1" t="s">
        <v>3392</v>
      </c>
      <c r="E182" s="1" t="s">
        <v>3393</v>
      </c>
      <c r="F182" s="1" t="s">
        <v>112</v>
      </c>
      <c r="G182" s="1">
        <v>3531015</v>
      </c>
    </row>
    <row r="183" spans="1:10" x14ac:dyDescent="0.25">
      <c r="A183" s="1" t="str">
        <f t="shared" si="2"/>
        <v>06 EE2 170.9</v>
      </c>
      <c r="B1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3" s="1" t="s">
        <v>3394</v>
      </c>
      <c r="D183" s="1" t="s">
        <v>3367</v>
      </c>
      <c r="E183" s="1" t="s">
        <v>3395</v>
      </c>
      <c r="F183" s="1" t="s">
        <v>112</v>
      </c>
      <c r="G183" s="1">
        <v>3571355</v>
      </c>
    </row>
    <row r="184" spans="1:10" x14ac:dyDescent="0.25">
      <c r="A184" s="1" t="str">
        <f t="shared" si="2"/>
        <v>06 EE2 170.9</v>
      </c>
      <c r="B1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4" s="1" t="s">
        <v>3396</v>
      </c>
      <c r="D184" s="1" t="s">
        <v>3397</v>
      </c>
      <c r="E184" s="1" t="s">
        <v>3398</v>
      </c>
      <c r="F184" s="1" t="s">
        <v>112</v>
      </c>
      <c r="G184" s="1">
        <v>2691494</v>
      </c>
    </row>
    <row r="185" spans="1:10" x14ac:dyDescent="0.25">
      <c r="A185" s="1" t="str">
        <f t="shared" si="2"/>
        <v>06 EE2 170.9</v>
      </c>
      <c r="B1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5" s="1" t="s">
        <v>3399</v>
      </c>
      <c r="D185" s="1" t="s">
        <v>3400</v>
      </c>
      <c r="E185" s="1" t="s">
        <v>3401</v>
      </c>
      <c r="F185" s="1" t="s">
        <v>112</v>
      </c>
      <c r="G185" s="1">
        <v>4014011</v>
      </c>
    </row>
    <row r="186" spans="1:10" x14ac:dyDescent="0.25">
      <c r="A186" s="1" t="str">
        <f t="shared" si="2"/>
        <v>06 EE2 170.9</v>
      </c>
      <c r="B1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6" s="1" t="s">
        <v>3402</v>
      </c>
      <c r="D186" s="1" t="s">
        <v>3403</v>
      </c>
      <c r="E186" s="1" t="s">
        <v>3404</v>
      </c>
      <c r="F186" s="1" t="s">
        <v>112</v>
      </c>
      <c r="G186" s="1">
        <v>4094128</v>
      </c>
    </row>
    <row r="187" spans="1:10" x14ac:dyDescent="0.25">
      <c r="A187" s="1" t="str">
        <f t="shared" si="2"/>
        <v>06 EE2 170.9</v>
      </c>
      <c r="B1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7" s="1" t="s">
        <v>3405</v>
      </c>
      <c r="D187" s="1" t="s">
        <v>3406</v>
      </c>
      <c r="E187" s="1" t="s">
        <v>3407</v>
      </c>
      <c r="F187" s="1" t="s">
        <v>112</v>
      </c>
      <c r="G187" s="1">
        <v>4118116</v>
      </c>
    </row>
    <row r="188" spans="1:10" x14ac:dyDescent="0.25">
      <c r="A188" s="1" t="str">
        <f t="shared" si="2"/>
        <v>06 EE2 170.9</v>
      </c>
      <c r="B1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88" s="1" t="s">
        <v>3408</v>
      </c>
      <c r="D188" s="1" t="s">
        <v>1501</v>
      </c>
      <c r="E188" s="1" t="s">
        <v>3409</v>
      </c>
      <c r="F188" s="1" t="s">
        <v>112</v>
      </c>
      <c r="G188" s="1">
        <v>2827287</v>
      </c>
    </row>
    <row r="189" spans="1:10" x14ac:dyDescent="0.25">
      <c r="A189" s="1" t="str">
        <f t="shared" si="2"/>
        <v>06 EE2 170.9</v>
      </c>
      <c r="B1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89" s="1" t="s">
        <v>3410</v>
      </c>
      <c r="D189" s="1" t="s">
        <v>3411</v>
      </c>
      <c r="E189" s="1" t="s">
        <v>3412</v>
      </c>
      <c r="F189" s="1" t="s">
        <v>112</v>
      </c>
      <c r="G189" s="1">
        <v>2852486</v>
      </c>
    </row>
    <row r="190" spans="1:10" x14ac:dyDescent="0.25">
      <c r="A190" s="1" t="str">
        <f t="shared" si="2"/>
        <v>06 EE2 170.9</v>
      </c>
      <c r="B1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90" s="1" t="s">
        <v>3413</v>
      </c>
      <c r="D190" s="1" t="s">
        <v>3414</v>
      </c>
      <c r="E190" s="1" t="s">
        <v>3415</v>
      </c>
      <c r="F190" s="1" t="s">
        <v>112</v>
      </c>
      <c r="G190" s="1">
        <v>2490531</v>
      </c>
    </row>
    <row r="191" spans="1:10" x14ac:dyDescent="0.25">
      <c r="A191" s="1" t="str">
        <f t="shared" si="2"/>
        <v/>
      </c>
      <c r="B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1" s="1" t="s">
        <v>112</v>
      </c>
    </row>
    <row r="192" spans="1:10" x14ac:dyDescent="0.25">
      <c r="A192" s="1" t="str">
        <f t="shared" si="2"/>
        <v/>
      </c>
      <c r="B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2" s="1" t="s">
        <v>229</v>
      </c>
      <c r="D192" s="1" t="s">
        <v>112</v>
      </c>
      <c r="E192" s="1" t="s">
        <v>230</v>
      </c>
      <c r="F192" s="1" t="s">
        <v>231</v>
      </c>
      <c r="G192" s="1" t="s">
        <v>232</v>
      </c>
      <c r="H192" s="1" t="s">
        <v>233</v>
      </c>
      <c r="I192" s="1" t="s">
        <v>234</v>
      </c>
      <c r="J192" s="1" t="s">
        <v>235</v>
      </c>
    </row>
    <row r="193" spans="1:10" x14ac:dyDescent="0.25">
      <c r="A193" s="1" t="str">
        <f t="shared" si="2"/>
        <v>06 EE2 170.9</v>
      </c>
      <c r="B19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93" s="1" t="s">
        <v>3416</v>
      </c>
      <c r="D193" s="1" t="s">
        <v>112</v>
      </c>
      <c r="E193" s="1" t="s">
        <v>3417</v>
      </c>
      <c r="F193" s="1" t="s">
        <v>3418</v>
      </c>
      <c r="G193" s="1" t="s">
        <v>3419</v>
      </c>
      <c r="H193" s="1" t="s">
        <v>3420</v>
      </c>
      <c r="I193" s="1">
        <v>24</v>
      </c>
      <c r="J193" s="1">
        <v>24</v>
      </c>
    </row>
    <row r="194" spans="1:10" x14ac:dyDescent="0.25">
      <c r="A194" s="1" t="str">
        <f t="shared" ref="A194:A257" si="3">IFERROR(LEFT(RIGHT(C194,LEN(C194)-SEARCH("@",C194)),SEARCH("/",RIGHT(C194,LEN(C194)-SEARCH("@",C194)-1))),"")</f>
        <v/>
      </c>
      <c r="B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4" s="1" t="s">
        <v>112</v>
      </c>
    </row>
    <row r="195" spans="1:10" x14ac:dyDescent="0.25">
      <c r="A195" s="1" t="str">
        <f t="shared" si="3"/>
        <v/>
      </c>
      <c r="B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5" s="1" t="s">
        <v>112</v>
      </c>
    </row>
    <row r="196" spans="1:10" x14ac:dyDescent="0.25">
      <c r="A196" s="1" t="str">
        <f t="shared" si="3"/>
        <v/>
      </c>
      <c r="B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6" s="1" t="s">
        <v>112</v>
      </c>
    </row>
    <row r="197" spans="1:10" x14ac:dyDescent="0.25">
      <c r="A197" s="1" t="str">
        <f t="shared" si="3"/>
        <v/>
      </c>
      <c r="B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7" s="1" t="s">
        <v>112</v>
      </c>
    </row>
    <row r="198" spans="1:10" x14ac:dyDescent="0.25">
      <c r="A198" s="1" t="str">
        <f t="shared" si="3"/>
        <v/>
      </c>
      <c r="B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8" s="1" t="s">
        <v>112</v>
      </c>
    </row>
    <row r="199" spans="1:10" x14ac:dyDescent="0.25">
      <c r="A199" s="1" t="str">
        <f t="shared" si="3"/>
        <v/>
      </c>
      <c r="B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9" s="1" t="s">
        <v>241</v>
      </c>
      <c r="D199" s="1" t="s">
        <v>110</v>
      </c>
      <c r="E199" s="1" t="s">
        <v>111</v>
      </c>
      <c r="F199" s="1" t="s">
        <v>112</v>
      </c>
      <c r="G199" s="1" t="s">
        <v>113</v>
      </c>
    </row>
    <row r="200" spans="1:10" x14ac:dyDescent="0.25">
      <c r="A200" s="1" t="str">
        <f t="shared" si="3"/>
        <v>07 EE2 488</v>
      </c>
      <c r="B2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0" s="1" t="s">
        <v>3421</v>
      </c>
      <c r="D200" s="1" t="s">
        <v>3422</v>
      </c>
      <c r="E200" s="1" t="s">
        <v>3423</v>
      </c>
      <c r="F200" s="1" t="s">
        <v>112</v>
      </c>
      <c r="G200" s="1">
        <v>5418440</v>
      </c>
    </row>
    <row r="201" spans="1:10" x14ac:dyDescent="0.25">
      <c r="A201" s="1" t="str">
        <f t="shared" si="3"/>
        <v>07 EE2 488</v>
      </c>
      <c r="B2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1" s="1" t="s">
        <v>3424</v>
      </c>
      <c r="D201" s="1" t="s">
        <v>3425</v>
      </c>
      <c r="E201" s="1" t="s">
        <v>3426</v>
      </c>
      <c r="F201" s="1" t="s">
        <v>112</v>
      </c>
      <c r="G201" s="1">
        <v>5061179</v>
      </c>
    </row>
    <row r="202" spans="1:10" x14ac:dyDescent="0.25">
      <c r="A202" s="1" t="str">
        <f t="shared" si="3"/>
        <v>07 EE2 488</v>
      </c>
      <c r="B2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2" s="1" t="s">
        <v>3427</v>
      </c>
      <c r="D202" s="1" t="s">
        <v>3428</v>
      </c>
      <c r="E202" s="1" t="s">
        <v>3429</v>
      </c>
      <c r="F202" s="1" t="s">
        <v>112</v>
      </c>
      <c r="G202" s="1">
        <v>4257174</v>
      </c>
    </row>
    <row r="203" spans="1:10" x14ac:dyDescent="0.25">
      <c r="A203" s="1" t="str">
        <f t="shared" si="3"/>
        <v>07 EE2 488</v>
      </c>
      <c r="B2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3" s="1" t="s">
        <v>3430</v>
      </c>
      <c r="D203" s="1" t="s">
        <v>3431</v>
      </c>
      <c r="E203" s="1" t="s">
        <v>3432</v>
      </c>
      <c r="F203" s="1" t="s">
        <v>112</v>
      </c>
      <c r="G203" s="1">
        <v>2855254</v>
      </c>
    </row>
    <row r="204" spans="1:10" x14ac:dyDescent="0.25">
      <c r="A204" s="1" t="str">
        <f t="shared" si="3"/>
        <v>07 EE2 488</v>
      </c>
      <c r="B2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4" s="1" t="s">
        <v>3433</v>
      </c>
      <c r="D204" s="1" t="s">
        <v>3434</v>
      </c>
      <c r="E204" s="1" t="s">
        <v>3435</v>
      </c>
      <c r="F204" s="1" t="s">
        <v>112</v>
      </c>
      <c r="G204" s="1">
        <v>2443508</v>
      </c>
    </row>
    <row r="205" spans="1:10" x14ac:dyDescent="0.25">
      <c r="A205" s="1" t="str">
        <f t="shared" si="3"/>
        <v>07 EE2 488</v>
      </c>
      <c r="B2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5" s="1" t="s">
        <v>3436</v>
      </c>
      <c r="D205" s="1" t="s">
        <v>3437</v>
      </c>
      <c r="E205" s="1" t="s">
        <v>3438</v>
      </c>
      <c r="F205" s="1" t="s">
        <v>112</v>
      </c>
      <c r="G205" s="1">
        <v>2669994</v>
      </c>
    </row>
    <row r="206" spans="1:10" x14ac:dyDescent="0.25">
      <c r="A206" s="1" t="str">
        <f t="shared" si="3"/>
        <v>07 EE2 488</v>
      </c>
      <c r="B2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6" s="1" t="s">
        <v>3439</v>
      </c>
      <c r="D206" s="1" t="s">
        <v>3440</v>
      </c>
      <c r="E206" s="1" t="s">
        <v>3441</v>
      </c>
      <c r="F206" s="1" t="s">
        <v>112</v>
      </c>
      <c r="G206" s="1">
        <v>1762425</v>
      </c>
    </row>
    <row r="207" spans="1:10" x14ac:dyDescent="0.25">
      <c r="A207" s="1" t="str">
        <f t="shared" si="3"/>
        <v>07 EE2 488</v>
      </c>
      <c r="B2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7" s="1" t="s">
        <v>3442</v>
      </c>
      <c r="D207" s="1" t="s">
        <v>3443</v>
      </c>
      <c r="E207" s="1" t="s">
        <v>3444</v>
      </c>
      <c r="F207" s="1" t="s">
        <v>112</v>
      </c>
      <c r="G207" s="1">
        <v>1416650</v>
      </c>
    </row>
    <row r="208" spans="1:10" x14ac:dyDescent="0.25">
      <c r="A208" s="1" t="str">
        <f t="shared" si="3"/>
        <v>07 EE2 488</v>
      </c>
      <c r="B2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8" s="1" t="s">
        <v>3445</v>
      </c>
      <c r="D208" s="1" t="s">
        <v>3446</v>
      </c>
      <c r="E208" s="1" t="s">
        <v>3447</v>
      </c>
      <c r="F208" s="1" t="s">
        <v>112</v>
      </c>
      <c r="G208" s="1">
        <v>1175779</v>
      </c>
    </row>
    <row r="209" spans="1:7" x14ac:dyDescent="0.25">
      <c r="A209" s="1" t="str">
        <f t="shared" si="3"/>
        <v>07 EE2 488</v>
      </c>
      <c r="B2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09" s="1" t="s">
        <v>3448</v>
      </c>
      <c r="D209" s="1" t="s">
        <v>3449</v>
      </c>
      <c r="E209" s="1" t="s">
        <v>3450</v>
      </c>
      <c r="F209" s="1" t="s">
        <v>112</v>
      </c>
      <c r="G209" s="1">
        <v>7694338</v>
      </c>
    </row>
    <row r="210" spans="1:7" x14ac:dyDescent="0.25">
      <c r="A210" s="1" t="str">
        <f t="shared" si="3"/>
        <v>07 EE2 488</v>
      </c>
      <c r="B2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10" s="1" t="s">
        <v>3451</v>
      </c>
      <c r="D210" s="1" t="s">
        <v>3452</v>
      </c>
      <c r="E210" s="1" t="s">
        <v>3453</v>
      </c>
      <c r="F210" s="1" t="s">
        <v>112</v>
      </c>
      <c r="G210" s="1">
        <v>7420027</v>
      </c>
    </row>
    <row r="211" spans="1:7" x14ac:dyDescent="0.25">
      <c r="A211" s="1" t="str">
        <f t="shared" si="3"/>
        <v>07 EE2 488</v>
      </c>
      <c r="B2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11" s="1" t="s">
        <v>3454</v>
      </c>
      <c r="D211" s="1" t="s">
        <v>3455</v>
      </c>
      <c r="E211" s="1" t="s">
        <v>3456</v>
      </c>
      <c r="F211" s="1" t="s">
        <v>112</v>
      </c>
      <c r="G211" s="1">
        <v>7747742</v>
      </c>
    </row>
    <row r="212" spans="1:7" x14ac:dyDescent="0.25">
      <c r="A212" s="1" t="str">
        <f t="shared" si="3"/>
        <v>07 EE2 488</v>
      </c>
      <c r="B2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2" s="1" t="s">
        <v>3457</v>
      </c>
      <c r="D212" s="1" t="s">
        <v>3458</v>
      </c>
      <c r="E212" s="1" t="s">
        <v>3459</v>
      </c>
      <c r="F212" s="1" t="s">
        <v>112</v>
      </c>
      <c r="G212" s="1">
        <v>6176287</v>
      </c>
    </row>
    <row r="213" spans="1:7" x14ac:dyDescent="0.25">
      <c r="A213" s="1" t="str">
        <f t="shared" si="3"/>
        <v>07 EE2 488</v>
      </c>
      <c r="B2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3" s="1" t="s">
        <v>3460</v>
      </c>
      <c r="D213" s="1" t="s">
        <v>3461</v>
      </c>
      <c r="E213" s="1" t="s">
        <v>3462</v>
      </c>
      <c r="F213" s="1" t="s">
        <v>112</v>
      </c>
      <c r="G213" s="1">
        <v>6312879</v>
      </c>
    </row>
    <row r="214" spans="1:7" x14ac:dyDescent="0.25">
      <c r="A214" s="1" t="str">
        <f t="shared" si="3"/>
        <v>07 EE2 488</v>
      </c>
      <c r="B2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4" s="1" t="s">
        <v>3463</v>
      </c>
      <c r="D214" s="1" t="s">
        <v>3464</v>
      </c>
      <c r="E214" s="1" t="s">
        <v>3465</v>
      </c>
      <c r="F214" s="1" t="s">
        <v>112</v>
      </c>
      <c r="G214" s="1">
        <v>6304400</v>
      </c>
    </row>
    <row r="215" spans="1:7" x14ac:dyDescent="0.25">
      <c r="A215" s="1" t="str">
        <f t="shared" si="3"/>
        <v>07 EE2 488</v>
      </c>
      <c r="B2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5" s="1" t="s">
        <v>3466</v>
      </c>
      <c r="D215" s="1" t="s">
        <v>3467</v>
      </c>
      <c r="E215" s="1" t="s">
        <v>3468</v>
      </c>
      <c r="F215" s="1" t="s">
        <v>112</v>
      </c>
      <c r="G215" s="1">
        <v>5705014</v>
      </c>
    </row>
    <row r="216" spans="1:7" x14ac:dyDescent="0.25">
      <c r="A216" s="1" t="str">
        <f t="shared" si="3"/>
        <v>07 EE2 488</v>
      </c>
      <c r="B2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6" s="1" t="s">
        <v>3469</v>
      </c>
      <c r="D216" s="1" t="s">
        <v>3470</v>
      </c>
      <c r="E216" s="1" t="s">
        <v>3471</v>
      </c>
      <c r="F216" s="1" t="s">
        <v>112</v>
      </c>
      <c r="G216" s="1">
        <v>5734907</v>
      </c>
    </row>
    <row r="217" spans="1:7" x14ac:dyDescent="0.25">
      <c r="A217" s="1" t="str">
        <f t="shared" si="3"/>
        <v>07 EE2 488</v>
      </c>
      <c r="B2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7" s="1" t="s">
        <v>3472</v>
      </c>
      <c r="D217" s="1" t="s">
        <v>3473</v>
      </c>
      <c r="E217" s="1" t="s">
        <v>3474</v>
      </c>
      <c r="F217" s="1" t="s">
        <v>112</v>
      </c>
      <c r="G217" s="1">
        <v>5945150</v>
      </c>
    </row>
    <row r="218" spans="1:7" x14ac:dyDescent="0.25">
      <c r="A218" s="1" t="str">
        <f t="shared" si="3"/>
        <v>07 EE2 488</v>
      </c>
      <c r="B2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8" s="1" t="s">
        <v>3475</v>
      </c>
      <c r="D218" s="1" t="s">
        <v>3476</v>
      </c>
      <c r="E218" s="1" t="s">
        <v>3477</v>
      </c>
      <c r="F218" s="1" t="s">
        <v>112</v>
      </c>
      <c r="G218" s="1">
        <v>3093291</v>
      </c>
    </row>
    <row r="219" spans="1:7" x14ac:dyDescent="0.25">
      <c r="A219" s="1" t="str">
        <f t="shared" si="3"/>
        <v>07 EE2 488</v>
      </c>
      <c r="B2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9" s="1" t="s">
        <v>3478</v>
      </c>
      <c r="D219" s="1" t="s">
        <v>3479</v>
      </c>
      <c r="E219" s="1" t="s">
        <v>3480</v>
      </c>
      <c r="F219" s="1" t="s">
        <v>112</v>
      </c>
      <c r="G219" s="1">
        <v>2821512</v>
      </c>
    </row>
    <row r="220" spans="1:7" x14ac:dyDescent="0.25">
      <c r="A220" s="1" t="str">
        <f t="shared" si="3"/>
        <v>07 EE2 488</v>
      </c>
      <c r="B2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20" s="1" t="s">
        <v>3481</v>
      </c>
      <c r="D220" s="1" t="s">
        <v>3482</v>
      </c>
      <c r="E220" s="1" t="s">
        <v>3483</v>
      </c>
      <c r="F220" s="1" t="s">
        <v>112</v>
      </c>
      <c r="G220" s="1">
        <v>3101143</v>
      </c>
    </row>
    <row r="221" spans="1:7" x14ac:dyDescent="0.25">
      <c r="A221" s="1" t="str">
        <f t="shared" si="3"/>
        <v>07 EE2 488</v>
      </c>
      <c r="B2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1" s="1" t="s">
        <v>3484</v>
      </c>
      <c r="D221" s="1" t="s">
        <v>3485</v>
      </c>
      <c r="E221" s="1" t="s">
        <v>3486</v>
      </c>
      <c r="F221" s="1" t="s">
        <v>112</v>
      </c>
      <c r="G221" s="1">
        <v>6939649</v>
      </c>
    </row>
    <row r="222" spans="1:7" x14ac:dyDescent="0.25">
      <c r="A222" s="1" t="str">
        <f t="shared" si="3"/>
        <v>07 EE2 488</v>
      </c>
      <c r="B2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2" s="1" t="s">
        <v>3487</v>
      </c>
      <c r="D222" s="1" t="s">
        <v>3488</v>
      </c>
      <c r="E222" s="1" t="s">
        <v>3489</v>
      </c>
      <c r="F222" s="1" t="s">
        <v>112</v>
      </c>
      <c r="G222" s="1">
        <v>7443431</v>
      </c>
    </row>
    <row r="223" spans="1:7" x14ac:dyDescent="0.25">
      <c r="A223" s="1" t="str">
        <f t="shared" si="3"/>
        <v>07 EE2 488</v>
      </c>
      <c r="B2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3" s="1" t="s">
        <v>3490</v>
      </c>
      <c r="D223" s="1" t="s">
        <v>3491</v>
      </c>
      <c r="E223" s="1" t="s">
        <v>3492</v>
      </c>
      <c r="F223" s="1" t="s">
        <v>112</v>
      </c>
      <c r="G223" s="1">
        <v>6841471</v>
      </c>
    </row>
    <row r="224" spans="1:7" x14ac:dyDescent="0.25">
      <c r="A224" s="1" t="str">
        <f t="shared" si="3"/>
        <v/>
      </c>
      <c r="B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4" s="1" t="s">
        <v>112</v>
      </c>
    </row>
    <row r="225" spans="1:10" x14ac:dyDescent="0.25">
      <c r="A225" s="1" t="str">
        <f t="shared" si="3"/>
        <v/>
      </c>
      <c r="B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5" s="1" t="s">
        <v>229</v>
      </c>
      <c r="D225" s="1" t="s">
        <v>112</v>
      </c>
      <c r="E225" s="1" t="s">
        <v>230</v>
      </c>
      <c r="F225" s="1" t="s">
        <v>231</v>
      </c>
      <c r="G225" s="1" t="s">
        <v>232</v>
      </c>
      <c r="H225" s="1" t="s">
        <v>233</v>
      </c>
      <c r="I225" s="1" t="s">
        <v>234</v>
      </c>
      <c r="J225" s="1" t="s">
        <v>235</v>
      </c>
    </row>
    <row r="226" spans="1:10" x14ac:dyDescent="0.25">
      <c r="A226" s="1" t="str">
        <f t="shared" si="3"/>
        <v>07 EE2 488</v>
      </c>
      <c r="B22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26" s="1" t="s">
        <v>3493</v>
      </c>
      <c r="D226" s="1" t="s">
        <v>112</v>
      </c>
      <c r="E226" s="1" t="s">
        <v>3494</v>
      </c>
      <c r="F226" s="1" t="s">
        <v>3495</v>
      </c>
      <c r="G226" s="1" t="s">
        <v>3496</v>
      </c>
      <c r="H226" s="1" t="s">
        <v>3497</v>
      </c>
      <c r="I226" s="1">
        <v>24</v>
      </c>
      <c r="J226" s="1">
        <v>24</v>
      </c>
    </row>
    <row r="227" spans="1:10" x14ac:dyDescent="0.25">
      <c r="A227" s="1" t="str">
        <f t="shared" si="3"/>
        <v/>
      </c>
      <c r="B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7" s="1" t="s">
        <v>112</v>
      </c>
    </row>
    <row r="228" spans="1:10" x14ac:dyDescent="0.25">
      <c r="A228" s="1" t="str">
        <f t="shared" si="3"/>
        <v/>
      </c>
      <c r="B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8" s="1" t="s">
        <v>112</v>
      </c>
    </row>
    <row r="229" spans="1:10" x14ac:dyDescent="0.25">
      <c r="A229" s="1" t="str">
        <f t="shared" si="3"/>
        <v/>
      </c>
      <c r="B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9" s="1" t="s">
        <v>112</v>
      </c>
    </row>
    <row r="230" spans="1:10" x14ac:dyDescent="0.25">
      <c r="A230" s="1" t="str">
        <f t="shared" si="3"/>
        <v/>
      </c>
      <c r="B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0" s="1" t="s">
        <v>112</v>
      </c>
    </row>
    <row r="231" spans="1:10" x14ac:dyDescent="0.25">
      <c r="A231" s="1" t="str">
        <f t="shared" si="3"/>
        <v/>
      </c>
      <c r="B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1" s="1" t="s">
        <v>112</v>
      </c>
    </row>
    <row r="232" spans="1:10" x14ac:dyDescent="0.25">
      <c r="A232" s="1" t="str">
        <f t="shared" si="3"/>
        <v/>
      </c>
      <c r="B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2" s="1" t="s">
        <v>241</v>
      </c>
      <c r="D232" s="1" t="s">
        <v>110</v>
      </c>
      <c r="E232" s="1" t="s">
        <v>111</v>
      </c>
      <c r="F232" s="1" t="s">
        <v>112</v>
      </c>
      <c r="G232" s="1" t="s">
        <v>113</v>
      </c>
    </row>
    <row r="233" spans="1:10" x14ac:dyDescent="0.25">
      <c r="A233" s="1" t="str">
        <f t="shared" si="3"/>
        <v>08 Testosterone 3.7 µg_L</v>
      </c>
      <c r="B2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3" s="1" t="s">
        <v>3498</v>
      </c>
      <c r="D233" s="1" t="s">
        <v>3499</v>
      </c>
      <c r="E233" s="1" t="s">
        <v>3500</v>
      </c>
      <c r="F233" s="1" t="s">
        <v>112</v>
      </c>
      <c r="G233" s="1">
        <v>224843</v>
      </c>
    </row>
    <row r="234" spans="1:10" x14ac:dyDescent="0.25">
      <c r="A234" s="1" t="str">
        <f t="shared" si="3"/>
        <v>08 Testosterone 3.7 µg_L</v>
      </c>
      <c r="B2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4" s="1" t="s">
        <v>3501</v>
      </c>
      <c r="D234" s="1" t="s">
        <v>1869</v>
      </c>
      <c r="E234" s="1" t="s">
        <v>3502</v>
      </c>
      <c r="F234" s="1" t="s">
        <v>112</v>
      </c>
      <c r="G234" s="1">
        <v>462036</v>
      </c>
    </row>
    <row r="235" spans="1:10" x14ac:dyDescent="0.25">
      <c r="A235" s="1" t="str">
        <f t="shared" si="3"/>
        <v>08 Testosterone 3.7 µg_L</v>
      </c>
      <c r="B2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5" s="1" t="s">
        <v>3503</v>
      </c>
      <c r="D235" s="1" t="s">
        <v>690</v>
      </c>
      <c r="E235" s="1" t="s">
        <v>3504</v>
      </c>
      <c r="F235" s="1" t="s">
        <v>112</v>
      </c>
      <c r="G235" s="1">
        <v>40643</v>
      </c>
    </row>
    <row r="236" spans="1:10" x14ac:dyDescent="0.25">
      <c r="A236" s="1" t="str">
        <f t="shared" si="3"/>
        <v>08 Testosterone 3.7 µg_L</v>
      </c>
      <c r="B2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6" s="1" t="s">
        <v>3505</v>
      </c>
      <c r="D236" s="1" t="s">
        <v>3506</v>
      </c>
      <c r="E236" s="1" t="s">
        <v>3507</v>
      </c>
      <c r="F236" s="1" t="s">
        <v>112</v>
      </c>
      <c r="G236" s="1">
        <v>415445</v>
      </c>
    </row>
    <row r="237" spans="1:10" x14ac:dyDescent="0.25">
      <c r="A237" s="1" t="str">
        <f t="shared" si="3"/>
        <v>08 Testosterone 3.7 µg_L</v>
      </c>
      <c r="B2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7" s="1" t="s">
        <v>3508</v>
      </c>
      <c r="D237" s="1" t="s">
        <v>3509</v>
      </c>
      <c r="E237" s="1" t="s">
        <v>3510</v>
      </c>
      <c r="F237" s="1" t="s">
        <v>112</v>
      </c>
      <c r="G237" s="1">
        <v>351702</v>
      </c>
    </row>
    <row r="238" spans="1:10" x14ac:dyDescent="0.25">
      <c r="A238" s="1" t="str">
        <f t="shared" si="3"/>
        <v>08 Testosterone 3.7 µg_L</v>
      </c>
      <c r="B2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8" s="1" t="s">
        <v>3511</v>
      </c>
      <c r="D238" s="1" t="s">
        <v>2183</v>
      </c>
      <c r="E238" s="1" t="s">
        <v>3512</v>
      </c>
      <c r="F238" s="1" t="s">
        <v>112</v>
      </c>
      <c r="G238" s="1">
        <v>128849</v>
      </c>
    </row>
    <row r="239" spans="1:10" x14ac:dyDescent="0.25">
      <c r="A239" s="1" t="str">
        <f t="shared" si="3"/>
        <v>08 Testosterone 3.7 µg_L</v>
      </c>
      <c r="B2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39" s="1" t="s">
        <v>3513</v>
      </c>
      <c r="D239" s="1" t="s">
        <v>223</v>
      </c>
      <c r="E239" s="1" t="s">
        <v>712</v>
      </c>
      <c r="F239" s="1" t="s">
        <v>112</v>
      </c>
      <c r="G239" s="1">
        <v>12178</v>
      </c>
    </row>
    <row r="240" spans="1:10" x14ac:dyDescent="0.25">
      <c r="A240" s="1" t="str">
        <f t="shared" si="3"/>
        <v>08 Testosterone 3.7 µg_L</v>
      </c>
      <c r="B2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40" s="1" t="s">
        <v>3514</v>
      </c>
      <c r="D240" s="1" t="s">
        <v>274</v>
      </c>
      <c r="E240" s="1" t="s">
        <v>3515</v>
      </c>
      <c r="F240" s="1" t="s">
        <v>112</v>
      </c>
      <c r="G240" s="1">
        <v>13454</v>
      </c>
    </row>
    <row r="241" spans="1:7" x14ac:dyDescent="0.25">
      <c r="A241" s="1" t="str">
        <f t="shared" si="3"/>
        <v>08 Testosterone 3.7 µg_L</v>
      </c>
      <c r="B2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41" s="1" t="s">
        <v>3516</v>
      </c>
      <c r="D241" s="1" t="s">
        <v>2230</v>
      </c>
      <c r="E241" s="1" t="s">
        <v>3517</v>
      </c>
      <c r="F241" s="1" t="s">
        <v>112</v>
      </c>
      <c r="G241" s="1">
        <v>81328</v>
      </c>
    </row>
    <row r="242" spans="1:7" x14ac:dyDescent="0.25">
      <c r="A242" s="1" t="str">
        <f t="shared" si="3"/>
        <v>08 Testosterone 3.7 µg_L</v>
      </c>
      <c r="B2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2" s="1" t="s">
        <v>3518</v>
      </c>
      <c r="D242" s="1" t="s">
        <v>1273</v>
      </c>
      <c r="E242" s="1" t="s">
        <v>3519</v>
      </c>
      <c r="F242" s="1" t="s">
        <v>112</v>
      </c>
      <c r="G242" s="1">
        <v>355444</v>
      </c>
    </row>
    <row r="243" spans="1:7" x14ac:dyDescent="0.25">
      <c r="A243" s="1" t="str">
        <f t="shared" si="3"/>
        <v>08 Testosterone 3.7 µg_L</v>
      </c>
      <c r="B2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3" s="1" t="s">
        <v>3520</v>
      </c>
      <c r="D243" s="1" t="s">
        <v>3521</v>
      </c>
      <c r="E243" s="1" t="s">
        <v>3522</v>
      </c>
      <c r="F243" s="1" t="s">
        <v>112</v>
      </c>
      <c r="G243" s="1">
        <v>218397</v>
      </c>
    </row>
    <row r="244" spans="1:7" x14ac:dyDescent="0.25">
      <c r="A244" s="1" t="str">
        <f t="shared" si="3"/>
        <v>08 Testosterone 3.7 µg_L</v>
      </c>
      <c r="B2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4" s="1" t="s">
        <v>3523</v>
      </c>
      <c r="D244" s="1" t="s">
        <v>828</v>
      </c>
      <c r="E244" s="1" t="s">
        <v>3524</v>
      </c>
      <c r="F244" s="1" t="s">
        <v>112</v>
      </c>
      <c r="G244" s="1">
        <v>58941</v>
      </c>
    </row>
    <row r="245" spans="1:7" x14ac:dyDescent="0.25">
      <c r="A245" s="1" t="str">
        <f t="shared" si="3"/>
        <v>08 Testosterone 3.7 µg_L</v>
      </c>
      <c r="B2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5" s="1" t="s">
        <v>3525</v>
      </c>
      <c r="D245" s="1" t="s">
        <v>1689</v>
      </c>
      <c r="E245" s="1" t="s">
        <v>3526</v>
      </c>
      <c r="F245" s="1" t="s">
        <v>112</v>
      </c>
      <c r="G245" s="1">
        <v>26756</v>
      </c>
    </row>
    <row r="246" spans="1:7" x14ac:dyDescent="0.25">
      <c r="A246" s="1" t="str">
        <f t="shared" si="3"/>
        <v>08 Testosterone 3.7 µg_L</v>
      </c>
      <c r="B2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6" s="1" t="s">
        <v>3527</v>
      </c>
      <c r="D246" s="1" t="s">
        <v>192</v>
      </c>
      <c r="E246" s="1" t="s">
        <v>3528</v>
      </c>
      <c r="F246" s="1" t="s">
        <v>112</v>
      </c>
      <c r="G246" s="1">
        <v>19099</v>
      </c>
    </row>
    <row r="247" spans="1:7" x14ac:dyDescent="0.25">
      <c r="A247" s="1" t="str">
        <f t="shared" si="3"/>
        <v>08 Testosterone 3.7 µg_L</v>
      </c>
      <c r="B2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7" s="1" t="s">
        <v>3529</v>
      </c>
      <c r="D247" s="1" t="s">
        <v>1678</v>
      </c>
      <c r="E247" s="1" t="s">
        <v>3530</v>
      </c>
      <c r="F247" s="1" t="s">
        <v>112</v>
      </c>
      <c r="G247" s="1">
        <v>21760</v>
      </c>
    </row>
    <row r="248" spans="1:7" x14ac:dyDescent="0.25">
      <c r="A248" s="1" t="str">
        <f t="shared" si="3"/>
        <v>08 Testosterone 3.7 µg_L</v>
      </c>
      <c r="B2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48" s="1" t="s">
        <v>3531</v>
      </c>
      <c r="D248" s="1" t="s">
        <v>415</v>
      </c>
      <c r="E248" s="1" t="s">
        <v>3532</v>
      </c>
      <c r="F248" s="1" t="s">
        <v>112</v>
      </c>
      <c r="G248" s="1">
        <v>298990</v>
      </c>
    </row>
    <row r="249" spans="1:7" x14ac:dyDescent="0.25">
      <c r="A249" s="1" t="str">
        <f t="shared" si="3"/>
        <v>08 Testosterone 3.7 µg_L</v>
      </c>
      <c r="B2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49" s="1" t="s">
        <v>3533</v>
      </c>
      <c r="D249" s="1" t="s">
        <v>3534</v>
      </c>
      <c r="E249" s="1" t="s">
        <v>3535</v>
      </c>
      <c r="F249" s="1" t="s">
        <v>112</v>
      </c>
      <c r="G249" s="1">
        <v>459635</v>
      </c>
    </row>
    <row r="250" spans="1:7" x14ac:dyDescent="0.25">
      <c r="A250" s="1" t="str">
        <f t="shared" si="3"/>
        <v>08 Testosterone 3.7 µg_L</v>
      </c>
      <c r="B2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50" s="1" t="s">
        <v>3536</v>
      </c>
      <c r="D250" s="1" t="s">
        <v>3537</v>
      </c>
      <c r="E250" s="1" t="s">
        <v>3538</v>
      </c>
      <c r="F250" s="1" t="s">
        <v>112</v>
      </c>
      <c r="G250" s="1">
        <v>396238</v>
      </c>
    </row>
    <row r="251" spans="1:7" x14ac:dyDescent="0.25">
      <c r="A251" s="1" t="str">
        <f t="shared" si="3"/>
        <v>08 Testosterone 3.7 µg_L</v>
      </c>
      <c r="B2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1" s="1" t="s">
        <v>3539</v>
      </c>
      <c r="D251" s="1" t="s">
        <v>1826</v>
      </c>
      <c r="E251" s="1" t="s">
        <v>3540</v>
      </c>
      <c r="F251" s="1" t="s">
        <v>112</v>
      </c>
      <c r="G251" s="1">
        <v>596250</v>
      </c>
    </row>
    <row r="252" spans="1:7" x14ac:dyDescent="0.25">
      <c r="A252" s="1" t="str">
        <f t="shared" si="3"/>
        <v>08 Testosterone 3.7 µg_L</v>
      </c>
      <c r="B2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2" s="1" t="s">
        <v>3541</v>
      </c>
      <c r="D252" s="1" t="s">
        <v>684</v>
      </c>
      <c r="E252" s="1" t="s">
        <v>3542</v>
      </c>
      <c r="F252" s="1" t="s">
        <v>112</v>
      </c>
      <c r="G252" s="1">
        <v>393210</v>
      </c>
    </row>
    <row r="253" spans="1:7" x14ac:dyDescent="0.25">
      <c r="A253" s="1" t="str">
        <f t="shared" si="3"/>
        <v>08 Testosterone 3.7 µg_L</v>
      </c>
      <c r="B2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3" s="1" t="s">
        <v>3543</v>
      </c>
      <c r="D253" s="1" t="s">
        <v>262</v>
      </c>
      <c r="E253" s="1" t="s">
        <v>3544</v>
      </c>
      <c r="F253" s="1" t="s">
        <v>112</v>
      </c>
      <c r="G253" s="1">
        <v>469953</v>
      </c>
    </row>
    <row r="254" spans="1:7" x14ac:dyDescent="0.25">
      <c r="A254" s="1" t="str">
        <f t="shared" si="3"/>
        <v>08 Testosterone 3.7 µg_L</v>
      </c>
      <c r="B2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4" s="1" t="s">
        <v>3545</v>
      </c>
      <c r="D254" s="1" t="s">
        <v>169</v>
      </c>
      <c r="E254" s="1" t="s">
        <v>3546</v>
      </c>
      <c r="F254" s="1" t="s">
        <v>112</v>
      </c>
      <c r="G254" s="1">
        <v>14881</v>
      </c>
    </row>
    <row r="255" spans="1:7" x14ac:dyDescent="0.25">
      <c r="A255" s="1" t="str">
        <f t="shared" si="3"/>
        <v>08 Testosterone 3.7 µg_L</v>
      </c>
      <c r="B2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5" s="1" t="s">
        <v>3547</v>
      </c>
      <c r="D255" s="1" t="s">
        <v>289</v>
      </c>
      <c r="E255" s="1" t="s">
        <v>1807</v>
      </c>
      <c r="F255" s="1" t="s">
        <v>112</v>
      </c>
      <c r="G255" s="1">
        <v>9906</v>
      </c>
    </row>
    <row r="256" spans="1:7" x14ac:dyDescent="0.25">
      <c r="A256" s="1" t="str">
        <f t="shared" si="3"/>
        <v>08 Testosterone 3.7 µg_L</v>
      </c>
      <c r="B2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6" s="1" t="s">
        <v>3548</v>
      </c>
      <c r="D256" s="1" t="s">
        <v>756</v>
      </c>
      <c r="E256" s="1" t="s">
        <v>3549</v>
      </c>
      <c r="F256" s="1" t="s">
        <v>112</v>
      </c>
      <c r="G256" s="1">
        <v>171114</v>
      </c>
    </row>
    <row r="257" spans="1:10" x14ac:dyDescent="0.25">
      <c r="A257" s="1" t="str">
        <f t="shared" si="3"/>
        <v/>
      </c>
      <c r="B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57" s="1" t="s">
        <v>112</v>
      </c>
    </row>
    <row r="258" spans="1:10" x14ac:dyDescent="0.25">
      <c r="A258" s="1" t="str">
        <f t="shared" ref="A258:A321" si="4">IFERROR(LEFT(RIGHT(C258,LEN(C258)-SEARCH("@",C258)),SEARCH("/",RIGHT(C258,LEN(C258)-SEARCH("@",C258)-1))),"")</f>
        <v/>
      </c>
      <c r="B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58" s="1" t="s">
        <v>229</v>
      </c>
      <c r="D258" s="1" t="s">
        <v>112</v>
      </c>
      <c r="E258" s="1" t="s">
        <v>230</v>
      </c>
      <c r="F258" s="1" t="s">
        <v>231</v>
      </c>
      <c r="G258" s="1" t="s">
        <v>232</v>
      </c>
      <c r="H258" s="1" t="s">
        <v>233</v>
      </c>
      <c r="I258" s="1" t="s">
        <v>234</v>
      </c>
      <c r="J258" s="1" t="s">
        <v>235</v>
      </c>
    </row>
    <row r="259" spans="1:10" x14ac:dyDescent="0.25">
      <c r="A259" s="1" t="str">
        <f t="shared" si="4"/>
        <v>08 Testosterone 3.7 µg_L</v>
      </c>
      <c r="B25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59" s="1" t="s">
        <v>3550</v>
      </c>
      <c r="D259" s="1" t="s">
        <v>112</v>
      </c>
      <c r="E259" s="1" t="s">
        <v>3551</v>
      </c>
      <c r="F259" s="1" t="s">
        <v>3552</v>
      </c>
      <c r="G259" s="1" t="s">
        <v>3553</v>
      </c>
      <c r="H259" s="1" t="s">
        <v>3554</v>
      </c>
      <c r="I259" s="1">
        <v>24</v>
      </c>
      <c r="J259" s="1">
        <v>24</v>
      </c>
    </row>
    <row r="260" spans="1:10" x14ac:dyDescent="0.25">
      <c r="A260" s="1" t="str">
        <f t="shared" si="4"/>
        <v/>
      </c>
      <c r="B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0" s="1" t="s">
        <v>112</v>
      </c>
    </row>
    <row r="261" spans="1:10" x14ac:dyDescent="0.25">
      <c r="A261" s="1" t="str">
        <f t="shared" si="4"/>
        <v/>
      </c>
      <c r="B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1" s="1" t="s">
        <v>112</v>
      </c>
    </row>
    <row r="262" spans="1:10" x14ac:dyDescent="0.25">
      <c r="A262" s="1" t="str">
        <f t="shared" si="4"/>
        <v/>
      </c>
      <c r="B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2" s="1" t="s">
        <v>112</v>
      </c>
    </row>
    <row r="263" spans="1:10" x14ac:dyDescent="0.25">
      <c r="A263" s="1" t="str">
        <f t="shared" si="4"/>
        <v/>
      </c>
      <c r="B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3" s="1" t="s">
        <v>112</v>
      </c>
    </row>
    <row r="264" spans="1:10" x14ac:dyDescent="0.25">
      <c r="A264" s="1" t="str">
        <f t="shared" si="4"/>
        <v/>
      </c>
      <c r="B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4" s="1" t="s">
        <v>112</v>
      </c>
    </row>
    <row r="265" spans="1:10" x14ac:dyDescent="0.25">
      <c r="A265" s="1" t="str">
        <f t="shared" si="4"/>
        <v/>
      </c>
      <c r="B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5" s="1" t="s">
        <v>241</v>
      </c>
      <c r="D265" s="1" t="s">
        <v>110</v>
      </c>
      <c r="E265" s="1" t="s">
        <v>111</v>
      </c>
      <c r="F265" s="1" t="s">
        <v>112</v>
      </c>
      <c r="G265" s="1" t="s">
        <v>113</v>
      </c>
    </row>
    <row r="266" spans="1:10" x14ac:dyDescent="0.25">
      <c r="A266" s="1" t="str">
        <f t="shared" si="4"/>
        <v>09  Testosterone 11 µg_L</v>
      </c>
      <c r="B2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6" s="1" t="s">
        <v>3555</v>
      </c>
    </row>
    <row r="267" spans="1:10" x14ac:dyDescent="0.25">
      <c r="A267" s="1" t="str">
        <f t="shared" si="4"/>
        <v>09  Testosterone 11 µg_L</v>
      </c>
      <c r="B2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7" s="1" t="s">
        <v>3556</v>
      </c>
    </row>
    <row r="268" spans="1:10" x14ac:dyDescent="0.25">
      <c r="A268" s="1" t="str">
        <f t="shared" si="4"/>
        <v>09  Testosterone 11 µg_L</v>
      </c>
      <c r="B2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8" s="1" t="s">
        <v>3557</v>
      </c>
    </row>
    <row r="269" spans="1:10" x14ac:dyDescent="0.25">
      <c r="A269" s="1" t="str">
        <f t="shared" si="4"/>
        <v>09  Testosterone 11 µg_L</v>
      </c>
      <c r="B2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69" s="1" t="s">
        <v>3558</v>
      </c>
      <c r="D269" s="1" t="s">
        <v>690</v>
      </c>
      <c r="E269" s="1" t="s">
        <v>3504</v>
      </c>
      <c r="F269" s="1" t="s">
        <v>112</v>
      </c>
      <c r="G269" s="1">
        <v>40643</v>
      </c>
    </row>
    <row r="270" spans="1:10" x14ac:dyDescent="0.25">
      <c r="A270" s="1" t="str">
        <f t="shared" si="4"/>
        <v>09  Testosterone 11 µg_L</v>
      </c>
      <c r="B2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70" s="1" t="s">
        <v>3559</v>
      </c>
      <c r="D270" s="1" t="s">
        <v>1823</v>
      </c>
      <c r="E270" s="1" t="s">
        <v>3560</v>
      </c>
      <c r="F270" s="1" t="s">
        <v>112</v>
      </c>
      <c r="G270" s="1">
        <v>32683</v>
      </c>
    </row>
    <row r="271" spans="1:10" x14ac:dyDescent="0.25">
      <c r="A271" s="1" t="str">
        <f t="shared" si="4"/>
        <v>09  Testosterone 11 µg_L</v>
      </c>
      <c r="B2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71" s="1" t="s">
        <v>3561</v>
      </c>
      <c r="D271" s="1" t="s">
        <v>3562</v>
      </c>
      <c r="E271" s="1" t="s">
        <v>3563</v>
      </c>
      <c r="F271" s="1" t="s">
        <v>112</v>
      </c>
      <c r="G271" s="1">
        <v>109253</v>
      </c>
    </row>
    <row r="272" spans="1:10" x14ac:dyDescent="0.25">
      <c r="A272" s="1" t="str">
        <f t="shared" si="4"/>
        <v>09  Testosterone 11 µg_L</v>
      </c>
      <c r="B2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2" s="1" t="s">
        <v>3564</v>
      </c>
      <c r="D272" s="1" t="s">
        <v>2937</v>
      </c>
      <c r="E272" s="1" t="s">
        <v>3565</v>
      </c>
      <c r="F272" s="1" t="s">
        <v>112</v>
      </c>
      <c r="G272" s="1">
        <v>561166</v>
      </c>
    </row>
    <row r="273" spans="1:7" x14ac:dyDescent="0.25">
      <c r="A273" s="1" t="str">
        <f t="shared" si="4"/>
        <v>09  Testosterone 11 µg_L</v>
      </c>
      <c r="B2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3" s="1" t="s">
        <v>3566</v>
      </c>
      <c r="D273" s="1" t="s">
        <v>357</v>
      </c>
      <c r="E273" s="1" t="s">
        <v>3567</v>
      </c>
      <c r="F273" s="1" t="s">
        <v>112</v>
      </c>
      <c r="G273" s="1">
        <v>20592</v>
      </c>
    </row>
    <row r="274" spans="1:7" x14ac:dyDescent="0.25">
      <c r="A274" s="1" t="str">
        <f t="shared" si="4"/>
        <v>09  Testosterone 11 µg_L</v>
      </c>
      <c r="B2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4" s="1" t="s">
        <v>3568</v>
      </c>
      <c r="D274" s="1" t="s">
        <v>3082</v>
      </c>
      <c r="E274" s="1" t="s">
        <v>3569</v>
      </c>
      <c r="F274" s="1" t="s">
        <v>112</v>
      </c>
      <c r="G274" s="1">
        <v>505685</v>
      </c>
    </row>
    <row r="275" spans="1:7" x14ac:dyDescent="0.25">
      <c r="A275" s="1" t="str">
        <f t="shared" si="4"/>
        <v>09  Testosterone 11 µg_L</v>
      </c>
      <c r="B2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5" s="1" t="s">
        <v>3570</v>
      </c>
      <c r="D275" s="1" t="s">
        <v>174</v>
      </c>
      <c r="E275" s="1" t="s">
        <v>3571</v>
      </c>
      <c r="F275" s="1" t="s">
        <v>112</v>
      </c>
      <c r="G275" s="1">
        <v>735719</v>
      </c>
    </row>
    <row r="276" spans="1:7" x14ac:dyDescent="0.25">
      <c r="A276" s="1" t="str">
        <f t="shared" si="4"/>
        <v>09  Testosterone 11 µg_L</v>
      </c>
      <c r="B2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6" s="1" t="s">
        <v>3572</v>
      </c>
      <c r="D276" s="1" t="s">
        <v>3506</v>
      </c>
      <c r="E276" s="1" t="s">
        <v>3573</v>
      </c>
      <c r="F276" s="1" t="s">
        <v>112</v>
      </c>
      <c r="G276" s="1">
        <v>369395</v>
      </c>
    </row>
    <row r="277" spans="1:7" x14ac:dyDescent="0.25">
      <c r="A277" s="1" t="str">
        <f t="shared" si="4"/>
        <v>09  Testosterone 11 µg_L</v>
      </c>
      <c r="B2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7" s="1" t="s">
        <v>3574</v>
      </c>
      <c r="D277" s="1" t="s">
        <v>3575</v>
      </c>
      <c r="E277" s="1" t="s">
        <v>3576</v>
      </c>
      <c r="F277" s="1" t="s">
        <v>112</v>
      </c>
      <c r="G277" s="1">
        <v>706476</v>
      </c>
    </row>
    <row r="278" spans="1:7" x14ac:dyDescent="0.25">
      <c r="A278" s="1" t="str">
        <f t="shared" si="4"/>
        <v>09  Testosterone 11 µg_L</v>
      </c>
      <c r="B2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78" s="1" t="s">
        <v>3577</v>
      </c>
      <c r="D278" s="1" t="s">
        <v>276</v>
      </c>
      <c r="E278" s="1" t="s">
        <v>3578</v>
      </c>
      <c r="F278" s="1" t="s">
        <v>112</v>
      </c>
      <c r="G278" s="1">
        <v>478086</v>
      </c>
    </row>
    <row r="279" spans="1:7" x14ac:dyDescent="0.25">
      <c r="A279" s="1" t="str">
        <f t="shared" si="4"/>
        <v>09  Testosterone 11 µg_L</v>
      </c>
      <c r="B2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79" s="1" t="s">
        <v>3579</v>
      </c>
      <c r="D279" s="1" t="s">
        <v>1689</v>
      </c>
      <c r="E279" s="1" t="s">
        <v>3580</v>
      </c>
      <c r="F279" s="1" t="s">
        <v>112</v>
      </c>
      <c r="G279" s="1">
        <v>27016</v>
      </c>
    </row>
    <row r="280" spans="1:7" x14ac:dyDescent="0.25">
      <c r="A280" s="1" t="str">
        <f t="shared" si="4"/>
        <v>09  Testosterone 11 µg_L</v>
      </c>
      <c r="B2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80" s="1" t="s">
        <v>3581</v>
      </c>
      <c r="D280" s="1" t="s">
        <v>1823</v>
      </c>
      <c r="E280" s="1">
        <v>63</v>
      </c>
      <c r="F280" s="1" t="s">
        <v>112</v>
      </c>
      <c r="G280" s="1">
        <v>32704</v>
      </c>
    </row>
    <row r="281" spans="1:7" x14ac:dyDescent="0.25">
      <c r="A281" s="1" t="str">
        <f t="shared" si="4"/>
        <v>09  Testosterone 11 µg_L</v>
      </c>
      <c r="B2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1" s="1" t="s">
        <v>3582</v>
      </c>
      <c r="D281" s="1" t="s">
        <v>1692</v>
      </c>
      <c r="E281" s="1" t="s">
        <v>3583</v>
      </c>
      <c r="F281" s="1" t="s">
        <v>112</v>
      </c>
      <c r="G281" s="1">
        <v>16590</v>
      </c>
    </row>
    <row r="282" spans="1:7" x14ac:dyDescent="0.25">
      <c r="A282" s="1" t="str">
        <f t="shared" si="4"/>
        <v>09  Testosterone 11 µg_L</v>
      </c>
      <c r="B2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2" s="1" t="s">
        <v>3584</v>
      </c>
      <c r="D282" s="1" t="s">
        <v>289</v>
      </c>
      <c r="E282" s="1" t="s">
        <v>766</v>
      </c>
      <c r="F282" s="1" t="s">
        <v>112</v>
      </c>
      <c r="G282" s="1">
        <v>9496</v>
      </c>
    </row>
    <row r="283" spans="1:7" x14ac:dyDescent="0.25">
      <c r="A283" s="1" t="str">
        <f t="shared" si="4"/>
        <v>09  Testosterone 11 µg_L</v>
      </c>
      <c r="B2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3" s="1" t="s">
        <v>3585</v>
      </c>
      <c r="D283" s="1" t="s">
        <v>223</v>
      </c>
      <c r="E283" s="1" t="s">
        <v>3586</v>
      </c>
      <c r="F283" s="1" t="s">
        <v>112</v>
      </c>
      <c r="G283" s="1">
        <v>12005</v>
      </c>
    </row>
    <row r="284" spans="1:7" x14ac:dyDescent="0.25">
      <c r="A284" s="1" t="str">
        <f t="shared" si="4"/>
        <v>09  Testosterone 11 µg_L</v>
      </c>
      <c r="B2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4" s="1" t="s">
        <v>3587</v>
      </c>
    </row>
    <row r="285" spans="1:7" x14ac:dyDescent="0.25">
      <c r="A285" s="1" t="str">
        <f t="shared" si="4"/>
        <v>09  Testosterone 11 µg_L</v>
      </c>
      <c r="B2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5" s="1" t="s">
        <v>3588</v>
      </c>
    </row>
    <row r="286" spans="1:7" x14ac:dyDescent="0.25">
      <c r="A286" s="1" t="str">
        <f t="shared" si="4"/>
        <v>09  Testosterone 11 µg_L</v>
      </c>
      <c r="B2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6" s="1" t="s">
        <v>3589</v>
      </c>
      <c r="D286" s="1" t="s">
        <v>274</v>
      </c>
      <c r="E286" s="1">
        <v>63</v>
      </c>
      <c r="F286" s="1" t="s">
        <v>112</v>
      </c>
      <c r="G286" s="1">
        <v>13627</v>
      </c>
    </row>
    <row r="287" spans="1:7" x14ac:dyDescent="0.25">
      <c r="A287" s="1" t="str">
        <f t="shared" si="4"/>
        <v>09  Testosterone 11 µg_L</v>
      </c>
      <c r="B2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7" s="1" t="s">
        <v>3590</v>
      </c>
      <c r="D287" s="1" t="s">
        <v>201</v>
      </c>
      <c r="E287" s="1">
        <v>62</v>
      </c>
      <c r="F287" s="1" t="s">
        <v>112</v>
      </c>
      <c r="G287" s="1">
        <v>10728</v>
      </c>
    </row>
    <row r="288" spans="1:7" x14ac:dyDescent="0.25">
      <c r="A288" s="1" t="str">
        <f t="shared" si="4"/>
        <v>09  Testosterone 11 µg_L</v>
      </c>
      <c r="B2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8" s="1" t="s">
        <v>3591</v>
      </c>
      <c r="D288" s="1" t="s">
        <v>1678</v>
      </c>
      <c r="E288" s="1" t="s">
        <v>3592</v>
      </c>
      <c r="F288" s="1" t="s">
        <v>112</v>
      </c>
      <c r="G288" s="1">
        <v>21781</v>
      </c>
    </row>
    <row r="289" spans="1:10" x14ac:dyDescent="0.25">
      <c r="A289" s="1" t="str">
        <f t="shared" si="4"/>
        <v>09  Testosterone 11 µg_L</v>
      </c>
      <c r="B2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9" s="1" t="s">
        <v>3593</v>
      </c>
      <c r="D289" s="1" t="s">
        <v>345</v>
      </c>
      <c r="E289" s="1" t="s">
        <v>3115</v>
      </c>
      <c r="F289" s="1" t="s">
        <v>112</v>
      </c>
      <c r="G289" s="1">
        <v>25091</v>
      </c>
    </row>
    <row r="290" spans="1:10" x14ac:dyDescent="0.25">
      <c r="A290" s="1" t="str">
        <f t="shared" si="4"/>
        <v/>
      </c>
      <c r="B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0" s="1" t="s">
        <v>112</v>
      </c>
    </row>
    <row r="291" spans="1:10" x14ac:dyDescent="0.25">
      <c r="A291" s="1" t="str">
        <f t="shared" si="4"/>
        <v/>
      </c>
      <c r="B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1" s="1" t="s">
        <v>229</v>
      </c>
      <c r="D291" s="1" t="s">
        <v>112</v>
      </c>
      <c r="E291" s="1" t="s">
        <v>230</v>
      </c>
      <c r="F291" s="1" t="s">
        <v>231</v>
      </c>
      <c r="G291" s="1" t="s">
        <v>232</v>
      </c>
      <c r="H291" s="1" t="s">
        <v>233</v>
      </c>
      <c r="I291" s="1" t="s">
        <v>234</v>
      </c>
      <c r="J291" s="1" t="s">
        <v>235</v>
      </c>
    </row>
    <row r="292" spans="1:10" x14ac:dyDescent="0.25">
      <c r="A292" s="1" t="str">
        <f t="shared" si="4"/>
        <v>09  Testosterone 11 µg_L</v>
      </c>
      <c r="B29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92" s="1" t="s">
        <v>3594</v>
      </c>
      <c r="D292" s="1" t="s">
        <v>112</v>
      </c>
      <c r="E292" s="1" t="s">
        <v>3595</v>
      </c>
      <c r="F292" s="1" t="s">
        <v>3596</v>
      </c>
      <c r="G292" s="1" t="s">
        <v>3597</v>
      </c>
      <c r="H292" s="1" t="s">
        <v>3598</v>
      </c>
      <c r="I292" s="1">
        <v>24</v>
      </c>
      <c r="J292" s="1">
        <v>24</v>
      </c>
    </row>
    <row r="293" spans="1:10" x14ac:dyDescent="0.25">
      <c r="A293" s="1" t="str">
        <f t="shared" si="4"/>
        <v/>
      </c>
      <c r="B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3" s="1" t="s">
        <v>112</v>
      </c>
    </row>
    <row r="294" spans="1:10" x14ac:dyDescent="0.25">
      <c r="A294" s="1" t="str">
        <f t="shared" si="4"/>
        <v/>
      </c>
      <c r="B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4" s="1" t="s">
        <v>112</v>
      </c>
    </row>
    <row r="295" spans="1:10" x14ac:dyDescent="0.25">
      <c r="A295" s="1" t="str">
        <f t="shared" si="4"/>
        <v/>
      </c>
      <c r="B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5" s="1" t="s">
        <v>112</v>
      </c>
    </row>
    <row r="296" spans="1:10" x14ac:dyDescent="0.25">
      <c r="A296" s="1" t="str">
        <f t="shared" si="4"/>
        <v/>
      </c>
      <c r="B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6" s="1" t="s">
        <v>112</v>
      </c>
    </row>
    <row r="297" spans="1:10" x14ac:dyDescent="0.25">
      <c r="A297" s="1" t="str">
        <f t="shared" si="4"/>
        <v/>
      </c>
      <c r="B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7" s="1" t="s">
        <v>112</v>
      </c>
    </row>
    <row r="298" spans="1:10" x14ac:dyDescent="0.25">
      <c r="A298" s="1" t="str">
        <f t="shared" si="4"/>
        <v/>
      </c>
      <c r="B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8" s="1" t="s">
        <v>241</v>
      </c>
      <c r="D298" s="1" t="s">
        <v>110</v>
      </c>
      <c r="E298" s="1" t="s">
        <v>111</v>
      </c>
      <c r="F298" s="1" t="s">
        <v>112</v>
      </c>
      <c r="G298" s="1" t="s">
        <v>113</v>
      </c>
    </row>
    <row r="299" spans="1:10" x14ac:dyDescent="0.25">
      <c r="A299" s="1" t="str">
        <f t="shared" si="4"/>
        <v>10  Testosterone 33 µg_L</v>
      </c>
      <c r="B2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99" s="1" t="s">
        <v>3599</v>
      </c>
      <c r="D299" s="1" t="s">
        <v>1943</v>
      </c>
      <c r="E299" s="1" t="s">
        <v>3600</v>
      </c>
      <c r="F299" s="1" t="s">
        <v>112</v>
      </c>
      <c r="G299" s="1">
        <v>3061993</v>
      </c>
    </row>
    <row r="300" spans="1:10" x14ac:dyDescent="0.25">
      <c r="A300" s="1" t="str">
        <f t="shared" si="4"/>
        <v>10  Testosterone 33 µg_L</v>
      </c>
      <c r="B3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00" s="1" t="s">
        <v>3601</v>
      </c>
      <c r="D300" s="1" t="s">
        <v>3602</v>
      </c>
      <c r="E300" s="1" t="s">
        <v>3603</v>
      </c>
      <c r="F300" s="1" t="s">
        <v>112</v>
      </c>
      <c r="G300" s="1">
        <v>2474979</v>
      </c>
    </row>
    <row r="301" spans="1:10" x14ac:dyDescent="0.25">
      <c r="A301" s="1" t="str">
        <f t="shared" si="4"/>
        <v>10  Testosterone 33 µg_L</v>
      </c>
      <c r="B3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01" s="1" t="s">
        <v>3604</v>
      </c>
      <c r="D301" s="1" t="s">
        <v>3605</v>
      </c>
      <c r="E301" s="1" t="s">
        <v>3606</v>
      </c>
      <c r="F301" s="1" t="s">
        <v>112</v>
      </c>
      <c r="G301" s="1">
        <v>2667226</v>
      </c>
    </row>
    <row r="302" spans="1:10" x14ac:dyDescent="0.25">
      <c r="A302" s="1" t="str">
        <f t="shared" si="4"/>
        <v>10  Testosterone 33 µg_L</v>
      </c>
      <c r="B3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2" s="1" t="s">
        <v>3607</v>
      </c>
      <c r="D302" s="1" t="s">
        <v>2430</v>
      </c>
      <c r="E302" s="1" t="s">
        <v>3608</v>
      </c>
      <c r="F302" s="1" t="s">
        <v>112</v>
      </c>
      <c r="G302" s="1">
        <v>3121670</v>
      </c>
    </row>
    <row r="303" spans="1:10" x14ac:dyDescent="0.25">
      <c r="A303" s="1" t="str">
        <f t="shared" si="4"/>
        <v>10  Testosterone 33 µg_L</v>
      </c>
      <c r="B3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3" s="1" t="s">
        <v>3609</v>
      </c>
      <c r="D303" s="1" t="s">
        <v>3610</v>
      </c>
      <c r="E303" s="1" t="s">
        <v>3611</v>
      </c>
      <c r="F303" s="1" t="s">
        <v>112</v>
      </c>
      <c r="G303" s="1">
        <v>2962949</v>
      </c>
    </row>
    <row r="304" spans="1:10" x14ac:dyDescent="0.25">
      <c r="A304" s="1" t="str">
        <f t="shared" si="4"/>
        <v>10  Testosterone 33 µg_L</v>
      </c>
      <c r="B3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4" s="1" t="s">
        <v>3612</v>
      </c>
      <c r="D304" s="1" t="s">
        <v>3613</v>
      </c>
      <c r="E304" s="1" t="s">
        <v>3614</v>
      </c>
      <c r="F304" s="1" t="s">
        <v>112</v>
      </c>
      <c r="G304" s="1">
        <v>2817791</v>
      </c>
    </row>
    <row r="305" spans="1:7" x14ac:dyDescent="0.25">
      <c r="A305" s="1" t="str">
        <f t="shared" si="4"/>
        <v>10  Testosterone 33 µg_L</v>
      </c>
      <c r="B3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5" s="1" t="s">
        <v>3615</v>
      </c>
      <c r="D305" s="1" t="s">
        <v>3616</v>
      </c>
      <c r="E305" s="1" t="s">
        <v>3617</v>
      </c>
      <c r="F305" s="1" t="s">
        <v>112</v>
      </c>
      <c r="G305" s="1">
        <v>2581571</v>
      </c>
    </row>
    <row r="306" spans="1:7" x14ac:dyDescent="0.25">
      <c r="A306" s="1" t="str">
        <f t="shared" si="4"/>
        <v>10  Testosterone 33 µg_L</v>
      </c>
      <c r="B3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6" s="1" t="s">
        <v>3618</v>
      </c>
      <c r="D306" s="1" t="s">
        <v>3619</v>
      </c>
      <c r="E306" s="1" t="s">
        <v>3620</v>
      </c>
      <c r="F306" s="1" t="s">
        <v>112</v>
      </c>
      <c r="G306" s="1">
        <v>3023513</v>
      </c>
    </row>
    <row r="307" spans="1:7" x14ac:dyDescent="0.25">
      <c r="A307" s="1" t="str">
        <f t="shared" si="4"/>
        <v>10  Testosterone 33 µg_L</v>
      </c>
      <c r="B3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7" s="1" t="s">
        <v>3621</v>
      </c>
      <c r="D307" s="1" t="s">
        <v>3622</v>
      </c>
      <c r="E307" s="1" t="s">
        <v>3623</v>
      </c>
      <c r="F307" s="1" t="s">
        <v>112</v>
      </c>
      <c r="G307" s="1">
        <v>3292286</v>
      </c>
    </row>
    <row r="308" spans="1:7" x14ac:dyDescent="0.25">
      <c r="A308" s="1" t="str">
        <f t="shared" si="4"/>
        <v>10  Testosterone 33 µg_L</v>
      </c>
      <c r="B3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08" s="1" t="s">
        <v>3624</v>
      </c>
      <c r="D308" s="1" t="s">
        <v>3625</v>
      </c>
      <c r="E308" s="1" t="s">
        <v>3626</v>
      </c>
      <c r="F308" s="1" t="s">
        <v>112</v>
      </c>
      <c r="G308" s="1">
        <v>1807372</v>
      </c>
    </row>
    <row r="309" spans="1:7" x14ac:dyDescent="0.25">
      <c r="A309" s="1" t="str">
        <f t="shared" si="4"/>
        <v>10  Testosterone 33 µg_L</v>
      </c>
      <c r="B3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09" s="1" t="s">
        <v>3627</v>
      </c>
      <c r="D309" s="1" t="s">
        <v>3628</v>
      </c>
      <c r="E309" s="1" t="s">
        <v>3629</v>
      </c>
      <c r="F309" s="1" t="s">
        <v>112</v>
      </c>
      <c r="G309" s="1">
        <v>1368826</v>
      </c>
    </row>
    <row r="310" spans="1:7" x14ac:dyDescent="0.25">
      <c r="A310" s="1" t="str">
        <f t="shared" si="4"/>
        <v>10  Testosterone 33 µg_L</v>
      </c>
      <c r="B3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10" s="1" t="s">
        <v>3630</v>
      </c>
      <c r="D310" s="1" t="s">
        <v>1389</v>
      </c>
      <c r="E310" s="1" t="s">
        <v>3631</v>
      </c>
      <c r="F310" s="1" t="s">
        <v>112</v>
      </c>
      <c r="G310" s="1">
        <v>1740904</v>
      </c>
    </row>
    <row r="311" spans="1:7" x14ac:dyDescent="0.25">
      <c r="A311" s="1" t="str">
        <f t="shared" si="4"/>
        <v>10  Testosterone 33 µg_L</v>
      </c>
      <c r="B3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1" s="1" t="s">
        <v>3632</v>
      </c>
      <c r="D311" s="1" t="s">
        <v>2046</v>
      </c>
      <c r="E311" s="1" t="s">
        <v>3633</v>
      </c>
      <c r="F311" s="1" t="s">
        <v>112</v>
      </c>
      <c r="G311" s="1">
        <v>2548175</v>
      </c>
    </row>
    <row r="312" spans="1:7" x14ac:dyDescent="0.25">
      <c r="A312" s="1" t="str">
        <f t="shared" si="4"/>
        <v>10  Testosterone 33 µg_L</v>
      </c>
      <c r="B3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2" s="1" t="s">
        <v>3634</v>
      </c>
      <c r="D312" s="1" t="s">
        <v>3635</v>
      </c>
      <c r="E312" s="1" t="s">
        <v>3636</v>
      </c>
      <c r="F312" s="1" t="s">
        <v>112</v>
      </c>
      <c r="G312" s="1">
        <v>2910994</v>
      </c>
    </row>
    <row r="313" spans="1:7" x14ac:dyDescent="0.25">
      <c r="A313" s="1" t="str">
        <f t="shared" si="4"/>
        <v>10  Testosterone 33 µg_L</v>
      </c>
      <c r="B3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3" s="1" t="s">
        <v>3637</v>
      </c>
      <c r="D313" s="1" t="s">
        <v>3638</v>
      </c>
      <c r="E313" s="1" t="s">
        <v>3639</v>
      </c>
      <c r="F313" s="1" t="s">
        <v>112</v>
      </c>
      <c r="G313" s="1">
        <v>2594895</v>
      </c>
    </row>
    <row r="314" spans="1:7" x14ac:dyDescent="0.25">
      <c r="A314" s="1" t="str">
        <f t="shared" si="4"/>
        <v>10  Testosterone 33 µg_L</v>
      </c>
      <c r="B3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4" s="1" t="s">
        <v>3640</v>
      </c>
      <c r="D314" s="1" t="s">
        <v>3641</v>
      </c>
      <c r="E314" s="1" t="s">
        <v>3642</v>
      </c>
      <c r="F314" s="1" t="s">
        <v>112</v>
      </c>
      <c r="G314" s="1">
        <v>1912580</v>
      </c>
    </row>
    <row r="315" spans="1:7" x14ac:dyDescent="0.25">
      <c r="A315" s="1" t="str">
        <f t="shared" si="4"/>
        <v>10  Testosterone 33 µg_L</v>
      </c>
      <c r="B3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5" s="1" t="s">
        <v>3643</v>
      </c>
      <c r="D315" s="1" t="s">
        <v>3644</v>
      </c>
      <c r="E315" s="1" t="s">
        <v>3645</v>
      </c>
      <c r="F315" s="1" t="s">
        <v>112</v>
      </c>
      <c r="G315" s="1">
        <v>1763053</v>
      </c>
    </row>
    <row r="316" spans="1:7" x14ac:dyDescent="0.25">
      <c r="A316" s="1" t="str">
        <f t="shared" si="4"/>
        <v>10  Testosterone 33 µg_L</v>
      </c>
      <c r="B3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6" s="1" t="s">
        <v>3646</v>
      </c>
      <c r="D316" s="1" t="s">
        <v>3647</v>
      </c>
      <c r="E316" s="1" t="s">
        <v>3648</v>
      </c>
      <c r="F316" s="1" t="s">
        <v>112</v>
      </c>
      <c r="G316" s="1">
        <v>1924498</v>
      </c>
    </row>
    <row r="317" spans="1:7" x14ac:dyDescent="0.25">
      <c r="A317" s="1" t="str">
        <f t="shared" si="4"/>
        <v>10  Testosterone 33 µg_L</v>
      </c>
      <c r="B3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7" s="1" t="s">
        <v>3649</v>
      </c>
      <c r="D317" s="1" t="s">
        <v>3650</v>
      </c>
      <c r="E317" s="1" t="s">
        <v>3651</v>
      </c>
      <c r="F317" s="1" t="s">
        <v>112</v>
      </c>
      <c r="G317" s="1">
        <v>1694378</v>
      </c>
    </row>
    <row r="318" spans="1:7" x14ac:dyDescent="0.25">
      <c r="A318" s="1" t="str">
        <f t="shared" si="4"/>
        <v>10  Testosterone 33 µg_L</v>
      </c>
      <c r="B3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8" s="1" t="s">
        <v>3652</v>
      </c>
      <c r="D318" s="1" t="s">
        <v>3653</v>
      </c>
      <c r="E318" s="1" t="s">
        <v>3654</v>
      </c>
      <c r="F318" s="1" t="s">
        <v>112</v>
      </c>
      <c r="G318" s="1">
        <v>1052792</v>
      </c>
    </row>
    <row r="319" spans="1:7" x14ac:dyDescent="0.25">
      <c r="A319" s="1" t="str">
        <f t="shared" si="4"/>
        <v>10  Testosterone 33 µg_L</v>
      </c>
      <c r="B3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9" s="1" t="s">
        <v>3655</v>
      </c>
      <c r="D319" s="1" t="s">
        <v>3656</v>
      </c>
      <c r="E319" s="1" t="s">
        <v>3657</v>
      </c>
      <c r="F319" s="1" t="s">
        <v>112</v>
      </c>
      <c r="G319" s="1">
        <v>1281831</v>
      </c>
    </row>
    <row r="320" spans="1:7" x14ac:dyDescent="0.25">
      <c r="A320" s="1" t="str">
        <f t="shared" si="4"/>
        <v>10  Testosterone 33 µg_L</v>
      </c>
      <c r="B3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0" s="1" t="s">
        <v>3658</v>
      </c>
      <c r="D320" s="1" t="s">
        <v>3659</v>
      </c>
      <c r="E320" s="1" t="s">
        <v>3660</v>
      </c>
      <c r="F320" s="1" t="s">
        <v>112</v>
      </c>
      <c r="G320" s="1">
        <v>1187395</v>
      </c>
    </row>
    <row r="321" spans="1:10" x14ac:dyDescent="0.25">
      <c r="A321" s="1" t="str">
        <f t="shared" si="4"/>
        <v>10  Testosterone 33 µg_L</v>
      </c>
      <c r="B3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1" s="1" t="s">
        <v>3661</v>
      </c>
      <c r="D321" s="1" t="s">
        <v>3662</v>
      </c>
      <c r="E321" s="1" t="s">
        <v>3663</v>
      </c>
      <c r="F321" s="1" t="s">
        <v>112</v>
      </c>
      <c r="G321" s="1">
        <v>691162</v>
      </c>
    </row>
    <row r="322" spans="1:10" x14ac:dyDescent="0.25">
      <c r="A322" s="1" t="str">
        <f t="shared" ref="A322:A385" si="5">IFERROR(LEFT(RIGHT(C322,LEN(C322)-SEARCH("@",C322)),SEARCH("/",RIGHT(C322,LEN(C322)-SEARCH("@",C322)-1))),"")</f>
        <v>10  Testosterone 33 µg_L</v>
      </c>
      <c r="B3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2" s="1" t="s">
        <v>3664</v>
      </c>
      <c r="D322" s="1" t="s">
        <v>3665</v>
      </c>
      <c r="E322" s="1" t="s">
        <v>3666</v>
      </c>
      <c r="F322" s="1" t="s">
        <v>112</v>
      </c>
      <c r="G322" s="1">
        <v>94847</v>
      </c>
    </row>
    <row r="323" spans="1:10" x14ac:dyDescent="0.25">
      <c r="A323" s="1" t="str">
        <f t="shared" si="5"/>
        <v/>
      </c>
      <c r="B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3" s="1" t="s">
        <v>112</v>
      </c>
    </row>
    <row r="324" spans="1:10" x14ac:dyDescent="0.25">
      <c r="A324" s="1" t="str">
        <f t="shared" si="5"/>
        <v/>
      </c>
      <c r="B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4" s="1" t="s">
        <v>229</v>
      </c>
      <c r="D324" s="1" t="s">
        <v>112</v>
      </c>
      <c r="E324" s="1" t="s">
        <v>230</v>
      </c>
      <c r="F324" s="1" t="s">
        <v>231</v>
      </c>
      <c r="G324" s="1" t="s">
        <v>232</v>
      </c>
      <c r="H324" s="1" t="s">
        <v>233</v>
      </c>
      <c r="I324" s="1" t="s">
        <v>234</v>
      </c>
      <c r="J324" s="1" t="s">
        <v>235</v>
      </c>
    </row>
    <row r="325" spans="1:10" x14ac:dyDescent="0.25">
      <c r="A325" s="1" t="str">
        <f t="shared" si="5"/>
        <v>10  Testosterone 33 µg_L</v>
      </c>
      <c r="B3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25" s="1" t="s">
        <v>3667</v>
      </c>
      <c r="D325" s="1" t="s">
        <v>112</v>
      </c>
      <c r="E325" s="1" t="s">
        <v>3668</v>
      </c>
      <c r="F325" s="1" t="s">
        <v>3669</v>
      </c>
      <c r="G325" s="1" t="s">
        <v>3670</v>
      </c>
      <c r="H325" s="1" t="s">
        <v>3671</v>
      </c>
      <c r="I325" s="1">
        <v>24</v>
      </c>
      <c r="J325" s="1">
        <v>24</v>
      </c>
    </row>
    <row r="326" spans="1:10" x14ac:dyDescent="0.25">
      <c r="A326" s="1" t="str">
        <f t="shared" si="5"/>
        <v/>
      </c>
      <c r="B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6" s="1" t="s">
        <v>112</v>
      </c>
    </row>
    <row r="327" spans="1:10" x14ac:dyDescent="0.25">
      <c r="A327" s="1" t="str">
        <f t="shared" si="5"/>
        <v/>
      </c>
      <c r="B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7" s="1" t="s">
        <v>112</v>
      </c>
    </row>
    <row r="328" spans="1:10" x14ac:dyDescent="0.25">
      <c r="A328" s="1" t="str">
        <f t="shared" si="5"/>
        <v/>
      </c>
      <c r="B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8" s="1" t="s">
        <v>112</v>
      </c>
    </row>
    <row r="329" spans="1:10" x14ac:dyDescent="0.25">
      <c r="A329" s="1" t="str">
        <f t="shared" si="5"/>
        <v/>
      </c>
      <c r="B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9" s="1" t="s">
        <v>112</v>
      </c>
    </row>
    <row r="330" spans="1:10" x14ac:dyDescent="0.25">
      <c r="A330" s="1" t="str">
        <f t="shared" si="5"/>
        <v/>
      </c>
      <c r="B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0" s="1" t="s">
        <v>112</v>
      </c>
    </row>
    <row r="331" spans="1:10" x14ac:dyDescent="0.25">
      <c r="A331" s="1" t="str">
        <f t="shared" si="5"/>
        <v/>
      </c>
      <c r="B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1" s="1" t="s">
        <v>241</v>
      </c>
      <c r="D331" s="1" t="s">
        <v>110</v>
      </c>
      <c r="E331" s="1" t="s">
        <v>111</v>
      </c>
      <c r="F331" s="1" t="s">
        <v>112</v>
      </c>
      <c r="G331" s="1" t="s">
        <v>113</v>
      </c>
    </row>
    <row r="332" spans="1:10" x14ac:dyDescent="0.25">
      <c r="A332" s="1" t="str">
        <f t="shared" si="5"/>
        <v>11  Testosterone 100 µg_L</v>
      </c>
      <c r="B3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2" s="1" t="s">
        <v>3672</v>
      </c>
      <c r="D332" s="1" t="s">
        <v>1474</v>
      </c>
      <c r="E332" s="1" t="s">
        <v>3673</v>
      </c>
      <c r="F332" s="1" t="s">
        <v>112</v>
      </c>
      <c r="G332" s="1">
        <v>632566</v>
      </c>
    </row>
    <row r="333" spans="1:10" x14ac:dyDescent="0.25">
      <c r="A333" s="1" t="str">
        <f t="shared" si="5"/>
        <v>11  Testosterone 100 µg_L</v>
      </c>
      <c r="B3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3" s="1" t="s">
        <v>3674</v>
      </c>
      <c r="D333" s="1" t="s">
        <v>2180</v>
      </c>
      <c r="E333" s="1" t="s">
        <v>3675</v>
      </c>
      <c r="F333" s="1" t="s">
        <v>112</v>
      </c>
      <c r="G333" s="1">
        <v>325703</v>
      </c>
    </row>
    <row r="334" spans="1:10" x14ac:dyDescent="0.25">
      <c r="A334" s="1" t="str">
        <f t="shared" si="5"/>
        <v>11  Testosterone 100 µg_L</v>
      </c>
      <c r="B3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4" s="1" t="s">
        <v>3676</v>
      </c>
      <c r="D334" s="1" t="s">
        <v>3677</v>
      </c>
      <c r="E334" s="1" t="s">
        <v>3678</v>
      </c>
      <c r="F334" s="1" t="s">
        <v>112</v>
      </c>
      <c r="G334" s="1">
        <v>298471</v>
      </c>
    </row>
    <row r="335" spans="1:10" x14ac:dyDescent="0.25">
      <c r="A335" s="1" t="str">
        <f t="shared" si="5"/>
        <v>11  Testosterone 100 µg_L</v>
      </c>
      <c r="B3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5" s="1" t="s">
        <v>3679</v>
      </c>
      <c r="D335" s="1" t="s">
        <v>3680</v>
      </c>
      <c r="E335" s="1" t="s">
        <v>3681</v>
      </c>
      <c r="F335" s="1" t="s">
        <v>112</v>
      </c>
      <c r="G335" s="1">
        <v>3687875</v>
      </c>
    </row>
    <row r="336" spans="1:10" x14ac:dyDescent="0.25">
      <c r="A336" s="1" t="str">
        <f t="shared" si="5"/>
        <v>11  Testosterone 100 µg_L</v>
      </c>
      <c r="B3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6" s="1" t="s">
        <v>3682</v>
      </c>
      <c r="D336" s="1" t="s">
        <v>3683</v>
      </c>
      <c r="E336" s="1" t="s">
        <v>3684</v>
      </c>
      <c r="F336" s="1" t="s">
        <v>112</v>
      </c>
      <c r="G336" s="1">
        <v>3617167</v>
      </c>
    </row>
    <row r="337" spans="1:7" x14ac:dyDescent="0.25">
      <c r="A337" s="1" t="str">
        <f t="shared" si="5"/>
        <v>11  Testosterone 100 µg_L</v>
      </c>
      <c r="B3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7" s="1" t="s">
        <v>3685</v>
      </c>
      <c r="D337" s="1" t="s">
        <v>3686</v>
      </c>
      <c r="E337" s="1" t="s">
        <v>3687</v>
      </c>
      <c r="F337" s="1" t="s">
        <v>112</v>
      </c>
      <c r="G337" s="1">
        <v>3944298</v>
      </c>
    </row>
    <row r="338" spans="1:7" x14ac:dyDescent="0.25">
      <c r="A338" s="1" t="str">
        <f t="shared" si="5"/>
        <v>11  Testosterone 100 µg_L</v>
      </c>
      <c r="B3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38" s="1" t="s">
        <v>3688</v>
      </c>
      <c r="D338" s="1" t="s">
        <v>3689</v>
      </c>
      <c r="E338" s="1" t="s">
        <v>3690</v>
      </c>
      <c r="F338" s="1" t="s">
        <v>112</v>
      </c>
      <c r="G338" s="1">
        <v>3170445</v>
      </c>
    </row>
    <row r="339" spans="1:7" x14ac:dyDescent="0.25">
      <c r="A339" s="1" t="str">
        <f t="shared" si="5"/>
        <v>11  Testosterone 100 µg_L</v>
      </c>
      <c r="B3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39" s="1" t="s">
        <v>3691</v>
      </c>
      <c r="D339" s="1" t="s">
        <v>3692</v>
      </c>
      <c r="E339" s="1" t="s">
        <v>3693</v>
      </c>
      <c r="F339" s="1" t="s">
        <v>112</v>
      </c>
      <c r="G339" s="1">
        <v>3121497</v>
      </c>
    </row>
    <row r="340" spans="1:7" x14ac:dyDescent="0.25">
      <c r="A340" s="1" t="str">
        <f t="shared" si="5"/>
        <v>11  Testosterone 100 µg_L</v>
      </c>
      <c r="B3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40" s="1" t="s">
        <v>3694</v>
      </c>
      <c r="D340" s="1" t="s">
        <v>3695</v>
      </c>
      <c r="E340" s="1" t="s">
        <v>902</v>
      </c>
      <c r="F340" s="1" t="s">
        <v>112</v>
      </c>
      <c r="G340" s="1">
        <v>3083731</v>
      </c>
    </row>
    <row r="341" spans="1:7" x14ac:dyDescent="0.25">
      <c r="A341" s="1" t="str">
        <f t="shared" si="5"/>
        <v>11  Testosterone 100 µg_L</v>
      </c>
      <c r="B3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1" s="1" t="s">
        <v>3696</v>
      </c>
      <c r="D341" s="1" t="s">
        <v>3697</v>
      </c>
      <c r="E341" s="1" t="s">
        <v>3698</v>
      </c>
      <c r="F341" s="1" t="s">
        <v>112</v>
      </c>
      <c r="G341" s="1">
        <v>131553</v>
      </c>
    </row>
    <row r="342" spans="1:7" x14ac:dyDescent="0.25">
      <c r="A342" s="1" t="str">
        <f t="shared" si="5"/>
        <v>11  Testosterone 100 µg_L</v>
      </c>
      <c r="B3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2" s="1" t="s">
        <v>3699</v>
      </c>
      <c r="D342" s="1" t="s">
        <v>3700</v>
      </c>
      <c r="E342" s="1" t="s">
        <v>3701</v>
      </c>
      <c r="F342" s="1" t="s">
        <v>112</v>
      </c>
      <c r="G342" s="1">
        <v>150263</v>
      </c>
    </row>
    <row r="343" spans="1:7" x14ac:dyDescent="0.25">
      <c r="A343" s="1" t="str">
        <f t="shared" si="5"/>
        <v>11  Testosterone 100 µg_L</v>
      </c>
      <c r="B3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3" s="1" t="s">
        <v>3702</v>
      </c>
      <c r="D343" s="1" t="s">
        <v>1268</v>
      </c>
      <c r="E343" s="1" t="s">
        <v>3703</v>
      </c>
      <c r="F343" s="1" t="s">
        <v>112</v>
      </c>
      <c r="G343" s="1">
        <v>55805</v>
      </c>
    </row>
    <row r="344" spans="1:7" x14ac:dyDescent="0.25">
      <c r="A344" s="1" t="str">
        <f t="shared" si="5"/>
        <v>11  Testosterone 100 µg_L</v>
      </c>
      <c r="B3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4" s="1" t="s">
        <v>3704</v>
      </c>
      <c r="D344" s="1" t="s">
        <v>3705</v>
      </c>
      <c r="E344" s="1" t="s">
        <v>3706</v>
      </c>
      <c r="F344" s="1" t="s">
        <v>112</v>
      </c>
      <c r="G344" s="1">
        <v>632674</v>
      </c>
    </row>
    <row r="345" spans="1:7" x14ac:dyDescent="0.25">
      <c r="A345" s="1" t="str">
        <f t="shared" si="5"/>
        <v>11  Testosterone 100 µg_L</v>
      </c>
      <c r="B3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5" s="1" t="s">
        <v>3707</v>
      </c>
      <c r="D345" s="1" t="s">
        <v>3708</v>
      </c>
      <c r="E345" s="1" t="s">
        <v>3709</v>
      </c>
      <c r="F345" s="1" t="s">
        <v>112</v>
      </c>
      <c r="G345" s="1">
        <v>966251</v>
      </c>
    </row>
    <row r="346" spans="1:7" x14ac:dyDescent="0.25">
      <c r="A346" s="1" t="str">
        <f t="shared" si="5"/>
        <v>11  Testosterone 100 µg_L</v>
      </c>
      <c r="B3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6" s="1" t="s">
        <v>3710</v>
      </c>
      <c r="D346" s="1" t="s">
        <v>3711</v>
      </c>
      <c r="E346" s="1" t="s">
        <v>3712</v>
      </c>
      <c r="F346" s="1" t="s">
        <v>112</v>
      </c>
      <c r="G346" s="1">
        <v>380470</v>
      </c>
    </row>
    <row r="347" spans="1:7" x14ac:dyDescent="0.25">
      <c r="A347" s="1" t="str">
        <f t="shared" si="5"/>
        <v>11  Testosterone 100 µg_L</v>
      </c>
      <c r="B3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7" s="1" t="s">
        <v>3713</v>
      </c>
      <c r="D347" s="1" t="s">
        <v>3714</v>
      </c>
      <c r="E347" s="1" t="s">
        <v>3715</v>
      </c>
      <c r="F347" s="1" t="s">
        <v>112</v>
      </c>
      <c r="G347" s="1">
        <v>448691</v>
      </c>
    </row>
    <row r="348" spans="1:7" x14ac:dyDescent="0.25">
      <c r="A348" s="1" t="str">
        <f t="shared" si="5"/>
        <v>11  Testosterone 100 µg_L</v>
      </c>
      <c r="B3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8" s="1" t="s">
        <v>3716</v>
      </c>
      <c r="D348" s="1" t="s">
        <v>3717</v>
      </c>
      <c r="E348" s="1" t="s">
        <v>3718</v>
      </c>
      <c r="F348" s="1" t="s">
        <v>112</v>
      </c>
      <c r="G348" s="1">
        <v>436426</v>
      </c>
    </row>
    <row r="349" spans="1:7" x14ac:dyDescent="0.25">
      <c r="A349" s="1" t="str">
        <f t="shared" si="5"/>
        <v>11  Testosterone 100 µg_L</v>
      </c>
      <c r="B3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9" s="1" t="s">
        <v>3719</v>
      </c>
      <c r="D349" s="1" t="s">
        <v>3711</v>
      </c>
      <c r="E349" s="1" t="s">
        <v>3720</v>
      </c>
      <c r="F349" s="1" t="s">
        <v>112</v>
      </c>
      <c r="G349" s="1">
        <v>380167</v>
      </c>
    </row>
    <row r="350" spans="1:7" x14ac:dyDescent="0.25">
      <c r="A350" s="1" t="str">
        <f t="shared" si="5"/>
        <v>11  Testosterone 100 µg_L</v>
      </c>
      <c r="B3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0" s="1" t="s">
        <v>3721</v>
      </c>
      <c r="D350" s="1" t="s">
        <v>2907</v>
      </c>
      <c r="E350" s="1" t="s">
        <v>3722</v>
      </c>
      <c r="F350" s="1" t="s">
        <v>112</v>
      </c>
      <c r="G350" s="1">
        <v>1043231</v>
      </c>
    </row>
    <row r="351" spans="1:7" x14ac:dyDescent="0.25">
      <c r="A351" s="1" t="str">
        <f t="shared" si="5"/>
        <v>11  Testosterone 100 µg_L</v>
      </c>
      <c r="B3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1" s="1" t="s">
        <v>3723</v>
      </c>
      <c r="D351" s="1" t="s">
        <v>243</v>
      </c>
      <c r="E351" s="1" t="s">
        <v>3724</v>
      </c>
      <c r="F351" s="1" t="s">
        <v>112</v>
      </c>
      <c r="G351" s="1">
        <v>75986</v>
      </c>
    </row>
    <row r="352" spans="1:7" x14ac:dyDescent="0.25">
      <c r="A352" s="1" t="str">
        <f t="shared" si="5"/>
        <v>11  Testosterone 100 µg_L</v>
      </c>
      <c r="B3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2" s="1" t="s">
        <v>3725</v>
      </c>
      <c r="D352" s="1" t="s">
        <v>3726</v>
      </c>
      <c r="E352" s="1" t="s">
        <v>3727</v>
      </c>
      <c r="F352" s="1" t="s">
        <v>112</v>
      </c>
      <c r="G352" s="1">
        <v>1064623</v>
      </c>
    </row>
    <row r="353" spans="1:10" x14ac:dyDescent="0.25">
      <c r="A353" s="1" t="str">
        <f t="shared" si="5"/>
        <v>11  Testosterone 100 µg_L</v>
      </c>
      <c r="B3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3" s="1" t="s">
        <v>3728</v>
      </c>
      <c r="D353" s="1" t="s">
        <v>3729</v>
      </c>
      <c r="E353" s="1" t="s">
        <v>3730</v>
      </c>
      <c r="F353" s="1" t="s">
        <v>112</v>
      </c>
      <c r="G353" s="1">
        <v>1149737</v>
      </c>
    </row>
    <row r="354" spans="1:10" x14ac:dyDescent="0.25">
      <c r="A354" s="1" t="str">
        <f t="shared" si="5"/>
        <v>11  Testosterone 100 µg_L</v>
      </c>
      <c r="B3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4" s="1" t="s">
        <v>3731</v>
      </c>
      <c r="D354" s="1" t="s">
        <v>3732</v>
      </c>
      <c r="E354" s="1" t="s">
        <v>3733</v>
      </c>
      <c r="F354" s="1" t="s">
        <v>112</v>
      </c>
      <c r="G354" s="1">
        <v>967159</v>
      </c>
    </row>
    <row r="355" spans="1:10" x14ac:dyDescent="0.25">
      <c r="A355" s="1" t="str">
        <f t="shared" si="5"/>
        <v>11  Testosterone 100 µg_L</v>
      </c>
      <c r="B3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5" s="1" t="s">
        <v>3734</v>
      </c>
      <c r="D355" s="1" t="s">
        <v>2904</v>
      </c>
      <c r="E355" s="1" t="s">
        <v>3735</v>
      </c>
      <c r="F355" s="1" t="s">
        <v>112</v>
      </c>
      <c r="G355" s="1">
        <v>850055</v>
      </c>
    </row>
    <row r="356" spans="1:10" x14ac:dyDescent="0.25">
      <c r="A356" s="1" t="str">
        <f t="shared" si="5"/>
        <v/>
      </c>
      <c r="B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6" s="1" t="s">
        <v>112</v>
      </c>
    </row>
    <row r="357" spans="1:10" x14ac:dyDescent="0.25">
      <c r="A357" s="1" t="str">
        <f t="shared" si="5"/>
        <v/>
      </c>
      <c r="B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7" s="1" t="s">
        <v>229</v>
      </c>
      <c r="D357" s="1" t="s">
        <v>112</v>
      </c>
      <c r="E357" s="1" t="s">
        <v>230</v>
      </c>
      <c r="F357" s="1" t="s">
        <v>231</v>
      </c>
      <c r="G357" s="1" t="s">
        <v>232</v>
      </c>
      <c r="H357" s="1" t="s">
        <v>233</v>
      </c>
      <c r="I357" s="1" t="s">
        <v>234</v>
      </c>
      <c r="J357" s="1" t="s">
        <v>235</v>
      </c>
    </row>
    <row r="358" spans="1:10" x14ac:dyDescent="0.25">
      <c r="A358" s="1" t="str">
        <f t="shared" si="5"/>
        <v>11  Testosterone 100 µg_L</v>
      </c>
      <c r="B3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58" s="1" t="s">
        <v>3736</v>
      </c>
      <c r="D358" s="1" t="s">
        <v>112</v>
      </c>
      <c r="E358" s="1" t="s">
        <v>3737</v>
      </c>
      <c r="F358" s="1" t="s">
        <v>3738</v>
      </c>
      <c r="G358" s="1" t="s">
        <v>3739</v>
      </c>
      <c r="H358" s="1" t="s">
        <v>3740</v>
      </c>
      <c r="I358" s="1">
        <v>24</v>
      </c>
      <c r="J358" s="1">
        <v>24</v>
      </c>
    </row>
    <row r="359" spans="1:10" x14ac:dyDescent="0.25">
      <c r="A359" s="1" t="str">
        <f t="shared" si="5"/>
        <v/>
      </c>
      <c r="B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9" s="1" t="s">
        <v>112</v>
      </c>
    </row>
    <row r="360" spans="1:10" x14ac:dyDescent="0.25">
      <c r="A360" s="1" t="str">
        <f t="shared" si="5"/>
        <v/>
      </c>
      <c r="B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0" s="1" t="s">
        <v>112</v>
      </c>
    </row>
    <row r="361" spans="1:10" x14ac:dyDescent="0.25">
      <c r="A361" s="1" t="str">
        <f t="shared" si="5"/>
        <v/>
      </c>
      <c r="B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1" s="1" t="s">
        <v>112</v>
      </c>
    </row>
    <row r="362" spans="1:10" x14ac:dyDescent="0.25">
      <c r="A362" s="1" t="str">
        <f t="shared" si="5"/>
        <v/>
      </c>
      <c r="B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2" s="1" t="s">
        <v>112</v>
      </c>
    </row>
    <row r="363" spans="1:10" x14ac:dyDescent="0.25">
      <c r="A363" s="1" t="str">
        <f t="shared" si="5"/>
        <v/>
      </c>
      <c r="B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3" s="1" t="s">
        <v>112</v>
      </c>
    </row>
    <row r="364" spans="1:10" x14ac:dyDescent="0.25">
      <c r="A364" s="1" t="str">
        <f t="shared" si="5"/>
        <v/>
      </c>
      <c r="B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4" s="1" t="s">
        <v>241</v>
      </c>
      <c r="D364" s="1" t="s">
        <v>110</v>
      </c>
      <c r="E364" s="1" t="s">
        <v>111</v>
      </c>
      <c r="F364" s="1" t="s">
        <v>112</v>
      </c>
      <c r="G364" s="1" t="s">
        <v>113</v>
      </c>
    </row>
    <row r="365" spans="1:10" x14ac:dyDescent="0.25">
      <c r="A365" s="1" t="str">
        <f t="shared" si="5"/>
        <v>12  Testosterone 300 µg_L</v>
      </c>
      <c r="B3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5" s="1" t="s">
        <v>3741</v>
      </c>
      <c r="D365" s="1" t="s">
        <v>2331</v>
      </c>
      <c r="E365" s="1" t="s">
        <v>3742</v>
      </c>
      <c r="F365" s="1" t="s">
        <v>112</v>
      </c>
      <c r="G365" s="1">
        <v>1105353</v>
      </c>
    </row>
    <row r="366" spans="1:10" x14ac:dyDescent="0.25">
      <c r="A366" s="1" t="str">
        <f t="shared" si="5"/>
        <v>12  Testosterone 300 µg_L</v>
      </c>
      <c r="B3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6" s="1" t="s">
        <v>3743</v>
      </c>
      <c r="D366" s="1" t="s">
        <v>2737</v>
      </c>
      <c r="E366" s="1" t="s">
        <v>3744</v>
      </c>
      <c r="F366" s="1" t="s">
        <v>112</v>
      </c>
      <c r="G366" s="1">
        <v>1119585</v>
      </c>
    </row>
    <row r="367" spans="1:10" x14ac:dyDescent="0.25">
      <c r="A367" s="1" t="str">
        <f t="shared" si="5"/>
        <v>12  Testosterone 300 µg_L</v>
      </c>
      <c r="B3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7" s="1" t="s">
        <v>3745</v>
      </c>
      <c r="D367" s="1" t="s">
        <v>3746</v>
      </c>
      <c r="E367" s="1" t="s">
        <v>3747</v>
      </c>
      <c r="F367" s="1" t="s">
        <v>112</v>
      </c>
      <c r="G367" s="1">
        <v>948103</v>
      </c>
    </row>
    <row r="368" spans="1:10" x14ac:dyDescent="0.25">
      <c r="A368" s="1" t="str">
        <f t="shared" si="5"/>
        <v>12  Testosterone 300 µg_L</v>
      </c>
      <c r="B3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68" s="1" t="s">
        <v>3748</v>
      </c>
      <c r="D368" s="1" t="s">
        <v>3749</v>
      </c>
      <c r="E368" s="1" t="s">
        <v>3750</v>
      </c>
      <c r="F368" s="1" t="s">
        <v>112</v>
      </c>
      <c r="G368" s="1">
        <v>4784533</v>
      </c>
    </row>
    <row r="369" spans="1:7" x14ac:dyDescent="0.25">
      <c r="A369" s="1" t="str">
        <f t="shared" si="5"/>
        <v>12  Testosterone 300 µg_L</v>
      </c>
      <c r="B3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69" s="1" t="s">
        <v>3751</v>
      </c>
      <c r="D369" s="1" t="s">
        <v>3752</v>
      </c>
      <c r="E369" s="1" t="s">
        <v>3753</v>
      </c>
      <c r="F369" s="1" t="s">
        <v>112</v>
      </c>
      <c r="G369" s="1">
        <v>4130921</v>
      </c>
    </row>
    <row r="370" spans="1:7" x14ac:dyDescent="0.25">
      <c r="A370" s="1" t="str">
        <f t="shared" si="5"/>
        <v>12  Testosterone 300 µg_L</v>
      </c>
      <c r="B3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70" s="1" t="s">
        <v>3754</v>
      </c>
      <c r="D370" s="1" t="s">
        <v>3755</v>
      </c>
      <c r="E370" s="1" t="s">
        <v>3756</v>
      </c>
      <c r="F370" s="1" t="s">
        <v>112</v>
      </c>
      <c r="G370" s="1">
        <v>3883366</v>
      </c>
    </row>
    <row r="371" spans="1:7" x14ac:dyDescent="0.25">
      <c r="A371" s="1" t="str">
        <f t="shared" si="5"/>
        <v>12  Testosterone 300 µg_L</v>
      </c>
      <c r="B3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1" s="1" t="s">
        <v>3757</v>
      </c>
      <c r="D371" s="1" t="s">
        <v>3758</v>
      </c>
      <c r="E371" s="1" t="s">
        <v>3759</v>
      </c>
      <c r="F371" s="1" t="s">
        <v>112</v>
      </c>
      <c r="G371" s="1">
        <v>1437480</v>
      </c>
    </row>
    <row r="372" spans="1:7" x14ac:dyDescent="0.25">
      <c r="A372" s="1" t="str">
        <f t="shared" si="5"/>
        <v>12  Testosterone 300 µg_L</v>
      </c>
      <c r="B3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2" s="1" t="s">
        <v>3760</v>
      </c>
      <c r="D372" s="1" t="s">
        <v>3758</v>
      </c>
      <c r="E372" s="1" t="s">
        <v>3761</v>
      </c>
      <c r="F372" s="1" t="s">
        <v>112</v>
      </c>
      <c r="G372" s="1">
        <v>1423442</v>
      </c>
    </row>
    <row r="373" spans="1:7" x14ac:dyDescent="0.25">
      <c r="A373" s="1" t="str">
        <f t="shared" si="5"/>
        <v>12  Testosterone 300 µg_L</v>
      </c>
      <c r="B3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3" s="1" t="s">
        <v>3762</v>
      </c>
      <c r="D373" s="1" t="s">
        <v>3763</v>
      </c>
      <c r="E373" s="1" t="s">
        <v>3764</v>
      </c>
      <c r="F373" s="1" t="s">
        <v>112</v>
      </c>
      <c r="G373" s="1">
        <v>1452945</v>
      </c>
    </row>
    <row r="374" spans="1:7" x14ac:dyDescent="0.25">
      <c r="A374" s="1" t="str">
        <f t="shared" si="5"/>
        <v>12  Testosterone 300 µg_L</v>
      </c>
      <c r="B3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4" s="1" t="s">
        <v>3765</v>
      </c>
      <c r="D374" s="1" t="s">
        <v>1858</v>
      </c>
      <c r="E374" s="1" t="s">
        <v>3766</v>
      </c>
      <c r="F374" s="1" t="s">
        <v>112</v>
      </c>
      <c r="G374" s="1">
        <v>582407</v>
      </c>
    </row>
    <row r="375" spans="1:7" x14ac:dyDescent="0.25">
      <c r="A375" s="1" t="str">
        <f t="shared" si="5"/>
        <v>12  Testosterone 300 µg_L</v>
      </c>
      <c r="B3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5" s="1" t="s">
        <v>3767</v>
      </c>
      <c r="D375" s="1" t="s">
        <v>3768</v>
      </c>
      <c r="E375" s="1" t="s">
        <v>3769</v>
      </c>
      <c r="F375" s="1" t="s">
        <v>112</v>
      </c>
      <c r="G375" s="1">
        <v>583337</v>
      </c>
    </row>
    <row r="376" spans="1:7" x14ac:dyDescent="0.25">
      <c r="A376" s="1" t="str">
        <f t="shared" si="5"/>
        <v>12  Testosterone 300 µg_L</v>
      </c>
      <c r="B3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6" s="1" t="s">
        <v>3770</v>
      </c>
      <c r="D376" s="1" t="s">
        <v>3771</v>
      </c>
      <c r="E376" s="1" t="s">
        <v>3772</v>
      </c>
      <c r="F376" s="1" t="s">
        <v>112</v>
      </c>
      <c r="G376" s="1">
        <v>761870</v>
      </c>
    </row>
    <row r="377" spans="1:7" x14ac:dyDescent="0.25">
      <c r="A377" s="1" t="str">
        <f t="shared" si="5"/>
        <v>12  Testosterone 300 µg_L</v>
      </c>
      <c r="B3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7" s="1" t="s">
        <v>3773</v>
      </c>
      <c r="D377" s="1" t="s">
        <v>3010</v>
      </c>
      <c r="E377" s="1" t="s">
        <v>3774</v>
      </c>
      <c r="F377" s="1" t="s">
        <v>112</v>
      </c>
      <c r="G377" s="1">
        <v>1091228</v>
      </c>
    </row>
    <row r="378" spans="1:7" x14ac:dyDescent="0.25">
      <c r="A378" s="1" t="str">
        <f t="shared" si="5"/>
        <v>12  Testosterone 300 µg_L</v>
      </c>
      <c r="B3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8" s="1" t="s">
        <v>3775</v>
      </c>
      <c r="D378" s="1" t="s">
        <v>3776</v>
      </c>
      <c r="E378" s="1" t="s">
        <v>3777</v>
      </c>
      <c r="F378" s="1" t="s">
        <v>112</v>
      </c>
      <c r="G378" s="1">
        <v>1520582</v>
      </c>
    </row>
    <row r="379" spans="1:7" x14ac:dyDescent="0.25">
      <c r="A379" s="1" t="str">
        <f t="shared" si="5"/>
        <v>12  Testosterone 300 µg_L</v>
      </c>
      <c r="B3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9" s="1" t="s">
        <v>3778</v>
      </c>
      <c r="D379" s="1" t="s">
        <v>3779</v>
      </c>
      <c r="E379" s="1" t="s">
        <v>784</v>
      </c>
      <c r="F379" s="1" t="s">
        <v>112</v>
      </c>
      <c r="G379" s="1">
        <v>1091315</v>
      </c>
    </row>
    <row r="380" spans="1:7" x14ac:dyDescent="0.25">
      <c r="A380" s="1" t="str">
        <f t="shared" si="5"/>
        <v>12  Testosterone 300 µg_L</v>
      </c>
      <c r="B3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0" s="1" t="s">
        <v>3780</v>
      </c>
      <c r="D380" s="1" t="s">
        <v>3781</v>
      </c>
      <c r="E380" s="1" t="s">
        <v>3782</v>
      </c>
      <c r="F380" s="1" t="s">
        <v>112</v>
      </c>
      <c r="G380" s="1">
        <v>3236027</v>
      </c>
    </row>
    <row r="381" spans="1:7" x14ac:dyDescent="0.25">
      <c r="A381" s="1" t="str">
        <f t="shared" si="5"/>
        <v>12  Testosterone 300 µg_L</v>
      </c>
      <c r="B3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1" s="1" t="s">
        <v>3783</v>
      </c>
      <c r="D381" s="1" t="s">
        <v>3784</v>
      </c>
      <c r="E381" s="1" t="s">
        <v>3785</v>
      </c>
      <c r="F381" s="1" t="s">
        <v>112</v>
      </c>
      <c r="G381" s="1">
        <v>2229783</v>
      </c>
    </row>
    <row r="382" spans="1:7" x14ac:dyDescent="0.25">
      <c r="A382" s="1" t="str">
        <f t="shared" si="5"/>
        <v>12  Testosterone 300 µg_L</v>
      </c>
      <c r="B3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2" s="1" t="s">
        <v>3786</v>
      </c>
      <c r="D382" s="1" t="s">
        <v>3787</v>
      </c>
      <c r="E382" s="1" t="s">
        <v>3788</v>
      </c>
      <c r="F382" s="1" t="s">
        <v>112</v>
      </c>
      <c r="G382" s="1">
        <v>2344248</v>
      </c>
    </row>
    <row r="383" spans="1:7" x14ac:dyDescent="0.25">
      <c r="A383" s="1" t="str">
        <f t="shared" si="5"/>
        <v>12  Testosterone 300 µg_L</v>
      </c>
      <c r="B3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3" s="1" t="s">
        <v>3789</v>
      </c>
      <c r="D383" s="1" t="s">
        <v>3790</v>
      </c>
      <c r="E383" s="1" t="s">
        <v>3791</v>
      </c>
      <c r="F383" s="1" t="s">
        <v>112</v>
      </c>
      <c r="G383" s="1">
        <v>1847301</v>
      </c>
    </row>
    <row r="384" spans="1:7" x14ac:dyDescent="0.25">
      <c r="A384" s="1" t="str">
        <f t="shared" si="5"/>
        <v>12  Testosterone 300 µg_L</v>
      </c>
      <c r="B3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4" s="1" t="s">
        <v>3792</v>
      </c>
      <c r="D384" s="1" t="s">
        <v>3793</v>
      </c>
      <c r="E384" s="1" t="s">
        <v>3794</v>
      </c>
      <c r="F384" s="1" t="s">
        <v>112</v>
      </c>
      <c r="G384" s="1">
        <v>1788792</v>
      </c>
    </row>
    <row r="385" spans="1:10" x14ac:dyDescent="0.25">
      <c r="A385" s="1" t="str">
        <f t="shared" si="5"/>
        <v>12  Testosterone 300 µg_L</v>
      </c>
      <c r="B3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5" s="1" t="s">
        <v>3795</v>
      </c>
      <c r="D385" s="1" t="s">
        <v>3796</v>
      </c>
      <c r="E385" s="1" t="s">
        <v>3797</v>
      </c>
      <c r="F385" s="1" t="s">
        <v>112</v>
      </c>
      <c r="G385" s="1">
        <v>1710860</v>
      </c>
    </row>
    <row r="386" spans="1:10" x14ac:dyDescent="0.25">
      <c r="A386" s="1" t="str">
        <f t="shared" ref="A386:A449" si="6">IFERROR(LEFT(RIGHT(C386,LEN(C386)-SEARCH("@",C386)),SEARCH("/",RIGHT(C386,LEN(C386)-SEARCH("@",C386)-1))),"")</f>
        <v>12  Testosterone 300 µg_L</v>
      </c>
      <c r="B3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6" s="1" t="s">
        <v>3798</v>
      </c>
      <c r="D386" s="1" t="s">
        <v>3799</v>
      </c>
      <c r="E386" s="1" t="s">
        <v>3800</v>
      </c>
      <c r="F386" s="1" t="s">
        <v>112</v>
      </c>
      <c r="G386" s="1">
        <v>1736621</v>
      </c>
    </row>
    <row r="387" spans="1:10" x14ac:dyDescent="0.25">
      <c r="A387" s="1" t="str">
        <f t="shared" si="6"/>
        <v>12  Testosterone 300 µg_L</v>
      </c>
      <c r="B3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7" s="1" t="s">
        <v>3801</v>
      </c>
      <c r="D387" s="1" t="s">
        <v>2317</v>
      </c>
      <c r="E387" s="1" t="s">
        <v>3802</v>
      </c>
      <c r="F387" s="1" t="s">
        <v>112</v>
      </c>
      <c r="G387" s="1">
        <v>1628298</v>
      </c>
    </row>
    <row r="388" spans="1:10" x14ac:dyDescent="0.25">
      <c r="A388" s="1" t="str">
        <f t="shared" si="6"/>
        <v>12  Testosterone 300 µg_L</v>
      </c>
      <c r="B3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8" s="1" t="s">
        <v>3803</v>
      </c>
      <c r="D388" s="1" t="s">
        <v>3804</v>
      </c>
      <c r="E388" s="1" t="s">
        <v>3805</v>
      </c>
      <c r="F388" s="1" t="s">
        <v>112</v>
      </c>
      <c r="G388" s="1">
        <v>1150494</v>
      </c>
    </row>
    <row r="389" spans="1:10" x14ac:dyDescent="0.25">
      <c r="A389" s="1" t="str">
        <f t="shared" si="6"/>
        <v/>
      </c>
      <c r="B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89" s="1" t="s">
        <v>112</v>
      </c>
    </row>
    <row r="390" spans="1:10" x14ac:dyDescent="0.25">
      <c r="A390" s="1" t="str">
        <f t="shared" si="6"/>
        <v/>
      </c>
      <c r="B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0" s="1" t="s">
        <v>229</v>
      </c>
      <c r="D390" s="1" t="s">
        <v>112</v>
      </c>
      <c r="E390" s="1" t="s">
        <v>230</v>
      </c>
      <c r="F390" s="1" t="s">
        <v>231</v>
      </c>
      <c r="G390" s="1" t="s">
        <v>232</v>
      </c>
      <c r="H390" s="1" t="s">
        <v>233</v>
      </c>
      <c r="I390" s="1" t="s">
        <v>234</v>
      </c>
      <c r="J390" s="1" t="s">
        <v>235</v>
      </c>
    </row>
    <row r="391" spans="1:10" x14ac:dyDescent="0.25">
      <c r="A391" s="1" t="str">
        <f t="shared" si="6"/>
        <v>12  Testosterone 300 µg_L</v>
      </c>
      <c r="B3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91" s="1" t="s">
        <v>3806</v>
      </c>
      <c r="D391" s="1" t="s">
        <v>112</v>
      </c>
      <c r="E391" s="1" t="s">
        <v>3807</v>
      </c>
      <c r="F391" s="1" t="s">
        <v>3808</v>
      </c>
      <c r="G391" s="1" t="s">
        <v>3809</v>
      </c>
      <c r="H391" s="1" t="s">
        <v>3810</v>
      </c>
      <c r="I391" s="1">
        <v>24</v>
      </c>
      <c r="J391" s="1">
        <v>24</v>
      </c>
    </row>
    <row r="392" spans="1:10" x14ac:dyDescent="0.25">
      <c r="A392" s="1" t="str">
        <f t="shared" si="6"/>
        <v/>
      </c>
      <c r="B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2" s="1" t="s">
        <v>112</v>
      </c>
    </row>
    <row r="393" spans="1:10" x14ac:dyDescent="0.25">
      <c r="A393" s="1" t="str">
        <f t="shared" si="6"/>
        <v/>
      </c>
      <c r="B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3" s="1" t="s">
        <v>112</v>
      </c>
    </row>
    <row r="394" spans="1:10" x14ac:dyDescent="0.25">
      <c r="A394" s="1" t="str">
        <f t="shared" si="6"/>
        <v/>
      </c>
      <c r="B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4" s="1" t="s">
        <v>112</v>
      </c>
    </row>
    <row r="395" spans="1:10" x14ac:dyDescent="0.25">
      <c r="A395" s="1" t="str">
        <f t="shared" si="6"/>
        <v/>
      </c>
      <c r="B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5" s="1" t="s">
        <v>112</v>
      </c>
    </row>
    <row r="396" spans="1:10" x14ac:dyDescent="0.25">
      <c r="A396" s="1" t="str">
        <f t="shared" si="6"/>
        <v/>
      </c>
      <c r="B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6" s="1" t="s">
        <v>112</v>
      </c>
    </row>
    <row r="397" spans="1:10" x14ac:dyDescent="0.25">
      <c r="A397" s="1" t="str">
        <f t="shared" si="6"/>
        <v/>
      </c>
      <c r="B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7" s="1" t="s">
        <v>241</v>
      </c>
      <c r="D397" s="1" t="s">
        <v>110</v>
      </c>
      <c r="E397" s="1" t="s">
        <v>111</v>
      </c>
      <c r="F397" s="1" t="s">
        <v>112</v>
      </c>
      <c r="G397" s="1" t="s">
        <v>113</v>
      </c>
    </row>
    <row r="398" spans="1:10" x14ac:dyDescent="0.25">
      <c r="A398" s="1" t="str">
        <f t="shared" si="6"/>
        <v>01 Testo 30</v>
      </c>
      <c r="B3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98" s="1" t="s">
        <v>3811</v>
      </c>
      <c r="D398" s="1" t="s">
        <v>3812</v>
      </c>
      <c r="E398" s="1" t="s">
        <v>3813</v>
      </c>
      <c r="F398" s="1" t="s">
        <v>112</v>
      </c>
      <c r="G398" s="1">
        <v>3193265</v>
      </c>
    </row>
    <row r="399" spans="1:10" x14ac:dyDescent="0.25">
      <c r="A399" s="1" t="str">
        <f t="shared" si="6"/>
        <v>01 Testo 30</v>
      </c>
      <c r="B3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99" s="1" t="s">
        <v>3814</v>
      </c>
      <c r="D399" s="1" t="s">
        <v>3815</v>
      </c>
      <c r="E399" s="1" t="s">
        <v>3816</v>
      </c>
      <c r="F399" s="1" t="s">
        <v>112</v>
      </c>
      <c r="G399" s="1">
        <v>3036210</v>
      </c>
    </row>
    <row r="400" spans="1:10" x14ac:dyDescent="0.25">
      <c r="A400" s="1" t="str">
        <f t="shared" si="6"/>
        <v>01 Testo 30</v>
      </c>
      <c r="B4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00" s="1" t="s">
        <v>3817</v>
      </c>
      <c r="D400" s="1" t="s">
        <v>919</v>
      </c>
      <c r="E400" s="1" t="s">
        <v>3818</v>
      </c>
      <c r="F400" s="1" t="s">
        <v>112</v>
      </c>
      <c r="G400" s="1">
        <v>1504900</v>
      </c>
    </row>
    <row r="401" spans="1:7" x14ac:dyDescent="0.25">
      <c r="A401" s="1" t="str">
        <f t="shared" si="6"/>
        <v>01 Testo 30</v>
      </c>
      <c r="B4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1" s="1" t="s">
        <v>3819</v>
      </c>
      <c r="D401" s="1" t="s">
        <v>3820</v>
      </c>
      <c r="E401" s="1" t="s">
        <v>3821</v>
      </c>
      <c r="F401" s="1" t="s">
        <v>112</v>
      </c>
      <c r="G401" s="1">
        <v>2339619</v>
      </c>
    </row>
    <row r="402" spans="1:7" x14ac:dyDescent="0.25">
      <c r="A402" s="1" t="str">
        <f t="shared" si="6"/>
        <v>01 Testo 30</v>
      </c>
      <c r="B4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2" s="1" t="s">
        <v>3822</v>
      </c>
      <c r="D402" s="1" t="s">
        <v>3823</v>
      </c>
      <c r="E402" s="1" t="s">
        <v>3824</v>
      </c>
      <c r="F402" s="1" t="s">
        <v>112</v>
      </c>
      <c r="G402" s="1">
        <v>2514929</v>
      </c>
    </row>
    <row r="403" spans="1:7" x14ac:dyDescent="0.25">
      <c r="A403" s="1" t="str">
        <f t="shared" si="6"/>
        <v>01 Testo 30</v>
      </c>
      <c r="B4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3" s="1" t="s">
        <v>3825</v>
      </c>
      <c r="D403" s="1" t="s">
        <v>3826</v>
      </c>
      <c r="E403" s="1" t="s">
        <v>3827</v>
      </c>
      <c r="F403" s="1" t="s">
        <v>112</v>
      </c>
      <c r="G403" s="1">
        <v>2342669</v>
      </c>
    </row>
    <row r="404" spans="1:7" x14ac:dyDescent="0.25">
      <c r="A404" s="1" t="str">
        <f t="shared" si="6"/>
        <v>01 Testo 30</v>
      </c>
      <c r="B4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4" s="1" t="s">
        <v>3828</v>
      </c>
      <c r="D404" s="1" t="s">
        <v>3829</v>
      </c>
      <c r="E404" s="1" t="s">
        <v>3830</v>
      </c>
      <c r="F404" s="1" t="s">
        <v>112</v>
      </c>
      <c r="G404" s="1">
        <v>3828902</v>
      </c>
    </row>
    <row r="405" spans="1:7" x14ac:dyDescent="0.25">
      <c r="A405" s="1" t="str">
        <f t="shared" si="6"/>
        <v>01 Testo 30</v>
      </c>
      <c r="B4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5" s="1" t="s">
        <v>3831</v>
      </c>
    </row>
    <row r="406" spans="1:7" x14ac:dyDescent="0.25">
      <c r="A406" s="1" t="str">
        <f t="shared" si="6"/>
        <v>01 Testo 30</v>
      </c>
      <c r="B4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6" s="1" t="s">
        <v>3832</v>
      </c>
      <c r="D406" s="1" t="s">
        <v>1419</v>
      </c>
      <c r="E406" s="1" t="s">
        <v>3833</v>
      </c>
      <c r="F406" s="1" t="s">
        <v>112</v>
      </c>
      <c r="G406" s="1">
        <v>3742469</v>
      </c>
    </row>
    <row r="407" spans="1:7" x14ac:dyDescent="0.25">
      <c r="A407" s="1" t="str">
        <f t="shared" si="6"/>
        <v>01 Testo 30</v>
      </c>
      <c r="B4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7" s="1" t="s">
        <v>3834</v>
      </c>
      <c r="D407" s="1" t="s">
        <v>3835</v>
      </c>
      <c r="E407" s="1" t="s">
        <v>3836</v>
      </c>
      <c r="F407" s="1" t="s">
        <v>112</v>
      </c>
      <c r="G407" s="1">
        <v>1683779</v>
      </c>
    </row>
    <row r="408" spans="1:7" x14ac:dyDescent="0.25">
      <c r="A408" s="1" t="str">
        <f t="shared" si="6"/>
        <v>01 Testo 30</v>
      </c>
      <c r="B4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8" s="1" t="s">
        <v>3837</v>
      </c>
    </row>
    <row r="409" spans="1:7" x14ac:dyDescent="0.25">
      <c r="A409" s="1" t="str">
        <f t="shared" si="6"/>
        <v>01 Testo 30</v>
      </c>
      <c r="B4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9" s="1" t="s">
        <v>3838</v>
      </c>
      <c r="D409" s="1" t="s">
        <v>3839</v>
      </c>
      <c r="E409" s="1" t="s">
        <v>3840</v>
      </c>
      <c r="F409" s="1" t="s">
        <v>112</v>
      </c>
      <c r="G409" s="1">
        <v>1787905</v>
      </c>
    </row>
    <row r="410" spans="1:7" x14ac:dyDescent="0.25">
      <c r="A410" s="1" t="str">
        <f t="shared" si="6"/>
        <v>01 Testo 30</v>
      </c>
      <c r="B4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0" s="1" t="s">
        <v>3841</v>
      </c>
    </row>
    <row r="411" spans="1:7" x14ac:dyDescent="0.25">
      <c r="A411" s="1" t="str">
        <f t="shared" si="6"/>
        <v>01 Testo 30</v>
      </c>
      <c r="B4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1" s="1" t="s">
        <v>3842</v>
      </c>
      <c r="D411" s="1" t="s">
        <v>3843</v>
      </c>
      <c r="E411" s="1" t="s">
        <v>3844</v>
      </c>
      <c r="F411" s="1" t="s">
        <v>112</v>
      </c>
      <c r="G411" s="1">
        <v>3231809</v>
      </c>
    </row>
    <row r="412" spans="1:7" x14ac:dyDescent="0.25">
      <c r="A412" s="1" t="str">
        <f t="shared" si="6"/>
        <v>01 Testo 30</v>
      </c>
      <c r="B4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2" s="1" t="s">
        <v>3845</v>
      </c>
      <c r="D412" s="1" t="s">
        <v>1047</v>
      </c>
      <c r="E412" s="1" t="s">
        <v>3846</v>
      </c>
      <c r="F412" s="1" t="s">
        <v>112</v>
      </c>
      <c r="G412" s="1">
        <v>2819824</v>
      </c>
    </row>
    <row r="413" spans="1:7" x14ac:dyDescent="0.25">
      <c r="A413" s="1" t="str">
        <f t="shared" si="6"/>
        <v>01 Testo 30</v>
      </c>
      <c r="B4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3" s="1" t="s">
        <v>3847</v>
      </c>
      <c r="D413" s="1" t="s">
        <v>3848</v>
      </c>
      <c r="E413" s="1" t="s">
        <v>3849</v>
      </c>
      <c r="F413" s="1" t="s">
        <v>112</v>
      </c>
      <c r="G413" s="1">
        <v>2457307</v>
      </c>
    </row>
    <row r="414" spans="1:7" x14ac:dyDescent="0.25">
      <c r="A414" s="1" t="str">
        <f t="shared" si="6"/>
        <v>01 Testo 30</v>
      </c>
      <c r="B4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4" s="1" t="s">
        <v>3850</v>
      </c>
      <c r="D414" s="1" t="s">
        <v>3851</v>
      </c>
      <c r="E414" s="1" t="s">
        <v>3852</v>
      </c>
      <c r="F414" s="1" t="s">
        <v>112</v>
      </c>
      <c r="G414" s="1">
        <v>2577332</v>
      </c>
    </row>
    <row r="415" spans="1:7" x14ac:dyDescent="0.25">
      <c r="A415" s="1" t="str">
        <f t="shared" si="6"/>
        <v>01 Testo 30</v>
      </c>
      <c r="B4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5" s="1" t="s">
        <v>3853</v>
      </c>
      <c r="D415" s="1" t="s">
        <v>3854</v>
      </c>
      <c r="E415" s="1" t="s">
        <v>3855</v>
      </c>
      <c r="F415" s="1" t="s">
        <v>112</v>
      </c>
      <c r="G415" s="1">
        <v>2126954</v>
      </c>
    </row>
    <row r="416" spans="1:7" x14ac:dyDescent="0.25">
      <c r="A416" s="1" t="str">
        <f t="shared" si="6"/>
        <v>01 Testo 30</v>
      </c>
      <c r="B4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6" s="1" t="s">
        <v>3856</v>
      </c>
      <c r="D416" s="1" t="s">
        <v>624</v>
      </c>
      <c r="E416" s="1" t="s">
        <v>3857</v>
      </c>
      <c r="F416" s="1" t="s">
        <v>112</v>
      </c>
      <c r="G416" s="1">
        <v>2900006</v>
      </c>
    </row>
    <row r="417" spans="1:10" x14ac:dyDescent="0.25">
      <c r="A417" s="1" t="str">
        <f t="shared" si="6"/>
        <v>01 Testo 30</v>
      </c>
      <c r="B4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7" s="1" t="s">
        <v>3858</v>
      </c>
      <c r="D417" s="1" t="s">
        <v>3859</v>
      </c>
      <c r="E417" s="1" t="s">
        <v>3860</v>
      </c>
      <c r="F417" s="1" t="s">
        <v>112</v>
      </c>
      <c r="G417" s="1">
        <v>1952163</v>
      </c>
    </row>
    <row r="418" spans="1:10" x14ac:dyDescent="0.25">
      <c r="A418" s="1" t="str">
        <f t="shared" si="6"/>
        <v>01 Testo 30</v>
      </c>
      <c r="B4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8" s="1" t="s">
        <v>3861</v>
      </c>
      <c r="D418" s="1" t="s">
        <v>1459</v>
      </c>
      <c r="E418" s="1" t="s">
        <v>3862</v>
      </c>
      <c r="F418" s="1" t="s">
        <v>112</v>
      </c>
      <c r="G418" s="1">
        <v>2008465</v>
      </c>
    </row>
    <row r="419" spans="1:10" x14ac:dyDescent="0.25">
      <c r="A419" s="1" t="str">
        <f t="shared" si="6"/>
        <v>01 Testo 30</v>
      </c>
      <c r="B4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19" s="1" t="s">
        <v>3863</v>
      </c>
      <c r="D419" s="1" t="s">
        <v>3864</v>
      </c>
      <c r="E419" s="1" t="s">
        <v>3865</v>
      </c>
      <c r="F419" s="1" t="s">
        <v>112</v>
      </c>
      <c r="G419" s="1">
        <v>816918</v>
      </c>
    </row>
    <row r="420" spans="1:10" x14ac:dyDescent="0.25">
      <c r="A420" s="1" t="str">
        <f t="shared" si="6"/>
        <v>01 Testo 30</v>
      </c>
      <c r="B4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20" s="1" t="s">
        <v>3866</v>
      </c>
      <c r="D420" s="1" t="s">
        <v>3867</v>
      </c>
      <c r="E420" s="1" t="s">
        <v>3868</v>
      </c>
      <c r="F420" s="1" t="s">
        <v>112</v>
      </c>
      <c r="G420" s="1">
        <v>653158</v>
      </c>
    </row>
    <row r="421" spans="1:10" x14ac:dyDescent="0.25">
      <c r="A421" s="1" t="str">
        <f t="shared" si="6"/>
        <v>01 Testo 30</v>
      </c>
      <c r="B4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21" s="1" t="s">
        <v>3869</v>
      </c>
      <c r="D421" s="1" t="s">
        <v>3870</v>
      </c>
      <c r="E421" s="1" t="s">
        <v>3871</v>
      </c>
      <c r="F421" s="1" t="s">
        <v>112</v>
      </c>
      <c r="G421" s="1">
        <v>256704</v>
      </c>
    </row>
    <row r="422" spans="1:10" x14ac:dyDescent="0.25">
      <c r="A422" s="1" t="str">
        <f t="shared" si="6"/>
        <v/>
      </c>
      <c r="B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2" s="1" t="s">
        <v>112</v>
      </c>
    </row>
    <row r="423" spans="1:10" x14ac:dyDescent="0.25">
      <c r="A423" s="1" t="str">
        <f t="shared" si="6"/>
        <v/>
      </c>
      <c r="B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3" s="1" t="s">
        <v>229</v>
      </c>
      <c r="D423" s="1" t="s">
        <v>112</v>
      </c>
      <c r="E423" s="1" t="s">
        <v>230</v>
      </c>
      <c r="F423" s="1" t="s">
        <v>231</v>
      </c>
      <c r="G423" s="1" t="s">
        <v>232</v>
      </c>
      <c r="H423" s="1" t="s">
        <v>233</v>
      </c>
      <c r="I423" s="1" t="s">
        <v>234</v>
      </c>
      <c r="J423" s="1" t="s">
        <v>235</v>
      </c>
    </row>
    <row r="424" spans="1:10" x14ac:dyDescent="0.25">
      <c r="A424" s="1" t="str">
        <f t="shared" si="6"/>
        <v>01 Testo 30</v>
      </c>
      <c r="B4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24" s="1" t="s">
        <v>3872</v>
      </c>
      <c r="D424" s="1" t="s">
        <v>112</v>
      </c>
      <c r="E424" s="1" t="s">
        <v>3873</v>
      </c>
      <c r="F424" s="1" t="s">
        <v>3874</v>
      </c>
      <c r="G424" s="1" t="s">
        <v>3875</v>
      </c>
      <c r="H424" s="1" t="s">
        <v>3876</v>
      </c>
      <c r="I424" s="1">
        <v>24</v>
      </c>
      <c r="J424" s="1">
        <v>24</v>
      </c>
    </row>
    <row r="425" spans="1:10" x14ac:dyDescent="0.25">
      <c r="A425" s="1" t="str">
        <f t="shared" si="6"/>
        <v/>
      </c>
      <c r="B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5" s="1" t="s">
        <v>112</v>
      </c>
    </row>
    <row r="426" spans="1:10" x14ac:dyDescent="0.25">
      <c r="A426" s="1" t="str">
        <f t="shared" si="6"/>
        <v/>
      </c>
      <c r="B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6" s="1" t="s">
        <v>112</v>
      </c>
    </row>
    <row r="427" spans="1:10" x14ac:dyDescent="0.25">
      <c r="A427" s="1" t="str">
        <f t="shared" si="6"/>
        <v/>
      </c>
      <c r="B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7" s="1" t="s">
        <v>112</v>
      </c>
    </row>
    <row r="428" spans="1:10" x14ac:dyDescent="0.25">
      <c r="A428" s="1" t="str">
        <f t="shared" si="6"/>
        <v/>
      </c>
      <c r="B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8" s="1" t="s">
        <v>112</v>
      </c>
    </row>
    <row r="429" spans="1:10" x14ac:dyDescent="0.25">
      <c r="A429" s="1" t="str">
        <f t="shared" si="6"/>
        <v/>
      </c>
      <c r="B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9" s="1" t="s">
        <v>112</v>
      </c>
    </row>
    <row r="430" spans="1:10" x14ac:dyDescent="0.25">
      <c r="A430" s="1" t="str">
        <f t="shared" si="6"/>
        <v/>
      </c>
      <c r="B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30" s="1" t="s">
        <v>241</v>
      </c>
      <c r="D430" s="1" t="s">
        <v>110</v>
      </c>
      <c r="E430" s="1" t="s">
        <v>111</v>
      </c>
      <c r="F430" s="1" t="s">
        <v>112</v>
      </c>
      <c r="G430" s="1" t="s">
        <v>113</v>
      </c>
    </row>
    <row r="431" spans="1:10" x14ac:dyDescent="0.25">
      <c r="A431" s="1" t="str">
        <f t="shared" si="6"/>
        <v>02 Testo 30</v>
      </c>
      <c r="B4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1" s="1" t="s">
        <v>3877</v>
      </c>
      <c r="D431" s="1" t="s">
        <v>3878</v>
      </c>
      <c r="E431" s="1" t="s">
        <v>3879</v>
      </c>
      <c r="F431" s="1" t="s">
        <v>112</v>
      </c>
      <c r="G431" s="1">
        <v>833313</v>
      </c>
    </row>
    <row r="432" spans="1:10" x14ac:dyDescent="0.25">
      <c r="A432" s="1" t="str">
        <f t="shared" si="6"/>
        <v>02 Testo 30</v>
      </c>
      <c r="B4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2" s="1" t="s">
        <v>3880</v>
      </c>
      <c r="D432" s="1" t="s">
        <v>3881</v>
      </c>
      <c r="E432" s="1" t="s">
        <v>3882</v>
      </c>
      <c r="F432" s="1" t="s">
        <v>112</v>
      </c>
      <c r="G432" s="1">
        <v>595082</v>
      </c>
    </row>
    <row r="433" spans="1:7" x14ac:dyDescent="0.25">
      <c r="A433" s="1" t="str">
        <f t="shared" si="6"/>
        <v>02 Testo 30</v>
      </c>
      <c r="B4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3" s="1" t="s">
        <v>3883</v>
      </c>
      <c r="D433" s="1" t="s">
        <v>3884</v>
      </c>
      <c r="E433" s="1" t="s">
        <v>3885</v>
      </c>
      <c r="F433" s="1" t="s">
        <v>112</v>
      </c>
      <c r="G433" s="1">
        <v>836471</v>
      </c>
    </row>
    <row r="434" spans="1:7" x14ac:dyDescent="0.25">
      <c r="A434" s="1" t="str">
        <f t="shared" si="6"/>
        <v>02 Testo 30</v>
      </c>
      <c r="B4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4" s="1" t="s">
        <v>3886</v>
      </c>
      <c r="D434" s="1" t="s">
        <v>2168</v>
      </c>
      <c r="E434" s="1" t="s">
        <v>3887</v>
      </c>
      <c r="F434" s="1" t="s">
        <v>112</v>
      </c>
      <c r="G434" s="1">
        <v>142649</v>
      </c>
    </row>
    <row r="435" spans="1:7" x14ac:dyDescent="0.25">
      <c r="A435" s="1" t="str">
        <f t="shared" si="6"/>
        <v>02 Testo 30</v>
      </c>
      <c r="B4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5" s="1" t="s">
        <v>3888</v>
      </c>
      <c r="D435" s="1" t="s">
        <v>3562</v>
      </c>
      <c r="E435" s="1" t="s">
        <v>3889</v>
      </c>
      <c r="F435" s="1" t="s">
        <v>112</v>
      </c>
      <c r="G435" s="1">
        <v>108863</v>
      </c>
    </row>
    <row r="436" spans="1:7" x14ac:dyDescent="0.25">
      <c r="A436" s="1" t="str">
        <f t="shared" si="6"/>
        <v>02 Testo 30</v>
      </c>
      <c r="B4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6" s="1" t="s">
        <v>3890</v>
      </c>
      <c r="D436" s="1" t="s">
        <v>675</v>
      </c>
      <c r="E436" s="1" t="s">
        <v>3891</v>
      </c>
      <c r="F436" s="1" t="s">
        <v>112</v>
      </c>
      <c r="G436" s="1">
        <v>137544</v>
      </c>
    </row>
    <row r="437" spans="1:7" x14ac:dyDescent="0.25">
      <c r="A437" s="1" t="str">
        <f t="shared" si="6"/>
        <v>02 Testo 30</v>
      </c>
      <c r="B4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7" s="1" t="s">
        <v>3892</v>
      </c>
      <c r="D437" s="1" t="s">
        <v>3893</v>
      </c>
      <c r="E437" s="1" t="s">
        <v>3894</v>
      </c>
      <c r="F437" s="1" t="s">
        <v>112</v>
      </c>
      <c r="G437" s="1">
        <v>4382130</v>
      </c>
    </row>
    <row r="438" spans="1:7" x14ac:dyDescent="0.25">
      <c r="A438" s="1" t="str">
        <f t="shared" si="6"/>
        <v>02 Testo 30</v>
      </c>
      <c r="B4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8" s="1" t="s">
        <v>3895</v>
      </c>
      <c r="D438" s="1" t="s">
        <v>3896</v>
      </c>
      <c r="E438" s="1" t="s">
        <v>3897</v>
      </c>
      <c r="F438" s="1" t="s">
        <v>112</v>
      </c>
      <c r="G438" s="1">
        <v>4481022</v>
      </c>
    </row>
    <row r="439" spans="1:7" x14ac:dyDescent="0.25">
      <c r="A439" s="1" t="str">
        <f t="shared" si="6"/>
        <v>02 Testo 30</v>
      </c>
      <c r="B4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9" s="1" t="s">
        <v>3898</v>
      </c>
    </row>
    <row r="440" spans="1:7" x14ac:dyDescent="0.25">
      <c r="A440" s="1" t="str">
        <f t="shared" si="6"/>
        <v>02 Testo 30</v>
      </c>
      <c r="B4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0" s="1" t="s">
        <v>3899</v>
      </c>
      <c r="D440" s="1" t="s">
        <v>2991</v>
      </c>
      <c r="E440" s="1" t="s">
        <v>3900</v>
      </c>
      <c r="F440" s="1" t="s">
        <v>112</v>
      </c>
      <c r="G440" s="1">
        <v>1807091</v>
      </c>
    </row>
    <row r="441" spans="1:7" x14ac:dyDescent="0.25">
      <c r="A441" s="1" t="str">
        <f t="shared" si="6"/>
        <v>02 Testo 30</v>
      </c>
      <c r="B4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1" s="1" t="s">
        <v>3901</v>
      </c>
      <c r="D441" s="1" t="s">
        <v>3902</v>
      </c>
      <c r="E441" s="1" t="s">
        <v>3903</v>
      </c>
      <c r="F441" s="1" t="s">
        <v>112</v>
      </c>
      <c r="G441" s="1">
        <v>1156961</v>
      </c>
    </row>
    <row r="442" spans="1:7" x14ac:dyDescent="0.25">
      <c r="A442" s="1" t="str">
        <f t="shared" si="6"/>
        <v>02 Testo 30</v>
      </c>
      <c r="B4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2" s="1" t="s">
        <v>3904</v>
      </c>
      <c r="D442" s="1" t="s">
        <v>161</v>
      </c>
      <c r="E442" s="1" t="s">
        <v>3905</v>
      </c>
      <c r="F442" s="1" t="s">
        <v>112</v>
      </c>
      <c r="G442" s="1">
        <v>1419830</v>
      </c>
    </row>
    <row r="443" spans="1:7" x14ac:dyDescent="0.25">
      <c r="A443" s="1" t="str">
        <f t="shared" si="6"/>
        <v>02 Testo 30</v>
      </c>
      <c r="B4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3" s="1" t="s">
        <v>3906</v>
      </c>
      <c r="D443" s="1" t="s">
        <v>954</v>
      </c>
      <c r="E443" s="1" t="s">
        <v>3907</v>
      </c>
      <c r="F443" s="1" t="s">
        <v>112</v>
      </c>
      <c r="G443" s="1">
        <v>2543524</v>
      </c>
    </row>
    <row r="444" spans="1:7" x14ac:dyDescent="0.25">
      <c r="A444" s="1" t="str">
        <f t="shared" si="6"/>
        <v>02 Testo 30</v>
      </c>
      <c r="B4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4" s="1" t="s">
        <v>3908</v>
      </c>
      <c r="D444" s="1" t="s">
        <v>3909</v>
      </c>
      <c r="E444" s="1" t="s">
        <v>3910</v>
      </c>
      <c r="F444" s="1" t="s">
        <v>112</v>
      </c>
      <c r="G444" s="1">
        <v>2357421</v>
      </c>
    </row>
    <row r="445" spans="1:7" x14ac:dyDescent="0.25">
      <c r="A445" s="1" t="str">
        <f t="shared" si="6"/>
        <v>02 Testo 30</v>
      </c>
      <c r="B4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5" s="1" t="s">
        <v>3911</v>
      </c>
      <c r="D445" s="1" t="s">
        <v>907</v>
      </c>
      <c r="E445" s="1" t="s">
        <v>3912</v>
      </c>
      <c r="F445" s="1" t="s">
        <v>112</v>
      </c>
      <c r="G445" s="1">
        <v>2283144</v>
      </c>
    </row>
    <row r="446" spans="1:7" x14ac:dyDescent="0.25">
      <c r="A446" s="1" t="str">
        <f t="shared" si="6"/>
        <v>02 Testo 30</v>
      </c>
      <c r="B4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6" s="1" t="s">
        <v>3913</v>
      </c>
      <c r="D446" s="1" t="s">
        <v>3914</v>
      </c>
      <c r="E446" s="1" t="s">
        <v>3915</v>
      </c>
      <c r="F446" s="1" t="s">
        <v>112</v>
      </c>
      <c r="G446" s="1">
        <v>3644529</v>
      </c>
    </row>
    <row r="447" spans="1:7" x14ac:dyDescent="0.25">
      <c r="A447" s="1" t="str">
        <f t="shared" si="6"/>
        <v>02 Testo 30</v>
      </c>
      <c r="B4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7" s="1" t="s">
        <v>3916</v>
      </c>
      <c r="D447" s="1" t="s">
        <v>3917</v>
      </c>
      <c r="E447" s="1" t="s">
        <v>3918</v>
      </c>
      <c r="F447" s="1" t="s">
        <v>112</v>
      </c>
      <c r="G447" s="1">
        <v>3922798</v>
      </c>
    </row>
    <row r="448" spans="1:7" x14ac:dyDescent="0.25">
      <c r="A448" s="1" t="str">
        <f t="shared" si="6"/>
        <v>02 Testo 30</v>
      </c>
      <c r="B4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8" s="1" t="s">
        <v>3919</v>
      </c>
      <c r="D448" s="1" t="s">
        <v>3920</v>
      </c>
      <c r="E448" s="1" t="s">
        <v>3921</v>
      </c>
      <c r="F448" s="1" t="s">
        <v>112</v>
      </c>
      <c r="G448" s="1">
        <v>3323714</v>
      </c>
    </row>
    <row r="449" spans="1:10" x14ac:dyDescent="0.25">
      <c r="A449" s="1" t="str">
        <f t="shared" si="6"/>
        <v>02 Testo 30</v>
      </c>
      <c r="B4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49" s="1" t="s">
        <v>3922</v>
      </c>
      <c r="D449" s="1" t="s">
        <v>3923</v>
      </c>
      <c r="E449" s="1" t="s">
        <v>3924</v>
      </c>
      <c r="F449" s="1" t="s">
        <v>112</v>
      </c>
      <c r="G449" s="1">
        <v>3782528</v>
      </c>
    </row>
    <row r="450" spans="1:10" x14ac:dyDescent="0.25">
      <c r="A450" s="1" t="str">
        <f t="shared" ref="A450:A513" si="7">IFERROR(LEFT(RIGHT(C450,LEN(C450)-SEARCH("@",C450)),SEARCH("/",RIGHT(C450,LEN(C450)-SEARCH("@",C450)-1))),"")</f>
        <v>02 Testo 30</v>
      </c>
      <c r="B4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50" s="1" t="s">
        <v>3925</v>
      </c>
      <c r="D450" s="1" t="s">
        <v>3926</v>
      </c>
      <c r="E450" s="1" t="s">
        <v>3927</v>
      </c>
      <c r="F450" s="1" t="s">
        <v>112</v>
      </c>
      <c r="G450" s="1">
        <v>3644183</v>
      </c>
    </row>
    <row r="451" spans="1:10" x14ac:dyDescent="0.25">
      <c r="A451" s="1" t="str">
        <f t="shared" si="7"/>
        <v>02 Testo 30</v>
      </c>
      <c r="B4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51" s="1" t="s">
        <v>3928</v>
      </c>
      <c r="D451" s="1" t="s">
        <v>3929</v>
      </c>
      <c r="E451" s="1" t="s">
        <v>3930</v>
      </c>
      <c r="F451" s="1" t="s">
        <v>112</v>
      </c>
      <c r="G451" s="1">
        <v>3906943</v>
      </c>
    </row>
    <row r="452" spans="1:10" x14ac:dyDescent="0.25">
      <c r="A452" s="1" t="str">
        <f t="shared" si="7"/>
        <v>02 Testo 30</v>
      </c>
      <c r="B4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2" s="1" t="s">
        <v>3931</v>
      </c>
      <c r="D452" s="1" t="s">
        <v>3932</v>
      </c>
      <c r="E452" s="1" t="s">
        <v>3933</v>
      </c>
      <c r="F452" s="1" t="s">
        <v>112</v>
      </c>
      <c r="G452" s="1">
        <v>3588248</v>
      </c>
    </row>
    <row r="453" spans="1:10" x14ac:dyDescent="0.25">
      <c r="A453" s="1" t="str">
        <f t="shared" si="7"/>
        <v>02 Testo 30</v>
      </c>
      <c r="B4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3" s="1" t="s">
        <v>3934</v>
      </c>
      <c r="D453" s="1" t="s">
        <v>3935</v>
      </c>
      <c r="E453" s="1" t="s">
        <v>3936</v>
      </c>
      <c r="F453" s="1" t="s">
        <v>112</v>
      </c>
      <c r="G453" s="1">
        <v>3029526</v>
      </c>
    </row>
    <row r="454" spans="1:10" x14ac:dyDescent="0.25">
      <c r="A454" s="1" t="str">
        <f t="shared" si="7"/>
        <v>02 Testo 30</v>
      </c>
      <c r="B4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4" s="1" t="s">
        <v>3937</v>
      </c>
      <c r="D454" s="1" t="s">
        <v>539</v>
      </c>
      <c r="E454" s="1" t="s">
        <v>3938</v>
      </c>
      <c r="F454" s="1" t="s">
        <v>112</v>
      </c>
      <c r="G454" s="1">
        <v>2742779</v>
      </c>
    </row>
    <row r="455" spans="1:10" x14ac:dyDescent="0.25">
      <c r="A455" s="1" t="str">
        <f t="shared" si="7"/>
        <v/>
      </c>
      <c r="B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5" s="1" t="s">
        <v>112</v>
      </c>
    </row>
    <row r="456" spans="1:10" x14ac:dyDescent="0.25">
      <c r="A456" s="1" t="str">
        <f t="shared" si="7"/>
        <v/>
      </c>
      <c r="B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6" s="1" t="s">
        <v>229</v>
      </c>
      <c r="D456" s="1" t="s">
        <v>112</v>
      </c>
      <c r="E456" s="1" t="s">
        <v>230</v>
      </c>
      <c r="F456" s="1" t="s">
        <v>231</v>
      </c>
      <c r="G456" s="1" t="s">
        <v>232</v>
      </c>
      <c r="H456" s="1" t="s">
        <v>233</v>
      </c>
      <c r="I456" s="1" t="s">
        <v>234</v>
      </c>
      <c r="J456" s="1" t="s">
        <v>235</v>
      </c>
    </row>
    <row r="457" spans="1:10" x14ac:dyDescent="0.25">
      <c r="A457" s="1" t="str">
        <f t="shared" si="7"/>
        <v>02 Testo 30</v>
      </c>
      <c r="B4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57" s="1" t="s">
        <v>3939</v>
      </c>
      <c r="D457" s="1" t="s">
        <v>112</v>
      </c>
      <c r="E457" s="1" t="s">
        <v>3940</v>
      </c>
      <c r="F457" s="1" t="s">
        <v>3941</v>
      </c>
      <c r="G457" s="1" t="s">
        <v>3942</v>
      </c>
      <c r="H457" s="1" t="s">
        <v>3943</v>
      </c>
      <c r="I457" s="1">
        <v>24</v>
      </c>
      <c r="J457" s="1">
        <v>24</v>
      </c>
    </row>
    <row r="458" spans="1:10" x14ac:dyDescent="0.25">
      <c r="A458" s="1" t="str">
        <f t="shared" si="7"/>
        <v/>
      </c>
      <c r="B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8" s="1" t="s">
        <v>112</v>
      </c>
    </row>
    <row r="459" spans="1:10" x14ac:dyDescent="0.25">
      <c r="A459" s="1" t="str">
        <f t="shared" si="7"/>
        <v/>
      </c>
      <c r="B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9" s="1" t="s">
        <v>112</v>
      </c>
    </row>
    <row r="460" spans="1:10" x14ac:dyDescent="0.25">
      <c r="A460" s="1" t="str">
        <f t="shared" si="7"/>
        <v/>
      </c>
      <c r="B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0" s="1" t="s">
        <v>112</v>
      </c>
    </row>
    <row r="461" spans="1:10" x14ac:dyDescent="0.25">
      <c r="A461" s="1" t="str">
        <f t="shared" si="7"/>
        <v/>
      </c>
      <c r="B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1" s="1" t="s">
        <v>112</v>
      </c>
    </row>
    <row r="462" spans="1:10" x14ac:dyDescent="0.25">
      <c r="A462" s="1" t="str">
        <f t="shared" si="7"/>
        <v/>
      </c>
      <c r="B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2" s="1" t="s">
        <v>112</v>
      </c>
    </row>
    <row r="463" spans="1:10" x14ac:dyDescent="0.25">
      <c r="A463" s="1" t="str">
        <f t="shared" si="7"/>
        <v/>
      </c>
      <c r="B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3" s="1" t="s">
        <v>241</v>
      </c>
      <c r="D463" s="1" t="s">
        <v>110</v>
      </c>
      <c r="E463" s="1" t="s">
        <v>111</v>
      </c>
      <c r="F463" s="1" t="s">
        <v>112</v>
      </c>
      <c r="G463" s="1" t="s">
        <v>113</v>
      </c>
    </row>
    <row r="464" spans="1:10" x14ac:dyDescent="0.25">
      <c r="A464" s="1" t="str">
        <f t="shared" si="7"/>
        <v>03 Testo+ EE2 64</v>
      </c>
      <c r="B4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4" s="1" t="s">
        <v>3944</v>
      </c>
      <c r="D464" s="1" t="s">
        <v>3945</v>
      </c>
      <c r="E464" s="1" t="s">
        <v>3946</v>
      </c>
      <c r="F464" s="1" t="s">
        <v>112</v>
      </c>
      <c r="G464" s="1">
        <v>961817</v>
      </c>
    </row>
    <row r="465" spans="1:7" x14ac:dyDescent="0.25">
      <c r="A465" s="1" t="str">
        <f t="shared" si="7"/>
        <v>03 Testo+ EE2 64</v>
      </c>
      <c r="B4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5" s="1" t="s">
        <v>3947</v>
      </c>
      <c r="D465" s="1" t="s">
        <v>3948</v>
      </c>
      <c r="E465" s="1" t="s">
        <v>3949</v>
      </c>
      <c r="F465" s="1" t="s">
        <v>112</v>
      </c>
      <c r="G465" s="1">
        <v>850812</v>
      </c>
    </row>
    <row r="466" spans="1:7" x14ac:dyDescent="0.25">
      <c r="A466" s="1" t="str">
        <f t="shared" si="7"/>
        <v>03 Testo+ EE2 64</v>
      </c>
      <c r="B4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6" s="1" t="s">
        <v>3950</v>
      </c>
      <c r="D466" s="1" t="s">
        <v>3951</v>
      </c>
      <c r="E466" s="1" t="s">
        <v>3952</v>
      </c>
      <c r="F466" s="1" t="s">
        <v>112</v>
      </c>
      <c r="G466" s="1">
        <v>828533</v>
      </c>
    </row>
    <row r="467" spans="1:7" x14ac:dyDescent="0.25">
      <c r="A467" s="1" t="str">
        <f t="shared" si="7"/>
        <v>03 Testo+ EE2 64</v>
      </c>
      <c r="B4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7" s="1" t="s">
        <v>3953</v>
      </c>
      <c r="D467" s="1" t="s">
        <v>675</v>
      </c>
      <c r="E467" s="1" t="s">
        <v>3954</v>
      </c>
      <c r="F467" s="1" t="s">
        <v>112</v>
      </c>
      <c r="G467" s="1">
        <v>134408</v>
      </c>
    </row>
    <row r="468" spans="1:7" x14ac:dyDescent="0.25">
      <c r="A468" s="1" t="str">
        <f t="shared" si="7"/>
        <v>03 Testo+ EE2 64</v>
      </c>
      <c r="B4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8" s="1" t="s">
        <v>3955</v>
      </c>
      <c r="D468" s="1" t="s">
        <v>3956</v>
      </c>
      <c r="E468" s="1" t="s">
        <v>3957</v>
      </c>
      <c r="F468" s="1" t="s">
        <v>112</v>
      </c>
      <c r="G468" s="1">
        <v>190300</v>
      </c>
    </row>
    <row r="469" spans="1:7" x14ac:dyDescent="0.25">
      <c r="A469" s="1" t="str">
        <f t="shared" si="7"/>
        <v>03 Testo+ EE2 64</v>
      </c>
      <c r="B4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9" s="1" t="s">
        <v>3958</v>
      </c>
      <c r="D469" s="1" t="s">
        <v>3959</v>
      </c>
      <c r="E469" s="1" t="s">
        <v>3960</v>
      </c>
      <c r="F469" s="1" t="s">
        <v>112</v>
      </c>
      <c r="G469" s="1">
        <v>411941</v>
      </c>
    </row>
    <row r="470" spans="1:7" x14ac:dyDescent="0.25">
      <c r="A470" s="1" t="str">
        <f t="shared" si="7"/>
        <v>03 Testo+ EE2 64</v>
      </c>
      <c r="B4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0" s="1" t="s">
        <v>3961</v>
      </c>
      <c r="D470" s="1" t="s">
        <v>3962</v>
      </c>
      <c r="E470" s="1" t="s">
        <v>3963</v>
      </c>
      <c r="F470" s="1" t="s">
        <v>112</v>
      </c>
      <c r="G470" s="1">
        <v>3267736</v>
      </c>
    </row>
    <row r="471" spans="1:7" x14ac:dyDescent="0.25">
      <c r="A471" s="1" t="str">
        <f t="shared" si="7"/>
        <v>03 Testo+ EE2 64</v>
      </c>
      <c r="B4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1" s="1" t="s">
        <v>3964</v>
      </c>
      <c r="D471" s="1" t="s">
        <v>3965</v>
      </c>
      <c r="E471" s="1" t="s">
        <v>3966</v>
      </c>
      <c r="F471" s="1" t="s">
        <v>112</v>
      </c>
      <c r="G471" s="1">
        <v>2833257</v>
      </c>
    </row>
    <row r="472" spans="1:7" x14ac:dyDescent="0.25">
      <c r="A472" s="1" t="str">
        <f t="shared" si="7"/>
        <v>03 Testo+ EE2 64</v>
      </c>
      <c r="B4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2" s="1" t="s">
        <v>3967</v>
      </c>
      <c r="D472" s="1" t="s">
        <v>3602</v>
      </c>
      <c r="E472" s="1" t="s">
        <v>3968</v>
      </c>
      <c r="F472" s="1" t="s">
        <v>112</v>
      </c>
      <c r="G472" s="1">
        <v>2837128</v>
      </c>
    </row>
    <row r="473" spans="1:7" x14ac:dyDescent="0.25">
      <c r="A473" s="1" t="str">
        <f t="shared" si="7"/>
        <v>03 Testo+ EE2 64</v>
      </c>
      <c r="B4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3" s="1" t="s">
        <v>3969</v>
      </c>
      <c r="D473" s="1" t="s">
        <v>3970</v>
      </c>
      <c r="E473" s="1" t="s">
        <v>3971</v>
      </c>
      <c r="F473" s="1" t="s">
        <v>112</v>
      </c>
      <c r="G473" s="1">
        <v>4076456</v>
      </c>
    </row>
    <row r="474" spans="1:7" x14ac:dyDescent="0.25">
      <c r="A474" s="1" t="str">
        <f t="shared" si="7"/>
        <v>03 Testo+ EE2 64</v>
      </c>
      <c r="B4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4" s="1" t="s">
        <v>3972</v>
      </c>
      <c r="D474" s="1" t="s">
        <v>3973</v>
      </c>
      <c r="E474" s="1" t="s">
        <v>3974</v>
      </c>
      <c r="F474" s="1" t="s">
        <v>112</v>
      </c>
      <c r="G474" s="1">
        <v>3679115</v>
      </c>
    </row>
    <row r="475" spans="1:7" x14ac:dyDescent="0.25">
      <c r="A475" s="1" t="str">
        <f t="shared" si="7"/>
        <v>03 Testo+ EE2 64</v>
      </c>
      <c r="B4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5" s="1" t="s">
        <v>3975</v>
      </c>
      <c r="D475" s="1" t="s">
        <v>3976</v>
      </c>
      <c r="E475" s="1" t="s">
        <v>3977</v>
      </c>
      <c r="F475" s="1" t="s">
        <v>112</v>
      </c>
      <c r="G475" s="1">
        <v>3662114</v>
      </c>
    </row>
    <row r="476" spans="1:7" x14ac:dyDescent="0.25">
      <c r="A476" s="1" t="str">
        <f t="shared" si="7"/>
        <v>03 Testo+ EE2 64</v>
      </c>
      <c r="B4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6" s="1" t="s">
        <v>3978</v>
      </c>
      <c r="D476" s="1" t="s">
        <v>3979</v>
      </c>
      <c r="E476" s="1" t="s">
        <v>3980</v>
      </c>
      <c r="F476" s="1" t="s">
        <v>112</v>
      </c>
      <c r="G476" s="1">
        <v>5969375</v>
      </c>
    </row>
    <row r="477" spans="1:7" x14ac:dyDescent="0.25">
      <c r="A477" s="1" t="str">
        <f t="shared" si="7"/>
        <v>03 Testo+ EE2 64</v>
      </c>
      <c r="B4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7" s="1" t="s">
        <v>3981</v>
      </c>
    </row>
    <row r="478" spans="1:7" x14ac:dyDescent="0.25">
      <c r="A478" s="1" t="str">
        <f t="shared" si="7"/>
        <v>03 Testo+ EE2 64</v>
      </c>
      <c r="B4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8" s="1" t="s">
        <v>3982</v>
      </c>
      <c r="D478" s="1" t="s">
        <v>3983</v>
      </c>
      <c r="E478" s="1" t="s">
        <v>3984</v>
      </c>
      <c r="F478" s="1" t="s">
        <v>112</v>
      </c>
      <c r="G478" s="1">
        <v>6083170</v>
      </c>
    </row>
    <row r="479" spans="1:7" x14ac:dyDescent="0.25">
      <c r="A479" s="1" t="str">
        <f t="shared" si="7"/>
        <v>03 Testo+ EE2 64</v>
      </c>
      <c r="B4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79" s="1" t="s">
        <v>3985</v>
      </c>
      <c r="D479" s="1" t="s">
        <v>3986</v>
      </c>
      <c r="E479" s="1" t="s">
        <v>3987</v>
      </c>
      <c r="F479" s="1" t="s">
        <v>112</v>
      </c>
      <c r="G479" s="1">
        <v>5278624</v>
      </c>
    </row>
    <row r="480" spans="1:7" x14ac:dyDescent="0.25">
      <c r="A480" s="1" t="str">
        <f t="shared" si="7"/>
        <v>03 Testo+ EE2 64</v>
      </c>
      <c r="B4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80" s="1" t="s">
        <v>3988</v>
      </c>
      <c r="D480" s="1" t="s">
        <v>3989</v>
      </c>
      <c r="E480" s="1" t="s">
        <v>3990</v>
      </c>
      <c r="F480" s="1" t="s">
        <v>112</v>
      </c>
      <c r="G480" s="1">
        <v>4462204</v>
      </c>
    </row>
    <row r="481" spans="1:10" x14ac:dyDescent="0.25">
      <c r="A481" s="1" t="str">
        <f t="shared" si="7"/>
        <v>03 Testo+ EE2 64</v>
      </c>
      <c r="B4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81" s="1" t="s">
        <v>3991</v>
      </c>
      <c r="D481" s="1" t="s">
        <v>3992</v>
      </c>
      <c r="E481" s="1" t="s">
        <v>3993</v>
      </c>
      <c r="F481" s="1" t="s">
        <v>112</v>
      </c>
      <c r="G481" s="1">
        <v>5114929</v>
      </c>
    </row>
    <row r="482" spans="1:10" x14ac:dyDescent="0.25">
      <c r="A482" s="1" t="str">
        <f t="shared" si="7"/>
        <v>03 Testo+ EE2 64</v>
      </c>
      <c r="B4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2" s="1" t="s">
        <v>3994</v>
      </c>
      <c r="D482" s="1" t="s">
        <v>3917</v>
      </c>
      <c r="E482" s="1" t="s">
        <v>3995</v>
      </c>
      <c r="F482" s="1" t="s">
        <v>112</v>
      </c>
      <c r="G482" s="1">
        <v>3692742</v>
      </c>
    </row>
    <row r="483" spans="1:10" x14ac:dyDescent="0.25">
      <c r="A483" s="1" t="str">
        <f t="shared" si="7"/>
        <v>03 Testo+ EE2 64</v>
      </c>
      <c r="B4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3" s="1" t="s">
        <v>3996</v>
      </c>
      <c r="D483" s="1" t="s">
        <v>3997</v>
      </c>
      <c r="E483" s="1" t="s">
        <v>3998</v>
      </c>
      <c r="F483" s="1" t="s">
        <v>112</v>
      </c>
      <c r="G483" s="1">
        <v>3327673</v>
      </c>
    </row>
    <row r="484" spans="1:10" x14ac:dyDescent="0.25">
      <c r="A484" s="1" t="str">
        <f t="shared" si="7"/>
        <v>03 Testo+ EE2 64</v>
      </c>
      <c r="B4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4" s="1" t="s">
        <v>3999</v>
      </c>
      <c r="D484" s="1" t="s">
        <v>4000</v>
      </c>
      <c r="E484" s="1" t="s">
        <v>4001</v>
      </c>
      <c r="F484" s="1" t="s">
        <v>112</v>
      </c>
      <c r="G484" s="1">
        <v>3783069</v>
      </c>
    </row>
    <row r="485" spans="1:10" x14ac:dyDescent="0.25">
      <c r="A485" s="1" t="str">
        <f t="shared" si="7"/>
        <v>03 Testo+ EE2 64</v>
      </c>
      <c r="B4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5" s="1" t="s">
        <v>4002</v>
      </c>
      <c r="D485" s="1" t="s">
        <v>4003</v>
      </c>
      <c r="E485" s="1" t="s">
        <v>4004</v>
      </c>
      <c r="F485" s="1" t="s">
        <v>112</v>
      </c>
      <c r="G485" s="1">
        <v>4638747</v>
      </c>
    </row>
    <row r="486" spans="1:10" x14ac:dyDescent="0.25">
      <c r="A486" s="1" t="str">
        <f t="shared" si="7"/>
        <v>03 Testo+ EE2 64</v>
      </c>
      <c r="B4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6" s="1" t="s">
        <v>4005</v>
      </c>
      <c r="D486" s="1" t="s">
        <v>4006</v>
      </c>
      <c r="E486" s="1" t="s">
        <v>4007</v>
      </c>
      <c r="F486" s="1" t="s">
        <v>112</v>
      </c>
      <c r="G486" s="1">
        <v>4041438</v>
      </c>
    </row>
    <row r="487" spans="1:10" x14ac:dyDescent="0.25">
      <c r="A487" s="1" t="str">
        <f t="shared" si="7"/>
        <v>03 Testo+ EE2 64</v>
      </c>
      <c r="B4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7" s="1" t="s">
        <v>4008</v>
      </c>
      <c r="D487" s="1" t="s">
        <v>4009</v>
      </c>
      <c r="E487" s="1" t="s">
        <v>4010</v>
      </c>
      <c r="F487" s="1" t="s">
        <v>112</v>
      </c>
      <c r="G487" s="1">
        <v>3792586</v>
      </c>
    </row>
    <row r="488" spans="1:10" x14ac:dyDescent="0.25">
      <c r="A488" s="1" t="str">
        <f t="shared" si="7"/>
        <v/>
      </c>
      <c r="B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88" s="1" t="s">
        <v>112</v>
      </c>
    </row>
    <row r="489" spans="1:10" x14ac:dyDescent="0.25">
      <c r="A489" s="1" t="str">
        <f t="shared" si="7"/>
        <v/>
      </c>
      <c r="B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89" s="1" t="s">
        <v>229</v>
      </c>
      <c r="D489" s="1" t="s">
        <v>112</v>
      </c>
      <c r="E489" s="1" t="s">
        <v>230</v>
      </c>
      <c r="F489" s="1" t="s">
        <v>231</v>
      </c>
      <c r="G489" s="1" t="s">
        <v>232</v>
      </c>
      <c r="H489" s="1" t="s">
        <v>233</v>
      </c>
      <c r="I489" s="1" t="s">
        <v>234</v>
      </c>
      <c r="J489" s="1" t="s">
        <v>235</v>
      </c>
    </row>
    <row r="490" spans="1:10" x14ac:dyDescent="0.25">
      <c r="A490" s="1" t="str">
        <f t="shared" si="7"/>
        <v>03 Testo+ EE2 64</v>
      </c>
      <c r="B4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90" s="1" t="s">
        <v>4011</v>
      </c>
      <c r="D490" s="1" t="s">
        <v>112</v>
      </c>
      <c r="E490" s="1" t="s">
        <v>4012</v>
      </c>
      <c r="F490" s="1" t="s">
        <v>4013</v>
      </c>
      <c r="G490" s="1" t="s">
        <v>4014</v>
      </c>
      <c r="H490" s="1" t="s">
        <v>4015</v>
      </c>
      <c r="I490" s="1">
        <v>24</v>
      </c>
      <c r="J490" s="1">
        <v>24</v>
      </c>
    </row>
    <row r="491" spans="1:10" x14ac:dyDescent="0.25">
      <c r="A491" s="1" t="str">
        <f t="shared" si="7"/>
        <v/>
      </c>
      <c r="B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1" s="1" t="s">
        <v>112</v>
      </c>
    </row>
    <row r="492" spans="1:10" x14ac:dyDescent="0.25">
      <c r="A492" s="1" t="str">
        <f t="shared" si="7"/>
        <v/>
      </c>
      <c r="B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2" s="1" t="s">
        <v>112</v>
      </c>
    </row>
    <row r="493" spans="1:10" x14ac:dyDescent="0.25">
      <c r="A493" s="1" t="str">
        <f t="shared" si="7"/>
        <v/>
      </c>
      <c r="B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3" s="1" t="s">
        <v>112</v>
      </c>
    </row>
    <row r="494" spans="1:10" x14ac:dyDescent="0.25">
      <c r="A494" s="1" t="str">
        <f t="shared" si="7"/>
        <v/>
      </c>
      <c r="B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4" s="1" t="s">
        <v>112</v>
      </c>
    </row>
    <row r="495" spans="1:10" x14ac:dyDescent="0.25">
      <c r="A495" s="1" t="str">
        <f t="shared" si="7"/>
        <v/>
      </c>
      <c r="B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5" s="1" t="s">
        <v>112</v>
      </c>
    </row>
    <row r="496" spans="1:10" x14ac:dyDescent="0.25">
      <c r="A496" s="1" t="str">
        <f t="shared" si="7"/>
        <v/>
      </c>
      <c r="B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6" s="1" t="s">
        <v>241</v>
      </c>
      <c r="D496" s="1" t="s">
        <v>110</v>
      </c>
      <c r="E496" s="1" t="s">
        <v>111</v>
      </c>
      <c r="F496" s="1" t="s">
        <v>112</v>
      </c>
      <c r="G496" s="1" t="s">
        <v>113</v>
      </c>
    </row>
    <row r="497" spans="1:7" x14ac:dyDescent="0.25">
      <c r="A497" s="1" t="str">
        <f t="shared" si="7"/>
        <v>04 Testo+ FAD</v>
      </c>
      <c r="B4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7" s="1" t="s">
        <v>4016</v>
      </c>
      <c r="D497" s="1" t="s">
        <v>249</v>
      </c>
      <c r="E497" s="1">
        <v>65</v>
      </c>
      <c r="F497" s="1" t="s">
        <v>112</v>
      </c>
      <c r="G497" s="1">
        <v>50614</v>
      </c>
    </row>
    <row r="498" spans="1:7" x14ac:dyDescent="0.25">
      <c r="A498" s="1" t="str">
        <f t="shared" si="7"/>
        <v>04 Testo+ FAD</v>
      </c>
      <c r="B4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8" s="1" t="s">
        <v>4017</v>
      </c>
      <c r="D498" s="1" t="s">
        <v>4018</v>
      </c>
      <c r="E498" s="1" t="s">
        <v>4019</v>
      </c>
      <c r="F498" s="1" t="s">
        <v>112</v>
      </c>
      <c r="G498" s="1">
        <v>257136</v>
      </c>
    </row>
    <row r="499" spans="1:7" x14ac:dyDescent="0.25">
      <c r="A499" s="1" t="str">
        <f t="shared" si="7"/>
        <v>04 Testo+ FAD</v>
      </c>
      <c r="B4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9" s="1" t="s">
        <v>4020</v>
      </c>
      <c r="D499" s="1" t="s">
        <v>1712</v>
      </c>
      <c r="E499" s="1" t="s">
        <v>4021</v>
      </c>
      <c r="F499" s="1" t="s">
        <v>112</v>
      </c>
      <c r="G499" s="1">
        <v>180848</v>
      </c>
    </row>
    <row r="500" spans="1:7" x14ac:dyDescent="0.25">
      <c r="A500" s="1" t="str">
        <f t="shared" si="7"/>
        <v>04 Testo+ FAD</v>
      </c>
      <c r="B5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0" s="1" t="s">
        <v>4022</v>
      </c>
      <c r="D500" s="1" t="s">
        <v>345</v>
      </c>
      <c r="E500" s="1" t="s">
        <v>437</v>
      </c>
      <c r="F500" s="1" t="s">
        <v>112</v>
      </c>
      <c r="G500" s="1">
        <v>24723</v>
      </c>
    </row>
    <row r="501" spans="1:7" x14ac:dyDescent="0.25">
      <c r="A501" s="1" t="str">
        <f t="shared" si="7"/>
        <v>04 Testo+ FAD</v>
      </c>
      <c r="B5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1" s="1" t="s">
        <v>4023</v>
      </c>
      <c r="D501" s="1" t="s">
        <v>169</v>
      </c>
      <c r="E501" s="1" t="s">
        <v>4024</v>
      </c>
      <c r="F501" s="1" t="s">
        <v>112</v>
      </c>
      <c r="G501" s="1">
        <v>16222</v>
      </c>
    </row>
    <row r="502" spans="1:7" x14ac:dyDescent="0.25">
      <c r="A502" s="1" t="str">
        <f t="shared" si="7"/>
        <v>04 Testo+ FAD</v>
      </c>
      <c r="B5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2" s="1" t="s">
        <v>4025</v>
      </c>
      <c r="D502" s="1" t="s">
        <v>345</v>
      </c>
      <c r="E502" s="1" t="s">
        <v>1693</v>
      </c>
      <c r="F502" s="1" t="s">
        <v>112</v>
      </c>
      <c r="G502" s="1">
        <v>24658</v>
      </c>
    </row>
    <row r="503" spans="1:7" x14ac:dyDescent="0.25">
      <c r="A503" s="1" t="str">
        <f t="shared" si="7"/>
        <v>04 Testo+ FAD</v>
      </c>
      <c r="B5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3" s="1" t="s">
        <v>4026</v>
      </c>
      <c r="D503" s="1" t="s">
        <v>360</v>
      </c>
      <c r="E503" s="1" t="s">
        <v>4027</v>
      </c>
      <c r="F503" s="1" t="s">
        <v>112</v>
      </c>
      <c r="G503" s="1">
        <v>43173</v>
      </c>
    </row>
    <row r="504" spans="1:7" x14ac:dyDescent="0.25">
      <c r="A504" s="1" t="str">
        <f t="shared" si="7"/>
        <v>04 Testo+ FAD</v>
      </c>
      <c r="B5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4" s="1" t="s">
        <v>4028</v>
      </c>
      <c r="D504" s="1" t="s">
        <v>690</v>
      </c>
      <c r="E504" s="1" t="s">
        <v>4029</v>
      </c>
      <c r="F504" s="1" t="s">
        <v>112</v>
      </c>
      <c r="G504" s="1">
        <v>40621</v>
      </c>
    </row>
    <row r="505" spans="1:7" x14ac:dyDescent="0.25">
      <c r="A505" s="1" t="str">
        <f t="shared" si="7"/>
        <v>04 Testo+ FAD</v>
      </c>
      <c r="B5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5" s="1" t="s">
        <v>4030</v>
      </c>
      <c r="D505" s="1" t="s">
        <v>4031</v>
      </c>
      <c r="E505" s="1" t="s">
        <v>4032</v>
      </c>
      <c r="F505" s="1" t="s">
        <v>112</v>
      </c>
      <c r="G505" s="1">
        <v>100666</v>
      </c>
    </row>
    <row r="506" spans="1:7" x14ac:dyDescent="0.25">
      <c r="A506" s="1" t="str">
        <f t="shared" si="7"/>
        <v>04 Testo+ FAD</v>
      </c>
      <c r="B5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6" s="1" t="s">
        <v>4033</v>
      </c>
      <c r="D506" s="1" t="s">
        <v>2692</v>
      </c>
      <c r="E506" s="1" t="s">
        <v>4034</v>
      </c>
      <c r="F506" s="1" t="s">
        <v>112</v>
      </c>
      <c r="G506" s="1">
        <v>946567</v>
      </c>
    </row>
    <row r="507" spans="1:7" x14ac:dyDescent="0.25">
      <c r="A507" s="1" t="str">
        <f t="shared" si="7"/>
        <v>04 Testo+ FAD</v>
      </c>
      <c r="B5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7" s="1" t="s">
        <v>4035</v>
      </c>
      <c r="D507" s="1" t="s">
        <v>2972</v>
      </c>
      <c r="E507" s="1" t="s">
        <v>4036</v>
      </c>
      <c r="F507" s="1" t="s">
        <v>112</v>
      </c>
      <c r="G507" s="1">
        <v>549205</v>
      </c>
    </row>
    <row r="508" spans="1:7" x14ac:dyDescent="0.25">
      <c r="A508" s="1" t="str">
        <f t="shared" si="7"/>
        <v>04 Testo+ FAD</v>
      </c>
      <c r="B5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8" s="1" t="s">
        <v>4037</v>
      </c>
      <c r="D508" s="1" t="s">
        <v>4038</v>
      </c>
      <c r="E508" s="1" t="s">
        <v>4039</v>
      </c>
      <c r="F508" s="1" t="s">
        <v>112</v>
      </c>
      <c r="G508" s="1">
        <v>713700</v>
      </c>
    </row>
    <row r="509" spans="1:7" x14ac:dyDescent="0.25">
      <c r="A509" s="1" t="str">
        <f t="shared" si="7"/>
        <v>04 Testo+ FAD</v>
      </c>
      <c r="B5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09" s="1" t="s">
        <v>4040</v>
      </c>
      <c r="D509" s="1" t="s">
        <v>4041</v>
      </c>
      <c r="E509" s="1" t="s">
        <v>4042</v>
      </c>
      <c r="F509" s="1" t="s">
        <v>112</v>
      </c>
      <c r="G509" s="1">
        <v>616885</v>
      </c>
    </row>
    <row r="510" spans="1:7" x14ac:dyDescent="0.25">
      <c r="A510" s="1" t="str">
        <f t="shared" si="7"/>
        <v>04 Testo+ FAD</v>
      </c>
      <c r="B5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10" s="1" t="s">
        <v>4043</v>
      </c>
      <c r="D510" s="1" t="s">
        <v>1689</v>
      </c>
      <c r="E510" s="1" t="s">
        <v>4044</v>
      </c>
      <c r="F510" s="1" t="s">
        <v>112</v>
      </c>
      <c r="G510" s="1">
        <v>27383</v>
      </c>
    </row>
    <row r="511" spans="1:7" x14ac:dyDescent="0.25">
      <c r="A511" s="1" t="str">
        <f t="shared" si="7"/>
        <v>04 Testo+ FAD</v>
      </c>
      <c r="B5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11" s="1" t="s">
        <v>4045</v>
      </c>
    </row>
    <row r="512" spans="1:7" x14ac:dyDescent="0.25">
      <c r="A512" s="1" t="str">
        <f t="shared" si="7"/>
        <v>04 Testo+ FAD</v>
      </c>
      <c r="B5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2" s="1" t="s">
        <v>4046</v>
      </c>
      <c r="D512" s="1" t="s">
        <v>1692</v>
      </c>
      <c r="E512" s="1" t="s">
        <v>4047</v>
      </c>
      <c r="F512" s="1" t="s">
        <v>112</v>
      </c>
      <c r="G512" s="1">
        <v>16114</v>
      </c>
    </row>
    <row r="513" spans="1:10" x14ac:dyDescent="0.25">
      <c r="A513" s="1" t="str">
        <f t="shared" si="7"/>
        <v>04 Testo+ FAD</v>
      </c>
      <c r="B5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3" s="1" t="s">
        <v>4048</v>
      </c>
    </row>
    <row r="514" spans="1:10" x14ac:dyDescent="0.25">
      <c r="A514" s="1" t="str">
        <f t="shared" ref="A514:A577" si="8">IFERROR(LEFT(RIGHT(C514,LEN(C514)-SEARCH("@",C514)),SEARCH("/",RIGHT(C514,LEN(C514)-SEARCH("@",C514)-1))),"")</f>
        <v>04 Testo+ FAD</v>
      </c>
      <c r="B5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4" s="1" t="s">
        <v>4049</v>
      </c>
      <c r="D514" s="1" t="s">
        <v>1268</v>
      </c>
      <c r="E514" s="1" t="s">
        <v>4050</v>
      </c>
      <c r="F514" s="1" t="s">
        <v>112</v>
      </c>
      <c r="G514" s="1">
        <v>56238</v>
      </c>
    </row>
    <row r="515" spans="1:10" x14ac:dyDescent="0.25">
      <c r="A515" s="1" t="str">
        <f t="shared" si="8"/>
        <v>04 Testo+ FAD</v>
      </c>
      <c r="B5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5" s="1" t="s">
        <v>4051</v>
      </c>
      <c r="D515" s="1" t="s">
        <v>1869</v>
      </c>
      <c r="E515" s="1" t="s">
        <v>4052</v>
      </c>
      <c r="F515" s="1" t="s">
        <v>112</v>
      </c>
      <c r="G515" s="1">
        <v>500148</v>
      </c>
    </row>
    <row r="516" spans="1:10" x14ac:dyDescent="0.25">
      <c r="A516" s="1" t="str">
        <f t="shared" si="8"/>
        <v>04 Testo+ FAD</v>
      </c>
      <c r="B5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6" s="1" t="s">
        <v>4053</v>
      </c>
      <c r="D516" s="1" t="s">
        <v>1139</v>
      </c>
      <c r="E516" s="1" t="s">
        <v>4054</v>
      </c>
      <c r="F516" s="1" t="s">
        <v>112</v>
      </c>
      <c r="G516" s="1">
        <v>385618</v>
      </c>
    </row>
    <row r="517" spans="1:10" x14ac:dyDescent="0.25">
      <c r="A517" s="1" t="str">
        <f t="shared" si="8"/>
        <v>04 Testo+ FAD</v>
      </c>
      <c r="B5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7" s="1" t="s">
        <v>4055</v>
      </c>
      <c r="D517" s="1" t="s">
        <v>1256</v>
      </c>
      <c r="E517" s="1" t="s">
        <v>4056</v>
      </c>
      <c r="F517" s="1" t="s">
        <v>112</v>
      </c>
      <c r="G517" s="1">
        <v>459224</v>
      </c>
    </row>
    <row r="518" spans="1:10" x14ac:dyDescent="0.25">
      <c r="A518" s="1" t="str">
        <f t="shared" si="8"/>
        <v>04 Testo+ FAD</v>
      </c>
      <c r="B5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18" s="1" t="s">
        <v>4057</v>
      </c>
      <c r="D518" s="1" t="s">
        <v>2389</v>
      </c>
      <c r="E518" s="1" t="s">
        <v>4058</v>
      </c>
      <c r="F518" s="1" t="s">
        <v>112</v>
      </c>
      <c r="G518" s="1">
        <v>177084</v>
      </c>
    </row>
    <row r="519" spans="1:10" x14ac:dyDescent="0.25">
      <c r="A519" s="1" t="str">
        <f t="shared" si="8"/>
        <v>04 Testo+ FAD</v>
      </c>
      <c r="B5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19" s="1" t="s">
        <v>4059</v>
      </c>
      <c r="D519" s="1" t="s">
        <v>1834</v>
      </c>
      <c r="E519" s="1" t="s">
        <v>4060</v>
      </c>
      <c r="F519" s="1" t="s">
        <v>112</v>
      </c>
      <c r="G519" s="1">
        <v>300439</v>
      </c>
    </row>
    <row r="520" spans="1:10" x14ac:dyDescent="0.25">
      <c r="A520" s="1" t="str">
        <f t="shared" si="8"/>
        <v>04 Testo+ FAD</v>
      </c>
      <c r="B5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20" s="1" t="s">
        <v>4061</v>
      </c>
      <c r="D520" s="1" t="s">
        <v>2788</v>
      </c>
      <c r="E520" s="1" t="s">
        <v>4062</v>
      </c>
      <c r="F520" s="1" t="s">
        <v>112</v>
      </c>
      <c r="G520" s="1">
        <v>67702</v>
      </c>
    </row>
    <row r="521" spans="1:10" x14ac:dyDescent="0.25">
      <c r="A521" s="1" t="str">
        <f t="shared" si="8"/>
        <v/>
      </c>
      <c r="B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1" s="1" t="s">
        <v>112</v>
      </c>
    </row>
    <row r="522" spans="1:10" x14ac:dyDescent="0.25">
      <c r="A522" s="1" t="str">
        <f t="shared" si="8"/>
        <v/>
      </c>
      <c r="B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2" s="1" t="s">
        <v>229</v>
      </c>
      <c r="D522" s="1" t="s">
        <v>112</v>
      </c>
      <c r="E522" s="1" t="s">
        <v>230</v>
      </c>
      <c r="F522" s="1" t="s">
        <v>231</v>
      </c>
      <c r="G522" s="1" t="s">
        <v>232</v>
      </c>
      <c r="H522" s="1" t="s">
        <v>233</v>
      </c>
      <c r="I522" s="1" t="s">
        <v>234</v>
      </c>
      <c r="J522" s="1" t="s">
        <v>235</v>
      </c>
    </row>
    <row r="523" spans="1:10" x14ac:dyDescent="0.25">
      <c r="A523" s="1" t="str">
        <f t="shared" si="8"/>
        <v>04 Testo+ FAD</v>
      </c>
      <c r="B5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23" s="1" t="s">
        <v>4063</v>
      </c>
      <c r="D523" s="1" t="s">
        <v>112</v>
      </c>
      <c r="E523" s="1" t="s">
        <v>4064</v>
      </c>
      <c r="F523" s="1" t="s">
        <v>4065</v>
      </c>
      <c r="G523" s="1" t="s">
        <v>4066</v>
      </c>
      <c r="H523" s="1" t="s">
        <v>4067</v>
      </c>
      <c r="I523" s="1">
        <v>24</v>
      </c>
      <c r="J523" s="1">
        <v>24</v>
      </c>
    </row>
    <row r="524" spans="1:10" x14ac:dyDescent="0.25">
      <c r="A524" s="1" t="str">
        <f t="shared" si="8"/>
        <v/>
      </c>
      <c r="B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4" s="1" t="s">
        <v>112</v>
      </c>
    </row>
    <row r="525" spans="1:10" x14ac:dyDescent="0.25">
      <c r="A525" s="1" t="str">
        <f t="shared" si="8"/>
        <v/>
      </c>
      <c r="B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5" s="1" t="s">
        <v>112</v>
      </c>
    </row>
    <row r="526" spans="1:10" x14ac:dyDescent="0.25">
      <c r="A526" s="1" t="str">
        <f t="shared" si="8"/>
        <v/>
      </c>
      <c r="B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6" s="1" t="s">
        <v>112</v>
      </c>
    </row>
    <row r="527" spans="1:10" x14ac:dyDescent="0.25">
      <c r="A527" s="1" t="str">
        <f t="shared" si="8"/>
        <v/>
      </c>
      <c r="B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7" s="1" t="s">
        <v>112</v>
      </c>
    </row>
    <row r="528" spans="1:10" x14ac:dyDescent="0.25">
      <c r="A528" s="1" t="str">
        <f t="shared" si="8"/>
        <v/>
      </c>
      <c r="B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8" s="1" t="s">
        <v>112</v>
      </c>
    </row>
    <row r="529" spans="1:7" x14ac:dyDescent="0.25">
      <c r="A529" s="1" t="str">
        <f t="shared" si="8"/>
        <v/>
      </c>
      <c r="B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9" s="1" t="s">
        <v>241</v>
      </c>
      <c r="D529" s="1" t="s">
        <v>110</v>
      </c>
      <c r="E529" s="1" t="s">
        <v>111</v>
      </c>
      <c r="F529" s="1" t="s">
        <v>112</v>
      </c>
      <c r="G529" s="1" t="s">
        <v>113</v>
      </c>
    </row>
    <row r="530" spans="1:7" x14ac:dyDescent="0.25">
      <c r="A530" s="1" t="str">
        <f t="shared" si="8"/>
        <v>05 Testosterone 3.7 µg_L dopé</v>
      </c>
      <c r="B5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0" s="1" t="s">
        <v>4068</v>
      </c>
      <c r="D530" s="1" t="s">
        <v>939</v>
      </c>
      <c r="E530" s="1" t="s">
        <v>4069</v>
      </c>
      <c r="F530" s="1" t="s">
        <v>112</v>
      </c>
      <c r="G530" s="1">
        <v>1005552</v>
      </c>
    </row>
    <row r="531" spans="1:7" x14ac:dyDescent="0.25">
      <c r="A531" s="1" t="str">
        <f t="shared" si="8"/>
        <v>05 Testosterone 3.7 µg_L dopé</v>
      </c>
      <c r="B5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1" s="1" t="s">
        <v>4070</v>
      </c>
    </row>
    <row r="532" spans="1:7" x14ac:dyDescent="0.25">
      <c r="A532" s="1" t="str">
        <f t="shared" si="8"/>
        <v>05 Testosterone 3.7 µg_L dopé</v>
      </c>
      <c r="B5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2" s="1" t="s">
        <v>4071</v>
      </c>
      <c r="D532" s="1" t="s">
        <v>4072</v>
      </c>
      <c r="E532" s="1" t="s">
        <v>4073</v>
      </c>
      <c r="F532" s="1" t="s">
        <v>112</v>
      </c>
      <c r="G532" s="1">
        <v>1076931</v>
      </c>
    </row>
    <row r="533" spans="1:7" x14ac:dyDescent="0.25">
      <c r="A533" s="1" t="str">
        <f t="shared" si="8"/>
        <v>05 Testosterone 3.7 µg_L dopé</v>
      </c>
      <c r="B5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3" s="1" t="s">
        <v>4074</v>
      </c>
      <c r="D533" s="1" t="s">
        <v>4075</v>
      </c>
      <c r="E533" s="1" t="s">
        <v>4076</v>
      </c>
      <c r="F533" s="1" t="s">
        <v>112</v>
      </c>
      <c r="G533" s="1">
        <v>2703477</v>
      </c>
    </row>
    <row r="534" spans="1:7" x14ac:dyDescent="0.25">
      <c r="A534" s="1" t="str">
        <f t="shared" si="8"/>
        <v>05 Testosterone 3.7 µg_L dopé</v>
      </c>
      <c r="B5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4" s="1" t="s">
        <v>4077</v>
      </c>
    </row>
    <row r="535" spans="1:7" x14ac:dyDescent="0.25">
      <c r="A535" s="1" t="str">
        <f t="shared" si="8"/>
        <v>05 Testosterone 3.7 µg_L dopé</v>
      </c>
      <c r="B5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5" s="1" t="s">
        <v>4078</v>
      </c>
      <c r="D535" s="1" t="s">
        <v>4079</v>
      </c>
      <c r="E535" s="1" t="s">
        <v>4080</v>
      </c>
      <c r="F535" s="1" t="s">
        <v>112</v>
      </c>
      <c r="G535" s="1">
        <v>2679793</v>
      </c>
    </row>
    <row r="536" spans="1:7" x14ac:dyDescent="0.25">
      <c r="A536" s="1" t="str">
        <f t="shared" si="8"/>
        <v>05 Testosterone 3.7 µg_L dopé</v>
      </c>
      <c r="B5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6" s="1" t="s">
        <v>4081</v>
      </c>
      <c r="D536" s="1" t="s">
        <v>2371</v>
      </c>
      <c r="E536" s="1" t="s">
        <v>4082</v>
      </c>
      <c r="F536" s="1" t="s">
        <v>112</v>
      </c>
      <c r="G536" s="1">
        <v>2233308</v>
      </c>
    </row>
    <row r="537" spans="1:7" x14ac:dyDescent="0.25">
      <c r="A537" s="1" t="str">
        <f t="shared" si="8"/>
        <v>05 Testosterone 3.7 µg_L dopé</v>
      </c>
      <c r="B5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7" s="1" t="s">
        <v>4083</v>
      </c>
      <c r="D537" s="1" t="s">
        <v>4084</v>
      </c>
      <c r="E537" s="1" t="s">
        <v>4085</v>
      </c>
      <c r="F537" s="1" t="s">
        <v>112</v>
      </c>
      <c r="G537" s="1">
        <v>2184403</v>
      </c>
    </row>
    <row r="538" spans="1:7" x14ac:dyDescent="0.25">
      <c r="A538" s="1" t="str">
        <f t="shared" si="8"/>
        <v>05 Testosterone 3.7 µg_L dopé</v>
      </c>
      <c r="B5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8" s="1" t="s">
        <v>4086</v>
      </c>
      <c r="D538" s="1" t="s">
        <v>1293</v>
      </c>
      <c r="E538" s="1" t="s">
        <v>4087</v>
      </c>
      <c r="F538" s="1" t="s">
        <v>112</v>
      </c>
      <c r="G538" s="1">
        <v>1431402</v>
      </c>
    </row>
    <row r="539" spans="1:7" x14ac:dyDescent="0.25">
      <c r="A539" s="1" t="str">
        <f t="shared" si="8"/>
        <v>05 Testosterone 3.7 µg_L dopé</v>
      </c>
      <c r="B5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39" s="1" t="s">
        <v>4088</v>
      </c>
      <c r="D539" s="1" t="s">
        <v>1332</v>
      </c>
      <c r="E539" s="1" t="s">
        <v>4089</v>
      </c>
      <c r="F539" s="1" t="s">
        <v>112</v>
      </c>
      <c r="G539" s="1">
        <v>2942077</v>
      </c>
    </row>
    <row r="540" spans="1:7" x14ac:dyDescent="0.25">
      <c r="A540" s="1" t="str">
        <f t="shared" si="8"/>
        <v>05 Testosterone 3.7 µg_L dopé</v>
      </c>
      <c r="B5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40" s="1" t="s">
        <v>4090</v>
      </c>
      <c r="D540" s="1" t="s">
        <v>4091</v>
      </c>
      <c r="E540" s="1" t="s">
        <v>4092</v>
      </c>
      <c r="F540" s="1" t="s">
        <v>112</v>
      </c>
      <c r="G540" s="1">
        <v>2441258</v>
      </c>
    </row>
    <row r="541" spans="1:7" x14ac:dyDescent="0.25">
      <c r="A541" s="1" t="str">
        <f t="shared" si="8"/>
        <v>05 Testosterone 3.7 µg_L dopé</v>
      </c>
      <c r="B5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41" s="1" t="s">
        <v>4093</v>
      </c>
      <c r="D541" s="1" t="s">
        <v>1038</v>
      </c>
      <c r="E541" s="1" t="s">
        <v>4094</v>
      </c>
      <c r="F541" s="1" t="s">
        <v>112</v>
      </c>
      <c r="G541" s="1">
        <v>2429600</v>
      </c>
    </row>
    <row r="542" spans="1:7" x14ac:dyDescent="0.25">
      <c r="A542" s="1" t="str">
        <f t="shared" si="8"/>
        <v>05 Testosterone 3.7 µg_L dopé</v>
      </c>
      <c r="B5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2" s="1" t="s">
        <v>4095</v>
      </c>
      <c r="D542" s="1" t="s">
        <v>4096</v>
      </c>
      <c r="E542" s="1" t="s">
        <v>4097</v>
      </c>
      <c r="F542" s="1" t="s">
        <v>112</v>
      </c>
      <c r="G542" s="1">
        <v>4237729</v>
      </c>
    </row>
    <row r="543" spans="1:7" x14ac:dyDescent="0.25">
      <c r="A543" s="1" t="str">
        <f t="shared" si="8"/>
        <v>05 Testosterone 3.7 µg_L dopé</v>
      </c>
      <c r="B5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3" s="1" t="s">
        <v>4098</v>
      </c>
      <c r="D543" s="1" t="s">
        <v>4099</v>
      </c>
      <c r="E543" s="1" t="s">
        <v>4100</v>
      </c>
      <c r="F543" s="1" t="s">
        <v>112</v>
      </c>
      <c r="G543" s="1">
        <v>3955870</v>
      </c>
    </row>
    <row r="544" spans="1:7" x14ac:dyDescent="0.25">
      <c r="A544" s="1" t="str">
        <f t="shared" si="8"/>
        <v>05 Testosterone 3.7 µg_L dopé</v>
      </c>
      <c r="B5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4" s="1" t="s">
        <v>4101</v>
      </c>
      <c r="D544" s="1" t="s">
        <v>4102</v>
      </c>
      <c r="E544" s="1" t="s">
        <v>4103</v>
      </c>
      <c r="F544" s="1" t="s">
        <v>112</v>
      </c>
      <c r="G544" s="1">
        <v>4003758</v>
      </c>
    </row>
    <row r="545" spans="1:10" x14ac:dyDescent="0.25">
      <c r="A545" s="1" t="str">
        <f t="shared" si="8"/>
        <v>05 Testosterone 3.7 µg_L dopé</v>
      </c>
      <c r="B5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5" s="1" t="s">
        <v>4104</v>
      </c>
      <c r="D545" s="1" t="s">
        <v>765</v>
      </c>
      <c r="E545" s="1" t="s">
        <v>4105</v>
      </c>
      <c r="F545" s="1" t="s">
        <v>112</v>
      </c>
      <c r="G545" s="1">
        <v>29135</v>
      </c>
    </row>
    <row r="546" spans="1:10" x14ac:dyDescent="0.25">
      <c r="A546" s="1" t="str">
        <f t="shared" si="8"/>
        <v>05 Testosterone 3.7 µg_L dopé</v>
      </c>
      <c r="B5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6" s="1" t="s">
        <v>4106</v>
      </c>
    </row>
    <row r="547" spans="1:10" x14ac:dyDescent="0.25">
      <c r="A547" s="1" t="str">
        <f t="shared" si="8"/>
        <v>05 Testosterone 3.7 µg_L dopé</v>
      </c>
      <c r="B5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7" s="1" t="s">
        <v>4107</v>
      </c>
      <c r="D547" s="1" t="s">
        <v>436</v>
      </c>
      <c r="E547" s="1" t="s">
        <v>4108</v>
      </c>
      <c r="F547" s="1" t="s">
        <v>112</v>
      </c>
      <c r="G547" s="1">
        <v>72914</v>
      </c>
    </row>
    <row r="548" spans="1:10" x14ac:dyDescent="0.25">
      <c r="A548" s="1" t="str">
        <f t="shared" si="8"/>
        <v>05 Testosterone 3.7 µg_L dopé</v>
      </c>
      <c r="B5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8" s="1" t="s">
        <v>4109</v>
      </c>
      <c r="D548" s="1" t="s">
        <v>338</v>
      </c>
      <c r="E548" s="1" t="s">
        <v>4110</v>
      </c>
      <c r="F548" s="1" t="s">
        <v>112</v>
      </c>
      <c r="G548" s="1">
        <v>132094</v>
      </c>
    </row>
    <row r="549" spans="1:10" x14ac:dyDescent="0.25">
      <c r="A549" s="1" t="str">
        <f t="shared" si="8"/>
        <v>05 Testosterone 3.7 µg_L dopé</v>
      </c>
      <c r="B5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9" s="1" t="s">
        <v>4111</v>
      </c>
    </row>
    <row r="550" spans="1:10" x14ac:dyDescent="0.25">
      <c r="A550" s="1" t="str">
        <f t="shared" si="8"/>
        <v>05 Testosterone 3.7 µg_L dopé</v>
      </c>
      <c r="B5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50" s="1" t="s">
        <v>4112</v>
      </c>
      <c r="D550" s="1" t="s">
        <v>2168</v>
      </c>
      <c r="E550" s="1" t="s">
        <v>4113</v>
      </c>
      <c r="F550" s="1" t="s">
        <v>112</v>
      </c>
      <c r="G550" s="1">
        <v>141265</v>
      </c>
    </row>
    <row r="551" spans="1:10" x14ac:dyDescent="0.25">
      <c r="A551" s="1" t="str">
        <f t="shared" si="8"/>
        <v>05 Testosterone 3.7 µg_L dopé</v>
      </c>
      <c r="B5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1" s="1" t="s">
        <v>4114</v>
      </c>
      <c r="D551" s="1" t="s">
        <v>3048</v>
      </c>
      <c r="E551" s="1" t="s">
        <v>4115</v>
      </c>
      <c r="F551" s="1" t="s">
        <v>112</v>
      </c>
      <c r="G551" s="1">
        <v>821287</v>
      </c>
    </row>
    <row r="552" spans="1:10" x14ac:dyDescent="0.25">
      <c r="A552" s="1" t="str">
        <f t="shared" si="8"/>
        <v>05 Testosterone 3.7 µg_L dopé</v>
      </c>
      <c r="B5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2" s="1" t="s">
        <v>4116</v>
      </c>
      <c r="D552" s="1" t="s">
        <v>4117</v>
      </c>
      <c r="E552" s="1" t="s">
        <v>4118</v>
      </c>
      <c r="F552" s="1" t="s">
        <v>112</v>
      </c>
      <c r="G552" s="1">
        <v>607692</v>
      </c>
    </row>
    <row r="553" spans="1:10" x14ac:dyDescent="0.25">
      <c r="A553" s="1" t="str">
        <f t="shared" si="8"/>
        <v>05 Testosterone 3.7 µg_L dopé</v>
      </c>
      <c r="B5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3" s="1" t="s">
        <v>4119</v>
      </c>
      <c r="D553" s="1" t="s">
        <v>2952</v>
      </c>
      <c r="E553" s="1" t="s">
        <v>4120</v>
      </c>
      <c r="F553" s="1" t="s">
        <v>112</v>
      </c>
      <c r="G553" s="1">
        <v>550892</v>
      </c>
    </row>
    <row r="554" spans="1:10" x14ac:dyDescent="0.25">
      <c r="A554" s="1" t="str">
        <f t="shared" si="8"/>
        <v/>
      </c>
      <c r="B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4" s="1" t="s">
        <v>112</v>
      </c>
    </row>
    <row r="555" spans="1:10" x14ac:dyDescent="0.25">
      <c r="A555" s="1" t="str">
        <f t="shared" si="8"/>
        <v/>
      </c>
      <c r="B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5" s="1" t="s">
        <v>229</v>
      </c>
      <c r="D555" s="1" t="s">
        <v>112</v>
      </c>
      <c r="E555" s="1" t="s">
        <v>230</v>
      </c>
      <c r="F555" s="1" t="s">
        <v>231</v>
      </c>
      <c r="G555" s="1" t="s">
        <v>232</v>
      </c>
      <c r="H555" s="1" t="s">
        <v>233</v>
      </c>
      <c r="I555" s="1" t="s">
        <v>234</v>
      </c>
      <c r="J555" s="1" t="s">
        <v>235</v>
      </c>
    </row>
    <row r="556" spans="1:10" x14ac:dyDescent="0.25">
      <c r="A556" s="1" t="str">
        <f t="shared" si="8"/>
        <v>05 Testosterone 3.7 µg_L dopé</v>
      </c>
      <c r="B5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56" s="1" t="s">
        <v>4121</v>
      </c>
      <c r="D556" s="1" t="s">
        <v>112</v>
      </c>
      <c r="E556" s="1" t="s">
        <v>4122</v>
      </c>
      <c r="F556" s="1" t="s">
        <v>4123</v>
      </c>
      <c r="G556" s="1" t="s">
        <v>4124</v>
      </c>
      <c r="H556" s="1" t="s">
        <v>4125</v>
      </c>
      <c r="I556" s="1">
        <v>24</v>
      </c>
      <c r="J556" s="1">
        <v>24</v>
      </c>
    </row>
    <row r="557" spans="1:10" x14ac:dyDescent="0.25">
      <c r="A557" s="1" t="str">
        <f t="shared" si="8"/>
        <v/>
      </c>
      <c r="B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7" s="1" t="s">
        <v>112</v>
      </c>
    </row>
    <row r="558" spans="1:10" x14ac:dyDescent="0.25">
      <c r="A558" s="1" t="str">
        <f t="shared" si="8"/>
        <v/>
      </c>
      <c r="B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8" s="1" t="s">
        <v>112</v>
      </c>
    </row>
    <row r="559" spans="1:10" x14ac:dyDescent="0.25">
      <c r="A559" s="1" t="str">
        <f t="shared" si="8"/>
        <v/>
      </c>
      <c r="B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9" s="1" t="s">
        <v>112</v>
      </c>
    </row>
    <row r="560" spans="1:10" x14ac:dyDescent="0.25">
      <c r="A560" s="1" t="str">
        <f t="shared" si="8"/>
        <v/>
      </c>
      <c r="B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0" s="1" t="s">
        <v>112</v>
      </c>
    </row>
    <row r="561" spans="1:7" x14ac:dyDescent="0.25">
      <c r="A561" s="1" t="str">
        <f t="shared" si="8"/>
        <v/>
      </c>
      <c r="B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1" s="1" t="s">
        <v>112</v>
      </c>
    </row>
    <row r="562" spans="1:7" x14ac:dyDescent="0.25">
      <c r="A562" s="1" t="str">
        <f t="shared" si="8"/>
        <v/>
      </c>
      <c r="B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2" s="1" t="s">
        <v>241</v>
      </c>
      <c r="D562" s="1" t="s">
        <v>110</v>
      </c>
      <c r="E562" s="1" t="s">
        <v>111</v>
      </c>
      <c r="F562" s="1" t="s">
        <v>112</v>
      </c>
      <c r="G562" s="1" t="s">
        <v>113</v>
      </c>
    </row>
    <row r="563" spans="1:7" x14ac:dyDescent="0.25">
      <c r="A563" s="1" t="str">
        <f t="shared" si="8"/>
        <v>06  Testosterone 11 µg_Ldopé</v>
      </c>
      <c r="B56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3" s="1" t="s">
        <v>4126</v>
      </c>
      <c r="D563" s="1" t="s">
        <v>342</v>
      </c>
      <c r="E563" s="1" t="s">
        <v>4127</v>
      </c>
      <c r="F563" s="1" t="s">
        <v>112</v>
      </c>
      <c r="G563" s="1">
        <v>61277</v>
      </c>
    </row>
    <row r="564" spans="1:7" x14ac:dyDescent="0.25">
      <c r="A564" s="1" t="str">
        <f t="shared" si="8"/>
        <v>06  Testosterone 11 µg_Ldopé</v>
      </c>
      <c r="B5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4" s="1" t="s">
        <v>4128</v>
      </c>
      <c r="D564" s="1" t="s">
        <v>301</v>
      </c>
      <c r="E564" s="1" t="s">
        <v>4129</v>
      </c>
      <c r="F564" s="1" t="s">
        <v>112</v>
      </c>
      <c r="G564" s="1">
        <v>120738</v>
      </c>
    </row>
    <row r="565" spans="1:7" x14ac:dyDescent="0.25">
      <c r="A565" s="1" t="str">
        <f t="shared" si="8"/>
        <v>06  Testosterone 11 µg_Ldopé</v>
      </c>
      <c r="B5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5" s="1" t="s">
        <v>4130</v>
      </c>
      <c r="D565" s="1" t="s">
        <v>289</v>
      </c>
      <c r="E565" s="1" t="s">
        <v>4131</v>
      </c>
      <c r="F565" s="1" t="s">
        <v>112</v>
      </c>
      <c r="G565" s="1">
        <v>9798</v>
      </c>
    </row>
    <row r="566" spans="1:7" x14ac:dyDescent="0.25">
      <c r="A566" s="1" t="str">
        <f t="shared" si="8"/>
        <v>06  Testosterone 11 µg_Ldopé</v>
      </c>
      <c r="B5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6" s="1" t="s">
        <v>4132</v>
      </c>
      <c r="D566" s="1" t="s">
        <v>4133</v>
      </c>
      <c r="E566" s="1" t="s">
        <v>4134</v>
      </c>
      <c r="F566" s="1" t="s">
        <v>112</v>
      </c>
      <c r="G566" s="1">
        <v>478907</v>
      </c>
    </row>
    <row r="567" spans="1:7" x14ac:dyDescent="0.25">
      <c r="A567" s="1" t="str">
        <f t="shared" si="8"/>
        <v>06  Testosterone 11 µg_Ldopé</v>
      </c>
      <c r="B5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7" s="1" t="s">
        <v>4135</v>
      </c>
      <c r="D567" s="1" t="s">
        <v>4136</v>
      </c>
      <c r="E567" s="1" t="s">
        <v>4137</v>
      </c>
      <c r="F567" s="1" t="s">
        <v>112</v>
      </c>
      <c r="G567" s="1">
        <v>475966</v>
      </c>
    </row>
    <row r="568" spans="1:7" x14ac:dyDescent="0.25">
      <c r="A568" s="1" t="str">
        <f t="shared" si="8"/>
        <v>06  Testosterone 11 µg_Ldopé</v>
      </c>
      <c r="B5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8" s="1" t="s">
        <v>4138</v>
      </c>
      <c r="D568" s="1" t="s">
        <v>4139</v>
      </c>
      <c r="E568" s="1" t="s">
        <v>4140</v>
      </c>
      <c r="F568" s="1" t="s">
        <v>112</v>
      </c>
      <c r="G568" s="1">
        <v>660426</v>
      </c>
    </row>
    <row r="569" spans="1:7" x14ac:dyDescent="0.25">
      <c r="A569" s="1" t="str">
        <f t="shared" si="8"/>
        <v>06  Testosterone 11 µg_Ldopé</v>
      </c>
      <c r="B5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69" s="1" t="s">
        <v>4141</v>
      </c>
      <c r="D569" s="1" t="s">
        <v>4142</v>
      </c>
      <c r="E569" s="1" t="s">
        <v>4143</v>
      </c>
      <c r="F569" s="1" t="s">
        <v>112</v>
      </c>
      <c r="G569" s="1">
        <v>198649</v>
      </c>
    </row>
    <row r="570" spans="1:7" x14ac:dyDescent="0.25">
      <c r="A570" s="1" t="str">
        <f t="shared" si="8"/>
        <v>06  Testosterone 11 µg_Ldopé</v>
      </c>
      <c r="B5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70" s="1" t="s">
        <v>4144</v>
      </c>
      <c r="D570" s="1" t="s">
        <v>2255</v>
      </c>
      <c r="E570" s="1" t="s">
        <v>4145</v>
      </c>
      <c r="F570" s="1" t="s">
        <v>112</v>
      </c>
      <c r="G570" s="1">
        <v>109036</v>
      </c>
    </row>
    <row r="571" spans="1:7" x14ac:dyDescent="0.25">
      <c r="A571" s="1" t="str">
        <f t="shared" si="8"/>
        <v>06  Testosterone 11 µg_Ldopé</v>
      </c>
      <c r="B5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71" s="1" t="s">
        <v>4146</v>
      </c>
      <c r="D571" s="1" t="s">
        <v>3112</v>
      </c>
      <c r="E571" s="1" t="s">
        <v>4147</v>
      </c>
      <c r="F571" s="1" t="s">
        <v>112</v>
      </c>
      <c r="G571" s="1">
        <v>38371</v>
      </c>
    </row>
    <row r="572" spans="1:7" x14ac:dyDescent="0.25">
      <c r="A572" s="1" t="str">
        <f t="shared" si="8"/>
        <v>06  Testosterone 11 µg_Ldopé</v>
      </c>
      <c r="B5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2" s="1" t="s">
        <v>4148</v>
      </c>
      <c r="D572" s="1" t="s">
        <v>2723</v>
      </c>
      <c r="E572" s="1" t="s">
        <v>4149</v>
      </c>
      <c r="F572" s="1" t="s">
        <v>112</v>
      </c>
      <c r="G572" s="1">
        <v>245110</v>
      </c>
    </row>
    <row r="573" spans="1:7" x14ac:dyDescent="0.25">
      <c r="A573" s="1" t="str">
        <f t="shared" si="8"/>
        <v>06  Testosterone 11 µg_Ldopé</v>
      </c>
      <c r="B5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3" s="1" t="s">
        <v>4150</v>
      </c>
      <c r="D573" s="1" t="s">
        <v>700</v>
      </c>
      <c r="E573" s="1" t="s">
        <v>4151</v>
      </c>
      <c r="F573" s="1" t="s">
        <v>112</v>
      </c>
      <c r="G573" s="1">
        <v>174229</v>
      </c>
    </row>
    <row r="574" spans="1:7" x14ac:dyDescent="0.25">
      <c r="A574" s="1" t="str">
        <f t="shared" si="8"/>
        <v>06  Testosterone 11 µg_Ldopé</v>
      </c>
      <c r="B5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4" s="1" t="s">
        <v>4152</v>
      </c>
      <c r="D574" s="1" t="s">
        <v>4153</v>
      </c>
      <c r="E574" s="1" t="s">
        <v>4154</v>
      </c>
      <c r="F574" s="1" t="s">
        <v>112</v>
      </c>
      <c r="G574" s="1">
        <v>238253</v>
      </c>
    </row>
    <row r="575" spans="1:7" x14ac:dyDescent="0.25">
      <c r="A575" s="1" t="str">
        <f t="shared" si="8"/>
        <v>06  Testosterone 11 µg_Ldopé</v>
      </c>
      <c r="B5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5" s="1" t="s">
        <v>4155</v>
      </c>
      <c r="D575" s="1" t="s">
        <v>4156</v>
      </c>
      <c r="E575" s="1" t="s">
        <v>4157</v>
      </c>
      <c r="F575" s="1" t="s">
        <v>112</v>
      </c>
      <c r="G575" s="1">
        <v>2955314</v>
      </c>
    </row>
    <row r="576" spans="1:7" x14ac:dyDescent="0.25">
      <c r="A576" s="1" t="str">
        <f t="shared" si="8"/>
        <v>06  Testosterone 11 µg_Ldopé</v>
      </c>
      <c r="B5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6" s="1" t="s">
        <v>4158</v>
      </c>
      <c r="D576" s="1" t="s">
        <v>4159</v>
      </c>
      <c r="E576" s="1" t="s">
        <v>4160</v>
      </c>
      <c r="F576" s="1" t="s">
        <v>112</v>
      </c>
      <c r="G576" s="1">
        <v>3487756</v>
      </c>
    </row>
    <row r="577" spans="1:10" x14ac:dyDescent="0.25">
      <c r="A577" s="1" t="str">
        <f t="shared" si="8"/>
        <v>06  Testosterone 11 µg_Ldopé</v>
      </c>
      <c r="B5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7" s="1" t="s">
        <v>4161</v>
      </c>
      <c r="D577" s="1" t="s">
        <v>4162</v>
      </c>
      <c r="E577" s="1" t="s">
        <v>4163</v>
      </c>
      <c r="F577" s="1" t="s">
        <v>112</v>
      </c>
      <c r="G577" s="1">
        <v>3072029</v>
      </c>
    </row>
    <row r="578" spans="1:10" x14ac:dyDescent="0.25">
      <c r="A578" s="1" t="str">
        <f t="shared" ref="A578:A641" si="9">IFERROR(LEFT(RIGHT(C578,LEN(C578)-SEARCH("@",C578)),SEARCH("/",RIGHT(C578,LEN(C578)-SEARCH("@",C578)-1))),"")</f>
        <v>06  Testosterone 11 µg_Ldopé</v>
      </c>
      <c r="B5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78" s="1" t="s">
        <v>4164</v>
      </c>
      <c r="D578" s="1" t="s">
        <v>4165</v>
      </c>
      <c r="E578" s="1" t="s">
        <v>4166</v>
      </c>
      <c r="F578" s="1" t="s">
        <v>112</v>
      </c>
      <c r="G578" s="1">
        <v>1782844</v>
      </c>
    </row>
    <row r="579" spans="1:10" x14ac:dyDescent="0.25">
      <c r="A579" s="1" t="str">
        <f t="shared" si="9"/>
        <v>06  Testosterone 11 µg_Ldopé</v>
      </c>
      <c r="B5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79" s="1" t="s">
        <v>4167</v>
      </c>
      <c r="D579" s="1" t="s">
        <v>2380</v>
      </c>
      <c r="E579" s="1" t="s">
        <v>4168</v>
      </c>
      <c r="F579" s="1" t="s">
        <v>112</v>
      </c>
      <c r="G579" s="1">
        <v>1958933</v>
      </c>
    </row>
    <row r="580" spans="1:10" x14ac:dyDescent="0.25">
      <c r="A580" s="1" t="str">
        <f t="shared" si="9"/>
        <v>06  Testosterone 11 µg_Ldopé</v>
      </c>
      <c r="B5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80" s="1" t="s">
        <v>4169</v>
      </c>
      <c r="D580" s="1" t="s">
        <v>4170</v>
      </c>
      <c r="E580" s="1" t="s">
        <v>4171</v>
      </c>
      <c r="F580" s="1" t="s">
        <v>112</v>
      </c>
      <c r="G580" s="1">
        <v>1785699</v>
      </c>
    </row>
    <row r="581" spans="1:10" x14ac:dyDescent="0.25">
      <c r="A581" s="1" t="str">
        <f t="shared" si="9"/>
        <v>06  Testosterone 11 µg_Ldopé</v>
      </c>
      <c r="B5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1" s="1" t="s">
        <v>4172</v>
      </c>
      <c r="D581" s="1" t="s">
        <v>298</v>
      </c>
      <c r="E581" s="1" t="s">
        <v>4173</v>
      </c>
      <c r="F581" s="1" t="s">
        <v>112</v>
      </c>
      <c r="G581" s="1">
        <v>273034</v>
      </c>
    </row>
    <row r="582" spans="1:10" x14ac:dyDescent="0.25">
      <c r="A582" s="1" t="str">
        <f t="shared" si="9"/>
        <v>06  Testosterone 11 µg_Ldopé</v>
      </c>
      <c r="B5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2" s="1" t="s">
        <v>4174</v>
      </c>
      <c r="D582" s="1" t="s">
        <v>4175</v>
      </c>
      <c r="E582" s="1" t="s">
        <v>4176</v>
      </c>
      <c r="F582" s="1" t="s">
        <v>112</v>
      </c>
      <c r="G582" s="1">
        <v>150609</v>
      </c>
    </row>
    <row r="583" spans="1:10" x14ac:dyDescent="0.25">
      <c r="A583" s="1" t="str">
        <f t="shared" si="9"/>
        <v>06  Testosterone 11 µg_Ldopé</v>
      </c>
      <c r="B5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3" s="1" t="s">
        <v>4177</v>
      </c>
      <c r="D583" s="1" t="s">
        <v>166</v>
      </c>
      <c r="E583" s="1" t="s">
        <v>4178</v>
      </c>
      <c r="F583" s="1" t="s">
        <v>112</v>
      </c>
      <c r="G583" s="1">
        <v>175894</v>
      </c>
    </row>
    <row r="584" spans="1:10" x14ac:dyDescent="0.25">
      <c r="A584" s="1" t="str">
        <f t="shared" si="9"/>
        <v>06  Testosterone 11 µg_Ldopé</v>
      </c>
      <c r="B5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4" s="1" t="s">
        <v>4179</v>
      </c>
      <c r="D584" s="1" t="s">
        <v>3575</v>
      </c>
      <c r="E584" s="1" t="s">
        <v>4180</v>
      </c>
      <c r="F584" s="1" t="s">
        <v>112</v>
      </c>
      <c r="G584" s="1">
        <v>654629</v>
      </c>
    </row>
    <row r="585" spans="1:10" x14ac:dyDescent="0.25">
      <c r="A585" s="1" t="str">
        <f t="shared" si="9"/>
        <v>06  Testosterone 11 µg_Ldopé</v>
      </c>
      <c r="B5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5" s="1" t="s">
        <v>4181</v>
      </c>
      <c r="D585" s="1" t="s">
        <v>4182</v>
      </c>
      <c r="E585" s="1" t="s">
        <v>4183</v>
      </c>
      <c r="F585" s="1" t="s">
        <v>112</v>
      </c>
      <c r="G585" s="1">
        <v>350080</v>
      </c>
    </row>
    <row r="586" spans="1:10" x14ac:dyDescent="0.25">
      <c r="A586" s="1" t="str">
        <f t="shared" si="9"/>
        <v>06  Testosterone 11 µg_Ldopé</v>
      </c>
      <c r="B5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6" s="1" t="s">
        <v>4184</v>
      </c>
      <c r="D586" s="1" t="s">
        <v>4185</v>
      </c>
      <c r="E586" s="1" t="s">
        <v>4186</v>
      </c>
      <c r="F586" s="1" t="s">
        <v>112</v>
      </c>
      <c r="G586" s="1">
        <v>531122</v>
      </c>
    </row>
    <row r="587" spans="1:10" x14ac:dyDescent="0.25">
      <c r="A587" s="1" t="str">
        <f t="shared" si="9"/>
        <v/>
      </c>
      <c r="B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87" s="1" t="s">
        <v>112</v>
      </c>
    </row>
    <row r="588" spans="1:10" x14ac:dyDescent="0.25">
      <c r="A588" s="1" t="str">
        <f t="shared" si="9"/>
        <v/>
      </c>
      <c r="B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88" s="1" t="s">
        <v>229</v>
      </c>
      <c r="D588" s="1" t="s">
        <v>112</v>
      </c>
      <c r="E588" s="1" t="s">
        <v>230</v>
      </c>
      <c r="F588" s="1" t="s">
        <v>231</v>
      </c>
      <c r="G588" s="1" t="s">
        <v>232</v>
      </c>
      <c r="H588" s="1" t="s">
        <v>233</v>
      </c>
      <c r="I588" s="1" t="s">
        <v>234</v>
      </c>
      <c r="J588" s="1" t="s">
        <v>235</v>
      </c>
    </row>
    <row r="589" spans="1:10" x14ac:dyDescent="0.25">
      <c r="A589" s="1" t="str">
        <f t="shared" si="9"/>
        <v>06  Testosterone 11 µg_Ldopé</v>
      </c>
      <c r="B5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89" s="1" t="s">
        <v>4187</v>
      </c>
      <c r="D589" s="1" t="s">
        <v>112</v>
      </c>
      <c r="E589" s="1" t="s">
        <v>4188</v>
      </c>
      <c r="F589" s="1" t="s">
        <v>4189</v>
      </c>
      <c r="G589" s="1" t="s">
        <v>4190</v>
      </c>
      <c r="H589" s="1" t="s">
        <v>4191</v>
      </c>
      <c r="I589" s="1">
        <v>24</v>
      </c>
      <c r="J589" s="1">
        <v>24</v>
      </c>
    </row>
    <row r="590" spans="1:10" x14ac:dyDescent="0.25">
      <c r="A590" s="1" t="str">
        <f t="shared" si="9"/>
        <v/>
      </c>
      <c r="B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0" s="1" t="s">
        <v>112</v>
      </c>
    </row>
    <row r="591" spans="1:10" x14ac:dyDescent="0.25">
      <c r="A591" s="1" t="str">
        <f t="shared" si="9"/>
        <v/>
      </c>
      <c r="B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1" s="1" t="s">
        <v>112</v>
      </c>
    </row>
    <row r="592" spans="1:10" x14ac:dyDescent="0.25">
      <c r="A592" s="1" t="str">
        <f t="shared" si="9"/>
        <v/>
      </c>
      <c r="B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2" s="1" t="s">
        <v>112</v>
      </c>
    </row>
    <row r="593" spans="1:7" x14ac:dyDescent="0.25">
      <c r="A593" s="1" t="str">
        <f t="shared" si="9"/>
        <v/>
      </c>
      <c r="B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3" s="1" t="s">
        <v>112</v>
      </c>
    </row>
    <row r="594" spans="1:7" x14ac:dyDescent="0.25">
      <c r="A594" s="1" t="str">
        <f t="shared" si="9"/>
        <v/>
      </c>
      <c r="B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4" s="1" t="s">
        <v>112</v>
      </c>
    </row>
    <row r="595" spans="1:7" x14ac:dyDescent="0.25">
      <c r="A595" s="1" t="str">
        <f t="shared" si="9"/>
        <v/>
      </c>
      <c r="B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5" s="1" t="s">
        <v>241</v>
      </c>
      <c r="D595" s="1" t="s">
        <v>110</v>
      </c>
      <c r="E595" s="1" t="s">
        <v>111</v>
      </c>
      <c r="F595" s="1" t="s">
        <v>112</v>
      </c>
      <c r="G595" s="1" t="s">
        <v>113</v>
      </c>
    </row>
    <row r="596" spans="1:7" x14ac:dyDescent="0.25">
      <c r="A596" s="1" t="str">
        <f t="shared" si="9"/>
        <v>07  Testosterone 33 µg_Ldopé</v>
      </c>
      <c r="B59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6" s="1" t="s">
        <v>4192</v>
      </c>
      <c r="D596" s="1" t="s">
        <v>1983</v>
      </c>
      <c r="E596" s="1" t="s">
        <v>4193</v>
      </c>
      <c r="F596" s="1" t="s">
        <v>112</v>
      </c>
      <c r="G596" s="1">
        <v>2636360</v>
      </c>
    </row>
    <row r="597" spans="1:7" x14ac:dyDescent="0.25">
      <c r="A597" s="1" t="str">
        <f t="shared" si="9"/>
        <v>07  Testosterone 33 µg_Ldopé</v>
      </c>
      <c r="B5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7" s="1" t="s">
        <v>4194</v>
      </c>
      <c r="D597" s="1" t="s">
        <v>1515</v>
      </c>
      <c r="E597" s="1" t="s">
        <v>4195</v>
      </c>
      <c r="F597" s="1" t="s">
        <v>112</v>
      </c>
      <c r="G597" s="1">
        <v>2638177</v>
      </c>
    </row>
    <row r="598" spans="1:7" x14ac:dyDescent="0.25">
      <c r="A598" s="1" t="str">
        <f t="shared" si="9"/>
        <v>07  Testosterone 33 µg_Ldopé</v>
      </c>
      <c r="B5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8" s="1" t="s">
        <v>4196</v>
      </c>
      <c r="D598" s="1" t="s">
        <v>4197</v>
      </c>
      <c r="E598" s="1" t="s">
        <v>4198</v>
      </c>
      <c r="F598" s="1" t="s">
        <v>112</v>
      </c>
      <c r="G598" s="1">
        <v>2760623</v>
      </c>
    </row>
    <row r="599" spans="1:7" x14ac:dyDescent="0.25">
      <c r="A599" s="1" t="str">
        <f t="shared" si="9"/>
        <v>07  Testosterone 33 µg_Ldopé</v>
      </c>
      <c r="B5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99" s="1" t="s">
        <v>4199</v>
      </c>
      <c r="D599" s="1" t="s">
        <v>4200</v>
      </c>
      <c r="E599" s="1" t="s">
        <v>4201</v>
      </c>
      <c r="F599" s="1" t="s">
        <v>112</v>
      </c>
      <c r="G599" s="1">
        <v>2020016</v>
      </c>
    </row>
    <row r="600" spans="1:7" x14ac:dyDescent="0.25">
      <c r="A600" s="1" t="str">
        <f t="shared" si="9"/>
        <v>07  Testosterone 33 µg_Ldopé</v>
      </c>
      <c r="B6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00" s="1" t="s">
        <v>4202</v>
      </c>
      <c r="D600" s="1" t="s">
        <v>4203</v>
      </c>
      <c r="E600" s="1" t="s">
        <v>4204</v>
      </c>
      <c r="F600" s="1" t="s">
        <v>112</v>
      </c>
      <c r="G600" s="1">
        <v>2387659</v>
      </c>
    </row>
    <row r="601" spans="1:7" x14ac:dyDescent="0.25">
      <c r="A601" s="1" t="str">
        <f t="shared" si="9"/>
        <v>07  Testosterone 33 µg_Ldopé</v>
      </c>
      <c r="B6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01" s="1" t="s">
        <v>4205</v>
      </c>
      <c r="D601" s="1" t="s">
        <v>4206</v>
      </c>
      <c r="E601" s="1" t="s">
        <v>4207</v>
      </c>
      <c r="F601" s="1" t="s">
        <v>112</v>
      </c>
      <c r="G601" s="1">
        <v>2202356</v>
      </c>
    </row>
    <row r="602" spans="1:7" x14ac:dyDescent="0.25">
      <c r="A602" s="1" t="str">
        <f t="shared" si="9"/>
        <v>07  Testosterone 33 µg_Ldopé</v>
      </c>
      <c r="B6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2" s="1" t="s">
        <v>4208</v>
      </c>
      <c r="D602" s="1" t="s">
        <v>4209</v>
      </c>
      <c r="E602" s="1" t="s">
        <v>4210</v>
      </c>
      <c r="F602" s="1" t="s">
        <v>112</v>
      </c>
      <c r="G602" s="1">
        <v>1402093</v>
      </c>
    </row>
    <row r="603" spans="1:7" x14ac:dyDescent="0.25">
      <c r="A603" s="1" t="str">
        <f t="shared" si="9"/>
        <v>07  Testosterone 33 µg_Ldopé</v>
      </c>
      <c r="B6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3" s="1" t="s">
        <v>4211</v>
      </c>
    </row>
    <row r="604" spans="1:7" x14ac:dyDescent="0.25">
      <c r="A604" s="1" t="str">
        <f t="shared" si="9"/>
        <v>07  Testosterone 33 µg_Ldopé</v>
      </c>
      <c r="B6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4" s="1" t="s">
        <v>4212</v>
      </c>
      <c r="D604" s="1" t="s">
        <v>3030</v>
      </c>
      <c r="E604" s="1" t="s">
        <v>4213</v>
      </c>
      <c r="F604" s="1" t="s">
        <v>112</v>
      </c>
      <c r="G604" s="1">
        <v>1201000</v>
      </c>
    </row>
    <row r="605" spans="1:7" x14ac:dyDescent="0.25">
      <c r="A605" s="1" t="str">
        <f t="shared" si="9"/>
        <v>07  Testosterone 33 µg_Ldopé</v>
      </c>
      <c r="B6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5" s="1" t="s">
        <v>4214</v>
      </c>
      <c r="D605" s="1" t="s">
        <v>4215</v>
      </c>
      <c r="E605" s="1" t="s">
        <v>4216</v>
      </c>
      <c r="F605" s="1" t="s">
        <v>112</v>
      </c>
      <c r="G605" s="1">
        <v>1573705</v>
      </c>
    </row>
    <row r="606" spans="1:7" x14ac:dyDescent="0.25">
      <c r="A606" s="1" t="str">
        <f t="shared" si="9"/>
        <v>07  Testosterone 33 µg_Ldopé</v>
      </c>
      <c r="B6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6" s="1" t="s">
        <v>4217</v>
      </c>
      <c r="D606" s="1" t="s">
        <v>2607</v>
      </c>
      <c r="E606" s="1" t="s">
        <v>4218</v>
      </c>
      <c r="F606" s="1" t="s">
        <v>112</v>
      </c>
      <c r="G606" s="1">
        <v>1437761</v>
      </c>
    </row>
    <row r="607" spans="1:7" x14ac:dyDescent="0.25">
      <c r="A607" s="1" t="str">
        <f t="shared" si="9"/>
        <v>07  Testosterone 33 µg_Ldopé</v>
      </c>
      <c r="B6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7" s="1" t="s">
        <v>4219</v>
      </c>
      <c r="D607" s="1" t="s">
        <v>3295</v>
      </c>
      <c r="E607" s="1" t="s">
        <v>4220</v>
      </c>
      <c r="F607" s="1" t="s">
        <v>112</v>
      </c>
      <c r="G607" s="1">
        <v>1467740</v>
      </c>
    </row>
    <row r="608" spans="1:7" x14ac:dyDescent="0.25">
      <c r="A608" s="1" t="str">
        <f t="shared" si="9"/>
        <v>07  Testosterone 33 µg_Ldopé</v>
      </c>
      <c r="B6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08" s="1" t="s">
        <v>4221</v>
      </c>
      <c r="D608" s="1" t="s">
        <v>2780</v>
      </c>
      <c r="E608" s="1" t="s">
        <v>4222</v>
      </c>
      <c r="F608" s="1" t="s">
        <v>112</v>
      </c>
      <c r="G608" s="1">
        <v>3241780</v>
      </c>
    </row>
    <row r="609" spans="1:10" x14ac:dyDescent="0.25">
      <c r="A609" s="1" t="str">
        <f t="shared" si="9"/>
        <v>07  Testosterone 33 µg_Ldopé</v>
      </c>
      <c r="B6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09" s="1" t="s">
        <v>4223</v>
      </c>
      <c r="D609" s="1" t="s">
        <v>539</v>
      </c>
      <c r="E609" s="1" t="s">
        <v>4224</v>
      </c>
      <c r="F609" s="1" t="s">
        <v>112</v>
      </c>
      <c r="G609" s="1">
        <v>3080421</v>
      </c>
    </row>
    <row r="610" spans="1:10" x14ac:dyDescent="0.25">
      <c r="A610" s="1" t="str">
        <f t="shared" si="9"/>
        <v>07  Testosterone 33 µg_Ldopé</v>
      </c>
      <c r="B6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10" s="1" t="s">
        <v>4225</v>
      </c>
      <c r="D610" s="1" t="s">
        <v>4226</v>
      </c>
      <c r="E610" s="1" t="s">
        <v>4227</v>
      </c>
      <c r="F610" s="1" t="s">
        <v>112</v>
      </c>
      <c r="G610" s="1">
        <v>3734207</v>
      </c>
    </row>
    <row r="611" spans="1:10" x14ac:dyDescent="0.25">
      <c r="A611" s="1" t="str">
        <f t="shared" si="9"/>
        <v>07  Testosterone 33 µg_Ldopé</v>
      </c>
      <c r="B6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1" s="1" t="s">
        <v>4228</v>
      </c>
      <c r="D611" s="1" t="s">
        <v>3437</v>
      </c>
      <c r="E611" s="1" t="s">
        <v>4229</v>
      </c>
      <c r="F611" s="1" t="s">
        <v>112</v>
      </c>
      <c r="G611" s="1">
        <v>2744704</v>
      </c>
    </row>
    <row r="612" spans="1:10" x14ac:dyDescent="0.25">
      <c r="A612" s="1" t="str">
        <f t="shared" si="9"/>
        <v>07  Testosterone 33 µg_Ldopé</v>
      </c>
      <c r="B6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2" s="1" t="s">
        <v>4230</v>
      </c>
      <c r="D612" s="1" t="s">
        <v>4231</v>
      </c>
      <c r="E612" s="1" t="s">
        <v>4232</v>
      </c>
      <c r="F612" s="1" t="s">
        <v>112</v>
      </c>
      <c r="G612" s="1">
        <v>2579170</v>
      </c>
    </row>
    <row r="613" spans="1:10" x14ac:dyDescent="0.25">
      <c r="A613" s="1" t="str">
        <f t="shared" si="9"/>
        <v>07  Testosterone 33 µg_Ldopé</v>
      </c>
      <c r="B6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3" s="1" t="s">
        <v>4233</v>
      </c>
      <c r="D613" s="1" t="s">
        <v>2129</v>
      </c>
      <c r="E613" s="1" t="s">
        <v>4234</v>
      </c>
      <c r="F613" s="1" t="s">
        <v>112</v>
      </c>
      <c r="G613" s="1">
        <v>2567447</v>
      </c>
    </row>
    <row r="614" spans="1:10" x14ac:dyDescent="0.25">
      <c r="A614" s="1" t="str">
        <f t="shared" si="9"/>
        <v>07  Testosterone 33 µg_Ldopé</v>
      </c>
      <c r="B6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4" s="1" t="s">
        <v>4235</v>
      </c>
      <c r="D614" s="1" t="s">
        <v>1875</v>
      </c>
      <c r="E614" s="1" t="s">
        <v>4236</v>
      </c>
      <c r="F614" s="1" t="s">
        <v>112</v>
      </c>
      <c r="G614" s="1">
        <v>1833956</v>
      </c>
    </row>
    <row r="615" spans="1:10" x14ac:dyDescent="0.25">
      <c r="A615" s="1" t="str">
        <f t="shared" si="9"/>
        <v>07  Testosterone 33 µg_Ldopé</v>
      </c>
      <c r="B6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5" s="1" t="s">
        <v>4237</v>
      </c>
      <c r="D615" s="1" t="s">
        <v>4238</v>
      </c>
      <c r="E615" s="1" t="s">
        <v>4239</v>
      </c>
      <c r="F615" s="1" t="s">
        <v>112</v>
      </c>
      <c r="G615" s="1">
        <v>1781525</v>
      </c>
    </row>
    <row r="616" spans="1:10" x14ac:dyDescent="0.25">
      <c r="A616" s="1" t="str">
        <f t="shared" si="9"/>
        <v>07  Testosterone 33 µg_Ldopé</v>
      </c>
      <c r="B6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6" s="1" t="s">
        <v>4240</v>
      </c>
      <c r="D616" s="1" t="s">
        <v>4241</v>
      </c>
      <c r="E616" s="1" t="s">
        <v>4242</v>
      </c>
      <c r="F616" s="1" t="s">
        <v>112</v>
      </c>
      <c r="G616" s="1">
        <v>1425107</v>
      </c>
    </row>
    <row r="617" spans="1:10" x14ac:dyDescent="0.25">
      <c r="A617" s="1" t="str">
        <f t="shared" si="9"/>
        <v>07  Testosterone 33 µg_Ldopé</v>
      </c>
      <c r="B6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7" s="1" t="s">
        <v>4243</v>
      </c>
      <c r="D617" s="1" t="s">
        <v>886</v>
      </c>
      <c r="E617" s="1" t="s">
        <v>4244</v>
      </c>
      <c r="F617" s="1" t="s">
        <v>112</v>
      </c>
      <c r="G617" s="1">
        <v>1564620</v>
      </c>
    </row>
    <row r="618" spans="1:10" x14ac:dyDescent="0.25">
      <c r="A618" s="1" t="str">
        <f t="shared" si="9"/>
        <v>07  Testosterone 33 µg_Ldopé</v>
      </c>
      <c r="B6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8" s="1" t="s">
        <v>4245</v>
      </c>
      <c r="D618" s="1" t="s">
        <v>2279</v>
      </c>
      <c r="E618" s="1" t="s">
        <v>4246</v>
      </c>
      <c r="F618" s="1" t="s">
        <v>112</v>
      </c>
      <c r="G618" s="1">
        <v>1287109</v>
      </c>
    </row>
    <row r="619" spans="1:10" x14ac:dyDescent="0.25">
      <c r="A619" s="1" t="str">
        <f t="shared" si="9"/>
        <v>07  Testosterone 33 µg_Ldopé</v>
      </c>
      <c r="B6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9" s="1" t="s">
        <v>4247</v>
      </c>
      <c r="D619" s="1" t="s">
        <v>1127</v>
      </c>
      <c r="E619" s="1" t="s">
        <v>4248</v>
      </c>
      <c r="F619" s="1" t="s">
        <v>112</v>
      </c>
      <c r="G619" s="1">
        <v>1325220</v>
      </c>
    </row>
    <row r="620" spans="1:10" x14ac:dyDescent="0.25">
      <c r="A620" s="1" t="str">
        <f t="shared" si="9"/>
        <v/>
      </c>
      <c r="B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0" s="1" t="s">
        <v>112</v>
      </c>
    </row>
    <row r="621" spans="1:10" x14ac:dyDescent="0.25">
      <c r="A621" s="1" t="str">
        <f t="shared" si="9"/>
        <v/>
      </c>
      <c r="B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1" s="1" t="s">
        <v>229</v>
      </c>
      <c r="D621" s="1" t="s">
        <v>112</v>
      </c>
      <c r="E621" s="1" t="s">
        <v>230</v>
      </c>
      <c r="F621" s="1" t="s">
        <v>231</v>
      </c>
      <c r="G621" s="1" t="s">
        <v>232</v>
      </c>
      <c r="H621" s="1" t="s">
        <v>233</v>
      </c>
      <c r="I621" s="1" t="s">
        <v>234</v>
      </c>
      <c r="J621" s="1" t="s">
        <v>235</v>
      </c>
    </row>
    <row r="622" spans="1:10" x14ac:dyDescent="0.25">
      <c r="A622" s="1" t="str">
        <f t="shared" si="9"/>
        <v>07  Testosterone 33 µg_Ldopé</v>
      </c>
      <c r="B6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22" s="1" t="s">
        <v>4249</v>
      </c>
      <c r="D622" s="1" t="s">
        <v>112</v>
      </c>
      <c r="E622" s="1" t="s">
        <v>4250</v>
      </c>
      <c r="F622" s="1" t="s">
        <v>4251</v>
      </c>
      <c r="G622" s="1" t="s">
        <v>4252</v>
      </c>
      <c r="H622" s="1" t="s">
        <v>4253</v>
      </c>
      <c r="I622" s="1">
        <v>24</v>
      </c>
      <c r="J622" s="1">
        <v>24</v>
      </c>
    </row>
    <row r="623" spans="1:10" x14ac:dyDescent="0.25">
      <c r="A623" s="1" t="str">
        <f t="shared" si="9"/>
        <v/>
      </c>
      <c r="B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3" s="1" t="s">
        <v>112</v>
      </c>
    </row>
    <row r="624" spans="1:10" x14ac:dyDescent="0.25">
      <c r="A624" s="1" t="str">
        <f t="shared" si="9"/>
        <v/>
      </c>
      <c r="B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4" s="1" t="s">
        <v>112</v>
      </c>
    </row>
    <row r="625" spans="1:7" x14ac:dyDescent="0.25">
      <c r="A625" s="1" t="str">
        <f t="shared" si="9"/>
        <v/>
      </c>
      <c r="B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5" s="1" t="s">
        <v>112</v>
      </c>
    </row>
    <row r="626" spans="1:7" x14ac:dyDescent="0.25">
      <c r="A626" s="1" t="str">
        <f t="shared" si="9"/>
        <v/>
      </c>
      <c r="B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6" s="1" t="s">
        <v>112</v>
      </c>
    </row>
    <row r="627" spans="1:7" x14ac:dyDescent="0.25">
      <c r="A627" s="1" t="str">
        <f t="shared" si="9"/>
        <v/>
      </c>
      <c r="B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7" s="1" t="s">
        <v>112</v>
      </c>
    </row>
    <row r="628" spans="1:7" x14ac:dyDescent="0.25">
      <c r="A628" s="1" t="str">
        <f t="shared" si="9"/>
        <v/>
      </c>
      <c r="B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8" s="1" t="s">
        <v>241</v>
      </c>
      <c r="D628" s="1" t="s">
        <v>110</v>
      </c>
      <c r="E628" s="1" t="s">
        <v>111</v>
      </c>
      <c r="F628" s="1" t="s">
        <v>112</v>
      </c>
      <c r="G628" s="1" t="s">
        <v>113</v>
      </c>
    </row>
    <row r="629" spans="1:7" x14ac:dyDescent="0.25">
      <c r="A629" s="1" t="str">
        <f t="shared" si="9"/>
        <v>08  Testosterone 100 µg_Ldopé</v>
      </c>
      <c r="B62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29" s="1" t="s">
        <v>4254</v>
      </c>
      <c r="D629" s="1" t="s">
        <v>4255</v>
      </c>
      <c r="E629" s="1" t="s">
        <v>4256</v>
      </c>
      <c r="F629" s="1" t="s">
        <v>112</v>
      </c>
      <c r="G629" s="1">
        <v>4794699</v>
      </c>
    </row>
    <row r="630" spans="1:7" x14ac:dyDescent="0.25">
      <c r="A630" s="1" t="str">
        <f t="shared" si="9"/>
        <v>08  Testosterone 100 µg_Ldopé</v>
      </c>
      <c r="B6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30" s="1" t="s">
        <v>4257</v>
      </c>
      <c r="D630" s="1" t="s">
        <v>4258</v>
      </c>
      <c r="E630" s="1" t="s">
        <v>4259</v>
      </c>
      <c r="F630" s="1" t="s">
        <v>112</v>
      </c>
      <c r="G630" s="1">
        <v>4621984</v>
      </c>
    </row>
    <row r="631" spans="1:7" x14ac:dyDescent="0.25">
      <c r="A631" s="1" t="str">
        <f t="shared" si="9"/>
        <v>08  Testosterone 100 µg_Ldopé</v>
      </c>
      <c r="B6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31" s="1" t="s">
        <v>4260</v>
      </c>
      <c r="D631" s="1" t="s">
        <v>4261</v>
      </c>
      <c r="E631" s="1" t="s">
        <v>4262</v>
      </c>
      <c r="F631" s="1" t="s">
        <v>112</v>
      </c>
      <c r="G631" s="1">
        <v>4823683</v>
      </c>
    </row>
    <row r="632" spans="1:7" x14ac:dyDescent="0.25">
      <c r="A632" s="1" t="str">
        <f t="shared" si="9"/>
        <v>08  Testosterone 100 µg_Ldopé</v>
      </c>
      <c r="B6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2" s="1" t="s">
        <v>4263</v>
      </c>
      <c r="D632" s="1" t="s">
        <v>4264</v>
      </c>
      <c r="E632" s="1" t="s">
        <v>4265</v>
      </c>
      <c r="F632" s="1" t="s">
        <v>112</v>
      </c>
      <c r="G632" s="1">
        <v>347095</v>
      </c>
    </row>
    <row r="633" spans="1:7" x14ac:dyDescent="0.25">
      <c r="A633" s="1" t="str">
        <f t="shared" si="9"/>
        <v>08  Testosterone 100 µg_Ldopé</v>
      </c>
      <c r="B6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3" s="1" t="s">
        <v>4266</v>
      </c>
      <c r="D633" s="1" t="s">
        <v>4267</v>
      </c>
      <c r="E633" s="1" t="s">
        <v>4268</v>
      </c>
      <c r="F633" s="1" t="s">
        <v>112</v>
      </c>
      <c r="G633" s="1">
        <v>286055</v>
      </c>
    </row>
    <row r="634" spans="1:7" x14ac:dyDescent="0.25">
      <c r="A634" s="1" t="str">
        <f t="shared" si="9"/>
        <v>08  Testosterone 100 µg_Ldopé</v>
      </c>
      <c r="B6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4" s="1" t="s">
        <v>4269</v>
      </c>
      <c r="D634" s="1" t="s">
        <v>1017</v>
      </c>
      <c r="E634" s="1" t="s">
        <v>4270</v>
      </c>
      <c r="F634" s="1" t="s">
        <v>112</v>
      </c>
      <c r="G634" s="1">
        <v>124069</v>
      </c>
    </row>
    <row r="635" spans="1:7" x14ac:dyDescent="0.25">
      <c r="A635" s="1" t="str">
        <f t="shared" si="9"/>
        <v>08  Testosterone 100 µg_Ldopé</v>
      </c>
      <c r="B6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5" s="1" t="s">
        <v>4271</v>
      </c>
      <c r="D635" s="1" t="s">
        <v>2687</v>
      </c>
      <c r="E635" s="1" t="s">
        <v>4272</v>
      </c>
      <c r="F635" s="1" t="s">
        <v>112</v>
      </c>
      <c r="G635" s="1">
        <v>721270</v>
      </c>
    </row>
    <row r="636" spans="1:7" x14ac:dyDescent="0.25">
      <c r="A636" s="1" t="str">
        <f t="shared" si="9"/>
        <v>08  Testosterone 100 µg_Ldopé</v>
      </c>
      <c r="B6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6" s="1" t="s">
        <v>4273</v>
      </c>
      <c r="D636" s="1" t="s">
        <v>3562</v>
      </c>
      <c r="E636" s="1" t="s">
        <v>4274</v>
      </c>
      <c r="F636" s="1" t="s">
        <v>112</v>
      </c>
      <c r="G636" s="1">
        <v>109274</v>
      </c>
    </row>
    <row r="637" spans="1:7" x14ac:dyDescent="0.25">
      <c r="A637" s="1" t="str">
        <f t="shared" si="9"/>
        <v>08  Testosterone 100 µg_Ldopé</v>
      </c>
      <c r="B6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7" s="1" t="s">
        <v>4275</v>
      </c>
      <c r="D637" s="1" t="s">
        <v>265</v>
      </c>
      <c r="E637" s="1" t="s">
        <v>4276</v>
      </c>
      <c r="F637" s="1" t="s">
        <v>112</v>
      </c>
      <c r="G637" s="1">
        <v>400737</v>
      </c>
    </row>
    <row r="638" spans="1:7" x14ac:dyDescent="0.25">
      <c r="A638" s="1" t="str">
        <f t="shared" si="9"/>
        <v>08  Testosterone 100 µg_Ldopé</v>
      </c>
      <c r="B6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38" s="1" t="s">
        <v>4277</v>
      </c>
      <c r="D638" s="1" t="s">
        <v>3431</v>
      </c>
      <c r="E638" s="1" t="s">
        <v>4278</v>
      </c>
      <c r="F638" s="1" t="s">
        <v>112</v>
      </c>
      <c r="G638" s="1">
        <v>2753334</v>
      </c>
    </row>
    <row r="639" spans="1:7" x14ac:dyDescent="0.25">
      <c r="A639" s="1" t="str">
        <f t="shared" si="9"/>
        <v>08  Testosterone 100 µg_Ldopé</v>
      </c>
      <c r="B6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39" s="1" t="s">
        <v>4279</v>
      </c>
      <c r="D639" s="1" t="s">
        <v>4280</v>
      </c>
      <c r="E639" s="1" t="s">
        <v>4281</v>
      </c>
      <c r="F639" s="1" t="s">
        <v>112</v>
      </c>
      <c r="G639" s="1">
        <v>2540150</v>
      </c>
    </row>
    <row r="640" spans="1:7" x14ac:dyDescent="0.25">
      <c r="A640" s="1" t="str">
        <f t="shared" si="9"/>
        <v>08  Testosterone 100 µg_Ldopé</v>
      </c>
      <c r="B6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40" s="1" t="s">
        <v>4282</v>
      </c>
      <c r="D640" s="1" t="s">
        <v>4283</v>
      </c>
      <c r="E640" s="1" t="s">
        <v>4284</v>
      </c>
      <c r="F640" s="1" t="s">
        <v>112</v>
      </c>
      <c r="G640" s="1">
        <v>2684356</v>
      </c>
    </row>
    <row r="641" spans="1:10" x14ac:dyDescent="0.25">
      <c r="A641" s="1" t="str">
        <f t="shared" si="9"/>
        <v>08  Testosterone 100 µg_Ldopé</v>
      </c>
      <c r="B6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1" s="1" t="s">
        <v>4285</v>
      </c>
      <c r="D641" s="1" t="s">
        <v>4286</v>
      </c>
      <c r="E641" s="1" t="s">
        <v>4287</v>
      </c>
      <c r="F641" s="1" t="s">
        <v>112</v>
      </c>
      <c r="G641" s="1">
        <v>2225759</v>
      </c>
    </row>
    <row r="642" spans="1:10" x14ac:dyDescent="0.25">
      <c r="A642" s="1" t="str">
        <f t="shared" ref="A642:A705" si="10">IFERROR(LEFT(RIGHT(C642,LEN(C642)-SEARCH("@",C642)),SEARCH("/",RIGHT(C642,LEN(C642)-SEARCH("@",C642)-1))),"")</f>
        <v>08  Testosterone 100 µg_Ldopé</v>
      </c>
      <c r="B6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2" s="1" t="s">
        <v>4288</v>
      </c>
      <c r="D642" s="1" t="s">
        <v>3647</v>
      </c>
      <c r="E642" s="1" t="s">
        <v>4289</v>
      </c>
      <c r="F642" s="1" t="s">
        <v>112</v>
      </c>
      <c r="G642" s="1">
        <v>1915695</v>
      </c>
    </row>
    <row r="643" spans="1:10" x14ac:dyDescent="0.25">
      <c r="A643" s="1" t="str">
        <f t="shared" si="10"/>
        <v>08  Testosterone 100 µg_Ldopé</v>
      </c>
      <c r="B6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3" s="1" t="s">
        <v>4290</v>
      </c>
      <c r="D643" s="1" t="s">
        <v>2585</v>
      </c>
      <c r="E643" s="1" t="s">
        <v>4291</v>
      </c>
      <c r="F643" s="1" t="s">
        <v>112</v>
      </c>
      <c r="G643" s="1">
        <v>2071300</v>
      </c>
    </row>
    <row r="644" spans="1:10" x14ac:dyDescent="0.25">
      <c r="A644" s="1" t="str">
        <f t="shared" si="10"/>
        <v>08  Testosterone 100 µg_Ldopé</v>
      </c>
      <c r="B6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4" s="1" t="s">
        <v>4292</v>
      </c>
      <c r="D644" s="1" t="s">
        <v>4293</v>
      </c>
      <c r="E644" s="1" t="s">
        <v>4294</v>
      </c>
      <c r="F644" s="1" t="s">
        <v>112</v>
      </c>
      <c r="G644" s="1">
        <v>1070355</v>
      </c>
    </row>
    <row r="645" spans="1:10" x14ac:dyDescent="0.25">
      <c r="A645" s="1" t="str">
        <f t="shared" si="10"/>
        <v>08  Testosterone 100 µg_Ldopé</v>
      </c>
      <c r="B6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5" s="1" t="s">
        <v>4295</v>
      </c>
    </row>
    <row r="646" spans="1:10" x14ac:dyDescent="0.25">
      <c r="A646" s="1" t="str">
        <f t="shared" si="10"/>
        <v>08  Testosterone 100 µg_Ldopé</v>
      </c>
      <c r="B6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6" s="1" t="s">
        <v>4296</v>
      </c>
      <c r="D646" s="1" t="s">
        <v>4297</v>
      </c>
      <c r="E646" s="1" t="s">
        <v>4298</v>
      </c>
      <c r="F646" s="1" t="s">
        <v>112</v>
      </c>
      <c r="G646" s="1">
        <v>1370946</v>
      </c>
    </row>
    <row r="647" spans="1:10" x14ac:dyDescent="0.25">
      <c r="A647" s="1" t="str">
        <f t="shared" si="10"/>
        <v>08  Testosterone 100 µg_Ldopé</v>
      </c>
      <c r="B6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7" s="1" t="s">
        <v>4299</v>
      </c>
      <c r="D647" s="1" t="s">
        <v>2132</v>
      </c>
      <c r="E647" s="1" t="s">
        <v>4300</v>
      </c>
      <c r="F647" s="1" t="s">
        <v>112</v>
      </c>
      <c r="G647" s="1">
        <v>4844101</v>
      </c>
    </row>
    <row r="648" spans="1:10" x14ac:dyDescent="0.25">
      <c r="A648" s="1" t="str">
        <f t="shared" si="10"/>
        <v>08  Testosterone 100 µg_Ldopé</v>
      </c>
      <c r="B6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8" s="1" t="s">
        <v>4301</v>
      </c>
      <c r="D648" s="1" t="s">
        <v>4302</v>
      </c>
      <c r="E648" s="1" t="s">
        <v>4303</v>
      </c>
      <c r="F648" s="1" t="s">
        <v>112</v>
      </c>
      <c r="G648" s="1">
        <v>3928703</v>
      </c>
    </row>
    <row r="649" spans="1:10" x14ac:dyDescent="0.25">
      <c r="A649" s="1" t="str">
        <f t="shared" si="10"/>
        <v>08  Testosterone 100 µg_Ldopé</v>
      </c>
      <c r="B6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9" s="1" t="s">
        <v>4304</v>
      </c>
      <c r="D649" s="1" t="s">
        <v>4305</v>
      </c>
      <c r="E649" s="1" t="s">
        <v>4306</v>
      </c>
      <c r="F649" s="1" t="s">
        <v>112</v>
      </c>
      <c r="G649" s="1">
        <v>4117770</v>
      </c>
    </row>
    <row r="650" spans="1:10" x14ac:dyDescent="0.25">
      <c r="A650" s="1" t="str">
        <f t="shared" si="10"/>
        <v>08  Testosterone 100 µg_Ldopé</v>
      </c>
      <c r="B6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0" s="1" t="s">
        <v>4307</v>
      </c>
      <c r="D650" s="1" t="s">
        <v>252</v>
      </c>
      <c r="E650" s="1" t="s">
        <v>4308</v>
      </c>
      <c r="F650" s="1" t="s">
        <v>112</v>
      </c>
      <c r="G650" s="1">
        <v>314585</v>
      </c>
    </row>
    <row r="651" spans="1:10" x14ac:dyDescent="0.25">
      <c r="A651" s="1" t="str">
        <f t="shared" si="10"/>
        <v>08  Testosterone 100 µg_Ldopé</v>
      </c>
      <c r="B6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1" s="1" t="s">
        <v>4309</v>
      </c>
    </row>
    <row r="652" spans="1:10" x14ac:dyDescent="0.25">
      <c r="A652" s="1" t="str">
        <f t="shared" si="10"/>
        <v>08  Testosterone 100 µg_Ldopé</v>
      </c>
      <c r="B6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2" s="1" t="s">
        <v>4310</v>
      </c>
      <c r="D652" s="1" t="s">
        <v>4311</v>
      </c>
      <c r="E652" s="1" t="s">
        <v>4312</v>
      </c>
      <c r="F652" s="1" t="s">
        <v>112</v>
      </c>
      <c r="G652" s="1">
        <v>487538</v>
      </c>
    </row>
    <row r="653" spans="1:10" x14ac:dyDescent="0.25">
      <c r="A653" s="1" t="str">
        <f t="shared" si="10"/>
        <v/>
      </c>
      <c r="B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3" s="1" t="s">
        <v>112</v>
      </c>
    </row>
    <row r="654" spans="1:10" x14ac:dyDescent="0.25">
      <c r="A654" s="1" t="str">
        <f t="shared" si="10"/>
        <v/>
      </c>
      <c r="B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4" s="1" t="s">
        <v>229</v>
      </c>
      <c r="D654" s="1" t="s">
        <v>112</v>
      </c>
      <c r="E654" s="1" t="s">
        <v>230</v>
      </c>
      <c r="F654" s="1" t="s">
        <v>231</v>
      </c>
      <c r="G654" s="1" t="s">
        <v>232</v>
      </c>
      <c r="H654" s="1" t="s">
        <v>233</v>
      </c>
      <c r="I654" s="1" t="s">
        <v>234</v>
      </c>
      <c r="J654" s="1" t="s">
        <v>235</v>
      </c>
    </row>
    <row r="655" spans="1:10" x14ac:dyDescent="0.25">
      <c r="A655" s="1" t="str">
        <f t="shared" si="10"/>
        <v>08  Testosterone 100 µg_Ldopé</v>
      </c>
      <c r="B6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55" s="1" t="s">
        <v>4313</v>
      </c>
      <c r="D655" s="1" t="s">
        <v>112</v>
      </c>
      <c r="E655" s="1" t="s">
        <v>4314</v>
      </c>
      <c r="F655" s="1" t="s">
        <v>4315</v>
      </c>
      <c r="G655" s="1" t="s">
        <v>4316</v>
      </c>
      <c r="H655" s="1" t="s">
        <v>4317</v>
      </c>
      <c r="I655" s="1">
        <v>24</v>
      </c>
      <c r="J655" s="1">
        <v>24</v>
      </c>
    </row>
    <row r="656" spans="1:10" x14ac:dyDescent="0.25">
      <c r="A656" s="1" t="str">
        <f t="shared" si="10"/>
        <v/>
      </c>
      <c r="B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6" s="1" t="s">
        <v>112</v>
      </c>
    </row>
    <row r="657" spans="1:7" x14ac:dyDescent="0.25">
      <c r="A657" s="1" t="str">
        <f t="shared" si="10"/>
        <v/>
      </c>
      <c r="B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7" s="1" t="s">
        <v>112</v>
      </c>
    </row>
    <row r="658" spans="1:7" x14ac:dyDescent="0.25">
      <c r="A658" s="1" t="str">
        <f t="shared" si="10"/>
        <v/>
      </c>
      <c r="B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8" s="1" t="s">
        <v>112</v>
      </c>
    </row>
    <row r="659" spans="1:7" x14ac:dyDescent="0.25">
      <c r="A659" s="1" t="str">
        <f t="shared" si="10"/>
        <v/>
      </c>
      <c r="B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9" s="1" t="s">
        <v>112</v>
      </c>
    </row>
    <row r="660" spans="1:7" x14ac:dyDescent="0.25">
      <c r="A660" s="1" t="str">
        <f t="shared" si="10"/>
        <v/>
      </c>
      <c r="B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0" s="1" t="s">
        <v>112</v>
      </c>
    </row>
    <row r="661" spans="1:7" x14ac:dyDescent="0.25">
      <c r="A661" s="1" t="str">
        <f t="shared" si="10"/>
        <v/>
      </c>
      <c r="B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1" s="1" t="s">
        <v>241</v>
      </c>
      <c r="D661" s="1" t="s">
        <v>110</v>
      </c>
      <c r="E661" s="1" t="s">
        <v>111</v>
      </c>
      <c r="F661" s="1" t="s">
        <v>112</v>
      </c>
      <c r="G661" s="1" t="s">
        <v>113</v>
      </c>
    </row>
    <row r="662" spans="1:7" x14ac:dyDescent="0.25">
      <c r="A662" s="1" t="str">
        <f t="shared" si="10"/>
        <v>09  Testosterone 300 µg_L dopé</v>
      </c>
      <c r="B66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2" s="1" t="s">
        <v>4318</v>
      </c>
      <c r="D662" s="1" t="s">
        <v>4319</v>
      </c>
      <c r="E662" s="1" t="s">
        <v>4320</v>
      </c>
      <c r="F662" s="1" t="s">
        <v>112</v>
      </c>
      <c r="G662" s="1">
        <v>4053226</v>
      </c>
    </row>
    <row r="663" spans="1:7" x14ac:dyDescent="0.25">
      <c r="A663" s="1" t="str">
        <f t="shared" si="10"/>
        <v>09  Testosterone 300 µg_L dopé</v>
      </c>
      <c r="B66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3" s="1" t="s">
        <v>4321</v>
      </c>
      <c r="D663" s="1" t="s">
        <v>4322</v>
      </c>
      <c r="E663" s="1" t="s">
        <v>4323</v>
      </c>
      <c r="F663" s="1" t="s">
        <v>112</v>
      </c>
      <c r="G663" s="1">
        <v>3632157</v>
      </c>
    </row>
    <row r="664" spans="1:7" x14ac:dyDescent="0.25">
      <c r="A664" s="1" t="str">
        <f t="shared" si="10"/>
        <v>09  Testosterone 300 µg_L dopé</v>
      </c>
      <c r="B6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4" s="1" t="s">
        <v>4324</v>
      </c>
      <c r="D664" s="1" t="s">
        <v>4325</v>
      </c>
      <c r="E664" s="1" t="s">
        <v>4326</v>
      </c>
      <c r="F664" s="1" t="s">
        <v>112</v>
      </c>
      <c r="G664" s="1">
        <v>3660341</v>
      </c>
    </row>
    <row r="665" spans="1:7" x14ac:dyDescent="0.25">
      <c r="A665" s="1" t="str">
        <f t="shared" si="10"/>
        <v>09  Testosterone 300 µg_L dopé</v>
      </c>
      <c r="B6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5" s="1" t="s">
        <v>4327</v>
      </c>
      <c r="D665" s="1" t="s">
        <v>4328</v>
      </c>
      <c r="E665" s="1" t="s">
        <v>4329</v>
      </c>
      <c r="F665" s="1" t="s">
        <v>112</v>
      </c>
      <c r="G665" s="1">
        <v>4104662</v>
      </c>
    </row>
    <row r="666" spans="1:7" x14ac:dyDescent="0.25">
      <c r="A666" s="1" t="str">
        <f t="shared" si="10"/>
        <v>09  Testosterone 300 µg_L dopé</v>
      </c>
      <c r="B6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6" s="1" t="s">
        <v>4330</v>
      </c>
      <c r="D666" s="1" t="s">
        <v>4331</v>
      </c>
      <c r="E666" s="1" t="s">
        <v>4332</v>
      </c>
      <c r="F666" s="1" t="s">
        <v>112</v>
      </c>
      <c r="G666" s="1">
        <v>3857562</v>
      </c>
    </row>
    <row r="667" spans="1:7" x14ac:dyDescent="0.25">
      <c r="A667" s="1" t="str">
        <f t="shared" si="10"/>
        <v>09  Testosterone 300 µg_L dopé</v>
      </c>
      <c r="B6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7" s="1" t="s">
        <v>4333</v>
      </c>
      <c r="D667" s="1" t="s">
        <v>4334</v>
      </c>
      <c r="E667" s="1" t="s">
        <v>4335</v>
      </c>
      <c r="F667" s="1" t="s">
        <v>112</v>
      </c>
      <c r="G667" s="1">
        <v>3992857</v>
      </c>
    </row>
    <row r="668" spans="1:7" x14ac:dyDescent="0.25">
      <c r="A668" s="1" t="str">
        <f t="shared" si="10"/>
        <v>09  Testosterone 300 µg_L dopé</v>
      </c>
      <c r="B6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68" s="1" t="s">
        <v>4336</v>
      </c>
    </row>
    <row r="669" spans="1:7" x14ac:dyDescent="0.25">
      <c r="A669" s="1" t="str">
        <f t="shared" si="10"/>
        <v>09  Testosterone 300 µg_L dopé</v>
      </c>
      <c r="B6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69" s="1" t="s">
        <v>4337</v>
      </c>
      <c r="D669" s="1" t="s">
        <v>4338</v>
      </c>
      <c r="E669" s="1" t="s">
        <v>4339</v>
      </c>
      <c r="F669" s="1" t="s">
        <v>112</v>
      </c>
      <c r="G669" s="1">
        <v>786095</v>
      </c>
    </row>
    <row r="670" spans="1:7" x14ac:dyDescent="0.25">
      <c r="A670" s="1" t="str">
        <f t="shared" si="10"/>
        <v>09  Testosterone 300 µg_L dopé</v>
      </c>
      <c r="B6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70" s="1" t="s">
        <v>4340</v>
      </c>
      <c r="D670" s="1" t="s">
        <v>4341</v>
      </c>
      <c r="E670" s="1" t="s">
        <v>4342</v>
      </c>
      <c r="F670" s="1" t="s">
        <v>112</v>
      </c>
      <c r="G670" s="1">
        <v>754018</v>
      </c>
    </row>
    <row r="671" spans="1:7" x14ac:dyDescent="0.25">
      <c r="A671" s="1" t="str">
        <f t="shared" si="10"/>
        <v>09  Testosterone 300 µg_L dopé</v>
      </c>
      <c r="B6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1" s="1" t="s">
        <v>4343</v>
      </c>
      <c r="D671" s="1" t="s">
        <v>2711</v>
      </c>
      <c r="E671" s="1" t="s">
        <v>4344</v>
      </c>
      <c r="F671" s="1" t="s">
        <v>112</v>
      </c>
      <c r="G671" s="1">
        <v>62532</v>
      </c>
    </row>
    <row r="672" spans="1:7" x14ac:dyDescent="0.25">
      <c r="A672" s="1" t="str">
        <f t="shared" si="10"/>
        <v>09  Testosterone 300 µg_L dopé</v>
      </c>
      <c r="B6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2" s="1" t="s">
        <v>4345</v>
      </c>
      <c r="D672" s="1" t="s">
        <v>4346</v>
      </c>
      <c r="E672" s="1" t="s">
        <v>4347</v>
      </c>
      <c r="F672" s="1" t="s">
        <v>112</v>
      </c>
      <c r="G672" s="1">
        <v>112800</v>
      </c>
    </row>
    <row r="673" spans="1:10" x14ac:dyDescent="0.25">
      <c r="A673" s="1" t="str">
        <f t="shared" si="10"/>
        <v>09  Testosterone 300 µg_L dopé</v>
      </c>
      <c r="B6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3" s="1" t="s">
        <v>4348</v>
      </c>
    </row>
    <row r="674" spans="1:10" x14ac:dyDescent="0.25">
      <c r="A674" s="1" t="str">
        <f t="shared" si="10"/>
        <v>09  Testosterone 300 µg_L dopé</v>
      </c>
      <c r="B6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4" s="1" t="s">
        <v>4349</v>
      </c>
      <c r="D674" s="1" t="s">
        <v>3043</v>
      </c>
      <c r="E674" s="1" t="s">
        <v>4350</v>
      </c>
      <c r="F674" s="1" t="s">
        <v>112</v>
      </c>
      <c r="G674" s="1">
        <v>2101085</v>
      </c>
    </row>
    <row r="675" spans="1:10" x14ac:dyDescent="0.25">
      <c r="A675" s="1" t="str">
        <f t="shared" si="10"/>
        <v>09  Testosterone 300 µg_L dopé</v>
      </c>
      <c r="B6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5" s="1" t="s">
        <v>4351</v>
      </c>
      <c r="D675" s="1" t="s">
        <v>2355</v>
      </c>
      <c r="E675" s="1" t="s">
        <v>4352</v>
      </c>
      <c r="F675" s="1" t="s">
        <v>112</v>
      </c>
      <c r="G675" s="1">
        <v>2014370</v>
      </c>
    </row>
    <row r="676" spans="1:10" x14ac:dyDescent="0.25">
      <c r="A676" s="1" t="str">
        <f t="shared" si="10"/>
        <v>09  Testosterone 300 µg_L dopé</v>
      </c>
      <c r="B6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6" s="1" t="s">
        <v>4353</v>
      </c>
      <c r="D676" s="1" t="s">
        <v>4354</v>
      </c>
      <c r="E676" s="1" t="s">
        <v>4355</v>
      </c>
      <c r="F676" s="1" t="s">
        <v>112</v>
      </c>
      <c r="G676" s="1">
        <v>2144431</v>
      </c>
    </row>
    <row r="677" spans="1:10" x14ac:dyDescent="0.25">
      <c r="A677" s="1" t="str">
        <f t="shared" si="10"/>
        <v>09  Testosterone 300 µg_L dopé</v>
      </c>
      <c r="B6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7" s="1" t="s">
        <v>4356</v>
      </c>
      <c r="D677" s="1" t="s">
        <v>4357</v>
      </c>
      <c r="E677" s="1" t="s">
        <v>4358</v>
      </c>
      <c r="F677" s="1" t="s">
        <v>112</v>
      </c>
      <c r="G677" s="1">
        <v>2331530</v>
      </c>
    </row>
    <row r="678" spans="1:10" x14ac:dyDescent="0.25">
      <c r="A678" s="1" t="str">
        <f t="shared" si="10"/>
        <v>09  Testosterone 300 µg_L dopé</v>
      </c>
      <c r="B6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8" s="1" t="s">
        <v>4359</v>
      </c>
      <c r="D678" s="1" t="s">
        <v>4360</v>
      </c>
      <c r="E678" s="1" t="s">
        <v>4361</v>
      </c>
      <c r="F678" s="1" t="s">
        <v>112</v>
      </c>
      <c r="G678" s="1">
        <v>1974615</v>
      </c>
    </row>
    <row r="679" spans="1:10" x14ac:dyDescent="0.25">
      <c r="A679" s="1" t="str">
        <f t="shared" si="10"/>
        <v>09  Testosterone 300 µg_L dopé</v>
      </c>
      <c r="B6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9" s="1" t="s">
        <v>4362</v>
      </c>
      <c r="D679" s="1" t="s">
        <v>1986</v>
      </c>
      <c r="E679" s="1" t="s">
        <v>4363</v>
      </c>
      <c r="F679" s="1" t="s">
        <v>112</v>
      </c>
      <c r="G679" s="1">
        <v>2557346</v>
      </c>
    </row>
    <row r="680" spans="1:10" x14ac:dyDescent="0.25">
      <c r="A680" s="1" t="str">
        <f t="shared" si="10"/>
        <v>09  Testosterone 300 µg_L dopé</v>
      </c>
      <c r="B6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0" s="1" t="s">
        <v>4364</v>
      </c>
      <c r="D680" s="1" t="s">
        <v>4365</v>
      </c>
      <c r="E680" s="1" t="s">
        <v>4366</v>
      </c>
      <c r="F680" s="1" t="s">
        <v>112</v>
      </c>
      <c r="G680" s="1">
        <v>4309216</v>
      </c>
    </row>
    <row r="681" spans="1:10" x14ac:dyDescent="0.25">
      <c r="A681" s="1" t="str">
        <f t="shared" si="10"/>
        <v>09  Testosterone 300 µg_L dopé</v>
      </c>
      <c r="B6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1" s="1" t="s">
        <v>4367</v>
      </c>
      <c r="D681" s="1" t="s">
        <v>4368</v>
      </c>
      <c r="E681" s="1" t="s">
        <v>4369</v>
      </c>
      <c r="F681" s="1" t="s">
        <v>112</v>
      </c>
      <c r="G681" s="1">
        <v>3992208</v>
      </c>
    </row>
    <row r="682" spans="1:10" x14ac:dyDescent="0.25">
      <c r="A682" s="1" t="str">
        <f t="shared" si="10"/>
        <v>09  Testosterone 300 µg_L dopé</v>
      </c>
      <c r="B6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2" s="1" t="s">
        <v>4370</v>
      </c>
      <c r="D682" s="1" t="s">
        <v>4371</v>
      </c>
      <c r="E682" s="1" t="s">
        <v>4372</v>
      </c>
      <c r="F682" s="1" t="s">
        <v>112</v>
      </c>
      <c r="G682" s="1">
        <v>4281529</v>
      </c>
    </row>
    <row r="683" spans="1:10" x14ac:dyDescent="0.25">
      <c r="A683" s="1" t="str">
        <f t="shared" si="10"/>
        <v>09  Testosterone 300 µg_L dopé</v>
      </c>
      <c r="B6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3" s="1" t="s">
        <v>4373</v>
      </c>
      <c r="D683" s="1" t="s">
        <v>3537</v>
      </c>
      <c r="E683" s="1" t="s">
        <v>4374</v>
      </c>
      <c r="F683" s="1" t="s">
        <v>112</v>
      </c>
      <c r="G683" s="1">
        <v>363123</v>
      </c>
    </row>
    <row r="684" spans="1:10" x14ac:dyDescent="0.25">
      <c r="A684" s="1" t="str">
        <f t="shared" si="10"/>
        <v>09  Testosterone 300 µg_L dopé</v>
      </c>
      <c r="B6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4" s="1" t="s">
        <v>4375</v>
      </c>
      <c r="D684" s="1" t="s">
        <v>4376</v>
      </c>
      <c r="E684" s="1" t="s">
        <v>4377</v>
      </c>
      <c r="F684" s="1" t="s">
        <v>112</v>
      </c>
      <c r="G684" s="1">
        <v>165058</v>
      </c>
    </row>
    <row r="685" spans="1:10" x14ac:dyDescent="0.25">
      <c r="A685" s="1" t="str">
        <f t="shared" si="10"/>
        <v>09  Testosterone 300 µg_L dopé</v>
      </c>
      <c r="B6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5" s="1" t="s">
        <v>4378</v>
      </c>
      <c r="D685" s="1" t="s">
        <v>4346</v>
      </c>
      <c r="E685" s="1" t="s">
        <v>4379</v>
      </c>
      <c r="F685" s="1" t="s">
        <v>112</v>
      </c>
      <c r="G685" s="1">
        <v>109144</v>
      </c>
    </row>
    <row r="686" spans="1:10" x14ac:dyDescent="0.25">
      <c r="A686" s="1" t="str">
        <f t="shared" si="10"/>
        <v/>
      </c>
      <c r="B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6" s="1" t="s">
        <v>112</v>
      </c>
    </row>
    <row r="687" spans="1:10" x14ac:dyDescent="0.25">
      <c r="A687" s="1" t="str">
        <f t="shared" si="10"/>
        <v/>
      </c>
      <c r="B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7" s="1" t="s">
        <v>229</v>
      </c>
      <c r="D687" s="1" t="s">
        <v>112</v>
      </c>
      <c r="E687" s="1" t="s">
        <v>230</v>
      </c>
      <c r="F687" s="1" t="s">
        <v>231</v>
      </c>
      <c r="G687" s="1" t="s">
        <v>232</v>
      </c>
      <c r="H687" s="1" t="s">
        <v>233</v>
      </c>
      <c r="I687" s="1" t="s">
        <v>234</v>
      </c>
      <c r="J687" s="1" t="s">
        <v>235</v>
      </c>
    </row>
    <row r="688" spans="1:10" x14ac:dyDescent="0.25">
      <c r="A688" s="1" t="str">
        <f t="shared" si="10"/>
        <v>09  Testosterone 300 µg_L dopé</v>
      </c>
      <c r="B6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88" s="1" t="s">
        <v>4380</v>
      </c>
      <c r="D688" s="1" t="s">
        <v>112</v>
      </c>
      <c r="E688" s="1" t="s">
        <v>4381</v>
      </c>
      <c r="F688" s="1" t="s">
        <v>4382</v>
      </c>
      <c r="G688" s="1" t="s">
        <v>4383</v>
      </c>
      <c r="H688" s="1" t="s">
        <v>4384</v>
      </c>
      <c r="I688" s="1">
        <v>24</v>
      </c>
      <c r="J688" s="1">
        <v>24</v>
      </c>
    </row>
    <row r="689" spans="1:3" x14ac:dyDescent="0.25">
      <c r="A689" s="1" t="str">
        <f t="shared" si="10"/>
        <v/>
      </c>
      <c r="B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9" s="1" t="s">
        <v>112</v>
      </c>
    </row>
    <row r="690" spans="1:3" x14ac:dyDescent="0.25">
      <c r="A690" s="1" t="str">
        <f t="shared" si="10"/>
        <v/>
      </c>
      <c r="B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90" s="1" t="s">
        <v>112</v>
      </c>
    </row>
    <row r="691" spans="1:3" x14ac:dyDescent="0.25">
      <c r="A691" s="1" t="str">
        <f t="shared" si="10"/>
        <v/>
      </c>
      <c r="B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2" spans="1:3" x14ac:dyDescent="0.25">
      <c r="A692" s="1" t="str">
        <f t="shared" si="10"/>
        <v/>
      </c>
      <c r="B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3" spans="1:3" x14ac:dyDescent="0.25">
      <c r="A693" s="1" t="str">
        <f t="shared" si="10"/>
        <v/>
      </c>
      <c r="B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4" spans="1:3" x14ac:dyDescent="0.25">
      <c r="A694" s="1" t="str">
        <f t="shared" si="10"/>
        <v/>
      </c>
      <c r="B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5" spans="1:3" x14ac:dyDescent="0.25">
      <c r="A695" s="1" t="str">
        <f t="shared" si="10"/>
        <v/>
      </c>
      <c r="B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6" spans="1:3" x14ac:dyDescent="0.25">
      <c r="A696" s="1" t="str">
        <f t="shared" si="10"/>
        <v/>
      </c>
      <c r="B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7" spans="1:3" x14ac:dyDescent="0.25">
      <c r="A697" s="1" t="str">
        <f t="shared" si="10"/>
        <v/>
      </c>
      <c r="B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8" spans="1:3" x14ac:dyDescent="0.25">
      <c r="A698" s="1" t="str">
        <f t="shared" si="10"/>
        <v/>
      </c>
      <c r="B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9" spans="1:3" x14ac:dyDescent="0.25">
      <c r="A699" s="1" t="str">
        <f t="shared" si="10"/>
        <v/>
      </c>
      <c r="B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0" spans="1:3" x14ac:dyDescent="0.25">
      <c r="A700" s="1" t="str">
        <f t="shared" si="10"/>
        <v/>
      </c>
      <c r="B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1" spans="1:3" x14ac:dyDescent="0.25">
      <c r="A701" s="1" t="str">
        <f t="shared" si="10"/>
        <v/>
      </c>
      <c r="B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2" spans="1:3" x14ac:dyDescent="0.25">
      <c r="A702" s="1" t="str">
        <f t="shared" si="10"/>
        <v/>
      </c>
      <c r="B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3" spans="1:3" x14ac:dyDescent="0.25">
      <c r="A703" s="1" t="str">
        <f t="shared" si="10"/>
        <v/>
      </c>
      <c r="B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4" spans="1:3" x14ac:dyDescent="0.25">
      <c r="A704" s="1" t="str">
        <f t="shared" si="10"/>
        <v/>
      </c>
      <c r="B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5" spans="1:2" x14ac:dyDescent="0.25">
      <c r="A705" s="1" t="str">
        <f t="shared" si="10"/>
        <v/>
      </c>
      <c r="B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6" spans="1:2" x14ac:dyDescent="0.25">
      <c r="A706" s="1" t="str">
        <f t="shared" ref="A706:A769" si="11">IFERROR(LEFT(RIGHT(C706,LEN(C706)-SEARCH("@",C706)),SEARCH("/",RIGHT(C706,LEN(C706)-SEARCH("@",C706)-1))),"")</f>
        <v/>
      </c>
      <c r="B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7" spans="1:2" x14ac:dyDescent="0.25">
      <c r="A707" s="1" t="str">
        <f t="shared" si="11"/>
        <v/>
      </c>
      <c r="B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8" spans="1:2" x14ac:dyDescent="0.25">
      <c r="A708" s="1" t="str">
        <f t="shared" si="11"/>
        <v/>
      </c>
      <c r="B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9" spans="1:2" x14ac:dyDescent="0.25">
      <c r="A709" s="1" t="str">
        <f t="shared" si="11"/>
        <v/>
      </c>
      <c r="B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0" spans="1:2" x14ac:dyDescent="0.25">
      <c r="A710" s="1" t="str">
        <f t="shared" si="11"/>
        <v/>
      </c>
      <c r="B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1" spans="1:2" x14ac:dyDescent="0.25">
      <c r="A711" s="1" t="str">
        <f t="shared" si="11"/>
        <v/>
      </c>
      <c r="B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2" spans="1:2" x14ac:dyDescent="0.25">
      <c r="A712" s="1" t="str">
        <f t="shared" si="11"/>
        <v/>
      </c>
      <c r="B7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3" spans="1:2" x14ac:dyDescent="0.25">
      <c r="A713" s="1" t="str">
        <f t="shared" si="11"/>
        <v/>
      </c>
      <c r="B7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4" spans="1:2" x14ac:dyDescent="0.25">
      <c r="A714" s="1" t="str">
        <f t="shared" si="11"/>
        <v/>
      </c>
      <c r="B7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5" spans="1:2" x14ac:dyDescent="0.25">
      <c r="A715" s="1" t="str">
        <f t="shared" si="11"/>
        <v/>
      </c>
      <c r="B7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6" spans="1:2" x14ac:dyDescent="0.25">
      <c r="A716" s="1" t="str">
        <f t="shared" si="11"/>
        <v/>
      </c>
      <c r="B7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7" spans="1:2" x14ac:dyDescent="0.25">
      <c r="A717" s="1" t="str">
        <f t="shared" si="11"/>
        <v/>
      </c>
      <c r="B7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8" spans="1:2" x14ac:dyDescent="0.25">
      <c r="A718" s="1" t="str">
        <f t="shared" si="11"/>
        <v/>
      </c>
      <c r="B7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9" spans="1:2" x14ac:dyDescent="0.25">
      <c r="A719" s="1" t="str">
        <f t="shared" si="11"/>
        <v/>
      </c>
      <c r="B7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0" spans="1:2" x14ac:dyDescent="0.25">
      <c r="A720" s="1" t="str">
        <f t="shared" si="11"/>
        <v/>
      </c>
      <c r="B7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1" spans="1:2" x14ac:dyDescent="0.25">
      <c r="A721" s="1" t="str">
        <f t="shared" si="11"/>
        <v/>
      </c>
      <c r="B7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2" spans="1:2" x14ac:dyDescent="0.25">
      <c r="A722" s="1" t="str">
        <f t="shared" si="11"/>
        <v/>
      </c>
      <c r="B7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3" spans="1:2" x14ac:dyDescent="0.25">
      <c r="A723" s="1" t="str">
        <f t="shared" si="11"/>
        <v/>
      </c>
      <c r="B7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4" spans="1:2" x14ac:dyDescent="0.25">
      <c r="A724" s="1" t="str">
        <f t="shared" si="11"/>
        <v/>
      </c>
      <c r="B7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5" spans="1:2" x14ac:dyDescent="0.25">
      <c r="A725" s="1" t="str">
        <f t="shared" si="11"/>
        <v/>
      </c>
      <c r="B7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6" spans="1:2" x14ac:dyDescent="0.25">
      <c r="A726" s="1" t="str">
        <f t="shared" si="11"/>
        <v/>
      </c>
      <c r="B7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7" spans="1:2" x14ac:dyDescent="0.25">
      <c r="A727" s="1" t="str">
        <f t="shared" si="11"/>
        <v/>
      </c>
      <c r="B7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8" spans="1:2" x14ac:dyDescent="0.25">
      <c r="A728" s="1" t="str">
        <f t="shared" si="11"/>
        <v/>
      </c>
      <c r="B7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9" spans="1:2" x14ac:dyDescent="0.25">
      <c r="A729" s="1" t="str">
        <f t="shared" si="11"/>
        <v/>
      </c>
      <c r="B7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0" spans="1:2" x14ac:dyDescent="0.25">
      <c r="A730" s="1" t="str">
        <f t="shared" si="11"/>
        <v/>
      </c>
      <c r="B7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1" spans="1:2" x14ac:dyDescent="0.25">
      <c r="A731" s="1" t="str">
        <f t="shared" si="11"/>
        <v/>
      </c>
      <c r="B7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2" spans="1:2" x14ac:dyDescent="0.25">
      <c r="A732" s="1" t="str">
        <f t="shared" si="11"/>
        <v/>
      </c>
      <c r="B7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3" spans="1:2" x14ac:dyDescent="0.25">
      <c r="A733" s="1" t="str">
        <f t="shared" si="11"/>
        <v/>
      </c>
      <c r="B7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4" spans="1:2" x14ac:dyDescent="0.25">
      <c r="A734" s="1" t="str">
        <f t="shared" si="11"/>
        <v/>
      </c>
      <c r="B7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5" spans="1:2" x14ac:dyDescent="0.25">
      <c r="A735" s="1" t="str">
        <f t="shared" si="11"/>
        <v/>
      </c>
      <c r="B7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6" spans="1:2" x14ac:dyDescent="0.25">
      <c r="A736" s="1" t="str">
        <f t="shared" si="11"/>
        <v/>
      </c>
      <c r="B7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7" spans="1:2" x14ac:dyDescent="0.25">
      <c r="A737" s="1" t="str">
        <f t="shared" si="11"/>
        <v/>
      </c>
      <c r="B7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8" spans="1:2" x14ac:dyDescent="0.25">
      <c r="A738" s="1" t="str">
        <f t="shared" si="11"/>
        <v/>
      </c>
      <c r="B7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9" spans="1:2" x14ac:dyDescent="0.25">
      <c r="A739" s="1" t="str">
        <f t="shared" si="11"/>
        <v/>
      </c>
      <c r="B7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0" spans="1:2" x14ac:dyDescent="0.25">
      <c r="A740" s="1" t="str">
        <f t="shared" si="11"/>
        <v/>
      </c>
      <c r="B7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1" spans="1:2" x14ac:dyDescent="0.25">
      <c r="A741" s="1" t="str">
        <f t="shared" si="11"/>
        <v/>
      </c>
      <c r="B7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2" spans="1:2" x14ac:dyDescent="0.25">
      <c r="A742" s="1" t="str">
        <f t="shared" si="11"/>
        <v/>
      </c>
      <c r="B7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3" spans="1:2" x14ac:dyDescent="0.25">
      <c r="A743" s="1" t="str">
        <f t="shared" si="11"/>
        <v/>
      </c>
      <c r="B7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4" spans="1:2" x14ac:dyDescent="0.25">
      <c r="A744" s="1" t="str">
        <f t="shared" si="11"/>
        <v/>
      </c>
      <c r="B7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5" spans="1:2" x14ac:dyDescent="0.25">
      <c r="A745" s="1" t="str">
        <f t="shared" si="11"/>
        <v/>
      </c>
      <c r="B7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6" spans="1:2" x14ac:dyDescent="0.25">
      <c r="A746" s="1" t="str">
        <f t="shared" si="11"/>
        <v/>
      </c>
      <c r="B7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7" spans="1:2" x14ac:dyDescent="0.25">
      <c r="A747" s="1" t="str">
        <f t="shared" si="11"/>
        <v/>
      </c>
      <c r="B7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8" spans="1:2" x14ac:dyDescent="0.25">
      <c r="A748" s="1" t="str">
        <f t="shared" si="11"/>
        <v/>
      </c>
      <c r="B7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9" spans="1:2" x14ac:dyDescent="0.25">
      <c r="A749" s="1" t="str">
        <f t="shared" si="11"/>
        <v/>
      </c>
      <c r="B7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0" spans="1:2" x14ac:dyDescent="0.25">
      <c r="A750" s="1" t="str">
        <f t="shared" si="11"/>
        <v/>
      </c>
      <c r="B7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1" spans="1:2" x14ac:dyDescent="0.25">
      <c r="A751" s="1" t="str">
        <f t="shared" si="11"/>
        <v/>
      </c>
      <c r="B7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2" spans="1:2" x14ac:dyDescent="0.25">
      <c r="A752" s="1" t="str">
        <f t="shared" si="11"/>
        <v/>
      </c>
      <c r="B7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3" spans="1:2" x14ac:dyDescent="0.25">
      <c r="A753" s="1" t="str">
        <f t="shared" si="11"/>
        <v/>
      </c>
      <c r="B7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4" spans="1:2" x14ac:dyDescent="0.25">
      <c r="A754" s="1" t="str">
        <f t="shared" si="11"/>
        <v/>
      </c>
      <c r="B7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5" spans="1:2" x14ac:dyDescent="0.25">
      <c r="A755" s="1" t="str">
        <f t="shared" si="11"/>
        <v/>
      </c>
      <c r="B7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6" spans="1:2" x14ac:dyDescent="0.25">
      <c r="A756" s="1" t="str">
        <f t="shared" si="11"/>
        <v/>
      </c>
      <c r="B7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7" spans="1:2" x14ac:dyDescent="0.25">
      <c r="A757" s="1" t="str">
        <f t="shared" si="11"/>
        <v/>
      </c>
      <c r="B7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8" spans="1:2" x14ac:dyDescent="0.25">
      <c r="A758" s="1" t="str">
        <f t="shared" si="11"/>
        <v/>
      </c>
      <c r="B7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9" spans="1:2" x14ac:dyDescent="0.25">
      <c r="A759" s="1" t="str">
        <f t="shared" si="11"/>
        <v/>
      </c>
      <c r="B7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0" spans="1:2" x14ac:dyDescent="0.25">
      <c r="A760" s="1" t="str">
        <f t="shared" si="11"/>
        <v/>
      </c>
      <c r="B7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1" spans="1:2" x14ac:dyDescent="0.25">
      <c r="A761" s="1" t="str">
        <f t="shared" si="11"/>
        <v/>
      </c>
      <c r="B7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2" spans="1:2" x14ac:dyDescent="0.25">
      <c r="A762" s="1" t="str">
        <f t="shared" si="11"/>
        <v/>
      </c>
      <c r="B7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3" spans="1:2" x14ac:dyDescent="0.25">
      <c r="A763" s="1" t="str">
        <f t="shared" si="11"/>
        <v/>
      </c>
      <c r="B7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4" spans="1:2" x14ac:dyDescent="0.25">
      <c r="A764" s="1" t="str">
        <f t="shared" si="11"/>
        <v/>
      </c>
      <c r="B7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5" spans="1:2" x14ac:dyDescent="0.25">
      <c r="A765" s="1" t="str">
        <f t="shared" si="11"/>
        <v/>
      </c>
      <c r="B7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6" spans="1:2" x14ac:dyDescent="0.25">
      <c r="A766" s="1" t="str">
        <f t="shared" si="11"/>
        <v/>
      </c>
      <c r="B7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7" spans="1:2" x14ac:dyDescent="0.25">
      <c r="A767" s="1" t="str">
        <f t="shared" si="11"/>
        <v/>
      </c>
      <c r="B7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8" spans="1:2" x14ac:dyDescent="0.25">
      <c r="A768" s="1" t="str">
        <f t="shared" si="11"/>
        <v/>
      </c>
      <c r="B7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9" spans="1:2" x14ac:dyDescent="0.25">
      <c r="A769" s="1" t="str">
        <f t="shared" si="11"/>
        <v/>
      </c>
      <c r="B7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0" spans="1:2" x14ac:dyDescent="0.25">
      <c r="A770" s="1" t="str">
        <f t="shared" ref="A770:A833" si="12">IFERROR(LEFT(RIGHT(C770,LEN(C770)-SEARCH("@",C770)),SEARCH("/",RIGHT(C770,LEN(C770)-SEARCH("@",C770)-1))),"")</f>
        <v/>
      </c>
      <c r="B7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1" spans="1:2" x14ac:dyDescent="0.25">
      <c r="A771" s="1" t="str">
        <f t="shared" si="12"/>
        <v/>
      </c>
      <c r="B7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2" spans="1:2" x14ac:dyDescent="0.25">
      <c r="A772" s="1" t="str">
        <f t="shared" si="12"/>
        <v/>
      </c>
      <c r="B7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3" spans="1:2" x14ac:dyDescent="0.25">
      <c r="A773" s="1" t="str">
        <f t="shared" si="12"/>
        <v/>
      </c>
      <c r="B7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4" spans="1:2" x14ac:dyDescent="0.25">
      <c r="A774" s="1" t="str">
        <f t="shared" si="12"/>
        <v/>
      </c>
      <c r="B7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5" spans="1:2" x14ac:dyDescent="0.25">
      <c r="A775" s="1" t="str">
        <f t="shared" si="12"/>
        <v/>
      </c>
      <c r="B7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6" spans="1:2" x14ac:dyDescent="0.25">
      <c r="A776" s="1" t="str">
        <f t="shared" si="12"/>
        <v/>
      </c>
      <c r="B7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7" spans="1:2" x14ac:dyDescent="0.25">
      <c r="A777" s="1" t="str">
        <f t="shared" si="12"/>
        <v/>
      </c>
      <c r="B7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8" spans="1:2" x14ac:dyDescent="0.25">
      <c r="A778" s="1" t="str">
        <f t="shared" si="12"/>
        <v/>
      </c>
      <c r="B7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9" spans="1:2" x14ac:dyDescent="0.25">
      <c r="A779" s="1" t="str">
        <f t="shared" si="12"/>
        <v/>
      </c>
      <c r="B7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0" spans="1:2" x14ac:dyDescent="0.25">
      <c r="A780" s="1" t="str">
        <f t="shared" si="12"/>
        <v/>
      </c>
      <c r="B7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1" spans="1:2" x14ac:dyDescent="0.25">
      <c r="A781" s="1" t="str">
        <f t="shared" si="12"/>
        <v/>
      </c>
      <c r="B7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2" spans="1:2" x14ac:dyDescent="0.25">
      <c r="A782" s="1" t="str">
        <f t="shared" si="12"/>
        <v/>
      </c>
      <c r="B7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3" spans="1:2" x14ac:dyDescent="0.25">
      <c r="A783" s="1" t="str">
        <f t="shared" si="12"/>
        <v/>
      </c>
      <c r="B7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4" spans="1:2" x14ac:dyDescent="0.25">
      <c r="A784" s="1" t="str">
        <f t="shared" si="12"/>
        <v/>
      </c>
      <c r="B7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5" spans="1:2" x14ac:dyDescent="0.25">
      <c r="A785" s="1" t="str">
        <f t="shared" si="12"/>
        <v/>
      </c>
      <c r="B7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6" spans="1:2" x14ac:dyDescent="0.25">
      <c r="A786" s="1" t="str">
        <f t="shared" si="12"/>
        <v/>
      </c>
      <c r="B7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7" spans="1:2" x14ac:dyDescent="0.25">
      <c r="A787" s="1" t="str">
        <f t="shared" si="12"/>
        <v/>
      </c>
      <c r="B7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8" spans="1:2" x14ac:dyDescent="0.25">
      <c r="A788" s="1" t="str">
        <f t="shared" si="12"/>
        <v/>
      </c>
      <c r="B7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9" spans="1:2" x14ac:dyDescent="0.25">
      <c r="A789" s="1" t="str">
        <f t="shared" si="12"/>
        <v/>
      </c>
      <c r="B7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0" spans="1:2" x14ac:dyDescent="0.25">
      <c r="A790" s="1" t="str">
        <f t="shared" si="12"/>
        <v/>
      </c>
      <c r="B7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1" spans="1:2" x14ac:dyDescent="0.25">
      <c r="A791" s="1" t="str">
        <f t="shared" si="12"/>
        <v/>
      </c>
      <c r="B7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2" spans="1:2" x14ac:dyDescent="0.25">
      <c r="A792" s="1" t="str">
        <f t="shared" si="12"/>
        <v/>
      </c>
      <c r="B7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3" spans="1:2" x14ac:dyDescent="0.25">
      <c r="A793" s="1" t="str">
        <f t="shared" si="12"/>
        <v/>
      </c>
      <c r="B7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4" spans="1:2" x14ac:dyDescent="0.25">
      <c r="A794" s="1" t="str">
        <f t="shared" si="12"/>
        <v/>
      </c>
      <c r="B7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5" spans="1:2" x14ac:dyDescent="0.25">
      <c r="A795" s="1" t="str">
        <f t="shared" si="12"/>
        <v/>
      </c>
      <c r="B7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6" spans="1:2" x14ac:dyDescent="0.25">
      <c r="A796" s="1" t="str">
        <f t="shared" si="12"/>
        <v/>
      </c>
      <c r="B7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7" spans="1:2" x14ac:dyDescent="0.25">
      <c r="A797" s="1" t="str">
        <f t="shared" si="12"/>
        <v/>
      </c>
      <c r="B7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8" spans="1:2" x14ac:dyDescent="0.25">
      <c r="A798" s="1" t="str">
        <f t="shared" si="12"/>
        <v/>
      </c>
      <c r="B7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9" spans="1:2" x14ac:dyDescent="0.25">
      <c r="A799" s="1" t="str">
        <f t="shared" si="12"/>
        <v/>
      </c>
      <c r="B7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0" spans="1:2" x14ac:dyDescent="0.25">
      <c r="A800" s="1" t="str">
        <f t="shared" si="12"/>
        <v/>
      </c>
      <c r="B8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1" spans="1:2" x14ac:dyDescent="0.25">
      <c r="A801" s="1" t="str">
        <f t="shared" si="12"/>
        <v/>
      </c>
      <c r="B8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2" spans="1:2" x14ac:dyDescent="0.25">
      <c r="A802" s="1" t="str">
        <f t="shared" si="12"/>
        <v/>
      </c>
      <c r="B8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3" spans="1:2" x14ac:dyDescent="0.25">
      <c r="A803" s="1" t="str">
        <f t="shared" si="12"/>
        <v/>
      </c>
      <c r="B8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4" spans="1:2" x14ac:dyDescent="0.25">
      <c r="A804" s="1" t="str">
        <f t="shared" si="12"/>
        <v/>
      </c>
      <c r="B8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5" spans="1:2" x14ac:dyDescent="0.25">
      <c r="A805" s="1" t="str">
        <f t="shared" si="12"/>
        <v/>
      </c>
      <c r="B8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6" spans="1:2" x14ac:dyDescent="0.25">
      <c r="A806" s="1" t="str">
        <f t="shared" si="12"/>
        <v/>
      </c>
      <c r="B8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7" spans="1:2" x14ac:dyDescent="0.25">
      <c r="A807" s="1" t="str">
        <f t="shared" si="12"/>
        <v/>
      </c>
      <c r="B8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8" spans="1:2" x14ac:dyDescent="0.25">
      <c r="A808" s="1" t="str">
        <f t="shared" si="12"/>
        <v/>
      </c>
      <c r="B8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9" spans="1:2" x14ac:dyDescent="0.25">
      <c r="A809" s="1" t="str">
        <f t="shared" si="12"/>
        <v/>
      </c>
      <c r="B8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0" spans="1:2" x14ac:dyDescent="0.25">
      <c r="A810" s="1" t="str">
        <f t="shared" si="12"/>
        <v/>
      </c>
      <c r="B8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1" spans="1:2" x14ac:dyDescent="0.25">
      <c r="A811" s="1" t="str">
        <f t="shared" si="12"/>
        <v/>
      </c>
      <c r="B8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2" spans="1:2" x14ac:dyDescent="0.25">
      <c r="A812" s="1" t="str">
        <f t="shared" si="12"/>
        <v/>
      </c>
      <c r="B8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3" spans="1:2" x14ac:dyDescent="0.25">
      <c r="A813" s="1" t="str">
        <f t="shared" si="12"/>
        <v/>
      </c>
      <c r="B8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4" spans="1:2" x14ac:dyDescent="0.25">
      <c r="A814" s="1" t="str">
        <f t="shared" si="12"/>
        <v/>
      </c>
      <c r="B8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5" spans="1:2" x14ac:dyDescent="0.25">
      <c r="A815" s="1" t="str">
        <f t="shared" si="12"/>
        <v/>
      </c>
      <c r="B8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6" spans="1:2" x14ac:dyDescent="0.25">
      <c r="A816" s="1" t="str">
        <f t="shared" si="12"/>
        <v/>
      </c>
      <c r="B8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7" spans="1:2" x14ac:dyDescent="0.25">
      <c r="A817" s="1" t="str">
        <f t="shared" si="12"/>
        <v/>
      </c>
      <c r="B8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8" spans="1:2" x14ac:dyDescent="0.25">
      <c r="A818" s="1" t="str">
        <f t="shared" si="12"/>
        <v/>
      </c>
      <c r="B8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9" spans="1:2" x14ac:dyDescent="0.25">
      <c r="A819" s="1" t="str">
        <f t="shared" si="12"/>
        <v/>
      </c>
      <c r="B8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0" spans="1:2" x14ac:dyDescent="0.25">
      <c r="A820" s="1" t="str">
        <f t="shared" si="12"/>
        <v/>
      </c>
      <c r="B8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1" spans="1:2" x14ac:dyDescent="0.25">
      <c r="A821" s="1" t="str">
        <f t="shared" si="12"/>
        <v/>
      </c>
      <c r="B8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2" spans="1:2" x14ac:dyDescent="0.25">
      <c r="A822" s="1" t="str">
        <f t="shared" si="12"/>
        <v/>
      </c>
      <c r="B8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3" spans="1:2" x14ac:dyDescent="0.25">
      <c r="A823" s="1" t="str">
        <f t="shared" si="12"/>
        <v/>
      </c>
      <c r="B8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4" spans="1:2" x14ac:dyDescent="0.25">
      <c r="A824" s="1" t="str">
        <f t="shared" si="12"/>
        <v/>
      </c>
      <c r="B8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5" spans="1:2" x14ac:dyDescent="0.25">
      <c r="A825" s="1" t="str">
        <f t="shared" si="12"/>
        <v/>
      </c>
      <c r="B8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6" spans="1:2" x14ac:dyDescent="0.25">
      <c r="A826" s="1" t="str">
        <f t="shared" si="12"/>
        <v/>
      </c>
      <c r="B8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7" spans="1:2" x14ac:dyDescent="0.25">
      <c r="A827" s="1" t="str">
        <f t="shared" si="12"/>
        <v/>
      </c>
      <c r="B8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8" spans="1:2" x14ac:dyDescent="0.25">
      <c r="A828" s="1" t="str">
        <f t="shared" si="12"/>
        <v/>
      </c>
      <c r="B8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9" spans="1:2" x14ac:dyDescent="0.25">
      <c r="A829" s="1" t="str">
        <f t="shared" si="12"/>
        <v/>
      </c>
      <c r="B8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0" spans="1:2" x14ac:dyDescent="0.25">
      <c r="A830" s="1" t="str">
        <f t="shared" si="12"/>
        <v/>
      </c>
      <c r="B8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1" spans="1:2" x14ac:dyDescent="0.25">
      <c r="A831" s="1" t="str">
        <f t="shared" si="12"/>
        <v/>
      </c>
      <c r="B8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2" spans="1:2" x14ac:dyDescent="0.25">
      <c r="A832" s="1" t="str">
        <f t="shared" si="12"/>
        <v/>
      </c>
      <c r="B8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3" spans="1:2" x14ac:dyDescent="0.25">
      <c r="A833" s="1" t="str">
        <f t="shared" si="12"/>
        <v/>
      </c>
      <c r="B8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4" spans="1:2" x14ac:dyDescent="0.25">
      <c r="A834" s="1" t="str">
        <f t="shared" ref="A834:A897" si="13">IFERROR(LEFT(RIGHT(C834,LEN(C834)-SEARCH("@",C834)),SEARCH("/",RIGHT(C834,LEN(C834)-SEARCH("@",C834)-1))),"")</f>
        <v/>
      </c>
      <c r="B8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5" spans="1:2" x14ac:dyDescent="0.25">
      <c r="A835" s="1" t="str">
        <f t="shared" si="13"/>
        <v/>
      </c>
      <c r="B8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6" spans="1:2" x14ac:dyDescent="0.25">
      <c r="A836" s="1" t="str">
        <f t="shared" si="13"/>
        <v/>
      </c>
      <c r="B8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7" spans="1:2" x14ac:dyDescent="0.25">
      <c r="A837" s="1" t="str">
        <f t="shared" si="13"/>
        <v/>
      </c>
      <c r="B8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8" spans="1:2" x14ac:dyDescent="0.25">
      <c r="A838" s="1" t="str">
        <f t="shared" si="13"/>
        <v/>
      </c>
      <c r="B8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9" spans="1:2" x14ac:dyDescent="0.25">
      <c r="A839" s="1" t="str">
        <f t="shared" si="13"/>
        <v/>
      </c>
      <c r="B8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0" spans="1:2" x14ac:dyDescent="0.25">
      <c r="A840" s="1" t="str">
        <f t="shared" si="13"/>
        <v/>
      </c>
      <c r="B8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1" spans="1:2" x14ac:dyDescent="0.25">
      <c r="A841" s="1" t="str">
        <f t="shared" si="13"/>
        <v/>
      </c>
      <c r="B8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2" spans="1:2" x14ac:dyDescent="0.25">
      <c r="A842" s="1" t="str">
        <f t="shared" si="13"/>
        <v/>
      </c>
      <c r="B8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3" spans="1:2" x14ac:dyDescent="0.25">
      <c r="A843" s="1" t="str">
        <f t="shared" si="13"/>
        <v/>
      </c>
      <c r="B8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4" spans="1:2" x14ac:dyDescent="0.25">
      <c r="A844" s="1" t="str">
        <f t="shared" si="13"/>
        <v/>
      </c>
      <c r="B8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5" spans="1:2" x14ac:dyDescent="0.25">
      <c r="A845" s="1" t="str">
        <f t="shared" si="13"/>
        <v/>
      </c>
      <c r="B8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6" spans="1:2" x14ac:dyDescent="0.25">
      <c r="A846" s="1" t="str">
        <f t="shared" si="13"/>
        <v/>
      </c>
      <c r="B8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7" spans="1:2" x14ac:dyDescent="0.25">
      <c r="A847" s="1" t="str">
        <f t="shared" si="13"/>
        <v/>
      </c>
      <c r="B8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8" spans="1:2" x14ac:dyDescent="0.25">
      <c r="A848" s="1" t="str">
        <f t="shared" si="13"/>
        <v/>
      </c>
      <c r="B8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9" spans="1:2" x14ac:dyDescent="0.25">
      <c r="A849" s="1" t="str">
        <f t="shared" si="13"/>
        <v/>
      </c>
      <c r="B8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0" spans="1:2" x14ac:dyDescent="0.25">
      <c r="A850" s="1" t="str">
        <f t="shared" si="13"/>
        <v/>
      </c>
      <c r="B8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1" spans="1:2" x14ac:dyDescent="0.25">
      <c r="A851" s="1" t="str">
        <f t="shared" si="13"/>
        <v/>
      </c>
      <c r="B8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2" spans="1:2" x14ac:dyDescent="0.25">
      <c r="A852" s="1" t="str">
        <f t="shared" si="13"/>
        <v/>
      </c>
      <c r="B8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3" spans="1:2" x14ac:dyDescent="0.25">
      <c r="A853" s="1" t="str">
        <f t="shared" si="13"/>
        <v/>
      </c>
      <c r="B8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4" spans="1:2" x14ac:dyDescent="0.25">
      <c r="A854" s="1" t="str">
        <f t="shared" si="13"/>
        <v/>
      </c>
      <c r="B8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5" spans="1:2" x14ac:dyDescent="0.25">
      <c r="A855" s="1" t="str">
        <f t="shared" si="13"/>
        <v/>
      </c>
      <c r="B8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6" spans="1:2" x14ac:dyDescent="0.25">
      <c r="A856" s="1" t="str">
        <f t="shared" si="13"/>
        <v/>
      </c>
      <c r="B8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7" spans="1:2" x14ac:dyDescent="0.25">
      <c r="A857" s="1" t="str">
        <f t="shared" si="13"/>
        <v/>
      </c>
      <c r="B8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8" spans="1:2" x14ac:dyDescent="0.25">
      <c r="A858" s="1" t="str">
        <f t="shared" si="13"/>
        <v/>
      </c>
      <c r="B8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9" spans="1:2" x14ac:dyDescent="0.25">
      <c r="A859" s="1" t="str">
        <f t="shared" si="13"/>
        <v/>
      </c>
      <c r="B8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0" spans="1:2" x14ac:dyDescent="0.25">
      <c r="A860" s="1" t="str">
        <f t="shared" si="13"/>
        <v/>
      </c>
      <c r="B8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1" spans="1:2" x14ac:dyDescent="0.25">
      <c r="A861" s="1" t="str">
        <f t="shared" si="13"/>
        <v/>
      </c>
      <c r="B8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2" spans="1:2" x14ac:dyDescent="0.25">
      <c r="A862" s="1" t="str">
        <f t="shared" si="13"/>
        <v/>
      </c>
      <c r="B8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3" spans="1:2" x14ac:dyDescent="0.25">
      <c r="A863" s="1" t="str">
        <f t="shared" si="13"/>
        <v/>
      </c>
      <c r="B8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4" spans="1:2" x14ac:dyDescent="0.25">
      <c r="A864" s="1" t="str">
        <f t="shared" si="13"/>
        <v/>
      </c>
      <c r="B8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5" spans="1:2" x14ac:dyDescent="0.25">
      <c r="A865" s="1" t="str">
        <f t="shared" si="13"/>
        <v/>
      </c>
      <c r="B8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6" spans="1:2" x14ac:dyDescent="0.25">
      <c r="A866" s="1" t="str">
        <f t="shared" si="13"/>
        <v/>
      </c>
      <c r="B8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7" spans="1:2" x14ac:dyDescent="0.25">
      <c r="A867" s="1" t="str">
        <f t="shared" si="13"/>
        <v/>
      </c>
      <c r="B8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8" spans="1:2" x14ac:dyDescent="0.25">
      <c r="A868" s="1" t="str">
        <f t="shared" si="13"/>
        <v/>
      </c>
      <c r="B8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9" spans="1:2" x14ac:dyDescent="0.25">
      <c r="A869" s="1" t="str">
        <f t="shared" si="13"/>
        <v/>
      </c>
      <c r="B8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0" spans="1:2" x14ac:dyDescent="0.25">
      <c r="A870" s="1" t="str">
        <f t="shared" si="13"/>
        <v/>
      </c>
      <c r="B8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1" spans="1:2" x14ac:dyDescent="0.25">
      <c r="A871" s="1" t="str">
        <f t="shared" si="13"/>
        <v/>
      </c>
      <c r="B8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2" spans="1:2" x14ac:dyDescent="0.25">
      <c r="A872" s="1" t="str">
        <f t="shared" si="13"/>
        <v/>
      </c>
      <c r="B8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3" spans="1:2" x14ac:dyDescent="0.25">
      <c r="A873" s="1" t="str">
        <f t="shared" si="13"/>
        <v/>
      </c>
      <c r="B8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4" spans="1:2" x14ac:dyDescent="0.25">
      <c r="A874" s="1" t="str">
        <f t="shared" si="13"/>
        <v/>
      </c>
      <c r="B8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5" spans="1:2" x14ac:dyDescent="0.25">
      <c r="A875" s="1" t="str">
        <f t="shared" si="13"/>
        <v/>
      </c>
      <c r="B8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6" spans="1:2" x14ac:dyDescent="0.25">
      <c r="A876" s="1" t="str">
        <f t="shared" si="13"/>
        <v/>
      </c>
      <c r="B8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7" spans="1:2" x14ac:dyDescent="0.25">
      <c r="A877" s="1" t="str">
        <f t="shared" si="13"/>
        <v/>
      </c>
      <c r="B8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8" spans="1:2" x14ac:dyDescent="0.25">
      <c r="A878" s="1" t="str">
        <f t="shared" si="13"/>
        <v/>
      </c>
      <c r="B8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9" spans="1:2" x14ac:dyDescent="0.25">
      <c r="A879" s="1" t="str">
        <f t="shared" si="13"/>
        <v/>
      </c>
      <c r="B8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0" spans="1:2" x14ac:dyDescent="0.25">
      <c r="A880" s="1" t="str">
        <f t="shared" si="13"/>
        <v/>
      </c>
      <c r="B8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1" spans="1:2" x14ac:dyDescent="0.25">
      <c r="A881" s="1" t="str">
        <f t="shared" si="13"/>
        <v/>
      </c>
      <c r="B8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2" spans="1:2" x14ac:dyDescent="0.25">
      <c r="A882" s="1" t="str">
        <f t="shared" si="13"/>
        <v/>
      </c>
      <c r="B8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3" spans="1:2" x14ac:dyDescent="0.25">
      <c r="A883" s="1" t="str">
        <f t="shared" si="13"/>
        <v/>
      </c>
      <c r="B8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4" spans="1:2" x14ac:dyDescent="0.25">
      <c r="A884" s="1" t="str">
        <f t="shared" si="13"/>
        <v/>
      </c>
      <c r="B8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5" spans="1:2" x14ac:dyDescent="0.25">
      <c r="A885" s="1" t="str">
        <f t="shared" si="13"/>
        <v/>
      </c>
      <c r="B8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6" spans="1:2" x14ac:dyDescent="0.25">
      <c r="A886" s="1" t="str">
        <f t="shared" si="13"/>
        <v/>
      </c>
      <c r="B8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7" spans="1:2" x14ac:dyDescent="0.25">
      <c r="A887" s="1" t="str">
        <f t="shared" si="13"/>
        <v/>
      </c>
      <c r="B8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8" spans="1:2" x14ac:dyDescent="0.25">
      <c r="A888" s="1" t="str">
        <f t="shared" si="13"/>
        <v/>
      </c>
      <c r="B8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9" spans="1:2" x14ac:dyDescent="0.25">
      <c r="A889" s="1" t="str">
        <f t="shared" si="13"/>
        <v/>
      </c>
      <c r="B8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0" spans="1:2" x14ac:dyDescent="0.25">
      <c r="A890" s="1" t="str">
        <f t="shared" si="13"/>
        <v/>
      </c>
      <c r="B8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1" spans="1:2" x14ac:dyDescent="0.25">
      <c r="A891" s="1" t="str">
        <f t="shared" si="13"/>
        <v/>
      </c>
      <c r="B8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2" spans="1:2" x14ac:dyDescent="0.25">
      <c r="A892" s="1" t="str">
        <f t="shared" si="13"/>
        <v/>
      </c>
      <c r="B8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3" spans="1:2" x14ac:dyDescent="0.25">
      <c r="A893" s="1" t="str">
        <f t="shared" si="13"/>
        <v/>
      </c>
      <c r="B8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4" spans="1:2" x14ac:dyDescent="0.25">
      <c r="A894" s="1" t="str">
        <f t="shared" si="13"/>
        <v/>
      </c>
      <c r="B8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5" spans="1:2" x14ac:dyDescent="0.25">
      <c r="A895" s="1" t="str">
        <f t="shared" si="13"/>
        <v/>
      </c>
      <c r="B8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6" spans="1:2" x14ac:dyDescent="0.25">
      <c r="A896" s="1" t="str">
        <f t="shared" si="13"/>
        <v/>
      </c>
      <c r="B8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7" spans="1:2" x14ac:dyDescent="0.25">
      <c r="A897" s="1" t="str">
        <f t="shared" si="13"/>
        <v/>
      </c>
      <c r="B8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8" spans="1:2" x14ac:dyDescent="0.25">
      <c r="A898" s="1" t="str">
        <f t="shared" ref="A898:A961" si="14">IFERROR(LEFT(RIGHT(C898,LEN(C898)-SEARCH("@",C898)),SEARCH("/",RIGHT(C898,LEN(C898)-SEARCH("@",C898)-1))),"")</f>
        <v/>
      </c>
      <c r="B8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9" spans="1:2" x14ac:dyDescent="0.25">
      <c r="A899" s="1" t="str">
        <f t="shared" si="14"/>
        <v/>
      </c>
      <c r="B8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0" spans="1:2" x14ac:dyDescent="0.25">
      <c r="A900" s="1" t="str">
        <f t="shared" si="14"/>
        <v/>
      </c>
      <c r="B9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1" spans="1:2" x14ac:dyDescent="0.25">
      <c r="A901" s="1" t="str">
        <f t="shared" si="14"/>
        <v/>
      </c>
      <c r="B9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2" spans="1:2" x14ac:dyDescent="0.25">
      <c r="A902" s="1" t="str">
        <f t="shared" si="14"/>
        <v/>
      </c>
      <c r="B9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3" spans="1:2" x14ac:dyDescent="0.25">
      <c r="A903" s="1" t="str">
        <f t="shared" si="14"/>
        <v/>
      </c>
      <c r="B9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4" spans="1:2" x14ac:dyDescent="0.25">
      <c r="A904" s="1" t="str">
        <f t="shared" si="14"/>
        <v/>
      </c>
      <c r="B9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5" spans="1:2" x14ac:dyDescent="0.25">
      <c r="A905" s="1" t="str">
        <f t="shared" si="14"/>
        <v/>
      </c>
      <c r="B9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6" spans="1:2" x14ac:dyDescent="0.25">
      <c r="A906" s="1" t="str">
        <f t="shared" si="14"/>
        <v/>
      </c>
      <c r="B9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7" spans="1:2" x14ac:dyDescent="0.25">
      <c r="A907" s="1" t="str">
        <f t="shared" si="14"/>
        <v/>
      </c>
      <c r="B9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8" spans="1:2" x14ac:dyDescent="0.25">
      <c r="A908" s="1" t="str">
        <f t="shared" si="14"/>
        <v/>
      </c>
      <c r="B9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9" spans="1:2" x14ac:dyDescent="0.25">
      <c r="A909" s="1" t="str">
        <f t="shared" si="14"/>
        <v/>
      </c>
      <c r="B9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0" spans="1:2" x14ac:dyDescent="0.25">
      <c r="A910" s="1" t="str">
        <f t="shared" si="14"/>
        <v/>
      </c>
      <c r="B9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1" spans="1:2" x14ac:dyDescent="0.25">
      <c r="A911" s="1" t="str">
        <f t="shared" si="14"/>
        <v/>
      </c>
      <c r="B9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2" spans="1:2" x14ac:dyDescent="0.25">
      <c r="A912" s="1" t="str">
        <f t="shared" si="14"/>
        <v/>
      </c>
      <c r="B9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3" spans="1:2" x14ac:dyDescent="0.25">
      <c r="A913" s="1" t="str">
        <f t="shared" si="14"/>
        <v/>
      </c>
      <c r="B9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4" spans="1:2" x14ac:dyDescent="0.25">
      <c r="A914" s="1" t="str">
        <f t="shared" si="14"/>
        <v/>
      </c>
      <c r="B9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5" spans="1:2" x14ac:dyDescent="0.25">
      <c r="A915" s="1" t="str">
        <f t="shared" si="14"/>
        <v/>
      </c>
      <c r="B9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6" spans="1:2" x14ac:dyDescent="0.25">
      <c r="A916" s="1" t="str">
        <f t="shared" si="14"/>
        <v/>
      </c>
      <c r="B9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7" spans="1:2" x14ac:dyDescent="0.25">
      <c r="A917" s="1" t="str">
        <f t="shared" si="14"/>
        <v/>
      </c>
      <c r="B9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8" spans="1:2" x14ac:dyDescent="0.25">
      <c r="A918" s="1" t="str">
        <f t="shared" si="14"/>
        <v/>
      </c>
      <c r="B9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9" spans="1:2" x14ac:dyDescent="0.25">
      <c r="A919" s="1" t="str">
        <f t="shared" si="14"/>
        <v/>
      </c>
      <c r="B9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0" spans="1:2" x14ac:dyDescent="0.25">
      <c r="A920" s="1" t="str">
        <f t="shared" si="14"/>
        <v/>
      </c>
      <c r="B9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1" spans="1:2" x14ac:dyDescent="0.25">
      <c r="A921" s="1" t="str">
        <f t="shared" si="14"/>
        <v/>
      </c>
      <c r="B9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2" spans="1:2" x14ac:dyDescent="0.25">
      <c r="A922" s="1" t="str">
        <f t="shared" si="14"/>
        <v/>
      </c>
      <c r="B9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3" spans="1:2" x14ac:dyDescent="0.25">
      <c r="A923" s="1" t="str">
        <f t="shared" si="14"/>
        <v/>
      </c>
      <c r="B9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4" spans="1:2" x14ac:dyDescent="0.25">
      <c r="A924" s="1" t="str">
        <f t="shared" si="14"/>
        <v/>
      </c>
      <c r="B9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5" spans="1:2" x14ac:dyDescent="0.25">
      <c r="A925" s="1" t="str">
        <f t="shared" si="14"/>
        <v/>
      </c>
      <c r="B9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6" spans="1:2" x14ac:dyDescent="0.25">
      <c r="A926" s="1" t="str">
        <f t="shared" si="14"/>
        <v/>
      </c>
      <c r="B9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7" spans="1:2" x14ac:dyDescent="0.25">
      <c r="A927" s="1" t="str">
        <f t="shared" si="14"/>
        <v/>
      </c>
      <c r="B9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8" spans="1:2" x14ac:dyDescent="0.25">
      <c r="A928" s="1" t="str">
        <f t="shared" si="14"/>
        <v/>
      </c>
      <c r="B9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9" spans="1:2" x14ac:dyDescent="0.25">
      <c r="A929" s="1" t="str">
        <f t="shared" si="14"/>
        <v/>
      </c>
      <c r="B9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0" spans="1:2" x14ac:dyDescent="0.25">
      <c r="A930" s="1" t="str">
        <f t="shared" si="14"/>
        <v/>
      </c>
      <c r="B9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1" spans="1:2" x14ac:dyDescent="0.25">
      <c r="A931" s="1" t="str">
        <f t="shared" si="14"/>
        <v/>
      </c>
      <c r="B9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2" spans="1:2" x14ac:dyDescent="0.25">
      <c r="A932" s="1" t="str">
        <f t="shared" si="14"/>
        <v/>
      </c>
      <c r="B9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3" spans="1:2" x14ac:dyDescent="0.25">
      <c r="A933" s="1" t="str">
        <f t="shared" si="14"/>
        <v/>
      </c>
      <c r="B9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4" spans="1:2" x14ac:dyDescent="0.25">
      <c r="A934" s="1" t="str">
        <f t="shared" si="14"/>
        <v/>
      </c>
      <c r="B9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5" spans="1:2" x14ac:dyDescent="0.25">
      <c r="A935" s="1" t="str">
        <f t="shared" si="14"/>
        <v/>
      </c>
      <c r="B9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6" spans="1:2" x14ac:dyDescent="0.25">
      <c r="A936" s="1" t="str">
        <f t="shared" si="14"/>
        <v/>
      </c>
      <c r="B9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7" spans="1:2" x14ac:dyDescent="0.25">
      <c r="A937" s="1" t="str">
        <f t="shared" si="14"/>
        <v/>
      </c>
      <c r="B9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8" spans="1:2" x14ac:dyDescent="0.25">
      <c r="A938" s="1" t="str">
        <f t="shared" si="14"/>
        <v/>
      </c>
      <c r="B9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9" spans="1:2" x14ac:dyDescent="0.25">
      <c r="A939" s="1" t="str">
        <f t="shared" si="14"/>
        <v/>
      </c>
      <c r="B9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0" spans="1:2" x14ac:dyDescent="0.25">
      <c r="A940" s="1" t="str">
        <f t="shared" si="14"/>
        <v/>
      </c>
      <c r="B9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1" spans="1:2" x14ac:dyDescent="0.25">
      <c r="A941" s="1" t="str">
        <f t="shared" si="14"/>
        <v/>
      </c>
      <c r="B9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2" spans="1:2" x14ac:dyDescent="0.25">
      <c r="A942" s="1" t="str">
        <f t="shared" si="14"/>
        <v/>
      </c>
      <c r="B9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3" spans="1:2" x14ac:dyDescent="0.25">
      <c r="A943" s="1" t="str">
        <f t="shared" si="14"/>
        <v/>
      </c>
      <c r="B9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4" spans="1:2" x14ac:dyDescent="0.25">
      <c r="A944" s="1" t="str">
        <f t="shared" si="14"/>
        <v/>
      </c>
      <c r="B9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5" spans="1:2" x14ac:dyDescent="0.25">
      <c r="A945" s="1" t="str">
        <f t="shared" si="14"/>
        <v/>
      </c>
      <c r="B9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6" spans="1:2" x14ac:dyDescent="0.25">
      <c r="A946" s="1" t="str">
        <f t="shared" si="14"/>
        <v/>
      </c>
      <c r="B9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7" spans="1:2" x14ac:dyDescent="0.25">
      <c r="A947" s="1" t="str">
        <f t="shared" si="14"/>
        <v/>
      </c>
      <c r="B9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8" spans="1:2" x14ac:dyDescent="0.25">
      <c r="A948" s="1" t="str">
        <f t="shared" si="14"/>
        <v/>
      </c>
      <c r="B9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9" spans="1:2" x14ac:dyDescent="0.25">
      <c r="A949" s="1" t="str">
        <f t="shared" si="14"/>
        <v/>
      </c>
      <c r="B9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0" spans="1:2" x14ac:dyDescent="0.25">
      <c r="A950" s="1" t="str">
        <f t="shared" si="14"/>
        <v/>
      </c>
      <c r="B9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1" spans="1:2" x14ac:dyDescent="0.25">
      <c r="A951" s="1" t="str">
        <f t="shared" si="14"/>
        <v/>
      </c>
      <c r="B9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2" spans="1:2" x14ac:dyDescent="0.25">
      <c r="A952" s="1" t="str">
        <f t="shared" si="14"/>
        <v/>
      </c>
      <c r="B9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3" spans="1:2" x14ac:dyDescent="0.25">
      <c r="A953" s="1" t="str">
        <f t="shared" si="14"/>
        <v/>
      </c>
      <c r="B9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4" spans="1:2" x14ac:dyDescent="0.25">
      <c r="A954" s="1" t="str">
        <f t="shared" si="14"/>
        <v/>
      </c>
      <c r="B9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5" spans="1:2" x14ac:dyDescent="0.25">
      <c r="A955" s="1" t="str">
        <f t="shared" si="14"/>
        <v/>
      </c>
      <c r="B9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6" spans="1:2" x14ac:dyDescent="0.25">
      <c r="A956" s="1" t="str">
        <f t="shared" si="14"/>
        <v/>
      </c>
      <c r="B9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7" spans="1:2" x14ac:dyDescent="0.25">
      <c r="A957" s="1" t="str">
        <f t="shared" si="14"/>
        <v/>
      </c>
      <c r="B9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8" spans="1:2" x14ac:dyDescent="0.25">
      <c r="A958" s="1" t="str">
        <f t="shared" si="14"/>
        <v/>
      </c>
      <c r="B9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9" spans="1:2" x14ac:dyDescent="0.25">
      <c r="A959" s="1" t="str">
        <f t="shared" si="14"/>
        <v/>
      </c>
      <c r="B9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0" spans="1:2" x14ac:dyDescent="0.25">
      <c r="A960" s="1" t="str">
        <f t="shared" si="14"/>
        <v/>
      </c>
      <c r="B9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1" spans="1:2" x14ac:dyDescent="0.25">
      <c r="A961" s="1" t="str">
        <f t="shared" si="14"/>
        <v/>
      </c>
      <c r="B9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2" spans="1:2" x14ac:dyDescent="0.25">
      <c r="A962" s="1" t="str">
        <f t="shared" ref="A962:A1010" si="15">IFERROR(LEFT(RIGHT(C962,LEN(C962)-SEARCH("@",C962)),SEARCH("/",RIGHT(C962,LEN(C962)-SEARCH("@",C962)-1))),"")</f>
        <v/>
      </c>
      <c r="B9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3" spans="1:2" x14ac:dyDescent="0.25">
      <c r="A963" s="1" t="str">
        <f t="shared" si="15"/>
        <v/>
      </c>
      <c r="B9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4" spans="1:2" x14ac:dyDescent="0.25">
      <c r="A964" s="1" t="str">
        <f t="shared" si="15"/>
        <v/>
      </c>
      <c r="B9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5" spans="1:2" x14ac:dyDescent="0.25">
      <c r="A965" s="1" t="str">
        <f t="shared" si="15"/>
        <v/>
      </c>
      <c r="B9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6" spans="1:2" x14ac:dyDescent="0.25">
      <c r="A966" s="1" t="str">
        <f t="shared" si="15"/>
        <v/>
      </c>
      <c r="B9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7" spans="1:2" x14ac:dyDescent="0.25">
      <c r="A967" s="1" t="str">
        <f t="shared" si="15"/>
        <v/>
      </c>
      <c r="B9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8" spans="1:2" x14ac:dyDescent="0.25">
      <c r="A968" s="1" t="str">
        <f t="shared" si="15"/>
        <v/>
      </c>
      <c r="B9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9" spans="1:2" x14ac:dyDescent="0.25">
      <c r="A969" s="1" t="str">
        <f t="shared" si="15"/>
        <v/>
      </c>
      <c r="B9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0" spans="1:2" x14ac:dyDescent="0.25">
      <c r="A970" s="1" t="str">
        <f t="shared" si="15"/>
        <v/>
      </c>
      <c r="B9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1" spans="1:2" x14ac:dyDescent="0.25">
      <c r="A971" s="1" t="str">
        <f t="shared" si="15"/>
        <v/>
      </c>
      <c r="B9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2" spans="1:2" x14ac:dyDescent="0.25">
      <c r="A972" s="1" t="str">
        <f t="shared" si="15"/>
        <v/>
      </c>
      <c r="B9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3" spans="1:2" x14ac:dyDescent="0.25">
      <c r="A973" s="1" t="str">
        <f t="shared" si="15"/>
        <v/>
      </c>
      <c r="B9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4" spans="1:2" x14ac:dyDescent="0.25">
      <c r="A974" s="1" t="str">
        <f t="shared" si="15"/>
        <v/>
      </c>
      <c r="B9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5" spans="1:2" x14ac:dyDescent="0.25">
      <c r="A975" s="1" t="str">
        <f t="shared" si="15"/>
        <v/>
      </c>
      <c r="B9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6" spans="1:2" x14ac:dyDescent="0.25">
      <c r="A976" s="1" t="str">
        <f t="shared" si="15"/>
        <v/>
      </c>
      <c r="B9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7" spans="1:2" x14ac:dyDescent="0.25">
      <c r="A977" s="1" t="str">
        <f t="shared" si="15"/>
        <v/>
      </c>
      <c r="B9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8" spans="1:2" x14ac:dyDescent="0.25">
      <c r="A978" s="1" t="str">
        <f t="shared" si="15"/>
        <v/>
      </c>
      <c r="B9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9" spans="1:2" x14ac:dyDescent="0.25">
      <c r="A979" s="1" t="str">
        <f t="shared" si="15"/>
        <v/>
      </c>
      <c r="B9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0" spans="1:2" x14ac:dyDescent="0.25">
      <c r="A980" s="1" t="str">
        <f t="shared" si="15"/>
        <v/>
      </c>
      <c r="B9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1" spans="1:2" x14ac:dyDescent="0.25">
      <c r="A981" s="1" t="str">
        <f t="shared" si="15"/>
        <v/>
      </c>
      <c r="B9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2" spans="1:2" x14ac:dyDescent="0.25">
      <c r="A982" s="1" t="str">
        <f t="shared" si="15"/>
        <v/>
      </c>
      <c r="B9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3" spans="1:2" x14ac:dyDescent="0.25">
      <c r="A983" s="1" t="str">
        <f t="shared" si="15"/>
        <v/>
      </c>
      <c r="B9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4" spans="1:2" x14ac:dyDescent="0.25">
      <c r="A984" s="1" t="str">
        <f t="shared" si="15"/>
        <v/>
      </c>
      <c r="B9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5" spans="1:2" x14ac:dyDescent="0.25">
      <c r="A985" s="1" t="str">
        <f t="shared" si="15"/>
        <v/>
      </c>
      <c r="B9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6" spans="1:2" x14ac:dyDescent="0.25">
      <c r="A986" s="1" t="str">
        <f t="shared" si="15"/>
        <v/>
      </c>
      <c r="B9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7" spans="1:2" x14ac:dyDescent="0.25">
      <c r="A987" s="1" t="str">
        <f t="shared" si="15"/>
        <v/>
      </c>
      <c r="B9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8" spans="1:2" x14ac:dyDescent="0.25">
      <c r="A988" s="1" t="str">
        <f t="shared" si="15"/>
        <v/>
      </c>
      <c r="B9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9" spans="1:2" x14ac:dyDescent="0.25">
      <c r="A989" s="1" t="str">
        <f t="shared" si="15"/>
        <v/>
      </c>
      <c r="B9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0" spans="1:2" x14ac:dyDescent="0.25">
      <c r="A990" s="1" t="str">
        <f t="shared" si="15"/>
        <v/>
      </c>
      <c r="B9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1" spans="1:2" x14ac:dyDescent="0.25">
      <c r="A991" s="1" t="str">
        <f t="shared" si="15"/>
        <v/>
      </c>
      <c r="B9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2" spans="1:2" x14ac:dyDescent="0.25">
      <c r="A992" s="1" t="str">
        <f t="shared" si="15"/>
        <v/>
      </c>
      <c r="B9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3" spans="1:2" x14ac:dyDescent="0.25">
      <c r="A993" s="1" t="str">
        <f t="shared" si="15"/>
        <v/>
      </c>
      <c r="B9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4" spans="1:2" x14ac:dyDescent="0.25">
      <c r="A994" s="1" t="str">
        <f t="shared" si="15"/>
        <v/>
      </c>
      <c r="B9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5" spans="1:2" x14ac:dyDescent="0.25">
      <c r="A995" s="1" t="str">
        <f t="shared" si="15"/>
        <v/>
      </c>
      <c r="B9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6" spans="1:2" x14ac:dyDescent="0.25">
      <c r="A996" s="1" t="str">
        <f t="shared" si="15"/>
        <v/>
      </c>
      <c r="B9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7" spans="1:2" x14ac:dyDescent="0.25">
      <c r="A997" s="1" t="str">
        <f t="shared" si="15"/>
        <v/>
      </c>
      <c r="B9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8" spans="1:2" x14ac:dyDescent="0.25">
      <c r="A998" s="1" t="str">
        <f t="shared" si="15"/>
        <v/>
      </c>
      <c r="B9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9" spans="1:2" x14ac:dyDescent="0.25">
      <c r="A999" s="1" t="str">
        <f t="shared" si="15"/>
        <v/>
      </c>
      <c r="B9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0" spans="1:2" x14ac:dyDescent="0.25">
      <c r="A1000" s="1" t="str">
        <f t="shared" si="15"/>
        <v/>
      </c>
      <c r="B10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1" spans="1:2" x14ac:dyDescent="0.25">
      <c r="A1001" s="1" t="str">
        <f t="shared" si="15"/>
        <v/>
      </c>
      <c r="B10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2" spans="1:2" x14ac:dyDescent="0.25">
      <c r="A1002" s="1" t="str">
        <f t="shared" si="15"/>
        <v/>
      </c>
      <c r="B10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3" spans="1:2" x14ac:dyDescent="0.25">
      <c r="A1003" s="1" t="str">
        <f t="shared" si="15"/>
        <v/>
      </c>
      <c r="B10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4" spans="1:2" x14ac:dyDescent="0.25">
      <c r="A1004" s="1" t="str">
        <f t="shared" si="15"/>
        <v/>
      </c>
      <c r="B10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5" spans="1:2" x14ac:dyDescent="0.25">
      <c r="A1005" s="1" t="str">
        <f t="shared" si="15"/>
        <v/>
      </c>
      <c r="B10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6" spans="1:2" x14ac:dyDescent="0.25">
      <c r="A1006" s="1" t="str">
        <f t="shared" si="15"/>
        <v/>
      </c>
      <c r="B10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7" spans="1:2" x14ac:dyDescent="0.25">
      <c r="A1007" s="1" t="str">
        <f t="shared" si="15"/>
        <v/>
      </c>
      <c r="B10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8" spans="1:2" x14ac:dyDescent="0.25">
      <c r="A1008" s="1" t="str">
        <f t="shared" si="15"/>
        <v/>
      </c>
      <c r="B10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9" spans="1:2" x14ac:dyDescent="0.25">
      <c r="A1009" s="1" t="str">
        <f t="shared" si="15"/>
        <v/>
      </c>
      <c r="B10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0" spans="1:2" x14ac:dyDescent="0.25">
      <c r="A1010" s="1" t="str">
        <f t="shared" si="15"/>
        <v/>
      </c>
      <c r="B10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1" spans="1:2" x14ac:dyDescent="0.25">
      <c r="A1011" s="1" t="str">
        <f t="shared" ref="A1011:A1074" si="16">IFERROR(LEFT(RIGHT(C1011,LEN(C1011)-SEARCH("@",C1011)),SEARCH("/",RIGHT(C1011,LEN(C1011)-SEARCH("@",C1011)-1))),"")</f>
        <v/>
      </c>
      <c r="B10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2" spans="1:2" x14ac:dyDescent="0.25">
      <c r="A1012" s="1" t="str">
        <f t="shared" si="16"/>
        <v/>
      </c>
      <c r="B10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3" spans="1:2" x14ac:dyDescent="0.25">
      <c r="A1013" s="1" t="str">
        <f t="shared" si="16"/>
        <v/>
      </c>
      <c r="B10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4" spans="1:2" x14ac:dyDescent="0.25">
      <c r="A1014" s="1" t="str">
        <f t="shared" si="16"/>
        <v/>
      </c>
      <c r="B10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5" spans="1:2" x14ac:dyDescent="0.25">
      <c r="A1015" s="1" t="str">
        <f t="shared" si="16"/>
        <v/>
      </c>
      <c r="B10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6" spans="1:2" x14ac:dyDescent="0.25">
      <c r="A1016" s="1" t="str">
        <f t="shared" si="16"/>
        <v/>
      </c>
      <c r="B10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7" spans="1:2" x14ac:dyDescent="0.25">
      <c r="A1017" s="1" t="str">
        <f t="shared" si="16"/>
        <v/>
      </c>
      <c r="B10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8" spans="1:2" x14ac:dyDescent="0.25">
      <c r="A1018" s="1" t="str">
        <f t="shared" si="16"/>
        <v/>
      </c>
      <c r="B10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9" spans="1:2" x14ac:dyDescent="0.25">
      <c r="A1019" s="1" t="str">
        <f t="shared" si="16"/>
        <v/>
      </c>
      <c r="B10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0" spans="1:2" x14ac:dyDescent="0.25">
      <c r="A1020" s="1" t="str">
        <f t="shared" si="16"/>
        <v/>
      </c>
      <c r="B10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1" spans="1:2" x14ac:dyDescent="0.25">
      <c r="A1021" s="1" t="str">
        <f t="shared" si="16"/>
        <v/>
      </c>
      <c r="B10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2" spans="1:2" x14ac:dyDescent="0.25">
      <c r="A1022" s="1" t="str">
        <f t="shared" si="16"/>
        <v/>
      </c>
      <c r="B10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3" spans="1:2" x14ac:dyDescent="0.25">
      <c r="A1023" s="1" t="str">
        <f t="shared" si="16"/>
        <v/>
      </c>
      <c r="B10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4" spans="1:2" x14ac:dyDescent="0.25">
      <c r="A1024" s="1" t="str">
        <f t="shared" si="16"/>
        <v/>
      </c>
      <c r="B10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5" spans="1:2" x14ac:dyDescent="0.25">
      <c r="A1025" s="1" t="str">
        <f t="shared" si="16"/>
        <v/>
      </c>
      <c r="B10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6" spans="1:2" x14ac:dyDescent="0.25">
      <c r="A1026" s="1" t="str">
        <f t="shared" si="16"/>
        <v/>
      </c>
      <c r="B10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7" spans="1:2" x14ac:dyDescent="0.25">
      <c r="A1027" s="1" t="str">
        <f t="shared" si="16"/>
        <v/>
      </c>
      <c r="B10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8" spans="1:2" x14ac:dyDescent="0.25">
      <c r="A1028" s="1" t="str">
        <f t="shared" si="16"/>
        <v/>
      </c>
      <c r="B10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9" spans="1:2" x14ac:dyDescent="0.25">
      <c r="A1029" s="1" t="str">
        <f t="shared" si="16"/>
        <v/>
      </c>
      <c r="B10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0" spans="1:2" x14ac:dyDescent="0.25">
      <c r="A1030" s="1" t="str">
        <f t="shared" si="16"/>
        <v/>
      </c>
      <c r="B10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1" spans="1:2" x14ac:dyDescent="0.25">
      <c r="A1031" s="1" t="str">
        <f t="shared" si="16"/>
        <v/>
      </c>
      <c r="B10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2" spans="1:2" x14ac:dyDescent="0.25">
      <c r="A1032" s="1" t="str">
        <f t="shared" si="16"/>
        <v/>
      </c>
      <c r="B10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3" spans="1:2" x14ac:dyDescent="0.25">
      <c r="A1033" s="1" t="str">
        <f t="shared" si="16"/>
        <v/>
      </c>
      <c r="B10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4" spans="1:2" x14ac:dyDescent="0.25">
      <c r="A1034" s="1" t="str">
        <f t="shared" si="16"/>
        <v/>
      </c>
      <c r="B10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5" spans="1:2" x14ac:dyDescent="0.25">
      <c r="A1035" s="1" t="str">
        <f t="shared" si="16"/>
        <v/>
      </c>
      <c r="B10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6" spans="1:2" x14ac:dyDescent="0.25">
      <c r="A1036" s="1" t="str">
        <f t="shared" si="16"/>
        <v/>
      </c>
      <c r="B10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7" spans="1:2" x14ac:dyDescent="0.25">
      <c r="A1037" s="1" t="str">
        <f t="shared" si="16"/>
        <v/>
      </c>
      <c r="B10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8" spans="1:2" x14ac:dyDescent="0.25">
      <c r="A1038" s="1" t="str">
        <f t="shared" si="16"/>
        <v/>
      </c>
      <c r="B10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9" spans="1:2" x14ac:dyDescent="0.25">
      <c r="A1039" s="1" t="str">
        <f t="shared" si="16"/>
        <v/>
      </c>
      <c r="B10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0" spans="1:2" x14ac:dyDescent="0.25">
      <c r="A1040" s="1" t="str">
        <f t="shared" si="16"/>
        <v/>
      </c>
      <c r="B10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1" spans="1:2" x14ac:dyDescent="0.25">
      <c r="A1041" s="1" t="str">
        <f t="shared" si="16"/>
        <v/>
      </c>
      <c r="B10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2" spans="1:2" x14ac:dyDescent="0.25">
      <c r="A1042" s="1" t="str">
        <f t="shared" si="16"/>
        <v/>
      </c>
      <c r="B10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3" spans="1:2" x14ac:dyDescent="0.25">
      <c r="A1043" s="1" t="str">
        <f t="shared" si="16"/>
        <v/>
      </c>
      <c r="B10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4" spans="1:2" x14ac:dyDescent="0.25">
      <c r="A1044" s="1" t="str">
        <f t="shared" si="16"/>
        <v/>
      </c>
      <c r="B10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5" spans="1:2" x14ac:dyDescent="0.25">
      <c r="A1045" s="1" t="str">
        <f t="shared" si="16"/>
        <v/>
      </c>
      <c r="B10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6" spans="1:2" x14ac:dyDescent="0.25">
      <c r="A1046" s="1" t="str">
        <f t="shared" si="16"/>
        <v/>
      </c>
      <c r="B10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7" spans="1:2" x14ac:dyDescent="0.25">
      <c r="A1047" s="1" t="str">
        <f t="shared" si="16"/>
        <v/>
      </c>
      <c r="B10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8" spans="1:2" x14ac:dyDescent="0.25">
      <c r="A1048" s="1" t="str">
        <f t="shared" si="16"/>
        <v/>
      </c>
      <c r="B10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9" spans="1:2" x14ac:dyDescent="0.25">
      <c r="A1049" s="1" t="str">
        <f t="shared" si="16"/>
        <v/>
      </c>
      <c r="B10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0" spans="1:2" x14ac:dyDescent="0.25">
      <c r="A1050" s="1" t="str">
        <f t="shared" si="16"/>
        <v/>
      </c>
      <c r="B10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1" spans="1:2" x14ac:dyDescent="0.25">
      <c r="A1051" s="1" t="str">
        <f t="shared" si="16"/>
        <v/>
      </c>
      <c r="B10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2" spans="1:2" x14ac:dyDescent="0.25">
      <c r="A1052" s="1" t="str">
        <f t="shared" si="16"/>
        <v/>
      </c>
      <c r="B10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3" spans="1:2" x14ac:dyDescent="0.25">
      <c r="A1053" s="1" t="str">
        <f t="shared" si="16"/>
        <v/>
      </c>
      <c r="B10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4" spans="1:2" x14ac:dyDescent="0.25">
      <c r="A1054" s="1" t="str">
        <f t="shared" si="16"/>
        <v/>
      </c>
      <c r="B10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5" spans="1:2" x14ac:dyDescent="0.25">
      <c r="A1055" s="1" t="str">
        <f t="shared" si="16"/>
        <v/>
      </c>
      <c r="B10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6" spans="1:2" x14ac:dyDescent="0.25">
      <c r="A1056" s="1" t="str">
        <f t="shared" si="16"/>
        <v/>
      </c>
      <c r="B10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7" spans="1:2" x14ac:dyDescent="0.25">
      <c r="A1057" s="1" t="str">
        <f t="shared" si="16"/>
        <v/>
      </c>
      <c r="B10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8" spans="1:2" x14ac:dyDescent="0.25">
      <c r="A1058" s="1" t="str">
        <f t="shared" si="16"/>
        <v/>
      </c>
      <c r="B10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9" spans="1:2" x14ac:dyDescent="0.25">
      <c r="A1059" s="1" t="str">
        <f t="shared" si="16"/>
        <v/>
      </c>
      <c r="B10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0" spans="1:2" x14ac:dyDescent="0.25">
      <c r="A1060" s="1" t="str">
        <f t="shared" si="16"/>
        <v/>
      </c>
      <c r="B10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1" spans="1:2" x14ac:dyDescent="0.25">
      <c r="A1061" s="1" t="str">
        <f t="shared" si="16"/>
        <v/>
      </c>
      <c r="B10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2" spans="1:2" x14ac:dyDescent="0.25">
      <c r="A1062" s="1" t="str">
        <f t="shared" si="16"/>
        <v/>
      </c>
      <c r="B10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3" spans="1:2" x14ac:dyDescent="0.25">
      <c r="A1063" s="1" t="str">
        <f t="shared" si="16"/>
        <v/>
      </c>
      <c r="B10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4" spans="1:2" x14ac:dyDescent="0.25">
      <c r="A1064" s="1" t="str">
        <f t="shared" si="16"/>
        <v/>
      </c>
      <c r="B10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5" spans="1:2" x14ac:dyDescent="0.25">
      <c r="A1065" s="1" t="str">
        <f t="shared" si="16"/>
        <v/>
      </c>
      <c r="B10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6" spans="1:2" x14ac:dyDescent="0.25">
      <c r="A1066" s="1" t="str">
        <f t="shared" si="16"/>
        <v/>
      </c>
      <c r="B10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7" spans="1:2" x14ac:dyDescent="0.25">
      <c r="A1067" s="1" t="str">
        <f t="shared" si="16"/>
        <v/>
      </c>
      <c r="B10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8" spans="1:2" x14ac:dyDescent="0.25">
      <c r="A1068" s="1" t="str">
        <f t="shared" si="16"/>
        <v/>
      </c>
      <c r="B10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9" spans="1:2" x14ac:dyDescent="0.25">
      <c r="A1069" s="1" t="str">
        <f t="shared" si="16"/>
        <v/>
      </c>
      <c r="B10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0" spans="1:2" x14ac:dyDescent="0.25">
      <c r="A1070" s="1" t="str">
        <f t="shared" si="16"/>
        <v/>
      </c>
      <c r="B10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1" spans="1:2" x14ac:dyDescent="0.25">
      <c r="A1071" s="1" t="str">
        <f t="shared" si="16"/>
        <v/>
      </c>
      <c r="B10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2" spans="1:2" x14ac:dyDescent="0.25">
      <c r="A1072" s="1" t="str">
        <f t="shared" si="16"/>
        <v/>
      </c>
      <c r="B10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3" spans="1:2" x14ac:dyDescent="0.25">
      <c r="A1073" s="1" t="str">
        <f t="shared" si="16"/>
        <v/>
      </c>
      <c r="B10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4" spans="1:2" x14ac:dyDescent="0.25">
      <c r="A1074" s="1" t="str">
        <f t="shared" si="16"/>
        <v/>
      </c>
      <c r="B10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5" spans="1:2" x14ac:dyDescent="0.25">
      <c r="A1075" s="1" t="str">
        <f t="shared" ref="A1075:A1138" si="17">IFERROR(LEFT(RIGHT(C1075,LEN(C1075)-SEARCH("@",C1075)),SEARCH("/",RIGHT(C1075,LEN(C1075)-SEARCH("@",C1075)-1))),"")</f>
        <v/>
      </c>
      <c r="B10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6" spans="1:2" x14ac:dyDescent="0.25">
      <c r="A1076" s="1" t="str">
        <f t="shared" si="17"/>
        <v/>
      </c>
      <c r="B10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7" spans="1:2" x14ac:dyDescent="0.25">
      <c r="A1077" s="1" t="str">
        <f t="shared" si="17"/>
        <v/>
      </c>
      <c r="B10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8" spans="1:2" x14ac:dyDescent="0.25">
      <c r="A1078" s="1" t="str">
        <f t="shared" si="17"/>
        <v/>
      </c>
      <c r="B10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9" spans="1:2" x14ac:dyDescent="0.25">
      <c r="A1079" s="1" t="str">
        <f t="shared" si="17"/>
        <v/>
      </c>
      <c r="B10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0" spans="1:2" x14ac:dyDescent="0.25">
      <c r="A1080" s="1" t="str">
        <f t="shared" si="17"/>
        <v/>
      </c>
      <c r="B10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1" spans="1:2" x14ac:dyDescent="0.25">
      <c r="A1081" s="1" t="str">
        <f t="shared" si="17"/>
        <v/>
      </c>
      <c r="B10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2" spans="1:2" x14ac:dyDescent="0.25">
      <c r="A1082" s="1" t="str">
        <f t="shared" si="17"/>
        <v/>
      </c>
      <c r="B10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3" spans="1:2" x14ac:dyDescent="0.25">
      <c r="A1083" s="1" t="str">
        <f t="shared" si="17"/>
        <v/>
      </c>
      <c r="B10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4" spans="1:2" x14ac:dyDescent="0.25">
      <c r="A1084" s="1" t="str">
        <f t="shared" si="17"/>
        <v/>
      </c>
      <c r="B10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5" spans="1:2" x14ac:dyDescent="0.25">
      <c r="A1085" s="1" t="str">
        <f t="shared" si="17"/>
        <v/>
      </c>
      <c r="B10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6" spans="1:2" x14ac:dyDescent="0.25">
      <c r="A1086" s="1" t="str">
        <f t="shared" si="17"/>
        <v/>
      </c>
      <c r="B10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7" spans="1:2" x14ac:dyDescent="0.25">
      <c r="A1087" s="1" t="str">
        <f t="shared" si="17"/>
        <v/>
      </c>
      <c r="B10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8" spans="1:2" x14ac:dyDescent="0.25">
      <c r="A1088" s="1" t="str">
        <f t="shared" si="17"/>
        <v/>
      </c>
      <c r="B10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9" spans="1:2" x14ac:dyDescent="0.25">
      <c r="A1089" s="1" t="str">
        <f t="shared" si="17"/>
        <v/>
      </c>
      <c r="B10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0" spans="1:2" x14ac:dyDescent="0.25">
      <c r="A1090" s="1" t="str">
        <f t="shared" si="17"/>
        <v/>
      </c>
      <c r="B10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1" spans="1:2" x14ac:dyDescent="0.25">
      <c r="A1091" s="1" t="str">
        <f t="shared" si="17"/>
        <v/>
      </c>
      <c r="B10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2" spans="1:2" x14ac:dyDescent="0.25">
      <c r="A1092" s="1" t="str">
        <f t="shared" si="17"/>
        <v/>
      </c>
      <c r="B10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3" spans="1:2" x14ac:dyDescent="0.25">
      <c r="A1093" s="1" t="str">
        <f t="shared" si="17"/>
        <v/>
      </c>
      <c r="B10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4" spans="1:2" x14ac:dyDescent="0.25">
      <c r="A1094" s="1" t="str">
        <f t="shared" si="17"/>
        <v/>
      </c>
      <c r="B10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5" spans="1:2" x14ac:dyDescent="0.25">
      <c r="A1095" s="1" t="str">
        <f t="shared" si="17"/>
        <v/>
      </c>
      <c r="B10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6" spans="1:2" x14ac:dyDescent="0.25">
      <c r="A1096" s="1" t="str">
        <f t="shared" si="17"/>
        <v/>
      </c>
      <c r="B10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7" spans="1:2" x14ac:dyDescent="0.25">
      <c r="A1097" s="1" t="str">
        <f t="shared" si="17"/>
        <v/>
      </c>
      <c r="B10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8" spans="1:2" x14ac:dyDescent="0.25">
      <c r="A1098" s="1" t="str">
        <f t="shared" si="17"/>
        <v/>
      </c>
      <c r="B10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9" spans="1:2" x14ac:dyDescent="0.25">
      <c r="A1099" s="1" t="str">
        <f t="shared" si="17"/>
        <v/>
      </c>
      <c r="B10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0" spans="1:2" x14ac:dyDescent="0.25">
      <c r="A1100" s="1" t="str">
        <f t="shared" si="17"/>
        <v/>
      </c>
      <c r="B1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1" spans="1:2" x14ac:dyDescent="0.25">
      <c r="A1101" s="1" t="str">
        <f t="shared" si="17"/>
        <v/>
      </c>
      <c r="B11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2" spans="1:2" x14ac:dyDescent="0.25">
      <c r="A1102" s="1" t="str">
        <f t="shared" si="17"/>
        <v/>
      </c>
      <c r="B11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3" spans="1:2" x14ac:dyDescent="0.25">
      <c r="A1103" s="1" t="str">
        <f t="shared" si="17"/>
        <v/>
      </c>
      <c r="B11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4" spans="1:2" x14ac:dyDescent="0.25">
      <c r="A1104" s="1" t="str">
        <f t="shared" si="17"/>
        <v/>
      </c>
      <c r="B11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5" spans="1:2" x14ac:dyDescent="0.25">
      <c r="A1105" s="1" t="str">
        <f t="shared" si="17"/>
        <v/>
      </c>
      <c r="B11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6" spans="1:2" x14ac:dyDescent="0.25">
      <c r="A1106" s="1" t="str">
        <f t="shared" si="17"/>
        <v/>
      </c>
      <c r="B11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7" spans="1:2" x14ac:dyDescent="0.25">
      <c r="A1107" s="1" t="str">
        <f t="shared" si="17"/>
        <v/>
      </c>
      <c r="B11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8" spans="1:2" x14ac:dyDescent="0.25">
      <c r="A1108" s="1" t="str">
        <f t="shared" si="17"/>
        <v/>
      </c>
      <c r="B11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9" spans="1:2" x14ac:dyDescent="0.25">
      <c r="A1109" s="1" t="str">
        <f t="shared" si="17"/>
        <v/>
      </c>
      <c r="B11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0" spans="1:2" x14ac:dyDescent="0.25">
      <c r="A1110" s="1" t="str">
        <f t="shared" si="17"/>
        <v/>
      </c>
      <c r="B11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1" spans="1:2" x14ac:dyDescent="0.25">
      <c r="A1111" s="1" t="str">
        <f t="shared" si="17"/>
        <v/>
      </c>
      <c r="B11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2" spans="1:2" x14ac:dyDescent="0.25">
      <c r="A1112" s="1" t="str">
        <f t="shared" si="17"/>
        <v/>
      </c>
      <c r="B11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3" spans="1:2" x14ac:dyDescent="0.25">
      <c r="A1113" s="1" t="str">
        <f t="shared" si="17"/>
        <v/>
      </c>
      <c r="B11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4" spans="1:2" x14ac:dyDescent="0.25">
      <c r="A1114" s="1" t="str">
        <f t="shared" si="17"/>
        <v/>
      </c>
      <c r="B11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5" spans="1:2" x14ac:dyDescent="0.25">
      <c r="A1115" s="1" t="str">
        <f t="shared" si="17"/>
        <v/>
      </c>
      <c r="B11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6" spans="1:2" x14ac:dyDescent="0.25">
      <c r="A1116" s="1" t="str">
        <f t="shared" si="17"/>
        <v/>
      </c>
      <c r="B11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7" spans="1:2" x14ac:dyDescent="0.25">
      <c r="A1117" s="1" t="str">
        <f t="shared" si="17"/>
        <v/>
      </c>
      <c r="B11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8" spans="1:2" x14ac:dyDescent="0.25">
      <c r="A1118" s="1" t="str">
        <f t="shared" si="17"/>
        <v/>
      </c>
      <c r="B11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9" spans="1:2" x14ac:dyDescent="0.25">
      <c r="A1119" s="1" t="str">
        <f t="shared" si="17"/>
        <v/>
      </c>
      <c r="B11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0" spans="1:2" x14ac:dyDescent="0.25">
      <c r="A1120" s="1" t="str">
        <f t="shared" si="17"/>
        <v/>
      </c>
      <c r="B11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1" spans="1:2" x14ac:dyDescent="0.25">
      <c r="A1121" s="1" t="str">
        <f t="shared" si="17"/>
        <v/>
      </c>
      <c r="B11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2" spans="1:2" x14ac:dyDescent="0.25">
      <c r="A1122" s="1" t="str">
        <f t="shared" si="17"/>
        <v/>
      </c>
      <c r="B11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3" spans="1:2" x14ac:dyDescent="0.25">
      <c r="A1123" s="1" t="str">
        <f t="shared" si="17"/>
        <v/>
      </c>
      <c r="B11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4" spans="1:2" x14ac:dyDescent="0.25">
      <c r="A1124" s="1" t="str">
        <f t="shared" si="17"/>
        <v/>
      </c>
      <c r="B11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5" spans="1:2" x14ac:dyDescent="0.25">
      <c r="A1125" s="1" t="str">
        <f t="shared" si="17"/>
        <v/>
      </c>
      <c r="B1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6" spans="1:2" x14ac:dyDescent="0.25">
      <c r="A1126" s="1" t="str">
        <f t="shared" si="17"/>
        <v/>
      </c>
      <c r="B1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7" spans="1:2" x14ac:dyDescent="0.25">
      <c r="A1127" s="1" t="str">
        <f t="shared" si="17"/>
        <v/>
      </c>
      <c r="B11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8" spans="1:2" x14ac:dyDescent="0.25">
      <c r="A1128" s="1" t="str">
        <f t="shared" si="17"/>
        <v/>
      </c>
      <c r="B1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9" spans="1:2" x14ac:dyDescent="0.25">
      <c r="A1129" s="1" t="str">
        <f t="shared" si="17"/>
        <v/>
      </c>
      <c r="B1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0" spans="1:2" x14ac:dyDescent="0.25">
      <c r="A1130" s="1" t="str">
        <f t="shared" si="17"/>
        <v/>
      </c>
      <c r="B1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1" spans="1:2" x14ac:dyDescent="0.25">
      <c r="A1131" s="1" t="str">
        <f t="shared" si="17"/>
        <v/>
      </c>
      <c r="B1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2" spans="1:2" x14ac:dyDescent="0.25">
      <c r="A1132" s="1" t="str">
        <f t="shared" si="17"/>
        <v/>
      </c>
      <c r="B1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3" spans="1:2" x14ac:dyDescent="0.25">
      <c r="A1133" s="1" t="str">
        <f t="shared" si="17"/>
        <v/>
      </c>
      <c r="B1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4" spans="1:2" x14ac:dyDescent="0.25">
      <c r="A1134" s="1" t="str">
        <f t="shared" si="17"/>
        <v/>
      </c>
      <c r="B11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5" spans="1:2" x14ac:dyDescent="0.25">
      <c r="A1135" s="1" t="str">
        <f t="shared" si="17"/>
        <v/>
      </c>
      <c r="B11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6" spans="1:2" x14ac:dyDescent="0.25">
      <c r="A1136" s="1" t="str">
        <f t="shared" si="17"/>
        <v/>
      </c>
      <c r="B11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7" spans="1:2" x14ac:dyDescent="0.25">
      <c r="A1137" s="1" t="str">
        <f t="shared" si="17"/>
        <v/>
      </c>
      <c r="B11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8" spans="1:2" x14ac:dyDescent="0.25">
      <c r="A1138" s="1" t="str">
        <f t="shared" si="17"/>
        <v/>
      </c>
      <c r="B11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9" spans="1:2" x14ac:dyDescent="0.25">
      <c r="A1139" s="1" t="str">
        <f t="shared" ref="A1139:A1202" si="18">IFERROR(LEFT(RIGHT(C1139,LEN(C1139)-SEARCH("@",C1139)),SEARCH("/",RIGHT(C1139,LEN(C1139)-SEARCH("@",C1139)-1))),"")</f>
        <v/>
      </c>
      <c r="B11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0" spans="1:2" x14ac:dyDescent="0.25">
      <c r="A1140" s="1" t="str">
        <f t="shared" si="18"/>
        <v/>
      </c>
      <c r="B11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1" spans="1:2" x14ac:dyDescent="0.25">
      <c r="A1141" s="1" t="str">
        <f t="shared" si="18"/>
        <v/>
      </c>
      <c r="B11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2" spans="1:2" x14ac:dyDescent="0.25">
      <c r="A1142" s="1" t="str">
        <f t="shared" si="18"/>
        <v/>
      </c>
      <c r="B11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3" spans="1:2" x14ac:dyDescent="0.25">
      <c r="A1143" s="1" t="str">
        <f t="shared" si="18"/>
        <v/>
      </c>
      <c r="B11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4" spans="1:2" x14ac:dyDescent="0.25">
      <c r="A1144" s="1" t="str">
        <f t="shared" si="18"/>
        <v/>
      </c>
      <c r="B11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5" spans="1:2" x14ac:dyDescent="0.25">
      <c r="A1145" s="1" t="str">
        <f t="shared" si="18"/>
        <v/>
      </c>
      <c r="B11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6" spans="1:2" x14ac:dyDescent="0.25">
      <c r="A1146" s="1" t="str">
        <f t="shared" si="18"/>
        <v/>
      </c>
      <c r="B11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7" spans="1:2" x14ac:dyDescent="0.25">
      <c r="A1147" s="1" t="str">
        <f t="shared" si="18"/>
        <v/>
      </c>
      <c r="B11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8" spans="1:2" x14ac:dyDescent="0.25">
      <c r="A1148" s="1" t="str">
        <f t="shared" si="18"/>
        <v/>
      </c>
      <c r="B11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9" spans="1:2" x14ac:dyDescent="0.25">
      <c r="A1149" s="1" t="str">
        <f t="shared" si="18"/>
        <v/>
      </c>
      <c r="B11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0" spans="1:2" x14ac:dyDescent="0.25">
      <c r="A1150" s="1" t="str">
        <f t="shared" si="18"/>
        <v/>
      </c>
      <c r="B11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1" spans="1:2" x14ac:dyDescent="0.25">
      <c r="A1151" s="1" t="str">
        <f t="shared" si="18"/>
        <v/>
      </c>
      <c r="B11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2" spans="1:2" x14ac:dyDescent="0.25">
      <c r="A1152" s="1" t="str">
        <f t="shared" si="18"/>
        <v/>
      </c>
      <c r="B11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3" spans="1:2" x14ac:dyDescent="0.25">
      <c r="A1153" s="1" t="str">
        <f t="shared" si="18"/>
        <v/>
      </c>
      <c r="B11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4" spans="1:2" x14ac:dyDescent="0.25">
      <c r="A1154" s="1" t="str">
        <f t="shared" si="18"/>
        <v/>
      </c>
      <c r="B11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5" spans="1:2" x14ac:dyDescent="0.25">
      <c r="A1155" s="1" t="str">
        <f t="shared" si="18"/>
        <v/>
      </c>
      <c r="B11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6" spans="1:2" x14ac:dyDescent="0.25">
      <c r="A1156" s="1" t="str">
        <f t="shared" si="18"/>
        <v/>
      </c>
      <c r="B11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7" spans="1:2" x14ac:dyDescent="0.25">
      <c r="A1157" s="1" t="str">
        <f t="shared" si="18"/>
        <v/>
      </c>
      <c r="B11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8" spans="1:2" x14ac:dyDescent="0.25">
      <c r="A1158" s="1" t="str">
        <f t="shared" si="18"/>
        <v/>
      </c>
      <c r="B1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9" spans="1:2" x14ac:dyDescent="0.25">
      <c r="A1159" s="1" t="str">
        <f t="shared" si="18"/>
        <v/>
      </c>
      <c r="B1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0" spans="1:2" x14ac:dyDescent="0.25">
      <c r="A1160" s="1" t="str">
        <f t="shared" si="18"/>
        <v/>
      </c>
      <c r="B11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1" spans="1:2" x14ac:dyDescent="0.25">
      <c r="A1161" s="1" t="str">
        <f t="shared" si="18"/>
        <v/>
      </c>
      <c r="B1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2" spans="1:2" x14ac:dyDescent="0.25">
      <c r="A1162" s="1" t="str">
        <f t="shared" si="18"/>
        <v/>
      </c>
      <c r="B1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3" spans="1:2" x14ac:dyDescent="0.25">
      <c r="A1163" s="1" t="str">
        <f t="shared" si="18"/>
        <v/>
      </c>
      <c r="B1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4" spans="1:2" x14ac:dyDescent="0.25">
      <c r="A1164" s="1" t="str">
        <f t="shared" si="18"/>
        <v/>
      </c>
      <c r="B1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5" spans="1:2" x14ac:dyDescent="0.25">
      <c r="A1165" s="1" t="str">
        <f t="shared" si="18"/>
        <v/>
      </c>
      <c r="B1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6" spans="1:2" x14ac:dyDescent="0.25">
      <c r="A1166" s="1" t="str">
        <f t="shared" si="18"/>
        <v/>
      </c>
      <c r="B1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7" spans="1:2" x14ac:dyDescent="0.25">
      <c r="A1167" s="1" t="str">
        <f t="shared" si="18"/>
        <v/>
      </c>
      <c r="B11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8" spans="1:2" x14ac:dyDescent="0.25">
      <c r="A1168" s="1" t="str">
        <f t="shared" si="18"/>
        <v/>
      </c>
      <c r="B11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9" spans="1:2" x14ac:dyDescent="0.25">
      <c r="A1169" s="1" t="str">
        <f t="shared" si="18"/>
        <v/>
      </c>
      <c r="B11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0" spans="1:2" x14ac:dyDescent="0.25">
      <c r="A1170" s="1" t="str">
        <f t="shared" si="18"/>
        <v/>
      </c>
      <c r="B11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1" spans="1:2" x14ac:dyDescent="0.25">
      <c r="A1171" s="1" t="str">
        <f t="shared" si="18"/>
        <v/>
      </c>
      <c r="B11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2" spans="1:2" x14ac:dyDescent="0.25">
      <c r="A1172" s="1" t="str">
        <f t="shared" si="18"/>
        <v/>
      </c>
      <c r="B11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3" spans="1:2" x14ac:dyDescent="0.25">
      <c r="A1173" s="1" t="str">
        <f t="shared" si="18"/>
        <v/>
      </c>
      <c r="B11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4" spans="1:2" x14ac:dyDescent="0.25">
      <c r="A1174" s="1" t="str">
        <f t="shared" si="18"/>
        <v/>
      </c>
      <c r="B11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5" spans="1:2" x14ac:dyDescent="0.25">
      <c r="A1175" s="1" t="str">
        <f t="shared" si="18"/>
        <v/>
      </c>
      <c r="B11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6" spans="1:2" x14ac:dyDescent="0.25">
      <c r="A1176" s="1" t="str">
        <f t="shared" si="18"/>
        <v/>
      </c>
      <c r="B11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7" spans="1:2" x14ac:dyDescent="0.25">
      <c r="A1177" s="1" t="str">
        <f t="shared" si="18"/>
        <v/>
      </c>
      <c r="B11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8" spans="1:2" x14ac:dyDescent="0.25">
      <c r="A1178" s="1" t="str">
        <f t="shared" si="18"/>
        <v/>
      </c>
      <c r="B11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9" spans="1:2" x14ac:dyDescent="0.25">
      <c r="A1179" s="1" t="str">
        <f t="shared" si="18"/>
        <v/>
      </c>
      <c r="B11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0" spans="1:2" x14ac:dyDescent="0.25">
      <c r="A1180" s="1" t="str">
        <f t="shared" si="18"/>
        <v/>
      </c>
      <c r="B11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1" spans="1:2" x14ac:dyDescent="0.25">
      <c r="A1181" s="1" t="str">
        <f t="shared" si="18"/>
        <v/>
      </c>
      <c r="B11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2" spans="1:2" x14ac:dyDescent="0.25">
      <c r="A1182" s="1" t="str">
        <f t="shared" si="18"/>
        <v/>
      </c>
      <c r="B11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3" spans="1:2" x14ac:dyDescent="0.25">
      <c r="A1183" s="1" t="str">
        <f t="shared" si="18"/>
        <v/>
      </c>
      <c r="B11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4" spans="1:2" x14ac:dyDescent="0.25">
      <c r="A1184" s="1" t="str">
        <f t="shared" si="18"/>
        <v/>
      </c>
      <c r="B11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5" spans="1:2" x14ac:dyDescent="0.25">
      <c r="A1185" s="1" t="str">
        <f t="shared" si="18"/>
        <v/>
      </c>
      <c r="B11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6" spans="1:2" x14ac:dyDescent="0.25">
      <c r="A1186" s="1" t="str">
        <f t="shared" si="18"/>
        <v/>
      </c>
      <c r="B11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7" spans="1:2" x14ac:dyDescent="0.25">
      <c r="A1187" s="1" t="str">
        <f t="shared" si="18"/>
        <v/>
      </c>
      <c r="B11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8" spans="1:2" x14ac:dyDescent="0.25">
      <c r="A1188" s="1" t="str">
        <f t="shared" si="18"/>
        <v/>
      </c>
      <c r="B11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9" spans="1:2" x14ac:dyDescent="0.25">
      <c r="A1189" s="1" t="str">
        <f t="shared" si="18"/>
        <v/>
      </c>
      <c r="B11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0" spans="1:2" x14ac:dyDescent="0.25">
      <c r="A1190" s="1" t="str">
        <f t="shared" si="18"/>
        <v/>
      </c>
      <c r="B11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1" spans="1:2" x14ac:dyDescent="0.25">
      <c r="A1191" s="1" t="str">
        <f t="shared" si="18"/>
        <v/>
      </c>
      <c r="B1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2" spans="1:2" x14ac:dyDescent="0.25">
      <c r="A1192" s="1" t="str">
        <f t="shared" si="18"/>
        <v/>
      </c>
      <c r="B1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3" spans="1:2" x14ac:dyDescent="0.25">
      <c r="A1193" s="1" t="str">
        <f t="shared" si="18"/>
        <v/>
      </c>
      <c r="B11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4" spans="1:2" x14ac:dyDescent="0.25">
      <c r="A1194" s="1" t="str">
        <f t="shared" si="18"/>
        <v/>
      </c>
      <c r="B1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5" spans="1:2" x14ac:dyDescent="0.25">
      <c r="A1195" s="1" t="str">
        <f t="shared" si="18"/>
        <v/>
      </c>
      <c r="B1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6" spans="1:2" x14ac:dyDescent="0.25">
      <c r="A1196" s="1" t="str">
        <f t="shared" si="18"/>
        <v/>
      </c>
      <c r="B1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7" spans="1:2" x14ac:dyDescent="0.25">
      <c r="A1197" s="1" t="str">
        <f t="shared" si="18"/>
        <v/>
      </c>
      <c r="B1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8" spans="1:2" x14ac:dyDescent="0.25">
      <c r="A1198" s="1" t="str">
        <f t="shared" si="18"/>
        <v/>
      </c>
      <c r="B1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9" spans="1:2" x14ac:dyDescent="0.25">
      <c r="A1199" s="1" t="str">
        <f t="shared" si="18"/>
        <v/>
      </c>
      <c r="B1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0" spans="1:2" x14ac:dyDescent="0.25">
      <c r="A1200" s="1" t="str">
        <f t="shared" si="18"/>
        <v/>
      </c>
      <c r="B12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1" spans="1:2" x14ac:dyDescent="0.25">
      <c r="A1201" s="1" t="str">
        <f t="shared" si="18"/>
        <v/>
      </c>
      <c r="B12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2" spans="1:2" x14ac:dyDescent="0.25">
      <c r="A1202" s="1" t="str">
        <f t="shared" si="18"/>
        <v/>
      </c>
      <c r="B12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3" spans="1:2" x14ac:dyDescent="0.25">
      <c r="A1203" s="1" t="str">
        <f t="shared" ref="A1203:A1266" si="19">IFERROR(LEFT(RIGHT(C1203,LEN(C1203)-SEARCH("@",C1203)),SEARCH("/",RIGHT(C1203,LEN(C1203)-SEARCH("@",C1203)-1))),"")</f>
        <v/>
      </c>
      <c r="B12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4" spans="1:2" x14ac:dyDescent="0.25">
      <c r="A1204" s="1" t="str">
        <f t="shared" si="19"/>
        <v/>
      </c>
      <c r="B12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5" spans="1:2" x14ac:dyDescent="0.25">
      <c r="A1205" s="1" t="str">
        <f t="shared" si="19"/>
        <v/>
      </c>
      <c r="B12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6" spans="1:2" x14ac:dyDescent="0.25">
      <c r="A1206" s="1" t="str">
        <f t="shared" si="19"/>
        <v/>
      </c>
      <c r="B12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7" spans="1:2" x14ac:dyDescent="0.25">
      <c r="A1207" s="1" t="str">
        <f t="shared" si="19"/>
        <v/>
      </c>
      <c r="B12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8" spans="1:2" x14ac:dyDescent="0.25">
      <c r="A1208" s="1" t="str">
        <f t="shared" si="19"/>
        <v/>
      </c>
      <c r="B12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9" spans="1:2" x14ac:dyDescent="0.25">
      <c r="A1209" s="1" t="str">
        <f t="shared" si="19"/>
        <v/>
      </c>
      <c r="B12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0" spans="1:2" x14ac:dyDescent="0.25">
      <c r="A1210" s="1" t="str">
        <f t="shared" si="19"/>
        <v/>
      </c>
      <c r="B12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1" spans="1:2" x14ac:dyDescent="0.25">
      <c r="A1211" s="1" t="str">
        <f t="shared" si="19"/>
        <v/>
      </c>
      <c r="B12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2" spans="1:2" x14ac:dyDescent="0.25">
      <c r="A1212" s="1" t="str">
        <f t="shared" si="19"/>
        <v/>
      </c>
      <c r="B12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3" spans="1:2" x14ac:dyDescent="0.25">
      <c r="A1213" s="1" t="str">
        <f t="shared" si="19"/>
        <v/>
      </c>
      <c r="B12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4" spans="1:2" x14ac:dyDescent="0.25">
      <c r="A1214" s="1" t="str">
        <f t="shared" si="19"/>
        <v/>
      </c>
      <c r="B12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5" spans="1:2" x14ac:dyDescent="0.25">
      <c r="A1215" s="1" t="str">
        <f t="shared" si="19"/>
        <v/>
      </c>
      <c r="B12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6" spans="1:2" x14ac:dyDescent="0.25">
      <c r="A1216" s="1" t="str">
        <f t="shared" si="19"/>
        <v/>
      </c>
      <c r="B12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7" spans="1:2" x14ac:dyDescent="0.25">
      <c r="A1217" s="1" t="str">
        <f t="shared" si="19"/>
        <v/>
      </c>
      <c r="B12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8" spans="1:2" x14ac:dyDescent="0.25">
      <c r="A1218" s="1" t="str">
        <f t="shared" si="19"/>
        <v/>
      </c>
      <c r="B12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9" spans="1:2" x14ac:dyDescent="0.25">
      <c r="A1219" s="1" t="str">
        <f t="shared" si="19"/>
        <v/>
      </c>
      <c r="B12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0" spans="1:2" x14ac:dyDescent="0.25">
      <c r="A1220" s="1" t="str">
        <f t="shared" si="19"/>
        <v/>
      </c>
      <c r="B12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1" spans="1:2" x14ac:dyDescent="0.25">
      <c r="A1221" s="1" t="str">
        <f t="shared" si="19"/>
        <v/>
      </c>
      <c r="B12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2" spans="1:2" x14ac:dyDescent="0.25">
      <c r="A1222" s="1" t="str">
        <f t="shared" si="19"/>
        <v/>
      </c>
      <c r="B12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3" spans="1:2" x14ac:dyDescent="0.25">
      <c r="A1223" s="1" t="str">
        <f t="shared" si="19"/>
        <v/>
      </c>
      <c r="B12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4" spans="1:2" x14ac:dyDescent="0.25">
      <c r="A1224" s="1" t="str">
        <f t="shared" si="19"/>
        <v/>
      </c>
      <c r="B1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5" spans="1:2" x14ac:dyDescent="0.25">
      <c r="A1225" s="1" t="str">
        <f t="shared" si="19"/>
        <v/>
      </c>
      <c r="B1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6" spans="1:2" x14ac:dyDescent="0.25">
      <c r="A1226" s="1" t="str">
        <f t="shared" si="19"/>
        <v/>
      </c>
      <c r="B12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7" spans="1:2" x14ac:dyDescent="0.25">
      <c r="A1227" s="1" t="str">
        <f t="shared" si="19"/>
        <v/>
      </c>
      <c r="B1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8" spans="1:2" x14ac:dyDescent="0.25">
      <c r="A1228" s="1" t="str">
        <f t="shared" si="19"/>
        <v/>
      </c>
      <c r="B1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9" spans="1:2" x14ac:dyDescent="0.25">
      <c r="A1229" s="1" t="str">
        <f t="shared" si="19"/>
        <v/>
      </c>
      <c r="B1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0" spans="1:2" x14ac:dyDescent="0.25">
      <c r="A1230" s="1" t="str">
        <f t="shared" si="19"/>
        <v/>
      </c>
      <c r="B1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1" spans="1:2" x14ac:dyDescent="0.25">
      <c r="A1231" s="1" t="str">
        <f t="shared" si="19"/>
        <v/>
      </c>
      <c r="B1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2" spans="1:2" x14ac:dyDescent="0.25">
      <c r="A1232" s="1" t="str">
        <f t="shared" si="19"/>
        <v/>
      </c>
      <c r="B1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3" spans="1:2" x14ac:dyDescent="0.25">
      <c r="A1233" s="1" t="str">
        <f t="shared" si="19"/>
        <v/>
      </c>
      <c r="B12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4" spans="1:2" x14ac:dyDescent="0.25">
      <c r="A1234" s="1" t="str">
        <f t="shared" si="19"/>
        <v/>
      </c>
      <c r="B12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5" spans="1:2" x14ac:dyDescent="0.25">
      <c r="A1235" s="1" t="str">
        <f t="shared" si="19"/>
        <v/>
      </c>
      <c r="B12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6" spans="1:2" x14ac:dyDescent="0.25">
      <c r="A1236" s="1" t="str">
        <f t="shared" si="19"/>
        <v/>
      </c>
      <c r="B12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7" spans="1:2" x14ac:dyDescent="0.25">
      <c r="A1237" s="1" t="str">
        <f t="shared" si="19"/>
        <v/>
      </c>
      <c r="B12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8" spans="1:2" x14ac:dyDescent="0.25">
      <c r="A1238" s="1" t="str">
        <f t="shared" si="19"/>
        <v/>
      </c>
      <c r="B12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9" spans="1:2" x14ac:dyDescent="0.25">
      <c r="A1239" s="1" t="str">
        <f t="shared" si="19"/>
        <v/>
      </c>
      <c r="B12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0" spans="1:2" x14ac:dyDescent="0.25">
      <c r="A1240" s="1" t="str">
        <f t="shared" si="19"/>
        <v/>
      </c>
      <c r="B12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1" spans="1:2" x14ac:dyDescent="0.25">
      <c r="A1241" s="1" t="str">
        <f t="shared" si="19"/>
        <v/>
      </c>
      <c r="B12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2" spans="1:2" x14ac:dyDescent="0.25">
      <c r="A1242" s="1" t="str">
        <f t="shared" si="19"/>
        <v/>
      </c>
      <c r="B12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3" spans="1:2" x14ac:dyDescent="0.25">
      <c r="A1243" s="1" t="str">
        <f t="shared" si="19"/>
        <v/>
      </c>
      <c r="B12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4" spans="1:2" x14ac:dyDescent="0.25">
      <c r="A1244" s="1" t="str">
        <f t="shared" si="19"/>
        <v/>
      </c>
      <c r="B12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5" spans="1:2" x14ac:dyDescent="0.25">
      <c r="A1245" s="1" t="str">
        <f t="shared" si="19"/>
        <v/>
      </c>
      <c r="B12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6" spans="1:2" x14ac:dyDescent="0.25">
      <c r="A1246" s="1" t="str">
        <f t="shared" si="19"/>
        <v/>
      </c>
      <c r="B12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7" spans="1:2" x14ac:dyDescent="0.25">
      <c r="A1247" s="1" t="str">
        <f t="shared" si="19"/>
        <v/>
      </c>
      <c r="B12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8" spans="1:2" x14ac:dyDescent="0.25">
      <c r="A1248" s="1" t="str">
        <f t="shared" si="19"/>
        <v/>
      </c>
      <c r="B12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9" spans="1:2" x14ac:dyDescent="0.25">
      <c r="A1249" s="1" t="str">
        <f t="shared" si="19"/>
        <v/>
      </c>
      <c r="B12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0" spans="1:2" x14ac:dyDescent="0.25">
      <c r="A1250" s="1" t="str">
        <f t="shared" si="19"/>
        <v/>
      </c>
      <c r="B12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1" spans="1:2" x14ac:dyDescent="0.25">
      <c r="A1251" s="1" t="str">
        <f t="shared" si="19"/>
        <v/>
      </c>
      <c r="B12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2" spans="1:2" x14ac:dyDescent="0.25">
      <c r="A1252" s="1" t="str">
        <f t="shared" si="19"/>
        <v/>
      </c>
      <c r="B12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3" spans="1:2" x14ac:dyDescent="0.25">
      <c r="A1253" s="1" t="str">
        <f t="shared" si="19"/>
        <v/>
      </c>
      <c r="B12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4" spans="1:2" x14ac:dyDescent="0.25">
      <c r="A1254" s="1" t="str">
        <f t="shared" si="19"/>
        <v/>
      </c>
      <c r="B12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5" spans="1:2" x14ac:dyDescent="0.25">
      <c r="A1255" s="1" t="str">
        <f t="shared" si="19"/>
        <v/>
      </c>
      <c r="B12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6" spans="1:2" x14ac:dyDescent="0.25">
      <c r="A1256" s="1" t="str">
        <f t="shared" si="19"/>
        <v/>
      </c>
      <c r="B12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7" spans="1:2" x14ac:dyDescent="0.25">
      <c r="A1257" s="1" t="str">
        <f t="shared" si="19"/>
        <v/>
      </c>
      <c r="B1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8" spans="1:2" x14ac:dyDescent="0.25">
      <c r="A1258" s="1" t="str">
        <f t="shared" si="19"/>
        <v/>
      </c>
      <c r="B1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9" spans="1:2" x14ac:dyDescent="0.25">
      <c r="A1259" s="1" t="str">
        <f t="shared" si="19"/>
        <v/>
      </c>
      <c r="B12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0" spans="1:2" x14ac:dyDescent="0.25">
      <c r="A1260" s="1" t="str">
        <f t="shared" si="19"/>
        <v/>
      </c>
      <c r="B1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1" spans="1:2" x14ac:dyDescent="0.25">
      <c r="A1261" s="1" t="str">
        <f t="shared" si="19"/>
        <v/>
      </c>
      <c r="B1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2" spans="1:2" x14ac:dyDescent="0.25">
      <c r="A1262" s="1" t="str">
        <f t="shared" si="19"/>
        <v/>
      </c>
      <c r="B1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3" spans="1:2" x14ac:dyDescent="0.25">
      <c r="A1263" s="1" t="str">
        <f t="shared" si="19"/>
        <v/>
      </c>
      <c r="B1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4" spans="1:2" x14ac:dyDescent="0.25">
      <c r="A1264" s="1" t="str">
        <f t="shared" si="19"/>
        <v/>
      </c>
      <c r="B1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5" spans="1:2" x14ac:dyDescent="0.25">
      <c r="A1265" s="1" t="str">
        <f t="shared" si="19"/>
        <v/>
      </c>
      <c r="B1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6" spans="1:2" x14ac:dyDescent="0.25">
      <c r="A1266" s="1" t="str">
        <f t="shared" si="19"/>
        <v/>
      </c>
      <c r="B12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7" spans="1:2" x14ac:dyDescent="0.25">
      <c r="A1267" s="1" t="str">
        <f t="shared" ref="A1267:A1330" si="20">IFERROR(LEFT(RIGHT(C1267,LEN(C1267)-SEARCH("@",C1267)),SEARCH("/",RIGHT(C1267,LEN(C1267)-SEARCH("@",C1267)-1))),"")</f>
        <v/>
      </c>
      <c r="B12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8" spans="1:2" x14ac:dyDescent="0.25">
      <c r="A1268" s="1" t="str">
        <f t="shared" si="20"/>
        <v/>
      </c>
      <c r="B12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9" spans="1:2" x14ac:dyDescent="0.25">
      <c r="A1269" s="1" t="str">
        <f t="shared" si="20"/>
        <v/>
      </c>
      <c r="B12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0" spans="1:2" x14ac:dyDescent="0.25">
      <c r="A1270" s="1" t="str">
        <f t="shared" si="20"/>
        <v/>
      </c>
      <c r="B12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1" spans="1:2" x14ac:dyDescent="0.25">
      <c r="A1271" s="1" t="str">
        <f t="shared" si="20"/>
        <v/>
      </c>
      <c r="B12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2" spans="1:2" x14ac:dyDescent="0.25">
      <c r="A1272" s="1" t="str">
        <f t="shared" si="20"/>
        <v/>
      </c>
      <c r="B12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3" spans="1:2" x14ac:dyDescent="0.25">
      <c r="A1273" s="1" t="str">
        <f t="shared" si="20"/>
        <v/>
      </c>
      <c r="B12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4" spans="1:2" x14ac:dyDescent="0.25">
      <c r="A1274" s="1" t="str">
        <f t="shared" si="20"/>
        <v/>
      </c>
      <c r="B12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5" spans="1:2" x14ac:dyDescent="0.25">
      <c r="A1275" s="1" t="str">
        <f t="shared" si="20"/>
        <v/>
      </c>
      <c r="B12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6" spans="1:2" x14ac:dyDescent="0.25">
      <c r="A1276" s="1" t="str">
        <f t="shared" si="20"/>
        <v/>
      </c>
      <c r="B12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7" spans="1:2" x14ac:dyDescent="0.25">
      <c r="A1277" s="1" t="str">
        <f t="shared" si="20"/>
        <v/>
      </c>
      <c r="B12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8" spans="1:2" x14ac:dyDescent="0.25">
      <c r="A1278" s="1" t="str">
        <f t="shared" si="20"/>
        <v/>
      </c>
      <c r="B12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9" spans="1:2" x14ac:dyDescent="0.25">
      <c r="A1279" s="1" t="str">
        <f t="shared" si="20"/>
        <v/>
      </c>
      <c r="B12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0" spans="1:2" x14ac:dyDescent="0.25">
      <c r="A1280" s="1" t="str">
        <f t="shared" si="20"/>
        <v/>
      </c>
      <c r="B12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1" spans="1:2" x14ac:dyDescent="0.25">
      <c r="A1281" s="1" t="str">
        <f t="shared" si="20"/>
        <v/>
      </c>
      <c r="B12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2" spans="1:2" x14ac:dyDescent="0.25">
      <c r="A1282" s="1" t="str">
        <f t="shared" si="20"/>
        <v/>
      </c>
      <c r="B12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3" spans="1:2" x14ac:dyDescent="0.25">
      <c r="A1283" s="1" t="str">
        <f t="shared" si="20"/>
        <v/>
      </c>
      <c r="B12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4" spans="1:2" x14ac:dyDescent="0.25">
      <c r="A1284" s="1" t="str">
        <f t="shared" si="20"/>
        <v/>
      </c>
      <c r="B12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5" spans="1:2" x14ac:dyDescent="0.25">
      <c r="A1285" s="1" t="str">
        <f t="shared" si="20"/>
        <v/>
      </c>
      <c r="B12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6" spans="1:2" x14ac:dyDescent="0.25">
      <c r="A1286" s="1" t="str">
        <f t="shared" si="20"/>
        <v/>
      </c>
      <c r="B12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7" spans="1:2" x14ac:dyDescent="0.25">
      <c r="A1287" s="1" t="str">
        <f t="shared" si="20"/>
        <v/>
      </c>
      <c r="B12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8" spans="1:2" x14ac:dyDescent="0.25">
      <c r="A1288" s="1" t="str">
        <f t="shared" si="20"/>
        <v/>
      </c>
      <c r="B12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9" spans="1:2" x14ac:dyDescent="0.25">
      <c r="A1289" s="1" t="str">
        <f t="shared" si="20"/>
        <v/>
      </c>
      <c r="B12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0" spans="1:2" x14ac:dyDescent="0.25">
      <c r="A1290" s="1" t="str">
        <f t="shared" si="20"/>
        <v/>
      </c>
      <c r="B1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1" spans="1:2" x14ac:dyDescent="0.25">
      <c r="A1291" s="1" t="str">
        <f t="shared" si="20"/>
        <v/>
      </c>
      <c r="B1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2" spans="1:2" x14ac:dyDescent="0.25">
      <c r="A1292" s="1" t="str">
        <f t="shared" si="20"/>
        <v/>
      </c>
      <c r="B12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3" spans="1:2" x14ac:dyDescent="0.25">
      <c r="A1293" s="1" t="str">
        <f t="shared" si="20"/>
        <v/>
      </c>
      <c r="B1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4" spans="1:2" x14ac:dyDescent="0.25">
      <c r="A1294" s="1" t="str">
        <f t="shared" si="20"/>
        <v/>
      </c>
      <c r="B1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5" spans="1:2" x14ac:dyDescent="0.25">
      <c r="A1295" s="1" t="str">
        <f t="shared" si="20"/>
        <v/>
      </c>
      <c r="B1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6" spans="1:2" x14ac:dyDescent="0.25">
      <c r="A1296" s="1" t="str">
        <f t="shared" si="20"/>
        <v/>
      </c>
      <c r="B1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7" spans="1:2" x14ac:dyDescent="0.25">
      <c r="A1297" s="1" t="str">
        <f t="shared" si="20"/>
        <v/>
      </c>
      <c r="B1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8" spans="1:2" x14ac:dyDescent="0.25">
      <c r="A1298" s="1" t="str">
        <f t="shared" si="20"/>
        <v/>
      </c>
      <c r="B1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9" spans="1:2" x14ac:dyDescent="0.25">
      <c r="A1299" s="1" t="str">
        <f t="shared" si="20"/>
        <v/>
      </c>
      <c r="B12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0" spans="1:2" x14ac:dyDescent="0.25">
      <c r="A1300" s="1" t="str">
        <f t="shared" si="20"/>
        <v/>
      </c>
      <c r="B13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1" spans="1:2" x14ac:dyDescent="0.25">
      <c r="A1301" s="1" t="str">
        <f t="shared" si="20"/>
        <v/>
      </c>
      <c r="B13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2" spans="1:2" x14ac:dyDescent="0.25">
      <c r="A1302" s="1" t="str">
        <f t="shared" si="20"/>
        <v/>
      </c>
      <c r="B13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3" spans="1:2" x14ac:dyDescent="0.25">
      <c r="A1303" s="1" t="str">
        <f t="shared" si="20"/>
        <v/>
      </c>
      <c r="B13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4" spans="1:2" x14ac:dyDescent="0.25">
      <c r="A1304" s="1" t="str">
        <f t="shared" si="20"/>
        <v/>
      </c>
      <c r="B13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5" spans="1:2" x14ac:dyDescent="0.25">
      <c r="A1305" s="1" t="str">
        <f t="shared" si="20"/>
        <v/>
      </c>
      <c r="B13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6" spans="1:2" x14ac:dyDescent="0.25">
      <c r="A1306" s="1" t="str">
        <f t="shared" si="20"/>
        <v/>
      </c>
      <c r="B13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7" spans="1:2" x14ac:dyDescent="0.25">
      <c r="A1307" s="1" t="str">
        <f t="shared" si="20"/>
        <v/>
      </c>
      <c r="B13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8" spans="1:2" x14ac:dyDescent="0.25">
      <c r="A1308" s="1" t="str">
        <f t="shared" si="20"/>
        <v/>
      </c>
      <c r="B13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9" spans="1:2" x14ac:dyDescent="0.25">
      <c r="A1309" s="1" t="str">
        <f t="shared" si="20"/>
        <v/>
      </c>
      <c r="B13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0" spans="1:2" x14ac:dyDescent="0.25">
      <c r="A1310" s="1" t="str">
        <f t="shared" si="20"/>
        <v/>
      </c>
      <c r="B13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1" spans="1:2" x14ac:dyDescent="0.25">
      <c r="A1311" s="1" t="str">
        <f t="shared" si="20"/>
        <v/>
      </c>
      <c r="B13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2" spans="1:2" x14ac:dyDescent="0.25">
      <c r="A1312" s="1" t="str">
        <f t="shared" si="20"/>
        <v/>
      </c>
      <c r="B13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3" spans="1:2" x14ac:dyDescent="0.25">
      <c r="A1313" s="1" t="str">
        <f t="shared" si="20"/>
        <v/>
      </c>
      <c r="B13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4" spans="1:2" x14ac:dyDescent="0.25">
      <c r="A1314" s="1" t="str">
        <f t="shared" si="20"/>
        <v/>
      </c>
      <c r="B13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5" spans="1:2" x14ac:dyDescent="0.25">
      <c r="A1315" s="1" t="str">
        <f t="shared" si="20"/>
        <v/>
      </c>
      <c r="B13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6" spans="1:2" x14ac:dyDescent="0.25">
      <c r="A1316" s="1" t="str">
        <f t="shared" si="20"/>
        <v/>
      </c>
      <c r="B13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7" spans="1:2" x14ac:dyDescent="0.25">
      <c r="A1317" s="1" t="str">
        <f t="shared" si="20"/>
        <v/>
      </c>
      <c r="B13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8" spans="1:2" x14ac:dyDescent="0.25">
      <c r="A1318" s="1" t="str">
        <f t="shared" si="20"/>
        <v/>
      </c>
      <c r="B13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9" spans="1:2" x14ac:dyDescent="0.25">
      <c r="A1319" s="1" t="str">
        <f t="shared" si="20"/>
        <v/>
      </c>
      <c r="B13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0" spans="1:2" x14ac:dyDescent="0.25">
      <c r="A1320" s="1" t="str">
        <f t="shared" si="20"/>
        <v/>
      </c>
      <c r="B13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1" spans="1:2" x14ac:dyDescent="0.25">
      <c r="A1321" s="1" t="str">
        <f t="shared" si="20"/>
        <v/>
      </c>
      <c r="B13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2" spans="1:2" x14ac:dyDescent="0.25">
      <c r="A1322" s="1" t="str">
        <f t="shared" si="20"/>
        <v/>
      </c>
      <c r="B13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3" spans="1:2" x14ac:dyDescent="0.25">
      <c r="A1323" s="1" t="str">
        <f t="shared" si="20"/>
        <v/>
      </c>
      <c r="B1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4" spans="1:2" x14ac:dyDescent="0.25">
      <c r="A1324" s="1" t="str">
        <f t="shared" si="20"/>
        <v/>
      </c>
      <c r="B1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5" spans="1:2" x14ac:dyDescent="0.25">
      <c r="A1325" s="1" t="str">
        <f t="shared" si="20"/>
        <v/>
      </c>
      <c r="B13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6" spans="1:2" x14ac:dyDescent="0.25">
      <c r="A1326" s="1" t="str">
        <f t="shared" si="20"/>
        <v/>
      </c>
      <c r="B1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7" spans="1:2" x14ac:dyDescent="0.25">
      <c r="A1327" s="1" t="str">
        <f t="shared" si="20"/>
        <v/>
      </c>
      <c r="B1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8" spans="1:2" x14ac:dyDescent="0.25">
      <c r="A1328" s="1" t="str">
        <f t="shared" si="20"/>
        <v/>
      </c>
      <c r="B1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9" spans="1:2" x14ac:dyDescent="0.25">
      <c r="A1329" s="1" t="str">
        <f t="shared" si="20"/>
        <v/>
      </c>
      <c r="B1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0" spans="1:2" x14ac:dyDescent="0.25">
      <c r="A1330" s="1" t="str">
        <f t="shared" si="20"/>
        <v/>
      </c>
      <c r="B1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1" spans="1:2" x14ac:dyDescent="0.25">
      <c r="A1331" s="1" t="str">
        <f t="shared" ref="A1331:A1394" si="21">IFERROR(LEFT(RIGHT(C1331,LEN(C1331)-SEARCH("@",C1331)),SEARCH("/",RIGHT(C1331,LEN(C1331)-SEARCH("@",C1331)-1))),"")</f>
        <v/>
      </c>
      <c r="B1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2" spans="1:2" x14ac:dyDescent="0.25">
      <c r="A1332" s="1" t="str">
        <f t="shared" si="21"/>
        <v/>
      </c>
      <c r="B13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3" spans="1:2" x14ac:dyDescent="0.25">
      <c r="A1333" s="1" t="str">
        <f t="shared" si="21"/>
        <v/>
      </c>
      <c r="B13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4" spans="1:2" x14ac:dyDescent="0.25">
      <c r="A1334" s="1" t="str">
        <f t="shared" si="21"/>
        <v/>
      </c>
      <c r="B13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5" spans="1:2" x14ac:dyDescent="0.25">
      <c r="A1335" s="1" t="str">
        <f t="shared" si="21"/>
        <v/>
      </c>
      <c r="B13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6" spans="1:2" x14ac:dyDescent="0.25">
      <c r="A1336" s="1" t="str">
        <f t="shared" si="21"/>
        <v/>
      </c>
      <c r="B13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7" spans="1:2" x14ac:dyDescent="0.25">
      <c r="A1337" s="1" t="str">
        <f t="shared" si="21"/>
        <v/>
      </c>
      <c r="B13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8" spans="1:2" x14ac:dyDescent="0.25">
      <c r="A1338" s="1" t="str">
        <f t="shared" si="21"/>
        <v/>
      </c>
      <c r="B13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9" spans="1:2" x14ac:dyDescent="0.25">
      <c r="A1339" s="1" t="str">
        <f t="shared" si="21"/>
        <v/>
      </c>
      <c r="B13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0" spans="1:2" x14ac:dyDescent="0.25">
      <c r="A1340" s="1" t="str">
        <f t="shared" si="21"/>
        <v/>
      </c>
      <c r="B13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1" spans="1:2" x14ac:dyDescent="0.25">
      <c r="A1341" s="1" t="str">
        <f t="shared" si="21"/>
        <v/>
      </c>
      <c r="B13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2" spans="1:2" x14ac:dyDescent="0.25">
      <c r="A1342" s="1" t="str">
        <f t="shared" si="21"/>
        <v/>
      </c>
      <c r="B13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3" spans="1:2" x14ac:dyDescent="0.25">
      <c r="A1343" s="1" t="str">
        <f t="shared" si="21"/>
        <v/>
      </c>
      <c r="B13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4" spans="1:2" x14ac:dyDescent="0.25">
      <c r="A1344" s="1" t="str">
        <f t="shared" si="21"/>
        <v/>
      </c>
      <c r="B13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5" spans="1:2" x14ac:dyDescent="0.25">
      <c r="A1345" s="1" t="str">
        <f t="shared" si="21"/>
        <v/>
      </c>
      <c r="B13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6" spans="1:2" x14ac:dyDescent="0.25">
      <c r="A1346" s="1" t="str">
        <f t="shared" si="21"/>
        <v/>
      </c>
      <c r="B13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7" spans="1:2" x14ac:dyDescent="0.25">
      <c r="A1347" s="1" t="str">
        <f t="shared" si="21"/>
        <v/>
      </c>
      <c r="B13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8" spans="1:2" x14ac:dyDescent="0.25">
      <c r="A1348" s="1" t="str">
        <f t="shared" si="21"/>
        <v/>
      </c>
      <c r="B13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9" spans="1:2" x14ac:dyDescent="0.25">
      <c r="A1349" s="1" t="str">
        <f t="shared" si="21"/>
        <v/>
      </c>
      <c r="B13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0" spans="1:2" x14ac:dyDescent="0.25">
      <c r="A1350" s="1" t="str">
        <f t="shared" si="21"/>
        <v/>
      </c>
      <c r="B13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1" spans="1:2" x14ac:dyDescent="0.25">
      <c r="A1351" s="1" t="str">
        <f t="shared" si="21"/>
        <v/>
      </c>
      <c r="B13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2" spans="1:2" x14ac:dyDescent="0.25">
      <c r="A1352" s="1" t="str">
        <f t="shared" si="21"/>
        <v/>
      </c>
      <c r="B13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3" spans="1:2" x14ac:dyDescent="0.25">
      <c r="A1353" s="1" t="str">
        <f t="shared" si="21"/>
        <v/>
      </c>
      <c r="B13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4" spans="1:2" x14ac:dyDescent="0.25">
      <c r="A1354" s="1" t="str">
        <f t="shared" si="21"/>
        <v/>
      </c>
      <c r="B13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5" spans="1:2" x14ac:dyDescent="0.25">
      <c r="A1355" s="1" t="str">
        <f t="shared" si="21"/>
        <v/>
      </c>
      <c r="B13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6" spans="1:2" x14ac:dyDescent="0.25">
      <c r="A1356" s="1" t="str">
        <f t="shared" si="21"/>
        <v/>
      </c>
      <c r="B1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7" spans="1:2" x14ac:dyDescent="0.25">
      <c r="A1357" s="1" t="str">
        <f t="shared" si="21"/>
        <v/>
      </c>
      <c r="B1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8" spans="1:2" x14ac:dyDescent="0.25">
      <c r="A1358" s="1" t="str">
        <f t="shared" si="21"/>
        <v/>
      </c>
      <c r="B13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9" spans="1:2" x14ac:dyDescent="0.25">
      <c r="A1359" s="1" t="str">
        <f t="shared" si="21"/>
        <v/>
      </c>
      <c r="B1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0" spans="1:2" x14ac:dyDescent="0.25">
      <c r="A1360" s="1" t="str">
        <f t="shared" si="21"/>
        <v/>
      </c>
      <c r="B1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1" spans="1:2" x14ac:dyDescent="0.25">
      <c r="A1361" s="1" t="str">
        <f t="shared" si="21"/>
        <v/>
      </c>
      <c r="B1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2" spans="1:2" x14ac:dyDescent="0.25">
      <c r="A1362" s="1" t="str">
        <f t="shared" si="21"/>
        <v/>
      </c>
      <c r="B1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3" spans="1:2" x14ac:dyDescent="0.25">
      <c r="A1363" s="1" t="str">
        <f t="shared" si="21"/>
        <v/>
      </c>
      <c r="B1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4" spans="1:2" x14ac:dyDescent="0.25">
      <c r="A1364" s="1" t="str">
        <f t="shared" si="21"/>
        <v/>
      </c>
      <c r="B1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5" spans="1:2" x14ac:dyDescent="0.25">
      <c r="A1365" s="1" t="str">
        <f t="shared" si="21"/>
        <v/>
      </c>
      <c r="B13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6" spans="1:2" x14ac:dyDescent="0.25">
      <c r="A1366" s="1" t="str">
        <f t="shared" si="21"/>
        <v/>
      </c>
      <c r="B13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7" spans="1:2" x14ac:dyDescent="0.25">
      <c r="A1367" s="1" t="str">
        <f t="shared" si="21"/>
        <v/>
      </c>
      <c r="B13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8" spans="1:2" x14ac:dyDescent="0.25">
      <c r="A1368" s="1" t="str">
        <f t="shared" si="21"/>
        <v/>
      </c>
      <c r="B13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9" spans="1:2" x14ac:dyDescent="0.25">
      <c r="A1369" s="1" t="str">
        <f t="shared" si="21"/>
        <v/>
      </c>
      <c r="B13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0" spans="1:2" x14ac:dyDescent="0.25">
      <c r="A1370" s="1" t="str">
        <f t="shared" si="21"/>
        <v/>
      </c>
      <c r="B13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1" spans="1:2" x14ac:dyDescent="0.25">
      <c r="A1371" s="1" t="str">
        <f t="shared" si="21"/>
        <v/>
      </c>
      <c r="B13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2" spans="1:2" x14ac:dyDescent="0.25">
      <c r="A1372" s="1" t="str">
        <f t="shared" si="21"/>
        <v/>
      </c>
      <c r="B13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3" spans="1:2" x14ac:dyDescent="0.25">
      <c r="A1373" s="1" t="str">
        <f t="shared" si="21"/>
        <v/>
      </c>
      <c r="B13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4" spans="1:2" x14ac:dyDescent="0.25">
      <c r="A1374" s="1" t="str">
        <f t="shared" si="21"/>
        <v/>
      </c>
      <c r="B13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5" spans="1:2" x14ac:dyDescent="0.25">
      <c r="A1375" s="1" t="str">
        <f t="shared" si="21"/>
        <v/>
      </c>
      <c r="B13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6" spans="1:2" x14ac:dyDescent="0.25">
      <c r="A1376" s="1" t="str">
        <f t="shared" si="21"/>
        <v/>
      </c>
      <c r="B13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7" spans="1:2" x14ac:dyDescent="0.25">
      <c r="A1377" s="1" t="str">
        <f t="shared" si="21"/>
        <v/>
      </c>
      <c r="B13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8" spans="1:2" x14ac:dyDescent="0.25">
      <c r="A1378" s="1" t="str">
        <f t="shared" si="21"/>
        <v/>
      </c>
      <c r="B13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9" spans="1:2" x14ac:dyDescent="0.25">
      <c r="A1379" s="1" t="str">
        <f t="shared" si="21"/>
        <v/>
      </c>
      <c r="B13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0" spans="1:2" x14ac:dyDescent="0.25">
      <c r="A1380" s="1" t="str">
        <f t="shared" si="21"/>
        <v/>
      </c>
      <c r="B13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1" spans="1:2" x14ac:dyDescent="0.25">
      <c r="A1381" s="1" t="str">
        <f t="shared" si="21"/>
        <v/>
      </c>
      <c r="B13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2" spans="1:2" x14ac:dyDescent="0.25">
      <c r="A1382" s="1" t="str">
        <f t="shared" si="21"/>
        <v/>
      </c>
      <c r="B13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3" spans="1:2" x14ac:dyDescent="0.25">
      <c r="A1383" s="1" t="str">
        <f t="shared" si="21"/>
        <v/>
      </c>
      <c r="B13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4" spans="1:2" x14ac:dyDescent="0.25">
      <c r="A1384" s="1" t="str">
        <f t="shared" si="21"/>
        <v/>
      </c>
      <c r="B13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5" spans="1:2" x14ac:dyDescent="0.25">
      <c r="A1385" s="1" t="str">
        <f t="shared" si="21"/>
        <v/>
      </c>
      <c r="B13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6" spans="1:2" x14ac:dyDescent="0.25">
      <c r="A1386" s="1" t="str">
        <f t="shared" si="21"/>
        <v/>
      </c>
      <c r="B13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7" spans="1:2" x14ac:dyDescent="0.25">
      <c r="A1387" s="1" t="str">
        <f t="shared" si="21"/>
        <v/>
      </c>
      <c r="B13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8" spans="1:2" x14ac:dyDescent="0.25">
      <c r="A1388" s="1" t="str">
        <f t="shared" si="21"/>
        <v/>
      </c>
      <c r="B13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9" spans="1:2" x14ac:dyDescent="0.25">
      <c r="A1389" s="1" t="str">
        <f t="shared" si="21"/>
        <v/>
      </c>
      <c r="B1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0" spans="1:2" x14ac:dyDescent="0.25">
      <c r="A1390" s="1" t="str">
        <f t="shared" si="21"/>
        <v/>
      </c>
      <c r="B1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1" spans="1:2" x14ac:dyDescent="0.25">
      <c r="A1391" s="1" t="str">
        <f t="shared" si="21"/>
        <v/>
      </c>
      <c r="B13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2" spans="1:2" x14ac:dyDescent="0.25">
      <c r="A1392" s="1" t="str">
        <f t="shared" si="21"/>
        <v/>
      </c>
      <c r="B1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3" spans="1:2" x14ac:dyDescent="0.25">
      <c r="A1393" s="1" t="str">
        <f t="shared" si="21"/>
        <v/>
      </c>
      <c r="B1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4" spans="1:2" x14ac:dyDescent="0.25">
      <c r="A1394" s="1" t="str">
        <f t="shared" si="21"/>
        <v/>
      </c>
      <c r="B1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5" spans="1:2" x14ac:dyDescent="0.25">
      <c r="A1395" s="1" t="str">
        <f t="shared" ref="A1395:A1458" si="22">IFERROR(LEFT(RIGHT(C1395,LEN(C1395)-SEARCH("@",C1395)),SEARCH("/",RIGHT(C1395,LEN(C1395)-SEARCH("@",C1395)-1))),"")</f>
        <v/>
      </c>
      <c r="B1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6" spans="1:2" x14ac:dyDescent="0.25">
      <c r="A1396" s="1" t="str">
        <f t="shared" si="22"/>
        <v/>
      </c>
      <c r="B1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7" spans="1:2" x14ac:dyDescent="0.25">
      <c r="A1397" s="1" t="str">
        <f t="shared" si="22"/>
        <v/>
      </c>
      <c r="B1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8" spans="1:2" x14ac:dyDescent="0.25">
      <c r="A1398" s="1" t="str">
        <f t="shared" si="22"/>
        <v/>
      </c>
      <c r="B13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9" spans="1:2" x14ac:dyDescent="0.25">
      <c r="A1399" s="1" t="str">
        <f t="shared" si="22"/>
        <v/>
      </c>
      <c r="B13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0" spans="1:2" x14ac:dyDescent="0.25">
      <c r="A1400" s="1" t="str">
        <f t="shared" si="22"/>
        <v/>
      </c>
      <c r="B14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1" spans="1:2" x14ac:dyDescent="0.25">
      <c r="A1401" s="1" t="str">
        <f t="shared" si="22"/>
        <v/>
      </c>
      <c r="B14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2" spans="1:2" x14ac:dyDescent="0.25">
      <c r="A1402" s="1" t="str">
        <f t="shared" si="22"/>
        <v/>
      </c>
      <c r="B14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3" spans="1:2" x14ac:dyDescent="0.25">
      <c r="A1403" s="1" t="str">
        <f t="shared" si="22"/>
        <v/>
      </c>
      <c r="B14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4" spans="1:2" x14ac:dyDescent="0.25">
      <c r="A1404" s="1" t="str">
        <f t="shared" si="22"/>
        <v/>
      </c>
      <c r="B14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5" spans="1:2" x14ac:dyDescent="0.25">
      <c r="A1405" s="1" t="str">
        <f t="shared" si="22"/>
        <v/>
      </c>
      <c r="B14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6" spans="1:2" x14ac:dyDescent="0.25">
      <c r="A1406" s="1" t="str">
        <f t="shared" si="22"/>
        <v/>
      </c>
      <c r="B14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7" spans="1:2" x14ac:dyDescent="0.25">
      <c r="A1407" s="1" t="str">
        <f t="shared" si="22"/>
        <v/>
      </c>
      <c r="B14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8" spans="1:2" x14ac:dyDescent="0.25">
      <c r="A1408" s="1" t="str">
        <f t="shared" si="22"/>
        <v/>
      </c>
      <c r="B14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9" spans="1:2" x14ac:dyDescent="0.25">
      <c r="A1409" s="1" t="str">
        <f t="shared" si="22"/>
        <v/>
      </c>
      <c r="B14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0" spans="1:2" x14ac:dyDescent="0.25">
      <c r="A1410" s="1" t="str">
        <f t="shared" si="22"/>
        <v/>
      </c>
      <c r="B14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1" spans="1:2" x14ac:dyDescent="0.25">
      <c r="A1411" s="1" t="str">
        <f t="shared" si="22"/>
        <v/>
      </c>
      <c r="B14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2" spans="1:2" x14ac:dyDescent="0.25">
      <c r="A1412" s="1" t="str">
        <f t="shared" si="22"/>
        <v/>
      </c>
      <c r="B14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3" spans="1:2" x14ac:dyDescent="0.25">
      <c r="A1413" s="1" t="str">
        <f t="shared" si="22"/>
        <v/>
      </c>
      <c r="B14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4" spans="1:2" x14ac:dyDescent="0.25">
      <c r="A1414" s="1" t="str">
        <f t="shared" si="22"/>
        <v/>
      </c>
      <c r="B14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5" spans="1:2" x14ac:dyDescent="0.25">
      <c r="A1415" s="1" t="str">
        <f t="shared" si="22"/>
        <v/>
      </c>
      <c r="B14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6" spans="1:2" x14ac:dyDescent="0.25">
      <c r="A1416" s="1" t="str">
        <f t="shared" si="22"/>
        <v/>
      </c>
      <c r="B14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7" spans="1:2" x14ac:dyDescent="0.25">
      <c r="A1417" s="1" t="str">
        <f t="shared" si="22"/>
        <v/>
      </c>
      <c r="B14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8" spans="1:2" x14ac:dyDescent="0.25">
      <c r="A1418" s="1" t="str">
        <f t="shared" si="22"/>
        <v/>
      </c>
      <c r="B14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9" spans="1:2" x14ac:dyDescent="0.25">
      <c r="A1419" s="1" t="str">
        <f t="shared" si="22"/>
        <v/>
      </c>
      <c r="B14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0" spans="1:2" x14ac:dyDescent="0.25">
      <c r="A1420" s="1" t="str">
        <f t="shared" si="22"/>
        <v/>
      </c>
      <c r="B14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1" spans="1:2" x14ac:dyDescent="0.25">
      <c r="A1421" s="1" t="str">
        <f t="shared" si="22"/>
        <v/>
      </c>
      <c r="B14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2" spans="1:2" x14ac:dyDescent="0.25">
      <c r="A1422" s="1" t="str">
        <f t="shared" si="22"/>
        <v/>
      </c>
      <c r="B1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3" spans="1:2" x14ac:dyDescent="0.25">
      <c r="A1423" s="1" t="str">
        <f t="shared" si="22"/>
        <v/>
      </c>
      <c r="B1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4" spans="1:2" x14ac:dyDescent="0.25">
      <c r="A1424" s="1" t="str">
        <f t="shared" si="22"/>
        <v/>
      </c>
      <c r="B14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5" spans="1:2" x14ac:dyDescent="0.25">
      <c r="A1425" s="1" t="str">
        <f t="shared" si="22"/>
        <v/>
      </c>
      <c r="B1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6" spans="1:2" x14ac:dyDescent="0.25">
      <c r="A1426" s="1" t="str">
        <f t="shared" si="22"/>
        <v/>
      </c>
      <c r="B1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7" spans="1:2" x14ac:dyDescent="0.25">
      <c r="A1427" s="1" t="str">
        <f t="shared" si="22"/>
        <v/>
      </c>
      <c r="B1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8" spans="1:2" x14ac:dyDescent="0.25">
      <c r="A1428" s="1" t="str">
        <f t="shared" si="22"/>
        <v/>
      </c>
      <c r="B1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9" spans="1:2" x14ac:dyDescent="0.25">
      <c r="A1429" s="1" t="str">
        <f t="shared" si="22"/>
        <v/>
      </c>
      <c r="B1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0" spans="1:2" x14ac:dyDescent="0.25">
      <c r="A1430" s="1" t="str">
        <f t="shared" si="22"/>
        <v/>
      </c>
      <c r="B1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1" spans="1:2" x14ac:dyDescent="0.25">
      <c r="A1431" s="1" t="str">
        <f t="shared" si="22"/>
        <v/>
      </c>
      <c r="B14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2" spans="1:2" x14ac:dyDescent="0.25">
      <c r="A1432" s="1" t="str">
        <f t="shared" si="22"/>
        <v/>
      </c>
      <c r="B14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3" spans="1:2" x14ac:dyDescent="0.25">
      <c r="A1433" s="1" t="str">
        <f t="shared" si="22"/>
        <v/>
      </c>
      <c r="B14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4" spans="1:2" x14ac:dyDescent="0.25">
      <c r="A1434" s="1" t="str">
        <f t="shared" si="22"/>
        <v/>
      </c>
      <c r="B14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5" spans="1:2" x14ac:dyDescent="0.25">
      <c r="A1435" s="1" t="str">
        <f t="shared" si="22"/>
        <v/>
      </c>
      <c r="B14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6" spans="1:2" x14ac:dyDescent="0.25">
      <c r="A1436" s="1" t="str">
        <f t="shared" si="22"/>
        <v/>
      </c>
      <c r="B14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7" spans="1:2" x14ac:dyDescent="0.25">
      <c r="A1437" s="1" t="str">
        <f t="shared" si="22"/>
        <v/>
      </c>
      <c r="B14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8" spans="1:2" x14ac:dyDescent="0.25">
      <c r="A1438" s="1" t="str">
        <f t="shared" si="22"/>
        <v/>
      </c>
      <c r="B14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9" spans="1:2" x14ac:dyDescent="0.25">
      <c r="A1439" s="1" t="str">
        <f t="shared" si="22"/>
        <v/>
      </c>
      <c r="B14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0" spans="1:2" x14ac:dyDescent="0.25">
      <c r="A1440" s="1" t="str">
        <f t="shared" si="22"/>
        <v/>
      </c>
      <c r="B14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1" spans="1:2" x14ac:dyDescent="0.25">
      <c r="A1441" s="1" t="str">
        <f t="shared" si="22"/>
        <v/>
      </c>
      <c r="B14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2" spans="1:2" x14ac:dyDescent="0.25">
      <c r="A1442" s="1" t="str">
        <f t="shared" si="22"/>
        <v/>
      </c>
      <c r="B14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3" spans="1:2" x14ac:dyDescent="0.25">
      <c r="A1443" s="1" t="str">
        <f t="shared" si="22"/>
        <v/>
      </c>
      <c r="B14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4" spans="1:2" x14ac:dyDescent="0.25">
      <c r="A1444" s="1" t="str">
        <f t="shared" si="22"/>
        <v/>
      </c>
      <c r="B14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5" spans="1:2" x14ac:dyDescent="0.25">
      <c r="A1445" s="1" t="str">
        <f t="shared" si="22"/>
        <v/>
      </c>
      <c r="B14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6" spans="1:2" x14ac:dyDescent="0.25">
      <c r="A1446" s="1" t="str">
        <f t="shared" si="22"/>
        <v/>
      </c>
      <c r="B14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7" spans="1:2" x14ac:dyDescent="0.25">
      <c r="A1447" s="1" t="str">
        <f t="shared" si="22"/>
        <v/>
      </c>
      <c r="B14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8" spans="1:2" x14ac:dyDescent="0.25">
      <c r="A1448" s="1" t="str">
        <f t="shared" si="22"/>
        <v/>
      </c>
      <c r="B14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9" spans="1:2" x14ac:dyDescent="0.25">
      <c r="A1449" s="1" t="str">
        <f t="shared" si="22"/>
        <v/>
      </c>
      <c r="B14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0" spans="1:2" x14ac:dyDescent="0.25">
      <c r="A1450" s="1" t="str">
        <f t="shared" si="22"/>
        <v/>
      </c>
      <c r="B14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1" spans="1:2" x14ac:dyDescent="0.25">
      <c r="A1451" s="1" t="str">
        <f t="shared" si="22"/>
        <v/>
      </c>
      <c r="B14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2" spans="1:2" x14ac:dyDescent="0.25">
      <c r="A1452" s="1" t="str">
        <f t="shared" si="22"/>
        <v/>
      </c>
      <c r="B14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3" spans="1:2" x14ac:dyDescent="0.25">
      <c r="A1453" s="1" t="str">
        <f t="shared" si="22"/>
        <v/>
      </c>
      <c r="B14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4" spans="1:2" x14ac:dyDescent="0.25">
      <c r="A1454" s="1" t="str">
        <f t="shared" si="22"/>
        <v/>
      </c>
      <c r="B14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5" spans="1:2" x14ac:dyDescent="0.25">
      <c r="A1455" s="1" t="str">
        <f t="shared" si="22"/>
        <v/>
      </c>
      <c r="B1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6" spans="1:2" x14ac:dyDescent="0.25">
      <c r="A1456" s="1" t="str">
        <f t="shared" si="22"/>
        <v/>
      </c>
      <c r="B1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7" spans="1:2" x14ac:dyDescent="0.25">
      <c r="A1457" s="1" t="str">
        <f t="shared" si="22"/>
        <v/>
      </c>
      <c r="B14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8" spans="1:2" x14ac:dyDescent="0.25">
      <c r="A1458" s="1" t="str">
        <f t="shared" si="22"/>
        <v/>
      </c>
      <c r="B1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9" spans="1:2" x14ac:dyDescent="0.25">
      <c r="A1459" s="1" t="str">
        <f t="shared" ref="A1459:A1522" si="23">IFERROR(LEFT(RIGHT(C1459,LEN(C1459)-SEARCH("@",C1459)),SEARCH("/",RIGHT(C1459,LEN(C1459)-SEARCH("@",C1459)-1))),"")</f>
        <v/>
      </c>
      <c r="B1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0" spans="1:2" x14ac:dyDescent="0.25">
      <c r="A1460" s="1" t="str">
        <f t="shared" si="23"/>
        <v/>
      </c>
      <c r="B1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1" spans="1:2" x14ac:dyDescent="0.25">
      <c r="A1461" s="1" t="str">
        <f t="shared" si="23"/>
        <v/>
      </c>
      <c r="B1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2" spans="1:2" x14ac:dyDescent="0.25">
      <c r="A1462" s="1" t="str">
        <f t="shared" si="23"/>
        <v/>
      </c>
      <c r="B1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3" spans="1:2" x14ac:dyDescent="0.25">
      <c r="A1463" s="1" t="str">
        <f t="shared" si="23"/>
        <v/>
      </c>
      <c r="B1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4" spans="1:2" x14ac:dyDescent="0.25">
      <c r="A1464" s="1" t="str">
        <f t="shared" si="23"/>
        <v/>
      </c>
      <c r="B14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5" spans="1:2" x14ac:dyDescent="0.25">
      <c r="A1465" s="1" t="str">
        <f t="shared" si="23"/>
        <v/>
      </c>
      <c r="B14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6" spans="1:2" x14ac:dyDescent="0.25">
      <c r="A1466" s="1" t="str">
        <f t="shared" si="23"/>
        <v/>
      </c>
      <c r="B14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7" spans="1:2" x14ac:dyDescent="0.25">
      <c r="A1467" s="1" t="str">
        <f t="shared" si="23"/>
        <v/>
      </c>
      <c r="B14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8" spans="1:2" x14ac:dyDescent="0.25">
      <c r="A1468" s="1" t="str">
        <f t="shared" si="23"/>
        <v/>
      </c>
      <c r="B14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9" spans="1:2" x14ac:dyDescent="0.25">
      <c r="A1469" s="1" t="str">
        <f t="shared" si="23"/>
        <v/>
      </c>
      <c r="B14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0" spans="1:2" x14ac:dyDescent="0.25">
      <c r="A1470" s="1" t="str">
        <f t="shared" si="23"/>
        <v/>
      </c>
      <c r="B14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1" spans="1:2" x14ac:dyDescent="0.25">
      <c r="A1471" s="1" t="str">
        <f t="shared" si="23"/>
        <v/>
      </c>
      <c r="B14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2" spans="1:2" x14ac:dyDescent="0.25">
      <c r="A1472" s="1" t="str">
        <f t="shared" si="23"/>
        <v/>
      </c>
      <c r="B14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3" spans="1:2" x14ac:dyDescent="0.25">
      <c r="A1473" s="1" t="str">
        <f t="shared" si="23"/>
        <v/>
      </c>
      <c r="B14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4" spans="1:2" x14ac:dyDescent="0.25">
      <c r="A1474" s="1" t="str">
        <f t="shared" si="23"/>
        <v/>
      </c>
      <c r="B14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5" spans="1:2" x14ac:dyDescent="0.25">
      <c r="A1475" s="1" t="str">
        <f t="shared" si="23"/>
        <v/>
      </c>
      <c r="B14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6" spans="1:2" x14ac:dyDescent="0.25">
      <c r="A1476" s="1" t="str">
        <f t="shared" si="23"/>
        <v/>
      </c>
      <c r="B14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7" spans="1:2" x14ac:dyDescent="0.25">
      <c r="A1477" s="1" t="str">
        <f t="shared" si="23"/>
        <v/>
      </c>
      <c r="B14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8" spans="1:2" x14ac:dyDescent="0.25">
      <c r="A1478" s="1" t="str">
        <f t="shared" si="23"/>
        <v/>
      </c>
      <c r="B14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9" spans="1:2" x14ac:dyDescent="0.25">
      <c r="A1479" s="1" t="str">
        <f t="shared" si="23"/>
        <v/>
      </c>
      <c r="B14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0" spans="1:2" x14ac:dyDescent="0.25">
      <c r="A1480" s="1" t="str">
        <f t="shared" si="23"/>
        <v/>
      </c>
      <c r="B14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1" spans="1:2" x14ac:dyDescent="0.25">
      <c r="A1481" s="1" t="str">
        <f t="shared" si="23"/>
        <v/>
      </c>
      <c r="B14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2" spans="1:2" x14ac:dyDescent="0.25">
      <c r="A1482" s="1" t="str">
        <f t="shared" si="23"/>
        <v/>
      </c>
      <c r="B14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3" spans="1:2" x14ac:dyDescent="0.25">
      <c r="A1483" s="1" t="str">
        <f t="shared" si="23"/>
        <v/>
      </c>
      <c r="B14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4" spans="1:2" x14ac:dyDescent="0.25">
      <c r="A1484" s="1" t="str">
        <f t="shared" si="23"/>
        <v/>
      </c>
      <c r="B14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5" spans="1:2" x14ac:dyDescent="0.25">
      <c r="A1485" s="1" t="str">
        <f t="shared" si="23"/>
        <v/>
      </c>
      <c r="B14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6" spans="1:2" x14ac:dyDescent="0.25">
      <c r="A1486" s="1" t="str">
        <f t="shared" si="23"/>
        <v/>
      </c>
      <c r="B14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7" spans="1:2" x14ac:dyDescent="0.25">
      <c r="A1487" s="1" t="str">
        <f t="shared" si="23"/>
        <v/>
      </c>
      <c r="B14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8" spans="1:2" x14ac:dyDescent="0.25">
      <c r="A1488" s="1" t="str">
        <f t="shared" si="23"/>
        <v/>
      </c>
      <c r="B1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9" spans="1:2" x14ac:dyDescent="0.25">
      <c r="A1489" s="1" t="str">
        <f t="shared" si="23"/>
        <v/>
      </c>
      <c r="B1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0" spans="1:2" x14ac:dyDescent="0.25">
      <c r="A1490" s="1" t="str">
        <f t="shared" si="23"/>
        <v/>
      </c>
      <c r="B14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1" spans="1:2" x14ac:dyDescent="0.25">
      <c r="A1491" s="1" t="str">
        <f t="shared" si="23"/>
        <v/>
      </c>
      <c r="B1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2" spans="1:2" x14ac:dyDescent="0.25">
      <c r="A1492" s="1" t="str">
        <f t="shared" si="23"/>
        <v/>
      </c>
      <c r="B1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3" spans="1:2" x14ac:dyDescent="0.25">
      <c r="A1493" s="1" t="str">
        <f t="shared" si="23"/>
        <v/>
      </c>
      <c r="B1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4" spans="1:2" x14ac:dyDescent="0.25">
      <c r="A1494" s="1" t="str">
        <f t="shared" si="23"/>
        <v/>
      </c>
      <c r="B1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5" spans="1:2" x14ac:dyDescent="0.25">
      <c r="A1495" s="1" t="str">
        <f t="shared" si="23"/>
        <v/>
      </c>
      <c r="B1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6" spans="1:2" x14ac:dyDescent="0.25">
      <c r="A1496" s="1" t="str">
        <f t="shared" si="23"/>
        <v/>
      </c>
      <c r="B1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7" spans="1:2" x14ac:dyDescent="0.25">
      <c r="A1497" s="1" t="str">
        <f t="shared" si="23"/>
        <v/>
      </c>
      <c r="B14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8" spans="1:2" x14ac:dyDescent="0.25">
      <c r="A1498" s="1" t="str">
        <f t="shared" si="23"/>
        <v/>
      </c>
      <c r="B14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9" spans="1:2" x14ac:dyDescent="0.25">
      <c r="A1499" s="1" t="str">
        <f t="shared" si="23"/>
        <v/>
      </c>
      <c r="B14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0" spans="1:2" x14ac:dyDescent="0.25">
      <c r="A1500" s="1" t="str">
        <f t="shared" si="23"/>
        <v/>
      </c>
      <c r="B15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1" spans="1:2" x14ac:dyDescent="0.25">
      <c r="A1501" s="1" t="str">
        <f t="shared" si="23"/>
        <v/>
      </c>
      <c r="B15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2" spans="1:2" x14ac:dyDescent="0.25">
      <c r="A1502" s="1" t="str">
        <f t="shared" si="23"/>
        <v/>
      </c>
      <c r="B15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3" spans="1:2" x14ac:dyDescent="0.25">
      <c r="A1503" s="1" t="str">
        <f t="shared" si="23"/>
        <v/>
      </c>
      <c r="B15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4" spans="1:2" x14ac:dyDescent="0.25">
      <c r="A1504" s="1" t="str">
        <f t="shared" si="23"/>
        <v/>
      </c>
      <c r="B15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5" spans="1:2" x14ac:dyDescent="0.25">
      <c r="A1505" s="1" t="str">
        <f t="shared" si="23"/>
        <v/>
      </c>
      <c r="B15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6" spans="1:2" x14ac:dyDescent="0.25">
      <c r="A1506" s="1" t="str">
        <f t="shared" si="23"/>
        <v/>
      </c>
      <c r="B15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7" spans="1:2" x14ac:dyDescent="0.25">
      <c r="A1507" s="1" t="str">
        <f t="shared" si="23"/>
        <v/>
      </c>
      <c r="B15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8" spans="1:2" x14ac:dyDescent="0.25">
      <c r="A1508" s="1" t="str">
        <f t="shared" si="23"/>
        <v/>
      </c>
      <c r="B15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9" spans="1:2" x14ac:dyDescent="0.25">
      <c r="A1509" s="1" t="str">
        <f t="shared" si="23"/>
        <v/>
      </c>
      <c r="B15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0" spans="1:2" x14ac:dyDescent="0.25">
      <c r="A1510" s="1" t="str">
        <f t="shared" si="23"/>
        <v/>
      </c>
      <c r="B15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1" spans="1:2" x14ac:dyDescent="0.25">
      <c r="A1511" s="1" t="str">
        <f t="shared" si="23"/>
        <v/>
      </c>
      <c r="B15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2" spans="1:2" x14ac:dyDescent="0.25">
      <c r="A1512" s="1" t="str">
        <f t="shared" si="23"/>
        <v/>
      </c>
      <c r="B15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3" spans="1:2" x14ac:dyDescent="0.25">
      <c r="A1513" s="1" t="str">
        <f t="shared" si="23"/>
        <v/>
      </c>
      <c r="B15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4" spans="1:2" x14ac:dyDescent="0.25">
      <c r="A1514" s="1" t="str">
        <f t="shared" si="23"/>
        <v/>
      </c>
      <c r="B15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5" spans="1:2" x14ac:dyDescent="0.25">
      <c r="A1515" s="1" t="str">
        <f t="shared" si="23"/>
        <v/>
      </c>
      <c r="B15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6" spans="1:2" x14ac:dyDescent="0.25">
      <c r="A1516" s="1" t="str">
        <f t="shared" si="23"/>
        <v/>
      </c>
      <c r="B15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7" spans="1:2" x14ac:dyDescent="0.25">
      <c r="A1517" s="1" t="str">
        <f t="shared" si="23"/>
        <v/>
      </c>
      <c r="B15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8" spans="1:2" x14ac:dyDescent="0.25">
      <c r="A1518" s="1" t="str">
        <f t="shared" si="23"/>
        <v/>
      </c>
      <c r="B15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9" spans="1:2" x14ac:dyDescent="0.25">
      <c r="A1519" s="1" t="str">
        <f t="shared" si="23"/>
        <v/>
      </c>
      <c r="B15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0" spans="1:2" x14ac:dyDescent="0.25">
      <c r="A1520" s="1" t="str">
        <f t="shared" si="23"/>
        <v/>
      </c>
      <c r="B15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1" spans="1:2" x14ac:dyDescent="0.25">
      <c r="A1521" s="1" t="str">
        <f t="shared" si="23"/>
        <v/>
      </c>
      <c r="B1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2" spans="1:2" x14ac:dyDescent="0.25">
      <c r="A1522" s="1" t="str">
        <f t="shared" si="23"/>
        <v/>
      </c>
      <c r="B1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3" spans="1:2" x14ac:dyDescent="0.25">
      <c r="A1523" s="1" t="str">
        <f t="shared" ref="A1523:A1586" si="24">IFERROR(LEFT(RIGHT(C1523,LEN(C1523)-SEARCH("@",C1523)),SEARCH("/",RIGHT(C1523,LEN(C1523)-SEARCH("@",C1523)-1))),"")</f>
        <v/>
      </c>
      <c r="B15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4" spans="1:2" x14ac:dyDescent="0.25">
      <c r="A1524" s="1" t="str">
        <f t="shared" si="24"/>
        <v/>
      </c>
      <c r="B1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5" spans="1:2" x14ac:dyDescent="0.25">
      <c r="A1525" s="1" t="str">
        <f t="shared" si="24"/>
        <v/>
      </c>
      <c r="B1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6" spans="1:2" x14ac:dyDescent="0.25">
      <c r="A1526" s="1" t="str">
        <f t="shared" si="24"/>
        <v/>
      </c>
      <c r="B1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7" spans="1:2" x14ac:dyDescent="0.25">
      <c r="A1527" s="1" t="str">
        <f t="shared" si="24"/>
        <v/>
      </c>
      <c r="B1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8" spans="1:2" x14ac:dyDescent="0.25">
      <c r="A1528" s="1" t="str">
        <f t="shared" si="24"/>
        <v/>
      </c>
      <c r="B1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9" spans="1:2" x14ac:dyDescent="0.25">
      <c r="A1529" s="1" t="str">
        <f t="shared" si="24"/>
        <v/>
      </c>
      <c r="B1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0" spans="1:2" x14ac:dyDescent="0.25">
      <c r="A1530" s="1" t="str">
        <f t="shared" si="24"/>
        <v/>
      </c>
      <c r="B15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1" spans="1:2" x14ac:dyDescent="0.25">
      <c r="A1531" s="1" t="str">
        <f t="shared" si="24"/>
        <v/>
      </c>
      <c r="B15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2" spans="1:2" x14ac:dyDescent="0.25">
      <c r="A1532" s="1" t="str">
        <f t="shared" si="24"/>
        <v/>
      </c>
      <c r="B15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3" spans="1:2" x14ac:dyDescent="0.25">
      <c r="A1533" s="1" t="str">
        <f t="shared" si="24"/>
        <v/>
      </c>
      <c r="B15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4" spans="1:2" x14ac:dyDescent="0.25">
      <c r="A1534" s="1" t="str">
        <f t="shared" si="24"/>
        <v/>
      </c>
      <c r="B15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5" spans="1:2" x14ac:dyDescent="0.25">
      <c r="A1535" s="1" t="str">
        <f t="shared" si="24"/>
        <v/>
      </c>
      <c r="B15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6" spans="1:2" x14ac:dyDescent="0.25">
      <c r="A1536" s="1" t="str">
        <f t="shared" si="24"/>
        <v/>
      </c>
      <c r="B15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7" spans="1:2" x14ac:dyDescent="0.25">
      <c r="A1537" s="1" t="str">
        <f t="shared" si="24"/>
        <v/>
      </c>
      <c r="B15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8" spans="1:2" x14ac:dyDescent="0.25">
      <c r="A1538" s="1" t="str">
        <f t="shared" si="24"/>
        <v/>
      </c>
      <c r="B15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9" spans="1:2" x14ac:dyDescent="0.25">
      <c r="A1539" s="1" t="str">
        <f t="shared" si="24"/>
        <v/>
      </c>
      <c r="B15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0" spans="1:2" x14ac:dyDescent="0.25">
      <c r="A1540" s="1" t="str">
        <f t="shared" si="24"/>
        <v/>
      </c>
      <c r="B15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1" spans="1:2" x14ac:dyDescent="0.25">
      <c r="A1541" s="1" t="str">
        <f t="shared" si="24"/>
        <v/>
      </c>
      <c r="B15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2" spans="1:2" x14ac:dyDescent="0.25">
      <c r="A1542" s="1" t="str">
        <f t="shared" si="24"/>
        <v/>
      </c>
      <c r="B15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3" spans="1:2" x14ac:dyDescent="0.25">
      <c r="A1543" s="1" t="str">
        <f t="shared" si="24"/>
        <v/>
      </c>
      <c r="B15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4" spans="1:2" x14ac:dyDescent="0.25">
      <c r="A1544" s="1" t="str">
        <f t="shared" si="24"/>
        <v/>
      </c>
      <c r="B15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5" spans="1:2" x14ac:dyDescent="0.25">
      <c r="A1545" s="1" t="str">
        <f t="shared" si="24"/>
        <v/>
      </c>
      <c r="B15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6" spans="1:2" x14ac:dyDescent="0.25">
      <c r="A1546" s="1" t="str">
        <f t="shared" si="24"/>
        <v/>
      </c>
      <c r="B15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7" spans="1:2" x14ac:dyDescent="0.25">
      <c r="A1547" s="1" t="str">
        <f t="shared" si="24"/>
        <v/>
      </c>
      <c r="B15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8" spans="1:2" x14ac:dyDescent="0.25">
      <c r="A1548" s="1" t="str">
        <f t="shared" si="24"/>
        <v/>
      </c>
      <c r="B15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9" spans="1:2" x14ac:dyDescent="0.25">
      <c r="A1549" s="1" t="str">
        <f t="shared" si="24"/>
        <v/>
      </c>
      <c r="B15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0" spans="1:2" x14ac:dyDescent="0.25">
      <c r="A1550" s="1" t="str">
        <f t="shared" si="24"/>
        <v/>
      </c>
      <c r="B15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1" spans="1:2" x14ac:dyDescent="0.25">
      <c r="A1551" s="1" t="str">
        <f t="shared" si="24"/>
        <v/>
      </c>
      <c r="B15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2" spans="1:2" x14ac:dyDescent="0.25">
      <c r="A1552" s="1" t="str">
        <f t="shared" si="24"/>
        <v/>
      </c>
      <c r="B15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3" spans="1:2" x14ac:dyDescent="0.25">
      <c r="A1553" s="1" t="str">
        <f t="shared" si="24"/>
        <v/>
      </c>
      <c r="B15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4" spans="1:2" x14ac:dyDescent="0.25">
      <c r="A1554" s="1" t="str">
        <f t="shared" si="24"/>
        <v/>
      </c>
      <c r="B1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5" spans="1:2" x14ac:dyDescent="0.25">
      <c r="A1555" s="1" t="str">
        <f t="shared" si="24"/>
        <v/>
      </c>
      <c r="B1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6" spans="1:2" x14ac:dyDescent="0.25">
      <c r="A1556" s="1" t="str">
        <f t="shared" si="24"/>
        <v/>
      </c>
      <c r="B15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7" spans="1:2" x14ac:dyDescent="0.25">
      <c r="A1557" s="1" t="str">
        <f t="shared" si="24"/>
        <v/>
      </c>
      <c r="B1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8" spans="1:2" x14ac:dyDescent="0.25">
      <c r="A1558" s="1" t="str">
        <f t="shared" si="24"/>
        <v/>
      </c>
      <c r="B1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9" spans="1:2" x14ac:dyDescent="0.25">
      <c r="A1559" s="1" t="str">
        <f t="shared" si="24"/>
        <v/>
      </c>
      <c r="B1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0" spans="1:2" x14ac:dyDescent="0.25">
      <c r="A1560" s="1" t="str">
        <f t="shared" si="24"/>
        <v/>
      </c>
      <c r="B1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1" spans="1:2" x14ac:dyDescent="0.25">
      <c r="A1561" s="1" t="str">
        <f t="shared" si="24"/>
        <v/>
      </c>
      <c r="B1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2" spans="1:2" x14ac:dyDescent="0.25">
      <c r="A1562" s="1" t="str">
        <f t="shared" si="24"/>
        <v/>
      </c>
      <c r="B1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3" spans="1:2" x14ac:dyDescent="0.25">
      <c r="A1563" s="1" t="str">
        <f t="shared" si="24"/>
        <v/>
      </c>
      <c r="B15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4" spans="1:2" x14ac:dyDescent="0.25">
      <c r="A1564" s="1" t="str">
        <f t="shared" si="24"/>
        <v/>
      </c>
      <c r="B15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5" spans="1:2" x14ac:dyDescent="0.25">
      <c r="A1565" s="1" t="str">
        <f t="shared" si="24"/>
        <v/>
      </c>
      <c r="B15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6" spans="1:2" x14ac:dyDescent="0.25">
      <c r="A1566" s="1" t="str">
        <f t="shared" si="24"/>
        <v/>
      </c>
      <c r="B15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7" spans="1:2" x14ac:dyDescent="0.25">
      <c r="A1567" s="1" t="str">
        <f t="shared" si="24"/>
        <v/>
      </c>
      <c r="B15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8" spans="1:2" x14ac:dyDescent="0.25">
      <c r="A1568" s="1" t="str">
        <f t="shared" si="24"/>
        <v/>
      </c>
      <c r="B15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9" spans="1:2" x14ac:dyDescent="0.25">
      <c r="A1569" s="1" t="str">
        <f t="shared" si="24"/>
        <v/>
      </c>
      <c r="B15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0" spans="1:2" x14ac:dyDescent="0.25">
      <c r="A1570" s="1" t="str">
        <f t="shared" si="24"/>
        <v/>
      </c>
      <c r="B15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1" spans="1:2" x14ac:dyDescent="0.25">
      <c r="A1571" s="1" t="str">
        <f t="shared" si="24"/>
        <v/>
      </c>
      <c r="B15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2" spans="1:2" x14ac:dyDescent="0.25">
      <c r="A1572" s="1" t="str">
        <f t="shared" si="24"/>
        <v/>
      </c>
      <c r="B15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3" spans="1:2" x14ac:dyDescent="0.25">
      <c r="A1573" s="1" t="str">
        <f t="shared" si="24"/>
        <v/>
      </c>
      <c r="B15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4" spans="1:2" x14ac:dyDescent="0.25">
      <c r="A1574" s="1" t="str">
        <f t="shared" si="24"/>
        <v/>
      </c>
      <c r="B15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5" spans="1:2" x14ac:dyDescent="0.25">
      <c r="A1575" s="1" t="str">
        <f t="shared" si="24"/>
        <v/>
      </c>
      <c r="B15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6" spans="1:2" x14ac:dyDescent="0.25">
      <c r="A1576" s="1" t="str">
        <f t="shared" si="24"/>
        <v/>
      </c>
      <c r="B15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7" spans="1:2" x14ac:dyDescent="0.25">
      <c r="A1577" s="1" t="str">
        <f t="shared" si="24"/>
        <v/>
      </c>
      <c r="B15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8" spans="1:2" x14ac:dyDescent="0.25">
      <c r="A1578" s="1" t="str">
        <f t="shared" si="24"/>
        <v/>
      </c>
      <c r="B15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9" spans="1:2" x14ac:dyDescent="0.25">
      <c r="A1579" s="1" t="str">
        <f t="shared" si="24"/>
        <v/>
      </c>
      <c r="B15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0" spans="1:2" x14ac:dyDescent="0.25">
      <c r="A1580" s="1" t="str">
        <f t="shared" si="24"/>
        <v/>
      </c>
      <c r="B15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1" spans="1:2" x14ac:dyDescent="0.25">
      <c r="A1581" s="1" t="str">
        <f t="shared" si="24"/>
        <v/>
      </c>
      <c r="B15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2" spans="1:2" x14ac:dyDescent="0.25">
      <c r="A1582" s="1" t="str">
        <f t="shared" si="24"/>
        <v/>
      </c>
      <c r="B15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3" spans="1:2" x14ac:dyDescent="0.25">
      <c r="A1583" s="1" t="str">
        <f t="shared" si="24"/>
        <v/>
      </c>
      <c r="B15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4" spans="1:2" x14ac:dyDescent="0.25">
      <c r="A1584" s="1" t="str">
        <f t="shared" si="24"/>
        <v/>
      </c>
      <c r="B15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5" spans="1:2" x14ac:dyDescent="0.25">
      <c r="A1585" s="1" t="str">
        <f t="shared" si="24"/>
        <v/>
      </c>
      <c r="B15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6" spans="1:2" x14ac:dyDescent="0.25">
      <c r="A1586" s="1" t="str">
        <f t="shared" si="24"/>
        <v/>
      </c>
      <c r="B15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7" spans="1:2" x14ac:dyDescent="0.25">
      <c r="A1587" s="1" t="str">
        <f t="shared" ref="A1587:A1650" si="25">IFERROR(LEFT(RIGHT(C1587,LEN(C1587)-SEARCH("@",C1587)),SEARCH("/",RIGHT(C1587,LEN(C1587)-SEARCH("@",C1587)-1))),"")</f>
        <v/>
      </c>
      <c r="B1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8" spans="1:2" x14ac:dyDescent="0.25">
      <c r="A1588" s="1" t="str">
        <f t="shared" si="25"/>
        <v/>
      </c>
      <c r="B1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9" spans="1:2" x14ac:dyDescent="0.25">
      <c r="A1589" s="1" t="str">
        <f t="shared" si="25"/>
        <v/>
      </c>
      <c r="B15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0" spans="1:2" x14ac:dyDescent="0.25">
      <c r="A1590" s="1" t="str">
        <f t="shared" si="25"/>
        <v/>
      </c>
      <c r="B1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1" spans="1:2" x14ac:dyDescent="0.25">
      <c r="A1591" s="1" t="str">
        <f t="shared" si="25"/>
        <v/>
      </c>
      <c r="B1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2" spans="1:2" x14ac:dyDescent="0.25">
      <c r="A1592" s="1" t="str">
        <f t="shared" si="25"/>
        <v/>
      </c>
      <c r="B1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3" spans="1:2" x14ac:dyDescent="0.25">
      <c r="A1593" s="1" t="str">
        <f t="shared" si="25"/>
        <v/>
      </c>
      <c r="B1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4" spans="1:2" x14ac:dyDescent="0.25">
      <c r="A1594" s="1" t="str">
        <f t="shared" si="25"/>
        <v/>
      </c>
      <c r="B1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5" spans="1:2" x14ac:dyDescent="0.25">
      <c r="A1595" s="1" t="str">
        <f t="shared" si="25"/>
        <v/>
      </c>
      <c r="B1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6" spans="1:2" x14ac:dyDescent="0.25">
      <c r="A1596" s="1" t="str">
        <f t="shared" si="25"/>
        <v/>
      </c>
      <c r="B15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7" spans="1:2" x14ac:dyDescent="0.25">
      <c r="A1597" s="1" t="str">
        <f t="shared" si="25"/>
        <v/>
      </c>
      <c r="B15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8" spans="1:2" x14ac:dyDescent="0.25">
      <c r="A1598" s="1" t="str">
        <f t="shared" si="25"/>
        <v/>
      </c>
      <c r="B15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9" spans="1:2" x14ac:dyDescent="0.25">
      <c r="A1599" s="1" t="str">
        <f t="shared" si="25"/>
        <v/>
      </c>
      <c r="B15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0" spans="1:2" x14ac:dyDescent="0.25">
      <c r="A1600" s="1" t="str">
        <f t="shared" si="25"/>
        <v/>
      </c>
      <c r="B16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1" spans="1:2" x14ac:dyDescent="0.25">
      <c r="A1601" s="1" t="str">
        <f t="shared" si="25"/>
        <v/>
      </c>
      <c r="B16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2" spans="1:2" x14ac:dyDescent="0.25">
      <c r="A1602" s="1" t="str">
        <f t="shared" si="25"/>
        <v/>
      </c>
      <c r="B16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3" spans="1:2" x14ac:dyDescent="0.25">
      <c r="A1603" s="1" t="str">
        <f t="shared" si="25"/>
        <v/>
      </c>
      <c r="B16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4" spans="1:2" x14ac:dyDescent="0.25">
      <c r="A1604" s="1" t="str">
        <f t="shared" si="25"/>
        <v/>
      </c>
      <c r="B16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5" spans="1:2" x14ac:dyDescent="0.25">
      <c r="A1605" s="1" t="str">
        <f t="shared" si="25"/>
        <v/>
      </c>
      <c r="B16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6" spans="1:2" x14ac:dyDescent="0.25">
      <c r="A1606" s="1" t="str">
        <f t="shared" si="25"/>
        <v/>
      </c>
      <c r="B16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7" spans="1:2" x14ac:dyDescent="0.25">
      <c r="A1607" s="1" t="str">
        <f t="shared" si="25"/>
        <v/>
      </c>
      <c r="B16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8" spans="1:2" x14ac:dyDescent="0.25">
      <c r="A1608" s="1" t="str">
        <f t="shared" si="25"/>
        <v/>
      </c>
      <c r="B16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9" spans="1:2" x14ac:dyDescent="0.25">
      <c r="A1609" s="1" t="str">
        <f t="shared" si="25"/>
        <v/>
      </c>
      <c r="B16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0" spans="1:2" x14ac:dyDescent="0.25">
      <c r="A1610" s="1" t="str">
        <f t="shared" si="25"/>
        <v/>
      </c>
      <c r="B16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1" spans="1:2" x14ac:dyDescent="0.25">
      <c r="A1611" s="1" t="str">
        <f t="shared" si="25"/>
        <v/>
      </c>
      <c r="B16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2" spans="1:2" x14ac:dyDescent="0.25">
      <c r="A1612" s="1" t="str">
        <f t="shared" si="25"/>
        <v/>
      </c>
      <c r="B16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3" spans="1:2" x14ac:dyDescent="0.25">
      <c r="A1613" s="1" t="str">
        <f t="shared" si="25"/>
        <v/>
      </c>
      <c r="B16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4" spans="1:2" x14ac:dyDescent="0.25">
      <c r="A1614" s="1" t="str">
        <f t="shared" si="25"/>
        <v/>
      </c>
      <c r="B16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5" spans="1:2" x14ac:dyDescent="0.25">
      <c r="A1615" s="1" t="str">
        <f t="shared" si="25"/>
        <v/>
      </c>
      <c r="B16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6" spans="1:2" x14ac:dyDescent="0.25">
      <c r="A1616" s="1" t="str">
        <f t="shared" si="25"/>
        <v/>
      </c>
      <c r="B16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7" spans="1:2" x14ac:dyDescent="0.25">
      <c r="A1617" s="1" t="str">
        <f t="shared" si="25"/>
        <v/>
      </c>
      <c r="B16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8" spans="1:2" x14ac:dyDescent="0.25">
      <c r="A1618" s="1" t="str">
        <f t="shared" si="25"/>
        <v/>
      </c>
      <c r="B16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9" spans="1:2" x14ac:dyDescent="0.25">
      <c r="A1619" s="1" t="str">
        <f t="shared" si="25"/>
        <v/>
      </c>
      <c r="B16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0" spans="1:2" x14ac:dyDescent="0.25">
      <c r="A1620" s="1" t="str">
        <f t="shared" si="25"/>
        <v/>
      </c>
      <c r="B1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1" spans="1:2" x14ac:dyDescent="0.25">
      <c r="A1621" s="1" t="str">
        <f t="shared" si="25"/>
        <v/>
      </c>
      <c r="B1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2" spans="1:2" x14ac:dyDescent="0.25">
      <c r="A1622" s="1" t="str">
        <f t="shared" si="25"/>
        <v/>
      </c>
      <c r="B16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3" spans="1:2" x14ac:dyDescent="0.25">
      <c r="A1623" s="1" t="str">
        <f t="shared" si="25"/>
        <v/>
      </c>
      <c r="B1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4" spans="1:2" x14ac:dyDescent="0.25">
      <c r="A1624" s="1" t="str">
        <f t="shared" si="25"/>
        <v/>
      </c>
      <c r="B1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5" spans="1:2" x14ac:dyDescent="0.25">
      <c r="A1625" s="1" t="str">
        <f t="shared" si="25"/>
        <v/>
      </c>
      <c r="B1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6" spans="1:2" x14ac:dyDescent="0.25">
      <c r="A1626" s="1" t="str">
        <f t="shared" si="25"/>
        <v/>
      </c>
      <c r="B1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7" spans="1:2" x14ac:dyDescent="0.25">
      <c r="A1627" s="1" t="str">
        <f t="shared" si="25"/>
        <v/>
      </c>
      <c r="B1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8" spans="1:2" x14ac:dyDescent="0.25">
      <c r="A1628" s="1" t="str">
        <f t="shared" si="25"/>
        <v/>
      </c>
      <c r="B1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9" spans="1:2" x14ac:dyDescent="0.25">
      <c r="A1629" s="1" t="str">
        <f t="shared" si="25"/>
        <v/>
      </c>
      <c r="B16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0" spans="1:2" x14ac:dyDescent="0.25">
      <c r="A1630" s="1" t="str">
        <f t="shared" si="25"/>
        <v/>
      </c>
      <c r="B16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1" spans="1:2" x14ac:dyDescent="0.25">
      <c r="A1631" s="1" t="str">
        <f t="shared" si="25"/>
        <v/>
      </c>
      <c r="B16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2" spans="1:2" x14ac:dyDescent="0.25">
      <c r="A1632" s="1" t="str">
        <f t="shared" si="25"/>
        <v/>
      </c>
      <c r="B16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3" spans="1:2" x14ac:dyDescent="0.25">
      <c r="A1633" s="1" t="str">
        <f t="shared" si="25"/>
        <v/>
      </c>
      <c r="B16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4" spans="1:2" x14ac:dyDescent="0.25">
      <c r="A1634" s="1" t="str">
        <f t="shared" si="25"/>
        <v/>
      </c>
      <c r="B16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5" spans="1:2" x14ac:dyDescent="0.25">
      <c r="A1635" s="1" t="str">
        <f t="shared" si="25"/>
        <v/>
      </c>
      <c r="B16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6" spans="1:2" x14ac:dyDescent="0.25">
      <c r="A1636" s="1" t="str">
        <f t="shared" si="25"/>
        <v/>
      </c>
      <c r="B16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7" spans="1:2" x14ac:dyDescent="0.25">
      <c r="A1637" s="1" t="str">
        <f t="shared" si="25"/>
        <v/>
      </c>
      <c r="B16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8" spans="1:2" x14ac:dyDescent="0.25">
      <c r="A1638" s="1" t="str">
        <f t="shared" si="25"/>
        <v/>
      </c>
      <c r="B16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9" spans="1:2" x14ac:dyDescent="0.25">
      <c r="A1639" s="1" t="str">
        <f t="shared" si="25"/>
        <v/>
      </c>
      <c r="B16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0" spans="1:2" x14ac:dyDescent="0.25">
      <c r="A1640" s="1" t="str">
        <f t="shared" si="25"/>
        <v/>
      </c>
      <c r="B16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1" spans="1:2" x14ac:dyDescent="0.25">
      <c r="A1641" s="1" t="str">
        <f t="shared" si="25"/>
        <v/>
      </c>
      <c r="B16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2" spans="1:2" x14ac:dyDescent="0.25">
      <c r="A1642" s="1" t="str">
        <f t="shared" si="25"/>
        <v/>
      </c>
      <c r="B16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3" spans="1:2" x14ac:dyDescent="0.25">
      <c r="A1643" s="1" t="str">
        <f t="shared" si="25"/>
        <v/>
      </c>
      <c r="B16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4" spans="1:2" x14ac:dyDescent="0.25">
      <c r="A1644" s="1" t="str">
        <f t="shared" si="25"/>
        <v/>
      </c>
      <c r="B16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5" spans="1:2" x14ac:dyDescent="0.25">
      <c r="A1645" s="1" t="str">
        <f t="shared" si="25"/>
        <v/>
      </c>
      <c r="B16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6" spans="1:2" x14ac:dyDescent="0.25">
      <c r="A1646" s="1" t="str">
        <f t="shared" si="25"/>
        <v/>
      </c>
      <c r="B16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7" spans="1:2" x14ac:dyDescent="0.25">
      <c r="A1647" s="1" t="str">
        <f t="shared" si="25"/>
        <v/>
      </c>
      <c r="B16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8" spans="1:2" x14ac:dyDescent="0.25">
      <c r="A1648" s="1" t="str">
        <f t="shared" si="25"/>
        <v/>
      </c>
      <c r="B16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9" spans="1:2" x14ac:dyDescent="0.25">
      <c r="A1649" s="1" t="str">
        <f t="shared" si="25"/>
        <v/>
      </c>
      <c r="B16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0" spans="1:2" x14ac:dyDescent="0.25">
      <c r="A1650" s="1" t="str">
        <f t="shared" si="25"/>
        <v/>
      </c>
      <c r="B16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1" spans="1:2" x14ac:dyDescent="0.25">
      <c r="A1651" s="1" t="str">
        <f t="shared" ref="A1651:A1711" si="26">IFERROR(LEFT(RIGHT(C1651,LEN(C1651)-SEARCH("@",C1651)),SEARCH("/",RIGHT(C1651,LEN(C1651)-SEARCH("@",C1651)-1))),"")</f>
        <v/>
      </c>
      <c r="B16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2" spans="1:2" x14ac:dyDescent="0.25">
      <c r="A1652" s="1" t="str">
        <f t="shared" si="26"/>
        <v/>
      </c>
      <c r="B16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3" spans="1:2" x14ac:dyDescent="0.25">
      <c r="A1653" s="1" t="str">
        <f t="shared" si="26"/>
        <v/>
      </c>
      <c r="B1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4" spans="1:2" x14ac:dyDescent="0.25">
      <c r="A1654" s="1" t="str">
        <f t="shared" si="26"/>
        <v/>
      </c>
      <c r="B1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5" spans="1:2" x14ac:dyDescent="0.25">
      <c r="A1655" s="1" t="str">
        <f t="shared" si="26"/>
        <v/>
      </c>
      <c r="B16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6" spans="1:2" x14ac:dyDescent="0.25">
      <c r="A1656" s="1" t="str">
        <f t="shared" si="26"/>
        <v/>
      </c>
      <c r="B1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7" spans="1:2" x14ac:dyDescent="0.25">
      <c r="A1657" s="1" t="str">
        <f t="shared" si="26"/>
        <v/>
      </c>
      <c r="B1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8" spans="1:2" x14ac:dyDescent="0.25">
      <c r="A1658" s="1" t="str">
        <f t="shared" si="26"/>
        <v/>
      </c>
      <c r="B1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9" spans="1:2" x14ac:dyDescent="0.25">
      <c r="A1659" s="1" t="str">
        <f t="shared" si="26"/>
        <v/>
      </c>
      <c r="B1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0" spans="1:2" x14ac:dyDescent="0.25">
      <c r="A1660" s="1" t="str">
        <f t="shared" si="26"/>
        <v/>
      </c>
      <c r="B1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1" spans="1:2" x14ac:dyDescent="0.25">
      <c r="A1661" s="1" t="str">
        <f t="shared" si="26"/>
        <v/>
      </c>
      <c r="B1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2" spans="1:2" x14ac:dyDescent="0.25">
      <c r="A1662" s="1" t="str">
        <f t="shared" si="26"/>
        <v/>
      </c>
      <c r="B16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3" spans="1:2" x14ac:dyDescent="0.25">
      <c r="A1663" s="1" t="str">
        <f t="shared" si="26"/>
        <v/>
      </c>
      <c r="B16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4" spans="1:2" x14ac:dyDescent="0.25">
      <c r="A1664" s="1" t="str">
        <f t="shared" si="26"/>
        <v/>
      </c>
      <c r="B16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5" spans="1:2" x14ac:dyDescent="0.25">
      <c r="A1665" s="1" t="str">
        <f t="shared" si="26"/>
        <v/>
      </c>
      <c r="B16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6" spans="1:2" x14ac:dyDescent="0.25">
      <c r="A1666" s="1" t="str">
        <f t="shared" si="26"/>
        <v/>
      </c>
      <c r="B16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7" spans="1:2" x14ac:dyDescent="0.25">
      <c r="A1667" s="1" t="str">
        <f t="shared" si="26"/>
        <v/>
      </c>
      <c r="B16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8" spans="1:2" x14ac:dyDescent="0.25">
      <c r="A1668" s="1" t="str">
        <f t="shared" si="26"/>
        <v/>
      </c>
      <c r="B16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9" spans="1:2" x14ac:dyDescent="0.25">
      <c r="A1669" s="1" t="str">
        <f t="shared" si="26"/>
        <v/>
      </c>
      <c r="B16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0" spans="1:2" x14ac:dyDescent="0.25">
      <c r="A1670" s="1" t="str">
        <f t="shared" si="26"/>
        <v/>
      </c>
      <c r="B16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1" spans="1:2" x14ac:dyDescent="0.25">
      <c r="A1671" s="1" t="str">
        <f t="shared" si="26"/>
        <v/>
      </c>
      <c r="B16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2" spans="1:2" x14ac:dyDescent="0.25">
      <c r="A1672" s="1" t="str">
        <f t="shared" si="26"/>
        <v/>
      </c>
      <c r="B16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3" spans="1:2" x14ac:dyDescent="0.25">
      <c r="A1673" s="1" t="str">
        <f t="shared" si="26"/>
        <v/>
      </c>
      <c r="B16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4" spans="1:2" x14ac:dyDescent="0.25">
      <c r="A1674" s="1" t="str">
        <f t="shared" si="26"/>
        <v/>
      </c>
      <c r="B16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5" spans="1:2" x14ac:dyDescent="0.25">
      <c r="A1675" s="1" t="str">
        <f t="shared" si="26"/>
        <v/>
      </c>
      <c r="B16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6" spans="1:2" x14ac:dyDescent="0.25">
      <c r="A1676" s="1" t="str">
        <f t="shared" si="26"/>
        <v/>
      </c>
      <c r="B16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7" spans="1:2" x14ac:dyDescent="0.25">
      <c r="A1677" s="1" t="str">
        <f t="shared" si="26"/>
        <v/>
      </c>
      <c r="B16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8" spans="1:2" x14ac:dyDescent="0.25">
      <c r="A1678" s="1" t="str">
        <f t="shared" si="26"/>
        <v/>
      </c>
      <c r="B16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9" spans="1:2" x14ac:dyDescent="0.25">
      <c r="A1679" s="1" t="str">
        <f t="shared" si="26"/>
        <v/>
      </c>
      <c r="B16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0" spans="1:2" x14ac:dyDescent="0.25">
      <c r="A1680" s="1" t="str">
        <f t="shared" si="26"/>
        <v/>
      </c>
      <c r="B16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1" spans="1:2" x14ac:dyDescent="0.25">
      <c r="A1681" s="1" t="str">
        <f t="shared" si="26"/>
        <v/>
      </c>
      <c r="B16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2" spans="1:2" x14ac:dyDescent="0.25">
      <c r="A1682" s="1" t="str">
        <f t="shared" si="26"/>
        <v/>
      </c>
      <c r="B16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3" spans="1:2" x14ac:dyDescent="0.25">
      <c r="A1683" s="1" t="str">
        <f t="shared" si="26"/>
        <v/>
      </c>
      <c r="B16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4" spans="1:2" x14ac:dyDescent="0.25">
      <c r="A1684" s="1" t="str">
        <f t="shared" si="26"/>
        <v/>
      </c>
      <c r="B16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5" spans="1:2" x14ac:dyDescent="0.25">
      <c r="A1685" s="1" t="str">
        <f t="shared" si="26"/>
        <v/>
      </c>
      <c r="B16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6" spans="1:2" x14ac:dyDescent="0.25">
      <c r="A1686" s="1" t="str">
        <f t="shared" si="26"/>
        <v/>
      </c>
      <c r="B1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7" spans="1:2" x14ac:dyDescent="0.25">
      <c r="A1687" s="1" t="str">
        <f t="shared" si="26"/>
        <v/>
      </c>
      <c r="B1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8" spans="1:2" x14ac:dyDescent="0.25">
      <c r="A1688" s="1" t="str">
        <f t="shared" si="26"/>
        <v/>
      </c>
      <c r="B16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9" spans="1:2" x14ac:dyDescent="0.25">
      <c r="A1689" s="1" t="str">
        <f t="shared" si="26"/>
        <v/>
      </c>
      <c r="B1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0" spans="1:2" x14ac:dyDescent="0.25">
      <c r="A1690" s="1" t="str">
        <f t="shared" si="26"/>
        <v/>
      </c>
      <c r="B1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1" spans="1:2" x14ac:dyDescent="0.25">
      <c r="A1691" s="1" t="str">
        <f t="shared" si="26"/>
        <v/>
      </c>
      <c r="B1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2" spans="1:2" x14ac:dyDescent="0.25">
      <c r="A1692" s="1" t="str">
        <f t="shared" si="26"/>
        <v/>
      </c>
      <c r="B1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3" spans="1:2" x14ac:dyDescent="0.25">
      <c r="A1693" s="1" t="str">
        <f t="shared" si="26"/>
        <v/>
      </c>
      <c r="B1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4" spans="1:2" x14ac:dyDescent="0.25">
      <c r="A1694" s="1" t="str">
        <f t="shared" si="26"/>
        <v/>
      </c>
      <c r="B1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5" spans="1:2" x14ac:dyDescent="0.25">
      <c r="A1695" s="1" t="str">
        <f t="shared" si="26"/>
        <v/>
      </c>
      <c r="B1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6" spans="1:2" x14ac:dyDescent="0.25">
      <c r="A1696" s="1" t="str">
        <f t="shared" si="26"/>
        <v/>
      </c>
      <c r="B1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7" spans="1:2" x14ac:dyDescent="0.25">
      <c r="A1697" s="1" t="str">
        <f t="shared" si="26"/>
        <v/>
      </c>
      <c r="B1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8" spans="1:2" x14ac:dyDescent="0.25">
      <c r="A1698" s="1" t="str">
        <f t="shared" si="26"/>
        <v/>
      </c>
      <c r="B1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9" spans="1:2" x14ac:dyDescent="0.25">
      <c r="A1699" s="1" t="str">
        <f t="shared" si="26"/>
        <v/>
      </c>
      <c r="B1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0" spans="1:2" x14ac:dyDescent="0.25">
      <c r="A1700" s="1" t="str">
        <f t="shared" si="26"/>
        <v/>
      </c>
      <c r="B1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1" spans="1:2" x14ac:dyDescent="0.25">
      <c r="A1701" s="1" t="str">
        <f t="shared" si="26"/>
        <v/>
      </c>
      <c r="B1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2" spans="1:2" x14ac:dyDescent="0.25">
      <c r="A1702" s="1" t="str">
        <f t="shared" si="26"/>
        <v/>
      </c>
      <c r="B1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3" spans="1:2" x14ac:dyDescent="0.25">
      <c r="A1703" s="1" t="str">
        <f t="shared" si="26"/>
        <v/>
      </c>
      <c r="B1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4" spans="1:2" x14ac:dyDescent="0.25">
      <c r="A1704" s="1" t="str">
        <f t="shared" si="26"/>
        <v/>
      </c>
      <c r="B1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5" spans="1:2" x14ac:dyDescent="0.25">
      <c r="A1705" s="1" t="str">
        <f t="shared" si="26"/>
        <v/>
      </c>
      <c r="B1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6" spans="1:2" x14ac:dyDescent="0.25">
      <c r="A1706" s="1" t="str">
        <f t="shared" si="26"/>
        <v/>
      </c>
      <c r="B1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7" spans="1:2" x14ac:dyDescent="0.25">
      <c r="A1707" s="1" t="str">
        <f t="shared" si="26"/>
        <v/>
      </c>
      <c r="B1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8" spans="1:2" x14ac:dyDescent="0.25">
      <c r="A1708" s="1" t="str">
        <f t="shared" si="26"/>
        <v/>
      </c>
      <c r="B1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9" spans="1:2" x14ac:dyDescent="0.25">
      <c r="A1709" s="1" t="str">
        <f t="shared" si="26"/>
        <v/>
      </c>
      <c r="B1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0" spans="1:2" x14ac:dyDescent="0.25">
      <c r="A1710" s="1" t="str">
        <f t="shared" si="26"/>
        <v/>
      </c>
      <c r="B1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1" spans="1:2" x14ac:dyDescent="0.25">
      <c r="A1711" s="1" t="str">
        <f t="shared" si="26"/>
        <v/>
      </c>
      <c r="B1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sheetData>
  <conditionalFormatting sqref="A1:J10 EO1:XFD10 A11:K13 M15:XFD18 K1:L4 A14:J18 K5 A19:XFD1048576 AH11:XFD14">
    <cfRule type="containsText" dxfId="24" priority="1" operator="containsText" text="ERREUR">
      <formula>NOT(ISERROR(SEARCH("ERREUR",A1)))</formula>
    </cfRule>
    <cfRule type="containsText" dxfId="23" priority="2" operator="containsText" text="OK">
      <formula>NOT(ISERROR(SEARCH("OK",A1)))</formula>
    </cfRule>
  </conditionalFormatting>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74"/>
  <sheetViews>
    <sheetView showGridLines="0" topLeftCell="L34" zoomScaleNormal="100" zoomScaleSheetLayoutView="40" zoomScalePageLayoutView="30" workbookViewId="0">
      <selection activeCell="R64" sqref="R64"/>
    </sheetView>
  </sheetViews>
  <sheetFormatPr baseColWidth="10" defaultColWidth="9.140625" defaultRowHeight="15" x14ac:dyDescent="0.25"/>
  <cols>
    <col min="1" max="1" width="33.5703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3" width="26.42578125" style="1" customWidth="1"/>
    <col min="14" max="14" width="11.7109375" style="1" customWidth="1"/>
    <col min="15" max="15" width="14.85546875" style="1" customWidth="1"/>
    <col min="16" max="16" width="17.7109375" style="1" customWidth="1"/>
    <col min="17" max="18" width="25.85546875" style="1" bestFit="1" customWidth="1"/>
    <col min="19" max="22" width="25.85546875" style="1" customWidth="1"/>
    <col min="23" max="16384" width="9.140625" style="1"/>
  </cols>
  <sheetData>
    <row r="1" spans="1:22" ht="27" thickBot="1" x14ac:dyDescent="0.45">
      <c r="A1" s="216" t="s">
        <v>43</v>
      </c>
      <c r="B1" s="217"/>
      <c r="C1" s="217"/>
      <c r="D1" s="217"/>
      <c r="E1" s="217"/>
      <c r="F1" s="217"/>
      <c r="G1" s="217"/>
      <c r="H1" s="217"/>
      <c r="I1" s="217"/>
      <c r="J1" s="217"/>
      <c r="K1" s="217"/>
      <c r="L1" s="217"/>
      <c r="M1" s="217"/>
      <c r="N1" s="217"/>
      <c r="O1" s="217"/>
      <c r="P1" s="217"/>
      <c r="Q1" s="217"/>
      <c r="R1" s="217"/>
      <c r="S1" s="217"/>
      <c r="T1" s="217"/>
      <c r="U1" s="217"/>
      <c r="V1" s="217"/>
    </row>
    <row r="2" spans="1:22" ht="15.75" thickBot="1" x14ac:dyDescent="0.3"/>
    <row r="3" spans="1:22" ht="15.75" thickBot="1" x14ac:dyDescent="0.3">
      <c r="A3" s="152" t="s">
        <v>22</v>
      </c>
      <c r="B3" s="224" t="s">
        <v>6</v>
      </c>
      <c r="C3" s="225"/>
      <c r="D3" s="225"/>
      <c r="E3" s="225"/>
      <c r="F3" s="225"/>
      <c r="G3" s="225"/>
      <c r="H3" s="225"/>
      <c r="I3" s="225"/>
      <c r="J3" s="225"/>
      <c r="K3" s="225"/>
      <c r="L3" s="225"/>
      <c r="M3" s="225"/>
      <c r="O3" s="224" t="s">
        <v>3</v>
      </c>
      <c r="P3" s="225"/>
      <c r="Q3" s="225"/>
      <c r="R3" s="225"/>
      <c r="S3" s="225"/>
      <c r="T3" s="225"/>
      <c r="U3" s="225"/>
      <c r="V3" s="225"/>
    </row>
    <row r="4" spans="1:22" x14ac:dyDescent="0.2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Testosterone 3,7µg/L</v>
      </c>
      <c r="J4" s="35" t="str">
        <f>'Page de garde'!A16</f>
        <v>Testosterone 11µg/L</v>
      </c>
      <c r="K4" s="35" t="str">
        <f>'Page de garde'!A17</f>
        <v>Testosterone 33µg/L</v>
      </c>
      <c r="L4" s="35" t="str">
        <f>'Page de garde'!A18</f>
        <v>Testosterone 100µg/L</v>
      </c>
      <c r="M4" s="35" t="str">
        <f>'Page de garde'!A19</f>
        <v>Testosterone 300µg/L</v>
      </c>
      <c r="N4" s="3"/>
      <c r="O4" s="36" t="str">
        <f>'Page de garde'!A36</f>
        <v>Testo -30µg/L</v>
      </c>
      <c r="P4" s="36" t="str">
        <f>'Page de garde'!A37</f>
        <v>Testo 30µg/L + EE2 -64ng/L</v>
      </c>
      <c r="Q4" s="36" t="str">
        <f>'Page de garde'!A38</f>
        <v>Testo 30µg/L + FAD-10µg/L</v>
      </c>
      <c r="R4" s="36" t="str">
        <f>'Page de garde'!A39</f>
        <v>Testosterone-3,7µg/L + Testostérone</v>
      </c>
      <c r="S4" s="36" t="str">
        <f>'Page de garde'!A40</f>
        <v>Testosterone-11µg/L + Testostérone</v>
      </c>
      <c r="T4" s="36" t="str">
        <f>'Page de garde'!A41</f>
        <v>Testosterone-33µg/L + Testostérone</v>
      </c>
      <c r="U4" s="36" t="str">
        <f>'Page de garde'!A42</f>
        <v>Testosterone-100µg/L + Testostérone</v>
      </c>
      <c r="V4" s="36" t="str">
        <f>'Page de garde'!A43</f>
        <v>Testosterone-300µg/L + Testostérone</v>
      </c>
    </row>
    <row r="5" spans="1:22" x14ac:dyDescent="0.25">
      <c r="A5" s="226" t="s">
        <v>33</v>
      </c>
      <c r="B5" s="195">
        <v>109476.33333333333</v>
      </c>
      <c r="C5" s="195">
        <v>253971</v>
      </c>
      <c r="D5" s="195">
        <v>329524</v>
      </c>
      <c r="E5" s="195">
        <v>723877</v>
      </c>
      <c r="F5" s="195"/>
      <c r="G5" s="195">
        <v>1816868</v>
      </c>
      <c r="H5" s="195">
        <v>4912264.333333333</v>
      </c>
      <c r="I5" s="195">
        <v>242507.33333333334</v>
      </c>
      <c r="J5" s="195"/>
      <c r="K5" s="195">
        <v>2734732.6666666665</v>
      </c>
      <c r="L5" s="195">
        <v>418913.33333333331</v>
      </c>
      <c r="M5" s="195">
        <v>1057680.3333333333</v>
      </c>
      <c r="N5" s="3"/>
      <c r="O5" s="195">
        <v>2578125</v>
      </c>
      <c r="P5" s="195">
        <v>880387.33333333337</v>
      </c>
      <c r="Q5" s="195">
        <v>162866</v>
      </c>
      <c r="R5" s="195">
        <v>1041241.5</v>
      </c>
      <c r="S5" s="195">
        <v>63937.666666666664</v>
      </c>
      <c r="T5" s="195">
        <v>2678386.6666666665</v>
      </c>
      <c r="U5" s="195">
        <v>4746788.666666667</v>
      </c>
      <c r="V5" s="195">
        <v>3781908</v>
      </c>
    </row>
    <row r="6" spans="1:22" x14ac:dyDescent="0.25">
      <c r="A6" s="226"/>
      <c r="B6" s="195">
        <v>51998.333333333336</v>
      </c>
      <c r="C6" s="195">
        <v>61464.666666666664</v>
      </c>
      <c r="D6" s="195">
        <v>116700.33333333333</v>
      </c>
      <c r="E6" s="195">
        <v>534107.33333333337</v>
      </c>
      <c r="F6" s="195">
        <v>1680491.3333333333</v>
      </c>
      <c r="G6" s="195">
        <v>4049015.3333333335</v>
      </c>
      <c r="H6" s="195">
        <v>2656252</v>
      </c>
      <c r="I6" s="195">
        <v>298665.33333333331</v>
      </c>
      <c r="J6" s="195">
        <v>60859.666666666664</v>
      </c>
      <c r="K6" s="195">
        <v>2967470</v>
      </c>
      <c r="L6" s="195">
        <v>3749780</v>
      </c>
      <c r="M6" s="195">
        <v>4266273.333333333</v>
      </c>
      <c r="N6" s="3"/>
      <c r="O6" s="195">
        <v>2399072.3333333335</v>
      </c>
      <c r="P6" s="195">
        <v>245549.66666666666</v>
      </c>
      <c r="Q6" s="195">
        <v>21867.666666666668</v>
      </c>
      <c r="R6" s="195">
        <v>2691635</v>
      </c>
      <c r="S6" s="195">
        <v>538433</v>
      </c>
      <c r="T6" s="195">
        <v>2203343.6666666665</v>
      </c>
      <c r="U6" s="195">
        <v>252406.33333333334</v>
      </c>
      <c r="V6" s="195">
        <v>3985027</v>
      </c>
    </row>
    <row r="7" spans="1:22" x14ac:dyDescent="0.25">
      <c r="A7" s="226"/>
      <c r="B7" s="195">
        <v>501366.66666666669</v>
      </c>
      <c r="C7" s="195">
        <v>223061.66666666666</v>
      </c>
      <c r="D7" s="195">
        <v>257871.5</v>
      </c>
      <c r="E7" s="195"/>
      <c r="F7" s="195">
        <v>194993.33333333334</v>
      </c>
      <c r="G7" s="195">
        <v>3770242</v>
      </c>
      <c r="H7" s="195">
        <v>1451618</v>
      </c>
      <c r="I7" s="195">
        <v>35653.333333333336</v>
      </c>
      <c r="J7" s="195">
        <v>362481</v>
      </c>
      <c r="K7" s="195">
        <v>2965790</v>
      </c>
      <c r="L7" s="195">
        <v>3125224.3333333335</v>
      </c>
      <c r="M7" s="195">
        <v>1437955.6666666667</v>
      </c>
      <c r="N7" s="3"/>
      <c r="O7" s="195">
        <v>3785685.5</v>
      </c>
      <c r="P7" s="195">
        <v>2979373.6666666665</v>
      </c>
      <c r="Q7" s="195">
        <v>61486.666666666664</v>
      </c>
      <c r="R7" s="195">
        <v>1949704.3333333333</v>
      </c>
      <c r="S7" s="195">
        <v>115352</v>
      </c>
      <c r="T7" s="195">
        <v>1301546.5</v>
      </c>
      <c r="U7" s="195">
        <v>410427</v>
      </c>
      <c r="V7" s="195">
        <v>770056.5</v>
      </c>
    </row>
    <row r="8" spans="1:22" x14ac:dyDescent="0.25">
      <c r="A8" s="226"/>
      <c r="B8" s="195">
        <v>47614.666666666664</v>
      </c>
      <c r="C8" s="195">
        <v>229428.33333333334</v>
      </c>
      <c r="D8" s="195">
        <v>61072</v>
      </c>
      <c r="E8" s="195">
        <v>1062424.3333333333</v>
      </c>
      <c r="F8" s="195">
        <v>231288.5</v>
      </c>
      <c r="G8" s="195">
        <v>2627224.6666666665</v>
      </c>
      <c r="H8" s="195">
        <v>7620702.333333333</v>
      </c>
      <c r="I8" s="195">
        <v>210927.33333333334</v>
      </c>
      <c r="J8" s="195">
        <v>603863.33333333337</v>
      </c>
      <c r="K8" s="195">
        <v>1639034</v>
      </c>
      <c r="L8" s="195">
        <v>112540.33333333333</v>
      </c>
      <c r="M8" s="195">
        <v>642538</v>
      </c>
      <c r="N8" s="3"/>
      <c r="O8" s="195">
        <v>1735842</v>
      </c>
      <c r="P8" s="195">
        <v>3805895</v>
      </c>
      <c r="Q8" s="195">
        <v>736490.66666666663</v>
      </c>
      <c r="R8" s="195">
        <v>2604311.6666666665</v>
      </c>
      <c r="S8" s="195">
        <v>219197.33333333334</v>
      </c>
      <c r="T8" s="195">
        <v>1493068.6666666667</v>
      </c>
      <c r="U8" s="195">
        <v>2659280</v>
      </c>
      <c r="V8" s="195">
        <v>87666</v>
      </c>
    </row>
    <row r="9" spans="1:22" x14ac:dyDescent="0.25">
      <c r="A9" s="226"/>
      <c r="B9" s="195">
        <v>306056</v>
      </c>
      <c r="C9" s="195">
        <v>29452.666666666668</v>
      </c>
      <c r="D9" s="195">
        <v>300900.66666666669</v>
      </c>
      <c r="E9" s="195">
        <v>619429.66666666663</v>
      </c>
      <c r="F9" s="195">
        <v>1982444.6666666667</v>
      </c>
      <c r="G9" s="195">
        <v>2452650</v>
      </c>
      <c r="H9" s="195">
        <v>6264522</v>
      </c>
      <c r="I9" s="195">
        <v>22538.333333333332</v>
      </c>
      <c r="J9" s="195">
        <v>179268.66666666666</v>
      </c>
      <c r="K9" s="195">
        <v>2684688</v>
      </c>
      <c r="L9" s="195">
        <v>659798.33333333337</v>
      </c>
      <c r="M9" s="195">
        <v>1234375</v>
      </c>
      <c r="N9" s="3"/>
      <c r="O9" s="195">
        <v>3025816.5</v>
      </c>
      <c r="P9" s="195">
        <v>6026272.5</v>
      </c>
      <c r="Q9" s="195">
        <v>322134</v>
      </c>
      <c r="R9" s="195">
        <v>4065785.6666666665</v>
      </c>
      <c r="S9" s="195">
        <v>3171699.6666666665</v>
      </c>
      <c r="T9" s="195">
        <v>3352136</v>
      </c>
      <c r="U9" s="195">
        <v>2070918</v>
      </c>
      <c r="V9" s="195">
        <v>2086628.6666666667</v>
      </c>
    </row>
    <row r="10" spans="1:22" x14ac:dyDescent="0.25">
      <c r="A10" s="226"/>
      <c r="B10" s="195">
        <v>13648.333333333334</v>
      </c>
      <c r="C10" s="195">
        <v>14578.666666666666</v>
      </c>
      <c r="D10" s="195">
        <v>216774.66666666666</v>
      </c>
      <c r="E10" s="195">
        <v>354023.66666666669</v>
      </c>
      <c r="F10" s="195">
        <v>2283078.6666666665</v>
      </c>
      <c r="G10" s="195">
        <v>3264621.3333333335</v>
      </c>
      <c r="H10" s="195">
        <v>5795023.666666667</v>
      </c>
      <c r="I10" s="195">
        <v>384954.33333333331</v>
      </c>
      <c r="J10" s="195">
        <v>12697</v>
      </c>
      <c r="K10" s="195">
        <v>1866710.3333333333</v>
      </c>
      <c r="L10" s="195">
        <v>421761.33333333331</v>
      </c>
      <c r="M10" s="195">
        <v>2603352.6666666665</v>
      </c>
      <c r="N10" s="3"/>
      <c r="O10" s="195">
        <v>2387197.6666666665</v>
      </c>
      <c r="P10" s="195">
        <v>4951919</v>
      </c>
      <c r="Q10" s="195">
        <v>36176</v>
      </c>
      <c r="R10" s="195">
        <v>51024.5</v>
      </c>
      <c r="S10" s="195">
        <v>1842492</v>
      </c>
      <c r="T10" s="195">
        <v>2630440.3333333335</v>
      </c>
      <c r="U10" s="195">
        <v>1220650.5</v>
      </c>
      <c r="V10" s="195">
        <v>2287830.3333333335</v>
      </c>
    </row>
    <row r="11" spans="1:22" x14ac:dyDescent="0.25">
      <c r="A11" s="226"/>
      <c r="B11" s="195">
        <v>16388.333333333332</v>
      </c>
      <c r="C11" s="195">
        <v>186969</v>
      </c>
      <c r="D11" s="195">
        <v>436913</v>
      </c>
      <c r="E11" s="195">
        <v>238534.33333333334</v>
      </c>
      <c r="F11" s="195">
        <v>1483378</v>
      </c>
      <c r="G11" s="195">
        <v>4075418.3333333335</v>
      </c>
      <c r="H11" s="195">
        <v>3005315.3333333335</v>
      </c>
      <c r="I11" s="195">
        <v>486471</v>
      </c>
      <c r="J11" s="195">
        <v>13627</v>
      </c>
      <c r="K11" s="195">
        <v>1343000.3333333333</v>
      </c>
      <c r="L11" s="195">
        <v>727946.66666666663</v>
      </c>
      <c r="M11" s="195">
        <v>1782317.6666666667</v>
      </c>
      <c r="N11" s="3"/>
      <c r="O11" s="195">
        <v>2286878</v>
      </c>
      <c r="P11" s="195">
        <v>3601161.3333333335</v>
      </c>
      <c r="Q11" s="195">
        <v>448330</v>
      </c>
      <c r="R11" s="195">
        <v>136679.5</v>
      </c>
      <c r="S11" s="195">
        <v>199845.66666666666</v>
      </c>
      <c r="T11" s="195">
        <v>1680196</v>
      </c>
      <c r="U11" s="195">
        <v>4296858</v>
      </c>
      <c r="V11" s="195">
        <v>4194317.666666667</v>
      </c>
    </row>
    <row r="12" spans="1:22" x14ac:dyDescent="0.25">
      <c r="A12" s="226"/>
      <c r="B12" s="195">
        <v>23973</v>
      </c>
      <c r="C12" s="195">
        <v>79071.666666666672</v>
      </c>
      <c r="D12" s="195">
        <v>76710.5</v>
      </c>
      <c r="E12" s="195">
        <v>377160.66666666669</v>
      </c>
      <c r="F12" s="195">
        <v>2000736.6666666667</v>
      </c>
      <c r="G12" s="195">
        <v>2723434.6666666665</v>
      </c>
      <c r="H12" s="195">
        <v>7074850.333333333</v>
      </c>
      <c r="I12" s="195">
        <v>65300.333333333336</v>
      </c>
      <c r="J12" s="195">
        <v>19200</v>
      </c>
      <c r="K12" s="195">
        <v>657801.33333333337</v>
      </c>
      <c r="L12" s="195">
        <v>988983.66666666663</v>
      </c>
      <c r="M12" s="195">
        <v>1505137.6666666667</v>
      </c>
      <c r="N12" s="3"/>
      <c r="O12" s="195">
        <v>575593.33333333337</v>
      </c>
      <c r="P12" s="195">
        <v>4157590.3333333335</v>
      </c>
      <c r="Q12" s="195">
        <v>181741.66666666666</v>
      </c>
      <c r="R12" s="195">
        <v>659957</v>
      </c>
      <c r="S12" s="195">
        <v>511943.66666666669</v>
      </c>
      <c r="T12" s="195">
        <v>1392316.3333333333</v>
      </c>
      <c r="U12" s="195">
        <v>401061.5</v>
      </c>
      <c r="V12" s="195">
        <v>212441.66666666666</v>
      </c>
    </row>
    <row r="13" spans="1:22" ht="16.5" x14ac:dyDescent="0.25">
      <c r="A13" s="226"/>
      <c r="B13" s="14"/>
      <c r="C13" s="13"/>
      <c r="D13" s="32"/>
      <c r="E13" s="32"/>
      <c r="F13" s="32"/>
      <c r="G13" s="32"/>
      <c r="H13" s="32"/>
      <c r="I13" s="32"/>
      <c r="J13" s="32"/>
      <c r="K13" s="13"/>
      <c r="L13" s="13"/>
      <c r="M13" s="13"/>
      <c r="N13" s="3"/>
      <c r="O13" s="195">
        <v>754955.33333333337</v>
      </c>
      <c r="P13" s="13"/>
      <c r="Q13" s="13"/>
      <c r="R13" s="32"/>
      <c r="S13" s="32"/>
      <c r="T13" s="32"/>
      <c r="U13" s="32"/>
      <c r="V13" s="32"/>
    </row>
    <row r="14" spans="1:22" ht="16.5" x14ac:dyDescent="0.25">
      <c r="A14" s="226"/>
      <c r="B14" s="14"/>
      <c r="C14" s="32"/>
      <c r="D14" s="32"/>
      <c r="E14" s="32"/>
      <c r="F14" s="32"/>
      <c r="G14" s="32"/>
      <c r="H14" s="32"/>
      <c r="I14" s="32"/>
      <c r="J14" s="32"/>
      <c r="K14" s="13"/>
      <c r="L14" s="13"/>
      <c r="M14" s="13"/>
      <c r="N14" s="3"/>
      <c r="O14" s="195">
        <v>129685.33333333333</v>
      </c>
      <c r="P14" s="13"/>
      <c r="Q14" s="13"/>
      <c r="R14" s="32"/>
      <c r="S14" s="32"/>
      <c r="T14" s="32"/>
      <c r="U14" s="32"/>
      <c r="V14" s="32"/>
    </row>
    <row r="15" spans="1:22" ht="16.5" x14ac:dyDescent="0.25">
      <c r="A15" s="226"/>
      <c r="B15" s="14"/>
      <c r="C15" s="32"/>
      <c r="D15" s="32"/>
      <c r="E15" s="32"/>
      <c r="F15" s="32"/>
      <c r="G15" s="32"/>
      <c r="H15" s="32"/>
      <c r="I15" s="32"/>
      <c r="J15" s="32"/>
      <c r="K15" s="13"/>
      <c r="L15" s="13"/>
      <c r="M15" s="13"/>
      <c r="N15" s="3"/>
      <c r="O15" s="195">
        <v>4431576</v>
      </c>
      <c r="P15" s="13"/>
      <c r="Q15" s="13"/>
      <c r="R15" s="32"/>
      <c r="S15" s="32"/>
      <c r="T15" s="32"/>
      <c r="U15" s="32"/>
      <c r="V15" s="32"/>
    </row>
    <row r="16" spans="1:22" ht="16.5" x14ac:dyDescent="0.25">
      <c r="A16" s="226"/>
      <c r="B16" s="14"/>
      <c r="C16" s="32"/>
      <c r="D16" s="32"/>
      <c r="E16" s="32"/>
      <c r="F16" s="32"/>
      <c r="G16" s="32"/>
      <c r="H16" s="32"/>
      <c r="I16" s="32"/>
      <c r="J16" s="32"/>
      <c r="K16" s="13"/>
      <c r="L16" s="13"/>
      <c r="M16" s="13"/>
      <c r="N16" s="3"/>
      <c r="O16" s="195">
        <v>1461294</v>
      </c>
      <c r="P16" s="13"/>
      <c r="Q16" s="13"/>
      <c r="R16" s="32"/>
      <c r="S16" s="32"/>
      <c r="T16" s="32"/>
      <c r="U16" s="32"/>
      <c r="V16" s="32"/>
    </row>
    <row r="17" spans="1:22" ht="16.5" x14ac:dyDescent="0.25">
      <c r="A17" s="226"/>
      <c r="B17" s="14"/>
      <c r="C17" s="32"/>
      <c r="D17" s="32"/>
      <c r="E17" s="32"/>
      <c r="F17" s="32"/>
      <c r="G17" s="32"/>
      <c r="H17" s="32"/>
      <c r="I17" s="32"/>
      <c r="J17" s="32"/>
      <c r="K17" s="13"/>
      <c r="L17" s="13"/>
      <c r="M17" s="13"/>
      <c r="N17" s="3"/>
      <c r="O17" s="195">
        <v>2394696.3333333335</v>
      </c>
      <c r="P17" s="13"/>
      <c r="Q17" s="13"/>
      <c r="R17" s="32"/>
      <c r="S17" s="32"/>
      <c r="T17" s="32"/>
      <c r="U17" s="32"/>
      <c r="V17" s="32"/>
    </row>
    <row r="18" spans="1:22" ht="16.5" x14ac:dyDescent="0.25">
      <c r="A18" s="226"/>
      <c r="B18" s="14"/>
      <c r="C18" s="32"/>
      <c r="D18" s="32"/>
      <c r="E18" s="32"/>
      <c r="F18" s="32"/>
      <c r="G18" s="32"/>
      <c r="H18" s="32"/>
      <c r="I18" s="32"/>
      <c r="J18" s="32"/>
      <c r="K18" s="13"/>
      <c r="L18" s="13"/>
      <c r="M18" s="13"/>
      <c r="N18" s="3"/>
      <c r="O18" s="195">
        <v>3630347</v>
      </c>
      <c r="P18" s="13"/>
      <c r="Q18" s="13"/>
      <c r="R18" s="32"/>
      <c r="S18" s="32"/>
      <c r="T18" s="32"/>
      <c r="U18" s="32"/>
      <c r="V18" s="32"/>
    </row>
    <row r="19" spans="1:22" ht="16.5" x14ac:dyDescent="0.25">
      <c r="A19" s="226"/>
      <c r="B19" s="14"/>
      <c r="C19" s="32"/>
      <c r="D19" s="32"/>
      <c r="E19" s="32"/>
      <c r="F19" s="32"/>
      <c r="G19" s="32"/>
      <c r="H19" s="32"/>
      <c r="I19" s="32"/>
      <c r="J19" s="32"/>
      <c r="K19" s="13"/>
      <c r="L19" s="13"/>
      <c r="M19" s="13"/>
      <c r="N19" s="3"/>
      <c r="O19" s="195">
        <v>3777884.6666666665</v>
      </c>
      <c r="P19" s="13"/>
      <c r="Q19" s="13"/>
      <c r="R19" s="32"/>
      <c r="S19" s="32"/>
      <c r="T19" s="32"/>
      <c r="U19" s="32"/>
      <c r="V19" s="32"/>
    </row>
    <row r="20" spans="1:22" ht="16.5" x14ac:dyDescent="0.25">
      <c r="A20" s="226"/>
      <c r="B20" s="14"/>
      <c r="C20" s="32"/>
      <c r="D20" s="32"/>
      <c r="E20" s="32"/>
      <c r="F20" s="32"/>
      <c r="G20" s="32"/>
      <c r="H20" s="32"/>
      <c r="I20" s="32"/>
      <c r="J20" s="32"/>
      <c r="K20" s="13"/>
      <c r="L20" s="13"/>
      <c r="M20" s="13"/>
      <c r="N20" s="3"/>
      <c r="O20" s="195">
        <v>3120184.3333333335</v>
      </c>
      <c r="P20" s="13"/>
      <c r="Q20" s="13"/>
      <c r="R20" s="32"/>
      <c r="S20" s="32"/>
      <c r="T20" s="32"/>
      <c r="U20" s="32"/>
      <c r="V20" s="32"/>
    </row>
    <row r="21" spans="1:22" x14ac:dyDescent="0.25">
      <c r="A21" s="3"/>
      <c r="B21" s="7"/>
      <c r="C21" s="7"/>
      <c r="D21" s="7"/>
      <c r="E21" s="7"/>
      <c r="F21" s="7"/>
      <c r="G21" s="7"/>
      <c r="H21" s="7"/>
      <c r="I21" s="7"/>
      <c r="J21" s="7"/>
      <c r="N21" s="3"/>
      <c r="O21" s="7"/>
      <c r="R21" s="7"/>
      <c r="S21" s="7"/>
      <c r="T21" s="7"/>
      <c r="U21" s="7"/>
      <c r="V21" s="7"/>
    </row>
    <row r="22" spans="1:22" x14ac:dyDescent="0.25">
      <c r="A22" s="3" t="str">
        <f>A4</f>
        <v>Noms des groupes</v>
      </c>
      <c r="B22" s="3" t="str">
        <f t="shared" ref="B22:V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Testosterone 3,7µg/L</v>
      </c>
      <c r="J22" s="3" t="str">
        <f t="shared" si="0"/>
        <v>Testosterone 11µg/L</v>
      </c>
      <c r="K22" s="3" t="str">
        <f t="shared" si="0"/>
        <v>Testosterone 33µg/L</v>
      </c>
      <c r="L22" s="3" t="str">
        <f t="shared" si="0"/>
        <v>Testosterone 100µg/L</v>
      </c>
      <c r="M22" s="3" t="str">
        <f t="shared" si="0"/>
        <v>Testosterone 300µg/L</v>
      </c>
      <c r="N22" s="3" t="s">
        <v>41</v>
      </c>
      <c r="O22" s="3" t="str">
        <f t="shared" si="0"/>
        <v>Testo -30µg/L</v>
      </c>
      <c r="P22" s="3" t="str">
        <f t="shared" si="0"/>
        <v>Testo 30µg/L + EE2 -64ng/L</v>
      </c>
      <c r="Q22" s="3" t="str">
        <f t="shared" si="0"/>
        <v>Testo 30µg/L + FAD-10µg/L</v>
      </c>
      <c r="R22" s="3" t="str">
        <f t="shared" si="0"/>
        <v>Testosterone-3,7µg/L + Testostérone</v>
      </c>
      <c r="S22" s="3" t="str">
        <f t="shared" si="0"/>
        <v>Testosterone-11µg/L + Testostérone</v>
      </c>
      <c r="T22" s="3" t="str">
        <f t="shared" si="0"/>
        <v>Testosterone-33µg/L + Testostérone</v>
      </c>
      <c r="U22" s="3" t="str">
        <f t="shared" si="0"/>
        <v>Testosterone-100µg/L + Testostérone</v>
      </c>
      <c r="V22" s="3" t="str">
        <f t="shared" si="0"/>
        <v>Testosterone-300µg/L + Testostérone</v>
      </c>
    </row>
    <row r="23" spans="1:22" x14ac:dyDescent="0.25">
      <c r="A23" s="5" t="s">
        <v>0</v>
      </c>
      <c r="B23" s="5">
        <f t="shared" ref="B23:J23" si="1">AVERAGE(B5:B20)</f>
        <v>133815.20833333334</v>
      </c>
      <c r="C23" s="5">
        <f t="shared" si="1"/>
        <v>134749.70833333334</v>
      </c>
      <c r="D23" s="5">
        <f t="shared" si="1"/>
        <v>224558.33333333334</v>
      </c>
      <c r="E23" s="5">
        <f t="shared" si="1"/>
        <v>558508.14285714284</v>
      </c>
      <c r="F23" s="5">
        <f t="shared" si="1"/>
        <v>1408058.7380952381</v>
      </c>
      <c r="G23" s="5">
        <f t="shared" si="1"/>
        <v>3097434.2916666665</v>
      </c>
      <c r="H23" s="5">
        <f t="shared" si="1"/>
        <v>4847568.5</v>
      </c>
      <c r="I23" s="5">
        <f t="shared" si="1"/>
        <v>218377.16666666666</v>
      </c>
      <c r="J23" s="5">
        <f t="shared" si="1"/>
        <v>178856.66666666669</v>
      </c>
      <c r="K23" s="5"/>
      <c r="L23" s="5">
        <f>AVERAGE(L5:L20)</f>
        <v>1275618.4999999998</v>
      </c>
      <c r="M23" s="5"/>
      <c r="N23" s="5" t="s">
        <v>0</v>
      </c>
      <c r="O23" s="5">
        <f>AVERAGE(O5:O20)</f>
        <v>2404677.083333333</v>
      </c>
      <c r="P23" s="5">
        <f>AVERAGE(P5:P20)</f>
        <v>3331018.604166666</v>
      </c>
      <c r="Q23" s="5">
        <f>AVERAGE(Q5:Q20)</f>
        <v>246386.58333333334</v>
      </c>
      <c r="R23" s="5">
        <f>AVERAGE(R5:R20)</f>
        <v>1650042.3958333333</v>
      </c>
      <c r="S23" s="5">
        <f>AVERAGE(S5:S20)</f>
        <v>832862.625</v>
      </c>
      <c r="T23" s="5">
        <f t="shared" ref="T23:V23" si="2">AVERAGE(T5:T20)</f>
        <v>2091429.2708333335</v>
      </c>
      <c r="U23" s="5">
        <f t="shared" si="2"/>
        <v>2007298.75</v>
      </c>
      <c r="V23" s="5">
        <f t="shared" si="2"/>
        <v>2175734.479166667</v>
      </c>
    </row>
    <row r="24" spans="1:22" x14ac:dyDescent="0.25">
      <c r="A24" s="3" t="s">
        <v>1</v>
      </c>
      <c r="B24" s="3">
        <f t="shared" ref="B24:J24" si="3">STDEV(B5:B20)</f>
        <v>177189.30137110132</v>
      </c>
      <c r="C24" s="3">
        <f t="shared" si="3"/>
        <v>98345.52987177363</v>
      </c>
      <c r="D24" s="3">
        <f t="shared" si="3"/>
        <v>132735.45720984405</v>
      </c>
      <c r="E24" s="3">
        <f t="shared" si="3"/>
        <v>277689.65423357981</v>
      </c>
      <c r="F24" s="3">
        <f t="shared" si="3"/>
        <v>854698.24860518833</v>
      </c>
      <c r="G24" s="3">
        <f t="shared" si="3"/>
        <v>824547.54735845374</v>
      </c>
      <c r="H24" s="3">
        <f t="shared" si="3"/>
        <v>2245278.0362111973</v>
      </c>
      <c r="I24" s="3">
        <f t="shared" si="3"/>
        <v>169823.25913622903</v>
      </c>
      <c r="J24" s="3">
        <f t="shared" si="3"/>
        <v>226815.69354907557</v>
      </c>
      <c r="K24" s="3"/>
      <c r="L24" s="3">
        <f>STDEV(L5:L20)</f>
        <v>1369025.8233295006</v>
      </c>
      <c r="M24" s="3"/>
      <c r="N24" s="3" t="s">
        <v>1</v>
      </c>
      <c r="O24" s="3">
        <f>STDEV(O5:O20)</f>
        <v>1236275.593038128</v>
      </c>
      <c r="P24" s="3">
        <f>STDEV(P5:P20)</f>
        <v>1946527.4397922519</v>
      </c>
      <c r="Q24" s="3">
        <f>STDEV(Q5:Q20)</f>
        <v>246883.63156056285</v>
      </c>
      <c r="R24" s="3">
        <f>STDEV(R5:R20)</f>
        <v>1420220.8545134549</v>
      </c>
      <c r="S24" s="3">
        <f>STDEV(S5:S20)</f>
        <v>1105993.4520924808</v>
      </c>
      <c r="T24" s="3">
        <f t="shared" ref="T24:V24" si="4">STDEV(T5:T20)</f>
        <v>744194.68513476988</v>
      </c>
      <c r="U24" s="3">
        <f t="shared" si="4"/>
        <v>1772990.7692386771</v>
      </c>
      <c r="V24" s="3">
        <f t="shared" si="4"/>
        <v>1696171.968984762</v>
      </c>
    </row>
    <row r="25" spans="1:22" ht="15.75" thickBot="1" x14ac:dyDescent="0.3"/>
    <row r="26" spans="1:22" ht="15.75" thickBot="1" x14ac:dyDescent="0.3">
      <c r="B26" s="224" t="s">
        <v>6</v>
      </c>
      <c r="C26" s="225"/>
      <c r="D26" s="225"/>
      <c r="E26" s="225"/>
      <c r="F26" s="225"/>
      <c r="G26" s="225"/>
      <c r="H26" s="225"/>
      <c r="I26" s="225"/>
      <c r="J26" s="225"/>
      <c r="K26" s="225"/>
      <c r="L26" s="225"/>
      <c r="M26" s="225"/>
      <c r="O26" s="224" t="s">
        <v>3</v>
      </c>
      <c r="P26" s="225"/>
      <c r="Q26" s="225"/>
      <c r="R26" s="225"/>
      <c r="S26" s="225"/>
      <c r="T26" s="225"/>
      <c r="U26" s="225"/>
      <c r="V26" s="225"/>
    </row>
    <row r="27" spans="1:22" x14ac:dyDescent="0.25">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Testosterone 3,7µg/L</v>
      </c>
      <c r="J27" s="35" t="str">
        <f t="shared" si="5"/>
        <v>Testosterone 11µg/L</v>
      </c>
      <c r="K27" s="35" t="str">
        <f t="shared" si="5"/>
        <v>Testosterone 33µg/L</v>
      </c>
      <c r="L27" s="35" t="str">
        <f t="shared" si="5"/>
        <v>Testosterone 100µg/L</v>
      </c>
      <c r="M27" s="35" t="str">
        <f t="shared" si="5"/>
        <v>Testosterone 300µg/L</v>
      </c>
      <c r="N27" s="3"/>
      <c r="O27" s="36" t="str">
        <f>O4</f>
        <v>Testo -30µg/L</v>
      </c>
      <c r="P27" s="36" t="str">
        <f t="shared" ref="P27:V27" si="6">P4</f>
        <v>Testo 30µg/L + EE2 -64ng/L</v>
      </c>
      <c r="Q27" s="36" t="str">
        <f t="shared" si="6"/>
        <v>Testo 30µg/L + FAD-10µg/L</v>
      </c>
      <c r="R27" s="36" t="str">
        <f t="shared" si="6"/>
        <v>Testosterone-3,7µg/L + Testostérone</v>
      </c>
      <c r="S27" s="36" t="str">
        <f t="shared" si="6"/>
        <v>Testosterone-11µg/L + Testostérone</v>
      </c>
      <c r="T27" s="36" t="str">
        <f t="shared" si="6"/>
        <v>Testosterone-33µg/L + Testostérone</v>
      </c>
      <c r="U27" s="36" t="str">
        <f t="shared" si="6"/>
        <v>Testosterone-100µg/L + Testostérone</v>
      </c>
      <c r="V27" s="36" t="str">
        <f t="shared" si="6"/>
        <v>Testosterone-300µg/L + Testostérone</v>
      </c>
    </row>
    <row r="28" spans="1:22" x14ac:dyDescent="0.25">
      <c r="A28" s="227" t="s">
        <v>34</v>
      </c>
      <c r="B28" s="11">
        <f t="shared" ref="B28:M28" si="7">IF(B5="","",(B5/$O$23))</f>
        <v>4.5526417701614481E-2</v>
      </c>
      <c r="C28" s="11">
        <f t="shared" si="7"/>
        <v>0.10561542826696239</v>
      </c>
      <c r="D28" s="11">
        <f t="shared" si="7"/>
        <v>0.13703461570117265</v>
      </c>
      <c r="E28" s="11">
        <f t="shared" si="7"/>
        <v>0.30102877638629583</v>
      </c>
      <c r="F28" s="11" t="str">
        <f t="shared" si="7"/>
        <v/>
      </c>
      <c r="G28" s="11">
        <f t="shared" si="7"/>
        <v>0.75555591750451601</v>
      </c>
      <c r="H28" s="11">
        <f t="shared" si="7"/>
        <v>2.0427958362392733</v>
      </c>
      <c r="I28" s="11">
        <f t="shared" si="7"/>
        <v>0.10084819080871048</v>
      </c>
      <c r="J28" s="11" t="str">
        <f t="shared" si="7"/>
        <v/>
      </c>
      <c r="K28" s="11">
        <f t="shared" si="7"/>
        <v>1.1372556779539873</v>
      </c>
      <c r="L28" s="11">
        <f t="shared" si="7"/>
        <v>0.17420772886172348</v>
      </c>
      <c r="M28" s="11">
        <f t="shared" si="7"/>
        <v>0.43984297961004815</v>
      </c>
      <c r="N28" s="6"/>
      <c r="O28" s="11">
        <f t="shared" ref="O28:V39" si="8">IF(O5="","",(O5/$O$23))</f>
        <v>1.072129400603858</v>
      </c>
      <c r="P28" s="11">
        <f t="shared" si="8"/>
        <v>0.36611457706119593</v>
      </c>
      <c r="Q28" s="11">
        <f t="shared" si="8"/>
        <v>6.7728844396120411E-2</v>
      </c>
      <c r="R28" s="11">
        <f t="shared" si="8"/>
        <v>0.43300678798695258</v>
      </c>
      <c r="S28" s="11">
        <f t="shared" si="8"/>
        <v>2.6588878444351073E-2</v>
      </c>
      <c r="T28" s="11">
        <f t="shared" si="8"/>
        <v>1.113823841558768</v>
      </c>
      <c r="U28" s="11">
        <f t="shared" si="8"/>
        <v>1.9739817456432565</v>
      </c>
      <c r="V28" s="11">
        <f t="shared" si="8"/>
        <v>1.5727300876330417</v>
      </c>
    </row>
    <row r="29" spans="1:22" x14ac:dyDescent="0.25">
      <c r="A29" s="227"/>
      <c r="B29" s="11">
        <f t="shared" ref="B29:M29" si="9">IF(B6="","",(B6/$O$23))</f>
        <v>2.1623832028728741E-2</v>
      </c>
      <c r="C29" s="11">
        <f t="shared" si="9"/>
        <v>2.556046593227608E-2</v>
      </c>
      <c r="D29" s="11">
        <f t="shared" si="9"/>
        <v>4.8530563268630145E-2</v>
      </c>
      <c r="E29" s="11">
        <f t="shared" si="9"/>
        <v>0.22211187399555557</v>
      </c>
      <c r="F29" s="11">
        <f t="shared" si="9"/>
        <v>0.69884282799578956</v>
      </c>
      <c r="G29" s="11">
        <f t="shared" si="9"/>
        <v>1.6838083422496959</v>
      </c>
      <c r="H29" s="11">
        <f t="shared" si="9"/>
        <v>1.1046190020316311</v>
      </c>
      <c r="I29" s="11">
        <f t="shared" si="9"/>
        <v>0.12420184622848703</v>
      </c>
      <c r="J29" s="11">
        <f t="shared" si="9"/>
        <v>2.5308872899601039E-2</v>
      </c>
      <c r="K29" s="11">
        <f t="shared" si="9"/>
        <v>1.2340409531771852</v>
      </c>
      <c r="L29" s="11">
        <f t="shared" si="9"/>
        <v>1.5593694579573663</v>
      </c>
      <c r="M29" s="11">
        <f t="shared" si="9"/>
        <v>1.7741564399239331</v>
      </c>
      <c r="N29" s="6"/>
      <c r="O29" s="11">
        <f t="shared" si="8"/>
        <v>0.99766922966961102</v>
      </c>
      <c r="P29" s="11">
        <f t="shared" si="8"/>
        <v>0.10211336414712649</v>
      </c>
      <c r="Q29" s="11">
        <f t="shared" si="8"/>
        <v>9.0938059077578862E-3</v>
      </c>
      <c r="R29" s="11">
        <f t="shared" si="8"/>
        <v>1.1193332438087236</v>
      </c>
      <c r="S29" s="11">
        <f t="shared" si="8"/>
        <v>0.2239107295244944</v>
      </c>
      <c r="T29" s="11">
        <f t="shared" si="8"/>
        <v>0.91627423987108458</v>
      </c>
      <c r="U29" s="11">
        <f t="shared" si="8"/>
        <v>0.10496475185077693</v>
      </c>
      <c r="V29" s="11">
        <f t="shared" si="8"/>
        <v>1.6571983937552255</v>
      </c>
    </row>
    <row r="30" spans="1:22" x14ac:dyDescent="0.25">
      <c r="A30" s="227"/>
      <c r="B30" s="11">
        <f t="shared" ref="B30:M30" si="10">IF(B7="","",(B7/$O$23))</f>
        <v>0.20849646305593703</v>
      </c>
      <c r="C30" s="11">
        <f t="shared" si="10"/>
        <v>9.276158874415745E-2</v>
      </c>
      <c r="D30" s="11">
        <f t="shared" si="10"/>
        <v>0.10723747557927478</v>
      </c>
      <c r="E30" s="11" t="str">
        <f t="shared" si="10"/>
        <v/>
      </c>
      <c r="F30" s="11">
        <f t="shared" si="10"/>
        <v>8.1089196834294289E-2</v>
      </c>
      <c r="G30" s="11">
        <f t="shared" si="10"/>
        <v>1.5678787085930632</v>
      </c>
      <c r="H30" s="11">
        <f t="shared" si="10"/>
        <v>0.60366442133169307</v>
      </c>
      <c r="I30" s="11">
        <f t="shared" si="10"/>
        <v>1.4826661583979141E-2</v>
      </c>
      <c r="J30" s="11">
        <f t="shared" si="10"/>
        <v>0.15073999021005074</v>
      </c>
      <c r="K30" s="11">
        <f t="shared" si="10"/>
        <v>1.2333423146732281</v>
      </c>
      <c r="L30" s="11">
        <f t="shared" si="10"/>
        <v>1.2996440790300154</v>
      </c>
      <c r="M30" s="11">
        <f t="shared" si="10"/>
        <v>0.59798285459326239</v>
      </c>
      <c r="N30" s="6"/>
      <c r="O30" s="11">
        <f t="shared" si="8"/>
        <v>1.5743009846263143</v>
      </c>
      <c r="P30" s="11">
        <f t="shared" si="8"/>
        <v>1.2389911673864735</v>
      </c>
      <c r="Q30" s="11">
        <f t="shared" si="8"/>
        <v>2.5569614769827897E-2</v>
      </c>
      <c r="R30" s="11">
        <f t="shared" si="8"/>
        <v>0.81079673726115342</v>
      </c>
      <c r="S30" s="11">
        <f t="shared" si="8"/>
        <v>4.7969850421704235E-2</v>
      </c>
      <c r="T30" s="11">
        <f t="shared" si="8"/>
        <v>0.54125624975633435</v>
      </c>
      <c r="U30" s="11">
        <f t="shared" si="8"/>
        <v>0.17067863408548448</v>
      </c>
      <c r="V30" s="11">
        <f t="shared" si="8"/>
        <v>0.32023281019194372</v>
      </c>
    </row>
    <row r="31" spans="1:22" x14ac:dyDescent="0.25">
      <c r="A31" s="227"/>
      <c r="B31" s="11">
        <f t="shared" ref="B31:M31" si="11">IF(B8="","",(B8/$O$23))</f>
        <v>1.9800856837153293E-2</v>
      </c>
      <c r="C31" s="11">
        <f t="shared" si="11"/>
        <v>9.5409206884153733E-2</v>
      </c>
      <c r="D31" s="11">
        <f t="shared" si="11"/>
        <v>2.5397173043851178E-2</v>
      </c>
      <c r="E31" s="11">
        <f t="shared" si="11"/>
        <v>0.44181580167122236</v>
      </c>
      <c r="F31" s="11">
        <f t="shared" si="11"/>
        <v>9.6182768822910228E-2</v>
      </c>
      <c r="G31" s="11">
        <f t="shared" si="11"/>
        <v>1.092547803975759</v>
      </c>
      <c r="H31" s="11">
        <f t="shared" si="11"/>
        <v>3.1691167126563253</v>
      </c>
      <c r="I31" s="11">
        <f t="shared" si="11"/>
        <v>8.7715450359325806E-2</v>
      </c>
      <c r="J31" s="11">
        <f t="shared" si="11"/>
        <v>0.25112034273486139</v>
      </c>
      <c r="K31" s="11">
        <f t="shared" si="11"/>
        <v>0.68160253672313942</v>
      </c>
      <c r="L31" s="11">
        <f t="shared" si="11"/>
        <v>4.6800601258831537E-2</v>
      </c>
      <c r="M31" s="11">
        <f t="shared" si="11"/>
        <v>0.26720344467595702</v>
      </c>
      <c r="N31" s="6"/>
      <c r="O31" s="11">
        <f t="shared" si="8"/>
        <v>0.72186074880116446</v>
      </c>
      <c r="P31" s="11">
        <f t="shared" si="8"/>
        <v>1.5827052315582915</v>
      </c>
      <c r="Q31" s="11">
        <f t="shared" si="8"/>
        <v>0.30627424853475649</v>
      </c>
      <c r="R31" s="11">
        <f t="shared" si="8"/>
        <v>1.0830192896655391</v>
      </c>
      <c r="S31" s="11">
        <f t="shared" si="8"/>
        <v>9.1154581566305265E-2</v>
      </c>
      <c r="T31" s="11">
        <f t="shared" si="8"/>
        <v>0.62090194022932754</v>
      </c>
      <c r="U31" s="11">
        <f t="shared" si="8"/>
        <v>1.1058782147637636</v>
      </c>
      <c r="V31" s="11">
        <f t="shared" si="8"/>
        <v>3.6456454218991637E-2</v>
      </c>
    </row>
    <row r="32" spans="1:22" x14ac:dyDescent="0.25">
      <c r="A32" s="227"/>
      <c r="B32" s="11">
        <f t="shared" ref="B32:M32" si="12">IF(B9="","",(B9/$O$23))</f>
        <v>0.12727530117089528</v>
      </c>
      <c r="C32" s="11">
        <f t="shared" si="12"/>
        <v>1.2248075581873867E-2</v>
      </c>
      <c r="D32" s="11">
        <f t="shared" si="12"/>
        <v>0.12513142357125223</v>
      </c>
      <c r="E32" s="11">
        <f t="shared" si="12"/>
        <v>0.25759369977777685</v>
      </c>
      <c r="F32" s="11">
        <f t="shared" si="12"/>
        <v>0.82441200958202132</v>
      </c>
      <c r="G32" s="11">
        <f t="shared" si="12"/>
        <v>1.0199498373395597</v>
      </c>
      <c r="H32" s="11">
        <f t="shared" si="12"/>
        <v>2.6051406417181799</v>
      </c>
      <c r="I32" s="11">
        <f t="shared" si="12"/>
        <v>9.3727068343375988E-3</v>
      </c>
      <c r="J32" s="11">
        <f t="shared" si="12"/>
        <v>7.4549995884755846E-2</v>
      </c>
      <c r="K32" s="11">
        <f t="shared" si="12"/>
        <v>1.1164442904236105</v>
      </c>
      <c r="L32" s="11">
        <f t="shared" si="12"/>
        <v>0.27438126221036269</v>
      </c>
      <c r="M32" s="11">
        <f t="shared" si="12"/>
        <v>0.51332256150124111</v>
      </c>
      <c r="N32" s="6"/>
      <c r="O32" s="11">
        <f t="shared" si="8"/>
        <v>1.2583047100052416</v>
      </c>
      <c r="P32" s="11">
        <f t="shared" si="8"/>
        <v>2.5060630975226235</v>
      </c>
      <c r="Q32" s="11">
        <f t="shared" si="8"/>
        <v>0.13396143799626598</v>
      </c>
      <c r="R32" s="11">
        <f t="shared" si="8"/>
        <v>1.6907823902204473</v>
      </c>
      <c r="S32" s="11">
        <f t="shared" si="8"/>
        <v>1.318971136976985</v>
      </c>
      <c r="T32" s="11">
        <f t="shared" si="8"/>
        <v>1.3940067143457413</v>
      </c>
      <c r="U32" s="11">
        <f t="shared" si="8"/>
        <v>0.86120419841541451</v>
      </c>
      <c r="V32" s="11">
        <f t="shared" si="8"/>
        <v>0.86773757737741997</v>
      </c>
    </row>
    <row r="33" spans="1:22" x14ac:dyDescent="0.25">
      <c r="A33" s="227"/>
      <c r="B33" s="11">
        <f t="shared" ref="B33:M33" si="13">IF(B10="","",(B10/$O$23))</f>
        <v>5.6757447508977736E-3</v>
      </c>
      <c r="C33" s="11">
        <f t="shared" si="13"/>
        <v>6.062629684339114E-3</v>
      </c>
      <c r="D33" s="11">
        <f t="shared" si="13"/>
        <v>9.0147100485598819E-2</v>
      </c>
      <c r="E33" s="11">
        <f t="shared" si="13"/>
        <v>0.14722295526513005</v>
      </c>
      <c r="F33" s="11">
        <f t="shared" si="13"/>
        <v>0.94943253815264528</v>
      </c>
      <c r="G33" s="11">
        <f t="shared" si="13"/>
        <v>1.3576131930396063</v>
      </c>
      <c r="H33" s="11">
        <f t="shared" si="13"/>
        <v>2.4098968243310566</v>
      </c>
      <c r="I33" s="11">
        <f t="shared" si="13"/>
        <v>0.16008566638798524</v>
      </c>
      <c r="J33" s="11">
        <f t="shared" si="13"/>
        <v>5.2801268361569688E-3</v>
      </c>
      <c r="K33" s="11">
        <f t="shared" si="13"/>
        <v>0.77628316345316639</v>
      </c>
      <c r="L33" s="11">
        <f t="shared" si="13"/>
        <v>0.17539208746843177</v>
      </c>
      <c r="M33" s="11">
        <f t="shared" si="13"/>
        <v>1.0826204835195301</v>
      </c>
      <c r="N33" s="6"/>
      <c r="O33" s="11">
        <f t="shared" si="8"/>
        <v>0.99273107529164095</v>
      </c>
      <c r="P33" s="11">
        <f t="shared" si="8"/>
        <v>2.0592864773076776</v>
      </c>
      <c r="Q33" s="11">
        <f t="shared" si="8"/>
        <v>1.5044015785210248E-2</v>
      </c>
      <c r="R33" s="11">
        <f t="shared" si="8"/>
        <v>2.1218857348309937E-2</v>
      </c>
      <c r="S33" s="11">
        <f t="shared" si="8"/>
        <v>0.76621181811487171</v>
      </c>
      <c r="T33" s="11">
        <f t="shared" si="8"/>
        <v>1.0938850590645834</v>
      </c>
      <c r="U33" s="11">
        <f t="shared" si="8"/>
        <v>0.50761514236578897</v>
      </c>
      <c r="V33" s="11">
        <f t="shared" si="8"/>
        <v>0.95140854844508771</v>
      </c>
    </row>
    <row r="34" spans="1:22" x14ac:dyDescent="0.25">
      <c r="A34" s="227"/>
      <c r="B34" s="11">
        <f t="shared" ref="B34:M34" si="14">IF(B11="","",(B11/$O$23))</f>
        <v>6.8151908823516679E-3</v>
      </c>
      <c r="C34" s="11">
        <f t="shared" si="14"/>
        <v>7.7752227646643482E-2</v>
      </c>
      <c r="D34" s="11">
        <f t="shared" si="14"/>
        <v>0.18169300278537054</v>
      </c>
      <c r="E34" s="11">
        <f t="shared" si="14"/>
        <v>9.9195993918102326E-2</v>
      </c>
      <c r="F34" s="11">
        <f t="shared" si="14"/>
        <v>0.61687201590650176</v>
      </c>
      <c r="G34" s="11">
        <f t="shared" si="14"/>
        <v>1.6947881948806365</v>
      </c>
      <c r="H34" s="11">
        <f t="shared" si="14"/>
        <v>1.2497791716663276</v>
      </c>
      <c r="I34" s="11">
        <f t="shared" si="14"/>
        <v>0.20230200693960124</v>
      </c>
      <c r="J34" s="11">
        <f t="shared" si="14"/>
        <v>5.6668731508475248E-3</v>
      </c>
      <c r="K34" s="11">
        <f t="shared" si="14"/>
        <v>0.55849508553210114</v>
      </c>
      <c r="L34" s="11">
        <f t="shared" si="14"/>
        <v>0.30272117271463167</v>
      </c>
      <c r="M34" s="11">
        <f t="shared" si="14"/>
        <v>0.74118794536688493</v>
      </c>
      <c r="N34" s="6"/>
      <c r="O34" s="11">
        <f t="shared" si="8"/>
        <v>0.95101251467409442</v>
      </c>
      <c r="P34" s="11">
        <f t="shared" si="8"/>
        <v>1.4975654562073046</v>
      </c>
      <c r="Q34" s="11">
        <f t="shared" si="8"/>
        <v>0.18644083361851255</v>
      </c>
      <c r="R34" s="11">
        <f t="shared" si="8"/>
        <v>5.6839024643814795E-2</v>
      </c>
      <c r="S34" s="11">
        <f t="shared" si="8"/>
        <v>8.3107069989473648E-2</v>
      </c>
      <c r="T34" s="11">
        <f t="shared" si="8"/>
        <v>0.69872001178259391</v>
      </c>
      <c r="U34" s="11">
        <f t="shared" si="8"/>
        <v>1.7868752647834734</v>
      </c>
      <c r="V34" s="11">
        <f t="shared" si="8"/>
        <v>1.7442332260481963</v>
      </c>
    </row>
    <row r="35" spans="1:22" x14ac:dyDescent="0.25">
      <c r="A35" s="227"/>
      <c r="B35" s="11">
        <f t="shared" ref="B35:M35" si="15">IF(B12="","",(B12/$O$23))</f>
        <v>9.969321937716864E-3</v>
      </c>
      <c r="C35" s="11">
        <f t="shared" si="15"/>
        <v>3.2882446967498244E-2</v>
      </c>
      <c r="D35" s="11">
        <f t="shared" si="15"/>
        <v>3.190054104631166E-2</v>
      </c>
      <c r="E35" s="11">
        <f t="shared" si="15"/>
        <v>0.15684462137587776</v>
      </c>
      <c r="F35" s="11">
        <f t="shared" si="15"/>
        <v>0.83201885215010696</v>
      </c>
      <c r="G35" s="11">
        <f t="shared" si="15"/>
        <v>1.1325573340148756</v>
      </c>
      <c r="H35" s="11">
        <f t="shared" si="15"/>
        <v>2.9421207455956062</v>
      </c>
      <c r="I35" s="11">
        <f t="shared" si="15"/>
        <v>2.7155551897560748E-2</v>
      </c>
      <c r="J35" s="11">
        <f t="shared" si="15"/>
        <v>7.9844400452243683E-3</v>
      </c>
      <c r="K35" s="11">
        <f t="shared" si="15"/>
        <v>0.27355079727440884</v>
      </c>
      <c r="L35" s="11">
        <f t="shared" si="15"/>
        <v>0.41127504126073755</v>
      </c>
      <c r="M35" s="11">
        <f t="shared" si="15"/>
        <v>0.62592090933900524</v>
      </c>
      <c r="N35" s="6"/>
      <c r="O35" s="11">
        <f t="shared" si="8"/>
        <v>0.2393640864807732</v>
      </c>
      <c r="P35" s="11">
        <f t="shared" si="8"/>
        <v>1.7289599348491875</v>
      </c>
      <c r="Q35" s="11">
        <f t="shared" si="8"/>
        <v>7.5578408396830832E-2</v>
      </c>
      <c r="R35" s="11">
        <f t="shared" si="8"/>
        <v>0.2744472447357364</v>
      </c>
      <c r="S35" s="11">
        <f t="shared" si="8"/>
        <v>0.21289497463710047</v>
      </c>
      <c r="T35" s="11">
        <f t="shared" si="8"/>
        <v>0.57900345247326179</v>
      </c>
      <c r="U35" s="11">
        <f t="shared" si="8"/>
        <v>0.16678393235404965</v>
      </c>
      <c r="V35" s="11">
        <f t="shared" si="8"/>
        <v>8.8345195344142716E-2</v>
      </c>
    </row>
    <row r="36" spans="1:22" x14ac:dyDescent="0.25">
      <c r="A36" s="227"/>
      <c r="B36" s="11" t="str">
        <f t="shared" ref="B36:M36" si="16">IF(B13="","",(B13/$O$23))</f>
        <v/>
      </c>
      <c r="C36" s="11" t="str">
        <f t="shared" si="16"/>
        <v/>
      </c>
      <c r="D36" s="11" t="str">
        <f t="shared" si="16"/>
        <v/>
      </c>
      <c r="E36" s="11" t="str">
        <f t="shared" si="16"/>
        <v/>
      </c>
      <c r="F36" s="11" t="str">
        <f t="shared" si="16"/>
        <v/>
      </c>
      <c r="G36" s="11" t="str">
        <f t="shared" si="16"/>
        <v/>
      </c>
      <c r="H36" s="11" t="str">
        <f t="shared" si="16"/>
        <v/>
      </c>
      <c r="I36" s="11" t="str">
        <f t="shared" si="16"/>
        <v/>
      </c>
      <c r="J36" s="11" t="str">
        <f t="shared" si="16"/>
        <v/>
      </c>
      <c r="K36" s="11" t="str">
        <f t="shared" si="16"/>
        <v/>
      </c>
      <c r="L36" s="11" t="str">
        <f t="shared" si="16"/>
        <v/>
      </c>
      <c r="M36" s="11" t="str">
        <f t="shared" si="16"/>
        <v/>
      </c>
      <c r="N36" s="6"/>
      <c r="O36" s="11">
        <f t="shared" si="8"/>
        <v>0.31395289561574891</v>
      </c>
      <c r="P36" s="11" t="str">
        <f t="shared" si="8"/>
        <v/>
      </c>
      <c r="Q36" s="11" t="str">
        <f t="shared" si="8"/>
        <v/>
      </c>
      <c r="R36" s="11" t="str">
        <f t="shared" si="8"/>
        <v/>
      </c>
      <c r="S36" s="11" t="str">
        <f t="shared" si="8"/>
        <v/>
      </c>
      <c r="T36" s="11" t="str">
        <f t="shared" si="8"/>
        <v/>
      </c>
      <c r="U36" s="11" t="str">
        <f t="shared" si="8"/>
        <v/>
      </c>
      <c r="V36" s="11" t="str">
        <f t="shared" si="8"/>
        <v/>
      </c>
    </row>
    <row r="37" spans="1:22" x14ac:dyDescent="0.25">
      <c r="A37" s="227"/>
      <c r="B37" s="11" t="str">
        <f t="shared" ref="B37:M37" si="17">IF(B14="","",(B14/$O$23))</f>
        <v/>
      </c>
      <c r="C37" s="11" t="str">
        <f t="shared" si="17"/>
        <v/>
      </c>
      <c r="D37" s="11" t="str">
        <f t="shared" si="17"/>
        <v/>
      </c>
      <c r="E37" s="11" t="str">
        <f t="shared" si="17"/>
        <v/>
      </c>
      <c r="F37" s="11" t="str">
        <f t="shared" si="17"/>
        <v/>
      </c>
      <c r="G37" s="11" t="str">
        <f t="shared" si="17"/>
        <v/>
      </c>
      <c r="H37" s="11" t="str">
        <f t="shared" si="17"/>
        <v/>
      </c>
      <c r="I37" s="11" t="str">
        <f t="shared" si="17"/>
        <v/>
      </c>
      <c r="J37" s="11" t="str">
        <f t="shared" si="17"/>
        <v/>
      </c>
      <c r="K37" s="11" t="str">
        <f t="shared" si="17"/>
        <v/>
      </c>
      <c r="L37" s="11" t="str">
        <f t="shared" si="17"/>
        <v/>
      </c>
      <c r="M37" s="11" t="str">
        <f t="shared" si="17"/>
        <v/>
      </c>
      <c r="N37" s="6"/>
      <c r="O37" s="11">
        <f t="shared" si="8"/>
        <v>5.3930456705465479E-2</v>
      </c>
      <c r="P37" s="11" t="str">
        <f t="shared" si="8"/>
        <v/>
      </c>
      <c r="Q37" s="11" t="str">
        <f t="shared" si="8"/>
        <v/>
      </c>
      <c r="R37" s="11" t="str">
        <f t="shared" si="8"/>
        <v/>
      </c>
      <c r="S37" s="11" t="str">
        <f t="shared" si="8"/>
        <v/>
      </c>
      <c r="T37" s="11" t="str">
        <f t="shared" si="8"/>
        <v/>
      </c>
      <c r="U37" s="11" t="str">
        <f t="shared" si="8"/>
        <v/>
      </c>
      <c r="V37" s="11" t="str">
        <f t="shared" si="8"/>
        <v/>
      </c>
    </row>
    <row r="38" spans="1:22" x14ac:dyDescent="0.25">
      <c r="A38" s="227"/>
      <c r="B38" s="11" t="str">
        <f t="shared" ref="B38:M38" si="18">IF(B15="","",(B15/$O$23))</f>
        <v/>
      </c>
      <c r="C38" s="11" t="str">
        <f t="shared" si="18"/>
        <v/>
      </c>
      <c r="D38" s="11" t="str">
        <f t="shared" si="18"/>
        <v/>
      </c>
      <c r="E38" s="11" t="str">
        <f t="shared" si="18"/>
        <v/>
      </c>
      <c r="F38" s="11" t="str">
        <f t="shared" si="18"/>
        <v/>
      </c>
      <c r="G38" s="11" t="str">
        <f t="shared" si="18"/>
        <v/>
      </c>
      <c r="H38" s="11" t="str">
        <f t="shared" si="18"/>
        <v/>
      </c>
      <c r="I38" s="11" t="str">
        <f t="shared" si="18"/>
        <v/>
      </c>
      <c r="J38" s="11" t="str">
        <f t="shared" si="18"/>
        <v/>
      </c>
      <c r="K38" s="11" t="str">
        <f t="shared" si="18"/>
        <v/>
      </c>
      <c r="L38" s="11" t="str">
        <f t="shared" si="18"/>
        <v/>
      </c>
      <c r="M38" s="11" t="str">
        <f t="shared" si="18"/>
        <v/>
      </c>
      <c r="N38" s="6"/>
      <c r="O38" s="11">
        <f t="shared" si="8"/>
        <v>1.842898587388293</v>
      </c>
      <c r="P38" s="11" t="str">
        <f t="shared" si="8"/>
        <v/>
      </c>
      <c r="Q38" s="11" t="str">
        <f t="shared" si="8"/>
        <v/>
      </c>
      <c r="R38" s="11" t="str">
        <f t="shared" si="8"/>
        <v/>
      </c>
      <c r="S38" s="11" t="str">
        <f t="shared" si="8"/>
        <v/>
      </c>
      <c r="T38" s="11" t="str">
        <f t="shared" si="8"/>
        <v/>
      </c>
      <c r="U38" s="11" t="str">
        <f t="shared" si="8"/>
        <v/>
      </c>
      <c r="V38" s="11" t="str">
        <f t="shared" si="8"/>
        <v/>
      </c>
    </row>
    <row r="39" spans="1:22" x14ac:dyDescent="0.25">
      <c r="A39" s="227"/>
      <c r="B39" s="11" t="str">
        <f t="shared" ref="B39:M39" si="19">IF(B16="","",(B16/$O$23))</f>
        <v/>
      </c>
      <c r="C39" s="11" t="str">
        <f t="shared" si="19"/>
        <v/>
      </c>
      <c r="D39" s="11" t="str">
        <f t="shared" si="19"/>
        <v/>
      </c>
      <c r="E39" s="11" t="str">
        <f t="shared" si="19"/>
        <v/>
      </c>
      <c r="F39" s="11" t="str">
        <f t="shared" si="19"/>
        <v/>
      </c>
      <c r="G39" s="11" t="str">
        <f t="shared" si="19"/>
        <v/>
      </c>
      <c r="H39" s="11" t="str">
        <f t="shared" si="19"/>
        <v/>
      </c>
      <c r="I39" s="11" t="str">
        <f t="shared" si="19"/>
        <v/>
      </c>
      <c r="J39" s="11" t="str">
        <f t="shared" si="19"/>
        <v/>
      </c>
      <c r="K39" s="11" t="str">
        <f t="shared" si="19"/>
        <v/>
      </c>
      <c r="L39" s="11" t="str">
        <f t="shared" si="19"/>
        <v/>
      </c>
      <c r="M39" s="11" t="str">
        <f t="shared" si="19"/>
        <v/>
      </c>
      <c r="N39" s="6"/>
      <c r="O39" s="11">
        <f t="shared" si="8"/>
        <v>0.60768824642948427</v>
      </c>
      <c r="P39" s="11" t="str">
        <f t="shared" si="8"/>
        <v/>
      </c>
      <c r="Q39" s="11" t="str">
        <f t="shared" ref="Q39:V39" si="20">IF(Q16="","",(Q16/$O$23))</f>
        <v/>
      </c>
      <c r="R39" s="11" t="str">
        <f t="shared" si="20"/>
        <v/>
      </c>
      <c r="S39" s="11" t="str">
        <f t="shared" si="20"/>
        <v/>
      </c>
      <c r="T39" s="11" t="str">
        <f t="shared" si="20"/>
        <v/>
      </c>
      <c r="U39" s="11" t="str">
        <f t="shared" si="20"/>
        <v/>
      </c>
      <c r="V39" s="11" t="str">
        <f t="shared" si="20"/>
        <v/>
      </c>
    </row>
    <row r="40" spans="1:22" x14ac:dyDescent="0.25">
      <c r="A40" s="227"/>
      <c r="B40" s="11" t="str">
        <f t="shared" ref="B40:M40" si="21">IF(B17="","",(B17/$O$23))</f>
        <v/>
      </c>
      <c r="C40" s="11" t="str">
        <f t="shared" si="21"/>
        <v/>
      </c>
      <c r="D40" s="11" t="str">
        <f t="shared" si="21"/>
        <v/>
      </c>
      <c r="E40" s="11" t="str">
        <f t="shared" si="21"/>
        <v/>
      </c>
      <c r="F40" s="11" t="str">
        <f t="shared" si="21"/>
        <v/>
      </c>
      <c r="G40" s="11" t="str">
        <f t="shared" si="21"/>
        <v/>
      </c>
      <c r="H40" s="11" t="str">
        <f t="shared" si="21"/>
        <v/>
      </c>
      <c r="I40" s="11" t="str">
        <f t="shared" si="21"/>
        <v/>
      </c>
      <c r="J40" s="11" t="str">
        <f t="shared" si="21"/>
        <v/>
      </c>
      <c r="K40" s="11" t="str">
        <f t="shared" si="21"/>
        <v/>
      </c>
      <c r="L40" s="11" t="str">
        <f t="shared" si="21"/>
        <v/>
      </c>
      <c r="M40" s="11" t="str">
        <f t="shared" si="21"/>
        <v/>
      </c>
      <c r="N40" s="6"/>
      <c r="O40" s="11">
        <f t="shared" ref="O40:V43" si="22">IF(O17="","",(O17/$O$23))</f>
        <v>0.99584944270930364</v>
      </c>
      <c r="P40" s="11" t="str">
        <f t="shared" si="22"/>
        <v/>
      </c>
      <c r="Q40" s="11" t="str">
        <f t="shared" si="22"/>
        <v/>
      </c>
      <c r="R40" s="11" t="str">
        <f t="shared" si="22"/>
        <v/>
      </c>
      <c r="S40" s="11" t="str">
        <f t="shared" si="22"/>
        <v/>
      </c>
      <c r="T40" s="11" t="str">
        <f t="shared" si="22"/>
        <v/>
      </c>
      <c r="U40" s="11" t="str">
        <f t="shared" si="22"/>
        <v/>
      </c>
      <c r="V40" s="11" t="str">
        <f t="shared" si="22"/>
        <v/>
      </c>
    </row>
    <row r="41" spans="1:22" x14ac:dyDescent="0.25">
      <c r="A41" s="227"/>
      <c r="B41" s="11" t="str">
        <f t="shared" ref="B41:M41" si="23">IF(B18="","",(B18/$O$23))</f>
        <v/>
      </c>
      <c r="C41" s="11" t="str">
        <f t="shared" si="23"/>
        <v/>
      </c>
      <c r="D41" s="11" t="str">
        <f t="shared" si="23"/>
        <v/>
      </c>
      <c r="E41" s="11" t="str">
        <f t="shared" si="23"/>
        <v/>
      </c>
      <c r="F41" s="11" t="str">
        <f t="shared" si="23"/>
        <v/>
      </c>
      <c r="G41" s="11" t="str">
        <f t="shared" si="23"/>
        <v/>
      </c>
      <c r="H41" s="11" t="str">
        <f t="shared" si="23"/>
        <v/>
      </c>
      <c r="I41" s="11" t="str">
        <f t="shared" si="23"/>
        <v/>
      </c>
      <c r="J41" s="11" t="str">
        <f t="shared" si="23"/>
        <v/>
      </c>
      <c r="K41" s="11" t="str">
        <f t="shared" si="23"/>
        <v/>
      </c>
      <c r="L41" s="11" t="str">
        <f t="shared" si="23"/>
        <v/>
      </c>
      <c r="M41" s="11" t="str">
        <f t="shared" si="23"/>
        <v/>
      </c>
      <c r="N41" s="6"/>
      <c r="O41" s="11">
        <f t="shared" si="22"/>
        <v>1.5097024981697995</v>
      </c>
      <c r="P41" s="11" t="str">
        <f t="shared" si="22"/>
        <v/>
      </c>
      <c r="Q41" s="11" t="str">
        <f t="shared" si="22"/>
        <v/>
      </c>
      <c r="R41" s="11" t="str">
        <f t="shared" si="22"/>
        <v/>
      </c>
      <c r="S41" s="11" t="str">
        <f t="shared" si="22"/>
        <v/>
      </c>
      <c r="T41" s="11" t="str">
        <f t="shared" si="22"/>
        <v/>
      </c>
      <c r="U41" s="11" t="str">
        <f t="shared" si="22"/>
        <v/>
      </c>
      <c r="V41" s="11" t="str">
        <f t="shared" si="22"/>
        <v/>
      </c>
    </row>
    <row r="42" spans="1:22" x14ac:dyDescent="0.25">
      <c r="A42" s="227"/>
      <c r="B42" s="11" t="str">
        <f t="shared" ref="B42:M42" si="24">IF(B19="","",(B19/$O$23))</f>
        <v/>
      </c>
      <c r="C42" s="11" t="str">
        <f t="shared" si="24"/>
        <v/>
      </c>
      <c r="D42" s="11" t="str">
        <f t="shared" si="24"/>
        <v/>
      </c>
      <c r="E42" s="11" t="str">
        <f t="shared" si="24"/>
        <v/>
      </c>
      <c r="F42" s="11" t="str">
        <f t="shared" si="24"/>
        <v/>
      </c>
      <c r="G42" s="11" t="str">
        <f t="shared" si="24"/>
        <v/>
      </c>
      <c r="H42" s="11" t="str">
        <f t="shared" si="24"/>
        <v/>
      </c>
      <c r="I42" s="11" t="str">
        <f t="shared" si="24"/>
        <v/>
      </c>
      <c r="J42" s="11" t="str">
        <f t="shared" si="24"/>
        <v/>
      </c>
      <c r="K42" s="11" t="str">
        <f t="shared" si="24"/>
        <v/>
      </c>
      <c r="L42" s="11" t="str">
        <f t="shared" si="24"/>
        <v/>
      </c>
      <c r="M42" s="11" t="str">
        <f t="shared" si="24"/>
        <v/>
      </c>
      <c r="N42" s="6"/>
      <c r="O42" s="11">
        <f t="shared" si="22"/>
        <v>1.571056959311065</v>
      </c>
      <c r="P42" s="11" t="str">
        <f t="shared" si="22"/>
        <v/>
      </c>
      <c r="Q42" s="11" t="str">
        <f t="shared" si="22"/>
        <v/>
      </c>
      <c r="R42" s="11" t="str">
        <f t="shared" si="22"/>
        <v/>
      </c>
      <c r="S42" s="11" t="str">
        <f t="shared" si="22"/>
        <v/>
      </c>
      <c r="T42" s="11" t="str">
        <f t="shared" si="22"/>
        <v/>
      </c>
      <c r="U42" s="11" t="str">
        <f t="shared" si="22"/>
        <v/>
      </c>
      <c r="V42" s="11" t="str">
        <f t="shared" si="22"/>
        <v/>
      </c>
    </row>
    <row r="43" spans="1:22" x14ac:dyDescent="0.25">
      <c r="A43" s="227"/>
      <c r="B43" s="11" t="str">
        <f t="shared" ref="B43:M43" si="25">IF(B20="","",(B20/$O$23))</f>
        <v/>
      </c>
      <c r="C43" s="11" t="str">
        <f t="shared" si="25"/>
        <v/>
      </c>
      <c r="D43" s="11" t="str">
        <f t="shared" si="25"/>
        <v/>
      </c>
      <c r="E43" s="11" t="str">
        <f t="shared" si="25"/>
        <v/>
      </c>
      <c r="F43" s="11" t="str">
        <f t="shared" si="25"/>
        <v/>
      </c>
      <c r="G43" s="11" t="str">
        <f t="shared" si="25"/>
        <v/>
      </c>
      <c r="H43" s="11" t="str">
        <f t="shared" si="25"/>
        <v/>
      </c>
      <c r="I43" s="11" t="str">
        <f t="shared" si="25"/>
        <v/>
      </c>
      <c r="J43" s="11" t="str">
        <f t="shared" si="25"/>
        <v/>
      </c>
      <c r="K43" s="11" t="str">
        <f t="shared" si="25"/>
        <v/>
      </c>
      <c r="L43" s="11" t="str">
        <f t="shared" si="25"/>
        <v/>
      </c>
      <c r="M43" s="11" t="str">
        <f t="shared" si="25"/>
        <v/>
      </c>
      <c r="N43" s="6"/>
      <c r="O43" s="11">
        <f t="shared" si="22"/>
        <v>1.2975481635181441</v>
      </c>
      <c r="P43" s="11" t="str">
        <f t="shared" si="22"/>
        <v/>
      </c>
      <c r="Q43" s="11" t="str">
        <f t="shared" si="22"/>
        <v/>
      </c>
      <c r="R43" s="11" t="str">
        <f t="shared" si="22"/>
        <v/>
      </c>
      <c r="S43" s="11" t="str">
        <f t="shared" si="22"/>
        <v/>
      </c>
      <c r="T43" s="11" t="str">
        <f t="shared" si="22"/>
        <v/>
      </c>
      <c r="U43" s="11" t="str">
        <f t="shared" si="22"/>
        <v/>
      </c>
      <c r="V43" s="11" t="str">
        <f t="shared" si="22"/>
        <v/>
      </c>
    </row>
    <row r="44" spans="1:22" x14ac:dyDescent="0.25">
      <c r="A44" s="7"/>
      <c r="B44" s="3"/>
      <c r="C44" s="3"/>
      <c r="D44" s="3"/>
      <c r="E44" s="3"/>
      <c r="F44" s="3"/>
      <c r="G44" s="3"/>
      <c r="H44" s="3"/>
      <c r="I44" s="3"/>
      <c r="J44" s="3"/>
      <c r="K44" s="3"/>
      <c r="L44" s="3"/>
      <c r="M44" s="3"/>
      <c r="N44" s="7"/>
      <c r="O44" s="3"/>
      <c r="P44" s="3"/>
      <c r="Q44" s="3"/>
      <c r="R44" s="3"/>
      <c r="S44" s="3"/>
      <c r="T44" s="3"/>
      <c r="U44" s="3"/>
      <c r="V44" s="3"/>
    </row>
    <row r="45" spans="1:22" x14ac:dyDescent="0.25">
      <c r="A45" s="7" t="str">
        <f>A4</f>
        <v>Noms des groupes</v>
      </c>
      <c r="B45" s="7" t="str">
        <f t="shared" ref="B45:V45" si="26">B4</f>
        <v>Témoin solvant</v>
      </c>
      <c r="C45" s="7" t="str">
        <f t="shared" si="26"/>
        <v>EE2-33,8ng/L</v>
      </c>
      <c r="D45" s="7" t="str">
        <f t="shared" si="26"/>
        <v>EE2-50,6ng/L</v>
      </c>
      <c r="E45" s="7" t="str">
        <f t="shared" si="26"/>
        <v>EE2-76ng/L</v>
      </c>
      <c r="F45" s="7" t="str">
        <f t="shared" si="26"/>
        <v>EE2-114ng/L</v>
      </c>
      <c r="G45" s="7" t="str">
        <f t="shared" si="26"/>
        <v>EE2-170,9ng/L</v>
      </c>
      <c r="H45" s="7" t="str">
        <f t="shared" si="26"/>
        <v>EE2-488ng/L</v>
      </c>
      <c r="I45" s="7" t="str">
        <f t="shared" si="26"/>
        <v>Testosterone 3,7µg/L</v>
      </c>
      <c r="J45" s="7" t="str">
        <f t="shared" si="26"/>
        <v>Testosterone 11µg/L</v>
      </c>
      <c r="K45" s="7" t="str">
        <f t="shared" si="26"/>
        <v>Testosterone 33µg/L</v>
      </c>
      <c r="L45" s="7" t="str">
        <f t="shared" si="26"/>
        <v>Testosterone 100µg/L</v>
      </c>
      <c r="M45" s="7" t="str">
        <f t="shared" si="26"/>
        <v>Testosterone 300µg/L</v>
      </c>
      <c r="N45" s="7"/>
      <c r="O45" s="7" t="str">
        <f t="shared" si="26"/>
        <v>Testo -30µg/L</v>
      </c>
      <c r="P45" s="7" t="str">
        <f t="shared" si="26"/>
        <v>Testo 30µg/L + EE2 -64ng/L</v>
      </c>
      <c r="Q45" s="7" t="str">
        <f t="shared" si="26"/>
        <v>Testo 30µg/L + FAD-10µg/L</v>
      </c>
      <c r="R45" s="7" t="str">
        <f t="shared" si="26"/>
        <v>Testosterone-3,7µg/L + Testostérone</v>
      </c>
      <c r="S45" s="7" t="str">
        <f t="shared" si="26"/>
        <v>Testosterone-11µg/L + Testostérone</v>
      </c>
      <c r="T45" s="7" t="str">
        <f t="shared" si="26"/>
        <v>Testosterone-33µg/L + Testostérone</v>
      </c>
      <c r="U45" s="7" t="str">
        <f t="shared" si="26"/>
        <v>Testosterone-100µg/L + Testostérone</v>
      </c>
      <c r="V45" s="7" t="str">
        <f t="shared" si="26"/>
        <v>Testosterone-300µg/L + Testostérone</v>
      </c>
    </row>
    <row r="46" spans="1:22" x14ac:dyDescent="0.25">
      <c r="A46" s="8" t="s">
        <v>0</v>
      </c>
      <c r="B46" s="10">
        <f t="shared" ref="B46:H46" si="27">AVERAGE(B28:B43)</f>
        <v>5.5647891045661889E-2</v>
      </c>
      <c r="C46" s="10">
        <f t="shared" si="27"/>
        <v>5.6036508713488045E-2</v>
      </c>
      <c r="D46" s="10">
        <f t="shared" si="27"/>
        <v>9.3383986935182753E-2</v>
      </c>
      <c r="E46" s="10">
        <f t="shared" si="27"/>
        <v>0.23225910319856585</v>
      </c>
      <c r="F46" s="10">
        <f t="shared" si="27"/>
        <v>0.58555002992060989</v>
      </c>
      <c r="G46" s="10">
        <f t="shared" si="27"/>
        <v>1.2880874164497143</v>
      </c>
      <c r="H46" s="10">
        <f t="shared" si="27"/>
        <v>2.0158916694462619</v>
      </c>
      <c r="I46" s="10">
        <f>AVERAGE(I28:I43)</f>
        <v>9.0813510129998415E-2</v>
      </c>
      <c r="J46" s="9">
        <f>AVERAGE(J28:J43)</f>
        <v>7.4378663108785409E-2</v>
      </c>
      <c r="K46" s="9">
        <f t="shared" ref="K46:M46" si="28">AVERAGE(K28:K43)</f>
        <v>0.87637685240135332</v>
      </c>
      <c r="L46" s="9">
        <f t="shared" si="28"/>
        <v>0.53047392884526245</v>
      </c>
      <c r="M46" s="9">
        <f t="shared" si="28"/>
        <v>0.75527970231623276</v>
      </c>
      <c r="N46" s="8" t="s">
        <v>0</v>
      </c>
      <c r="O46" s="10">
        <f t="shared" ref="O46:V46" si="29">AVERAGE(O28:O43)</f>
        <v>1</v>
      </c>
      <c r="P46" s="10">
        <f t="shared" si="29"/>
        <v>1.3852249132549852</v>
      </c>
      <c r="Q46" s="10">
        <f t="shared" si="29"/>
        <v>0.10246140117566029</v>
      </c>
      <c r="R46" s="10">
        <f t="shared" si="29"/>
        <v>0.68618044695883462</v>
      </c>
      <c r="S46" s="10">
        <f t="shared" si="29"/>
        <v>0.3463511299594107</v>
      </c>
      <c r="T46" s="10">
        <f t="shared" si="29"/>
        <v>0.86973393863521198</v>
      </c>
      <c r="U46" s="10">
        <f t="shared" si="29"/>
        <v>0.83474773553275106</v>
      </c>
      <c r="V46" s="10">
        <f t="shared" si="29"/>
        <v>0.90479278662675611</v>
      </c>
    </row>
    <row r="47" spans="1:22" x14ac:dyDescent="0.25">
      <c r="A47" s="8" t="s">
        <v>1</v>
      </c>
      <c r="B47" s="8">
        <f t="shared" ref="B47:M47" si="30">STDEV(B28:B43)</f>
        <v>7.3685278825664072E-2</v>
      </c>
      <c r="C47" s="8">
        <f t="shared" si="30"/>
        <v>4.0897603488385344E-2</v>
      </c>
      <c r="D47" s="8">
        <f t="shared" si="30"/>
        <v>5.5198869789971079E-2</v>
      </c>
      <c r="E47" s="8">
        <f t="shared" si="30"/>
        <v>0.11547897892745325</v>
      </c>
      <c r="F47" s="8">
        <f t="shared" si="30"/>
        <v>0.35543161055970818</v>
      </c>
      <c r="G47" s="8">
        <f t="shared" si="30"/>
        <v>0.34289325293335138</v>
      </c>
      <c r="H47" s="8">
        <f t="shared" si="30"/>
        <v>0.93371290963476095</v>
      </c>
      <c r="I47" s="8">
        <f t="shared" si="30"/>
        <v>7.0622064107178223E-2</v>
      </c>
      <c r="J47" s="8">
        <f t="shared" si="30"/>
        <v>9.432272429471758E-2</v>
      </c>
      <c r="K47" s="8">
        <f t="shared" si="30"/>
        <v>0.35725979697094679</v>
      </c>
      <c r="L47" s="8">
        <f t="shared" si="30"/>
        <v>0.56931794826762117</v>
      </c>
      <c r="M47" s="8">
        <f t="shared" si="30"/>
        <v>0.47557459742475816</v>
      </c>
      <c r="N47" s="8" t="s">
        <v>1</v>
      </c>
      <c r="O47" s="8">
        <f t="shared" ref="O47:V47" si="31">STDEV(O28:O43)</f>
        <v>0.51411293499932975</v>
      </c>
      <c r="P47" s="8">
        <f t="shared" si="31"/>
        <v>0.80947560621902637</v>
      </c>
      <c r="Q47" s="8">
        <f t="shared" si="31"/>
        <v>0.10266810178867586</v>
      </c>
      <c r="R47" s="8">
        <f t="shared" si="31"/>
        <v>0.59060772207500012</v>
      </c>
      <c r="S47" s="8">
        <f t="shared" si="31"/>
        <v>0.45993429211683023</v>
      </c>
      <c r="T47" s="8">
        <f t="shared" si="31"/>
        <v>0.30947801278297882</v>
      </c>
      <c r="U47" s="8">
        <f t="shared" si="31"/>
        <v>0.73730929675637757</v>
      </c>
      <c r="V47" s="8">
        <f t="shared" si="31"/>
        <v>0.70536371837234413</v>
      </c>
    </row>
    <row r="48" spans="1:22" x14ac:dyDescent="0.25">
      <c r="A48" s="8" t="s">
        <v>2</v>
      </c>
      <c r="B48" s="8">
        <f t="shared" ref="B48:M48" si="32" xml:space="preserve"> B47/SQRT(COUNT(B28:B43))</f>
        <v>2.6051680165624293E-2</v>
      </c>
      <c r="C48" s="8">
        <f t="shared" si="32"/>
        <v>1.4459486380457938E-2</v>
      </c>
      <c r="D48" s="8">
        <f t="shared" si="32"/>
        <v>1.9515747571160903E-2</v>
      </c>
      <c r="E48" s="8">
        <f t="shared" si="32"/>
        <v>4.3646951413958524E-2</v>
      </c>
      <c r="F48" s="8">
        <f t="shared" si="32"/>
        <v>0.13434052137602098</v>
      </c>
      <c r="G48" s="8">
        <f t="shared" si="32"/>
        <v>0.12123107218614339</v>
      </c>
      <c r="H48" s="8">
        <f t="shared" si="32"/>
        <v>0.33011736504208072</v>
      </c>
      <c r="I48" s="8">
        <f t="shared" si="32"/>
        <v>2.4968670215788399E-2</v>
      </c>
      <c r="J48" s="8">
        <f t="shared" si="32"/>
        <v>3.5650638780847566E-2</v>
      </c>
      <c r="K48" s="8">
        <f t="shared" si="32"/>
        <v>0.12631041254174283</v>
      </c>
      <c r="L48" s="8">
        <f t="shared" si="32"/>
        <v>0.20128429093562347</v>
      </c>
      <c r="M48" s="8">
        <f t="shared" si="32"/>
        <v>0.16814101139955442</v>
      </c>
      <c r="N48" s="8" t="s">
        <v>2</v>
      </c>
      <c r="O48" s="8">
        <f t="shared" ref="O48:V48" si="33" xml:space="preserve"> O47/SQRT(COUNT(O28:O43))</f>
        <v>0.12852823374983244</v>
      </c>
      <c r="P48" s="8">
        <f t="shared" si="33"/>
        <v>0.28619284518128246</v>
      </c>
      <c r="Q48" s="8">
        <f t="shared" si="33"/>
        <v>3.6298655493161705E-2</v>
      </c>
      <c r="R48" s="8">
        <f t="shared" si="33"/>
        <v>0.20881136265018618</v>
      </c>
      <c r="S48" s="8">
        <f t="shared" si="33"/>
        <v>0.16261132842802253</v>
      </c>
      <c r="T48" s="8">
        <f t="shared" si="33"/>
        <v>0.10941700073349067</v>
      </c>
      <c r="U48" s="8">
        <f t="shared" si="33"/>
        <v>0.26067820178415951</v>
      </c>
      <c r="V48" s="8">
        <f t="shared" si="33"/>
        <v>0.24938373423202131</v>
      </c>
    </row>
    <row r="49" spans="1:22" ht="15.75" thickBot="1" x14ac:dyDescent="0.3">
      <c r="A49" s="8"/>
      <c r="B49" s="8"/>
      <c r="C49" s="8"/>
      <c r="D49" s="8"/>
      <c r="E49" s="8"/>
      <c r="F49" s="8"/>
      <c r="G49" s="8"/>
      <c r="H49" s="8"/>
      <c r="I49" s="8"/>
      <c r="J49" s="8"/>
      <c r="K49" s="8"/>
      <c r="L49" s="8"/>
      <c r="M49" s="8"/>
      <c r="N49" s="8"/>
      <c r="O49" s="8"/>
      <c r="P49" s="8"/>
      <c r="Q49" s="8"/>
      <c r="R49" s="8"/>
      <c r="S49" s="8"/>
      <c r="T49" s="8"/>
      <c r="U49" s="8"/>
      <c r="V49" s="8"/>
    </row>
    <row r="50" spans="1:22" ht="27" thickBot="1" x14ac:dyDescent="0.45">
      <c r="A50" s="218" t="s">
        <v>44</v>
      </c>
      <c r="B50" s="219"/>
      <c r="C50" s="219"/>
      <c r="D50" s="219"/>
      <c r="E50" s="219"/>
      <c r="F50" s="219"/>
      <c r="G50" s="219"/>
      <c r="H50" s="219"/>
      <c r="I50" s="219"/>
      <c r="J50" s="219"/>
      <c r="K50" s="219"/>
      <c r="L50" s="219"/>
      <c r="M50" s="219"/>
      <c r="N50" s="219"/>
      <c r="O50" s="219"/>
      <c r="P50" s="219"/>
      <c r="Q50" s="219"/>
      <c r="R50" s="219"/>
      <c r="S50" s="219"/>
      <c r="T50" s="219"/>
      <c r="U50" s="219"/>
      <c r="V50" s="219"/>
    </row>
    <row r="51" spans="1:22" ht="15.75" thickBot="1" x14ac:dyDescent="0.3"/>
    <row r="52" spans="1:22" x14ac:dyDescent="0.25">
      <c r="A52" s="45" t="str">
        <f t="shared" ref="A52:H52" si="34">A27</f>
        <v>Noms des groupes</v>
      </c>
      <c r="B52" s="46" t="str">
        <f t="shared" si="34"/>
        <v>Témoin solvant</v>
      </c>
      <c r="C52" s="46" t="str">
        <f t="shared" si="34"/>
        <v>EE2-33,8ng/L</v>
      </c>
      <c r="D52" s="46" t="str">
        <f t="shared" si="34"/>
        <v>EE2-50,6ng/L</v>
      </c>
      <c r="E52" s="46" t="str">
        <f t="shared" si="34"/>
        <v>EE2-76ng/L</v>
      </c>
      <c r="F52" s="46" t="str">
        <f t="shared" si="34"/>
        <v>EE2-114ng/L</v>
      </c>
      <c r="G52" s="46" t="str">
        <f t="shared" si="34"/>
        <v>EE2-170,9ng/L</v>
      </c>
      <c r="H52" s="46" t="str">
        <f t="shared" si="34"/>
        <v>EE2-488ng/L</v>
      </c>
      <c r="I52" s="46" t="str">
        <f>I4</f>
        <v>Testosterone 3,7µg/L</v>
      </c>
      <c r="J52" s="46" t="str">
        <f>J4</f>
        <v>Testosterone 11µg/L</v>
      </c>
      <c r="K52" s="46" t="str">
        <f t="shared" ref="K52:M52" si="35">K4</f>
        <v>Testosterone 33µg/L</v>
      </c>
      <c r="L52" s="46" t="str">
        <f t="shared" si="35"/>
        <v>Testosterone 100µg/L</v>
      </c>
      <c r="M52" s="46" t="str">
        <f t="shared" si="35"/>
        <v>Testosterone 300µg/L</v>
      </c>
      <c r="N52" s="47"/>
      <c r="O52" s="46" t="str">
        <f>O27</f>
        <v>Testo -30µg/L</v>
      </c>
      <c r="P52" s="46" t="str">
        <f>P27</f>
        <v>Testo 30µg/L + EE2 -64ng/L</v>
      </c>
      <c r="Q52" s="46" t="str">
        <f>Q27</f>
        <v>Testo 30µg/L + FAD-10µg/L</v>
      </c>
      <c r="R52" s="46" t="str">
        <f>R27</f>
        <v>Testosterone-3,7µg/L + Testostérone</v>
      </c>
      <c r="S52" s="46" t="str">
        <f t="shared" ref="S52:V52" si="36">S27</f>
        <v>Testosterone-11µg/L + Testostérone</v>
      </c>
      <c r="T52" s="46" t="str">
        <f t="shared" si="36"/>
        <v>Testosterone-33µg/L + Testostérone</v>
      </c>
      <c r="U52" s="46" t="str">
        <f t="shared" si="36"/>
        <v>Testosterone-100µg/L + Testostérone</v>
      </c>
      <c r="V52" s="46" t="str">
        <f t="shared" si="36"/>
        <v>Testosterone-300µg/L + Testostérone</v>
      </c>
    </row>
    <row r="53" spans="1:22" s="3" customFormat="1" x14ac:dyDescent="0.25">
      <c r="A53" s="61" t="s">
        <v>32</v>
      </c>
      <c r="B53" s="141">
        <f t="shared" ref="B53:V53" si="37">B46</f>
        <v>5.5647891045661889E-2</v>
      </c>
      <c r="C53" s="141">
        <f t="shared" si="37"/>
        <v>5.6036508713488045E-2</v>
      </c>
      <c r="D53" s="141">
        <f t="shared" si="37"/>
        <v>9.3383986935182753E-2</v>
      </c>
      <c r="E53" s="141">
        <f t="shared" si="37"/>
        <v>0.23225910319856585</v>
      </c>
      <c r="F53" s="141">
        <f t="shared" si="37"/>
        <v>0.58555002992060989</v>
      </c>
      <c r="G53" s="141">
        <f t="shared" si="37"/>
        <v>1.2880874164497143</v>
      </c>
      <c r="H53" s="141">
        <f t="shared" si="37"/>
        <v>2.0158916694462619</v>
      </c>
      <c r="I53" s="141">
        <f t="shared" si="37"/>
        <v>9.0813510129998415E-2</v>
      </c>
      <c r="J53" s="141">
        <f t="shared" si="37"/>
        <v>7.4378663108785409E-2</v>
      </c>
      <c r="K53" s="141">
        <f t="shared" si="37"/>
        <v>0.87637685240135332</v>
      </c>
      <c r="L53" s="141">
        <f t="shared" si="37"/>
        <v>0.53047392884526245</v>
      </c>
      <c r="M53" s="141">
        <f t="shared" si="37"/>
        <v>0.75527970231623276</v>
      </c>
      <c r="N53" s="141"/>
      <c r="O53" s="141">
        <f t="shared" si="37"/>
        <v>1</v>
      </c>
      <c r="P53" s="141">
        <f t="shared" si="37"/>
        <v>1.3852249132549852</v>
      </c>
      <c r="Q53" s="141">
        <f t="shared" si="37"/>
        <v>0.10246140117566029</v>
      </c>
      <c r="R53" s="141">
        <f t="shared" si="37"/>
        <v>0.68618044695883462</v>
      </c>
      <c r="S53" s="141">
        <f t="shared" si="37"/>
        <v>0.3463511299594107</v>
      </c>
      <c r="T53" s="141">
        <f t="shared" si="37"/>
        <v>0.86973393863521198</v>
      </c>
      <c r="U53" s="141">
        <f t="shared" si="37"/>
        <v>0.83474773553275106</v>
      </c>
      <c r="V53" s="141">
        <f t="shared" si="37"/>
        <v>0.90479278662675611</v>
      </c>
    </row>
    <row r="54" spans="1:22" s="3" customFormat="1" x14ac:dyDescent="0.25">
      <c r="A54" s="61" t="s">
        <v>2</v>
      </c>
      <c r="B54" s="141">
        <f t="shared" ref="B54:V54" si="38">B48</f>
        <v>2.6051680165624293E-2</v>
      </c>
      <c r="C54" s="141">
        <f t="shared" si="38"/>
        <v>1.4459486380457938E-2</v>
      </c>
      <c r="D54" s="141">
        <f t="shared" si="38"/>
        <v>1.9515747571160903E-2</v>
      </c>
      <c r="E54" s="141">
        <f t="shared" si="38"/>
        <v>4.3646951413958524E-2</v>
      </c>
      <c r="F54" s="141">
        <f t="shared" si="38"/>
        <v>0.13434052137602098</v>
      </c>
      <c r="G54" s="141">
        <f t="shared" si="38"/>
        <v>0.12123107218614339</v>
      </c>
      <c r="H54" s="141">
        <f t="shared" si="38"/>
        <v>0.33011736504208072</v>
      </c>
      <c r="I54" s="141">
        <f t="shared" si="38"/>
        <v>2.4968670215788399E-2</v>
      </c>
      <c r="J54" s="141">
        <f t="shared" si="38"/>
        <v>3.5650638780847566E-2</v>
      </c>
      <c r="K54" s="141">
        <f t="shared" si="38"/>
        <v>0.12631041254174283</v>
      </c>
      <c r="L54" s="141">
        <f t="shared" si="38"/>
        <v>0.20128429093562347</v>
      </c>
      <c r="M54" s="141">
        <f t="shared" si="38"/>
        <v>0.16814101139955442</v>
      </c>
      <c r="N54" s="141"/>
      <c r="O54" s="141">
        <f t="shared" si="38"/>
        <v>0.12852823374983244</v>
      </c>
      <c r="P54" s="141">
        <f t="shared" si="38"/>
        <v>0.28619284518128246</v>
      </c>
      <c r="Q54" s="141">
        <f t="shared" si="38"/>
        <v>3.6298655493161705E-2</v>
      </c>
      <c r="R54" s="141">
        <f t="shared" si="38"/>
        <v>0.20881136265018618</v>
      </c>
      <c r="S54" s="141">
        <f t="shared" si="38"/>
        <v>0.16261132842802253</v>
      </c>
      <c r="T54" s="141">
        <f t="shared" si="38"/>
        <v>0.10941700073349067</v>
      </c>
      <c r="U54" s="141">
        <f t="shared" si="38"/>
        <v>0.26067820178415951</v>
      </c>
      <c r="V54" s="141">
        <f t="shared" si="38"/>
        <v>0.24938373423202131</v>
      </c>
    </row>
    <row r="55" spans="1:22" s="3" customFormat="1" x14ac:dyDescent="0.25">
      <c r="A55" s="61" t="s">
        <v>79</v>
      </c>
      <c r="B55" s="141">
        <f>(B53*100/$B53)-100</f>
        <v>0</v>
      </c>
      <c r="C55" s="141">
        <f t="shared" ref="C55:M55" si="39">(C53*100/$B53)-100</f>
        <v>0.69835111542192863</v>
      </c>
      <c r="D55" s="141">
        <f t="shared" si="39"/>
        <v>67.812265982472724</v>
      </c>
      <c r="E55" s="141">
        <f t="shared" si="39"/>
        <v>317.37269613323815</v>
      </c>
      <c r="F55" s="141">
        <f t="shared" si="39"/>
        <v>952.24118815237171</v>
      </c>
      <c r="G55" s="141">
        <f t="shared" si="39"/>
        <v>2214.7102113766969</v>
      </c>
      <c r="H55" s="141">
        <f t="shared" si="39"/>
        <v>3522.5841295443192</v>
      </c>
      <c r="I55" s="141">
        <f t="shared" si="39"/>
        <v>63.193084991273736</v>
      </c>
      <c r="J55" s="141">
        <f t="shared" si="39"/>
        <v>33.659446406969835</v>
      </c>
      <c r="K55" s="141">
        <f t="shared" si="39"/>
        <v>1474.8608544432386</v>
      </c>
      <c r="L55" s="141">
        <f t="shared" si="39"/>
        <v>853.26870233048362</v>
      </c>
      <c r="M55" s="141">
        <f t="shared" si="39"/>
        <v>1257.2476658576113</v>
      </c>
      <c r="N55" s="141"/>
      <c r="O55" s="141">
        <f>(O53*100/$O53)-100</f>
        <v>0</v>
      </c>
      <c r="P55" s="141">
        <f t="shared" ref="P55:V55" si="40">(P53*100/$O53)-100</f>
        <v>38.522491325498521</v>
      </c>
      <c r="Q55" s="141">
        <f t="shared" si="40"/>
        <v>-89.753859882433972</v>
      </c>
      <c r="R55" s="141">
        <f t="shared" si="40"/>
        <v>-31.381955304116531</v>
      </c>
      <c r="S55" s="141">
        <f t="shared" si="40"/>
        <v>-65.364887004058929</v>
      </c>
      <c r="T55" s="141">
        <f t="shared" si="40"/>
        <v>-13.026606136478804</v>
      </c>
      <c r="U55" s="141">
        <f t="shared" si="40"/>
        <v>-16.525226446724901</v>
      </c>
      <c r="V55" s="141">
        <f t="shared" si="40"/>
        <v>-9.5207213373243889</v>
      </c>
    </row>
    <row r="56" spans="1:22" s="3" customFormat="1" x14ac:dyDescent="0.25">
      <c r="A56" s="61" t="s">
        <v>81</v>
      </c>
      <c r="B56" s="141">
        <f>[1]!SWTEST(B28:B43)</f>
        <v>5.583368543595757E-3</v>
      </c>
      <c r="C56" s="141">
        <f>[1]!SWTEST(C28:C43)</f>
        <v>0.14582180905844888</v>
      </c>
      <c r="D56" s="141">
        <f>[1]!SWTEST(D28:D43)</f>
        <v>0.69198079630103804</v>
      </c>
      <c r="E56" s="141">
        <f>[1]!SWTEST(E28:E43)</f>
        <v>0.64279686749012277</v>
      </c>
      <c r="F56" s="141">
        <f>[1]!SWTEST(F28:F43)</f>
        <v>8.0590017882656295E-2</v>
      </c>
      <c r="G56" s="141">
        <f>[1]!SWTEST(G28:G43)</f>
        <v>0.50336495871988651</v>
      </c>
      <c r="H56" s="141">
        <f>[1]!SWTEST(H28:H43)</f>
        <v>0.58367697440159882</v>
      </c>
      <c r="I56" s="141">
        <f>[1]!SWTEST(I28:I43)</f>
        <v>0.53748920757838659</v>
      </c>
      <c r="J56" s="141">
        <f>[1]!SWTEST(J28:J43)</f>
        <v>4.0164747092870989E-2</v>
      </c>
      <c r="K56" s="141">
        <f>[1]!SWTEST(K28:K43)</f>
        <v>0.25368525593519053</v>
      </c>
      <c r="L56" s="141">
        <f>[1]!SWTEST(L28:L43)</f>
        <v>1.0824363524581049E-2</v>
      </c>
      <c r="M56" s="141">
        <f>[1]!SWTEST(M28:M43)</f>
        <v>8.4617319202757835E-2</v>
      </c>
      <c r="N56" s="141"/>
      <c r="O56" s="141">
        <f>[1]!SWTEST(O28:O43)</f>
        <v>0.72271872222202738</v>
      </c>
      <c r="P56" s="141">
        <f>[1]!SWTEST(P28:P43)</f>
        <v>0.64952194296562116</v>
      </c>
      <c r="Q56" s="141">
        <f>[1]!SWTEST(Q28:Q43)</f>
        <v>0.15274195431778947</v>
      </c>
      <c r="R56" s="141">
        <f>[1]!SWTEST(R28:R43)</f>
        <v>0.54191178022640596</v>
      </c>
      <c r="S56" s="141">
        <f>[1]!SWTEST(S28:S43)</f>
        <v>5.0743496059570958E-3</v>
      </c>
      <c r="T56" s="141">
        <f>[1]!SWTEST(T28:T43)</f>
        <v>0.34043483223149695</v>
      </c>
      <c r="U56" s="141">
        <f>[1]!SWTEST(U28:U43)</f>
        <v>0.17704734696543922</v>
      </c>
      <c r="V56" s="141">
        <f>[1]!SWTEST(V28:V43)</f>
        <v>0.20088710477637606</v>
      </c>
    </row>
    <row r="57" spans="1:22" s="3" customFormat="1" x14ac:dyDescent="0.25">
      <c r="A57" s="61" t="s">
        <v>85</v>
      </c>
      <c r="B57" s="141" t="str">
        <f>IF(B56&gt;0.05,"Oui","Non")</f>
        <v>Non</v>
      </c>
      <c r="C57" s="141" t="str">
        <f t="shared" ref="C57:V57" si="41">IF(C56&gt;0.05,"Oui","Non")</f>
        <v>Oui</v>
      </c>
      <c r="D57" s="141" t="str">
        <f t="shared" si="41"/>
        <v>Oui</v>
      </c>
      <c r="E57" s="141" t="str">
        <f t="shared" si="41"/>
        <v>Oui</v>
      </c>
      <c r="F57" s="141" t="str">
        <f t="shared" si="41"/>
        <v>Oui</v>
      </c>
      <c r="G57" s="141" t="str">
        <f t="shared" si="41"/>
        <v>Oui</v>
      </c>
      <c r="H57" s="141" t="str">
        <f t="shared" si="41"/>
        <v>Oui</v>
      </c>
      <c r="I57" s="141" t="str">
        <f t="shared" si="41"/>
        <v>Oui</v>
      </c>
      <c r="J57" s="141" t="str">
        <f t="shared" si="41"/>
        <v>Non</v>
      </c>
      <c r="K57" s="141" t="str">
        <f t="shared" si="41"/>
        <v>Oui</v>
      </c>
      <c r="L57" s="141" t="str">
        <f t="shared" si="41"/>
        <v>Non</v>
      </c>
      <c r="M57" s="141" t="str">
        <f t="shared" si="41"/>
        <v>Oui</v>
      </c>
      <c r="N57" s="141"/>
      <c r="O57" s="141" t="str">
        <f t="shared" si="41"/>
        <v>Oui</v>
      </c>
      <c r="P57" s="141" t="str">
        <f t="shared" si="41"/>
        <v>Oui</v>
      </c>
      <c r="Q57" s="141" t="str">
        <f t="shared" si="41"/>
        <v>Oui</v>
      </c>
      <c r="R57" s="141" t="str">
        <f t="shared" si="41"/>
        <v>Oui</v>
      </c>
      <c r="S57" s="141" t="str">
        <f t="shared" si="41"/>
        <v>Non</v>
      </c>
      <c r="T57" s="141" t="str">
        <f t="shared" si="41"/>
        <v>Oui</v>
      </c>
      <c r="U57" s="141" t="str">
        <f t="shared" si="41"/>
        <v>Oui</v>
      </c>
      <c r="V57" s="141" t="str">
        <f t="shared" si="41"/>
        <v>Oui</v>
      </c>
    </row>
    <row r="58" spans="1:22" s="3" customFormat="1" x14ac:dyDescent="0.25">
      <c r="A58" s="61"/>
      <c r="B58" s="141"/>
      <c r="C58" s="141"/>
      <c r="D58" s="141"/>
      <c r="E58" s="141"/>
      <c r="F58" s="141"/>
      <c r="G58" s="141"/>
      <c r="H58" s="141"/>
      <c r="I58" s="141"/>
      <c r="J58" s="141"/>
      <c r="K58" s="141"/>
      <c r="L58" s="141"/>
      <c r="M58" s="141"/>
      <c r="N58" s="148"/>
      <c r="O58" s="149"/>
      <c r="P58" s="141"/>
      <c r="Q58" s="141"/>
      <c r="R58" s="141"/>
      <c r="S58" s="141"/>
      <c r="T58" s="141"/>
      <c r="U58" s="141"/>
      <c r="V58" s="141"/>
    </row>
    <row r="59" spans="1:22" s="3" customFormat="1" x14ac:dyDescent="0.25">
      <c r="A59" s="61" t="s">
        <v>82</v>
      </c>
      <c r="B59" s="150"/>
      <c r="C59" s="150" t="s">
        <v>3065</v>
      </c>
      <c r="D59" s="150" t="s">
        <v>3065</v>
      </c>
      <c r="E59" s="150" t="s">
        <v>3065</v>
      </c>
      <c r="F59" s="150" t="s">
        <v>3065</v>
      </c>
      <c r="G59" s="150" t="s">
        <v>3065</v>
      </c>
      <c r="H59" s="150" t="s">
        <v>3065</v>
      </c>
      <c r="I59" s="150" t="s">
        <v>3065</v>
      </c>
      <c r="J59" s="150" t="s">
        <v>3065</v>
      </c>
      <c r="K59" s="150" t="s">
        <v>3065</v>
      </c>
      <c r="L59" s="150" t="s">
        <v>3065</v>
      </c>
      <c r="M59" s="150" t="s">
        <v>3065</v>
      </c>
      <c r="N59" s="150"/>
      <c r="O59" s="150" t="str">
        <f t="shared" ref="O59" si="42">IF($B57="Non",IF(O57="Non","MW",IF(O57="Oui","MW","")),IF($B57="Oui",IF(O57="Oui","T-Test Welch",IF(O57="Non","MW",""))))</f>
        <v>MW</v>
      </c>
      <c r="P59" s="150" t="str">
        <f>IF($O57="Non",IF(P57="Non","MW",IF(P57="Oui","MW","")),IF($O57="Oui",IF(P57="Oui","T-Test Welch",IF(P57="Non","MW",""))))</f>
        <v>T-Test Welch</v>
      </c>
      <c r="Q59" s="150" t="str">
        <f t="shared" ref="Q59" si="43">IF($O57="Non",IF(Q57="Non","MW",IF(Q57="Oui","MW","")),IF($O57="Oui",IF(Q57="Oui","T-Test Welch",IF(Q57="Non","MW",""))))</f>
        <v>T-Test Welch</v>
      </c>
      <c r="R59" s="150" t="s">
        <v>3065</v>
      </c>
      <c r="S59" s="150" t="s">
        <v>3065</v>
      </c>
      <c r="T59" s="150" t="s">
        <v>3065</v>
      </c>
      <c r="U59" s="150" t="s">
        <v>3065</v>
      </c>
      <c r="V59" s="150" t="s">
        <v>3065</v>
      </c>
    </row>
    <row r="60" spans="1:22" s="3" customFormat="1" ht="15.75" x14ac:dyDescent="0.25">
      <c r="A60" s="61" t="s">
        <v>83</v>
      </c>
      <c r="B60" s="151"/>
      <c r="C60" s="196">
        <v>0.99990000000000001</v>
      </c>
      <c r="D60" s="196">
        <v>0.99990000000000001</v>
      </c>
      <c r="E60" s="196">
        <v>0.17949999999999999</v>
      </c>
      <c r="F60" s="196">
        <v>6.0199999999999997E-2</v>
      </c>
      <c r="G60" s="196">
        <v>1E-4</v>
      </c>
      <c r="H60" s="196">
        <v>1E-4</v>
      </c>
      <c r="I60" s="196">
        <v>0.99990000000000001</v>
      </c>
      <c r="J60" s="196">
        <v>0.99990000000000001</v>
      </c>
      <c r="K60" s="196">
        <v>2.9999999999999997E-4</v>
      </c>
      <c r="L60" s="196">
        <v>3.0300000000000001E-2</v>
      </c>
      <c r="M60" s="196">
        <v>1.5E-3</v>
      </c>
      <c r="N60" s="151"/>
      <c r="O60" s="196">
        <v>1E-4</v>
      </c>
      <c r="P60" s="196">
        <v>0.24779999999999999</v>
      </c>
      <c r="Q60" s="196">
        <v>1E-4</v>
      </c>
      <c r="R60" s="196">
        <v>0.99990000000000001</v>
      </c>
      <c r="S60" s="196">
        <v>3.4799999999999998E-2</v>
      </c>
      <c r="T60" s="196">
        <v>0.99990000000000001</v>
      </c>
      <c r="U60" s="196">
        <v>0.99990000000000001</v>
      </c>
      <c r="V60" s="196">
        <v>0.99990000000000001</v>
      </c>
    </row>
    <row r="61" spans="1:22" s="3" customFormat="1" ht="15.75" thickBot="1" x14ac:dyDescent="0.3">
      <c r="A61" s="62" t="s">
        <v>84</v>
      </c>
      <c r="B61" s="142"/>
      <c r="C61" s="142" t="str">
        <f t="shared" ref="C61:O61" si="44">IF(C60&gt;0.05,"NS",IF(C60&gt;0.01,"*",IF(C60&gt;0.001,"**","***")))</f>
        <v>NS</v>
      </c>
      <c r="D61" s="142" t="str">
        <f t="shared" si="44"/>
        <v>NS</v>
      </c>
      <c r="E61" s="142" t="str">
        <f t="shared" si="44"/>
        <v>NS</v>
      </c>
      <c r="F61" s="142" t="str">
        <f t="shared" si="44"/>
        <v>NS</v>
      </c>
      <c r="G61" s="142" t="str">
        <f t="shared" si="44"/>
        <v>***</v>
      </c>
      <c r="H61" s="142" t="str">
        <f t="shared" si="44"/>
        <v>***</v>
      </c>
      <c r="I61" s="142" t="str">
        <f t="shared" si="44"/>
        <v>NS</v>
      </c>
      <c r="J61" s="142" t="str">
        <f t="shared" si="44"/>
        <v>NS</v>
      </c>
      <c r="K61" s="142" t="str">
        <f t="shared" si="44"/>
        <v>***</v>
      </c>
      <c r="L61" s="142" t="str">
        <f t="shared" si="44"/>
        <v>*</v>
      </c>
      <c r="M61" s="142" t="str">
        <f t="shared" si="44"/>
        <v>**</v>
      </c>
      <c r="N61" s="142"/>
      <c r="O61" s="142" t="str">
        <f t="shared" si="44"/>
        <v>***</v>
      </c>
      <c r="P61" s="142" t="str">
        <f>IF(P60&gt;0.05,"NS",IF(P60&gt;0.01,"*",IF(P60&gt;0.001,"**","***")))</f>
        <v>NS</v>
      </c>
      <c r="Q61" s="142" t="str">
        <f t="shared" ref="Q61:V61" si="45">IF(Q60&gt;0.05,"NS",IF(Q60&gt;0.01,"*",IF(Q60&gt;0.001,"**","***")))</f>
        <v>***</v>
      </c>
      <c r="R61" s="142" t="str">
        <f t="shared" si="45"/>
        <v>NS</v>
      </c>
      <c r="S61" s="142" t="str">
        <f t="shared" si="45"/>
        <v>*</v>
      </c>
      <c r="T61" s="142" t="str">
        <f t="shared" si="45"/>
        <v>NS</v>
      </c>
      <c r="U61" s="142" t="str">
        <f t="shared" si="45"/>
        <v>NS</v>
      </c>
      <c r="V61" s="142" t="str">
        <f t="shared" si="45"/>
        <v>NS</v>
      </c>
    </row>
    <row r="63" spans="1:22" x14ac:dyDescent="0.25">
      <c r="A63" s="2" t="s">
        <v>39</v>
      </c>
    </row>
    <row r="64" spans="1:22" x14ac:dyDescent="0.25">
      <c r="A64" s="1" t="s">
        <v>23</v>
      </c>
      <c r="B64" s="1">
        <f>B46+(3*B47)</f>
        <v>0.2767037275226541</v>
      </c>
    </row>
    <row r="65" spans="1:22" x14ac:dyDescent="0.25">
      <c r="A65" s="1" t="s">
        <v>24</v>
      </c>
      <c r="B65" s="1">
        <f>B46+(10*B47)</f>
        <v>0.79250067930230261</v>
      </c>
    </row>
    <row r="66" spans="1:22" ht="15.75" thickBot="1" x14ac:dyDescent="0.3"/>
    <row r="67" spans="1:22" ht="27" thickBot="1" x14ac:dyDescent="0.45">
      <c r="A67" s="218" t="s">
        <v>45</v>
      </c>
      <c r="B67" s="219"/>
      <c r="C67" s="219"/>
      <c r="D67" s="219"/>
      <c r="E67" s="219"/>
      <c r="F67" s="219"/>
      <c r="G67" s="219"/>
      <c r="H67" s="219"/>
      <c r="I67" s="219"/>
      <c r="J67" s="219"/>
      <c r="K67" s="219"/>
      <c r="L67" s="219"/>
      <c r="M67" s="219"/>
      <c r="N67" s="219"/>
      <c r="O67" s="219"/>
      <c r="P67" s="219"/>
      <c r="Q67" s="219"/>
      <c r="R67" s="219"/>
      <c r="S67" s="219"/>
      <c r="T67" s="219"/>
      <c r="U67" s="219"/>
      <c r="V67" s="219"/>
    </row>
    <row r="68" spans="1:22" ht="16.5" x14ac:dyDescent="0.25">
      <c r="A68" s="12"/>
      <c r="B68" s="12"/>
      <c r="C68" s="12"/>
      <c r="D68" s="12"/>
      <c r="E68" s="12"/>
      <c r="F68" s="12"/>
      <c r="N68" s="12"/>
      <c r="O68" s="12"/>
      <c r="P68" s="12"/>
      <c r="Q68" s="12"/>
      <c r="R68" s="12"/>
      <c r="S68" s="12"/>
      <c r="T68" s="12"/>
      <c r="U68" s="12"/>
      <c r="V68" s="12"/>
    </row>
    <row r="69" spans="1:22" ht="16.5" x14ac:dyDescent="0.25">
      <c r="A69" s="12"/>
      <c r="B69" s="12"/>
      <c r="C69" s="12"/>
      <c r="D69" s="196"/>
      <c r="E69" s="12"/>
      <c r="F69" s="12"/>
      <c r="N69" s="12"/>
      <c r="O69" s="12"/>
      <c r="P69" s="12"/>
      <c r="Q69" s="12"/>
      <c r="R69" s="12"/>
      <c r="S69" s="12"/>
      <c r="T69" s="12"/>
      <c r="U69" s="12"/>
      <c r="V69" s="12"/>
    </row>
    <row r="70" spans="1:22" ht="16.5" x14ac:dyDescent="0.25">
      <c r="A70" s="12"/>
      <c r="B70" s="12"/>
      <c r="C70" s="12"/>
      <c r="D70" s="196"/>
      <c r="E70" s="12"/>
      <c r="F70" s="12"/>
      <c r="J70" s="196"/>
      <c r="N70" s="12"/>
      <c r="O70" s="12"/>
      <c r="P70" s="12"/>
      <c r="Q70" s="12"/>
      <c r="R70" s="196"/>
      <c r="S70" s="12"/>
      <c r="T70" s="12"/>
      <c r="U70" s="12"/>
      <c r="V70" s="12"/>
    </row>
    <row r="71" spans="1:22" ht="16.5" x14ac:dyDescent="0.25">
      <c r="A71" s="12"/>
      <c r="B71" s="12"/>
      <c r="C71" s="12"/>
      <c r="D71" s="196"/>
      <c r="E71" s="12"/>
      <c r="F71" s="12"/>
      <c r="J71" s="196"/>
      <c r="N71" s="12"/>
      <c r="O71" s="12"/>
      <c r="P71" s="12"/>
      <c r="Q71" s="12"/>
      <c r="R71" s="196"/>
      <c r="S71" s="12"/>
      <c r="T71" s="12"/>
      <c r="U71" s="12"/>
      <c r="V71" s="12"/>
    </row>
    <row r="72" spans="1:22" ht="16.5" x14ac:dyDescent="0.25">
      <c r="A72" s="12"/>
      <c r="B72" s="12"/>
      <c r="C72" s="12"/>
      <c r="D72" s="196"/>
      <c r="E72" s="12"/>
      <c r="F72" s="12"/>
      <c r="J72" s="196"/>
      <c r="N72" s="12"/>
      <c r="O72" s="12"/>
      <c r="P72" s="12"/>
      <c r="Q72" s="12"/>
      <c r="R72" s="196"/>
      <c r="S72" s="12"/>
      <c r="T72" s="12"/>
      <c r="U72" s="12"/>
      <c r="V72" s="12"/>
    </row>
    <row r="73" spans="1:22" ht="16.5" x14ac:dyDescent="0.25">
      <c r="A73" s="12"/>
      <c r="B73" s="12"/>
      <c r="C73" s="12"/>
      <c r="D73" s="196"/>
      <c r="E73" s="12"/>
      <c r="F73" s="12"/>
      <c r="J73" s="196"/>
      <c r="N73" s="12"/>
      <c r="O73" s="12"/>
      <c r="P73" s="12"/>
      <c r="Q73" s="12"/>
      <c r="R73" s="196"/>
      <c r="S73" s="12"/>
      <c r="T73" s="12"/>
      <c r="U73" s="12"/>
      <c r="V73" s="12"/>
    </row>
    <row r="74" spans="1:22" ht="16.5" x14ac:dyDescent="0.25">
      <c r="A74" s="12"/>
      <c r="B74" s="12"/>
      <c r="C74" s="12"/>
      <c r="D74" s="196"/>
      <c r="E74" s="12"/>
      <c r="F74" s="12"/>
      <c r="J74" s="196"/>
      <c r="N74" s="12"/>
      <c r="O74" s="12"/>
      <c r="P74" s="12"/>
      <c r="Q74" s="12"/>
      <c r="R74" s="196"/>
      <c r="S74" s="12"/>
      <c r="T74" s="12"/>
      <c r="U74" s="12"/>
      <c r="V74" s="12"/>
    </row>
  </sheetData>
  <protectedRanges>
    <protectedRange sqref="O51:V51" name="Plage2"/>
    <protectedRange sqref="R5:V20" name="Plage1"/>
    <protectedRange sqref="B51:J51" name="Plage2_1"/>
    <protectedRange sqref="O5:O20 B5:J20" name="Plage1_1"/>
  </protectedRanges>
  <mergeCells count="9">
    <mergeCell ref="A28:A43"/>
    <mergeCell ref="A50:V50"/>
    <mergeCell ref="A67:V67"/>
    <mergeCell ref="A1:V1"/>
    <mergeCell ref="B3:M3"/>
    <mergeCell ref="O3:V3"/>
    <mergeCell ref="A5:A20"/>
    <mergeCell ref="B26:M26"/>
    <mergeCell ref="O26:V26"/>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103"/>
  <sheetViews>
    <sheetView showGridLines="0" topLeftCell="M60" zoomScaleNormal="100" workbookViewId="0">
      <selection activeCell="P82" sqref="P82"/>
    </sheetView>
  </sheetViews>
  <sheetFormatPr baseColWidth="10" defaultRowHeight="15" x14ac:dyDescent="0.25"/>
  <cols>
    <col min="1" max="1" width="42.85546875" customWidth="1"/>
    <col min="2" max="2" width="14" bestFit="1" customWidth="1"/>
    <col min="3" max="13" width="22.7109375" bestFit="1" customWidth="1"/>
    <col min="14" max="14" width="8.42578125" customWidth="1"/>
    <col min="15" max="15" width="22.7109375" customWidth="1"/>
    <col min="18" max="22" width="29.140625" customWidth="1"/>
  </cols>
  <sheetData>
    <row r="1" spans="1:22" s="1" customFormat="1" ht="21.75" thickBot="1" x14ac:dyDescent="0.3">
      <c r="A1" s="37" t="s">
        <v>8</v>
      </c>
      <c r="B1" s="55" t="e">
        <f>'Page de garde'!#REF!</f>
        <v>#REF!</v>
      </c>
      <c r="C1" s="38"/>
      <c r="D1" s="38"/>
      <c r="E1" s="38"/>
      <c r="F1" s="38"/>
      <c r="G1" s="38"/>
      <c r="H1" s="56"/>
      <c r="I1" s="55"/>
      <c r="J1" s="57"/>
      <c r="K1" s="57"/>
      <c r="L1" s="57"/>
      <c r="M1" s="57"/>
      <c r="N1" s="57"/>
      <c r="O1" s="57"/>
      <c r="P1" s="57"/>
      <c r="Q1" s="57"/>
      <c r="R1" s="57"/>
      <c r="S1" s="57"/>
      <c r="T1" s="57"/>
      <c r="U1" s="57"/>
      <c r="V1" s="57"/>
    </row>
    <row r="2" spans="1:22" ht="15.75" thickBot="1" x14ac:dyDescent="0.3">
      <c r="A2" s="1"/>
      <c r="B2" s="1"/>
      <c r="C2" s="1"/>
      <c r="D2" s="1"/>
      <c r="E2" s="1"/>
      <c r="F2" s="1"/>
      <c r="G2" s="1"/>
      <c r="H2" s="1"/>
      <c r="I2" s="1"/>
      <c r="J2" s="1"/>
      <c r="K2" s="1"/>
      <c r="L2" s="1"/>
      <c r="M2" s="1"/>
    </row>
    <row r="3" spans="1:22" s="33" customFormat="1" ht="15.75" thickBot="1" x14ac:dyDescent="0.3">
      <c r="B3" s="224" t="s">
        <v>6</v>
      </c>
      <c r="C3" s="225"/>
      <c r="D3" s="225"/>
      <c r="E3" s="225"/>
      <c r="F3" s="225"/>
      <c r="G3" s="225"/>
      <c r="H3" s="225"/>
      <c r="I3" s="225"/>
      <c r="J3" s="225"/>
      <c r="K3" s="225"/>
      <c r="L3" s="225"/>
      <c r="M3" s="225"/>
      <c r="N3" s="72"/>
      <c r="O3" s="224" t="s">
        <v>3</v>
      </c>
      <c r="P3" s="225"/>
      <c r="Q3" s="225"/>
      <c r="R3" s="225"/>
      <c r="S3" s="225"/>
      <c r="T3" s="225"/>
      <c r="U3" s="225"/>
      <c r="V3" s="225"/>
    </row>
    <row r="4" spans="1:22" x14ac:dyDescent="0.25">
      <c r="A4" s="34" t="s">
        <v>41</v>
      </c>
      <c r="B4" s="35" t="str">
        <f>'R1'!B4</f>
        <v>Témoin solvant</v>
      </c>
      <c r="C4" s="35" t="str">
        <f>'R1'!C4</f>
        <v>EE2-33,8ng/L</v>
      </c>
      <c r="D4" s="35" t="str">
        <f>'R1'!D4</f>
        <v>EE2-50,6ng/L</v>
      </c>
      <c r="E4" s="35" t="str">
        <f>'R1'!E4</f>
        <v>EE2-76ng/L</v>
      </c>
      <c r="F4" s="35" t="str">
        <f>'R1'!F4</f>
        <v>EE2-114ng/L</v>
      </c>
      <c r="G4" s="35" t="str">
        <f>'R1'!G4</f>
        <v>EE2-170,9ng/L</v>
      </c>
      <c r="H4" s="35" t="str">
        <f>'R1'!H4</f>
        <v>EE2-488ng/L</v>
      </c>
      <c r="I4" s="35" t="str">
        <f>'R1'!I4</f>
        <v>Testosterone 3,7µg/L</v>
      </c>
      <c r="J4" s="35" t="str">
        <f>'R1'!J4</f>
        <v>Testosterone 11µg/L</v>
      </c>
      <c r="K4" s="35" t="str">
        <f>'R1'!K4</f>
        <v>Testosterone 33µg/L</v>
      </c>
      <c r="L4" s="35" t="str">
        <f>'R1'!L4</f>
        <v>Testosterone 100µg/L</v>
      </c>
      <c r="M4" s="35" t="str">
        <f>'R1'!M4</f>
        <v>Testosterone 300µg/L</v>
      </c>
      <c r="O4" s="35" t="str">
        <f>'R1'!O4</f>
        <v>Testo -30µg/L</v>
      </c>
      <c r="P4" s="35" t="str">
        <f>'R1'!P4</f>
        <v>Testo 30µg/L + EE2 -64ng/L</v>
      </c>
      <c r="Q4" s="35" t="str">
        <f>'R1'!Q4</f>
        <v>Testo 30µg/L + FAD-10µg/L</v>
      </c>
      <c r="R4" s="35" t="str">
        <f>'R1'!R4</f>
        <v>Testosterone-3,7µg/L + Testostérone</v>
      </c>
      <c r="S4" s="35" t="str">
        <f>'R1'!S4</f>
        <v>Testosterone-11µg/L + Testostérone</v>
      </c>
      <c r="T4" s="35" t="str">
        <f>'R1'!T4</f>
        <v>Testosterone-33µg/L + Testostérone</v>
      </c>
      <c r="U4" s="35" t="str">
        <f>'R1'!U4</f>
        <v>Testosterone-100µg/L + Testostérone</v>
      </c>
      <c r="V4" s="35" t="str">
        <f>'R1'!V4</f>
        <v>Testosterone-300µg/L + Testostérone</v>
      </c>
    </row>
    <row r="5" spans="1:22" s="1" customFormat="1" x14ac:dyDescent="0.25">
      <c r="A5" s="34"/>
      <c r="B5" s="35"/>
      <c r="C5" s="194" t="s">
        <v>164</v>
      </c>
      <c r="D5" s="35"/>
      <c r="E5" s="35"/>
      <c r="F5" s="35"/>
      <c r="G5" s="35"/>
      <c r="H5" s="35"/>
      <c r="I5" s="35"/>
      <c r="J5" s="35"/>
      <c r="K5" s="35"/>
      <c r="L5" s="35"/>
      <c r="M5" s="35"/>
      <c r="O5" s="35"/>
      <c r="P5" s="35"/>
      <c r="Q5" s="35"/>
      <c r="R5" s="35"/>
      <c r="S5" s="35"/>
      <c r="T5" s="35"/>
      <c r="U5" s="35"/>
      <c r="V5" s="35"/>
    </row>
    <row r="6" spans="1:22" s="1" customFormat="1" x14ac:dyDescent="0.25">
      <c r="A6" s="71" t="s">
        <v>4</v>
      </c>
      <c r="B6" s="53">
        <f>'R1'!B28</f>
        <v>3.2563764493724057E-2</v>
      </c>
      <c r="C6" s="53">
        <f>'R1'!C28</f>
        <v>5.5769388801007035E-2</v>
      </c>
      <c r="D6" s="53">
        <f>'R1'!D28</f>
        <v>2.8995902518715384E-2</v>
      </c>
      <c r="E6" s="53">
        <f>'R1'!E28</f>
        <v>0.38113728165386912</v>
      </c>
      <c r="F6" s="53">
        <f>'R1'!F28</f>
        <v>0.6117874676362115</v>
      </c>
      <c r="G6" s="53">
        <f>'R1'!G28</f>
        <v>1.5072669992201615</v>
      </c>
      <c r="H6" s="53">
        <f>'R1'!H28</f>
        <v>3.5946008938793286</v>
      </c>
      <c r="I6" s="53">
        <f>'R1'!I28</f>
        <v>0.14973253169295969</v>
      </c>
      <c r="J6" s="53">
        <f>'R1'!J28</f>
        <v>0.21267497409170524</v>
      </c>
      <c r="K6" s="53">
        <f>'R1'!K28</f>
        <v>0.17279491432875443</v>
      </c>
      <c r="L6" s="53">
        <f>'R1'!L28</f>
        <v>1.4687524311377009</v>
      </c>
      <c r="M6" s="53">
        <f>'R1'!M28</f>
        <v>0.53847298656418774</v>
      </c>
      <c r="N6"/>
      <c r="O6" s="53">
        <f>'R1'!O28</f>
        <v>1.5666347135141907</v>
      </c>
      <c r="P6" s="53">
        <f>'R1'!P28</f>
        <v>2.261182010148258</v>
      </c>
      <c r="Q6" s="53">
        <f>'R1'!Q28</f>
        <v>8.9992389053061075E-2</v>
      </c>
      <c r="R6" s="53">
        <f>'R1'!R28</f>
        <v>1.9620942682121378</v>
      </c>
      <c r="S6" s="53">
        <f>'R1'!S28</f>
        <v>2.1641649390359694</v>
      </c>
      <c r="T6" s="53">
        <f>'R1'!T28</f>
        <v>1.5132279047008819</v>
      </c>
      <c r="U6" s="53">
        <f>'R1'!U28</f>
        <v>1.1486147928594224</v>
      </c>
      <c r="V6" s="53">
        <f>'R1'!V28</f>
        <v>1.8049121436283844</v>
      </c>
    </row>
    <row r="7" spans="1:22" s="1" customFormat="1" x14ac:dyDescent="0.25">
      <c r="A7" s="228" t="s">
        <v>34</v>
      </c>
      <c r="B7" s="53">
        <f>'R1'!B29</f>
        <v>0.22525261882177805</v>
      </c>
      <c r="C7" s="53">
        <f>'R1'!C29</f>
        <v>0.16741565684741064</v>
      </c>
      <c r="D7" s="53">
        <f>'R1'!D29</f>
        <v>8.6807136236936713E-2</v>
      </c>
      <c r="E7" s="53">
        <f>'R1'!E29</f>
        <v>0.11412344137129238</v>
      </c>
      <c r="F7" s="53">
        <f>'R1'!F29</f>
        <v>0.9839389585284779</v>
      </c>
      <c r="G7" s="53">
        <f>'R1'!G29</f>
        <v>1.7794736855085698</v>
      </c>
      <c r="H7" s="53">
        <f>'R1'!H29</f>
        <v>2.6806887241083523</v>
      </c>
      <c r="I7" s="53">
        <f>'R1'!I29</f>
        <v>0.13235625150751501</v>
      </c>
      <c r="J7" s="53">
        <f>'R1'!J29</f>
        <v>1.8463417389164044E-2</v>
      </c>
      <c r="K7" s="53">
        <f>'R1'!K29</f>
        <v>1.7481969651903995</v>
      </c>
      <c r="L7" s="53">
        <f>'R1'!L29</f>
        <v>1.671099641254588</v>
      </c>
      <c r="M7" s="53">
        <f>'R1'!M29</f>
        <v>1.8849285986633737</v>
      </c>
      <c r="N7"/>
      <c r="O7" s="53">
        <f>'R1'!O29</f>
        <v>4.6269664284731296E-2</v>
      </c>
      <c r="P7" s="53">
        <f>'R1'!P29</f>
        <v>2.5411369265092292</v>
      </c>
      <c r="Q7" s="53">
        <f>'R1'!Q29</f>
        <v>5.1580260468998093E-2</v>
      </c>
      <c r="R7" s="53">
        <f>'R1'!R29</f>
        <v>0.75791812238974854</v>
      </c>
      <c r="S7" s="53">
        <f>'R1'!S29</f>
        <v>2.0065015540044282</v>
      </c>
      <c r="T7" s="53">
        <f>'R1'!T29</f>
        <v>1.5407831827174781</v>
      </c>
      <c r="U7" s="53">
        <f>'R1'!U29</f>
        <v>1.7547008473652459</v>
      </c>
      <c r="V7" s="53">
        <f>'R1'!V29</f>
        <v>2.2134680909939757</v>
      </c>
    </row>
    <row r="8" spans="1:22" s="1" customFormat="1" x14ac:dyDescent="0.25">
      <c r="A8" s="229"/>
      <c r="B8" s="53">
        <f>'R1'!B30</f>
        <v>0.14198572219895697</v>
      </c>
      <c r="C8" s="53">
        <f>'R1'!C30</f>
        <v>0.21340199463041035</v>
      </c>
      <c r="D8" s="53">
        <f>'R1'!D30</f>
        <v>8.7073257953883473E-2</v>
      </c>
      <c r="E8" s="53">
        <f>'R1'!E30</f>
        <v>0.18020338936233285</v>
      </c>
      <c r="F8" s="53">
        <f>'R1'!F30</f>
        <v>0.48559873686889687</v>
      </c>
      <c r="G8" s="53">
        <f>'R1'!G30</f>
        <v>1.6328786594079048</v>
      </c>
      <c r="H8" s="53">
        <f>'R1'!H30</f>
        <v>3.3538516570703623</v>
      </c>
      <c r="I8" s="53">
        <f>'R1'!I30</f>
        <v>3.5793686613464028E-2</v>
      </c>
      <c r="J8" s="53">
        <f>'R1'!J30</f>
        <v>7.9661310394935639E-2</v>
      </c>
      <c r="K8" s="53">
        <f>'R1'!K30</f>
        <v>1.7257081016877756</v>
      </c>
      <c r="L8" s="53">
        <f>'R1'!L30</f>
        <v>1.6628135643549216</v>
      </c>
      <c r="M8" s="53">
        <f>'R1'!M30</f>
        <v>1.1499430338132224</v>
      </c>
      <c r="N8"/>
      <c r="O8" s="53">
        <f>'R1'!O30</f>
        <v>1.3190438125171715</v>
      </c>
      <c r="P8" s="53">
        <f>'R1'!P30</f>
        <v>1.3055375829349054</v>
      </c>
      <c r="Q8" s="53">
        <f>'R1'!Q30</f>
        <v>4.654446731510159E-2</v>
      </c>
      <c r="R8" s="53">
        <f>'R1'!R30</f>
        <v>1.1417865452466602</v>
      </c>
      <c r="S8" s="53">
        <f>'R1'!S30</f>
        <v>0.65407130416510673</v>
      </c>
      <c r="T8" s="53">
        <f>'R1'!T30</f>
        <v>0.86740163849925733</v>
      </c>
      <c r="U8" s="53">
        <f>'R1'!U30</f>
        <v>0.17669558629200879</v>
      </c>
      <c r="V8" s="53">
        <f>'R1'!V30</f>
        <v>2.1259748942334871</v>
      </c>
    </row>
    <row r="9" spans="1:22" s="1" customFormat="1" x14ac:dyDescent="0.25">
      <c r="A9" s="229"/>
      <c r="B9" s="53">
        <f>'R1'!B31</f>
        <v>5.0187462111739353E-3</v>
      </c>
      <c r="C9" s="53">
        <f>'R1'!C31</f>
        <v>5.1358334529480208E-2</v>
      </c>
      <c r="D9" s="53">
        <f>'R1'!D31</f>
        <v>2.8064002983214976E-2</v>
      </c>
      <c r="E9" s="53">
        <f>'R1'!E31</f>
        <v>0.1034882010592189</v>
      </c>
      <c r="F9" s="53">
        <f>'R1'!F31</f>
        <v>1.046109790005934</v>
      </c>
      <c r="G9" s="53">
        <f>'R1'!G31</f>
        <v>0.29002847569454204</v>
      </c>
      <c r="H9" s="53">
        <f>'R1'!H31</f>
        <v>2.9378800528573605</v>
      </c>
      <c r="I9" s="53">
        <f>'R1'!I31</f>
        <v>0.10263822155402416</v>
      </c>
      <c r="J9" s="53">
        <f>'R1'!J31</f>
        <v>3.9064253064232349E-2</v>
      </c>
      <c r="K9" s="53">
        <f>'R1'!K31</f>
        <v>1.3152164581918304</v>
      </c>
      <c r="L9" s="53">
        <f>'R1'!L31</f>
        <v>0.69340523039268642</v>
      </c>
      <c r="M9" s="53">
        <f>'R1'!M31</f>
        <v>2.2760590191200998</v>
      </c>
      <c r="N9"/>
      <c r="O9" s="53">
        <f>'R1'!O31</f>
        <v>1.8274178962316687</v>
      </c>
      <c r="P9" s="53">
        <f>'R1'!P31</f>
        <v>2.1229002887029971</v>
      </c>
      <c r="Q9" s="53">
        <f>'R1'!Q31</f>
        <v>3.8295956826249922E-2</v>
      </c>
      <c r="R9" s="53">
        <f>'R1'!R31</f>
        <v>0.71356197742562555</v>
      </c>
      <c r="S9" s="53">
        <f>'R1'!S31</f>
        <v>0.86592676226963083</v>
      </c>
      <c r="T9" s="53">
        <f>'R1'!T31</f>
        <v>0.70314913657925671</v>
      </c>
      <c r="U9" s="53">
        <f>'R1'!U31</f>
        <v>1.3619590172950509</v>
      </c>
      <c r="V9" s="53">
        <f>'R1'!V31</f>
        <v>1.5064372234989343</v>
      </c>
    </row>
    <row r="10" spans="1:22" s="1" customFormat="1" x14ac:dyDescent="0.25">
      <c r="A10" s="229"/>
      <c r="B10" s="53">
        <f>'R1'!B32</f>
        <v>6.4798901813851928E-3</v>
      </c>
      <c r="C10" s="53">
        <f>'R1'!C32</f>
        <v>0.15860585998521215</v>
      </c>
      <c r="D10" s="53">
        <f>'R1'!D32</f>
        <v>4.451311889502664E-2</v>
      </c>
      <c r="E10" s="53">
        <f>'R1'!E32</f>
        <v>1.4393944389281932</v>
      </c>
      <c r="F10" s="53">
        <f>'R1'!F32</f>
        <v>0.39168349904283589</v>
      </c>
      <c r="G10" s="53">
        <f>'R1'!G32</f>
        <v>1.6694267521578736</v>
      </c>
      <c r="H10" s="53">
        <f>'R1'!H32</f>
        <v>1.7350937063930474</v>
      </c>
      <c r="I10" s="53">
        <f>'R1'!I32</f>
        <v>7.7364708389256283E-3</v>
      </c>
      <c r="J10" s="53">
        <f>'R1'!J32</f>
        <v>5.3031302547225601E-2</v>
      </c>
      <c r="K10" s="53">
        <f>'R1'!K32</f>
        <v>1.9312375656216041</v>
      </c>
      <c r="L10" s="53">
        <f>'R1'!L32</f>
        <v>1.6826871427281915</v>
      </c>
      <c r="M10" s="53">
        <f>'R1'!M32</f>
        <v>0.80297066653250093</v>
      </c>
      <c r="N10"/>
      <c r="O10" s="53">
        <f>'R1'!O32</f>
        <v>1.180226138349554</v>
      </c>
      <c r="P10" s="53">
        <f>'R1'!P32</f>
        <v>0.53796094691426166</v>
      </c>
      <c r="Q10" s="53" t="str">
        <f>'R1'!Q32</f>
        <v/>
      </c>
      <c r="R10" s="53">
        <f>'R1'!R32</f>
        <v>2.0569005244795777</v>
      </c>
      <c r="S10" s="53">
        <f>'R1'!S32</f>
        <v>2.0949541937402798</v>
      </c>
      <c r="T10" s="53">
        <f>'R1'!T32</f>
        <v>0.37650777396819385</v>
      </c>
      <c r="U10" s="53" t="str">
        <f>'R1'!U32</f>
        <v/>
      </c>
      <c r="V10" s="53">
        <f>'R1'!V32</f>
        <v>1.0016614652774594</v>
      </c>
    </row>
    <row r="11" spans="1:22" s="1" customFormat="1" x14ac:dyDescent="0.25">
      <c r="A11" s="229"/>
      <c r="B11" s="53">
        <f>'R1'!B33</f>
        <v>1.5974721593731301E-2</v>
      </c>
      <c r="C11" s="53">
        <f>'R1'!C33</f>
        <v>6.4117024104949193E-3</v>
      </c>
      <c r="D11" s="53">
        <f>'R1'!D33</f>
        <v>7.7397855222327942E-3</v>
      </c>
      <c r="E11" s="53">
        <f>'R1'!E33</f>
        <v>8.7185957186327129E-2</v>
      </c>
      <c r="F11" s="53">
        <f>'R1'!F33</f>
        <v>0.27593491579865864</v>
      </c>
      <c r="G11" s="53">
        <f>'R1'!G33</f>
        <v>1.3879265620075143</v>
      </c>
      <c r="H11" s="53">
        <f>'R1'!H33</f>
        <v>2.74018634241961</v>
      </c>
      <c r="I11" s="53">
        <f>'R1'!I33</f>
        <v>4.8896945410816024E-2</v>
      </c>
      <c r="J11" s="53">
        <f>'R1'!J33</f>
        <v>1.762204027636172E-2</v>
      </c>
      <c r="K11" s="53">
        <f>'R1'!K33</f>
        <v>4.8237954800938967E-2</v>
      </c>
      <c r="L11" s="53">
        <f>'R1'!L33</f>
        <v>1.1912845532305092</v>
      </c>
      <c r="M11" s="53">
        <f>'R1'!M33</f>
        <v>0.80240038316160611</v>
      </c>
      <c r="N11"/>
      <c r="O11" s="53">
        <f>'R1'!O33</f>
        <v>1.2248791842327618</v>
      </c>
      <c r="P11" s="53">
        <f>'R1'!P33</f>
        <v>2.1505597424806755</v>
      </c>
      <c r="Q11" s="53">
        <f>'R1'!Q33</f>
        <v>9.7687820955802737E-2</v>
      </c>
      <c r="R11" s="53">
        <f>'R1'!R33</f>
        <v>1.2263643201964345</v>
      </c>
      <c r="S11" s="53">
        <f>'R1'!S33</f>
        <v>1.2849300389721918</v>
      </c>
      <c r="T11" s="53">
        <f>'R1'!T33</f>
        <v>1.0227913086241449</v>
      </c>
      <c r="U11" s="53">
        <f>'R1'!U33</f>
        <v>0.96166176123132585</v>
      </c>
      <c r="V11" s="53">
        <f>'R1'!V33</f>
        <v>1.8936446373405982</v>
      </c>
    </row>
    <row r="12" spans="1:22" s="1" customFormat="1" x14ac:dyDescent="0.25">
      <c r="A12" s="229"/>
      <c r="B12" s="53">
        <f>'R1'!B34</f>
        <v>0.11004338190429543</v>
      </c>
      <c r="C12" s="53">
        <f>'R1'!C34</f>
        <v>3.5742230101171828E-2</v>
      </c>
      <c r="D12" s="53">
        <f>'R1'!D34</f>
        <v>4.6035742348482719E-2</v>
      </c>
      <c r="E12" s="53">
        <f>'R1'!E34</f>
        <v>0.31000433572414732</v>
      </c>
      <c r="F12" s="53">
        <f>'R1'!F34</f>
        <v>1.0942145261063372</v>
      </c>
      <c r="G12" s="53">
        <f>'R1'!G34</f>
        <v>1.5424476272638621</v>
      </c>
      <c r="H12" s="53">
        <f>'R1'!H34</f>
        <v>2.4383315502112866</v>
      </c>
      <c r="I12" s="53">
        <f>'R1'!I34</f>
        <v>1.4052520959699468E-2</v>
      </c>
      <c r="J12" s="53">
        <f>'R1'!J34</f>
        <v>4.3330013717461723E-2</v>
      </c>
      <c r="K12" s="53">
        <f>'R1'!K34</f>
        <v>0.56752350243644023</v>
      </c>
      <c r="L12" s="53">
        <f>'R1'!L34</f>
        <v>1.7231100213432062</v>
      </c>
      <c r="M12" s="53">
        <f>'R1'!M34</f>
        <v>0.90656840998291854</v>
      </c>
      <c r="N12"/>
      <c r="O12" s="53">
        <f>'R1'!O34</f>
        <v>0.81439764262880043</v>
      </c>
      <c r="P12" s="53">
        <f>'R1'!P34</f>
        <v>2.886996349409054</v>
      </c>
      <c r="Q12" s="53">
        <f>'R1'!Q34</f>
        <v>5.506272988833167E-2</v>
      </c>
      <c r="R12" s="53">
        <f>'R1'!R34</f>
        <v>1.3606309341833127</v>
      </c>
      <c r="S12" s="53">
        <f>'R1'!S34</f>
        <v>1.886546953327582</v>
      </c>
      <c r="T12" s="53">
        <f>'R1'!T34</f>
        <v>1.0056048335185512</v>
      </c>
      <c r="U12" s="53">
        <f>'R1'!U34</f>
        <v>0.84633666824015474</v>
      </c>
      <c r="V12" s="53">
        <f>'R1'!V34</f>
        <v>1.3281765542387252</v>
      </c>
    </row>
    <row r="13" spans="1:22" s="1" customFormat="1" x14ac:dyDescent="0.25">
      <c r="A13" s="229"/>
      <c r="B13" s="53">
        <f>'R1'!B35</f>
        <v>5.7050434978195598E-3</v>
      </c>
      <c r="C13" s="53">
        <f>'R1'!C35</f>
        <v>9.0649722321284557E-2</v>
      </c>
      <c r="D13" s="53">
        <f>'R1'!D35</f>
        <v>9.067529273536841E-2</v>
      </c>
      <c r="E13" s="53">
        <f>'R1'!E35</f>
        <v>8.6602257240141409E-2</v>
      </c>
      <c r="F13" s="53">
        <f>'R1'!F35</f>
        <v>1.1159247547159017</v>
      </c>
      <c r="G13" s="53" t="str">
        <f>'R1'!G35</f>
        <v/>
      </c>
      <c r="H13" s="53">
        <f>'R1'!H35</f>
        <v>3.3883033704706111</v>
      </c>
      <c r="I13" s="53">
        <f>'R1'!I35</f>
        <v>1.4670314791330328E-2</v>
      </c>
      <c r="J13" s="53">
        <f>'R1'!J35</f>
        <v>1.2393127359307232E-2</v>
      </c>
      <c r="K13" s="53">
        <f>'R1'!K35</f>
        <v>0.47620981748031788</v>
      </c>
      <c r="L13" s="53">
        <f>'R1'!L35</f>
        <v>0.78833776030992286</v>
      </c>
      <c r="M13" s="53">
        <f>'R1'!M35</f>
        <v>1.4610622080230133</v>
      </c>
      <c r="N13"/>
      <c r="O13" s="53">
        <f>'R1'!O35</f>
        <v>0.26267460414937188</v>
      </c>
      <c r="P13" s="53">
        <f>'R1'!P35</f>
        <v>2.3460480836247246</v>
      </c>
      <c r="Q13" s="53">
        <f>'R1'!Q35</f>
        <v>0.15181502094120233</v>
      </c>
      <c r="R13" s="53">
        <f>'R1'!R35</f>
        <v>0.90558852646049537</v>
      </c>
      <c r="S13" s="53">
        <f>'R1'!S35</f>
        <v>1.3050015512915178</v>
      </c>
      <c r="T13" s="53">
        <f>'R1'!T35</f>
        <v>1.6058491533006503</v>
      </c>
      <c r="U13" s="53">
        <f>'R1'!U35</f>
        <v>1.3415136560512948</v>
      </c>
      <c r="V13" s="53">
        <f>'R1'!V35</f>
        <v>0.97010141845755749</v>
      </c>
    </row>
    <row r="14" spans="1:22" s="1" customFormat="1" x14ac:dyDescent="0.25">
      <c r="A14" s="229"/>
      <c r="B14" s="53" t="str">
        <f>'R1'!B36</f>
        <v/>
      </c>
      <c r="C14" s="53" t="str">
        <f>'R1'!C36</f>
        <v/>
      </c>
      <c r="D14" s="53" t="str">
        <f>'R1'!D36</f>
        <v/>
      </c>
      <c r="E14" s="53" t="str">
        <f>'R1'!E36</f>
        <v/>
      </c>
      <c r="F14" s="53" t="str">
        <f>'R1'!F36</f>
        <v/>
      </c>
      <c r="G14" s="53" t="str">
        <f>'R1'!G36</f>
        <v/>
      </c>
      <c r="H14" s="53" t="str">
        <f>'R1'!H36</f>
        <v/>
      </c>
      <c r="I14" s="53" t="str">
        <f>'R1'!I36</f>
        <v/>
      </c>
      <c r="J14" s="53" t="str">
        <f>'R1'!J36</f>
        <v/>
      </c>
      <c r="K14" s="53" t="str">
        <f>'R1'!K36</f>
        <v/>
      </c>
      <c r="L14" s="53" t="str">
        <f>'R1'!L36</f>
        <v/>
      </c>
      <c r="M14" s="53" t="str">
        <f>'R1'!M36</f>
        <v/>
      </c>
      <c r="N14"/>
      <c r="O14" s="53">
        <f>'R1'!O36</f>
        <v>2.1570806715982447</v>
      </c>
      <c r="P14" s="53" t="str">
        <f>'R1'!P36</f>
        <v/>
      </c>
      <c r="Q14" s="53" t="str">
        <f>'R1'!Q36</f>
        <v/>
      </c>
      <c r="R14" s="53" t="str">
        <f>'R1'!R36</f>
        <v/>
      </c>
      <c r="S14" s="53" t="str">
        <f>'R1'!S36</f>
        <v/>
      </c>
      <c r="T14" s="53" t="str">
        <f>'R1'!T36</f>
        <v/>
      </c>
      <c r="U14" s="53" t="str">
        <f>'R1'!U36</f>
        <v/>
      </c>
      <c r="V14" s="53" t="str">
        <f>'R1'!V36</f>
        <v/>
      </c>
    </row>
    <row r="15" spans="1:22" s="1" customFormat="1" x14ac:dyDescent="0.25">
      <c r="A15" s="229"/>
      <c r="B15" s="53" t="str">
        <f>'R1'!B37</f>
        <v/>
      </c>
      <c r="C15" s="53" t="str">
        <f>'R1'!C37</f>
        <v/>
      </c>
      <c r="D15" s="53" t="str">
        <f>'R1'!D37</f>
        <v/>
      </c>
      <c r="E15" s="53" t="str">
        <f>'R1'!E37</f>
        <v/>
      </c>
      <c r="F15" s="53" t="str">
        <f>'R1'!F37</f>
        <v/>
      </c>
      <c r="G15" s="53" t="str">
        <f>'R1'!G37</f>
        <v/>
      </c>
      <c r="H15" s="53" t="str">
        <f>'R1'!H37</f>
        <v/>
      </c>
      <c r="I15" s="53" t="str">
        <f>'R1'!I37</f>
        <v/>
      </c>
      <c r="J15" s="53" t="str">
        <f>'R1'!J37</f>
        <v/>
      </c>
      <c r="K15" s="53" t="str">
        <f>'R1'!K37</f>
        <v/>
      </c>
      <c r="L15" s="53" t="str">
        <f>'R1'!L37</f>
        <v/>
      </c>
      <c r="M15" s="53" t="str">
        <f>'R1'!M37</f>
        <v/>
      </c>
      <c r="N15"/>
      <c r="O15" s="53">
        <f>'R1'!O37</f>
        <v>0.41318537613023548</v>
      </c>
      <c r="P15" s="53" t="str">
        <f>'R1'!P37</f>
        <v/>
      </c>
      <c r="Q15" s="53" t="str">
        <f>'R1'!Q37</f>
        <v/>
      </c>
      <c r="R15" s="53" t="str">
        <f>'R1'!R37</f>
        <v/>
      </c>
      <c r="S15" s="53" t="str">
        <f>'R1'!S37</f>
        <v/>
      </c>
      <c r="T15" s="53" t="str">
        <f>'R1'!T37</f>
        <v/>
      </c>
      <c r="U15" s="53" t="str">
        <f>'R1'!U37</f>
        <v/>
      </c>
      <c r="V15" s="53" t="str">
        <f>'R1'!V37</f>
        <v/>
      </c>
    </row>
    <row r="16" spans="1:22" s="1" customFormat="1" x14ac:dyDescent="0.25">
      <c r="A16" s="229"/>
      <c r="B16" s="53" t="str">
        <f>'R1'!B38</f>
        <v/>
      </c>
      <c r="C16" s="53" t="str">
        <f>'R1'!C38</f>
        <v/>
      </c>
      <c r="D16" s="53" t="str">
        <f>'R1'!D38</f>
        <v/>
      </c>
      <c r="E16" s="53" t="str">
        <f>'R1'!E38</f>
        <v/>
      </c>
      <c r="F16" s="53" t="str">
        <f>'R1'!F38</f>
        <v/>
      </c>
      <c r="G16" s="53" t="str">
        <f>'R1'!G38</f>
        <v/>
      </c>
      <c r="H16" s="53" t="str">
        <f>'R1'!H38</f>
        <v/>
      </c>
      <c r="I16" s="53" t="str">
        <f>'R1'!I38</f>
        <v/>
      </c>
      <c r="J16" s="53" t="str">
        <f>'R1'!J38</f>
        <v/>
      </c>
      <c r="K16" s="53" t="str">
        <f>'R1'!K38</f>
        <v/>
      </c>
      <c r="L16" s="53" t="str">
        <f>'R1'!L38</f>
        <v/>
      </c>
      <c r="M16" s="53" t="str">
        <f>'R1'!M38</f>
        <v/>
      </c>
      <c r="N16"/>
      <c r="O16" s="53">
        <f>'R1'!O38</f>
        <v>0.90531893221817916</v>
      </c>
      <c r="P16" s="53" t="str">
        <f>'R1'!P38</f>
        <v/>
      </c>
      <c r="Q16" s="53" t="str">
        <f>'R1'!Q38</f>
        <v/>
      </c>
      <c r="R16" s="53" t="str">
        <f>'R1'!R38</f>
        <v/>
      </c>
      <c r="S16" s="53" t="str">
        <f>'R1'!S38</f>
        <v/>
      </c>
      <c r="T16" s="53" t="str">
        <f>'R1'!T38</f>
        <v/>
      </c>
      <c r="U16" s="53" t="str">
        <f>'R1'!U38</f>
        <v/>
      </c>
      <c r="V16" s="53" t="str">
        <f>'R1'!V38</f>
        <v/>
      </c>
    </row>
    <row r="17" spans="1:22" s="1" customFormat="1" x14ac:dyDescent="0.25">
      <c r="A17" s="229"/>
      <c r="B17" s="53" t="str">
        <f>'R1'!B39</f>
        <v/>
      </c>
      <c r="C17" s="53" t="str">
        <f>'R1'!C39</f>
        <v/>
      </c>
      <c r="D17" s="53" t="str">
        <f>'R1'!D39</f>
        <v/>
      </c>
      <c r="E17" s="53" t="str">
        <f>'R1'!E39</f>
        <v/>
      </c>
      <c r="F17" s="53" t="str">
        <f>'R1'!F39</f>
        <v/>
      </c>
      <c r="G17" s="53" t="str">
        <f>'R1'!G39</f>
        <v/>
      </c>
      <c r="H17" s="53" t="str">
        <f>'R1'!H39</f>
        <v/>
      </c>
      <c r="I17" s="53" t="str">
        <f>'R1'!I39</f>
        <v/>
      </c>
      <c r="J17" s="53" t="str">
        <f>'R1'!J39</f>
        <v/>
      </c>
      <c r="K17" s="53" t="str">
        <f>'R1'!K39</f>
        <v/>
      </c>
      <c r="L17" s="53" t="str">
        <f>'R1'!L39</f>
        <v/>
      </c>
      <c r="M17" s="53" t="str">
        <f>'R1'!M39</f>
        <v/>
      </c>
      <c r="N17"/>
      <c r="O17" s="53">
        <f>'R1'!O39</f>
        <v>1.7680058283181486</v>
      </c>
      <c r="P17" s="53" t="str">
        <f>'R1'!P39</f>
        <v/>
      </c>
      <c r="Q17" s="53" t="str">
        <f>'R1'!Q39</f>
        <v/>
      </c>
      <c r="R17" s="53" t="str">
        <f>'R1'!R39</f>
        <v/>
      </c>
      <c r="S17" s="53" t="str">
        <f>'R1'!S39</f>
        <v/>
      </c>
      <c r="T17" s="53" t="str">
        <f>'R1'!T39</f>
        <v/>
      </c>
      <c r="U17" s="53" t="str">
        <f>'R1'!U39</f>
        <v/>
      </c>
      <c r="V17" s="53" t="str">
        <f>'R1'!V39</f>
        <v/>
      </c>
    </row>
    <row r="18" spans="1:22" s="1" customFormat="1" x14ac:dyDescent="0.25">
      <c r="A18" s="229"/>
      <c r="B18" s="53" t="str">
        <f>'R1'!B40</f>
        <v/>
      </c>
      <c r="C18" s="53" t="str">
        <f>'R1'!C40</f>
        <v/>
      </c>
      <c r="D18" s="53" t="str">
        <f>'R1'!D40</f>
        <v/>
      </c>
      <c r="E18" s="53" t="str">
        <f>'R1'!E40</f>
        <v/>
      </c>
      <c r="F18" s="53" t="str">
        <f>'R1'!F40</f>
        <v/>
      </c>
      <c r="G18" s="53" t="str">
        <f>'R1'!G40</f>
        <v/>
      </c>
      <c r="H18" s="53" t="str">
        <f>'R1'!H40</f>
        <v/>
      </c>
      <c r="I18" s="53" t="str">
        <f>'R1'!I40</f>
        <v/>
      </c>
      <c r="J18" s="53" t="str">
        <f>'R1'!J40</f>
        <v/>
      </c>
      <c r="K18" s="53" t="str">
        <f>'R1'!K40</f>
        <v/>
      </c>
      <c r="L18" s="53" t="str">
        <f>'R1'!L40</f>
        <v/>
      </c>
      <c r="M18" s="53" t="str">
        <f>'R1'!M40</f>
        <v/>
      </c>
      <c r="N18"/>
      <c r="O18" s="53">
        <f>'R1'!O40</f>
        <v>1.1393040052916551E-2</v>
      </c>
      <c r="P18" s="53" t="str">
        <f>'R1'!P40</f>
        <v/>
      </c>
      <c r="Q18" s="53" t="str">
        <f>'R1'!Q40</f>
        <v/>
      </c>
      <c r="R18" s="53" t="str">
        <f>'R1'!R40</f>
        <v/>
      </c>
      <c r="S18" s="53" t="str">
        <f>'R1'!S40</f>
        <v/>
      </c>
      <c r="T18" s="53" t="str">
        <f>'R1'!T40</f>
        <v/>
      </c>
      <c r="U18" s="53" t="str">
        <f>'R1'!U40</f>
        <v/>
      </c>
      <c r="V18" s="53" t="str">
        <f>'R1'!V40</f>
        <v/>
      </c>
    </row>
    <row r="19" spans="1:22" s="1" customFormat="1" x14ac:dyDescent="0.25">
      <c r="A19" s="229"/>
      <c r="B19" s="53" t="str">
        <f>'R1'!B41</f>
        <v/>
      </c>
      <c r="C19" s="53" t="str">
        <f>'R1'!C41</f>
        <v/>
      </c>
      <c r="D19" s="53" t="str">
        <f>'R1'!D41</f>
        <v/>
      </c>
      <c r="E19" s="53" t="str">
        <f>'R1'!E41</f>
        <v/>
      </c>
      <c r="F19" s="53" t="str">
        <f>'R1'!F41</f>
        <v/>
      </c>
      <c r="G19" s="53" t="str">
        <f>'R1'!G41</f>
        <v/>
      </c>
      <c r="H19" s="53" t="str">
        <f>'R1'!H41</f>
        <v/>
      </c>
      <c r="I19" s="53" t="str">
        <f>'R1'!I41</f>
        <v/>
      </c>
      <c r="J19" s="53" t="str">
        <f>'R1'!J41</f>
        <v/>
      </c>
      <c r="K19" s="53" t="str">
        <f>'R1'!K41</f>
        <v/>
      </c>
      <c r="L19" s="53" t="str">
        <f>'R1'!L41</f>
        <v/>
      </c>
      <c r="M19" s="53" t="str">
        <f>'R1'!M41</f>
        <v/>
      </c>
      <c r="N19"/>
      <c r="O19" s="53">
        <f>'R1'!O41</f>
        <v>0.75048897004601589</v>
      </c>
      <c r="P19" s="53" t="str">
        <f>'R1'!P41</f>
        <v/>
      </c>
      <c r="Q19" s="53" t="str">
        <f>'R1'!Q41</f>
        <v/>
      </c>
      <c r="R19" s="53" t="str">
        <f>'R1'!R41</f>
        <v/>
      </c>
      <c r="S19" s="53" t="str">
        <f>'R1'!S41</f>
        <v/>
      </c>
      <c r="T19" s="53" t="str">
        <f>'R1'!T41</f>
        <v/>
      </c>
      <c r="U19" s="53" t="str">
        <f>'R1'!U41</f>
        <v/>
      </c>
      <c r="V19" s="53" t="str">
        <f>'R1'!V41</f>
        <v/>
      </c>
    </row>
    <row r="20" spans="1:22" s="1" customFormat="1" x14ac:dyDescent="0.25">
      <c r="A20" s="229"/>
      <c r="B20" s="53" t="str">
        <f>'R1'!B42</f>
        <v/>
      </c>
      <c r="C20" s="53" t="str">
        <f>'R1'!C42</f>
        <v/>
      </c>
      <c r="D20" s="53" t="str">
        <f>'R1'!D42</f>
        <v/>
      </c>
      <c r="E20" s="53" t="str">
        <f>'R1'!E42</f>
        <v/>
      </c>
      <c r="F20" s="53" t="str">
        <f>'R1'!F42</f>
        <v/>
      </c>
      <c r="G20" s="53" t="str">
        <f>'R1'!G42</f>
        <v/>
      </c>
      <c r="H20" s="53" t="str">
        <f>'R1'!H42</f>
        <v/>
      </c>
      <c r="I20" s="53" t="str">
        <f>'R1'!I42</f>
        <v/>
      </c>
      <c r="J20" s="53" t="str">
        <f>'R1'!J42</f>
        <v/>
      </c>
      <c r="K20" s="53" t="str">
        <f>'R1'!K42</f>
        <v/>
      </c>
      <c r="L20" s="53" t="str">
        <f>'R1'!L42</f>
        <v/>
      </c>
      <c r="M20" s="53" t="str">
        <f>'R1'!M42</f>
        <v/>
      </c>
      <c r="N20"/>
      <c r="O20" s="53">
        <f>'R1'!O42</f>
        <v>1.6202771805264329</v>
      </c>
      <c r="P20" s="53" t="str">
        <f>'R1'!P42</f>
        <v/>
      </c>
      <c r="Q20" s="53" t="str">
        <f>'R1'!Q42</f>
        <v/>
      </c>
      <c r="R20" s="53" t="str">
        <f>'R1'!R42</f>
        <v/>
      </c>
      <c r="S20" s="53" t="str">
        <f>'R1'!S42</f>
        <v/>
      </c>
      <c r="T20" s="53" t="str">
        <f>'R1'!T42</f>
        <v/>
      </c>
      <c r="U20" s="53" t="str">
        <f>'R1'!U42</f>
        <v/>
      </c>
      <c r="V20" s="53" t="str">
        <f>'R1'!V42</f>
        <v/>
      </c>
    </row>
    <row r="21" spans="1:22" s="1" customFormat="1" x14ac:dyDescent="0.25">
      <c r="A21" s="230"/>
      <c r="B21" s="53" t="str">
        <f>'R1'!B43</f>
        <v/>
      </c>
      <c r="C21" s="53" t="str">
        <f>'R1'!C43</f>
        <v/>
      </c>
      <c r="D21" s="53" t="str">
        <f>'R1'!D43</f>
        <v/>
      </c>
      <c r="E21" s="53" t="str">
        <f>'R1'!E43</f>
        <v/>
      </c>
      <c r="F21" s="53" t="str">
        <f>'R1'!F43</f>
        <v/>
      </c>
      <c r="G21" s="53" t="str">
        <f>'R1'!G43</f>
        <v/>
      </c>
      <c r="H21" s="53" t="str">
        <f>'R1'!H43</f>
        <v/>
      </c>
      <c r="I21" s="53" t="str">
        <f>'R1'!I43</f>
        <v/>
      </c>
      <c r="J21" s="53" t="str">
        <f>'R1'!J43</f>
        <v/>
      </c>
      <c r="K21" s="53" t="str">
        <f>'R1'!K43</f>
        <v/>
      </c>
      <c r="L21" s="53" t="str">
        <f>'R1'!L43</f>
        <v/>
      </c>
      <c r="M21" s="53" t="str">
        <f>'R1'!M43</f>
        <v/>
      </c>
      <c r="N21"/>
      <c r="O21" s="53">
        <f>'R1'!O43</f>
        <v>0.13270634520157665</v>
      </c>
      <c r="P21" s="53" t="str">
        <f>'R1'!P43</f>
        <v/>
      </c>
      <c r="Q21" s="53" t="str">
        <f>'R1'!Q43</f>
        <v/>
      </c>
      <c r="R21" s="53" t="str">
        <f>'R1'!R43</f>
        <v/>
      </c>
      <c r="S21" s="53" t="str">
        <f>'R1'!S43</f>
        <v/>
      </c>
      <c r="T21" s="53" t="str">
        <f>'R1'!T43</f>
        <v/>
      </c>
      <c r="U21" s="53" t="str">
        <f>'R1'!U43</f>
        <v/>
      </c>
      <c r="V21" s="53" t="str">
        <f>'R1'!V43</f>
        <v/>
      </c>
    </row>
    <row r="22" spans="1:22" x14ac:dyDescent="0.25">
      <c r="A22" s="39" t="s">
        <v>5</v>
      </c>
      <c r="B22" s="54">
        <f>'R2'!B28</f>
        <v>1.482096157466075E-2</v>
      </c>
      <c r="C22" s="54">
        <f>'R2'!C28</f>
        <v>7.7070027136929037E-2</v>
      </c>
      <c r="D22" s="54">
        <f>'R2'!D28</f>
        <v>0.18516018060452208</v>
      </c>
      <c r="E22" s="54">
        <f>'R2'!E28</f>
        <v>0.28253868867552107</v>
      </c>
      <c r="F22" s="54">
        <f>'R2'!F28</f>
        <v>0.83979984541759711</v>
      </c>
      <c r="G22" s="54">
        <f>'R2'!G28</f>
        <v>1.1705113660589426</v>
      </c>
      <c r="H22" s="54">
        <f>'R2'!H28</f>
        <v>3.2337342071931365</v>
      </c>
      <c r="I22" s="54">
        <f>'R2'!I28</f>
        <v>3.1151347552566367E-2</v>
      </c>
      <c r="J22" s="54">
        <f>'R2'!J28</f>
        <v>5.1019571778369716E-2</v>
      </c>
      <c r="K22" s="54">
        <f>'R2'!K28</f>
        <v>0.74998595552574276</v>
      </c>
      <c r="L22" s="54">
        <f>'R2'!L28</f>
        <v>0.2709425361730316</v>
      </c>
      <c r="M22" s="54">
        <f>'R2'!M28</f>
        <v>1.7721899555365448</v>
      </c>
      <c r="O22" s="54">
        <f>'R2'!O28</f>
        <v>0.80203399740273262</v>
      </c>
      <c r="P22" s="54">
        <f>'R2'!P28</f>
        <v>0.7663414446939254</v>
      </c>
      <c r="Q22" s="54">
        <f>'R2'!Q28</f>
        <v>5.3890844254140285E-2</v>
      </c>
      <c r="R22" s="54">
        <f>'R2'!R28</f>
        <v>0.62974909095072207</v>
      </c>
      <c r="S22" s="54">
        <f>'R2'!S28</f>
        <v>3.4771341695916003E-2</v>
      </c>
      <c r="T22" s="54">
        <f>'R2'!T28</f>
        <v>0.89302830776465636</v>
      </c>
      <c r="U22" s="54">
        <f>'R2'!U28</f>
        <v>0.33667999430537932</v>
      </c>
      <c r="V22" s="54">
        <f>'R2'!V28</f>
        <v>0.16295536283827927</v>
      </c>
    </row>
    <row r="23" spans="1:22" x14ac:dyDescent="0.25">
      <c r="A23" s="228" t="s">
        <v>34</v>
      </c>
      <c r="B23" s="54">
        <f>'R2'!B29</f>
        <v>1.2887635571966111E-2</v>
      </c>
      <c r="C23" s="54">
        <f>'R2'!C29</f>
        <v>0.11965302522539717</v>
      </c>
      <c r="D23" s="54">
        <f>'R2'!D29</f>
        <v>0.21051554383836679</v>
      </c>
      <c r="E23" s="54">
        <f>'R2'!E29</f>
        <v>0.37364805532621426</v>
      </c>
      <c r="F23" s="54">
        <f>'R2'!F29</f>
        <v>0.33516220217204212</v>
      </c>
      <c r="G23" s="54">
        <f>'R2'!G29</f>
        <v>1.3485549823956273</v>
      </c>
      <c r="H23" s="54">
        <f>'R2'!H29</f>
        <v>2.923627271025719</v>
      </c>
      <c r="I23" s="54">
        <f>'R2'!I29</f>
        <v>2.2677499428617159E-2</v>
      </c>
      <c r="J23" s="54">
        <f>'R2'!J29</f>
        <v>3.6643050777021714E-2</v>
      </c>
      <c r="K23" s="54">
        <f>'R2'!K29</f>
        <v>0.98037809132000531</v>
      </c>
      <c r="L23" s="54">
        <f>'R2'!L29</f>
        <v>1.0893729105159888</v>
      </c>
      <c r="M23" s="54">
        <f>'R2'!M29</f>
        <v>0.24572695206686548</v>
      </c>
      <c r="O23" s="54" t="str">
        <f>'R2'!O29</f>
        <v/>
      </c>
      <c r="P23" s="54">
        <f>'R2'!P29</f>
        <v>3.4975972633566945</v>
      </c>
      <c r="Q23" s="54">
        <f>'R2'!Q29</f>
        <v>0.24429131582898017</v>
      </c>
      <c r="R23" s="54">
        <f>'R2'!R29</f>
        <v>0.44622613280903672</v>
      </c>
      <c r="S23" s="54">
        <f>'R2'!S29</f>
        <v>1.161198462817554</v>
      </c>
      <c r="T23" s="54">
        <f>'R2'!T29</f>
        <v>5.1389653659271131E-2</v>
      </c>
      <c r="U23" s="54">
        <f>'R2'!U29</f>
        <v>3.8485662978488197E-2</v>
      </c>
      <c r="V23" s="54">
        <f>'R2'!V29</f>
        <v>0.80905984786934204</v>
      </c>
    </row>
    <row r="24" spans="1:22" x14ac:dyDescent="0.25">
      <c r="A24" s="229"/>
      <c r="B24" s="54">
        <f>'R2'!B30</f>
        <v>9.8560449946539716E-3</v>
      </c>
      <c r="C24" s="54">
        <f>'R2'!C30</f>
        <v>1.70503911172133E-2</v>
      </c>
      <c r="D24" s="54">
        <f>'R2'!D30</f>
        <v>3.6194426338662808E-2</v>
      </c>
      <c r="E24" s="54">
        <f>'R2'!E30</f>
        <v>1.0760246694375772</v>
      </c>
      <c r="F24" s="54">
        <f>'R2'!F30</f>
        <v>1.7249712349769293</v>
      </c>
      <c r="G24" s="54">
        <f>'R2'!G30</f>
        <v>1.7357694103097054</v>
      </c>
      <c r="H24" s="54">
        <f>'R2'!H30</f>
        <v>3.7976840329142383</v>
      </c>
      <c r="I24" s="54">
        <f>'R2'!I30</f>
        <v>7.5375466705391511E-2</v>
      </c>
      <c r="J24" s="54">
        <f>'R2'!J30</f>
        <v>8.2783665384514898E-2</v>
      </c>
      <c r="K24" s="54">
        <f>'R2'!K30</f>
        <v>0.12124479569977786</v>
      </c>
      <c r="L24" s="54">
        <f>'R2'!L30</f>
        <v>0.35300448483708352</v>
      </c>
      <c r="M24" s="54" t="str">
        <f>'R2'!M30</f>
        <v/>
      </c>
      <c r="O24" s="54">
        <f>'R2'!O30</f>
        <v>1.1494685217214293</v>
      </c>
      <c r="P24" s="54">
        <f>'R2'!P30</f>
        <v>1.5567629344853517</v>
      </c>
      <c r="Q24" s="54">
        <f>'R2'!Q30</f>
        <v>0.45153659860671969</v>
      </c>
      <c r="R24" s="54">
        <f>'R2'!R30</f>
        <v>1.622492215063291</v>
      </c>
      <c r="S24" s="54">
        <f>'R2'!S30</f>
        <v>0.34086347900017339</v>
      </c>
      <c r="T24" s="54">
        <f>'R2'!T30</f>
        <v>1.5257470871075758</v>
      </c>
      <c r="U24" s="54">
        <f>'R2'!U30</f>
        <v>0.34484537747001603</v>
      </c>
      <c r="V24" s="54">
        <f>'R2'!V30</f>
        <v>4.8576194591411159E-2</v>
      </c>
    </row>
    <row r="25" spans="1:22" x14ac:dyDescent="0.25">
      <c r="A25" s="229"/>
      <c r="B25" s="54">
        <f>'R2'!B31</f>
        <v>0.23581347401566874</v>
      </c>
      <c r="C25" s="54">
        <f>'R2'!C31</f>
        <v>3.2772024730902356E-2</v>
      </c>
      <c r="D25" s="54">
        <f>'R2'!D31</f>
        <v>3.2389581430546377E-2</v>
      </c>
      <c r="E25" s="54">
        <f>'R2'!E31</f>
        <v>0.79385225912927915</v>
      </c>
      <c r="F25" s="54">
        <f>'R2'!F31</f>
        <v>1.1676709020439664</v>
      </c>
      <c r="G25" s="54">
        <f>'R2'!G31</f>
        <v>2.0190522564363915</v>
      </c>
      <c r="H25" s="54">
        <f>'R2'!H31</f>
        <v>3.4766269710425952</v>
      </c>
      <c r="I25" s="54">
        <f>'R2'!I31</f>
        <v>7.5930874790269498E-2</v>
      </c>
      <c r="J25" s="54">
        <f>'R2'!J31</f>
        <v>3.0435526278304849E-2</v>
      </c>
      <c r="K25" s="54">
        <f>'R2'!K31</f>
        <v>0.30580849027169604</v>
      </c>
      <c r="L25" s="54">
        <f>'R2'!L31</f>
        <v>1.3348201141518135</v>
      </c>
      <c r="M25" s="54">
        <f>'R2'!M31</f>
        <v>1.7932509616518721</v>
      </c>
      <c r="O25" s="54">
        <f>'R2'!O31</f>
        <v>0.96906187742424077</v>
      </c>
      <c r="P25" s="54">
        <f>'R2'!P31</f>
        <v>0.36782316430353729</v>
      </c>
      <c r="Q25" s="54">
        <f>'R2'!Q31</f>
        <v>2.0096530134345047E-2</v>
      </c>
      <c r="R25" s="54">
        <f>'R2'!R31</f>
        <v>2.4409636673539743</v>
      </c>
      <c r="S25" s="54">
        <f>'R2'!S31</f>
        <v>8.5223048882111199E-2</v>
      </c>
      <c r="T25" s="54">
        <f>'R2'!T31</f>
        <v>1.5198939549958375</v>
      </c>
      <c r="U25" s="54">
        <f>'R2'!U31</f>
        <v>0.89652887157850658</v>
      </c>
      <c r="V25" s="54">
        <f>'R2'!V31</f>
        <v>0.28517528435733874</v>
      </c>
    </row>
    <row r="26" spans="1:22" x14ac:dyDescent="0.25">
      <c r="A26" s="229"/>
      <c r="B26" s="54">
        <f>'R2'!B32</f>
        <v>0.18437855854362548</v>
      </c>
      <c r="C26" s="54">
        <f>'R2'!C32</f>
        <v>2.4092596692639467E-2</v>
      </c>
      <c r="D26" s="54">
        <f>'R2'!D32</f>
        <v>0.21814596280414655</v>
      </c>
      <c r="E26" s="54">
        <f>'R2'!E32</f>
        <v>0.12989550720976939</v>
      </c>
      <c r="F26" s="54">
        <f>'R2'!F32</f>
        <v>1.1258554530157852</v>
      </c>
      <c r="G26" s="54">
        <f>'R2'!G32</f>
        <v>2.1219386326649787</v>
      </c>
      <c r="H26" s="54">
        <f>'R2'!H32</f>
        <v>3.5892252390974275</v>
      </c>
      <c r="I26" s="54">
        <f>'R2'!I32</f>
        <v>5.3014514702653281E-2</v>
      </c>
      <c r="J26" s="54">
        <f>'R2'!J32</f>
        <v>0.17007183201827483</v>
      </c>
      <c r="K26" s="54">
        <f>'R2'!K32</f>
        <v>0.34454090620006583</v>
      </c>
      <c r="L26" s="54">
        <f>'R2'!L32</f>
        <v>1.0777894997843218</v>
      </c>
      <c r="M26" s="54">
        <f>'R2'!M32</f>
        <v>1.4457855337845391</v>
      </c>
      <c r="O26" s="54">
        <f>'R2'!O32</f>
        <v>0.17319394622113118</v>
      </c>
      <c r="P26" s="54">
        <f>'R2'!P32</f>
        <v>2.2961300503482516</v>
      </c>
      <c r="Q26" s="54">
        <f>'R2'!Q32</f>
        <v>0.35227839407589057</v>
      </c>
      <c r="R26" s="54">
        <f>'R2'!R32</f>
        <v>0.1245272280041758</v>
      </c>
      <c r="S26" s="54">
        <f>'R2'!S32</f>
        <v>1.289683056628347</v>
      </c>
      <c r="T26" s="54">
        <f>'R2'!T32</f>
        <v>0.2661995546161553</v>
      </c>
      <c r="U26" s="54">
        <f>'R2'!U32</f>
        <v>1.2751213045108647</v>
      </c>
      <c r="V26" s="54">
        <f>'R2'!V32</f>
        <v>0.65135304864363086</v>
      </c>
    </row>
    <row r="27" spans="1:22" x14ac:dyDescent="0.25">
      <c r="A27" s="229"/>
      <c r="B27" s="54">
        <f>'R2'!B33</f>
        <v>2.3191734477927238E-2</v>
      </c>
      <c r="C27" s="54">
        <f>'R2'!C33</f>
        <v>1.4660548385277222E-2</v>
      </c>
      <c r="D27" s="54">
        <f>'R2'!D33</f>
        <v>0.17653400175775583</v>
      </c>
      <c r="E27" s="54">
        <f>'R2'!E33</f>
        <v>0.70124164562974944</v>
      </c>
      <c r="F27" s="54">
        <f>'R2'!F33</f>
        <v>1.1756057922796965</v>
      </c>
      <c r="G27" s="54">
        <f>'R2'!G33</f>
        <v>1.2964333425289618</v>
      </c>
      <c r="H27" s="54">
        <f>'R2'!H33</f>
        <v>2.6495253462157837</v>
      </c>
      <c r="I27" s="54">
        <f>'R2'!I33</f>
        <v>0.12799907528975454</v>
      </c>
      <c r="J27" s="54">
        <f>'R2'!J33</f>
        <v>0.12619335717096783</v>
      </c>
      <c r="K27" s="54">
        <f>'R2'!K33</f>
        <v>0.9554955048363768</v>
      </c>
      <c r="L27" s="54">
        <f>'R2'!L33</f>
        <v>0.23385542517406496</v>
      </c>
      <c r="M27" s="54">
        <f>'R2'!M33</f>
        <v>0.63979854461591912</v>
      </c>
      <c r="O27" s="54">
        <f>'R2'!O33</f>
        <v>1.7179208518470948</v>
      </c>
      <c r="P27" s="54">
        <f>'R2'!P33</f>
        <v>1.9911917089183153</v>
      </c>
      <c r="Q27" s="54">
        <f>'R2'!Q33</f>
        <v>4.3014696890958479E-2</v>
      </c>
      <c r="R27" s="54">
        <f>'R2'!R33</f>
        <v>1.4434243124930324</v>
      </c>
      <c r="S27" s="54">
        <f>'R2'!S33</f>
        <v>0.70326929877166666</v>
      </c>
      <c r="T27" s="54">
        <f>'R2'!T33</f>
        <v>0.54723281257779377</v>
      </c>
      <c r="U27" s="54">
        <f>'R2'!U33</f>
        <v>0.22522943650298258</v>
      </c>
      <c r="V27" s="54">
        <f>'R2'!V33</f>
        <v>1.1759574271192579</v>
      </c>
    </row>
    <row r="28" spans="1:22" x14ac:dyDescent="0.25">
      <c r="A28" s="229"/>
      <c r="B28" s="54">
        <f>'R2'!B34</f>
        <v>1.5417352519422738E-2</v>
      </c>
      <c r="C28" s="54">
        <f>'R2'!C34</f>
        <v>4.3327155539633198E-2</v>
      </c>
      <c r="D28" s="54">
        <f>'R2'!D34</f>
        <v>7.9488871660662389E-2</v>
      </c>
      <c r="E28" s="54">
        <f>'R2'!E34</f>
        <v>0.68450352298552697</v>
      </c>
      <c r="F28" s="54">
        <f>'R2'!F34</f>
        <v>1.498257096909611</v>
      </c>
      <c r="G28" s="54">
        <f>'R2'!G34</f>
        <v>2.6450252190072683</v>
      </c>
      <c r="H28" s="54">
        <f>'R2'!H34</f>
        <v>1.6825449416520084</v>
      </c>
      <c r="I28" s="54">
        <f>'R2'!I34</f>
        <v>0.28903375880831961</v>
      </c>
      <c r="J28" s="54">
        <f>'R2'!J34</f>
        <v>0.10221581676709782</v>
      </c>
      <c r="K28" s="54">
        <f>'R2'!K34</f>
        <v>0.97959038363722328</v>
      </c>
      <c r="L28" s="54">
        <f>'R2'!L34</f>
        <v>0.2307599355669569</v>
      </c>
      <c r="M28" s="54">
        <f>'R2'!M34</f>
        <v>0.73626744239074571</v>
      </c>
      <c r="O28" s="54">
        <f>'R2'!O34</f>
        <v>1.677201385285324</v>
      </c>
      <c r="P28" s="54">
        <f>'R2'!P34</f>
        <v>1.5380547819314387</v>
      </c>
      <c r="Q28" s="54">
        <f>'R2'!Q34</f>
        <v>0.28797657218142808</v>
      </c>
      <c r="R28" s="54">
        <f>'R2'!R34</f>
        <v>1.7401748300276298</v>
      </c>
      <c r="S28" s="54">
        <f>'R2'!S34</f>
        <v>0.53106673839079199</v>
      </c>
      <c r="T28" s="54">
        <f>'R2'!T34</f>
        <v>0.8882073541773744</v>
      </c>
      <c r="U28" s="54">
        <f>'R2'!U34</f>
        <v>0.41676744393116871</v>
      </c>
      <c r="V28" s="54">
        <f>'R2'!V34</f>
        <v>0.48756671315447869</v>
      </c>
    </row>
    <row r="29" spans="1:22" x14ac:dyDescent="0.25">
      <c r="A29" s="229"/>
      <c r="B29" s="54">
        <f>'R2'!B35</f>
        <v>1.0300105216598885E-2</v>
      </c>
      <c r="C29" s="54">
        <f>'R2'!C35</f>
        <v>8.8616733961600261E-2</v>
      </c>
      <c r="D29" s="54">
        <f>'R2'!D35</f>
        <v>1.6412922224725356E-2</v>
      </c>
      <c r="E29" s="54">
        <f>'R2'!E35</f>
        <v>2.7679690442671559E-2</v>
      </c>
      <c r="F29" s="54">
        <f>'R2'!F35</f>
        <v>1.5430075272676749</v>
      </c>
      <c r="G29" s="54">
        <f>'R2'!G35</f>
        <v>1.2448582675778721</v>
      </c>
      <c r="H29" s="54">
        <f>'R2'!H35</f>
        <v>3.2398426501605333</v>
      </c>
      <c r="I29" s="54">
        <f>'R2'!I35</f>
        <v>3.506763541145784E-2</v>
      </c>
      <c r="J29" s="54">
        <f>'R2'!J35</f>
        <v>0.21068841353504686</v>
      </c>
      <c r="K29" s="54">
        <f>'R2'!K35</f>
        <v>0.42027818214410839</v>
      </c>
      <c r="L29" s="54">
        <f>'R2'!L35</f>
        <v>0.54486341373187863</v>
      </c>
      <c r="M29" s="54">
        <f>'R2'!M35</f>
        <v>0.97948540665970141</v>
      </c>
      <c r="O29" s="54">
        <f>'R2'!O35</f>
        <v>0.80977966283296587</v>
      </c>
      <c r="P29" s="54">
        <f>'R2'!P35</f>
        <v>0.56967582538814199</v>
      </c>
      <c r="Q29" s="54">
        <f>'R2'!Q35</f>
        <v>0.15881504802373422</v>
      </c>
      <c r="R29" s="54">
        <f>'R2'!R35</f>
        <v>3.8876474008936505E-2</v>
      </c>
      <c r="S29" s="54">
        <f>'R2'!S35</f>
        <v>2.1124075979141379</v>
      </c>
      <c r="T29" s="54">
        <f>'R2'!T35</f>
        <v>0.43069353382516062</v>
      </c>
      <c r="U29" s="54">
        <f>'R2'!U35</f>
        <v>1.2180425452672328</v>
      </c>
      <c r="V29" s="54">
        <f>'R2'!V35</f>
        <v>0.48872459780600402</v>
      </c>
    </row>
    <row r="30" spans="1:22" x14ac:dyDescent="0.25">
      <c r="A30" s="229"/>
      <c r="B30" s="54" t="str">
        <f>'R2'!B36</f>
        <v/>
      </c>
      <c r="C30" s="54" t="str">
        <f>'R2'!C36</f>
        <v/>
      </c>
      <c r="D30" s="54" t="str">
        <f>'R2'!D36</f>
        <v/>
      </c>
      <c r="E30" s="54" t="str">
        <f>'R2'!E36</f>
        <v/>
      </c>
      <c r="F30" s="54" t="str">
        <f>'R2'!F36</f>
        <v/>
      </c>
      <c r="G30" s="54" t="str">
        <f>'R2'!G36</f>
        <v/>
      </c>
      <c r="H30" s="54" t="str">
        <f>'R2'!H36</f>
        <v/>
      </c>
      <c r="I30" s="54" t="str">
        <f>'R2'!I36</f>
        <v/>
      </c>
      <c r="J30" s="54" t="str">
        <f>'R2'!J36</f>
        <v/>
      </c>
      <c r="K30" s="54" t="str">
        <f>'R2'!K36</f>
        <v/>
      </c>
      <c r="L30" s="54" t="str">
        <f>'R2'!L36</f>
        <v/>
      </c>
      <c r="M30" s="54" t="str">
        <f>'R2'!M36</f>
        <v/>
      </c>
      <c r="O30" s="54">
        <f>'R2'!O36</f>
        <v>0.99730087455331062</v>
      </c>
      <c r="P30" s="54" t="str">
        <f>'R2'!P36</f>
        <v/>
      </c>
      <c r="Q30" s="54" t="str">
        <f>'R2'!Q36</f>
        <v/>
      </c>
      <c r="R30" s="54" t="str">
        <f>'R2'!R36</f>
        <v/>
      </c>
      <c r="S30" s="54" t="str">
        <f>'R2'!S36</f>
        <v/>
      </c>
      <c r="T30" s="54" t="str">
        <f>'R2'!T36</f>
        <v/>
      </c>
      <c r="U30" s="54" t="str">
        <f>'R2'!U36</f>
        <v/>
      </c>
      <c r="V30" s="54" t="str">
        <f>'R2'!V36</f>
        <v/>
      </c>
    </row>
    <row r="31" spans="1:22" s="1" customFormat="1" x14ac:dyDescent="0.25">
      <c r="A31" s="229"/>
      <c r="B31" s="54" t="str">
        <f>'R2'!B37</f>
        <v/>
      </c>
      <c r="C31" s="54" t="str">
        <f>'R2'!C37</f>
        <v/>
      </c>
      <c r="D31" s="54" t="str">
        <f>'R2'!D37</f>
        <v/>
      </c>
      <c r="E31" s="54" t="str">
        <f>'R2'!E37</f>
        <v/>
      </c>
      <c r="F31" s="54" t="str">
        <f>'R2'!F37</f>
        <v/>
      </c>
      <c r="G31" s="54" t="str">
        <f>'R2'!G37</f>
        <v/>
      </c>
      <c r="H31" s="54" t="str">
        <f>'R2'!H37</f>
        <v/>
      </c>
      <c r="I31" s="54" t="str">
        <f>'R2'!I37</f>
        <v/>
      </c>
      <c r="J31" s="54" t="str">
        <f>'R2'!J37</f>
        <v/>
      </c>
      <c r="K31" s="54" t="str">
        <f>'R2'!K37</f>
        <v/>
      </c>
      <c r="L31" s="54" t="str">
        <f>'R2'!L37</f>
        <v/>
      </c>
      <c r="M31" s="54" t="str">
        <f>'R2'!M37</f>
        <v/>
      </c>
      <c r="N31"/>
      <c r="O31" s="54">
        <f>'R2'!O37</f>
        <v>0.56691361866709744</v>
      </c>
      <c r="P31" s="54" t="str">
        <f>'R2'!P37</f>
        <v/>
      </c>
      <c r="Q31" s="54" t="str">
        <f>'R2'!Q37</f>
        <v/>
      </c>
      <c r="R31" s="54" t="str">
        <f>'R2'!R37</f>
        <v/>
      </c>
      <c r="S31" s="54" t="str">
        <f>'R2'!S37</f>
        <v/>
      </c>
      <c r="T31" s="54" t="str">
        <f>'R2'!T37</f>
        <v/>
      </c>
      <c r="U31" s="54" t="str">
        <f>'R2'!U37</f>
        <v/>
      </c>
      <c r="V31" s="54" t="str">
        <f>'R2'!V37</f>
        <v/>
      </c>
    </row>
    <row r="32" spans="1:22" s="1" customFormat="1" x14ac:dyDescent="0.25">
      <c r="A32" s="229"/>
      <c r="B32" s="54" t="str">
        <f>'R2'!B38</f>
        <v/>
      </c>
      <c r="C32" s="54" t="str">
        <f>'R2'!C38</f>
        <v/>
      </c>
      <c r="D32" s="54" t="str">
        <f>'R2'!D38</f>
        <v/>
      </c>
      <c r="E32" s="54" t="str">
        <f>'R2'!E38</f>
        <v/>
      </c>
      <c r="F32" s="54" t="str">
        <f>'R2'!F38</f>
        <v/>
      </c>
      <c r="G32" s="54" t="str">
        <f>'R2'!G38</f>
        <v/>
      </c>
      <c r="H32" s="54" t="str">
        <f>'R2'!H38</f>
        <v/>
      </c>
      <c r="I32" s="54" t="str">
        <f>'R2'!I38</f>
        <v/>
      </c>
      <c r="J32" s="54" t="str">
        <f>'R2'!J38</f>
        <v/>
      </c>
      <c r="K32" s="54" t="str">
        <f>'R2'!K38</f>
        <v/>
      </c>
      <c r="L32" s="54" t="str">
        <f>'R2'!L38</f>
        <v/>
      </c>
      <c r="M32" s="54" t="str">
        <f>'R2'!M38</f>
        <v/>
      </c>
      <c r="N32"/>
      <c r="O32" s="54">
        <f>'R2'!O38</f>
        <v>0.31665164215371833</v>
      </c>
      <c r="P32" s="54" t="str">
        <f>'R2'!P38</f>
        <v/>
      </c>
      <c r="Q32" s="54" t="str">
        <f>'R2'!Q38</f>
        <v/>
      </c>
      <c r="R32" s="54" t="str">
        <f>'R2'!R38</f>
        <v/>
      </c>
      <c r="S32" s="54" t="str">
        <f>'R2'!S38</f>
        <v/>
      </c>
      <c r="T32" s="54" t="str">
        <f>'R2'!T38</f>
        <v/>
      </c>
      <c r="U32" s="54" t="str">
        <f>'R2'!U38</f>
        <v/>
      </c>
      <c r="V32" s="54" t="str">
        <f>'R2'!V38</f>
        <v/>
      </c>
    </row>
    <row r="33" spans="1:22" s="1" customFormat="1" x14ac:dyDescent="0.25">
      <c r="A33" s="229"/>
      <c r="B33" s="54" t="str">
        <f>'R2'!B39</f>
        <v/>
      </c>
      <c r="C33" s="54" t="str">
        <f>'R2'!C39</f>
        <v/>
      </c>
      <c r="D33" s="54" t="str">
        <f>'R2'!D39</f>
        <v/>
      </c>
      <c r="E33" s="54" t="str">
        <f>'R2'!E39</f>
        <v/>
      </c>
      <c r="F33" s="54" t="str">
        <f>'R2'!F39</f>
        <v/>
      </c>
      <c r="G33" s="54" t="str">
        <f>'R2'!G39</f>
        <v/>
      </c>
      <c r="H33" s="54" t="str">
        <f>'R2'!H39</f>
        <v/>
      </c>
      <c r="I33" s="54" t="str">
        <f>'R2'!I39</f>
        <v/>
      </c>
      <c r="J33" s="54" t="str">
        <f>'R2'!J39</f>
        <v/>
      </c>
      <c r="K33" s="54" t="str">
        <f>'R2'!K39</f>
        <v/>
      </c>
      <c r="L33" s="54" t="str">
        <f>'R2'!L39</f>
        <v/>
      </c>
      <c r="M33" s="54" t="str">
        <f>'R2'!M39</f>
        <v/>
      </c>
      <c r="N33"/>
      <c r="O33" s="54">
        <f>'R2'!O39</f>
        <v>1.0765862582321823</v>
      </c>
      <c r="P33" s="54" t="str">
        <f>'R2'!P39</f>
        <v/>
      </c>
      <c r="Q33" s="54" t="str">
        <f>'R2'!Q39</f>
        <v/>
      </c>
      <c r="R33" s="54" t="str">
        <f>'R2'!R39</f>
        <v/>
      </c>
      <c r="S33" s="54" t="str">
        <f>'R2'!S39</f>
        <v/>
      </c>
      <c r="T33" s="54" t="str">
        <f>'R2'!T39</f>
        <v/>
      </c>
      <c r="U33" s="54" t="str">
        <f>'R2'!U39</f>
        <v/>
      </c>
      <c r="V33" s="54" t="str">
        <f>'R2'!V39</f>
        <v/>
      </c>
    </row>
    <row r="34" spans="1:22" s="1" customFormat="1" x14ac:dyDescent="0.25">
      <c r="A34" s="229"/>
      <c r="B34" s="54" t="str">
        <f>'R2'!B40</f>
        <v/>
      </c>
      <c r="C34" s="54" t="str">
        <f>'R2'!C40</f>
        <v/>
      </c>
      <c r="D34" s="54" t="str">
        <f>'R2'!D40</f>
        <v/>
      </c>
      <c r="E34" s="54" t="str">
        <f>'R2'!E40</f>
        <v/>
      </c>
      <c r="F34" s="54" t="str">
        <f>'R2'!F40</f>
        <v/>
      </c>
      <c r="G34" s="54" t="str">
        <f>'R2'!G40</f>
        <v/>
      </c>
      <c r="H34" s="54" t="str">
        <f>'R2'!H40</f>
        <v/>
      </c>
      <c r="I34" s="54" t="str">
        <f>'R2'!I40</f>
        <v/>
      </c>
      <c r="J34" s="54" t="str">
        <f>'R2'!J40</f>
        <v/>
      </c>
      <c r="K34" s="54" t="str">
        <f>'R2'!K40</f>
        <v/>
      </c>
      <c r="L34" s="54" t="str">
        <f>'R2'!L40</f>
        <v/>
      </c>
      <c r="M34" s="54" t="str">
        <f>'R2'!M40</f>
        <v/>
      </c>
      <c r="N34"/>
      <c r="O34" s="54">
        <f>'R2'!O40</f>
        <v>0.62030040227101724</v>
      </c>
      <c r="P34" s="54" t="str">
        <f>'R2'!P40</f>
        <v/>
      </c>
      <c r="Q34" s="54" t="str">
        <f>'R2'!Q40</f>
        <v/>
      </c>
      <c r="R34" s="54" t="str">
        <f>'R2'!R40</f>
        <v/>
      </c>
      <c r="S34" s="54" t="str">
        <f>'R2'!S40</f>
        <v/>
      </c>
      <c r="T34" s="54" t="str">
        <f>'R2'!T40</f>
        <v/>
      </c>
      <c r="U34" s="54" t="str">
        <f>'R2'!U40</f>
        <v/>
      </c>
      <c r="V34" s="54" t="str">
        <f>'R2'!V40</f>
        <v/>
      </c>
    </row>
    <row r="35" spans="1:22" s="1" customFormat="1" x14ac:dyDescent="0.25">
      <c r="A35" s="229"/>
      <c r="B35" s="54" t="str">
        <f>'R2'!B41</f>
        <v/>
      </c>
      <c r="C35" s="54" t="str">
        <f>'R2'!C41</f>
        <v/>
      </c>
      <c r="D35" s="54" t="str">
        <f>'R2'!D41</f>
        <v/>
      </c>
      <c r="E35" s="54" t="str">
        <f>'R2'!E41</f>
        <v/>
      </c>
      <c r="F35" s="54" t="str">
        <f>'R2'!F41</f>
        <v/>
      </c>
      <c r="G35" s="54" t="str">
        <f>'R2'!G41</f>
        <v/>
      </c>
      <c r="H35" s="54" t="str">
        <f>'R2'!H41</f>
        <v/>
      </c>
      <c r="I35" s="54" t="str">
        <f>'R2'!I41</f>
        <v/>
      </c>
      <c r="J35" s="54" t="str">
        <f>'R2'!J41</f>
        <v/>
      </c>
      <c r="K35" s="54" t="str">
        <f>'R2'!K41</f>
        <v/>
      </c>
      <c r="L35" s="54" t="str">
        <f>'R2'!L41</f>
        <v/>
      </c>
      <c r="M35" s="54" t="str">
        <f>'R2'!M41</f>
        <v/>
      </c>
      <c r="N35"/>
      <c r="O35" s="54">
        <f>'R2'!O41</f>
        <v>1.8397662223566809</v>
      </c>
      <c r="P35" s="54" t="str">
        <f>'R2'!P41</f>
        <v/>
      </c>
      <c r="Q35" s="54" t="str">
        <f>'R2'!Q41</f>
        <v/>
      </c>
      <c r="R35" s="54" t="str">
        <f>'R2'!R41</f>
        <v/>
      </c>
      <c r="S35" s="54" t="str">
        <f>'R2'!S41</f>
        <v/>
      </c>
      <c r="T35" s="54" t="str">
        <f>'R2'!T41</f>
        <v/>
      </c>
      <c r="U35" s="54" t="str">
        <f>'R2'!U41</f>
        <v/>
      </c>
      <c r="V35" s="54" t="str">
        <f>'R2'!V41</f>
        <v/>
      </c>
    </row>
    <row r="36" spans="1:22" x14ac:dyDescent="0.25">
      <c r="A36" s="229"/>
      <c r="B36" s="54" t="str">
        <f>'R2'!B42</f>
        <v/>
      </c>
      <c r="C36" s="54" t="str">
        <f>'R2'!C42</f>
        <v/>
      </c>
      <c r="D36" s="54" t="str">
        <f>'R2'!D42</f>
        <v/>
      </c>
      <c r="E36" s="54" t="str">
        <f>'R2'!E42</f>
        <v/>
      </c>
      <c r="F36" s="54" t="str">
        <f>'R2'!F42</f>
        <v/>
      </c>
      <c r="G36" s="54" t="str">
        <f>'R2'!G42</f>
        <v/>
      </c>
      <c r="H36" s="54" t="str">
        <f>'R2'!H42</f>
        <v/>
      </c>
      <c r="I36" s="54" t="str">
        <f>'R2'!I42</f>
        <v/>
      </c>
      <c r="J36" s="54" t="str">
        <f>'R2'!J42</f>
        <v/>
      </c>
      <c r="K36" s="54" t="str">
        <f>'R2'!K42</f>
        <v/>
      </c>
      <c r="L36" s="54" t="str">
        <f>'R2'!L42</f>
        <v/>
      </c>
      <c r="M36" s="54" t="str">
        <f>'R2'!M42</f>
        <v/>
      </c>
      <c r="O36" s="54">
        <f>'R2'!O42</f>
        <v>1.2065949199738819</v>
      </c>
      <c r="P36" s="54" t="str">
        <f>'R2'!P42</f>
        <v/>
      </c>
      <c r="Q36" s="54" t="str">
        <f>'R2'!Q42</f>
        <v/>
      </c>
      <c r="R36" s="54" t="str">
        <f>'R2'!R42</f>
        <v/>
      </c>
      <c r="S36" s="54" t="str">
        <f>'R2'!S42</f>
        <v/>
      </c>
      <c r="T36" s="54" t="str">
        <f>'R2'!T42</f>
        <v/>
      </c>
      <c r="U36" s="54" t="str">
        <f>'R2'!U42</f>
        <v/>
      </c>
      <c r="V36" s="54" t="str">
        <f>'R2'!V42</f>
        <v/>
      </c>
    </row>
    <row r="37" spans="1:22" x14ac:dyDescent="0.25">
      <c r="A37" s="230"/>
      <c r="B37" s="54" t="str">
        <f>'R2'!B43</f>
        <v/>
      </c>
      <c r="C37" s="54" t="str">
        <f>'R2'!C43</f>
        <v/>
      </c>
      <c r="D37" s="54" t="str">
        <f>'R2'!D43</f>
        <v/>
      </c>
      <c r="E37" s="54" t="str">
        <f>'R2'!E43</f>
        <v/>
      </c>
      <c r="F37" s="54" t="str">
        <f>'R2'!F43</f>
        <v/>
      </c>
      <c r="G37" s="54" t="str">
        <f>'R2'!G43</f>
        <v/>
      </c>
      <c r="H37" s="54" t="str">
        <f>'R2'!H43</f>
        <v/>
      </c>
      <c r="I37" s="54" t="str">
        <f>'R2'!I43</f>
        <v/>
      </c>
      <c r="J37" s="54" t="str">
        <f>'R2'!J43</f>
        <v/>
      </c>
      <c r="K37" s="54" t="str">
        <f>'R2'!K43</f>
        <v/>
      </c>
      <c r="L37" s="54" t="str">
        <f>'R2'!L43</f>
        <v/>
      </c>
      <c r="M37" s="54" t="str">
        <f>'R2'!M43</f>
        <v/>
      </c>
      <c r="O37" s="54">
        <f>'R2'!O43</f>
        <v>1.0772258190571935</v>
      </c>
      <c r="P37" s="54" t="str">
        <f>'R2'!P43</f>
        <v/>
      </c>
      <c r="Q37" s="54" t="str">
        <f>'R2'!Q43</f>
        <v/>
      </c>
      <c r="R37" s="54" t="str">
        <f>'R2'!R43</f>
        <v/>
      </c>
      <c r="S37" s="54" t="str">
        <f>'R2'!S43</f>
        <v/>
      </c>
      <c r="T37" s="54" t="str">
        <f>'R2'!T43</f>
        <v/>
      </c>
      <c r="U37" s="54" t="str">
        <f>'R2'!U43</f>
        <v/>
      </c>
      <c r="V37" s="54" t="str">
        <f>'R2'!V43</f>
        <v/>
      </c>
    </row>
    <row r="38" spans="1:22" s="1" customFormat="1" x14ac:dyDescent="0.25">
      <c r="A38" s="153" t="s">
        <v>116</v>
      </c>
      <c r="B38" s="154">
        <f>'R3'!B28</f>
        <v>4.5526417701614481E-2</v>
      </c>
      <c r="C38" s="154">
        <f>'R3'!C28</f>
        <v>0.10561542826696239</v>
      </c>
      <c r="D38" s="154">
        <f>'R3'!D28</f>
        <v>0.13703461570117265</v>
      </c>
      <c r="E38" s="154">
        <f>'R3'!E28</f>
        <v>0.30102877638629583</v>
      </c>
      <c r="F38" s="154" t="str">
        <f>'R3'!F28</f>
        <v/>
      </c>
      <c r="G38" s="154">
        <f>'R3'!G28</f>
        <v>0.75555591750451601</v>
      </c>
      <c r="H38" s="154">
        <f>'R3'!H28</f>
        <v>2.0427958362392733</v>
      </c>
      <c r="I38" s="154">
        <f>'R3'!I28</f>
        <v>0.10084819080871048</v>
      </c>
      <c r="J38" s="154" t="str">
        <f>'R3'!J28</f>
        <v/>
      </c>
      <c r="K38" s="154">
        <f>'R3'!K28</f>
        <v>1.1372556779539873</v>
      </c>
      <c r="L38" s="154">
        <f>'R3'!L28</f>
        <v>0.17420772886172348</v>
      </c>
      <c r="M38" s="154">
        <f>'R3'!M28</f>
        <v>0.43984297961004815</v>
      </c>
      <c r="N38"/>
      <c r="O38" s="154">
        <f>'R3'!O28</f>
        <v>1.072129400603858</v>
      </c>
      <c r="P38" s="154">
        <f>'R3'!P28</f>
        <v>0.36611457706119593</v>
      </c>
      <c r="Q38" s="154">
        <f>'R3'!Q28</f>
        <v>6.7728844396120411E-2</v>
      </c>
      <c r="R38" s="154">
        <f>'R3'!R28</f>
        <v>0.43300678798695258</v>
      </c>
      <c r="S38" s="154">
        <f>'R3'!S28</f>
        <v>2.6588878444351073E-2</v>
      </c>
      <c r="T38" s="154">
        <f>'R3'!T28</f>
        <v>1.113823841558768</v>
      </c>
      <c r="U38" s="154">
        <f>'R3'!U28</f>
        <v>1.9739817456432565</v>
      </c>
      <c r="V38" s="154">
        <f>'R3'!V28</f>
        <v>1.5727300876330417</v>
      </c>
    </row>
    <row r="39" spans="1:22" s="1" customFormat="1" x14ac:dyDescent="0.25">
      <c r="A39" s="228" t="s">
        <v>34</v>
      </c>
      <c r="B39" s="154">
        <f>'R3'!B29</f>
        <v>2.1623832028728741E-2</v>
      </c>
      <c r="C39" s="154">
        <f>'R3'!C29</f>
        <v>2.556046593227608E-2</v>
      </c>
      <c r="D39" s="154">
        <f>'R3'!D29</f>
        <v>4.8530563268630145E-2</v>
      </c>
      <c r="E39" s="154">
        <f>'R3'!E29</f>
        <v>0.22211187399555557</v>
      </c>
      <c r="F39" s="154">
        <f>'R3'!F29</f>
        <v>0.69884282799578956</v>
      </c>
      <c r="G39" s="154">
        <f>'R3'!G29</f>
        <v>1.6838083422496959</v>
      </c>
      <c r="H39" s="154">
        <f>'R3'!H29</f>
        <v>1.1046190020316311</v>
      </c>
      <c r="I39" s="154">
        <f>'R3'!I29</f>
        <v>0.12420184622848703</v>
      </c>
      <c r="J39" s="154">
        <f>'R3'!J29</f>
        <v>2.5308872899601039E-2</v>
      </c>
      <c r="K39" s="154">
        <f>'R3'!K29</f>
        <v>1.2340409531771852</v>
      </c>
      <c r="L39" s="154">
        <f>'R3'!L29</f>
        <v>1.5593694579573663</v>
      </c>
      <c r="M39" s="154">
        <f>'R3'!M29</f>
        <v>1.7741564399239331</v>
      </c>
      <c r="N39"/>
      <c r="O39" s="154">
        <f>'R3'!O29</f>
        <v>0.99766922966961102</v>
      </c>
      <c r="P39" s="154">
        <f>'R3'!P29</f>
        <v>0.10211336414712649</v>
      </c>
      <c r="Q39" s="154">
        <f>'R3'!Q29</f>
        <v>9.0938059077578862E-3</v>
      </c>
      <c r="R39" s="154">
        <f>'R3'!R29</f>
        <v>1.1193332438087236</v>
      </c>
      <c r="S39" s="154">
        <f>'R3'!S29</f>
        <v>0.2239107295244944</v>
      </c>
      <c r="T39" s="154">
        <f>'R3'!T29</f>
        <v>0.91627423987108458</v>
      </c>
      <c r="U39" s="154">
        <f>'R3'!U29</f>
        <v>0.10496475185077693</v>
      </c>
      <c r="V39" s="154">
        <f>'R3'!V29</f>
        <v>1.6571983937552255</v>
      </c>
    </row>
    <row r="40" spans="1:22" s="1" customFormat="1" x14ac:dyDescent="0.25">
      <c r="A40" s="229"/>
      <c r="B40" s="154">
        <f>'R3'!B30</f>
        <v>0.20849646305593703</v>
      </c>
      <c r="C40" s="154">
        <f>'R3'!C30</f>
        <v>9.276158874415745E-2</v>
      </c>
      <c r="D40" s="154">
        <f>'R3'!D30</f>
        <v>0.10723747557927478</v>
      </c>
      <c r="E40" s="154" t="str">
        <f>'R3'!E30</f>
        <v/>
      </c>
      <c r="F40" s="154">
        <f>'R3'!F30</f>
        <v>8.1089196834294289E-2</v>
      </c>
      <c r="G40" s="154">
        <f>'R3'!G30</f>
        <v>1.5678787085930632</v>
      </c>
      <c r="H40" s="154">
        <f>'R3'!H30</f>
        <v>0.60366442133169307</v>
      </c>
      <c r="I40" s="154">
        <f>'R3'!I30</f>
        <v>1.4826661583979141E-2</v>
      </c>
      <c r="J40" s="154">
        <f>'R3'!J30</f>
        <v>0.15073999021005074</v>
      </c>
      <c r="K40" s="154">
        <f>'R3'!K30</f>
        <v>1.2333423146732281</v>
      </c>
      <c r="L40" s="154">
        <f>'R3'!L30</f>
        <v>1.2996440790300154</v>
      </c>
      <c r="M40" s="154">
        <f>'R3'!M30</f>
        <v>0.59798285459326239</v>
      </c>
      <c r="N40"/>
      <c r="O40" s="154">
        <f>'R3'!O30</f>
        <v>1.5743009846263143</v>
      </c>
      <c r="P40" s="154">
        <f>'R3'!P30</f>
        <v>1.2389911673864735</v>
      </c>
      <c r="Q40" s="154">
        <f>'R3'!Q30</f>
        <v>2.5569614769827897E-2</v>
      </c>
      <c r="R40" s="154">
        <f>'R3'!R30</f>
        <v>0.81079673726115342</v>
      </c>
      <c r="S40" s="154">
        <f>'R3'!S30</f>
        <v>4.7969850421704235E-2</v>
      </c>
      <c r="T40" s="154">
        <f>'R3'!T30</f>
        <v>0.54125624975633435</v>
      </c>
      <c r="U40" s="154">
        <f>'R3'!U30</f>
        <v>0.17067863408548448</v>
      </c>
      <c r="V40" s="154">
        <f>'R3'!V30</f>
        <v>0.32023281019194372</v>
      </c>
    </row>
    <row r="41" spans="1:22" s="1" customFormat="1" x14ac:dyDescent="0.25">
      <c r="A41" s="229"/>
      <c r="B41" s="154">
        <f>'R3'!B31</f>
        <v>1.9800856837153293E-2</v>
      </c>
      <c r="C41" s="154">
        <f>'R3'!C31</f>
        <v>9.5409206884153733E-2</v>
      </c>
      <c r="D41" s="154">
        <f>'R3'!D31</f>
        <v>2.5397173043851178E-2</v>
      </c>
      <c r="E41" s="154">
        <f>'R3'!E31</f>
        <v>0.44181580167122236</v>
      </c>
      <c r="F41" s="154">
        <f>'R3'!F31</f>
        <v>9.6182768822910228E-2</v>
      </c>
      <c r="G41" s="154">
        <f>'R3'!G31</f>
        <v>1.092547803975759</v>
      </c>
      <c r="H41" s="154">
        <f>'R3'!H31</f>
        <v>3.1691167126563253</v>
      </c>
      <c r="I41" s="154">
        <f>'R3'!I31</f>
        <v>8.7715450359325806E-2</v>
      </c>
      <c r="J41" s="154">
        <f>'R3'!J31</f>
        <v>0.25112034273486139</v>
      </c>
      <c r="K41" s="154">
        <f>'R3'!K31</f>
        <v>0.68160253672313942</v>
      </c>
      <c r="L41" s="154">
        <f>'R3'!L31</f>
        <v>4.6800601258831537E-2</v>
      </c>
      <c r="M41" s="154">
        <f>'R3'!M31</f>
        <v>0.26720344467595702</v>
      </c>
      <c r="N41"/>
      <c r="O41" s="154">
        <f>'R3'!O31</f>
        <v>0.72186074880116446</v>
      </c>
      <c r="P41" s="154">
        <f>'R3'!P31</f>
        <v>1.5827052315582915</v>
      </c>
      <c r="Q41" s="154">
        <f>'R3'!Q31</f>
        <v>0.30627424853475649</v>
      </c>
      <c r="R41" s="154">
        <f>'R3'!R31</f>
        <v>1.0830192896655391</v>
      </c>
      <c r="S41" s="154">
        <f>'R3'!S31</f>
        <v>9.1154581566305265E-2</v>
      </c>
      <c r="T41" s="154">
        <f>'R3'!T31</f>
        <v>0.62090194022932754</v>
      </c>
      <c r="U41" s="154">
        <f>'R3'!U31</f>
        <v>1.1058782147637636</v>
      </c>
      <c r="V41" s="154">
        <f>'R3'!V31</f>
        <v>3.6456454218991637E-2</v>
      </c>
    </row>
    <row r="42" spans="1:22" s="1" customFormat="1" x14ac:dyDescent="0.25">
      <c r="A42" s="229"/>
      <c r="B42" s="154">
        <f>'R3'!B32</f>
        <v>0.12727530117089528</v>
      </c>
      <c r="C42" s="154">
        <f>'R3'!C32</f>
        <v>1.2248075581873867E-2</v>
      </c>
      <c r="D42" s="154">
        <f>'R3'!D32</f>
        <v>0.12513142357125223</v>
      </c>
      <c r="E42" s="154">
        <f>'R3'!E32</f>
        <v>0.25759369977777685</v>
      </c>
      <c r="F42" s="154">
        <f>'R3'!F32</f>
        <v>0.82441200958202132</v>
      </c>
      <c r="G42" s="154">
        <f>'R3'!G32</f>
        <v>1.0199498373395597</v>
      </c>
      <c r="H42" s="154">
        <f>'R3'!H32</f>
        <v>2.6051406417181799</v>
      </c>
      <c r="I42" s="154">
        <f>'R3'!I32</f>
        <v>9.3727068343375988E-3</v>
      </c>
      <c r="J42" s="154">
        <f>'R3'!J32</f>
        <v>7.4549995884755846E-2</v>
      </c>
      <c r="K42" s="154">
        <f>'R3'!K32</f>
        <v>1.1164442904236105</v>
      </c>
      <c r="L42" s="154">
        <f>'R3'!L32</f>
        <v>0.27438126221036269</v>
      </c>
      <c r="M42" s="154">
        <f>'R3'!M32</f>
        <v>0.51332256150124111</v>
      </c>
      <c r="N42"/>
      <c r="O42" s="154">
        <f>'R3'!O32</f>
        <v>1.2583047100052416</v>
      </c>
      <c r="P42" s="154">
        <f>'R3'!P32</f>
        <v>2.5060630975226235</v>
      </c>
      <c r="Q42" s="154">
        <f>'R3'!Q32</f>
        <v>0.13396143799626598</v>
      </c>
      <c r="R42" s="154">
        <f>'R3'!R32</f>
        <v>1.6907823902204473</v>
      </c>
      <c r="S42" s="154">
        <f>'R3'!S32</f>
        <v>1.318971136976985</v>
      </c>
      <c r="T42" s="154">
        <f>'R3'!T32</f>
        <v>1.3940067143457413</v>
      </c>
      <c r="U42" s="154">
        <f>'R3'!U32</f>
        <v>0.86120419841541451</v>
      </c>
      <c r="V42" s="154">
        <f>'R3'!V32</f>
        <v>0.86773757737741997</v>
      </c>
    </row>
    <row r="43" spans="1:22" s="1" customFormat="1" x14ac:dyDescent="0.25">
      <c r="A43" s="229"/>
      <c r="B43" s="154">
        <f>'R3'!B33</f>
        <v>5.6757447508977736E-3</v>
      </c>
      <c r="C43" s="154">
        <f>'R3'!C33</f>
        <v>6.062629684339114E-3</v>
      </c>
      <c r="D43" s="154">
        <f>'R3'!D33</f>
        <v>9.0147100485598819E-2</v>
      </c>
      <c r="E43" s="154">
        <f>'R3'!E33</f>
        <v>0.14722295526513005</v>
      </c>
      <c r="F43" s="154">
        <f>'R3'!F33</f>
        <v>0.94943253815264528</v>
      </c>
      <c r="G43" s="154">
        <f>'R3'!G33</f>
        <v>1.3576131930396063</v>
      </c>
      <c r="H43" s="154">
        <f>'R3'!H33</f>
        <v>2.4098968243310566</v>
      </c>
      <c r="I43" s="154">
        <f>'R3'!I33</f>
        <v>0.16008566638798524</v>
      </c>
      <c r="J43" s="154">
        <f>'R3'!J33</f>
        <v>5.2801268361569688E-3</v>
      </c>
      <c r="K43" s="154">
        <f>'R3'!K33</f>
        <v>0.77628316345316639</v>
      </c>
      <c r="L43" s="154">
        <f>'R3'!L33</f>
        <v>0.17539208746843177</v>
      </c>
      <c r="M43" s="154">
        <f>'R3'!M33</f>
        <v>1.0826204835195301</v>
      </c>
      <c r="N43"/>
      <c r="O43" s="154">
        <f>'R3'!O33</f>
        <v>0.99273107529164095</v>
      </c>
      <c r="P43" s="154">
        <f>'R3'!P33</f>
        <v>2.0592864773076776</v>
      </c>
      <c r="Q43" s="154">
        <f>'R3'!Q33</f>
        <v>1.5044015785210248E-2</v>
      </c>
      <c r="R43" s="154">
        <f>'R3'!R33</f>
        <v>2.1218857348309937E-2</v>
      </c>
      <c r="S43" s="154">
        <f>'R3'!S33</f>
        <v>0.76621181811487171</v>
      </c>
      <c r="T43" s="154">
        <f>'R3'!T33</f>
        <v>1.0938850590645834</v>
      </c>
      <c r="U43" s="154">
        <f>'R3'!U33</f>
        <v>0.50761514236578897</v>
      </c>
      <c r="V43" s="154">
        <f>'R3'!V33</f>
        <v>0.95140854844508771</v>
      </c>
    </row>
    <row r="44" spans="1:22" s="1" customFormat="1" x14ac:dyDescent="0.25">
      <c r="A44" s="229"/>
      <c r="B44" s="154">
        <f>'R3'!B34</f>
        <v>6.8151908823516679E-3</v>
      </c>
      <c r="C44" s="154">
        <f>'R3'!C34</f>
        <v>7.7752227646643482E-2</v>
      </c>
      <c r="D44" s="154">
        <f>'R3'!D34</f>
        <v>0.18169300278537054</v>
      </c>
      <c r="E44" s="154">
        <f>'R3'!E34</f>
        <v>9.9195993918102326E-2</v>
      </c>
      <c r="F44" s="154">
        <f>'R3'!F34</f>
        <v>0.61687201590650176</v>
      </c>
      <c r="G44" s="154">
        <f>'R3'!G34</f>
        <v>1.6947881948806365</v>
      </c>
      <c r="H44" s="154">
        <f>'R3'!H34</f>
        <v>1.2497791716663276</v>
      </c>
      <c r="I44" s="154">
        <f>'R3'!I34</f>
        <v>0.20230200693960124</v>
      </c>
      <c r="J44" s="154">
        <f>'R3'!J34</f>
        <v>5.6668731508475248E-3</v>
      </c>
      <c r="K44" s="154">
        <f>'R3'!K34</f>
        <v>0.55849508553210114</v>
      </c>
      <c r="L44" s="154">
        <f>'R3'!L34</f>
        <v>0.30272117271463167</v>
      </c>
      <c r="M44" s="154">
        <f>'R3'!M34</f>
        <v>0.74118794536688493</v>
      </c>
      <c r="N44"/>
      <c r="O44" s="154">
        <f>'R3'!O34</f>
        <v>0.95101251467409442</v>
      </c>
      <c r="P44" s="154">
        <f>'R3'!P34</f>
        <v>1.4975654562073046</v>
      </c>
      <c r="Q44" s="154">
        <f>'R3'!Q34</f>
        <v>0.18644083361851255</v>
      </c>
      <c r="R44" s="154">
        <f>'R3'!R34</f>
        <v>5.6839024643814795E-2</v>
      </c>
      <c r="S44" s="154">
        <f>'R3'!S34</f>
        <v>8.3107069989473648E-2</v>
      </c>
      <c r="T44" s="154">
        <f>'R3'!T34</f>
        <v>0.69872001178259391</v>
      </c>
      <c r="U44" s="154">
        <f>'R3'!U34</f>
        <v>1.7868752647834734</v>
      </c>
      <c r="V44" s="154">
        <f>'R3'!V34</f>
        <v>1.7442332260481963</v>
      </c>
    </row>
    <row r="45" spans="1:22" s="1" customFormat="1" x14ac:dyDescent="0.25">
      <c r="A45" s="229"/>
      <c r="B45" s="154">
        <f>'R3'!B35</f>
        <v>9.969321937716864E-3</v>
      </c>
      <c r="C45" s="154">
        <f>'R3'!C35</f>
        <v>3.2882446967498244E-2</v>
      </c>
      <c r="D45" s="154">
        <f>'R3'!D35</f>
        <v>3.190054104631166E-2</v>
      </c>
      <c r="E45" s="154">
        <f>'R3'!E35</f>
        <v>0.15684462137587776</v>
      </c>
      <c r="F45" s="154">
        <f>'R3'!F35</f>
        <v>0.83201885215010696</v>
      </c>
      <c r="G45" s="154">
        <f>'R3'!G35</f>
        <v>1.1325573340148756</v>
      </c>
      <c r="H45" s="154">
        <f>'R3'!H35</f>
        <v>2.9421207455956062</v>
      </c>
      <c r="I45" s="154">
        <f>'R3'!I35</f>
        <v>2.7155551897560748E-2</v>
      </c>
      <c r="J45" s="154">
        <f>'R3'!J35</f>
        <v>7.9844400452243683E-3</v>
      </c>
      <c r="K45" s="154">
        <f>'R3'!K35</f>
        <v>0.27355079727440884</v>
      </c>
      <c r="L45" s="154">
        <f>'R3'!L35</f>
        <v>0.41127504126073755</v>
      </c>
      <c r="M45" s="154">
        <f>'R3'!M35</f>
        <v>0.62592090933900524</v>
      </c>
      <c r="N45"/>
      <c r="O45" s="154">
        <f>'R3'!O35</f>
        <v>0.2393640864807732</v>
      </c>
      <c r="P45" s="154">
        <f>'R3'!P35</f>
        <v>1.7289599348491875</v>
      </c>
      <c r="Q45" s="154">
        <f>'R3'!Q35</f>
        <v>7.5578408396830832E-2</v>
      </c>
      <c r="R45" s="154">
        <f>'R3'!R35</f>
        <v>0.2744472447357364</v>
      </c>
      <c r="S45" s="154">
        <f>'R3'!S35</f>
        <v>0.21289497463710047</v>
      </c>
      <c r="T45" s="154">
        <f>'R3'!T35</f>
        <v>0.57900345247326179</v>
      </c>
      <c r="U45" s="154">
        <f>'R3'!U35</f>
        <v>0.16678393235404965</v>
      </c>
      <c r="V45" s="154">
        <f>'R3'!V35</f>
        <v>8.8345195344142716E-2</v>
      </c>
    </row>
    <row r="46" spans="1:22" s="1" customFormat="1" x14ac:dyDescent="0.25">
      <c r="A46" s="229"/>
      <c r="B46" s="154" t="str">
        <f>'R3'!B36</f>
        <v/>
      </c>
      <c r="C46" s="154" t="str">
        <f>'R3'!C36</f>
        <v/>
      </c>
      <c r="D46" s="154" t="str">
        <f>'R3'!D36</f>
        <v/>
      </c>
      <c r="E46" s="154" t="str">
        <f>'R3'!E36</f>
        <v/>
      </c>
      <c r="F46" s="154" t="str">
        <f>'R3'!F36</f>
        <v/>
      </c>
      <c r="G46" s="154" t="str">
        <f>'R3'!G36</f>
        <v/>
      </c>
      <c r="H46" s="154" t="str">
        <f>'R3'!H36</f>
        <v/>
      </c>
      <c r="I46" s="154" t="str">
        <f>'R3'!I36</f>
        <v/>
      </c>
      <c r="J46" s="154" t="str">
        <f>'R3'!J36</f>
        <v/>
      </c>
      <c r="K46" s="154" t="str">
        <f>'R3'!K36</f>
        <v/>
      </c>
      <c r="L46" s="154" t="str">
        <f>'R3'!L36</f>
        <v/>
      </c>
      <c r="M46" s="154" t="str">
        <f>'R3'!M36</f>
        <v/>
      </c>
      <c r="N46"/>
      <c r="O46" s="154">
        <f>'R3'!O36</f>
        <v>0.31395289561574891</v>
      </c>
      <c r="P46" s="154" t="str">
        <f>'R3'!P36</f>
        <v/>
      </c>
      <c r="Q46" s="154" t="str">
        <f>'R3'!Q36</f>
        <v/>
      </c>
      <c r="R46" s="154" t="str">
        <f>'R3'!R36</f>
        <v/>
      </c>
      <c r="S46" s="154" t="str">
        <f>'R3'!S36</f>
        <v/>
      </c>
      <c r="T46" s="154" t="str">
        <f>'R3'!T36</f>
        <v/>
      </c>
      <c r="U46" s="154" t="str">
        <f>'R3'!U36</f>
        <v/>
      </c>
      <c r="V46" s="154" t="str">
        <f>'R3'!V36</f>
        <v/>
      </c>
    </row>
    <row r="47" spans="1:22" s="1" customFormat="1" x14ac:dyDescent="0.25">
      <c r="A47" s="229"/>
      <c r="B47" s="154" t="str">
        <f>'R3'!B37</f>
        <v/>
      </c>
      <c r="C47" s="154" t="str">
        <f>'R3'!C37</f>
        <v/>
      </c>
      <c r="D47" s="154" t="str">
        <f>'R3'!D37</f>
        <v/>
      </c>
      <c r="E47" s="154" t="str">
        <f>'R3'!E37</f>
        <v/>
      </c>
      <c r="F47" s="154" t="str">
        <f>'R3'!F37</f>
        <v/>
      </c>
      <c r="G47" s="154" t="str">
        <f>'R3'!G37</f>
        <v/>
      </c>
      <c r="H47" s="154" t="str">
        <f>'R3'!H37</f>
        <v/>
      </c>
      <c r="I47" s="154" t="str">
        <f>'R3'!I37</f>
        <v/>
      </c>
      <c r="J47" s="154" t="str">
        <f>'R3'!J37</f>
        <v/>
      </c>
      <c r="K47" s="154" t="str">
        <f>'R3'!K37</f>
        <v/>
      </c>
      <c r="L47" s="154" t="str">
        <f>'R3'!L37</f>
        <v/>
      </c>
      <c r="M47" s="154" t="str">
        <f>'R3'!M37</f>
        <v/>
      </c>
      <c r="N47"/>
      <c r="O47" s="154">
        <f>'R3'!O37</f>
        <v>5.3930456705465479E-2</v>
      </c>
      <c r="P47" s="154" t="str">
        <f>'R3'!P37</f>
        <v/>
      </c>
      <c r="Q47" s="154" t="str">
        <f>'R3'!Q37</f>
        <v/>
      </c>
      <c r="R47" s="154" t="str">
        <f>'R3'!R37</f>
        <v/>
      </c>
      <c r="S47" s="154" t="str">
        <f>'R3'!S37</f>
        <v/>
      </c>
      <c r="T47" s="154" t="str">
        <f>'R3'!T37</f>
        <v/>
      </c>
      <c r="U47" s="154" t="str">
        <f>'R3'!U37</f>
        <v/>
      </c>
      <c r="V47" s="154" t="str">
        <f>'R3'!V37</f>
        <v/>
      </c>
    </row>
    <row r="48" spans="1:22" s="1" customFormat="1" x14ac:dyDescent="0.25">
      <c r="A48" s="229"/>
      <c r="B48" s="154" t="str">
        <f>'R3'!B38</f>
        <v/>
      </c>
      <c r="C48" s="154" t="str">
        <f>'R3'!C38</f>
        <v/>
      </c>
      <c r="D48" s="154" t="str">
        <f>'R3'!D38</f>
        <v/>
      </c>
      <c r="E48" s="154" t="str">
        <f>'R3'!E38</f>
        <v/>
      </c>
      <c r="F48" s="154" t="str">
        <f>'R3'!F38</f>
        <v/>
      </c>
      <c r="G48" s="154" t="str">
        <f>'R3'!G38</f>
        <v/>
      </c>
      <c r="H48" s="154" t="str">
        <f>'R3'!H38</f>
        <v/>
      </c>
      <c r="I48" s="154" t="str">
        <f>'R3'!I38</f>
        <v/>
      </c>
      <c r="J48" s="154" t="str">
        <f>'R3'!J38</f>
        <v/>
      </c>
      <c r="K48" s="154" t="str">
        <f>'R3'!K38</f>
        <v/>
      </c>
      <c r="L48" s="154" t="str">
        <f>'R3'!L38</f>
        <v/>
      </c>
      <c r="M48" s="154" t="str">
        <f>'R3'!M38</f>
        <v/>
      </c>
      <c r="N48"/>
      <c r="O48" s="154">
        <f>'R3'!O38</f>
        <v>1.842898587388293</v>
      </c>
      <c r="P48" s="154" t="str">
        <f>'R3'!P38</f>
        <v/>
      </c>
      <c r="Q48" s="154" t="str">
        <f>'R3'!Q38</f>
        <v/>
      </c>
      <c r="R48" s="154" t="str">
        <f>'R3'!R38</f>
        <v/>
      </c>
      <c r="S48" s="154" t="str">
        <f>'R3'!S38</f>
        <v/>
      </c>
      <c r="T48" s="154" t="str">
        <f>'R3'!T38</f>
        <v/>
      </c>
      <c r="U48" s="154" t="str">
        <f>'R3'!U38</f>
        <v/>
      </c>
      <c r="V48" s="154" t="str">
        <f>'R3'!V38</f>
        <v/>
      </c>
    </row>
    <row r="49" spans="1:24" s="1" customFormat="1" x14ac:dyDescent="0.25">
      <c r="A49" s="229"/>
      <c r="B49" s="154" t="str">
        <f>'R3'!B39</f>
        <v/>
      </c>
      <c r="C49" s="154" t="str">
        <f>'R3'!C39</f>
        <v/>
      </c>
      <c r="D49" s="154" t="str">
        <f>'R3'!D39</f>
        <v/>
      </c>
      <c r="E49" s="154" t="str">
        <f>'R3'!E39</f>
        <v/>
      </c>
      <c r="F49" s="154" t="str">
        <f>'R3'!F39</f>
        <v/>
      </c>
      <c r="G49" s="154" t="str">
        <f>'R3'!G39</f>
        <v/>
      </c>
      <c r="H49" s="154" t="str">
        <f>'R3'!H39</f>
        <v/>
      </c>
      <c r="I49" s="154" t="str">
        <f>'R3'!I39</f>
        <v/>
      </c>
      <c r="J49" s="154" t="str">
        <f>'R3'!J39</f>
        <v/>
      </c>
      <c r="K49" s="154" t="str">
        <f>'R3'!K39</f>
        <v/>
      </c>
      <c r="L49" s="154" t="str">
        <f>'R3'!L39</f>
        <v/>
      </c>
      <c r="M49" s="154" t="str">
        <f>'R3'!M39</f>
        <v/>
      </c>
      <c r="N49"/>
      <c r="O49" s="154">
        <f>'R3'!O39</f>
        <v>0.60768824642948427</v>
      </c>
      <c r="P49" s="154" t="str">
        <f>'R3'!P39</f>
        <v/>
      </c>
      <c r="Q49" s="154" t="str">
        <f>'R3'!Q39</f>
        <v/>
      </c>
      <c r="R49" s="154" t="str">
        <f>'R3'!R39</f>
        <v/>
      </c>
      <c r="S49" s="154" t="str">
        <f>'R3'!S39</f>
        <v/>
      </c>
      <c r="T49" s="154" t="str">
        <f>'R3'!T39</f>
        <v/>
      </c>
      <c r="U49" s="154" t="str">
        <f>'R3'!U39</f>
        <v/>
      </c>
      <c r="V49" s="154" t="str">
        <f>'R3'!V39</f>
        <v/>
      </c>
    </row>
    <row r="50" spans="1:24" s="1" customFormat="1" x14ac:dyDescent="0.25">
      <c r="A50" s="229"/>
      <c r="B50" s="154" t="str">
        <f>'R3'!B40</f>
        <v/>
      </c>
      <c r="C50" s="154" t="str">
        <f>'R3'!C40</f>
        <v/>
      </c>
      <c r="D50" s="154" t="str">
        <f>'R3'!D40</f>
        <v/>
      </c>
      <c r="E50" s="154" t="str">
        <f>'R3'!E40</f>
        <v/>
      </c>
      <c r="F50" s="154" t="str">
        <f>'R3'!F40</f>
        <v/>
      </c>
      <c r="G50" s="154" t="str">
        <f>'R3'!G40</f>
        <v/>
      </c>
      <c r="H50" s="154" t="str">
        <f>'R3'!H40</f>
        <v/>
      </c>
      <c r="I50" s="154" t="str">
        <f>'R3'!I40</f>
        <v/>
      </c>
      <c r="J50" s="154" t="str">
        <f>'R3'!J40</f>
        <v/>
      </c>
      <c r="K50" s="154" t="str">
        <f>'R3'!K40</f>
        <v/>
      </c>
      <c r="L50" s="154" t="str">
        <f>'R3'!L40</f>
        <v/>
      </c>
      <c r="M50" s="154" t="str">
        <f>'R3'!M40</f>
        <v/>
      </c>
      <c r="N50"/>
      <c r="O50" s="154">
        <f>'R3'!O40</f>
        <v>0.99584944270930364</v>
      </c>
      <c r="P50" s="154" t="str">
        <f>'R3'!P40</f>
        <v/>
      </c>
      <c r="Q50" s="154" t="str">
        <f>'R3'!Q40</f>
        <v/>
      </c>
      <c r="R50" s="154" t="str">
        <f>'R3'!R40</f>
        <v/>
      </c>
      <c r="S50" s="154" t="str">
        <f>'R3'!S40</f>
        <v/>
      </c>
      <c r="T50" s="154" t="str">
        <f>'R3'!T40</f>
        <v/>
      </c>
      <c r="U50" s="154" t="str">
        <f>'R3'!U40</f>
        <v/>
      </c>
      <c r="V50" s="154" t="str">
        <f>'R3'!V40</f>
        <v/>
      </c>
    </row>
    <row r="51" spans="1:24" s="1" customFormat="1" x14ac:dyDescent="0.25">
      <c r="A51" s="229"/>
      <c r="B51" s="154" t="str">
        <f>'R3'!B41</f>
        <v/>
      </c>
      <c r="C51" s="154" t="str">
        <f>'R3'!C41</f>
        <v/>
      </c>
      <c r="D51" s="154" t="str">
        <f>'R3'!D41</f>
        <v/>
      </c>
      <c r="E51" s="154" t="str">
        <f>'R3'!E41</f>
        <v/>
      </c>
      <c r="F51" s="154" t="str">
        <f>'R3'!F41</f>
        <v/>
      </c>
      <c r="G51" s="154" t="str">
        <f>'R3'!G41</f>
        <v/>
      </c>
      <c r="H51" s="154" t="str">
        <f>'R3'!H41</f>
        <v/>
      </c>
      <c r="I51" s="154" t="str">
        <f>'R3'!I41</f>
        <v/>
      </c>
      <c r="J51" s="154" t="str">
        <f>'R3'!J41</f>
        <v/>
      </c>
      <c r="K51" s="154" t="str">
        <f>'R3'!K41</f>
        <v/>
      </c>
      <c r="L51" s="154" t="str">
        <f>'R3'!L41</f>
        <v/>
      </c>
      <c r="M51" s="154" t="str">
        <f>'R3'!M41</f>
        <v/>
      </c>
      <c r="N51"/>
      <c r="O51" s="154">
        <f>'R3'!O41</f>
        <v>1.5097024981697995</v>
      </c>
      <c r="P51" s="154" t="str">
        <f>'R3'!P41</f>
        <v/>
      </c>
      <c r="Q51" s="154" t="str">
        <f>'R3'!Q41</f>
        <v/>
      </c>
      <c r="R51" s="154" t="str">
        <f>'R3'!R41</f>
        <v/>
      </c>
      <c r="S51" s="154" t="str">
        <f>'R3'!S41</f>
        <v/>
      </c>
      <c r="T51" s="154" t="str">
        <f>'R3'!T41</f>
        <v/>
      </c>
      <c r="U51" s="154" t="str">
        <f>'R3'!U41</f>
        <v/>
      </c>
      <c r="V51" s="154" t="str">
        <f>'R3'!V41</f>
        <v/>
      </c>
    </row>
    <row r="52" spans="1:24" s="1" customFormat="1" x14ac:dyDescent="0.25">
      <c r="A52" s="229"/>
      <c r="B52" s="154" t="str">
        <f>'R3'!B42</f>
        <v/>
      </c>
      <c r="C52" s="154" t="str">
        <f>'R3'!C42</f>
        <v/>
      </c>
      <c r="D52" s="154" t="str">
        <f>'R3'!D42</f>
        <v/>
      </c>
      <c r="E52" s="154" t="str">
        <f>'R3'!E42</f>
        <v/>
      </c>
      <c r="F52" s="154" t="str">
        <f>'R3'!F42</f>
        <v/>
      </c>
      <c r="G52" s="154" t="str">
        <f>'R3'!G42</f>
        <v/>
      </c>
      <c r="H52" s="154" t="str">
        <f>'R3'!H42</f>
        <v/>
      </c>
      <c r="I52" s="154" t="str">
        <f>'R3'!I42</f>
        <v/>
      </c>
      <c r="J52" s="154" t="str">
        <f>'R3'!J42</f>
        <v/>
      </c>
      <c r="K52" s="154" t="str">
        <f>'R3'!K42</f>
        <v/>
      </c>
      <c r="L52" s="154" t="str">
        <f>'R3'!L42</f>
        <v/>
      </c>
      <c r="M52" s="154" t="str">
        <f>'R3'!M42</f>
        <v/>
      </c>
      <c r="N52"/>
      <c r="O52" s="154">
        <f>'R3'!O42</f>
        <v>1.571056959311065</v>
      </c>
      <c r="P52" s="154" t="str">
        <f>'R3'!P42</f>
        <v/>
      </c>
      <c r="Q52" s="154" t="str">
        <f>'R3'!Q42</f>
        <v/>
      </c>
      <c r="R52" s="154" t="str">
        <f>'R3'!R42</f>
        <v/>
      </c>
      <c r="S52" s="154" t="str">
        <f>'R3'!S42</f>
        <v/>
      </c>
      <c r="T52" s="154" t="str">
        <f>'R3'!T42</f>
        <v/>
      </c>
      <c r="U52" s="154" t="str">
        <f>'R3'!U42</f>
        <v/>
      </c>
      <c r="V52" s="154" t="str">
        <f>'R3'!V42</f>
        <v/>
      </c>
    </row>
    <row r="53" spans="1:24" s="1" customFormat="1" x14ac:dyDescent="0.25">
      <c r="A53" s="230"/>
      <c r="B53" s="154" t="str">
        <f>'R3'!B43</f>
        <v/>
      </c>
      <c r="C53" s="154" t="str">
        <f>'R3'!C43</f>
        <v/>
      </c>
      <c r="D53" s="154" t="str">
        <f>'R3'!D43</f>
        <v/>
      </c>
      <c r="E53" s="154" t="str">
        <f>'R3'!E43</f>
        <v/>
      </c>
      <c r="F53" s="154" t="str">
        <f>'R3'!F43</f>
        <v/>
      </c>
      <c r="G53" s="154" t="str">
        <f>'R3'!G43</f>
        <v/>
      </c>
      <c r="H53" s="154" t="str">
        <f>'R3'!H43</f>
        <v/>
      </c>
      <c r="I53" s="154" t="str">
        <f>'R3'!I43</f>
        <v/>
      </c>
      <c r="J53" s="154" t="str">
        <f>'R3'!J43</f>
        <v/>
      </c>
      <c r="K53" s="154" t="str">
        <f>'R3'!K43</f>
        <v/>
      </c>
      <c r="L53" s="154" t="str">
        <f>'R3'!L43</f>
        <v/>
      </c>
      <c r="M53" s="154" t="str">
        <f>'R3'!M43</f>
        <v/>
      </c>
      <c r="N53"/>
      <c r="O53" s="154">
        <f>'R3'!O43</f>
        <v>1.2975481635181441</v>
      </c>
      <c r="P53" s="154" t="str">
        <f>'R3'!P43</f>
        <v/>
      </c>
      <c r="Q53" s="154" t="str">
        <f>'R3'!Q43</f>
        <v/>
      </c>
      <c r="R53" s="154" t="str">
        <f>'R3'!R43</f>
        <v/>
      </c>
      <c r="S53" s="154" t="str">
        <f>'R3'!S43</f>
        <v/>
      </c>
      <c r="T53" s="154" t="str">
        <f>'R3'!T43</f>
        <v/>
      </c>
      <c r="U53" s="154" t="str">
        <f>'R3'!U43</f>
        <v/>
      </c>
      <c r="V53" s="154" t="str">
        <f>'R3'!V43</f>
        <v/>
      </c>
    </row>
    <row r="54" spans="1:24" s="60" customFormat="1" x14ac:dyDescent="0.25">
      <c r="A54" s="58"/>
      <c r="B54" s="59"/>
      <c r="C54" s="59"/>
      <c r="D54" s="59"/>
      <c r="E54" s="59"/>
      <c r="F54" s="59"/>
      <c r="G54" s="59"/>
      <c r="H54" s="59"/>
      <c r="I54" s="59"/>
      <c r="J54" s="59"/>
      <c r="K54" s="59"/>
      <c r="L54" s="59"/>
      <c r="M54" s="59"/>
      <c r="N54"/>
      <c r="O54" s="59"/>
      <c r="P54" s="59"/>
      <c r="Q54" s="59"/>
      <c r="R54" s="59"/>
      <c r="S54" s="59"/>
      <c r="T54" s="59"/>
      <c r="U54" s="59"/>
      <c r="V54" s="59"/>
    </row>
    <row r="55" spans="1:24" s="41" customFormat="1" x14ac:dyDescent="0.25">
      <c r="A55" s="41" t="s">
        <v>47</v>
      </c>
      <c r="B55" s="15" t="str">
        <f t="shared" ref="B55:M55" si="0">B4</f>
        <v>Témoin solvant</v>
      </c>
      <c r="C55" s="15" t="str">
        <f t="shared" si="0"/>
        <v>EE2-33,8ng/L</v>
      </c>
      <c r="D55" s="15" t="str">
        <f t="shared" si="0"/>
        <v>EE2-50,6ng/L</v>
      </c>
      <c r="E55" s="15" t="str">
        <f t="shared" si="0"/>
        <v>EE2-76ng/L</v>
      </c>
      <c r="F55" s="15" t="str">
        <f t="shared" si="0"/>
        <v>EE2-114ng/L</v>
      </c>
      <c r="G55" s="15" t="str">
        <f t="shared" si="0"/>
        <v>EE2-170,9ng/L</v>
      </c>
      <c r="H55" s="15" t="str">
        <f t="shared" si="0"/>
        <v>EE2-488ng/L</v>
      </c>
      <c r="I55" s="15" t="str">
        <f t="shared" si="0"/>
        <v>Testosterone 3,7µg/L</v>
      </c>
      <c r="J55" s="15" t="str">
        <f t="shared" si="0"/>
        <v>Testosterone 11µg/L</v>
      </c>
      <c r="K55" s="15" t="str">
        <f t="shared" si="0"/>
        <v>Testosterone 33µg/L</v>
      </c>
      <c r="L55" s="15" t="str">
        <f t="shared" si="0"/>
        <v>Testosterone 100µg/L</v>
      </c>
      <c r="M55" s="15" t="str">
        <f t="shared" si="0"/>
        <v>Testosterone 300µg/L</v>
      </c>
      <c r="O55" s="15" t="str">
        <f t="shared" ref="O55:V55" si="1">O4</f>
        <v>Testo -30µg/L</v>
      </c>
      <c r="P55" s="15" t="str">
        <f t="shared" si="1"/>
        <v>Testo 30µg/L + EE2 -64ng/L</v>
      </c>
      <c r="Q55" s="15" t="str">
        <f t="shared" si="1"/>
        <v>Testo 30µg/L + FAD-10µg/L</v>
      </c>
      <c r="R55" s="15" t="str">
        <f t="shared" si="1"/>
        <v>Testosterone-3,7µg/L + Testostérone</v>
      </c>
      <c r="S55" s="15" t="str">
        <f t="shared" si="1"/>
        <v>Testosterone-11µg/L + Testostérone</v>
      </c>
      <c r="T55" s="15" t="str">
        <f t="shared" si="1"/>
        <v>Testosterone-33µg/L + Testostérone</v>
      </c>
      <c r="U55" s="15" t="str">
        <f t="shared" si="1"/>
        <v>Testosterone-100µg/L + Testostérone</v>
      </c>
      <c r="V55" s="15" t="str">
        <f t="shared" si="1"/>
        <v>Testosterone-300µg/L + Testostérone</v>
      </c>
    </row>
    <row r="56" spans="1:24" x14ac:dyDescent="0.25">
      <c r="A56" t="s">
        <v>48</v>
      </c>
      <c r="B56" s="9">
        <f t="shared" ref="B56:V56" si="2">AVERAGE(B6:B53)</f>
        <v>6.2286370174278488E-2</v>
      </c>
      <c r="C56" s="9">
        <f t="shared" si="2"/>
        <v>6.853706092183201E-2</v>
      </c>
      <c r="D56" s="9">
        <f t="shared" si="2"/>
        <v>8.8409067722279633E-2</v>
      </c>
      <c r="E56" s="9">
        <f t="shared" si="2"/>
        <v>0.36510161146746928</v>
      </c>
      <c r="F56" s="9">
        <f t="shared" si="2"/>
        <v>0.84845099618394892</v>
      </c>
      <c r="G56" s="9">
        <f t="shared" si="2"/>
        <v>1.4650561552103429</v>
      </c>
      <c r="H56" s="9">
        <f t="shared" si="2"/>
        <v>2.6495366796783957</v>
      </c>
      <c r="I56" s="9">
        <f t="shared" si="2"/>
        <v>8.0943133212406315E-2</v>
      </c>
      <c r="J56" s="9">
        <f t="shared" si="2"/>
        <v>7.8562709317890861E-2</v>
      </c>
      <c r="K56" s="9">
        <f t="shared" si="2"/>
        <v>0.82722760035766196</v>
      </c>
      <c r="L56" s="9">
        <f t="shared" si="2"/>
        <v>0.8441954206437069</v>
      </c>
      <c r="M56" s="9">
        <f t="shared" si="2"/>
        <v>1.0207455530911727</v>
      </c>
      <c r="N56" s="9"/>
      <c r="O56" s="9">
        <f t="shared" si="2"/>
        <v>1.0000000000000002</v>
      </c>
      <c r="P56" s="9">
        <f t="shared" si="2"/>
        <v>1.659070767091235</v>
      </c>
      <c r="Q56" s="9">
        <f t="shared" si="2"/>
        <v>0.12880738499348809</v>
      </c>
      <c r="R56" s="9">
        <f t="shared" si="2"/>
        <v>1.0041967810406445</v>
      </c>
      <c r="S56" s="9">
        <f t="shared" si="2"/>
        <v>0.88714122335761203</v>
      </c>
      <c r="T56" s="9">
        <f t="shared" si="2"/>
        <v>0.9048157791547472</v>
      </c>
      <c r="U56" s="9">
        <f t="shared" si="2"/>
        <v>0.82700716739744118</v>
      </c>
      <c r="V56" s="9">
        <f t="shared" si="2"/>
        <v>1.0080036332109545</v>
      </c>
    </row>
    <row r="57" spans="1:24" x14ac:dyDescent="0.25">
      <c r="A57" t="s">
        <v>1</v>
      </c>
      <c r="B57" s="3">
        <f>STDEV(B6:B53)</f>
        <v>7.941675199117397E-2</v>
      </c>
      <c r="C57" s="3">
        <f t="shared" ref="C57:V57" si="3">STDEV(C6:C53)</f>
        <v>5.5265432802195716E-2</v>
      </c>
      <c r="D57" s="3">
        <f t="shared" si="3"/>
        <v>6.5585400826593115E-2</v>
      </c>
      <c r="E57" s="3">
        <f t="shared" si="3"/>
        <v>0.35430275659534854</v>
      </c>
      <c r="F57" s="3">
        <f t="shared" si="3"/>
        <v>0.4460752206773726</v>
      </c>
      <c r="G57" s="3">
        <f t="shared" si="3"/>
        <v>0.47759069280117117</v>
      </c>
      <c r="H57" s="3">
        <f t="shared" si="3"/>
        <v>0.85486316912939619</v>
      </c>
      <c r="I57" s="3">
        <f t="shared" si="3"/>
        <v>7.0759711767154995E-2</v>
      </c>
      <c r="J57" s="3">
        <f t="shared" si="3"/>
        <v>7.3903231906804284E-2</v>
      </c>
      <c r="K57" s="3">
        <f t="shared" si="3"/>
        <v>0.53115661538311598</v>
      </c>
      <c r="L57" s="3">
        <f t="shared" si="3"/>
        <v>0.59657687676435145</v>
      </c>
      <c r="M57" s="3">
        <f t="shared" si="3"/>
        <v>0.57173543635129487</v>
      </c>
      <c r="N57" s="3"/>
      <c r="O57" s="3">
        <f t="shared" si="3"/>
        <v>0.55981676240236344</v>
      </c>
      <c r="P57" s="3">
        <f t="shared" si="3"/>
        <v>0.87769672049006398</v>
      </c>
      <c r="Q57" s="3">
        <f t="shared" si="3"/>
        <v>0.12194641917759128</v>
      </c>
      <c r="R57" s="3">
        <f t="shared" si="3"/>
        <v>0.69046635918164445</v>
      </c>
      <c r="S57" s="3">
        <f t="shared" si="3"/>
        <v>0.75516924884065739</v>
      </c>
      <c r="T57" s="3">
        <f t="shared" si="3"/>
        <v>0.44451836284872687</v>
      </c>
      <c r="U57" s="3">
        <f t="shared" si="3"/>
        <v>0.59336676443714642</v>
      </c>
      <c r="V57" s="3">
        <f t="shared" si="3"/>
        <v>0.68953094090419798</v>
      </c>
      <c r="W57" s="3"/>
      <c r="X57" s="3"/>
    </row>
    <row r="58" spans="1:24" x14ac:dyDescent="0.25">
      <c r="A58" t="s">
        <v>2</v>
      </c>
      <c r="B58" s="3">
        <f xml:space="preserve"> B57/SQRT(COUNT(B6:B53))</f>
        <v>1.6210876617294683E-2</v>
      </c>
      <c r="C58" s="3">
        <f t="shared" ref="C58:V58" si="4" xml:space="preserve"> C57/SQRT(COUNT(C6:C53))</f>
        <v>1.1281009231620951E-2</v>
      </c>
      <c r="D58" s="3">
        <f t="shared" si="4"/>
        <v>1.3387563883421934E-2</v>
      </c>
      <c r="E58" s="3">
        <f t="shared" si="4"/>
        <v>7.3877231690285483E-2</v>
      </c>
      <c r="F58" s="3">
        <f t="shared" si="4"/>
        <v>9.3013113264922676E-2</v>
      </c>
      <c r="G58" s="3">
        <f t="shared" si="4"/>
        <v>9.9584543468548614E-2</v>
      </c>
      <c r="H58" s="3">
        <f t="shared" si="4"/>
        <v>0.17449821368879812</v>
      </c>
      <c r="I58" s="3">
        <f t="shared" si="4"/>
        <v>1.4443765681328361E-2</v>
      </c>
      <c r="J58" s="3">
        <f t="shared" si="4"/>
        <v>1.5409889097971408E-2</v>
      </c>
      <c r="K58" s="3">
        <f t="shared" si="4"/>
        <v>0.10842189009936436</v>
      </c>
      <c r="L58" s="3">
        <f t="shared" si="4"/>
        <v>0.12177574503465859</v>
      </c>
      <c r="M58" s="3">
        <f t="shared" si="4"/>
        <v>0.11921507950645623</v>
      </c>
      <c r="N58" s="3"/>
      <c r="O58" s="3">
        <f t="shared" si="4"/>
        <v>8.1657667288199606E-2</v>
      </c>
      <c r="P58" s="3">
        <f t="shared" si="4"/>
        <v>0.17915909284290382</v>
      </c>
      <c r="Q58" s="3">
        <f t="shared" si="4"/>
        <v>2.5427586141173873E-2</v>
      </c>
      <c r="R58" s="3">
        <f t="shared" si="4"/>
        <v>0.14094085537935699</v>
      </c>
      <c r="S58" s="3">
        <f t="shared" si="4"/>
        <v>0.15414827742503898</v>
      </c>
      <c r="T58" s="3">
        <f t="shared" si="4"/>
        <v>9.0736930856393963E-2</v>
      </c>
      <c r="U58" s="3">
        <f t="shared" si="4"/>
        <v>0.12372552320755391</v>
      </c>
      <c r="V58" s="3">
        <f t="shared" si="4"/>
        <v>0.1407499139230389</v>
      </c>
      <c r="W58" s="3"/>
      <c r="X58" s="3"/>
    </row>
    <row r="59" spans="1:24" s="1" customFormat="1" ht="15.75" thickBot="1" x14ac:dyDescent="0.3">
      <c r="B59" s="3"/>
      <c r="C59" s="3"/>
      <c r="D59" s="3"/>
      <c r="E59" s="3"/>
      <c r="F59" s="3"/>
      <c r="G59" s="3"/>
      <c r="H59" s="3"/>
      <c r="I59" s="3"/>
      <c r="J59" s="3"/>
      <c r="K59" s="3"/>
      <c r="L59" s="3"/>
      <c r="M59" s="3"/>
      <c r="N59" s="3"/>
      <c r="O59" s="3"/>
      <c r="P59" s="3"/>
      <c r="Q59" s="3"/>
      <c r="R59" s="3"/>
      <c r="S59" s="3"/>
      <c r="T59" s="3"/>
      <c r="U59" s="3"/>
      <c r="V59" s="3"/>
    </row>
    <row r="60" spans="1:24" s="48" customFormat="1" ht="27" thickBot="1" x14ac:dyDescent="0.3">
      <c r="A60" s="231" t="s">
        <v>46</v>
      </c>
      <c r="B60" s="232"/>
      <c r="C60" s="232"/>
      <c r="D60" s="232"/>
      <c r="E60" s="232"/>
      <c r="F60" s="232"/>
      <c r="G60" s="232"/>
      <c r="H60" s="232"/>
      <c r="I60" s="232"/>
      <c r="J60" s="232"/>
      <c r="K60" s="232"/>
      <c r="L60" s="232"/>
      <c r="M60" s="232"/>
      <c r="N60" s="232"/>
      <c r="O60" s="232"/>
      <c r="P60" s="232"/>
      <c r="Q60" s="232"/>
      <c r="R60" s="232"/>
      <c r="S60" s="232"/>
      <c r="T60" s="232"/>
      <c r="U60" s="232"/>
      <c r="V60" s="232"/>
    </row>
    <row r="61" spans="1:24" s="1" customFormat="1" x14ac:dyDescent="0.25">
      <c r="B61" s="3"/>
      <c r="C61" s="3"/>
      <c r="D61" s="3"/>
      <c r="E61" s="3"/>
      <c r="F61" s="3"/>
      <c r="G61" s="3"/>
      <c r="H61" s="3"/>
      <c r="I61" s="3"/>
      <c r="J61" s="3"/>
      <c r="K61" s="3"/>
      <c r="L61" s="3"/>
      <c r="M61" s="3"/>
      <c r="N61" s="3"/>
      <c r="O61" s="3"/>
      <c r="P61" s="3"/>
      <c r="Q61" s="3"/>
      <c r="R61" s="3"/>
      <c r="S61" s="3"/>
      <c r="T61" s="3"/>
      <c r="U61" s="3"/>
      <c r="V61" s="3"/>
    </row>
    <row r="62" spans="1:24" s="1" customFormat="1" x14ac:dyDescent="0.25">
      <c r="A62" s="1" t="s">
        <v>47</v>
      </c>
      <c r="B62" s="3" t="str">
        <f t="shared" ref="B62" si="5">B4</f>
        <v>Témoin solvant</v>
      </c>
      <c r="C62" s="3" t="str">
        <f t="shared" ref="C62:V62" si="6">C4</f>
        <v>EE2-33,8ng/L</v>
      </c>
      <c r="D62" s="3" t="str">
        <f t="shared" si="6"/>
        <v>EE2-50,6ng/L</v>
      </c>
      <c r="E62" s="3" t="str">
        <f t="shared" si="6"/>
        <v>EE2-76ng/L</v>
      </c>
      <c r="F62" s="3" t="str">
        <f t="shared" si="6"/>
        <v>EE2-114ng/L</v>
      </c>
      <c r="G62" s="3" t="str">
        <f t="shared" si="6"/>
        <v>EE2-170,9ng/L</v>
      </c>
      <c r="H62" s="3" t="str">
        <f t="shared" si="6"/>
        <v>EE2-488ng/L</v>
      </c>
      <c r="I62" s="3" t="str">
        <f t="shared" si="6"/>
        <v>Testosterone 3,7µg/L</v>
      </c>
      <c r="J62" s="3" t="str">
        <f t="shared" si="6"/>
        <v>Testosterone 11µg/L</v>
      </c>
      <c r="K62" s="3" t="str">
        <f t="shared" si="6"/>
        <v>Testosterone 33µg/L</v>
      </c>
      <c r="L62" s="3" t="str">
        <f t="shared" si="6"/>
        <v>Testosterone 100µg/L</v>
      </c>
      <c r="M62" s="3" t="str">
        <f t="shared" si="6"/>
        <v>Testosterone 300µg/L</v>
      </c>
      <c r="N62" s="3"/>
      <c r="O62" s="3" t="str">
        <f t="shared" si="6"/>
        <v>Testo -30µg/L</v>
      </c>
      <c r="P62" s="3" t="str">
        <f t="shared" si="6"/>
        <v>Testo 30µg/L + EE2 -64ng/L</v>
      </c>
      <c r="Q62" s="3" t="str">
        <f t="shared" si="6"/>
        <v>Testo 30µg/L + FAD-10µg/L</v>
      </c>
      <c r="R62" s="3" t="str">
        <f t="shared" si="6"/>
        <v>Testosterone-3,7µg/L + Testostérone</v>
      </c>
      <c r="S62" s="3" t="str">
        <f t="shared" si="6"/>
        <v>Testosterone-11µg/L + Testostérone</v>
      </c>
      <c r="T62" s="3" t="str">
        <f t="shared" si="6"/>
        <v>Testosterone-33µg/L + Testostérone</v>
      </c>
      <c r="U62" s="3" t="str">
        <f t="shared" si="6"/>
        <v>Testosterone-100µg/L + Testostérone</v>
      </c>
      <c r="V62" s="3" t="str">
        <f t="shared" si="6"/>
        <v>Testosterone-300µg/L + Testostérone</v>
      </c>
    </row>
    <row r="63" spans="1:24" s="1" customFormat="1" x14ac:dyDescent="0.25">
      <c r="A63" s="1" t="s">
        <v>49</v>
      </c>
      <c r="B63" s="3">
        <f>COUNT(B6:B53)</f>
        <v>24</v>
      </c>
      <c r="C63" s="3">
        <f t="shared" ref="C63:V63" si="7">COUNT(C6:C53)</f>
        <v>24</v>
      </c>
      <c r="D63" s="3">
        <f t="shared" si="7"/>
        <v>24</v>
      </c>
      <c r="E63" s="3">
        <f t="shared" si="7"/>
        <v>23</v>
      </c>
      <c r="F63" s="3">
        <f t="shared" si="7"/>
        <v>23</v>
      </c>
      <c r="G63" s="3">
        <f t="shared" si="7"/>
        <v>23</v>
      </c>
      <c r="H63" s="3">
        <f t="shared" si="7"/>
        <v>24</v>
      </c>
      <c r="I63" s="3">
        <f t="shared" si="7"/>
        <v>24</v>
      </c>
      <c r="J63" s="3">
        <f t="shared" si="7"/>
        <v>23</v>
      </c>
      <c r="K63" s="3">
        <f t="shared" si="7"/>
        <v>24</v>
      </c>
      <c r="L63" s="3">
        <f t="shared" si="7"/>
        <v>24</v>
      </c>
      <c r="M63" s="3">
        <f t="shared" si="7"/>
        <v>23</v>
      </c>
      <c r="N63" s="3"/>
      <c r="O63" s="3">
        <f t="shared" si="7"/>
        <v>47</v>
      </c>
      <c r="P63" s="3">
        <f t="shared" si="7"/>
        <v>24</v>
      </c>
      <c r="Q63" s="3">
        <f t="shared" si="7"/>
        <v>23</v>
      </c>
      <c r="R63" s="3">
        <f t="shared" si="7"/>
        <v>24</v>
      </c>
      <c r="S63" s="3">
        <f t="shared" si="7"/>
        <v>24</v>
      </c>
      <c r="T63" s="3">
        <f t="shared" si="7"/>
        <v>24</v>
      </c>
      <c r="U63" s="3">
        <f t="shared" si="7"/>
        <v>23</v>
      </c>
      <c r="V63" s="3">
        <f t="shared" si="7"/>
        <v>24</v>
      </c>
    </row>
    <row r="64" spans="1:24" s="1" customFormat="1" ht="15.75" thickBot="1" x14ac:dyDescent="0.3">
      <c r="B64" s="3" t="str">
        <f>IF(B63&gt;=21,"OK","ATTENTION")</f>
        <v>OK</v>
      </c>
      <c r="C64" s="3" t="str">
        <f t="shared" ref="C64:V64" si="8">IF(C63&gt;=21,"OK","ATTENTION")</f>
        <v>OK</v>
      </c>
      <c r="D64" s="3" t="str">
        <f t="shared" si="8"/>
        <v>OK</v>
      </c>
      <c r="E64" s="3" t="str">
        <f t="shared" si="8"/>
        <v>OK</v>
      </c>
      <c r="F64" s="3" t="str">
        <f t="shared" si="8"/>
        <v>OK</v>
      </c>
      <c r="G64" s="3" t="str">
        <f t="shared" si="8"/>
        <v>OK</v>
      </c>
      <c r="H64" s="3" t="str">
        <f t="shared" si="8"/>
        <v>OK</v>
      </c>
      <c r="I64" s="3" t="str">
        <f t="shared" si="8"/>
        <v>OK</v>
      </c>
      <c r="J64" s="3" t="str">
        <f t="shared" si="8"/>
        <v>OK</v>
      </c>
      <c r="K64" s="3" t="str">
        <f t="shared" si="8"/>
        <v>OK</v>
      </c>
      <c r="L64" s="3" t="str">
        <f t="shared" si="8"/>
        <v>OK</v>
      </c>
      <c r="M64" s="3" t="str">
        <f t="shared" si="8"/>
        <v>OK</v>
      </c>
      <c r="N64" s="3"/>
      <c r="O64" s="3" t="str">
        <f>IF(O63&gt;=41,"OK","ATTENTION")</f>
        <v>OK</v>
      </c>
      <c r="P64" s="3" t="str">
        <f t="shared" si="8"/>
        <v>OK</v>
      </c>
      <c r="Q64" s="3" t="str">
        <f t="shared" si="8"/>
        <v>OK</v>
      </c>
      <c r="R64" s="3" t="str">
        <f t="shared" si="8"/>
        <v>OK</v>
      </c>
      <c r="S64" s="3" t="str">
        <f t="shared" si="8"/>
        <v>OK</v>
      </c>
      <c r="T64" s="3" t="str">
        <f t="shared" si="8"/>
        <v>OK</v>
      </c>
      <c r="U64" s="3" t="str">
        <f t="shared" si="8"/>
        <v>OK</v>
      </c>
      <c r="V64" s="3" t="str">
        <f t="shared" si="8"/>
        <v>OK</v>
      </c>
    </row>
    <row r="65" spans="1:22" s="48" customFormat="1" ht="27" thickBot="1" x14ac:dyDescent="0.3">
      <c r="A65" s="231" t="s">
        <v>58</v>
      </c>
      <c r="B65" s="232"/>
      <c r="C65" s="232"/>
      <c r="D65" s="232"/>
      <c r="E65" s="232"/>
      <c r="F65" s="232"/>
      <c r="G65" s="232"/>
      <c r="H65" s="232"/>
      <c r="I65" s="232"/>
      <c r="J65" s="232"/>
      <c r="K65" s="232"/>
      <c r="L65" s="232"/>
      <c r="M65" s="232"/>
      <c r="N65" s="232"/>
      <c r="O65" s="232"/>
      <c r="P65" s="232"/>
      <c r="Q65" s="232"/>
      <c r="R65" s="232"/>
      <c r="S65" s="232"/>
      <c r="T65" s="232"/>
      <c r="U65" s="232"/>
      <c r="V65" s="232"/>
    </row>
    <row r="66" spans="1:22" s="1" customFormat="1" x14ac:dyDescent="0.25">
      <c r="B66" s="1" t="s">
        <v>61</v>
      </c>
      <c r="C66" s="3"/>
      <c r="D66" s="3"/>
      <c r="E66" s="3"/>
      <c r="F66" s="3"/>
      <c r="G66" s="3"/>
      <c r="H66" s="3"/>
      <c r="I66" s="3"/>
      <c r="J66" s="3"/>
      <c r="K66" s="3"/>
      <c r="L66" s="3"/>
      <c r="M66" s="3"/>
      <c r="N66" s="3"/>
      <c r="O66" s="3"/>
      <c r="P66" s="3"/>
      <c r="Q66" s="3"/>
      <c r="R66" s="3"/>
      <c r="S66" s="3"/>
      <c r="T66" s="3"/>
      <c r="U66" s="3"/>
      <c r="V66" s="3"/>
    </row>
    <row r="67" spans="1:22" s="1" customFormat="1" x14ac:dyDescent="0.25">
      <c r="A67" s="1" t="s">
        <v>59</v>
      </c>
      <c r="B67" s="3">
        <v>3.5</v>
      </c>
      <c r="C67" s="3"/>
      <c r="D67" s="3"/>
      <c r="E67" s="3"/>
      <c r="F67" s="3"/>
      <c r="G67" s="3"/>
      <c r="H67" s="3"/>
      <c r="I67" s="3"/>
      <c r="J67" s="3"/>
      <c r="K67" s="3"/>
      <c r="L67" s="3"/>
      <c r="M67" s="3"/>
      <c r="N67" s="3"/>
      <c r="O67" s="3"/>
      <c r="P67" s="3"/>
      <c r="Q67" s="3"/>
      <c r="R67" s="3"/>
      <c r="S67" s="3"/>
      <c r="T67" s="3"/>
      <c r="U67" s="3"/>
      <c r="V67" s="3"/>
    </row>
    <row r="68" spans="1:22" s="1" customFormat="1" x14ac:dyDescent="0.25">
      <c r="A68" s="1" t="s">
        <v>62</v>
      </c>
      <c r="B68" s="3">
        <v>2</v>
      </c>
      <c r="C68" s="3"/>
      <c r="D68" s="3"/>
      <c r="E68" s="3"/>
      <c r="F68" s="3"/>
      <c r="G68" s="3"/>
      <c r="H68" s="3"/>
      <c r="I68" s="3"/>
      <c r="J68" s="3"/>
      <c r="K68" s="3"/>
      <c r="L68" s="3"/>
      <c r="M68" s="3"/>
      <c r="N68" s="3"/>
      <c r="O68" s="3"/>
      <c r="P68" s="3"/>
      <c r="Q68" s="3"/>
      <c r="R68" s="3"/>
      <c r="S68" s="3"/>
      <c r="T68" s="3"/>
      <c r="U68" s="3"/>
      <c r="V68" s="3"/>
    </row>
    <row r="69" spans="1:22" s="1" customFormat="1" ht="15.75" thickBot="1" x14ac:dyDescent="0.3">
      <c r="A69" s="1" t="s">
        <v>63</v>
      </c>
      <c r="B69" s="3">
        <v>0.5</v>
      </c>
      <c r="C69" s="3"/>
      <c r="D69" s="3"/>
      <c r="E69" s="3"/>
      <c r="F69" s="3"/>
      <c r="G69" s="3"/>
      <c r="H69" s="3"/>
      <c r="I69" s="3"/>
      <c r="J69" s="3"/>
      <c r="K69" s="3"/>
      <c r="L69" s="3"/>
      <c r="M69" s="3"/>
      <c r="N69" s="3"/>
      <c r="O69" s="3"/>
      <c r="P69" s="3"/>
      <c r="Q69" s="3"/>
      <c r="R69" s="3"/>
      <c r="S69" s="3"/>
      <c r="T69" s="3"/>
      <c r="U69" s="3"/>
      <c r="V69" s="3"/>
    </row>
    <row r="70" spans="1:22" s="48" customFormat="1" ht="27" thickBot="1" x14ac:dyDescent="0.3">
      <c r="A70" s="231" t="s">
        <v>53</v>
      </c>
      <c r="B70" s="232"/>
      <c r="C70" s="232"/>
      <c r="D70" s="232"/>
      <c r="E70" s="232"/>
      <c r="F70" s="232"/>
      <c r="G70" s="232"/>
      <c r="H70" s="232"/>
      <c r="I70" s="232"/>
      <c r="J70" s="232"/>
      <c r="K70" s="232"/>
      <c r="L70" s="232"/>
      <c r="M70" s="232"/>
      <c r="N70" s="232"/>
      <c r="O70" s="232"/>
      <c r="P70" s="232"/>
      <c r="Q70" s="232"/>
      <c r="R70" s="232"/>
      <c r="S70" s="232"/>
      <c r="T70" s="232"/>
      <c r="U70" s="232"/>
      <c r="V70" s="232"/>
    </row>
    <row r="71" spans="1:22" ht="15.75" thickBot="1" x14ac:dyDescent="0.3"/>
    <row r="72" spans="1:22" s="48" customFormat="1" ht="27" thickBot="1" x14ac:dyDescent="0.3">
      <c r="A72" s="231" t="s">
        <v>54</v>
      </c>
      <c r="B72" s="232"/>
      <c r="C72" s="232"/>
      <c r="D72" s="232"/>
      <c r="E72" s="232"/>
      <c r="F72" s="232"/>
      <c r="G72" s="232"/>
      <c r="H72" s="232"/>
      <c r="I72" s="232"/>
      <c r="J72" s="232"/>
      <c r="K72" s="232"/>
      <c r="L72" s="232"/>
      <c r="M72" s="232"/>
      <c r="N72" s="232"/>
      <c r="O72" s="232"/>
      <c r="P72" s="232"/>
      <c r="Q72" s="232"/>
      <c r="R72" s="232"/>
      <c r="S72" s="232"/>
      <c r="T72" s="232"/>
      <c r="U72" s="232"/>
      <c r="V72" s="232"/>
    </row>
    <row r="73" spans="1:22" ht="15.75" thickBot="1" x14ac:dyDescent="0.3">
      <c r="J73" s="3">
        <v>1</v>
      </c>
      <c r="K73" s="3">
        <v>2</v>
      </c>
      <c r="L73" s="3">
        <v>3</v>
      </c>
      <c r="M73" s="3">
        <v>4</v>
      </c>
      <c r="R73" s="3">
        <v>1</v>
      </c>
      <c r="S73" s="3">
        <v>2</v>
      </c>
      <c r="T73" s="3">
        <v>3</v>
      </c>
      <c r="U73" s="3">
        <v>4</v>
      </c>
      <c r="V73" s="3">
        <v>5</v>
      </c>
    </row>
    <row r="74" spans="1:22" s="1" customFormat="1" x14ac:dyDescent="0.25">
      <c r="A74" s="45" t="s">
        <v>41</v>
      </c>
      <c r="B74" s="46" t="str">
        <f t="shared" ref="B74:M74" si="9">B4</f>
        <v>Témoin solvant</v>
      </c>
      <c r="C74" s="46" t="str">
        <f t="shared" si="9"/>
        <v>EE2-33,8ng/L</v>
      </c>
      <c r="D74" s="46" t="str">
        <f t="shared" si="9"/>
        <v>EE2-50,6ng/L</v>
      </c>
      <c r="E74" s="46" t="str">
        <f t="shared" si="9"/>
        <v>EE2-76ng/L</v>
      </c>
      <c r="F74" s="46" t="str">
        <f t="shared" si="9"/>
        <v>EE2-114ng/L</v>
      </c>
      <c r="G74" s="46" t="str">
        <f t="shared" si="9"/>
        <v>EE2-170,9ng/L</v>
      </c>
      <c r="H74" s="46" t="str">
        <f t="shared" si="9"/>
        <v>EE2-488ng/L</v>
      </c>
      <c r="I74" s="46" t="str">
        <f t="shared" si="9"/>
        <v>Testosterone 3,7µg/L</v>
      </c>
      <c r="J74" s="46" t="str">
        <f t="shared" si="9"/>
        <v>Testosterone 11µg/L</v>
      </c>
      <c r="K74" s="46" t="str">
        <f t="shared" si="9"/>
        <v>Testosterone 33µg/L</v>
      </c>
      <c r="L74" s="46" t="str">
        <f t="shared" si="9"/>
        <v>Testosterone 100µg/L</v>
      </c>
      <c r="M74" s="46" t="str">
        <f t="shared" si="9"/>
        <v>Testosterone 300µg/L</v>
      </c>
      <c r="N74" s="46"/>
      <c r="O74" s="46" t="str">
        <f t="shared" ref="O74:V74" si="10">O4</f>
        <v>Testo -30µg/L</v>
      </c>
      <c r="P74" s="46" t="str">
        <f t="shared" si="10"/>
        <v>Testo 30µg/L + EE2 -64ng/L</v>
      </c>
      <c r="Q74" s="46" t="str">
        <f t="shared" si="10"/>
        <v>Testo 30µg/L + FAD-10µg/L</v>
      </c>
      <c r="R74" s="46" t="str">
        <f t="shared" si="10"/>
        <v>Testosterone-3,7µg/L + Testostérone</v>
      </c>
      <c r="S74" s="46" t="str">
        <f t="shared" si="10"/>
        <v>Testosterone-11µg/L + Testostérone</v>
      </c>
      <c r="T74" s="46" t="str">
        <f t="shared" si="10"/>
        <v>Testosterone-33µg/L + Testostérone</v>
      </c>
      <c r="U74" s="46" t="str">
        <f t="shared" si="10"/>
        <v>Testosterone-100µg/L + Testostérone</v>
      </c>
      <c r="V74" s="46" t="str">
        <f t="shared" si="10"/>
        <v>Testosterone-300µg/L + Testostérone</v>
      </c>
    </row>
    <row r="75" spans="1:22" s="3" customFormat="1" x14ac:dyDescent="0.25">
      <c r="A75" s="61" t="s">
        <v>32</v>
      </c>
      <c r="B75" s="141">
        <f>B56</f>
        <v>6.2286370174278488E-2</v>
      </c>
      <c r="C75" s="141">
        <f t="shared" ref="C75:V75" si="11">C56</f>
        <v>6.853706092183201E-2</v>
      </c>
      <c r="D75" s="141">
        <f t="shared" si="11"/>
        <v>8.8409067722279633E-2</v>
      </c>
      <c r="E75" s="141">
        <f t="shared" si="11"/>
        <v>0.36510161146746928</v>
      </c>
      <c r="F75" s="141">
        <f t="shared" si="11"/>
        <v>0.84845099618394892</v>
      </c>
      <c r="G75" s="141">
        <f t="shared" si="11"/>
        <v>1.4650561552103429</v>
      </c>
      <c r="H75" s="141">
        <f t="shared" si="11"/>
        <v>2.6495366796783957</v>
      </c>
      <c r="I75" s="141">
        <f t="shared" si="11"/>
        <v>8.0943133212406315E-2</v>
      </c>
      <c r="J75" s="141">
        <f t="shared" si="11"/>
        <v>7.8562709317890861E-2</v>
      </c>
      <c r="K75" s="141">
        <f t="shared" si="11"/>
        <v>0.82722760035766196</v>
      </c>
      <c r="L75" s="141">
        <f t="shared" si="11"/>
        <v>0.8441954206437069</v>
      </c>
      <c r="M75" s="141">
        <f t="shared" si="11"/>
        <v>1.0207455530911727</v>
      </c>
      <c r="N75" s="141"/>
      <c r="O75" s="141">
        <f t="shared" si="11"/>
        <v>1.0000000000000002</v>
      </c>
      <c r="P75" s="141">
        <f t="shared" si="11"/>
        <v>1.659070767091235</v>
      </c>
      <c r="Q75" s="141">
        <f t="shared" si="11"/>
        <v>0.12880738499348809</v>
      </c>
      <c r="R75" s="141">
        <f t="shared" si="11"/>
        <v>1.0041967810406445</v>
      </c>
      <c r="S75" s="141">
        <f t="shared" si="11"/>
        <v>0.88714122335761203</v>
      </c>
      <c r="T75" s="141">
        <f t="shared" si="11"/>
        <v>0.9048157791547472</v>
      </c>
      <c r="U75" s="141">
        <f t="shared" si="11"/>
        <v>0.82700716739744118</v>
      </c>
      <c r="V75" s="141">
        <f t="shared" si="11"/>
        <v>1.0080036332109545</v>
      </c>
    </row>
    <row r="76" spans="1:22" s="3" customFormat="1" x14ac:dyDescent="0.25">
      <c r="A76" s="61" t="s">
        <v>2</v>
      </c>
      <c r="B76" s="141">
        <f>B58</f>
        <v>1.6210876617294683E-2</v>
      </c>
      <c r="C76" s="141">
        <f t="shared" ref="C76:V76" si="12">C58</f>
        <v>1.1281009231620951E-2</v>
      </c>
      <c r="D76" s="141">
        <f t="shared" si="12"/>
        <v>1.3387563883421934E-2</v>
      </c>
      <c r="E76" s="141">
        <f t="shared" si="12"/>
        <v>7.3877231690285483E-2</v>
      </c>
      <c r="F76" s="141">
        <f t="shared" si="12"/>
        <v>9.3013113264922676E-2</v>
      </c>
      <c r="G76" s="141">
        <f t="shared" si="12"/>
        <v>9.9584543468548614E-2</v>
      </c>
      <c r="H76" s="141">
        <f t="shared" si="12"/>
        <v>0.17449821368879812</v>
      </c>
      <c r="I76" s="141">
        <f t="shared" si="12"/>
        <v>1.4443765681328361E-2</v>
      </c>
      <c r="J76" s="141">
        <f t="shared" si="12"/>
        <v>1.5409889097971408E-2</v>
      </c>
      <c r="K76" s="141">
        <f t="shared" si="12"/>
        <v>0.10842189009936436</v>
      </c>
      <c r="L76" s="141">
        <f t="shared" si="12"/>
        <v>0.12177574503465859</v>
      </c>
      <c r="M76" s="141">
        <f t="shared" si="12"/>
        <v>0.11921507950645623</v>
      </c>
      <c r="N76" s="141"/>
      <c r="O76" s="141">
        <f t="shared" si="12"/>
        <v>8.1657667288199606E-2</v>
      </c>
      <c r="P76" s="141">
        <f t="shared" si="12"/>
        <v>0.17915909284290382</v>
      </c>
      <c r="Q76" s="141">
        <f t="shared" si="12"/>
        <v>2.5427586141173873E-2</v>
      </c>
      <c r="R76" s="141">
        <f t="shared" si="12"/>
        <v>0.14094085537935699</v>
      </c>
      <c r="S76" s="141">
        <f t="shared" si="12"/>
        <v>0.15414827742503898</v>
      </c>
      <c r="T76" s="141">
        <f t="shared" si="12"/>
        <v>9.0736930856393963E-2</v>
      </c>
      <c r="U76" s="141">
        <f t="shared" si="12"/>
        <v>0.12372552320755391</v>
      </c>
      <c r="V76" s="141">
        <f t="shared" si="12"/>
        <v>0.1407499139230389</v>
      </c>
    </row>
    <row r="77" spans="1:22" s="3" customFormat="1" x14ac:dyDescent="0.25">
      <c r="A77" s="61" t="s">
        <v>79</v>
      </c>
      <c r="B77" s="141">
        <f>(B75*100/$B$75)-100</f>
        <v>0</v>
      </c>
      <c r="C77" s="141">
        <f t="shared" ref="C77:M77" si="13">(C75*100/$B$75)-100</f>
        <v>10.035406992033685</v>
      </c>
      <c r="D77" s="141">
        <f t="shared" si="13"/>
        <v>41.939669104026024</v>
      </c>
      <c r="E77" s="141">
        <f t="shared" si="13"/>
        <v>486.16613947145709</v>
      </c>
      <c r="F77" s="141">
        <f t="shared" si="13"/>
        <v>1262.1776221827768</v>
      </c>
      <c r="G77" s="141">
        <f t="shared" si="13"/>
        <v>2252.129608951504</v>
      </c>
      <c r="H77" s="141">
        <f t="shared" si="13"/>
        <v>4153.7984991980429</v>
      </c>
      <c r="I77" s="141">
        <f t="shared" si="13"/>
        <v>29.95320322235159</v>
      </c>
      <c r="J77" s="141">
        <f t="shared" si="13"/>
        <v>26.131461984493328</v>
      </c>
      <c r="K77" s="141">
        <f t="shared" si="13"/>
        <v>1228.1037216377563</v>
      </c>
      <c r="L77" s="141">
        <f t="shared" si="13"/>
        <v>1255.3453480779688</v>
      </c>
      <c r="M77" s="141">
        <f t="shared" si="13"/>
        <v>1538.7944107757551</v>
      </c>
      <c r="N77" s="141"/>
      <c r="O77" s="141">
        <f>(O75*100/$O$75)-100</f>
        <v>0</v>
      </c>
      <c r="P77" s="141">
        <f t="shared" ref="P77:V77" si="14">(P75*100/$O$75)-100</f>
        <v>65.907076709123487</v>
      </c>
      <c r="Q77" s="141">
        <f t="shared" si="14"/>
        <v>-87.119261500651191</v>
      </c>
      <c r="R77" s="141">
        <f t="shared" si="14"/>
        <v>0.41967810406441686</v>
      </c>
      <c r="S77" s="141">
        <f t="shared" si="14"/>
        <v>-11.285877664238811</v>
      </c>
      <c r="T77" s="141">
        <f t="shared" si="14"/>
        <v>-9.518422084525298</v>
      </c>
      <c r="U77" s="141">
        <f t="shared" si="14"/>
        <v>-17.299283260255891</v>
      </c>
      <c r="V77" s="141">
        <f t="shared" si="14"/>
        <v>0.80036332109543196</v>
      </c>
    </row>
    <row r="78" spans="1:22" s="3" customFormat="1" x14ac:dyDescent="0.25">
      <c r="A78" s="61" t="s">
        <v>81</v>
      </c>
      <c r="B78" s="141">
        <f>[1]!DPTEST(B6:B53)</f>
        <v>3.9713552090356208E-2</v>
      </c>
      <c r="C78" s="141">
        <f>[1]!DPTEST(C6:C53)</f>
        <v>6.6348776243513652E-2</v>
      </c>
      <c r="D78" s="141">
        <f>[1]!DPTEST(D6:D53)</f>
        <v>0.20811152825608115</v>
      </c>
      <c r="E78" s="141">
        <f>[1]!DPTEST(E6:E53)</f>
        <v>5.0761079479777482E-4</v>
      </c>
      <c r="F78" s="141">
        <f>[1]!DPTEST(F6:F53)</f>
        <v>0.89723793946305097</v>
      </c>
      <c r="G78" s="141">
        <f>[1]!DPTEST(G6:G53)</f>
        <v>0.27146993798696895</v>
      </c>
      <c r="H78" s="141">
        <f>[1]!DPTEST(H6:H53)</f>
        <v>0.16104182288331714</v>
      </c>
      <c r="I78" s="141">
        <f>[1]!DPTEST(I6:I53)</f>
        <v>9.3288078565926247E-3</v>
      </c>
      <c r="J78" s="141">
        <f>[1]!DPTEST(J6:J53)</f>
        <v>8.8482579865558519E-2</v>
      </c>
      <c r="K78" s="141">
        <f>[1]!DPTEST(K6:K53)</f>
        <v>0.50384558911756527</v>
      </c>
      <c r="L78" s="141">
        <f>[1]!DPTEST(L6:L53)</f>
        <v>1.1061769174731673E-3</v>
      </c>
      <c r="M78" s="141">
        <f>[1]!DPTEST(M6:M53)</f>
        <v>0.30647410550279641</v>
      </c>
      <c r="N78" s="141"/>
      <c r="O78" s="141">
        <f>[1]!DPTEST(O6:O53)</f>
        <v>0.2923621509865354</v>
      </c>
      <c r="P78" s="141">
        <f>[1]!DPTEST(P6:P53)</f>
        <v>0.87094484818533657</v>
      </c>
      <c r="Q78" s="141">
        <f>[1]!DPTEST(Q6:Q53)</f>
        <v>2.3818271076092801E-2</v>
      </c>
      <c r="R78" s="141">
        <f>[1]!DPTEST(R6:R53)</f>
        <v>0.5482219078448316</v>
      </c>
      <c r="S78" s="141">
        <f>[1]!DPTEST(S6:S53)</f>
        <v>0.10292008551493703</v>
      </c>
      <c r="T78" s="141">
        <f>[1]!DPTEST(T6:T53)</f>
        <v>0.51766936390102547</v>
      </c>
      <c r="U78" s="141">
        <f>[1]!DPTEST(U6:U53)</f>
        <v>0.26580516215686401</v>
      </c>
      <c r="V78" s="141">
        <f>[1]!DPTEST(V6:V53)</f>
        <v>0.1390531130207151</v>
      </c>
    </row>
    <row r="79" spans="1:22" s="3" customFormat="1" x14ac:dyDescent="0.25">
      <c r="A79" s="61" t="s">
        <v>85</v>
      </c>
      <c r="B79" s="141" t="str">
        <f>IF(B78&gt;0.05,"Oui","Non")</f>
        <v>Non</v>
      </c>
      <c r="C79" s="141" t="str">
        <f t="shared" ref="C79:V79" si="15">IF(C78&gt;0.05,"Oui","Non")</f>
        <v>Oui</v>
      </c>
      <c r="D79" s="141" t="str">
        <f t="shared" si="15"/>
        <v>Oui</v>
      </c>
      <c r="E79" s="141" t="str">
        <f t="shared" si="15"/>
        <v>Non</v>
      </c>
      <c r="F79" s="141" t="str">
        <f t="shared" si="15"/>
        <v>Oui</v>
      </c>
      <c r="G79" s="141" t="str">
        <f t="shared" si="15"/>
        <v>Oui</v>
      </c>
      <c r="H79" s="141" t="str">
        <f t="shared" si="15"/>
        <v>Oui</v>
      </c>
      <c r="I79" s="141" t="str">
        <f t="shared" si="15"/>
        <v>Non</v>
      </c>
      <c r="J79" s="141" t="str">
        <f t="shared" si="15"/>
        <v>Oui</v>
      </c>
      <c r="K79" s="141" t="str">
        <f t="shared" si="15"/>
        <v>Oui</v>
      </c>
      <c r="L79" s="141" t="str">
        <f t="shared" si="15"/>
        <v>Non</v>
      </c>
      <c r="M79" s="141" t="str">
        <f t="shared" si="15"/>
        <v>Oui</v>
      </c>
      <c r="N79" s="141"/>
      <c r="O79" s="141" t="str">
        <f t="shared" si="15"/>
        <v>Oui</v>
      </c>
      <c r="P79" s="141" t="str">
        <f t="shared" si="15"/>
        <v>Oui</v>
      </c>
      <c r="Q79" s="141" t="str">
        <f t="shared" si="15"/>
        <v>Non</v>
      </c>
      <c r="R79" s="141" t="str">
        <f t="shared" si="15"/>
        <v>Oui</v>
      </c>
      <c r="S79" s="141" t="str">
        <f t="shared" si="15"/>
        <v>Oui</v>
      </c>
      <c r="T79" s="141" t="str">
        <f t="shared" si="15"/>
        <v>Oui</v>
      </c>
      <c r="U79" s="141" t="str">
        <f t="shared" si="15"/>
        <v>Oui</v>
      </c>
      <c r="V79" s="141" t="str">
        <f t="shared" si="15"/>
        <v>Oui</v>
      </c>
    </row>
    <row r="80" spans="1:22" s="3" customFormat="1" x14ac:dyDescent="0.25">
      <c r="A80" s="61" t="s">
        <v>122</v>
      </c>
      <c r="B80" s="141" t="str">
        <f>IF(COUNTIF(B79:I79, "Non")=0, "Oui","Non")</f>
        <v>Non</v>
      </c>
      <c r="C80" s="141"/>
      <c r="D80" s="141"/>
      <c r="E80" s="141"/>
      <c r="F80" s="141"/>
      <c r="G80" s="141"/>
      <c r="H80" s="141"/>
      <c r="I80" s="141"/>
      <c r="J80" s="141" t="str">
        <f>IF(COUNTIF(J79:M79, "Non")&gt;0, "Oui","Non")</f>
        <v>Oui</v>
      </c>
      <c r="K80" s="141"/>
      <c r="L80" s="141"/>
      <c r="M80" s="141"/>
      <c r="N80" s="141"/>
      <c r="O80" s="141"/>
      <c r="P80" s="141"/>
      <c r="Q80" s="141"/>
      <c r="R80" s="141" t="str">
        <f>IF(COUNTIF(R79:V79, "Non")&gt;0, "Oui","Non")</f>
        <v>Non</v>
      </c>
      <c r="S80" s="141"/>
      <c r="T80" s="141"/>
      <c r="U80" s="141"/>
      <c r="V80" s="141"/>
    </row>
    <row r="81" spans="1:22" s="3" customFormat="1" x14ac:dyDescent="0.25">
      <c r="A81" s="61" t="s">
        <v>82</v>
      </c>
      <c r="B81" s="141"/>
      <c r="C81" s="141" t="str">
        <f t="shared" ref="C81:M81" si="16">IF($B80="Non","Kruskal-Wallis","ANOVA")</f>
        <v>Kruskal-Wallis</v>
      </c>
      <c r="D81" s="141" t="str">
        <f t="shared" si="16"/>
        <v>Kruskal-Wallis</v>
      </c>
      <c r="E81" s="141" t="str">
        <f>IF($B80="Non","Kruskal-Wallis","ANOVA")</f>
        <v>Kruskal-Wallis</v>
      </c>
      <c r="F81" s="141" t="str">
        <f t="shared" si="16"/>
        <v>Kruskal-Wallis</v>
      </c>
      <c r="G81" s="141" t="str">
        <f t="shared" si="16"/>
        <v>Kruskal-Wallis</v>
      </c>
      <c r="H81" s="141" t="str">
        <f t="shared" si="16"/>
        <v>Kruskal-Wallis</v>
      </c>
      <c r="I81" s="141" t="str">
        <f t="shared" si="16"/>
        <v>Kruskal-Wallis</v>
      </c>
      <c r="J81" s="141" t="str">
        <f t="shared" si="16"/>
        <v>Kruskal-Wallis</v>
      </c>
      <c r="K81" s="141" t="str">
        <f t="shared" si="16"/>
        <v>Kruskal-Wallis</v>
      </c>
      <c r="L81" s="141" t="str">
        <f t="shared" si="16"/>
        <v>Kruskal-Wallis</v>
      </c>
      <c r="M81" s="141" t="str">
        <f t="shared" si="16"/>
        <v>Kruskal-Wallis</v>
      </c>
      <c r="N81" s="141"/>
      <c r="O81" s="141" t="str">
        <f>IF($B79="Non",IF(O79="Non","Mann Withney",IF(O79="Oui","Mann Withney","")),IF($B79="Oui",IF(O79="Oui","T-Test Welch",IF(O79="Non","Mann Withney",""))))</f>
        <v>Mann Withney</v>
      </c>
      <c r="P81" s="141" t="str">
        <f t="shared" ref="P81:Q81" si="17">IF($O79="Non",IF(P79="Non","Mann Withney",IF(P$79="Oui","Mann Withney","")),IF($O79="Oui",IF(P79="Oui","T-Test Welch",IF(P79="Non","Mann Withney",""))))</f>
        <v>T-Test Welch</v>
      </c>
      <c r="Q81" s="141" t="str">
        <f t="shared" si="17"/>
        <v>Mann Withney</v>
      </c>
      <c r="R81" s="141" t="s">
        <v>4385</v>
      </c>
      <c r="S81" s="141" t="s">
        <v>4385</v>
      </c>
      <c r="T81" s="141" t="s">
        <v>4385</v>
      </c>
      <c r="U81" s="141" t="s">
        <v>4385</v>
      </c>
      <c r="V81" s="141" t="s">
        <v>4385</v>
      </c>
    </row>
    <row r="82" spans="1:22" s="3" customFormat="1" ht="15.75" x14ac:dyDescent="0.25">
      <c r="A82" s="61" t="s">
        <v>83</v>
      </c>
      <c r="B82" s="141"/>
      <c r="C82" s="196">
        <v>0.99990000000000001</v>
      </c>
      <c r="D82" s="196">
        <v>0.99990000000000001</v>
      </c>
      <c r="E82" s="196">
        <v>2.7000000000000001E-3</v>
      </c>
      <c r="F82" s="196">
        <v>1E-4</v>
      </c>
      <c r="G82" s="196">
        <v>1E-4</v>
      </c>
      <c r="H82" s="196">
        <v>1E-4</v>
      </c>
      <c r="I82" s="196">
        <v>0.99990000000000001</v>
      </c>
      <c r="J82" s="196">
        <v>0.99990000000000001</v>
      </c>
      <c r="K82" s="196">
        <v>1E-4</v>
      </c>
      <c r="L82" s="196">
        <v>1E-4</v>
      </c>
      <c r="M82" s="196">
        <v>1E-4</v>
      </c>
      <c r="N82" s="141"/>
      <c r="O82" s="196">
        <v>1E-4</v>
      </c>
      <c r="P82" s="196">
        <v>2.0999999999999999E-3</v>
      </c>
      <c r="Q82" s="196">
        <v>1E-4</v>
      </c>
      <c r="R82" s="196">
        <v>0.99990000000000001</v>
      </c>
      <c r="S82" s="196">
        <v>0.92359999999999998</v>
      </c>
      <c r="T82" s="196">
        <v>0.96060000000000001</v>
      </c>
      <c r="U82" s="196">
        <v>0.70909999999999995</v>
      </c>
      <c r="V82" s="196">
        <v>0.99990000000000001</v>
      </c>
    </row>
    <row r="83" spans="1:22" s="3" customFormat="1" ht="15.75" thickBot="1" x14ac:dyDescent="0.3">
      <c r="A83" s="62" t="s">
        <v>84</v>
      </c>
      <c r="B83" s="142"/>
      <c r="C83" s="142" t="str">
        <f t="shared" ref="C83:O83" si="18">IF(C82&gt;0.05,"NS",IF(C82&gt;0.01,"*",IF(C82&gt;0.001,"**","***")))</f>
        <v>NS</v>
      </c>
      <c r="D83" s="142" t="str">
        <f t="shared" si="18"/>
        <v>NS</v>
      </c>
      <c r="E83" s="142" t="str">
        <f t="shared" si="18"/>
        <v>**</v>
      </c>
      <c r="F83" s="142" t="str">
        <f t="shared" si="18"/>
        <v>***</v>
      </c>
      <c r="G83" s="142" t="str">
        <f t="shared" si="18"/>
        <v>***</v>
      </c>
      <c r="H83" s="142" t="str">
        <f t="shared" si="18"/>
        <v>***</v>
      </c>
      <c r="I83" s="142" t="str">
        <f t="shared" si="18"/>
        <v>NS</v>
      </c>
      <c r="J83" s="142" t="str">
        <f t="shared" si="18"/>
        <v>NS</v>
      </c>
      <c r="K83" s="142" t="str">
        <f t="shared" si="18"/>
        <v>***</v>
      </c>
      <c r="L83" s="142" t="str">
        <f t="shared" si="18"/>
        <v>***</v>
      </c>
      <c r="M83" s="142" t="str">
        <f t="shared" si="18"/>
        <v>***</v>
      </c>
      <c r="N83" s="142"/>
      <c r="O83" s="142" t="str">
        <f t="shared" si="18"/>
        <v>***</v>
      </c>
      <c r="P83" s="142" t="str">
        <f t="shared" ref="P83" si="19">IF(P82&gt;0.05,"NS",IF(P82&gt;0.01,"*",IF(P82&gt;0.001,"**","***")))</f>
        <v>**</v>
      </c>
      <c r="Q83" s="142" t="str">
        <f t="shared" ref="Q83:V83" si="20">IF(Q82&gt;0.05,"NS",IF(Q82&gt;0.01,"*",IF(Q82&gt;0.001,"**","***")))</f>
        <v>***</v>
      </c>
      <c r="R83" s="142" t="str">
        <f t="shared" si="20"/>
        <v>NS</v>
      </c>
      <c r="S83" s="142" t="str">
        <f t="shared" si="20"/>
        <v>NS</v>
      </c>
      <c r="T83" s="142" t="str">
        <f t="shared" si="20"/>
        <v>NS</v>
      </c>
      <c r="U83" s="142" t="str">
        <f t="shared" si="20"/>
        <v>NS</v>
      </c>
      <c r="V83" s="142" t="str">
        <f t="shared" si="20"/>
        <v>NS</v>
      </c>
    </row>
    <row r="84" spans="1:22" s="1" customFormat="1" x14ac:dyDescent="0.25"/>
    <row r="85" spans="1:22" s="1" customFormat="1" x14ac:dyDescent="0.25">
      <c r="A85" s="2" t="s">
        <v>39</v>
      </c>
    </row>
    <row r="86" spans="1:22" x14ac:dyDescent="0.25">
      <c r="A86" s="1" t="s">
        <v>23</v>
      </c>
      <c r="B86" s="1">
        <f>B56+(3*B57)</f>
        <v>0.30053662614780041</v>
      </c>
      <c r="R86" s="1"/>
    </row>
    <row r="87" spans="1:22" x14ac:dyDescent="0.25">
      <c r="A87" s="1" t="s">
        <v>24</v>
      </c>
      <c r="B87" s="1">
        <f>B56+(10*B57)</f>
        <v>0.85645389008601824</v>
      </c>
    </row>
    <row r="88" spans="1:22" ht="15.75" thickBot="1" x14ac:dyDescent="0.3"/>
    <row r="89" spans="1:22" s="48" customFormat="1" ht="27" thickBot="1" x14ac:dyDescent="0.3">
      <c r="A89" s="49" t="s">
        <v>55</v>
      </c>
      <c r="B89" s="50"/>
      <c r="C89" s="50"/>
      <c r="D89" s="50"/>
      <c r="E89" s="50"/>
      <c r="F89" s="50"/>
      <c r="G89" s="50"/>
      <c r="H89" s="50"/>
      <c r="I89" s="50"/>
      <c r="J89" s="50"/>
      <c r="K89" s="50"/>
      <c r="L89" s="50"/>
      <c r="M89" s="50"/>
      <c r="N89" s="50"/>
      <c r="O89" s="50"/>
      <c r="P89" s="50"/>
      <c r="Q89" s="50"/>
      <c r="R89" s="50"/>
      <c r="S89" s="50"/>
      <c r="T89" s="50"/>
      <c r="U89" s="50"/>
      <c r="V89" s="50"/>
    </row>
    <row r="90" spans="1:22" ht="15.75" thickBot="1" x14ac:dyDescent="0.3"/>
    <row r="91" spans="1:22" s="48" customFormat="1" ht="27" thickBot="1" x14ac:dyDescent="0.3">
      <c r="A91" s="49" t="s">
        <v>56</v>
      </c>
      <c r="B91" s="50"/>
      <c r="C91" s="50"/>
      <c r="D91" s="50"/>
      <c r="E91" s="50"/>
      <c r="F91" s="50"/>
      <c r="G91" s="50"/>
      <c r="H91" s="50"/>
      <c r="I91" s="50"/>
      <c r="J91" s="50"/>
      <c r="K91" s="50"/>
      <c r="L91" s="50"/>
      <c r="M91" s="50"/>
      <c r="N91" s="50"/>
      <c r="O91" s="50"/>
      <c r="P91" s="50"/>
      <c r="Q91" s="50"/>
      <c r="R91" s="50"/>
      <c r="S91" s="50"/>
      <c r="T91" s="50"/>
      <c r="U91" s="50"/>
      <c r="V91" s="50"/>
    </row>
    <row r="92" spans="1:22" ht="15.75" thickBot="1" x14ac:dyDescent="0.3"/>
    <row r="93" spans="1:22" s="48" customFormat="1" ht="27" thickBot="1" x14ac:dyDescent="0.3">
      <c r="A93" s="231" t="s">
        <v>57</v>
      </c>
      <c r="B93" s="232"/>
      <c r="C93" s="232"/>
      <c r="D93" s="232"/>
      <c r="E93" s="232"/>
      <c r="F93" s="232"/>
      <c r="G93" s="232"/>
      <c r="H93" s="232"/>
      <c r="I93" s="232"/>
      <c r="J93" s="232"/>
      <c r="K93" s="232"/>
      <c r="L93" s="232"/>
      <c r="M93" s="232"/>
      <c r="N93" s="232"/>
      <c r="O93" s="232"/>
      <c r="P93" s="232"/>
      <c r="Q93" s="232"/>
      <c r="R93" s="232"/>
      <c r="S93" s="232"/>
      <c r="T93" s="232"/>
      <c r="U93" s="232"/>
      <c r="V93" s="232"/>
    </row>
    <row r="97" spans="3:18" ht="15.75" x14ac:dyDescent="0.25">
      <c r="C97" s="196"/>
      <c r="J97" s="196"/>
    </row>
    <row r="98" spans="3:18" ht="15.75" x14ac:dyDescent="0.25">
      <c r="C98" s="196"/>
      <c r="J98" s="196"/>
    </row>
    <row r="99" spans="3:18" ht="15.75" x14ac:dyDescent="0.25">
      <c r="C99" s="196"/>
      <c r="J99" s="196"/>
      <c r="R99" s="196"/>
    </row>
    <row r="100" spans="3:18" ht="15.75" x14ac:dyDescent="0.25">
      <c r="C100" s="196"/>
      <c r="J100" s="196"/>
      <c r="R100" s="196"/>
    </row>
    <row r="101" spans="3:18" ht="15.75" x14ac:dyDescent="0.25">
      <c r="C101" s="196"/>
      <c r="J101" s="196"/>
      <c r="R101" s="196"/>
    </row>
    <row r="102" spans="3:18" ht="15.75" x14ac:dyDescent="0.25">
      <c r="C102" s="196"/>
      <c r="R102" s="196"/>
    </row>
    <row r="103" spans="3:18" ht="15.75" x14ac:dyDescent="0.25">
      <c r="R103" s="196"/>
    </row>
  </sheetData>
  <mergeCells count="10">
    <mergeCell ref="A7:A21"/>
    <mergeCell ref="A23:A37"/>
    <mergeCell ref="A93:V93"/>
    <mergeCell ref="O3:V3"/>
    <mergeCell ref="B3:M3"/>
    <mergeCell ref="A60:V60"/>
    <mergeCell ref="A72:V72"/>
    <mergeCell ref="A70:V70"/>
    <mergeCell ref="A65:V65"/>
    <mergeCell ref="A39:A53"/>
  </mergeCells>
  <pageMargins left="0.7" right="0.7" top="0.75" bottom="0.75" header="0.3" footer="0.3"/>
  <pageSetup paperSize="9" orientation="portrait" r:id="rId1"/>
  <headerFooter>
    <oddHeader>&amp;C&amp;"-,Gras"&amp;14Données poolées normalisées&amp;R&amp;"-,Gras"&amp;14Page : &amp;P/&amp;P</oddHeader>
  </headerFooter>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53"/>
  <sheetViews>
    <sheetView showGridLines="0" zoomScale="70" zoomScaleNormal="70" workbookViewId="0">
      <selection activeCell="A7" sqref="A7"/>
    </sheetView>
  </sheetViews>
  <sheetFormatPr baseColWidth="10" defaultColWidth="9.140625" defaultRowHeight="15" x14ac:dyDescent="0.25"/>
  <cols>
    <col min="1" max="1" width="33.7109375" style="41" bestFit="1" customWidth="1"/>
    <col min="2" max="3" width="14" style="41" bestFit="1" customWidth="1"/>
    <col min="4" max="4" width="14" style="41" customWidth="1"/>
    <col min="5" max="5" width="16" style="15" bestFit="1" customWidth="1"/>
    <col min="6" max="8" width="16" style="15" customWidth="1"/>
    <col min="9" max="13" width="19.140625" style="15" customWidth="1"/>
    <col min="14" max="14" width="32.140625" style="15" bestFit="1" customWidth="1"/>
    <col min="15" max="15" width="19.5703125" style="41" customWidth="1"/>
    <col min="16" max="16384" width="9.140625" style="41"/>
  </cols>
  <sheetData>
    <row r="1" spans="1:15" s="48" customFormat="1" ht="27" thickBot="1" x14ac:dyDescent="0.3">
      <c r="A1" s="231" t="s">
        <v>104</v>
      </c>
      <c r="B1" s="232"/>
      <c r="C1" s="232"/>
      <c r="D1" s="232"/>
      <c r="E1" s="232"/>
      <c r="F1" s="232"/>
      <c r="G1" s="232"/>
      <c r="H1" s="232"/>
      <c r="I1" s="232"/>
      <c r="J1" s="232"/>
      <c r="K1" s="232"/>
      <c r="L1" s="232"/>
      <c r="M1" s="232"/>
      <c r="N1" s="232"/>
      <c r="O1" s="233"/>
    </row>
    <row r="2" spans="1:15" s="48" customFormat="1" ht="27" thickBot="1" x14ac:dyDescent="0.3">
      <c r="A2" s="231" t="s">
        <v>105</v>
      </c>
      <c r="B2" s="232"/>
      <c r="C2" s="232"/>
      <c r="D2" s="232"/>
      <c r="E2" s="232"/>
      <c r="F2" s="232"/>
      <c r="G2" s="232"/>
      <c r="H2" s="232"/>
      <c r="I2" s="232"/>
      <c r="J2" s="232"/>
      <c r="K2" s="232"/>
      <c r="L2" s="232"/>
      <c r="M2" s="232"/>
      <c r="N2" s="232"/>
      <c r="O2" s="233"/>
    </row>
    <row r="3" spans="1:15" s="76" customFormat="1" ht="15.75" x14ac:dyDescent="0.25">
      <c r="H3" s="77"/>
      <c r="I3" s="77"/>
      <c r="J3" s="77"/>
      <c r="K3" s="77"/>
      <c r="L3" s="77"/>
      <c r="M3" s="77"/>
      <c r="N3" s="77"/>
    </row>
    <row r="4" spans="1:15" s="76" customFormat="1" ht="15.75" x14ac:dyDescent="0.25">
      <c r="O4"/>
    </row>
    <row r="5" spans="1:15" s="76" customFormat="1" ht="45.75" customHeight="1" thickBot="1" x14ac:dyDescent="0.3">
      <c r="A5" s="78"/>
      <c r="B5" s="87" t="s">
        <v>25</v>
      </c>
      <c r="C5" s="87" t="s">
        <v>26</v>
      </c>
      <c r="D5" s="87" t="s">
        <v>27</v>
      </c>
      <c r="E5" s="88" t="s">
        <v>64</v>
      </c>
      <c r="F5" s="126" t="s">
        <v>80</v>
      </c>
      <c r="G5" s="94" t="s">
        <v>42</v>
      </c>
      <c r="H5" s="94" t="s">
        <v>65</v>
      </c>
      <c r="I5" s="94" t="s">
        <v>66</v>
      </c>
      <c r="J5" s="95" t="s">
        <v>77</v>
      </c>
      <c r="K5" s="95" t="s">
        <v>67</v>
      </c>
      <c r="L5" s="96" t="s">
        <v>76</v>
      </c>
      <c r="M5" s="96" t="s">
        <v>68</v>
      </c>
      <c r="N5" s="96" t="s">
        <v>69</v>
      </c>
      <c r="O5"/>
    </row>
    <row r="6" spans="1:15" s="76" customFormat="1" ht="15.75" x14ac:dyDescent="0.25">
      <c r="A6" s="79" t="s">
        <v>28</v>
      </c>
      <c r="B6" s="99">
        <v>64</v>
      </c>
      <c r="C6" s="79"/>
      <c r="D6" s="79"/>
      <c r="E6" s="89"/>
      <c r="F6" s="90"/>
      <c r="G6" s="128">
        <f>IF(F6="NS","NC",ROUND(B6,2-(1+INT(LOG10(ABS(B6))))))</f>
        <v>64</v>
      </c>
      <c r="H6" s="120"/>
      <c r="I6" s="120"/>
      <c r="J6" s="121"/>
      <c r="K6" s="122"/>
      <c r="L6" s="124"/>
      <c r="M6" s="121"/>
      <c r="N6" s="91"/>
      <c r="O6"/>
    </row>
    <row r="7" spans="1:15" s="76" customFormat="1" ht="15.75" x14ac:dyDescent="0.25">
      <c r="A7" s="79" t="str">
        <f>'Page de garde'!A15</f>
        <v>Testosterone 3,7µg/L</v>
      </c>
      <c r="B7" s="98"/>
      <c r="C7" s="80"/>
      <c r="D7" s="80"/>
      <c r="E7" s="81"/>
      <c r="F7" s="97" t="str">
        <f>HLOOKUP(A7,'pooled normalised values'!$B$74:$V$83,10,FALSE)</f>
        <v>NS</v>
      </c>
      <c r="G7" s="128" t="str">
        <f>IF(F7="NS","NC",ROUND(B7,2-(1+INT(LOG10(ABS(B7))))))</f>
        <v>NC</v>
      </c>
      <c r="H7" s="119" t="str">
        <f>IF(VLOOKUP(A7,liste_groupe[],4,FALSE)="%",VLOOKUP(A7,liste_groupe[],3,FALSE)/100,IF(ISBLANK(VLOOKUP(A7,liste_groupe[],4,FALSE)),"Non","Non"))</f>
        <v>Non</v>
      </c>
      <c r="I7" s="128" t="str">
        <f>IF(F7="NS","NC",IF(H7="Non",G7,G7*(1/H7)))</f>
        <v>NC</v>
      </c>
      <c r="J7" s="129">
        <v>64</v>
      </c>
      <c r="K7" s="130">
        <f>IF(F7="NS",0,ROUND(I7/J7*100,0))</f>
        <v>0</v>
      </c>
      <c r="L7" s="125">
        <v>1</v>
      </c>
      <c r="M7" s="131">
        <f>IF(K7&gt;100,125,K7)</f>
        <v>0</v>
      </c>
      <c r="N7" s="92" t="str">
        <f>IF(H7="Non",CONCATENATE(VLOOKUP(A7,liste_groupe[],5,FALSE),"-",VLOOKUP(A7,liste_groupe[],3,FALSE),VLOOKUP(A7,liste_groupe[],4,FALSE)," : ",ROUND(K7,0),"%"),CONCATENATE(VLOOKUP(A7,liste_groupe[],5,FALSE)," : ",ROUND(K7,0),"%"))</f>
        <v>Testosterone-3,7µg/L : 0%</v>
      </c>
      <c r="O7"/>
    </row>
    <row r="8" spans="1:15" s="76" customFormat="1" ht="15.75" x14ac:dyDescent="0.25">
      <c r="A8" s="79" t="str">
        <f>'Page de garde'!A16</f>
        <v>Testosterone 11µg/L</v>
      </c>
      <c r="B8" s="98"/>
      <c r="C8" s="82"/>
      <c r="D8" s="80"/>
      <c r="E8" s="81"/>
      <c r="F8" s="97" t="str">
        <f>HLOOKUP(A8,'pooled normalised values'!$B$74:$V$83,10,FALSE)</f>
        <v>NS</v>
      </c>
      <c r="G8" s="128" t="str">
        <f t="shared" ref="G8:G13" si="0">IF(F8="NS","NC",ROUND(B8,2-(1+INT(LOG10(ABS(B8))))))</f>
        <v>NC</v>
      </c>
      <c r="H8" s="119" t="str">
        <f>IF(VLOOKUP(A8,liste_groupe[],4,FALSE)="%",VLOOKUP(A8,liste_groupe[],3,FALSE)/100,IF(ISBLANK(VLOOKUP(A8,liste_groupe[],4,FALSE)),"Non","Non"))</f>
        <v>Non</v>
      </c>
      <c r="I8" s="128" t="str">
        <f t="shared" ref="I8:I26" si="1">IF(F8="NS","NC",IF(H8="Non",G8,G8*(1/H8)))</f>
        <v>NC</v>
      </c>
      <c r="J8" s="129">
        <v>64</v>
      </c>
      <c r="K8" s="130">
        <f t="shared" ref="K8:K26" si="2">IF(F8="NS",0,ROUND(I8/J8*100,0))</f>
        <v>0</v>
      </c>
      <c r="L8" s="125"/>
      <c r="M8" s="131">
        <f t="shared" ref="M8:M26" si="3">IF(K8&gt;100,125,K8)</f>
        <v>0</v>
      </c>
      <c r="N8" s="92" t="str">
        <f>IF(H8="Non",CONCATENATE(VLOOKUP(A8,liste_groupe[],5,FALSE),"-",VLOOKUP(A8,liste_groupe[],3,FALSE),VLOOKUP(A8,liste_groupe[],4,FALSE)," : ",ROUND(K8,0),"%"),CONCATENATE(VLOOKUP(A8,liste_groupe[],5,FALSE)," : ",ROUND(K8,0),"%"))</f>
        <v>Testosterone-11µg/L : 0%</v>
      </c>
      <c r="O8"/>
    </row>
    <row r="9" spans="1:15" s="76" customFormat="1" ht="15.75" x14ac:dyDescent="0.25">
      <c r="A9" s="79" t="str">
        <f>'Page de garde'!A17</f>
        <v>Testosterone 33µg/L</v>
      </c>
      <c r="B9" s="98"/>
      <c r="C9" s="82"/>
      <c r="D9" s="80"/>
      <c r="E9" s="81"/>
      <c r="F9" s="97" t="str">
        <f>HLOOKUP(A9,'pooled normalised values'!$B$74:$V$83,10,FALSE)</f>
        <v>***</v>
      </c>
      <c r="G9" s="128" t="e">
        <f t="shared" si="0"/>
        <v>#NUM!</v>
      </c>
      <c r="H9" s="119" t="str">
        <f>IF(VLOOKUP(A9,liste_groupe[],4,FALSE)="%",VLOOKUP(A9,liste_groupe[],3,FALSE)/100,IF(ISBLANK(VLOOKUP(A9,liste_groupe[],4,FALSE)),"Non","Non"))</f>
        <v>Non</v>
      </c>
      <c r="I9" s="128" t="e">
        <f t="shared" si="1"/>
        <v>#NUM!</v>
      </c>
      <c r="J9" s="129">
        <v>64</v>
      </c>
      <c r="K9" s="130" t="e">
        <f t="shared" si="2"/>
        <v>#NUM!</v>
      </c>
      <c r="L9" s="125"/>
      <c r="M9" s="131" t="e">
        <f t="shared" si="3"/>
        <v>#NUM!</v>
      </c>
      <c r="N9" s="92" t="e">
        <f>IF(H9="Non",CONCATENATE(VLOOKUP(A9,liste_groupe[],5,FALSE),"-",VLOOKUP(A9,liste_groupe[],3,FALSE),VLOOKUP(A9,liste_groupe[],4,FALSE)," : ",ROUND(K9,0),"%"),CONCATENATE(VLOOKUP(A9,liste_groupe[],5,FALSE)," : ",ROUND(K9,0),"%"))</f>
        <v>#NUM!</v>
      </c>
      <c r="O9"/>
    </row>
    <row r="10" spans="1:15" s="76" customFormat="1" ht="15.75" x14ac:dyDescent="0.25">
      <c r="A10" s="79" t="str">
        <f>'Page de garde'!A18</f>
        <v>Testosterone 100µg/L</v>
      </c>
      <c r="B10" s="99"/>
      <c r="C10" s="79"/>
      <c r="D10" s="84"/>
      <c r="E10" s="81"/>
      <c r="F10" s="97" t="str">
        <f>HLOOKUP(A10,'pooled normalised values'!$B$74:$V$83,10,FALSE)</f>
        <v>***</v>
      </c>
      <c r="G10" s="128" t="e">
        <f t="shared" si="0"/>
        <v>#NUM!</v>
      </c>
      <c r="H10" s="119" t="str">
        <f>IF(VLOOKUP(A10,liste_groupe[],4,FALSE)="%",VLOOKUP(A10,liste_groupe[],3,FALSE)/100,IF(ISBLANK(VLOOKUP(A10,liste_groupe[],4,FALSE)),"Non","Non"))</f>
        <v>Non</v>
      </c>
      <c r="I10" s="128" t="e">
        <f t="shared" si="1"/>
        <v>#NUM!</v>
      </c>
      <c r="J10" s="129">
        <v>64</v>
      </c>
      <c r="K10" s="130" t="e">
        <f t="shared" si="2"/>
        <v>#NUM!</v>
      </c>
      <c r="L10" s="125"/>
      <c r="M10" s="131" t="e">
        <f t="shared" si="3"/>
        <v>#NUM!</v>
      </c>
      <c r="N10" s="92" t="e">
        <f>IF(H10="Non",CONCATENATE(VLOOKUP(A10,liste_groupe[],5,FALSE),"-",VLOOKUP(A10,liste_groupe[],3,FALSE),VLOOKUP(A10,liste_groupe[],4,FALSE)," : ",ROUND(K10,0),"%"),CONCATENATE(VLOOKUP(A10,liste_groupe[],5,FALSE)," : ",ROUND(K10,0),"%"))</f>
        <v>#NUM!</v>
      </c>
      <c r="O10"/>
    </row>
    <row r="11" spans="1:15" s="76" customFormat="1" ht="15.75" x14ac:dyDescent="0.25">
      <c r="A11" s="79" t="str">
        <f>'Page de garde'!A19</f>
        <v>Testosterone 300µg/L</v>
      </c>
      <c r="B11" s="99"/>
      <c r="C11" s="79"/>
      <c r="D11" s="84"/>
      <c r="E11" s="81"/>
      <c r="F11" s="97" t="str">
        <f>HLOOKUP(A11,'pooled normalised values'!$B$74:$V$83,10,FALSE)</f>
        <v>***</v>
      </c>
      <c r="G11" s="128" t="e">
        <f t="shared" si="0"/>
        <v>#NUM!</v>
      </c>
      <c r="H11" s="119" t="str">
        <f>IF(VLOOKUP(A11,liste_groupe[],4,FALSE)="%",VLOOKUP(A11,liste_groupe[],3,FALSE)/100,IF(ISBLANK(VLOOKUP(A11,liste_groupe[],4,FALSE)),"Non","Non"))</f>
        <v>Non</v>
      </c>
      <c r="I11" s="128" t="e">
        <f t="shared" si="1"/>
        <v>#NUM!</v>
      </c>
      <c r="J11" s="129">
        <v>64</v>
      </c>
      <c r="K11" s="130" t="e">
        <f t="shared" si="2"/>
        <v>#NUM!</v>
      </c>
      <c r="L11" s="125"/>
      <c r="M11" s="131" t="e">
        <f t="shared" si="3"/>
        <v>#NUM!</v>
      </c>
      <c r="N11" s="92" t="e">
        <f>IF(H11="Non",CONCATENATE(VLOOKUP(A11,liste_groupe[],5,FALSE),"-",VLOOKUP(A11,liste_groupe[],3,FALSE),VLOOKUP(A11,liste_groupe[],4,FALSE)," : ",ROUND(K11,0),"%"),CONCATENATE(VLOOKUP(A11,liste_groupe[],5,FALSE)," : ",ROUND(K11,0),"%"))</f>
        <v>#NUM!</v>
      </c>
      <c r="O11"/>
    </row>
    <row r="12" spans="1:15" s="76" customFormat="1" ht="15.75" x14ac:dyDescent="0.25">
      <c r="A12" s="79" t="str">
        <f>'Page de garde'!A20</f>
        <v xml:space="preserve"> </v>
      </c>
      <c r="B12" s="99"/>
      <c r="C12" s="79"/>
      <c r="D12" s="84"/>
      <c r="E12" s="81"/>
      <c r="F12" s="97" t="e">
        <f>HLOOKUP(A12,'pooled normalised values'!$B$74:$V$83,10,FALSE)</f>
        <v>#N/A</v>
      </c>
      <c r="G12" s="128" t="e">
        <f t="shared" si="0"/>
        <v>#N/A</v>
      </c>
      <c r="H12" s="119" t="str">
        <f>IF(VLOOKUP(A12,liste_groupe[],4,FALSE)="%",VLOOKUP(A12,liste_groupe[],3,FALSE)/100,IF(ISBLANK(VLOOKUP(A12,liste_groupe[],4,FALSE)),"Non","Non"))</f>
        <v>Non</v>
      </c>
      <c r="I12" s="128" t="e">
        <f t="shared" si="1"/>
        <v>#N/A</v>
      </c>
      <c r="J12" s="129">
        <v>64</v>
      </c>
      <c r="K12" s="130" t="e">
        <f t="shared" si="2"/>
        <v>#N/A</v>
      </c>
      <c r="L12" s="125"/>
      <c r="M12" s="131" t="e">
        <f t="shared" si="3"/>
        <v>#N/A</v>
      </c>
      <c r="N12" s="92" t="e">
        <f>IF(H12="Non",CONCATENATE(VLOOKUP(A12,liste_groupe[],5,FALSE),"-",VLOOKUP(A12,liste_groupe[],3,FALSE),VLOOKUP(A12,liste_groupe[],4,FALSE)," : ",ROUND(K12,0),"%"),CONCATENATE(VLOOKUP(A12,liste_groupe[],5,FALSE)," : ",ROUND(K12,0),"%"))</f>
        <v>#N/A</v>
      </c>
      <c r="O12"/>
    </row>
    <row r="13" spans="1:15" s="76" customFormat="1" ht="15.75" x14ac:dyDescent="0.25">
      <c r="A13" s="79" t="str">
        <f>'Page de garde'!A21</f>
        <v xml:space="preserve"> </v>
      </c>
      <c r="B13" s="99"/>
      <c r="C13" s="79"/>
      <c r="D13" s="79"/>
      <c r="E13" s="81"/>
      <c r="F13" s="97" t="e">
        <f>HLOOKUP(A13,'pooled normalised values'!$B$74:$V$83,10,FALSE)</f>
        <v>#N/A</v>
      </c>
      <c r="G13" s="128" t="e">
        <f t="shared" si="0"/>
        <v>#N/A</v>
      </c>
      <c r="H13" s="119" t="str">
        <f>IF(VLOOKUP(A13,liste_groupe[],4,FALSE)="%",VLOOKUP(A13,liste_groupe[],3,FALSE)/100,IF(ISBLANK(VLOOKUP(A13,liste_groupe[],4,FALSE)),"Non","Non"))</f>
        <v>Non</v>
      </c>
      <c r="I13" s="128" t="e">
        <f t="shared" si="1"/>
        <v>#N/A</v>
      </c>
      <c r="J13" s="129">
        <v>64</v>
      </c>
      <c r="K13" s="130" t="e">
        <f t="shared" si="2"/>
        <v>#N/A</v>
      </c>
      <c r="L13" s="125"/>
      <c r="M13" s="131" t="e">
        <f t="shared" si="3"/>
        <v>#N/A</v>
      </c>
      <c r="N13" s="92" t="e">
        <f>IF(H13="Non",CONCATENATE(VLOOKUP(A13,liste_groupe[],5,FALSE),"-",VLOOKUP(A13,liste_groupe[],3,FALSE),VLOOKUP(A13,liste_groupe[],4,FALSE)," : ",ROUND(K13,0),"%"),CONCATENATE(VLOOKUP(A13,liste_groupe[],5,FALSE)," : ",ROUND(K13,0),"%"))</f>
        <v>#N/A</v>
      </c>
      <c r="O13"/>
    </row>
    <row r="14" spans="1:15" s="76" customFormat="1" ht="15.75" x14ac:dyDescent="0.25">
      <c r="A14" s="79" t="str">
        <f>'Page de garde'!A22</f>
        <v xml:space="preserve"> </v>
      </c>
      <c r="B14" s="99"/>
      <c r="C14" s="79"/>
      <c r="D14" s="79"/>
      <c r="E14" s="81"/>
      <c r="F14" s="97" t="e">
        <f>HLOOKUP(A14,'pooled normalised values'!$B$74:$V$83,10,FALSE)</f>
        <v>#N/A</v>
      </c>
      <c r="G14" s="128" t="e">
        <f t="shared" ref="G14:G25" si="4">IF(F14="NS","NC",ROUND(B14,2-(1+INT(LOG10(ABS(B14))))))</f>
        <v>#N/A</v>
      </c>
      <c r="H14" s="119" t="str">
        <f>IF(VLOOKUP(A14,liste_groupe[],4,FALSE)="%",VLOOKUP(A14,liste_groupe[],3,FALSE)/100,IF(ISBLANK(VLOOKUP(A14,liste_groupe[],4,FALSE)),"Non","Non"))</f>
        <v>Non</v>
      </c>
      <c r="I14" s="128" t="e">
        <f t="shared" si="1"/>
        <v>#N/A</v>
      </c>
      <c r="J14" s="129">
        <v>64</v>
      </c>
      <c r="K14" s="130" t="e">
        <f t="shared" si="2"/>
        <v>#N/A</v>
      </c>
      <c r="L14" s="125"/>
      <c r="M14" s="131" t="e">
        <f t="shared" si="3"/>
        <v>#N/A</v>
      </c>
      <c r="N14" s="92" t="e">
        <f>IF(H14="Non",CONCATENATE(VLOOKUP(A14,liste_groupe[],5,FALSE),"-",VLOOKUP(A14,liste_groupe[],3,FALSE),VLOOKUP(A14,liste_groupe[],4,FALSE)," : ",ROUND(K14,0),"%"),CONCATENATE(VLOOKUP(A14,liste_groupe[],5,FALSE)," : ",ROUND(K14,0),"%"))</f>
        <v>#N/A</v>
      </c>
      <c r="O14" s="1"/>
    </row>
    <row r="15" spans="1:15" s="76" customFormat="1" ht="15.75" x14ac:dyDescent="0.25">
      <c r="A15" s="79" t="str">
        <f>'Page de garde'!A23</f>
        <v xml:space="preserve"> </v>
      </c>
      <c r="B15" s="99"/>
      <c r="C15" s="79"/>
      <c r="D15" s="79"/>
      <c r="E15" s="81"/>
      <c r="F15" s="97" t="e">
        <f>HLOOKUP(A15,'pooled normalised values'!$B$74:$V$83,10,FALSE)</f>
        <v>#N/A</v>
      </c>
      <c r="G15" s="128" t="e">
        <f t="shared" si="4"/>
        <v>#N/A</v>
      </c>
      <c r="H15" s="119" t="str">
        <f>IF(VLOOKUP(A15,liste_groupe[],4,FALSE)="%",VLOOKUP(A15,liste_groupe[],3,FALSE)/100,IF(ISBLANK(VLOOKUP(A15,liste_groupe[],4,FALSE)),"Non","Non"))</f>
        <v>Non</v>
      </c>
      <c r="I15" s="128" t="e">
        <f t="shared" si="1"/>
        <v>#N/A</v>
      </c>
      <c r="J15" s="129">
        <v>64</v>
      </c>
      <c r="K15" s="130" t="e">
        <f t="shared" si="2"/>
        <v>#N/A</v>
      </c>
      <c r="L15" s="125"/>
      <c r="M15" s="131" t="e">
        <f t="shared" si="3"/>
        <v>#N/A</v>
      </c>
      <c r="N15" s="92" t="e">
        <f>IF(H15="Non",CONCATENATE(VLOOKUP(A15,liste_groupe[],5,FALSE),"-",VLOOKUP(A15,liste_groupe[],3,FALSE),VLOOKUP(A15,liste_groupe[],4,FALSE)," : ",ROUND(K15,0),"%"),CONCATENATE(VLOOKUP(A15,liste_groupe[],5,FALSE)," : ",ROUND(K15,0),"%"))</f>
        <v>#N/A</v>
      </c>
      <c r="O15" s="1"/>
    </row>
    <row r="16" spans="1:15" s="76" customFormat="1" ht="15.75" x14ac:dyDescent="0.25">
      <c r="A16" s="79" t="str">
        <f>'Page de garde'!A24</f>
        <v xml:space="preserve"> </v>
      </c>
      <c r="B16" s="99"/>
      <c r="C16" s="79"/>
      <c r="D16" s="79"/>
      <c r="E16" s="81"/>
      <c r="F16" s="97" t="e">
        <f>HLOOKUP(A16,'pooled normalised values'!$B$74:$V$83,10,FALSE)</f>
        <v>#N/A</v>
      </c>
      <c r="G16" s="128" t="e">
        <f t="shared" si="4"/>
        <v>#N/A</v>
      </c>
      <c r="H16" s="119" t="str">
        <f>IF(VLOOKUP(A16,liste_groupe[],4,FALSE)="%",VLOOKUP(A16,liste_groupe[],3,FALSE)/100,IF(ISBLANK(VLOOKUP(A16,liste_groupe[],4,FALSE)),"Non","Non"))</f>
        <v>Non</v>
      </c>
      <c r="I16" s="128" t="e">
        <f t="shared" si="1"/>
        <v>#N/A</v>
      </c>
      <c r="J16" s="129">
        <v>64</v>
      </c>
      <c r="K16" s="130" t="e">
        <f t="shared" si="2"/>
        <v>#N/A</v>
      </c>
      <c r="L16" s="125"/>
      <c r="M16" s="131" t="e">
        <f t="shared" si="3"/>
        <v>#N/A</v>
      </c>
      <c r="N16" s="92" t="e">
        <f>IF(H16="Non",CONCATENATE(VLOOKUP(A16,liste_groupe[],5,FALSE),"-",VLOOKUP(A16,liste_groupe[],3,FALSE),VLOOKUP(A16,liste_groupe[],4,FALSE)," : ",ROUND(K16,0),"%"),CONCATENATE(VLOOKUP(A16,liste_groupe[],5,FALSE)," : ",ROUND(K16,0),"%"))</f>
        <v>#N/A</v>
      </c>
      <c r="O16" s="1"/>
    </row>
    <row r="17" spans="1:15" s="76" customFormat="1" ht="15.75" x14ac:dyDescent="0.25">
      <c r="A17" s="79" t="str">
        <f>'Page de garde'!A25</f>
        <v xml:space="preserve"> </v>
      </c>
      <c r="B17" s="99"/>
      <c r="C17" s="79"/>
      <c r="D17" s="79"/>
      <c r="E17" s="81"/>
      <c r="F17" s="97" t="e">
        <f>HLOOKUP(A17,'pooled normalised values'!$B$74:$V$83,10,FALSE)</f>
        <v>#N/A</v>
      </c>
      <c r="G17" s="128" t="e">
        <f t="shared" si="4"/>
        <v>#N/A</v>
      </c>
      <c r="H17" s="119" t="str">
        <f>IF(VLOOKUP(A17,liste_groupe[],4,FALSE)="%",VLOOKUP(A17,liste_groupe[],3,FALSE)/100,IF(ISBLANK(VLOOKUP(A17,liste_groupe[],4,FALSE)),"Non","Non"))</f>
        <v>Non</v>
      </c>
      <c r="I17" s="128" t="e">
        <f t="shared" si="1"/>
        <v>#N/A</v>
      </c>
      <c r="J17" s="129">
        <v>64</v>
      </c>
      <c r="K17" s="130" t="e">
        <f t="shared" si="2"/>
        <v>#N/A</v>
      </c>
      <c r="L17" s="125"/>
      <c r="M17" s="131" t="e">
        <f t="shared" si="3"/>
        <v>#N/A</v>
      </c>
      <c r="N17" s="92" t="e">
        <f>IF(H17="Non",CONCATENATE(VLOOKUP(A17,liste_groupe[],5,FALSE),"-",VLOOKUP(A17,liste_groupe[],3,FALSE),VLOOKUP(A17,liste_groupe[],4,FALSE)," : ",ROUND(K17,0),"%"),CONCATENATE(VLOOKUP(A17,liste_groupe[],5,FALSE)," : ",ROUND(K17,0),"%"))</f>
        <v>#N/A</v>
      </c>
      <c r="O17" s="1"/>
    </row>
    <row r="18" spans="1:15" s="76" customFormat="1" ht="15.75" x14ac:dyDescent="0.25">
      <c r="A18" s="79" t="str">
        <f>'Page de garde'!A26</f>
        <v xml:space="preserve"> </v>
      </c>
      <c r="B18" s="99"/>
      <c r="C18" s="79"/>
      <c r="D18" s="79"/>
      <c r="E18" s="81"/>
      <c r="F18" s="97" t="e">
        <f>HLOOKUP(A18,'pooled normalised values'!$B$74:$V$83,10,FALSE)</f>
        <v>#N/A</v>
      </c>
      <c r="G18" s="128" t="e">
        <f t="shared" si="4"/>
        <v>#N/A</v>
      </c>
      <c r="H18" s="119" t="str">
        <f>IF(VLOOKUP(A18,liste_groupe[],4,FALSE)="%",VLOOKUP(A18,liste_groupe[],3,FALSE)/100,IF(ISBLANK(VLOOKUP(A18,liste_groupe[],4,FALSE)),"Non","Non"))</f>
        <v>Non</v>
      </c>
      <c r="I18" s="128" t="e">
        <f t="shared" si="1"/>
        <v>#N/A</v>
      </c>
      <c r="J18" s="129">
        <v>64</v>
      </c>
      <c r="K18" s="130" t="e">
        <f t="shared" si="2"/>
        <v>#N/A</v>
      </c>
      <c r="L18" s="125"/>
      <c r="M18" s="131" t="e">
        <f t="shared" si="3"/>
        <v>#N/A</v>
      </c>
      <c r="N18" s="92" t="e">
        <f>IF(H18="Non",CONCATENATE(VLOOKUP(A18,liste_groupe[],5,FALSE),"-",VLOOKUP(A18,liste_groupe[],3,FALSE),VLOOKUP(A18,liste_groupe[],4,FALSE)," : ",ROUND(K18,0),"%"),CONCATENATE(VLOOKUP(A18,liste_groupe[],5,FALSE)," : ",ROUND(K18,0),"%"))</f>
        <v>#N/A</v>
      </c>
      <c r="O18" s="1"/>
    </row>
    <row r="19" spans="1:15" s="76" customFormat="1" ht="15.75" x14ac:dyDescent="0.25">
      <c r="A19" s="79" t="str">
        <f>'Page de garde'!A27</f>
        <v xml:space="preserve"> </v>
      </c>
      <c r="B19" s="99"/>
      <c r="C19" s="79"/>
      <c r="D19" s="79"/>
      <c r="E19" s="81"/>
      <c r="F19" s="97" t="e">
        <f>HLOOKUP(A19,'pooled normalised values'!$B$74:$V$83,10,FALSE)</f>
        <v>#N/A</v>
      </c>
      <c r="G19" s="128" t="e">
        <f t="shared" si="4"/>
        <v>#N/A</v>
      </c>
      <c r="H19" s="119" t="str">
        <f>IF(VLOOKUP(A19,liste_groupe[],4,FALSE)="%",VLOOKUP(A19,liste_groupe[],3,FALSE)/100,IF(ISBLANK(VLOOKUP(A19,liste_groupe[],4,FALSE)),"Non","Non"))</f>
        <v>Non</v>
      </c>
      <c r="I19" s="128" t="e">
        <f t="shared" si="1"/>
        <v>#N/A</v>
      </c>
      <c r="J19" s="129">
        <v>64</v>
      </c>
      <c r="K19" s="130" t="e">
        <f t="shared" si="2"/>
        <v>#N/A</v>
      </c>
      <c r="L19" s="125"/>
      <c r="M19" s="131" t="e">
        <f t="shared" si="3"/>
        <v>#N/A</v>
      </c>
      <c r="N19" s="92" t="e">
        <f>IF(H19="Non",CONCATENATE(VLOOKUP(A19,liste_groupe[],5,FALSE),"-",VLOOKUP(A19,liste_groupe[],3,FALSE),VLOOKUP(A19,liste_groupe[],4,FALSE)," : ",ROUND(K19,0),"%"),CONCATENATE(VLOOKUP(A19,liste_groupe[],5,FALSE)," : ",ROUND(K19,0),"%"))</f>
        <v>#N/A</v>
      </c>
      <c r="O19" s="1"/>
    </row>
    <row r="20" spans="1:15" s="76" customFormat="1" ht="15.75" x14ac:dyDescent="0.25">
      <c r="A20" s="79" t="str">
        <f>'Page de garde'!A28</f>
        <v xml:space="preserve"> </v>
      </c>
      <c r="B20" s="99"/>
      <c r="C20" s="79"/>
      <c r="D20" s="79"/>
      <c r="E20" s="81"/>
      <c r="F20" s="97" t="e">
        <f>HLOOKUP(A20,'pooled normalised values'!$B$74:$V$83,10,FALSE)</f>
        <v>#N/A</v>
      </c>
      <c r="G20" s="128" t="e">
        <f t="shared" si="4"/>
        <v>#N/A</v>
      </c>
      <c r="H20" s="119" t="str">
        <f>IF(VLOOKUP(A20,liste_groupe[],4,FALSE)="%",VLOOKUP(A20,liste_groupe[],3,FALSE)/100,IF(ISBLANK(VLOOKUP(A20,liste_groupe[],4,FALSE)),"Non","Non"))</f>
        <v>Non</v>
      </c>
      <c r="I20" s="128" t="e">
        <f t="shared" si="1"/>
        <v>#N/A</v>
      </c>
      <c r="J20" s="129">
        <v>64</v>
      </c>
      <c r="K20" s="130" t="e">
        <f t="shared" si="2"/>
        <v>#N/A</v>
      </c>
      <c r="L20" s="125"/>
      <c r="M20" s="131" t="e">
        <f t="shared" si="3"/>
        <v>#N/A</v>
      </c>
      <c r="N20" s="92" t="e">
        <f>IF(H20="Non",CONCATENATE(VLOOKUP(A20,liste_groupe[],5,FALSE),"-",VLOOKUP(A20,liste_groupe[],3,FALSE),VLOOKUP(A20,liste_groupe[],4,FALSE)," : ",ROUND(K20,0),"%"),CONCATENATE(VLOOKUP(A20,liste_groupe[],5,FALSE)," : ",ROUND(K20,0),"%"))</f>
        <v>#N/A</v>
      </c>
      <c r="O20" s="1"/>
    </row>
    <row r="21" spans="1:15" s="76" customFormat="1" ht="15.75" x14ac:dyDescent="0.25">
      <c r="A21" s="79" t="str">
        <f>'Page de garde'!A29</f>
        <v xml:space="preserve"> </v>
      </c>
      <c r="B21" s="99"/>
      <c r="C21" s="79"/>
      <c r="D21" s="79"/>
      <c r="E21" s="81"/>
      <c r="F21" s="97" t="e">
        <f>HLOOKUP(A21,'pooled normalised values'!$B$74:$V$83,10,FALSE)</f>
        <v>#N/A</v>
      </c>
      <c r="G21" s="128" t="e">
        <f t="shared" si="4"/>
        <v>#N/A</v>
      </c>
      <c r="H21" s="119" t="str">
        <f>IF(VLOOKUP(A21,liste_groupe[],4,FALSE)="%",VLOOKUP(A21,liste_groupe[],3,FALSE)/100,IF(ISBLANK(VLOOKUP(A21,liste_groupe[],4,FALSE)),"Non","Non"))</f>
        <v>Non</v>
      </c>
      <c r="I21" s="128" t="e">
        <f t="shared" si="1"/>
        <v>#N/A</v>
      </c>
      <c r="J21" s="129">
        <v>64</v>
      </c>
      <c r="K21" s="130" t="e">
        <f t="shared" si="2"/>
        <v>#N/A</v>
      </c>
      <c r="L21" s="125"/>
      <c r="M21" s="131" t="e">
        <f t="shared" si="3"/>
        <v>#N/A</v>
      </c>
      <c r="N21" s="92" t="e">
        <f>IF(H21="Non",CONCATENATE(VLOOKUP(A21,liste_groupe[],5,FALSE),"-",VLOOKUP(A21,liste_groupe[],3,FALSE),VLOOKUP(A21,liste_groupe[],4,FALSE)," : ",ROUND(K21,0),"%"),CONCATENATE(VLOOKUP(A21,liste_groupe[],5,FALSE)," : ",ROUND(K21,0),"%"))</f>
        <v>#N/A</v>
      </c>
      <c r="O21" s="1"/>
    </row>
    <row r="22" spans="1:15" s="76" customFormat="1" ht="15.75" x14ac:dyDescent="0.25">
      <c r="A22" s="79" t="str">
        <f>'Page de garde'!A30</f>
        <v xml:space="preserve"> </v>
      </c>
      <c r="B22" s="99"/>
      <c r="C22" s="79"/>
      <c r="D22" s="79"/>
      <c r="E22" s="81"/>
      <c r="F22" s="97" t="e">
        <f>HLOOKUP(A22,'pooled normalised values'!$B$74:$V$83,10,FALSE)</f>
        <v>#N/A</v>
      </c>
      <c r="G22" s="128" t="e">
        <f t="shared" si="4"/>
        <v>#N/A</v>
      </c>
      <c r="H22" s="119" t="str">
        <f>IF(VLOOKUP(A22,liste_groupe[],4,FALSE)="%",VLOOKUP(A22,liste_groupe[],3,FALSE)/100,IF(ISBLANK(VLOOKUP(A22,liste_groupe[],4,FALSE)),"Non","Non"))</f>
        <v>Non</v>
      </c>
      <c r="I22" s="128" t="e">
        <f t="shared" si="1"/>
        <v>#N/A</v>
      </c>
      <c r="J22" s="129">
        <v>64</v>
      </c>
      <c r="K22" s="130" t="e">
        <f t="shared" si="2"/>
        <v>#N/A</v>
      </c>
      <c r="L22" s="125"/>
      <c r="M22" s="131" t="e">
        <f t="shared" si="3"/>
        <v>#N/A</v>
      </c>
      <c r="N22" s="92" t="e">
        <f>IF(H22="Non",CONCATENATE(VLOOKUP(A22,liste_groupe[],5,FALSE),"-",VLOOKUP(A22,liste_groupe[],3,FALSE),VLOOKUP(A22,liste_groupe[],4,FALSE)," : ",ROUND(K22,0),"%"),CONCATENATE(VLOOKUP(A22,liste_groupe[],5,FALSE)," : ",ROUND(K22,0),"%"))</f>
        <v>#N/A</v>
      </c>
      <c r="O22" s="1"/>
    </row>
    <row r="23" spans="1:15" s="76" customFormat="1" ht="15.75" x14ac:dyDescent="0.25">
      <c r="A23" s="79" t="str">
        <f>'Page de garde'!A31</f>
        <v xml:space="preserve"> </v>
      </c>
      <c r="B23" s="99"/>
      <c r="C23" s="79"/>
      <c r="D23" s="79"/>
      <c r="E23" s="81"/>
      <c r="F23" s="97" t="e">
        <f>HLOOKUP(A23,'pooled normalised values'!$B$74:$V$83,10,FALSE)</f>
        <v>#N/A</v>
      </c>
      <c r="G23" s="128" t="e">
        <f t="shared" si="4"/>
        <v>#N/A</v>
      </c>
      <c r="H23" s="119" t="str">
        <f>IF(VLOOKUP(A23,liste_groupe[],4,FALSE)="%",VLOOKUP(A23,liste_groupe[],3,FALSE)/100,IF(ISBLANK(VLOOKUP(A23,liste_groupe[],4,FALSE)),"Non","Non"))</f>
        <v>Non</v>
      </c>
      <c r="I23" s="128" t="e">
        <f t="shared" si="1"/>
        <v>#N/A</v>
      </c>
      <c r="J23" s="129">
        <v>64</v>
      </c>
      <c r="K23" s="130" t="e">
        <f t="shared" si="2"/>
        <v>#N/A</v>
      </c>
      <c r="L23" s="125"/>
      <c r="M23" s="131" t="e">
        <f t="shared" si="3"/>
        <v>#N/A</v>
      </c>
      <c r="N23" s="92" t="e">
        <f>IF(H23="Non",CONCATENATE(VLOOKUP(A23,liste_groupe[],5,FALSE),"-",VLOOKUP(A23,liste_groupe[],3,FALSE),VLOOKUP(A23,liste_groupe[],4,FALSE)," : ",ROUND(K23,0),"%"),CONCATENATE(VLOOKUP(A23,liste_groupe[],5,FALSE)," : ",ROUND(K23,0),"%"))</f>
        <v>#N/A</v>
      </c>
      <c r="O23" s="1"/>
    </row>
    <row r="24" spans="1:15" s="76" customFormat="1" ht="15.75" x14ac:dyDescent="0.25">
      <c r="A24" s="79" t="str">
        <f>'Page de garde'!A32</f>
        <v xml:space="preserve"> </v>
      </c>
      <c r="B24" s="99"/>
      <c r="C24" s="79"/>
      <c r="D24" s="79"/>
      <c r="E24" s="81"/>
      <c r="F24" s="97" t="e">
        <f>HLOOKUP(A24,'pooled normalised values'!$B$74:$V$83,10,FALSE)</f>
        <v>#N/A</v>
      </c>
      <c r="G24" s="128" t="e">
        <f t="shared" si="4"/>
        <v>#N/A</v>
      </c>
      <c r="H24" s="119" t="str">
        <f>IF(VLOOKUP(A24,liste_groupe[],4,FALSE)="%",VLOOKUP(A24,liste_groupe[],3,FALSE)/100,IF(ISBLANK(VLOOKUP(A24,liste_groupe[],4,FALSE)),"Non","Non"))</f>
        <v>Non</v>
      </c>
      <c r="I24" s="128" t="e">
        <f t="shared" si="1"/>
        <v>#N/A</v>
      </c>
      <c r="J24" s="129">
        <v>64</v>
      </c>
      <c r="K24" s="130" t="e">
        <f t="shared" si="2"/>
        <v>#N/A</v>
      </c>
      <c r="L24" s="125"/>
      <c r="M24" s="131" t="e">
        <f t="shared" si="3"/>
        <v>#N/A</v>
      </c>
      <c r="N24" s="92" t="e">
        <f>IF(H24="Non",CONCATENATE(VLOOKUP(A24,liste_groupe[],5,FALSE),"-",VLOOKUP(A24,liste_groupe[],3,FALSE),VLOOKUP(A24,liste_groupe[],4,FALSE)," : ",ROUND(K24,0),"%"),CONCATENATE(VLOOKUP(A24,liste_groupe[],5,FALSE)," : ",ROUND(K24,0),"%"))</f>
        <v>#N/A</v>
      </c>
      <c r="O24" s="1"/>
    </row>
    <row r="25" spans="1:15" s="76" customFormat="1" ht="15.75" x14ac:dyDescent="0.25">
      <c r="A25" s="79" t="str">
        <f>'Page de garde'!A33</f>
        <v xml:space="preserve"> </v>
      </c>
      <c r="B25" s="99"/>
      <c r="C25" s="79"/>
      <c r="D25" s="79"/>
      <c r="E25" s="81"/>
      <c r="F25" s="97" t="e">
        <f>HLOOKUP(A25,'pooled normalised values'!$B$74:$V$83,10,FALSE)</f>
        <v>#N/A</v>
      </c>
      <c r="G25" s="128" t="e">
        <f t="shared" si="4"/>
        <v>#N/A</v>
      </c>
      <c r="H25" s="119" t="str">
        <f>IF(VLOOKUP(A25,liste_groupe[],4,FALSE)="%",VLOOKUP(A25,liste_groupe[],3,FALSE)/100,IF(ISBLANK(VLOOKUP(A25,liste_groupe[],4,FALSE)),"Non","Non"))</f>
        <v>Non</v>
      </c>
      <c r="I25" s="128" t="e">
        <f t="shared" si="1"/>
        <v>#N/A</v>
      </c>
      <c r="J25" s="129">
        <v>64</v>
      </c>
      <c r="K25" s="130" t="e">
        <f t="shared" si="2"/>
        <v>#N/A</v>
      </c>
      <c r="L25" s="125"/>
      <c r="M25" s="131" t="e">
        <f t="shared" si="3"/>
        <v>#N/A</v>
      </c>
      <c r="N25" s="92" t="e">
        <f>IF(H25="Non",CONCATENATE(VLOOKUP(A25,liste_groupe[],5,FALSE),"-",VLOOKUP(A25,liste_groupe[],3,FALSE),VLOOKUP(A25,liste_groupe[],4,FALSE)," : ",ROUND(K25,0),"%"),CONCATENATE(VLOOKUP(A25,liste_groupe[],5,FALSE)," : ",ROUND(K25,0),"%"))</f>
        <v>#N/A</v>
      </c>
      <c r="O25" s="1"/>
    </row>
    <row r="26" spans="1:15" s="76" customFormat="1" ht="15.75" x14ac:dyDescent="0.25">
      <c r="A26" s="79" t="str">
        <f>'Page de garde'!A34</f>
        <v xml:space="preserve"> </v>
      </c>
      <c r="B26" s="98"/>
      <c r="C26" s="85"/>
      <c r="D26" s="85"/>
      <c r="E26" s="81"/>
      <c r="F26" s="97" t="e">
        <f>HLOOKUP(A26,'pooled normalised values'!$B$74:$V$83,10,FALSE)</f>
        <v>#N/A</v>
      </c>
      <c r="G26" s="128" t="e">
        <f t="shared" ref="G26" si="5">IF(F26="NS","NC",ROUND(B26,2-(1+INT(LOG10(ABS(B26))))))</f>
        <v>#N/A</v>
      </c>
      <c r="H26" s="119" t="str">
        <f>IF(VLOOKUP(A26,liste_groupe[],4,FALSE)="%",VLOOKUP(A26,liste_groupe[],3,FALSE)/100,IF(ISBLANK(VLOOKUP(A26,liste_groupe[],4,FALSE)),"Non","Non"))</f>
        <v>Non</v>
      </c>
      <c r="I26" s="128" t="e">
        <f t="shared" si="1"/>
        <v>#N/A</v>
      </c>
      <c r="J26" s="129">
        <v>64</v>
      </c>
      <c r="K26" s="130" t="e">
        <f t="shared" si="2"/>
        <v>#N/A</v>
      </c>
      <c r="L26" s="125"/>
      <c r="M26" s="131" t="e">
        <f t="shared" si="3"/>
        <v>#N/A</v>
      </c>
      <c r="N26" s="92" t="e">
        <f>IF(H26="Non",CONCATENATE(VLOOKUP(A26,liste_groupe[],5,FALSE),"-",VLOOKUP(A26,liste_groupe[],3,FALSE),VLOOKUP(A26,liste_groupe[],4,FALSE)," : ",ROUND(K26,0),"%"),CONCATENATE(VLOOKUP(A26,liste_groupe[],5,FALSE)," : ",ROUND(K26,0),"%"))</f>
        <v>#N/A</v>
      </c>
      <c r="O26"/>
    </row>
    <row r="27" spans="1:15" s="76" customFormat="1" ht="15.75" x14ac:dyDescent="0.25">
      <c r="A27"/>
      <c r="B27"/>
      <c r="C27"/>
      <c r="D27"/>
      <c r="E27"/>
      <c r="F27"/>
      <c r="G27"/>
      <c r="H27"/>
      <c r="I27"/>
      <c r="J27"/>
      <c r="K27"/>
      <c r="L27"/>
      <c r="M27"/>
      <c r="N27"/>
      <c r="O27" s="1"/>
    </row>
    <row r="28" spans="1:15" s="76" customFormat="1" ht="32.25" thickBot="1" x14ac:dyDescent="0.3">
      <c r="A28"/>
      <c r="B28" s="87" t="s">
        <v>25</v>
      </c>
      <c r="C28" s="87" t="s">
        <v>26</v>
      </c>
      <c r="D28" s="87" t="s">
        <v>27</v>
      </c>
      <c r="E28" s="88" t="s">
        <v>64</v>
      </c>
      <c r="F28" s="126" t="s">
        <v>80</v>
      </c>
      <c r="G28" s="94" t="s">
        <v>42</v>
      </c>
      <c r="H28" s="94" t="s">
        <v>65</v>
      </c>
      <c r="I28" s="94" t="s">
        <v>66</v>
      </c>
      <c r="J28" s="95" t="s">
        <v>77</v>
      </c>
      <c r="K28" s="95" t="s">
        <v>67</v>
      </c>
      <c r="L28" s="96" t="s">
        <v>76</v>
      </c>
      <c r="M28" s="96" t="s">
        <v>68</v>
      </c>
      <c r="N28" s="96" t="s">
        <v>69</v>
      </c>
      <c r="O28" s="1"/>
    </row>
    <row r="29" spans="1:15" s="76" customFormat="1" ht="15.75" x14ac:dyDescent="0.25">
      <c r="A29" s="83" t="s">
        <v>29</v>
      </c>
      <c r="B29" s="99"/>
      <c r="C29" s="79"/>
      <c r="D29" s="79"/>
      <c r="E29" s="81"/>
      <c r="F29" s="90"/>
      <c r="G29" s="133"/>
      <c r="H29" s="120"/>
      <c r="I29" s="120"/>
      <c r="J29" s="121"/>
      <c r="K29" s="122"/>
      <c r="L29" s="124"/>
      <c r="M29" s="121"/>
      <c r="N29" s="91"/>
      <c r="O29"/>
    </row>
    <row r="30" spans="1:15" s="76" customFormat="1" ht="15.75" x14ac:dyDescent="0.25">
      <c r="A30" s="83" t="s">
        <v>31</v>
      </c>
      <c r="B30" s="99"/>
      <c r="C30" s="79"/>
      <c r="D30" s="79"/>
      <c r="E30" s="81"/>
      <c r="F30" s="90"/>
      <c r="G30" s="132" t="e">
        <f>IF(F30="NS","NC",ROUND(B30-$B$29,2-(1+INT(LOG10(ABS(B30-$B$29))))))</f>
        <v>#NUM!</v>
      </c>
      <c r="H30" s="120"/>
      <c r="I30" s="133"/>
      <c r="J30" s="134"/>
      <c r="K30" s="135"/>
      <c r="L30" s="134"/>
      <c r="M30" s="134"/>
      <c r="N30" s="136"/>
      <c r="O30"/>
    </row>
    <row r="31" spans="1:15" s="76" customFormat="1" ht="15.75" x14ac:dyDescent="0.25">
      <c r="A31" s="83" t="s">
        <v>30</v>
      </c>
      <c r="B31" s="99"/>
      <c r="C31" s="79"/>
      <c r="D31" s="79"/>
      <c r="E31" s="81"/>
      <c r="F31" s="90"/>
      <c r="G31" s="132" t="e">
        <f t="shared" ref="G31:G51" si="6">IF(F31="NS","NC",ROUND(B31-$B$29,2-(1+INT(LOG10(ABS(B31-$B$29))))))</f>
        <v>#NUM!</v>
      </c>
      <c r="H31" s="120"/>
      <c r="I31" s="133"/>
      <c r="J31" s="134"/>
      <c r="K31" s="135"/>
      <c r="L31" s="134"/>
      <c r="M31" s="134"/>
      <c r="N31" s="136"/>
    </row>
    <row r="32" spans="1:15" s="76" customFormat="1" ht="15.75" x14ac:dyDescent="0.25">
      <c r="A32" s="127" t="str">
        <f>'Page de garde'!A39</f>
        <v>Testosterone-3,7µg/L + Testostérone</v>
      </c>
      <c r="B32" s="99"/>
      <c r="C32" s="79"/>
      <c r="D32" s="79"/>
      <c r="E32" s="81"/>
      <c r="F32" s="93" t="str">
        <f>HLOOKUP(A32,'pooled normalised values'!$B$74:$V$83,10,FALSE)</f>
        <v>NS</v>
      </c>
      <c r="G32" s="132" t="str">
        <f t="shared" si="6"/>
        <v>NC</v>
      </c>
      <c r="H32" s="123" t="str">
        <f>IF(VLOOKUP(A32,liste_groupe[],4,FALSE)="%",VLOOKUP(A32,liste_groupe[],3,FALSE)/100,IF(ISBLANK(VLOOKUP(A32,liste_groupe[],4,FALSE)),"Non","Non"))</f>
        <v>Non</v>
      </c>
      <c r="I32" s="132" t="str">
        <f>IF(F32="NS","NC",IF(H32="Non",G32,G32*(1/H32)))</f>
        <v>NC</v>
      </c>
      <c r="J32" s="137" t="e">
        <f>IF(G32&lt;0,$G$31,$G$30)</f>
        <v>#NUM!</v>
      </c>
      <c r="K32" s="138">
        <f>IF(F32="NS",0,IF(I32&lt;0,-ROUND(I32/J32*100,0),ROUND(I32/J32*100,0)))</f>
        <v>0</v>
      </c>
      <c r="L32" s="139">
        <v>1</v>
      </c>
      <c r="M32" s="131">
        <f>IF(I32&lt;0,IF(K32&lt;-100,-125,K32),IF(K32&gt;100,125,K32))</f>
        <v>0</v>
      </c>
      <c r="N32" s="140" t="str">
        <f>IF(H32="Non",CONCATENATE(VLOOKUP(A32,liste_groupe[],5,FALSE),"-",VLOOKUP(A32,liste_groupe[],3,FALSE),VLOOKUP(A32,liste_groupe[],4,FALSE)," : ",ROUND(K32,0),"%"),CONCATENATE(VLOOKUP(A32,liste_groupe[],5,FALSE)," : ",ROUND(K32,0),"%"))</f>
        <v>Testosterone-3,7µg/L : 0%</v>
      </c>
    </row>
    <row r="33" spans="1:14" s="76" customFormat="1" ht="15.75" x14ac:dyDescent="0.25">
      <c r="A33" s="127" t="str">
        <f>'Page de garde'!A40</f>
        <v>Testosterone-11µg/L + Testostérone</v>
      </c>
      <c r="B33" s="98"/>
      <c r="C33" s="86"/>
      <c r="D33" s="86"/>
      <c r="E33" s="81"/>
      <c r="F33" s="93" t="str">
        <f>HLOOKUP(A33,'pooled normalised values'!$B$74:$V$83,10,FALSE)</f>
        <v>NS</v>
      </c>
      <c r="G33" s="132" t="str">
        <f>IF(F33="NS","NC",ROUND(B33-$B$29,2-(1+INT(LOG10(ABS(B33-$B$29))))))</f>
        <v>NC</v>
      </c>
      <c r="H33" s="123" t="str">
        <f>IF(VLOOKUP(A33,liste_groupe[],4,FALSE)="%",VLOOKUP(A33,liste_groupe[],3,FALSE)/100,IF(ISBLANK(VLOOKUP(A33,liste_groupe[],4,FALSE)),"Non","Non"))</f>
        <v>Non</v>
      </c>
      <c r="I33" s="132" t="str">
        <f t="shared" ref="I33:I51" si="7">IF(F33="NS","NC",IF(H33="Non",G33,G33*(1/H33)))</f>
        <v>NC</v>
      </c>
      <c r="J33" s="137" t="e">
        <f t="shared" ref="J33:J51" si="8">IF(G33&lt;0,$G$31,$G$30)</f>
        <v>#NUM!</v>
      </c>
      <c r="K33" s="138">
        <f t="shared" ref="K33:K51" si="9">IF(F33="NS",0,IF(I33&lt;0,-ROUND(I33/J33*100,0),ROUND(I33/J33*100,0)))</f>
        <v>0</v>
      </c>
      <c r="L33" s="139"/>
      <c r="M33" s="131">
        <f t="shared" ref="M33:M51" si="10">IF(I33&lt;0,IF(K33&lt;-100,-125,K33),IF(K33&gt;100,125,K33))</f>
        <v>0</v>
      </c>
      <c r="N33" s="140" t="str">
        <f>IF(H33="Non",CONCATENATE(VLOOKUP(A33,liste_groupe[],5,FALSE),"-",VLOOKUP(A33,liste_groupe[],3,FALSE),VLOOKUP(A33,liste_groupe[],4,FALSE)," : ",ROUND(K33,0),"%"),CONCATENATE(VLOOKUP(A33,liste_groupe[],5,FALSE)," : ",ROUND(K33,0),"%"))</f>
        <v>Testosterone-11µg/L : 0%</v>
      </c>
    </row>
    <row r="34" spans="1:14" s="76" customFormat="1" ht="15.75" x14ac:dyDescent="0.25">
      <c r="A34" s="127" t="str">
        <f>'Page de garde'!A41</f>
        <v>Testosterone-33µg/L + Testostérone</v>
      </c>
      <c r="B34" s="99"/>
      <c r="C34" s="79"/>
      <c r="D34" s="79"/>
      <c r="E34" s="81"/>
      <c r="F34" s="93" t="str">
        <f>HLOOKUP(A34,'pooled normalised values'!$B$74:$V$83,10,FALSE)</f>
        <v>NS</v>
      </c>
      <c r="G34" s="132" t="str">
        <f t="shared" si="6"/>
        <v>NC</v>
      </c>
      <c r="H34" s="123" t="str">
        <f>IF(VLOOKUP(A34,liste_groupe[],4,FALSE)="%",VLOOKUP(A34,liste_groupe[],3,FALSE)/100,IF(ISBLANK(VLOOKUP(A34,liste_groupe[],4,FALSE)),"Non","Non"))</f>
        <v>Non</v>
      </c>
      <c r="I34" s="132" t="str">
        <f t="shared" si="7"/>
        <v>NC</v>
      </c>
      <c r="J34" s="137" t="e">
        <f t="shared" si="8"/>
        <v>#NUM!</v>
      </c>
      <c r="K34" s="138">
        <f t="shared" si="9"/>
        <v>0</v>
      </c>
      <c r="L34" s="139"/>
      <c r="M34" s="131">
        <f t="shared" si="10"/>
        <v>0</v>
      </c>
      <c r="N34" s="140" t="str">
        <f>IF(H34="Non",CONCATENATE(VLOOKUP(A34,liste_groupe[],5,FALSE),"-",VLOOKUP(A34,liste_groupe[],3,FALSE),VLOOKUP(A34,liste_groupe[],4,FALSE)," : ",ROUND(K34,0),"%"),CONCATENATE(VLOOKUP(A34,liste_groupe[],5,FALSE)," : ",ROUND(K34,0),"%"))</f>
        <v>Testosterone-33µg/L : 0%</v>
      </c>
    </row>
    <row r="35" spans="1:14" s="76" customFormat="1" ht="15.75" x14ac:dyDescent="0.25">
      <c r="A35" s="127" t="str">
        <f>'Page de garde'!A42</f>
        <v>Testosterone-100µg/L + Testostérone</v>
      </c>
      <c r="B35" s="98"/>
      <c r="C35" s="86"/>
      <c r="D35" s="86"/>
      <c r="E35" s="81"/>
      <c r="F35" s="93" t="str">
        <f>HLOOKUP(A35,'pooled normalised values'!$B$74:$V$83,10,FALSE)</f>
        <v>NS</v>
      </c>
      <c r="G35" s="132" t="str">
        <f t="shared" si="6"/>
        <v>NC</v>
      </c>
      <c r="H35" s="123" t="str">
        <f>IF(VLOOKUP(A35,liste_groupe[],4,FALSE)="%",VLOOKUP(A35,liste_groupe[],3,FALSE)/100,IF(ISBLANK(VLOOKUP(A35,liste_groupe[],4,FALSE)),"Non","Non"))</f>
        <v>Non</v>
      </c>
      <c r="I35" s="132" t="str">
        <f t="shared" si="7"/>
        <v>NC</v>
      </c>
      <c r="J35" s="137" t="e">
        <f t="shared" si="8"/>
        <v>#NUM!</v>
      </c>
      <c r="K35" s="138">
        <f t="shared" si="9"/>
        <v>0</v>
      </c>
      <c r="L35" s="139"/>
      <c r="M35" s="131">
        <f t="shared" si="10"/>
        <v>0</v>
      </c>
      <c r="N35" s="140" t="str">
        <f>IF(H35="Non",CONCATENATE(VLOOKUP(A35,liste_groupe[],5,FALSE),"-",VLOOKUP(A35,liste_groupe[],3,FALSE),VLOOKUP(A35,liste_groupe[],4,FALSE)," : ",ROUND(K35,0),"%"),CONCATENATE(VLOOKUP(A35,liste_groupe[],5,FALSE)," : ",ROUND(K35,0),"%"))</f>
        <v>Testosterone-100µg/L : 0%</v>
      </c>
    </row>
    <row r="36" spans="1:14" s="76" customFormat="1" ht="15.75" x14ac:dyDescent="0.25">
      <c r="A36" s="127" t="str">
        <f>'Page de garde'!A43</f>
        <v>Testosterone-300µg/L + Testostérone</v>
      </c>
      <c r="B36" s="98"/>
      <c r="C36" s="86"/>
      <c r="D36" s="86"/>
      <c r="E36" s="81"/>
      <c r="F36" s="93" t="str">
        <f>HLOOKUP(A36,'pooled normalised values'!$B$74:$V$83,10,FALSE)</f>
        <v>NS</v>
      </c>
      <c r="G36" s="132" t="str">
        <f t="shared" si="6"/>
        <v>NC</v>
      </c>
      <c r="H36" s="123" t="str">
        <f>IF(VLOOKUP(A36,liste_groupe[],4,FALSE)="%",VLOOKUP(A36,liste_groupe[],3,FALSE)/100,IF(ISBLANK(VLOOKUP(A36,liste_groupe[],4,FALSE)),"Non","Non"))</f>
        <v>Non</v>
      </c>
      <c r="I36" s="132" t="str">
        <f t="shared" si="7"/>
        <v>NC</v>
      </c>
      <c r="J36" s="137" t="e">
        <f t="shared" si="8"/>
        <v>#NUM!</v>
      </c>
      <c r="K36" s="138">
        <f t="shared" si="9"/>
        <v>0</v>
      </c>
      <c r="L36" s="139"/>
      <c r="M36" s="131">
        <f t="shared" si="10"/>
        <v>0</v>
      </c>
      <c r="N36" s="140" t="str">
        <f>IF(H36="Non",CONCATENATE(VLOOKUP(A36,liste_groupe[],5,FALSE),"-",VLOOKUP(A36,liste_groupe[],3,FALSE),VLOOKUP(A36,liste_groupe[],4,FALSE)," : ",ROUND(K36,0),"%"),CONCATENATE(VLOOKUP(A36,liste_groupe[],5,FALSE)," : ",ROUND(K36,0),"%"))</f>
        <v>Testosterone-300µg/L : 0%</v>
      </c>
    </row>
    <row r="37" spans="1:14" s="76" customFormat="1" ht="15.75" x14ac:dyDescent="0.25">
      <c r="A37" s="127" t="str">
        <f>'Page de garde'!A44</f>
        <v>0-00 + Testostérone</v>
      </c>
      <c r="B37" s="98"/>
      <c r="C37" s="86"/>
      <c r="D37" s="86"/>
      <c r="E37" s="81"/>
      <c r="F37" s="93" t="e">
        <f>HLOOKUP(A37,'pooled normalised values'!$B$74:$V$83,10,FALSE)</f>
        <v>#N/A</v>
      </c>
      <c r="G37" s="132" t="e">
        <f t="shared" si="6"/>
        <v>#N/A</v>
      </c>
      <c r="H37" s="123" t="str">
        <f>IF(VLOOKUP(A37,liste_groupe[],4,FALSE)="%",VLOOKUP(A37,liste_groupe[],3,FALSE)/100,IF(ISBLANK(VLOOKUP(A37,liste_groupe[],4,FALSE)),"Non","Non"))</f>
        <v>Non</v>
      </c>
      <c r="I37" s="132" t="e">
        <f t="shared" si="7"/>
        <v>#N/A</v>
      </c>
      <c r="J37" s="137" t="e">
        <f t="shared" si="8"/>
        <v>#N/A</v>
      </c>
      <c r="K37" s="138" t="e">
        <f t="shared" si="9"/>
        <v>#N/A</v>
      </c>
      <c r="L37" s="139"/>
      <c r="M37" s="131" t="e">
        <f t="shared" si="10"/>
        <v>#N/A</v>
      </c>
      <c r="N37" s="140" t="e">
        <f>IF(H37="Non",CONCATENATE(VLOOKUP(A37,liste_groupe[],5,FALSE),"-",VLOOKUP(A37,liste_groupe[],3,FALSE),VLOOKUP(A37,liste_groupe[],4,FALSE)," : ",ROUND(K37,0),"%"),CONCATENATE(VLOOKUP(A37,liste_groupe[],5,FALSE)," : ",ROUND(K37,0),"%"))</f>
        <v>#N/A</v>
      </c>
    </row>
    <row r="38" spans="1:14" s="76" customFormat="1" ht="15.75" x14ac:dyDescent="0.25">
      <c r="A38" s="127" t="str">
        <f>'Page de garde'!A45</f>
        <v>0-00 + Testostérone</v>
      </c>
      <c r="B38" s="98"/>
      <c r="C38" s="86"/>
      <c r="D38" s="86"/>
      <c r="E38" s="81"/>
      <c r="F38" s="93" t="e">
        <f>HLOOKUP(A38,'pooled normalised values'!$B$74:$V$83,10,FALSE)</f>
        <v>#N/A</v>
      </c>
      <c r="G38" s="132" t="e">
        <f t="shared" si="6"/>
        <v>#N/A</v>
      </c>
      <c r="H38" s="123" t="str">
        <f>IF(VLOOKUP(A38,liste_groupe[],4,FALSE)="%",VLOOKUP(A38,liste_groupe[],3,FALSE)/100,IF(ISBLANK(VLOOKUP(A38,liste_groupe[],4,FALSE)),"Non","Non"))</f>
        <v>Non</v>
      </c>
      <c r="I38" s="132" t="e">
        <f t="shared" si="7"/>
        <v>#N/A</v>
      </c>
      <c r="J38" s="137" t="e">
        <f t="shared" si="8"/>
        <v>#N/A</v>
      </c>
      <c r="K38" s="138" t="e">
        <f t="shared" si="9"/>
        <v>#N/A</v>
      </c>
      <c r="L38" s="139"/>
      <c r="M38" s="131" t="e">
        <f t="shared" si="10"/>
        <v>#N/A</v>
      </c>
      <c r="N38" s="140" t="e">
        <f>IF(H38="Non",CONCATENATE(VLOOKUP(A38,liste_groupe[],5,FALSE),"-",VLOOKUP(A38,liste_groupe[],3,FALSE),VLOOKUP(A38,liste_groupe[],4,FALSE)," : ",ROUND(K38,0),"%"),CONCATENATE(VLOOKUP(A38,liste_groupe[],5,FALSE)," : ",ROUND(K38,0),"%"))</f>
        <v>#N/A</v>
      </c>
    </row>
    <row r="39" spans="1:14" s="76" customFormat="1" ht="15.75" x14ac:dyDescent="0.25">
      <c r="A39" s="127" t="str">
        <f>'Page de garde'!A46</f>
        <v>0-00 + Testostérone</v>
      </c>
      <c r="B39" s="98"/>
      <c r="C39" s="86"/>
      <c r="D39" s="86"/>
      <c r="E39" s="81"/>
      <c r="F39" s="93" t="e">
        <f>HLOOKUP(A39,'pooled normalised values'!$B$74:$V$83,10,FALSE)</f>
        <v>#N/A</v>
      </c>
      <c r="G39" s="132" t="e">
        <f t="shared" ref="G39:G50" si="11">IF(F39="NS","NC",ROUND(B39-$B$29,2-(1+INT(LOG10(ABS(B39-$B$29))))))</f>
        <v>#N/A</v>
      </c>
      <c r="H39" s="123" t="str">
        <f>IF(VLOOKUP(A39,liste_groupe[],4,FALSE)="%",VLOOKUP(A39,liste_groupe[],3,FALSE)/100,IF(ISBLANK(VLOOKUP(A39,liste_groupe[],4,FALSE)),"Non","Non"))</f>
        <v>Non</v>
      </c>
      <c r="I39" s="132" t="e">
        <f t="shared" si="7"/>
        <v>#N/A</v>
      </c>
      <c r="J39" s="137" t="e">
        <f t="shared" ref="J39:J50" si="12">IF(G39&lt;0,$G$31,$G$30)</f>
        <v>#N/A</v>
      </c>
      <c r="K39" s="138" t="e">
        <f t="shared" si="9"/>
        <v>#N/A</v>
      </c>
      <c r="L39" s="139"/>
      <c r="M39" s="131" t="e">
        <f t="shared" si="10"/>
        <v>#N/A</v>
      </c>
      <c r="N39" s="140" t="e">
        <f>IF(H39="Non",CONCATENATE(VLOOKUP(A39,liste_groupe[],5,FALSE),"-",VLOOKUP(A39,liste_groupe[],3,FALSE),VLOOKUP(A39,liste_groupe[],4,FALSE)," : ",ROUND(K39,0),"%"),CONCATENATE(VLOOKUP(A39,liste_groupe[],5,FALSE)," : ",ROUND(K39,0),"%"))</f>
        <v>#N/A</v>
      </c>
    </row>
    <row r="40" spans="1:14" s="76" customFormat="1" ht="15.75" x14ac:dyDescent="0.25">
      <c r="A40" s="127" t="str">
        <f>'Page de garde'!A47</f>
        <v>0-00 + Testostérone</v>
      </c>
      <c r="B40" s="98"/>
      <c r="C40" s="86"/>
      <c r="D40" s="86"/>
      <c r="E40" s="81"/>
      <c r="F40" s="93" t="e">
        <f>HLOOKUP(A40,'pooled normalised values'!$B$74:$V$83,10,FALSE)</f>
        <v>#N/A</v>
      </c>
      <c r="G40" s="132" t="e">
        <f t="shared" si="11"/>
        <v>#N/A</v>
      </c>
      <c r="H40" s="123" t="str">
        <f>IF(VLOOKUP(A40,liste_groupe[],4,FALSE)="%",VLOOKUP(A40,liste_groupe[],3,FALSE)/100,IF(ISBLANK(VLOOKUP(A40,liste_groupe[],4,FALSE)),"Non","Non"))</f>
        <v>Non</v>
      </c>
      <c r="I40" s="132" t="e">
        <f t="shared" si="7"/>
        <v>#N/A</v>
      </c>
      <c r="J40" s="137" t="e">
        <f t="shared" si="12"/>
        <v>#N/A</v>
      </c>
      <c r="K40" s="138" t="e">
        <f t="shared" si="9"/>
        <v>#N/A</v>
      </c>
      <c r="L40" s="139"/>
      <c r="M40" s="131" t="e">
        <f t="shared" si="10"/>
        <v>#N/A</v>
      </c>
      <c r="N40" s="140" t="e">
        <f>IF(H40="Non",CONCATENATE(VLOOKUP(A40,liste_groupe[],5,FALSE),"-",VLOOKUP(A40,liste_groupe[],3,FALSE),VLOOKUP(A40,liste_groupe[],4,FALSE)," : ",ROUND(K40,0),"%"),CONCATENATE(VLOOKUP(A40,liste_groupe[],5,FALSE)," : ",ROUND(K40,0),"%"))</f>
        <v>#N/A</v>
      </c>
    </row>
    <row r="41" spans="1:14" s="76" customFormat="1" ht="15.75" x14ac:dyDescent="0.25">
      <c r="A41" s="127" t="str">
        <f>'Page de garde'!A48</f>
        <v>0-00 + Testostérone</v>
      </c>
      <c r="B41" s="98"/>
      <c r="C41" s="86"/>
      <c r="D41" s="86"/>
      <c r="E41" s="81"/>
      <c r="F41" s="93" t="e">
        <f>HLOOKUP(A41,'pooled normalised values'!$B$74:$V$83,10,FALSE)</f>
        <v>#N/A</v>
      </c>
      <c r="G41" s="132" t="e">
        <f t="shared" si="11"/>
        <v>#N/A</v>
      </c>
      <c r="H41" s="123" t="str">
        <f>IF(VLOOKUP(A41,liste_groupe[],4,FALSE)="%",VLOOKUP(A41,liste_groupe[],3,FALSE)/100,IF(ISBLANK(VLOOKUP(A41,liste_groupe[],4,FALSE)),"Non","Non"))</f>
        <v>Non</v>
      </c>
      <c r="I41" s="132" t="e">
        <f t="shared" si="7"/>
        <v>#N/A</v>
      </c>
      <c r="J41" s="137" t="e">
        <f t="shared" si="12"/>
        <v>#N/A</v>
      </c>
      <c r="K41" s="138" t="e">
        <f t="shared" si="9"/>
        <v>#N/A</v>
      </c>
      <c r="L41" s="139"/>
      <c r="M41" s="131" t="e">
        <f t="shared" si="10"/>
        <v>#N/A</v>
      </c>
      <c r="N41" s="140" t="e">
        <f>IF(H41="Non",CONCATENATE(VLOOKUP(A41,liste_groupe[],5,FALSE),"-",VLOOKUP(A41,liste_groupe[],3,FALSE),VLOOKUP(A41,liste_groupe[],4,FALSE)," : ",ROUND(K41,0),"%"),CONCATENATE(VLOOKUP(A41,liste_groupe[],5,FALSE)," : ",ROUND(K41,0),"%"))</f>
        <v>#N/A</v>
      </c>
    </row>
    <row r="42" spans="1:14" s="76" customFormat="1" ht="15.75" x14ac:dyDescent="0.25">
      <c r="A42" s="127" t="str">
        <f>'Page de garde'!A49</f>
        <v>0-00 + Testostérone</v>
      </c>
      <c r="B42" s="98"/>
      <c r="C42" s="86"/>
      <c r="D42" s="86"/>
      <c r="E42" s="81"/>
      <c r="F42" s="93" t="e">
        <f>HLOOKUP(A42,'pooled normalised values'!$B$74:$V$83,10,FALSE)</f>
        <v>#N/A</v>
      </c>
      <c r="G42" s="132" t="e">
        <f t="shared" si="11"/>
        <v>#N/A</v>
      </c>
      <c r="H42" s="123" t="str">
        <f>IF(VLOOKUP(A42,liste_groupe[],4,FALSE)="%",VLOOKUP(A42,liste_groupe[],3,FALSE)/100,IF(ISBLANK(VLOOKUP(A42,liste_groupe[],4,FALSE)),"Non","Non"))</f>
        <v>Non</v>
      </c>
      <c r="I42" s="132" t="e">
        <f t="shared" si="7"/>
        <v>#N/A</v>
      </c>
      <c r="J42" s="137" t="e">
        <f t="shared" si="12"/>
        <v>#N/A</v>
      </c>
      <c r="K42" s="138" t="e">
        <f t="shared" si="9"/>
        <v>#N/A</v>
      </c>
      <c r="L42" s="139"/>
      <c r="M42" s="131" t="e">
        <f t="shared" si="10"/>
        <v>#N/A</v>
      </c>
      <c r="N42" s="140" t="e">
        <f>IF(H42="Non",CONCATENATE(VLOOKUP(A42,liste_groupe[],5,FALSE),"-",VLOOKUP(A42,liste_groupe[],3,FALSE),VLOOKUP(A42,liste_groupe[],4,FALSE)," : ",ROUND(K42,0),"%"),CONCATENATE(VLOOKUP(A42,liste_groupe[],5,FALSE)," : ",ROUND(K42,0),"%"))</f>
        <v>#N/A</v>
      </c>
    </row>
    <row r="43" spans="1:14" s="76" customFormat="1" ht="15.75" x14ac:dyDescent="0.25">
      <c r="A43" s="127" t="str">
        <f>'Page de garde'!A50</f>
        <v>0-00 + Testostérone</v>
      </c>
      <c r="B43" s="98"/>
      <c r="C43" s="86"/>
      <c r="D43" s="86"/>
      <c r="E43" s="81"/>
      <c r="F43" s="93" t="e">
        <f>HLOOKUP(A43,'pooled normalised values'!$B$74:$V$83,10,FALSE)</f>
        <v>#N/A</v>
      </c>
      <c r="G43" s="132" t="e">
        <f t="shared" si="11"/>
        <v>#N/A</v>
      </c>
      <c r="H43" s="123" t="str">
        <f>IF(VLOOKUP(A43,liste_groupe[],4,FALSE)="%",VLOOKUP(A43,liste_groupe[],3,FALSE)/100,IF(ISBLANK(VLOOKUP(A43,liste_groupe[],4,FALSE)),"Non","Non"))</f>
        <v>Non</v>
      </c>
      <c r="I43" s="132" t="e">
        <f t="shared" si="7"/>
        <v>#N/A</v>
      </c>
      <c r="J43" s="137" t="e">
        <f t="shared" si="12"/>
        <v>#N/A</v>
      </c>
      <c r="K43" s="138" t="e">
        <f t="shared" si="9"/>
        <v>#N/A</v>
      </c>
      <c r="L43" s="139"/>
      <c r="M43" s="131" t="e">
        <f t="shared" si="10"/>
        <v>#N/A</v>
      </c>
      <c r="N43" s="140" t="e">
        <f>IF(H43="Non",CONCATENATE(VLOOKUP(A43,liste_groupe[],5,FALSE),"-",VLOOKUP(A43,liste_groupe[],3,FALSE),VLOOKUP(A43,liste_groupe[],4,FALSE)," : ",ROUND(K43,0),"%"),CONCATENATE(VLOOKUP(A43,liste_groupe[],5,FALSE)," : ",ROUND(K43,0),"%"))</f>
        <v>#N/A</v>
      </c>
    </row>
    <row r="44" spans="1:14" s="76" customFormat="1" ht="15.75" x14ac:dyDescent="0.25">
      <c r="A44" s="127" t="str">
        <f>'Page de garde'!A51</f>
        <v>0-00 + Testostérone</v>
      </c>
      <c r="B44" s="98"/>
      <c r="C44" s="86"/>
      <c r="D44" s="86"/>
      <c r="E44" s="81"/>
      <c r="F44" s="93" t="e">
        <f>HLOOKUP(A44,'pooled normalised values'!$B$74:$V$83,10,FALSE)</f>
        <v>#N/A</v>
      </c>
      <c r="G44" s="132" t="e">
        <f t="shared" si="11"/>
        <v>#N/A</v>
      </c>
      <c r="H44" s="123" t="str">
        <f>IF(VLOOKUP(A44,liste_groupe[],4,FALSE)="%",VLOOKUP(A44,liste_groupe[],3,FALSE)/100,IF(ISBLANK(VLOOKUP(A44,liste_groupe[],4,FALSE)),"Non","Non"))</f>
        <v>Non</v>
      </c>
      <c r="I44" s="132" t="e">
        <f t="shared" si="7"/>
        <v>#N/A</v>
      </c>
      <c r="J44" s="137" t="e">
        <f t="shared" si="12"/>
        <v>#N/A</v>
      </c>
      <c r="K44" s="138" t="e">
        <f t="shared" si="9"/>
        <v>#N/A</v>
      </c>
      <c r="L44" s="139"/>
      <c r="M44" s="131" t="e">
        <f t="shared" si="10"/>
        <v>#N/A</v>
      </c>
      <c r="N44" s="140" t="e">
        <f>IF(H44="Non",CONCATENATE(VLOOKUP(A44,liste_groupe[],5,FALSE),"-",VLOOKUP(A44,liste_groupe[],3,FALSE),VLOOKUP(A44,liste_groupe[],4,FALSE)," : ",ROUND(K44,0),"%"),CONCATENATE(VLOOKUP(A44,liste_groupe[],5,FALSE)," : ",ROUND(K44,0),"%"))</f>
        <v>#N/A</v>
      </c>
    </row>
    <row r="45" spans="1:14" s="76" customFormat="1" ht="15.75" x14ac:dyDescent="0.25">
      <c r="A45" s="127" t="str">
        <f>'Page de garde'!A52</f>
        <v>0-00 + Testostérone</v>
      </c>
      <c r="B45" s="98"/>
      <c r="C45" s="86"/>
      <c r="D45" s="86"/>
      <c r="E45" s="81"/>
      <c r="F45" s="93" t="e">
        <f>HLOOKUP(A45,'pooled normalised values'!$B$74:$V$83,10,FALSE)</f>
        <v>#N/A</v>
      </c>
      <c r="G45" s="132" t="e">
        <f t="shared" si="11"/>
        <v>#N/A</v>
      </c>
      <c r="H45" s="123" t="str">
        <f>IF(VLOOKUP(A45,liste_groupe[],4,FALSE)="%",VLOOKUP(A45,liste_groupe[],3,FALSE)/100,IF(ISBLANK(VLOOKUP(A45,liste_groupe[],4,FALSE)),"Non","Non"))</f>
        <v>Non</v>
      </c>
      <c r="I45" s="132" t="e">
        <f t="shared" si="7"/>
        <v>#N/A</v>
      </c>
      <c r="J45" s="137" t="e">
        <f t="shared" si="12"/>
        <v>#N/A</v>
      </c>
      <c r="K45" s="138" t="e">
        <f t="shared" si="9"/>
        <v>#N/A</v>
      </c>
      <c r="L45" s="139"/>
      <c r="M45" s="131" t="e">
        <f t="shared" si="10"/>
        <v>#N/A</v>
      </c>
      <c r="N45" s="140" t="e">
        <f>IF(H45="Non",CONCATENATE(VLOOKUP(A45,liste_groupe[],5,FALSE),"-",VLOOKUP(A45,liste_groupe[],3,FALSE),VLOOKUP(A45,liste_groupe[],4,FALSE)," : ",ROUND(K45,0),"%"),CONCATENATE(VLOOKUP(A45,liste_groupe[],5,FALSE)," : ",ROUND(K45,0),"%"))</f>
        <v>#N/A</v>
      </c>
    </row>
    <row r="46" spans="1:14" s="76" customFormat="1" ht="15.75" x14ac:dyDescent="0.25">
      <c r="A46" s="127" t="str">
        <f>'Page de garde'!A53</f>
        <v>0-00 + Testostérone</v>
      </c>
      <c r="B46" s="98"/>
      <c r="C46" s="86"/>
      <c r="D46" s="86"/>
      <c r="E46" s="81"/>
      <c r="F46" s="93" t="e">
        <f>HLOOKUP(A46,'pooled normalised values'!$B$74:$V$83,10,FALSE)</f>
        <v>#N/A</v>
      </c>
      <c r="G46" s="132" t="e">
        <f t="shared" si="11"/>
        <v>#N/A</v>
      </c>
      <c r="H46" s="123" t="str">
        <f>IF(VLOOKUP(A46,liste_groupe[],4,FALSE)="%",VLOOKUP(A46,liste_groupe[],3,FALSE)/100,IF(ISBLANK(VLOOKUP(A46,liste_groupe[],4,FALSE)),"Non","Non"))</f>
        <v>Non</v>
      </c>
      <c r="I46" s="132" t="e">
        <f t="shared" si="7"/>
        <v>#N/A</v>
      </c>
      <c r="J46" s="137" t="e">
        <f t="shared" si="12"/>
        <v>#N/A</v>
      </c>
      <c r="K46" s="138" t="e">
        <f t="shared" si="9"/>
        <v>#N/A</v>
      </c>
      <c r="L46" s="139"/>
      <c r="M46" s="131" t="e">
        <f t="shared" si="10"/>
        <v>#N/A</v>
      </c>
      <c r="N46" s="140" t="e">
        <f>IF(H46="Non",CONCATENATE(VLOOKUP(A46,liste_groupe[],5,FALSE),"-",VLOOKUP(A46,liste_groupe[],3,FALSE),VLOOKUP(A46,liste_groupe[],4,FALSE)," : ",ROUND(K46,0),"%"),CONCATENATE(VLOOKUP(A46,liste_groupe[],5,FALSE)," : ",ROUND(K46,0),"%"))</f>
        <v>#N/A</v>
      </c>
    </row>
    <row r="47" spans="1:14" s="76" customFormat="1" ht="15.75" x14ac:dyDescent="0.25">
      <c r="A47" s="127" t="str">
        <f>'Page de garde'!A54</f>
        <v>0-00 + Testostérone</v>
      </c>
      <c r="B47" s="98"/>
      <c r="C47" s="86"/>
      <c r="D47" s="86"/>
      <c r="E47" s="81"/>
      <c r="F47" s="93" t="e">
        <f>HLOOKUP(A47,'pooled normalised values'!$B$74:$V$83,10,FALSE)</f>
        <v>#N/A</v>
      </c>
      <c r="G47" s="132" t="e">
        <f t="shared" si="11"/>
        <v>#N/A</v>
      </c>
      <c r="H47" s="123" t="str">
        <f>IF(VLOOKUP(A47,liste_groupe[],4,FALSE)="%",VLOOKUP(A47,liste_groupe[],3,FALSE)/100,IF(ISBLANK(VLOOKUP(A47,liste_groupe[],4,FALSE)),"Non","Non"))</f>
        <v>Non</v>
      </c>
      <c r="I47" s="132" t="e">
        <f t="shared" si="7"/>
        <v>#N/A</v>
      </c>
      <c r="J47" s="137" t="e">
        <f t="shared" si="12"/>
        <v>#N/A</v>
      </c>
      <c r="K47" s="138" t="e">
        <f t="shared" si="9"/>
        <v>#N/A</v>
      </c>
      <c r="L47" s="139"/>
      <c r="M47" s="131" t="e">
        <f t="shared" si="10"/>
        <v>#N/A</v>
      </c>
      <c r="N47" s="140" t="e">
        <f>IF(H47="Non",CONCATENATE(VLOOKUP(A47,liste_groupe[],5,FALSE),"-",VLOOKUP(A47,liste_groupe[],3,FALSE),VLOOKUP(A47,liste_groupe[],4,FALSE)," : ",ROUND(K47,0),"%"),CONCATENATE(VLOOKUP(A47,liste_groupe[],5,FALSE)," : ",ROUND(K47,0),"%"))</f>
        <v>#N/A</v>
      </c>
    </row>
    <row r="48" spans="1:14" s="76" customFormat="1" ht="15.75" x14ac:dyDescent="0.25">
      <c r="A48" s="127" t="str">
        <f>'Page de garde'!A55</f>
        <v>0-00 + Testostérone</v>
      </c>
      <c r="B48" s="98"/>
      <c r="C48" s="86"/>
      <c r="D48" s="86"/>
      <c r="E48" s="81"/>
      <c r="F48" s="93" t="e">
        <f>HLOOKUP(A48,'pooled normalised values'!$B$74:$V$83,10,FALSE)</f>
        <v>#N/A</v>
      </c>
      <c r="G48" s="132" t="e">
        <f t="shared" si="11"/>
        <v>#N/A</v>
      </c>
      <c r="H48" s="123" t="str">
        <f>IF(VLOOKUP(A48,liste_groupe[],4,FALSE)="%",VLOOKUP(A48,liste_groupe[],3,FALSE)/100,IF(ISBLANK(VLOOKUP(A48,liste_groupe[],4,FALSE)),"Non","Non"))</f>
        <v>Non</v>
      </c>
      <c r="I48" s="132" t="e">
        <f t="shared" si="7"/>
        <v>#N/A</v>
      </c>
      <c r="J48" s="137" t="e">
        <f t="shared" si="12"/>
        <v>#N/A</v>
      </c>
      <c r="K48" s="138" t="e">
        <f t="shared" si="9"/>
        <v>#N/A</v>
      </c>
      <c r="L48" s="139"/>
      <c r="M48" s="131" t="e">
        <f t="shared" si="10"/>
        <v>#N/A</v>
      </c>
      <c r="N48" s="140" t="e">
        <f>IF(H48="Non",CONCATENATE(VLOOKUP(A48,liste_groupe[],5,FALSE),"-",VLOOKUP(A48,liste_groupe[],3,FALSE),VLOOKUP(A48,liste_groupe[],4,FALSE)," : ",ROUND(K48,0),"%"),CONCATENATE(VLOOKUP(A48,liste_groupe[],5,FALSE)," : ",ROUND(K48,0),"%"))</f>
        <v>#N/A</v>
      </c>
    </row>
    <row r="49" spans="1:15" s="76" customFormat="1" ht="15.75" x14ac:dyDescent="0.25">
      <c r="A49" s="127" t="str">
        <f>'Page de garde'!A56</f>
        <v>0-00 + Testostérone</v>
      </c>
      <c r="B49" s="98"/>
      <c r="C49" s="86"/>
      <c r="D49" s="86"/>
      <c r="E49" s="81"/>
      <c r="F49" s="93" t="e">
        <f>HLOOKUP(A49,'pooled normalised values'!$B$74:$V$83,10,FALSE)</f>
        <v>#N/A</v>
      </c>
      <c r="G49" s="132" t="e">
        <f t="shared" si="11"/>
        <v>#N/A</v>
      </c>
      <c r="H49" s="123" t="str">
        <f>IF(VLOOKUP(A49,liste_groupe[],4,FALSE)="%",VLOOKUP(A49,liste_groupe[],3,FALSE)/100,IF(ISBLANK(VLOOKUP(A49,liste_groupe[],4,FALSE)),"Non","Non"))</f>
        <v>Non</v>
      </c>
      <c r="I49" s="132" t="e">
        <f t="shared" si="7"/>
        <v>#N/A</v>
      </c>
      <c r="J49" s="137" t="e">
        <f t="shared" si="12"/>
        <v>#N/A</v>
      </c>
      <c r="K49" s="138" t="e">
        <f t="shared" si="9"/>
        <v>#N/A</v>
      </c>
      <c r="L49" s="139"/>
      <c r="M49" s="131" t="e">
        <f t="shared" si="10"/>
        <v>#N/A</v>
      </c>
      <c r="N49" s="140" t="e">
        <f>IF(H49="Non",CONCATENATE(VLOOKUP(A49,liste_groupe[],5,FALSE),"-",VLOOKUP(A49,liste_groupe[],3,FALSE),VLOOKUP(A49,liste_groupe[],4,FALSE)," : ",ROUND(K49,0),"%"),CONCATENATE(VLOOKUP(A49,liste_groupe[],5,FALSE)," : ",ROUND(K49,0),"%"))</f>
        <v>#N/A</v>
      </c>
    </row>
    <row r="50" spans="1:15" s="76" customFormat="1" ht="15.75" x14ac:dyDescent="0.25">
      <c r="A50" s="127" t="str">
        <f>'Page de garde'!A57</f>
        <v>0-00 + Testostérone</v>
      </c>
      <c r="B50" s="98"/>
      <c r="C50" s="86"/>
      <c r="D50" s="86"/>
      <c r="E50" s="81"/>
      <c r="F50" s="93" t="e">
        <f>HLOOKUP(A50,'pooled normalised values'!$B$74:$V$83,10,FALSE)</f>
        <v>#N/A</v>
      </c>
      <c r="G50" s="132" t="e">
        <f t="shared" si="11"/>
        <v>#N/A</v>
      </c>
      <c r="H50" s="123" t="str">
        <f>IF(VLOOKUP(A50,liste_groupe[],4,FALSE)="%",VLOOKUP(A50,liste_groupe[],3,FALSE)/100,IF(ISBLANK(VLOOKUP(A50,liste_groupe[],4,FALSE)),"Non","Non"))</f>
        <v>Non</v>
      </c>
      <c r="I50" s="132" t="e">
        <f t="shared" si="7"/>
        <v>#N/A</v>
      </c>
      <c r="J50" s="137" t="e">
        <f t="shared" si="12"/>
        <v>#N/A</v>
      </c>
      <c r="K50" s="138" t="e">
        <f t="shared" si="9"/>
        <v>#N/A</v>
      </c>
      <c r="L50" s="139"/>
      <c r="M50" s="131" t="e">
        <f t="shared" si="10"/>
        <v>#N/A</v>
      </c>
      <c r="N50" s="140" t="e">
        <f>IF(H50="Non",CONCATENATE(VLOOKUP(A50,liste_groupe[],5,FALSE),"-",VLOOKUP(A50,liste_groupe[],3,FALSE),VLOOKUP(A50,liste_groupe[],4,FALSE)," : ",ROUND(K50,0),"%"),CONCATENATE(VLOOKUP(A50,liste_groupe[],5,FALSE)," : ",ROUND(K50,0),"%"))</f>
        <v>#N/A</v>
      </c>
    </row>
    <row r="51" spans="1:15" s="76" customFormat="1" ht="15.75" x14ac:dyDescent="0.25">
      <c r="A51" s="127" t="str">
        <f>'Page de garde'!A58</f>
        <v>0-00 + Testostérone</v>
      </c>
      <c r="B51" s="98"/>
      <c r="C51" s="86"/>
      <c r="D51" s="86"/>
      <c r="E51" s="81"/>
      <c r="F51" s="93" t="e">
        <f>HLOOKUP(A51,'pooled normalised values'!$B$74:$V$83,10,FALSE)</f>
        <v>#N/A</v>
      </c>
      <c r="G51" s="132" t="e">
        <f t="shared" si="6"/>
        <v>#N/A</v>
      </c>
      <c r="H51" s="123" t="str">
        <f>IF(VLOOKUP(A51,liste_groupe[],4,FALSE)="%",VLOOKUP(A51,liste_groupe[],3,FALSE)/100,IF(ISBLANK(VLOOKUP(A51,liste_groupe[],4,FALSE)),"Non","Non"))</f>
        <v>Non</v>
      </c>
      <c r="I51" s="132" t="e">
        <f t="shared" si="7"/>
        <v>#N/A</v>
      </c>
      <c r="J51" s="137" t="e">
        <f t="shared" si="8"/>
        <v>#N/A</v>
      </c>
      <c r="K51" s="138" t="e">
        <f t="shared" si="9"/>
        <v>#N/A</v>
      </c>
      <c r="L51" s="139"/>
      <c r="M51" s="131" t="e">
        <f t="shared" si="10"/>
        <v>#N/A</v>
      </c>
      <c r="N51" s="140" t="e">
        <f>IF(H51="Non",CONCATENATE(VLOOKUP(A51,liste_groupe[],5,FALSE),"-",VLOOKUP(A51,liste_groupe[],3,FALSE),VLOOKUP(A51,liste_groupe[],4,FALSE)," : ",ROUND(K51,0),"%"),CONCATENATE(VLOOKUP(A51,liste_groupe[],5,FALSE)," : ",ROUND(K51,0),"%"))</f>
        <v>#N/A</v>
      </c>
    </row>
    <row r="52" spans="1:15" s="76" customFormat="1" ht="16.5" thickBot="1" x14ac:dyDescent="0.3">
      <c r="E52" s="77"/>
      <c r="F52" s="77"/>
      <c r="G52" s="77"/>
      <c r="H52" s="77"/>
      <c r="I52" s="77"/>
      <c r="J52" s="77"/>
      <c r="K52" s="77"/>
      <c r="L52" s="77"/>
      <c r="M52" s="77"/>
      <c r="N52" s="77"/>
    </row>
    <row r="53" spans="1:15" s="48" customFormat="1" ht="27" thickBot="1" x14ac:dyDescent="0.3">
      <c r="A53" s="231" t="s">
        <v>60</v>
      </c>
      <c r="B53" s="232"/>
      <c r="C53" s="232"/>
      <c r="D53" s="232"/>
      <c r="E53" s="232"/>
      <c r="F53" s="232"/>
      <c r="G53" s="232"/>
      <c r="H53" s="232"/>
      <c r="I53" s="232"/>
      <c r="J53" s="232"/>
      <c r="K53" s="232"/>
      <c r="L53" s="232"/>
      <c r="M53" s="232"/>
      <c r="N53" s="232"/>
      <c r="O53" s="233"/>
    </row>
  </sheetData>
  <mergeCells count="3">
    <mergeCell ref="A2:O2"/>
    <mergeCell ref="A1:O1"/>
    <mergeCell ref="A53:O53"/>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2"/>
  <sheetViews>
    <sheetView showGridLines="0" workbookViewId="0">
      <selection activeCell="B6" sqref="B6"/>
    </sheetView>
  </sheetViews>
  <sheetFormatPr baseColWidth="10" defaultColWidth="11.42578125" defaultRowHeight="15" x14ac:dyDescent="0.25"/>
  <cols>
    <col min="1" max="1" width="22.85546875" style="179" customWidth="1"/>
    <col min="2" max="2" width="46.28515625" style="179" customWidth="1"/>
    <col min="3" max="3" width="15.28515625" style="179" customWidth="1"/>
    <col min="4" max="4" width="24.7109375" style="179" customWidth="1"/>
    <col min="5" max="5" width="24.42578125" style="179" customWidth="1"/>
    <col min="6" max="6" width="23.140625" style="179" customWidth="1"/>
    <col min="7" max="7" width="21.28515625" style="179" customWidth="1"/>
    <col min="8" max="16384" width="11.42578125" style="179"/>
  </cols>
  <sheetData>
    <row r="1" spans="1:7" ht="30.75" thickBot="1" x14ac:dyDescent="0.3">
      <c r="A1" s="184" t="s">
        <v>131</v>
      </c>
      <c r="B1" s="185" t="s">
        <v>132</v>
      </c>
      <c r="C1" s="185" t="s">
        <v>138</v>
      </c>
      <c r="D1" s="185" t="s">
        <v>137</v>
      </c>
      <c r="E1" s="185" t="s">
        <v>139</v>
      </c>
      <c r="F1" s="186" t="s">
        <v>140</v>
      </c>
      <c r="G1" s="187" t="s">
        <v>141</v>
      </c>
    </row>
    <row r="2" spans="1:7" ht="60" x14ac:dyDescent="0.25">
      <c r="A2" s="180" t="s">
        <v>133</v>
      </c>
      <c r="B2" s="181" t="s">
        <v>134</v>
      </c>
      <c r="C2" s="181" t="s">
        <v>135</v>
      </c>
      <c r="D2" s="181" t="s">
        <v>142</v>
      </c>
      <c r="E2" s="181" t="s">
        <v>136</v>
      </c>
      <c r="F2" s="182" t="s">
        <v>135</v>
      </c>
      <c r="G2" s="183" t="s">
        <v>135</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AK24"/>
  <sheetViews>
    <sheetView zoomScale="70" zoomScaleNormal="70" workbookViewId="0">
      <selection activeCell="A16" sqref="A16"/>
    </sheetView>
  </sheetViews>
  <sheetFormatPr baseColWidth="10" defaultRowHeight="12.75" x14ac:dyDescent="0.2"/>
  <cols>
    <col min="1" max="1" width="18.85546875" style="17" customWidth="1"/>
    <col min="2" max="2" width="7.28515625" style="17" bestFit="1" customWidth="1"/>
    <col min="3" max="3" width="10.5703125" style="17" customWidth="1"/>
    <col min="4" max="4" width="13.7109375" style="17" bestFit="1" customWidth="1"/>
    <col min="5" max="5" width="12" style="17" bestFit="1" customWidth="1"/>
    <col min="6" max="19" width="14.85546875" style="17" customWidth="1"/>
    <col min="20" max="21" width="11.42578125" style="17"/>
    <col min="22" max="22" width="13.5703125" style="17" bestFit="1" customWidth="1"/>
    <col min="23" max="34" width="13.5703125" style="17" customWidth="1"/>
    <col min="35" max="35" width="13.5703125" style="17" bestFit="1" customWidth="1"/>
    <col min="36" max="282" width="11.42578125" style="17"/>
    <col min="283" max="283" width="18.7109375" style="17" customWidth="1"/>
    <col min="284" max="284" width="13.7109375" style="17" bestFit="1" customWidth="1"/>
    <col min="285" max="285" width="17.28515625" style="17" customWidth="1"/>
    <col min="286" max="286" width="11" style="17" customWidth="1"/>
    <col min="287" max="287" width="12" style="17" bestFit="1" customWidth="1"/>
    <col min="288" max="288" width="14.85546875" style="17" customWidth="1"/>
    <col min="289" max="538" width="11.42578125" style="17"/>
    <col min="539" max="539" width="18.7109375" style="17" customWidth="1"/>
    <col min="540" max="540" width="13.7109375" style="17" bestFit="1" customWidth="1"/>
    <col min="541" max="541" width="17.28515625" style="17" customWidth="1"/>
    <col min="542" max="542" width="11" style="17" customWidth="1"/>
    <col min="543" max="543" width="12" style="17" bestFit="1" customWidth="1"/>
    <col min="544" max="544" width="14.85546875" style="17" customWidth="1"/>
    <col min="545" max="794" width="11.42578125" style="17"/>
    <col min="795" max="795" width="18.7109375" style="17" customWidth="1"/>
    <col min="796" max="796" width="13.7109375" style="17" bestFit="1" customWidth="1"/>
    <col min="797" max="797" width="17.28515625" style="17" customWidth="1"/>
    <col min="798" max="798" width="11" style="17" customWidth="1"/>
    <col min="799" max="799" width="12" style="17" bestFit="1" customWidth="1"/>
    <col min="800" max="800" width="14.85546875" style="17" customWidth="1"/>
    <col min="801" max="1050" width="11.42578125" style="17"/>
    <col min="1051" max="1051" width="18.7109375" style="17" customWidth="1"/>
    <col min="1052" max="1052" width="13.7109375" style="17" bestFit="1" customWidth="1"/>
    <col min="1053" max="1053" width="17.28515625" style="17" customWidth="1"/>
    <col min="1054" max="1054" width="11" style="17" customWidth="1"/>
    <col min="1055" max="1055" width="12" style="17" bestFit="1" customWidth="1"/>
    <col min="1056" max="1056" width="14.85546875" style="17" customWidth="1"/>
    <col min="1057" max="1306" width="11.42578125" style="17"/>
    <col min="1307" max="1307" width="18.7109375" style="17" customWidth="1"/>
    <col min="1308" max="1308" width="13.7109375" style="17" bestFit="1" customWidth="1"/>
    <col min="1309" max="1309" width="17.28515625" style="17" customWidth="1"/>
    <col min="1310" max="1310" width="11" style="17" customWidth="1"/>
    <col min="1311" max="1311" width="12" style="17" bestFit="1" customWidth="1"/>
    <col min="1312" max="1312" width="14.85546875" style="17" customWidth="1"/>
    <col min="1313" max="1562" width="11.42578125" style="17"/>
    <col min="1563" max="1563" width="18.7109375" style="17" customWidth="1"/>
    <col min="1564" max="1564" width="13.7109375" style="17" bestFit="1" customWidth="1"/>
    <col min="1565" max="1565" width="17.28515625" style="17" customWidth="1"/>
    <col min="1566" max="1566" width="11" style="17" customWidth="1"/>
    <col min="1567" max="1567" width="12" style="17" bestFit="1" customWidth="1"/>
    <col min="1568" max="1568" width="14.85546875" style="17" customWidth="1"/>
    <col min="1569" max="1818" width="11.42578125" style="17"/>
    <col min="1819" max="1819" width="18.7109375" style="17" customWidth="1"/>
    <col min="1820" max="1820" width="13.7109375" style="17" bestFit="1" customWidth="1"/>
    <col min="1821" max="1821" width="17.28515625" style="17" customWidth="1"/>
    <col min="1822" max="1822" width="11" style="17" customWidth="1"/>
    <col min="1823" max="1823" width="12" style="17" bestFit="1" customWidth="1"/>
    <col min="1824" max="1824" width="14.85546875" style="17" customWidth="1"/>
    <col min="1825" max="2074" width="11.42578125" style="17"/>
    <col min="2075" max="2075" width="18.7109375" style="17" customWidth="1"/>
    <col min="2076" max="2076" width="13.7109375" style="17" bestFit="1" customWidth="1"/>
    <col min="2077" max="2077" width="17.28515625" style="17" customWidth="1"/>
    <col min="2078" max="2078" width="11" style="17" customWidth="1"/>
    <col min="2079" max="2079" width="12" style="17" bestFit="1" customWidth="1"/>
    <col min="2080" max="2080" width="14.85546875" style="17" customWidth="1"/>
    <col min="2081" max="2330" width="11.42578125" style="17"/>
    <col min="2331" max="2331" width="18.7109375" style="17" customWidth="1"/>
    <col min="2332" max="2332" width="13.7109375" style="17" bestFit="1" customWidth="1"/>
    <col min="2333" max="2333" width="17.28515625" style="17" customWidth="1"/>
    <col min="2334" max="2334" width="11" style="17" customWidth="1"/>
    <col min="2335" max="2335" width="12" style="17" bestFit="1" customWidth="1"/>
    <col min="2336" max="2336" width="14.85546875" style="17" customWidth="1"/>
    <col min="2337" max="2586" width="11.42578125" style="17"/>
    <col min="2587" max="2587" width="18.7109375" style="17" customWidth="1"/>
    <col min="2588" max="2588" width="13.7109375" style="17" bestFit="1" customWidth="1"/>
    <col min="2589" max="2589" width="17.28515625" style="17" customWidth="1"/>
    <col min="2590" max="2590" width="11" style="17" customWidth="1"/>
    <col min="2591" max="2591" width="12" style="17" bestFit="1" customWidth="1"/>
    <col min="2592" max="2592" width="14.85546875" style="17" customWidth="1"/>
    <col min="2593" max="2842" width="11.42578125" style="17"/>
    <col min="2843" max="2843" width="18.7109375" style="17" customWidth="1"/>
    <col min="2844" max="2844" width="13.7109375" style="17" bestFit="1" customWidth="1"/>
    <col min="2845" max="2845" width="17.28515625" style="17" customWidth="1"/>
    <col min="2846" max="2846" width="11" style="17" customWidth="1"/>
    <col min="2847" max="2847" width="12" style="17" bestFit="1" customWidth="1"/>
    <col min="2848" max="2848" width="14.85546875" style="17" customWidth="1"/>
    <col min="2849" max="3098" width="11.42578125" style="17"/>
    <col min="3099" max="3099" width="18.7109375" style="17" customWidth="1"/>
    <col min="3100" max="3100" width="13.7109375" style="17" bestFit="1" customWidth="1"/>
    <col min="3101" max="3101" width="17.28515625" style="17" customWidth="1"/>
    <col min="3102" max="3102" width="11" style="17" customWidth="1"/>
    <col min="3103" max="3103" width="12" style="17" bestFit="1" customWidth="1"/>
    <col min="3104" max="3104" width="14.85546875" style="17" customWidth="1"/>
    <col min="3105" max="3354" width="11.42578125" style="17"/>
    <col min="3355" max="3355" width="18.7109375" style="17" customWidth="1"/>
    <col min="3356" max="3356" width="13.7109375" style="17" bestFit="1" customWidth="1"/>
    <col min="3357" max="3357" width="17.28515625" style="17" customWidth="1"/>
    <col min="3358" max="3358" width="11" style="17" customWidth="1"/>
    <col min="3359" max="3359" width="12" style="17" bestFit="1" customWidth="1"/>
    <col min="3360" max="3360" width="14.85546875" style="17" customWidth="1"/>
    <col min="3361" max="3610" width="11.42578125" style="17"/>
    <col min="3611" max="3611" width="18.7109375" style="17" customWidth="1"/>
    <col min="3612" max="3612" width="13.7109375" style="17" bestFit="1" customWidth="1"/>
    <col min="3613" max="3613" width="17.28515625" style="17" customWidth="1"/>
    <col min="3614" max="3614" width="11" style="17" customWidth="1"/>
    <col min="3615" max="3615" width="12" style="17" bestFit="1" customWidth="1"/>
    <col min="3616" max="3616" width="14.85546875" style="17" customWidth="1"/>
    <col min="3617" max="3866" width="11.42578125" style="17"/>
    <col min="3867" max="3867" width="18.7109375" style="17" customWidth="1"/>
    <col min="3868" max="3868" width="13.7109375" style="17" bestFit="1" customWidth="1"/>
    <col min="3869" max="3869" width="17.28515625" style="17" customWidth="1"/>
    <col min="3870" max="3870" width="11" style="17" customWidth="1"/>
    <col min="3871" max="3871" width="12" style="17" bestFit="1" customWidth="1"/>
    <col min="3872" max="3872" width="14.85546875" style="17" customWidth="1"/>
    <col min="3873" max="4122" width="11.42578125" style="17"/>
    <col min="4123" max="4123" width="18.7109375" style="17" customWidth="1"/>
    <col min="4124" max="4124" width="13.7109375" style="17" bestFit="1" customWidth="1"/>
    <col min="4125" max="4125" width="17.28515625" style="17" customWidth="1"/>
    <col min="4126" max="4126" width="11" style="17" customWidth="1"/>
    <col min="4127" max="4127" width="12" style="17" bestFit="1" customWidth="1"/>
    <col min="4128" max="4128" width="14.85546875" style="17" customWidth="1"/>
    <col min="4129" max="4378" width="11.42578125" style="17"/>
    <col min="4379" max="4379" width="18.7109375" style="17" customWidth="1"/>
    <col min="4380" max="4380" width="13.7109375" style="17" bestFit="1" customWidth="1"/>
    <col min="4381" max="4381" width="17.28515625" style="17" customWidth="1"/>
    <col min="4382" max="4382" width="11" style="17" customWidth="1"/>
    <col min="4383" max="4383" width="12" style="17" bestFit="1" customWidth="1"/>
    <col min="4384" max="4384" width="14.85546875" style="17" customWidth="1"/>
    <col min="4385" max="4634" width="11.42578125" style="17"/>
    <col min="4635" max="4635" width="18.7109375" style="17" customWidth="1"/>
    <col min="4636" max="4636" width="13.7109375" style="17" bestFit="1" customWidth="1"/>
    <col min="4637" max="4637" width="17.28515625" style="17" customWidth="1"/>
    <col min="4638" max="4638" width="11" style="17" customWidth="1"/>
    <col min="4639" max="4639" width="12" style="17" bestFit="1" customWidth="1"/>
    <col min="4640" max="4640" width="14.85546875" style="17" customWidth="1"/>
    <col min="4641" max="4890" width="11.42578125" style="17"/>
    <col min="4891" max="4891" width="18.7109375" style="17" customWidth="1"/>
    <col min="4892" max="4892" width="13.7109375" style="17" bestFit="1" customWidth="1"/>
    <col min="4893" max="4893" width="17.28515625" style="17" customWidth="1"/>
    <col min="4894" max="4894" width="11" style="17" customWidth="1"/>
    <col min="4895" max="4895" width="12" style="17" bestFit="1" customWidth="1"/>
    <col min="4896" max="4896" width="14.85546875" style="17" customWidth="1"/>
    <col min="4897" max="5146" width="11.42578125" style="17"/>
    <col min="5147" max="5147" width="18.7109375" style="17" customWidth="1"/>
    <col min="5148" max="5148" width="13.7109375" style="17" bestFit="1" customWidth="1"/>
    <col min="5149" max="5149" width="17.28515625" style="17" customWidth="1"/>
    <col min="5150" max="5150" width="11" style="17" customWidth="1"/>
    <col min="5151" max="5151" width="12" style="17" bestFit="1" customWidth="1"/>
    <col min="5152" max="5152" width="14.85546875" style="17" customWidth="1"/>
    <col min="5153" max="5402" width="11.42578125" style="17"/>
    <col min="5403" max="5403" width="18.7109375" style="17" customWidth="1"/>
    <col min="5404" max="5404" width="13.7109375" style="17" bestFit="1" customWidth="1"/>
    <col min="5405" max="5405" width="17.28515625" style="17" customWidth="1"/>
    <col min="5406" max="5406" width="11" style="17" customWidth="1"/>
    <col min="5407" max="5407" width="12" style="17" bestFit="1" customWidth="1"/>
    <col min="5408" max="5408" width="14.85546875" style="17" customWidth="1"/>
    <col min="5409" max="5658" width="11.42578125" style="17"/>
    <col min="5659" max="5659" width="18.7109375" style="17" customWidth="1"/>
    <col min="5660" max="5660" width="13.7109375" style="17" bestFit="1" customWidth="1"/>
    <col min="5661" max="5661" width="17.28515625" style="17" customWidth="1"/>
    <col min="5662" max="5662" width="11" style="17" customWidth="1"/>
    <col min="5663" max="5663" width="12" style="17" bestFit="1" customWidth="1"/>
    <col min="5664" max="5664" width="14.85546875" style="17" customWidth="1"/>
    <col min="5665" max="5914" width="11.42578125" style="17"/>
    <col min="5915" max="5915" width="18.7109375" style="17" customWidth="1"/>
    <col min="5916" max="5916" width="13.7109375" style="17" bestFit="1" customWidth="1"/>
    <col min="5917" max="5917" width="17.28515625" style="17" customWidth="1"/>
    <col min="5918" max="5918" width="11" style="17" customWidth="1"/>
    <col min="5919" max="5919" width="12" style="17" bestFit="1" customWidth="1"/>
    <col min="5920" max="5920" width="14.85546875" style="17" customWidth="1"/>
    <col min="5921" max="6170" width="11.42578125" style="17"/>
    <col min="6171" max="6171" width="18.7109375" style="17" customWidth="1"/>
    <col min="6172" max="6172" width="13.7109375" style="17" bestFit="1" customWidth="1"/>
    <col min="6173" max="6173" width="17.28515625" style="17" customWidth="1"/>
    <col min="6174" max="6174" width="11" style="17" customWidth="1"/>
    <col min="6175" max="6175" width="12" style="17" bestFit="1" customWidth="1"/>
    <col min="6176" max="6176" width="14.85546875" style="17" customWidth="1"/>
    <col min="6177" max="6426" width="11.42578125" style="17"/>
    <col min="6427" max="6427" width="18.7109375" style="17" customWidth="1"/>
    <col min="6428" max="6428" width="13.7109375" style="17" bestFit="1" customWidth="1"/>
    <col min="6429" max="6429" width="17.28515625" style="17" customWidth="1"/>
    <col min="6430" max="6430" width="11" style="17" customWidth="1"/>
    <col min="6431" max="6431" width="12" style="17" bestFit="1" customWidth="1"/>
    <col min="6432" max="6432" width="14.85546875" style="17" customWidth="1"/>
    <col min="6433" max="6682" width="11.42578125" style="17"/>
    <col min="6683" max="6683" width="18.7109375" style="17" customWidth="1"/>
    <col min="6684" max="6684" width="13.7109375" style="17" bestFit="1" customWidth="1"/>
    <col min="6685" max="6685" width="17.28515625" style="17" customWidth="1"/>
    <col min="6686" max="6686" width="11" style="17" customWidth="1"/>
    <col min="6687" max="6687" width="12" style="17" bestFit="1" customWidth="1"/>
    <col min="6688" max="6688" width="14.85546875" style="17" customWidth="1"/>
    <col min="6689" max="6938" width="11.42578125" style="17"/>
    <col min="6939" max="6939" width="18.7109375" style="17" customWidth="1"/>
    <col min="6940" max="6940" width="13.7109375" style="17" bestFit="1" customWidth="1"/>
    <col min="6941" max="6941" width="17.28515625" style="17" customWidth="1"/>
    <col min="6942" max="6942" width="11" style="17" customWidth="1"/>
    <col min="6943" max="6943" width="12" style="17" bestFit="1" customWidth="1"/>
    <col min="6944" max="6944" width="14.85546875" style="17" customWidth="1"/>
    <col min="6945" max="7194" width="11.42578125" style="17"/>
    <col min="7195" max="7195" width="18.7109375" style="17" customWidth="1"/>
    <col min="7196" max="7196" width="13.7109375" style="17" bestFit="1" customWidth="1"/>
    <col min="7197" max="7197" width="17.28515625" style="17" customWidth="1"/>
    <col min="7198" max="7198" width="11" style="17" customWidth="1"/>
    <col min="7199" max="7199" width="12" style="17" bestFit="1" customWidth="1"/>
    <col min="7200" max="7200" width="14.85546875" style="17" customWidth="1"/>
    <col min="7201" max="7450" width="11.42578125" style="17"/>
    <col min="7451" max="7451" width="18.7109375" style="17" customWidth="1"/>
    <col min="7452" max="7452" width="13.7109375" style="17" bestFit="1" customWidth="1"/>
    <col min="7453" max="7453" width="17.28515625" style="17" customWidth="1"/>
    <col min="7454" max="7454" width="11" style="17" customWidth="1"/>
    <col min="7455" max="7455" width="12" style="17" bestFit="1" customWidth="1"/>
    <col min="7456" max="7456" width="14.85546875" style="17" customWidth="1"/>
    <col min="7457" max="7706" width="11.42578125" style="17"/>
    <col min="7707" max="7707" width="18.7109375" style="17" customWidth="1"/>
    <col min="7708" max="7708" width="13.7109375" style="17" bestFit="1" customWidth="1"/>
    <col min="7709" max="7709" width="17.28515625" style="17" customWidth="1"/>
    <col min="7710" max="7710" width="11" style="17" customWidth="1"/>
    <col min="7711" max="7711" width="12" style="17" bestFit="1" customWidth="1"/>
    <col min="7712" max="7712" width="14.85546875" style="17" customWidth="1"/>
    <col min="7713" max="7962" width="11.42578125" style="17"/>
    <col min="7963" max="7963" width="18.7109375" style="17" customWidth="1"/>
    <col min="7964" max="7964" width="13.7109375" style="17" bestFit="1" customWidth="1"/>
    <col min="7965" max="7965" width="17.28515625" style="17" customWidth="1"/>
    <col min="7966" max="7966" width="11" style="17" customWidth="1"/>
    <col min="7967" max="7967" width="12" style="17" bestFit="1" customWidth="1"/>
    <col min="7968" max="7968" width="14.85546875" style="17" customWidth="1"/>
    <col min="7969" max="8218" width="11.42578125" style="17"/>
    <col min="8219" max="8219" width="18.7109375" style="17" customWidth="1"/>
    <col min="8220" max="8220" width="13.7109375" style="17" bestFit="1" customWidth="1"/>
    <col min="8221" max="8221" width="17.28515625" style="17" customWidth="1"/>
    <col min="8222" max="8222" width="11" style="17" customWidth="1"/>
    <col min="8223" max="8223" width="12" style="17" bestFit="1" customWidth="1"/>
    <col min="8224" max="8224" width="14.85546875" style="17" customWidth="1"/>
    <col min="8225" max="8474" width="11.42578125" style="17"/>
    <col min="8475" max="8475" width="18.7109375" style="17" customWidth="1"/>
    <col min="8476" max="8476" width="13.7109375" style="17" bestFit="1" customWidth="1"/>
    <col min="8477" max="8477" width="17.28515625" style="17" customWidth="1"/>
    <col min="8478" max="8478" width="11" style="17" customWidth="1"/>
    <col min="8479" max="8479" width="12" style="17" bestFit="1" customWidth="1"/>
    <col min="8480" max="8480" width="14.85546875" style="17" customWidth="1"/>
    <col min="8481" max="8730" width="11.42578125" style="17"/>
    <col min="8731" max="8731" width="18.7109375" style="17" customWidth="1"/>
    <col min="8732" max="8732" width="13.7109375" style="17" bestFit="1" customWidth="1"/>
    <col min="8733" max="8733" width="17.28515625" style="17" customWidth="1"/>
    <col min="8734" max="8734" width="11" style="17" customWidth="1"/>
    <col min="8735" max="8735" width="12" style="17" bestFit="1" customWidth="1"/>
    <col min="8736" max="8736" width="14.85546875" style="17" customWidth="1"/>
    <col min="8737" max="8986" width="11.42578125" style="17"/>
    <col min="8987" max="8987" width="18.7109375" style="17" customWidth="1"/>
    <col min="8988" max="8988" width="13.7109375" style="17" bestFit="1" customWidth="1"/>
    <col min="8989" max="8989" width="17.28515625" style="17" customWidth="1"/>
    <col min="8990" max="8990" width="11" style="17" customWidth="1"/>
    <col min="8991" max="8991" width="12" style="17" bestFit="1" customWidth="1"/>
    <col min="8992" max="8992" width="14.85546875" style="17" customWidth="1"/>
    <col min="8993" max="9242" width="11.42578125" style="17"/>
    <col min="9243" max="9243" width="18.7109375" style="17" customWidth="1"/>
    <col min="9244" max="9244" width="13.7109375" style="17" bestFit="1" customWidth="1"/>
    <col min="9245" max="9245" width="17.28515625" style="17" customWidth="1"/>
    <col min="9246" max="9246" width="11" style="17" customWidth="1"/>
    <col min="9247" max="9247" width="12" style="17" bestFit="1" customWidth="1"/>
    <col min="9248" max="9248" width="14.85546875" style="17" customWidth="1"/>
    <col min="9249" max="9498" width="11.42578125" style="17"/>
    <col min="9499" max="9499" width="18.7109375" style="17" customWidth="1"/>
    <col min="9500" max="9500" width="13.7109375" style="17" bestFit="1" customWidth="1"/>
    <col min="9501" max="9501" width="17.28515625" style="17" customWidth="1"/>
    <col min="9502" max="9502" width="11" style="17" customWidth="1"/>
    <col min="9503" max="9503" width="12" style="17" bestFit="1" customWidth="1"/>
    <col min="9504" max="9504" width="14.85546875" style="17" customWidth="1"/>
    <col min="9505" max="9754" width="11.42578125" style="17"/>
    <col min="9755" max="9755" width="18.7109375" style="17" customWidth="1"/>
    <col min="9756" max="9756" width="13.7109375" style="17" bestFit="1" customWidth="1"/>
    <col min="9757" max="9757" width="17.28515625" style="17" customWidth="1"/>
    <col min="9758" max="9758" width="11" style="17" customWidth="1"/>
    <col min="9759" max="9759" width="12" style="17" bestFit="1" customWidth="1"/>
    <col min="9760" max="9760" width="14.85546875" style="17" customWidth="1"/>
    <col min="9761" max="10010" width="11.42578125" style="17"/>
    <col min="10011" max="10011" width="18.7109375" style="17" customWidth="1"/>
    <col min="10012" max="10012" width="13.7109375" style="17" bestFit="1" customWidth="1"/>
    <col min="10013" max="10013" width="17.28515625" style="17" customWidth="1"/>
    <col min="10014" max="10014" width="11" style="17" customWidth="1"/>
    <col min="10015" max="10015" width="12" style="17" bestFit="1" customWidth="1"/>
    <col min="10016" max="10016" width="14.85546875" style="17" customWidth="1"/>
    <col min="10017" max="10266" width="11.42578125" style="17"/>
    <col min="10267" max="10267" width="18.7109375" style="17" customWidth="1"/>
    <col min="10268" max="10268" width="13.7109375" style="17" bestFit="1" customWidth="1"/>
    <col min="10269" max="10269" width="17.28515625" style="17" customWidth="1"/>
    <col min="10270" max="10270" width="11" style="17" customWidth="1"/>
    <col min="10271" max="10271" width="12" style="17" bestFit="1" customWidth="1"/>
    <col min="10272" max="10272" width="14.85546875" style="17" customWidth="1"/>
    <col min="10273" max="10522" width="11.42578125" style="17"/>
    <col min="10523" max="10523" width="18.7109375" style="17" customWidth="1"/>
    <col min="10524" max="10524" width="13.7109375" style="17" bestFit="1" customWidth="1"/>
    <col min="10525" max="10525" width="17.28515625" style="17" customWidth="1"/>
    <col min="10526" max="10526" width="11" style="17" customWidth="1"/>
    <col min="10527" max="10527" width="12" style="17" bestFit="1" customWidth="1"/>
    <col min="10528" max="10528" width="14.85546875" style="17" customWidth="1"/>
    <col min="10529" max="10778" width="11.42578125" style="17"/>
    <col min="10779" max="10779" width="18.7109375" style="17" customWidth="1"/>
    <col min="10780" max="10780" width="13.7109375" style="17" bestFit="1" customWidth="1"/>
    <col min="10781" max="10781" width="17.28515625" style="17" customWidth="1"/>
    <col min="10782" max="10782" width="11" style="17" customWidth="1"/>
    <col min="10783" max="10783" width="12" style="17" bestFit="1" customWidth="1"/>
    <col min="10784" max="10784" width="14.85546875" style="17" customWidth="1"/>
    <col min="10785" max="11034" width="11.42578125" style="17"/>
    <col min="11035" max="11035" width="18.7109375" style="17" customWidth="1"/>
    <col min="11036" max="11036" width="13.7109375" style="17" bestFit="1" customWidth="1"/>
    <col min="11037" max="11037" width="17.28515625" style="17" customWidth="1"/>
    <col min="11038" max="11038" width="11" style="17" customWidth="1"/>
    <col min="11039" max="11039" width="12" style="17" bestFit="1" customWidth="1"/>
    <col min="11040" max="11040" width="14.85546875" style="17" customWidth="1"/>
    <col min="11041" max="11290" width="11.42578125" style="17"/>
    <col min="11291" max="11291" width="18.7109375" style="17" customWidth="1"/>
    <col min="11292" max="11292" width="13.7109375" style="17" bestFit="1" customWidth="1"/>
    <col min="11293" max="11293" width="17.28515625" style="17" customWidth="1"/>
    <col min="11294" max="11294" width="11" style="17" customWidth="1"/>
    <col min="11295" max="11295" width="12" style="17" bestFit="1" customWidth="1"/>
    <col min="11296" max="11296" width="14.85546875" style="17" customWidth="1"/>
    <col min="11297" max="11546" width="11.42578125" style="17"/>
    <col min="11547" max="11547" width="18.7109375" style="17" customWidth="1"/>
    <col min="11548" max="11548" width="13.7109375" style="17" bestFit="1" customWidth="1"/>
    <col min="11549" max="11549" width="17.28515625" style="17" customWidth="1"/>
    <col min="11550" max="11550" width="11" style="17" customWidth="1"/>
    <col min="11551" max="11551" width="12" style="17" bestFit="1" customWidth="1"/>
    <col min="11552" max="11552" width="14.85546875" style="17" customWidth="1"/>
    <col min="11553" max="11802" width="11.42578125" style="17"/>
    <col min="11803" max="11803" width="18.7109375" style="17" customWidth="1"/>
    <col min="11804" max="11804" width="13.7109375" style="17" bestFit="1" customWidth="1"/>
    <col min="11805" max="11805" width="17.28515625" style="17" customWidth="1"/>
    <col min="11806" max="11806" width="11" style="17" customWidth="1"/>
    <col min="11807" max="11807" width="12" style="17" bestFit="1" customWidth="1"/>
    <col min="11808" max="11808" width="14.85546875" style="17" customWidth="1"/>
    <col min="11809" max="12058" width="11.42578125" style="17"/>
    <col min="12059" max="12059" width="18.7109375" style="17" customWidth="1"/>
    <col min="12060" max="12060" width="13.7109375" style="17" bestFit="1" customWidth="1"/>
    <col min="12061" max="12061" width="17.28515625" style="17" customWidth="1"/>
    <col min="12062" max="12062" width="11" style="17" customWidth="1"/>
    <col min="12063" max="12063" width="12" style="17" bestFit="1" customWidth="1"/>
    <col min="12064" max="12064" width="14.85546875" style="17" customWidth="1"/>
    <col min="12065" max="12314" width="11.42578125" style="17"/>
    <col min="12315" max="12315" width="18.7109375" style="17" customWidth="1"/>
    <col min="12316" max="12316" width="13.7109375" style="17" bestFit="1" customWidth="1"/>
    <col min="12317" max="12317" width="17.28515625" style="17" customWidth="1"/>
    <col min="12318" max="12318" width="11" style="17" customWidth="1"/>
    <col min="12319" max="12319" width="12" style="17" bestFit="1" customWidth="1"/>
    <col min="12320" max="12320" width="14.85546875" style="17" customWidth="1"/>
    <col min="12321" max="12570" width="11.42578125" style="17"/>
    <col min="12571" max="12571" width="18.7109375" style="17" customWidth="1"/>
    <col min="12572" max="12572" width="13.7109375" style="17" bestFit="1" customWidth="1"/>
    <col min="12573" max="12573" width="17.28515625" style="17" customWidth="1"/>
    <col min="12574" max="12574" width="11" style="17" customWidth="1"/>
    <col min="12575" max="12575" width="12" style="17" bestFit="1" customWidth="1"/>
    <col min="12576" max="12576" width="14.85546875" style="17" customWidth="1"/>
    <col min="12577" max="12826" width="11.42578125" style="17"/>
    <col min="12827" max="12827" width="18.7109375" style="17" customWidth="1"/>
    <col min="12828" max="12828" width="13.7109375" style="17" bestFit="1" customWidth="1"/>
    <col min="12829" max="12829" width="17.28515625" style="17" customWidth="1"/>
    <col min="12830" max="12830" width="11" style="17" customWidth="1"/>
    <col min="12831" max="12831" width="12" style="17" bestFit="1" customWidth="1"/>
    <col min="12832" max="12832" width="14.85546875" style="17" customWidth="1"/>
    <col min="12833" max="13082" width="11.42578125" style="17"/>
    <col min="13083" max="13083" width="18.7109375" style="17" customWidth="1"/>
    <col min="13084" max="13084" width="13.7109375" style="17" bestFit="1" customWidth="1"/>
    <col min="13085" max="13085" width="17.28515625" style="17" customWidth="1"/>
    <col min="13086" max="13086" width="11" style="17" customWidth="1"/>
    <col min="13087" max="13087" width="12" style="17" bestFit="1" customWidth="1"/>
    <col min="13088" max="13088" width="14.85546875" style="17" customWidth="1"/>
    <col min="13089" max="13338" width="11.42578125" style="17"/>
    <col min="13339" max="13339" width="18.7109375" style="17" customWidth="1"/>
    <col min="13340" max="13340" width="13.7109375" style="17" bestFit="1" customWidth="1"/>
    <col min="13341" max="13341" width="17.28515625" style="17" customWidth="1"/>
    <col min="13342" max="13342" width="11" style="17" customWidth="1"/>
    <col min="13343" max="13343" width="12" style="17" bestFit="1" customWidth="1"/>
    <col min="13344" max="13344" width="14.85546875" style="17" customWidth="1"/>
    <col min="13345" max="13594" width="11.42578125" style="17"/>
    <col min="13595" max="13595" width="18.7109375" style="17" customWidth="1"/>
    <col min="13596" max="13596" width="13.7109375" style="17" bestFit="1" customWidth="1"/>
    <col min="13597" max="13597" width="17.28515625" style="17" customWidth="1"/>
    <col min="13598" max="13598" width="11" style="17" customWidth="1"/>
    <col min="13599" max="13599" width="12" style="17" bestFit="1" customWidth="1"/>
    <col min="13600" max="13600" width="14.85546875" style="17" customWidth="1"/>
    <col min="13601" max="13850" width="11.42578125" style="17"/>
    <col min="13851" max="13851" width="18.7109375" style="17" customWidth="1"/>
    <col min="13852" max="13852" width="13.7109375" style="17" bestFit="1" customWidth="1"/>
    <col min="13853" max="13853" width="17.28515625" style="17" customWidth="1"/>
    <col min="13854" max="13854" width="11" style="17" customWidth="1"/>
    <col min="13855" max="13855" width="12" style="17" bestFit="1" customWidth="1"/>
    <col min="13856" max="13856" width="14.85546875" style="17" customWidth="1"/>
    <col min="13857" max="14106" width="11.42578125" style="17"/>
    <col min="14107" max="14107" width="18.7109375" style="17" customWidth="1"/>
    <col min="14108" max="14108" width="13.7109375" style="17" bestFit="1" customWidth="1"/>
    <col min="14109" max="14109" width="17.28515625" style="17" customWidth="1"/>
    <col min="14110" max="14110" width="11" style="17" customWidth="1"/>
    <col min="14111" max="14111" width="12" style="17" bestFit="1" customWidth="1"/>
    <col min="14112" max="14112" width="14.85546875" style="17" customWidth="1"/>
    <col min="14113" max="14362" width="11.42578125" style="17"/>
    <col min="14363" max="14363" width="18.7109375" style="17" customWidth="1"/>
    <col min="14364" max="14364" width="13.7109375" style="17" bestFit="1" customWidth="1"/>
    <col min="14365" max="14365" width="17.28515625" style="17" customWidth="1"/>
    <col min="14366" max="14366" width="11" style="17" customWidth="1"/>
    <col min="14367" max="14367" width="12" style="17" bestFit="1" customWidth="1"/>
    <col min="14368" max="14368" width="14.85546875" style="17" customWidth="1"/>
    <col min="14369" max="14618" width="11.42578125" style="17"/>
    <col min="14619" max="14619" width="18.7109375" style="17" customWidth="1"/>
    <col min="14620" max="14620" width="13.7109375" style="17" bestFit="1" customWidth="1"/>
    <col min="14621" max="14621" width="17.28515625" style="17" customWidth="1"/>
    <col min="14622" max="14622" width="11" style="17" customWidth="1"/>
    <col min="14623" max="14623" width="12" style="17" bestFit="1" customWidth="1"/>
    <col min="14624" max="14624" width="14.85546875" style="17" customWidth="1"/>
    <col min="14625" max="14874" width="11.42578125" style="17"/>
    <col min="14875" max="14875" width="18.7109375" style="17" customWidth="1"/>
    <col min="14876" max="14876" width="13.7109375" style="17" bestFit="1" customWidth="1"/>
    <col min="14877" max="14877" width="17.28515625" style="17" customWidth="1"/>
    <col min="14878" max="14878" width="11" style="17" customWidth="1"/>
    <col min="14879" max="14879" width="12" style="17" bestFit="1" customWidth="1"/>
    <col min="14880" max="14880" width="14.85546875" style="17" customWidth="1"/>
    <col min="14881" max="15130" width="11.42578125" style="17"/>
    <col min="15131" max="15131" width="18.7109375" style="17" customWidth="1"/>
    <col min="15132" max="15132" width="13.7109375" style="17" bestFit="1" customWidth="1"/>
    <col min="15133" max="15133" width="17.28515625" style="17" customWidth="1"/>
    <col min="15134" max="15134" width="11" style="17" customWidth="1"/>
    <col min="15135" max="15135" width="12" style="17" bestFit="1" customWidth="1"/>
    <col min="15136" max="15136" width="14.85546875" style="17" customWidth="1"/>
    <col min="15137" max="15386" width="11.42578125" style="17"/>
    <col min="15387" max="15387" width="18.7109375" style="17" customWidth="1"/>
    <col min="15388" max="15388" width="13.7109375" style="17" bestFit="1" customWidth="1"/>
    <col min="15389" max="15389" width="17.28515625" style="17" customWidth="1"/>
    <col min="15390" max="15390" width="11" style="17" customWidth="1"/>
    <col min="15391" max="15391" width="12" style="17" bestFit="1" customWidth="1"/>
    <col min="15392" max="15392" width="14.85546875" style="17" customWidth="1"/>
    <col min="15393" max="15642" width="11.42578125" style="17"/>
    <col min="15643" max="15643" width="18.7109375" style="17" customWidth="1"/>
    <col min="15644" max="15644" width="13.7109375" style="17" bestFit="1" customWidth="1"/>
    <col min="15645" max="15645" width="17.28515625" style="17" customWidth="1"/>
    <col min="15646" max="15646" width="11" style="17" customWidth="1"/>
    <col min="15647" max="15647" width="12" style="17" bestFit="1" customWidth="1"/>
    <col min="15648" max="15648" width="14.85546875" style="17" customWidth="1"/>
    <col min="15649" max="15898" width="11.42578125" style="17"/>
    <col min="15899" max="15899" width="18.7109375" style="17" customWidth="1"/>
    <col min="15900" max="15900" width="13.7109375" style="17" bestFit="1" customWidth="1"/>
    <col min="15901" max="15901" width="17.28515625" style="17" customWidth="1"/>
    <col min="15902" max="15902" width="11" style="17" customWidth="1"/>
    <col min="15903" max="15903" width="12" style="17" bestFit="1" customWidth="1"/>
    <col min="15904" max="15904" width="14.85546875" style="17" customWidth="1"/>
    <col min="15905" max="16154" width="11.42578125" style="17"/>
    <col min="16155" max="16155" width="18.7109375" style="17" customWidth="1"/>
    <col min="16156" max="16156" width="13.7109375" style="17" bestFit="1" customWidth="1"/>
    <col min="16157" max="16157" width="17.28515625" style="17" customWidth="1"/>
    <col min="16158" max="16158" width="11" style="17" customWidth="1"/>
    <col min="16159" max="16159" width="12" style="17" bestFit="1" customWidth="1"/>
    <col min="16160" max="16160" width="14.85546875" style="17" customWidth="1"/>
    <col min="16161" max="16384" width="11.42578125" style="17"/>
  </cols>
  <sheetData>
    <row r="2" spans="1:37" x14ac:dyDescent="0.2">
      <c r="A2" s="17" t="s">
        <v>70</v>
      </c>
      <c r="B2" s="63">
        <f>'pooled normalised values'!B75</f>
        <v>6.2286370174278488E-2</v>
      </c>
      <c r="D2" s="17" t="s">
        <v>9</v>
      </c>
      <c r="E2" s="18"/>
      <c r="F2" s="19" t="str">
        <f>'pooled normalised values'!J74</f>
        <v>Testosterone 11µg/L</v>
      </c>
      <c r="G2" s="19" t="str">
        <f>'pooled normalised values'!K74</f>
        <v>Testosterone 33µg/L</v>
      </c>
      <c r="H2" s="19" t="str">
        <f>'pooled normalised values'!L74</f>
        <v>Testosterone 100µg/L</v>
      </c>
      <c r="I2" s="19" t="str">
        <f>'pooled normalised values'!M74</f>
        <v>Testosterone 300µg/L</v>
      </c>
      <c r="J2" s="19" t="e">
        <f>'pooled normalised values'!#REF!</f>
        <v>#REF!</v>
      </c>
      <c r="K2" s="19" t="e">
        <f>'pooled normalised values'!#REF!</f>
        <v>#REF!</v>
      </c>
      <c r="L2" s="19" t="e">
        <f>'pooled normalised values'!#REF!</f>
        <v>#REF!</v>
      </c>
      <c r="M2" s="19" t="e">
        <f>'pooled normalised values'!#REF!</f>
        <v>#REF!</v>
      </c>
      <c r="N2" s="19" t="e">
        <f>'pooled normalised values'!#REF!</f>
        <v>#REF!</v>
      </c>
      <c r="O2" s="19" t="e">
        <f>'pooled normalised values'!#REF!</f>
        <v>#REF!</v>
      </c>
      <c r="P2" s="19" t="e">
        <f>'pooled normalised values'!#REF!</f>
        <v>#REF!</v>
      </c>
      <c r="Q2" s="19" t="e">
        <f>'pooled normalised values'!#REF!</f>
        <v>#REF!</v>
      </c>
      <c r="R2" s="19" t="e">
        <f>'pooled normalised values'!#REF!</f>
        <v>#REF!</v>
      </c>
      <c r="S2" s="19" t="e">
        <f>'pooled normalised values'!#REF!</f>
        <v>#REF!</v>
      </c>
      <c r="T2" s="18"/>
      <c r="U2" s="20"/>
      <c r="V2" s="19" t="str">
        <f>'pooled normalised values'!R74</f>
        <v>Testosterone-3,7µg/L + Testostérone</v>
      </c>
      <c r="W2" s="19" t="str">
        <f>'pooled normalised values'!S74</f>
        <v>Testosterone-11µg/L + Testostérone</v>
      </c>
      <c r="X2" s="19" t="str">
        <f>'pooled normalised values'!T74</f>
        <v>Testosterone-33µg/L + Testostérone</v>
      </c>
      <c r="Y2" s="19" t="str">
        <f>'pooled normalised values'!U74</f>
        <v>Testosterone-100µg/L + Testostérone</v>
      </c>
      <c r="Z2" s="19" t="str">
        <f>'pooled normalised values'!V74</f>
        <v>Testosterone-300µg/L + Testostérone</v>
      </c>
      <c r="AA2" s="19" t="e">
        <f>'pooled normalised values'!#REF!</f>
        <v>#REF!</v>
      </c>
      <c r="AB2" s="19" t="e">
        <f>'pooled normalised values'!#REF!</f>
        <v>#REF!</v>
      </c>
      <c r="AC2" s="19" t="e">
        <f>'pooled normalised values'!#REF!</f>
        <v>#REF!</v>
      </c>
      <c r="AD2" s="19" t="e">
        <f>'pooled normalised values'!#REF!</f>
        <v>#REF!</v>
      </c>
      <c r="AE2" s="19" t="e">
        <f>'pooled normalised values'!#REF!</f>
        <v>#REF!</v>
      </c>
      <c r="AF2" s="19" t="e">
        <f>'pooled normalised values'!#REF!</f>
        <v>#REF!</v>
      </c>
      <c r="AG2" s="19" t="e">
        <f>'pooled normalised values'!#REF!</f>
        <v>#REF!</v>
      </c>
      <c r="AH2" s="19" t="e">
        <f>'pooled normalised values'!#REF!</f>
        <v>#REF!</v>
      </c>
      <c r="AI2" s="19" t="e">
        <f>'pooled normalised values'!#REF!</f>
        <v>#REF!</v>
      </c>
      <c r="AJ2" s="20"/>
      <c r="AK2" s="17" t="s">
        <v>9</v>
      </c>
    </row>
    <row r="3" spans="1:37" x14ac:dyDescent="0.2">
      <c r="A3" s="17" t="s">
        <v>71</v>
      </c>
      <c r="B3" s="63">
        <f>'summary results'!E6</f>
        <v>0</v>
      </c>
      <c r="D3" s="21" t="s">
        <v>10</v>
      </c>
      <c r="E3" s="22"/>
      <c r="F3" s="19">
        <f>HLOOKUP(F2,'pooled normalised values'!B74:V83,2,FALSE)</f>
        <v>7.8562709317890861E-2</v>
      </c>
      <c r="G3" s="19">
        <f>HLOOKUP(G2,'pooled normalised values'!C74:W83,2,FALSE)</f>
        <v>0.82722760035766196</v>
      </c>
      <c r="H3" s="19">
        <f>HLOOKUP(H2,'pooled normalised values'!C74:X83,2,FALSE)</f>
        <v>0.8441954206437069</v>
      </c>
      <c r="I3" s="19">
        <f>HLOOKUP(I2,'pooled normalised values'!D74:Y83,2,FALSE)</f>
        <v>1.0207455530911727</v>
      </c>
      <c r="J3" s="19" t="e">
        <f>HLOOKUP(J2,'pooled normalised values'!E74:Z83,2,FALSE)</f>
        <v>#REF!</v>
      </c>
      <c r="K3" s="19" t="e">
        <f>HLOOKUP(K2,'pooled normalised values'!F74:AA83,2,FALSE)</f>
        <v>#REF!</v>
      </c>
      <c r="L3" s="19" t="e">
        <f>HLOOKUP(L2,'pooled normalised values'!G74:AB83,2,FALSE)</f>
        <v>#REF!</v>
      </c>
      <c r="M3" s="19" t="e">
        <f>HLOOKUP(M2,'pooled normalised values'!H74:AC83,2,FALSE)</f>
        <v>#REF!</v>
      </c>
      <c r="N3" s="19" t="e">
        <f>HLOOKUP(N2,'pooled normalised values'!I74:AD83,2,FALSE)</f>
        <v>#REF!</v>
      </c>
      <c r="O3" s="19" t="e">
        <f>HLOOKUP(O2,'pooled normalised values'!J74:AE83,2,FALSE)</f>
        <v>#REF!</v>
      </c>
      <c r="P3" s="19" t="e">
        <f>HLOOKUP(P2,'pooled normalised values'!K74:AF83,2,FALSE)</f>
        <v>#REF!</v>
      </c>
      <c r="Q3" s="19" t="e">
        <f>HLOOKUP(Q2,'pooled normalised values'!L74:AG83,2,FALSE)</f>
        <v>#REF!</v>
      </c>
      <c r="R3" s="19" t="e">
        <f>HLOOKUP(R2,'pooled normalised values'!M74:AH83,2,FALSE)</f>
        <v>#REF!</v>
      </c>
      <c r="S3" s="19" t="e">
        <f>HLOOKUP(S2,'pooled normalised values'!N74:AI83,2,FALSE)</f>
        <v>#REF!</v>
      </c>
      <c r="T3" s="22"/>
      <c r="U3" s="20"/>
      <c r="V3" s="19">
        <f>HLOOKUP(V2,'pooled normalised values'!N74:AL83,2,FALSE)</f>
        <v>1.0041967810406445</v>
      </c>
      <c r="W3" s="19">
        <f>HLOOKUP(W2,'pooled normalised values'!N74:AM83,2,FALSE)</f>
        <v>0.88714122335761203</v>
      </c>
      <c r="X3" s="19">
        <f>HLOOKUP(X2,'pooled normalised values'!N74:AN83,2,FALSE)</f>
        <v>0.9048157791547472</v>
      </c>
      <c r="Y3" s="19">
        <f>HLOOKUP(Y2,'pooled normalised values'!N74:AO83,2,FALSE)</f>
        <v>0.82700716739744118</v>
      </c>
      <c r="Z3" s="19">
        <f>HLOOKUP(Z2,'pooled normalised values'!N74:AP83,2,FALSE)</f>
        <v>1.0080036332109545</v>
      </c>
      <c r="AA3" s="19" t="e">
        <f>HLOOKUP(AA2,'pooled normalised values'!N74:AQ83,2,FALSE)</f>
        <v>#REF!</v>
      </c>
      <c r="AB3" s="19" t="e">
        <f>HLOOKUP(AB2,'pooled normalised values'!N74:AR83,2,FALSE)</f>
        <v>#REF!</v>
      </c>
      <c r="AC3" s="19" t="e">
        <f>HLOOKUP(AC2,'pooled normalised values'!N74:AS83,2,FALSE)</f>
        <v>#REF!</v>
      </c>
      <c r="AD3" s="19" t="e">
        <f>HLOOKUP(AD2,'pooled normalised values'!N74:AT83,2,FALSE)</f>
        <v>#REF!</v>
      </c>
      <c r="AE3" s="19" t="e">
        <f>HLOOKUP(AE2,'pooled normalised values'!N74:AU83,2,FALSE)</f>
        <v>#REF!</v>
      </c>
      <c r="AF3" s="19" t="e">
        <f>HLOOKUP(AF2,'pooled normalised values'!N74:AV83,2,FALSE)</f>
        <v>#REF!</v>
      </c>
      <c r="AG3" s="19" t="e">
        <f>HLOOKUP(AG2,'pooled normalised values'!N74:AW83,2,FALSE)</f>
        <v>#REF!</v>
      </c>
      <c r="AH3" s="19" t="e">
        <f>HLOOKUP(AH2,'pooled normalised values'!N74:AX83,2,FALSE)</f>
        <v>#REF!</v>
      </c>
      <c r="AI3" s="19" t="e">
        <f>HLOOKUP(AI2,'pooled normalised values'!N74:AY83,2,FALSE)</f>
        <v>#REF!</v>
      </c>
      <c r="AJ3" s="20"/>
      <c r="AK3" s="21" t="s">
        <v>10</v>
      </c>
    </row>
    <row r="4" spans="1:37" x14ac:dyDescent="0.2">
      <c r="A4" s="17" t="s">
        <v>72</v>
      </c>
      <c r="B4" s="63">
        <f>'pooled normalised values'!O75</f>
        <v>1.0000000000000002</v>
      </c>
      <c r="D4" s="21" t="s">
        <v>2</v>
      </c>
      <c r="E4" s="22"/>
      <c r="F4" s="19">
        <f>HLOOKUP(F2,'pooled normalised values'!B74:V83,3,FALSE)</f>
        <v>1.5409889097971408E-2</v>
      </c>
      <c r="G4" s="19">
        <f>HLOOKUP(G2,'pooled normalised values'!C74:W83,3,FALSE)</f>
        <v>0.10842189009936436</v>
      </c>
      <c r="H4" s="19">
        <f>HLOOKUP(H2,'pooled normalised values'!C74:X83,3,FALSE)</f>
        <v>0.12177574503465859</v>
      </c>
      <c r="I4" s="19">
        <f>HLOOKUP(I2,'pooled normalised values'!D74:Y83,3,FALSE)</f>
        <v>0.11921507950645623</v>
      </c>
      <c r="J4" s="19" t="e">
        <f>HLOOKUP(J2,'pooled normalised values'!E74:Z83,3,FALSE)</f>
        <v>#REF!</v>
      </c>
      <c r="K4" s="19" t="e">
        <f>HLOOKUP(K2,'pooled normalised values'!F74:AA83,3,FALSE)</f>
        <v>#REF!</v>
      </c>
      <c r="L4" s="19" t="e">
        <f>HLOOKUP(L2,'pooled normalised values'!G74:AB83,3,FALSE)</f>
        <v>#REF!</v>
      </c>
      <c r="M4" s="19" t="e">
        <f>HLOOKUP(M2,'pooled normalised values'!H74:AC83,3,FALSE)</f>
        <v>#REF!</v>
      </c>
      <c r="N4" s="19" t="e">
        <f>HLOOKUP(N2,'pooled normalised values'!I74:AD83,3,FALSE)</f>
        <v>#REF!</v>
      </c>
      <c r="O4" s="19" t="e">
        <f>HLOOKUP(O2,'pooled normalised values'!J74:AE83,3,FALSE)</f>
        <v>#REF!</v>
      </c>
      <c r="P4" s="19" t="e">
        <f>HLOOKUP(P2,'pooled normalised values'!K74:AF83,3,FALSE)</f>
        <v>#REF!</v>
      </c>
      <c r="Q4" s="19" t="e">
        <f>HLOOKUP(Q2,'pooled normalised values'!L74:AG83,3,FALSE)</f>
        <v>#REF!</v>
      </c>
      <c r="R4" s="19" t="e">
        <f>HLOOKUP(R2,'pooled normalised values'!M74:AH83,3,FALSE)</f>
        <v>#REF!</v>
      </c>
      <c r="S4" s="19" t="e">
        <f>HLOOKUP(S2,'pooled normalised values'!N74:AI83,3,FALSE)</f>
        <v>#REF!</v>
      </c>
      <c r="T4" s="22"/>
      <c r="U4" s="20"/>
      <c r="V4" s="19">
        <f>HLOOKUP(V2,'pooled normalised values'!N74:AL83,3,FALSE)</f>
        <v>0.14094085537935699</v>
      </c>
      <c r="W4" s="19">
        <f>HLOOKUP(W2,'pooled normalised values'!N74:AM83,3,FALSE)</f>
        <v>0.15414827742503898</v>
      </c>
      <c r="X4" s="19">
        <f>HLOOKUP(X2,'pooled normalised values'!N74:AN83,3,FALSE)</f>
        <v>9.0736930856393963E-2</v>
      </c>
      <c r="Y4" s="19">
        <f>HLOOKUP(Y2,'pooled normalised values'!N74:AO83,3,FALSE)</f>
        <v>0.12372552320755391</v>
      </c>
      <c r="Z4" s="19">
        <f>HLOOKUP(Z2,'pooled normalised values'!N74:AP83,3,FALSE)</f>
        <v>0.1407499139230389</v>
      </c>
      <c r="AA4" s="19" t="e">
        <f>HLOOKUP(AA2,'pooled normalised values'!N74:AQ83,3,FALSE)</f>
        <v>#REF!</v>
      </c>
      <c r="AB4" s="19" t="e">
        <f>HLOOKUP(AB2,'pooled normalised values'!N74:AR83,3,FALSE)</f>
        <v>#REF!</v>
      </c>
      <c r="AC4" s="19" t="e">
        <f>HLOOKUP(AC2,'pooled normalised values'!N74:AS83,3,FALSE)</f>
        <v>#REF!</v>
      </c>
      <c r="AD4" s="19" t="e">
        <f>HLOOKUP(AD2,'pooled normalised values'!N74:AT83,3,FALSE)</f>
        <v>#REF!</v>
      </c>
      <c r="AE4" s="19" t="e">
        <f>HLOOKUP(AE2,'pooled normalised values'!N74:AU83,3,FALSE)</f>
        <v>#REF!</v>
      </c>
      <c r="AF4" s="19" t="e">
        <f>HLOOKUP(AF2,'pooled normalised values'!N74:AV83,3,FALSE)</f>
        <v>#REF!</v>
      </c>
      <c r="AG4" s="19" t="e">
        <f>HLOOKUP(AG2,'pooled normalised values'!N74:AW83,3,FALSE)</f>
        <v>#REF!</v>
      </c>
      <c r="AH4" s="19" t="e">
        <f>HLOOKUP(AH2,'pooled normalised values'!N74:AX83,3,FALSE)</f>
        <v>#REF!</v>
      </c>
      <c r="AI4" s="19" t="e">
        <f>HLOOKUP(AI2,'pooled normalised values'!N74:AY83,3,FALSE)</f>
        <v>#REF!</v>
      </c>
      <c r="AJ4" s="20"/>
      <c r="AK4" s="21" t="s">
        <v>2</v>
      </c>
    </row>
    <row r="5" spans="1:37" x14ac:dyDescent="0.2">
      <c r="A5" s="17" t="s">
        <v>73</v>
      </c>
      <c r="B5" s="63">
        <f>'pooled normalised values'!P75</f>
        <v>1.659070767091235</v>
      </c>
      <c r="D5" s="23" t="s">
        <v>11</v>
      </c>
      <c r="E5" s="22"/>
      <c r="F5" s="19" t="str">
        <f>HLOOKUP(F2,'pooled normalised values'!B74:V83,10,FALSE)</f>
        <v>NS</v>
      </c>
      <c r="G5" s="19" t="str">
        <f>HLOOKUP(G2,'pooled normalised values'!C74:W83,10,FALSE)</f>
        <v>***</v>
      </c>
      <c r="H5" s="19" t="str">
        <f>HLOOKUP(H2,'pooled normalised values'!C74:X83,10,FALSE)</f>
        <v>***</v>
      </c>
      <c r="I5" s="19" t="str">
        <f>HLOOKUP(I2,'pooled normalised values'!D74:Y83,10,FALSE)</f>
        <v>***</v>
      </c>
      <c r="J5" s="19" t="e">
        <f>HLOOKUP(J2,'pooled normalised values'!E74:Z83,10,FALSE)</f>
        <v>#REF!</v>
      </c>
      <c r="K5" s="19" t="e">
        <f>HLOOKUP(K2,'pooled normalised values'!F74:AA83,10,FALSE)</f>
        <v>#REF!</v>
      </c>
      <c r="L5" s="19" t="e">
        <f>HLOOKUP(L2,'pooled normalised values'!G74:AB83,10,FALSE)</f>
        <v>#REF!</v>
      </c>
      <c r="M5" s="19" t="e">
        <f>HLOOKUP(M2,'pooled normalised values'!H74:AC83,10,FALSE)</f>
        <v>#REF!</v>
      </c>
      <c r="N5" s="19" t="e">
        <f>HLOOKUP(N2,'pooled normalised values'!I74:AD83,10,FALSE)</f>
        <v>#REF!</v>
      </c>
      <c r="O5" s="19" t="e">
        <f>HLOOKUP(O2,'pooled normalised values'!J74:AE83,10,FALSE)</f>
        <v>#REF!</v>
      </c>
      <c r="P5" s="19" t="e">
        <f>HLOOKUP(P2,'pooled normalised values'!K74:AF83,10,FALSE)</f>
        <v>#REF!</v>
      </c>
      <c r="Q5" s="19" t="e">
        <f>HLOOKUP(Q2,'pooled normalised values'!L74:AG83,10,FALSE)</f>
        <v>#REF!</v>
      </c>
      <c r="R5" s="19" t="e">
        <f>HLOOKUP(R2,'pooled normalised values'!M74:AH83,10,FALSE)</f>
        <v>#REF!</v>
      </c>
      <c r="S5" s="19" t="e">
        <f>HLOOKUP(S2,'pooled normalised values'!N74:AI83,10,FALSE)</f>
        <v>#REF!</v>
      </c>
      <c r="T5" s="22"/>
      <c r="U5" s="20"/>
      <c r="V5" s="19" t="str">
        <f>HLOOKUP(V2,'pooled normalised values'!N74:AL83,10,FALSE)</f>
        <v>NS</v>
      </c>
      <c r="W5" s="19" t="str">
        <f>HLOOKUP(W2,'pooled normalised values'!N74:AM83,10,FALSE)</f>
        <v>NS</v>
      </c>
      <c r="X5" s="19" t="str">
        <f>HLOOKUP(X2,'pooled normalised values'!N74:AN83,10,FALSE)</f>
        <v>NS</v>
      </c>
      <c r="Y5" s="19" t="str">
        <f>HLOOKUP(Y2,'pooled normalised values'!N74:AO83,10,FALSE)</f>
        <v>NS</v>
      </c>
      <c r="Z5" s="19" t="str">
        <f>HLOOKUP(Z2,'pooled normalised values'!N74:AP83,10,FALSE)</f>
        <v>NS</v>
      </c>
      <c r="AA5" s="19" t="e">
        <f>HLOOKUP(AA2,'pooled normalised values'!N74:AQ83,10,FALSE)</f>
        <v>#REF!</v>
      </c>
      <c r="AB5" s="19" t="e">
        <f>HLOOKUP(AB2,'pooled normalised values'!N74:AR83,10,FALSE)</f>
        <v>#REF!</v>
      </c>
      <c r="AC5" s="19" t="e">
        <f>HLOOKUP(AC2,'pooled normalised values'!N74:AS83,10,FALSE)</f>
        <v>#REF!</v>
      </c>
      <c r="AD5" s="19" t="e">
        <f>HLOOKUP(AD2,'pooled normalised values'!N74:AT83,10,FALSE)</f>
        <v>#REF!</v>
      </c>
      <c r="AE5" s="19" t="e">
        <f>HLOOKUP(AE2,'pooled normalised values'!N74:AU83,10,FALSE)</f>
        <v>#REF!</v>
      </c>
      <c r="AF5" s="19" t="e">
        <f>HLOOKUP(AF2,'pooled normalised values'!N74:AV83,10,FALSE)</f>
        <v>#REF!</v>
      </c>
      <c r="AG5" s="19" t="e">
        <f>HLOOKUP(AG2,'pooled normalised values'!N74:AW83,10,FALSE)</f>
        <v>#REF!</v>
      </c>
      <c r="AH5" s="19" t="e">
        <f>HLOOKUP(AH2,'pooled normalised values'!N74:AX83,10,FALSE)</f>
        <v>#REF!</v>
      </c>
      <c r="AI5" s="19" t="e">
        <f>HLOOKUP(AI2,'pooled normalised values'!N74:AY83,10,FALSE)</f>
        <v>#REF!</v>
      </c>
      <c r="AJ5" s="20"/>
      <c r="AK5" s="23" t="s">
        <v>11</v>
      </c>
    </row>
    <row r="6" spans="1:37" x14ac:dyDescent="0.2">
      <c r="A6" s="17" t="s">
        <v>74</v>
      </c>
      <c r="B6" s="63">
        <f>'pooled normalised values'!Q75</f>
        <v>0.12880738499348809</v>
      </c>
      <c r="D6" s="21" t="s">
        <v>12</v>
      </c>
      <c r="E6" s="24">
        <f>$B$2</f>
        <v>6.2286370174278488E-2</v>
      </c>
      <c r="F6" s="24">
        <f>$B$2</f>
        <v>6.2286370174278488E-2</v>
      </c>
      <c r="G6" s="24">
        <f t="shared" ref="G6:R6" si="0">$B$2</f>
        <v>6.2286370174278488E-2</v>
      </c>
      <c r="H6" s="24">
        <f t="shared" si="0"/>
        <v>6.2286370174278488E-2</v>
      </c>
      <c r="I6" s="24">
        <f t="shared" si="0"/>
        <v>6.2286370174278488E-2</v>
      </c>
      <c r="J6" s="24">
        <f t="shared" si="0"/>
        <v>6.2286370174278488E-2</v>
      </c>
      <c r="K6" s="24">
        <f t="shared" si="0"/>
        <v>6.2286370174278488E-2</v>
      </c>
      <c r="L6" s="24">
        <f t="shared" si="0"/>
        <v>6.2286370174278488E-2</v>
      </c>
      <c r="M6" s="24">
        <f t="shared" si="0"/>
        <v>6.2286370174278488E-2</v>
      </c>
      <c r="N6" s="24">
        <f t="shared" si="0"/>
        <v>6.2286370174278488E-2</v>
      </c>
      <c r="O6" s="24">
        <f t="shared" si="0"/>
        <v>6.2286370174278488E-2</v>
      </c>
      <c r="P6" s="24">
        <f t="shared" si="0"/>
        <v>6.2286370174278488E-2</v>
      </c>
      <c r="Q6" s="24">
        <f t="shared" si="0"/>
        <v>6.2286370174278488E-2</v>
      </c>
      <c r="R6" s="24">
        <f t="shared" si="0"/>
        <v>6.2286370174278488E-2</v>
      </c>
      <c r="S6" s="24">
        <f>$B$2</f>
        <v>6.2286370174278488E-2</v>
      </c>
      <c r="T6" s="24">
        <f>$B$2</f>
        <v>6.2286370174278488E-2</v>
      </c>
      <c r="U6" s="25"/>
      <c r="V6" s="25"/>
      <c r="W6" s="25"/>
      <c r="X6" s="25"/>
      <c r="Y6" s="25"/>
      <c r="Z6" s="25"/>
      <c r="AA6" s="25"/>
      <c r="AB6" s="25"/>
      <c r="AC6" s="25"/>
      <c r="AD6" s="25"/>
      <c r="AE6" s="25"/>
      <c r="AF6" s="25"/>
      <c r="AG6" s="25"/>
      <c r="AH6" s="25"/>
      <c r="AI6" s="25"/>
      <c r="AJ6" s="25"/>
      <c r="AK6" s="21" t="s">
        <v>12</v>
      </c>
    </row>
    <row r="7" spans="1:37" x14ac:dyDescent="0.2">
      <c r="B7" s="26"/>
      <c r="D7" s="26" t="s">
        <v>13</v>
      </c>
      <c r="E7" s="24"/>
      <c r="F7" s="24"/>
      <c r="G7" s="24"/>
      <c r="H7" s="24"/>
      <c r="I7" s="24"/>
      <c r="J7" s="24"/>
      <c r="K7" s="24"/>
      <c r="L7" s="24"/>
      <c r="M7" s="24"/>
      <c r="N7" s="24"/>
      <c r="O7" s="24"/>
      <c r="P7" s="24"/>
      <c r="Q7" s="24"/>
      <c r="R7" s="24"/>
      <c r="S7" s="24"/>
      <c r="T7" s="27"/>
      <c r="U7" s="25">
        <f t="shared" ref="U7:AJ7" si="1">$B$4</f>
        <v>1.0000000000000002</v>
      </c>
      <c r="V7" s="25">
        <f t="shared" si="1"/>
        <v>1.0000000000000002</v>
      </c>
      <c r="W7" s="25">
        <f t="shared" si="1"/>
        <v>1.0000000000000002</v>
      </c>
      <c r="X7" s="25">
        <f t="shared" si="1"/>
        <v>1.0000000000000002</v>
      </c>
      <c r="Y7" s="25">
        <f t="shared" si="1"/>
        <v>1.0000000000000002</v>
      </c>
      <c r="Z7" s="25">
        <f t="shared" si="1"/>
        <v>1.0000000000000002</v>
      </c>
      <c r="AA7" s="25">
        <f t="shared" si="1"/>
        <v>1.0000000000000002</v>
      </c>
      <c r="AB7" s="25">
        <f t="shared" si="1"/>
        <v>1.0000000000000002</v>
      </c>
      <c r="AC7" s="25">
        <f t="shared" si="1"/>
        <v>1.0000000000000002</v>
      </c>
      <c r="AD7" s="25">
        <f t="shared" si="1"/>
        <v>1.0000000000000002</v>
      </c>
      <c r="AE7" s="25">
        <f t="shared" si="1"/>
        <v>1.0000000000000002</v>
      </c>
      <c r="AF7" s="25">
        <f t="shared" si="1"/>
        <v>1.0000000000000002</v>
      </c>
      <c r="AG7" s="25">
        <f t="shared" si="1"/>
        <v>1.0000000000000002</v>
      </c>
      <c r="AH7" s="25">
        <f t="shared" si="1"/>
        <v>1.0000000000000002</v>
      </c>
      <c r="AI7" s="25">
        <f t="shared" si="1"/>
        <v>1.0000000000000002</v>
      </c>
      <c r="AJ7" s="25">
        <f t="shared" si="1"/>
        <v>1.0000000000000002</v>
      </c>
      <c r="AK7" s="26" t="s">
        <v>13</v>
      </c>
    </row>
    <row r="8" spans="1:37" x14ac:dyDescent="0.2">
      <c r="D8" s="28" t="s">
        <v>14</v>
      </c>
      <c r="E8" s="24">
        <v>0</v>
      </c>
      <c r="F8" s="24">
        <v>0</v>
      </c>
      <c r="G8" s="24">
        <v>0</v>
      </c>
      <c r="H8" s="24">
        <v>0</v>
      </c>
      <c r="I8" s="24">
        <v>0</v>
      </c>
      <c r="J8" s="24">
        <v>0</v>
      </c>
      <c r="K8" s="24">
        <v>0</v>
      </c>
      <c r="L8" s="24">
        <v>0</v>
      </c>
      <c r="M8" s="24">
        <v>0</v>
      </c>
      <c r="N8" s="24">
        <v>0</v>
      </c>
      <c r="O8" s="24">
        <v>0</v>
      </c>
      <c r="P8" s="24">
        <v>0</v>
      </c>
      <c r="Q8" s="24">
        <v>0</v>
      </c>
      <c r="R8" s="24">
        <v>0</v>
      </c>
      <c r="S8" s="24">
        <v>0</v>
      </c>
      <c r="T8" s="27">
        <v>0</v>
      </c>
      <c r="U8" s="25">
        <f>$B$6</f>
        <v>0.12880738499348809</v>
      </c>
      <c r="V8" s="25">
        <f t="shared" ref="V8:AJ8" si="2">$B$6</f>
        <v>0.12880738499348809</v>
      </c>
      <c r="W8" s="25">
        <f t="shared" si="2"/>
        <v>0.12880738499348809</v>
      </c>
      <c r="X8" s="25">
        <f t="shared" si="2"/>
        <v>0.12880738499348809</v>
      </c>
      <c r="Y8" s="25">
        <f t="shared" si="2"/>
        <v>0.12880738499348809</v>
      </c>
      <c r="Z8" s="25">
        <f t="shared" si="2"/>
        <v>0.12880738499348809</v>
      </c>
      <c r="AA8" s="25">
        <f t="shared" si="2"/>
        <v>0.12880738499348809</v>
      </c>
      <c r="AB8" s="25">
        <f t="shared" si="2"/>
        <v>0.12880738499348809</v>
      </c>
      <c r="AC8" s="25">
        <f t="shared" si="2"/>
        <v>0.12880738499348809</v>
      </c>
      <c r="AD8" s="25">
        <f t="shared" si="2"/>
        <v>0.12880738499348809</v>
      </c>
      <c r="AE8" s="25">
        <f t="shared" si="2"/>
        <v>0.12880738499348809</v>
      </c>
      <c r="AF8" s="25">
        <f t="shared" si="2"/>
        <v>0.12880738499348809</v>
      </c>
      <c r="AG8" s="25">
        <f t="shared" si="2"/>
        <v>0.12880738499348809</v>
      </c>
      <c r="AH8" s="25">
        <f t="shared" si="2"/>
        <v>0.12880738499348809</v>
      </c>
      <c r="AI8" s="25">
        <f t="shared" si="2"/>
        <v>0.12880738499348809</v>
      </c>
      <c r="AJ8" s="25">
        <f t="shared" si="2"/>
        <v>0.12880738499348809</v>
      </c>
      <c r="AK8" s="28" t="s">
        <v>14</v>
      </c>
    </row>
    <row r="9" spans="1:37" x14ac:dyDescent="0.2">
      <c r="D9" s="28" t="s">
        <v>15</v>
      </c>
      <c r="E9" s="29">
        <f>$B$3-E8</f>
        <v>0</v>
      </c>
      <c r="F9" s="29">
        <f>$B$3-F8</f>
        <v>0</v>
      </c>
      <c r="G9" s="29">
        <f t="shared" ref="G9:R9" si="3">$B$3-G8</f>
        <v>0</v>
      </c>
      <c r="H9" s="29">
        <f t="shared" si="3"/>
        <v>0</v>
      </c>
      <c r="I9" s="29">
        <f t="shared" si="3"/>
        <v>0</v>
      </c>
      <c r="J9" s="29">
        <f t="shared" si="3"/>
        <v>0</v>
      </c>
      <c r="K9" s="29">
        <f t="shared" si="3"/>
        <v>0</v>
      </c>
      <c r="L9" s="29">
        <f t="shared" si="3"/>
        <v>0</v>
      </c>
      <c r="M9" s="29">
        <f t="shared" si="3"/>
        <v>0</v>
      </c>
      <c r="N9" s="29">
        <f t="shared" si="3"/>
        <v>0</v>
      </c>
      <c r="O9" s="29">
        <f t="shared" si="3"/>
        <v>0</v>
      </c>
      <c r="P9" s="29">
        <f t="shared" si="3"/>
        <v>0</v>
      </c>
      <c r="Q9" s="29">
        <f t="shared" si="3"/>
        <v>0</v>
      </c>
      <c r="R9" s="29">
        <f t="shared" si="3"/>
        <v>0</v>
      </c>
      <c r="S9" s="29">
        <f>$B$3-S8</f>
        <v>0</v>
      </c>
      <c r="T9" s="29">
        <f>$B$3-T8</f>
        <v>0</v>
      </c>
      <c r="U9" s="25">
        <f>$B$5-U8</f>
        <v>1.5302633820977469</v>
      </c>
      <c r="V9" s="25">
        <f>$B$5-V8</f>
        <v>1.5302633820977469</v>
      </c>
      <c r="W9" s="25">
        <f t="shared" ref="W9:AH9" si="4">$B$5-W8</f>
        <v>1.5302633820977469</v>
      </c>
      <c r="X9" s="25">
        <f t="shared" si="4"/>
        <v>1.5302633820977469</v>
      </c>
      <c r="Y9" s="25">
        <f t="shared" si="4"/>
        <v>1.5302633820977469</v>
      </c>
      <c r="Z9" s="25">
        <f t="shared" si="4"/>
        <v>1.5302633820977469</v>
      </c>
      <c r="AA9" s="25">
        <f t="shared" si="4"/>
        <v>1.5302633820977469</v>
      </c>
      <c r="AB9" s="25">
        <f t="shared" si="4"/>
        <v>1.5302633820977469</v>
      </c>
      <c r="AC9" s="25">
        <f t="shared" si="4"/>
        <v>1.5302633820977469</v>
      </c>
      <c r="AD9" s="25">
        <f t="shared" si="4"/>
        <v>1.5302633820977469</v>
      </c>
      <c r="AE9" s="25">
        <f t="shared" si="4"/>
        <v>1.5302633820977469</v>
      </c>
      <c r="AF9" s="25">
        <f t="shared" si="4"/>
        <v>1.5302633820977469</v>
      </c>
      <c r="AG9" s="25">
        <f t="shared" si="4"/>
        <v>1.5302633820977469</v>
      </c>
      <c r="AH9" s="25">
        <f t="shared" si="4"/>
        <v>1.5302633820977469</v>
      </c>
      <c r="AI9" s="25">
        <f>$B$5-AI8</f>
        <v>1.5302633820977469</v>
      </c>
      <c r="AJ9" s="25">
        <f>$B$5-AJ8</f>
        <v>1.5302633820977469</v>
      </c>
      <c r="AK9" s="28" t="s">
        <v>15</v>
      </c>
    </row>
    <row r="10" spans="1:37" x14ac:dyDescent="0.2">
      <c r="D10" s="28" t="s">
        <v>16</v>
      </c>
      <c r="E10" s="27">
        <f>2.5-E9</f>
        <v>2.5</v>
      </c>
      <c r="F10" s="27">
        <f>2.5-F9</f>
        <v>2.5</v>
      </c>
      <c r="G10" s="27">
        <f t="shared" ref="G10:R10" si="5">2.5-G9</f>
        <v>2.5</v>
      </c>
      <c r="H10" s="27">
        <f t="shared" si="5"/>
        <v>2.5</v>
      </c>
      <c r="I10" s="27">
        <f t="shared" si="5"/>
        <v>2.5</v>
      </c>
      <c r="J10" s="27">
        <f t="shared" si="5"/>
        <v>2.5</v>
      </c>
      <c r="K10" s="27">
        <f t="shared" si="5"/>
        <v>2.5</v>
      </c>
      <c r="L10" s="27">
        <f t="shared" si="5"/>
        <v>2.5</v>
      </c>
      <c r="M10" s="27">
        <f t="shared" si="5"/>
        <v>2.5</v>
      </c>
      <c r="N10" s="27">
        <f t="shared" si="5"/>
        <v>2.5</v>
      </c>
      <c r="O10" s="27">
        <f t="shared" si="5"/>
        <v>2.5</v>
      </c>
      <c r="P10" s="27">
        <f t="shared" si="5"/>
        <v>2.5</v>
      </c>
      <c r="Q10" s="27">
        <f t="shared" si="5"/>
        <v>2.5</v>
      </c>
      <c r="R10" s="27">
        <f t="shared" si="5"/>
        <v>2.5</v>
      </c>
      <c r="S10" s="27">
        <f>2.5-S9</f>
        <v>2.5</v>
      </c>
      <c r="T10" s="27">
        <f>2.5-T9</f>
        <v>2.5</v>
      </c>
      <c r="U10" s="25">
        <f>2.5-U9</f>
        <v>0.96973661790225307</v>
      </c>
      <c r="V10" s="25">
        <f>2.5-V9</f>
        <v>0.96973661790225307</v>
      </c>
      <c r="W10" s="25">
        <f t="shared" ref="W10:AH10" si="6">2.5-W9</f>
        <v>0.96973661790225307</v>
      </c>
      <c r="X10" s="25">
        <f t="shared" si="6"/>
        <v>0.96973661790225307</v>
      </c>
      <c r="Y10" s="25">
        <f t="shared" si="6"/>
        <v>0.96973661790225307</v>
      </c>
      <c r="Z10" s="25">
        <f t="shared" si="6"/>
        <v>0.96973661790225307</v>
      </c>
      <c r="AA10" s="25">
        <f t="shared" si="6"/>
        <v>0.96973661790225307</v>
      </c>
      <c r="AB10" s="25">
        <f t="shared" si="6"/>
        <v>0.96973661790225307</v>
      </c>
      <c r="AC10" s="25">
        <f t="shared" si="6"/>
        <v>0.96973661790225307</v>
      </c>
      <c r="AD10" s="25">
        <f t="shared" si="6"/>
        <v>0.96973661790225307</v>
      </c>
      <c r="AE10" s="25">
        <f t="shared" si="6"/>
        <v>0.96973661790225307</v>
      </c>
      <c r="AF10" s="25">
        <f t="shared" si="6"/>
        <v>0.96973661790225307</v>
      </c>
      <c r="AG10" s="25">
        <f t="shared" si="6"/>
        <v>0.96973661790225307</v>
      </c>
      <c r="AH10" s="25">
        <f t="shared" si="6"/>
        <v>0.96973661790225307</v>
      </c>
      <c r="AI10" s="25">
        <f>2.5-AI9</f>
        <v>0.96973661790225307</v>
      </c>
      <c r="AJ10" s="25">
        <f>2.5-AJ9</f>
        <v>0.96973661790225307</v>
      </c>
      <c r="AK10" s="28" t="s">
        <v>16</v>
      </c>
    </row>
    <row r="17" spans="2:20" x14ac:dyDescent="0.2">
      <c r="C17" s="23"/>
      <c r="D17" s="23"/>
    </row>
    <row r="18" spans="2:20" x14ac:dyDescent="0.2">
      <c r="B18" s="30"/>
    </row>
    <row r="19" spans="2:20" x14ac:dyDescent="0.2">
      <c r="B19" s="30"/>
    </row>
    <row r="20" spans="2:20" x14ac:dyDescent="0.2">
      <c r="B20" s="31"/>
    </row>
    <row r="21" spans="2:20" x14ac:dyDescent="0.2">
      <c r="B21" s="30"/>
    </row>
    <row r="22" spans="2:20" x14ac:dyDescent="0.2">
      <c r="B22" s="30"/>
      <c r="T22" s="23"/>
    </row>
    <row r="23" spans="2:20" x14ac:dyDescent="0.2">
      <c r="B23" s="31"/>
      <c r="T23" s="23"/>
    </row>
    <row r="24" spans="2:20" x14ac:dyDescent="0.2">
      <c r="T24" s="23"/>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K24"/>
  <sheetViews>
    <sheetView topLeftCell="A16" zoomScale="70" zoomScaleNormal="70" workbookViewId="0">
      <selection activeCell="N34" sqref="N34"/>
    </sheetView>
  </sheetViews>
  <sheetFormatPr baseColWidth="10" defaultRowHeight="12.75" x14ac:dyDescent="0.2"/>
  <cols>
    <col min="1" max="1" width="18.85546875" style="17" customWidth="1"/>
    <col min="2" max="2" width="7.28515625" style="17" bestFit="1" customWidth="1"/>
    <col min="3" max="3" width="10.5703125" style="17" customWidth="1"/>
    <col min="4" max="4" width="13.7109375" style="17" bestFit="1" customWidth="1"/>
    <col min="5" max="5" width="12" style="17" bestFit="1" customWidth="1"/>
    <col min="6" max="6" width="14.85546875" style="17" customWidth="1"/>
    <col min="7" max="8" width="11.42578125" style="17"/>
    <col min="9" max="9" width="13.5703125" style="17" bestFit="1" customWidth="1"/>
    <col min="10" max="256" width="11.42578125" style="17"/>
    <col min="257" max="257" width="18.7109375" style="17" customWidth="1"/>
    <col min="258" max="258" width="13.7109375" style="17" bestFit="1" customWidth="1"/>
    <col min="259" max="259" width="17.28515625" style="17" customWidth="1"/>
    <col min="260" max="260" width="11" style="17" customWidth="1"/>
    <col min="261" max="261" width="12" style="17" bestFit="1" customWidth="1"/>
    <col min="262" max="262" width="14.85546875" style="17" customWidth="1"/>
    <col min="263" max="512" width="11.42578125" style="17"/>
    <col min="513" max="513" width="18.7109375" style="17" customWidth="1"/>
    <col min="514" max="514" width="13.7109375" style="17" bestFit="1" customWidth="1"/>
    <col min="515" max="515" width="17.28515625" style="17" customWidth="1"/>
    <col min="516" max="516" width="11" style="17" customWidth="1"/>
    <col min="517" max="517" width="12" style="17" bestFit="1" customWidth="1"/>
    <col min="518" max="518" width="14.85546875" style="17" customWidth="1"/>
    <col min="519" max="768" width="11.42578125" style="17"/>
    <col min="769" max="769" width="18.7109375" style="17" customWidth="1"/>
    <col min="770" max="770" width="13.7109375" style="17" bestFit="1" customWidth="1"/>
    <col min="771" max="771" width="17.28515625" style="17" customWidth="1"/>
    <col min="772" max="772" width="11" style="17" customWidth="1"/>
    <col min="773" max="773" width="12" style="17" bestFit="1" customWidth="1"/>
    <col min="774" max="774" width="14.85546875" style="17" customWidth="1"/>
    <col min="775" max="1024" width="11.42578125" style="17"/>
    <col min="1025" max="1025" width="18.7109375" style="17" customWidth="1"/>
    <col min="1026" max="1026" width="13.7109375" style="17" bestFit="1" customWidth="1"/>
    <col min="1027" max="1027" width="17.28515625" style="17" customWidth="1"/>
    <col min="1028" max="1028" width="11" style="17" customWidth="1"/>
    <col min="1029" max="1029" width="12" style="17" bestFit="1" customWidth="1"/>
    <col min="1030" max="1030" width="14.85546875" style="17" customWidth="1"/>
    <col min="1031" max="1280" width="11.42578125" style="17"/>
    <col min="1281" max="1281" width="18.7109375" style="17" customWidth="1"/>
    <col min="1282" max="1282" width="13.7109375" style="17" bestFit="1" customWidth="1"/>
    <col min="1283" max="1283" width="17.28515625" style="17" customWidth="1"/>
    <col min="1284" max="1284" width="11" style="17" customWidth="1"/>
    <col min="1285" max="1285" width="12" style="17" bestFit="1" customWidth="1"/>
    <col min="1286" max="1286" width="14.85546875" style="17" customWidth="1"/>
    <col min="1287" max="1536" width="11.42578125" style="17"/>
    <col min="1537" max="1537" width="18.7109375" style="17" customWidth="1"/>
    <col min="1538" max="1538" width="13.7109375" style="17" bestFit="1" customWidth="1"/>
    <col min="1539" max="1539" width="17.28515625" style="17" customWidth="1"/>
    <col min="1540" max="1540" width="11" style="17" customWidth="1"/>
    <col min="1541" max="1541" width="12" style="17" bestFit="1" customWidth="1"/>
    <col min="1542" max="1542" width="14.85546875" style="17" customWidth="1"/>
    <col min="1543" max="1792" width="11.42578125" style="17"/>
    <col min="1793" max="1793" width="18.7109375" style="17" customWidth="1"/>
    <col min="1794" max="1794" width="13.7109375" style="17" bestFit="1" customWidth="1"/>
    <col min="1795" max="1795" width="17.28515625" style="17" customWidth="1"/>
    <col min="1796" max="1796" width="11" style="17" customWidth="1"/>
    <col min="1797" max="1797" width="12" style="17" bestFit="1" customWidth="1"/>
    <col min="1798" max="1798" width="14.85546875" style="17" customWidth="1"/>
    <col min="1799" max="2048" width="11.42578125" style="17"/>
    <col min="2049" max="2049" width="18.7109375" style="17" customWidth="1"/>
    <col min="2050" max="2050" width="13.7109375" style="17" bestFit="1" customWidth="1"/>
    <col min="2051" max="2051" width="17.28515625" style="17" customWidth="1"/>
    <col min="2052" max="2052" width="11" style="17" customWidth="1"/>
    <col min="2053" max="2053" width="12" style="17" bestFit="1" customWidth="1"/>
    <col min="2054" max="2054" width="14.85546875" style="17" customWidth="1"/>
    <col min="2055" max="2304" width="11.42578125" style="17"/>
    <col min="2305" max="2305" width="18.7109375" style="17" customWidth="1"/>
    <col min="2306" max="2306" width="13.7109375" style="17" bestFit="1" customWidth="1"/>
    <col min="2307" max="2307" width="17.28515625" style="17" customWidth="1"/>
    <col min="2308" max="2308" width="11" style="17" customWidth="1"/>
    <col min="2309" max="2309" width="12" style="17" bestFit="1" customWidth="1"/>
    <col min="2310" max="2310" width="14.85546875" style="17" customWidth="1"/>
    <col min="2311" max="2560" width="11.42578125" style="17"/>
    <col min="2561" max="2561" width="18.7109375" style="17" customWidth="1"/>
    <col min="2562" max="2562" width="13.7109375" style="17" bestFit="1" customWidth="1"/>
    <col min="2563" max="2563" width="17.28515625" style="17" customWidth="1"/>
    <col min="2564" max="2564" width="11" style="17" customWidth="1"/>
    <col min="2565" max="2565" width="12" style="17" bestFit="1" customWidth="1"/>
    <col min="2566" max="2566" width="14.85546875" style="17" customWidth="1"/>
    <col min="2567" max="2816" width="11.42578125" style="17"/>
    <col min="2817" max="2817" width="18.7109375" style="17" customWidth="1"/>
    <col min="2818" max="2818" width="13.7109375" style="17" bestFit="1" customWidth="1"/>
    <col min="2819" max="2819" width="17.28515625" style="17" customWidth="1"/>
    <col min="2820" max="2820" width="11" style="17" customWidth="1"/>
    <col min="2821" max="2821" width="12" style="17" bestFit="1" customWidth="1"/>
    <col min="2822" max="2822" width="14.85546875" style="17" customWidth="1"/>
    <col min="2823" max="3072" width="11.42578125" style="17"/>
    <col min="3073" max="3073" width="18.7109375" style="17" customWidth="1"/>
    <col min="3074" max="3074" width="13.7109375" style="17" bestFit="1" customWidth="1"/>
    <col min="3075" max="3075" width="17.28515625" style="17" customWidth="1"/>
    <col min="3076" max="3076" width="11" style="17" customWidth="1"/>
    <col min="3077" max="3077" width="12" style="17" bestFit="1" customWidth="1"/>
    <col min="3078" max="3078" width="14.85546875" style="17" customWidth="1"/>
    <col min="3079" max="3328" width="11.42578125" style="17"/>
    <col min="3329" max="3329" width="18.7109375" style="17" customWidth="1"/>
    <col min="3330" max="3330" width="13.7109375" style="17" bestFit="1" customWidth="1"/>
    <col min="3331" max="3331" width="17.28515625" style="17" customWidth="1"/>
    <col min="3332" max="3332" width="11" style="17" customWidth="1"/>
    <col min="3333" max="3333" width="12" style="17" bestFit="1" customWidth="1"/>
    <col min="3334" max="3334" width="14.85546875" style="17" customWidth="1"/>
    <col min="3335" max="3584" width="11.42578125" style="17"/>
    <col min="3585" max="3585" width="18.7109375" style="17" customWidth="1"/>
    <col min="3586" max="3586" width="13.7109375" style="17" bestFit="1" customWidth="1"/>
    <col min="3587" max="3587" width="17.28515625" style="17" customWidth="1"/>
    <col min="3588" max="3588" width="11" style="17" customWidth="1"/>
    <col min="3589" max="3589" width="12" style="17" bestFit="1" customWidth="1"/>
    <col min="3590" max="3590" width="14.85546875" style="17" customWidth="1"/>
    <col min="3591" max="3840" width="11.42578125" style="17"/>
    <col min="3841" max="3841" width="18.7109375" style="17" customWidth="1"/>
    <col min="3842" max="3842" width="13.7109375" style="17" bestFit="1" customWidth="1"/>
    <col min="3843" max="3843" width="17.28515625" style="17" customWidth="1"/>
    <col min="3844" max="3844" width="11" style="17" customWidth="1"/>
    <col min="3845" max="3845" width="12" style="17" bestFit="1" customWidth="1"/>
    <col min="3846" max="3846" width="14.85546875" style="17" customWidth="1"/>
    <col min="3847" max="4096" width="11.42578125" style="17"/>
    <col min="4097" max="4097" width="18.7109375" style="17" customWidth="1"/>
    <col min="4098" max="4098" width="13.7109375" style="17" bestFit="1" customWidth="1"/>
    <col min="4099" max="4099" width="17.28515625" style="17" customWidth="1"/>
    <col min="4100" max="4100" width="11" style="17" customWidth="1"/>
    <col min="4101" max="4101" width="12" style="17" bestFit="1" customWidth="1"/>
    <col min="4102" max="4102" width="14.85546875" style="17" customWidth="1"/>
    <col min="4103" max="4352" width="11.42578125" style="17"/>
    <col min="4353" max="4353" width="18.7109375" style="17" customWidth="1"/>
    <col min="4354" max="4354" width="13.7109375" style="17" bestFit="1" customWidth="1"/>
    <col min="4355" max="4355" width="17.28515625" style="17" customWidth="1"/>
    <col min="4356" max="4356" width="11" style="17" customWidth="1"/>
    <col min="4357" max="4357" width="12" style="17" bestFit="1" customWidth="1"/>
    <col min="4358" max="4358" width="14.85546875" style="17" customWidth="1"/>
    <col min="4359" max="4608" width="11.42578125" style="17"/>
    <col min="4609" max="4609" width="18.7109375" style="17" customWidth="1"/>
    <col min="4610" max="4610" width="13.7109375" style="17" bestFit="1" customWidth="1"/>
    <col min="4611" max="4611" width="17.28515625" style="17" customWidth="1"/>
    <col min="4612" max="4612" width="11" style="17" customWidth="1"/>
    <col min="4613" max="4613" width="12" style="17" bestFit="1" customWidth="1"/>
    <col min="4614" max="4614" width="14.85546875" style="17" customWidth="1"/>
    <col min="4615" max="4864" width="11.42578125" style="17"/>
    <col min="4865" max="4865" width="18.7109375" style="17" customWidth="1"/>
    <col min="4866" max="4866" width="13.7109375" style="17" bestFit="1" customWidth="1"/>
    <col min="4867" max="4867" width="17.28515625" style="17" customWidth="1"/>
    <col min="4868" max="4868" width="11" style="17" customWidth="1"/>
    <col min="4869" max="4869" width="12" style="17" bestFit="1" customWidth="1"/>
    <col min="4870" max="4870" width="14.85546875" style="17" customWidth="1"/>
    <col min="4871" max="5120" width="11.42578125" style="17"/>
    <col min="5121" max="5121" width="18.7109375" style="17" customWidth="1"/>
    <col min="5122" max="5122" width="13.7109375" style="17" bestFit="1" customWidth="1"/>
    <col min="5123" max="5123" width="17.28515625" style="17" customWidth="1"/>
    <col min="5124" max="5124" width="11" style="17" customWidth="1"/>
    <col min="5125" max="5125" width="12" style="17" bestFit="1" customWidth="1"/>
    <col min="5126" max="5126" width="14.85546875" style="17" customWidth="1"/>
    <col min="5127" max="5376" width="11.42578125" style="17"/>
    <col min="5377" max="5377" width="18.7109375" style="17" customWidth="1"/>
    <col min="5378" max="5378" width="13.7109375" style="17" bestFit="1" customWidth="1"/>
    <col min="5379" max="5379" width="17.28515625" style="17" customWidth="1"/>
    <col min="5380" max="5380" width="11" style="17" customWidth="1"/>
    <col min="5381" max="5381" width="12" style="17" bestFit="1" customWidth="1"/>
    <col min="5382" max="5382" width="14.85546875" style="17" customWidth="1"/>
    <col min="5383" max="5632" width="11.42578125" style="17"/>
    <col min="5633" max="5633" width="18.7109375" style="17" customWidth="1"/>
    <col min="5634" max="5634" width="13.7109375" style="17" bestFit="1" customWidth="1"/>
    <col min="5635" max="5635" width="17.28515625" style="17" customWidth="1"/>
    <col min="5636" max="5636" width="11" style="17" customWidth="1"/>
    <col min="5637" max="5637" width="12" style="17" bestFit="1" customWidth="1"/>
    <col min="5638" max="5638" width="14.85546875" style="17" customWidth="1"/>
    <col min="5639" max="5888" width="11.42578125" style="17"/>
    <col min="5889" max="5889" width="18.7109375" style="17" customWidth="1"/>
    <col min="5890" max="5890" width="13.7109375" style="17" bestFit="1" customWidth="1"/>
    <col min="5891" max="5891" width="17.28515625" style="17" customWidth="1"/>
    <col min="5892" max="5892" width="11" style="17" customWidth="1"/>
    <col min="5893" max="5893" width="12" style="17" bestFit="1" customWidth="1"/>
    <col min="5894" max="5894" width="14.85546875" style="17" customWidth="1"/>
    <col min="5895" max="6144" width="11.42578125" style="17"/>
    <col min="6145" max="6145" width="18.7109375" style="17" customWidth="1"/>
    <col min="6146" max="6146" width="13.7109375" style="17" bestFit="1" customWidth="1"/>
    <col min="6147" max="6147" width="17.28515625" style="17" customWidth="1"/>
    <col min="6148" max="6148" width="11" style="17" customWidth="1"/>
    <col min="6149" max="6149" width="12" style="17" bestFit="1" customWidth="1"/>
    <col min="6150" max="6150" width="14.85546875" style="17" customWidth="1"/>
    <col min="6151" max="6400" width="11.42578125" style="17"/>
    <col min="6401" max="6401" width="18.7109375" style="17" customWidth="1"/>
    <col min="6402" max="6402" width="13.7109375" style="17" bestFit="1" customWidth="1"/>
    <col min="6403" max="6403" width="17.28515625" style="17" customWidth="1"/>
    <col min="6404" max="6404" width="11" style="17" customWidth="1"/>
    <col min="6405" max="6405" width="12" style="17" bestFit="1" customWidth="1"/>
    <col min="6406" max="6406" width="14.85546875" style="17" customWidth="1"/>
    <col min="6407" max="6656" width="11.42578125" style="17"/>
    <col min="6657" max="6657" width="18.7109375" style="17" customWidth="1"/>
    <col min="6658" max="6658" width="13.7109375" style="17" bestFit="1" customWidth="1"/>
    <col min="6659" max="6659" width="17.28515625" style="17" customWidth="1"/>
    <col min="6660" max="6660" width="11" style="17" customWidth="1"/>
    <col min="6661" max="6661" width="12" style="17" bestFit="1" customWidth="1"/>
    <col min="6662" max="6662" width="14.85546875" style="17" customWidth="1"/>
    <col min="6663" max="6912" width="11.42578125" style="17"/>
    <col min="6913" max="6913" width="18.7109375" style="17" customWidth="1"/>
    <col min="6914" max="6914" width="13.7109375" style="17" bestFit="1" customWidth="1"/>
    <col min="6915" max="6915" width="17.28515625" style="17" customWidth="1"/>
    <col min="6916" max="6916" width="11" style="17" customWidth="1"/>
    <col min="6917" max="6917" width="12" style="17" bestFit="1" customWidth="1"/>
    <col min="6918" max="6918" width="14.85546875" style="17" customWidth="1"/>
    <col min="6919" max="7168" width="11.42578125" style="17"/>
    <col min="7169" max="7169" width="18.7109375" style="17" customWidth="1"/>
    <col min="7170" max="7170" width="13.7109375" style="17" bestFit="1" customWidth="1"/>
    <col min="7171" max="7171" width="17.28515625" style="17" customWidth="1"/>
    <col min="7172" max="7172" width="11" style="17" customWidth="1"/>
    <col min="7173" max="7173" width="12" style="17" bestFit="1" customWidth="1"/>
    <col min="7174" max="7174" width="14.85546875" style="17" customWidth="1"/>
    <col min="7175" max="7424" width="11.42578125" style="17"/>
    <col min="7425" max="7425" width="18.7109375" style="17" customWidth="1"/>
    <col min="7426" max="7426" width="13.7109375" style="17" bestFit="1" customWidth="1"/>
    <col min="7427" max="7427" width="17.28515625" style="17" customWidth="1"/>
    <col min="7428" max="7428" width="11" style="17" customWidth="1"/>
    <col min="7429" max="7429" width="12" style="17" bestFit="1" customWidth="1"/>
    <col min="7430" max="7430" width="14.85546875" style="17" customWidth="1"/>
    <col min="7431" max="7680" width="11.42578125" style="17"/>
    <col min="7681" max="7681" width="18.7109375" style="17" customWidth="1"/>
    <col min="7682" max="7682" width="13.7109375" style="17" bestFit="1" customWidth="1"/>
    <col min="7683" max="7683" width="17.28515625" style="17" customWidth="1"/>
    <col min="7684" max="7684" width="11" style="17" customWidth="1"/>
    <col min="7685" max="7685" width="12" style="17" bestFit="1" customWidth="1"/>
    <col min="7686" max="7686" width="14.85546875" style="17" customWidth="1"/>
    <col min="7687" max="7936" width="11.42578125" style="17"/>
    <col min="7937" max="7937" width="18.7109375" style="17" customWidth="1"/>
    <col min="7938" max="7938" width="13.7109375" style="17" bestFit="1" customWidth="1"/>
    <col min="7939" max="7939" width="17.28515625" style="17" customWidth="1"/>
    <col min="7940" max="7940" width="11" style="17" customWidth="1"/>
    <col min="7941" max="7941" width="12" style="17" bestFit="1" customWidth="1"/>
    <col min="7942" max="7942" width="14.85546875" style="17" customWidth="1"/>
    <col min="7943" max="8192" width="11.42578125" style="17"/>
    <col min="8193" max="8193" width="18.7109375" style="17" customWidth="1"/>
    <col min="8194" max="8194" width="13.7109375" style="17" bestFit="1" customWidth="1"/>
    <col min="8195" max="8195" width="17.28515625" style="17" customWidth="1"/>
    <col min="8196" max="8196" width="11" style="17" customWidth="1"/>
    <col min="8197" max="8197" width="12" style="17" bestFit="1" customWidth="1"/>
    <col min="8198" max="8198" width="14.85546875" style="17" customWidth="1"/>
    <col min="8199" max="8448" width="11.42578125" style="17"/>
    <col min="8449" max="8449" width="18.7109375" style="17" customWidth="1"/>
    <col min="8450" max="8450" width="13.7109375" style="17" bestFit="1" customWidth="1"/>
    <col min="8451" max="8451" width="17.28515625" style="17" customWidth="1"/>
    <col min="8452" max="8452" width="11" style="17" customWidth="1"/>
    <col min="8453" max="8453" width="12" style="17" bestFit="1" customWidth="1"/>
    <col min="8454" max="8454" width="14.85546875" style="17" customWidth="1"/>
    <col min="8455" max="8704" width="11.42578125" style="17"/>
    <col min="8705" max="8705" width="18.7109375" style="17" customWidth="1"/>
    <col min="8706" max="8706" width="13.7109375" style="17" bestFit="1" customWidth="1"/>
    <col min="8707" max="8707" width="17.28515625" style="17" customWidth="1"/>
    <col min="8708" max="8708" width="11" style="17" customWidth="1"/>
    <col min="8709" max="8709" width="12" style="17" bestFit="1" customWidth="1"/>
    <col min="8710" max="8710" width="14.85546875" style="17" customWidth="1"/>
    <col min="8711" max="8960" width="11.42578125" style="17"/>
    <col min="8961" max="8961" width="18.7109375" style="17" customWidth="1"/>
    <col min="8962" max="8962" width="13.7109375" style="17" bestFit="1" customWidth="1"/>
    <col min="8963" max="8963" width="17.28515625" style="17" customWidth="1"/>
    <col min="8964" max="8964" width="11" style="17" customWidth="1"/>
    <col min="8965" max="8965" width="12" style="17" bestFit="1" customWidth="1"/>
    <col min="8966" max="8966" width="14.85546875" style="17" customWidth="1"/>
    <col min="8967" max="9216" width="11.42578125" style="17"/>
    <col min="9217" max="9217" width="18.7109375" style="17" customWidth="1"/>
    <col min="9218" max="9218" width="13.7109375" style="17" bestFit="1" customWidth="1"/>
    <col min="9219" max="9219" width="17.28515625" style="17" customWidth="1"/>
    <col min="9220" max="9220" width="11" style="17" customWidth="1"/>
    <col min="9221" max="9221" width="12" style="17" bestFit="1" customWidth="1"/>
    <col min="9222" max="9222" width="14.85546875" style="17" customWidth="1"/>
    <col min="9223" max="9472" width="11.42578125" style="17"/>
    <col min="9473" max="9473" width="18.7109375" style="17" customWidth="1"/>
    <col min="9474" max="9474" width="13.7109375" style="17" bestFit="1" customWidth="1"/>
    <col min="9475" max="9475" width="17.28515625" style="17" customWidth="1"/>
    <col min="9476" max="9476" width="11" style="17" customWidth="1"/>
    <col min="9477" max="9477" width="12" style="17" bestFit="1" customWidth="1"/>
    <col min="9478" max="9478" width="14.85546875" style="17" customWidth="1"/>
    <col min="9479" max="9728" width="11.42578125" style="17"/>
    <col min="9729" max="9729" width="18.7109375" style="17" customWidth="1"/>
    <col min="9730" max="9730" width="13.7109375" style="17" bestFit="1" customWidth="1"/>
    <col min="9731" max="9731" width="17.28515625" style="17" customWidth="1"/>
    <col min="9732" max="9732" width="11" style="17" customWidth="1"/>
    <col min="9733" max="9733" width="12" style="17" bestFit="1" customWidth="1"/>
    <col min="9734" max="9734" width="14.85546875" style="17" customWidth="1"/>
    <col min="9735" max="9984" width="11.42578125" style="17"/>
    <col min="9985" max="9985" width="18.7109375" style="17" customWidth="1"/>
    <col min="9986" max="9986" width="13.7109375" style="17" bestFit="1" customWidth="1"/>
    <col min="9987" max="9987" width="17.28515625" style="17" customWidth="1"/>
    <col min="9988" max="9988" width="11" style="17" customWidth="1"/>
    <col min="9989" max="9989" width="12" style="17" bestFit="1" customWidth="1"/>
    <col min="9990" max="9990" width="14.85546875" style="17" customWidth="1"/>
    <col min="9991" max="10240" width="11.42578125" style="17"/>
    <col min="10241" max="10241" width="18.7109375" style="17" customWidth="1"/>
    <col min="10242" max="10242" width="13.7109375" style="17" bestFit="1" customWidth="1"/>
    <col min="10243" max="10243" width="17.28515625" style="17" customWidth="1"/>
    <col min="10244" max="10244" width="11" style="17" customWidth="1"/>
    <col min="10245" max="10245" width="12" style="17" bestFit="1" customWidth="1"/>
    <col min="10246" max="10246" width="14.85546875" style="17" customWidth="1"/>
    <col min="10247" max="10496" width="11.42578125" style="17"/>
    <col min="10497" max="10497" width="18.7109375" style="17" customWidth="1"/>
    <col min="10498" max="10498" width="13.7109375" style="17" bestFit="1" customWidth="1"/>
    <col min="10499" max="10499" width="17.28515625" style="17" customWidth="1"/>
    <col min="10500" max="10500" width="11" style="17" customWidth="1"/>
    <col min="10501" max="10501" width="12" style="17" bestFit="1" customWidth="1"/>
    <col min="10502" max="10502" width="14.85546875" style="17" customWidth="1"/>
    <col min="10503" max="10752" width="11.42578125" style="17"/>
    <col min="10753" max="10753" width="18.7109375" style="17" customWidth="1"/>
    <col min="10754" max="10754" width="13.7109375" style="17" bestFit="1" customWidth="1"/>
    <col min="10755" max="10755" width="17.28515625" style="17" customWidth="1"/>
    <col min="10756" max="10756" width="11" style="17" customWidth="1"/>
    <col min="10757" max="10757" width="12" style="17" bestFit="1" customWidth="1"/>
    <col min="10758" max="10758" width="14.85546875" style="17" customWidth="1"/>
    <col min="10759" max="11008" width="11.42578125" style="17"/>
    <col min="11009" max="11009" width="18.7109375" style="17" customWidth="1"/>
    <col min="11010" max="11010" width="13.7109375" style="17" bestFit="1" customWidth="1"/>
    <col min="11011" max="11011" width="17.28515625" style="17" customWidth="1"/>
    <col min="11012" max="11012" width="11" style="17" customWidth="1"/>
    <col min="11013" max="11013" width="12" style="17" bestFit="1" customWidth="1"/>
    <col min="11014" max="11014" width="14.85546875" style="17" customWidth="1"/>
    <col min="11015" max="11264" width="11.42578125" style="17"/>
    <col min="11265" max="11265" width="18.7109375" style="17" customWidth="1"/>
    <col min="11266" max="11266" width="13.7109375" style="17" bestFit="1" customWidth="1"/>
    <col min="11267" max="11267" width="17.28515625" style="17" customWidth="1"/>
    <col min="11268" max="11268" width="11" style="17" customWidth="1"/>
    <col min="11269" max="11269" width="12" style="17" bestFit="1" customWidth="1"/>
    <col min="11270" max="11270" width="14.85546875" style="17" customWidth="1"/>
    <col min="11271" max="11520" width="11.42578125" style="17"/>
    <col min="11521" max="11521" width="18.7109375" style="17" customWidth="1"/>
    <col min="11522" max="11522" width="13.7109375" style="17" bestFit="1" customWidth="1"/>
    <col min="11523" max="11523" width="17.28515625" style="17" customWidth="1"/>
    <col min="11524" max="11524" width="11" style="17" customWidth="1"/>
    <col min="11525" max="11525" width="12" style="17" bestFit="1" customWidth="1"/>
    <col min="11526" max="11526" width="14.85546875" style="17" customWidth="1"/>
    <col min="11527" max="11776" width="11.42578125" style="17"/>
    <col min="11777" max="11777" width="18.7109375" style="17" customWidth="1"/>
    <col min="11778" max="11778" width="13.7109375" style="17" bestFit="1" customWidth="1"/>
    <col min="11779" max="11779" width="17.28515625" style="17" customWidth="1"/>
    <col min="11780" max="11780" width="11" style="17" customWidth="1"/>
    <col min="11781" max="11781" width="12" style="17" bestFit="1" customWidth="1"/>
    <col min="11782" max="11782" width="14.85546875" style="17" customWidth="1"/>
    <col min="11783" max="12032" width="11.42578125" style="17"/>
    <col min="12033" max="12033" width="18.7109375" style="17" customWidth="1"/>
    <col min="12034" max="12034" width="13.7109375" style="17" bestFit="1" customWidth="1"/>
    <col min="12035" max="12035" width="17.28515625" style="17" customWidth="1"/>
    <col min="12036" max="12036" width="11" style="17" customWidth="1"/>
    <col min="12037" max="12037" width="12" style="17" bestFit="1" customWidth="1"/>
    <col min="12038" max="12038" width="14.85546875" style="17" customWidth="1"/>
    <col min="12039" max="12288" width="11.42578125" style="17"/>
    <col min="12289" max="12289" width="18.7109375" style="17" customWidth="1"/>
    <col min="12290" max="12290" width="13.7109375" style="17" bestFit="1" customWidth="1"/>
    <col min="12291" max="12291" width="17.28515625" style="17" customWidth="1"/>
    <col min="12292" max="12292" width="11" style="17" customWidth="1"/>
    <col min="12293" max="12293" width="12" style="17" bestFit="1" customWidth="1"/>
    <col min="12294" max="12294" width="14.85546875" style="17" customWidth="1"/>
    <col min="12295" max="12544" width="11.42578125" style="17"/>
    <col min="12545" max="12545" width="18.7109375" style="17" customWidth="1"/>
    <col min="12546" max="12546" width="13.7109375" style="17" bestFit="1" customWidth="1"/>
    <col min="12547" max="12547" width="17.28515625" style="17" customWidth="1"/>
    <col min="12548" max="12548" width="11" style="17" customWidth="1"/>
    <col min="12549" max="12549" width="12" style="17" bestFit="1" customWidth="1"/>
    <col min="12550" max="12550" width="14.85546875" style="17" customWidth="1"/>
    <col min="12551" max="12800" width="11.42578125" style="17"/>
    <col min="12801" max="12801" width="18.7109375" style="17" customWidth="1"/>
    <col min="12802" max="12802" width="13.7109375" style="17" bestFit="1" customWidth="1"/>
    <col min="12803" max="12803" width="17.28515625" style="17" customWidth="1"/>
    <col min="12804" max="12804" width="11" style="17" customWidth="1"/>
    <col min="12805" max="12805" width="12" style="17" bestFit="1" customWidth="1"/>
    <col min="12806" max="12806" width="14.85546875" style="17" customWidth="1"/>
    <col min="12807" max="13056" width="11.42578125" style="17"/>
    <col min="13057" max="13057" width="18.7109375" style="17" customWidth="1"/>
    <col min="13058" max="13058" width="13.7109375" style="17" bestFit="1" customWidth="1"/>
    <col min="13059" max="13059" width="17.28515625" style="17" customWidth="1"/>
    <col min="13060" max="13060" width="11" style="17" customWidth="1"/>
    <col min="13061" max="13061" width="12" style="17" bestFit="1" customWidth="1"/>
    <col min="13062" max="13062" width="14.85546875" style="17" customWidth="1"/>
    <col min="13063" max="13312" width="11.42578125" style="17"/>
    <col min="13313" max="13313" width="18.7109375" style="17" customWidth="1"/>
    <col min="13314" max="13314" width="13.7109375" style="17" bestFit="1" customWidth="1"/>
    <col min="13315" max="13315" width="17.28515625" style="17" customWidth="1"/>
    <col min="13316" max="13316" width="11" style="17" customWidth="1"/>
    <col min="13317" max="13317" width="12" style="17" bestFit="1" customWidth="1"/>
    <col min="13318" max="13318" width="14.85546875" style="17" customWidth="1"/>
    <col min="13319" max="13568" width="11.42578125" style="17"/>
    <col min="13569" max="13569" width="18.7109375" style="17" customWidth="1"/>
    <col min="13570" max="13570" width="13.7109375" style="17" bestFit="1" customWidth="1"/>
    <col min="13571" max="13571" width="17.28515625" style="17" customWidth="1"/>
    <col min="13572" max="13572" width="11" style="17" customWidth="1"/>
    <col min="13573" max="13573" width="12" style="17" bestFit="1" customWidth="1"/>
    <col min="13574" max="13574" width="14.85546875" style="17" customWidth="1"/>
    <col min="13575" max="13824" width="11.42578125" style="17"/>
    <col min="13825" max="13825" width="18.7109375" style="17" customWidth="1"/>
    <col min="13826" max="13826" width="13.7109375" style="17" bestFit="1" customWidth="1"/>
    <col min="13827" max="13827" width="17.28515625" style="17" customWidth="1"/>
    <col min="13828" max="13828" width="11" style="17" customWidth="1"/>
    <col min="13829" max="13829" width="12" style="17" bestFit="1" customWidth="1"/>
    <col min="13830" max="13830" width="14.85546875" style="17" customWidth="1"/>
    <col min="13831" max="14080" width="11.42578125" style="17"/>
    <col min="14081" max="14081" width="18.7109375" style="17" customWidth="1"/>
    <col min="14082" max="14082" width="13.7109375" style="17" bestFit="1" customWidth="1"/>
    <col min="14083" max="14083" width="17.28515625" style="17" customWidth="1"/>
    <col min="14084" max="14084" width="11" style="17" customWidth="1"/>
    <col min="14085" max="14085" width="12" style="17" bestFit="1" customWidth="1"/>
    <col min="14086" max="14086" width="14.85546875" style="17" customWidth="1"/>
    <col min="14087" max="14336" width="11.42578125" style="17"/>
    <col min="14337" max="14337" width="18.7109375" style="17" customWidth="1"/>
    <col min="14338" max="14338" width="13.7109375" style="17" bestFit="1" customWidth="1"/>
    <col min="14339" max="14339" width="17.28515625" style="17" customWidth="1"/>
    <col min="14340" max="14340" width="11" style="17" customWidth="1"/>
    <col min="14341" max="14341" width="12" style="17" bestFit="1" customWidth="1"/>
    <col min="14342" max="14342" width="14.85546875" style="17" customWidth="1"/>
    <col min="14343" max="14592" width="11.42578125" style="17"/>
    <col min="14593" max="14593" width="18.7109375" style="17" customWidth="1"/>
    <col min="14594" max="14594" width="13.7109375" style="17" bestFit="1" customWidth="1"/>
    <col min="14595" max="14595" width="17.28515625" style="17" customWidth="1"/>
    <col min="14596" max="14596" width="11" style="17" customWidth="1"/>
    <col min="14597" max="14597" width="12" style="17" bestFit="1" customWidth="1"/>
    <col min="14598" max="14598" width="14.85546875" style="17" customWidth="1"/>
    <col min="14599" max="14848" width="11.42578125" style="17"/>
    <col min="14849" max="14849" width="18.7109375" style="17" customWidth="1"/>
    <col min="14850" max="14850" width="13.7109375" style="17" bestFit="1" customWidth="1"/>
    <col min="14851" max="14851" width="17.28515625" style="17" customWidth="1"/>
    <col min="14852" max="14852" width="11" style="17" customWidth="1"/>
    <col min="14853" max="14853" width="12" style="17" bestFit="1" customWidth="1"/>
    <col min="14854" max="14854" width="14.85546875" style="17" customWidth="1"/>
    <col min="14855" max="15104" width="11.42578125" style="17"/>
    <col min="15105" max="15105" width="18.7109375" style="17" customWidth="1"/>
    <col min="15106" max="15106" width="13.7109375" style="17" bestFit="1" customWidth="1"/>
    <col min="15107" max="15107" width="17.28515625" style="17" customWidth="1"/>
    <col min="15108" max="15108" width="11" style="17" customWidth="1"/>
    <col min="15109" max="15109" width="12" style="17" bestFit="1" customWidth="1"/>
    <col min="15110" max="15110" width="14.85546875" style="17" customWidth="1"/>
    <col min="15111" max="15360" width="11.42578125" style="17"/>
    <col min="15361" max="15361" width="18.7109375" style="17" customWidth="1"/>
    <col min="15362" max="15362" width="13.7109375" style="17" bestFit="1" customWidth="1"/>
    <col min="15363" max="15363" width="17.28515625" style="17" customWidth="1"/>
    <col min="15364" max="15364" width="11" style="17" customWidth="1"/>
    <col min="15365" max="15365" width="12" style="17" bestFit="1" customWidth="1"/>
    <col min="15366" max="15366" width="14.85546875" style="17" customWidth="1"/>
    <col min="15367" max="15616" width="11.42578125" style="17"/>
    <col min="15617" max="15617" width="18.7109375" style="17" customWidth="1"/>
    <col min="15618" max="15618" width="13.7109375" style="17" bestFit="1" customWidth="1"/>
    <col min="15619" max="15619" width="17.28515625" style="17" customWidth="1"/>
    <col min="15620" max="15620" width="11" style="17" customWidth="1"/>
    <col min="15621" max="15621" width="12" style="17" bestFit="1" customWidth="1"/>
    <col min="15622" max="15622" width="14.85546875" style="17" customWidth="1"/>
    <col min="15623" max="15872" width="11.42578125" style="17"/>
    <col min="15873" max="15873" width="18.7109375" style="17" customWidth="1"/>
    <col min="15874" max="15874" width="13.7109375" style="17" bestFit="1" customWidth="1"/>
    <col min="15875" max="15875" width="17.28515625" style="17" customWidth="1"/>
    <col min="15876" max="15876" width="11" style="17" customWidth="1"/>
    <col min="15877" max="15877" width="12" style="17" bestFit="1" customWidth="1"/>
    <col min="15878" max="15878" width="14.85546875" style="17" customWidth="1"/>
    <col min="15879" max="16128" width="11.42578125" style="17"/>
    <col min="16129" max="16129" width="18.7109375" style="17" customWidth="1"/>
    <col min="16130" max="16130" width="13.7109375" style="17" bestFit="1" customWidth="1"/>
    <col min="16131" max="16131" width="17.28515625" style="17" customWidth="1"/>
    <col min="16132" max="16132" width="11" style="17" customWidth="1"/>
    <col min="16133" max="16133" width="12" style="17" bestFit="1" customWidth="1"/>
    <col min="16134" max="16134" width="14.85546875" style="17" customWidth="1"/>
    <col min="16135" max="16384" width="11.42578125" style="17"/>
  </cols>
  <sheetData>
    <row r="2" spans="1:11" x14ac:dyDescent="0.2">
      <c r="A2" s="17" t="s">
        <v>70</v>
      </c>
      <c r="B2" s="63">
        <f>'pooled normalised values'!B75</f>
        <v>6.2286370174278488E-2</v>
      </c>
      <c r="D2" s="17" t="s">
        <v>9</v>
      </c>
      <c r="E2" s="18"/>
      <c r="F2" s="19" t="str">
        <f>'pooled normalised values'!J74</f>
        <v>Testosterone 11µg/L</v>
      </c>
      <c r="G2" s="18"/>
      <c r="H2" s="20"/>
      <c r="I2" s="19" t="str">
        <f>'pooled normalised values'!R74</f>
        <v>Testosterone-3,7µg/L + Testostérone</v>
      </c>
      <c r="J2" s="20"/>
      <c r="K2" s="17" t="s">
        <v>9</v>
      </c>
    </row>
    <row r="3" spans="1:11" x14ac:dyDescent="0.2">
      <c r="A3" s="17" t="s">
        <v>71</v>
      </c>
      <c r="B3" s="63">
        <f>'summary results'!E6</f>
        <v>0</v>
      </c>
      <c r="D3" s="21" t="s">
        <v>10</v>
      </c>
      <c r="E3" s="22"/>
      <c r="F3" s="19">
        <f>HLOOKUP(F2,'pooled normalised values'!B74:V83,2,FALSE)</f>
        <v>7.8562709317890861E-2</v>
      </c>
      <c r="G3" s="22"/>
      <c r="H3" s="20"/>
      <c r="I3" s="19">
        <f>HLOOKUP(I2,'pooled normalised values'!N74:AL83,2,FALSE)</f>
        <v>1.0041967810406445</v>
      </c>
      <c r="J3" s="20"/>
      <c r="K3" s="21" t="s">
        <v>10</v>
      </c>
    </row>
    <row r="4" spans="1:11" x14ac:dyDescent="0.2">
      <c r="A4" s="17" t="s">
        <v>72</v>
      </c>
      <c r="B4" s="63">
        <f>'pooled normalised values'!O75</f>
        <v>1.0000000000000002</v>
      </c>
      <c r="D4" s="21" t="s">
        <v>2</v>
      </c>
      <c r="E4" s="22"/>
      <c r="F4" s="19">
        <f>HLOOKUP(F2,'pooled normalised values'!B74:V83,3,FALSE)</f>
        <v>1.5409889097971408E-2</v>
      </c>
      <c r="G4" s="22"/>
      <c r="H4" s="20"/>
      <c r="I4" s="19">
        <f>HLOOKUP(I2,'pooled normalised values'!N74:AL83,3,FALSE)</f>
        <v>0.14094085537935699</v>
      </c>
      <c r="J4" s="20"/>
      <c r="K4" s="21" t="s">
        <v>2</v>
      </c>
    </row>
    <row r="5" spans="1:11" x14ac:dyDescent="0.2">
      <c r="A5" s="17" t="s">
        <v>73</v>
      </c>
      <c r="B5" s="63">
        <f>'pooled normalised values'!P75</f>
        <v>1.659070767091235</v>
      </c>
      <c r="D5" s="23" t="s">
        <v>11</v>
      </c>
      <c r="E5" s="22"/>
      <c r="F5" s="19" t="str">
        <f>HLOOKUP(F2,'pooled normalised values'!B74:V83,10,FALSE)</f>
        <v>NS</v>
      </c>
      <c r="G5" s="22"/>
      <c r="H5" s="20"/>
      <c r="I5" s="19" t="str">
        <f>HLOOKUP(I2,'pooled normalised values'!N74:AL83,10,FALSE)</f>
        <v>NS</v>
      </c>
      <c r="J5" s="20"/>
      <c r="K5" s="23" t="s">
        <v>11</v>
      </c>
    </row>
    <row r="6" spans="1:11" x14ac:dyDescent="0.2">
      <c r="A6" s="17" t="s">
        <v>74</v>
      </c>
      <c r="B6" s="63">
        <f>'pooled normalised values'!Q75</f>
        <v>0.12880738499348809</v>
      </c>
      <c r="D6" s="21" t="s">
        <v>12</v>
      </c>
      <c r="E6" s="24">
        <f>$B$2</f>
        <v>6.2286370174278488E-2</v>
      </c>
      <c r="F6" s="24">
        <f>$B$2</f>
        <v>6.2286370174278488E-2</v>
      </c>
      <c r="G6" s="24">
        <f>$B$2</f>
        <v>6.2286370174278488E-2</v>
      </c>
      <c r="H6" s="25"/>
      <c r="I6" s="25"/>
      <c r="J6" s="25"/>
      <c r="K6" s="21" t="s">
        <v>12</v>
      </c>
    </row>
    <row r="7" spans="1:11" x14ac:dyDescent="0.2">
      <c r="B7" s="26"/>
      <c r="D7" s="26" t="s">
        <v>13</v>
      </c>
      <c r="E7" s="24"/>
      <c r="F7" s="24"/>
      <c r="G7" s="27"/>
      <c r="H7" s="25">
        <f t="shared" ref="H7:J7" si="0">$B$4</f>
        <v>1.0000000000000002</v>
      </c>
      <c r="I7" s="25">
        <f t="shared" si="0"/>
        <v>1.0000000000000002</v>
      </c>
      <c r="J7" s="25">
        <f t="shared" si="0"/>
        <v>1.0000000000000002</v>
      </c>
      <c r="K7" s="26" t="s">
        <v>13</v>
      </c>
    </row>
    <row r="8" spans="1:11" x14ac:dyDescent="0.2">
      <c r="D8" s="28" t="s">
        <v>14</v>
      </c>
      <c r="E8" s="24">
        <v>0</v>
      </c>
      <c r="F8" s="24">
        <v>0</v>
      </c>
      <c r="G8" s="27">
        <v>0</v>
      </c>
      <c r="H8" s="25">
        <f>$B$6</f>
        <v>0.12880738499348809</v>
      </c>
      <c r="I8" s="25">
        <f t="shared" ref="I8:J8" si="1">$B$6</f>
        <v>0.12880738499348809</v>
      </c>
      <c r="J8" s="25">
        <f t="shared" si="1"/>
        <v>0.12880738499348809</v>
      </c>
      <c r="K8" s="28" t="s">
        <v>14</v>
      </c>
    </row>
    <row r="9" spans="1:11" x14ac:dyDescent="0.2">
      <c r="D9" s="28" t="s">
        <v>15</v>
      </c>
      <c r="E9" s="29">
        <f>$B$3-E8</f>
        <v>0</v>
      </c>
      <c r="F9" s="29">
        <f>$B$3-F8</f>
        <v>0</v>
      </c>
      <c r="G9" s="29">
        <f>$B$3-G8</f>
        <v>0</v>
      </c>
      <c r="H9" s="25">
        <f>$B$5-H8</f>
        <v>1.5302633820977469</v>
      </c>
      <c r="I9" s="25">
        <f>$B$5-I8</f>
        <v>1.5302633820977469</v>
      </c>
      <c r="J9" s="25">
        <f>$B$5-J8</f>
        <v>1.5302633820977469</v>
      </c>
      <c r="K9" s="28" t="s">
        <v>15</v>
      </c>
    </row>
    <row r="10" spans="1:11" x14ac:dyDescent="0.2">
      <c r="D10" s="28" t="s">
        <v>16</v>
      </c>
      <c r="E10" s="27">
        <f t="shared" ref="E10:J10" si="2">2.5-E9</f>
        <v>2.5</v>
      </c>
      <c r="F10" s="27">
        <f t="shared" si="2"/>
        <v>2.5</v>
      </c>
      <c r="G10" s="27">
        <f t="shared" si="2"/>
        <v>2.5</v>
      </c>
      <c r="H10" s="25">
        <f t="shared" si="2"/>
        <v>0.96973661790225307</v>
      </c>
      <c r="I10" s="25">
        <f t="shared" si="2"/>
        <v>0.96973661790225307</v>
      </c>
      <c r="J10" s="25">
        <f t="shared" si="2"/>
        <v>0.96973661790225307</v>
      </c>
      <c r="K10" s="28" t="s">
        <v>16</v>
      </c>
    </row>
    <row r="17" spans="2:7" x14ac:dyDescent="0.2">
      <c r="C17" s="23"/>
      <c r="D17" s="23"/>
    </row>
    <row r="18" spans="2:7" x14ac:dyDescent="0.2">
      <c r="B18" s="30"/>
    </row>
    <row r="19" spans="2:7" x14ac:dyDescent="0.2">
      <c r="B19" s="30"/>
    </row>
    <row r="20" spans="2:7" x14ac:dyDescent="0.2">
      <c r="B20" s="31"/>
    </row>
    <row r="21" spans="2:7" x14ac:dyDescent="0.2">
      <c r="B21" s="30"/>
    </row>
    <row r="22" spans="2:7" x14ac:dyDescent="0.2">
      <c r="B22" s="30"/>
      <c r="G22" s="23"/>
    </row>
    <row r="23" spans="2:7" x14ac:dyDescent="0.2">
      <c r="B23" s="31"/>
      <c r="G23" s="23"/>
    </row>
    <row r="24" spans="2:7" x14ac:dyDescent="0.2">
      <c r="G24" s="23"/>
    </row>
  </sheetData>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000-000000000000}">
          <x14:formula1>
            <xm:f>'pooled normalised values'!$J$74:$M$74</xm:f>
          </x14:formula1>
          <xm:sqref>F2</xm:sqref>
        </x14:dataValidation>
        <x14:dataValidation type="list" allowBlank="1" showInputMessage="1" showErrorMessage="1" xr:uid="{00000000-0002-0000-1000-000001000000}">
          <x14:formula1>
            <xm:f>'pooled normalised values'!$R$74:$V$74</xm:f>
          </x14:formula1>
          <xm:sqref>I2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15"/>
  <sheetViews>
    <sheetView showGridLines="0" topLeftCell="N1" zoomScale="85" zoomScaleNormal="85" workbookViewId="0">
      <selection activeCell="U3" sqref="U3"/>
    </sheetView>
  </sheetViews>
  <sheetFormatPr baseColWidth="10" defaultRowHeight="15" x14ac:dyDescent="0.25"/>
  <cols>
    <col min="1" max="1" width="11.42578125" style="1"/>
    <col min="3" max="3" width="15.28515625" customWidth="1"/>
    <col min="4" max="4" width="13.7109375" customWidth="1"/>
    <col min="5" max="5" width="18.28515625" customWidth="1"/>
    <col min="6" max="6" width="14" customWidth="1"/>
    <col min="7" max="7" width="14.42578125" customWidth="1"/>
    <col min="8" max="8" width="14.28515625" customWidth="1"/>
    <col min="9" max="9" width="17" customWidth="1"/>
    <col min="10" max="10" width="12.5703125" customWidth="1"/>
    <col min="11" max="11" width="13.140625" customWidth="1"/>
    <col min="12" max="12" width="15.7109375" customWidth="1"/>
    <col min="13" max="14" width="16.140625" customWidth="1"/>
    <col min="17" max="23" width="9.7109375" customWidth="1"/>
  </cols>
  <sheetData>
    <row r="1" spans="1:23" ht="45.75" thickBot="1" x14ac:dyDescent="0.3">
      <c r="A1" s="146" t="s">
        <v>102</v>
      </c>
      <c r="B1" s="146" t="s">
        <v>103</v>
      </c>
      <c r="C1" s="143" t="s">
        <v>86</v>
      </c>
      <c r="D1" s="143" t="s">
        <v>87</v>
      </c>
      <c r="E1" s="144" t="s">
        <v>88</v>
      </c>
      <c r="F1" s="144" t="s">
        <v>89</v>
      </c>
      <c r="G1" s="143" t="s">
        <v>90</v>
      </c>
      <c r="H1" s="143" t="s">
        <v>91</v>
      </c>
      <c r="I1" s="143" t="s">
        <v>92</v>
      </c>
      <c r="J1" s="143" t="s">
        <v>93</v>
      </c>
      <c r="K1" s="143" t="s">
        <v>94</v>
      </c>
      <c r="L1" s="143" t="s">
        <v>95</v>
      </c>
      <c r="M1" s="143" t="s">
        <v>96</v>
      </c>
      <c r="N1" s="143" t="s">
        <v>97</v>
      </c>
      <c r="Q1" s="234" t="s">
        <v>99</v>
      </c>
      <c r="R1" s="234"/>
      <c r="S1" s="234"/>
      <c r="U1" s="234" t="s">
        <v>98</v>
      </c>
      <c r="V1" s="234"/>
      <c r="W1" s="234"/>
    </row>
    <row r="2" spans="1:23" x14ac:dyDescent="0.25">
      <c r="A2" s="1" t="str">
        <f>Q6</f>
        <v xml:space="preserve"> </v>
      </c>
      <c r="B2" t="str">
        <f t="shared" ref="B2:B3" si="0">U6</f>
        <v>0-00 + Testostérone</v>
      </c>
      <c r="D2" t="str">
        <f>CONCATENATE(VLOOKUP(Tableau3[[#This Row],[Nom ND]],liste_groupe[],3,FALSE),VLOOKUP(Tableau3[[#This Row],[Nom ND]],liste_groupe[],4,FALSE))</f>
        <v/>
      </c>
      <c r="E2" t="e">
        <f>HLOOKUP(Tableau3[[#This Row],[Nom ND]],'pooled normalised values'!$B$74:$V$83,4,FALSE)</f>
        <v>#N/A</v>
      </c>
      <c r="F2" s="1" t="e">
        <f>HLOOKUP(Tableau3[[#This Row],[Nom ND]],'pooled normalised values'!$B$74:$V$83,8,FALSE)</f>
        <v>#N/A</v>
      </c>
      <c r="G2" t="e">
        <f>VLOOKUP(Tableau3[[#This Row],[Nom ND]],'summary results'!$A$6:$N$26,9,FALSE)</f>
        <v>#N/A</v>
      </c>
      <c r="H2" s="1" t="e">
        <f>VLOOKUP(Tableau3[[#This Row],[Nom ND]],'summary results'!$A$6:$N$26,11,FALSE)</f>
        <v>#N/A</v>
      </c>
      <c r="I2" s="1" t="e">
        <f>HLOOKUP(Tableau3[[#This Row],[Nom D]],'pooled normalised values'!$B$74:$V$83,4,FALSE)</f>
        <v>#N/A</v>
      </c>
      <c r="J2" s="1" t="e">
        <f>HLOOKUP(Tableau3[[#This Row],[Nom D]],'pooled normalised values'!$B$74:$V$83,8,FALSE)</f>
        <v>#N/A</v>
      </c>
      <c r="K2" s="1" t="e">
        <f>VLOOKUP(Tableau3[[#This Row],[Nom D]],'summary results'!$A$29:$N$51,9,FALSE)</f>
        <v>#N/A</v>
      </c>
      <c r="L2" s="1" t="e">
        <f>VLOOKUP(Tableau3[[#This Row],[Nom D]],'summary results'!$A$29:$N$51,11,FALSE)</f>
        <v>#N/A</v>
      </c>
      <c r="M2" t="e">
        <f>'summary results'!$G$30</f>
        <v>#NUM!</v>
      </c>
      <c r="N2" t="e">
        <f>'summary results'!$G$31</f>
        <v>#NUM!</v>
      </c>
      <c r="Q2" s="118" t="s">
        <v>7</v>
      </c>
      <c r="R2" s="1" t="s">
        <v>130</v>
      </c>
      <c r="U2" s="118" t="s">
        <v>7</v>
      </c>
      <c r="V2" s="1" t="s">
        <v>130</v>
      </c>
    </row>
    <row r="3" spans="1:23" x14ac:dyDescent="0.25">
      <c r="A3" s="1">
        <f>Q7</f>
        <v>0</v>
      </c>
      <c r="B3">
        <f t="shared" si="0"/>
        <v>0</v>
      </c>
      <c r="D3" t="e">
        <f>CONCATENATE(VLOOKUP(Tableau3[[#This Row],[Nom ND]],liste_groupe[],3,FALSE),VLOOKUP(Tableau3[[#This Row],[Nom ND]],liste_groupe[],4,FALSE))</f>
        <v>#N/A</v>
      </c>
      <c r="E3" t="e">
        <f>HLOOKUP(Tableau3[[#This Row],[Nom ND]],'pooled normalised values'!$B$74:$V$83,4,FALSE)</f>
        <v>#N/A</v>
      </c>
      <c r="F3" t="e">
        <f>HLOOKUP(Tableau3[[#This Row],[Nom ND]],'pooled normalised values'!$B$74:$V$83,8,FALSE)</f>
        <v>#N/A</v>
      </c>
      <c r="G3" t="e">
        <f>VLOOKUP(Tableau3[[#This Row],[Nom ND]],'summary results'!$A$6:$N$26,9,FALSE)</f>
        <v>#N/A</v>
      </c>
      <c r="H3" t="e">
        <f>VLOOKUP(Tableau3[[#This Row],[Nom ND]],'summary results'!$A$6:$N$26,11,FALSE)</f>
        <v>#N/A</v>
      </c>
      <c r="I3" t="e">
        <f>HLOOKUP(Tableau3[[#This Row],[Nom D]],'pooled normalised values'!$B$74:$V$83,4,FALSE)</f>
        <v>#N/A</v>
      </c>
      <c r="J3" t="e">
        <f>HLOOKUP(Tableau3[[#This Row],[Nom D]],'pooled normalised values'!$B$74:$V$83,8,FALSE)</f>
        <v>#N/A</v>
      </c>
      <c r="K3" t="e">
        <f>VLOOKUP(Tableau3[[#This Row],[Nom D]],'summary results'!$A$29:$N$51,9,FALSE)</f>
        <v>#N/A</v>
      </c>
      <c r="L3" t="e">
        <f>VLOOKUP(Tableau3[[#This Row],[Nom D]],'summary results'!$A$29:$N$51,11,FALSE)</f>
        <v>#N/A</v>
      </c>
      <c r="M3" s="1" t="e">
        <f>'summary results'!$G$30</f>
        <v>#NUM!</v>
      </c>
      <c r="N3" s="1" t="e">
        <f>'summary results'!$G$31</f>
        <v>#NUM!</v>
      </c>
      <c r="Q3" s="118" t="s">
        <v>78</v>
      </c>
      <c r="R3" s="1" t="s">
        <v>106</v>
      </c>
      <c r="U3" s="118" t="s">
        <v>78</v>
      </c>
      <c r="V3" s="1" t="s">
        <v>50</v>
      </c>
    </row>
    <row r="4" spans="1:23" x14ac:dyDescent="0.25">
      <c r="A4" s="1">
        <f t="shared" ref="A4:A15" si="1">Q8</f>
        <v>0</v>
      </c>
      <c r="B4" s="44">
        <f t="shared" ref="B4:B15" si="2">U8</f>
        <v>0</v>
      </c>
      <c r="D4" s="44" t="e">
        <f>CONCATENATE(VLOOKUP(Tableau3[[#This Row],[Nom ND]],liste_groupe[],3,FALSE),VLOOKUP(Tableau3[[#This Row],[Nom ND]],liste_groupe[],4,FALSE))</f>
        <v>#N/A</v>
      </c>
      <c r="E4" s="44" t="e">
        <f>HLOOKUP(Tableau3[[#This Row],[Nom ND]],'pooled normalised values'!$B$74:$V$83,4,FALSE)</f>
        <v>#N/A</v>
      </c>
      <c r="F4" s="44" t="e">
        <f>HLOOKUP(Tableau3[[#This Row],[Nom ND]],'pooled normalised values'!$B$74:$V$83,8,FALSE)</f>
        <v>#N/A</v>
      </c>
      <c r="G4" s="44" t="e">
        <f>VLOOKUP(Tableau3[[#This Row],[Nom ND]],'summary results'!$A$6:$N$26,9,FALSE)</f>
        <v>#N/A</v>
      </c>
      <c r="H4" s="44" t="e">
        <f>VLOOKUP(Tableau3[[#This Row],[Nom ND]],'summary results'!$A$6:$N$26,11,FALSE)</f>
        <v>#N/A</v>
      </c>
      <c r="I4" s="44" t="e">
        <f>HLOOKUP(Tableau3[[#This Row],[Nom D]],'pooled normalised values'!$B$74:$V$83,4,FALSE)</f>
        <v>#N/A</v>
      </c>
      <c r="J4" s="44" t="e">
        <f>HLOOKUP(Tableau3[[#This Row],[Nom D]],'pooled normalised values'!$B$74:$V$83,8,FALSE)</f>
        <v>#N/A</v>
      </c>
      <c r="K4" s="44" t="e">
        <f>VLOOKUP(Tableau3[[#This Row],[Nom D]],'summary results'!$A$29:$N$51,9,FALSE)</f>
        <v>#N/A</v>
      </c>
      <c r="L4" s="44" t="e">
        <f>VLOOKUP(Tableau3[[#This Row],[Nom D]],'summary results'!$A$29:$N$51,11,FALSE)</f>
        <v>#N/A</v>
      </c>
      <c r="M4" t="e">
        <f>'summary results'!$G$30</f>
        <v>#NUM!</v>
      </c>
      <c r="N4" t="e">
        <f>'summary results'!$G$31</f>
        <v>#NUM!</v>
      </c>
    </row>
    <row r="5" spans="1:23" x14ac:dyDescent="0.25">
      <c r="A5" s="1">
        <f t="shared" si="1"/>
        <v>0</v>
      </c>
      <c r="B5" s="44">
        <f t="shared" si="2"/>
        <v>0</v>
      </c>
      <c r="D5" s="44" t="e">
        <f>CONCATENATE(VLOOKUP(Tableau3[[#This Row],[Nom ND]],liste_groupe[],3,FALSE),VLOOKUP(Tableau3[[#This Row],[Nom ND]],liste_groupe[],4,FALSE))</f>
        <v>#N/A</v>
      </c>
      <c r="E5" s="44" t="e">
        <f>HLOOKUP(Tableau3[[#This Row],[Nom ND]],'pooled normalised values'!$B$74:$V$83,4,FALSE)</f>
        <v>#N/A</v>
      </c>
      <c r="F5" s="44" t="e">
        <f>HLOOKUP(Tableau3[[#This Row],[Nom ND]],'pooled normalised values'!$B$74:$V$83,8,FALSE)</f>
        <v>#N/A</v>
      </c>
      <c r="G5" s="44" t="e">
        <f>VLOOKUP(Tableau3[[#This Row],[Nom ND]],'summary results'!$A$6:$N$26,9,FALSE)</f>
        <v>#N/A</v>
      </c>
      <c r="H5" s="44" t="e">
        <f>VLOOKUP(Tableau3[[#This Row],[Nom ND]],'summary results'!$A$6:$N$26,11,FALSE)</f>
        <v>#N/A</v>
      </c>
      <c r="I5" s="44" t="e">
        <f>HLOOKUP(Tableau3[[#This Row],[Nom D]],'pooled normalised values'!$B$74:$V$83,4,FALSE)</f>
        <v>#N/A</v>
      </c>
      <c r="J5" s="44" t="e">
        <f>HLOOKUP(Tableau3[[#This Row],[Nom D]],'pooled normalised values'!$B$74:$V$83,8,FALSE)</f>
        <v>#N/A</v>
      </c>
      <c r="K5" s="44" t="e">
        <f>VLOOKUP(Tableau3[[#This Row],[Nom D]],'summary results'!$A$29:$N$51,9,FALSE)</f>
        <v>#N/A</v>
      </c>
      <c r="L5" s="44" t="e">
        <f>VLOOKUP(Tableau3[[#This Row],[Nom D]],'summary results'!$A$29:$N$51,11,FALSE)</f>
        <v>#N/A</v>
      </c>
      <c r="M5" t="e">
        <f>'summary results'!$G$30</f>
        <v>#NUM!</v>
      </c>
      <c r="N5" t="e">
        <f>'summary results'!$G$31</f>
        <v>#NUM!</v>
      </c>
      <c r="Q5" s="118" t="s">
        <v>100</v>
      </c>
      <c r="U5" s="118" t="s">
        <v>100</v>
      </c>
    </row>
    <row r="6" spans="1:23" x14ac:dyDescent="0.25">
      <c r="A6" s="1">
        <f t="shared" si="1"/>
        <v>0</v>
      </c>
      <c r="B6" s="44">
        <f t="shared" si="2"/>
        <v>0</v>
      </c>
      <c r="D6" s="44" t="e">
        <f>CONCATENATE(VLOOKUP(Tableau3[[#This Row],[Nom ND]],liste_groupe[],3,FALSE),VLOOKUP(Tableau3[[#This Row],[Nom ND]],liste_groupe[],4,FALSE))</f>
        <v>#N/A</v>
      </c>
      <c r="E6" s="44" t="e">
        <f>HLOOKUP(Tableau3[[#This Row],[Nom ND]],'pooled normalised values'!$B$74:$V$83,4,FALSE)</f>
        <v>#N/A</v>
      </c>
      <c r="F6" s="44" t="e">
        <f>HLOOKUP(Tableau3[[#This Row],[Nom ND]],'pooled normalised values'!$B$74:$V$83,8,FALSE)</f>
        <v>#N/A</v>
      </c>
      <c r="G6" s="44" t="e">
        <f>VLOOKUP(Tableau3[[#This Row],[Nom ND]],'summary results'!$A$6:$N$26,9,FALSE)</f>
        <v>#N/A</v>
      </c>
      <c r="H6" s="44" t="e">
        <f>VLOOKUP(Tableau3[[#This Row],[Nom ND]],'summary results'!$A$6:$N$26,11,FALSE)</f>
        <v>#N/A</v>
      </c>
      <c r="I6" s="44" t="e">
        <f>HLOOKUP(Tableau3[[#This Row],[Nom D]],'pooled normalised values'!$B$74:$V$83,4,FALSE)</f>
        <v>#N/A</v>
      </c>
      <c r="J6" s="44" t="e">
        <f>HLOOKUP(Tableau3[[#This Row],[Nom D]],'pooled normalised values'!$B$74:$V$83,8,FALSE)</f>
        <v>#N/A</v>
      </c>
      <c r="K6" s="44" t="e">
        <f>VLOOKUP(Tableau3[[#This Row],[Nom D]],'summary results'!$A$29:$N$51,9,FALSE)</f>
        <v>#N/A</v>
      </c>
      <c r="L6" s="44" t="e">
        <f>VLOOKUP(Tableau3[[#This Row],[Nom D]],'summary results'!$A$29:$N$51,11,FALSE)</f>
        <v>#N/A</v>
      </c>
      <c r="M6" t="e">
        <f>'summary results'!$G$30</f>
        <v>#NUM!</v>
      </c>
      <c r="N6" t="e">
        <f>'summary results'!$G$31</f>
        <v>#NUM!</v>
      </c>
      <c r="Q6" s="145" t="s">
        <v>112</v>
      </c>
      <c r="U6" s="145" t="s">
        <v>101</v>
      </c>
    </row>
    <row r="7" spans="1:23" x14ac:dyDescent="0.25">
      <c r="A7" s="1">
        <f t="shared" si="1"/>
        <v>0</v>
      </c>
      <c r="B7" s="44">
        <f t="shared" si="2"/>
        <v>0</v>
      </c>
      <c r="D7" s="44" t="e">
        <f>CONCATENATE(VLOOKUP(Tableau3[[#This Row],[Nom ND]],liste_groupe[],3,FALSE),VLOOKUP(Tableau3[[#This Row],[Nom ND]],liste_groupe[],4,FALSE))</f>
        <v>#N/A</v>
      </c>
      <c r="E7" s="44" t="e">
        <f>HLOOKUP(Tableau3[[#This Row],[Nom ND]],'pooled normalised values'!$B$74:$V$83,4,FALSE)</f>
        <v>#N/A</v>
      </c>
      <c r="F7" s="44" t="e">
        <f>HLOOKUP(Tableau3[[#This Row],[Nom ND]],'pooled normalised values'!$B$74:$V$83,8,FALSE)</f>
        <v>#N/A</v>
      </c>
      <c r="G7" s="44" t="e">
        <f>VLOOKUP(Tableau3[[#This Row],[Nom ND]],'summary results'!$A$6:$N$26,9,FALSE)</f>
        <v>#N/A</v>
      </c>
      <c r="H7" s="44" t="e">
        <f>VLOOKUP(Tableau3[[#This Row],[Nom ND]],'summary results'!$A$6:$N$26,11,FALSE)</f>
        <v>#N/A</v>
      </c>
      <c r="I7" s="44" t="e">
        <f>HLOOKUP(Tableau3[[#This Row],[Nom D]],'pooled normalised values'!$B$74:$V$83,4,FALSE)</f>
        <v>#N/A</v>
      </c>
      <c r="J7" s="44" t="e">
        <f>HLOOKUP(Tableau3[[#This Row],[Nom D]],'pooled normalised values'!$B$74:$V$83,8,FALSE)</f>
        <v>#N/A</v>
      </c>
      <c r="K7" s="44" t="e">
        <f>VLOOKUP(Tableau3[[#This Row],[Nom D]],'summary results'!$A$29:$N$51,9,FALSE)</f>
        <v>#N/A</v>
      </c>
      <c r="L7" s="44" t="e">
        <f>VLOOKUP(Tableau3[[#This Row],[Nom D]],'summary results'!$A$29:$N$51,11,FALSE)</f>
        <v>#N/A</v>
      </c>
      <c r="M7" t="e">
        <f>'summary results'!$G$30</f>
        <v>#NUM!</v>
      </c>
      <c r="N7" t="e">
        <f>'summary results'!$G$31</f>
        <v>#NUM!</v>
      </c>
    </row>
    <row r="8" spans="1:23" x14ac:dyDescent="0.25">
      <c r="A8" s="1">
        <f t="shared" si="1"/>
        <v>0</v>
      </c>
      <c r="B8" s="44">
        <f t="shared" si="2"/>
        <v>0</v>
      </c>
      <c r="D8" s="44" t="e">
        <f>CONCATENATE(VLOOKUP(Tableau3[[#This Row],[Nom ND]],liste_groupe[],3,FALSE),VLOOKUP(Tableau3[[#This Row],[Nom ND]],liste_groupe[],4,FALSE))</f>
        <v>#N/A</v>
      </c>
      <c r="E8" s="147" t="e">
        <f>HLOOKUP(Tableau3[[#This Row],[Nom ND]],'pooled normalised values'!$B$74:$V$83,4,FALSE)</f>
        <v>#N/A</v>
      </c>
      <c r="F8" s="44" t="e">
        <f>HLOOKUP(Tableau3[[#This Row],[Nom ND]],'pooled normalised values'!$B$74:$V$83,8,FALSE)</f>
        <v>#N/A</v>
      </c>
      <c r="G8" s="44" t="e">
        <f>VLOOKUP(Tableau3[[#This Row],[Nom ND]],'summary results'!$A$6:$N$26,9,FALSE)</f>
        <v>#N/A</v>
      </c>
      <c r="H8" s="44" t="e">
        <f>VLOOKUP(Tableau3[[#This Row],[Nom ND]],'summary results'!$A$6:$N$26,11,FALSE)</f>
        <v>#N/A</v>
      </c>
      <c r="I8" s="44" t="e">
        <f>HLOOKUP(Tableau3[[#This Row],[Nom D]],'pooled normalised values'!$B$74:$V$83,4,FALSE)</f>
        <v>#N/A</v>
      </c>
      <c r="J8" s="44" t="e">
        <f>HLOOKUP(Tableau3[[#This Row],[Nom D]],'pooled normalised values'!$B$74:$V$83,8,FALSE)</f>
        <v>#N/A</v>
      </c>
      <c r="K8" s="44" t="e">
        <f>VLOOKUP(Tableau3[[#This Row],[Nom D]],'summary results'!$A$29:$N$51,9,FALSE)</f>
        <v>#N/A</v>
      </c>
      <c r="L8" s="44" t="e">
        <f>VLOOKUP(Tableau3[[#This Row],[Nom D]],'summary results'!$A$29:$N$51,11,FALSE)</f>
        <v>#N/A</v>
      </c>
      <c r="M8" t="e">
        <f>'summary results'!$G$30</f>
        <v>#NUM!</v>
      </c>
      <c r="N8" t="e">
        <f>'summary results'!$G$31</f>
        <v>#NUM!</v>
      </c>
    </row>
    <row r="9" spans="1:23" x14ac:dyDescent="0.25">
      <c r="A9" s="1">
        <f t="shared" si="1"/>
        <v>0</v>
      </c>
      <c r="B9" s="44">
        <f t="shared" si="2"/>
        <v>0</v>
      </c>
      <c r="D9" s="44" t="e">
        <f>CONCATENATE(VLOOKUP(Tableau3[[#This Row],[Nom ND]],liste_groupe[],3,FALSE),VLOOKUP(Tableau3[[#This Row],[Nom ND]],liste_groupe[],4,FALSE))</f>
        <v>#N/A</v>
      </c>
      <c r="E9" s="44" t="e">
        <f>HLOOKUP(Tableau3[[#This Row],[Nom ND]],'pooled normalised values'!$B$74:$V$83,4,FALSE)</f>
        <v>#N/A</v>
      </c>
      <c r="F9" s="44" t="e">
        <f>HLOOKUP(Tableau3[[#This Row],[Nom ND]],'pooled normalised values'!$B$74:$V$83,8,FALSE)</f>
        <v>#N/A</v>
      </c>
      <c r="G9" s="44" t="e">
        <f>VLOOKUP(Tableau3[[#This Row],[Nom ND]],'summary results'!$A$6:$N$26,9,FALSE)</f>
        <v>#N/A</v>
      </c>
      <c r="H9" s="44" t="e">
        <f>VLOOKUP(Tableau3[[#This Row],[Nom ND]],'summary results'!$A$6:$N$26,11,FALSE)</f>
        <v>#N/A</v>
      </c>
      <c r="I9" s="44" t="e">
        <f>HLOOKUP(Tableau3[[#This Row],[Nom D]],'pooled normalised values'!$B$74:$V$83,4,FALSE)</f>
        <v>#N/A</v>
      </c>
      <c r="J9" s="44" t="e">
        <f>HLOOKUP(Tableau3[[#This Row],[Nom D]],'pooled normalised values'!$B$74:$V$83,8,FALSE)</f>
        <v>#N/A</v>
      </c>
      <c r="K9" s="44" t="e">
        <f>VLOOKUP(Tableau3[[#This Row],[Nom D]],'summary results'!$A$29:$N$51,9,FALSE)</f>
        <v>#N/A</v>
      </c>
      <c r="L9" s="44" t="e">
        <f>VLOOKUP(Tableau3[[#This Row],[Nom D]],'summary results'!$A$29:$N$51,11,FALSE)</f>
        <v>#N/A</v>
      </c>
      <c r="M9" t="e">
        <f>'summary results'!$G$30</f>
        <v>#NUM!</v>
      </c>
      <c r="N9" t="e">
        <f>'summary results'!$G$31</f>
        <v>#NUM!</v>
      </c>
    </row>
    <row r="10" spans="1:23" x14ac:dyDescent="0.25">
      <c r="A10" s="1">
        <f t="shared" si="1"/>
        <v>0</v>
      </c>
      <c r="B10" s="44">
        <f t="shared" si="2"/>
        <v>0</v>
      </c>
      <c r="D10" s="44" t="e">
        <f>CONCATENATE(VLOOKUP(Tableau3[[#This Row],[Nom ND]],liste_groupe[],3,FALSE),VLOOKUP(Tableau3[[#This Row],[Nom ND]],liste_groupe[],4,FALSE))</f>
        <v>#N/A</v>
      </c>
      <c r="E10" s="44" t="e">
        <f>HLOOKUP(Tableau3[[#This Row],[Nom ND]],'pooled normalised values'!$B$74:$V$83,4,FALSE)</f>
        <v>#N/A</v>
      </c>
      <c r="F10" s="44" t="e">
        <f>HLOOKUP(Tableau3[[#This Row],[Nom ND]],'pooled normalised values'!$B$74:$V$83,8,FALSE)</f>
        <v>#N/A</v>
      </c>
      <c r="G10" s="44" t="e">
        <f>VLOOKUP(Tableau3[[#This Row],[Nom ND]],'summary results'!$A$6:$N$26,9,FALSE)</f>
        <v>#N/A</v>
      </c>
      <c r="H10" s="44" t="e">
        <f>VLOOKUP(Tableau3[[#This Row],[Nom ND]],'summary results'!$A$6:$N$26,11,FALSE)</f>
        <v>#N/A</v>
      </c>
      <c r="I10" s="44" t="e">
        <f>HLOOKUP(Tableau3[[#This Row],[Nom D]],'pooled normalised values'!$B$74:$V$83,4,FALSE)</f>
        <v>#N/A</v>
      </c>
      <c r="J10" s="44" t="e">
        <f>HLOOKUP(Tableau3[[#This Row],[Nom D]],'pooled normalised values'!$B$74:$V$83,8,FALSE)</f>
        <v>#N/A</v>
      </c>
      <c r="K10" s="44" t="e">
        <f>VLOOKUP(Tableau3[[#This Row],[Nom D]],'summary results'!$A$29:$N$51,9,FALSE)</f>
        <v>#N/A</v>
      </c>
      <c r="L10" s="44" t="e">
        <f>VLOOKUP(Tableau3[[#This Row],[Nom D]],'summary results'!$A$29:$N$51,11,FALSE)</f>
        <v>#N/A</v>
      </c>
      <c r="M10" t="e">
        <f>'summary results'!$G$30</f>
        <v>#NUM!</v>
      </c>
      <c r="N10" t="e">
        <f>'summary results'!$G$31</f>
        <v>#NUM!</v>
      </c>
    </row>
    <row r="11" spans="1:23" x14ac:dyDescent="0.25">
      <c r="A11" s="1">
        <f t="shared" si="1"/>
        <v>0</v>
      </c>
      <c r="B11" s="44">
        <f t="shared" si="2"/>
        <v>0</v>
      </c>
      <c r="D11" s="44" t="e">
        <f>CONCATENATE(VLOOKUP(Tableau3[[#This Row],[Nom ND]],liste_groupe[],3,FALSE),VLOOKUP(Tableau3[[#This Row],[Nom ND]],liste_groupe[],4,FALSE))</f>
        <v>#N/A</v>
      </c>
      <c r="E11" s="44" t="e">
        <f>HLOOKUP(Tableau3[[#This Row],[Nom ND]],'pooled normalised values'!$B$74:$V$83,4,FALSE)</f>
        <v>#N/A</v>
      </c>
      <c r="F11" s="44" t="e">
        <f>HLOOKUP(Tableau3[[#This Row],[Nom ND]],'pooled normalised values'!$B$74:$V$83,8,FALSE)</f>
        <v>#N/A</v>
      </c>
      <c r="G11" s="44" t="e">
        <f>VLOOKUP(Tableau3[[#This Row],[Nom ND]],'summary results'!$A$6:$N$26,9,FALSE)</f>
        <v>#N/A</v>
      </c>
      <c r="H11" s="44" t="e">
        <f>VLOOKUP(Tableau3[[#This Row],[Nom ND]],'summary results'!$A$6:$N$26,11,FALSE)</f>
        <v>#N/A</v>
      </c>
      <c r="I11" s="44" t="e">
        <f>HLOOKUP(Tableau3[[#This Row],[Nom D]],'pooled normalised values'!$B$74:$V$83,4,FALSE)</f>
        <v>#N/A</v>
      </c>
      <c r="J11" s="44" t="e">
        <f>HLOOKUP(Tableau3[[#This Row],[Nom D]],'pooled normalised values'!$B$74:$V$83,8,FALSE)</f>
        <v>#N/A</v>
      </c>
      <c r="K11" s="44" t="e">
        <f>VLOOKUP(Tableau3[[#This Row],[Nom D]],'summary results'!$A$29:$N$51,9,FALSE)</f>
        <v>#N/A</v>
      </c>
      <c r="L11" s="44" t="e">
        <f>VLOOKUP(Tableau3[[#This Row],[Nom D]],'summary results'!$A$29:$N$51,11,FALSE)</f>
        <v>#N/A</v>
      </c>
      <c r="M11" t="e">
        <f>'summary results'!$G$30</f>
        <v>#NUM!</v>
      </c>
      <c r="N11" t="e">
        <f>'summary results'!$G$31</f>
        <v>#NUM!</v>
      </c>
    </row>
    <row r="12" spans="1:23" x14ac:dyDescent="0.25">
      <c r="A12" s="1">
        <f t="shared" si="1"/>
        <v>0</v>
      </c>
      <c r="B12" s="44">
        <f t="shared" si="2"/>
        <v>0</v>
      </c>
      <c r="D12" s="44" t="e">
        <f>CONCATENATE(VLOOKUP(Tableau3[[#This Row],[Nom ND]],liste_groupe[],3,FALSE),VLOOKUP(Tableau3[[#This Row],[Nom ND]],liste_groupe[],4,FALSE))</f>
        <v>#N/A</v>
      </c>
      <c r="E12" s="44" t="e">
        <f>HLOOKUP(Tableau3[[#This Row],[Nom ND]],'pooled normalised values'!$B$74:$V$83,4,FALSE)</f>
        <v>#N/A</v>
      </c>
      <c r="F12" s="44" t="e">
        <f>HLOOKUP(Tableau3[[#This Row],[Nom ND]],'pooled normalised values'!$B$74:$V$83,8,FALSE)</f>
        <v>#N/A</v>
      </c>
      <c r="G12" s="44" t="e">
        <f>VLOOKUP(Tableau3[[#This Row],[Nom ND]],'summary results'!$A$6:$N$26,9,FALSE)</f>
        <v>#N/A</v>
      </c>
      <c r="H12" s="44" t="e">
        <f>VLOOKUP(Tableau3[[#This Row],[Nom ND]],'summary results'!$A$6:$N$26,11,FALSE)</f>
        <v>#N/A</v>
      </c>
      <c r="I12" s="44" t="e">
        <f>HLOOKUP(Tableau3[[#This Row],[Nom D]],'pooled normalised values'!$B$74:$V$83,4,FALSE)</f>
        <v>#N/A</v>
      </c>
      <c r="J12" s="44" t="e">
        <f>HLOOKUP(Tableau3[[#This Row],[Nom D]],'pooled normalised values'!$B$74:$V$83,8,FALSE)</f>
        <v>#N/A</v>
      </c>
      <c r="K12" s="44" t="e">
        <f>VLOOKUP(Tableau3[[#This Row],[Nom D]],'summary results'!$A$29:$N$51,9,FALSE)</f>
        <v>#N/A</v>
      </c>
      <c r="L12" s="44" t="e">
        <f>VLOOKUP(Tableau3[[#This Row],[Nom D]],'summary results'!$A$29:$N$51,11,FALSE)</f>
        <v>#N/A</v>
      </c>
      <c r="M12" t="e">
        <f>'summary results'!$G$30</f>
        <v>#NUM!</v>
      </c>
      <c r="N12" t="e">
        <f>'summary results'!$G$31</f>
        <v>#NUM!</v>
      </c>
    </row>
    <row r="13" spans="1:23" x14ac:dyDescent="0.25">
      <c r="A13" s="1">
        <f t="shared" si="1"/>
        <v>0</v>
      </c>
      <c r="B13" s="44">
        <f t="shared" si="2"/>
        <v>0</v>
      </c>
      <c r="D13" s="44" t="e">
        <f>CONCATENATE(VLOOKUP(Tableau3[[#This Row],[Nom ND]],liste_groupe[],3,FALSE),VLOOKUP(Tableau3[[#This Row],[Nom ND]],liste_groupe[],4,FALSE))</f>
        <v>#N/A</v>
      </c>
      <c r="E13" s="44" t="e">
        <f>HLOOKUP(Tableau3[[#This Row],[Nom ND]],'pooled normalised values'!$B$74:$V$83,4,FALSE)</f>
        <v>#N/A</v>
      </c>
      <c r="F13" s="44" t="e">
        <f>HLOOKUP(Tableau3[[#This Row],[Nom ND]],'pooled normalised values'!$B$74:$V$83,8,FALSE)</f>
        <v>#N/A</v>
      </c>
      <c r="G13" s="44" t="e">
        <f>VLOOKUP(Tableau3[[#This Row],[Nom ND]],'summary results'!$A$6:$N$26,9,FALSE)</f>
        <v>#N/A</v>
      </c>
      <c r="H13" s="44" t="e">
        <f>VLOOKUP(Tableau3[[#This Row],[Nom ND]],'summary results'!$A$6:$N$26,11,FALSE)</f>
        <v>#N/A</v>
      </c>
      <c r="I13" s="44" t="e">
        <f>HLOOKUP(Tableau3[[#This Row],[Nom D]],'pooled normalised values'!$B$74:$V$83,4,FALSE)</f>
        <v>#N/A</v>
      </c>
      <c r="J13" s="44" t="e">
        <f>HLOOKUP(Tableau3[[#This Row],[Nom D]],'pooled normalised values'!$B$74:$V$83,8,FALSE)</f>
        <v>#N/A</v>
      </c>
      <c r="K13" s="44" t="e">
        <f>VLOOKUP(Tableau3[[#This Row],[Nom D]],'summary results'!$A$29:$N$51,9,FALSE)</f>
        <v>#N/A</v>
      </c>
      <c r="L13" s="44" t="e">
        <f>VLOOKUP(Tableau3[[#This Row],[Nom D]],'summary results'!$A$29:$N$51,11,FALSE)</f>
        <v>#N/A</v>
      </c>
      <c r="M13" t="e">
        <f>'summary results'!$G$30</f>
        <v>#NUM!</v>
      </c>
      <c r="N13" t="e">
        <f>'summary results'!$G$31</f>
        <v>#NUM!</v>
      </c>
    </row>
    <row r="14" spans="1:23" x14ac:dyDescent="0.25">
      <c r="A14" s="1">
        <f t="shared" si="1"/>
        <v>0</v>
      </c>
      <c r="B14" s="44">
        <f t="shared" si="2"/>
        <v>0</v>
      </c>
      <c r="D14" s="44" t="e">
        <f>CONCATENATE(VLOOKUP(Tableau3[[#This Row],[Nom ND]],liste_groupe[],3,FALSE),VLOOKUP(Tableau3[[#This Row],[Nom ND]],liste_groupe[],4,FALSE))</f>
        <v>#N/A</v>
      </c>
      <c r="E14" s="44" t="e">
        <f>HLOOKUP(Tableau3[[#This Row],[Nom ND]],'pooled normalised values'!$B$74:$V$83,4,FALSE)</f>
        <v>#N/A</v>
      </c>
      <c r="F14" s="44" t="e">
        <f>HLOOKUP(Tableau3[[#This Row],[Nom ND]],'pooled normalised values'!$B$74:$V$83,8,FALSE)</f>
        <v>#N/A</v>
      </c>
      <c r="G14" s="44" t="e">
        <f>VLOOKUP(Tableau3[[#This Row],[Nom ND]],'summary results'!$A$6:$N$26,9,FALSE)</f>
        <v>#N/A</v>
      </c>
      <c r="H14" s="44" t="e">
        <f>VLOOKUP(Tableau3[[#This Row],[Nom ND]],'summary results'!$A$6:$N$26,11,FALSE)</f>
        <v>#N/A</v>
      </c>
      <c r="I14" s="44" t="e">
        <f>HLOOKUP(Tableau3[[#This Row],[Nom D]],'pooled normalised values'!$B$74:$V$83,4,FALSE)</f>
        <v>#N/A</v>
      </c>
      <c r="J14" s="44" t="e">
        <f>HLOOKUP(Tableau3[[#This Row],[Nom D]],'pooled normalised values'!$B$74:$V$83,8,FALSE)</f>
        <v>#N/A</v>
      </c>
      <c r="K14" s="44" t="e">
        <f>VLOOKUP(Tableau3[[#This Row],[Nom D]],'summary results'!$A$29:$N$51,9,FALSE)</f>
        <v>#N/A</v>
      </c>
      <c r="L14" s="44" t="e">
        <f>VLOOKUP(Tableau3[[#This Row],[Nom D]],'summary results'!$A$29:$N$51,11,FALSE)</f>
        <v>#N/A</v>
      </c>
      <c r="M14" t="e">
        <f>'summary results'!$G$30</f>
        <v>#NUM!</v>
      </c>
      <c r="N14" t="e">
        <f>'summary results'!$G$31</f>
        <v>#NUM!</v>
      </c>
    </row>
    <row r="15" spans="1:23" x14ac:dyDescent="0.25">
      <c r="A15" s="1">
        <f t="shared" si="1"/>
        <v>0</v>
      </c>
      <c r="B15" s="44">
        <f t="shared" si="2"/>
        <v>0</v>
      </c>
      <c r="D15" s="44" t="e">
        <f>CONCATENATE(VLOOKUP(Tableau3[[#This Row],[Nom ND]],liste_groupe[],3,FALSE),VLOOKUP(Tableau3[[#This Row],[Nom ND]],liste_groupe[],4,FALSE))</f>
        <v>#N/A</v>
      </c>
      <c r="E15" s="44" t="e">
        <f>HLOOKUP(Tableau3[[#This Row],[Nom ND]],'pooled normalised values'!$B$74:$V$83,4,FALSE)</f>
        <v>#N/A</v>
      </c>
      <c r="F15" s="44" t="e">
        <f>HLOOKUP(Tableau3[[#This Row],[Nom ND]],'pooled normalised values'!$B$74:$V$83,8,FALSE)</f>
        <v>#N/A</v>
      </c>
      <c r="G15" s="44" t="e">
        <f>VLOOKUP(Tableau3[[#This Row],[Nom ND]],'summary results'!$A$6:$N$26,9,FALSE)</f>
        <v>#N/A</v>
      </c>
      <c r="H15" s="44" t="e">
        <f>VLOOKUP(Tableau3[[#This Row],[Nom ND]],'summary results'!$A$6:$N$26,11,FALSE)</f>
        <v>#N/A</v>
      </c>
      <c r="I15" s="44" t="e">
        <f>HLOOKUP(Tableau3[[#This Row],[Nom D]],'pooled normalised values'!$B$74:$V$83,4,FALSE)</f>
        <v>#N/A</v>
      </c>
      <c r="J15" s="44" t="e">
        <f>HLOOKUP(Tableau3[[#This Row],[Nom D]],'pooled normalised values'!$B$74:$V$83,8,FALSE)</f>
        <v>#N/A</v>
      </c>
      <c r="K15" s="44" t="e">
        <f>VLOOKUP(Tableau3[[#This Row],[Nom D]],'summary results'!$A$29:$N$51,9,FALSE)</f>
        <v>#N/A</v>
      </c>
      <c r="L15" s="44" t="e">
        <f>VLOOKUP(Tableau3[[#This Row],[Nom D]],'summary results'!$A$29:$N$51,11,FALSE)</f>
        <v>#N/A</v>
      </c>
      <c r="M15" t="e">
        <f>'summary results'!$G$30</f>
        <v>#NUM!</v>
      </c>
      <c r="N15" t="e">
        <f>'summary results'!$G$31</f>
        <v>#NUM!</v>
      </c>
    </row>
  </sheetData>
  <mergeCells count="2">
    <mergeCell ref="Q1:S1"/>
    <mergeCell ref="U1:W1"/>
  </mergeCells>
  <pageMargins left="0.7" right="0.7" top="0.75" bottom="0.75" header="0.3" footer="0.3"/>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76C436BD700BD428C1C0C71E54D8B5E" ma:contentTypeVersion="18" ma:contentTypeDescription="Create a new document." ma:contentTypeScope="" ma:versionID="782111b43a65dadfbc410eb6ccb7aa06">
  <xsd:schema xmlns:xsd="http://www.w3.org/2001/XMLSchema" xmlns:xs="http://www.w3.org/2001/XMLSchema" xmlns:p="http://schemas.microsoft.com/office/2006/metadata/properties" xmlns:ns2="cc801401-75a6-4297-ad63-d4d786ff6e7c" xmlns:ns3="508cc0b8-c8e1-4e41-95d2-be8416ed53ba" targetNamespace="http://schemas.microsoft.com/office/2006/metadata/properties" ma:root="true" ma:fieldsID="7f493af8791a6264672b29a70f2a6765" ns2:_="" ns3:_="">
    <xsd:import namespace="cc801401-75a6-4297-ad63-d4d786ff6e7c"/>
    <xsd:import namespace="508cc0b8-c8e1-4e41-95d2-be8416ed53ba"/>
    <xsd:element name="properties">
      <xsd:complexType>
        <xsd:sequence>
          <xsd:element name="documentManagement">
            <xsd:complexType>
              <xsd:all>
                <xsd:element ref="ns2:SharedWithUsers" minOccurs="0"/>
                <xsd:element ref="ns2:SharedWithDetails" minOccurs="0"/>
                <xsd:element ref="ns2:LastSharedByUser" minOccurs="0"/>
                <xsd:element ref="ns2:LastSharedByTime"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801401-75a6-4297-ad63-d4d786ff6e7c"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element name="TaxCatchAll" ma:index="25" nillable="true" ma:displayName="Taxonomy Catch All Column" ma:hidden="true" ma:list="2e281972-ae1b-43a4-854f-cb1565a95e46" ma:internalName="TaxCatchAll" ma:showField="CatchAllData" ma:web="cc801401-75a6-4297-ad63-d4d786ff6e7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08cc0b8-c8e1-4e41-95d2-be8416ed53ba"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AutoTags" ma:index="15" nillable="true" ma:displayName="MediaServiceAutoTags" ma:description="" ma:internalName="MediaServiceAutoTags" ma:readOnly="true">
      <xsd:simpleType>
        <xsd:restriction base="dms:Text"/>
      </xsd:simpleType>
    </xsd:element>
    <xsd:element name="MediaServiceLocation" ma:index="16" nillable="true" ma:displayName="MediaServiceLocation" ma:internalName="MediaServiceLocation"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04f2cd92-8d93-4e4c-83d3-86703d91558f"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579FE08-5D87-4C0E-8417-5951FE0084E7}"/>
</file>

<file path=customXml/itemProps2.xml><?xml version="1.0" encoding="utf-8"?>
<ds:datastoreItem xmlns:ds="http://schemas.openxmlformats.org/officeDocument/2006/customXml" ds:itemID="{0DE6316D-6B56-46C8-A5E9-AD504298ED9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14</vt:i4>
      </vt:variant>
      <vt:variant>
        <vt:lpstr>Graphiques</vt:lpstr>
      </vt:variant>
      <vt:variant>
        <vt:i4>4</vt:i4>
      </vt:variant>
      <vt:variant>
        <vt:lpstr>Plages nommées</vt:lpstr>
      </vt:variant>
      <vt:variant>
        <vt:i4>1</vt:i4>
      </vt:variant>
    </vt:vector>
  </HeadingPairs>
  <TitlesOfParts>
    <vt:vector size="19" baseType="lpstr">
      <vt:lpstr>Page de garde</vt:lpstr>
      <vt:lpstr>Feuil1</vt:lpstr>
      <vt:lpstr>Raw data R1</vt:lpstr>
      <vt:lpstr>R1</vt:lpstr>
      <vt:lpstr>Raw data R2</vt:lpstr>
      <vt:lpstr>R2</vt:lpstr>
      <vt:lpstr>Raw data R3</vt:lpstr>
      <vt:lpstr>R3</vt:lpstr>
      <vt:lpstr>pooled normalised values</vt:lpstr>
      <vt:lpstr>summary results</vt:lpstr>
      <vt:lpstr>Notice</vt:lpstr>
      <vt:lpstr>Graph format rapport CHG</vt:lpstr>
      <vt:lpstr>Graph format rapport CHG 1éch</vt:lpstr>
      <vt:lpstr>Récap</vt:lpstr>
      <vt:lpstr>Graph R1</vt:lpstr>
      <vt:lpstr>Graph R2</vt:lpstr>
      <vt:lpstr>Graph R3</vt:lpstr>
      <vt:lpstr>pooled normalised graphe</vt:lpstr>
      <vt:lpstr>'Page de garde'!Zone_d_impression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2021-03-18T11:11:58Z</dcterms:modified>
</cp:coreProperties>
</file>